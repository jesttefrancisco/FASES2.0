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RANCISCO\Downloads\"/>
    </mc:Choice>
  </mc:AlternateContent>
  <xr:revisionPtr revIDLastSave="0" documentId="8_{7A92F7FA-033E-4E69-81C3-4F7119B737D3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AVANCE SEMANAL 1" sheetId="1" r:id="rId1"/>
    <sheet name="RESUMEN" sheetId="2" r:id="rId2"/>
    <sheet name="FASE1" sheetId="3" r:id="rId3"/>
    <sheet name="FASE2" sheetId="4" r:id="rId4"/>
    <sheet name="FASE3" sheetId="5" r:id="rId5"/>
    <sheet name="FASE4" sheetId="6" r:id="rId6"/>
    <sheet name="SEGUIMIENTO R.CRITICA" sheetId="7" r:id="rId7"/>
  </sheet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4" i="1" l="1"/>
  <c r="P81" i="1"/>
  <c r="E9" i="1"/>
  <c r="F9" i="1"/>
  <c r="G9" i="1"/>
  <c r="H9" i="1"/>
  <c r="Q9" i="1" s="1"/>
  <c r="I9" i="1"/>
  <c r="J9" i="1"/>
  <c r="S71" i="1" s="1"/>
  <c r="K9" i="1"/>
  <c r="L9" i="1"/>
  <c r="T48" i="1" s="1"/>
  <c r="D9" i="1"/>
  <c r="X382" i="7"/>
  <c r="W368" i="7"/>
  <c r="V368" i="7"/>
  <c r="U368" i="7"/>
  <c r="T368" i="7"/>
  <c r="S368" i="7"/>
  <c r="R368" i="7"/>
  <c r="Q368" i="7"/>
  <c r="P368" i="7"/>
  <c r="O368" i="7"/>
  <c r="N368" i="7"/>
  <c r="M368" i="7"/>
  <c r="L368" i="7"/>
  <c r="K368" i="7"/>
  <c r="J368" i="7"/>
  <c r="I368" i="7"/>
  <c r="H368" i="7"/>
  <c r="G368" i="7"/>
  <c r="F368" i="7"/>
  <c r="E368" i="7"/>
  <c r="W367" i="7"/>
  <c r="V367" i="7"/>
  <c r="U367" i="7"/>
  <c r="T367" i="7"/>
  <c r="S367" i="7"/>
  <c r="R367" i="7"/>
  <c r="Q367" i="7"/>
  <c r="P367" i="7"/>
  <c r="O367" i="7"/>
  <c r="N367" i="7"/>
  <c r="M367" i="7"/>
  <c r="L367" i="7"/>
  <c r="K367" i="7"/>
  <c r="J367" i="7"/>
  <c r="I367" i="7"/>
  <c r="H367" i="7"/>
  <c r="G367" i="7"/>
  <c r="F367" i="7"/>
  <c r="E367" i="7"/>
  <c r="W366" i="7"/>
  <c r="V366" i="7"/>
  <c r="U366" i="7"/>
  <c r="T366" i="7"/>
  <c r="S366" i="7"/>
  <c r="R366" i="7"/>
  <c r="Q366" i="7"/>
  <c r="P366" i="7"/>
  <c r="O366" i="7"/>
  <c r="N366" i="7"/>
  <c r="M366" i="7"/>
  <c r="L366" i="7"/>
  <c r="K366" i="7"/>
  <c r="J366" i="7"/>
  <c r="I366" i="7"/>
  <c r="H366" i="7"/>
  <c r="G366" i="7"/>
  <c r="F366" i="7"/>
  <c r="E366" i="7"/>
  <c r="W365" i="7"/>
  <c r="V365" i="7"/>
  <c r="U365" i="7"/>
  <c r="T365" i="7"/>
  <c r="S365" i="7"/>
  <c r="R365" i="7"/>
  <c r="Q365" i="7"/>
  <c r="P365" i="7"/>
  <c r="O365" i="7"/>
  <c r="N365" i="7"/>
  <c r="M365" i="7"/>
  <c r="L365" i="7"/>
  <c r="K365" i="7"/>
  <c r="J365" i="7"/>
  <c r="I365" i="7"/>
  <c r="H365" i="7"/>
  <c r="G365" i="7"/>
  <c r="F365" i="7"/>
  <c r="E365" i="7"/>
  <c r="W364" i="7"/>
  <c r="V364" i="7"/>
  <c r="U364" i="7"/>
  <c r="T364" i="7"/>
  <c r="S364" i="7"/>
  <c r="R364" i="7"/>
  <c r="Q364" i="7"/>
  <c r="P364" i="7"/>
  <c r="O364" i="7"/>
  <c r="N364" i="7"/>
  <c r="M364" i="7"/>
  <c r="L364" i="7"/>
  <c r="K364" i="7"/>
  <c r="J364" i="7"/>
  <c r="I364" i="7"/>
  <c r="H364" i="7"/>
  <c r="G364" i="7"/>
  <c r="F364" i="7"/>
  <c r="E364" i="7"/>
  <c r="W363" i="7"/>
  <c r="V363" i="7"/>
  <c r="U363" i="7"/>
  <c r="T363" i="7"/>
  <c r="S363" i="7"/>
  <c r="R363" i="7"/>
  <c r="Q363" i="7"/>
  <c r="P363" i="7"/>
  <c r="O363" i="7"/>
  <c r="N363" i="7"/>
  <c r="M363" i="7"/>
  <c r="L363" i="7"/>
  <c r="K363" i="7"/>
  <c r="J363" i="7"/>
  <c r="I363" i="7"/>
  <c r="H363" i="7"/>
  <c r="G363" i="7"/>
  <c r="F363" i="7"/>
  <c r="E363" i="7"/>
  <c r="W362" i="7"/>
  <c r="V362" i="7"/>
  <c r="U362" i="7"/>
  <c r="T362" i="7"/>
  <c r="S362" i="7"/>
  <c r="R362" i="7"/>
  <c r="Q362" i="7"/>
  <c r="P362" i="7"/>
  <c r="O362" i="7"/>
  <c r="N362" i="7"/>
  <c r="M362" i="7"/>
  <c r="L362" i="7"/>
  <c r="K362" i="7"/>
  <c r="J362" i="7"/>
  <c r="I362" i="7"/>
  <c r="H362" i="7"/>
  <c r="G362" i="7"/>
  <c r="F362" i="7"/>
  <c r="E362" i="7"/>
  <c r="W361" i="7"/>
  <c r="V361" i="7"/>
  <c r="U361" i="7"/>
  <c r="T361" i="7"/>
  <c r="S361" i="7"/>
  <c r="R361" i="7"/>
  <c r="Q361" i="7"/>
  <c r="P361" i="7"/>
  <c r="O361" i="7"/>
  <c r="N361" i="7"/>
  <c r="M361" i="7"/>
  <c r="L361" i="7"/>
  <c r="K361" i="7"/>
  <c r="J361" i="7"/>
  <c r="I361" i="7"/>
  <c r="H361" i="7"/>
  <c r="G361" i="7"/>
  <c r="F361" i="7"/>
  <c r="E361" i="7"/>
  <c r="W360" i="7"/>
  <c r="V360" i="7"/>
  <c r="U360" i="7"/>
  <c r="T360" i="7"/>
  <c r="S360" i="7"/>
  <c r="R360" i="7"/>
  <c r="Q360" i="7"/>
  <c r="P360" i="7"/>
  <c r="O360" i="7"/>
  <c r="N360" i="7"/>
  <c r="M360" i="7"/>
  <c r="L360" i="7"/>
  <c r="K360" i="7"/>
  <c r="J360" i="7"/>
  <c r="I360" i="7"/>
  <c r="H360" i="7"/>
  <c r="G360" i="7"/>
  <c r="F360" i="7"/>
  <c r="E360" i="7"/>
  <c r="W359" i="7"/>
  <c r="V359" i="7"/>
  <c r="U359" i="7"/>
  <c r="T359" i="7"/>
  <c r="S359" i="7"/>
  <c r="R359" i="7"/>
  <c r="Q359" i="7"/>
  <c r="P359" i="7"/>
  <c r="O359" i="7"/>
  <c r="N359" i="7"/>
  <c r="M359" i="7"/>
  <c r="L359" i="7"/>
  <c r="K359" i="7"/>
  <c r="J359" i="7"/>
  <c r="I359" i="7"/>
  <c r="H359" i="7"/>
  <c r="G359" i="7"/>
  <c r="F359" i="7"/>
  <c r="E359" i="7"/>
  <c r="W358" i="7"/>
  <c r="V358" i="7"/>
  <c r="U358" i="7"/>
  <c r="T358" i="7"/>
  <c r="S358" i="7"/>
  <c r="R358" i="7"/>
  <c r="Q358" i="7"/>
  <c r="P358" i="7"/>
  <c r="O358" i="7"/>
  <c r="N358" i="7"/>
  <c r="M358" i="7"/>
  <c r="L358" i="7"/>
  <c r="K358" i="7"/>
  <c r="J358" i="7"/>
  <c r="I358" i="7"/>
  <c r="H358" i="7"/>
  <c r="G358" i="7"/>
  <c r="F358" i="7"/>
  <c r="E358" i="7"/>
  <c r="W357" i="7"/>
  <c r="V357" i="7"/>
  <c r="U357" i="7"/>
  <c r="T357" i="7"/>
  <c r="S357" i="7"/>
  <c r="R357" i="7"/>
  <c r="Q357" i="7"/>
  <c r="P357" i="7"/>
  <c r="O357" i="7"/>
  <c r="N357" i="7"/>
  <c r="M357" i="7"/>
  <c r="L357" i="7"/>
  <c r="K357" i="7"/>
  <c r="J357" i="7"/>
  <c r="I357" i="7"/>
  <c r="H357" i="7"/>
  <c r="G357" i="7"/>
  <c r="F357" i="7"/>
  <c r="E357" i="7"/>
  <c r="W356" i="7"/>
  <c r="V356" i="7"/>
  <c r="U356" i="7"/>
  <c r="T356" i="7"/>
  <c r="S356" i="7"/>
  <c r="R356" i="7"/>
  <c r="Q356" i="7"/>
  <c r="P356" i="7"/>
  <c r="O356" i="7"/>
  <c r="N356" i="7"/>
  <c r="M356" i="7"/>
  <c r="L356" i="7"/>
  <c r="K356" i="7"/>
  <c r="J356" i="7"/>
  <c r="I356" i="7"/>
  <c r="H356" i="7"/>
  <c r="G356" i="7"/>
  <c r="F356" i="7"/>
  <c r="E356" i="7"/>
  <c r="W355" i="7"/>
  <c r="V355" i="7"/>
  <c r="U355" i="7"/>
  <c r="T355" i="7"/>
  <c r="S355" i="7"/>
  <c r="R355" i="7"/>
  <c r="Q355" i="7"/>
  <c r="P355" i="7"/>
  <c r="O355" i="7"/>
  <c r="N355" i="7"/>
  <c r="M355" i="7"/>
  <c r="L355" i="7"/>
  <c r="K355" i="7"/>
  <c r="J355" i="7"/>
  <c r="I355" i="7"/>
  <c r="H355" i="7"/>
  <c r="G355" i="7"/>
  <c r="F355" i="7"/>
  <c r="E355" i="7"/>
  <c r="W354" i="7"/>
  <c r="V354" i="7"/>
  <c r="U354" i="7"/>
  <c r="T354" i="7"/>
  <c r="S354" i="7"/>
  <c r="R354" i="7"/>
  <c r="Q354" i="7"/>
  <c r="P354" i="7"/>
  <c r="O354" i="7"/>
  <c r="N354" i="7"/>
  <c r="M354" i="7"/>
  <c r="L354" i="7"/>
  <c r="K354" i="7"/>
  <c r="J354" i="7"/>
  <c r="I354" i="7"/>
  <c r="H354" i="7"/>
  <c r="G354" i="7"/>
  <c r="F354" i="7"/>
  <c r="E354" i="7"/>
  <c r="W353" i="7"/>
  <c r="V353" i="7"/>
  <c r="U353" i="7"/>
  <c r="T353" i="7"/>
  <c r="S353" i="7"/>
  <c r="R353" i="7"/>
  <c r="Q353" i="7"/>
  <c r="P353" i="7"/>
  <c r="O353" i="7"/>
  <c r="N353" i="7"/>
  <c r="M353" i="7"/>
  <c r="L353" i="7"/>
  <c r="K353" i="7"/>
  <c r="J353" i="7"/>
  <c r="I353" i="7"/>
  <c r="H353" i="7"/>
  <c r="G353" i="7"/>
  <c r="F353" i="7"/>
  <c r="E353" i="7"/>
  <c r="W352" i="7"/>
  <c r="V352" i="7"/>
  <c r="U352" i="7"/>
  <c r="T352" i="7"/>
  <c r="S352" i="7"/>
  <c r="R352" i="7"/>
  <c r="Q352" i="7"/>
  <c r="P352" i="7"/>
  <c r="O352" i="7"/>
  <c r="N352" i="7"/>
  <c r="M352" i="7"/>
  <c r="L352" i="7"/>
  <c r="K352" i="7"/>
  <c r="J352" i="7"/>
  <c r="I352" i="7"/>
  <c r="H352" i="7"/>
  <c r="G352" i="7"/>
  <c r="F352" i="7"/>
  <c r="E352" i="7"/>
  <c r="W351" i="7"/>
  <c r="V351" i="7"/>
  <c r="U351" i="7"/>
  <c r="T351" i="7"/>
  <c r="S351" i="7"/>
  <c r="R351" i="7"/>
  <c r="Q351" i="7"/>
  <c r="P351" i="7"/>
  <c r="O351" i="7"/>
  <c r="N351" i="7"/>
  <c r="M351" i="7"/>
  <c r="L351" i="7"/>
  <c r="K351" i="7"/>
  <c r="J351" i="7"/>
  <c r="I351" i="7"/>
  <c r="H351" i="7"/>
  <c r="G351" i="7"/>
  <c r="F351" i="7"/>
  <c r="E351" i="7"/>
  <c r="W350" i="7"/>
  <c r="V350" i="7"/>
  <c r="U350" i="7"/>
  <c r="T350" i="7"/>
  <c r="S350" i="7"/>
  <c r="R350" i="7"/>
  <c r="Q350" i="7"/>
  <c r="P350" i="7"/>
  <c r="O350" i="7"/>
  <c r="N350" i="7"/>
  <c r="M350" i="7"/>
  <c r="L350" i="7"/>
  <c r="K350" i="7"/>
  <c r="J350" i="7"/>
  <c r="I350" i="7"/>
  <c r="H350" i="7"/>
  <c r="G350" i="7"/>
  <c r="F350" i="7"/>
  <c r="E350" i="7"/>
  <c r="W349" i="7"/>
  <c r="V349" i="7"/>
  <c r="U349" i="7"/>
  <c r="T349" i="7"/>
  <c r="S349" i="7"/>
  <c r="R349" i="7"/>
  <c r="Q349" i="7"/>
  <c r="P349" i="7"/>
  <c r="O349" i="7"/>
  <c r="N349" i="7"/>
  <c r="M349" i="7"/>
  <c r="L349" i="7"/>
  <c r="K349" i="7"/>
  <c r="J349" i="7"/>
  <c r="I349" i="7"/>
  <c r="H349" i="7"/>
  <c r="G349" i="7"/>
  <c r="F349" i="7"/>
  <c r="E349" i="7"/>
  <c r="W348" i="7"/>
  <c r="V348" i="7"/>
  <c r="U348" i="7"/>
  <c r="T348" i="7"/>
  <c r="S348" i="7"/>
  <c r="R348" i="7"/>
  <c r="Q348" i="7"/>
  <c r="P348" i="7"/>
  <c r="O348" i="7"/>
  <c r="N348" i="7"/>
  <c r="M348" i="7"/>
  <c r="L348" i="7"/>
  <c r="K348" i="7"/>
  <c r="J348" i="7"/>
  <c r="I348" i="7"/>
  <c r="H348" i="7"/>
  <c r="G348" i="7"/>
  <c r="F348" i="7"/>
  <c r="E348" i="7"/>
  <c r="W347" i="7"/>
  <c r="V347" i="7"/>
  <c r="U347" i="7"/>
  <c r="T347" i="7"/>
  <c r="S347" i="7"/>
  <c r="R347" i="7"/>
  <c r="Q347" i="7"/>
  <c r="P347" i="7"/>
  <c r="O347" i="7"/>
  <c r="N347" i="7"/>
  <c r="M347" i="7"/>
  <c r="L347" i="7"/>
  <c r="K347" i="7"/>
  <c r="J347" i="7"/>
  <c r="I347" i="7"/>
  <c r="H347" i="7"/>
  <c r="G347" i="7"/>
  <c r="F347" i="7"/>
  <c r="E347" i="7"/>
  <c r="W346" i="7"/>
  <c r="V346" i="7"/>
  <c r="U346" i="7"/>
  <c r="T346" i="7"/>
  <c r="S346" i="7"/>
  <c r="R346" i="7"/>
  <c r="Q346" i="7"/>
  <c r="P346" i="7"/>
  <c r="O346" i="7"/>
  <c r="N346" i="7"/>
  <c r="M346" i="7"/>
  <c r="L346" i="7"/>
  <c r="K346" i="7"/>
  <c r="J346" i="7"/>
  <c r="I346" i="7"/>
  <c r="H346" i="7"/>
  <c r="G346" i="7"/>
  <c r="F346" i="7"/>
  <c r="E346" i="7"/>
  <c r="W345" i="7"/>
  <c r="V345" i="7"/>
  <c r="U345" i="7"/>
  <c r="T345" i="7"/>
  <c r="S345" i="7"/>
  <c r="R345" i="7"/>
  <c r="Q345" i="7"/>
  <c r="P345" i="7"/>
  <c r="O345" i="7"/>
  <c r="N345" i="7"/>
  <c r="M345" i="7"/>
  <c r="L345" i="7"/>
  <c r="K345" i="7"/>
  <c r="J345" i="7"/>
  <c r="I345" i="7"/>
  <c r="H345" i="7"/>
  <c r="G345" i="7"/>
  <c r="F345" i="7"/>
  <c r="E345" i="7"/>
  <c r="W344" i="7"/>
  <c r="V344" i="7"/>
  <c r="U344" i="7"/>
  <c r="T344" i="7"/>
  <c r="S344" i="7"/>
  <c r="R344" i="7"/>
  <c r="Q344" i="7"/>
  <c r="P344" i="7"/>
  <c r="O344" i="7"/>
  <c r="N344" i="7"/>
  <c r="M344" i="7"/>
  <c r="L344" i="7"/>
  <c r="K344" i="7"/>
  <c r="J344" i="7"/>
  <c r="I344" i="7"/>
  <c r="H344" i="7"/>
  <c r="G344" i="7"/>
  <c r="F344" i="7"/>
  <c r="E344" i="7"/>
  <c r="W343" i="7"/>
  <c r="V343" i="7"/>
  <c r="U343" i="7"/>
  <c r="T343" i="7"/>
  <c r="S343" i="7"/>
  <c r="R343" i="7"/>
  <c r="Q343" i="7"/>
  <c r="P343" i="7"/>
  <c r="O343" i="7"/>
  <c r="N343" i="7"/>
  <c r="M343" i="7"/>
  <c r="L343" i="7"/>
  <c r="K343" i="7"/>
  <c r="J343" i="7"/>
  <c r="I343" i="7"/>
  <c r="H343" i="7"/>
  <c r="G343" i="7"/>
  <c r="F343" i="7"/>
  <c r="E343" i="7"/>
  <c r="W342" i="7"/>
  <c r="V342" i="7"/>
  <c r="U342" i="7"/>
  <c r="T342" i="7"/>
  <c r="S342" i="7"/>
  <c r="R342" i="7"/>
  <c r="Q342" i="7"/>
  <c r="P342" i="7"/>
  <c r="O342" i="7"/>
  <c r="N342" i="7"/>
  <c r="M342" i="7"/>
  <c r="L342" i="7"/>
  <c r="K342" i="7"/>
  <c r="J342" i="7"/>
  <c r="I342" i="7"/>
  <c r="H342" i="7"/>
  <c r="G342" i="7"/>
  <c r="F342" i="7"/>
  <c r="E342" i="7"/>
  <c r="W341" i="7"/>
  <c r="V341" i="7"/>
  <c r="U341" i="7"/>
  <c r="T341" i="7"/>
  <c r="S341" i="7"/>
  <c r="R341" i="7"/>
  <c r="Q341" i="7"/>
  <c r="P341" i="7"/>
  <c r="O341" i="7"/>
  <c r="N341" i="7"/>
  <c r="M341" i="7"/>
  <c r="L341" i="7"/>
  <c r="K341" i="7"/>
  <c r="J341" i="7"/>
  <c r="I341" i="7"/>
  <c r="H341" i="7"/>
  <c r="G341" i="7"/>
  <c r="F341" i="7"/>
  <c r="E341" i="7"/>
  <c r="W340" i="7"/>
  <c r="V340" i="7"/>
  <c r="U340" i="7"/>
  <c r="T340" i="7"/>
  <c r="S340" i="7"/>
  <c r="R340" i="7"/>
  <c r="Q340" i="7"/>
  <c r="P340" i="7"/>
  <c r="O340" i="7"/>
  <c r="N340" i="7"/>
  <c r="M340" i="7"/>
  <c r="L340" i="7"/>
  <c r="K340" i="7"/>
  <c r="J340" i="7"/>
  <c r="I340" i="7"/>
  <c r="H340" i="7"/>
  <c r="G340" i="7"/>
  <c r="F340" i="7"/>
  <c r="E340" i="7"/>
  <c r="W339" i="7"/>
  <c r="V339" i="7"/>
  <c r="U339" i="7"/>
  <c r="T339" i="7"/>
  <c r="S339" i="7"/>
  <c r="R339" i="7"/>
  <c r="Q339" i="7"/>
  <c r="P339" i="7"/>
  <c r="O339" i="7"/>
  <c r="N339" i="7"/>
  <c r="M339" i="7"/>
  <c r="L339" i="7"/>
  <c r="K339" i="7"/>
  <c r="J339" i="7"/>
  <c r="I339" i="7"/>
  <c r="H339" i="7"/>
  <c r="G339" i="7"/>
  <c r="F339" i="7"/>
  <c r="E339" i="7"/>
  <c r="W338" i="7"/>
  <c r="V338" i="7"/>
  <c r="U338" i="7"/>
  <c r="T338" i="7"/>
  <c r="S338" i="7"/>
  <c r="R338" i="7"/>
  <c r="Q338" i="7"/>
  <c r="P338" i="7"/>
  <c r="O338" i="7"/>
  <c r="N338" i="7"/>
  <c r="M338" i="7"/>
  <c r="L338" i="7"/>
  <c r="K338" i="7"/>
  <c r="J338" i="7"/>
  <c r="I338" i="7"/>
  <c r="H338" i="7"/>
  <c r="G338" i="7"/>
  <c r="F338" i="7"/>
  <c r="E338" i="7"/>
  <c r="W337" i="7"/>
  <c r="V337" i="7"/>
  <c r="U337" i="7"/>
  <c r="T337" i="7"/>
  <c r="S337" i="7"/>
  <c r="R337" i="7"/>
  <c r="Q337" i="7"/>
  <c r="P337" i="7"/>
  <c r="O337" i="7"/>
  <c r="N337" i="7"/>
  <c r="M337" i="7"/>
  <c r="L337" i="7"/>
  <c r="K337" i="7"/>
  <c r="J337" i="7"/>
  <c r="I337" i="7"/>
  <c r="H337" i="7"/>
  <c r="G337" i="7"/>
  <c r="F337" i="7"/>
  <c r="E337" i="7"/>
  <c r="W336" i="7"/>
  <c r="V336" i="7"/>
  <c r="U336" i="7"/>
  <c r="T336" i="7"/>
  <c r="S336" i="7"/>
  <c r="R336" i="7"/>
  <c r="Q336" i="7"/>
  <c r="P336" i="7"/>
  <c r="O336" i="7"/>
  <c r="N336" i="7"/>
  <c r="M336" i="7"/>
  <c r="L336" i="7"/>
  <c r="K336" i="7"/>
  <c r="J336" i="7"/>
  <c r="I336" i="7"/>
  <c r="H336" i="7"/>
  <c r="G336" i="7"/>
  <c r="F336" i="7"/>
  <c r="E336" i="7"/>
  <c r="W335" i="7"/>
  <c r="V335" i="7"/>
  <c r="U335" i="7"/>
  <c r="T335" i="7"/>
  <c r="S335" i="7"/>
  <c r="R335" i="7"/>
  <c r="Q335" i="7"/>
  <c r="P335" i="7"/>
  <c r="O335" i="7"/>
  <c r="N335" i="7"/>
  <c r="M335" i="7"/>
  <c r="L335" i="7"/>
  <c r="K335" i="7"/>
  <c r="J335" i="7"/>
  <c r="I335" i="7"/>
  <c r="H335" i="7"/>
  <c r="G335" i="7"/>
  <c r="F335" i="7"/>
  <c r="E335" i="7"/>
  <c r="W334" i="7"/>
  <c r="V334" i="7"/>
  <c r="U334" i="7"/>
  <c r="T334" i="7"/>
  <c r="S334" i="7"/>
  <c r="R334" i="7"/>
  <c r="Q334" i="7"/>
  <c r="P334" i="7"/>
  <c r="O334" i="7"/>
  <c r="N334" i="7"/>
  <c r="M334" i="7"/>
  <c r="L334" i="7"/>
  <c r="K334" i="7"/>
  <c r="J334" i="7"/>
  <c r="I334" i="7"/>
  <c r="H334" i="7"/>
  <c r="G334" i="7"/>
  <c r="F334" i="7"/>
  <c r="E334" i="7"/>
  <c r="W333" i="7"/>
  <c r="V333" i="7"/>
  <c r="U333" i="7"/>
  <c r="T333" i="7"/>
  <c r="S333" i="7"/>
  <c r="R333" i="7"/>
  <c r="Q333" i="7"/>
  <c r="P333" i="7"/>
  <c r="O333" i="7"/>
  <c r="N333" i="7"/>
  <c r="M333" i="7"/>
  <c r="L333" i="7"/>
  <c r="K333" i="7"/>
  <c r="J333" i="7"/>
  <c r="I333" i="7"/>
  <c r="H333" i="7"/>
  <c r="G333" i="7"/>
  <c r="F333" i="7"/>
  <c r="E333" i="7"/>
  <c r="W332" i="7"/>
  <c r="V332" i="7"/>
  <c r="U332" i="7"/>
  <c r="T332" i="7"/>
  <c r="S332" i="7"/>
  <c r="R332" i="7"/>
  <c r="Q332" i="7"/>
  <c r="P332" i="7"/>
  <c r="O332" i="7"/>
  <c r="N332" i="7"/>
  <c r="M332" i="7"/>
  <c r="L332" i="7"/>
  <c r="K332" i="7"/>
  <c r="J332" i="7"/>
  <c r="I332" i="7"/>
  <c r="H332" i="7"/>
  <c r="G332" i="7"/>
  <c r="F332" i="7"/>
  <c r="E332" i="7"/>
  <c r="W331" i="7"/>
  <c r="V331" i="7"/>
  <c r="U331" i="7"/>
  <c r="T331" i="7"/>
  <c r="S331" i="7"/>
  <c r="R331" i="7"/>
  <c r="Q331" i="7"/>
  <c r="P331" i="7"/>
  <c r="O331" i="7"/>
  <c r="N331" i="7"/>
  <c r="M331" i="7"/>
  <c r="L331" i="7"/>
  <c r="K331" i="7"/>
  <c r="J331" i="7"/>
  <c r="I331" i="7"/>
  <c r="H331" i="7"/>
  <c r="G331" i="7"/>
  <c r="F331" i="7"/>
  <c r="E331" i="7"/>
  <c r="W330" i="7"/>
  <c r="V330" i="7"/>
  <c r="U330" i="7"/>
  <c r="T330" i="7"/>
  <c r="S330" i="7"/>
  <c r="R330" i="7"/>
  <c r="Q330" i="7"/>
  <c r="P330" i="7"/>
  <c r="O330" i="7"/>
  <c r="N330" i="7"/>
  <c r="M330" i="7"/>
  <c r="L330" i="7"/>
  <c r="K330" i="7"/>
  <c r="J330" i="7"/>
  <c r="I330" i="7"/>
  <c r="H330" i="7"/>
  <c r="G330" i="7"/>
  <c r="F330" i="7"/>
  <c r="E330" i="7"/>
  <c r="W329" i="7"/>
  <c r="V329" i="7"/>
  <c r="U329" i="7"/>
  <c r="T329" i="7"/>
  <c r="S329" i="7"/>
  <c r="R329" i="7"/>
  <c r="Q329" i="7"/>
  <c r="P329" i="7"/>
  <c r="O329" i="7"/>
  <c r="N329" i="7"/>
  <c r="M329" i="7"/>
  <c r="L329" i="7"/>
  <c r="K329" i="7"/>
  <c r="J329" i="7"/>
  <c r="I329" i="7"/>
  <c r="H329" i="7"/>
  <c r="G329" i="7"/>
  <c r="F329" i="7"/>
  <c r="E329" i="7"/>
  <c r="W328" i="7"/>
  <c r="V328" i="7"/>
  <c r="U328" i="7"/>
  <c r="T328" i="7"/>
  <c r="S328" i="7"/>
  <c r="R328" i="7"/>
  <c r="Q328" i="7"/>
  <c r="P328" i="7"/>
  <c r="O328" i="7"/>
  <c r="N328" i="7"/>
  <c r="M328" i="7"/>
  <c r="L328" i="7"/>
  <c r="K328" i="7"/>
  <c r="J328" i="7"/>
  <c r="I328" i="7"/>
  <c r="H328" i="7"/>
  <c r="G328" i="7"/>
  <c r="F328" i="7"/>
  <c r="E328" i="7"/>
  <c r="W326" i="7"/>
  <c r="V326" i="7"/>
  <c r="U326" i="7"/>
  <c r="T326" i="7"/>
  <c r="S326" i="7"/>
  <c r="R326" i="7"/>
  <c r="Q326" i="7"/>
  <c r="P326" i="7"/>
  <c r="O326" i="7"/>
  <c r="N326" i="7"/>
  <c r="M326" i="7"/>
  <c r="L326" i="7"/>
  <c r="K326" i="7"/>
  <c r="J326" i="7"/>
  <c r="I326" i="7"/>
  <c r="H326" i="7"/>
  <c r="G326" i="7"/>
  <c r="F326" i="7"/>
  <c r="E326" i="7"/>
  <c r="W325" i="7"/>
  <c r="V325" i="7"/>
  <c r="U325" i="7"/>
  <c r="T325" i="7"/>
  <c r="S325" i="7"/>
  <c r="R325" i="7"/>
  <c r="Q325" i="7"/>
  <c r="P325" i="7"/>
  <c r="O325" i="7"/>
  <c r="N325" i="7"/>
  <c r="M325" i="7"/>
  <c r="L325" i="7"/>
  <c r="K325" i="7"/>
  <c r="J325" i="7"/>
  <c r="I325" i="7"/>
  <c r="H325" i="7"/>
  <c r="G325" i="7"/>
  <c r="F325" i="7"/>
  <c r="E325" i="7"/>
  <c r="W324" i="7"/>
  <c r="V324" i="7"/>
  <c r="U324" i="7"/>
  <c r="T324" i="7"/>
  <c r="S324" i="7"/>
  <c r="R324" i="7"/>
  <c r="Q324" i="7"/>
  <c r="P324" i="7"/>
  <c r="O324" i="7"/>
  <c r="N324" i="7"/>
  <c r="M324" i="7"/>
  <c r="L324" i="7"/>
  <c r="K324" i="7"/>
  <c r="J324" i="7"/>
  <c r="I324" i="7"/>
  <c r="H324" i="7"/>
  <c r="G324" i="7"/>
  <c r="F324" i="7"/>
  <c r="E324" i="7"/>
  <c r="W323" i="7"/>
  <c r="V323" i="7"/>
  <c r="U323" i="7"/>
  <c r="T323" i="7"/>
  <c r="S323" i="7"/>
  <c r="R323" i="7"/>
  <c r="Q323" i="7"/>
  <c r="P323" i="7"/>
  <c r="O323" i="7"/>
  <c r="N323" i="7"/>
  <c r="M323" i="7"/>
  <c r="L323" i="7"/>
  <c r="K323" i="7"/>
  <c r="J323" i="7"/>
  <c r="I323" i="7"/>
  <c r="H323" i="7"/>
  <c r="G323" i="7"/>
  <c r="F323" i="7"/>
  <c r="E323" i="7"/>
  <c r="W322" i="7"/>
  <c r="V322" i="7"/>
  <c r="U322" i="7"/>
  <c r="T322" i="7"/>
  <c r="S322" i="7"/>
  <c r="R322" i="7"/>
  <c r="Q322" i="7"/>
  <c r="P322" i="7"/>
  <c r="O322" i="7"/>
  <c r="N322" i="7"/>
  <c r="M322" i="7"/>
  <c r="L322" i="7"/>
  <c r="K322" i="7"/>
  <c r="J322" i="7"/>
  <c r="I322" i="7"/>
  <c r="H322" i="7"/>
  <c r="G322" i="7"/>
  <c r="F322" i="7"/>
  <c r="E322" i="7"/>
  <c r="W321" i="7"/>
  <c r="V321" i="7"/>
  <c r="U321" i="7"/>
  <c r="T321" i="7"/>
  <c r="S321" i="7"/>
  <c r="R321" i="7"/>
  <c r="Q321" i="7"/>
  <c r="P321" i="7"/>
  <c r="O321" i="7"/>
  <c r="N321" i="7"/>
  <c r="M321" i="7"/>
  <c r="L321" i="7"/>
  <c r="K321" i="7"/>
  <c r="J321" i="7"/>
  <c r="I321" i="7"/>
  <c r="H321" i="7"/>
  <c r="G321" i="7"/>
  <c r="F321" i="7"/>
  <c r="E321" i="7"/>
  <c r="W320" i="7"/>
  <c r="V320" i="7"/>
  <c r="U320" i="7"/>
  <c r="T320" i="7"/>
  <c r="S320" i="7"/>
  <c r="R320" i="7"/>
  <c r="Q320" i="7"/>
  <c r="P320" i="7"/>
  <c r="O320" i="7"/>
  <c r="N320" i="7"/>
  <c r="M320" i="7"/>
  <c r="L320" i="7"/>
  <c r="K320" i="7"/>
  <c r="J320" i="7"/>
  <c r="I320" i="7"/>
  <c r="H320" i="7"/>
  <c r="G320" i="7"/>
  <c r="F320" i="7"/>
  <c r="E320" i="7"/>
  <c r="W319" i="7"/>
  <c r="V319" i="7"/>
  <c r="U319" i="7"/>
  <c r="T319" i="7"/>
  <c r="S319" i="7"/>
  <c r="R319" i="7"/>
  <c r="Q319" i="7"/>
  <c r="P319" i="7"/>
  <c r="O319" i="7"/>
  <c r="N319" i="7"/>
  <c r="M319" i="7"/>
  <c r="L319" i="7"/>
  <c r="K319" i="7"/>
  <c r="J319" i="7"/>
  <c r="I319" i="7"/>
  <c r="H319" i="7"/>
  <c r="G319" i="7"/>
  <c r="F319" i="7"/>
  <c r="E319" i="7"/>
  <c r="W318" i="7"/>
  <c r="V318" i="7"/>
  <c r="U318" i="7"/>
  <c r="T318" i="7"/>
  <c r="S318" i="7"/>
  <c r="R318" i="7"/>
  <c r="Q318" i="7"/>
  <c r="P318" i="7"/>
  <c r="O318" i="7"/>
  <c r="N318" i="7"/>
  <c r="M318" i="7"/>
  <c r="L318" i="7"/>
  <c r="K318" i="7"/>
  <c r="J318" i="7"/>
  <c r="I318" i="7"/>
  <c r="H318" i="7"/>
  <c r="G318" i="7"/>
  <c r="F318" i="7"/>
  <c r="E318" i="7"/>
  <c r="W317" i="7"/>
  <c r="V317" i="7"/>
  <c r="U317" i="7"/>
  <c r="T317" i="7"/>
  <c r="S317" i="7"/>
  <c r="R317" i="7"/>
  <c r="Q317" i="7"/>
  <c r="P317" i="7"/>
  <c r="O317" i="7"/>
  <c r="N317" i="7"/>
  <c r="M317" i="7"/>
  <c r="L317" i="7"/>
  <c r="K317" i="7"/>
  <c r="J317" i="7"/>
  <c r="I317" i="7"/>
  <c r="H317" i="7"/>
  <c r="G317" i="7"/>
  <c r="F317" i="7"/>
  <c r="E317" i="7"/>
  <c r="W316" i="7"/>
  <c r="V316" i="7"/>
  <c r="U316" i="7"/>
  <c r="T316" i="7"/>
  <c r="S316" i="7"/>
  <c r="R316" i="7"/>
  <c r="Q316" i="7"/>
  <c r="P316" i="7"/>
  <c r="O316" i="7"/>
  <c r="N316" i="7"/>
  <c r="M316" i="7"/>
  <c r="L316" i="7"/>
  <c r="K316" i="7"/>
  <c r="J316" i="7"/>
  <c r="I316" i="7"/>
  <c r="H316" i="7"/>
  <c r="G316" i="7"/>
  <c r="F316" i="7"/>
  <c r="E316" i="7"/>
  <c r="W315" i="7"/>
  <c r="V315" i="7"/>
  <c r="U315" i="7"/>
  <c r="T315" i="7"/>
  <c r="S315" i="7"/>
  <c r="R315" i="7"/>
  <c r="Q315" i="7"/>
  <c r="P315" i="7"/>
  <c r="O315" i="7"/>
  <c r="N315" i="7"/>
  <c r="M315" i="7"/>
  <c r="L315" i="7"/>
  <c r="K315" i="7"/>
  <c r="J315" i="7"/>
  <c r="I315" i="7"/>
  <c r="H315" i="7"/>
  <c r="G315" i="7"/>
  <c r="F315" i="7"/>
  <c r="E315" i="7"/>
  <c r="W314" i="7"/>
  <c r="V314" i="7"/>
  <c r="U314" i="7"/>
  <c r="T314" i="7"/>
  <c r="S314" i="7"/>
  <c r="R314" i="7"/>
  <c r="Q314" i="7"/>
  <c r="P314" i="7"/>
  <c r="O314" i="7"/>
  <c r="N314" i="7"/>
  <c r="M314" i="7"/>
  <c r="L314" i="7"/>
  <c r="K314" i="7"/>
  <c r="J314" i="7"/>
  <c r="I314" i="7"/>
  <c r="H314" i="7"/>
  <c r="G314" i="7"/>
  <c r="F314" i="7"/>
  <c r="E314" i="7"/>
  <c r="W313" i="7"/>
  <c r="V313" i="7"/>
  <c r="U313" i="7"/>
  <c r="T313" i="7"/>
  <c r="S313" i="7"/>
  <c r="R313" i="7"/>
  <c r="Q313" i="7"/>
  <c r="P313" i="7"/>
  <c r="O313" i="7"/>
  <c r="N313" i="7"/>
  <c r="M313" i="7"/>
  <c r="L313" i="7"/>
  <c r="K313" i="7"/>
  <c r="J313" i="7"/>
  <c r="I313" i="7"/>
  <c r="H313" i="7"/>
  <c r="G313" i="7"/>
  <c r="F313" i="7"/>
  <c r="E313" i="7"/>
  <c r="W312" i="7"/>
  <c r="V312" i="7"/>
  <c r="U312" i="7"/>
  <c r="T312" i="7"/>
  <c r="S312" i="7"/>
  <c r="R312" i="7"/>
  <c r="Q312" i="7"/>
  <c r="P312" i="7"/>
  <c r="O312" i="7"/>
  <c r="N312" i="7"/>
  <c r="M312" i="7"/>
  <c r="L312" i="7"/>
  <c r="K312" i="7"/>
  <c r="J312" i="7"/>
  <c r="I312" i="7"/>
  <c r="H312" i="7"/>
  <c r="G312" i="7"/>
  <c r="F312" i="7"/>
  <c r="E312" i="7"/>
  <c r="W311" i="7"/>
  <c r="V311" i="7"/>
  <c r="U311" i="7"/>
  <c r="T311" i="7"/>
  <c r="S311" i="7"/>
  <c r="R311" i="7"/>
  <c r="Q311" i="7"/>
  <c r="P311" i="7"/>
  <c r="O311" i="7"/>
  <c r="N311" i="7"/>
  <c r="M311" i="7"/>
  <c r="L311" i="7"/>
  <c r="K311" i="7"/>
  <c r="J311" i="7"/>
  <c r="I311" i="7"/>
  <c r="H311" i="7"/>
  <c r="G311" i="7"/>
  <c r="F311" i="7"/>
  <c r="E311" i="7"/>
  <c r="W310" i="7"/>
  <c r="V310" i="7"/>
  <c r="U310" i="7"/>
  <c r="T310" i="7"/>
  <c r="S310" i="7"/>
  <c r="R310" i="7"/>
  <c r="Q310" i="7"/>
  <c r="P310" i="7"/>
  <c r="O310" i="7"/>
  <c r="N310" i="7"/>
  <c r="M310" i="7"/>
  <c r="L310" i="7"/>
  <c r="K310" i="7"/>
  <c r="J310" i="7"/>
  <c r="I310" i="7"/>
  <c r="H310" i="7"/>
  <c r="G310" i="7"/>
  <c r="F310" i="7"/>
  <c r="E310" i="7"/>
  <c r="W309" i="7"/>
  <c r="V309" i="7"/>
  <c r="U309" i="7"/>
  <c r="T309" i="7"/>
  <c r="S309" i="7"/>
  <c r="R309" i="7"/>
  <c r="Q309" i="7"/>
  <c r="P309" i="7"/>
  <c r="O309" i="7"/>
  <c r="N309" i="7"/>
  <c r="M309" i="7"/>
  <c r="L309" i="7"/>
  <c r="K309" i="7"/>
  <c r="J309" i="7"/>
  <c r="I309" i="7"/>
  <c r="H309" i="7"/>
  <c r="G309" i="7"/>
  <c r="F309" i="7"/>
  <c r="E309" i="7"/>
  <c r="W308" i="7"/>
  <c r="V308" i="7"/>
  <c r="U308" i="7"/>
  <c r="T308" i="7"/>
  <c r="S308" i="7"/>
  <c r="R308" i="7"/>
  <c r="Q308" i="7"/>
  <c r="P308" i="7"/>
  <c r="O308" i="7"/>
  <c r="N308" i="7"/>
  <c r="M308" i="7"/>
  <c r="L308" i="7"/>
  <c r="K308" i="7"/>
  <c r="J308" i="7"/>
  <c r="I308" i="7"/>
  <c r="H308" i="7"/>
  <c r="G308" i="7"/>
  <c r="F308" i="7"/>
  <c r="E308" i="7"/>
  <c r="W307" i="7"/>
  <c r="V307" i="7"/>
  <c r="U307" i="7"/>
  <c r="T307" i="7"/>
  <c r="S307" i="7"/>
  <c r="R307" i="7"/>
  <c r="Q307" i="7"/>
  <c r="P307" i="7"/>
  <c r="O307" i="7"/>
  <c r="N307" i="7"/>
  <c r="M307" i="7"/>
  <c r="L307" i="7"/>
  <c r="K307" i="7"/>
  <c r="J307" i="7"/>
  <c r="I307" i="7"/>
  <c r="H307" i="7"/>
  <c r="G307" i="7"/>
  <c r="F307" i="7"/>
  <c r="E307" i="7"/>
  <c r="W306" i="7"/>
  <c r="V306" i="7"/>
  <c r="U306" i="7"/>
  <c r="T306" i="7"/>
  <c r="S306" i="7"/>
  <c r="R306" i="7"/>
  <c r="Q306" i="7"/>
  <c r="P306" i="7"/>
  <c r="O306" i="7"/>
  <c r="N306" i="7"/>
  <c r="M306" i="7"/>
  <c r="L306" i="7"/>
  <c r="K306" i="7"/>
  <c r="J306" i="7"/>
  <c r="I306" i="7"/>
  <c r="H306" i="7"/>
  <c r="G306" i="7"/>
  <c r="F306" i="7"/>
  <c r="E306" i="7"/>
  <c r="W305" i="7"/>
  <c r="V305" i="7"/>
  <c r="U305" i="7"/>
  <c r="T305" i="7"/>
  <c r="S305" i="7"/>
  <c r="R305" i="7"/>
  <c r="Q305" i="7"/>
  <c r="P305" i="7"/>
  <c r="O305" i="7"/>
  <c r="N305" i="7"/>
  <c r="M305" i="7"/>
  <c r="L305" i="7"/>
  <c r="K305" i="7"/>
  <c r="J305" i="7"/>
  <c r="I305" i="7"/>
  <c r="H305" i="7"/>
  <c r="G305" i="7"/>
  <c r="F305" i="7"/>
  <c r="E305" i="7"/>
  <c r="W304" i="7"/>
  <c r="V304" i="7"/>
  <c r="U304" i="7"/>
  <c r="T304" i="7"/>
  <c r="S304" i="7"/>
  <c r="R304" i="7"/>
  <c r="Q304" i="7"/>
  <c r="P304" i="7"/>
  <c r="O304" i="7"/>
  <c r="N304" i="7"/>
  <c r="M304" i="7"/>
  <c r="L304" i="7"/>
  <c r="K304" i="7"/>
  <c r="J304" i="7"/>
  <c r="I304" i="7"/>
  <c r="H304" i="7"/>
  <c r="G304" i="7"/>
  <c r="F304" i="7"/>
  <c r="E304" i="7"/>
  <c r="W303" i="7"/>
  <c r="V303" i="7"/>
  <c r="U303" i="7"/>
  <c r="T303" i="7"/>
  <c r="S303" i="7"/>
  <c r="R303" i="7"/>
  <c r="Q303" i="7"/>
  <c r="P303" i="7"/>
  <c r="O303" i="7"/>
  <c r="N303" i="7"/>
  <c r="M303" i="7"/>
  <c r="L303" i="7"/>
  <c r="K303" i="7"/>
  <c r="J303" i="7"/>
  <c r="I303" i="7"/>
  <c r="H303" i="7"/>
  <c r="G303" i="7"/>
  <c r="F303" i="7"/>
  <c r="E303" i="7"/>
  <c r="W302" i="7"/>
  <c r="V302" i="7"/>
  <c r="U302" i="7"/>
  <c r="T302" i="7"/>
  <c r="S302" i="7"/>
  <c r="R302" i="7"/>
  <c r="Q302" i="7"/>
  <c r="P302" i="7"/>
  <c r="O302" i="7"/>
  <c r="N302" i="7"/>
  <c r="M302" i="7"/>
  <c r="L302" i="7"/>
  <c r="K302" i="7"/>
  <c r="J302" i="7"/>
  <c r="I302" i="7"/>
  <c r="H302" i="7"/>
  <c r="G302" i="7"/>
  <c r="F302" i="7"/>
  <c r="E302" i="7"/>
  <c r="W301" i="7"/>
  <c r="V301" i="7"/>
  <c r="U301" i="7"/>
  <c r="T301" i="7"/>
  <c r="S301" i="7"/>
  <c r="R301" i="7"/>
  <c r="Q301" i="7"/>
  <c r="P301" i="7"/>
  <c r="O301" i="7"/>
  <c r="N301" i="7"/>
  <c r="M301" i="7"/>
  <c r="L301" i="7"/>
  <c r="K301" i="7"/>
  <c r="J301" i="7"/>
  <c r="I301" i="7"/>
  <c r="H301" i="7"/>
  <c r="G301" i="7"/>
  <c r="F301" i="7"/>
  <c r="E301" i="7"/>
  <c r="W300" i="7"/>
  <c r="V300" i="7"/>
  <c r="U300" i="7"/>
  <c r="T300" i="7"/>
  <c r="S300" i="7"/>
  <c r="R300" i="7"/>
  <c r="Q300" i="7"/>
  <c r="P300" i="7"/>
  <c r="O300" i="7"/>
  <c r="N300" i="7"/>
  <c r="M300" i="7"/>
  <c r="L300" i="7"/>
  <c r="K300" i="7"/>
  <c r="J300" i="7"/>
  <c r="I300" i="7"/>
  <c r="H300" i="7"/>
  <c r="G300" i="7"/>
  <c r="F300" i="7"/>
  <c r="E300" i="7"/>
  <c r="W299" i="7"/>
  <c r="V299" i="7"/>
  <c r="U299" i="7"/>
  <c r="T299" i="7"/>
  <c r="S299" i="7"/>
  <c r="R299" i="7"/>
  <c r="Q299" i="7"/>
  <c r="P299" i="7"/>
  <c r="O299" i="7"/>
  <c r="N299" i="7"/>
  <c r="M299" i="7"/>
  <c r="L299" i="7"/>
  <c r="K299" i="7"/>
  <c r="J299" i="7"/>
  <c r="I299" i="7"/>
  <c r="H299" i="7"/>
  <c r="G299" i="7"/>
  <c r="F299" i="7"/>
  <c r="E299" i="7"/>
  <c r="W298" i="7"/>
  <c r="V298" i="7"/>
  <c r="U298" i="7"/>
  <c r="T298" i="7"/>
  <c r="S298" i="7"/>
  <c r="R298" i="7"/>
  <c r="Q298" i="7"/>
  <c r="P298" i="7"/>
  <c r="O298" i="7"/>
  <c r="N298" i="7"/>
  <c r="M298" i="7"/>
  <c r="L298" i="7"/>
  <c r="K298" i="7"/>
  <c r="J298" i="7"/>
  <c r="I298" i="7"/>
  <c r="H298" i="7"/>
  <c r="G298" i="7"/>
  <c r="F298" i="7"/>
  <c r="E298" i="7"/>
  <c r="W297" i="7"/>
  <c r="V297" i="7"/>
  <c r="U297" i="7"/>
  <c r="T297" i="7"/>
  <c r="S297" i="7"/>
  <c r="R297" i="7"/>
  <c r="Q297" i="7"/>
  <c r="P297" i="7"/>
  <c r="O297" i="7"/>
  <c r="N297" i="7"/>
  <c r="M297" i="7"/>
  <c r="L297" i="7"/>
  <c r="K297" i="7"/>
  <c r="J297" i="7"/>
  <c r="I297" i="7"/>
  <c r="H297" i="7"/>
  <c r="G297" i="7"/>
  <c r="F297" i="7"/>
  <c r="E297" i="7"/>
  <c r="W296" i="7"/>
  <c r="V296" i="7"/>
  <c r="U296" i="7"/>
  <c r="T296" i="7"/>
  <c r="S296" i="7"/>
  <c r="R296" i="7"/>
  <c r="Q296" i="7"/>
  <c r="P296" i="7"/>
  <c r="O296" i="7"/>
  <c r="N296" i="7"/>
  <c r="M296" i="7"/>
  <c r="L296" i="7"/>
  <c r="K296" i="7"/>
  <c r="J296" i="7"/>
  <c r="I296" i="7"/>
  <c r="H296" i="7"/>
  <c r="G296" i="7"/>
  <c r="F296" i="7"/>
  <c r="E296" i="7"/>
  <c r="W295" i="7"/>
  <c r="V295" i="7"/>
  <c r="U295" i="7"/>
  <c r="T295" i="7"/>
  <c r="S295" i="7"/>
  <c r="R295" i="7"/>
  <c r="Q295" i="7"/>
  <c r="P295" i="7"/>
  <c r="O295" i="7"/>
  <c r="N295" i="7"/>
  <c r="M295" i="7"/>
  <c r="L295" i="7"/>
  <c r="K295" i="7"/>
  <c r="J295" i="7"/>
  <c r="I295" i="7"/>
  <c r="H295" i="7"/>
  <c r="G295" i="7"/>
  <c r="F295" i="7"/>
  <c r="E295" i="7"/>
  <c r="W294" i="7"/>
  <c r="V294" i="7"/>
  <c r="U294" i="7"/>
  <c r="T294" i="7"/>
  <c r="S294" i="7"/>
  <c r="R294" i="7"/>
  <c r="Q294" i="7"/>
  <c r="P294" i="7"/>
  <c r="O294" i="7"/>
  <c r="N294" i="7"/>
  <c r="M294" i="7"/>
  <c r="L294" i="7"/>
  <c r="K294" i="7"/>
  <c r="J294" i="7"/>
  <c r="I294" i="7"/>
  <c r="H294" i="7"/>
  <c r="G294" i="7"/>
  <c r="F294" i="7"/>
  <c r="E294" i="7"/>
  <c r="W293" i="7"/>
  <c r="V293" i="7"/>
  <c r="U293" i="7"/>
  <c r="T293" i="7"/>
  <c r="S293" i="7"/>
  <c r="R293" i="7"/>
  <c r="Q293" i="7"/>
  <c r="P293" i="7"/>
  <c r="O293" i="7"/>
  <c r="N293" i="7"/>
  <c r="M293" i="7"/>
  <c r="L293" i="7"/>
  <c r="K293" i="7"/>
  <c r="J293" i="7"/>
  <c r="I293" i="7"/>
  <c r="H293" i="7"/>
  <c r="G293" i="7"/>
  <c r="F293" i="7"/>
  <c r="E293" i="7"/>
  <c r="W292" i="7"/>
  <c r="V292" i="7"/>
  <c r="U292" i="7"/>
  <c r="T292" i="7"/>
  <c r="S292" i="7"/>
  <c r="R292" i="7"/>
  <c r="Q292" i="7"/>
  <c r="P292" i="7"/>
  <c r="O292" i="7"/>
  <c r="N292" i="7"/>
  <c r="M292" i="7"/>
  <c r="L292" i="7"/>
  <c r="K292" i="7"/>
  <c r="J292" i="7"/>
  <c r="I292" i="7"/>
  <c r="H292" i="7"/>
  <c r="G292" i="7"/>
  <c r="F292" i="7"/>
  <c r="E292" i="7"/>
  <c r="W291" i="7"/>
  <c r="V291" i="7"/>
  <c r="U291" i="7"/>
  <c r="T291" i="7"/>
  <c r="S291" i="7"/>
  <c r="R291" i="7"/>
  <c r="Q291" i="7"/>
  <c r="P291" i="7"/>
  <c r="O291" i="7"/>
  <c r="N291" i="7"/>
  <c r="M291" i="7"/>
  <c r="L291" i="7"/>
  <c r="K291" i="7"/>
  <c r="J291" i="7"/>
  <c r="I291" i="7"/>
  <c r="H291" i="7"/>
  <c r="G291" i="7"/>
  <c r="F291" i="7"/>
  <c r="E291" i="7"/>
  <c r="W290" i="7"/>
  <c r="V290" i="7"/>
  <c r="U290" i="7"/>
  <c r="T290" i="7"/>
  <c r="S290" i="7"/>
  <c r="R290" i="7"/>
  <c r="Q290" i="7"/>
  <c r="P290" i="7"/>
  <c r="O290" i="7"/>
  <c r="N290" i="7"/>
  <c r="M290" i="7"/>
  <c r="L290" i="7"/>
  <c r="K290" i="7"/>
  <c r="J290" i="7"/>
  <c r="I290" i="7"/>
  <c r="H290" i="7"/>
  <c r="G290" i="7"/>
  <c r="F290" i="7"/>
  <c r="E290" i="7"/>
  <c r="W289" i="7"/>
  <c r="V289" i="7"/>
  <c r="U289" i="7"/>
  <c r="T289" i="7"/>
  <c r="S289" i="7"/>
  <c r="R289" i="7"/>
  <c r="Q289" i="7"/>
  <c r="P289" i="7"/>
  <c r="O289" i="7"/>
  <c r="N289" i="7"/>
  <c r="M289" i="7"/>
  <c r="L289" i="7"/>
  <c r="K289" i="7"/>
  <c r="J289" i="7"/>
  <c r="I289" i="7"/>
  <c r="H289" i="7"/>
  <c r="G289" i="7"/>
  <c r="F289" i="7"/>
  <c r="E289" i="7"/>
  <c r="W288" i="7"/>
  <c r="V288" i="7"/>
  <c r="U288" i="7"/>
  <c r="T288" i="7"/>
  <c r="S288" i="7"/>
  <c r="R288" i="7"/>
  <c r="Q288" i="7"/>
  <c r="P288" i="7"/>
  <c r="O288" i="7"/>
  <c r="N288" i="7"/>
  <c r="M288" i="7"/>
  <c r="L288" i="7"/>
  <c r="K288" i="7"/>
  <c r="J288" i="7"/>
  <c r="I288" i="7"/>
  <c r="H288" i="7"/>
  <c r="G288" i="7"/>
  <c r="F288" i="7"/>
  <c r="E288" i="7"/>
  <c r="W287" i="7"/>
  <c r="V287" i="7"/>
  <c r="U287" i="7"/>
  <c r="T287" i="7"/>
  <c r="S287" i="7"/>
  <c r="R287" i="7"/>
  <c r="Q287" i="7"/>
  <c r="P287" i="7"/>
  <c r="O287" i="7"/>
  <c r="N287" i="7"/>
  <c r="M287" i="7"/>
  <c r="L287" i="7"/>
  <c r="K287" i="7"/>
  <c r="J287" i="7"/>
  <c r="I287" i="7"/>
  <c r="H287" i="7"/>
  <c r="G287" i="7"/>
  <c r="F287" i="7"/>
  <c r="E287" i="7"/>
  <c r="W286" i="7"/>
  <c r="V286" i="7"/>
  <c r="U286" i="7"/>
  <c r="T286" i="7"/>
  <c r="S286" i="7"/>
  <c r="R286" i="7"/>
  <c r="Q286" i="7"/>
  <c r="P286" i="7"/>
  <c r="O286" i="7"/>
  <c r="N286" i="7"/>
  <c r="M286" i="7"/>
  <c r="L286" i="7"/>
  <c r="K286" i="7"/>
  <c r="J286" i="7"/>
  <c r="I286" i="7"/>
  <c r="H286" i="7"/>
  <c r="G286" i="7"/>
  <c r="F286" i="7"/>
  <c r="E286" i="7"/>
  <c r="W285" i="7"/>
  <c r="V285" i="7"/>
  <c r="U285" i="7"/>
  <c r="T285" i="7"/>
  <c r="S285" i="7"/>
  <c r="R285" i="7"/>
  <c r="Q285" i="7"/>
  <c r="P285" i="7"/>
  <c r="O285" i="7"/>
  <c r="N285" i="7"/>
  <c r="M285" i="7"/>
  <c r="L285" i="7"/>
  <c r="K285" i="7"/>
  <c r="J285" i="7"/>
  <c r="I285" i="7"/>
  <c r="H285" i="7"/>
  <c r="G285" i="7"/>
  <c r="F285" i="7"/>
  <c r="E285" i="7"/>
  <c r="W284" i="7"/>
  <c r="V284" i="7"/>
  <c r="U284" i="7"/>
  <c r="T284" i="7"/>
  <c r="S284" i="7"/>
  <c r="R284" i="7"/>
  <c r="Q284" i="7"/>
  <c r="P284" i="7"/>
  <c r="O284" i="7"/>
  <c r="N284" i="7"/>
  <c r="M284" i="7"/>
  <c r="L284" i="7"/>
  <c r="K284" i="7"/>
  <c r="J284" i="7"/>
  <c r="I284" i="7"/>
  <c r="H284" i="7"/>
  <c r="G284" i="7"/>
  <c r="F284" i="7"/>
  <c r="E284" i="7"/>
  <c r="W283" i="7"/>
  <c r="V283" i="7"/>
  <c r="U283" i="7"/>
  <c r="T283" i="7"/>
  <c r="S283" i="7"/>
  <c r="R283" i="7"/>
  <c r="Q283" i="7"/>
  <c r="P283" i="7"/>
  <c r="O283" i="7"/>
  <c r="N283" i="7"/>
  <c r="M283" i="7"/>
  <c r="L283" i="7"/>
  <c r="K283" i="7"/>
  <c r="J283" i="7"/>
  <c r="I283" i="7"/>
  <c r="H283" i="7"/>
  <c r="G283" i="7"/>
  <c r="F283" i="7"/>
  <c r="E283" i="7"/>
  <c r="W281" i="7"/>
  <c r="V281" i="7"/>
  <c r="U281" i="7"/>
  <c r="T281" i="7"/>
  <c r="S281" i="7"/>
  <c r="R281" i="7"/>
  <c r="Q281" i="7"/>
  <c r="P281" i="7"/>
  <c r="O281" i="7"/>
  <c r="N281" i="7"/>
  <c r="M281" i="7"/>
  <c r="L281" i="7"/>
  <c r="K281" i="7"/>
  <c r="J281" i="7"/>
  <c r="I281" i="7"/>
  <c r="H281" i="7"/>
  <c r="G281" i="7"/>
  <c r="F281" i="7"/>
  <c r="E281" i="7"/>
  <c r="W280" i="7"/>
  <c r="V280" i="7"/>
  <c r="U280" i="7"/>
  <c r="T280" i="7"/>
  <c r="S280" i="7"/>
  <c r="R280" i="7"/>
  <c r="Q280" i="7"/>
  <c r="P280" i="7"/>
  <c r="O280" i="7"/>
  <c r="N280" i="7"/>
  <c r="M280" i="7"/>
  <c r="L280" i="7"/>
  <c r="K280" i="7"/>
  <c r="J280" i="7"/>
  <c r="I280" i="7"/>
  <c r="H280" i="7"/>
  <c r="G280" i="7"/>
  <c r="F280" i="7"/>
  <c r="E280" i="7"/>
  <c r="W279" i="7"/>
  <c r="V279" i="7"/>
  <c r="U279" i="7"/>
  <c r="T279" i="7"/>
  <c r="S279" i="7"/>
  <c r="R279" i="7"/>
  <c r="Q279" i="7"/>
  <c r="P279" i="7"/>
  <c r="O279" i="7"/>
  <c r="N279" i="7"/>
  <c r="M279" i="7"/>
  <c r="L279" i="7"/>
  <c r="K279" i="7"/>
  <c r="J279" i="7"/>
  <c r="I279" i="7"/>
  <c r="H279" i="7"/>
  <c r="G279" i="7"/>
  <c r="F279" i="7"/>
  <c r="E279" i="7"/>
  <c r="W278" i="7"/>
  <c r="V278" i="7"/>
  <c r="U278" i="7"/>
  <c r="T278" i="7"/>
  <c r="S278" i="7"/>
  <c r="R278" i="7"/>
  <c r="Q278" i="7"/>
  <c r="P278" i="7"/>
  <c r="O278" i="7"/>
  <c r="N278" i="7"/>
  <c r="M278" i="7"/>
  <c r="L278" i="7"/>
  <c r="K278" i="7"/>
  <c r="J278" i="7"/>
  <c r="I278" i="7"/>
  <c r="H278" i="7"/>
  <c r="G278" i="7"/>
  <c r="F278" i="7"/>
  <c r="E278" i="7"/>
  <c r="W277" i="7"/>
  <c r="V277" i="7"/>
  <c r="U277" i="7"/>
  <c r="T277" i="7"/>
  <c r="S277" i="7"/>
  <c r="R277" i="7"/>
  <c r="Q277" i="7"/>
  <c r="P277" i="7"/>
  <c r="O277" i="7"/>
  <c r="N277" i="7"/>
  <c r="M277" i="7"/>
  <c r="L277" i="7"/>
  <c r="K277" i="7"/>
  <c r="J277" i="7"/>
  <c r="I277" i="7"/>
  <c r="H277" i="7"/>
  <c r="G277" i="7"/>
  <c r="F277" i="7"/>
  <c r="E277" i="7"/>
  <c r="W276" i="7"/>
  <c r="V276" i="7"/>
  <c r="U276" i="7"/>
  <c r="T276" i="7"/>
  <c r="S276" i="7"/>
  <c r="R276" i="7"/>
  <c r="Q276" i="7"/>
  <c r="P276" i="7"/>
  <c r="O276" i="7"/>
  <c r="N276" i="7"/>
  <c r="M276" i="7"/>
  <c r="L276" i="7"/>
  <c r="K276" i="7"/>
  <c r="J276" i="7"/>
  <c r="I276" i="7"/>
  <c r="H276" i="7"/>
  <c r="G276" i="7"/>
  <c r="F276" i="7"/>
  <c r="E276" i="7"/>
  <c r="W275" i="7"/>
  <c r="V275" i="7"/>
  <c r="U275" i="7"/>
  <c r="T275" i="7"/>
  <c r="S275" i="7"/>
  <c r="R275" i="7"/>
  <c r="Q275" i="7"/>
  <c r="P275" i="7"/>
  <c r="O275" i="7"/>
  <c r="N275" i="7"/>
  <c r="M275" i="7"/>
  <c r="L275" i="7"/>
  <c r="K275" i="7"/>
  <c r="J275" i="7"/>
  <c r="I275" i="7"/>
  <c r="H275" i="7"/>
  <c r="G275" i="7"/>
  <c r="F275" i="7"/>
  <c r="E275" i="7"/>
  <c r="W274" i="7"/>
  <c r="V274" i="7"/>
  <c r="U274" i="7"/>
  <c r="T274" i="7"/>
  <c r="S274" i="7"/>
  <c r="R274" i="7"/>
  <c r="Q274" i="7"/>
  <c r="P274" i="7"/>
  <c r="O274" i="7"/>
  <c r="N274" i="7"/>
  <c r="M274" i="7"/>
  <c r="L274" i="7"/>
  <c r="K274" i="7"/>
  <c r="J274" i="7"/>
  <c r="I274" i="7"/>
  <c r="H274" i="7"/>
  <c r="G274" i="7"/>
  <c r="F274" i="7"/>
  <c r="E274" i="7"/>
  <c r="W273" i="7"/>
  <c r="V273" i="7"/>
  <c r="U273" i="7"/>
  <c r="T273" i="7"/>
  <c r="S273" i="7"/>
  <c r="R273" i="7"/>
  <c r="Q273" i="7"/>
  <c r="P273" i="7"/>
  <c r="O273" i="7"/>
  <c r="N273" i="7"/>
  <c r="M273" i="7"/>
  <c r="L273" i="7"/>
  <c r="K273" i="7"/>
  <c r="J273" i="7"/>
  <c r="I273" i="7"/>
  <c r="H273" i="7"/>
  <c r="G273" i="7"/>
  <c r="F273" i="7"/>
  <c r="E273" i="7"/>
  <c r="W272" i="7"/>
  <c r="V272" i="7"/>
  <c r="U272" i="7"/>
  <c r="T272" i="7"/>
  <c r="S272" i="7"/>
  <c r="R272" i="7"/>
  <c r="Q272" i="7"/>
  <c r="P272" i="7"/>
  <c r="O272" i="7"/>
  <c r="N272" i="7"/>
  <c r="M272" i="7"/>
  <c r="L272" i="7"/>
  <c r="K272" i="7"/>
  <c r="J272" i="7"/>
  <c r="I272" i="7"/>
  <c r="H272" i="7"/>
  <c r="G272" i="7"/>
  <c r="F272" i="7"/>
  <c r="E272" i="7"/>
  <c r="W271" i="7"/>
  <c r="V271" i="7"/>
  <c r="U271" i="7"/>
  <c r="T271" i="7"/>
  <c r="S271" i="7"/>
  <c r="R271" i="7"/>
  <c r="Q271" i="7"/>
  <c r="P271" i="7"/>
  <c r="O271" i="7"/>
  <c r="N271" i="7"/>
  <c r="M271" i="7"/>
  <c r="L271" i="7"/>
  <c r="K271" i="7"/>
  <c r="J271" i="7"/>
  <c r="I271" i="7"/>
  <c r="H271" i="7"/>
  <c r="G271" i="7"/>
  <c r="F271" i="7"/>
  <c r="E271" i="7"/>
  <c r="W270" i="7"/>
  <c r="V270" i="7"/>
  <c r="U270" i="7"/>
  <c r="T270" i="7"/>
  <c r="S270" i="7"/>
  <c r="R270" i="7"/>
  <c r="Q270" i="7"/>
  <c r="P270" i="7"/>
  <c r="O270" i="7"/>
  <c r="N270" i="7"/>
  <c r="M270" i="7"/>
  <c r="L270" i="7"/>
  <c r="K270" i="7"/>
  <c r="J270" i="7"/>
  <c r="I270" i="7"/>
  <c r="H270" i="7"/>
  <c r="G270" i="7"/>
  <c r="F270" i="7"/>
  <c r="E270" i="7"/>
  <c r="W269" i="7"/>
  <c r="V269" i="7"/>
  <c r="U269" i="7"/>
  <c r="T269" i="7"/>
  <c r="S269" i="7"/>
  <c r="R269" i="7"/>
  <c r="Q269" i="7"/>
  <c r="P269" i="7"/>
  <c r="O269" i="7"/>
  <c r="N269" i="7"/>
  <c r="M269" i="7"/>
  <c r="L269" i="7"/>
  <c r="K269" i="7"/>
  <c r="J269" i="7"/>
  <c r="I269" i="7"/>
  <c r="H269" i="7"/>
  <c r="G269" i="7"/>
  <c r="F269" i="7"/>
  <c r="E269" i="7"/>
  <c r="W268" i="7"/>
  <c r="V268" i="7"/>
  <c r="U268" i="7"/>
  <c r="T268" i="7"/>
  <c r="S268" i="7"/>
  <c r="R268" i="7"/>
  <c r="Q268" i="7"/>
  <c r="P268" i="7"/>
  <c r="O268" i="7"/>
  <c r="N268" i="7"/>
  <c r="M268" i="7"/>
  <c r="L268" i="7"/>
  <c r="K268" i="7"/>
  <c r="J268" i="7"/>
  <c r="I268" i="7"/>
  <c r="H268" i="7"/>
  <c r="G268" i="7"/>
  <c r="F268" i="7"/>
  <c r="E268" i="7"/>
  <c r="W267" i="7"/>
  <c r="V267" i="7"/>
  <c r="U267" i="7"/>
  <c r="T267" i="7"/>
  <c r="S267" i="7"/>
  <c r="R267" i="7"/>
  <c r="Q267" i="7"/>
  <c r="P267" i="7"/>
  <c r="O267" i="7"/>
  <c r="N267" i="7"/>
  <c r="M267" i="7"/>
  <c r="L267" i="7"/>
  <c r="K267" i="7"/>
  <c r="J267" i="7"/>
  <c r="I267" i="7"/>
  <c r="H267" i="7"/>
  <c r="G267" i="7"/>
  <c r="F267" i="7"/>
  <c r="E267" i="7"/>
  <c r="W266" i="7"/>
  <c r="V266" i="7"/>
  <c r="U266" i="7"/>
  <c r="T266" i="7"/>
  <c r="S266" i="7"/>
  <c r="R266" i="7"/>
  <c r="Q266" i="7"/>
  <c r="P266" i="7"/>
  <c r="O266" i="7"/>
  <c r="N266" i="7"/>
  <c r="M266" i="7"/>
  <c r="L266" i="7"/>
  <c r="K266" i="7"/>
  <c r="J266" i="7"/>
  <c r="I266" i="7"/>
  <c r="H266" i="7"/>
  <c r="G266" i="7"/>
  <c r="F266" i="7"/>
  <c r="E266" i="7"/>
  <c r="W265" i="7"/>
  <c r="V265" i="7"/>
  <c r="U265" i="7"/>
  <c r="T265" i="7"/>
  <c r="S265" i="7"/>
  <c r="R265" i="7"/>
  <c r="Q265" i="7"/>
  <c r="P265" i="7"/>
  <c r="O265" i="7"/>
  <c r="N265" i="7"/>
  <c r="M265" i="7"/>
  <c r="L265" i="7"/>
  <c r="K265" i="7"/>
  <c r="J265" i="7"/>
  <c r="I265" i="7"/>
  <c r="H265" i="7"/>
  <c r="G265" i="7"/>
  <c r="F265" i="7"/>
  <c r="E265" i="7"/>
  <c r="W264" i="7"/>
  <c r="V264" i="7"/>
  <c r="U264" i="7"/>
  <c r="T264" i="7"/>
  <c r="S264" i="7"/>
  <c r="R264" i="7"/>
  <c r="Q264" i="7"/>
  <c r="P264" i="7"/>
  <c r="O264" i="7"/>
  <c r="N264" i="7"/>
  <c r="M264" i="7"/>
  <c r="L264" i="7"/>
  <c r="K264" i="7"/>
  <c r="J264" i="7"/>
  <c r="I264" i="7"/>
  <c r="H264" i="7"/>
  <c r="G264" i="7"/>
  <c r="F264" i="7"/>
  <c r="E264" i="7"/>
  <c r="W263" i="7"/>
  <c r="V263" i="7"/>
  <c r="U263" i="7"/>
  <c r="T263" i="7"/>
  <c r="S263" i="7"/>
  <c r="R263" i="7"/>
  <c r="Q263" i="7"/>
  <c r="P263" i="7"/>
  <c r="O263" i="7"/>
  <c r="N263" i="7"/>
  <c r="M263" i="7"/>
  <c r="L263" i="7"/>
  <c r="K263" i="7"/>
  <c r="J263" i="7"/>
  <c r="I263" i="7"/>
  <c r="H263" i="7"/>
  <c r="G263" i="7"/>
  <c r="F263" i="7"/>
  <c r="E263" i="7"/>
  <c r="W262" i="7"/>
  <c r="V262" i="7"/>
  <c r="U262" i="7"/>
  <c r="T262" i="7"/>
  <c r="S262" i="7"/>
  <c r="R262" i="7"/>
  <c r="Q262" i="7"/>
  <c r="P262" i="7"/>
  <c r="O262" i="7"/>
  <c r="N262" i="7"/>
  <c r="M262" i="7"/>
  <c r="L262" i="7"/>
  <c r="K262" i="7"/>
  <c r="J262" i="7"/>
  <c r="I262" i="7"/>
  <c r="H262" i="7"/>
  <c r="G262" i="7"/>
  <c r="F262" i="7"/>
  <c r="E262" i="7"/>
  <c r="W261" i="7"/>
  <c r="V261" i="7"/>
  <c r="U261" i="7"/>
  <c r="T261" i="7"/>
  <c r="S261" i="7"/>
  <c r="R261" i="7"/>
  <c r="Q261" i="7"/>
  <c r="P261" i="7"/>
  <c r="O261" i="7"/>
  <c r="N261" i="7"/>
  <c r="M261" i="7"/>
  <c r="L261" i="7"/>
  <c r="K261" i="7"/>
  <c r="J261" i="7"/>
  <c r="I261" i="7"/>
  <c r="H261" i="7"/>
  <c r="G261" i="7"/>
  <c r="F261" i="7"/>
  <c r="E261" i="7"/>
  <c r="W260" i="7"/>
  <c r="V260" i="7"/>
  <c r="U260" i="7"/>
  <c r="T260" i="7"/>
  <c r="S260" i="7"/>
  <c r="R260" i="7"/>
  <c r="Q260" i="7"/>
  <c r="P260" i="7"/>
  <c r="O260" i="7"/>
  <c r="N260" i="7"/>
  <c r="M260" i="7"/>
  <c r="L260" i="7"/>
  <c r="K260" i="7"/>
  <c r="J260" i="7"/>
  <c r="I260" i="7"/>
  <c r="H260" i="7"/>
  <c r="G260" i="7"/>
  <c r="F260" i="7"/>
  <c r="E260" i="7"/>
  <c r="W259" i="7"/>
  <c r="V259" i="7"/>
  <c r="U259" i="7"/>
  <c r="T259" i="7"/>
  <c r="S259" i="7"/>
  <c r="R259" i="7"/>
  <c r="Q259" i="7"/>
  <c r="P259" i="7"/>
  <c r="O259" i="7"/>
  <c r="N259" i="7"/>
  <c r="M259" i="7"/>
  <c r="L259" i="7"/>
  <c r="K259" i="7"/>
  <c r="J259" i="7"/>
  <c r="I259" i="7"/>
  <c r="H259" i="7"/>
  <c r="G259" i="7"/>
  <c r="F259" i="7"/>
  <c r="E259" i="7"/>
  <c r="W258" i="7"/>
  <c r="V258" i="7"/>
  <c r="U258" i="7"/>
  <c r="T258" i="7"/>
  <c r="S258" i="7"/>
  <c r="R258" i="7"/>
  <c r="Q258" i="7"/>
  <c r="P258" i="7"/>
  <c r="O258" i="7"/>
  <c r="N258" i="7"/>
  <c r="M258" i="7"/>
  <c r="L258" i="7"/>
  <c r="K258" i="7"/>
  <c r="J258" i="7"/>
  <c r="I258" i="7"/>
  <c r="H258" i="7"/>
  <c r="G258" i="7"/>
  <c r="F258" i="7"/>
  <c r="E258" i="7"/>
  <c r="W257" i="7"/>
  <c r="V257" i="7"/>
  <c r="U257" i="7"/>
  <c r="T257" i="7"/>
  <c r="S257" i="7"/>
  <c r="R257" i="7"/>
  <c r="Q257" i="7"/>
  <c r="P257" i="7"/>
  <c r="O257" i="7"/>
  <c r="N257" i="7"/>
  <c r="M257" i="7"/>
  <c r="L257" i="7"/>
  <c r="K257" i="7"/>
  <c r="J257" i="7"/>
  <c r="I257" i="7"/>
  <c r="H257" i="7"/>
  <c r="G257" i="7"/>
  <c r="F257" i="7"/>
  <c r="E257" i="7"/>
  <c r="W256" i="7"/>
  <c r="V256" i="7"/>
  <c r="U256" i="7"/>
  <c r="T256" i="7"/>
  <c r="S256" i="7"/>
  <c r="R256" i="7"/>
  <c r="Q256" i="7"/>
  <c r="P256" i="7"/>
  <c r="O256" i="7"/>
  <c r="N256" i="7"/>
  <c r="M256" i="7"/>
  <c r="L256" i="7"/>
  <c r="K256" i="7"/>
  <c r="J256" i="7"/>
  <c r="I256" i="7"/>
  <c r="H256" i="7"/>
  <c r="G256" i="7"/>
  <c r="F256" i="7"/>
  <c r="E256" i="7"/>
  <c r="W255" i="7"/>
  <c r="V255" i="7"/>
  <c r="U255" i="7"/>
  <c r="T255" i="7"/>
  <c r="S255" i="7"/>
  <c r="R255" i="7"/>
  <c r="Q255" i="7"/>
  <c r="P255" i="7"/>
  <c r="O255" i="7"/>
  <c r="N255" i="7"/>
  <c r="M255" i="7"/>
  <c r="L255" i="7"/>
  <c r="K255" i="7"/>
  <c r="J255" i="7"/>
  <c r="I255" i="7"/>
  <c r="H255" i="7"/>
  <c r="G255" i="7"/>
  <c r="F255" i="7"/>
  <c r="E255" i="7"/>
  <c r="W254" i="7"/>
  <c r="V254" i="7"/>
  <c r="U254" i="7"/>
  <c r="T254" i="7"/>
  <c r="S254" i="7"/>
  <c r="R254" i="7"/>
  <c r="Q254" i="7"/>
  <c r="P254" i="7"/>
  <c r="O254" i="7"/>
  <c r="N254" i="7"/>
  <c r="M254" i="7"/>
  <c r="L254" i="7"/>
  <c r="K254" i="7"/>
  <c r="J254" i="7"/>
  <c r="I254" i="7"/>
  <c r="H254" i="7"/>
  <c r="G254" i="7"/>
  <c r="F254" i="7"/>
  <c r="E254" i="7"/>
  <c r="W253" i="7"/>
  <c r="V253" i="7"/>
  <c r="U253" i="7"/>
  <c r="T253" i="7"/>
  <c r="S253" i="7"/>
  <c r="R253" i="7"/>
  <c r="Q253" i="7"/>
  <c r="P253" i="7"/>
  <c r="O253" i="7"/>
  <c r="N253" i="7"/>
  <c r="M253" i="7"/>
  <c r="L253" i="7"/>
  <c r="K253" i="7"/>
  <c r="J253" i="7"/>
  <c r="I253" i="7"/>
  <c r="H253" i="7"/>
  <c r="G253" i="7"/>
  <c r="F253" i="7"/>
  <c r="E253" i="7"/>
  <c r="W252" i="7"/>
  <c r="V252" i="7"/>
  <c r="U252" i="7"/>
  <c r="T252" i="7"/>
  <c r="S252" i="7"/>
  <c r="R252" i="7"/>
  <c r="Q252" i="7"/>
  <c r="P252" i="7"/>
  <c r="O252" i="7"/>
  <c r="N252" i="7"/>
  <c r="M252" i="7"/>
  <c r="L252" i="7"/>
  <c r="K252" i="7"/>
  <c r="J252" i="7"/>
  <c r="I252" i="7"/>
  <c r="H252" i="7"/>
  <c r="G252" i="7"/>
  <c r="F252" i="7"/>
  <c r="E252" i="7"/>
  <c r="W251" i="7"/>
  <c r="V251" i="7"/>
  <c r="U251" i="7"/>
  <c r="T251" i="7"/>
  <c r="S251" i="7"/>
  <c r="R251" i="7"/>
  <c r="Q251" i="7"/>
  <c r="P251" i="7"/>
  <c r="O251" i="7"/>
  <c r="N251" i="7"/>
  <c r="M251" i="7"/>
  <c r="L251" i="7"/>
  <c r="K251" i="7"/>
  <c r="J251" i="7"/>
  <c r="I251" i="7"/>
  <c r="H251" i="7"/>
  <c r="G251" i="7"/>
  <c r="F251" i="7"/>
  <c r="E251" i="7"/>
  <c r="W250" i="7"/>
  <c r="V250" i="7"/>
  <c r="U250" i="7"/>
  <c r="T250" i="7"/>
  <c r="S250" i="7"/>
  <c r="R250" i="7"/>
  <c r="Q250" i="7"/>
  <c r="P250" i="7"/>
  <c r="O250" i="7"/>
  <c r="N250" i="7"/>
  <c r="M250" i="7"/>
  <c r="L250" i="7"/>
  <c r="K250" i="7"/>
  <c r="J250" i="7"/>
  <c r="I250" i="7"/>
  <c r="H250" i="7"/>
  <c r="G250" i="7"/>
  <c r="F250" i="7"/>
  <c r="E250" i="7"/>
  <c r="W249" i="7"/>
  <c r="V249" i="7"/>
  <c r="U249" i="7"/>
  <c r="T249" i="7"/>
  <c r="S249" i="7"/>
  <c r="R249" i="7"/>
  <c r="Q249" i="7"/>
  <c r="P249" i="7"/>
  <c r="O249" i="7"/>
  <c r="N249" i="7"/>
  <c r="M249" i="7"/>
  <c r="L249" i="7"/>
  <c r="K249" i="7"/>
  <c r="J249" i="7"/>
  <c r="I249" i="7"/>
  <c r="H249" i="7"/>
  <c r="G249" i="7"/>
  <c r="F249" i="7"/>
  <c r="E249" i="7"/>
  <c r="W248" i="7"/>
  <c r="V248" i="7"/>
  <c r="U248" i="7"/>
  <c r="T248" i="7"/>
  <c r="S248" i="7"/>
  <c r="R248" i="7"/>
  <c r="Q248" i="7"/>
  <c r="P248" i="7"/>
  <c r="O248" i="7"/>
  <c r="N248" i="7"/>
  <c r="M248" i="7"/>
  <c r="L248" i="7"/>
  <c r="K248" i="7"/>
  <c r="J248" i="7"/>
  <c r="I248" i="7"/>
  <c r="H248" i="7"/>
  <c r="G248" i="7"/>
  <c r="F248" i="7"/>
  <c r="E248" i="7"/>
  <c r="W247" i="7"/>
  <c r="V247" i="7"/>
  <c r="U247" i="7"/>
  <c r="T247" i="7"/>
  <c r="S247" i="7"/>
  <c r="R247" i="7"/>
  <c r="Q247" i="7"/>
  <c r="P247" i="7"/>
  <c r="O247" i="7"/>
  <c r="N247" i="7"/>
  <c r="M247" i="7"/>
  <c r="L247" i="7"/>
  <c r="K247" i="7"/>
  <c r="J247" i="7"/>
  <c r="I247" i="7"/>
  <c r="H247" i="7"/>
  <c r="G247" i="7"/>
  <c r="F247" i="7"/>
  <c r="E247" i="7"/>
  <c r="W246" i="7"/>
  <c r="V246" i="7"/>
  <c r="U246" i="7"/>
  <c r="T246" i="7"/>
  <c r="S246" i="7"/>
  <c r="R246" i="7"/>
  <c r="Q246" i="7"/>
  <c r="P246" i="7"/>
  <c r="O246" i="7"/>
  <c r="N246" i="7"/>
  <c r="M246" i="7"/>
  <c r="L246" i="7"/>
  <c r="K246" i="7"/>
  <c r="J246" i="7"/>
  <c r="I246" i="7"/>
  <c r="H246" i="7"/>
  <c r="G246" i="7"/>
  <c r="F246" i="7"/>
  <c r="E246" i="7"/>
  <c r="W245" i="7"/>
  <c r="V245" i="7"/>
  <c r="U245" i="7"/>
  <c r="T245" i="7"/>
  <c r="S245" i="7"/>
  <c r="R245" i="7"/>
  <c r="Q245" i="7"/>
  <c r="P245" i="7"/>
  <c r="O245" i="7"/>
  <c r="N245" i="7"/>
  <c r="M245" i="7"/>
  <c r="L245" i="7"/>
  <c r="K245" i="7"/>
  <c r="J245" i="7"/>
  <c r="I245" i="7"/>
  <c r="H245" i="7"/>
  <c r="G245" i="7"/>
  <c r="F245" i="7"/>
  <c r="E245" i="7"/>
  <c r="W244" i="7"/>
  <c r="V244" i="7"/>
  <c r="U244" i="7"/>
  <c r="T244" i="7"/>
  <c r="S244" i="7"/>
  <c r="R244" i="7"/>
  <c r="Q244" i="7"/>
  <c r="P244" i="7"/>
  <c r="O244" i="7"/>
  <c r="N244" i="7"/>
  <c r="M244" i="7"/>
  <c r="L244" i="7"/>
  <c r="K244" i="7"/>
  <c r="J244" i="7"/>
  <c r="I244" i="7"/>
  <c r="H244" i="7"/>
  <c r="G244" i="7"/>
  <c r="F244" i="7"/>
  <c r="E244" i="7"/>
  <c r="W243" i="7"/>
  <c r="V243" i="7"/>
  <c r="U243" i="7"/>
  <c r="T243" i="7"/>
  <c r="S243" i="7"/>
  <c r="R243" i="7"/>
  <c r="Q243" i="7"/>
  <c r="P243" i="7"/>
  <c r="O243" i="7"/>
  <c r="N243" i="7"/>
  <c r="M243" i="7"/>
  <c r="L243" i="7"/>
  <c r="K243" i="7"/>
  <c r="J243" i="7"/>
  <c r="I243" i="7"/>
  <c r="H243" i="7"/>
  <c r="G243" i="7"/>
  <c r="F243" i="7"/>
  <c r="E243" i="7"/>
  <c r="W242" i="7"/>
  <c r="V242" i="7"/>
  <c r="U242" i="7"/>
  <c r="T242" i="7"/>
  <c r="S242" i="7"/>
  <c r="R242" i="7"/>
  <c r="Q242" i="7"/>
  <c r="P242" i="7"/>
  <c r="O242" i="7"/>
  <c r="N242" i="7"/>
  <c r="M242" i="7"/>
  <c r="L242" i="7"/>
  <c r="K242" i="7"/>
  <c r="J242" i="7"/>
  <c r="I242" i="7"/>
  <c r="H242" i="7"/>
  <c r="G242" i="7"/>
  <c r="F242" i="7"/>
  <c r="E242" i="7"/>
  <c r="W241" i="7"/>
  <c r="V241" i="7"/>
  <c r="U241" i="7"/>
  <c r="T241" i="7"/>
  <c r="S241" i="7"/>
  <c r="R241" i="7"/>
  <c r="Q241" i="7"/>
  <c r="P241" i="7"/>
  <c r="O241" i="7"/>
  <c r="N241" i="7"/>
  <c r="M241" i="7"/>
  <c r="L241" i="7"/>
  <c r="K241" i="7"/>
  <c r="J241" i="7"/>
  <c r="I241" i="7"/>
  <c r="H241" i="7"/>
  <c r="G241" i="7"/>
  <c r="F241" i="7"/>
  <c r="E241" i="7"/>
  <c r="W240" i="7"/>
  <c r="V240" i="7"/>
  <c r="U240" i="7"/>
  <c r="T240" i="7"/>
  <c r="S240" i="7"/>
  <c r="R240" i="7"/>
  <c r="Q240" i="7"/>
  <c r="P240" i="7"/>
  <c r="O240" i="7"/>
  <c r="N240" i="7"/>
  <c r="M240" i="7"/>
  <c r="L240" i="7"/>
  <c r="K240" i="7"/>
  <c r="J240" i="7"/>
  <c r="I240" i="7"/>
  <c r="H240" i="7"/>
  <c r="G240" i="7"/>
  <c r="F240" i="7"/>
  <c r="E240" i="7"/>
  <c r="W239" i="7"/>
  <c r="V239" i="7"/>
  <c r="U239" i="7"/>
  <c r="T239" i="7"/>
  <c r="S239" i="7"/>
  <c r="R239" i="7"/>
  <c r="Q239" i="7"/>
  <c r="P239" i="7"/>
  <c r="O239" i="7"/>
  <c r="N239" i="7"/>
  <c r="M239" i="7"/>
  <c r="L239" i="7"/>
  <c r="K239" i="7"/>
  <c r="J239" i="7"/>
  <c r="I239" i="7"/>
  <c r="H239" i="7"/>
  <c r="G239" i="7"/>
  <c r="F239" i="7"/>
  <c r="E239" i="7"/>
  <c r="W238" i="7"/>
  <c r="V238" i="7"/>
  <c r="U238" i="7"/>
  <c r="T238" i="7"/>
  <c r="S238" i="7"/>
  <c r="R238" i="7"/>
  <c r="Q238" i="7"/>
  <c r="P238" i="7"/>
  <c r="O238" i="7"/>
  <c r="N238" i="7"/>
  <c r="M238" i="7"/>
  <c r="L238" i="7"/>
  <c r="K238" i="7"/>
  <c r="J238" i="7"/>
  <c r="I238" i="7"/>
  <c r="H238" i="7"/>
  <c r="G238" i="7"/>
  <c r="F238" i="7"/>
  <c r="E238" i="7"/>
  <c r="W236" i="7"/>
  <c r="V236" i="7"/>
  <c r="U236" i="7"/>
  <c r="T236" i="7"/>
  <c r="S236" i="7"/>
  <c r="R236" i="7"/>
  <c r="Q236" i="7"/>
  <c r="P236" i="7"/>
  <c r="O236" i="7"/>
  <c r="N236" i="7"/>
  <c r="M236" i="7"/>
  <c r="L236" i="7"/>
  <c r="K236" i="7"/>
  <c r="J236" i="7"/>
  <c r="I236" i="7"/>
  <c r="H236" i="7"/>
  <c r="G236" i="7"/>
  <c r="F236" i="7"/>
  <c r="E236" i="7"/>
  <c r="W235" i="7"/>
  <c r="V235" i="7"/>
  <c r="U235" i="7"/>
  <c r="T235" i="7"/>
  <c r="S235" i="7"/>
  <c r="R235" i="7"/>
  <c r="Q235" i="7"/>
  <c r="P235" i="7"/>
  <c r="O235" i="7"/>
  <c r="N235" i="7"/>
  <c r="M235" i="7"/>
  <c r="L235" i="7"/>
  <c r="K235" i="7"/>
  <c r="J235" i="7"/>
  <c r="I235" i="7"/>
  <c r="H235" i="7"/>
  <c r="G235" i="7"/>
  <c r="F235" i="7"/>
  <c r="E235" i="7"/>
  <c r="W234" i="7"/>
  <c r="V234" i="7"/>
  <c r="U234" i="7"/>
  <c r="T234" i="7"/>
  <c r="S234" i="7"/>
  <c r="R234" i="7"/>
  <c r="Q234" i="7"/>
  <c r="P234" i="7"/>
  <c r="O234" i="7"/>
  <c r="N234" i="7"/>
  <c r="M234" i="7"/>
  <c r="L234" i="7"/>
  <c r="K234" i="7"/>
  <c r="J234" i="7"/>
  <c r="I234" i="7"/>
  <c r="H234" i="7"/>
  <c r="G234" i="7"/>
  <c r="F234" i="7"/>
  <c r="E234" i="7"/>
  <c r="W233" i="7"/>
  <c r="V233" i="7"/>
  <c r="U233" i="7"/>
  <c r="T233" i="7"/>
  <c r="S233" i="7"/>
  <c r="R233" i="7"/>
  <c r="Q233" i="7"/>
  <c r="P233" i="7"/>
  <c r="O233" i="7"/>
  <c r="N233" i="7"/>
  <c r="M233" i="7"/>
  <c r="L233" i="7"/>
  <c r="K233" i="7"/>
  <c r="J233" i="7"/>
  <c r="I233" i="7"/>
  <c r="H233" i="7"/>
  <c r="G233" i="7"/>
  <c r="F233" i="7"/>
  <c r="E233" i="7"/>
  <c r="W232" i="7"/>
  <c r="V232" i="7"/>
  <c r="U232" i="7"/>
  <c r="T232" i="7"/>
  <c r="S232" i="7"/>
  <c r="R232" i="7"/>
  <c r="Q232" i="7"/>
  <c r="P232" i="7"/>
  <c r="O232" i="7"/>
  <c r="N232" i="7"/>
  <c r="M232" i="7"/>
  <c r="L232" i="7"/>
  <c r="K232" i="7"/>
  <c r="J232" i="7"/>
  <c r="I232" i="7"/>
  <c r="H232" i="7"/>
  <c r="G232" i="7"/>
  <c r="F232" i="7"/>
  <c r="E232" i="7"/>
  <c r="W231" i="7"/>
  <c r="V231" i="7"/>
  <c r="U231" i="7"/>
  <c r="T231" i="7"/>
  <c r="S231" i="7"/>
  <c r="R231" i="7"/>
  <c r="Q231" i="7"/>
  <c r="P231" i="7"/>
  <c r="O231" i="7"/>
  <c r="N231" i="7"/>
  <c r="M231" i="7"/>
  <c r="L231" i="7"/>
  <c r="K231" i="7"/>
  <c r="J231" i="7"/>
  <c r="I231" i="7"/>
  <c r="H231" i="7"/>
  <c r="G231" i="7"/>
  <c r="F231" i="7"/>
  <c r="E231" i="7"/>
  <c r="W230" i="7"/>
  <c r="V230" i="7"/>
  <c r="U230" i="7"/>
  <c r="T230" i="7"/>
  <c r="S230" i="7"/>
  <c r="R230" i="7"/>
  <c r="Q230" i="7"/>
  <c r="P230" i="7"/>
  <c r="O230" i="7"/>
  <c r="N230" i="7"/>
  <c r="M230" i="7"/>
  <c r="L230" i="7"/>
  <c r="K230" i="7"/>
  <c r="J230" i="7"/>
  <c r="I230" i="7"/>
  <c r="H230" i="7"/>
  <c r="G230" i="7"/>
  <c r="F230" i="7"/>
  <c r="E230" i="7"/>
  <c r="W229" i="7"/>
  <c r="V229" i="7"/>
  <c r="U229" i="7"/>
  <c r="T229" i="7"/>
  <c r="S229" i="7"/>
  <c r="R229" i="7"/>
  <c r="Q229" i="7"/>
  <c r="P229" i="7"/>
  <c r="O229" i="7"/>
  <c r="N229" i="7"/>
  <c r="M229" i="7"/>
  <c r="L229" i="7"/>
  <c r="K229" i="7"/>
  <c r="J229" i="7"/>
  <c r="I229" i="7"/>
  <c r="H229" i="7"/>
  <c r="G229" i="7"/>
  <c r="F229" i="7"/>
  <c r="E229" i="7"/>
  <c r="W228" i="7"/>
  <c r="V228" i="7"/>
  <c r="U228" i="7"/>
  <c r="T228" i="7"/>
  <c r="S228" i="7"/>
  <c r="R228" i="7"/>
  <c r="Q228" i="7"/>
  <c r="P228" i="7"/>
  <c r="O228" i="7"/>
  <c r="N228" i="7"/>
  <c r="M228" i="7"/>
  <c r="L228" i="7"/>
  <c r="K228" i="7"/>
  <c r="J228" i="7"/>
  <c r="I228" i="7"/>
  <c r="H228" i="7"/>
  <c r="G228" i="7"/>
  <c r="F228" i="7"/>
  <c r="E228" i="7"/>
  <c r="W227" i="7"/>
  <c r="V227" i="7"/>
  <c r="U227" i="7"/>
  <c r="T227" i="7"/>
  <c r="S227" i="7"/>
  <c r="R227" i="7"/>
  <c r="Q227" i="7"/>
  <c r="P227" i="7"/>
  <c r="O227" i="7"/>
  <c r="N227" i="7"/>
  <c r="M227" i="7"/>
  <c r="L227" i="7"/>
  <c r="K227" i="7"/>
  <c r="J227" i="7"/>
  <c r="I227" i="7"/>
  <c r="H227" i="7"/>
  <c r="G227" i="7"/>
  <c r="F227" i="7"/>
  <c r="E227" i="7"/>
  <c r="W226" i="7"/>
  <c r="V226" i="7"/>
  <c r="U226" i="7"/>
  <c r="T226" i="7"/>
  <c r="S226" i="7"/>
  <c r="R226" i="7"/>
  <c r="Q226" i="7"/>
  <c r="P226" i="7"/>
  <c r="O226" i="7"/>
  <c r="N226" i="7"/>
  <c r="M226" i="7"/>
  <c r="L226" i="7"/>
  <c r="K226" i="7"/>
  <c r="J226" i="7"/>
  <c r="I226" i="7"/>
  <c r="H226" i="7"/>
  <c r="G226" i="7"/>
  <c r="F226" i="7"/>
  <c r="E226" i="7"/>
  <c r="W225" i="7"/>
  <c r="V225" i="7"/>
  <c r="U225" i="7"/>
  <c r="T225" i="7"/>
  <c r="S225" i="7"/>
  <c r="R225" i="7"/>
  <c r="Q225" i="7"/>
  <c r="P225" i="7"/>
  <c r="O225" i="7"/>
  <c r="N225" i="7"/>
  <c r="M225" i="7"/>
  <c r="L225" i="7"/>
  <c r="K225" i="7"/>
  <c r="J225" i="7"/>
  <c r="I225" i="7"/>
  <c r="H225" i="7"/>
  <c r="G225" i="7"/>
  <c r="F225" i="7"/>
  <c r="E225" i="7"/>
  <c r="W224" i="7"/>
  <c r="V224" i="7"/>
  <c r="U224" i="7"/>
  <c r="T224" i="7"/>
  <c r="S224" i="7"/>
  <c r="R224" i="7"/>
  <c r="Q224" i="7"/>
  <c r="P224" i="7"/>
  <c r="O224" i="7"/>
  <c r="N224" i="7"/>
  <c r="M224" i="7"/>
  <c r="L224" i="7"/>
  <c r="K224" i="7"/>
  <c r="J224" i="7"/>
  <c r="I224" i="7"/>
  <c r="H224" i="7"/>
  <c r="G224" i="7"/>
  <c r="F224" i="7"/>
  <c r="E224" i="7"/>
  <c r="W223" i="7"/>
  <c r="V223" i="7"/>
  <c r="U223" i="7"/>
  <c r="T223" i="7"/>
  <c r="S223" i="7"/>
  <c r="R223" i="7"/>
  <c r="Q223" i="7"/>
  <c r="P223" i="7"/>
  <c r="O223" i="7"/>
  <c r="N223" i="7"/>
  <c r="M223" i="7"/>
  <c r="L223" i="7"/>
  <c r="K223" i="7"/>
  <c r="J223" i="7"/>
  <c r="I223" i="7"/>
  <c r="H223" i="7"/>
  <c r="G223" i="7"/>
  <c r="F223" i="7"/>
  <c r="E223" i="7"/>
  <c r="W222" i="7"/>
  <c r="V222" i="7"/>
  <c r="U222" i="7"/>
  <c r="T222" i="7"/>
  <c r="S222" i="7"/>
  <c r="R222" i="7"/>
  <c r="Q222" i="7"/>
  <c r="P222" i="7"/>
  <c r="O222" i="7"/>
  <c r="N222" i="7"/>
  <c r="M222" i="7"/>
  <c r="L222" i="7"/>
  <c r="K222" i="7"/>
  <c r="J222" i="7"/>
  <c r="I222" i="7"/>
  <c r="H222" i="7"/>
  <c r="G222" i="7"/>
  <c r="F222" i="7"/>
  <c r="E222" i="7"/>
  <c r="W221" i="7"/>
  <c r="V221" i="7"/>
  <c r="U221" i="7"/>
  <c r="T221" i="7"/>
  <c r="S221" i="7"/>
  <c r="R221" i="7"/>
  <c r="Q221" i="7"/>
  <c r="P221" i="7"/>
  <c r="O221" i="7"/>
  <c r="N221" i="7"/>
  <c r="M221" i="7"/>
  <c r="L221" i="7"/>
  <c r="K221" i="7"/>
  <c r="J221" i="7"/>
  <c r="I221" i="7"/>
  <c r="H221" i="7"/>
  <c r="G221" i="7"/>
  <c r="F221" i="7"/>
  <c r="E221" i="7"/>
  <c r="W220" i="7"/>
  <c r="V220" i="7"/>
  <c r="U220" i="7"/>
  <c r="T220" i="7"/>
  <c r="S220" i="7"/>
  <c r="R220" i="7"/>
  <c r="Q220" i="7"/>
  <c r="P220" i="7"/>
  <c r="O220" i="7"/>
  <c r="N220" i="7"/>
  <c r="M220" i="7"/>
  <c r="L220" i="7"/>
  <c r="K220" i="7"/>
  <c r="J220" i="7"/>
  <c r="I220" i="7"/>
  <c r="H220" i="7"/>
  <c r="G220" i="7"/>
  <c r="F220" i="7"/>
  <c r="E220" i="7"/>
  <c r="W219" i="7"/>
  <c r="V219" i="7"/>
  <c r="U219" i="7"/>
  <c r="T219" i="7"/>
  <c r="S219" i="7"/>
  <c r="R219" i="7"/>
  <c r="Q219" i="7"/>
  <c r="P219" i="7"/>
  <c r="O219" i="7"/>
  <c r="N219" i="7"/>
  <c r="M219" i="7"/>
  <c r="L219" i="7"/>
  <c r="K219" i="7"/>
  <c r="J219" i="7"/>
  <c r="I219" i="7"/>
  <c r="H219" i="7"/>
  <c r="G219" i="7"/>
  <c r="F219" i="7"/>
  <c r="E219" i="7"/>
  <c r="W218" i="7"/>
  <c r="V218" i="7"/>
  <c r="U218" i="7"/>
  <c r="T218" i="7"/>
  <c r="S218" i="7"/>
  <c r="R218" i="7"/>
  <c r="Q218" i="7"/>
  <c r="P218" i="7"/>
  <c r="O218" i="7"/>
  <c r="N218" i="7"/>
  <c r="M218" i="7"/>
  <c r="L218" i="7"/>
  <c r="K218" i="7"/>
  <c r="J218" i="7"/>
  <c r="I218" i="7"/>
  <c r="H218" i="7"/>
  <c r="G218" i="7"/>
  <c r="F218" i="7"/>
  <c r="E218" i="7"/>
  <c r="W217" i="7"/>
  <c r="V217" i="7"/>
  <c r="U217" i="7"/>
  <c r="T217" i="7"/>
  <c r="S217" i="7"/>
  <c r="R217" i="7"/>
  <c r="Q217" i="7"/>
  <c r="P217" i="7"/>
  <c r="O217" i="7"/>
  <c r="N217" i="7"/>
  <c r="M217" i="7"/>
  <c r="L217" i="7"/>
  <c r="K217" i="7"/>
  <c r="J217" i="7"/>
  <c r="I217" i="7"/>
  <c r="H217" i="7"/>
  <c r="G217" i="7"/>
  <c r="F217" i="7"/>
  <c r="E217" i="7"/>
  <c r="W216" i="7"/>
  <c r="V216" i="7"/>
  <c r="U216" i="7"/>
  <c r="T216" i="7"/>
  <c r="S216" i="7"/>
  <c r="R216" i="7"/>
  <c r="Q216" i="7"/>
  <c r="P216" i="7"/>
  <c r="O216" i="7"/>
  <c r="N216" i="7"/>
  <c r="M216" i="7"/>
  <c r="L216" i="7"/>
  <c r="K216" i="7"/>
  <c r="J216" i="7"/>
  <c r="I216" i="7"/>
  <c r="H216" i="7"/>
  <c r="G216" i="7"/>
  <c r="F216" i="7"/>
  <c r="E216" i="7"/>
  <c r="W215" i="7"/>
  <c r="V215" i="7"/>
  <c r="U215" i="7"/>
  <c r="T215" i="7"/>
  <c r="S215" i="7"/>
  <c r="R215" i="7"/>
  <c r="Q215" i="7"/>
  <c r="P215" i="7"/>
  <c r="O215" i="7"/>
  <c r="N215" i="7"/>
  <c r="M215" i="7"/>
  <c r="L215" i="7"/>
  <c r="K215" i="7"/>
  <c r="J215" i="7"/>
  <c r="I215" i="7"/>
  <c r="H215" i="7"/>
  <c r="G215" i="7"/>
  <c r="F215" i="7"/>
  <c r="E215" i="7"/>
  <c r="W214" i="7"/>
  <c r="V214" i="7"/>
  <c r="U214" i="7"/>
  <c r="T214" i="7"/>
  <c r="S214" i="7"/>
  <c r="R214" i="7"/>
  <c r="Q214" i="7"/>
  <c r="P214" i="7"/>
  <c r="O214" i="7"/>
  <c r="N214" i="7"/>
  <c r="M214" i="7"/>
  <c r="L214" i="7"/>
  <c r="K214" i="7"/>
  <c r="J214" i="7"/>
  <c r="I214" i="7"/>
  <c r="H214" i="7"/>
  <c r="G214" i="7"/>
  <c r="F214" i="7"/>
  <c r="E214" i="7"/>
  <c r="W213" i="7"/>
  <c r="V213" i="7"/>
  <c r="U213" i="7"/>
  <c r="T213" i="7"/>
  <c r="S213" i="7"/>
  <c r="R213" i="7"/>
  <c r="Q213" i="7"/>
  <c r="P213" i="7"/>
  <c r="O213" i="7"/>
  <c r="N213" i="7"/>
  <c r="M213" i="7"/>
  <c r="L213" i="7"/>
  <c r="K213" i="7"/>
  <c r="J213" i="7"/>
  <c r="I213" i="7"/>
  <c r="H213" i="7"/>
  <c r="G213" i="7"/>
  <c r="F213" i="7"/>
  <c r="E213" i="7"/>
  <c r="W212" i="7"/>
  <c r="V212" i="7"/>
  <c r="U212" i="7"/>
  <c r="T212" i="7"/>
  <c r="S212" i="7"/>
  <c r="R212" i="7"/>
  <c r="Q212" i="7"/>
  <c r="P212" i="7"/>
  <c r="O212" i="7"/>
  <c r="N212" i="7"/>
  <c r="M212" i="7"/>
  <c r="L212" i="7"/>
  <c r="K212" i="7"/>
  <c r="J212" i="7"/>
  <c r="I212" i="7"/>
  <c r="H212" i="7"/>
  <c r="G212" i="7"/>
  <c r="F212" i="7"/>
  <c r="E212" i="7"/>
  <c r="W211" i="7"/>
  <c r="V211" i="7"/>
  <c r="U211" i="7"/>
  <c r="T211" i="7"/>
  <c r="S211" i="7"/>
  <c r="R211" i="7"/>
  <c r="Q211" i="7"/>
  <c r="P211" i="7"/>
  <c r="O211" i="7"/>
  <c r="N211" i="7"/>
  <c r="M211" i="7"/>
  <c r="L211" i="7"/>
  <c r="K211" i="7"/>
  <c r="J211" i="7"/>
  <c r="I211" i="7"/>
  <c r="H211" i="7"/>
  <c r="G211" i="7"/>
  <c r="F211" i="7"/>
  <c r="E211" i="7"/>
  <c r="W210" i="7"/>
  <c r="V210" i="7"/>
  <c r="U210" i="7"/>
  <c r="T210" i="7"/>
  <c r="S210" i="7"/>
  <c r="R210" i="7"/>
  <c r="Q210" i="7"/>
  <c r="P210" i="7"/>
  <c r="O210" i="7"/>
  <c r="N210" i="7"/>
  <c r="M210" i="7"/>
  <c r="L210" i="7"/>
  <c r="K210" i="7"/>
  <c r="J210" i="7"/>
  <c r="I210" i="7"/>
  <c r="H210" i="7"/>
  <c r="G210" i="7"/>
  <c r="F210" i="7"/>
  <c r="E210" i="7"/>
  <c r="W209" i="7"/>
  <c r="V209" i="7"/>
  <c r="U209" i="7"/>
  <c r="T209" i="7"/>
  <c r="S209" i="7"/>
  <c r="R209" i="7"/>
  <c r="Q209" i="7"/>
  <c r="P209" i="7"/>
  <c r="O209" i="7"/>
  <c r="N209" i="7"/>
  <c r="M209" i="7"/>
  <c r="L209" i="7"/>
  <c r="K209" i="7"/>
  <c r="J209" i="7"/>
  <c r="I209" i="7"/>
  <c r="H209" i="7"/>
  <c r="G209" i="7"/>
  <c r="F209" i="7"/>
  <c r="E209" i="7"/>
  <c r="W208" i="7"/>
  <c r="V208" i="7"/>
  <c r="U208" i="7"/>
  <c r="T208" i="7"/>
  <c r="S208" i="7"/>
  <c r="R208" i="7"/>
  <c r="Q208" i="7"/>
  <c r="P208" i="7"/>
  <c r="O208" i="7"/>
  <c r="N208" i="7"/>
  <c r="M208" i="7"/>
  <c r="L208" i="7"/>
  <c r="K208" i="7"/>
  <c r="J208" i="7"/>
  <c r="I208" i="7"/>
  <c r="H208" i="7"/>
  <c r="G208" i="7"/>
  <c r="F208" i="7"/>
  <c r="E208" i="7"/>
  <c r="W207" i="7"/>
  <c r="V207" i="7"/>
  <c r="U207" i="7"/>
  <c r="T207" i="7"/>
  <c r="S207" i="7"/>
  <c r="R207" i="7"/>
  <c r="Q207" i="7"/>
  <c r="P207" i="7"/>
  <c r="O207" i="7"/>
  <c r="N207" i="7"/>
  <c r="M207" i="7"/>
  <c r="L207" i="7"/>
  <c r="K207" i="7"/>
  <c r="J207" i="7"/>
  <c r="I207" i="7"/>
  <c r="H207" i="7"/>
  <c r="G207" i="7"/>
  <c r="F207" i="7"/>
  <c r="E207" i="7"/>
  <c r="W206" i="7"/>
  <c r="V206" i="7"/>
  <c r="U206" i="7"/>
  <c r="T206" i="7"/>
  <c r="S206" i="7"/>
  <c r="R206" i="7"/>
  <c r="Q206" i="7"/>
  <c r="P206" i="7"/>
  <c r="O206" i="7"/>
  <c r="N206" i="7"/>
  <c r="M206" i="7"/>
  <c r="L206" i="7"/>
  <c r="K206" i="7"/>
  <c r="J206" i="7"/>
  <c r="I206" i="7"/>
  <c r="H206" i="7"/>
  <c r="G206" i="7"/>
  <c r="F206" i="7"/>
  <c r="E206" i="7"/>
  <c r="W205" i="7"/>
  <c r="V205" i="7"/>
  <c r="U205" i="7"/>
  <c r="T205" i="7"/>
  <c r="S205" i="7"/>
  <c r="R205" i="7"/>
  <c r="Q205" i="7"/>
  <c r="P205" i="7"/>
  <c r="O205" i="7"/>
  <c r="N205" i="7"/>
  <c r="M205" i="7"/>
  <c r="L205" i="7"/>
  <c r="K205" i="7"/>
  <c r="J205" i="7"/>
  <c r="I205" i="7"/>
  <c r="H205" i="7"/>
  <c r="G205" i="7"/>
  <c r="F205" i="7"/>
  <c r="E205" i="7"/>
  <c r="W204" i="7"/>
  <c r="V204" i="7"/>
  <c r="U204" i="7"/>
  <c r="T204" i="7"/>
  <c r="S204" i="7"/>
  <c r="R204" i="7"/>
  <c r="Q204" i="7"/>
  <c r="P204" i="7"/>
  <c r="O204" i="7"/>
  <c r="N204" i="7"/>
  <c r="M204" i="7"/>
  <c r="L204" i="7"/>
  <c r="K204" i="7"/>
  <c r="J204" i="7"/>
  <c r="I204" i="7"/>
  <c r="H204" i="7"/>
  <c r="G204" i="7"/>
  <c r="F204" i="7"/>
  <c r="E204" i="7"/>
  <c r="W203" i="7"/>
  <c r="V203" i="7"/>
  <c r="U203" i="7"/>
  <c r="T203" i="7"/>
  <c r="S203" i="7"/>
  <c r="R203" i="7"/>
  <c r="Q203" i="7"/>
  <c r="P203" i="7"/>
  <c r="O203" i="7"/>
  <c r="N203" i="7"/>
  <c r="M203" i="7"/>
  <c r="L203" i="7"/>
  <c r="K203" i="7"/>
  <c r="J203" i="7"/>
  <c r="I203" i="7"/>
  <c r="H203" i="7"/>
  <c r="G203" i="7"/>
  <c r="F203" i="7"/>
  <c r="E203" i="7"/>
  <c r="W202" i="7"/>
  <c r="V202" i="7"/>
  <c r="U202" i="7"/>
  <c r="T202" i="7"/>
  <c r="S202" i="7"/>
  <c r="R202" i="7"/>
  <c r="Q202" i="7"/>
  <c r="P202" i="7"/>
  <c r="O202" i="7"/>
  <c r="N202" i="7"/>
  <c r="M202" i="7"/>
  <c r="L202" i="7"/>
  <c r="K202" i="7"/>
  <c r="J202" i="7"/>
  <c r="I202" i="7"/>
  <c r="H202" i="7"/>
  <c r="G202" i="7"/>
  <c r="F202" i="7"/>
  <c r="E202" i="7"/>
  <c r="W201" i="7"/>
  <c r="V201" i="7"/>
  <c r="U201" i="7"/>
  <c r="T201" i="7"/>
  <c r="S201" i="7"/>
  <c r="R201" i="7"/>
  <c r="Q201" i="7"/>
  <c r="P201" i="7"/>
  <c r="O201" i="7"/>
  <c r="N201" i="7"/>
  <c r="M201" i="7"/>
  <c r="L201" i="7"/>
  <c r="K201" i="7"/>
  <c r="J201" i="7"/>
  <c r="I201" i="7"/>
  <c r="H201" i="7"/>
  <c r="G201" i="7"/>
  <c r="F201" i="7"/>
  <c r="E201" i="7"/>
  <c r="W200" i="7"/>
  <c r="V200" i="7"/>
  <c r="U200" i="7"/>
  <c r="T200" i="7"/>
  <c r="S200" i="7"/>
  <c r="R200" i="7"/>
  <c r="Q200" i="7"/>
  <c r="P200" i="7"/>
  <c r="O200" i="7"/>
  <c r="N200" i="7"/>
  <c r="M200" i="7"/>
  <c r="L200" i="7"/>
  <c r="K200" i="7"/>
  <c r="J200" i="7"/>
  <c r="I200" i="7"/>
  <c r="H200" i="7"/>
  <c r="G200" i="7"/>
  <c r="F200" i="7"/>
  <c r="E200" i="7"/>
  <c r="W199" i="7"/>
  <c r="V199" i="7"/>
  <c r="U199" i="7"/>
  <c r="T199" i="7"/>
  <c r="S199" i="7"/>
  <c r="R199" i="7"/>
  <c r="Q199" i="7"/>
  <c r="P199" i="7"/>
  <c r="O199" i="7"/>
  <c r="N199" i="7"/>
  <c r="M199" i="7"/>
  <c r="L199" i="7"/>
  <c r="K199" i="7"/>
  <c r="J199" i="7"/>
  <c r="I199" i="7"/>
  <c r="H199" i="7"/>
  <c r="G199" i="7"/>
  <c r="F199" i="7"/>
  <c r="E199" i="7"/>
  <c r="W198" i="7"/>
  <c r="V198" i="7"/>
  <c r="U198" i="7"/>
  <c r="T198" i="7"/>
  <c r="S198" i="7"/>
  <c r="R198" i="7"/>
  <c r="Q198" i="7"/>
  <c r="P198" i="7"/>
  <c r="O198" i="7"/>
  <c r="N198" i="7"/>
  <c r="M198" i="7"/>
  <c r="L198" i="7"/>
  <c r="K198" i="7"/>
  <c r="J198" i="7"/>
  <c r="I198" i="7"/>
  <c r="H198" i="7"/>
  <c r="G198" i="7"/>
  <c r="F198" i="7"/>
  <c r="E198" i="7"/>
  <c r="W197" i="7"/>
  <c r="V197" i="7"/>
  <c r="U197" i="7"/>
  <c r="T197" i="7"/>
  <c r="S197" i="7"/>
  <c r="R197" i="7"/>
  <c r="Q197" i="7"/>
  <c r="P197" i="7"/>
  <c r="O197" i="7"/>
  <c r="N197" i="7"/>
  <c r="M197" i="7"/>
  <c r="L197" i="7"/>
  <c r="K197" i="7"/>
  <c r="J197" i="7"/>
  <c r="I197" i="7"/>
  <c r="H197" i="7"/>
  <c r="G197" i="7"/>
  <c r="F197" i="7"/>
  <c r="E197" i="7"/>
  <c r="W196" i="7"/>
  <c r="V196" i="7"/>
  <c r="U196" i="7"/>
  <c r="T196" i="7"/>
  <c r="S196" i="7"/>
  <c r="R196" i="7"/>
  <c r="Q196" i="7"/>
  <c r="P196" i="7"/>
  <c r="O196" i="7"/>
  <c r="N196" i="7"/>
  <c r="M196" i="7"/>
  <c r="L196" i="7"/>
  <c r="K196" i="7"/>
  <c r="J196" i="7"/>
  <c r="I196" i="7"/>
  <c r="H196" i="7"/>
  <c r="G196" i="7"/>
  <c r="F196" i="7"/>
  <c r="E196" i="7"/>
  <c r="W195" i="7"/>
  <c r="V195" i="7"/>
  <c r="U195" i="7"/>
  <c r="T195" i="7"/>
  <c r="S195" i="7"/>
  <c r="R195" i="7"/>
  <c r="Q195" i="7"/>
  <c r="P195" i="7"/>
  <c r="O195" i="7"/>
  <c r="N195" i="7"/>
  <c r="M195" i="7"/>
  <c r="L195" i="7"/>
  <c r="K195" i="7"/>
  <c r="J195" i="7"/>
  <c r="I195" i="7"/>
  <c r="H195" i="7"/>
  <c r="G195" i="7"/>
  <c r="F195" i="7"/>
  <c r="E195" i="7"/>
  <c r="W194" i="7"/>
  <c r="V194" i="7"/>
  <c r="U194" i="7"/>
  <c r="T194" i="7"/>
  <c r="S194" i="7"/>
  <c r="R194" i="7"/>
  <c r="Q194" i="7"/>
  <c r="P194" i="7"/>
  <c r="O194" i="7"/>
  <c r="N194" i="7"/>
  <c r="M194" i="7"/>
  <c r="L194" i="7"/>
  <c r="K194" i="7"/>
  <c r="J194" i="7"/>
  <c r="I194" i="7"/>
  <c r="H194" i="7"/>
  <c r="G194" i="7"/>
  <c r="F194" i="7"/>
  <c r="E194" i="7"/>
  <c r="W193" i="7"/>
  <c r="V193" i="7"/>
  <c r="U193" i="7"/>
  <c r="T193" i="7"/>
  <c r="S193" i="7"/>
  <c r="R193" i="7"/>
  <c r="Q193" i="7"/>
  <c r="P193" i="7"/>
  <c r="O193" i="7"/>
  <c r="N193" i="7"/>
  <c r="M193" i="7"/>
  <c r="L193" i="7"/>
  <c r="K193" i="7"/>
  <c r="J193" i="7"/>
  <c r="I193" i="7"/>
  <c r="H193" i="7"/>
  <c r="G193" i="7"/>
  <c r="F193" i="7"/>
  <c r="E193" i="7"/>
  <c r="W191" i="7"/>
  <c r="V191" i="7"/>
  <c r="U191" i="7"/>
  <c r="T191" i="7"/>
  <c r="S191" i="7"/>
  <c r="R191" i="7"/>
  <c r="Q191" i="7"/>
  <c r="P191" i="7"/>
  <c r="O191" i="7"/>
  <c r="N191" i="7"/>
  <c r="M191" i="7"/>
  <c r="L191" i="7"/>
  <c r="K191" i="7"/>
  <c r="J191" i="7"/>
  <c r="I191" i="7"/>
  <c r="H191" i="7"/>
  <c r="G191" i="7"/>
  <c r="F191" i="7"/>
  <c r="E191" i="7"/>
  <c r="W190" i="7"/>
  <c r="V190" i="7"/>
  <c r="U190" i="7"/>
  <c r="T190" i="7"/>
  <c r="S190" i="7"/>
  <c r="R190" i="7"/>
  <c r="Q190" i="7"/>
  <c r="P190" i="7"/>
  <c r="O190" i="7"/>
  <c r="N190" i="7"/>
  <c r="M190" i="7"/>
  <c r="L190" i="7"/>
  <c r="K190" i="7"/>
  <c r="J190" i="7"/>
  <c r="I190" i="7"/>
  <c r="H190" i="7"/>
  <c r="G190" i="7"/>
  <c r="F190" i="7"/>
  <c r="E190" i="7"/>
  <c r="W189" i="7"/>
  <c r="V189" i="7"/>
  <c r="U189" i="7"/>
  <c r="T189" i="7"/>
  <c r="S189" i="7"/>
  <c r="R189" i="7"/>
  <c r="Q189" i="7"/>
  <c r="P189" i="7"/>
  <c r="O189" i="7"/>
  <c r="N189" i="7"/>
  <c r="M189" i="7"/>
  <c r="L189" i="7"/>
  <c r="K189" i="7"/>
  <c r="J189" i="7"/>
  <c r="I189" i="7"/>
  <c r="H189" i="7"/>
  <c r="G189" i="7"/>
  <c r="F189" i="7"/>
  <c r="E189" i="7"/>
  <c r="W188" i="7"/>
  <c r="V188" i="7"/>
  <c r="U188" i="7"/>
  <c r="T188" i="7"/>
  <c r="S188" i="7"/>
  <c r="R188" i="7"/>
  <c r="Q188" i="7"/>
  <c r="P188" i="7"/>
  <c r="O188" i="7"/>
  <c r="N188" i="7"/>
  <c r="M188" i="7"/>
  <c r="L188" i="7"/>
  <c r="K188" i="7"/>
  <c r="J188" i="7"/>
  <c r="I188" i="7"/>
  <c r="H188" i="7"/>
  <c r="G188" i="7"/>
  <c r="F188" i="7"/>
  <c r="E188" i="7"/>
  <c r="W187" i="7"/>
  <c r="V187" i="7"/>
  <c r="U187" i="7"/>
  <c r="T187" i="7"/>
  <c r="S187" i="7"/>
  <c r="R187" i="7"/>
  <c r="Q187" i="7"/>
  <c r="P187" i="7"/>
  <c r="O187" i="7"/>
  <c r="N187" i="7"/>
  <c r="M187" i="7"/>
  <c r="L187" i="7"/>
  <c r="K187" i="7"/>
  <c r="J187" i="7"/>
  <c r="I187" i="7"/>
  <c r="H187" i="7"/>
  <c r="G187" i="7"/>
  <c r="F187" i="7"/>
  <c r="E187" i="7"/>
  <c r="W186" i="7"/>
  <c r="V186" i="7"/>
  <c r="U186" i="7"/>
  <c r="T186" i="7"/>
  <c r="S186" i="7"/>
  <c r="R186" i="7"/>
  <c r="Q186" i="7"/>
  <c r="P186" i="7"/>
  <c r="O186" i="7"/>
  <c r="N186" i="7"/>
  <c r="M186" i="7"/>
  <c r="L186" i="7"/>
  <c r="K186" i="7"/>
  <c r="J186" i="7"/>
  <c r="I186" i="7"/>
  <c r="H186" i="7"/>
  <c r="G186" i="7"/>
  <c r="F186" i="7"/>
  <c r="E186" i="7"/>
  <c r="W185" i="7"/>
  <c r="V185" i="7"/>
  <c r="U185" i="7"/>
  <c r="T185" i="7"/>
  <c r="S185" i="7"/>
  <c r="R185" i="7"/>
  <c r="Q185" i="7"/>
  <c r="P185" i="7"/>
  <c r="O185" i="7"/>
  <c r="N185" i="7"/>
  <c r="M185" i="7"/>
  <c r="L185" i="7"/>
  <c r="K185" i="7"/>
  <c r="J185" i="7"/>
  <c r="I185" i="7"/>
  <c r="H185" i="7"/>
  <c r="G185" i="7"/>
  <c r="F185" i="7"/>
  <c r="E185" i="7"/>
  <c r="W184" i="7"/>
  <c r="V184" i="7"/>
  <c r="U184" i="7"/>
  <c r="T184" i="7"/>
  <c r="S184" i="7"/>
  <c r="R184" i="7"/>
  <c r="Q184" i="7"/>
  <c r="P184" i="7"/>
  <c r="O184" i="7"/>
  <c r="N184" i="7"/>
  <c r="M184" i="7"/>
  <c r="L184" i="7"/>
  <c r="K184" i="7"/>
  <c r="J184" i="7"/>
  <c r="I184" i="7"/>
  <c r="H184" i="7"/>
  <c r="G184" i="7"/>
  <c r="F184" i="7"/>
  <c r="E184" i="7"/>
  <c r="W183" i="7"/>
  <c r="V183" i="7"/>
  <c r="U183" i="7"/>
  <c r="T183" i="7"/>
  <c r="S183" i="7"/>
  <c r="R183" i="7"/>
  <c r="Q183" i="7"/>
  <c r="P183" i="7"/>
  <c r="O183" i="7"/>
  <c r="N183" i="7"/>
  <c r="M183" i="7"/>
  <c r="L183" i="7"/>
  <c r="K183" i="7"/>
  <c r="J183" i="7"/>
  <c r="I183" i="7"/>
  <c r="H183" i="7"/>
  <c r="G183" i="7"/>
  <c r="F183" i="7"/>
  <c r="E183" i="7"/>
  <c r="W182" i="7"/>
  <c r="V182" i="7"/>
  <c r="U182" i="7"/>
  <c r="T182" i="7"/>
  <c r="S182" i="7"/>
  <c r="R182" i="7"/>
  <c r="Q182" i="7"/>
  <c r="P182" i="7"/>
  <c r="O182" i="7"/>
  <c r="N182" i="7"/>
  <c r="M182" i="7"/>
  <c r="L182" i="7"/>
  <c r="K182" i="7"/>
  <c r="J182" i="7"/>
  <c r="I182" i="7"/>
  <c r="H182" i="7"/>
  <c r="G182" i="7"/>
  <c r="F182" i="7"/>
  <c r="E182" i="7"/>
  <c r="W181" i="7"/>
  <c r="V181" i="7"/>
  <c r="U181" i="7"/>
  <c r="T181" i="7"/>
  <c r="S181" i="7"/>
  <c r="R181" i="7"/>
  <c r="Q181" i="7"/>
  <c r="P181" i="7"/>
  <c r="O181" i="7"/>
  <c r="N181" i="7"/>
  <c r="M181" i="7"/>
  <c r="L181" i="7"/>
  <c r="K181" i="7"/>
  <c r="J181" i="7"/>
  <c r="I181" i="7"/>
  <c r="H181" i="7"/>
  <c r="G181" i="7"/>
  <c r="F181" i="7"/>
  <c r="E181" i="7"/>
  <c r="W180" i="7"/>
  <c r="V180" i="7"/>
  <c r="U180" i="7"/>
  <c r="T180" i="7"/>
  <c r="S180" i="7"/>
  <c r="R180" i="7"/>
  <c r="Q180" i="7"/>
  <c r="P180" i="7"/>
  <c r="O180" i="7"/>
  <c r="N180" i="7"/>
  <c r="M180" i="7"/>
  <c r="L180" i="7"/>
  <c r="K180" i="7"/>
  <c r="J180" i="7"/>
  <c r="I180" i="7"/>
  <c r="H180" i="7"/>
  <c r="G180" i="7"/>
  <c r="F180" i="7"/>
  <c r="E180" i="7"/>
  <c r="W179" i="7"/>
  <c r="V179" i="7"/>
  <c r="U179" i="7"/>
  <c r="T179" i="7"/>
  <c r="S179" i="7"/>
  <c r="R179" i="7"/>
  <c r="Q179" i="7"/>
  <c r="P179" i="7"/>
  <c r="O179" i="7"/>
  <c r="N179" i="7"/>
  <c r="M179" i="7"/>
  <c r="L179" i="7"/>
  <c r="K179" i="7"/>
  <c r="J179" i="7"/>
  <c r="I179" i="7"/>
  <c r="H179" i="7"/>
  <c r="G179" i="7"/>
  <c r="F179" i="7"/>
  <c r="E179" i="7"/>
  <c r="W178" i="7"/>
  <c r="V178" i="7"/>
  <c r="U178" i="7"/>
  <c r="T178" i="7"/>
  <c r="S178" i="7"/>
  <c r="R178" i="7"/>
  <c r="Q178" i="7"/>
  <c r="P178" i="7"/>
  <c r="O178" i="7"/>
  <c r="N178" i="7"/>
  <c r="M178" i="7"/>
  <c r="L178" i="7"/>
  <c r="K178" i="7"/>
  <c r="J178" i="7"/>
  <c r="I178" i="7"/>
  <c r="H178" i="7"/>
  <c r="G178" i="7"/>
  <c r="F178" i="7"/>
  <c r="E178" i="7"/>
  <c r="W177" i="7"/>
  <c r="V177" i="7"/>
  <c r="U177" i="7"/>
  <c r="T177" i="7"/>
  <c r="S177" i="7"/>
  <c r="R177" i="7"/>
  <c r="Q177" i="7"/>
  <c r="P177" i="7"/>
  <c r="O177" i="7"/>
  <c r="N177" i="7"/>
  <c r="M177" i="7"/>
  <c r="L177" i="7"/>
  <c r="K177" i="7"/>
  <c r="J177" i="7"/>
  <c r="I177" i="7"/>
  <c r="H177" i="7"/>
  <c r="G177" i="7"/>
  <c r="F177" i="7"/>
  <c r="E177" i="7"/>
  <c r="W176" i="7"/>
  <c r="V176" i="7"/>
  <c r="U176" i="7"/>
  <c r="T176" i="7"/>
  <c r="S176" i="7"/>
  <c r="R176" i="7"/>
  <c r="Q176" i="7"/>
  <c r="P176" i="7"/>
  <c r="O176" i="7"/>
  <c r="N176" i="7"/>
  <c r="M176" i="7"/>
  <c r="L176" i="7"/>
  <c r="K176" i="7"/>
  <c r="J176" i="7"/>
  <c r="I176" i="7"/>
  <c r="H176" i="7"/>
  <c r="G176" i="7"/>
  <c r="F176" i="7"/>
  <c r="E176" i="7"/>
  <c r="W175" i="7"/>
  <c r="V175" i="7"/>
  <c r="U175" i="7"/>
  <c r="T175" i="7"/>
  <c r="S175" i="7"/>
  <c r="R175" i="7"/>
  <c r="Q175" i="7"/>
  <c r="P175" i="7"/>
  <c r="O175" i="7"/>
  <c r="N175" i="7"/>
  <c r="M175" i="7"/>
  <c r="L175" i="7"/>
  <c r="K175" i="7"/>
  <c r="J175" i="7"/>
  <c r="I175" i="7"/>
  <c r="H175" i="7"/>
  <c r="G175" i="7"/>
  <c r="F175" i="7"/>
  <c r="E175" i="7"/>
  <c r="W174" i="7"/>
  <c r="V174" i="7"/>
  <c r="U174" i="7"/>
  <c r="T174" i="7"/>
  <c r="S174" i="7"/>
  <c r="R174" i="7"/>
  <c r="Q174" i="7"/>
  <c r="P174" i="7"/>
  <c r="O174" i="7"/>
  <c r="N174" i="7"/>
  <c r="M174" i="7"/>
  <c r="L174" i="7"/>
  <c r="K174" i="7"/>
  <c r="J174" i="7"/>
  <c r="I174" i="7"/>
  <c r="H174" i="7"/>
  <c r="G174" i="7"/>
  <c r="F174" i="7"/>
  <c r="E174" i="7"/>
  <c r="W173" i="7"/>
  <c r="V173" i="7"/>
  <c r="U173" i="7"/>
  <c r="T173" i="7"/>
  <c r="S173" i="7"/>
  <c r="R173" i="7"/>
  <c r="Q173" i="7"/>
  <c r="P173" i="7"/>
  <c r="O173" i="7"/>
  <c r="N173" i="7"/>
  <c r="M173" i="7"/>
  <c r="L173" i="7"/>
  <c r="K173" i="7"/>
  <c r="J173" i="7"/>
  <c r="I173" i="7"/>
  <c r="H173" i="7"/>
  <c r="G173" i="7"/>
  <c r="F173" i="7"/>
  <c r="E173" i="7"/>
  <c r="W172" i="7"/>
  <c r="V172" i="7"/>
  <c r="U172" i="7"/>
  <c r="T172" i="7"/>
  <c r="S172" i="7"/>
  <c r="R172" i="7"/>
  <c r="Q172" i="7"/>
  <c r="P172" i="7"/>
  <c r="O172" i="7"/>
  <c r="N172" i="7"/>
  <c r="M172" i="7"/>
  <c r="L172" i="7"/>
  <c r="K172" i="7"/>
  <c r="J172" i="7"/>
  <c r="I172" i="7"/>
  <c r="H172" i="7"/>
  <c r="G172" i="7"/>
  <c r="F172" i="7"/>
  <c r="E172" i="7"/>
  <c r="W171" i="7"/>
  <c r="V171" i="7"/>
  <c r="U171" i="7"/>
  <c r="T171" i="7"/>
  <c r="S171" i="7"/>
  <c r="R171" i="7"/>
  <c r="Q171" i="7"/>
  <c r="P171" i="7"/>
  <c r="O171" i="7"/>
  <c r="N171" i="7"/>
  <c r="M171" i="7"/>
  <c r="L171" i="7"/>
  <c r="K171" i="7"/>
  <c r="J171" i="7"/>
  <c r="I171" i="7"/>
  <c r="H171" i="7"/>
  <c r="G171" i="7"/>
  <c r="F171" i="7"/>
  <c r="E171" i="7"/>
  <c r="W170" i="7"/>
  <c r="V170" i="7"/>
  <c r="U170" i="7"/>
  <c r="T170" i="7"/>
  <c r="S170" i="7"/>
  <c r="R170" i="7"/>
  <c r="Q170" i="7"/>
  <c r="P170" i="7"/>
  <c r="O170" i="7"/>
  <c r="N170" i="7"/>
  <c r="M170" i="7"/>
  <c r="L170" i="7"/>
  <c r="K170" i="7"/>
  <c r="J170" i="7"/>
  <c r="I170" i="7"/>
  <c r="H170" i="7"/>
  <c r="G170" i="7"/>
  <c r="F170" i="7"/>
  <c r="E170" i="7"/>
  <c r="W169" i="7"/>
  <c r="V169" i="7"/>
  <c r="U169" i="7"/>
  <c r="T169" i="7"/>
  <c r="S169" i="7"/>
  <c r="R169" i="7"/>
  <c r="Q169" i="7"/>
  <c r="P169" i="7"/>
  <c r="O169" i="7"/>
  <c r="N169" i="7"/>
  <c r="M169" i="7"/>
  <c r="L169" i="7"/>
  <c r="K169" i="7"/>
  <c r="J169" i="7"/>
  <c r="I169" i="7"/>
  <c r="H169" i="7"/>
  <c r="G169" i="7"/>
  <c r="F169" i="7"/>
  <c r="E169" i="7"/>
  <c r="W168" i="7"/>
  <c r="V168" i="7"/>
  <c r="U168" i="7"/>
  <c r="T168" i="7"/>
  <c r="S168" i="7"/>
  <c r="R168" i="7"/>
  <c r="Q168" i="7"/>
  <c r="P168" i="7"/>
  <c r="O168" i="7"/>
  <c r="N168" i="7"/>
  <c r="M168" i="7"/>
  <c r="L168" i="7"/>
  <c r="K168" i="7"/>
  <c r="J168" i="7"/>
  <c r="I168" i="7"/>
  <c r="H168" i="7"/>
  <c r="G168" i="7"/>
  <c r="F168" i="7"/>
  <c r="E168" i="7"/>
  <c r="W167" i="7"/>
  <c r="V167" i="7"/>
  <c r="U167" i="7"/>
  <c r="T167" i="7"/>
  <c r="S167" i="7"/>
  <c r="R167" i="7"/>
  <c r="Q167" i="7"/>
  <c r="P167" i="7"/>
  <c r="O167" i="7"/>
  <c r="N167" i="7"/>
  <c r="M167" i="7"/>
  <c r="L167" i="7"/>
  <c r="K167" i="7"/>
  <c r="J167" i="7"/>
  <c r="I167" i="7"/>
  <c r="H167" i="7"/>
  <c r="G167" i="7"/>
  <c r="F167" i="7"/>
  <c r="E167" i="7"/>
  <c r="W166" i="7"/>
  <c r="V166" i="7"/>
  <c r="U166" i="7"/>
  <c r="T166" i="7"/>
  <c r="S166" i="7"/>
  <c r="R166" i="7"/>
  <c r="Q166" i="7"/>
  <c r="P166" i="7"/>
  <c r="O166" i="7"/>
  <c r="N166" i="7"/>
  <c r="M166" i="7"/>
  <c r="L166" i="7"/>
  <c r="K166" i="7"/>
  <c r="J166" i="7"/>
  <c r="I166" i="7"/>
  <c r="H166" i="7"/>
  <c r="G166" i="7"/>
  <c r="F166" i="7"/>
  <c r="E166" i="7"/>
  <c r="W165" i="7"/>
  <c r="V165" i="7"/>
  <c r="U165" i="7"/>
  <c r="T165" i="7"/>
  <c r="S165" i="7"/>
  <c r="R165" i="7"/>
  <c r="Q165" i="7"/>
  <c r="P165" i="7"/>
  <c r="O165" i="7"/>
  <c r="N165" i="7"/>
  <c r="M165" i="7"/>
  <c r="L165" i="7"/>
  <c r="K165" i="7"/>
  <c r="J165" i="7"/>
  <c r="I165" i="7"/>
  <c r="H165" i="7"/>
  <c r="G165" i="7"/>
  <c r="F165" i="7"/>
  <c r="E165" i="7"/>
  <c r="W164" i="7"/>
  <c r="V164" i="7"/>
  <c r="U164" i="7"/>
  <c r="T164" i="7"/>
  <c r="S164" i="7"/>
  <c r="R164" i="7"/>
  <c r="Q164" i="7"/>
  <c r="P164" i="7"/>
  <c r="O164" i="7"/>
  <c r="N164" i="7"/>
  <c r="M164" i="7"/>
  <c r="L164" i="7"/>
  <c r="K164" i="7"/>
  <c r="J164" i="7"/>
  <c r="I164" i="7"/>
  <c r="H164" i="7"/>
  <c r="G164" i="7"/>
  <c r="F164" i="7"/>
  <c r="E164" i="7"/>
  <c r="W163" i="7"/>
  <c r="V163" i="7"/>
  <c r="U163" i="7"/>
  <c r="T163" i="7"/>
  <c r="S163" i="7"/>
  <c r="R163" i="7"/>
  <c r="Q163" i="7"/>
  <c r="P163" i="7"/>
  <c r="O163" i="7"/>
  <c r="N163" i="7"/>
  <c r="M163" i="7"/>
  <c r="L163" i="7"/>
  <c r="K163" i="7"/>
  <c r="J163" i="7"/>
  <c r="I163" i="7"/>
  <c r="H163" i="7"/>
  <c r="G163" i="7"/>
  <c r="F163" i="7"/>
  <c r="E163" i="7"/>
  <c r="W162" i="7"/>
  <c r="V162" i="7"/>
  <c r="U162" i="7"/>
  <c r="T162" i="7"/>
  <c r="S162" i="7"/>
  <c r="R162" i="7"/>
  <c r="Q162" i="7"/>
  <c r="P162" i="7"/>
  <c r="O162" i="7"/>
  <c r="N162" i="7"/>
  <c r="M162" i="7"/>
  <c r="L162" i="7"/>
  <c r="K162" i="7"/>
  <c r="J162" i="7"/>
  <c r="I162" i="7"/>
  <c r="H162" i="7"/>
  <c r="G162" i="7"/>
  <c r="F162" i="7"/>
  <c r="E162" i="7"/>
  <c r="W161" i="7"/>
  <c r="V161" i="7"/>
  <c r="U161" i="7"/>
  <c r="T161" i="7"/>
  <c r="S161" i="7"/>
  <c r="R161" i="7"/>
  <c r="Q161" i="7"/>
  <c r="P161" i="7"/>
  <c r="O161" i="7"/>
  <c r="N161" i="7"/>
  <c r="M161" i="7"/>
  <c r="L161" i="7"/>
  <c r="K161" i="7"/>
  <c r="J161" i="7"/>
  <c r="I161" i="7"/>
  <c r="H161" i="7"/>
  <c r="G161" i="7"/>
  <c r="F161" i="7"/>
  <c r="E161" i="7"/>
  <c r="W160" i="7"/>
  <c r="V160" i="7"/>
  <c r="U160" i="7"/>
  <c r="T160" i="7"/>
  <c r="S160" i="7"/>
  <c r="R160" i="7"/>
  <c r="Q160" i="7"/>
  <c r="P160" i="7"/>
  <c r="O160" i="7"/>
  <c r="N160" i="7"/>
  <c r="M160" i="7"/>
  <c r="L160" i="7"/>
  <c r="K160" i="7"/>
  <c r="J160" i="7"/>
  <c r="I160" i="7"/>
  <c r="H160" i="7"/>
  <c r="G160" i="7"/>
  <c r="F160" i="7"/>
  <c r="E160" i="7"/>
  <c r="W159" i="7"/>
  <c r="V159" i="7"/>
  <c r="U159" i="7"/>
  <c r="T159" i="7"/>
  <c r="S159" i="7"/>
  <c r="R159" i="7"/>
  <c r="Q159" i="7"/>
  <c r="P159" i="7"/>
  <c r="O159" i="7"/>
  <c r="N159" i="7"/>
  <c r="M159" i="7"/>
  <c r="L159" i="7"/>
  <c r="K159" i="7"/>
  <c r="J159" i="7"/>
  <c r="I159" i="7"/>
  <c r="H159" i="7"/>
  <c r="G159" i="7"/>
  <c r="F159" i="7"/>
  <c r="E159" i="7"/>
  <c r="W158" i="7"/>
  <c r="V158" i="7"/>
  <c r="U158" i="7"/>
  <c r="T158" i="7"/>
  <c r="S158" i="7"/>
  <c r="R158" i="7"/>
  <c r="Q158" i="7"/>
  <c r="P158" i="7"/>
  <c r="O158" i="7"/>
  <c r="N158" i="7"/>
  <c r="M158" i="7"/>
  <c r="L158" i="7"/>
  <c r="K158" i="7"/>
  <c r="J158" i="7"/>
  <c r="I158" i="7"/>
  <c r="H158" i="7"/>
  <c r="G158" i="7"/>
  <c r="F158" i="7"/>
  <c r="E158" i="7"/>
  <c r="W157" i="7"/>
  <c r="V157" i="7"/>
  <c r="U157" i="7"/>
  <c r="T157" i="7"/>
  <c r="S157" i="7"/>
  <c r="R157" i="7"/>
  <c r="Q157" i="7"/>
  <c r="P157" i="7"/>
  <c r="O157" i="7"/>
  <c r="N157" i="7"/>
  <c r="M157" i="7"/>
  <c r="L157" i="7"/>
  <c r="K157" i="7"/>
  <c r="J157" i="7"/>
  <c r="I157" i="7"/>
  <c r="H157" i="7"/>
  <c r="G157" i="7"/>
  <c r="F157" i="7"/>
  <c r="E157" i="7"/>
  <c r="W156" i="7"/>
  <c r="V156" i="7"/>
  <c r="U156" i="7"/>
  <c r="T156" i="7"/>
  <c r="S156" i="7"/>
  <c r="R156" i="7"/>
  <c r="Q156" i="7"/>
  <c r="P156" i="7"/>
  <c r="O156" i="7"/>
  <c r="N156" i="7"/>
  <c r="M156" i="7"/>
  <c r="L156" i="7"/>
  <c r="K156" i="7"/>
  <c r="J156" i="7"/>
  <c r="I156" i="7"/>
  <c r="H156" i="7"/>
  <c r="G156" i="7"/>
  <c r="F156" i="7"/>
  <c r="E156" i="7"/>
  <c r="W155" i="7"/>
  <c r="V155" i="7"/>
  <c r="U155" i="7"/>
  <c r="T155" i="7"/>
  <c r="S155" i="7"/>
  <c r="R155" i="7"/>
  <c r="Q155" i="7"/>
  <c r="P155" i="7"/>
  <c r="O155" i="7"/>
  <c r="N155" i="7"/>
  <c r="M155" i="7"/>
  <c r="L155" i="7"/>
  <c r="K155" i="7"/>
  <c r="J155" i="7"/>
  <c r="I155" i="7"/>
  <c r="H155" i="7"/>
  <c r="G155" i="7"/>
  <c r="F155" i="7"/>
  <c r="E155" i="7"/>
  <c r="W154" i="7"/>
  <c r="V154" i="7"/>
  <c r="U154" i="7"/>
  <c r="T154" i="7"/>
  <c r="S154" i="7"/>
  <c r="R154" i="7"/>
  <c r="Q154" i="7"/>
  <c r="P154" i="7"/>
  <c r="O154" i="7"/>
  <c r="N154" i="7"/>
  <c r="M154" i="7"/>
  <c r="L154" i="7"/>
  <c r="K154" i="7"/>
  <c r="J154" i="7"/>
  <c r="I154" i="7"/>
  <c r="H154" i="7"/>
  <c r="G154" i="7"/>
  <c r="F154" i="7"/>
  <c r="E154" i="7"/>
  <c r="W153" i="7"/>
  <c r="V153" i="7"/>
  <c r="U153" i="7"/>
  <c r="T153" i="7"/>
  <c r="S153" i="7"/>
  <c r="R153" i="7"/>
  <c r="Q153" i="7"/>
  <c r="P153" i="7"/>
  <c r="O153" i="7"/>
  <c r="N153" i="7"/>
  <c r="M153" i="7"/>
  <c r="L153" i="7"/>
  <c r="K153" i="7"/>
  <c r="J153" i="7"/>
  <c r="I153" i="7"/>
  <c r="H153" i="7"/>
  <c r="G153" i="7"/>
  <c r="F153" i="7"/>
  <c r="E153" i="7"/>
  <c r="W152" i="7"/>
  <c r="V152" i="7"/>
  <c r="U152" i="7"/>
  <c r="T152" i="7"/>
  <c r="S152" i="7"/>
  <c r="R152" i="7"/>
  <c r="Q152" i="7"/>
  <c r="P152" i="7"/>
  <c r="O152" i="7"/>
  <c r="N152" i="7"/>
  <c r="M152" i="7"/>
  <c r="L152" i="7"/>
  <c r="K152" i="7"/>
  <c r="J152" i="7"/>
  <c r="I152" i="7"/>
  <c r="H152" i="7"/>
  <c r="G152" i="7"/>
  <c r="F152" i="7"/>
  <c r="E152" i="7"/>
  <c r="W151" i="7"/>
  <c r="V151" i="7"/>
  <c r="U151" i="7"/>
  <c r="T151" i="7"/>
  <c r="S151" i="7"/>
  <c r="R151" i="7"/>
  <c r="Q151" i="7"/>
  <c r="P151" i="7"/>
  <c r="O151" i="7"/>
  <c r="N151" i="7"/>
  <c r="M151" i="7"/>
  <c r="L151" i="7"/>
  <c r="K151" i="7"/>
  <c r="J151" i="7"/>
  <c r="I151" i="7"/>
  <c r="H151" i="7"/>
  <c r="G151" i="7"/>
  <c r="F151" i="7"/>
  <c r="E151" i="7"/>
  <c r="W150" i="7"/>
  <c r="V150" i="7"/>
  <c r="U150" i="7"/>
  <c r="T150" i="7"/>
  <c r="S150" i="7"/>
  <c r="R150" i="7"/>
  <c r="Q150" i="7"/>
  <c r="P150" i="7"/>
  <c r="O150" i="7"/>
  <c r="N150" i="7"/>
  <c r="M150" i="7"/>
  <c r="L150" i="7"/>
  <c r="K150" i="7"/>
  <c r="J150" i="7"/>
  <c r="I150" i="7"/>
  <c r="H150" i="7"/>
  <c r="G150" i="7"/>
  <c r="F150" i="7"/>
  <c r="E150" i="7"/>
  <c r="W149" i="7"/>
  <c r="V149" i="7"/>
  <c r="U149" i="7"/>
  <c r="T149" i="7"/>
  <c r="S149" i="7"/>
  <c r="R149" i="7"/>
  <c r="Q149" i="7"/>
  <c r="P149" i="7"/>
  <c r="O149" i="7"/>
  <c r="N149" i="7"/>
  <c r="M149" i="7"/>
  <c r="L149" i="7"/>
  <c r="K149" i="7"/>
  <c r="J149" i="7"/>
  <c r="I149" i="7"/>
  <c r="H149" i="7"/>
  <c r="G149" i="7"/>
  <c r="F149" i="7"/>
  <c r="E149" i="7"/>
  <c r="W148" i="7"/>
  <c r="V148" i="7"/>
  <c r="U148" i="7"/>
  <c r="T148" i="7"/>
  <c r="S148" i="7"/>
  <c r="R148" i="7"/>
  <c r="Q148" i="7"/>
  <c r="P148" i="7"/>
  <c r="O148" i="7"/>
  <c r="N148" i="7"/>
  <c r="M148" i="7"/>
  <c r="L148" i="7"/>
  <c r="K148" i="7"/>
  <c r="J148" i="7"/>
  <c r="I148" i="7"/>
  <c r="H148" i="7"/>
  <c r="G148" i="7"/>
  <c r="F148" i="7"/>
  <c r="E148" i="7"/>
  <c r="W146" i="7"/>
  <c r="V146" i="7"/>
  <c r="U146" i="7"/>
  <c r="T146" i="7"/>
  <c r="S146" i="7"/>
  <c r="R146" i="7"/>
  <c r="Q146" i="7"/>
  <c r="P146" i="7"/>
  <c r="O146" i="7"/>
  <c r="N146" i="7"/>
  <c r="M146" i="7"/>
  <c r="L146" i="7"/>
  <c r="K146" i="7"/>
  <c r="J146" i="7"/>
  <c r="I146" i="7"/>
  <c r="H146" i="7"/>
  <c r="G146" i="7"/>
  <c r="F146" i="7"/>
  <c r="E146" i="7"/>
  <c r="W145" i="7"/>
  <c r="V145" i="7"/>
  <c r="U145" i="7"/>
  <c r="T145" i="7"/>
  <c r="S145" i="7"/>
  <c r="R145" i="7"/>
  <c r="Q145" i="7"/>
  <c r="P145" i="7"/>
  <c r="O145" i="7"/>
  <c r="N145" i="7"/>
  <c r="M145" i="7"/>
  <c r="L145" i="7"/>
  <c r="K145" i="7"/>
  <c r="J145" i="7"/>
  <c r="I145" i="7"/>
  <c r="H145" i="7"/>
  <c r="G145" i="7"/>
  <c r="F145" i="7"/>
  <c r="E145" i="7"/>
  <c r="W144" i="7"/>
  <c r="V144" i="7"/>
  <c r="U144" i="7"/>
  <c r="T144" i="7"/>
  <c r="S144" i="7"/>
  <c r="R144" i="7"/>
  <c r="Q144" i="7"/>
  <c r="P144" i="7"/>
  <c r="O144" i="7"/>
  <c r="N144" i="7"/>
  <c r="M144" i="7"/>
  <c r="L144" i="7"/>
  <c r="K144" i="7"/>
  <c r="J144" i="7"/>
  <c r="I144" i="7"/>
  <c r="H144" i="7"/>
  <c r="G144" i="7"/>
  <c r="F144" i="7"/>
  <c r="E144" i="7"/>
  <c r="W143" i="7"/>
  <c r="V143" i="7"/>
  <c r="U143" i="7"/>
  <c r="T143" i="7"/>
  <c r="S143" i="7"/>
  <c r="R143" i="7"/>
  <c r="Q143" i="7"/>
  <c r="P143" i="7"/>
  <c r="O143" i="7"/>
  <c r="N143" i="7"/>
  <c r="M143" i="7"/>
  <c r="L143" i="7"/>
  <c r="K143" i="7"/>
  <c r="J143" i="7"/>
  <c r="I143" i="7"/>
  <c r="H143" i="7"/>
  <c r="G143" i="7"/>
  <c r="F143" i="7"/>
  <c r="E143" i="7"/>
  <c r="W142" i="7"/>
  <c r="V142" i="7"/>
  <c r="U142" i="7"/>
  <c r="T142" i="7"/>
  <c r="S142" i="7"/>
  <c r="R142" i="7"/>
  <c r="Q142" i="7"/>
  <c r="P142" i="7"/>
  <c r="O142" i="7"/>
  <c r="N142" i="7"/>
  <c r="M142" i="7"/>
  <c r="L142" i="7"/>
  <c r="K142" i="7"/>
  <c r="J142" i="7"/>
  <c r="I142" i="7"/>
  <c r="H142" i="7"/>
  <c r="G142" i="7"/>
  <c r="F142" i="7"/>
  <c r="E142" i="7"/>
  <c r="W141" i="7"/>
  <c r="V141" i="7"/>
  <c r="U141" i="7"/>
  <c r="T141" i="7"/>
  <c r="S141" i="7"/>
  <c r="R141" i="7"/>
  <c r="Q141" i="7"/>
  <c r="P141" i="7"/>
  <c r="O141" i="7"/>
  <c r="N141" i="7"/>
  <c r="M141" i="7"/>
  <c r="L141" i="7"/>
  <c r="K141" i="7"/>
  <c r="J141" i="7"/>
  <c r="I141" i="7"/>
  <c r="H141" i="7"/>
  <c r="G141" i="7"/>
  <c r="F141" i="7"/>
  <c r="E141" i="7"/>
  <c r="W140" i="7"/>
  <c r="V140" i="7"/>
  <c r="U140" i="7"/>
  <c r="T140" i="7"/>
  <c r="S140" i="7"/>
  <c r="R140" i="7"/>
  <c r="Q140" i="7"/>
  <c r="P140" i="7"/>
  <c r="O140" i="7"/>
  <c r="N140" i="7"/>
  <c r="M140" i="7"/>
  <c r="L140" i="7"/>
  <c r="K140" i="7"/>
  <c r="J140" i="7"/>
  <c r="I140" i="7"/>
  <c r="H140" i="7"/>
  <c r="G140" i="7"/>
  <c r="F140" i="7"/>
  <c r="E140" i="7"/>
  <c r="W139" i="7"/>
  <c r="V139" i="7"/>
  <c r="U139" i="7"/>
  <c r="T139" i="7"/>
  <c r="S139" i="7"/>
  <c r="R139" i="7"/>
  <c r="Q139" i="7"/>
  <c r="P139" i="7"/>
  <c r="O139" i="7"/>
  <c r="N139" i="7"/>
  <c r="M139" i="7"/>
  <c r="L139" i="7"/>
  <c r="K139" i="7"/>
  <c r="J139" i="7"/>
  <c r="I139" i="7"/>
  <c r="H139" i="7"/>
  <c r="G139" i="7"/>
  <c r="F139" i="7"/>
  <c r="E139" i="7"/>
  <c r="W138" i="7"/>
  <c r="V138" i="7"/>
  <c r="U138" i="7"/>
  <c r="T138" i="7"/>
  <c r="S138" i="7"/>
  <c r="R138" i="7"/>
  <c r="Q138" i="7"/>
  <c r="P138" i="7"/>
  <c r="O138" i="7"/>
  <c r="N138" i="7"/>
  <c r="M138" i="7"/>
  <c r="L138" i="7"/>
  <c r="K138" i="7"/>
  <c r="J138" i="7"/>
  <c r="I138" i="7"/>
  <c r="H138" i="7"/>
  <c r="G138" i="7"/>
  <c r="F138" i="7"/>
  <c r="E138" i="7"/>
  <c r="W137" i="7"/>
  <c r="V137" i="7"/>
  <c r="U137" i="7"/>
  <c r="T137" i="7"/>
  <c r="S137" i="7"/>
  <c r="R137" i="7"/>
  <c r="Q137" i="7"/>
  <c r="P137" i="7"/>
  <c r="O137" i="7"/>
  <c r="N137" i="7"/>
  <c r="M137" i="7"/>
  <c r="L137" i="7"/>
  <c r="K137" i="7"/>
  <c r="J137" i="7"/>
  <c r="I137" i="7"/>
  <c r="H137" i="7"/>
  <c r="G137" i="7"/>
  <c r="F137" i="7"/>
  <c r="E137" i="7"/>
  <c r="W136" i="7"/>
  <c r="V136" i="7"/>
  <c r="U136" i="7"/>
  <c r="T136" i="7"/>
  <c r="S136" i="7"/>
  <c r="R136" i="7"/>
  <c r="Q136" i="7"/>
  <c r="P136" i="7"/>
  <c r="O136" i="7"/>
  <c r="N136" i="7"/>
  <c r="M136" i="7"/>
  <c r="L136" i="7"/>
  <c r="K136" i="7"/>
  <c r="J136" i="7"/>
  <c r="I136" i="7"/>
  <c r="H136" i="7"/>
  <c r="G136" i="7"/>
  <c r="F136" i="7"/>
  <c r="E136" i="7"/>
  <c r="W135" i="7"/>
  <c r="V135" i="7"/>
  <c r="U135" i="7"/>
  <c r="T135" i="7"/>
  <c r="S135" i="7"/>
  <c r="R135" i="7"/>
  <c r="Q135" i="7"/>
  <c r="P135" i="7"/>
  <c r="O135" i="7"/>
  <c r="N135" i="7"/>
  <c r="M135" i="7"/>
  <c r="L135" i="7"/>
  <c r="K135" i="7"/>
  <c r="J135" i="7"/>
  <c r="I135" i="7"/>
  <c r="H135" i="7"/>
  <c r="G135" i="7"/>
  <c r="F135" i="7"/>
  <c r="E135" i="7"/>
  <c r="W134" i="7"/>
  <c r="V134" i="7"/>
  <c r="U134" i="7"/>
  <c r="T134" i="7"/>
  <c r="S134" i="7"/>
  <c r="R134" i="7"/>
  <c r="Q134" i="7"/>
  <c r="P134" i="7"/>
  <c r="O134" i="7"/>
  <c r="N134" i="7"/>
  <c r="M134" i="7"/>
  <c r="L134" i="7"/>
  <c r="K134" i="7"/>
  <c r="J134" i="7"/>
  <c r="I134" i="7"/>
  <c r="H134" i="7"/>
  <c r="G134" i="7"/>
  <c r="F134" i="7"/>
  <c r="E134" i="7"/>
  <c r="W133" i="7"/>
  <c r="V133" i="7"/>
  <c r="U133" i="7"/>
  <c r="T133" i="7"/>
  <c r="S133" i="7"/>
  <c r="R133" i="7"/>
  <c r="Q133" i="7"/>
  <c r="P133" i="7"/>
  <c r="O133" i="7"/>
  <c r="N133" i="7"/>
  <c r="M133" i="7"/>
  <c r="L133" i="7"/>
  <c r="K133" i="7"/>
  <c r="J133" i="7"/>
  <c r="I133" i="7"/>
  <c r="H133" i="7"/>
  <c r="G133" i="7"/>
  <c r="F133" i="7"/>
  <c r="E133" i="7"/>
  <c r="W132" i="7"/>
  <c r="V132" i="7"/>
  <c r="U132" i="7"/>
  <c r="T132" i="7"/>
  <c r="S132" i="7"/>
  <c r="R132" i="7"/>
  <c r="Q132" i="7"/>
  <c r="P132" i="7"/>
  <c r="O132" i="7"/>
  <c r="N132" i="7"/>
  <c r="M132" i="7"/>
  <c r="L132" i="7"/>
  <c r="K132" i="7"/>
  <c r="J132" i="7"/>
  <c r="I132" i="7"/>
  <c r="H132" i="7"/>
  <c r="G132" i="7"/>
  <c r="F132" i="7"/>
  <c r="E132" i="7"/>
  <c r="W131" i="7"/>
  <c r="V131" i="7"/>
  <c r="U131" i="7"/>
  <c r="T131" i="7"/>
  <c r="S131" i="7"/>
  <c r="R131" i="7"/>
  <c r="Q131" i="7"/>
  <c r="P131" i="7"/>
  <c r="O131" i="7"/>
  <c r="N131" i="7"/>
  <c r="M131" i="7"/>
  <c r="L131" i="7"/>
  <c r="K131" i="7"/>
  <c r="J131" i="7"/>
  <c r="I131" i="7"/>
  <c r="H131" i="7"/>
  <c r="G131" i="7"/>
  <c r="F131" i="7"/>
  <c r="E131" i="7"/>
  <c r="W130" i="7"/>
  <c r="V130" i="7"/>
  <c r="U130" i="7"/>
  <c r="T130" i="7"/>
  <c r="S130" i="7"/>
  <c r="R130" i="7"/>
  <c r="Q130" i="7"/>
  <c r="P130" i="7"/>
  <c r="O130" i="7"/>
  <c r="N130" i="7"/>
  <c r="M130" i="7"/>
  <c r="L130" i="7"/>
  <c r="K130" i="7"/>
  <c r="J130" i="7"/>
  <c r="I130" i="7"/>
  <c r="H130" i="7"/>
  <c r="G130" i="7"/>
  <c r="F130" i="7"/>
  <c r="E130" i="7"/>
  <c r="W129" i="7"/>
  <c r="V129" i="7"/>
  <c r="U129" i="7"/>
  <c r="T129" i="7"/>
  <c r="S129" i="7"/>
  <c r="R129" i="7"/>
  <c r="Q129" i="7"/>
  <c r="P129" i="7"/>
  <c r="O129" i="7"/>
  <c r="N129" i="7"/>
  <c r="M129" i="7"/>
  <c r="L129" i="7"/>
  <c r="K129" i="7"/>
  <c r="J129" i="7"/>
  <c r="I129" i="7"/>
  <c r="H129" i="7"/>
  <c r="G129" i="7"/>
  <c r="F129" i="7"/>
  <c r="E129" i="7"/>
  <c r="W128" i="7"/>
  <c r="V128" i="7"/>
  <c r="U128" i="7"/>
  <c r="T128" i="7"/>
  <c r="S128" i="7"/>
  <c r="R128" i="7"/>
  <c r="Q128" i="7"/>
  <c r="P128" i="7"/>
  <c r="O128" i="7"/>
  <c r="N128" i="7"/>
  <c r="M128" i="7"/>
  <c r="L128" i="7"/>
  <c r="K128" i="7"/>
  <c r="J128" i="7"/>
  <c r="I128" i="7"/>
  <c r="H128" i="7"/>
  <c r="G128" i="7"/>
  <c r="F128" i="7"/>
  <c r="E128" i="7"/>
  <c r="W127" i="7"/>
  <c r="V127" i="7"/>
  <c r="U127" i="7"/>
  <c r="T127" i="7"/>
  <c r="S127" i="7"/>
  <c r="R127" i="7"/>
  <c r="Q127" i="7"/>
  <c r="P127" i="7"/>
  <c r="O127" i="7"/>
  <c r="N127" i="7"/>
  <c r="M127" i="7"/>
  <c r="L127" i="7"/>
  <c r="K127" i="7"/>
  <c r="J127" i="7"/>
  <c r="I127" i="7"/>
  <c r="H127" i="7"/>
  <c r="G127" i="7"/>
  <c r="F127" i="7"/>
  <c r="E127" i="7"/>
  <c r="W126" i="7"/>
  <c r="V126" i="7"/>
  <c r="U126" i="7"/>
  <c r="T126" i="7"/>
  <c r="S126" i="7"/>
  <c r="R126" i="7"/>
  <c r="Q126" i="7"/>
  <c r="P126" i="7"/>
  <c r="O126" i="7"/>
  <c r="N126" i="7"/>
  <c r="M126" i="7"/>
  <c r="L126" i="7"/>
  <c r="K126" i="7"/>
  <c r="J126" i="7"/>
  <c r="I126" i="7"/>
  <c r="H126" i="7"/>
  <c r="G126" i="7"/>
  <c r="F126" i="7"/>
  <c r="E126" i="7"/>
  <c r="W125" i="7"/>
  <c r="V125" i="7"/>
  <c r="U125" i="7"/>
  <c r="T125" i="7"/>
  <c r="S125" i="7"/>
  <c r="R125" i="7"/>
  <c r="Q125" i="7"/>
  <c r="P125" i="7"/>
  <c r="O125" i="7"/>
  <c r="N125" i="7"/>
  <c r="M125" i="7"/>
  <c r="L125" i="7"/>
  <c r="K125" i="7"/>
  <c r="J125" i="7"/>
  <c r="I125" i="7"/>
  <c r="H125" i="7"/>
  <c r="G125" i="7"/>
  <c r="F125" i="7"/>
  <c r="E125" i="7"/>
  <c r="W124" i="7"/>
  <c r="V124" i="7"/>
  <c r="U124" i="7"/>
  <c r="T124" i="7"/>
  <c r="S124" i="7"/>
  <c r="R124" i="7"/>
  <c r="Q124" i="7"/>
  <c r="P124" i="7"/>
  <c r="O124" i="7"/>
  <c r="N124" i="7"/>
  <c r="M124" i="7"/>
  <c r="L124" i="7"/>
  <c r="K124" i="7"/>
  <c r="J124" i="7"/>
  <c r="I124" i="7"/>
  <c r="H124" i="7"/>
  <c r="G124" i="7"/>
  <c r="F124" i="7"/>
  <c r="E124" i="7"/>
  <c r="W123" i="7"/>
  <c r="V123" i="7"/>
  <c r="U123" i="7"/>
  <c r="T123" i="7"/>
  <c r="S123" i="7"/>
  <c r="R123" i="7"/>
  <c r="Q123" i="7"/>
  <c r="P123" i="7"/>
  <c r="O123" i="7"/>
  <c r="N123" i="7"/>
  <c r="M123" i="7"/>
  <c r="L123" i="7"/>
  <c r="K123" i="7"/>
  <c r="J123" i="7"/>
  <c r="I123" i="7"/>
  <c r="H123" i="7"/>
  <c r="G123" i="7"/>
  <c r="F123" i="7"/>
  <c r="E123" i="7"/>
  <c r="W122" i="7"/>
  <c r="V122" i="7"/>
  <c r="U122" i="7"/>
  <c r="T122" i="7"/>
  <c r="S122" i="7"/>
  <c r="R122" i="7"/>
  <c r="Q122" i="7"/>
  <c r="P122" i="7"/>
  <c r="O122" i="7"/>
  <c r="N122" i="7"/>
  <c r="M122" i="7"/>
  <c r="L122" i="7"/>
  <c r="K122" i="7"/>
  <c r="J122" i="7"/>
  <c r="I122" i="7"/>
  <c r="H122" i="7"/>
  <c r="G122" i="7"/>
  <c r="F122" i="7"/>
  <c r="E122" i="7"/>
  <c r="W121" i="7"/>
  <c r="V121" i="7"/>
  <c r="U121" i="7"/>
  <c r="T121" i="7"/>
  <c r="S121" i="7"/>
  <c r="R121" i="7"/>
  <c r="Q121" i="7"/>
  <c r="P121" i="7"/>
  <c r="O121" i="7"/>
  <c r="N121" i="7"/>
  <c r="M121" i="7"/>
  <c r="L121" i="7"/>
  <c r="K121" i="7"/>
  <c r="J121" i="7"/>
  <c r="I121" i="7"/>
  <c r="H121" i="7"/>
  <c r="G121" i="7"/>
  <c r="F121" i="7"/>
  <c r="E121" i="7"/>
  <c r="W120" i="7"/>
  <c r="V120" i="7"/>
  <c r="U120" i="7"/>
  <c r="T120" i="7"/>
  <c r="S120" i="7"/>
  <c r="R120" i="7"/>
  <c r="Q120" i="7"/>
  <c r="P120" i="7"/>
  <c r="O120" i="7"/>
  <c r="N120" i="7"/>
  <c r="M120" i="7"/>
  <c r="L120" i="7"/>
  <c r="K120" i="7"/>
  <c r="J120" i="7"/>
  <c r="I120" i="7"/>
  <c r="H120" i="7"/>
  <c r="G120" i="7"/>
  <c r="F120" i="7"/>
  <c r="E120" i="7"/>
  <c r="W119" i="7"/>
  <c r="V119" i="7"/>
  <c r="U119" i="7"/>
  <c r="T119" i="7"/>
  <c r="S119" i="7"/>
  <c r="R119" i="7"/>
  <c r="Q119" i="7"/>
  <c r="P119" i="7"/>
  <c r="O119" i="7"/>
  <c r="N119" i="7"/>
  <c r="M119" i="7"/>
  <c r="L119" i="7"/>
  <c r="K119" i="7"/>
  <c r="J119" i="7"/>
  <c r="I119" i="7"/>
  <c r="H119" i="7"/>
  <c r="G119" i="7"/>
  <c r="F119" i="7"/>
  <c r="E119" i="7"/>
  <c r="W118" i="7"/>
  <c r="V118" i="7"/>
  <c r="U118" i="7"/>
  <c r="T118" i="7"/>
  <c r="S118" i="7"/>
  <c r="R118" i="7"/>
  <c r="Q118" i="7"/>
  <c r="P118" i="7"/>
  <c r="O118" i="7"/>
  <c r="N118" i="7"/>
  <c r="M118" i="7"/>
  <c r="L118" i="7"/>
  <c r="K118" i="7"/>
  <c r="J118" i="7"/>
  <c r="I118" i="7"/>
  <c r="H118" i="7"/>
  <c r="G118" i="7"/>
  <c r="F118" i="7"/>
  <c r="E118" i="7"/>
  <c r="W117" i="7"/>
  <c r="V117" i="7"/>
  <c r="U117" i="7"/>
  <c r="T117" i="7"/>
  <c r="S117" i="7"/>
  <c r="R117" i="7"/>
  <c r="Q117" i="7"/>
  <c r="P117" i="7"/>
  <c r="O117" i="7"/>
  <c r="N117" i="7"/>
  <c r="M117" i="7"/>
  <c r="L117" i="7"/>
  <c r="K117" i="7"/>
  <c r="J117" i="7"/>
  <c r="I117" i="7"/>
  <c r="H117" i="7"/>
  <c r="G117" i="7"/>
  <c r="F117" i="7"/>
  <c r="E117" i="7"/>
  <c r="W116" i="7"/>
  <c r="V116" i="7"/>
  <c r="U116" i="7"/>
  <c r="T116" i="7"/>
  <c r="S116" i="7"/>
  <c r="R116" i="7"/>
  <c r="Q116" i="7"/>
  <c r="P116" i="7"/>
  <c r="O116" i="7"/>
  <c r="N116" i="7"/>
  <c r="M116" i="7"/>
  <c r="L116" i="7"/>
  <c r="K116" i="7"/>
  <c r="J116" i="7"/>
  <c r="I116" i="7"/>
  <c r="H116" i="7"/>
  <c r="G116" i="7"/>
  <c r="F116" i="7"/>
  <c r="E116" i="7"/>
  <c r="W115" i="7"/>
  <c r="V115" i="7"/>
  <c r="U115" i="7"/>
  <c r="T115" i="7"/>
  <c r="S115" i="7"/>
  <c r="R115" i="7"/>
  <c r="Q115" i="7"/>
  <c r="P115" i="7"/>
  <c r="O115" i="7"/>
  <c r="N115" i="7"/>
  <c r="M115" i="7"/>
  <c r="L115" i="7"/>
  <c r="K115" i="7"/>
  <c r="J115" i="7"/>
  <c r="I115" i="7"/>
  <c r="H115" i="7"/>
  <c r="G115" i="7"/>
  <c r="F115" i="7"/>
  <c r="E115" i="7"/>
  <c r="W114" i="7"/>
  <c r="V114" i="7"/>
  <c r="U114" i="7"/>
  <c r="T114" i="7"/>
  <c r="S114" i="7"/>
  <c r="R114" i="7"/>
  <c r="Q114" i="7"/>
  <c r="P114" i="7"/>
  <c r="O114" i="7"/>
  <c r="N114" i="7"/>
  <c r="M114" i="7"/>
  <c r="L114" i="7"/>
  <c r="K114" i="7"/>
  <c r="J114" i="7"/>
  <c r="I114" i="7"/>
  <c r="H114" i="7"/>
  <c r="G114" i="7"/>
  <c r="F114" i="7"/>
  <c r="E114" i="7"/>
  <c r="W113" i="7"/>
  <c r="V113" i="7"/>
  <c r="U113" i="7"/>
  <c r="T113" i="7"/>
  <c r="S113" i="7"/>
  <c r="R113" i="7"/>
  <c r="Q113" i="7"/>
  <c r="P113" i="7"/>
  <c r="O113" i="7"/>
  <c r="N113" i="7"/>
  <c r="M113" i="7"/>
  <c r="L113" i="7"/>
  <c r="K113" i="7"/>
  <c r="J113" i="7"/>
  <c r="I113" i="7"/>
  <c r="H113" i="7"/>
  <c r="G113" i="7"/>
  <c r="F113" i="7"/>
  <c r="E113" i="7"/>
  <c r="W112" i="7"/>
  <c r="V112" i="7"/>
  <c r="U112" i="7"/>
  <c r="T112" i="7"/>
  <c r="S112" i="7"/>
  <c r="R112" i="7"/>
  <c r="Q112" i="7"/>
  <c r="P112" i="7"/>
  <c r="O112" i="7"/>
  <c r="N112" i="7"/>
  <c r="M112" i="7"/>
  <c r="L112" i="7"/>
  <c r="K112" i="7"/>
  <c r="J112" i="7"/>
  <c r="I112" i="7"/>
  <c r="H112" i="7"/>
  <c r="G112" i="7"/>
  <c r="F112" i="7"/>
  <c r="E112" i="7"/>
  <c r="W111" i="7"/>
  <c r="V111" i="7"/>
  <c r="U111" i="7"/>
  <c r="T111" i="7"/>
  <c r="S111" i="7"/>
  <c r="R111" i="7"/>
  <c r="Q111" i="7"/>
  <c r="P111" i="7"/>
  <c r="O111" i="7"/>
  <c r="N111" i="7"/>
  <c r="M111" i="7"/>
  <c r="L111" i="7"/>
  <c r="K111" i="7"/>
  <c r="J111" i="7"/>
  <c r="I111" i="7"/>
  <c r="H111" i="7"/>
  <c r="G111" i="7"/>
  <c r="F111" i="7"/>
  <c r="E111" i="7"/>
  <c r="W110" i="7"/>
  <c r="V110" i="7"/>
  <c r="U110" i="7"/>
  <c r="T110" i="7"/>
  <c r="S110" i="7"/>
  <c r="R110" i="7"/>
  <c r="Q110" i="7"/>
  <c r="P110" i="7"/>
  <c r="O110" i="7"/>
  <c r="N110" i="7"/>
  <c r="M110" i="7"/>
  <c r="L110" i="7"/>
  <c r="K110" i="7"/>
  <c r="J110" i="7"/>
  <c r="I110" i="7"/>
  <c r="H110" i="7"/>
  <c r="G110" i="7"/>
  <c r="F110" i="7"/>
  <c r="E110" i="7"/>
  <c r="W109" i="7"/>
  <c r="V109" i="7"/>
  <c r="U109" i="7"/>
  <c r="T109" i="7"/>
  <c r="S109" i="7"/>
  <c r="R109" i="7"/>
  <c r="Q109" i="7"/>
  <c r="P109" i="7"/>
  <c r="O109" i="7"/>
  <c r="N109" i="7"/>
  <c r="M109" i="7"/>
  <c r="L109" i="7"/>
  <c r="K109" i="7"/>
  <c r="J109" i="7"/>
  <c r="I109" i="7"/>
  <c r="H109" i="7"/>
  <c r="G109" i="7"/>
  <c r="F109" i="7"/>
  <c r="E109" i="7"/>
  <c r="W108" i="7"/>
  <c r="V108" i="7"/>
  <c r="U108" i="7"/>
  <c r="T108" i="7"/>
  <c r="S108" i="7"/>
  <c r="R108" i="7"/>
  <c r="Q108" i="7"/>
  <c r="P108" i="7"/>
  <c r="O108" i="7"/>
  <c r="N108" i="7"/>
  <c r="M108" i="7"/>
  <c r="L108" i="7"/>
  <c r="K108" i="7"/>
  <c r="J108" i="7"/>
  <c r="I108" i="7"/>
  <c r="H108" i="7"/>
  <c r="G108" i="7"/>
  <c r="F108" i="7"/>
  <c r="E108" i="7"/>
  <c r="W107" i="7"/>
  <c r="V107" i="7"/>
  <c r="U107" i="7"/>
  <c r="T107" i="7"/>
  <c r="S107" i="7"/>
  <c r="R107" i="7"/>
  <c r="Q107" i="7"/>
  <c r="P107" i="7"/>
  <c r="O107" i="7"/>
  <c r="N107" i="7"/>
  <c r="M107" i="7"/>
  <c r="L107" i="7"/>
  <c r="K107" i="7"/>
  <c r="J107" i="7"/>
  <c r="I107" i="7"/>
  <c r="H107" i="7"/>
  <c r="G107" i="7"/>
  <c r="F107" i="7"/>
  <c r="E107" i="7"/>
  <c r="W106" i="7"/>
  <c r="V106" i="7"/>
  <c r="U106" i="7"/>
  <c r="T106" i="7"/>
  <c r="S106" i="7"/>
  <c r="R106" i="7"/>
  <c r="Q106" i="7"/>
  <c r="P106" i="7"/>
  <c r="O106" i="7"/>
  <c r="N106" i="7"/>
  <c r="M106" i="7"/>
  <c r="L106" i="7"/>
  <c r="K106" i="7"/>
  <c r="J106" i="7"/>
  <c r="I106" i="7"/>
  <c r="H106" i="7"/>
  <c r="G106" i="7"/>
  <c r="F106" i="7"/>
  <c r="E106" i="7"/>
  <c r="W105" i="7"/>
  <c r="V105" i="7"/>
  <c r="U105" i="7"/>
  <c r="T105" i="7"/>
  <c r="S105" i="7"/>
  <c r="R105" i="7"/>
  <c r="Q105" i="7"/>
  <c r="P105" i="7"/>
  <c r="O105" i="7"/>
  <c r="N105" i="7"/>
  <c r="M105" i="7"/>
  <c r="L105" i="7"/>
  <c r="K105" i="7"/>
  <c r="J105" i="7"/>
  <c r="I105" i="7"/>
  <c r="H105" i="7"/>
  <c r="G105" i="7"/>
  <c r="F105" i="7"/>
  <c r="E105" i="7"/>
  <c r="W104" i="7"/>
  <c r="V104" i="7"/>
  <c r="U104" i="7"/>
  <c r="T104" i="7"/>
  <c r="S104" i="7"/>
  <c r="R104" i="7"/>
  <c r="Q104" i="7"/>
  <c r="P104" i="7"/>
  <c r="O104" i="7"/>
  <c r="N104" i="7"/>
  <c r="M104" i="7"/>
  <c r="L104" i="7"/>
  <c r="K104" i="7"/>
  <c r="J104" i="7"/>
  <c r="I104" i="7"/>
  <c r="H104" i="7"/>
  <c r="G104" i="7"/>
  <c r="F104" i="7"/>
  <c r="E104" i="7"/>
  <c r="W103" i="7"/>
  <c r="V103" i="7"/>
  <c r="U103" i="7"/>
  <c r="T103" i="7"/>
  <c r="S103" i="7"/>
  <c r="R103" i="7"/>
  <c r="Q103" i="7"/>
  <c r="P103" i="7"/>
  <c r="O103" i="7"/>
  <c r="N103" i="7"/>
  <c r="M103" i="7"/>
  <c r="L103" i="7"/>
  <c r="K103" i="7"/>
  <c r="J103" i="7"/>
  <c r="I103" i="7"/>
  <c r="H103" i="7"/>
  <c r="G103" i="7"/>
  <c r="F103" i="7"/>
  <c r="E103" i="7"/>
  <c r="W101" i="7"/>
  <c r="V101" i="7"/>
  <c r="U101" i="7"/>
  <c r="T101" i="7"/>
  <c r="S101" i="7"/>
  <c r="R101" i="7"/>
  <c r="Q101" i="7"/>
  <c r="P101" i="7"/>
  <c r="O101" i="7"/>
  <c r="N101" i="7"/>
  <c r="M101" i="7"/>
  <c r="L101" i="7"/>
  <c r="K101" i="7"/>
  <c r="J101" i="7"/>
  <c r="I101" i="7"/>
  <c r="H101" i="7"/>
  <c r="G101" i="7"/>
  <c r="F101" i="7"/>
  <c r="E101" i="7"/>
  <c r="W100" i="7"/>
  <c r="V100" i="7"/>
  <c r="U100" i="7"/>
  <c r="T100" i="7"/>
  <c r="S100" i="7"/>
  <c r="R100" i="7"/>
  <c r="Q100" i="7"/>
  <c r="P100" i="7"/>
  <c r="O100" i="7"/>
  <c r="N100" i="7"/>
  <c r="M100" i="7"/>
  <c r="L100" i="7"/>
  <c r="K100" i="7"/>
  <c r="J100" i="7"/>
  <c r="I100" i="7"/>
  <c r="H100" i="7"/>
  <c r="G100" i="7"/>
  <c r="F100" i="7"/>
  <c r="E100" i="7"/>
  <c r="W99" i="7"/>
  <c r="V99" i="7"/>
  <c r="U99" i="7"/>
  <c r="T99" i="7"/>
  <c r="S99" i="7"/>
  <c r="R99" i="7"/>
  <c r="Q99" i="7"/>
  <c r="P99" i="7"/>
  <c r="O99" i="7"/>
  <c r="N99" i="7"/>
  <c r="M99" i="7"/>
  <c r="L99" i="7"/>
  <c r="K99" i="7"/>
  <c r="J99" i="7"/>
  <c r="I99" i="7"/>
  <c r="H99" i="7"/>
  <c r="G99" i="7"/>
  <c r="F99" i="7"/>
  <c r="E99" i="7"/>
  <c r="W98" i="7"/>
  <c r="V98" i="7"/>
  <c r="U98" i="7"/>
  <c r="T98" i="7"/>
  <c r="S98" i="7"/>
  <c r="R98" i="7"/>
  <c r="Q98" i="7"/>
  <c r="P98" i="7"/>
  <c r="O98" i="7"/>
  <c r="N98" i="7"/>
  <c r="M98" i="7"/>
  <c r="L98" i="7"/>
  <c r="K98" i="7"/>
  <c r="J98" i="7"/>
  <c r="I98" i="7"/>
  <c r="H98" i="7"/>
  <c r="G98" i="7"/>
  <c r="F98" i="7"/>
  <c r="E98" i="7"/>
  <c r="W97" i="7"/>
  <c r="V97" i="7"/>
  <c r="U97" i="7"/>
  <c r="T97" i="7"/>
  <c r="S97" i="7"/>
  <c r="R97" i="7"/>
  <c r="Q97" i="7"/>
  <c r="P97" i="7"/>
  <c r="O97" i="7"/>
  <c r="N97" i="7"/>
  <c r="M97" i="7"/>
  <c r="L97" i="7"/>
  <c r="K97" i="7"/>
  <c r="J97" i="7"/>
  <c r="I97" i="7"/>
  <c r="H97" i="7"/>
  <c r="G97" i="7"/>
  <c r="F97" i="7"/>
  <c r="E97" i="7"/>
  <c r="W96" i="7"/>
  <c r="V96" i="7"/>
  <c r="U96" i="7"/>
  <c r="T96" i="7"/>
  <c r="S96" i="7"/>
  <c r="R96" i="7"/>
  <c r="Q96" i="7"/>
  <c r="P96" i="7"/>
  <c r="O96" i="7"/>
  <c r="N96" i="7"/>
  <c r="M96" i="7"/>
  <c r="L96" i="7"/>
  <c r="K96" i="7"/>
  <c r="J96" i="7"/>
  <c r="I96" i="7"/>
  <c r="H96" i="7"/>
  <c r="G96" i="7"/>
  <c r="F96" i="7"/>
  <c r="E96" i="7"/>
  <c r="W95" i="7"/>
  <c r="V95" i="7"/>
  <c r="U95" i="7"/>
  <c r="T95" i="7"/>
  <c r="S95" i="7"/>
  <c r="R95" i="7"/>
  <c r="Q95" i="7"/>
  <c r="P95" i="7"/>
  <c r="O95" i="7"/>
  <c r="N95" i="7"/>
  <c r="M95" i="7"/>
  <c r="L95" i="7"/>
  <c r="K95" i="7"/>
  <c r="J95" i="7"/>
  <c r="I95" i="7"/>
  <c r="H95" i="7"/>
  <c r="G95" i="7"/>
  <c r="F95" i="7"/>
  <c r="E95" i="7"/>
  <c r="W94" i="7"/>
  <c r="V94" i="7"/>
  <c r="U94" i="7"/>
  <c r="T94" i="7"/>
  <c r="S94" i="7"/>
  <c r="R94" i="7"/>
  <c r="Q94" i="7"/>
  <c r="P94" i="7"/>
  <c r="O94" i="7"/>
  <c r="N94" i="7"/>
  <c r="M94" i="7"/>
  <c r="L94" i="7"/>
  <c r="K94" i="7"/>
  <c r="J94" i="7"/>
  <c r="I94" i="7"/>
  <c r="H94" i="7"/>
  <c r="G94" i="7"/>
  <c r="F94" i="7"/>
  <c r="E94" i="7"/>
  <c r="W93" i="7"/>
  <c r="V93" i="7"/>
  <c r="U93" i="7"/>
  <c r="T93" i="7"/>
  <c r="S93" i="7"/>
  <c r="R93" i="7"/>
  <c r="Q93" i="7"/>
  <c r="P93" i="7"/>
  <c r="O93" i="7"/>
  <c r="N93" i="7"/>
  <c r="M93" i="7"/>
  <c r="L93" i="7"/>
  <c r="K93" i="7"/>
  <c r="J93" i="7"/>
  <c r="I93" i="7"/>
  <c r="H93" i="7"/>
  <c r="G93" i="7"/>
  <c r="F93" i="7"/>
  <c r="E93" i="7"/>
  <c r="W92" i="7"/>
  <c r="V92" i="7"/>
  <c r="U92" i="7"/>
  <c r="T92" i="7"/>
  <c r="S92" i="7"/>
  <c r="R92" i="7"/>
  <c r="Q92" i="7"/>
  <c r="P92" i="7"/>
  <c r="O92" i="7"/>
  <c r="N92" i="7"/>
  <c r="M92" i="7"/>
  <c r="L92" i="7"/>
  <c r="K92" i="7"/>
  <c r="J92" i="7"/>
  <c r="I92" i="7"/>
  <c r="H92" i="7"/>
  <c r="G92" i="7"/>
  <c r="F92" i="7"/>
  <c r="E92" i="7"/>
  <c r="W91" i="7"/>
  <c r="V91" i="7"/>
  <c r="U91" i="7"/>
  <c r="T91" i="7"/>
  <c r="S91" i="7"/>
  <c r="R91" i="7"/>
  <c r="Q91" i="7"/>
  <c r="P91" i="7"/>
  <c r="O91" i="7"/>
  <c r="N91" i="7"/>
  <c r="M91" i="7"/>
  <c r="L91" i="7"/>
  <c r="K91" i="7"/>
  <c r="J91" i="7"/>
  <c r="I91" i="7"/>
  <c r="H91" i="7"/>
  <c r="G91" i="7"/>
  <c r="F91" i="7"/>
  <c r="E91" i="7"/>
  <c r="W90" i="7"/>
  <c r="V90" i="7"/>
  <c r="U90" i="7"/>
  <c r="T90" i="7"/>
  <c r="S90" i="7"/>
  <c r="R90" i="7"/>
  <c r="Q90" i="7"/>
  <c r="P90" i="7"/>
  <c r="O90" i="7"/>
  <c r="N90" i="7"/>
  <c r="M90" i="7"/>
  <c r="L90" i="7"/>
  <c r="K90" i="7"/>
  <c r="J90" i="7"/>
  <c r="I90" i="7"/>
  <c r="H90" i="7"/>
  <c r="G90" i="7"/>
  <c r="F90" i="7"/>
  <c r="E90" i="7"/>
  <c r="W89" i="7"/>
  <c r="V89" i="7"/>
  <c r="U89" i="7"/>
  <c r="T89" i="7"/>
  <c r="S89" i="7"/>
  <c r="R89" i="7"/>
  <c r="Q89" i="7"/>
  <c r="P89" i="7"/>
  <c r="O89" i="7"/>
  <c r="N89" i="7"/>
  <c r="M89" i="7"/>
  <c r="L89" i="7"/>
  <c r="K89" i="7"/>
  <c r="J89" i="7"/>
  <c r="I89" i="7"/>
  <c r="H89" i="7"/>
  <c r="G89" i="7"/>
  <c r="F89" i="7"/>
  <c r="E89" i="7"/>
  <c r="W88" i="7"/>
  <c r="V88" i="7"/>
  <c r="U88" i="7"/>
  <c r="T88" i="7"/>
  <c r="S88" i="7"/>
  <c r="R88" i="7"/>
  <c r="Q88" i="7"/>
  <c r="P88" i="7"/>
  <c r="O88" i="7"/>
  <c r="N88" i="7"/>
  <c r="M88" i="7"/>
  <c r="L88" i="7"/>
  <c r="K88" i="7"/>
  <c r="J88" i="7"/>
  <c r="I88" i="7"/>
  <c r="H88" i="7"/>
  <c r="G88" i="7"/>
  <c r="F88" i="7"/>
  <c r="E88" i="7"/>
  <c r="W87" i="7"/>
  <c r="V87" i="7"/>
  <c r="U87" i="7"/>
  <c r="T87" i="7"/>
  <c r="S87" i="7"/>
  <c r="R87" i="7"/>
  <c r="Q87" i="7"/>
  <c r="P87" i="7"/>
  <c r="O87" i="7"/>
  <c r="N87" i="7"/>
  <c r="M87" i="7"/>
  <c r="L87" i="7"/>
  <c r="K87" i="7"/>
  <c r="J87" i="7"/>
  <c r="I87" i="7"/>
  <c r="H87" i="7"/>
  <c r="G87" i="7"/>
  <c r="F87" i="7"/>
  <c r="E87" i="7"/>
  <c r="W86" i="7"/>
  <c r="V86" i="7"/>
  <c r="U86" i="7"/>
  <c r="T86" i="7"/>
  <c r="S86" i="7"/>
  <c r="R86" i="7"/>
  <c r="Q86" i="7"/>
  <c r="P86" i="7"/>
  <c r="O86" i="7"/>
  <c r="N86" i="7"/>
  <c r="M86" i="7"/>
  <c r="L86" i="7"/>
  <c r="K86" i="7"/>
  <c r="J86" i="7"/>
  <c r="I86" i="7"/>
  <c r="H86" i="7"/>
  <c r="G86" i="7"/>
  <c r="F86" i="7"/>
  <c r="E86" i="7"/>
  <c r="W85" i="7"/>
  <c r="V85" i="7"/>
  <c r="U85" i="7"/>
  <c r="T85" i="7"/>
  <c r="S85" i="7"/>
  <c r="R85" i="7"/>
  <c r="Q85" i="7"/>
  <c r="P85" i="7"/>
  <c r="O85" i="7"/>
  <c r="N85" i="7"/>
  <c r="M85" i="7"/>
  <c r="L85" i="7"/>
  <c r="K85" i="7"/>
  <c r="J85" i="7"/>
  <c r="I85" i="7"/>
  <c r="H85" i="7"/>
  <c r="G85" i="7"/>
  <c r="F85" i="7"/>
  <c r="E85" i="7"/>
  <c r="W84" i="7"/>
  <c r="V84" i="7"/>
  <c r="U84" i="7"/>
  <c r="T84" i="7"/>
  <c r="S84" i="7"/>
  <c r="R84" i="7"/>
  <c r="Q84" i="7"/>
  <c r="P84" i="7"/>
  <c r="O84" i="7"/>
  <c r="N84" i="7"/>
  <c r="M84" i="7"/>
  <c r="L84" i="7"/>
  <c r="K84" i="7"/>
  <c r="J84" i="7"/>
  <c r="I84" i="7"/>
  <c r="H84" i="7"/>
  <c r="G84" i="7"/>
  <c r="F84" i="7"/>
  <c r="E84" i="7"/>
  <c r="W83" i="7"/>
  <c r="V83" i="7"/>
  <c r="U83" i="7"/>
  <c r="T83" i="7"/>
  <c r="S83" i="7"/>
  <c r="R83" i="7"/>
  <c r="Q83" i="7"/>
  <c r="P83" i="7"/>
  <c r="O83" i="7"/>
  <c r="N83" i="7"/>
  <c r="M83" i="7"/>
  <c r="L83" i="7"/>
  <c r="K83" i="7"/>
  <c r="J83" i="7"/>
  <c r="I83" i="7"/>
  <c r="H83" i="7"/>
  <c r="G83" i="7"/>
  <c r="F83" i="7"/>
  <c r="E83" i="7"/>
  <c r="W82" i="7"/>
  <c r="V82" i="7"/>
  <c r="U82" i="7"/>
  <c r="T82" i="7"/>
  <c r="S82" i="7"/>
  <c r="R82" i="7"/>
  <c r="Q82" i="7"/>
  <c r="P82" i="7"/>
  <c r="O82" i="7"/>
  <c r="N82" i="7"/>
  <c r="M82" i="7"/>
  <c r="L82" i="7"/>
  <c r="K82" i="7"/>
  <c r="J82" i="7"/>
  <c r="I82" i="7"/>
  <c r="H82" i="7"/>
  <c r="G82" i="7"/>
  <c r="F82" i="7"/>
  <c r="E82" i="7"/>
  <c r="W81" i="7"/>
  <c r="V81" i="7"/>
  <c r="U81" i="7"/>
  <c r="T81" i="7"/>
  <c r="S81" i="7"/>
  <c r="R81" i="7"/>
  <c r="Q81" i="7"/>
  <c r="P81" i="7"/>
  <c r="O81" i="7"/>
  <c r="N81" i="7"/>
  <c r="M81" i="7"/>
  <c r="L81" i="7"/>
  <c r="K81" i="7"/>
  <c r="J81" i="7"/>
  <c r="I81" i="7"/>
  <c r="H81" i="7"/>
  <c r="G81" i="7"/>
  <c r="F81" i="7"/>
  <c r="E81" i="7"/>
  <c r="W80" i="7"/>
  <c r="V80" i="7"/>
  <c r="U80" i="7"/>
  <c r="T80" i="7"/>
  <c r="S80" i="7"/>
  <c r="R80" i="7"/>
  <c r="Q80" i="7"/>
  <c r="P80" i="7"/>
  <c r="O80" i="7"/>
  <c r="N80" i="7"/>
  <c r="M80" i="7"/>
  <c r="L80" i="7"/>
  <c r="K80" i="7"/>
  <c r="J80" i="7"/>
  <c r="I80" i="7"/>
  <c r="H80" i="7"/>
  <c r="G80" i="7"/>
  <c r="F80" i="7"/>
  <c r="E80" i="7"/>
  <c r="W79" i="7"/>
  <c r="V79" i="7"/>
  <c r="U79" i="7"/>
  <c r="T79" i="7"/>
  <c r="S79" i="7"/>
  <c r="R79" i="7"/>
  <c r="Q79" i="7"/>
  <c r="P79" i="7"/>
  <c r="O79" i="7"/>
  <c r="N79" i="7"/>
  <c r="M79" i="7"/>
  <c r="L79" i="7"/>
  <c r="K79" i="7"/>
  <c r="J79" i="7"/>
  <c r="I79" i="7"/>
  <c r="H79" i="7"/>
  <c r="G79" i="7"/>
  <c r="F79" i="7"/>
  <c r="E79" i="7"/>
  <c r="W78" i="7"/>
  <c r="V78" i="7"/>
  <c r="U78" i="7"/>
  <c r="T78" i="7"/>
  <c r="S78" i="7"/>
  <c r="R78" i="7"/>
  <c r="Q78" i="7"/>
  <c r="P78" i="7"/>
  <c r="O78" i="7"/>
  <c r="N78" i="7"/>
  <c r="M78" i="7"/>
  <c r="L78" i="7"/>
  <c r="K78" i="7"/>
  <c r="J78" i="7"/>
  <c r="I78" i="7"/>
  <c r="H78" i="7"/>
  <c r="G78" i="7"/>
  <c r="F78" i="7"/>
  <c r="E78" i="7"/>
  <c r="W77" i="7"/>
  <c r="V77" i="7"/>
  <c r="U77" i="7"/>
  <c r="T77" i="7"/>
  <c r="S77" i="7"/>
  <c r="R77" i="7"/>
  <c r="Q77" i="7"/>
  <c r="P77" i="7"/>
  <c r="O77" i="7"/>
  <c r="N77" i="7"/>
  <c r="M77" i="7"/>
  <c r="L77" i="7"/>
  <c r="K77" i="7"/>
  <c r="J77" i="7"/>
  <c r="I77" i="7"/>
  <c r="H77" i="7"/>
  <c r="G77" i="7"/>
  <c r="F77" i="7"/>
  <c r="E77" i="7"/>
  <c r="W76" i="7"/>
  <c r="V76" i="7"/>
  <c r="U76" i="7"/>
  <c r="T76" i="7"/>
  <c r="S76" i="7"/>
  <c r="R76" i="7"/>
  <c r="Q76" i="7"/>
  <c r="P76" i="7"/>
  <c r="O76" i="7"/>
  <c r="N76" i="7"/>
  <c r="M76" i="7"/>
  <c r="L76" i="7"/>
  <c r="K76" i="7"/>
  <c r="J76" i="7"/>
  <c r="I76" i="7"/>
  <c r="H76" i="7"/>
  <c r="G76" i="7"/>
  <c r="F76" i="7"/>
  <c r="E76" i="7"/>
  <c r="W75" i="7"/>
  <c r="V75" i="7"/>
  <c r="U75" i="7"/>
  <c r="T75" i="7"/>
  <c r="S75" i="7"/>
  <c r="R75" i="7"/>
  <c r="Q75" i="7"/>
  <c r="P75" i="7"/>
  <c r="O75" i="7"/>
  <c r="N75" i="7"/>
  <c r="M75" i="7"/>
  <c r="L75" i="7"/>
  <c r="K75" i="7"/>
  <c r="J75" i="7"/>
  <c r="I75" i="7"/>
  <c r="H75" i="7"/>
  <c r="G75" i="7"/>
  <c r="F75" i="7"/>
  <c r="E75" i="7"/>
  <c r="W74" i="7"/>
  <c r="V74" i="7"/>
  <c r="U74" i="7"/>
  <c r="T74" i="7"/>
  <c r="S74" i="7"/>
  <c r="R74" i="7"/>
  <c r="Q74" i="7"/>
  <c r="P74" i="7"/>
  <c r="O74" i="7"/>
  <c r="N74" i="7"/>
  <c r="M74" i="7"/>
  <c r="L74" i="7"/>
  <c r="K74" i="7"/>
  <c r="J74" i="7"/>
  <c r="I74" i="7"/>
  <c r="H74" i="7"/>
  <c r="G74" i="7"/>
  <c r="F74" i="7"/>
  <c r="E74" i="7"/>
  <c r="W73" i="7"/>
  <c r="V73" i="7"/>
  <c r="U73" i="7"/>
  <c r="T73" i="7"/>
  <c r="S73" i="7"/>
  <c r="R73" i="7"/>
  <c r="Q73" i="7"/>
  <c r="P73" i="7"/>
  <c r="O73" i="7"/>
  <c r="N73" i="7"/>
  <c r="M73" i="7"/>
  <c r="L73" i="7"/>
  <c r="K73" i="7"/>
  <c r="J73" i="7"/>
  <c r="I73" i="7"/>
  <c r="H73" i="7"/>
  <c r="G73" i="7"/>
  <c r="F73" i="7"/>
  <c r="E73" i="7"/>
  <c r="W72" i="7"/>
  <c r="V72" i="7"/>
  <c r="U72" i="7"/>
  <c r="T72" i="7"/>
  <c r="S72" i="7"/>
  <c r="R72" i="7"/>
  <c r="Q72" i="7"/>
  <c r="P72" i="7"/>
  <c r="O72" i="7"/>
  <c r="N72" i="7"/>
  <c r="M72" i="7"/>
  <c r="L72" i="7"/>
  <c r="K72" i="7"/>
  <c r="J72" i="7"/>
  <c r="I72" i="7"/>
  <c r="H72" i="7"/>
  <c r="G72" i="7"/>
  <c r="F72" i="7"/>
  <c r="E72" i="7"/>
  <c r="W71" i="7"/>
  <c r="V71" i="7"/>
  <c r="U71" i="7"/>
  <c r="T71" i="7"/>
  <c r="S71" i="7"/>
  <c r="R71" i="7"/>
  <c r="Q71" i="7"/>
  <c r="P71" i="7"/>
  <c r="O71" i="7"/>
  <c r="N71" i="7"/>
  <c r="M71" i="7"/>
  <c r="L71" i="7"/>
  <c r="K71" i="7"/>
  <c r="J71" i="7"/>
  <c r="I71" i="7"/>
  <c r="H71" i="7"/>
  <c r="G71" i="7"/>
  <c r="F71" i="7"/>
  <c r="E71" i="7"/>
  <c r="W70" i="7"/>
  <c r="V70" i="7"/>
  <c r="U70" i="7"/>
  <c r="T70" i="7"/>
  <c r="S70" i="7"/>
  <c r="R70" i="7"/>
  <c r="Q70" i="7"/>
  <c r="P70" i="7"/>
  <c r="O70" i="7"/>
  <c r="N70" i="7"/>
  <c r="M70" i="7"/>
  <c r="L70" i="7"/>
  <c r="K70" i="7"/>
  <c r="J70" i="7"/>
  <c r="I70" i="7"/>
  <c r="H70" i="7"/>
  <c r="G70" i="7"/>
  <c r="F70" i="7"/>
  <c r="E70" i="7"/>
  <c r="W69" i="7"/>
  <c r="V69" i="7"/>
  <c r="U69" i="7"/>
  <c r="T69" i="7"/>
  <c r="S69" i="7"/>
  <c r="R69" i="7"/>
  <c r="Q69" i="7"/>
  <c r="P69" i="7"/>
  <c r="O69" i="7"/>
  <c r="N69" i="7"/>
  <c r="M69" i="7"/>
  <c r="L69" i="7"/>
  <c r="K69" i="7"/>
  <c r="J69" i="7"/>
  <c r="I69" i="7"/>
  <c r="H69" i="7"/>
  <c r="G69" i="7"/>
  <c r="F69" i="7"/>
  <c r="E69" i="7"/>
  <c r="W68" i="7"/>
  <c r="V68" i="7"/>
  <c r="U68" i="7"/>
  <c r="T68" i="7"/>
  <c r="S68" i="7"/>
  <c r="R68" i="7"/>
  <c r="Q68" i="7"/>
  <c r="P68" i="7"/>
  <c r="O68" i="7"/>
  <c r="N68" i="7"/>
  <c r="M68" i="7"/>
  <c r="L68" i="7"/>
  <c r="K68" i="7"/>
  <c r="J68" i="7"/>
  <c r="I68" i="7"/>
  <c r="H68" i="7"/>
  <c r="G68" i="7"/>
  <c r="F68" i="7"/>
  <c r="E68" i="7"/>
  <c r="W67" i="7"/>
  <c r="V67" i="7"/>
  <c r="U67" i="7"/>
  <c r="T67" i="7"/>
  <c r="S67" i="7"/>
  <c r="R67" i="7"/>
  <c r="Q67" i="7"/>
  <c r="P67" i="7"/>
  <c r="O67" i="7"/>
  <c r="N67" i="7"/>
  <c r="M67" i="7"/>
  <c r="L67" i="7"/>
  <c r="K67" i="7"/>
  <c r="J67" i="7"/>
  <c r="I67" i="7"/>
  <c r="H67" i="7"/>
  <c r="G67" i="7"/>
  <c r="F67" i="7"/>
  <c r="E67" i="7"/>
  <c r="W66" i="7"/>
  <c r="V66" i="7"/>
  <c r="U66" i="7"/>
  <c r="T66" i="7"/>
  <c r="S66" i="7"/>
  <c r="R66" i="7"/>
  <c r="Q66" i="7"/>
  <c r="P66" i="7"/>
  <c r="O66" i="7"/>
  <c r="N66" i="7"/>
  <c r="M66" i="7"/>
  <c r="L66" i="7"/>
  <c r="K66" i="7"/>
  <c r="J66" i="7"/>
  <c r="I66" i="7"/>
  <c r="H66" i="7"/>
  <c r="G66" i="7"/>
  <c r="F66" i="7"/>
  <c r="E66" i="7"/>
  <c r="W65" i="7"/>
  <c r="V65" i="7"/>
  <c r="U65" i="7"/>
  <c r="T65" i="7"/>
  <c r="S65" i="7"/>
  <c r="R65" i="7"/>
  <c r="Q65" i="7"/>
  <c r="P65" i="7"/>
  <c r="O65" i="7"/>
  <c r="N65" i="7"/>
  <c r="M65" i="7"/>
  <c r="L65" i="7"/>
  <c r="K65" i="7"/>
  <c r="J65" i="7"/>
  <c r="I65" i="7"/>
  <c r="H65" i="7"/>
  <c r="G65" i="7"/>
  <c r="F65" i="7"/>
  <c r="E65" i="7"/>
  <c r="W64" i="7"/>
  <c r="V64" i="7"/>
  <c r="U64" i="7"/>
  <c r="T64" i="7"/>
  <c r="S64" i="7"/>
  <c r="R64" i="7"/>
  <c r="Q64" i="7"/>
  <c r="P64" i="7"/>
  <c r="O64" i="7"/>
  <c r="N64" i="7"/>
  <c r="M64" i="7"/>
  <c r="L64" i="7"/>
  <c r="K64" i="7"/>
  <c r="J64" i="7"/>
  <c r="I64" i="7"/>
  <c r="H64" i="7"/>
  <c r="G64" i="7"/>
  <c r="F64" i="7"/>
  <c r="E64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W62" i="7"/>
  <c r="V62" i="7"/>
  <c r="U62" i="7"/>
  <c r="T62" i="7"/>
  <c r="S62" i="7"/>
  <c r="R62" i="7"/>
  <c r="Q62" i="7"/>
  <c r="P62" i="7"/>
  <c r="O62" i="7"/>
  <c r="N62" i="7"/>
  <c r="M62" i="7"/>
  <c r="L62" i="7"/>
  <c r="K62" i="7"/>
  <c r="J62" i="7"/>
  <c r="I62" i="7"/>
  <c r="H62" i="7"/>
  <c r="G62" i="7"/>
  <c r="F62" i="7"/>
  <c r="E62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E13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P369" i="6"/>
  <c r="K69" i="2" s="1"/>
  <c r="O369" i="6"/>
  <c r="K68" i="2" s="1"/>
  <c r="N369" i="6"/>
  <c r="K67" i="2" s="1"/>
  <c r="M369" i="6"/>
  <c r="L369" i="6"/>
  <c r="K65" i="2" s="1"/>
  <c r="K369" i="6"/>
  <c r="O369" i="7" s="1"/>
  <c r="J369" i="6"/>
  <c r="K63" i="2" s="1"/>
  <c r="I369" i="6"/>
  <c r="K62" i="2" s="1"/>
  <c r="H369" i="6"/>
  <c r="K61" i="2" s="1"/>
  <c r="G369" i="6"/>
  <c r="K60" i="2" s="1"/>
  <c r="F369" i="6"/>
  <c r="K59" i="2" s="1"/>
  <c r="Q368" i="6"/>
  <c r="Q367" i="6"/>
  <c r="Q366" i="6"/>
  <c r="Q365" i="6"/>
  <c r="Q364" i="6"/>
  <c r="Q363" i="6"/>
  <c r="Q362" i="6"/>
  <c r="Q361" i="6"/>
  <c r="Q360" i="6"/>
  <c r="Q359" i="6"/>
  <c r="Q358" i="6"/>
  <c r="Q357" i="6"/>
  <c r="Q356" i="6"/>
  <c r="Q355" i="6"/>
  <c r="Q354" i="6"/>
  <c r="Q353" i="6"/>
  <c r="Q352" i="6"/>
  <c r="Q351" i="6"/>
  <c r="Q350" i="6"/>
  <c r="Q349" i="6"/>
  <c r="Q348" i="6"/>
  <c r="Q347" i="6"/>
  <c r="Q346" i="6"/>
  <c r="Q345" i="6"/>
  <c r="Q344" i="6"/>
  <c r="Q343" i="6"/>
  <c r="Q342" i="6"/>
  <c r="Q341" i="6"/>
  <c r="Q340" i="6"/>
  <c r="Q339" i="6"/>
  <c r="Q338" i="6"/>
  <c r="Q337" i="6"/>
  <c r="Q336" i="6"/>
  <c r="Q335" i="6"/>
  <c r="Q334" i="6"/>
  <c r="Q333" i="6"/>
  <c r="Q332" i="6"/>
  <c r="Q331" i="6"/>
  <c r="Q330" i="6"/>
  <c r="Q329" i="6"/>
  <c r="Q328" i="6"/>
  <c r="P327" i="6"/>
  <c r="J69" i="2" s="1"/>
  <c r="O327" i="6"/>
  <c r="J68" i="2" s="1"/>
  <c r="N327" i="6"/>
  <c r="J67" i="2" s="1"/>
  <c r="M327" i="6"/>
  <c r="W327" i="7" s="1"/>
  <c r="L327" i="6"/>
  <c r="J65" i="2" s="1"/>
  <c r="K327" i="6"/>
  <c r="O327" i="7" s="1"/>
  <c r="J327" i="6"/>
  <c r="J63" i="2" s="1"/>
  <c r="I327" i="6"/>
  <c r="J62" i="2" s="1"/>
  <c r="H327" i="6"/>
  <c r="J61" i="2" s="1"/>
  <c r="G327" i="6"/>
  <c r="J60" i="2" s="1"/>
  <c r="F327" i="6"/>
  <c r="Q326" i="6"/>
  <c r="Q325" i="6"/>
  <c r="Q324" i="6"/>
  <c r="Q323" i="6"/>
  <c r="Q322" i="6"/>
  <c r="Q321" i="6"/>
  <c r="Q320" i="6"/>
  <c r="Q319" i="6"/>
  <c r="Q318" i="6"/>
  <c r="Q317" i="6"/>
  <c r="Q316" i="6"/>
  <c r="Q315" i="6"/>
  <c r="Q314" i="6"/>
  <c r="Q313" i="6"/>
  <c r="Q312" i="6"/>
  <c r="Q311" i="6"/>
  <c r="Q310" i="6"/>
  <c r="Q309" i="6"/>
  <c r="Q308" i="6"/>
  <c r="Q307" i="6"/>
  <c r="Q306" i="6"/>
  <c r="Q305" i="6"/>
  <c r="Q304" i="6"/>
  <c r="Q303" i="6"/>
  <c r="Q302" i="6"/>
  <c r="Q301" i="6"/>
  <c r="Q300" i="6"/>
  <c r="Q299" i="6"/>
  <c r="Q298" i="6"/>
  <c r="Q297" i="6"/>
  <c r="Q296" i="6"/>
  <c r="Q295" i="6"/>
  <c r="Q294" i="6"/>
  <c r="Q293" i="6"/>
  <c r="Q292" i="6"/>
  <c r="Q291" i="6"/>
  <c r="Q290" i="6"/>
  <c r="Q289" i="6"/>
  <c r="Q288" i="6"/>
  <c r="Q287" i="6"/>
  <c r="Q286" i="6"/>
  <c r="Q285" i="6"/>
  <c r="Q284" i="6"/>
  <c r="Q283" i="6"/>
  <c r="P282" i="6"/>
  <c r="I69" i="2" s="1"/>
  <c r="O282" i="6"/>
  <c r="I68" i="2" s="1"/>
  <c r="N282" i="6"/>
  <c r="I67" i="2" s="1"/>
  <c r="M282" i="6"/>
  <c r="W282" i="7" s="1"/>
  <c r="L282" i="6"/>
  <c r="I65" i="2" s="1"/>
  <c r="K282" i="6"/>
  <c r="J282" i="6"/>
  <c r="I63" i="2" s="1"/>
  <c r="I282" i="6"/>
  <c r="I62" i="2" s="1"/>
  <c r="H282" i="6"/>
  <c r="I61" i="2" s="1"/>
  <c r="G282" i="6"/>
  <c r="I60" i="2" s="1"/>
  <c r="F282" i="6"/>
  <c r="Q281" i="6"/>
  <c r="Q280" i="6"/>
  <c r="Q279" i="6"/>
  <c r="Q278" i="6"/>
  <c r="Q277" i="6"/>
  <c r="Q276" i="6"/>
  <c r="Q275" i="6"/>
  <c r="Q274" i="6"/>
  <c r="Q273" i="6"/>
  <c r="Q272" i="6"/>
  <c r="Q271" i="6"/>
  <c r="Q270" i="6"/>
  <c r="Q269" i="6"/>
  <c r="Q268" i="6"/>
  <c r="Q267" i="6"/>
  <c r="Q266" i="6"/>
  <c r="Q265" i="6"/>
  <c r="Q264" i="6"/>
  <c r="Q263" i="6"/>
  <c r="Q262" i="6"/>
  <c r="Q261" i="6"/>
  <c r="Q260" i="6"/>
  <c r="Q259" i="6"/>
  <c r="Q258" i="6"/>
  <c r="Q257" i="6"/>
  <c r="Q256" i="6"/>
  <c r="Q255" i="6"/>
  <c r="Q254" i="6"/>
  <c r="Q253" i="6"/>
  <c r="Q252" i="6"/>
  <c r="Q251" i="6"/>
  <c r="Q250" i="6"/>
  <c r="Q249" i="6"/>
  <c r="Q248" i="6"/>
  <c r="Q247" i="6"/>
  <c r="Q246" i="6"/>
  <c r="Q245" i="6"/>
  <c r="Q244" i="6"/>
  <c r="Q243" i="6"/>
  <c r="Q242" i="6"/>
  <c r="Q241" i="6"/>
  <c r="Q240" i="6"/>
  <c r="Q239" i="6"/>
  <c r="Q238" i="6"/>
  <c r="P237" i="6"/>
  <c r="H69" i="2" s="1"/>
  <c r="O237" i="6"/>
  <c r="H68" i="2" s="1"/>
  <c r="N237" i="6"/>
  <c r="H67" i="2" s="1"/>
  <c r="M237" i="6"/>
  <c r="W237" i="7" s="1"/>
  <c r="L237" i="6"/>
  <c r="H65" i="2" s="1"/>
  <c r="K237" i="6"/>
  <c r="O237" i="7" s="1"/>
  <c r="J237" i="6"/>
  <c r="H63" i="2" s="1"/>
  <c r="I237" i="6"/>
  <c r="H62" i="2" s="1"/>
  <c r="H237" i="6"/>
  <c r="H61" i="2" s="1"/>
  <c r="G237" i="6"/>
  <c r="H60" i="2" s="1"/>
  <c r="F237" i="6"/>
  <c r="Q236" i="6"/>
  <c r="Q235" i="6"/>
  <c r="Q234" i="6"/>
  <c r="Q233" i="6"/>
  <c r="Q232" i="6"/>
  <c r="Q231" i="6"/>
  <c r="Q230" i="6"/>
  <c r="Q229" i="6"/>
  <c r="Q228" i="6"/>
  <c r="Q227" i="6"/>
  <c r="Q226" i="6"/>
  <c r="Q225" i="6"/>
  <c r="Q224" i="6"/>
  <c r="Q223" i="6"/>
  <c r="Q222" i="6"/>
  <c r="Q221" i="6"/>
  <c r="Q220" i="6"/>
  <c r="Q219" i="6"/>
  <c r="Q218" i="6"/>
  <c r="Q217" i="6"/>
  <c r="Q216" i="6"/>
  <c r="Q215" i="6"/>
  <c r="Q214" i="6"/>
  <c r="Q213" i="6"/>
  <c r="Q212" i="6"/>
  <c r="Q211" i="6"/>
  <c r="Q210" i="6"/>
  <c r="Q209" i="6"/>
  <c r="Q208" i="6"/>
  <c r="Q207" i="6"/>
  <c r="Q206" i="6"/>
  <c r="Q205" i="6"/>
  <c r="Q204" i="6"/>
  <c r="Q203" i="6"/>
  <c r="Q202" i="6"/>
  <c r="Q201" i="6"/>
  <c r="Q200" i="6"/>
  <c r="Q199" i="6"/>
  <c r="Q198" i="6"/>
  <c r="Q197" i="6"/>
  <c r="Q196" i="6"/>
  <c r="Q195" i="6"/>
  <c r="Q194" i="6"/>
  <c r="Q193" i="6"/>
  <c r="P192" i="6"/>
  <c r="G69" i="2" s="1"/>
  <c r="O192" i="6"/>
  <c r="G68" i="2" s="1"/>
  <c r="N192" i="6"/>
  <c r="G67" i="2" s="1"/>
  <c r="M192" i="6"/>
  <c r="W192" i="7" s="1"/>
  <c r="L192" i="6"/>
  <c r="G65" i="2" s="1"/>
  <c r="K192" i="6"/>
  <c r="O192" i="7" s="1"/>
  <c r="J192" i="6"/>
  <c r="G63" i="2" s="1"/>
  <c r="I192" i="6"/>
  <c r="G62" i="2" s="1"/>
  <c r="H192" i="6"/>
  <c r="G61" i="2" s="1"/>
  <c r="G192" i="6"/>
  <c r="G60" i="2" s="1"/>
  <c r="F192" i="6"/>
  <c r="Q191" i="6"/>
  <c r="Q190" i="6"/>
  <c r="Q189" i="6"/>
  <c r="Q188" i="6"/>
  <c r="Q187" i="6"/>
  <c r="Q186" i="6"/>
  <c r="Q185" i="6"/>
  <c r="Q184" i="6"/>
  <c r="Q183" i="6"/>
  <c r="Q182" i="6"/>
  <c r="Q181" i="6"/>
  <c r="Q180" i="6"/>
  <c r="Q179" i="6"/>
  <c r="Q178" i="6"/>
  <c r="Q177" i="6"/>
  <c r="Q176" i="6"/>
  <c r="Q175" i="6"/>
  <c r="Q174" i="6"/>
  <c r="Q173" i="6"/>
  <c r="Q172" i="6"/>
  <c r="Q171" i="6"/>
  <c r="Q170" i="6"/>
  <c r="Q169" i="6"/>
  <c r="Q168" i="6"/>
  <c r="Q167" i="6"/>
  <c r="Q166" i="6"/>
  <c r="Q165" i="6"/>
  <c r="Q164" i="6"/>
  <c r="Q163" i="6"/>
  <c r="Q162" i="6"/>
  <c r="Q161" i="6"/>
  <c r="Q160" i="6"/>
  <c r="Q159" i="6"/>
  <c r="Q158" i="6"/>
  <c r="Q157" i="6"/>
  <c r="Q156" i="6"/>
  <c r="Q155" i="6"/>
  <c r="Q154" i="6"/>
  <c r="Q153" i="6"/>
  <c r="Q152" i="6"/>
  <c r="Q151" i="6"/>
  <c r="Q150" i="6"/>
  <c r="Q149" i="6"/>
  <c r="Q148" i="6"/>
  <c r="P147" i="6"/>
  <c r="O147" i="6"/>
  <c r="F68" i="2" s="1"/>
  <c r="N147" i="6"/>
  <c r="F67" i="2" s="1"/>
  <c r="M147" i="6"/>
  <c r="W147" i="7" s="1"/>
  <c r="L147" i="6"/>
  <c r="F65" i="2" s="1"/>
  <c r="K147" i="6"/>
  <c r="O147" i="7" s="1"/>
  <c r="J147" i="6"/>
  <c r="F63" i="2" s="1"/>
  <c r="I147" i="6"/>
  <c r="F62" i="2" s="1"/>
  <c r="H147" i="6"/>
  <c r="F61" i="2" s="1"/>
  <c r="G147" i="6"/>
  <c r="F60" i="2" s="1"/>
  <c r="F147" i="6"/>
  <c r="Q146" i="6"/>
  <c r="Q145" i="6"/>
  <c r="Q144" i="6"/>
  <c r="Q143" i="6"/>
  <c r="Q142" i="6"/>
  <c r="Q141" i="6"/>
  <c r="Q140" i="6"/>
  <c r="Q139" i="6"/>
  <c r="Q138" i="6"/>
  <c r="Q137" i="6"/>
  <c r="Q136" i="6"/>
  <c r="Q135" i="6"/>
  <c r="Q134" i="6"/>
  <c r="Q133" i="6"/>
  <c r="Q132" i="6"/>
  <c r="Q131" i="6"/>
  <c r="Q130" i="6"/>
  <c r="Q129" i="6"/>
  <c r="Q128" i="6"/>
  <c r="Q127" i="6"/>
  <c r="Q126" i="6"/>
  <c r="Q125" i="6"/>
  <c r="Q124" i="6"/>
  <c r="Q123" i="6"/>
  <c r="Q122" i="6"/>
  <c r="Q121" i="6"/>
  <c r="Q120" i="6"/>
  <c r="Q119" i="6"/>
  <c r="Q118" i="6"/>
  <c r="Q117" i="6"/>
  <c r="Q116" i="6"/>
  <c r="Q115" i="6"/>
  <c r="Q114" i="6"/>
  <c r="Q113" i="6"/>
  <c r="Q112" i="6"/>
  <c r="Q111" i="6"/>
  <c r="Q110" i="6"/>
  <c r="Q109" i="6"/>
  <c r="Q108" i="6"/>
  <c r="Q107" i="6"/>
  <c r="Q106" i="6"/>
  <c r="Q105" i="6"/>
  <c r="Q104" i="6"/>
  <c r="Q103" i="6"/>
  <c r="P102" i="6"/>
  <c r="E69" i="2" s="1"/>
  <c r="O102" i="6"/>
  <c r="E68" i="2" s="1"/>
  <c r="N102" i="6"/>
  <c r="E67" i="2" s="1"/>
  <c r="M102" i="6"/>
  <c r="W102" i="7" s="1"/>
  <c r="L102" i="6"/>
  <c r="E65" i="2" s="1"/>
  <c r="K102" i="6"/>
  <c r="J102" i="6"/>
  <c r="E63" i="2" s="1"/>
  <c r="I102" i="6"/>
  <c r="E62" i="2" s="1"/>
  <c r="H102" i="6"/>
  <c r="E61" i="2" s="1"/>
  <c r="G102" i="6"/>
  <c r="E60" i="2" s="1"/>
  <c r="F102" i="6"/>
  <c r="Q101" i="6"/>
  <c r="Q100" i="6"/>
  <c r="Q99" i="6"/>
  <c r="Q98" i="6"/>
  <c r="Q97" i="6"/>
  <c r="Q96" i="6"/>
  <c r="Q95" i="6"/>
  <c r="Q94" i="6"/>
  <c r="Q93" i="6"/>
  <c r="Q92" i="6"/>
  <c r="Q91" i="6"/>
  <c r="Q90" i="6"/>
  <c r="Q89" i="6"/>
  <c r="Q88" i="6"/>
  <c r="Q87" i="6"/>
  <c r="Q86" i="6"/>
  <c r="Q85" i="6"/>
  <c r="Q84" i="6"/>
  <c r="Q83" i="6"/>
  <c r="Q82" i="6"/>
  <c r="Q81" i="6"/>
  <c r="Q80" i="6"/>
  <c r="Q79" i="6"/>
  <c r="Q78" i="6"/>
  <c r="Q77" i="6"/>
  <c r="Q76" i="6"/>
  <c r="Q75" i="6"/>
  <c r="Q74" i="6"/>
  <c r="Q73" i="6"/>
  <c r="Q72" i="6"/>
  <c r="Q71" i="6"/>
  <c r="Q70" i="6"/>
  <c r="Q69" i="6"/>
  <c r="Q68" i="6"/>
  <c r="Q67" i="6"/>
  <c r="Q66" i="6"/>
  <c r="Q65" i="6"/>
  <c r="Q64" i="6"/>
  <c r="Q63" i="6"/>
  <c r="Q62" i="6"/>
  <c r="Q61" i="6"/>
  <c r="Q60" i="6"/>
  <c r="Q59" i="6"/>
  <c r="Q58" i="6"/>
  <c r="P57" i="6"/>
  <c r="D69" i="2" s="1"/>
  <c r="O57" i="6"/>
  <c r="D68" i="2" s="1"/>
  <c r="N57" i="6"/>
  <c r="D67" i="2" s="1"/>
  <c r="M57" i="6"/>
  <c r="W57" i="7" s="1"/>
  <c r="L57" i="6"/>
  <c r="D65" i="2" s="1"/>
  <c r="K57" i="6"/>
  <c r="O57" i="7" s="1"/>
  <c r="J57" i="6"/>
  <c r="D63" i="2" s="1"/>
  <c r="I57" i="6"/>
  <c r="D62" i="2" s="1"/>
  <c r="H57" i="6"/>
  <c r="D61" i="2" s="1"/>
  <c r="G57" i="6"/>
  <c r="D60" i="2" s="1"/>
  <c r="F57" i="6"/>
  <c r="Q56" i="6"/>
  <c r="Q55" i="6"/>
  <c r="Q54" i="6"/>
  <c r="Q53" i="6"/>
  <c r="Q52" i="6"/>
  <c r="Q51" i="6"/>
  <c r="Q50" i="6"/>
  <c r="Q49" i="6"/>
  <c r="Q48" i="6"/>
  <c r="Q47" i="6"/>
  <c r="Q46" i="6"/>
  <c r="Q45" i="6"/>
  <c r="Q44" i="6"/>
  <c r="Q43" i="6"/>
  <c r="Q42" i="6"/>
  <c r="Q41" i="6"/>
  <c r="Q40" i="6"/>
  <c r="Q39" i="6"/>
  <c r="Q38" i="6"/>
  <c r="Q37" i="6"/>
  <c r="Q36" i="6"/>
  <c r="Q35" i="6"/>
  <c r="Q34" i="6"/>
  <c r="Q33" i="6"/>
  <c r="Q32" i="6"/>
  <c r="Q31" i="6"/>
  <c r="Q30" i="6"/>
  <c r="Q29" i="6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P13" i="6"/>
  <c r="C69" i="2" s="1"/>
  <c r="O13" i="6"/>
  <c r="C68" i="2" s="1"/>
  <c r="N13" i="6"/>
  <c r="C67" i="2" s="1"/>
  <c r="M13" i="6"/>
  <c r="L13" i="6"/>
  <c r="K13" i="6"/>
  <c r="O13" i="7" s="1"/>
  <c r="J13" i="6"/>
  <c r="C63" i="2" s="1"/>
  <c r="I13" i="6"/>
  <c r="C62" i="2" s="1"/>
  <c r="H13" i="6"/>
  <c r="C61" i="2" s="1"/>
  <c r="G13" i="6"/>
  <c r="C60" i="2" s="1"/>
  <c r="F13" i="6"/>
  <c r="C59" i="2" s="1"/>
  <c r="Q12" i="6"/>
  <c r="Q11" i="6"/>
  <c r="Q10" i="6"/>
  <c r="Q9" i="6"/>
  <c r="Q8" i="6"/>
  <c r="Q7" i="6"/>
  <c r="Q6" i="6"/>
  <c r="Q5" i="6"/>
  <c r="Q4" i="6"/>
  <c r="Q3" i="6"/>
  <c r="Q2" i="6"/>
  <c r="Y369" i="5"/>
  <c r="U369" i="7" s="1"/>
  <c r="X369" i="5"/>
  <c r="W369" i="5"/>
  <c r="K55" i="2" s="1"/>
  <c r="V369" i="5"/>
  <c r="K54" i="2" s="1"/>
  <c r="U369" i="5"/>
  <c r="K53" i="2" s="1"/>
  <c r="T369" i="5"/>
  <c r="K52" i="2" s="1"/>
  <c r="S369" i="5"/>
  <c r="K51" i="2" s="1"/>
  <c r="R369" i="5"/>
  <c r="K50" i="2" s="1"/>
  <c r="Q369" i="5"/>
  <c r="K49" i="2" s="1"/>
  <c r="P369" i="5"/>
  <c r="Q369" i="7" s="1"/>
  <c r="O369" i="5"/>
  <c r="N369" i="5"/>
  <c r="R369" i="7" s="1"/>
  <c r="M369" i="5"/>
  <c r="K45" i="2" s="1"/>
  <c r="L369" i="5"/>
  <c r="K44" i="2" s="1"/>
  <c r="K369" i="5"/>
  <c r="K43" i="2" s="1"/>
  <c r="J369" i="5"/>
  <c r="K42" i="2" s="1"/>
  <c r="I369" i="5"/>
  <c r="K41" i="2" s="1"/>
  <c r="H369" i="5"/>
  <c r="K40" i="2" s="1"/>
  <c r="G369" i="5"/>
  <c r="K39" i="2" s="1"/>
  <c r="F369" i="5"/>
  <c r="K38" i="2" s="1"/>
  <c r="Z368" i="5"/>
  <c r="Z367" i="5"/>
  <c r="Z366" i="5"/>
  <c r="Z365" i="5"/>
  <c r="Z364" i="5"/>
  <c r="Z363" i="5"/>
  <c r="Z362" i="5"/>
  <c r="Z361" i="5"/>
  <c r="Z360" i="5"/>
  <c r="Z359" i="5"/>
  <c r="Z358" i="5"/>
  <c r="Z357" i="5"/>
  <c r="Z356" i="5"/>
  <c r="Z355" i="5"/>
  <c r="Z354" i="5"/>
  <c r="Z353" i="5"/>
  <c r="Z352" i="5"/>
  <c r="Z351" i="5"/>
  <c r="Z350" i="5"/>
  <c r="Z349" i="5"/>
  <c r="Z348" i="5"/>
  <c r="Z347" i="5"/>
  <c r="Z346" i="5"/>
  <c r="Z345" i="5"/>
  <c r="Z344" i="5"/>
  <c r="Z343" i="5"/>
  <c r="Z342" i="5"/>
  <c r="Z341" i="5"/>
  <c r="Z340" i="5"/>
  <c r="Z339" i="5"/>
  <c r="Z338" i="5"/>
  <c r="Z337" i="5"/>
  <c r="Z336" i="5"/>
  <c r="Z335" i="5"/>
  <c r="Z334" i="5"/>
  <c r="Z333" i="5"/>
  <c r="Z332" i="5"/>
  <c r="Z331" i="5"/>
  <c r="Z330" i="5"/>
  <c r="Z329" i="5"/>
  <c r="Z328" i="5"/>
  <c r="Y327" i="5"/>
  <c r="X327" i="5"/>
  <c r="V327" i="7" s="1"/>
  <c r="W327" i="5"/>
  <c r="J55" i="2" s="1"/>
  <c r="V327" i="5"/>
  <c r="J54" i="2" s="1"/>
  <c r="U327" i="5"/>
  <c r="J53" i="2" s="1"/>
  <c r="T327" i="5"/>
  <c r="J52" i="2" s="1"/>
  <c r="S327" i="5"/>
  <c r="J51" i="2" s="1"/>
  <c r="R327" i="5"/>
  <c r="J50" i="2" s="1"/>
  <c r="Q327" i="5"/>
  <c r="J49" i="2" s="1"/>
  <c r="P327" i="5"/>
  <c r="Q327" i="7" s="1"/>
  <c r="O327" i="5"/>
  <c r="J47" i="2" s="1"/>
  <c r="N327" i="5"/>
  <c r="R327" i="7" s="1"/>
  <c r="M327" i="5"/>
  <c r="J45" i="2" s="1"/>
  <c r="L327" i="5"/>
  <c r="J44" i="2" s="1"/>
  <c r="K327" i="5"/>
  <c r="J43" i="2" s="1"/>
  <c r="J327" i="5"/>
  <c r="J42" i="2" s="1"/>
  <c r="I327" i="5"/>
  <c r="J41" i="2" s="1"/>
  <c r="H327" i="5"/>
  <c r="J40" i="2" s="1"/>
  <c r="G327" i="5"/>
  <c r="J39" i="2" s="1"/>
  <c r="F327" i="5"/>
  <c r="J38" i="2" s="1"/>
  <c r="Z326" i="5"/>
  <c r="Z325" i="5"/>
  <c r="Z324" i="5"/>
  <c r="Z323" i="5"/>
  <c r="Z322" i="5"/>
  <c r="Z321" i="5"/>
  <c r="Z320" i="5"/>
  <c r="Z319" i="5"/>
  <c r="Z318" i="5"/>
  <c r="Z317" i="5"/>
  <c r="Z316" i="5"/>
  <c r="Z315" i="5"/>
  <c r="Z314" i="5"/>
  <c r="Z313" i="5"/>
  <c r="Z312" i="5"/>
  <c r="Z311" i="5"/>
  <c r="Z310" i="5"/>
  <c r="Z309" i="5"/>
  <c r="Z308" i="5"/>
  <c r="Z307" i="5"/>
  <c r="Z306" i="5"/>
  <c r="Z305" i="5"/>
  <c r="Z304" i="5"/>
  <c r="Z303" i="5"/>
  <c r="Z302" i="5"/>
  <c r="Z301" i="5"/>
  <c r="Z300" i="5"/>
  <c r="Z299" i="5"/>
  <c r="Z298" i="5"/>
  <c r="Z297" i="5"/>
  <c r="Z296" i="5"/>
  <c r="Z295" i="5"/>
  <c r="Z294" i="5"/>
  <c r="Z293" i="5"/>
  <c r="Z292" i="5"/>
  <c r="Z291" i="5"/>
  <c r="Z290" i="5"/>
  <c r="Z289" i="5"/>
  <c r="Z288" i="5"/>
  <c r="Z287" i="5"/>
  <c r="Z286" i="5"/>
  <c r="Z285" i="5"/>
  <c r="Z284" i="5"/>
  <c r="Z283" i="5"/>
  <c r="Y282" i="5"/>
  <c r="X282" i="5"/>
  <c r="V282" i="7" s="1"/>
  <c r="W282" i="5"/>
  <c r="I55" i="2" s="1"/>
  <c r="V282" i="5"/>
  <c r="I54" i="2" s="1"/>
  <c r="U282" i="5"/>
  <c r="I53" i="2" s="1"/>
  <c r="T282" i="5"/>
  <c r="I52" i="2" s="1"/>
  <c r="S282" i="5"/>
  <c r="I51" i="2" s="1"/>
  <c r="R282" i="5"/>
  <c r="I50" i="2" s="1"/>
  <c r="Q282" i="5"/>
  <c r="I49" i="2" s="1"/>
  <c r="P282" i="5"/>
  <c r="O282" i="5"/>
  <c r="I47" i="2" s="1"/>
  <c r="N282" i="5"/>
  <c r="R282" i="7" s="1"/>
  <c r="M282" i="5"/>
  <c r="I45" i="2" s="1"/>
  <c r="L282" i="5"/>
  <c r="I44" i="2" s="1"/>
  <c r="K282" i="5"/>
  <c r="I43" i="2" s="1"/>
  <c r="J282" i="5"/>
  <c r="I42" i="2" s="1"/>
  <c r="I282" i="5"/>
  <c r="I41" i="2" s="1"/>
  <c r="H282" i="5"/>
  <c r="I40" i="2" s="1"/>
  <c r="G282" i="5"/>
  <c r="I39" i="2" s="1"/>
  <c r="F282" i="5"/>
  <c r="I38" i="2" s="1"/>
  <c r="Z281" i="5"/>
  <c r="Z280" i="5"/>
  <c r="Z279" i="5"/>
  <c r="Z278" i="5"/>
  <c r="Z277" i="5"/>
  <c r="Z276" i="5"/>
  <c r="Z275" i="5"/>
  <c r="Z274" i="5"/>
  <c r="Z273" i="5"/>
  <c r="Z272" i="5"/>
  <c r="Z271" i="5"/>
  <c r="Z270" i="5"/>
  <c r="Z269" i="5"/>
  <c r="Z268" i="5"/>
  <c r="Z267" i="5"/>
  <c r="Z266" i="5"/>
  <c r="Z265" i="5"/>
  <c r="Z264" i="5"/>
  <c r="Z263" i="5"/>
  <c r="Z262" i="5"/>
  <c r="Z261" i="5"/>
  <c r="Z260" i="5"/>
  <c r="Z259" i="5"/>
  <c r="Z258" i="5"/>
  <c r="Z257" i="5"/>
  <c r="Z256" i="5"/>
  <c r="Z255" i="5"/>
  <c r="Z254" i="5"/>
  <c r="Z253" i="5"/>
  <c r="Z252" i="5"/>
  <c r="Z251" i="5"/>
  <c r="Z250" i="5"/>
  <c r="Z249" i="5"/>
  <c r="Z248" i="5"/>
  <c r="Z247" i="5"/>
  <c r="Z246" i="5"/>
  <c r="Z245" i="5"/>
  <c r="Z244" i="5"/>
  <c r="Z243" i="5"/>
  <c r="Z242" i="5"/>
  <c r="Z241" i="5"/>
  <c r="Z240" i="5"/>
  <c r="Z239" i="5"/>
  <c r="Z238" i="5"/>
  <c r="Y237" i="5"/>
  <c r="X237" i="5"/>
  <c r="W237" i="5"/>
  <c r="H55" i="2" s="1"/>
  <c r="V237" i="5"/>
  <c r="H54" i="2" s="1"/>
  <c r="U237" i="5"/>
  <c r="T237" i="5"/>
  <c r="H52" i="2" s="1"/>
  <c r="S237" i="5"/>
  <c r="H51" i="2" s="1"/>
  <c r="R237" i="5"/>
  <c r="H50" i="2" s="1"/>
  <c r="Q237" i="5"/>
  <c r="P237" i="5"/>
  <c r="Q237" i="7" s="1"/>
  <c r="O237" i="5"/>
  <c r="H47" i="2" s="1"/>
  <c r="N237" i="5"/>
  <c r="R237" i="7" s="1"/>
  <c r="M237" i="5"/>
  <c r="H45" i="2" s="1"/>
  <c r="L237" i="5"/>
  <c r="H44" i="2" s="1"/>
  <c r="K237" i="5"/>
  <c r="H43" i="2" s="1"/>
  <c r="J237" i="5"/>
  <c r="H42" i="2" s="1"/>
  <c r="I237" i="5"/>
  <c r="H41" i="2" s="1"/>
  <c r="H237" i="5"/>
  <c r="H40" i="2" s="1"/>
  <c r="G237" i="5"/>
  <c r="H39" i="2" s="1"/>
  <c r="F237" i="5"/>
  <c r="H38" i="2" s="1"/>
  <c r="Z236" i="5"/>
  <c r="Z235" i="5"/>
  <c r="Z234" i="5"/>
  <c r="Z233" i="5"/>
  <c r="Z232" i="5"/>
  <c r="Z231" i="5"/>
  <c r="Z230" i="5"/>
  <c r="Z229" i="5"/>
  <c r="Z228" i="5"/>
  <c r="Z227" i="5"/>
  <c r="Z226" i="5"/>
  <c r="Z225" i="5"/>
  <c r="Z224" i="5"/>
  <c r="Z223" i="5"/>
  <c r="Z222" i="5"/>
  <c r="Z221" i="5"/>
  <c r="Z220" i="5"/>
  <c r="Z219" i="5"/>
  <c r="Z218" i="5"/>
  <c r="Z217" i="5"/>
  <c r="Z216" i="5"/>
  <c r="Z215" i="5"/>
  <c r="Z214" i="5"/>
  <c r="Z213" i="5"/>
  <c r="Z212" i="5"/>
  <c r="Z211" i="5"/>
  <c r="Z210" i="5"/>
  <c r="Z209" i="5"/>
  <c r="Z208" i="5"/>
  <c r="Z207" i="5"/>
  <c r="Z206" i="5"/>
  <c r="Z205" i="5"/>
  <c r="Z204" i="5"/>
  <c r="Z203" i="5"/>
  <c r="Z202" i="5"/>
  <c r="Z201" i="5"/>
  <c r="Z200" i="5"/>
  <c r="Z199" i="5"/>
  <c r="Z198" i="5"/>
  <c r="Z197" i="5"/>
  <c r="Z196" i="5"/>
  <c r="Z195" i="5"/>
  <c r="Z194" i="5"/>
  <c r="Z193" i="5"/>
  <c r="Y192" i="5"/>
  <c r="X192" i="5"/>
  <c r="V192" i="7" s="1"/>
  <c r="W192" i="5"/>
  <c r="G55" i="2" s="1"/>
  <c r="V192" i="5"/>
  <c r="G54" i="2" s="1"/>
  <c r="U192" i="5"/>
  <c r="G53" i="2" s="1"/>
  <c r="T192" i="5"/>
  <c r="G52" i="2" s="1"/>
  <c r="S192" i="5"/>
  <c r="G51" i="2" s="1"/>
  <c r="R192" i="5"/>
  <c r="G50" i="2" s="1"/>
  <c r="Q192" i="5"/>
  <c r="G49" i="2" s="1"/>
  <c r="P192" i="5"/>
  <c r="Q192" i="7" s="1"/>
  <c r="O192" i="5"/>
  <c r="G47" i="2" s="1"/>
  <c r="N192" i="5"/>
  <c r="M192" i="5"/>
  <c r="G45" i="2" s="1"/>
  <c r="L192" i="5"/>
  <c r="G44" i="2" s="1"/>
  <c r="K192" i="5"/>
  <c r="G43" i="2" s="1"/>
  <c r="J192" i="5"/>
  <c r="G42" i="2" s="1"/>
  <c r="I192" i="5"/>
  <c r="G41" i="2" s="1"/>
  <c r="H192" i="5"/>
  <c r="G40" i="2" s="1"/>
  <c r="G192" i="5"/>
  <c r="G39" i="2" s="1"/>
  <c r="F192" i="5"/>
  <c r="G38" i="2" s="1"/>
  <c r="Z191" i="5"/>
  <c r="Z190" i="5"/>
  <c r="Z189" i="5"/>
  <c r="Z188" i="5"/>
  <c r="Z187" i="5"/>
  <c r="Z186" i="5"/>
  <c r="Z185" i="5"/>
  <c r="Z184" i="5"/>
  <c r="Z183" i="5"/>
  <c r="Z182" i="5"/>
  <c r="Z181" i="5"/>
  <c r="Z180" i="5"/>
  <c r="Z179" i="5"/>
  <c r="Z178" i="5"/>
  <c r="Z177" i="5"/>
  <c r="Z176" i="5"/>
  <c r="Z175" i="5"/>
  <c r="Z174" i="5"/>
  <c r="Z173" i="5"/>
  <c r="Z172" i="5"/>
  <c r="Z171" i="5"/>
  <c r="Z170" i="5"/>
  <c r="Z169" i="5"/>
  <c r="Z168" i="5"/>
  <c r="Z167" i="5"/>
  <c r="Z166" i="5"/>
  <c r="Z165" i="5"/>
  <c r="Z164" i="5"/>
  <c r="Z163" i="5"/>
  <c r="Z162" i="5"/>
  <c r="Z161" i="5"/>
  <c r="Z160" i="5"/>
  <c r="Z159" i="5"/>
  <c r="Z158" i="5"/>
  <c r="Z157" i="5"/>
  <c r="Z156" i="5"/>
  <c r="Z155" i="5"/>
  <c r="Z154" i="5"/>
  <c r="Z153" i="5"/>
  <c r="Z152" i="5"/>
  <c r="Z151" i="5"/>
  <c r="Z150" i="5"/>
  <c r="Z149" i="5"/>
  <c r="Z148" i="5"/>
  <c r="Y147" i="5"/>
  <c r="U147" i="7" s="1"/>
  <c r="X147" i="5"/>
  <c r="V147" i="7" s="1"/>
  <c r="W147" i="5"/>
  <c r="F55" i="2" s="1"/>
  <c r="V147" i="5"/>
  <c r="F54" i="2" s="1"/>
  <c r="U147" i="5"/>
  <c r="F53" i="2" s="1"/>
  <c r="T147" i="5"/>
  <c r="F52" i="2" s="1"/>
  <c r="S147" i="5"/>
  <c r="R147" i="5"/>
  <c r="F50" i="2" s="1"/>
  <c r="Q147" i="5"/>
  <c r="F49" i="2" s="1"/>
  <c r="P147" i="5"/>
  <c r="Q147" i="7" s="1"/>
  <c r="O147" i="5"/>
  <c r="F47" i="2" s="1"/>
  <c r="N147" i="5"/>
  <c r="R147" i="7" s="1"/>
  <c r="M147" i="5"/>
  <c r="F45" i="2" s="1"/>
  <c r="L147" i="5"/>
  <c r="F44" i="2" s="1"/>
  <c r="K147" i="5"/>
  <c r="F43" i="2" s="1"/>
  <c r="J147" i="5"/>
  <c r="F42" i="2" s="1"/>
  <c r="I147" i="5"/>
  <c r="F41" i="2" s="1"/>
  <c r="H147" i="5"/>
  <c r="G147" i="5"/>
  <c r="F39" i="2" s="1"/>
  <c r="F147" i="5"/>
  <c r="F38" i="2" s="1"/>
  <c r="Z146" i="5"/>
  <c r="Z145" i="5"/>
  <c r="Z144" i="5"/>
  <c r="Z143" i="5"/>
  <c r="Z142" i="5"/>
  <c r="Z141" i="5"/>
  <c r="Z140" i="5"/>
  <c r="Z139" i="5"/>
  <c r="Z138" i="5"/>
  <c r="Z137" i="5"/>
  <c r="Z136" i="5"/>
  <c r="Z135" i="5"/>
  <c r="Z134" i="5"/>
  <c r="Z133" i="5"/>
  <c r="Z132" i="5"/>
  <c r="Z131" i="5"/>
  <c r="Z130" i="5"/>
  <c r="Z129" i="5"/>
  <c r="Z128" i="5"/>
  <c r="Z127" i="5"/>
  <c r="Z126" i="5"/>
  <c r="Z125" i="5"/>
  <c r="Z124" i="5"/>
  <c r="Z123" i="5"/>
  <c r="Z122" i="5"/>
  <c r="Z121" i="5"/>
  <c r="Z120" i="5"/>
  <c r="Z119" i="5"/>
  <c r="Z118" i="5"/>
  <c r="Z117" i="5"/>
  <c r="Z116" i="5"/>
  <c r="Z115" i="5"/>
  <c r="Z114" i="5"/>
  <c r="Z113" i="5"/>
  <c r="Z112" i="5"/>
  <c r="Z111" i="5"/>
  <c r="Z110" i="5"/>
  <c r="Z109" i="5"/>
  <c r="Z108" i="5"/>
  <c r="Z107" i="5"/>
  <c r="Z106" i="5"/>
  <c r="Z105" i="5"/>
  <c r="Z104" i="5"/>
  <c r="Z103" i="5"/>
  <c r="Y102" i="5"/>
  <c r="X102" i="5"/>
  <c r="V102" i="7" s="1"/>
  <c r="W102" i="5"/>
  <c r="E55" i="2" s="1"/>
  <c r="V102" i="5"/>
  <c r="E54" i="2" s="1"/>
  <c r="U102" i="5"/>
  <c r="E53" i="2" s="1"/>
  <c r="T102" i="5"/>
  <c r="S102" i="5"/>
  <c r="E51" i="2" s="1"/>
  <c r="R102" i="5"/>
  <c r="E50" i="2" s="1"/>
  <c r="Q102" i="5"/>
  <c r="P102" i="5"/>
  <c r="O102" i="5"/>
  <c r="E47" i="2" s="1"/>
  <c r="N102" i="5"/>
  <c r="R102" i="7" s="1"/>
  <c r="M102" i="5"/>
  <c r="E45" i="2" s="1"/>
  <c r="L102" i="5"/>
  <c r="E44" i="2" s="1"/>
  <c r="K102" i="5"/>
  <c r="E43" i="2" s="1"/>
  <c r="J102" i="5"/>
  <c r="E42" i="2" s="1"/>
  <c r="I102" i="5"/>
  <c r="E41" i="2" s="1"/>
  <c r="H102" i="5"/>
  <c r="E40" i="2" s="1"/>
  <c r="G102" i="5"/>
  <c r="E39" i="2" s="1"/>
  <c r="F102" i="5"/>
  <c r="E38" i="2" s="1"/>
  <c r="Z101" i="5"/>
  <c r="Z100" i="5"/>
  <c r="Z99" i="5"/>
  <c r="Z98" i="5"/>
  <c r="Z97" i="5"/>
  <c r="Z96" i="5"/>
  <c r="Z95" i="5"/>
  <c r="Z94" i="5"/>
  <c r="Z93" i="5"/>
  <c r="Z92" i="5"/>
  <c r="Z91" i="5"/>
  <c r="Z90" i="5"/>
  <c r="Z89" i="5"/>
  <c r="Z88" i="5"/>
  <c r="Z87" i="5"/>
  <c r="Z86" i="5"/>
  <c r="Z85" i="5"/>
  <c r="Z84" i="5"/>
  <c r="Z83" i="5"/>
  <c r="Z82" i="5"/>
  <c r="Z81" i="5"/>
  <c r="Z80" i="5"/>
  <c r="Z79" i="5"/>
  <c r="Z78" i="5"/>
  <c r="Z77" i="5"/>
  <c r="Z76" i="5"/>
  <c r="Z75" i="5"/>
  <c r="Z74" i="5"/>
  <c r="Z73" i="5"/>
  <c r="Z72" i="5"/>
  <c r="Z71" i="5"/>
  <c r="Z70" i="5"/>
  <c r="Z69" i="5"/>
  <c r="Z68" i="5"/>
  <c r="Z67" i="5"/>
  <c r="Z66" i="5"/>
  <c r="Z65" i="5"/>
  <c r="Z64" i="5"/>
  <c r="Z63" i="5"/>
  <c r="Z62" i="5"/>
  <c r="Z61" i="5"/>
  <c r="Z60" i="5"/>
  <c r="Z59" i="5"/>
  <c r="Z58" i="5"/>
  <c r="Y57" i="5"/>
  <c r="X57" i="5"/>
  <c r="W57" i="5"/>
  <c r="D55" i="2" s="1"/>
  <c r="V57" i="5"/>
  <c r="D54" i="2" s="1"/>
  <c r="U57" i="5"/>
  <c r="T57" i="5"/>
  <c r="D52" i="2" s="1"/>
  <c r="S57" i="5"/>
  <c r="D51" i="2" s="1"/>
  <c r="R57" i="5"/>
  <c r="D50" i="2" s="1"/>
  <c r="Q57" i="5"/>
  <c r="P57" i="5"/>
  <c r="Q57" i="7" s="1"/>
  <c r="O57" i="5"/>
  <c r="D47" i="2" s="1"/>
  <c r="N57" i="5"/>
  <c r="R57" i="7" s="1"/>
  <c r="M57" i="5"/>
  <c r="D45" i="2" s="1"/>
  <c r="L57" i="5"/>
  <c r="D44" i="2" s="1"/>
  <c r="K57" i="5"/>
  <c r="D43" i="2" s="1"/>
  <c r="J57" i="5"/>
  <c r="D42" i="2" s="1"/>
  <c r="I57" i="5"/>
  <c r="D41" i="2" s="1"/>
  <c r="H57" i="5"/>
  <c r="D40" i="2" s="1"/>
  <c r="G57" i="5"/>
  <c r="D39" i="2" s="1"/>
  <c r="F57" i="5"/>
  <c r="D38" i="2" s="1"/>
  <c r="Z56" i="5"/>
  <c r="Z55" i="5"/>
  <c r="Z54" i="5"/>
  <c r="Z53" i="5"/>
  <c r="Z52" i="5"/>
  <c r="Z51" i="5"/>
  <c r="Z50" i="5"/>
  <c r="Z49" i="5"/>
  <c r="Z48" i="5"/>
  <c r="Z47" i="5"/>
  <c r="Z46" i="5"/>
  <c r="Z45" i="5"/>
  <c r="Z44" i="5"/>
  <c r="Z43" i="5"/>
  <c r="Z42" i="5"/>
  <c r="Z41" i="5"/>
  <c r="Z40" i="5"/>
  <c r="Z39" i="5"/>
  <c r="Z38" i="5"/>
  <c r="Z37" i="5"/>
  <c r="Z36" i="5"/>
  <c r="Z35" i="5"/>
  <c r="Z34" i="5"/>
  <c r="Z33" i="5"/>
  <c r="Z32" i="5"/>
  <c r="Z31" i="5"/>
  <c r="Z30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Z14" i="5"/>
  <c r="Y13" i="5"/>
  <c r="U13" i="7" s="1"/>
  <c r="X13" i="5"/>
  <c r="V13" i="7" s="1"/>
  <c r="W13" i="5"/>
  <c r="C55" i="2" s="1"/>
  <c r="V13" i="5"/>
  <c r="C54" i="2" s="1"/>
  <c r="U13" i="5"/>
  <c r="C53" i="2" s="1"/>
  <c r="T13" i="5"/>
  <c r="C52" i="2" s="1"/>
  <c r="S13" i="5"/>
  <c r="C51" i="2" s="1"/>
  <c r="R13" i="5"/>
  <c r="C50" i="2" s="1"/>
  <c r="Q13" i="5"/>
  <c r="C49" i="2" s="1"/>
  <c r="P13" i="5"/>
  <c r="O13" i="5"/>
  <c r="N13" i="5"/>
  <c r="R13" i="7" s="1"/>
  <c r="M13" i="5"/>
  <c r="C45" i="2" s="1"/>
  <c r="L13" i="5"/>
  <c r="C44" i="2" s="1"/>
  <c r="K13" i="5"/>
  <c r="C43" i="2" s="1"/>
  <c r="J13" i="5"/>
  <c r="C42" i="2" s="1"/>
  <c r="I13" i="5"/>
  <c r="C41" i="2" s="1"/>
  <c r="H13" i="5"/>
  <c r="C40" i="2" s="1"/>
  <c r="G13" i="5"/>
  <c r="C39" i="2" s="1"/>
  <c r="F13" i="5"/>
  <c r="C38" i="2" s="1"/>
  <c r="Z12" i="5"/>
  <c r="Z11" i="5"/>
  <c r="Z10" i="5"/>
  <c r="Z9" i="5"/>
  <c r="Z8" i="5"/>
  <c r="Z7" i="5"/>
  <c r="Z6" i="5"/>
  <c r="Z5" i="5"/>
  <c r="Z4" i="5"/>
  <c r="Z3" i="5"/>
  <c r="Z2" i="5"/>
  <c r="S369" i="4"/>
  <c r="K36" i="2" s="1"/>
  <c r="R369" i="4"/>
  <c r="K35" i="2" s="1"/>
  <c r="Q369" i="4"/>
  <c r="K34" i="2" s="1"/>
  <c r="P369" i="4"/>
  <c r="K33" i="2" s="1"/>
  <c r="O369" i="4"/>
  <c r="N369" i="4"/>
  <c r="M369" i="4"/>
  <c r="K30" i="2" s="1"/>
  <c r="L369" i="4"/>
  <c r="K29" i="2" s="1"/>
  <c r="K369" i="4"/>
  <c r="K28" i="2" s="1"/>
  <c r="J369" i="4"/>
  <c r="K27" i="2" s="1"/>
  <c r="I369" i="4"/>
  <c r="K26" i="2" s="1"/>
  <c r="H369" i="4"/>
  <c r="K25" i="2" s="1"/>
  <c r="G369" i="4"/>
  <c r="F369" i="4"/>
  <c r="K23" i="2" s="1"/>
  <c r="T368" i="4"/>
  <c r="T367" i="4"/>
  <c r="T366" i="4"/>
  <c r="T365" i="4"/>
  <c r="T364" i="4"/>
  <c r="T363" i="4"/>
  <c r="T362" i="4"/>
  <c r="T361" i="4"/>
  <c r="T360" i="4"/>
  <c r="T359" i="4"/>
  <c r="T358" i="4"/>
  <c r="T357" i="4"/>
  <c r="T356" i="4"/>
  <c r="T355" i="4"/>
  <c r="T354" i="4"/>
  <c r="T353" i="4"/>
  <c r="T352" i="4"/>
  <c r="T351" i="4"/>
  <c r="T350" i="4"/>
  <c r="T349" i="4"/>
  <c r="T348" i="4"/>
  <c r="T347" i="4"/>
  <c r="T346" i="4"/>
  <c r="T345" i="4"/>
  <c r="T344" i="4"/>
  <c r="T343" i="4"/>
  <c r="T342" i="4"/>
  <c r="T341" i="4"/>
  <c r="T340" i="4"/>
  <c r="T339" i="4"/>
  <c r="T338" i="4"/>
  <c r="T337" i="4"/>
  <c r="T336" i="4"/>
  <c r="T335" i="4"/>
  <c r="T334" i="4"/>
  <c r="T333" i="4"/>
  <c r="T332" i="4"/>
  <c r="T331" i="4"/>
  <c r="T330" i="4"/>
  <c r="T329" i="4"/>
  <c r="T328" i="4"/>
  <c r="S327" i="4"/>
  <c r="J36" i="2" s="1"/>
  <c r="R327" i="4"/>
  <c r="J35" i="2" s="1"/>
  <c r="Q327" i="4"/>
  <c r="J34" i="2" s="1"/>
  <c r="P327" i="4"/>
  <c r="J33" i="2" s="1"/>
  <c r="O327" i="4"/>
  <c r="N327" i="4"/>
  <c r="P327" i="7" s="1"/>
  <c r="M327" i="4"/>
  <c r="J30" i="2" s="1"/>
  <c r="L327" i="4"/>
  <c r="J29" i="2" s="1"/>
  <c r="K327" i="4"/>
  <c r="J28" i="2" s="1"/>
  <c r="J327" i="4"/>
  <c r="J27" i="2" s="1"/>
  <c r="I327" i="4"/>
  <c r="J26" i="2" s="1"/>
  <c r="H327" i="4"/>
  <c r="J25" i="2" s="1"/>
  <c r="G327" i="4"/>
  <c r="F327" i="4"/>
  <c r="J23" i="2" s="1"/>
  <c r="T326" i="4"/>
  <c r="T325" i="4"/>
  <c r="T324" i="4"/>
  <c r="T323" i="4"/>
  <c r="T322" i="4"/>
  <c r="T321" i="4"/>
  <c r="T320" i="4"/>
  <c r="T319" i="4"/>
  <c r="T318" i="4"/>
  <c r="T317" i="4"/>
  <c r="T316" i="4"/>
  <c r="T315" i="4"/>
  <c r="T314" i="4"/>
  <c r="T313" i="4"/>
  <c r="T312" i="4"/>
  <c r="T311" i="4"/>
  <c r="T310" i="4"/>
  <c r="T309" i="4"/>
  <c r="T308" i="4"/>
  <c r="T307" i="4"/>
  <c r="T306" i="4"/>
  <c r="T305" i="4"/>
  <c r="T304" i="4"/>
  <c r="T303" i="4"/>
  <c r="T302" i="4"/>
  <c r="T301" i="4"/>
  <c r="T300" i="4"/>
  <c r="T299" i="4"/>
  <c r="T298" i="4"/>
  <c r="T297" i="4"/>
  <c r="T296" i="4"/>
  <c r="T295" i="4"/>
  <c r="T294" i="4"/>
  <c r="T293" i="4"/>
  <c r="T292" i="4"/>
  <c r="T291" i="4"/>
  <c r="T290" i="4"/>
  <c r="T289" i="4"/>
  <c r="T288" i="4"/>
  <c r="T287" i="4"/>
  <c r="T286" i="4"/>
  <c r="T285" i="4"/>
  <c r="T284" i="4"/>
  <c r="T283" i="4"/>
  <c r="S282" i="4"/>
  <c r="I36" i="2" s="1"/>
  <c r="R282" i="4"/>
  <c r="I35" i="2" s="1"/>
  <c r="Q282" i="4"/>
  <c r="I34" i="2" s="1"/>
  <c r="P282" i="4"/>
  <c r="I33" i="2" s="1"/>
  <c r="O282" i="4"/>
  <c r="I32" i="2" s="1"/>
  <c r="N282" i="4"/>
  <c r="M282" i="4"/>
  <c r="I30" i="2" s="1"/>
  <c r="L282" i="4"/>
  <c r="I29" i="2" s="1"/>
  <c r="K282" i="4"/>
  <c r="I28" i="2" s="1"/>
  <c r="J282" i="4"/>
  <c r="I27" i="2" s="1"/>
  <c r="I282" i="4"/>
  <c r="I26" i="2" s="1"/>
  <c r="H282" i="4"/>
  <c r="I25" i="2" s="1"/>
  <c r="G282" i="4"/>
  <c r="I24" i="2" s="1"/>
  <c r="F282" i="4"/>
  <c r="T281" i="4"/>
  <c r="T280" i="4"/>
  <c r="T279" i="4"/>
  <c r="T278" i="4"/>
  <c r="T277" i="4"/>
  <c r="T276" i="4"/>
  <c r="T275" i="4"/>
  <c r="T274" i="4"/>
  <c r="T273" i="4"/>
  <c r="T272" i="4"/>
  <c r="T271" i="4"/>
  <c r="T270" i="4"/>
  <c r="T269" i="4"/>
  <c r="T268" i="4"/>
  <c r="T267" i="4"/>
  <c r="T266" i="4"/>
  <c r="T265" i="4"/>
  <c r="T264" i="4"/>
  <c r="T263" i="4"/>
  <c r="T262" i="4"/>
  <c r="T261" i="4"/>
  <c r="T260" i="4"/>
  <c r="T259" i="4"/>
  <c r="T258" i="4"/>
  <c r="T257" i="4"/>
  <c r="T256" i="4"/>
  <c r="T255" i="4"/>
  <c r="T254" i="4"/>
  <c r="T253" i="4"/>
  <c r="T252" i="4"/>
  <c r="T251" i="4"/>
  <c r="T250" i="4"/>
  <c r="T249" i="4"/>
  <c r="T248" i="4"/>
  <c r="T247" i="4"/>
  <c r="T246" i="4"/>
  <c r="T245" i="4"/>
  <c r="T244" i="4"/>
  <c r="T243" i="4"/>
  <c r="T242" i="4"/>
  <c r="T241" i="4"/>
  <c r="T240" i="4"/>
  <c r="T239" i="4"/>
  <c r="T238" i="4"/>
  <c r="S237" i="4"/>
  <c r="H36" i="2" s="1"/>
  <c r="R237" i="4"/>
  <c r="H35" i="2" s="1"/>
  <c r="Q237" i="4"/>
  <c r="H34" i="2" s="1"/>
  <c r="P237" i="4"/>
  <c r="H33" i="2" s="1"/>
  <c r="O237" i="4"/>
  <c r="H32" i="2" s="1"/>
  <c r="N237" i="4"/>
  <c r="P237" i="7" s="1"/>
  <c r="M237" i="4"/>
  <c r="H30" i="2" s="1"/>
  <c r="L237" i="4"/>
  <c r="H29" i="2" s="1"/>
  <c r="K237" i="4"/>
  <c r="H28" i="2" s="1"/>
  <c r="J237" i="4"/>
  <c r="H27" i="2" s="1"/>
  <c r="I237" i="4"/>
  <c r="H26" i="2" s="1"/>
  <c r="H237" i="4"/>
  <c r="H25" i="2" s="1"/>
  <c r="G237" i="4"/>
  <c r="H24" i="2" s="1"/>
  <c r="F237" i="4"/>
  <c r="H23" i="2" s="1"/>
  <c r="T236" i="4"/>
  <c r="T235" i="4"/>
  <c r="T234" i="4"/>
  <c r="T233" i="4"/>
  <c r="T232" i="4"/>
  <c r="T231" i="4"/>
  <c r="T230" i="4"/>
  <c r="T229" i="4"/>
  <c r="T228" i="4"/>
  <c r="T227" i="4"/>
  <c r="T226" i="4"/>
  <c r="T225" i="4"/>
  <c r="T224" i="4"/>
  <c r="T223" i="4"/>
  <c r="T222" i="4"/>
  <c r="T221" i="4"/>
  <c r="T220" i="4"/>
  <c r="T219" i="4"/>
  <c r="T218" i="4"/>
  <c r="T217" i="4"/>
  <c r="T216" i="4"/>
  <c r="T215" i="4"/>
  <c r="T214" i="4"/>
  <c r="T213" i="4"/>
  <c r="T212" i="4"/>
  <c r="T211" i="4"/>
  <c r="T210" i="4"/>
  <c r="T209" i="4"/>
  <c r="T208" i="4"/>
  <c r="T207" i="4"/>
  <c r="T206" i="4"/>
  <c r="T205" i="4"/>
  <c r="T204" i="4"/>
  <c r="T203" i="4"/>
  <c r="T202" i="4"/>
  <c r="T201" i="4"/>
  <c r="T200" i="4"/>
  <c r="T199" i="4"/>
  <c r="T198" i="4"/>
  <c r="T197" i="4"/>
  <c r="T196" i="4"/>
  <c r="T195" i="4"/>
  <c r="T194" i="4"/>
  <c r="T193" i="4"/>
  <c r="S192" i="4"/>
  <c r="G36" i="2" s="1"/>
  <c r="R192" i="4"/>
  <c r="G35" i="2" s="1"/>
  <c r="Q192" i="4"/>
  <c r="G34" i="2" s="1"/>
  <c r="P192" i="4"/>
  <c r="G33" i="2" s="1"/>
  <c r="O192" i="4"/>
  <c r="G32" i="2" s="1"/>
  <c r="N192" i="4"/>
  <c r="P192" i="7" s="1"/>
  <c r="M192" i="4"/>
  <c r="G30" i="2" s="1"/>
  <c r="L192" i="4"/>
  <c r="G29" i="2" s="1"/>
  <c r="K192" i="4"/>
  <c r="G28" i="2" s="1"/>
  <c r="J192" i="4"/>
  <c r="G27" i="2" s="1"/>
  <c r="I192" i="4"/>
  <c r="G26" i="2" s="1"/>
  <c r="H192" i="4"/>
  <c r="G25" i="2" s="1"/>
  <c r="G192" i="4"/>
  <c r="G24" i="2" s="1"/>
  <c r="F192" i="4"/>
  <c r="T191" i="4"/>
  <c r="T190" i="4"/>
  <c r="T189" i="4"/>
  <c r="T188" i="4"/>
  <c r="T187" i="4"/>
  <c r="T186" i="4"/>
  <c r="T185" i="4"/>
  <c r="T184" i="4"/>
  <c r="T183" i="4"/>
  <c r="T182" i="4"/>
  <c r="T181" i="4"/>
  <c r="T180" i="4"/>
  <c r="T179" i="4"/>
  <c r="T178" i="4"/>
  <c r="T177" i="4"/>
  <c r="T176" i="4"/>
  <c r="T175" i="4"/>
  <c r="T174" i="4"/>
  <c r="T173" i="4"/>
  <c r="T172" i="4"/>
  <c r="T171" i="4"/>
  <c r="T170" i="4"/>
  <c r="T169" i="4"/>
  <c r="T168" i="4"/>
  <c r="T167" i="4"/>
  <c r="T166" i="4"/>
  <c r="T165" i="4"/>
  <c r="T164" i="4"/>
  <c r="T163" i="4"/>
  <c r="T162" i="4"/>
  <c r="T161" i="4"/>
  <c r="T160" i="4"/>
  <c r="T159" i="4"/>
  <c r="T158" i="4"/>
  <c r="T157" i="4"/>
  <c r="T156" i="4"/>
  <c r="T155" i="4"/>
  <c r="T154" i="4"/>
  <c r="T153" i="4"/>
  <c r="T152" i="4"/>
  <c r="T151" i="4"/>
  <c r="T150" i="4"/>
  <c r="T149" i="4"/>
  <c r="T148" i="4"/>
  <c r="S147" i="4"/>
  <c r="F36" i="2" s="1"/>
  <c r="R147" i="4"/>
  <c r="F35" i="2" s="1"/>
  <c r="Q147" i="4"/>
  <c r="F34" i="2" s="1"/>
  <c r="P147" i="4"/>
  <c r="F33" i="2" s="1"/>
  <c r="O147" i="4"/>
  <c r="N147" i="4"/>
  <c r="M147" i="4"/>
  <c r="F30" i="2" s="1"/>
  <c r="L147" i="4"/>
  <c r="F29" i="2" s="1"/>
  <c r="K147" i="4"/>
  <c r="F28" i="2" s="1"/>
  <c r="J147" i="4"/>
  <c r="F27" i="2" s="1"/>
  <c r="I147" i="4"/>
  <c r="F26" i="2" s="1"/>
  <c r="H147" i="4"/>
  <c r="F25" i="2" s="1"/>
  <c r="G147" i="4"/>
  <c r="F147" i="4"/>
  <c r="F23" i="2" s="1"/>
  <c r="T146" i="4"/>
  <c r="T145" i="4"/>
  <c r="T144" i="4"/>
  <c r="T143" i="4"/>
  <c r="T142" i="4"/>
  <c r="T141" i="4"/>
  <c r="T140" i="4"/>
  <c r="T139" i="4"/>
  <c r="T138" i="4"/>
  <c r="T137" i="4"/>
  <c r="T136" i="4"/>
  <c r="T135" i="4"/>
  <c r="T134" i="4"/>
  <c r="T133" i="4"/>
  <c r="T132" i="4"/>
  <c r="T131" i="4"/>
  <c r="T130" i="4"/>
  <c r="T129" i="4"/>
  <c r="T128" i="4"/>
  <c r="T127" i="4"/>
  <c r="T126" i="4"/>
  <c r="T125" i="4"/>
  <c r="T124" i="4"/>
  <c r="T123" i="4"/>
  <c r="T122" i="4"/>
  <c r="T121" i="4"/>
  <c r="T120" i="4"/>
  <c r="T119" i="4"/>
  <c r="T118" i="4"/>
  <c r="T117" i="4"/>
  <c r="T116" i="4"/>
  <c r="T115" i="4"/>
  <c r="T114" i="4"/>
  <c r="T113" i="4"/>
  <c r="T112" i="4"/>
  <c r="T111" i="4"/>
  <c r="T110" i="4"/>
  <c r="T109" i="4"/>
  <c r="T108" i="4"/>
  <c r="T107" i="4"/>
  <c r="T106" i="4"/>
  <c r="T105" i="4"/>
  <c r="T104" i="4"/>
  <c r="T103" i="4"/>
  <c r="S102" i="4"/>
  <c r="E36" i="2" s="1"/>
  <c r="R102" i="4"/>
  <c r="E35" i="2" s="1"/>
  <c r="Q102" i="4"/>
  <c r="E34" i="2" s="1"/>
  <c r="P102" i="4"/>
  <c r="E33" i="2" s="1"/>
  <c r="O102" i="4"/>
  <c r="E32" i="2" s="1"/>
  <c r="N102" i="4"/>
  <c r="M102" i="4"/>
  <c r="E30" i="2" s="1"/>
  <c r="L102" i="4"/>
  <c r="E29" i="2" s="1"/>
  <c r="K102" i="4"/>
  <c r="E28" i="2" s="1"/>
  <c r="J102" i="4"/>
  <c r="E27" i="2" s="1"/>
  <c r="I102" i="4"/>
  <c r="E26" i="2" s="1"/>
  <c r="G102" i="4"/>
  <c r="E24" i="2" s="1"/>
  <c r="F102" i="4"/>
  <c r="E23" i="2" s="1"/>
  <c r="T101" i="4"/>
  <c r="T100" i="4"/>
  <c r="T99" i="4"/>
  <c r="T98" i="4"/>
  <c r="T97" i="4"/>
  <c r="T96" i="4"/>
  <c r="T95" i="4"/>
  <c r="T94" i="4"/>
  <c r="T93" i="4"/>
  <c r="T92" i="4"/>
  <c r="T91" i="4"/>
  <c r="T90" i="4"/>
  <c r="T89" i="4"/>
  <c r="T88" i="4"/>
  <c r="T87" i="4"/>
  <c r="T86" i="4"/>
  <c r="T85" i="4"/>
  <c r="T84" i="4"/>
  <c r="T83" i="4"/>
  <c r="T82" i="4"/>
  <c r="T81" i="4"/>
  <c r="T80" i="4"/>
  <c r="T79" i="4"/>
  <c r="T78" i="4"/>
  <c r="T77" i="4"/>
  <c r="T76" i="4"/>
  <c r="T75" i="4"/>
  <c r="T74" i="4"/>
  <c r="T73" i="4"/>
  <c r="T72" i="4"/>
  <c r="T71" i="4"/>
  <c r="T70" i="4"/>
  <c r="T69" i="4"/>
  <c r="T68" i="4"/>
  <c r="T67" i="4"/>
  <c r="T66" i="4"/>
  <c r="T65" i="4"/>
  <c r="T64" i="4"/>
  <c r="T63" i="4"/>
  <c r="T62" i="4"/>
  <c r="T61" i="4"/>
  <c r="T60" i="4"/>
  <c r="T59" i="4"/>
  <c r="T58" i="4"/>
  <c r="S57" i="4"/>
  <c r="D36" i="2" s="1"/>
  <c r="R57" i="4"/>
  <c r="D35" i="2" s="1"/>
  <c r="Q57" i="4"/>
  <c r="D34" i="2" s="1"/>
  <c r="P57" i="4"/>
  <c r="D33" i="2" s="1"/>
  <c r="O57" i="4"/>
  <c r="N57" i="4"/>
  <c r="P57" i="7" s="1"/>
  <c r="M57" i="4"/>
  <c r="D30" i="2" s="1"/>
  <c r="L57" i="4"/>
  <c r="D29" i="2" s="1"/>
  <c r="K57" i="4"/>
  <c r="D28" i="2" s="1"/>
  <c r="I57" i="4"/>
  <c r="D26" i="2" s="1"/>
  <c r="G57" i="4"/>
  <c r="D24" i="2" s="1"/>
  <c r="F57" i="4"/>
  <c r="T56" i="4"/>
  <c r="T55" i="4"/>
  <c r="T54" i="4"/>
  <c r="T53" i="4"/>
  <c r="T52" i="4"/>
  <c r="T51" i="4"/>
  <c r="T50" i="4"/>
  <c r="T49" i="4"/>
  <c r="T48" i="4"/>
  <c r="T47" i="4"/>
  <c r="T46" i="4"/>
  <c r="T45" i="4"/>
  <c r="T44" i="4"/>
  <c r="T43" i="4"/>
  <c r="T42" i="4"/>
  <c r="T41" i="4"/>
  <c r="T40" i="4"/>
  <c r="T39" i="4"/>
  <c r="T38" i="4"/>
  <c r="T37" i="4"/>
  <c r="T36" i="4"/>
  <c r="T35" i="4"/>
  <c r="T34" i="4"/>
  <c r="T33" i="4"/>
  <c r="T32" i="4"/>
  <c r="T31" i="4"/>
  <c r="T30" i="4"/>
  <c r="T29" i="4"/>
  <c r="T28" i="4"/>
  <c r="T27" i="4"/>
  <c r="T26" i="4"/>
  <c r="T25" i="4"/>
  <c r="T24" i="4"/>
  <c r="T23" i="4"/>
  <c r="T22" i="4"/>
  <c r="T21" i="4"/>
  <c r="T20" i="4"/>
  <c r="T19" i="4"/>
  <c r="T18" i="4"/>
  <c r="T17" i="4"/>
  <c r="T16" i="4"/>
  <c r="T15" i="4"/>
  <c r="T14" i="4"/>
  <c r="S13" i="4"/>
  <c r="C36" i="2" s="1"/>
  <c r="R13" i="4"/>
  <c r="C35" i="2" s="1"/>
  <c r="Q13" i="4"/>
  <c r="C34" i="2" s="1"/>
  <c r="P13" i="4"/>
  <c r="C33" i="2" s="1"/>
  <c r="O13" i="4"/>
  <c r="C32" i="2" s="1"/>
  <c r="N13" i="4"/>
  <c r="M13" i="4"/>
  <c r="C30" i="2" s="1"/>
  <c r="L13" i="4"/>
  <c r="C29" i="2" s="1"/>
  <c r="J13" i="4"/>
  <c r="C27" i="2" s="1"/>
  <c r="I13" i="4"/>
  <c r="C26" i="2" s="1"/>
  <c r="H13" i="4"/>
  <c r="C25" i="2" s="1"/>
  <c r="G13" i="4"/>
  <c r="C24" i="2" s="1"/>
  <c r="F13" i="4"/>
  <c r="C23" i="2" s="1"/>
  <c r="T12" i="4"/>
  <c r="T11" i="4"/>
  <c r="T10" i="4"/>
  <c r="T9" i="4"/>
  <c r="T8" i="4"/>
  <c r="T7" i="4"/>
  <c r="T6" i="4"/>
  <c r="T5" i="4"/>
  <c r="T4" i="4"/>
  <c r="T3" i="4"/>
  <c r="T2" i="4"/>
  <c r="X369" i="3"/>
  <c r="K21" i="2" s="1"/>
  <c r="W369" i="3"/>
  <c r="K20" i="2" s="1"/>
  <c r="V369" i="3"/>
  <c r="L369" i="7" s="1"/>
  <c r="U369" i="3"/>
  <c r="K18" i="2" s="1"/>
  <c r="T369" i="3"/>
  <c r="K17" i="2" s="1"/>
  <c r="S369" i="3"/>
  <c r="K16" i="2" s="1"/>
  <c r="R369" i="3"/>
  <c r="H369" i="7" s="1"/>
  <c r="Q369" i="3"/>
  <c r="K14" i="2" s="1"/>
  <c r="P369" i="3"/>
  <c r="K369" i="7" s="1"/>
  <c r="O369" i="3"/>
  <c r="K12" i="2" s="1"/>
  <c r="N369" i="3"/>
  <c r="K11" i="2" s="1"/>
  <c r="M369" i="3"/>
  <c r="F369" i="7" s="1"/>
  <c r="L369" i="3"/>
  <c r="G369" i="7" s="1"/>
  <c r="K369" i="3"/>
  <c r="K8" i="2" s="1"/>
  <c r="J369" i="3"/>
  <c r="K7" i="2" s="1"/>
  <c r="I369" i="3"/>
  <c r="K6" i="2" s="1"/>
  <c r="H369" i="3"/>
  <c r="K5" i="2" s="1"/>
  <c r="G369" i="3"/>
  <c r="E369" i="7" s="1"/>
  <c r="F369" i="3"/>
  <c r="K3" i="2" s="1"/>
  <c r="E369" i="3"/>
  <c r="K2" i="2" s="1"/>
  <c r="Y368" i="3"/>
  <c r="Y367" i="3"/>
  <c r="Y366" i="3"/>
  <c r="Y365" i="3"/>
  <c r="Y364" i="3"/>
  <c r="Y363" i="3"/>
  <c r="Y362" i="3"/>
  <c r="Y361" i="3"/>
  <c r="Y360" i="3"/>
  <c r="Y359" i="3"/>
  <c r="Y358" i="3"/>
  <c r="Y357" i="3"/>
  <c r="Y356" i="3"/>
  <c r="Y355" i="3"/>
  <c r="Y354" i="3"/>
  <c r="Y353" i="3"/>
  <c r="Y352" i="3"/>
  <c r="Y351" i="3"/>
  <c r="Y350" i="3"/>
  <c r="Y349" i="3"/>
  <c r="Y348" i="3"/>
  <c r="Y347" i="3"/>
  <c r="Y346" i="3"/>
  <c r="Y345" i="3"/>
  <c r="Y344" i="3"/>
  <c r="Y343" i="3"/>
  <c r="Y342" i="3"/>
  <c r="Y341" i="3"/>
  <c r="Y340" i="3"/>
  <c r="Y339" i="3"/>
  <c r="Y338" i="3"/>
  <c r="Y337" i="3"/>
  <c r="Y336" i="3"/>
  <c r="Y335" i="3"/>
  <c r="Y334" i="3"/>
  <c r="Y333" i="3"/>
  <c r="Y332" i="3"/>
  <c r="Y331" i="3"/>
  <c r="Y330" i="3"/>
  <c r="Y329" i="3"/>
  <c r="Y328" i="3"/>
  <c r="X327" i="3"/>
  <c r="J21" i="2" s="1"/>
  <c r="W327" i="3"/>
  <c r="J20" i="2" s="1"/>
  <c r="V327" i="3"/>
  <c r="L327" i="7" s="1"/>
  <c r="U327" i="3"/>
  <c r="J18" i="2" s="1"/>
  <c r="T327" i="3"/>
  <c r="J17" i="2" s="1"/>
  <c r="S327" i="3"/>
  <c r="J16" i="2" s="1"/>
  <c r="R327" i="3"/>
  <c r="H327" i="7" s="1"/>
  <c r="Q327" i="3"/>
  <c r="J14" i="2" s="1"/>
  <c r="P327" i="3"/>
  <c r="K327" i="7" s="1"/>
  <c r="O327" i="3"/>
  <c r="J12" i="2" s="1"/>
  <c r="N327" i="3"/>
  <c r="J11" i="2" s="1"/>
  <c r="M327" i="3"/>
  <c r="F327" i="7" s="1"/>
  <c r="L327" i="3"/>
  <c r="G327" i="7" s="1"/>
  <c r="K327" i="3"/>
  <c r="J8" i="2" s="1"/>
  <c r="J327" i="3"/>
  <c r="J7" i="2" s="1"/>
  <c r="I327" i="3"/>
  <c r="J6" i="2" s="1"/>
  <c r="H327" i="3"/>
  <c r="J5" i="2" s="1"/>
  <c r="G327" i="3"/>
  <c r="E327" i="7" s="1"/>
  <c r="F327" i="3"/>
  <c r="J3" i="2" s="1"/>
  <c r="E327" i="3"/>
  <c r="J2" i="2" s="1"/>
  <c r="Y326" i="3"/>
  <c r="Y325" i="3"/>
  <c r="Y324" i="3"/>
  <c r="Y323" i="3"/>
  <c r="Y322" i="3"/>
  <c r="Y321" i="3"/>
  <c r="Y320" i="3"/>
  <c r="Y319" i="3"/>
  <c r="Y318" i="3"/>
  <c r="Y317" i="3"/>
  <c r="Y316" i="3"/>
  <c r="Y315" i="3"/>
  <c r="Y314" i="3"/>
  <c r="Y313" i="3"/>
  <c r="Y312" i="3"/>
  <c r="Y311" i="3"/>
  <c r="Y310" i="3"/>
  <c r="Y309" i="3"/>
  <c r="Y308" i="3"/>
  <c r="Y307" i="3"/>
  <c r="Y306" i="3"/>
  <c r="Y305" i="3"/>
  <c r="Y304" i="3"/>
  <c r="Y303" i="3"/>
  <c r="Y302" i="3"/>
  <c r="Y301" i="3"/>
  <c r="Y300" i="3"/>
  <c r="Y299" i="3"/>
  <c r="Y298" i="3"/>
  <c r="Y297" i="3"/>
  <c r="Y296" i="3"/>
  <c r="Y295" i="3"/>
  <c r="Y294" i="3"/>
  <c r="Y293" i="3"/>
  <c r="Y292" i="3"/>
  <c r="Y291" i="3"/>
  <c r="Y290" i="3"/>
  <c r="Y289" i="3"/>
  <c r="Y288" i="3"/>
  <c r="Y287" i="3"/>
  <c r="Y286" i="3"/>
  <c r="Y285" i="3"/>
  <c r="Y284" i="3"/>
  <c r="Y283" i="3"/>
  <c r="X282" i="3"/>
  <c r="I21" i="2" s="1"/>
  <c r="W282" i="3"/>
  <c r="I20" i="2" s="1"/>
  <c r="V282" i="3"/>
  <c r="L282" i="7" s="1"/>
  <c r="U282" i="3"/>
  <c r="I18" i="2" s="1"/>
  <c r="T282" i="3"/>
  <c r="I17" i="2" s="1"/>
  <c r="S282" i="3"/>
  <c r="I16" i="2" s="1"/>
  <c r="R282" i="3"/>
  <c r="H282" i="7" s="1"/>
  <c r="Q282" i="3"/>
  <c r="I14" i="2" s="1"/>
  <c r="P282" i="3"/>
  <c r="K282" i="7" s="1"/>
  <c r="O282" i="3"/>
  <c r="I12" i="2" s="1"/>
  <c r="N282" i="3"/>
  <c r="I11" i="2" s="1"/>
  <c r="M282" i="3"/>
  <c r="F282" i="7" s="1"/>
  <c r="L282" i="3"/>
  <c r="G282" i="7" s="1"/>
  <c r="K282" i="3"/>
  <c r="J282" i="3"/>
  <c r="I7" i="2" s="1"/>
  <c r="I282" i="3"/>
  <c r="I6" i="2" s="1"/>
  <c r="H282" i="3"/>
  <c r="I5" i="2" s="1"/>
  <c r="G282" i="3"/>
  <c r="E282" i="7" s="1"/>
  <c r="F282" i="3"/>
  <c r="I3" i="2" s="1"/>
  <c r="E282" i="3"/>
  <c r="I2" i="2" s="1"/>
  <c r="Y281" i="3"/>
  <c r="Y280" i="3"/>
  <c r="Y279" i="3"/>
  <c r="Y278" i="3"/>
  <c r="Y277" i="3"/>
  <c r="Y276" i="3"/>
  <c r="Y275" i="3"/>
  <c r="Y274" i="3"/>
  <c r="Y273" i="3"/>
  <c r="Y272" i="3"/>
  <c r="Y271" i="3"/>
  <c r="Y270" i="3"/>
  <c r="Y269" i="3"/>
  <c r="Y268" i="3"/>
  <c r="Y267" i="3"/>
  <c r="Y266" i="3"/>
  <c r="Y265" i="3"/>
  <c r="Y264" i="3"/>
  <c r="Y263" i="3"/>
  <c r="Y262" i="3"/>
  <c r="Y261" i="3"/>
  <c r="Y260" i="3"/>
  <c r="Y259" i="3"/>
  <c r="Y258" i="3"/>
  <c r="Y257" i="3"/>
  <c r="Y256" i="3"/>
  <c r="Y255" i="3"/>
  <c r="Y254" i="3"/>
  <c r="Y253" i="3"/>
  <c r="Y252" i="3"/>
  <c r="Y251" i="3"/>
  <c r="Y250" i="3"/>
  <c r="Y249" i="3"/>
  <c r="Y248" i="3"/>
  <c r="Y247" i="3"/>
  <c r="Y246" i="3"/>
  <c r="Y245" i="3"/>
  <c r="Y244" i="3"/>
  <c r="Y243" i="3"/>
  <c r="Y242" i="3"/>
  <c r="Y241" i="3"/>
  <c r="Y240" i="3"/>
  <c r="Y239" i="3"/>
  <c r="Y238" i="3"/>
  <c r="X237" i="3"/>
  <c r="H21" i="2" s="1"/>
  <c r="W237" i="3"/>
  <c r="H20" i="2" s="1"/>
  <c r="V237" i="3"/>
  <c r="U237" i="3"/>
  <c r="H18" i="2" s="1"/>
  <c r="T237" i="3"/>
  <c r="H17" i="2" s="1"/>
  <c r="S237" i="3"/>
  <c r="H16" i="2" s="1"/>
  <c r="R237" i="3"/>
  <c r="Q237" i="3"/>
  <c r="H14" i="2" s="1"/>
  <c r="P237" i="3"/>
  <c r="O237" i="3"/>
  <c r="H12" i="2" s="1"/>
  <c r="N237" i="3"/>
  <c r="H11" i="2" s="1"/>
  <c r="M237" i="3"/>
  <c r="F237" i="7" s="1"/>
  <c r="L237" i="3"/>
  <c r="K237" i="3"/>
  <c r="H8" i="2" s="1"/>
  <c r="J237" i="3"/>
  <c r="H7" i="2" s="1"/>
  <c r="I237" i="3"/>
  <c r="H6" i="2" s="1"/>
  <c r="H237" i="3"/>
  <c r="H5" i="2" s="1"/>
  <c r="G237" i="3"/>
  <c r="E237" i="7" s="1"/>
  <c r="F237" i="3"/>
  <c r="H3" i="2" s="1"/>
  <c r="E237" i="3"/>
  <c r="H2" i="2" s="1"/>
  <c r="Y236" i="3"/>
  <c r="Y235" i="3"/>
  <c r="Y234" i="3"/>
  <c r="Y233" i="3"/>
  <c r="Y232" i="3"/>
  <c r="Y231" i="3"/>
  <c r="Y230" i="3"/>
  <c r="Y229" i="3"/>
  <c r="Y228" i="3"/>
  <c r="Y227" i="3"/>
  <c r="Y226" i="3"/>
  <c r="Y225" i="3"/>
  <c r="Y224" i="3"/>
  <c r="Y223" i="3"/>
  <c r="Y222" i="3"/>
  <c r="Y221" i="3"/>
  <c r="Y220" i="3"/>
  <c r="Y219" i="3"/>
  <c r="Y218" i="3"/>
  <c r="Y217" i="3"/>
  <c r="Y216" i="3"/>
  <c r="Y215" i="3"/>
  <c r="Y214" i="3"/>
  <c r="Y213" i="3"/>
  <c r="Y212" i="3"/>
  <c r="Y211" i="3"/>
  <c r="Y210" i="3"/>
  <c r="Y209" i="3"/>
  <c r="Y208" i="3"/>
  <c r="Y207" i="3"/>
  <c r="Y206" i="3"/>
  <c r="Y205" i="3"/>
  <c r="Y204" i="3"/>
  <c r="Y203" i="3"/>
  <c r="Y202" i="3"/>
  <c r="Y201" i="3"/>
  <c r="Y200" i="3"/>
  <c r="Y199" i="3"/>
  <c r="Y198" i="3"/>
  <c r="Y197" i="3"/>
  <c r="Y196" i="3"/>
  <c r="Y195" i="3"/>
  <c r="Y194" i="3"/>
  <c r="Y193" i="3"/>
  <c r="X192" i="3"/>
  <c r="G21" i="2" s="1"/>
  <c r="W192" i="3"/>
  <c r="G20" i="2" s="1"/>
  <c r="V192" i="3"/>
  <c r="L192" i="7" s="1"/>
  <c r="U192" i="3"/>
  <c r="G18" i="2" s="1"/>
  <c r="T192" i="3"/>
  <c r="G17" i="2" s="1"/>
  <c r="S192" i="3"/>
  <c r="G16" i="2" s="1"/>
  <c r="R192" i="3"/>
  <c r="H192" i="7" s="1"/>
  <c r="Q192" i="3"/>
  <c r="G14" i="2" s="1"/>
  <c r="P192" i="3"/>
  <c r="K192" i="7" s="1"/>
  <c r="O192" i="3"/>
  <c r="G12" i="2" s="1"/>
  <c r="N192" i="3"/>
  <c r="G11" i="2" s="1"/>
  <c r="M192" i="3"/>
  <c r="F192" i="7" s="1"/>
  <c r="L192" i="3"/>
  <c r="G192" i="7" s="1"/>
  <c r="K192" i="3"/>
  <c r="G8" i="2" s="1"/>
  <c r="J192" i="3"/>
  <c r="G7" i="2" s="1"/>
  <c r="I192" i="3"/>
  <c r="G6" i="2" s="1"/>
  <c r="H192" i="3"/>
  <c r="G5" i="2" s="1"/>
  <c r="G192" i="3"/>
  <c r="F192" i="3"/>
  <c r="G3" i="2" s="1"/>
  <c r="E192" i="3"/>
  <c r="G2" i="2" s="1"/>
  <c r="Y191" i="3"/>
  <c r="Y190" i="3"/>
  <c r="Y189" i="3"/>
  <c r="Y188" i="3"/>
  <c r="Y187" i="3"/>
  <c r="Y186" i="3"/>
  <c r="Y185" i="3"/>
  <c r="Y184" i="3"/>
  <c r="Y183" i="3"/>
  <c r="Y182" i="3"/>
  <c r="Y181" i="3"/>
  <c r="Y180" i="3"/>
  <c r="Y179" i="3"/>
  <c r="Y178" i="3"/>
  <c r="Y177" i="3"/>
  <c r="Y176" i="3"/>
  <c r="Y175" i="3"/>
  <c r="Y174" i="3"/>
  <c r="Y173" i="3"/>
  <c r="Y172" i="3"/>
  <c r="Y171" i="3"/>
  <c r="Y170" i="3"/>
  <c r="Y169" i="3"/>
  <c r="Y168" i="3"/>
  <c r="Y167" i="3"/>
  <c r="Y166" i="3"/>
  <c r="Y165" i="3"/>
  <c r="Y164" i="3"/>
  <c r="Y163" i="3"/>
  <c r="Y162" i="3"/>
  <c r="Y161" i="3"/>
  <c r="Y160" i="3"/>
  <c r="Y159" i="3"/>
  <c r="Y158" i="3"/>
  <c r="Y157" i="3"/>
  <c r="Y156" i="3"/>
  <c r="Y155" i="3"/>
  <c r="Y154" i="3"/>
  <c r="Y153" i="3"/>
  <c r="Y152" i="3"/>
  <c r="Y151" i="3"/>
  <c r="Y150" i="3"/>
  <c r="Y149" i="3"/>
  <c r="Y148" i="3"/>
  <c r="X147" i="3"/>
  <c r="F21" i="2" s="1"/>
  <c r="W147" i="3"/>
  <c r="F20" i="2" s="1"/>
  <c r="V147" i="3"/>
  <c r="U147" i="3"/>
  <c r="I147" i="7" s="1"/>
  <c r="T147" i="3"/>
  <c r="F17" i="2" s="1"/>
  <c r="S147" i="3"/>
  <c r="F16" i="2" s="1"/>
  <c r="R147" i="3"/>
  <c r="H147" i="7" s="1"/>
  <c r="Q147" i="3"/>
  <c r="F14" i="2" s="1"/>
  <c r="P147" i="3"/>
  <c r="K147" i="7" s="1"/>
  <c r="O147" i="3"/>
  <c r="F12" i="2" s="1"/>
  <c r="N147" i="3"/>
  <c r="F11" i="2" s="1"/>
  <c r="M147" i="3"/>
  <c r="F147" i="7" s="1"/>
  <c r="L147" i="3"/>
  <c r="G147" i="7" s="1"/>
  <c r="K147" i="3"/>
  <c r="F8" i="2" s="1"/>
  <c r="J147" i="3"/>
  <c r="F7" i="2" s="1"/>
  <c r="I147" i="3"/>
  <c r="F6" i="2" s="1"/>
  <c r="H147" i="3"/>
  <c r="F5" i="2" s="1"/>
  <c r="G147" i="3"/>
  <c r="E147" i="7" s="1"/>
  <c r="F147" i="3"/>
  <c r="F3" i="2" s="1"/>
  <c r="E147" i="3"/>
  <c r="F2" i="2" s="1"/>
  <c r="Y146" i="3"/>
  <c r="Y145" i="3"/>
  <c r="Y144" i="3"/>
  <c r="Y143" i="3"/>
  <c r="Y142" i="3"/>
  <c r="Y141" i="3"/>
  <c r="Y140" i="3"/>
  <c r="Y139" i="3"/>
  <c r="Y138" i="3"/>
  <c r="Y137" i="3"/>
  <c r="Y136" i="3"/>
  <c r="Y135" i="3"/>
  <c r="Y134" i="3"/>
  <c r="Y133" i="3"/>
  <c r="Y132" i="3"/>
  <c r="Y131" i="3"/>
  <c r="Y130" i="3"/>
  <c r="Y129" i="3"/>
  <c r="Y128" i="3"/>
  <c r="Y127" i="3"/>
  <c r="Y126" i="3"/>
  <c r="Y125" i="3"/>
  <c r="Y124" i="3"/>
  <c r="Y123" i="3"/>
  <c r="Y122" i="3"/>
  <c r="Y121" i="3"/>
  <c r="Y120" i="3"/>
  <c r="Y119" i="3"/>
  <c r="Y118" i="3"/>
  <c r="Y117" i="3"/>
  <c r="Y116" i="3"/>
  <c r="Y115" i="3"/>
  <c r="Y114" i="3"/>
  <c r="Y113" i="3"/>
  <c r="Y112" i="3"/>
  <c r="Y111" i="3"/>
  <c r="Y110" i="3"/>
  <c r="Y109" i="3"/>
  <c r="Y108" i="3"/>
  <c r="Y107" i="3"/>
  <c r="Y106" i="3"/>
  <c r="Y105" i="3"/>
  <c r="Y104" i="3"/>
  <c r="Y103" i="3"/>
  <c r="X102" i="3"/>
  <c r="E21" i="2" s="1"/>
  <c r="W102" i="3"/>
  <c r="E20" i="2" s="1"/>
  <c r="V102" i="3"/>
  <c r="U102" i="3"/>
  <c r="E18" i="2" s="1"/>
  <c r="T102" i="3"/>
  <c r="E17" i="2" s="1"/>
  <c r="S102" i="3"/>
  <c r="E16" i="2" s="1"/>
  <c r="R102" i="3"/>
  <c r="Q102" i="3"/>
  <c r="E14" i="2" s="1"/>
  <c r="P102" i="3"/>
  <c r="K102" i="7" s="1"/>
  <c r="O102" i="3"/>
  <c r="E12" i="2" s="1"/>
  <c r="N102" i="3"/>
  <c r="E11" i="2" s="1"/>
  <c r="M102" i="3"/>
  <c r="F102" i="7" s="1"/>
  <c r="L102" i="3"/>
  <c r="G102" i="7" s="1"/>
  <c r="K102" i="3"/>
  <c r="E8" i="2" s="1"/>
  <c r="J102" i="3"/>
  <c r="E7" i="2" s="1"/>
  <c r="I102" i="3"/>
  <c r="E6" i="2" s="1"/>
  <c r="H102" i="3"/>
  <c r="E5" i="2" s="1"/>
  <c r="G102" i="3"/>
  <c r="E102" i="7" s="1"/>
  <c r="F102" i="3"/>
  <c r="E3" i="2" s="1"/>
  <c r="Y101" i="3"/>
  <c r="Y100" i="3"/>
  <c r="Y99" i="3"/>
  <c r="Y98" i="3"/>
  <c r="Y97" i="3"/>
  <c r="Y96" i="3"/>
  <c r="Y95" i="3"/>
  <c r="Y94" i="3"/>
  <c r="Y93" i="3"/>
  <c r="Y92" i="3"/>
  <c r="Y91" i="3"/>
  <c r="Y90" i="3"/>
  <c r="Y89" i="3"/>
  <c r="Y88" i="3"/>
  <c r="Y87" i="3"/>
  <c r="Y86" i="3"/>
  <c r="Y85" i="3"/>
  <c r="Y84" i="3"/>
  <c r="Y83" i="3"/>
  <c r="Y82" i="3"/>
  <c r="Y81" i="3"/>
  <c r="Y80" i="3"/>
  <c r="Y79" i="3"/>
  <c r="Y78" i="3"/>
  <c r="Y77" i="3"/>
  <c r="Y76" i="3"/>
  <c r="Y75" i="3"/>
  <c r="Y74" i="3"/>
  <c r="Y73" i="3"/>
  <c r="Y72" i="3"/>
  <c r="Y71" i="3"/>
  <c r="Y70" i="3"/>
  <c r="Y69" i="3"/>
  <c r="Y68" i="3"/>
  <c r="Y67" i="3"/>
  <c r="Y66" i="3"/>
  <c r="Y65" i="3"/>
  <c r="Y64" i="3"/>
  <c r="Y63" i="3"/>
  <c r="Y62" i="3"/>
  <c r="Y61" i="3"/>
  <c r="Y60" i="3"/>
  <c r="Y59" i="3"/>
  <c r="Y58" i="3"/>
  <c r="X57" i="3"/>
  <c r="D21" i="2" s="1"/>
  <c r="W57" i="3"/>
  <c r="D20" i="2" s="1"/>
  <c r="V57" i="3"/>
  <c r="L57" i="7" s="1"/>
  <c r="U57" i="3"/>
  <c r="T57" i="3"/>
  <c r="D17" i="2" s="1"/>
  <c r="S57" i="3"/>
  <c r="D16" i="2" s="1"/>
  <c r="R57" i="3"/>
  <c r="Q57" i="3"/>
  <c r="D14" i="2" s="1"/>
  <c r="P57" i="3"/>
  <c r="K57" i="7" s="1"/>
  <c r="O57" i="3"/>
  <c r="D12" i="2" s="1"/>
  <c r="N57" i="3"/>
  <c r="D11" i="2" s="1"/>
  <c r="M57" i="3"/>
  <c r="F57" i="7" s="1"/>
  <c r="L57" i="3"/>
  <c r="G57" i="7" s="1"/>
  <c r="K57" i="3"/>
  <c r="D8" i="2" s="1"/>
  <c r="J57" i="3"/>
  <c r="D7" i="2" s="1"/>
  <c r="I57" i="3"/>
  <c r="D6" i="2" s="1"/>
  <c r="H57" i="3"/>
  <c r="D5" i="2" s="1"/>
  <c r="G57" i="3"/>
  <c r="E57" i="7" s="1"/>
  <c r="F57" i="3"/>
  <c r="D3" i="2" s="1"/>
  <c r="E57" i="3"/>
  <c r="D2" i="2" s="1"/>
  <c r="Y56" i="3"/>
  <c r="Y55" i="3"/>
  <c r="Y54" i="3"/>
  <c r="Y53" i="3"/>
  <c r="Y52" i="3"/>
  <c r="Y51" i="3"/>
  <c r="Y50" i="3"/>
  <c r="Y49" i="3"/>
  <c r="Y48" i="3"/>
  <c r="Y47" i="3"/>
  <c r="Y46" i="3"/>
  <c r="Y45" i="3"/>
  <c r="Y44" i="3"/>
  <c r="Y43" i="3"/>
  <c r="Y42" i="3"/>
  <c r="Y41" i="3"/>
  <c r="Y40" i="3"/>
  <c r="Y39" i="3"/>
  <c r="Y38" i="3"/>
  <c r="Y37" i="3"/>
  <c r="Y36" i="3"/>
  <c r="Y35" i="3"/>
  <c r="Y34" i="3"/>
  <c r="Y33" i="3"/>
  <c r="Y32" i="3"/>
  <c r="Y31" i="3"/>
  <c r="Y30" i="3"/>
  <c r="Y29" i="3"/>
  <c r="Y28" i="3"/>
  <c r="Y27" i="3"/>
  <c r="Y26" i="3"/>
  <c r="Y25" i="3"/>
  <c r="Y24" i="3"/>
  <c r="Y23" i="3"/>
  <c r="Y22" i="3"/>
  <c r="Y21" i="3"/>
  <c r="Y20" i="3"/>
  <c r="Y19" i="3"/>
  <c r="Y18" i="3"/>
  <c r="Y17" i="3"/>
  <c r="Y16" i="3"/>
  <c r="Y15" i="3"/>
  <c r="Y14" i="3"/>
  <c r="X13" i="3"/>
  <c r="C21" i="2" s="1"/>
  <c r="W13" i="3"/>
  <c r="C20" i="2" s="1"/>
  <c r="V13" i="3"/>
  <c r="L13" i="7" s="1"/>
  <c r="U13" i="3"/>
  <c r="T13" i="3"/>
  <c r="C17" i="2" s="1"/>
  <c r="S13" i="3"/>
  <c r="C16" i="2" s="1"/>
  <c r="R13" i="3"/>
  <c r="H13" i="7" s="1"/>
  <c r="Q13" i="3"/>
  <c r="C14" i="2" s="1"/>
  <c r="P13" i="3"/>
  <c r="O13" i="3"/>
  <c r="C12" i="2" s="1"/>
  <c r="N13" i="3"/>
  <c r="C11" i="2" s="1"/>
  <c r="M13" i="3"/>
  <c r="L13" i="3"/>
  <c r="G13" i="7" s="1"/>
  <c r="K13" i="3"/>
  <c r="C8" i="2" s="1"/>
  <c r="J13" i="3"/>
  <c r="C7" i="2" s="1"/>
  <c r="I13" i="3"/>
  <c r="C6" i="2" s="1"/>
  <c r="H13" i="3"/>
  <c r="C5" i="2" s="1"/>
  <c r="F13" i="3"/>
  <c r="C3" i="2" s="1"/>
  <c r="E13" i="3"/>
  <c r="C2" i="2" s="1"/>
  <c r="Y12" i="3"/>
  <c r="Y11" i="3"/>
  <c r="Y10" i="3"/>
  <c r="Y9" i="3"/>
  <c r="Y8" i="3"/>
  <c r="Y7" i="3"/>
  <c r="Y6" i="3"/>
  <c r="Y5" i="3"/>
  <c r="Y4" i="3"/>
  <c r="Y3" i="3"/>
  <c r="Y2" i="3"/>
  <c r="F69" i="2"/>
  <c r="E66" i="2"/>
  <c r="C65" i="2"/>
  <c r="K58" i="2"/>
  <c r="J58" i="2"/>
  <c r="I58" i="2"/>
  <c r="H58" i="2"/>
  <c r="G58" i="2"/>
  <c r="F58" i="2"/>
  <c r="E58" i="2"/>
  <c r="D58" i="2"/>
  <c r="C58" i="2"/>
  <c r="E52" i="2"/>
  <c r="K47" i="2"/>
  <c r="C47" i="2"/>
  <c r="F40" i="2"/>
  <c r="K37" i="2"/>
  <c r="J37" i="2"/>
  <c r="I37" i="2"/>
  <c r="H37" i="2"/>
  <c r="G37" i="2"/>
  <c r="F37" i="2"/>
  <c r="E37" i="2"/>
  <c r="D37" i="2"/>
  <c r="C37" i="2"/>
  <c r="C28" i="2"/>
  <c r="D27" i="2"/>
  <c r="E25" i="2"/>
  <c r="D25" i="2"/>
  <c r="K22" i="2"/>
  <c r="J22" i="2"/>
  <c r="I22" i="2"/>
  <c r="H22" i="2"/>
  <c r="G22" i="2"/>
  <c r="F22" i="2"/>
  <c r="E22" i="2"/>
  <c r="D22" i="2"/>
  <c r="C22" i="2"/>
  <c r="I8" i="2"/>
  <c r="C4" i="2"/>
  <c r="E2" i="2"/>
  <c r="I104" i="1"/>
  <c r="J104" i="1" s="1"/>
  <c r="O84" i="1"/>
  <c r="N84" i="1"/>
  <c r="M84" i="1"/>
  <c r="L84" i="1"/>
  <c r="K84" i="1"/>
  <c r="J84" i="1"/>
  <c r="I84" i="1"/>
  <c r="H84" i="1"/>
  <c r="G84" i="1"/>
  <c r="F84" i="1"/>
  <c r="E84" i="1"/>
  <c r="D84" i="1"/>
  <c r="O83" i="1"/>
  <c r="N83" i="1"/>
  <c r="M83" i="1"/>
  <c r="L83" i="1"/>
  <c r="K83" i="1"/>
  <c r="J83" i="1"/>
  <c r="I83" i="1"/>
  <c r="H83" i="1"/>
  <c r="G83" i="1"/>
  <c r="F83" i="1"/>
  <c r="E83" i="1"/>
  <c r="D83" i="1"/>
  <c r="O82" i="1"/>
  <c r="N82" i="1"/>
  <c r="M82" i="1"/>
  <c r="L82" i="1"/>
  <c r="K82" i="1"/>
  <c r="J82" i="1"/>
  <c r="I82" i="1"/>
  <c r="H82" i="1"/>
  <c r="G82" i="1"/>
  <c r="F82" i="1"/>
  <c r="E82" i="1"/>
  <c r="D82" i="1"/>
  <c r="Q81" i="1"/>
  <c r="O80" i="1"/>
  <c r="N80" i="1"/>
  <c r="M80" i="1"/>
  <c r="L80" i="1"/>
  <c r="K80" i="1"/>
  <c r="J80" i="1"/>
  <c r="I80" i="1"/>
  <c r="H80" i="1"/>
  <c r="G80" i="1"/>
  <c r="F80" i="1"/>
  <c r="E80" i="1"/>
  <c r="D80" i="1"/>
  <c r="O79" i="1"/>
  <c r="N79" i="1"/>
  <c r="M79" i="1"/>
  <c r="L79" i="1"/>
  <c r="K79" i="1"/>
  <c r="J79" i="1"/>
  <c r="I79" i="1"/>
  <c r="H79" i="1"/>
  <c r="G79" i="1"/>
  <c r="F79" i="1"/>
  <c r="E79" i="1"/>
  <c r="D79" i="1"/>
  <c r="O78" i="1"/>
  <c r="N78" i="1"/>
  <c r="M78" i="1"/>
  <c r="L78" i="1"/>
  <c r="K78" i="1"/>
  <c r="J78" i="1"/>
  <c r="I78" i="1"/>
  <c r="H78" i="1"/>
  <c r="G78" i="1"/>
  <c r="F78" i="1"/>
  <c r="E78" i="1"/>
  <c r="D78" i="1"/>
  <c r="O77" i="1"/>
  <c r="N77" i="1"/>
  <c r="M77" i="1"/>
  <c r="L77" i="1"/>
  <c r="K77" i="1"/>
  <c r="J77" i="1"/>
  <c r="I77" i="1"/>
  <c r="H77" i="1"/>
  <c r="G77" i="1"/>
  <c r="F77" i="1"/>
  <c r="E77" i="1"/>
  <c r="D77" i="1"/>
  <c r="O76" i="1"/>
  <c r="N76" i="1"/>
  <c r="M76" i="1"/>
  <c r="L76" i="1"/>
  <c r="K76" i="1"/>
  <c r="J76" i="1"/>
  <c r="I76" i="1"/>
  <c r="H76" i="1"/>
  <c r="G76" i="1"/>
  <c r="F76" i="1"/>
  <c r="E76" i="1"/>
  <c r="D76" i="1"/>
  <c r="O75" i="1"/>
  <c r="N75" i="1"/>
  <c r="M75" i="1"/>
  <c r="L75" i="1"/>
  <c r="K75" i="1"/>
  <c r="J75" i="1"/>
  <c r="I75" i="1"/>
  <c r="H75" i="1"/>
  <c r="G75" i="1"/>
  <c r="F75" i="1"/>
  <c r="E75" i="1"/>
  <c r="D75" i="1"/>
  <c r="Q74" i="1"/>
  <c r="O73" i="1"/>
  <c r="N73" i="1"/>
  <c r="M73" i="1"/>
  <c r="L73" i="1"/>
  <c r="K73" i="1"/>
  <c r="J73" i="1"/>
  <c r="I73" i="1"/>
  <c r="H73" i="1"/>
  <c r="G73" i="1"/>
  <c r="F73" i="1"/>
  <c r="E73" i="1"/>
  <c r="D73" i="1"/>
  <c r="O72" i="1"/>
  <c r="N72" i="1"/>
  <c r="M72" i="1"/>
  <c r="L72" i="1"/>
  <c r="K72" i="1"/>
  <c r="J72" i="1"/>
  <c r="I72" i="1"/>
  <c r="H72" i="1"/>
  <c r="G72" i="1"/>
  <c r="F72" i="1"/>
  <c r="E72" i="1"/>
  <c r="D72" i="1"/>
  <c r="O69" i="1"/>
  <c r="N69" i="1"/>
  <c r="M69" i="1"/>
  <c r="L69" i="1"/>
  <c r="K69" i="1"/>
  <c r="J69" i="1"/>
  <c r="I69" i="1"/>
  <c r="H69" i="1"/>
  <c r="G69" i="1"/>
  <c r="F69" i="1"/>
  <c r="E69" i="1"/>
  <c r="D69" i="1"/>
  <c r="O68" i="1"/>
  <c r="N68" i="1"/>
  <c r="M68" i="1"/>
  <c r="L68" i="1"/>
  <c r="K68" i="1"/>
  <c r="J68" i="1"/>
  <c r="I68" i="1"/>
  <c r="H68" i="1"/>
  <c r="G68" i="1"/>
  <c r="F68" i="1"/>
  <c r="E68" i="1"/>
  <c r="D68" i="1"/>
  <c r="O67" i="1"/>
  <c r="N67" i="1"/>
  <c r="M67" i="1"/>
  <c r="L67" i="1"/>
  <c r="K67" i="1"/>
  <c r="J67" i="1"/>
  <c r="I67" i="1"/>
  <c r="H67" i="1"/>
  <c r="G67" i="1"/>
  <c r="F67" i="1"/>
  <c r="E67" i="1"/>
  <c r="D67" i="1"/>
  <c r="O66" i="1"/>
  <c r="N66" i="1"/>
  <c r="M66" i="1"/>
  <c r="L66" i="1"/>
  <c r="K66" i="1"/>
  <c r="J66" i="1"/>
  <c r="I66" i="1"/>
  <c r="H66" i="1"/>
  <c r="G66" i="1"/>
  <c r="F66" i="1"/>
  <c r="E66" i="1"/>
  <c r="D66" i="1"/>
  <c r="O65" i="1"/>
  <c r="N65" i="1"/>
  <c r="M65" i="1"/>
  <c r="L65" i="1"/>
  <c r="K65" i="1"/>
  <c r="J65" i="1"/>
  <c r="I65" i="1"/>
  <c r="H65" i="1"/>
  <c r="G65" i="1"/>
  <c r="F65" i="1"/>
  <c r="E65" i="1"/>
  <c r="D65" i="1"/>
  <c r="O64" i="1"/>
  <c r="N64" i="1"/>
  <c r="M64" i="1"/>
  <c r="L64" i="1"/>
  <c r="K64" i="1"/>
  <c r="J64" i="1"/>
  <c r="I64" i="1"/>
  <c r="H64" i="1"/>
  <c r="G64" i="1"/>
  <c r="F64" i="1"/>
  <c r="E64" i="1"/>
  <c r="D64" i="1"/>
  <c r="O63" i="1"/>
  <c r="N63" i="1"/>
  <c r="M63" i="1"/>
  <c r="L63" i="1"/>
  <c r="K63" i="1"/>
  <c r="J63" i="1"/>
  <c r="I63" i="1"/>
  <c r="H63" i="1"/>
  <c r="G63" i="1"/>
  <c r="F63" i="1"/>
  <c r="E63" i="1"/>
  <c r="D63" i="1"/>
  <c r="O62" i="1"/>
  <c r="N62" i="1"/>
  <c r="M62" i="1"/>
  <c r="L62" i="1"/>
  <c r="K62" i="1"/>
  <c r="J62" i="1"/>
  <c r="I62" i="1"/>
  <c r="H62" i="1"/>
  <c r="G62" i="1"/>
  <c r="F62" i="1"/>
  <c r="E62" i="1"/>
  <c r="D62" i="1"/>
  <c r="O61" i="1"/>
  <c r="N61" i="1"/>
  <c r="M61" i="1"/>
  <c r="L61" i="1"/>
  <c r="K61" i="1"/>
  <c r="J61" i="1"/>
  <c r="I61" i="1"/>
  <c r="H61" i="1"/>
  <c r="G61" i="1"/>
  <c r="F61" i="1"/>
  <c r="E61" i="1"/>
  <c r="D61" i="1"/>
  <c r="O60" i="1"/>
  <c r="N60" i="1"/>
  <c r="M60" i="1"/>
  <c r="L60" i="1"/>
  <c r="K60" i="1"/>
  <c r="J60" i="1"/>
  <c r="I60" i="1"/>
  <c r="H60" i="1"/>
  <c r="G60" i="1"/>
  <c r="F60" i="1"/>
  <c r="E60" i="1"/>
  <c r="D60" i="1"/>
  <c r="O59" i="1"/>
  <c r="N59" i="1"/>
  <c r="M59" i="1"/>
  <c r="L59" i="1"/>
  <c r="K59" i="1"/>
  <c r="J59" i="1"/>
  <c r="I59" i="1"/>
  <c r="H59" i="1"/>
  <c r="G59" i="1"/>
  <c r="F59" i="1"/>
  <c r="E59" i="1"/>
  <c r="D59" i="1"/>
  <c r="O58" i="1"/>
  <c r="N58" i="1"/>
  <c r="M58" i="1"/>
  <c r="L58" i="1"/>
  <c r="K58" i="1"/>
  <c r="J58" i="1"/>
  <c r="I58" i="1"/>
  <c r="H58" i="1"/>
  <c r="G58" i="1"/>
  <c r="F58" i="1"/>
  <c r="E58" i="1"/>
  <c r="D58" i="1"/>
  <c r="O57" i="1"/>
  <c r="N57" i="1"/>
  <c r="M57" i="1"/>
  <c r="L57" i="1"/>
  <c r="K57" i="1"/>
  <c r="J57" i="1"/>
  <c r="I57" i="1"/>
  <c r="H57" i="1"/>
  <c r="G57" i="1"/>
  <c r="F57" i="1"/>
  <c r="E57" i="1"/>
  <c r="D57" i="1"/>
  <c r="O56" i="1"/>
  <c r="N56" i="1"/>
  <c r="M56" i="1"/>
  <c r="L56" i="1"/>
  <c r="K56" i="1"/>
  <c r="J56" i="1"/>
  <c r="I56" i="1"/>
  <c r="H56" i="1"/>
  <c r="G56" i="1"/>
  <c r="F56" i="1"/>
  <c r="E56" i="1"/>
  <c r="D56" i="1"/>
  <c r="O55" i="1"/>
  <c r="N55" i="1"/>
  <c r="M55" i="1"/>
  <c r="L55" i="1"/>
  <c r="K55" i="1"/>
  <c r="J55" i="1"/>
  <c r="I55" i="1"/>
  <c r="H55" i="1"/>
  <c r="G55" i="1"/>
  <c r="F55" i="1"/>
  <c r="E55" i="1"/>
  <c r="D55" i="1"/>
  <c r="O54" i="1"/>
  <c r="N54" i="1"/>
  <c r="M54" i="1"/>
  <c r="L54" i="1"/>
  <c r="K54" i="1"/>
  <c r="J54" i="1"/>
  <c r="I54" i="1"/>
  <c r="H54" i="1"/>
  <c r="G54" i="1"/>
  <c r="F54" i="1"/>
  <c r="E54" i="1"/>
  <c r="D54" i="1"/>
  <c r="O53" i="1"/>
  <c r="N53" i="1"/>
  <c r="M53" i="1"/>
  <c r="L53" i="1"/>
  <c r="K53" i="1"/>
  <c r="J53" i="1"/>
  <c r="I53" i="1"/>
  <c r="H53" i="1"/>
  <c r="G53" i="1"/>
  <c r="F53" i="1"/>
  <c r="E53" i="1"/>
  <c r="D53" i="1"/>
  <c r="O52" i="1"/>
  <c r="N52" i="1"/>
  <c r="M52" i="1"/>
  <c r="L52" i="1"/>
  <c r="K52" i="1"/>
  <c r="J52" i="1"/>
  <c r="I52" i="1"/>
  <c r="H52" i="1"/>
  <c r="G52" i="1"/>
  <c r="F52" i="1"/>
  <c r="E52" i="1"/>
  <c r="D52" i="1"/>
  <c r="O51" i="1"/>
  <c r="N51" i="1"/>
  <c r="M51" i="1"/>
  <c r="L51" i="1"/>
  <c r="K51" i="1"/>
  <c r="J51" i="1"/>
  <c r="I51" i="1"/>
  <c r="H51" i="1"/>
  <c r="G51" i="1"/>
  <c r="F51" i="1"/>
  <c r="E51" i="1"/>
  <c r="D51" i="1"/>
  <c r="O50" i="1"/>
  <c r="N50" i="1"/>
  <c r="M50" i="1"/>
  <c r="L50" i="1"/>
  <c r="K50" i="1"/>
  <c r="J50" i="1"/>
  <c r="I50" i="1"/>
  <c r="H50" i="1"/>
  <c r="G50" i="1"/>
  <c r="F50" i="1"/>
  <c r="E50" i="1"/>
  <c r="D50" i="1"/>
  <c r="O49" i="1"/>
  <c r="N49" i="1"/>
  <c r="M49" i="1"/>
  <c r="L49" i="1"/>
  <c r="K49" i="1"/>
  <c r="J49" i="1"/>
  <c r="I49" i="1"/>
  <c r="H49" i="1"/>
  <c r="G49" i="1"/>
  <c r="F49" i="1"/>
  <c r="E49" i="1"/>
  <c r="D49" i="1"/>
  <c r="O46" i="1"/>
  <c r="N46" i="1"/>
  <c r="M46" i="1"/>
  <c r="L46" i="1"/>
  <c r="K46" i="1"/>
  <c r="J46" i="1"/>
  <c r="I46" i="1"/>
  <c r="H46" i="1"/>
  <c r="G46" i="1"/>
  <c r="F46" i="1"/>
  <c r="E46" i="1"/>
  <c r="D46" i="1"/>
  <c r="O45" i="1"/>
  <c r="N45" i="1"/>
  <c r="M45" i="1"/>
  <c r="L45" i="1"/>
  <c r="K45" i="1"/>
  <c r="J45" i="1"/>
  <c r="I45" i="1"/>
  <c r="H45" i="1"/>
  <c r="G45" i="1"/>
  <c r="F45" i="1"/>
  <c r="E45" i="1"/>
  <c r="D45" i="1"/>
  <c r="O44" i="1"/>
  <c r="N44" i="1"/>
  <c r="M44" i="1"/>
  <c r="L44" i="1"/>
  <c r="K44" i="1"/>
  <c r="J44" i="1"/>
  <c r="I44" i="1"/>
  <c r="H44" i="1"/>
  <c r="G44" i="1"/>
  <c r="F44" i="1"/>
  <c r="E44" i="1"/>
  <c r="D44" i="1"/>
  <c r="O43" i="1"/>
  <c r="N43" i="1"/>
  <c r="M43" i="1"/>
  <c r="L43" i="1"/>
  <c r="K43" i="1"/>
  <c r="J43" i="1"/>
  <c r="I43" i="1"/>
  <c r="H43" i="1"/>
  <c r="G43" i="1"/>
  <c r="F43" i="1"/>
  <c r="E43" i="1"/>
  <c r="D43" i="1"/>
  <c r="O42" i="1"/>
  <c r="N42" i="1"/>
  <c r="M42" i="1"/>
  <c r="L42" i="1"/>
  <c r="K42" i="1"/>
  <c r="J42" i="1"/>
  <c r="I42" i="1"/>
  <c r="H42" i="1"/>
  <c r="G42" i="1"/>
  <c r="F42" i="1"/>
  <c r="E42" i="1"/>
  <c r="D42" i="1"/>
  <c r="O41" i="1"/>
  <c r="N41" i="1"/>
  <c r="M41" i="1"/>
  <c r="L41" i="1"/>
  <c r="K41" i="1"/>
  <c r="J41" i="1"/>
  <c r="I41" i="1"/>
  <c r="H41" i="1"/>
  <c r="G41" i="1"/>
  <c r="F41" i="1"/>
  <c r="E41" i="1"/>
  <c r="D41" i="1"/>
  <c r="O40" i="1"/>
  <c r="N40" i="1"/>
  <c r="M40" i="1"/>
  <c r="L40" i="1"/>
  <c r="K40" i="1"/>
  <c r="J40" i="1"/>
  <c r="I40" i="1"/>
  <c r="H40" i="1"/>
  <c r="G40" i="1"/>
  <c r="F40" i="1"/>
  <c r="E40" i="1"/>
  <c r="D40" i="1"/>
  <c r="O39" i="1"/>
  <c r="N39" i="1"/>
  <c r="M39" i="1"/>
  <c r="L39" i="1"/>
  <c r="K39" i="1"/>
  <c r="J39" i="1"/>
  <c r="I39" i="1"/>
  <c r="H39" i="1"/>
  <c r="G39" i="1"/>
  <c r="F39" i="1"/>
  <c r="E39" i="1"/>
  <c r="D39" i="1"/>
  <c r="O38" i="1"/>
  <c r="N38" i="1"/>
  <c r="M38" i="1"/>
  <c r="L38" i="1"/>
  <c r="K38" i="1"/>
  <c r="J38" i="1"/>
  <c r="I38" i="1"/>
  <c r="H38" i="1"/>
  <c r="G38" i="1"/>
  <c r="F38" i="1"/>
  <c r="E38" i="1"/>
  <c r="D38" i="1"/>
  <c r="O37" i="1"/>
  <c r="N37" i="1"/>
  <c r="M37" i="1"/>
  <c r="L37" i="1"/>
  <c r="K37" i="1"/>
  <c r="J37" i="1"/>
  <c r="I37" i="1"/>
  <c r="H37" i="1"/>
  <c r="G37" i="1"/>
  <c r="F37" i="1"/>
  <c r="E37" i="1"/>
  <c r="D37" i="1"/>
  <c r="O36" i="1"/>
  <c r="N36" i="1"/>
  <c r="M36" i="1"/>
  <c r="L36" i="1"/>
  <c r="K36" i="1"/>
  <c r="J36" i="1"/>
  <c r="I36" i="1"/>
  <c r="H36" i="1"/>
  <c r="G36" i="1"/>
  <c r="F36" i="1"/>
  <c r="E36" i="1"/>
  <c r="D36" i="1"/>
  <c r="O35" i="1"/>
  <c r="N35" i="1"/>
  <c r="M35" i="1"/>
  <c r="L35" i="1"/>
  <c r="K35" i="1"/>
  <c r="J35" i="1"/>
  <c r="I35" i="1"/>
  <c r="H35" i="1"/>
  <c r="G35" i="1"/>
  <c r="F35" i="1"/>
  <c r="E35" i="1"/>
  <c r="D35" i="1"/>
  <c r="O34" i="1"/>
  <c r="N34" i="1"/>
  <c r="M34" i="1"/>
  <c r="L34" i="1"/>
  <c r="K34" i="1"/>
  <c r="J34" i="1"/>
  <c r="I34" i="1"/>
  <c r="H34" i="1"/>
  <c r="G34" i="1"/>
  <c r="F34" i="1"/>
  <c r="E34" i="1"/>
  <c r="D34" i="1"/>
  <c r="O33" i="1"/>
  <c r="N33" i="1"/>
  <c r="M33" i="1"/>
  <c r="L33" i="1"/>
  <c r="K33" i="1"/>
  <c r="J33" i="1"/>
  <c r="I33" i="1"/>
  <c r="H33" i="1"/>
  <c r="G33" i="1"/>
  <c r="F33" i="1"/>
  <c r="E33" i="1"/>
  <c r="D33" i="1"/>
  <c r="O32" i="1"/>
  <c r="N32" i="1"/>
  <c r="M32" i="1"/>
  <c r="L32" i="1"/>
  <c r="K32" i="1"/>
  <c r="J32" i="1"/>
  <c r="I32" i="1"/>
  <c r="H32" i="1"/>
  <c r="G32" i="1"/>
  <c r="F32" i="1"/>
  <c r="E32" i="1"/>
  <c r="D32" i="1"/>
  <c r="O29" i="1"/>
  <c r="N29" i="1"/>
  <c r="M29" i="1"/>
  <c r="L29" i="1"/>
  <c r="K29" i="1"/>
  <c r="J29" i="1"/>
  <c r="I29" i="1"/>
  <c r="H29" i="1"/>
  <c r="G29" i="1"/>
  <c r="F29" i="1"/>
  <c r="E29" i="1"/>
  <c r="D29" i="1"/>
  <c r="O28" i="1"/>
  <c r="N28" i="1"/>
  <c r="M28" i="1"/>
  <c r="L28" i="1"/>
  <c r="K28" i="1"/>
  <c r="J28" i="1"/>
  <c r="I28" i="1"/>
  <c r="H28" i="1"/>
  <c r="G28" i="1"/>
  <c r="F28" i="1"/>
  <c r="E28" i="1"/>
  <c r="D28" i="1"/>
  <c r="O27" i="1"/>
  <c r="N27" i="1"/>
  <c r="M27" i="1"/>
  <c r="L27" i="1"/>
  <c r="K27" i="1"/>
  <c r="J27" i="1"/>
  <c r="I27" i="1"/>
  <c r="H27" i="1"/>
  <c r="G27" i="1"/>
  <c r="F27" i="1"/>
  <c r="E27" i="1"/>
  <c r="D27" i="1"/>
  <c r="O26" i="1"/>
  <c r="N26" i="1"/>
  <c r="M26" i="1"/>
  <c r="L26" i="1"/>
  <c r="K26" i="1"/>
  <c r="J26" i="1"/>
  <c r="I26" i="1"/>
  <c r="H26" i="1"/>
  <c r="G26" i="1"/>
  <c r="F26" i="1"/>
  <c r="E26" i="1"/>
  <c r="D26" i="1"/>
  <c r="O25" i="1"/>
  <c r="N25" i="1"/>
  <c r="M25" i="1"/>
  <c r="L25" i="1"/>
  <c r="K25" i="1"/>
  <c r="J25" i="1"/>
  <c r="I25" i="1"/>
  <c r="H25" i="1"/>
  <c r="G25" i="1"/>
  <c r="F25" i="1"/>
  <c r="E25" i="1"/>
  <c r="D25" i="1"/>
  <c r="O24" i="1"/>
  <c r="N24" i="1"/>
  <c r="M24" i="1"/>
  <c r="L24" i="1"/>
  <c r="K24" i="1"/>
  <c r="J24" i="1"/>
  <c r="I24" i="1"/>
  <c r="H24" i="1"/>
  <c r="G24" i="1"/>
  <c r="F24" i="1"/>
  <c r="E24" i="1"/>
  <c r="D24" i="1"/>
  <c r="O23" i="1"/>
  <c r="N23" i="1"/>
  <c r="M23" i="1"/>
  <c r="L23" i="1"/>
  <c r="K23" i="1"/>
  <c r="J23" i="1"/>
  <c r="I23" i="1"/>
  <c r="H23" i="1"/>
  <c r="G23" i="1"/>
  <c r="F23" i="1"/>
  <c r="E23" i="1"/>
  <c r="D23" i="1"/>
  <c r="O22" i="1"/>
  <c r="N22" i="1"/>
  <c r="M22" i="1"/>
  <c r="L22" i="1"/>
  <c r="K22" i="1"/>
  <c r="J22" i="1"/>
  <c r="I22" i="1"/>
  <c r="H22" i="1"/>
  <c r="G22" i="1"/>
  <c r="F22" i="1"/>
  <c r="E22" i="1"/>
  <c r="D22" i="1"/>
  <c r="O21" i="1"/>
  <c r="N21" i="1"/>
  <c r="M21" i="1"/>
  <c r="L21" i="1"/>
  <c r="K21" i="1"/>
  <c r="J21" i="1"/>
  <c r="I21" i="1"/>
  <c r="H21" i="1"/>
  <c r="G21" i="1"/>
  <c r="F21" i="1"/>
  <c r="E21" i="1"/>
  <c r="D21" i="1"/>
  <c r="O20" i="1"/>
  <c r="N20" i="1"/>
  <c r="M20" i="1"/>
  <c r="L20" i="1"/>
  <c r="K20" i="1"/>
  <c r="J20" i="1"/>
  <c r="I20" i="1"/>
  <c r="H20" i="1"/>
  <c r="G20" i="1"/>
  <c r="F20" i="1"/>
  <c r="E20" i="1"/>
  <c r="D20" i="1"/>
  <c r="O19" i="1"/>
  <c r="N19" i="1"/>
  <c r="M19" i="1"/>
  <c r="L19" i="1"/>
  <c r="K19" i="1"/>
  <c r="J19" i="1"/>
  <c r="I19" i="1"/>
  <c r="H19" i="1"/>
  <c r="G19" i="1"/>
  <c r="F19" i="1"/>
  <c r="E19" i="1"/>
  <c r="D19" i="1"/>
  <c r="O18" i="1"/>
  <c r="N18" i="1"/>
  <c r="M18" i="1"/>
  <c r="L18" i="1"/>
  <c r="K18" i="1"/>
  <c r="J18" i="1"/>
  <c r="I18" i="1"/>
  <c r="H18" i="1"/>
  <c r="G18" i="1"/>
  <c r="F18" i="1"/>
  <c r="E18" i="1"/>
  <c r="D18" i="1"/>
  <c r="O17" i="1"/>
  <c r="N17" i="1"/>
  <c r="M17" i="1"/>
  <c r="L17" i="1"/>
  <c r="K17" i="1"/>
  <c r="J17" i="1"/>
  <c r="I17" i="1"/>
  <c r="H17" i="1"/>
  <c r="G17" i="1"/>
  <c r="F17" i="1"/>
  <c r="E17" i="1"/>
  <c r="D17" i="1"/>
  <c r="O16" i="1"/>
  <c r="N16" i="1"/>
  <c r="M16" i="1"/>
  <c r="L16" i="1"/>
  <c r="K16" i="1"/>
  <c r="J16" i="1"/>
  <c r="I16" i="1"/>
  <c r="H16" i="1"/>
  <c r="G16" i="1"/>
  <c r="F16" i="1"/>
  <c r="E16" i="1"/>
  <c r="D16" i="1"/>
  <c r="O15" i="1"/>
  <c r="N15" i="1"/>
  <c r="M15" i="1"/>
  <c r="L15" i="1"/>
  <c r="K15" i="1"/>
  <c r="J15" i="1"/>
  <c r="I15" i="1"/>
  <c r="H15" i="1"/>
  <c r="G15" i="1"/>
  <c r="F15" i="1"/>
  <c r="E15" i="1"/>
  <c r="D15" i="1"/>
  <c r="O14" i="1"/>
  <c r="N14" i="1"/>
  <c r="M14" i="1"/>
  <c r="L14" i="1"/>
  <c r="K14" i="1"/>
  <c r="J14" i="1"/>
  <c r="I14" i="1"/>
  <c r="H14" i="1"/>
  <c r="G14" i="1"/>
  <c r="F14" i="1"/>
  <c r="E14" i="1"/>
  <c r="D14" i="1"/>
  <c r="O13" i="1"/>
  <c r="N13" i="1"/>
  <c r="M13" i="1"/>
  <c r="L13" i="1"/>
  <c r="K13" i="1"/>
  <c r="J13" i="1"/>
  <c r="I13" i="1"/>
  <c r="H13" i="1"/>
  <c r="G13" i="1"/>
  <c r="F13" i="1"/>
  <c r="E13" i="1"/>
  <c r="D13" i="1"/>
  <c r="O12" i="1"/>
  <c r="N12" i="1"/>
  <c r="M12" i="1"/>
  <c r="L12" i="1"/>
  <c r="K12" i="1"/>
  <c r="J12" i="1"/>
  <c r="I12" i="1"/>
  <c r="H12" i="1"/>
  <c r="G12" i="1"/>
  <c r="F12" i="1"/>
  <c r="E12" i="1"/>
  <c r="D12" i="1"/>
  <c r="O11" i="1"/>
  <c r="N11" i="1"/>
  <c r="M11" i="1"/>
  <c r="L11" i="1"/>
  <c r="K11" i="1"/>
  <c r="J11" i="1"/>
  <c r="I11" i="1"/>
  <c r="H11" i="1"/>
  <c r="G11" i="1"/>
  <c r="F11" i="1"/>
  <c r="E11" i="1"/>
  <c r="D11" i="1"/>
  <c r="O10" i="1"/>
  <c r="N10" i="1"/>
  <c r="M10" i="1"/>
  <c r="L10" i="1"/>
  <c r="K10" i="1"/>
  <c r="J10" i="1"/>
  <c r="I10" i="1"/>
  <c r="H10" i="1"/>
  <c r="G10" i="1"/>
  <c r="F10" i="1"/>
  <c r="E10" i="1"/>
  <c r="D10" i="1"/>
  <c r="O9" i="1"/>
  <c r="U9" i="1" s="1"/>
  <c r="N9" i="1"/>
  <c r="U48" i="1" s="1"/>
  <c r="M9" i="1"/>
  <c r="C9" i="1"/>
  <c r="H4" i="2" l="1"/>
  <c r="P75" i="1"/>
  <c r="K64" i="2"/>
  <c r="P77" i="1"/>
  <c r="P79" i="1"/>
  <c r="Q79" i="1" s="1"/>
  <c r="P78" i="1"/>
  <c r="Q78" i="1" s="1"/>
  <c r="P76" i="1"/>
  <c r="P80" i="1"/>
  <c r="P82" i="1"/>
  <c r="Q82" i="1" s="1"/>
  <c r="P83" i="1"/>
  <c r="P84" i="1"/>
  <c r="Q84" i="1" s="1"/>
  <c r="C64" i="2"/>
  <c r="H66" i="2"/>
  <c r="G10" i="2"/>
  <c r="F64" i="2"/>
  <c r="P73" i="1"/>
  <c r="J64" i="2"/>
  <c r="D66" i="2"/>
  <c r="K46" i="2"/>
  <c r="P72" i="1"/>
  <c r="P22" i="1"/>
  <c r="Q22" i="1" s="1"/>
  <c r="P49" i="1"/>
  <c r="P50" i="1"/>
  <c r="Q50" i="1" s="1"/>
  <c r="P51" i="1"/>
  <c r="Q51" i="1" s="1"/>
  <c r="P52" i="1"/>
  <c r="P53" i="1"/>
  <c r="Q53" i="1" s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P63" i="1"/>
  <c r="Q63" i="1" s="1"/>
  <c r="P64" i="1"/>
  <c r="P65" i="1"/>
  <c r="Q65" i="1" s="1"/>
  <c r="P66" i="1"/>
  <c r="Q66" i="1" s="1"/>
  <c r="P67" i="1"/>
  <c r="Q67" i="1" s="1"/>
  <c r="P68" i="1"/>
  <c r="Q68" i="1" s="1"/>
  <c r="P69" i="1"/>
  <c r="Q69" i="1" s="1"/>
  <c r="P18" i="1"/>
  <c r="Q18" i="1" s="1"/>
  <c r="P20" i="1"/>
  <c r="Q20" i="1" s="1"/>
  <c r="P19" i="1"/>
  <c r="Q19" i="1" s="1"/>
  <c r="P15" i="1"/>
  <c r="Q15" i="1" s="1"/>
  <c r="P24" i="1"/>
  <c r="Q24" i="1" s="1"/>
  <c r="P26" i="1"/>
  <c r="Q26" i="1" s="1"/>
  <c r="P29" i="1"/>
  <c r="Q29" i="1" s="1"/>
  <c r="P11" i="1"/>
  <c r="Q11" i="1" s="1"/>
  <c r="P13" i="1"/>
  <c r="P17" i="1"/>
  <c r="Q17" i="1" s="1"/>
  <c r="P21" i="1"/>
  <c r="Q21" i="1" s="1"/>
  <c r="P12" i="1"/>
  <c r="Q12" i="1" s="1"/>
  <c r="P14" i="1"/>
  <c r="P16" i="1"/>
  <c r="Q16" i="1" s="1"/>
  <c r="P23" i="1"/>
  <c r="Q23" i="1" s="1"/>
  <c r="P25" i="1"/>
  <c r="Q25" i="1" s="1"/>
  <c r="P27" i="1"/>
  <c r="P28" i="1"/>
  <c r="H31" i="2"/>
  <c r="J19" i="2"/>
  <c r="J31" i="2"/>
  <c r="P10" i="1"/>
  <c r="Q10" i="1" s="1"/>
  <c r="K10" i="2"/>
  <c r="G48" i="2"/>
  <c r="G66" i="2"/>
  <c r="C46" i="2"/>
  <c r="F56" i="2"/>
  <c r="J15" i="2"/>
  <c r="E46" i="2"/>
  <c r="C9" i="2"/>
  <c r="J46" i="2"/>
  <c r="J10" i="2"/>
  <c r="K13" i="2"/>
  <c r="F18" i="2"/>
  <c r="F46" i="2"/>
  <c r="C57" i="2"/>
  <c r="H46" i="2"/>
  <c r="K57" i="2"/>
  <c r="G64" i="2"/>
  <c r="F10" i="2"/>
  <c r="D46" i="2"/>
  <c r="I46" i="2"/>
  <c r="I66" i="2"/>
  <c r="N57" i="7"/>
  <c r="M192" i="7"/>
  <c r="C15" i="2"/>
  <c r="F57" i="2"/>
  <c r="D64" i="2"/>
  <c r="G9" i="2"/>
  <c r="E13" i="2"/>
  <c r="P13" i="7"/>
  <c r="C31" i="2"/>
  <c r="Q13" i="7"/>
  <c r="C48" i="2"/>
  <c r="K4" i="2"/>
  <c r="I9" i="2"/>
  <c r="G13" i="2"/>
  <c r="K48" i="2"/>
  <c r="C56" i="2"/>
  <c r="P369" i="7"/>
  <c r="K31" i="2"/>
  <c r="U192" i="7"/>
  <c r="G57" i="2"/>
  <c r="U282" i="7"/>
  <c r="I57" i="2"/>
  <c r="V369" i="7"/>
  <c r="K56" i="2"/>
  <c r="D9" i="2"/>
  <c r="J9" i="2"/>
  <c r="H10" i="2"/>
  <c r="I13" i="2"/>
  <c r="C19" i="2"/>
  <c r="G31" i="2"/>
  <c r="D32" i="2"/>
  <c r="F9" i="2"/>
  <c r="K9" i="2"/>
  <c r="I10" i="2"/>
  <c r="D13" i="2"/>
  <c r="J13" i="2"/>
  <c r="G23" i="2"/>
  <c r="H64" i="2"/>
  <c r="F66" i="2"/>
  <c r="J66" i="2"/>
  <c r="L37" i="2"/>
  <c r="L16" i="2"/>
  <c r="L43" i="2"/>
  <c r="L69" i="2"/>
  <c r="X2" i="7"/>
  <c r="X6" i="7"/>
  <c r="X10" i="7"/>
  <c r="X106" i="7"/>
  <c r="X110" i="7"/>
  <c r="X114" i="7"/>
  <c r="X118" i="7"/>
  <c r="X122" i="7"/>
  <c r="X126" i="7"/>
  <c r="X130" i="7"/>
  <c r="X134" i="7"/>
  <c r="X136" i="7"/>
  <c r="X140" i="7"/>
  <c r="X144" i="7"/>
  <c r="X165" i="7"/>
  <c r="X169" i="7"/>
  <c r="X173" i="7"/>
  <c r="X177" i="7"/>
  <c r="X181" i="7"/>
  <c r="X185" i="7"/>
  <c r="X189" i="7"/>
  <c r="X197" i="7"/>
  <c r="X201" i="7"/>
  <c r="X205" i="7"/>
  <c r="X209" i="7"/>
  <c r="X213" i="7"/>
  <c r="X217" i="7"/>
  <c r="X221" i="7"/>
  <c r="X225" i="7"/>
  <c r="X229" i="7"/>
  <c r="X233" i="7"/>
  <c r="X238" i="7"/>
  <c r="X242" i="7"/>
  <c r="X246" i="7"/>
  <c r="X250" i="7"/>
  <c r="X254" i="7"/>
  <c r="X258" i="7"/>
  <c r="X262" i="7"/>
  <c r="X266" i="7"/>
  <c r="X270" i="7"/>
  <c r="X272" i="7"/>
  <c r="X276" i="7"/>
  <c r="X280" i="7"/>
  <c r="X286" i="7"/>
  <c r="X290" i="7"/>
  <c r="X294" i="7"/>
  <c r="X298" i="7"/>
  <c r="X301" i="7"/>
  <c r="X305" i="7"/>
  <c r="X309" i="7"/>
  <c r="X313" i="7"/>
  <c r="X317" i="7"/>
  <c r="X321" i="7"/>
  <c r="X325" i="7"/>
  <c r="X330" i="7"/>
  <c r="X334" i="7"/>
  <c r="X338" i="7"/>
  <c r="X342" i="7"/>
  <c r="X346" i="7"/>
  <c r="X350" i="7"/>
  <c r="Q27" i="1"/>
  <c r="Q73" i="1"/>
  <c r="I4" i="2"/>
  <c r="F15" i="2"/>
  <c r="D19" i="2"/>
  <c r="H48" i="2"/>
  <c r="G56" i="2"/>
  <c r="T102" i="7"/>
  <c r="T282" i="7"/>
  <c r="X15" i="7"/>
  <c r="X19" i="7"/>
  <c r="G376" i="7" s="1"/>
  <c r="X27" i="7"/>
  <c r="X40" i="7"/>
  <c r="E4" i="2"/>
  <c r="J4" i="2"/>
  <c r="G15" i="2"/>
  <c r="G19" i="2"/>
  <c r="L42" i="2"/>
  <c r="D48" i="2"/>
  <c r="J48" i="2"/>
  <c r="J56" i="2"/>
  <c r="L68" i="2"/>
  <c r="X42" i="7"/>
  <c r="X46" i="7"/>
  <c r="X50" i="7"/>
  <c r="X54" i="7"/>
  <c r="F4" i="2"/>
  <c r="D31" i="2"/>
  <c r="F48" i="2"/>
  <c r="E56" i="2"/>
  <c r="X29" i="7"/>
  <c r="X33" i="7"/>
  <c r="X37" i="7"/>
  <c r="H376" i="7" s="1"/>
  <c r="X58" i="7"/>
  <c r="X62" i="7"/>
  <c r="X66" i="7"/>
  <c r="X70" i="7"/>
  <c r="X74" i="7"/>
  <c r="X78" i="7"/>
  <c r="X82" i="7"/>
  <c r="X86" i="7"/>
  <c r="X90" i="7"/>
  <c r="X94" i="7"/>
  <c r="X98" i="7"/>
  <c r="T31" i="1"/>
  <c r="R9" i="1"/>
  <c r="P32" i="1"/>
  <c r="P33" i="1"/>
  <c r="Q33" i="1" s="1"/>
  <c r="P34" i="1"/>
  <c r="Q34" i="1" s="1"/>
  <c r="P35" i="1"/>
  <c r="Q35" i="1" s="1"/>
  <c r="P37" i="1"/>
  <c r="Q37" i="1" s="1"/>
  <c r="P39" i="1"/>
  <c r="Q39" i="1" s="1"/>
  <c r="P40" i="1"/>
  <c r="Q40" i="1" s="1"/>
  <c r="P42" i="1"/>
  <c r="Q42" i="1" s="1"/>
  <c r="P43" i="1"/>
  <c r="Q43" i="1" s="1"/>
  <c r="P44" i="1"/>
  <c r="Q44" i="1" s="1"/>
  <c r="P45" i="1"/>
  <c r="Q45" i="1" s="1"/>
  <c r="P46" i="1"/>
  <c r="Q46" i="1" s="1"/>
  <c r="R48" i="1"/>
  <c r="Q75" i="1"/>
  <c r="Q76" i="1"/>
  <c r="Q77" i="1"/>
  <c r="Q80" i="1"/>
  <c r="D4" i="2"/>
  <c r="E9" i="2"/>
  <c r="L25" i="2"/>
  <c r="L26" i="2"/>
  <c r="L61" i="2"/>
  <c r="K13" i="7"/>
  <c r="C13" i="2"/>
  <c r="Y57" i="3"/>
  <c r="E15" i="2"/>
  <c r="H102" i="7"/>
  <c r="E19" i="2"/>
  <c r="L102" i="7"/>
  <c r="L147" i="7"/>
  <c r="F19" i="2"/>
  <c r="P147" i="7"/>
  <c r="F31" i="2"/>
  <c r="T192" i="4"/>
  <c r="M237" i="7"/>
  <c r="Z13" i="5"/>
  <c r="Q13" i="1"/>
  <c r="T9" i="1"/>
  <c r="V48" i="1"/>
  <c r="Q83" i="1"/>
  <c r="L22" i="2"/>
  <c r="L65" i="2"/>
  <c r="H57" i="7"/>
  <c r="D15" i="2"/>
  <c r="L30" i="2"/>
  <c r="N237" i="7"/>
  <c r="V57" i="7"/>
  <c r="D56" i="2"/>
  <c r="Q102" i="7"/>
  <c r="E48" i="2"/>
  <c r="V237" i="7"/>
  <c r="H56" i="2"/>
  <c r="Q282" i="7"/>
  <c r="I48" i="2"/>
  <c r="O102" i="7"/>
  <c r="E64" i="2"/>
  <c r="O282" i="7"/>
  <c r="I64" i="2"/>
  <c r="X14" i="7"/>
  <c r="X18" i="7"/>
  <c r="Q52" i="1"/>
  <c r="Q62" i="1"/>
  <c r="Q64" i="1"/>
  <c r="T71" i="1"/>
  <c r="L2" i="2"/>
  <c r="L8" i="2"/>
  <c r="L12" i="2"/>
  <c r="L20" i="2"/>
  <c r="L28" i="2"/>
  <c r="L58" i="2"/>
  <c r="G237" i="7"/>
  <c r="G372" i="7" s="1"/>
  <c r="H9" i="2"/>
  <c r="K237" i="7"/>
  <c r="H13" i="2"/>
  <c r="S102" i="7"/>
  <c r="E49" i="2"/>
  <c r="U102" i="7"/>
  <c r="E57" i="2"/>
  <c r="U327" i="7"/>
  <c r="J57" i="2"/>
  <c r="Q192" i="6"/>
  <c r="G59" i="2"/>
  <c r="X5" i="7"/>
  <c r="X9" i="7"/>
  <c r="X22" i="7"/>
  <c r="L45" i="2"/>
  <c r="Y192" i="3"/>
  <c r="Y282" i="3"/>
  <c r="Y327" i="3"/>
  <c r="M13" i="7"/>
  <c r="N13" i="7"/>
  <c r="T102" i="4"/>
  <c r="N102" i="7"/>
  <c r="N282" i="7"/>
  <c r="S13" i="7"/>
  <c r="T13" i="7"/>
  <c r="Z102" i="5"/>
  <c r="Z237" i="5"/>
  <c r="Z327" i="5"/>
  <c r="S369" i="7"/>
  <c r="T369" i="7"/>
  <c r="X4" i="7"/>
  <c r="X8" i="7"/>
  <c r="X12" i="7"/>
  <c r="X17" i="7"/>
  <c r="X21" i="7"/>
  <c r="X3" i="7"/>
  <c r="X7" i="7"/>
  <c r="X11" i="7"/>
  <c r="X16" i="7"/>
  <c r="X20" i="7"/>
  <c r="X24" i="7"/>
  <c r="X25" i="7"/>
  <c r="X23" i="7"/>
  <c r="X28" i="7"/>
  <c r="X32" i="7"/>
  <c r="X36" i="7"/>
  <c r="X41" i="7"/>
  <c r="X45" i="7"/>
  <c r="X49" i="7"/>
  <c r="X53" i="7"/>
  <c r="X61" i="7"/>
  <c r="X65" i="7"/>
  <c r="X69" i="7"/>
  <c r="X73" i="7"/>
  <c r="J376" i="7" s="1"/>
  <c r="X77" i="7"/>
  <c r="X81" i="7"/>
  <c r="X85" i="7"/>
  <c r="X89" i="7"/>
  <c r="X93" i="7"/>
  <c r="X97" i="7"/>
  <c r="X101" i="7"/>
  <c r="X105" i="7"/>
  <c r="X109" i="7"/>
  <c r="L376" i="7" s="1"/>
  <c r="X113" i="7"/>
  <c r="X117" i="7"/>
  <c r="X121" i="7"/>
  <c r="X125" i="7"/>
  <c r="X129" i="7"/>
  <c r="X133" i="7"/>
  <c r="X139" i="7"/>
  <c r="X143" i="7"/>
  <c r="X148" i="7"/>
  <c r="X152" i="7"/>
  <c r="X156" i="7"/>
  <c r="X160" i="7"/>
  <c r="X164" i="7"/>
  <c r="X168" i="7"/>
  <c r="X172" i="7"/>
  <c r="X176" i="7"/>
  <c r="X180" i="7"/>
  <c r="X184" i="7"/>
  <c r="X188" i="7"/>
  <c r="X193" i="7"/>
  <c r="X196" i="7"/>
  <c r="X200" i="7"/>
  <c r="X204" i="7"/>
  <c r="X208" i="7"/>
  <c r="X212" i="7"/>
  <c r="X216" i="7"/>
  <c r="X220" i="7"/>
  <c r="X224" i="7"/>
  <c r="X228" i="7"/>
  <c r="X232" i="7"/>
  <c r="X236" i="7"/>
  <c r="X241" i="7"/>
  <c r="X245" i="7"/>
  <c r="X249" i="7"/>
  <c r="X253" i="7"/>
  <c r="X257" i="7"/>
  <c r="X261" i="7"/>
  <c r="X265" i="7"/>
  <c r="X269" i="7"/>
  <c r="X271" i="7"/>
  <c r="X275" i="7"/>
  <c r="X279" i="7"/>
  <c r="X285" i="7"/>
  <c r="X289" i="7"/>
  <c r="X293" i="7"/>
  <c r="X297" i="7"/>
  <c r="X304" i="7"/>
  <c r="X308" i="7"/>
  <c r="X312" i="7"/>
  <c r="X316" i="7"/>
  <c r="X320" i="7"/>
  <c r="X324" i="7"/>
  <c r="X329" i="7"/>
  <c r="X333" i="7"/>
  <c r="X337" i="7"/>
  <c r="X341" i="7"/>
  <c r="X345" i="7"/>
  <c r="X349" i="7"/>
  <c r="X355" i="7"/>
  <c r="X359" i="7"/>
  <c r="X363" i="7"/>
  <c r="X367" i="7"/>
  <c r="X31" i="7"/>
  <c r="X35" i="7"/>
  <c r="X39" i="7"/>
  <c r="X44" i="7"/>
  <c r="X48" i="7"/>
  <c r="X52" i="7"/>
  <c r="X56" i="7"/>
  <c r="X60" i="7"/>
  <c r="X64" i="7"/>
  <c r="X68" i="7"/>
  <c r="X72" i="7"/>
  <c r="X76" i="7"/>
  <c r="X80" i="7"/>
  <c r="X84" i="7"/>
  <c r="X88" i="7"/>
  <c r="X92" i="7"/>
  <c r="X96" i="7"/>
  <c r="X100" i="7"/>
  <c r="X104" i="7"/>
  <c r="X108" i="7"/>
  <c r="X112" i="7"/>
  <c r="X116" i="7"/>
  <c r="X120" i="7"/>
  <c r="X124" i="7"/>
  <c r="X128" i="7"/>
  <c r="X132" i="7"/>
  <c r="X151" i="7"/>
  <c r="X155" i="7"/>
  <c r="X159" i="7"/>
  <c r="X167" i="7"/>
  <c r="X171" i="7"/>
  <c r="X175" i="7"/>
  <c r="X179" i="7"/>
  <c r="X183" i="7"/>
  <c r="X187" i="7"/>
  <c r="X191" i="7"/>
  <c r="X195" i="7"/>
  <c r="X199" i="7"/>
  <c r="X203" i="7"/>
  <c r="X207" i="7"/>
  <c r="X211" i="7"/>
  <c r="X215" i="7"/>
  <c r="X219" i="7"/>
  <c r="X223" i="7"/>
  <c r="X227" i="7"/>
  <c r="X231" i="7"/>
  <c r="X235" i="7"/>
  <c r="X240" i="7"/>
  <c r="X244" i="7"/>
  <c r="X248" i="7"/>
  <c r="X252" i="7"/>
  <c r="X256" i="7"/>
  <c r="X260" i="7"/>
  <c r="X264" i="7"/>
  <c r="X268" i="7"/>
  <c r="X274" i="7"/>
  <c r="X278" i="7"/>
  <c r="X284" i="7"/>
  <c r="X288" i="7"/>
  <c r="X292" i="7"/>
  <c r="X296" i="7"/>
  <c r="X303" i="7"/>
  <c r="X307" i="7"/>
  <c r="X311" i="7"/>
  <c r="X315" i="7"/>
  <c r="X319" i="7"/>
  <c r="X323" i="7"/>
  <c r="X328" i="7"/>
  <c r="X332" i="7"/>
  <c r="X336" i="7"/>
  <c r="X340" i="7"/>
  <c r="X344" i="7"/>
  <c r="X348" i="7"/>
  <c r="X354" i="7"/>
  <c r="X358" i="7"/>
  <c r="X362" i="7"/>
  <c r="X366" i="7"/>
  <c r="X26" i="7"/>
  <c r="X30" i="7"/>
  <c r="X34" i="7"/>
  <c r="X38" i="7"/>
  <c r="X43" i="7"/>
  <c r="X47" i="7"/>
  <c r="X51" i="7"/>
  <c r="X55" i="7"/>
  <c r="I376" i="7" s="1"/>
  <c r="X59" i="7"/>
  <c r="X63" i="7"/>
  <c r="X67" i="7"/>
  <c r="X71" i="7"/>
  <c r="X75" i="7"/>
  <c r="X79" i="7"/>
  <c r="X83" i="7"/>
  <c r="X87" i="7"/>
  <c r="X91" i="7"/>
  <c r="K376" i="7" s="1"/>
  <c r="X95" i="7"/>
  <c r="X99" i="7"/>
  <c r="X103" i="7"/>
  <c r="X107" i="7"/>
  <c r="X111" i="7"/>
  <c r="X115" i="7"/>
  <c r="X119" i="7"/>
  <c r="X123" i="7"/>
  <c r="X127" i="7"/>
  <c r="M376" i="7" s="1"/>
  <c r="X131" i="7"/>
  <c r="X137" i="7"/>
  <c r="X141" i="7"/>
  <c r="X145" i="7"/>
  <c r="N376" i="7" s="1"/>
  <c r="X150" i="7"/>
  <c r="X154" i="7"/>
  <c r="X158" i="7"/>
  <c r="X162" i="7"/>
  <c r="X166" i="7"/>
  <c r="X170" i="7"/>
  <c r="X174" i="7"/>
  <c r="X178" i="7"/>
  <c r="X182" i="7"/>
  <c r="X186" i="7"/>
  <c r="X190" i="7"/>
  <c r="X194" i="7"/>
  <c r="X198" i="7"/>
  <c r="X202" i="7"/>
  <c r="X206" i="7"/>
  <c r="X210" i="7"/>
  <c r="X214" i="7"/>
  <c r="X218" i="7"/>
  <c r="X222" i="7"/>
  <c r="X226" i="7"/>
  <c r="X230" i="7"/>
  <c r="X234" i="7"/>
  <c r="X239" i="7"/>
  <c r="X243" i="7"/>
  <c r="X247" i="7"/>
  <c r="X251" i="7"/>
  <c r="X255" i="7"/>
  <c r="X259" i="7"/>
  <c r="X263" i="7"/>
  <c r="X267" i="7"/>
  <c r="X273" i="7"/>
  <c r="X277" i="7"/>
  <c r="X281" i="7"/>
  <c r="X283" i="7"/>
  <c r="X287" i="7"/>
  <c r="X291" i="7"/>
  <c r="X295" i="7"/>
  <c r="X299" i="7"/>
  <c r="X302" i="7"/>
  <c r="X306" i="7"/>
  <c r="X310" i="7"/>
  <c r="X314" i="7"/>
  <c r="X318" i="7"/>
  <c r="X322" i="7"/>
  <c r="X326" i="7"/>
  <c r="X331" i="7"/>
  <c r="X335" i="7"/>
  <c r="X339" i="7"/>
  <c r="X343" i="7"/>
  <c r="X347" i="7"/>
  <c r="X351" i="7"/>
  <c r="P41" i="1"/>
  <c r="Q41" i="1" s="1"/>
  <c r="L6" i="2"/>
  <c r="L14" i="2"/>
  <c r="Q28" i="1"/>
  <c r="P36" i="1"/>
  <c r="Q36" i="1" s="1"/>
  <c r="Q14" i="1"/>
  <c r="P38" i="1"/>
  <c r="Q38" i="1" s="1"/>
  <c r="Y13" i="3"/>
  <c r="J57" i="7"/>
  <c r="I57" i="7"/>
  <c r="Y102" i="3"/>
  <c r="L34" i="2"/>
  <c r="M282" i="7"/>
  <c r="T282" i="4"/>
  <c r="I23" i="2"/>
  <c r="U57" i="7"/>
  <c r="D57" i="2"/>
  <c r="E59" i="2"/>
  <c r="Q102" i="6"/>
  <c r="I59" i="2"/>
  <c r="Q282" i="6"/>
  <c r="S9" i="1"/>
  <c r="U31" i="1"/>
  <c r="S48" i="1"/>
  <c r="U71" i="1"/>
  <c r="L3" i="2"/>
  <c r="F13" i="2"/>
  <c r="K15" i="2"/>
  <c r="K19" i="2"/>
  <c r="L27" i="2"/>
  <c r="L33" i="2"/>
  <c r="L38" i="2"/>
  <c r="L39" i="2"/>
  <c r="L41" i="2"/>
  <c r="L52" i="2"/>
  <c r="L54" i="2"/>
  <c r="L55" i="2"/>
  <c r="L60" i="2"/>
  <c r="L63" i="2"/>
  <c r="L67" i="2"/>
  <c r="Y147" i="3"/>
  <c r="Y237" i="3"/>
  <c r="I282" i="7"/>
  <c r="J282" i="7"/>
  <c r="Z57" i="5"/>
  <c r="Z147" i="5"/>
  <c r="R192" i="7"/>
  <c r="R372" i="7" s="1"/>
  <c r="G46" i="2"/>
  <c r="Z192" i="5"/>
  <c r="S237" i="7"/>
  <c r="H49" i="2"/>
  <c r="T237" i="7"/>
  <c r="H53" i="2"/>
  <c r="U237" i="7"/>
  <c r="H57" i="2"/>
  <c r="L62" i="2"/>
  <c r="C66" i="2"/>
  <c r="W13" i="7"/>
  <c r="Q13" i="6"/>
  <c r="D59" i="2"/>
  <c r="Q57" i="6"/>
  <c r="H59" i="2"/>
  <c r="Q237" i="6"/>
  <c r="F13" i="7"/>
  <c r="C10" i="2"/>
  <c r="P282" i="7"/>
  <c r="I31" i="2"/>
  <c r="D49" i="2"/>
  <c r="S57" i="7"/>
  <c r="R31" i="1"/>
  <c r="V31" i="1"/>
  <c r="R71" i="1"/>
  <c r="V71" i="1"/>
  <c r="L7" i="2"/>
  <c r="D10" i="2"/>
  <c r="L17" i="2"/>
  <c r="L21" i="2"/>
  <c r="L36" i="2"/>
  <c r="L50" i="2"/>
  <c r="I56" i="2"/>
  <c r="H237" i="7"/>
  <c r="H15" i="2"/>
  <c r="L237" i="7"/>
  <c r="H19" i="2"/>
  <c r="T147" i="4"/>
  <c r="F24" i="2"/>
  <c r="N147" i="7"/>
  <c r="F32" i="2"/>
  <c r="K24" i="2"/>
  <c r="T369" i="4"/>
  <c r="N369" i="7"/>
  <c r="K32" i="2"/>
  <c r="S147" i="7"/>
  <c r="F51" i="2"/>
  <c r="L51" i="2" s="1"/>
  <c r="Z282" i="5"/>
  <c r="W369" i="7"/>
  <c r="K66" i="2"/>
  <c r="Q369" i="6"/>
  <c r="L5" i="2"/>
  <c r="L40" i="2"/>
  <c r="J13" i="7"/>
  <c r="C18" i="2"/>
  <c r="I13" i="7"/>
  <c r="J102" i="7"/>
  <c r="I102" i="7"/>
  <c r="D53" i="2"/>
  <c r="T57" i="7"/>
  <c r="S31" i="1"/>
  <c r="E10" i="2"/>
  <c r="L11" i="2"/>
  <c r="D18" i="2"/>
  <c r="L29" i="2"/>
  <c r="L35" i="2"/>
  <c r="L44" i="2"/>
  <c r="L47" i="2"/>
  <c r="E192" i="7"/>
  <c r="G4" i="2"/>
  <c r="Y369" i="3"/>
  <c r="T13" i="4"/>
  <c r="M57" i="7"/>
  <c r="D23" i="2"/>
  <c r="T57" i="4"/>
  <c r="E31" i="2"/>
  <c r="P102" i="7"/>
  <c r="T327" i="4"/>
  <c r="J24" i="2"/>
  <c r="N327" i="7"/>
  <c r="J32" i="2"/>
  <c r="Z369" i="5"/>
  <c r="Q147" i="6"/>
  <c r="F59" i="2"/>
  <c r="Q327" i="6"/>
  <c r="J59" i="2"/>
  <c r="I237" i="7"/>
  <c r="J237" i="7"/>
  <c r="I369" i="7"/>
  <c r="J369" i="7"/>
  <c r="M147" i="7"/>
  <c r="N192" i="7"/>
  <c r="T237" i="4"/>
  <c r="M327" i="7"/>
  <c r="M369" i="7"/>
  <c r="S192" i="7"/>
  <c r="T192" i="7"/>
  <c r="X138" i="7"/>
  <c r="X142" i="7"/>
  <c r="X146" i="7"/>
  <c r="J147" i="7"/>
  <c r="X149" i="7"/>
  <c r="X153" i="7"/>
  <c r="X157" i="7"/>
  <c r="X161" i="7"/>
  <c r="I327" i="7"/>
  <c r="J327" i="7"/>
  <c r="S282" i="7"/>
  <c r="M102" i="7"/>
  <c r="X163" i="7"/>
  <c r="I15" i="2"/>
  <c r="I19" i="2"/>
  <c r="I192" i="7"/>
  <c r="J192" i="7"/>
  <c r="T147" i="7"/>
  <c r="S327" i="7"/>
  <c r="T327" i="7"/>
  <c r="X135" i="7"/>
  <c r="X353" i="7"/>
  <c r="X357" i="7"/>
  <c r="X361" i="7"/>
  <c r="X365" i="7"/>
  <c r="X300" i="7"/>
  <c r="X352" i="7"/>
  <c r="X356" i="7"/>
  <c r="X360" i="7"/>
  <c r="X364" i="7"/>
  <c r="X368" i="7"/>
  <c r="Q372" i="7" l="1"/>
  <c r="L46" i="2"/>
  <c r="K372" i="7"/>
  <c r="L9" i="2"/>
  <c r="L32" i="2"/>
  <c r="O372" i="7"/>
  <c r="H372" i="7"/>
  <c r="T372" i="7"/>
  <c r="L56" i="2"/>
  <c r="L64" i="2"/>
  <c r="L13" i="2"/>
  <c r="V372" i="7"/>
  <c r="L48" i="2"/>
  <c r="L23" i="2"/>
  <c r="L4" i="2"/>
  <c r="P372" i="7"/>
  <c r="X57" i="7"/>
  <c r="L57" i="2"/>
  <c r="L31" i="2"/>
  <c r="L372" i="7"/>
  <c r="X237" i="7"/>
  <c r="X282" i="7"/>
  <c r="L49" i="2"/>
  <c r="N372" i="7"/>
  <c r="L19" i="2"/>
  <c r="P87" i="1"/>
  <c r="L24" i="2"/>
  <c r="X147" i="7"/>
  <c r="L15" i="2"/>
  <c r="S372" i="7"/>
  <c r="X192" i="7"/>
  <c r="U372" i="7"/>
  <c r="X327" i="7"/>
  <c r="L18" i="2"/>
  <c r="L66" i="2"/>
  <c r="L53" i="2"/>
  <c r="X369" i="7"/>
  <c r="X102" i="7"/>
  <c r="L59" i="2"/>
  <c r="M372" i="7"/>
  <c r="F372" i="7"/>
  <c r="X13" i="7"/>
  <c r="I372" i="7"/>
  <c r="J372" i="7"/>
  <c r="L10" i="2"/>
  <c r="E372" i="7"/>
  <c r="W372" i="7"/>
  <c r="X372" i="7" l="1"/>
</calcChain>
</file>

<file path=xl/sharedStrings.xml><?xml version="1.0" encoding="utf-8"?>
<sst xmlns="http://schemas.openxmlformats.org/spreadsheetml/2006/main" count="3653" uniqueCount="148">
  <si>
    <t>MAYO</t>
  </si>
  <si>
    <t>JUNIO</t>
  </si>
  <si>
    <t xml:space="preserve">JUNIO </t>
  </si>
  <si>
    <t>JULIO</t>
  </si>
  <si>
    <t>AGOSTO</t>
  </si>
  <si>
    <t xml:space="preserve">Partidas </t>
  </si>
  <si>
    <t>PISO</t>
  </si>
  <si>
    <t>% Avance Real</t>
  </si>
  <si>
    <t>% Avance Programado</t>
  </si>
  <si>
    <t>Insidencia en Dias</t>
  </si>
  <si>
    <t>METAS</t>
  </si>
  <si>
    <t xml:space="preserve">NOVIEMBRE </t>
  </si>
  <si>
    <t>DICIEMBRE</t>
  </si>
  <si>
    <t>ENERO</t>
  </si>
  <si>
    <t xml:space="preserve">FEBRERO </t>
  </si>
  <si>
    <t xml:space="preserve">MARZO </t>
  </si>
  <si>
    <t>Retiro camisas / Tapado Pasadas</t>
  </si>
  <si>
    <t>Pulido, descarachado y preparacion de muros</t>
  </si>
  <si>
    <t>Trazado tabique/Yeso/auxiliares vent. Y puertas</t>
  </si>
  <si>
    <t>Chequeo Rasgos Puerta Acceso</t>
  </si>
  <si>
    <t>Grada Buque (9cm)</t>
  </si>
  <si>
    <t>Rasgo ventana - terrazas</t>
  </si>
  <si>
    <t xml:space="preserve">Despeje caja electricas </t>
  </si>
  <si>
    <t>Yeso Muro</t>
  </si>
  <si>
    <t>Yeso Cielo</t>
  </si>
  <si>
    <t>Sanitario vertical y ramal</t>
  </si>
  <si>
    <t>Instalación Lana Mineral</t>
  </si>
  <si>
    <t>Ductos de Extracción</t>
  </si>
  <si>
    <t>Maquillaje de Terraza</t>
  </si>
  <si>
    <t>Tabique 1° Cara</t>
  </si>
  <si>
    <t>Aislación Interior y Refuerzo Plasma</t>
  </si>
  <si>
    <t>Enlauchado</t>
  </si>
  <si>
    <t>Instalaciones Interior Tabique</t>
  </si>
  <si>
    <t xml:space="preserve">Tabique 2° cara </t>
  </si>
  <si>
    <t>Shaft /Tabique</t>
  </si>
  <si>
    <t>Mochetas y Dinteles Puerta Acceso</t>
  </si>
  <si>
    <t>FASE 2</t>
  </si>
  <si>
    <t>ABRIL</t>
  </si>
  <si>
    <t>Huinchas tabiques</t>
  </si>
  <si>
    <t>Instalación Marco Puerta Acceso</t>
  </si>
  <si>
    <t>Marcos Puertas Interiores</t>
  </si>
  <si>
    <t>Impermeabilizacion Baños</t>
  </si>
  <si>
    <t>Impermeabilizacion Terrazas</t>
  </si>
  <si>
    <t>Preparación de Pisos</t>
  </si>
  <si>
    <t>Instalacion de tina/Receptaculo</t>
  </si>
  <si>
    <t>Protección Tina/receptaculo</t>
  </si>
  <si>
    <t>Faldon de tina.</t>
  </si>
  <si>
    <t>Instalación Ventana</t>
  </si>
  <si>
    <t>Ceramica Pisos</t>
  </si>
  <si>
    <t>Ceramica Muros</t>
  </si>
  <si>
    <t>Instalación de Gargolas en Terraza</t>
  </si>
  <si>
    <t>Frague</t>
  </si>
  <si>
    <t>Cerámica de Terrazas</t>
  </si>
  <si>
    <t>FASE 3</t>
  </si>
  <si>
    <t>Instalación piernas de closet</t>
  </si>
  <si>
    <t>Instalación Cornisas</t>
  </si>
  <si>
    <t>Cuadratura de cajas.</t>
  </si>
  <si>
    <t>Remate yeso y cornisas</t>
  </si>
  <si>
    <t>Puertas interiores</t>
  </si>
  <si>
    <t>Puertas de acceso y pasillo</t>
  </si>
  <si>
    <t xml:space="preserve">Cerradura Puertas </t>
  </si>
  <si>
    <t>Cableado Eléctrico y CCDD</t>
  </si>
  <si>
    <t>Canterias</t>
  </si>
  <si>
    <t>Empaste Muro Cielo</t>
  </si>
  <si>
    <t>Instalacion Guardapolvo</t>
  </si>
  <si>
    <t>Instalación de Baranda de Crital</t>
  </si>
  <si>
    <t>Pintura Cielo Terrazas</t>
  </si>
  <si>
    <t xml:space="preserve">Grano Muros Terrazas </t>
  </si>
  <si>
    <t xml:space="preserve">Losalin Cielo Departamento </t>
  </si>
  <si>
    <t>Pintura Cielo Baños</t>
  </si>
  <si>
    <t>Instalacion de Muebles baño</t>
  </si>
  <si>
    <t>Instalacion Muebles de cocina (Base)</t>
  </si>
  <si>
    <t>Instalacion Muebles de cocina (Aereo)</t>
  </si>
  <si>
    <t>Instalación cubiertas cocina</t>
  </si>
  <si>
    <t>Muebles Interior closet</t>
  </si>
  <si>
    <t>FASE 4</t>
  </si>
  <si>
    <t>Instalacion de Artefactos Sanitarios.</t>
  </si>
  <si>
    <t>Extractor de baño.</t>
  </si>
  <si>
    <t>1° mano de Pintura (interior closet+ puertas)</t>
  </si>
  <si>
    <t>Instalacion de Espejos.</t>
  </si>
  <si>
    <t>Kit de cocina (Horno-Encimera -Campana - Lavaplato)</t>
  </si>
  <si>
    <t>Griferia.</t>
  </si>
  <si>
    <t>Pruebas de Instalaciones.</t>
  </si>
  <si>
    <t>Piso Flotante + cubrejunta + junquillo</t>
  </si>
  <si>
    <t xml:space="preserve">Protección Piso Flotante </t>
  </si>
  <si>
    <t>(2°) Segunda Mano Pintura Interior</t>
  </si>
  <si>
    <t>2° mano de pintura. (puertas, , cielo de baño, )</t>
  </si>
  <si>
    <t>Topes en piso y Accesorios</t>
  </si>
  <si>
    <t>Instalación de Shower Door y Barra Cortina</t>
  </si>
  <si>
    <t xml:space="preserve">PROGRAMA PARA R1 </t>
  </si>
  <si>
    <t>PROGRAMA PARA RF</t>
  </si>
  <si>
    <t>Fase</t>
  </si>
  <si>
    <t>Piso 1</t>
  </si>
  <si>
    <t>Piso 2</t>
  </si>
  <si>
    <t>Piso 3</t>
  </si>
  <si>
    <t>Piso 4</t>
  </si>
  <si>
    <t>Piso 5</t>
  </si>
  <si>
    <t>Piso 6</t>
  </si>
  <si>
    <t>Piso 7</t>
  </si>
  <si>
    <t>Piso 8</t>
  </si>
  <si>
    <t>Piso 9</t>
  </si>
  <si>
    <t>Fase 1</t>
  </si>
  <si>
    <t>Fase 2</t>
  </si>
  <si>
    <t>Fase 3</t>
  </si>
  <si>
    <t>Fase 4</t>
  </si>
  <si>
    <t>Instalción de Espejo</t>
  </si>
  <si>
    <t>Instalación Papel Mural</t>
  </si>
  <si>
    <t>Piso</t>
  </si>
  <si>
    <t>Torre</t>
  </si>
  <si>
    <t>Departamento</t>
  </si>
  <si>
    <t>% Avance Real Depto</t>
  </si>
  <si>
    <t>B</t>
  </si>
  <si>
    <t>A</t>
  </si>
  <si>
    <t>Instalación de Espejos</t>
  </si>
  <si>
    <t>Trazado</t>
  </si>
  <si>
    <t>I. Sanitaria</t>
  </si>
  <si>
    <t>I. Eléctrica</t>
  </si>
  <si>
    <t>Extracción</t>
  </si>
  <si>
    <t>Tabique 2° Cara</t>
  </si>
  <si>
    <t>Puertas</t>
  </si>
  <si>
    <t>Cerámicos</t>
  </si>
  <si>
    <t>Piso Vinilico</t>
  </si>
  <si>
    <t>Ventanas</t>
  </si>
  <si>
    <t>Baranda Cristal</t>
  </si>
  <si>
    <t>Pasta</t>
  </si>
  <si>
    <t>Pintura</t>
  </si>
  <si>
    <t>Muebles C/B</t>
  </si>
  <si>
    <t>Muebles Closet</t>
  </si>
  <si>
    <t>Cubiertas</t>
  </si>
  <si>
    <t>Papel Mural</t>
  </si>
  <si>
    <t>Av. Depto/Piso</t>
  </si>
  <si>
    <t>A-B</t>
  </si>
  <si>
    <t>Todos</t>
  </si>
  <si>
    <t>P.SEMAN</t>
  </si>
  <si>
    <t>PROGRAMA R1</t>
  </si>
  <si>
    <t>PISO 1</t>
  </si>
  <si>
    <t>PISO 2</t>
  </si>
  <si>
    <t>PISO 3</t>
  </si>
  <si>
    <t>PISO 4</t>
  </si>
  <si>
    <t>PISO 5</t>
  </si>
  <si>
    <t>PISO 6</t>
  </si>
  <si>
    <t>PISO 7</t>
  </si>
  <si>
    <t>PISO 8</t>
  </si>
  <si>
    <t>PISO 9</t>
  </si>
  <si>
    <t>% AVANCE</t>
  </si>
  <si>
    <t>PROGRAMA RF</t>
  </si>
  <si>
    <t>GRAFICO AVANCE SEMANAL PARTIDAS</t>
  </si>
  <si>
    <t>AVANCE SEMANAL  POR PARTIDAS  SAN FRANCISCO 211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</si>
</sst>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64" formatCode="0.000%"/>
    <numFmt numFmtId="165" formatCode="0.0%"/>
    <numFmt numFmtId="166" formatCode="0.0&quot;%&quot;"/>
  </numFmts>
  <fonts count="33" x14ac:knownFonts="1">
    <font>
      <sz val="10"/>
      <name val="Arial"/>
    </font>
    <font>
      <sz val="11"/>
      <color theme="1"/>
      <name val="Calibri"/>
    </font>
    <font>
      <b/>
      <sz val="11"/>
      <color theme="1"/>
      <name val="Calibri"/>
    </font>
    <font>
      <sz val="10"/>
      <name val="Arial"/>
    </font>
    <font>
      <b/>
      <sz val="10"/>
      <color rgb="FF0000CC"/>
      <name val="Arial"/>
    </font>
    <font>
      <sz val="10"/>
      <name val="Arial"/>
    </font>
    <font>
      <b/>
      <sz val="10"/>
      <name val="Arial"/>
    </font>
    <font>
      <b/>
      <sz val="14"/>
      <color rgb="FF0000CC"/>
      <name val="Arial"/>
    </font>
    <font>
      <b/>
      <sz val="16"/>
      <color rgb="FF0000CC"/>
      <name val="Arial"/>
    </font>
    <font>
      <sz val="22"/>
      <color theme="1"/>
      <name val="Calibri"/>
    </font>
    <font>
      <sz val="10"/>
      <color theme="1"/>
      <name val="Calibri"/>
    </font>
    <font>
      <b/>
      <sz val="24"/>
      <color theme="1"/>
      <name val="Calibri"/>
    </font>
    <font>
      <b/>
      <sz val="26"/>
      <color theme="1"/>
      <name val="Calibri"/>
    </font>
    <font>
      <b/>
      <sz val="18"/>
      <color theme="1"/>
      <name val="Calibri"/>
    </font>
    <font>
      <b/>
      <sz val="22"/>
      <color theme="1"/>
      <name val="Calibri"/>
    </font>
    <font>
      <sz val="14"/>
      <name val="Arial"/>
    </font>
    <font>
      <b/>
      <sz val="11"/>
      <color rgb="FF0000CC"/>
      <name val="Calibri"/>
    </font>
    <font>
      <b/>
      <sz val="16"/>
      <color rgb="FFFF0000"/>
      <name val="Arial"/>
    </font>
    <font>
      <b/>
      <sz val="16"/>
      <color theme="1"/>
      <name val="Calibri"/>
    </font>
    <font>
      <b/>
      <sz val="11"/>
      <name val="Calibri"/>
    </font>
    <font>
      <b/>
      <sz val="18"/>
      <color rgb="FF0000CC"/>
      <name val="Calibri"/>
    </font>
    <font>
      <b/>
      <sz val="12"/>
      <name val="Arial"/>
    </font>
    <font>
      <b/>
      <sz val="20"/>
      <name val="Arial"/>
    </font>
    <font>
      <sz val="12"/>
      <name val="Arial"/>
    </font>
    <font>
      <b/>
      <sz val="11"/>
      <color rgb="FFFF0000"/>
      <name val="Arial"/>
    </font>
    <font>
      <b/>
      <sz val="18"/>
      <color rgb="FFFF0000"/>
      <name val="Calibri"/>
    </font>
    <font>
      <b/>
      <sz val="12"/>
      <color theme="1"/>
      <name val="Calibri"/>
    </font>
    <font>
      <sz val="10"/>
      <name val="Arial"/>
    </font>
    <font>
      <sz val="20"/>
      <name val="Arial"/>
    </font>
    <font>
      <b/>
      <sz val="10"/>
      <color theme="1"/>
      <name val="Calibri"/>
    </font>
    <font>
      <b/>
      <sz val="10"/>
      <color theme="1"/>
      <name val="Calibri"/>
    </font>
    <font>
      <b/>
      <sz val="10"/>
      <color rgb="FF0000CC"/>
      <name val="Calibri"/>
    </font>
    <font>
      <b/>
      <sz val="15"/>
      <name val="Arial"/>
    </font>
  </fonts>
  <fills count="1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66FFFF"/>
      </patternFill>
    </fill>
    <fill>
      <patternFill patternType="solid">
        <fgColor rgb="FF99CC00"/>
      </patternFill>
    </fill>
    <fill>
      <patternFill patternType="solid">
        <fgColor rgb="FF00FF99"/>
      </patternFill>
    </fill>
    <fill>
      <patternFill patternType="solid">
        <fgColor theme="2" tint="-0.249977111117893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/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 style="medium">
        <color indexed="64"/>
      </bottom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</borders>
  <cellStyleXfs count="19">
    <xf numFmtId="0" fontId="0" fillId="0" borderId="44"/>
    <xf numFmtId="9" fontId="27" fillId="0" borderId="44"/>
    <xf numFmtId="0" fontId="27" fillId="0" borderId="44"/>
    <xf numFmtId="0" fontId="27" fillId="0" borderId="44"/>
    <xf numFmtId="9" fontId="1" fillId="0" borderId="44"/>
    <xf numFmtId="0" fontId="1" fillId="0" borderId="44"/>
    <xf numFmtId="0" fontId="1" fillId="0" borderId="44"/>
    <xf numFmtId="0" fontId="1" fillId="0" borderId="44"/>
    <xf numFmtId="0" fontId="27" fillId="0" borderId="44"/>
    <xf numFmtId="0" fontId="27" fillId="0" borderId="44"/>
    <xf numFmtId="0" fontId="27" fillId="0" borderId="44"/>
    <xf numFmtId="0" fontId="27" fillId="0" borderId="44"/>
    <xf numFmtId="0" fontId="27" fillId="0" borderId="44"/>
    <xf numFmtId="0" fontId="27" fillId="0" borderId="44"/>
    <xf numFmtId="0" fontId="1" fillId="0" borderId="44"/>
    <xf numFmtId="9" fontId="27" fillId="0" borderId="44"/>
    <xf numFmtId="9" fontId="1" fillId="0" borderId="44"/>
    <xf numFmtId="0" fontId="1" fillId="0" borderId="44"/>
    <xf numFmtId="41" fontId="27" fillId="0" borderId="44"/>
  </cellStyleXfs>
  <cellXfs count="155">
    <xf numFmtId="0" fontId="0" fillId="0" borderId="0" xfId="0" applyBorder="1"/>
    <xf numFmtId="0" fontId="0" fillId="0" borderId="0" xfId="0" applyBorder="1" applyAlignment="1">
      <alignment horizontal="center"/>
    </xf>
    <xf numFmtId="9" fontId="0" fillId="0" borderId="0" xfId="0" applyNumberFormat="1" applyBorder="1"/>
    <xf numFmtId="9" fontId="0" fillId="0" borderId="0" xfId="0" applyNumberFormat="1" applyBorder="1" applyAlignment="1">
      <alignment horizontal="center"/>
    </xf>
    <xf numFmtId="0" fontId="0" fillId="6" borderId="0" xfId="0" applyFill="1" applyBorder="1"/>
    <xf numFmtId="0" fontId="0" fillId="6" borderId="0" xfId="0" applyFill="1" applyBorder="1" applyAlignment="1">
      <alignment horizontal="center"/>
    </xf>
    <xf numFmtId="0" fontId="9" fillId="6" borderId="0" xfId="0" applyFont="1" applyFill="1" applyBorder="1"/>
    <xf numFmtId="0" fontId="10" fillId="6" borderId="0" xfId="0" applyFont="1" applyFill="1" applyBorder="1" applyAlignment="1">
      <alignment horizontal="left"/>
    </xf>
    <xf numFmtId="0" fontId="11" fillId="6" borderId="0" xfId="0" applyFont="1" applyFill="1" applyBorder="1"/>
    <xf numFmtId="1" fontId="16" fillId="0" borderId="11" xfId="0" applyNumberFormat="1" applyFont="1" applyBorder="1" applyAlignment="1">
      <alignment horizontal="center"/>
    </xf>
    <xf numFmtId="0" fontId="10" fillId="0" borderId="0" xfId="0" applyFont="1" applyBorder="1" applyAlignment="1">
      <alignment horizontal="left"/>
    </xf>
    <xf numFmtId="0" fontId="19" fillId="0" borderId="0" xfId="0" applyFont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2" fillId="11" borderId="6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9" fontId="20" fillId="2" borderId="6" xfId="0" applyNumberFormat="1" applyFont="1" applyFill="1" applyBorder="1" applyAlignment="1">
      <alignment horizontal="center"/>
    </xf>
    <xf numFmtId="9" fontId="20" fillId="0" borderId="0" xfId="0" applyNumberFormat="1" applyFont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164" fontId="2" fillId="8" borderId="1" xfId="0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6" fillId="6" borderId="0" xfId="0" applyFont="1" applyFill="1" applyBorder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3" fillId="0" borderId="0" xfId="0" applyFont="1" applyBorder="1"/>
    <xf numFmtId="0" fontId="24" fillId="6" borderId="0" xfId="0" applyFont="1" applyFill="1" applyBorder="1" applyAlignment="1">
      <alignment horizontal="center"/>
    </xf>
    <xf numFmtId="0" fontId="6" fillId="0" borderId="0" xfId="0" applyFont="1" applyBorder="1"/>
    <xf numFmtId="0" fontId="13" fillId="5" borderId="1" xfId="0" applyFont="1" applyFill="1" applyBorder="1" applyAlignment="1">
      <alignment horizontal="center" vertical="center" wrapText="1"/>
    </xf>
    <xf numFmtId="1" fontId="16" fillId="0" borderId="0" xfId="0" applyNumberFormat="1" applyFont="1" applyBorder="1" applyAlignment="1">
      <alignment horizontal="center"/>
    </xf>
    <xf numFmtId="0" fontId="2" fillId="14" borderId="0" xfId="0" applyFont="1" applyFill="1" applyBorder="1" applyAlignment="1">
      <alignment horizontal="center"/>
    </xf>
    <xf numFmtId="9" fontId="2" fillId="8" borderId="1" xfId="1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15" fontId="18" fillId="0" borderId="19" xfId="0" applyNumberFormat="1" applyFont="1" applyBorder="1" applyAlignment="1">
      <alignment horizontal="center"/>
    </xf>
    <xf numFmtId="15" fontId="18" fillId="0" borderId="20" xfId="0" applyNumberFormat="1" applyFont="1" applyBorder="1" applyAlignment="1">
      <alignment horizontal="center"/>
    </xf>
    <xf numFmtId="15" fontId="18" fillId="0" borderId="22" xfId="0" applyNumberFormat="1" applyFont="1" applyBorder="1" applyAlignment="1">
      <alignment horizontal="center"/>
    </xf>
    <xf numFmtId="15" fontId="18" fillId="0" borderId="31" xfId="0" applyNumberFormat="1" applyFont="1" applyBorder="1" applyAlignment="1">
      <alignment horizontal="center"/>
    </xf>
    <xf numFmtId="0" fontId="15" fillId="4" borderId="23" xfId="0" applyFont="1" applyFill="1" applyBorder="1" applyAlignment="1">
      <alignment horizontal="left" vertical="center" wrapText="1"/>
    </xf>
    <xf numFmtId="0" fontId="15" fillId="4" borderId="24" xfId="0" applyFont="1" applyFill="1" applyBorder="1" applyAlignment="1">
      <alignment horizontal="left" vertical="center" wrapText="1"/>
    </xf>
    <xf numFmtId="0" fontId="7" fillId="2" borderId="24" xfId="0" applyFont="1" applyFill="1" applyBorder="1" applyAlignment="1">
      <alignment horizontal="left" vertical="center" wrapText="1"/>
    </xf>
    <xf numFmtId="0" fontId="15" fillId="4" borderId="32" xfId="0" applyFont="1" applyFill="1" applyBorder="1" applyAlignment="1">
      <alignment horizontal="left" vertical="center" wrapText="1"/>
    </xf>
    <xf numFmtId="14" fontId="18" fillId="0" borderId="20" xfId="0" applyNumberFormat="1" applyFont="1" applyBorder="1" applyAlignment="1">
      <alignment horizontal="center"/>
    </xf>
    <xf numFmtId="0" fontId="15" fillId="3" borderId="23" xfId="0" applyFont="1" applyFill="1" applyBorder="1" applyAlignment="1">
      <alignment horizontal="left" vertical="center" wrapText="1"/>
    </xf>
    <xf numFmtId="0" fontId="15" fillId="3" borderId="24" xfId="0" applyFont="1" applyFill="1" applyBorder="1" applyAlignment="1">
      <alignment horizontal="left" vertical="center" wrapText="1"/>
    </xf>
    <xf numFmtId="0" fontId="15" fillId="3" borderId="32" xfId="0" applyFont="1" applyFill="1" applyBorder="1" applyAlignment="1">
      <alignment horizontal="left" vertical="center" wrapText="1"/>
    </xf>
    <xf numFmtId="0" fontId="2" fillId="8" borderId="33" xfId="0" applyFont="1" applyFill="1" applyBorder="1" applyAlignment="1">
      <alignment horizontal="center"/>
    </xf>
    <xf numFmtId="41" fontId="0" fillId="0" borderId="0" xfId="18" applyFont="1" applyBorder="1" applyAlignment="1">
      <alignment horizontal="center"/>
    </xf>
    <xf numFmtId="0" fontId="12" fillId="7" borderId="1" xfId="0" applyFont="1" applyFill="1" applyBorder="1" applyAlignment="1">
      <alignment horizontal="center" vertical="center"/>
    </xf>
    <xf numFmtId="0" fontId="26" fillId="8" borderId="10" xfId="0" applyFont="1" applyFill="1" applyBorder="1" applyAlignment="1">
      <alignment horizontal="center" vertical="center"/>
    </xf>
    <xf numFmtId="0" fontId="26" fillId="8" borderId="3" xfId="0" applyFont="1" applyFill="1" applyBorder="1" applyAlignment="1">
      <alignment horizontal="center" vertical="center"/>
    </xf>
    <xf numFmtId="0" fontId="26" fillId="8" borderId="14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/>
    </xf>
    <xf numFmtId="0" fontId="13" fillId="5" borderId="6" xfId="0" applyFont="1" applyFill="1" applyBorder="1" applyAlignment="1">
      <alignment vertical="center" wrapText="1"/>
    </xf>
    <xf numFmtId="0" fontId="5" fillId="0" borderId="0" xfId="3" applyFont="1" applyBorder="1"/>
    <xf numFmtId="0" fontId="25" fillId="13" borderId="12" xfId="0" applyFont="1" applyFill="1" applyBorder="1"/>
    <xf numFmtId="0" fontId="20" fillId="2" borderId="12" xfId="0" applyFont="1" applyFill="1" applyBorder="1"/>
    <xf numFmtId="0" fontId="7" fillId="2" borderId="32" xfId="0" applyFont="1" applyFill="1" applyBorder="1" applyAlignment="1">
      <alignment horizontal="left" vertical="center" wrapText="1"/>
    </xf>
    <xf numFmtId="9" fontId="6" fillId="0" borderId="6" xfId="1" applyFont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29" fillId="6" borderId="0" xfId="0" applyFont="1" applyFill="1" applyBorder="1" applyAlignment="1">
      <alignment horizontal="center"/>
    </xf>
    <xf numFmtId="9" fontId="4" fillId="2" borderId="1" xfId="1" applyFont="1" applyFill="1" applyBorder="1" applyAlignment="1">
      <alignment horizontal="center" vertical="center" wrapText="1"/>
    </xf>
    <xf numFmtId="9" fontId="4" fillId="2" borderId="23" xfId="1" applyFont="1" applyFill="1" applyBorder="1" applyAlignment="1">
      <alignment horizontal="center" vertical="center" wrapText="1"/>
    </xf>
    <xf numFmtId="9" fontId="3" fillId="0" borderId="6" xfId="1" applyFont="1" applyBorder="1" applyAlignment="1">
      <alignment horizontal="center" vertical="center"/>
    </xf>
    <xf numFmtId="9" fontId="4" fillId="0" borderId="18" xfId="0" applyNumberFormat="1" applyFont="1" applyBorder="1" applyAlignment="1">
      <alignment horizontal="center" vertical="center"/>
    </xf>
    <xf numFmtId="9" fontId="4" fillId="0" borderId="15" xfId="0" applyNumberFormat="1" applyFont="1" applyBorder="1" applyAlignment="1">
      <alignment horizontal="center" vertical="center"/>
    </xf>
    <xf numFmtId="9" fontId="4" fillId="0" borderId="30" xfId="0" applyNumberFormat="1" applyFont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 wrapText="1"/>
    </xf>
    <xf numFmtId="9" fontId="4" fillId="0" borderId="16" xfId="0" applyNumberFormat="1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9" fontId="4" fillId="0" borderId="27" xfId="0" applyNumberFormat="1" applyFont="1" applyBorder="1" applyAlignment="1">
      <alignment horizontal="center" vertical="center"/>
    </xf>
    <xf numFmtId="9" fontId="4" fillId="0" borderId="28" xfId="0" applyNumberFormat="1" applyFont="1" applyBorder="1" applyAlignment="1">
      <alignment horizontal="center" vertical="center"/>
    </xf>
    <xf numFmtId="9" fontId="4" fillId="0" borderId="29" xfId="0" applyNumberFormat="1" applyFont="1" applyBorder="1" applyAlignment="1">
      <alignment horizontal="center" vertical="center"/>
    </xf>
    <xf numFmtId="9" fontId="4" fillId="0" borderId="21" xfId="0" applyNumberFormat="1" applyFont="1" applyBorder="1" applyAlignment="1">
      <alignment horizontal="center" vertical="center"/>
    </xf>
    <xf numFmtId="0" fontId="3" fillId="0" borderId="0" xfId="0" applyFont="1" applyBorder="1" applyAlignment="1">
      <alignment horizontal="center"/>
    </xf>
    <xf numFmtId="9" fontId="31" fillId="0" borderId="0" xfId="0" applyNumberFormat="1" applyFont="1" applyBorder="1" applyAlignment="1">
      <alignment horizontal="center"/>
    </xf>
    <xf numFmtId="9" fontId="3" fillId="0" borderId="0" xfId="0" applyNumberFormat="1" applyFont="1" applyBorder="1" applyAlignment="1">
      <alignment horizontal="center"/>
    </xf>
    <xf numFmtId="9" fontId="4" fillId="0" borderId="40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3" fontId="17" fillId="0" borderId="27" xfId="0" applyNumberFormat="1" applyFont="1" applyBorder="1" applyAlignment="1">
      <alignment horizontal="center" vertical="center"/>
    </xf>
    <xf numFmtId="3" fontId="17" fillId="0" borderId="28" xfId="0" applyNumberFormat="1" applyFont="1" applyBorder="1" applyAlignment="1">
      <alignment horizontal="center" vertical="center"/>
    </xf>
    <xf numFmtId="3" fontId="17" fillId="0" borderId="41" xfId="0" applyNumberFormat="1" applyFont="1" applyBorder="1" applyAlignment="1">
      <alignment horizontal="center" vertical="center"/>
    </xf>
    <xf numFmtId="3" fontId="17" fillId="0" borderId="29" xfId="0" applyNumberFormat="1" applyFont="1" applyBorder="1" applyAlignment="1">
      <alignment horizontal="center" vertical="center"/>
    </xf>
    <xf numFmtId="0" fontId="26" fillId="8" borderId="33" xfId="0" applyFont="1" applyFill="1" applyBorder="1" applyAlignment="1">
      <alignment horizontal="center" vertical="center"/>
    </xf>
    <xf numFmtId="0" fontId="26" fillId="8" borderId="42" xfId="0" applyFont="1" applyFill="1" applyBorder="1" applyAlignment="1">
      <alignment horizontal="center" vertical="center"/>
    </xf>
    <xf numFmtId="0" fontId="26" fillId="8" borderId="43" xfId="0" applyFont="1" applyFill="1" applyBorder="1" applyAlignment="1">
      <alignment horizontal="center" vertical="center"/>
    </xf>
    <xf numFmtId="9" fontId="4" fillId="0" borderId="20" xfId="0" applyNumberFormat="1" applyFont="1" applyBorder="1" applyAlignment="1">
      <alignment horizontal="center" vertical="center"/>
    </xf>
    <xf numFmtId="9" fontId="4" fillId="0" borderId="31" xfId="0" applyNumberFormat="1" applyFont="1" applyBorder="1" applyAlignment="1">
      <alignment horizontal="center" vertical="center"/>
    </xf>
    <xf numFmtId="9" fontId="4" fillId="0" borderId="19" xfId="0" applyNumberFormat="1" applyFont="1" applyBorder="1" applyAlignment="1">
      <alignment horizontal="center" vertical="center"/>
    </xf>
    <xf numFmtId="0" fontId="15" fillId="2" borderId="23" xfId="0" applyFont="1" applyFill="1" applyBorder="1" applyAlignment="1">
      <alignment horizontal="left" vertical="center" wrapText="1"/>
    </xf>
    <xf numFmtId="0" fontId="15" fillId="2" borderId="24" xfId="0" applyFont="1" applyFill="1" applyBorder="1" applyAlignment="1">
      <alignment horizontal="left" vertical="center" wrapText="1"/>
    </xf>
    <xf numFmtId="0" fontId="15" fillId="2" borderId="25" xfId="0" applyFont="1" applyFill="1" applyBorder="1" applyAlignment="1">
      <alignment horizontal="left" vertical="center" wrapText="1"/>
    </xf>
    <xf numFmtId="9" fontId="4" fillId="0" borderId="22" xfId="0" applyNumberFormat="1" applyFont="1" applyBorder="1" applyAlignment="1">
      <alignment horizontal="center" vertical="center"/>
    </xf>
    <xf numFmtId="0" fontId="5" fillId="0" borderId="10" xfId="3" applyFont="1" applyBorder="1"/>
    <xf numFmtId="0" fontId="5" fillId="0" borderId="34" xfId="3" applyFont="1" applyBorder="1"/>
    <xf numFmtId="0" fontId="22" fillId="0" borderId="0" xfId="0" applyFont="1" applyBorder="1" applyAlignment="1">
      <alignment horizontal="center" vertical="center"/>
    </xf>
    <xf numFmtId="0" fontId="28" fillId="0" borderId="0" xfId="0" applyFont="1" applyBorder="1" applyAlignment="1">
      <alignment vertical="center"/>
    </xf>
    <xf numFmtId="0" fontId="23" fillId="0" borderId="0" xfId="0" applyFont="1" applyBorder="1" applyAlignment="1">
      <alignment horizontal="center"/>
    </xf>
    <xf numFmtId="0" fontId="21" fillId="0" borderId="0" xfId="0" applyFont="1" applyBorder="1" applyAlignment="1">
      <alignment horizontal="center"/>
    </xf>
    <xf numFmtId="9" fontId="21" fillId="0" borderId="6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9" fontId="6" fillId="0" borderId="5" xfId="1" applyFont="1" applyBorder="1" applyAlignment="1">
      <alignment horizontal="center"/>
    </xf>
    <xf numFmtId="9" fontId="0" fillId="0" borderId="0" xfId="1" applyFont="1" applyBorder="1"/>
    <xf numFmtId="9" fontId="6" fillId="0" borderId="7" xfId="1" applyFont="1" applyBorder="1" applyAlignment="1">
      <alignment horizontal="center"/>
    </xf>
    <xf numFmtId="9" fontId="6" fillId="0" borderId="8" xfId="1" applyFont="1" applyBorder="1" applyAlignment="1">
      <alignment horizontal="center"/>
    </xf>
    <xf numFmtId="9" fontId="6" fillId="0" borderId="9" xfId="1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32" fillId="15" borderId="13" xfId="0" applyFont="1" applyFill="1" applyBorder="1" applyAlignment="1">
      <alignment horizontal="center" vertical="center"/>
    </xf>
    <xf numFmtId="0" fontId="6" fillId="0" borderId="5" xfId="0" applyFont="1" applyBorder="1"/>
    <xf numFmtId="9" fontId="6" fillId="0" borderId="0" xfId="1" applyFont="1" applyBorder="1" applyAlignment="1">
      <alignment horizontal="center"/>
    </xf>
    <xf numFmtId="0" fontId="3" fillId="0" borderId="0" xfId="0" applyFont="1" applyBorder="1" applyAlignment="1">
      <alignment vertical="center"/>
    </xf>
    <xf numFmtId="2" fontId="0" fillId="0" borderId="0" xfId="0" applyNumberFormat="1" applyBorder="1" applyAlignment="1">
      <alignment horizontal="center"/>
    </xf>
    <xf numFmtId="9" fontId="21" fillId="0" borderId="6" xfId="1" applyFont="1" applyBorder="1" applyAlignment="1">
      <alignment horizontal="center"/>
    </xf>
    <xf numFmtId="9" fontId="0" fillId="0" borderId="0" xfId="1" applyFont="1" applyBorder="1" applyAlignment="1">
      <alignment horizontal="center"/>
    </xf>
    <xf numFmtId="9" fontId="3" fillId="0" borderId="0" xfId="1" applyFont="1" applyBorder="1" applyAlignment="1">
      <alignment horizontal="center"/>
    </xf>
    <xf numFmtId="165" fontId="16" fillId="0" borderId="27" xfId="0" applyNumberFormat="1" applyFont="1" applyBorder="1" applyAlignment="1">
      <alignment horizontal="center"/>
    </xf>
    <xf numFmtId="165" fontId="8" fillId="0" borderId="16" xfId="0" applyNumberFormat="1" applyFont="1" applyBorder="1" applyAlignment="1">
      <alignment horizontal="center" vertical="center"/>
    </xf>
    <xf numFmtId="165" fontId="8" fillId="0" borderId="15" xfId="0" applyNumberFormat="1" applyFont="1" applyBorder="1" applyAlignment="1">
      <alignment horizontal="center" vertical="center"/>
    </xf>
    <xf numFmtId="165" fontId="16" fillId="0" borderId="39" xfId="0" applyNumberFormat="1" applyFont="1" applyBorder="1" applyAlignment="1">
      <alignment horizontal="center"/>
    </xf>
    <xf numFmtId="165" fontId="8" fillId="0" borderId="30" xfId="0" applyNumberFormat="1" applyFont="1" applyBorder="1" applyAlignment="1">
      <alignment horizontal="center" vertical="center"/>
    </xf>
    <xf numFmtId="165" fontId="0" fillId="0" borderId="3" xfId="0" applyNumberFormat="1" applyBorder="1"/>
    <xf numFmtId="165" fontId="0" fillId="0" borderId="14" xfId="0" applyNumberFormat="1" applyBorder="1"/>
    <xf numFmtId="165" fontId="0" fillId="0" borderId="4" xfId="0" applyNumberFormat="1" applyBorder="1"/>
    <xf numFmtId="165" fontId="0" fillId="0" borderId="26" xfId="0" applyNumberFormat="1" applyBorder="1"/>
    <xf numFmtId="165" fontId="16" fillId="0" borderId="35" xfId="0" applyNumberFormat="1" applyFont="1" applyBorder="1" applyAlignment="1">
      <alignment horizontal="center"/>
    </xf>
    <xf numFmtId="165" fontId="16" fillId="0" borderId="36" xfId="0" applyNumberFormat="1" applyFont="1" applyBorder="1" applyAlignment="1">
      <alignment horizontal="center"/>
    </xf>
    <xf numFmtId="165" fontId="16" fillId="0" borderId="37" xfId="0" applyNumberFormat="1" applyFont="1" applyBorder="1" applyAlignment="1">
      <alignment horizontal="center"/>
    </xf>
    <xf numFmtId="165" fontId="16" fillId="0" borderId="38" xfId="0" applyNumberFormat="1" applyFont="1" applyBorder="1" applyAlignment="1">
      <alignment horizontal="center"/>
    </xf>
    <xf numFmtId="165" fontId="16" fillId="0" borderId="12" xfId="0" applyNumberFormat="1" applyFont="1" applyBorder="1" applyAlignment="1">
      <alignment horizontal="center"/>
    </xf>
    <xf numFmtId="165" fontId="0" fillId="0" borderId="0" xfId="0" applyNumberFormat="1" applyBorder="1"/>
    <xf numFmtId="165" fontId="19" fillId="0" borderId="0" xfId="0" applyNumberFormat="1" applyFont="1" applyBorder="1" applyAlignment="1">
      <alignment horizontal="center"/>
    </xf>
    <xf numFmtId="166" fontId="0" fillId="0" borderId="0" xfId="0" applyNumberFormat="1" applyBorder="1" applyAlignment="1">
      <alignment horizontal="center"/>
    </xf>
    <xf numFmtId="166" fontId="0" fillId="0" borderId="0" xfId="0" applyNumberFormat="1" applyBorder="1"/>
    <xf numFmtId="165" fontId="0" fillId="0" borderId="0" xfId="0" applyNumberFormat="1" applyBorder="1" applyAlignment="1">
      <alignment horizontal="center"/>
    </xf>
    <xf numFmtId="0" fontId="14" fillId="6" borderId="45" xfId="0" applyFont="1" applyFill="1" applyBorder="1" applyAlignment="1">
      <alignment horizontal="center" vertical="center" wrapText="1"/>
    </xf>
    <xf numFmtId="0" fontId="0" fillId="0" borderId="50" xfId="0" applyBorder="1"/>
    <xf numFmtId="0" fontId="0" fillId="0" borderId="55" xfId="0" applyBorder="1"/>
    <xf numFmtId="0" fontId="30" fillId="9" borderId="46" xfId="0" applyFont="1" applyFill="1" applyBorder="1" applyAlignment="1">
      <alignment horizontal="center" vertical="center" wrapText="1"/>
    </xf>
    <xf numFmtId="0" fontId="0" fillId="0" borderId="47" xfId="0" applyBorder="1"/>
    <xf numFmtId="0" fontId="0" fillId="0" borderId="48" xfId="0" applyBorder="1"/>
    <xf numFmtId="0" fontId="0" fillId="0" borderId="56" xfId="0" applyBorder="1"/>
    <xf numFmtId="0" fontId="0" fillId="0" borderId="44" xfId="0"/>
    <xf numFmtId="0" fontId="0" fillId="0" borderId="51" xfId="0" applyBorder="1"/>
    <xf numFmtId="0" fontId="24" fillId="6" borderId="44" xfId="0" applyFont="1" applyFill="1" applyAlignment="1">
      <alignment horizontal="center"/>
    </xf>
    <xf numFmtId="0" fontId="2" fillId="0" borderId="44" xfId="0" applyFont="1" applyAlignment="1">
      <alignment horizontal="center"/>
    </xf>
    <xf numFmtId="0" fontId="13" fillId="5" borderId="46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0" fillId="0" borderId="57" xfId="0" applyBorder="1"/>
    <xf numFmtId="0" fontId="12" fillId="7" borderId="46" xfId="0" applyFont="1" applyFill="1" applyBorder="1" applyAlignment="1">
      <alignment horizontal="center" vertical="center"/>
    </xf>
    <xf numFmtId="0" fontId="5" fillId="0" borderId="45" xfId="3" applyFont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13" fillId="2" borderId="45" xfId="0" applyFont="1" applyFill="1" applyBorder="1" applyAlignment="1">
      <alignment horizontal="center"/>
    </xf>
    <xf numFmtId="0" fontId="21" fillId="0" borderId="44" xfId="0" applyFont="1" applyAlignment="1">
      <alignment horizontal="center"/>
    </xf>
    <xf numFmtId="0" fontId="23" fillId="0" borderId="44" xfId="0" applyFont="1" applyAlignment="1">
      <alignment horizontal="center"/>
    </xf>
  </cellXfs>
  <cellStyles count="19">
    <cellStyle name="Millares [0]" xfId="18" xr:uid="{00000000-0005-0000-0000-000012000000}"/>
    <cellStyle name="Normal" xfId="0" builtinId="0"/>
    <cellStyle name="Normal 2" xfId="3" xr:uid="{00000000-0005-0000-0000-000003000000}"/>
    <cellStyle name="Normal 2 2" xfId="6" xr:uid="{00000000-0005-0000-0000-000006000000}"/>
    <cellStyle name="Normal 2_FASE 4" xfId="7" xr:uid="{00000000-0005-0000-0000-000007000000}"/>
    <cellStyle name="Normal 3" xfId="5" xr:uid="{00000000-0005-0000-0000-000005000000}"/>
    <cellStyle name="Normal 3 2" xfId="8" xr:uid="{00000000-0005-0000-0000-000008000000}"/>
    <cellStyle name="Normal 4" xfId="2" xr:uid="{00000000-0005-0000-0000-000002000000}"/>
    <cellStyle name="Normal 4 2" xfId="9" xr:uid="{00000000-0005-0000-0000-000009000000}"/>
    <cellStyle name="Normal 5" xfId="10" xr:uid="{00000000-0005-0000-0000-00000A000000}"/>
    <cellStyle name="Normal 5 2" xfId="11" xr:uid="{00000000-0005-0000-0000-00000B000000}"/>
    <cellStyle name="Normal 6" xfId="12" xr:uid="{00000000-0005-0000-0000-00000C000000}"/>
    <cellStyle name="Normal 6 2" xfId="13" xr:uid="{00000000-0005-0000-0000-00000D000000}"/>
    <cellStyle name="Normal 7" xfId="14" xr:uid="{00000000-0005-0000-0000-00000E000000}"/>
    <cellStyle name="Normal 8" xfId="17" xr:uid="{00000000-0005-0000-0000-000011000000}"/>
    <cellStyle name="Porcentaje" xfId="1" xr:uid="{00000000-0005-0000-0000-000001000000}"/>
    <cellStyle name="Porcentaje 2" xfId="4" xr:uid="{00000000-0005-0000-0000-000004000000}"/>
    <cellStyle name="Porcentaje 3" xfId="15" xr:uid="{00000000-0005-0000-0000-00000F000000}"/>
    <cellStyle name="Porcentaje 4" xfId="16" xr:uid="{00000000-0005-0000-0000-000010000000}"/>
  </cellStyles>
  <dxfs count="10">
    <dxf>
      <fill>
        <patternFill>
          <bgColor rgb="FFFFFF00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rgb="FF00FF00"/>
        </patternFill>
      </fill>
    </dxf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auto="1"/>
        </patternFill>
      </fill>
    </dxf>
    <dxf>
      <fill>
        <patternFill>
          <bgColor rgb="FF83C93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</sheetPr>
  <dimension ref="A1:AB109"/>
  <sheetViews>
    <sheetView tabSelected="1" topLeftCell="A13" workbookViewId="0">
      <selection activeCell="C5" sqref="C5"/>
    </sheetView>
  </sheetViews>
  <sheetFormatPr baseColWidth="10" defaultColWidth="9.140625" defaultRowHeight="28.5" x14ac:dyDescent="0.45"/>
  <cols>
    <col min="1" max="1" width="2.140625" style="4" customWidth="1"/>
    <col min="2" max="2" width="11.85546875" style="6" customWidth="1"/>
    <col min="3" max="3" width="75.28515625" style="10" customWidth="1"/>
    <col min="4" max="15" width="8.7109375" style="1" customWidth="1"/>
    <col min="16" max="16" width="13.28515625" style="1" customWidth="1"/>
    <col min="17" max="22" width="15.5703125" style="72" customWidth="1"/>
    <col min="23" max="23" width="17" style="1" customWidth="1"/>
    <col min="24" max="24" width="25.5703125" style="1" customWidth="1"/>
    <col min="25" max="28" width="9.140625" style="1" customWidth="1"/>
  </cols>
  <sheetData>
    <row r="1" spans="2:28" s="4" customFormat="1" x14ac:dyDescent="0.45">
      <c r="B1" s="6"/>
      <c r="C1" s="7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6"/>
      <c r="R1" s="56"/>
      <c r="S1" s="56"/>
      <c r="T1" s="56"/>
      <c r="U1" s="56"/>
      <c r="V1" s="56"/>
      <c r="W1" s="5"/>
      <c r="X1" s="5"/>
      <c r="Y1" s="5"/>
      <c r="Z1" s="5"/>
      <c r="AA1" s="5"/>
      <c r="AB1" s="5"/>
    </row>
    <row r="2" spans="2:28" s="4" customFormat="1" ht="31.5" customHeight="1" x14ac:dyDescent="0.5">
      <c r="B2" s="6"/>
      <c r="C2" s="7"/>
      <c r="D2" s="5"/>
      <c r="E2" s="5"/>
      <c r="F2" s="5"/>
      <c r="G2" s="8" t="s">
        <v>147</v>
      </c>
      <c r="H2" s="8"/>
      <c r="I2" s="8"/>
      <c r="J2" s="8"/>
      <c r="K2" s="8"/>
      <c r="L2" s="8"/>
      <c r="M2" s="8"/>
      <c r="N2" s="8"/>
      <c r="O2" s="8"/>
      <c r="P2" s="5"/>
      <c r="Q2" s="56"/>
      <c r="R2" s="56"/>
      <c r="S2" s="56"/>
      <c r="T2" s="56"/>
      <c r="U2" s="56"/>
      <c r="V2" s="56"/>
      <c r="W2" s="5"/>
      <c r="X2" s="5"/>
      <c r="Y2" s="5"/>
      <c r="Z2" s="5"/>
      <c r="AA2" s="5"/>
      <c r="AB2" s="5"/>
    </row>
    <row r="3" spans="2:28" s="4" customFormat="1" ht="31.5" customHeight="1" x14ac:dyDescent="0.5">
      <c r="B3" s="6"/>
      <c r="C3" s="7"/>
      <c r="D3" s="142"/>
      <c r="E3" s="140"/>
      <c r="F3" s="142"/>
      <c r="G3" s="140"/>
      <c r="H3" s="140"/>
      <c r="I3" s="142"/>
      <c r="J3" s="140"/>
      <c r="K3" s="140"/>
      <c r="L3" s="24"/>
      <c r="M3" s="24"/>
      <c r="N3" s="24"/>
      <c r="O3" s="24"/>
      <c r="P3" s="8"/>
      <c r="Q3" s="57"/>
      <c r="R3" s="57"/>
      <c r="S3" s="57"/>
      <c r="T3" s="57"/>
      <c r="U3" s="56"/>
      <c r="V3" s="56"/>
      <c r="X3" s="5"/>
      <c r="Y3" s="5"/>
      <c r="Z3" s="5"/>
      <c r="AA3" s="5"/>
      <c r="AB3" s="5"/>
    </row>
    <row r="4" spans="2:28" s="4" customFormat="1" hidden="1" x14ac:dyDescent="0.45">
      <c r="B4" s="6"/>
      <c r="C4" s="7"/>
      <c r="D4" s="21" t="s">
        <v>0</v>
      </c>
      <c r="E4" s="21" t="s">
        <v>0</v>
      </c>
      <c r="F4" s="21" t="s">
        <v>1</v>
      </c>
      <c r="G4" s="21" t="s">
        <v>1</v>
      </c>
      <c r="H4" s="21" t="s">
        <v>2</v>
      </c>
      <c r="I4" s="21" t="s">
        <v>3</v>
      </c>
      <c r="J4" s="21" t="s">
        <v>3</v>
      </c>
      <c r="K4" s="21" t="s">
        <v>3</v>
      </c>
      <c r="L4" s="21" t="s">
        <v>4</v>
      </c>
      <c r="M4" s="21"/>
      <c r="N4" s="21"/>
      <c r="O4" s="21"/>
      <c r="P4" s="5"/>
      <c r="Q4" s="56"/>
      <c r="R4" s="56"/>
      <c r="S4" s="56"/>
      <c r="T4" s="56"/>
      <c r="U4" s="56"/>
      <c r="V4" s="56"/>
      <c r="W4" s="5"/>
      <c r="X4" s="5"/>
      <c r="Y4" s="5"/>
      <c r="Z4" s="5"/>
      <c r="AA4" s="5"/>
      <c r="AB4" s="5"/>
    </row>
    <row r="5" spans="2:28" s="4" customFormat="1" ht="29.25" customHeight="1" x14ac:dyDescent="0.45">
      <c r="B5" s="6"/>
      <c r="C5" s="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5"/>
      <c r="Q5" s="56"/>
      <c r="R5" s="56"/>
      <c r="S5" s="56"/>
      <c r="T5" s="56"/>
      <c r="U5" s="56"/>
      <c r="V5" s="56"/>
      <c r="W5" s="5"/>
      <c r="X5" s="5"/>
      <c r="Y5" s="5"/>
      <c r="Z5" s="5"/>
      <c r="AA5" s="5"/>
      <c r="AB5" s="5"/>
    </row>
    <row r="6" spans="2:28" ht="29.25" customHeight="1" x14ac:dyDescent="0.45">
      <c r="C6" s="147" t="s">
        <v>5</v>
      </c>
      <c r="D6" s="43" t="s">
        <v>6</v>
      </c>
      <c r="E6" s="43" t="s">
        <v>6</v>
      </c>
      <c r="F6" s="43" t="s">
        <v>6</v>
      </c>
      <c r="G6" s="43" t="s">
        <v>6</v>
      </c>
      <c r="H6" s="43" t="s">
        <v>6</v>
      </c>
      <c r="I6" s="43" t="s">
        <v>6</v>
      </c>
      <c r="J6" s="43" t="s">
        <v>6</v>
      </c>
      <c r="K6" s="43" t="s">
        <v>6</v>
      </c>
      <c r="L6" s="43" t="s">
        <v>6</v>
      </c>
      <c r="M6" s="43" t="s">
        <v>6</v>
      </c>
      <c r="N6" s="43" t="s">
        <v>6</v>
      </c>
      <c r="O6" s="43" t="s">
        <v>6</v>
      </c>
      <c r="P6" s="144" t="s">
        <v>7</v>
      </c>
      <c r="Q6" s="136" t="s">
        <v>8</v>
      </c>
      <c r="R6" s="137"/>
      <c r="S6" s="137"/>
      <c r="T6" s="137"/>
      <c r="U6" s="137"/>
      <c r="V6" s="138"/>
      <c r="W6" s="144" t="s">
        <v>9</v>
      </c>
      <c r="X6" s="152" t="s">
        <v>10</v>
      </c>
    </row>
    <row r="7" spans="2:28" ht="75" customHeight="1" x14ac:dyDescent="0.45">
      <c r="C7" s="134"/>
      <c r="D7" s="82">
        <v>1</v>
      </c>
      <c r="E7" s="83">
        <v>2</v>
      </c>
      <c r="F7" s="83">
        <v>3</v>
      </c>
      <c r="G7" s="83">
        <v>4</v>
      </c>
      <c r="H7" s="83">
        <v>5</v>
      </c>
      <c r="I7" s="83">
        <v>6</v>
      </c>
      <c r="J7" s="83">
        <v>7</v>
      </c>
      <c r="K7" s="83">
        <v>8</v>
      </c>
      <c r="L7" s="83">
        <v>9</v>
      </c>
      <c r="M7" s="83">
        <v>10</v>
      </c>
      <c r="N7" s="83">
        <v>11</v>
      </c>
      <c r="O7" s="84">
        <v>12</v>
      </c>
      <c r="P7" s="134"/>
      <c r="Q7" s="139"/>
      <c r="R7" s="140"/>
      <c r="S7" s="140"/>
      <c r="T7" s="140"/>
      <c r="U7" s="140"/>
      <c r="V7" s="141"/>
      <c r="W7" s="134"/>
      <c r="X7" s="135"/>
    </row>
    <row r="8" spans="2:28" ht="23.25" customHeight="1" x14ac:dyDescent="0.45">
      <c r="C8" s="45"/>
      <c r="D8" s="46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50"/>
      <c r="Q8" s="58" t="s">
        <v>11</v>
      </c>
      <c r="R8" s="59" t="s">
        <v>12</v>
      </c>
      <c r="S8" s="59" t="s">
        <v>13</v>
      </c>
      <c r="T8" s="59" t="s">
        <v>14</v>
      </c>
      <c r="U8" s="59" t="s">
        <v>15</v>
      </c>
      <c r="V8" s="59"/>
      <c r="W8" s="76"/>
      <c r="X8" s="49"/>
    </row>
    <row r="9" spans="2:28" ht="24.75" customHeight="1" x14ac:dyDescent="0.45">
      <c r="C9" s="19">
        <f>0%/100</f>
        <v>0</v>
      </c>
      <c r="D9" s="29">
        <f>11.11111111%*D7</f>
        <v>0.11111111109999999</v>
      </c>
      <c r="E9" s="29">
        <f t="shared" ref="E9:L9" si="0">11.11111111%*E7</f>
        <v>0.22222222219999999</v>
      </c>
      <c r="F9" s="29">
        <f t="shared" si="0"/>
        <v>0.33333333329999998</v>
      </c>
      <c r="G9" s="29">
        <f t="shared" si="0"/>
        <v>0.44444444439999997</v>
      </c>
      <c r="H9" s="29">
        <f t="shared" si="0"/>
        <v>0.55555555550000002</v>
      </c>
      <c r="I9" s="29">
        <f t="shared" si="0"/>
        <v>0.66666666659999996</v>
      </c>
      <c r="J9" s="29">
        <f t="shared" si="0"/>
        <v>0.77777777769999989</v>
      </c>
      <c r="K9" s="29">
        <f t="shared" si="0"/>
        <v>0.88888888879999994</v>
      </c>
      <c r="L9" s="29">
        <f t="shared" si="0"/>
        <v>0.99999999989999999</v>
      </c>
      <c r="M9" s="29">
        <f t="shared" ref="D9:O9" si="1">8.33333333333333%*M7</f>
        <v>0.83333333333333304</v>
      </c>
      <c r="N9" s="29">
        <f t="shared" si="1"/>
        <v>0.9166666666666663</v>
      </c>
      <c r="O9" s="29">
        <f t="shared" si="1"/>
        <v>0.99999999999999956</v>
      </c>
      <c r="P9" s="26"/>
      <c r="Q9" s="60">
        <f>+H9</f>
        <v>0.55555555550000002</v>
      </c>
      <c r="R9" s="60">
        <f>+J9</f>
        <v>0.77777777769999989</v>
      </c>
      <c r="S9" s="60">
        <f>+L9</f>
        <v>0.99999999989999999</v>
      </c>
      <c r="T9" s="60">
        <f>+N9</f>
        <v>0.9166666666666663</v>
      </c>
      <c r="U9" s="60">
        <f>+O9</f>
        <v>0.99999999999999956</v>
      </c>
      <c r="V9" s="60"/>
      <c r="W9" s="77"/>
      <c r="X9" s="30"/>
    </row>
    <row r="10" spans="2:28" ht="21.75" customHeight="1" x14ac:dyDescent="0.35">
      <c r="B10" s="134"/>
      <c r="C10" s="37" t="s">
        <v>16</v>
      </c>
      <c r="D10" s="114">
        <f>IFERROR(AVERAGEIF(FASE1!$B$2:$B$369,D$7,FASE1!$E$2:$E$369)/100,0)</f>
        <v>1</v>
      </c>
      <c r="E10" s="114">
        <f>IFERROR(AVERAGEIF(FASE1!$B$2:$B$369,E$7,FASE1!$E$2:$E$369)/100,0)</f>
        <v>1</v>
      </c>
      <c r="F10" s="114">
        <f>IFERROR(AVERAGEIF(FASE1!$B$2:$B$369,F$7,FASE1!$E$2:$E$369)/100,0)</f>
        <v>0.79545454545454541</v>
      </c>
      <c r="G10" s="114">
        <f>IFERROR(AVERAGEIF(FASE1!$B$2:$B$369,G$7,FASE1!$E$2:$E$369)/100,0)</f>
        <v>0.47727272727272729</v>
      </c>
      <c r="H10" s="114">
        <f>IFERROR(AVERAGEIF(FASE1!$B$2:$B$369,H$7,FASE1!$E$2:$E$369)/100,0)</f>
        <v>0</v>
      </c>
      <c r="I10" s="114">
        <f>IFERROR(AVERAGEIF(FASE1!$B$2:$B$369,I$7,FASE1!$E$2:$E$369)/100,0)</f>
        <v>0</v>
      </c>
      <c r="J10" s="114">
        <f>IFERROR(AVERAGEIF(FASE1!$B$2:$B$369,J$7,FASE1!$E$2:$E$369)/100,0)</f>
        <v>0</v>
      </c>
      <c r="K10" s="114">
        <f>IFERROR(AVERAGEIF(FASE1!$B$2:$B$369,K$7,FASE1!$E$2:$E$369)/100,0)</f>
        <v>0</v>
      </c>
      <c r="L10" s="114">
        <f>IFERROR(AVERAGEIF(FASE1!$B$2:$B$369,L$7,FASE1!$E$2:$E$369)/100,0)</f>
        <v>0</v>
      </c>
      <c r="M10" s="114">
        <f>IFERROR(AVERAGEIF(FASE1!$B$2:$B$369,M$7,FASE1!$E$2:$E$369)/100,0)</f>
        <v>0</v>
      </c>
      <c r="N10" s="114">
        <f>IFERROR(AVERAGEIF(FASE1!$B$2:$B$369,N$7,FASE1!$E$2:$E$369)/100,0)</f>
        <v>0</v>
      </c>
      <c r="O10" s="114">
        <f>IFERROR(AVERAGEIF(FASE1!$B$2:$B$369,O$7,FASE1!$E$2:$E$369)/100,0)</f>
        <v>0</v>
      </c>
      <c r="P10" s="116">
        <f>+AVERAGE(D10:L10)</f>
        <v>0.36363636363636359</v>
      </c>
      <c r="Q10" s="61">
        <f t="shared" ref="Q10:Q29" si="2">P10</f>
        <v>0.36363636363636359</v>
      </c>
      <c r="R10" s="62"/>
      <c r="S10" s="62"/>
      <c r="T10" s="62"/>
      <c r="U10" s="62"/>
      <c r="V10" s="85"/>
      <c r="W10" s="79"/>
      <c r="X10" s="32"/>
    </row>
    <row r="11" spans="2:28" ht="21.75" customHeight="1" x14ac:dyDescent="0.35">
      <c r="B11" s="134"/>
      <c r="C11" s="37" t="s">
        <v>17</v>
      </c>
      <c r="D11" s="114">
        <f>IFERROR(AVERAGEIF(FASE1!$B$2:$B$369,D$7,FASE1!$F$2:$F$369)/100,0)</f>
        <v>1</v>
      </c>
      <c r="E11" s="114">
        <f>IFERROR(AVERAGEIF(FASE1!$B$2:$B$369,E$7,FASE1!$F$2:$F$369)/100,0)</f>
        <v>1</v>
      </c>
      <c r="F11" s="114">
        <f>IFERROR(AVERAGEIF(FASE1!$B$2:$B$369,F$7,FASE1!$F$2:$F$369)/100,0)</f>
        <v>0.7931818181818181</v>
      </c>
      <c r="G11" s="114">
        <f>IFERROR(AVERAGEIF(FASE1!$B$2:$B$369,G$7,FASE1!$F$2:$F$369)/100,0)</f>
        <v>0.34090909090909094</v>
      </c>
      <c r="H11" s="114">
        <f>IFERROR(AVERAGEIF(FASE1!$B$2:$B$369,H$7,FASE1!$F$2:$F$369)/100,0)</f>
        <v>0</v>
      </c>
      <c r="I11" s="114">
        <f>IFERROR(AVERAGEIF(FASE1!$B$2:$B$369,I$7,FASE1!$F$2:$F$369)/100,0)</f>
        <v>0</v>
      </c>
      <c r="J11" s="114">
        <f>IFERROR(AVERAGEIF(FASE1!$B$2:$B$369,J$7,FASE1!$F$2:$F$369)/100,0)</f>
        <v>0</v>
      </c>
      <c r="K11" s="114">
        <f>IFERROR(AVERAGEIF(FASE1!$B$2:$B$369,K$7,FASE1!$F$2:$F$369)/100,0)</f>
        <v>0</v>
      </c>
      <c r="L11" s="114">
        <f>IFERROR(AVERAGEIF(FASE1!$B$2:$B$369,L$7,FASE1!$F$2:$F$369)/100,0)</f>
        <v>0</v>
      </c>
      <c r="M11" s="114">
        <f>IFERROR(AVERAGEIF(FASE1!$B$2:$B$369,M$7,FASE1!$F$2:$F$369)/100,0)</f>
        <v>0</v>
      </c>
      <c r="N11" s="114">
        <f>IFERROR(AVERAGEIF(FASE1!$B$2:$B$369,N$7,FASE1!$F$2:$F$369)/100,0)</f>
        <v>0</v>
      </c>
      <c r="O11" s="114">
        <f>IFERROR(AVERAGEIF(FASE1!$B$2:$B$369,O$7,FASE1!$F$2:$F$369)/100,0)</f>
        <v>0</v>
      </c>
      <c r="P11" s="116">
        <f t="shared" ref="P11:P29" si="3">+AVERAGE(D11:L11)</f>
        <v>0.34823232323232323</v>
      </c>
      <c r="Q11" s="61">
        <f t="shared" si="2"/>
        <v>0.34823232323232323</v>
      </c>
      <c r="R11" s="62"/>
      <c r="S11" s="62"/>
      <c r="T11" s="62"/>
      <c r="U11" s="62"/>
      <c r="V11" s="85"/>
      <c r="W11" s="79"/>
      <c r="X11" s="32"/>
    </row>
    <row r="12" spans="2:28" ht="21.75" customHeight="1" x14ac:dyDescent="0.35">
      <c r="B12" s="134"/>
      <c r="C12" s="37" t="s">
        <v>18</v>
      </c>
      <c r="D12" s="114">
        <f>IFERROR(AVERAGEIF(FASE1!$B$2:$B$369,D$7,FASE1!$G$2:$G$369)/100,0)</f>
        <v>1</v>
      </c>
      <c r="E12" s="114">
        <f>IFERROR(AVERAGEIF(FASE1!$B$2:$B$369,E$7,FASE1!$G$2:$G$369)/100,0)</f>
        <v>0.77906976744186052</v>
      </c>
      <c r="F12" s="114">
        <f>IFERROR(AVERAGEIF(FASE1!$B$2:$B$369,F$7,FASE1!$G$2:$G$369)/100,0)</f>
        <v>0.50340909090909092</v>
      </c>
      <c r="G12" s="114">
        <f>IFERROR(AVERAGEIF(FASE1!$B$2:$B$369,G$7,FASE1!$G$2:$G$369)/100,0)</f>
        <v>1.3636363636363636E-2</v>
      </c>
      <c r="H12" s="114">
        <f>IFERROR(AVERAGEIF(FASE1!$B$2:$B$369,H$7,FASE1!$G$2:$G$369)/100,0)</f>
        <v>0</v>
      </c>
      <c r="I12" s="114">
        <f>IFERROR(AVERAGEIF(FASE1!$B$2:$B$369,I$7,FASE1!$G$2:$G$369)/100,0)</f>
        <v>0</v>
      </c>
      <c r="J12" s="114">
        <f>IFERROR(AVERAGEIF(FASE1!$B$2:$B$369,J$7,FASE1!$G$2:$G$369)/100,0)</f>
        <v>0</v>
      </c>
      <c r="K12" s="114">
        <f>IFERROR(AVERAGEIF(FASE1!$B$2:$B$369,K$7,FASE1!$G$2:$G$369)/100,0)</f>
        <v>0</v>
      </c>
      <c r="L12" s="114">
        <f>IFERROR(AVERAGEIF(FASE1!$B$2:$B$369,L$7,FASE1!$G$2:$G$369)/100,0)</f>
        <v>0</v>
      </c>
      <c r="M12" s="114">
        <f>IFERROR(AVERAGEIF(FASE1!$B$2:$B$369,M$7,FASE1!$G$2:$G$369)/100,0)</f>
        <v>0</v>
      </c>
      <c r="N12" s="114">
        <f>IFERROR(AVERAGEIF(FASE1!$B$2:$B$369,N$7,FASE1!$G$2:$G$369)/100,0)</f>
        <v>0</v>
      </c>
      <c r="O12" s="114">
        <f>IFERROR(AVERAGEIF(FASE1!$B$2:$B$369,O$7,FASE1!$G$2:$G$369)/100,0)</f>
        <v>0</v>
      </c>
      <c r="P12" s="116">
        <f t="shared" si="3"/>
        <v>0.2551239135541461</v>
      </c>
      <c r="Q12" s="61">
        <f t="shared" si="2"/>
        <v>0.2551239135541461</v>
      </c>
      <c r="R12" s="62"/>
      <c r="S12" s="62"/>
      <c r="T12" s="62"/>
      <c r="U12" s="62"/>
      <c r="V12" s="85"/>
      <c r="W12" s="79"/>
      <c r="X12" s="32"/>
    </row>
    <row r="13" spans="2:28" ht="21.75" customHeight="1" x14ac:dyDescent="0.35">
      <c r="B13" s="134"/>
      <c r="C13" s="37" t="s">
        <v>19</v>
      </c>
      <c r="D13" s="114">
        <f>IFERROR(AVERAGEIF(FASE1!$B$2:$B$369,D$7,FASE1!$H$2:$H$369)/100,0)</f>
        <v>0.92727272727272736</v>
      </c>
      <c r="E13" s="114">
        <f>IFERROR(AVERAGEIF(FASE1!$B$2:$B$369,E$7,FASE1!$H$2:$H$369)/100,0)</f>
        <v>0.79069767441860461</v>
      </c>
      <c r="F13" s="114">
        <f>IFERROR(AVERAGEIF(FASE1!$B$2:$B$369,F$7,FASE1!$H$2:$H$369)/100,0)</f>
        <v>0.79545454545454541</v>
      </c>
      <c r="G13" s="114">
        <f>IFERROR(AVERAGEIF(FASE1!$B$2:$B$369,G$7,FASE1!$H$2:$H$369)/100,0)</f>
        <v>0</v>
      </c>
      <c r="H13" s="114">
        <f>IFERROR(AVERAGEIF(FASE1!$B$2:$B$369,H$7,FASE1!$H$2:$H$369)/100,0)</f>
        <v>0</v>
      </c>
      <c r="I13" s="114">
        <f>IFERROR(AVERAGEIF(FASE1!$B$2:$B$369,I$7,FASE1!$H$2:$H$369)/100,0)</f>
        <v>0</v>
      </c>
      <c r="J13" s="114">
        <f>IFERROR(AVERAGEIF(FASE1!$B$2:$B$369,J$7,FASE1!$H$2:$H$369)/100,0)</f>
        <v>0</v>
      </c>
      <c r="K13" s="114">
        <f>IFERROR(AVERAGEIF(FASE1!$B$2:$B$369,K$7,FASE1!$H$2:$H$369)/100,0)</f>
        <v>0</v>
      </c>
      <c r="L13" s="114">
        <f>IFERROR(AVERAGEIF(FASE1!$B$2:$B$369,L$7,FASE1!$H$2:$H$369)/100,0)</f>
        <v>0</v>
      </c>
      <c r="M13" s="114">
        <f>IFERROR(AVERAGEIF(FASE1!$B$2:$B$369,M$7,FASE1!$H$2:$H$369)/100,0)</f>
        <v>0</v>
      </c>
      <c r="N13" s="114">
        <f>IFERROR(AVERAGEIF(FASE1!$B$2:$B$369,N$7,FASE1!$H$2:$H$369)/100,0)</f>
        <v>0</v>
      </c>
      <c r="O13" s="114">
        <f>IFERROR(AVERAGEIF(FASE1!$B$2:$B$369,O$7,FASE1!$H$2:$H$369)/100,0)</f>
        <v>0</v>
      </c>
      <c r="P13" s="116">
        <f t="shared" si="3"/>
        <v>0.27926943857176417</v>
      </c>
      <c r="Q13" s="61">
        <f t="shared" si="2"/>
        <v>0.27926943857176417</v>
      </c>
      <c r="R13" s="62"/>
      <c r="S13" s="62"/>
      <c r="T13" s="62"/>
      <c r="U13" s="62"/>
      <c r="V13" s="85"/>
      <c r="W13" s="79"/>
      <c r="X13" s="32"/>
    </row>
    <row r="14" spans="2:28" ht="21.75" customHeight="1" x14ac:dyDescent="0.35">
      <c r="B14" s="134"/>
      <c r="C14" s="37" t="s">
        <v>20</v>
      </c>
      <c r="D14" s="114">
        <f>IFERROR(AVERAGEIF(FASE1!$B$2:$B$369,D$7,FASE1!$I$2:$I$369)/100,0)</f>
        <v>1</v>
      </c>
      <c r="E14" s="114">
        <f>IFERROR(AVERAGEIF(FASE1!$B$2:$B$369,E$7,FASE1!$I$2:$I$369)/100,0)</f>
        <v>0.78953488372093017</v>
      </c>
      <c r="F14" s="114">
        <f>IFERROR(AVERAGEIF(FASE1!$B$2:$B$369,F$7,FASE1!$I$2:$I$369)/100,0)</f>
        <v>0.79545454545454541</v>
      </c>
      <c r="G14" s="114">
        <f>IFERROR(AVERAGEIF(FASE1!$B$2:$B$369,G$7,FASE1!$I$2:$I$369)/100,0)</f>
        <v>0.47727272727272729</v>
      </c>
      <c r="H14" s="114">
        <f>IFERROR(AVERAGEIF(FASE1!$B$2:$B$369,H$7,FASE1!$I$2:$I$369)/100,0)</f>
        <v>0</v>
      </c>
      <c r="I14" s="114">
        <f>IFERROR(AVERAGEIF(FASE1!$B$2:$B$369,I$7,FASE1!$I$2:$I$369)/100,0)</f>
        <v>0</v>
      </c>
      <c r="J14" s="114">
        <f>IFERROR(AVERAGEIF(FASE1!$B$2:$B$369,J$7,FASE1!$I$2:$I$369)/100,0)</f>
        <v>0</v>
      </c>
      <c r="K14" s="114">
        <f>IFERROR(AVERAGEIF(FASE1!$B$2:$B$369,K$7,FASE1!$I$2:$I$369)/100,0)</f>
        <v>0</v>
      </c>
      <c r="L14" s="114">
        <f>IFERROR(AVERAGEIF(FASE1!$B$2:$B$369,L$7,FASE1!$I$2:$I$369)/100,0)</f>
        <v>0</v>
      </c>
      <c r="M14" s="114">
        <f>IFERROR(AVERAGEIF(FASE1!$B$2:$B$369,M$7,FASE1!$I$2:$I$369)/100,0)</f>
        <v>0</v>
      </c>
      <c r="N14" s="114">
        <f>IFERROR(AVERAGEIF(FASE1!$B$2:$B$369,N$7,FASE1!$I$2:$I$369)/100,0)</f>
        <v>0</v>
      </c>
      <c r="O14" s="114">
        <f>IFERROR(AVERAGEIF(FASE1!$B$2:$B$369,O$7,FASE1!$I$2:$I$369)/100,0)</f>
        <v>0</v>
      </c>
      <c r="P14" s="116">
        <f t="shared" si="3"/>
        <v>0.34025135071646706</v>
      </c>
      <c r="Q14" s="61">
        <f t="shared" si="2"/>
        <v>0.34025135071646706</v>
      </c>
      <c r="R14" s="62"/>
      <c r="S14" s="62"/>
      <c r="T14" s="62"/>
      <c r="U14" s="62"/>
      <c r="V14" s="85"/>
      <c r="W14" s="79"/>
      <c r="X14" s="32"/>
    </row>
    <row r="15" spans="2:28" ht="21.75" customHeight="1" x14ac:dyDescent="0.35">
      <c r="B15" s="134"/>
      <c r="C15" s="37" t="s">
        <v>21</v>
      </c>
      <c r="D15" s="114">
        <f>IFERROR(AVERAGEIF(FASE1!$B$2:$B$369,D$7,FASE1!$J$2:$J$369)/100,0)</f>
        <v>1</v>
      </c>
      <c r="E15" s="114">
        <f>IFERROR(AVERAGEIF(FASE1!$B$2:$B$369,E$7,FASE1!$J$2:$J$369)/100,0)</f>
        <v>0.79069767441860461</v>
      </c>
      <c r="F15" s="114">
        <f>IFERROR(AVERAGEIF(FASE1!$B$2:$B$369,F$7,FASE1!$J$2:$J$369)/100,0)</f>
        <v>0.58636363636363631</v>
      </c>
      <c r="G15" s="114">
        <f>IFERROR(AVERAGEIF(FASE1!$B$2:$B$369,G$7,FASE1!$J$2:$J$369)/100,0)</f>
        <v>1.8181818181818181E-2</v>
      </c>
      <c r="H15" s="114">
        <f>IFERROR(AVERAGEIF(FASE1!$B$2:$B$369,H$7,FASE1!$J$2:$J$369)/100,0)</f>
        <v>0</v>
      </c>
      <c r="I15" s="114">
        <f>IFERROR(AVERAGEIF(FASE1!$B$2:$B$369,I$7,FASE1!$J$2:$J$369)/100,0)</f>
        <v>0</v>
      </c>
      <c r="J15" s="114">
        <f>IFERROR(AVERAGEIF(FASE1!$B$2:$B$369,J$7,FASE1!$J$2:$J$369)/100,0)</f>
        <v>0</v>
      </c>
      <c r="K15" s="114">
        <f>IFERROR(AVERAGEIF(FASE1!$B$2:$B$369,K$7,FASE1!$J$2:$J$369)/100,0)</f>
        <v>0</v>
      </c>
      <c r="L15" s="114">
        <f>IFERROR(AVERAGEIF(FASE1!$B$2:$B$369,L$7,FASE1!$J$2:$J$369)/100,0)</f>
        <v>0</v>
      </c>
      <c r="M15" s="114">
        <f>IFERROR(AVERAGEIF(FASE1!$B$2:$B$369,M$7,FASE1!$J$2:$J$369)/100,0)</f>
        <v>0</v>
      </c>
      <c r="N15" s="114">
        <f>IFERROR(AVERAGEIF(FASE1!$B$2:$B$369,N$7,FASE1!$J$2:$J$369)/100,0)</f>
        <v>0</v>
      </c>
      <c r="O15" s="114">
        <f>IFERROR(AVERAGEIF(FASE1!$B$2:$B$369,O$7,FASE1!$J$2:$J$369)/100,0)</f>
        <v>0</v>
      </c>
      <c r="P15" s="116">
        <f t="shared" si="3"/>
        <v>0.26613812544045101</v>
      </c>
      <c r="Q15" s="61">
        <f t="shared" si="2"/>
        <v>0.26613812544045101</v>
      </c>
      <c r="R15" s="62"/>
      <c r="S15" s="62"/>
      <c r="T15" s="62"/>
      <c r="U15" s="62"/>
      <c r="V15" s="85"/>
      <c r="W15" s="79"/>
      <c r="X15" s="32"/>
    </row>
    <row r="16" spans="2:28" ht="21.75" customHeight="1" x14ac:dyDescent="0.35">
      <c r="B16" s="134"/>
      <c r="C16" s="37" t="s">
        <v>22</v>
      </c>
      <c r="D16" s="114">
        <f>IFERROR(AVERAGEIF(FASE1!$B$2:$B$369,D$7,FASE1!$K$2:$K$369)/100,0)</f>
        <v>1</v>
      </c>
      <c r="E16" s="114">
        <f>IFERROR(AVERAGEIF(FASE1!$B$2:$B$369,E$7,FASE1!$K$2:$K$369)/100,0)</f>
        <v>0.79069767441860461</v>
      </c>
      <c r="F16" s="114">
        <f>IFERROR(AVERAGEIF(FASE1!$B$2:$B$369,F$7,FASE1!$K$2:$K$369)/100,0)</f>
        <v>0.79545454545454541</v>
      </c>
      <c r="G16" s="114">
        <f>IFERROR(AVERAGEIF(FASE1!$B$2:$B$369,G$7,FASE1!$K$2:$K$369)/100,0)</f>
        <v>0</v>
      </c>
      <c r="H16" s="114">
        <f>IFERROR(AVERAGEIF(FASE1!$B$2:$B$369,H$7,FASE1!$K$2:$K$369)/100,0)</f>
        <v>0</v>
      </c>
      <c r="I16" s="114">
        <f>IFERROR(AVERAGEIF(FASE1!$B$2:$B$369,I$7,FASE1!$K$2:$K$369)/100,0)</f>
        <v>0</v>
      </c>
      <c r="J16" s="114">
        <f>IFERROR(AVERAGEIF(FASE1!$B$2:$B$369,J$7,FASE1!$K$2:$K$369)/100,0)</f>
        <v>0</v>
      </c>
      <c r="K16" s="114">
        <f>IFERROR(AVERAGEIF(FASE1!$B$2:$B$369,K$7,FASE1!$K$2:$K$369)/100,0)</f>
        <v>0</v>
      </c>
      <c r="L16" s="114">
        <f>IFERROR(AVERAGEIF(FASE1!$B$2:$B$369,L$7,FASE1!$K$2:$K$369)/100,0)</f>
        <v>0</v>
      </c>
      <c r="M16" s="114">
        <f>IFERROR(AVERAGEIF(FASE1!$B$2:$B$369,M$7,FASE1!$K$2:$K$369)/100,0)</f>
        <v>0</v>
      </c>
      <c r="N16" s="114">
        <f>IFERROR(AVERAGEIF(FASE1!$B$2:$B$369,N$7,FASE1!$K$2:$K$369)/100,0)</f>
        <v>0</v>
      </c>
      <c r="O16" s="114">
        <f>IFERROR(AVERAGEIF(FASE1!$B$2:$B$369,O$7,FASE1!$K$2:$K$369)/100,0)</f>
        <v>0</v>
      </c>
      <c r="P16" s="116">
        <f t="shared" si="3"/>
        <v>0.28735024665257225</v>
      </c>
      <c r="Q16" s="61">
        <f t="shared" si="2"/>
        <v>0.28735024665257225</v>
      </c>
      <c r="R16" s="62"/>
      <c r="S16" s="62"/>
      <c r="T16" s="62"/>
      <c r="U16" s="62"/>
      <c r="V16" s="85"/>
      <c r="W16" s="79"/>
      <c r="X16" s="32"/>
    </row>
    <row r="17" spans="2:25" ht="21.75" customHeight="1" x14ac:dyDescent="0.35">
      <c r="B17" s="134"/>
      <c r="C17" s="37" t="s">
        <v>23</v>
      </c>
      <c r="D17" s="114">
        <f>IFERROR(AVERAGEIF(FASE1!$B$2:$B$369,D$7,FASE1!$L$2:$L$369)/100,0)</f>
        <v>1</v>
      </c>
      <c r="E17" s="114">
        <f>IFERROR(AVERAGEIF(FASE1!$B$2:$B$369,E$7,FASE1!$L$2:$L$369)/100,0)</f>
        <v>0.78023255813953485</v>
      </c>
      <c r="F17" s="114">
        <f>IFERROR(AVERAGEIF(FASE1!$B$2:$B$369,F$7,FASE1!$L$2:$L$369)/100,0)</f>
        <v>0.7693181818181819</v>
      </c>
      <c r="G17" s="114">
        <f>IFERROR(AVERAGEIF(FASE1!$B$2:$B$369,G$7,FASE1!$L$2:$L$369)/100,0)</f>
        <v>0</v>
      </c>
      <c r="H17" s="114">
        <f>IFERROR(AVERAGEIF(FASE1!$B$2:$B$369,H$7,FASE1!$L$2:$L$369)/100,0)</f>
        <v>0</v>
      </c>
      <c r="I17" s="114">
        <f>IFERROR(AVERAGEIF(FASE1!$B$2:$B$369,I$7,FASE1!$L$2:$L$369)/100,0)</f>
        <v>0</v>
      </c>
      <c r="J17" s="114">
        <f>IFERROR(AVERAGEIF(FASE1!$B$2:$B$369,J$7,FASE1!$L$2:$L$369)/100,0)</f>
        <v>0</v>
      </c>
      <c r="K17" s="114">
        <f>IFERROR(AVERAGEIF(FASE1!$B$2:$B$369,K$7,FASE1!$L$2:$L$369)/100,0)</f>
        <v>0</v>
      </c>
      <c r="L17" s="114">
        <f>IFERROR(AVERAGEIF(FASE1!$B$2:$B$369,L$7,FASE1!$L$2:$L$369)/100,0)</f>
        <v>0</v>
      </c>
      <c r="M17" s="114">
        <f>IFERROR(AVERAGEIF(FASE1!$B$2:$B$369,M$7,FASE1!$L$2:$L$369)/100,0)</f>
        <v>0</v>
      </c>
      <c r="N17" s="114">
        <f>IFERROR(AVERAGEIF(FASE1!$B$2:$B$369,N$7,FASE1!$L$2:$L$369)/100,0)</f>
        <v>0</v>
      </c>
      <c r="O17" s="114">
        <f>IFERROR(AVERAGEIF(FASE1!$B$2:$B$369,O$7,FASE1!$L$2:$L$369)/100,0)</f>
        <v>0</v>
      </c>
      <c r="P17" s="116">
        <f t="shared" si="3"/>
        <v>0.28328341555085745</v>
      </c>
      <c r="Q17" s="61">
        <f t="shared" si="2"/>
        <v>0.28328341555085745</v>
      </c>
      <c r="R17" s="62"/>
      <c r="S17" s="62"/>
      <c r="T17" s="62"/>
      <c r="U17" s="62"/>
      <c r="V17" s="85"/>
      <c r="W17" s="79"/>
      <c r="X17" s="32"/>
    </row>
    <row r="18" spans="2:25" ht="21.75" customHeight="1" x14ac:dyDescent="0.35">
      <c r="B18" s="134"/>
      <c r="C18" s="37" t="s">
        <v>24</v>
      </c>
      <c r="D18" s="114">
        <f>IFERROR(AVERAGEIF(FASE1!$B$2:$B$369,D$7,FASE1!$M$2:$M$369)/100,0)</f>
        <v>1</v>
      </c>
      <c r="E18" s="114">
        <f>IFERROR(AVERAGEIF(FASE1!$B$2:$B$369,E$7,FASE1!$M$2:$M$369)/100,0)</f>
        <v>0.7441860465116279</v>
      </c>
      <c r="F18" s="114">
        <f>IFERROR(AVERAGEIF(FASE1!$B$2:$B$369,F$7,FASE1!$M$2:$M$369)/100,0)</f>
        <v>0.32727272727272727</v>
      </c>
      <c r="G18" s="114">
        <f>IFERROR(AVERAGEIF(FASE1!$B$2:$B$369,G$7,FASE1!$M$2:$M$369)/100,0)</f>
        <v>0</v>
      </c>
      <c r="H18" s="114">
        <f>IFERROR(AVERAGEIF(FASE1!$B$2:$B$369,H$7,FASE1!$M$2:$M$369)/100,0)</f>
        <v>0</v>
      </c>
      <c r="I18" s="114">
        <f>IFERROR(AVERAGEIF(FASE1!$B$2:$B$369,I$7,FASE1!$M$2:$M$369)/100,0)</f>
        <v>0</v>
      </c>
      <c r="J18" s="114">
        <f>IFERROR(AVERAGEIF(FASE1!$B$2:$B$369,J$7,FASE1!$M$2:$M$369)/100,0)</f>
        <v>0</v>
      </c>
      <c r="K18" s="114">
        <f>IFERROR(AVERAGEIF(FASE1!$B$2:$B$369,K$7,FASE1!$M$2:$M$369)/100,0)</f>
        <v>0</v>
      </c>
      <c r="L18" s="114">
        <f>IFERROR(AVERAGEIF(FASE1!$B$2:$B$369,L$7,FASE1!$M$2:$M$369)/100,0)</f>
        <v>0</v>
      </c>
      <c r="M18" s="114">
        <f>IFERROR(AVERAGEIF(FASE1!$B$2:$B$369,M$7,FASE1!$M$2:$M$369)/100,0)</f>
        <v>0</v>
      </c>
      <c r="N18" s="114">
        <f>IFERROR(AVERAGEIF(FASE1!$B$2:$B$369,N$7,FASE1!$M$2:$M$369)/100,0)</f>
        <v>0</v>
      </c>
      <c r="O18" s="114">
        <f>IFERROR(AVERAGEIF(FASE1!$B$2:$B$369,O$7,FASE1!$M$2:$M$369)/100,0)</f>
        <v>0</v>
      </c>
      <c r="P18" s="116">
        <f t="shared" si="3"/>
        <v>0.23016208597603946</v>
      </c>
      <c r="Q18" s="61">
        <f t="shared" si="2"/>
        <v>0.23016208597603946</v>
      </c>
      <c r="R18" s="62"/>
      <c r="S18" s="62"/>
      <c r="T18" s="62"/>
      <c r="U18" s="62"/>
      <c r="V18" s="85"/>
      <c r="W18" s="79"/>
      <c r="X18" s="32"/>
    </row>
    <row r="19" spans="2:25" ht="21.75" customHeight="1" x14ac:dyDescent="0.35">
      <c r="B19" s="134"/>
      <c r="C19" s="37" t="s">
        <v>25</v>
      </c>
      <c r="D19" s="114">
        <f>IFERROR(AVERAGEIF(FASE1!$B$2:$B$369,D$7,FASE1!$N$2:$N$369)/100,0)</f>
        <v>0.95</v>
      </c>
      <c r="E19" s="114">
        <f>IFERROR(AVERAGEIF(FASE1!$B$2:$B$369,E$7,FASE1!$N$2:$N$369)/100,0)</f>
        <v>0.22790697674418606</v>
      </c>
      <c r="F19" s="114">
        <f>IFERROR(AVERAGEIF(FASE1!$B$2:$B$369,F$7,FASE1!$N$2:$N$369)/100,0)</f>
        <v>1.1363636363636363E-3</v>
      </c>
      <c r="G19" s="114">
        <f>IFERROR(AVERAGEIF(FASE1!$B$2:$B$369,G$7,FASE1!$N$2:$N$369)/100,0)</f>
        <v>0</v>
      </c>
      <c r="H19" s="114">
        <f>IFERROR(AVERAGEIF(FASE1!$B$2:$B$369,H$7,FASE1!$N$2:$N$369)/100,0)</f>
        <v>0</v>
      </c>
      <c r="I19" s="114">
        <f>IFERROR(AVERAGEIF(FASE1!$B$2:$B$369,I$7,FASE1!$N$2:$N$369)/100,0)</f>
        <v>0</v>
      </c>
      <c r="J19" s="114">
        <f>IFERROR(AVERAGEIF(FASE1!$B$2:$B$369,J$7,FASE1!$N$2:$N$369)/100,0)</f>
        <v>0</v>
      </c>
      <c r="K19" s="114">
        <f>IFERROR(AVERAGEIF(FASE1!$B$2:$B$369,K$7,FASE1!$N$2:$N$369)/100,0)</f>
        <v>0</v>
      </c>
      <c r="L19" s="114">
        <f>IFERROR(AVERAGEIF(FASE1!$B$2:$B$369,L$7,FASE1!$N$2:$N$369)/100,0)</f>
        <v>0</v>
      </c>
      <c r="M19" s="114">
        <f>IFERROR(AVERAGEIF(FASE1!$B$2:$B$369,M$7,FASE1!$N$2:$N$369)/100,0)</f>
        <v>0</v>
      </c>
      <c r="N19" s="114">
        <f>IFERROR(AVERAGEIF(FASE1!$B$2:$B$369,N$7,FASE1!$N$2:$N$369)/100,0)</f>
        <v>0</v>
      </c>
      <c r="O19" s="114">
        <f>IFERROR(AVERAGEIF(FASE1!$B$2:$B$369,O$7,FASE1!$N$2:$N$369)/100,0)</f>
        <v>0</v>
      </c>
      <c r="P19" s="116">
        <f t="shared" si="3"/>
        <v>0.13100481559783886</v>
      </c>
      <c r="Q19" s="61">
        <f t="shared" si="2"/>
        <v>0.13100481559783886</v>
      </c>
      <c r="R19" s="62"/>
      <c r="S19" s="62"/>
      <c r="T19" s="62"/>
      <c r="U19" s="62"/>
      <c r="V19" s="85"/>
      <c r="W19" s="79"/>
      <c r="X19" s="32"/>
      <c r="Y19" s="44"/>
    </row>
    <row r="20" spans="2:25" ht="21.75" customHeight="1" x14ac:dyDescent="0.35">
      <c r="B20" s="134"/>
      <c r="C20" s="37" t="s">
        <v>26</v>
      </c>
      <c r="D20" s="114">
        <f>IFERROR(AVERAGEIF(FASE1!$B$2:$B$369,D$7,FASE1!$O$2:$O$369)/100,0)</f>
        <v>0.94545454545454544</v>
      </c>
      <c r="E20" s="114">
        <f>IFERROR(AVERAGEIF(FASE1!$B$2:$B$369,E$7,FASE1!$O$2:$O$369)/100,0)</f>
        <v>0.20697674418604653</v>
      </c>
      <c r="F20" s="114">
        <f>IFERROR(AVERAGEIF(FASE1!$B$2:$B$369,F$7,FASE1!$O$2:$O$369)/100,0)</f>
        <v>1.8181818181818181E-2</v>
      </c>
      <c r="G20" s="114">
        <f>IFERROR(AVERAGEIF(FASE1!$B$2:$B$369,G$7,FASE1!$O$2:$O$369)/100,0)</f>
        <v>0</v>
      </c>
      <c r="H20" s="114">
        <f>IFERROR(AVERAGEIF(FASE1!$B$2:$B$369,H$7,FASE1!$O$2:$O$369)/100,0)</f>
        <v>0</v>
      </c>
      <c r="I20" s="114">
        <f>IFERROR(AVERAGEIF(FASE1!$B$2:$B$369,I$7,FASE1!$O$2:$O$369)/100,0)</f>
        <v>0</v>
      </c>
      <c r="J20" s="114">
        <f>IFERROR(AVERAGEIF(FASE1!$B$2:$B$369,J$7,FASE1!$O$2:$O$369)/100,0)</f>
        <v>0</v>
      </c>
      <c r="K20" s="114">
        <f>IFERROR(AVERAGEIF(FASE1!$B$2:$B$369,K$7,FASE1!$O$2:$O$369)/100,0)</f>
        <v>0</v>
      </c>
      <c r="L20" s="114">
        <f>IFERROR(AVERAGEIF(FASE1!$B$2:$B$369,L$7,FASE1!$O$2:$O$369)/100,0)</f>
        <v>0</v>
      </c>
      <c r="M20" s="114">
        <f>IFERROR(AVERAGEIF(FASE1!$B$2:$B$369,M$7,FASE1!$O$2:$O$369)/100,0)</f>
        <v>0</v>
      </c>
      <c r="N20" s="114">
        <f>IFERROR(AVERAGEIF(FASE1!$B$2:$B$369,N$7,FASE1!$O$2:$O$369)/100,0)</f>
        <v>0</v>
      </c>
      <c r="O20" s="114">
        <f>IFERROR(AVERAGEIF(FASE1!$B$2:$B$369,O$7,FASE1!$O$2:$O$369)/100,0)</f>
        <v>0</v>
      </c>
      <c r="P20" s="116">
        <f t="shared" si="3"/>
        <v>0.13006812309137888</v>
      </c>
      <c r="Q20" s="61">
        <f t="shared" si="2"/>
        <v>0.13006812309137888</v>
      </c>
      <c r="R20" s="62"/>
      <c r="S20" s="62"/>
      <c r="T20" s="62"/>
      <c r="U20" s="62"/>
      <c r="V20" s="85"/>
      <c r="W20" s="79"/>
      <c r="X20" s="32"/>
    </row>
    <row r="21" spans="2:25" ht="21.75" customHeight="1" x14ac:dyDescent="0.35">
      <c r="B21" s="134"/>
      <c r="C21" s="37" t="s">
        <v>27</v>
      </c>
      <c r="D21" s="114">
        <f>IFERROR(AVERAGEIF(FASE1!$B$2:$B$369,D$7,FASE1!$P$2:$P$369)/100,0)</f>
        <v>0.85909090909090902</v>
      </c>
      <c r="E21" s="114">
        <f>IFERROR(AVERAGEIF(FASE1!$B$2:$B$369,E$7,FASE1!$P$2:$P$369)/100,0)</f>
        <v>0.48953488372093029</v>
      </c>
      <c r="F21" s="114">
        <f>IFERROR(AVERAGEIF(FASE1!$B$2:$B$369,F$7,FASE1!$P$2:$P$369)/100,0)</f>
        <v>0.37727272727272726</v>
      </c>
      <c r="G21" s="114">
        <f>IFERROR(AVERAGEIF(FASE1!$B$2:$B$369,G$7,FASE1!$P$2:$P$369)/100,0)</f>
        <v>0</v>
      </c>
      <c r="H21" s="114">
        <f>IFERROR(AVERAGEIF(FASE1!$B$2:$B$369,H$7,FASE1!$P$2:$P$369)/100,0)</f>
        <v>0</v>
      </c>
      <c r="I21" s="114">
        <f>IFERROR(AVERAGEIF(FASE1!$B$2:$B$369,I$7,FASE1!$P$2:$P$369)/100,0)</f>
        <v>0</v>
      </c>
      <c r="J21" s="114">
        <f>IFERROR(AVERAGEIF(FASE1!$B$2:$B$369,J$7,FASE1!$P$2:$P$369)/100,0)</f>
        <v>0</v>
      </c>
      <c r="K21" s="114">
        <f>IFERROR(AVERAGEIF(FASE1!$B$2:$B$369,K$7,FASE1!$P$2:$P$369)/100,0)</f>
        <v>0</v>
      </c>
      <c r="L21" s="114">
        <f>IFERROR(AVERAGEIF(FASE1!$B$2:$B$369,L$7,FASE1!$P$2:$P$369)/100,0)</f>
        <v>0</v>
      </c>
      <c r="M21" s="114">
        <f>IFERROR(AVERAGEIF(FASE1!$B$2:$B$369,M$7,FASE1!$P$2:$P$369)/100,0)</f>
        <v>0</v>
      </c>
      <c r="N21" s="114">
        <f>IFERROR(AVERAGEIF(FASE1!$B$2:$B$369,N$7,FASE1!$P$2:$P$369)/100,0)</f>
        <v>0</v>
      </c>
      <c r="O21" s="114">
        <f>IFERROR(AVERAGEIF(FASE1!$B$2:$B$369,O$7,FASE1!$P$2:$P$369)/100,0)</f>
        <v>0</v>
      </c>
      <c r="P21" s="116">
        <f t="shared" si="3"/>
        <v>0.19176650223161851</v>
      </c>
      <c r="Q21" s="61">
        <f t="shared" si="2"/>
        <v>0.19176650223161851</v>
      </c>
      <c r="R21" s="62"/>
      <c r="S21" s="62"/>
      <c r="T21" s="62"/>
      <c r="U21" s="62"/>
      <c r="V21" s="85"/>
      <c r="W21" s="79"/>
      <c r="X21" s="32"/>
    </row>
    <row r="22" spans="2:25" ht="21.75" customHeight="1" x14ac:dyDescent="0.35">
      <c r="B22" s="134"/>
      <c r="C22" s="37" t="s">
        <v>28</v>
      </c>
      <c r="D22" s="114">
        <f>IFERROR(AVERAGEIF(FASE1!$B$2:$B$369,D$7,FASE1!$Q$2:$Q$369)/100,0)</f>
        <v>0.84090909090909094</v>
      </c>
      <c r="E22" s="114">
        <f>IFERROR(AVERAGEIF(FASE1!$B$2:$B$369,E$7,FASE1!$Q$2:$Q$369)/100,0)</f>
        <v>0.65465116279069757</v>
      </c>
      <c r="F22" s="114">
        <f>IFERROR(AVERAGEIF(FASE1!$B$2:$B$369,F$7,FASE1!$Q$2:$Q$369)/100,0)</f>
        <v>0.62613636363636371</v>
      </c>
      <c r="G22" s="114">
        <f>IFERROR(AVERAGEIF(FASE1!$B$2:$B$369,G$7,FASE1!$Q$2:$Q$369)/100,0)</f>
        <v>0.12613636363636363</v>
      </c>
      <c r="H22" s="114">
        <f>IFERROR(AVERAGEIF(FASE1!$B$2:$B$369,H$7,FASE1!$Q$2:$Q$369)/100,0)</f>
        <v>0</v>
      </c>
      <c r="I22" s="114">
        <f>IFERROR(AVERAGEIF(FASE1!$B$2:$B$369,I$7,FASE1!$Q$2:$Q$369)/100,0)</f>
        <v>0</v>
      </c>
      <c r="J22" s="114">
        <f>IFERROR(AVERAGEIF(FASE1!$B$2:$B$369,J$7,FASE1!$Q$2:$Q$369)/100,0)</f>
        <v>0</v>
      </c>
      <c r="K22" s="114">
        <f>IFERROR(AVERAGEIF(FASE1!$B$2:$B$369,K$7,FASE1!$Q$2:$Q$369)/100,0)</f>
        <v>0</v>
      </c>
      <c r="L22" s="114">
        <f>IFERROR(AVERAGEIF(FASE1!$B$2:$B$369,L$7,FASE1!$Q$2:$Q$369)/100,0)</f>
        <v>0</v>
      </c>
      <c r="M22" s="114">
        <f>IFERROR(AVERAGEIF(FASE1!$B$2:$B$369,M$7,FASE1!$Q$2:$Q$369)/100,0)</f>
        <v>0</v>
      </c>
      <c r="N22" s="114">
        <f>IFERROR(AVERAGEIF(FASE1!$B$2:$B$369,N$7,FASE1!$Q$2:$Q$369)/100,0)</f>
        <v>0</v>
      </c>
      <c r="O22" s="114">
        <f>IFERROR(AVERAGEIF(FASE1!$B$2:$B$369,O$7,FASE1!$Q$2:$Q$369)/100,0)</f>
        <v>0</v>
      </c>
      <c r="P22" s="116">
        <f t="shared" si="3"/>
        <v>0.24975922010805729</v>
      </c>
      <c r="Q22" s="61">
        <f t="shared" si="2"/>
        <v>0.24975922010805729</v>
      </c>
      <c r="R22" s="62"/>
      <c r="S22" s="62"/>
      <c r="T22" s="62"/>
      <c r="U22" s="62"/>
      <c r="V22" s="85"/>
      <c r="W22" s="79"/>
      <c r="X22" s="32"/>
    </row>
    <row r="23" spans="2:25" ht="21.75" customHeight="1" x14ac:dyDescent="0.35">
      <c r="B23" s="134"/>
      <c r="C23" s="37" t="s">
        <v>29</v>
      </c>
      <c r="D23" s="114">
        <f>IFERROR(AVERAGEIF(FASE1!$B$2:$B$369,D$7,FASE1!$R$2:$R$369)/100,0)</f>
        <v>0.95</v>
      </c>
      <c r="E23" s="114">
        <f>IFERROR(AVERAGEIF(FASE1!$B$2:$B$369,E$7,FASE1!$R$2:$R$369)/100,0)</f>
        <v>0.72441860465116281</v>
      </c>
      <c r="F23" s="114">
        <f>IFERROR(AVERAGEIF(FASE1!$B$2:$B$369,F$7,FASE1!$R$2:$R$369)/100,0)</f>
        <v>1.8181818181818181E-2</v>
      </c>
      <c r="G23" s="114">
        <f>IFERROR(AVERAGEIF(FASE1!$B$2:$B$369,G$7,FASE1!$R$2:$R$369)/100,0)</f>
        <v>0</v>
      </c>
      <c r="H23" s="114">
        <f>IFERROR(AVERAGEIF(FASE1!$B$2:$B$369,H$7,FASE1!$R$2:$R$369)/100,0)</f>
        <v>0</v>
      </c>
      <c r="I23" s="114">
        <f>IFERROR(AVERAGEIF(FASE1!$B$2:$B$369,I$7,FASE1!$R$2:$R$369)/100,0)</f>
        <v>0</v>
      </c>
      <c r="J23" s="114">
        <f>IFERROR(AVERAGEIF(FASE1!$B$2:$B$369,J$7,FASE1!$R$2:$R$369)/100,0)</f>
        <v>0</v>
      </c>
      <c r="K23" s="114">
        <f>IFERROR(AVERAGEIF(FASE1!$B$2:$B$369,K$7,FASE1!$R$2:$R$369)/100,0)</f>
        <v>0</v>
      </c>
      <c r="L23" s="114">
        <f>IFERROR(AVERAGEIF(FASE1!$B$2:$B$369,L$7,FASE1!$R$2:$R$369)/100,0)</f>
        <v>0</v>
      </c>
      <c r="M23" s="114">
        <f>IFERROR(AVERAGEIF(FASE1!$B$2:$B$369,M$7,FASE1!$R$2:$R$369)/100,0)</f>
        <v>0</v>
      </c>
      <c r="N23" s="114">
        <f>IFERROR(AVERAGEIF(FASE1!$B$2:$B$369,N$7,FASE1!$R$2:$R$369)/100,0)</f>
        <v>0</v>
      </c>
      <c r="O23" s="114">
        <f>IFERROR(AVERAGEIF(FASE1!$B$2:$B$369,O$7,FASE1!$R$2:$R$369)/100,0)</f>
        <v>0</v>
      </c>
      <c r="P23" s="116">
        <f t="shared" si="3"/>
        <v>0.18806671364810898</v>
      </c>
      <c r="Q23" s="61">
        <f t="shared" si="2"/>
        <v>0.18806671364810898</v>
      </c>
      <c r="R23" s="62"/>
      <c r="S23" s="62"/>
      <c r="T23" s="62"/>
      <c r="U23" s="62"/>
      <c r="V23" s="85"/>
      <c r="W23" s="79"/>
      <c r="X23" s="32"/>
    </row>
    <row r="24" spans="2:25" ht="21.75" customHeight="1" x14ac:dyDescent="0.35">
      <c r="B24" s="134"/>
      <c r="C24" s="37" t="s">
        <v>30</v>
      </c>
      <c r="D24" s="114">
        <f>IFERROR(AVERAGEIF(FASE1!$B$2:$B$369,D$7,FASE1!$S$2:$S$369)/100,0)</f>
        <v>1</v>
      </c>
      <c r="E24" s="114">
        <f>IFERROR(AVERAGEIF(FASE1!$B$2:$B$369,E$7,FASE1!$S$2:$S$369)/100,0)</f>
        <v>0.65348837209302335</v>
      </c>
      <c r="F24" s="114">
        <f>IFERROR(AVERAGEIF(FASE1!$B$2:$B$369,F$7,FASE1!$S$2:$S$369)/100,0)</f>
        <v>2.2727272727272728E-2</v>
      </c>
      <c r="G24" s="114">
        <f>IFERROR(AVERAGEIF(FASE1!$B$2:$B$369,G$7,FASE1!$S$2:$S$369)/100,0)</f>
        <v>0</v>
      </c>
      <c r="H24" s="114">
        <f>IFERROR(AVERAGEIF(FASE1!$B$2:$B$369,H$7,FASE1!$S$2:$S$369)/100,0)</f>
        <v>0</v>
      </c>
      <c r="I24" s="114">
        <f>IFERROR(AVERAGEIF(FASE1!$B$2:$B$369,I$7,FASE1!$S$2:$S$369)/100,0)</f>
        <v>0</v>
      </c>
      <c r="J24" s="114">
        <f>IFERROR(AVERAGEIF(FASE1!$B$2:$B$369,J$7,FASE1!$S$2:$S$369)/100,0)</f>
        <v>0</v>
      </c>
      <c r="K24" s="114">
        <f>IFERROR(AVERAGEIF(FASE1!$B$2:$B$369,K$7,FASE1!$S$2:$S$369)/100,0)</f>
        <v>0</v>
      </c>
      <c r="L24" s="114">
        <f>IFERROR(AVERAGEIF(FASE1!$B$2:$B$369,L$7,FASE1!$S$2:$S$369)/100,0)</f>
        <v>0</v>
      </c>
      <c r="M24" s="114">
        <f>IFERROR(AVERAGEIF(FASE1!$B$2:$B$369,M$7,FASE1!$S$2:$S$369)/100,0)</f>
        <v>0</v>
      </c>
      <c r="N24" s="114">
        <f>IFERROR(AVERAGEIF(FASE1!$B$2:$B$369,N$7,FASE1!$S$2:$S$369)/100,0)</f>
        <v>0</v>
      </c>
      <c r="O24" s="114">
        <f>IFERROR(AVERAGEIF(FASE1!$B$2:$B$369,O$7,FASE1!$S$2:$S$369)/100,0)</f>
        <v>0</v>
      </c>
      <c r="P24" s="116">
        <f t="shared" si="3"/>
        <v>0.18624618275781069</v>
      </c>
      <c r="Q24" s="61">
        <f t="shared" si="2"/>
        <v>0.18624618275781069</v>
      </c>
      <c r="R24" s="62"/>
      <c r="S24" s="62"/>
      <c r="T24" s="62"/>
      <c r="U24" s="62"/>
      <c r="V24" s="85"/>
      <c r="W24" s="79"/>
      <c r="X24" s="32"/>
    </row>
    <row r="25" spans="2:25" ht="21.75" customHeight="1" x14ac:dyDescent="0.35">
      <c r="B25" s="134"/>
      <c r="C25" s="37" t="s">
        <v>31</v>
      </c>
      <c r="D25" s="114">
        <f>IFERROR(AVERAGEIF(FASE1!$B$2:$B$369,D$7,FASE1!$T$2:$T$369)/100,0)</f>
        <v>0.18181818181818182</v>
      </c>
      <c r="E25" s="114">
        <f>IFERROR(AVERAGEIF(FASE1!$B$2:$B$369,E$7,FASE1!$T$2:$T$369)/100,0)</f>
        <v>0</v>
      </c>
      <c r="F25" s="114">
        <f>IFERROR(AVERAGEIF(FASE1!$B$2:$B$369,F$7,FASE1!$T$2:$T$369)/100,0)</f>
        <v>0</v>
      </c>
      <c r="G25" s="114">
        <f>IFERROR(AVERAGEIF(FASE1!$B$2:$B$369,G$7,FASE1!$T$2:$T$369)/100,0)</f>
        <v>0</v>
      </c>
      <c r="H25" s="114">
        <f>IFERROR(AVERAGEIF(FASE1!$B$2:$B$369,H$7,FASE1!$T$2:$T$369)/100,0)</f>
        <v>0</v>
      </c>
      <c r="I25" s="114">
        <f>IFERROR(AVERAGEIF(FASE1!$B$2:$B$369,I$7,FASE1!$T$2:$T$369)/100,0)</f>
        <v>0</v>
      </c>
      <c r="J25" s="114">
        <f>IFERROR(AVERAGEIF(FASE1!$B$2:$B$369,J$7,FASE1!$T$2:$T$369)/100,0)</f>
        <v>0</v>
      </c>
      <c r="K25" s="114">
        <f>IFERROR(AVERAGEIF(FASE1!$B$2:$B$369,K$7,FASE1!$T$2:$T$369)/100,0)</f>
        <v>0</v>
      </c>
      <c r="L25" s="114">
        <f>IFERROR(AVERAGEIF(FASE1!$B$2:$B$369,L$7,FASE1!$T$2:$T$369)/100,0)</f>
        <v>0</v>
      </c>
      <c r="M25" s="114">
        <f>IFERROR(AVERAGEIF(FASE1!$B$2:$B$369,M$7,FASE1!$T$2:$T$369)/100,0)</f>
        <v>0</v>
      </c>
      <c r="N25" s="114">
        <f>IFERROR(AVERAGEIF(FASE1!$B$2:$B$369,N$7,FASE1!$T$2:$T$369)/100,0)</f>
        <v>0</v>
      </c>
      <c r="O25" s="114">
        <f>IFERROR(AVERAGEIF(FASE1!$B$2:$B$369,O$7,FASE1!$T$2:$T$369)/100,0)</f>
        <v>0</v>
      </c>
      <c r="P25" s="116">
        <f t="shared" si="3"/>
        <v>2.0202020202020204E-2</v>
      </c>
      <c r="Q25" s="61">
        <f t="shared" si="2"/>
        <v>2.0202020202020204E-2</v>
      </c>
      <c r="R25" s="62"/>
      <c r="S25" s="62"/>
      <c r="T25" s="62"/>
      <c r="U25" s="62"/>
      <c r="V25" s="85"/>
      <c r="W25" s="79"/>
      <c r="X25" s="32"/>
    </row>
    <row r="26" spans="2:25" ht="21.75" customHeight="1" x14ac:dyDescent="0.35">
      <c r="B26" s="134"/>
      <c r="C26" s="37" t="s">
        <v>32</v>
      </c>
      <c r="D26" s="114">
        <f>IFERROR(AVERAGEIF(FASE1!$B$2:$B$369,D$7,FASE1!$U$2:$U$369)/100,0)</f>
        <v>0.92727272727272736</v>
      </c>
      <c r="E26" s="114">
        <f>IFERROR(AVERAGEIF(FASE1!$B$2:$B$369,E$7,FASE1!$U$2:$U$369)/100,0)</f>
        <v>0.3651162790697674</v>
      </c>
      <c r="F26" s="114">
        <f>IFERROR(AVERAGEIF(FASE1!$B$2:$B$369,F$7,FASE1!$U$2:$U$369)/100,0)</f>
        <v>2.2727272727272728E-2</v>
      </c>
      <c r="G26" s="114">
        <f>IFERROR(AVERAGEIF(FASE1!$B$2:$B$369,G$7,FASE1!$U$2:$U$369)/100,0)</f>
        <v>0</v>
      </c>
      <c r="H26" s="114">
        <f>IFERROR(AVERAGEIF(FASE1!$B$2:$B$369,H$7,FASE1!$U$2:$U$369)/100,0)</f>
        <v>0</v>
      </c>
      <c r="I26" s="114">
        <f>IFERROR(AVERAGEIF(FASE1!$B$2:$B$369,I$7,FASE1!$U$2:$U$369)/100,0)</f>
        <v>0</v>
      </c>
      <c r="J26" s="114">
        <f>IFERROR(AVERAGEIF(FASE1!$B$2:$B$369,J$7,FASE1!$U$2:$U$369)/100,0)</f>
        <v>0</v>
      </c>
      <c r="K26" s="114">
        <f>IFERROR(AVERAGEIF(FASE1!$B$2:$B$369,K$7,FASE1!$U$2:$U$369)/100,0)</f>
        <v>0</v>
      </c>
      <c r="L26" s="114">
        <f>IFERROR(AVERAGEIF(FASE1!$B$2:$B$369,L$7,FASE1!$U$2:$U$369)/100,0)</f>
        <v>0</v>
      </c>
      <c r="M26" s="114">
        <f>IFERROR(AVERAGEIF(FASE1!$B$2:$B$369,M$7,FASE1!$U$2:$U$369)/100,0)</f>
        <v>0</v>
      </c>
      <c r="N26" s="114">
        <f>IFERROR(AVERAGEIF(FASE1!$B$2:$B$369,N$7,FASE1!$U$2:$U$369)/100,0)</f>
        <v>0</v>
      </c>
      <c r="O26" s="114">
        <f>IFERROR(AVERAGEIF(FASE1!$B$2:$B$369,O$7,FASE1!$U$2:$U$369)/100,0)</f>
        <v>0</v>
      </c>
      <c r="P26" s="116">
        <f t="shared" si="3"/>
        <v>0.14612403100775195</v>
      </c>
      <c r="Q26" s="61">
        <f t="shared" si="2"/>
        <v>0.14612403100775195</v>
      </c>
      <c r="R26" s="62"/>
      <c r="S26" s="62"/>
      <c r="T26" s="62"/>
      <c r="U26" s="62"/>
      <c r="V26" s="85"/>
      <c r="W26" s="79"/>
      <c r="X26" s="32"/>
    </row>
    <row r="27" spans="2:25" ht="21.75" customHeight="1" x14ac:dyDescent="0.35">
      <c r="B27" s="134"/>
      <c r="C27" s="37" t="s">
        <v>33</v>
      </c>
      <c r="D27" s="114">
        <f>IFERROR(AVERAGEIF(FASE1!$B$2:$B$369,D$7,FASE1!$V$2:$V$369)/100,0)</f>
        <v>0.91363636363636358</v>
      </c>
      <c r="E27" s="114">
        <f>IFERROR(AVERAGEIF(FASE1!$B$2:$B$369,E$7,FASE1!$V$2:$V$369)/100,0)</f>
        <v>0.25232558139534883</v>
      </c>
      <c r="F27" s="114">
        <f>IFERROR(AVERAGEIF(FASE1!$B$2:$B$369,F$7,FASE1!$V$2:$V$369)/100,0)</f>
        <v>2.2727272727272728E-2</v>
      </c>
      <c r="G27" s="114">
        <f>IFERROR(AVERAGEIF(FASE1!$B$2:$B$369,G$7,FASE1!$V$2:$V$369)/100,0)</f>
        <v>0</v>
      </c>
      <c r="H27" s="114">
        <f>IFERROR(AVERAGEIF(FASE1!$B$2:$B$369,H$7,FASE1!$V$2:$V$369)/100,0)</f>
        <v>0</v>
      </c>
      <c r="I27" s="114">
        <f>IFERROR(AVERAGEIF(FASE1!$B$2:$B$369,I$7,FASE1!$V$2:$V$369)/100,0)</f>
        <v>0</v>
      </c>
      <c r="J27" s="114">
        <f>IFERROR(AVERAGEIF(FASE1!$B$2:$B$369,J$7,FASE1!$V$2:$V$369)/100,0)</f>
        <v>0</v>
      </c>
      <c r="K27" s="114">
        <f>IFERROR(AVERAGEIF(FASE1!$B$2:$B$369,K$7,FASE1!$V$2:$V$369)/100,0)</f>
        <v>0</v>
      </c>
      <c r="L27" s="114">
        <f>IFERROR(AVERAGEIF(FASE1!$B$2:$B$369,L$7,FASE1!$V$2:$V$369)/100,0)</f>
        <v>0</v>
      </c>
      <c r="M27" s="114">
        <f>IFERROR(AVERAGEIF(FASE1!$B$2:$B$369,M$7,FASE1!$V$2:$V$369)/100,0)</f>
        <v>0</v>
      </c>
      <c r="N27" s="114">
        <f>IFERROR(AVERAGEIF(FASE1!$B$2:$B$369,N$7,FASE1!$V$2:$V$369)/100,0)</f>
        <v>0</v>
      </c>
      <c r="O27" s="114">
        <f>IFERROR(AVERAGEIF(FASE1!$B$2:$B$369,O$7,FASE1!$V$2:$V$369)/100,0)</f>
        <v>0</v>
      </c>
      <c r="P27" s="116">
        <f t="shared" si="3"/>
        <v>0.13207657975099835</v>
      </c>
      <c r="Q27" s="61">
        <f t="shared" si="2"/>
        <v>0.13207657975099835</v>
      </c>
      <c r="R27" s="62"/>
      <c r="S27" s="62"/>
      <c r="T27" s="62"/>
      <c r="U27" s="62"/>
      <c r="V27" s="85"/>
      <c r="W27" s="79"/>
      <c r="X27" s="32"/>
    </row>
    <row r="28" spans="2:25" ht="21.75" customHeight="1" x14ac:dyDescent="0.35">
      <c r="B28" s="134"/>
      <c r="C28" s="37" t="s">
        <v>34</v>
      </c>
      <c r="D28" s="114">
        <f>IFERROR(AVERAGEIF(FASE1!$B$2:$B$369,D$7,FASE1!$W$2:$W$369)/100,0)</f>
        <v>0.89090909090909098</v>
      </c>
      <c r="E28" s="114">
        <f>IFERROR(AVERAGEIF(FASE1!$B$2:$B$369,E$7,FASE1!$W$2:$W$369)/100,0)</f>
        <v>0.28488372093023256</v>
      </c>
      <c r="F28" s="114">
        <f>IFERROR(AVERAGEIF(FASE1!$B$2:$B$369,F$7,FASE1!$W$2:$W$369)/100,0)</f>
        <v>2.2727272727272728E-2</v>
      </c>
      <c r="G28" s="114">
        <f>IFERROR(AVERAGEIF(FASE1!$B$2:$B$369,G$7,FASE1!$W$2:$W$369)/100,0)</f>
        <v>0</v>
      </c>
      <c r="H28" s="114">
        <f>IFERROR(AVERAGEIF(FASE1!$B$2:$B$369,H$7,FASE1!$W$2:$W$369)/100,0)</f>
        <v>0</v>
      </c>
      <c r="I28" s="114">
        <f>IFERROR(AVERAGEIF(FASE1!$B$2:$B$369,I$7,FASE1!$W$2:$W$369)/100,0)</f>
        <v>0</v>
      </c>
      <c r="J28" s="114">
        <f>IFERROR(AVERAGEIF(FASE1!$B$2:$B$369,J$7,FASE1!$W$2:$W$369)/100,0)</f>
        <v>0</v>
      </c>
      <c r="K28" s="114">
        <f>IFERROR(AVERAGEIF(FASE1!$B$2:$B$369,K$7,FASE1!$W$2:$W$369)/100,0)</f>
        <v>0</v>
      </c>
      <c r="L28" s="114">
        <f>IFERROR(AVERAGEIF(FASE1!$B$2:$B$369,L$7,FASE1!$W$2:$W$369)/100,0)</f>
        <v>0</v>
      </c>
      <c r="M28" s="114">
        <f>IFERROR(AVERAGEIF(FASE1!$B$2:$B$369,M$7,FASE1!$W$2:$W$369)/100,0)</f>
        <v>0</v>
      </c>
      <c r="N28" s="114">
        <f>IFERROR(AVERAGEIF(FASE1!$B$2:$B$369,N$7,FASE1!$W$2:$W$369)/100,0)</f>
        <v>0</v>
      </c>
      <c r="O28" s="114">
        <f>IFERROR(AVERAGEIF(FASE1!$B$2:$B$369,O$7,FASE1!$W$2:$W$369)/100,0)</f>
        <v>0</v>
      </c>
      <c r="P28" s="116">
        <f t="shared" si="3"/>
        <v>0.13316889828517736</v>
      </c>
      <c r="Q28" s="61">
        <f t="shared" si="2"/>
        <v>0.13316889828517736</v>
      </c>
      <c r="R28" s="62"/>
      <c r="S28" s="62"/>
      <c r="T28" s="62"/>
      <c r="U28" s="62"/>
      <c r="V28" s="85"/>
      <c r="W28" s="79"/>
      <c r="X28" s="32"/>
    </row>
    <row r="29" spans="2:25" ht="21.75" customHeight="1" x14ac:dyDescent="0.35">
      <c r="B29" s="146"/>
      <c r="C29" s="54" t="s">
        <v>35</v>
      </c>
      <c r="D29" s="117">
        <f>IFERROR(AVERAGEIF(FASE1!$B$2:$B$369,D$7,FASE1!$X$2:$X$369)/100,0)</f>
        <v>0.95909090909090911</v>
      </c>
      <c r="E29" s="117">
        <f>IFERROR(AVERAGEIF(FASE1!$B$2:$B$369,E$7,FASE1!$X$2:$X$369)/100,0)</f>
        <v>0.17906976744186046</v>
      </c>
      <c r="F29" s="117">
        <f>IFERROR(AVERAGEIF(FASE1!$B$2:$B$369,F$7,FASE1!$X$2:$X$369)/100,0)</f>
        <v>2.2727272727272728E-2</v>
      </c>
      <c r="G29" s="117">
        <f>IFERROR(AVERAGEIF(FASE1!$B$2:$B$369,G$7,FASE1!$X$2:$X$369)/100,0)</f>
        <v>0</v>
      </c>
      <c r="H29" s="117">
        <f>IFERROR(AVERAGEIF(FASE1!$B$2:$B$369,H$7,FASE1!$X$2:$X$369)/100,0)</f>
        <v>0</v>
      </c>
      <c r="I29" s="117">
        <f>IFERROR(AVERAGEIF(FASE1!$B$2:$B$369,I$7,FASE1!$X$2:$X$369)/100,0)</f>
        <v>0</v>
      </c>
      <c r="J29" s="117">
        <f>IFERROR(AVERAGEIF(FASE1!$B$2:$B$369,J$7,FASE1!$X$2:$X$369)/100,0)</f>
        <v>0</v>
      </c>
      <c r="K29" s="117">
        <f>IFERROR(AVERAGEIF(FASE1!$B$2:$B$369,K$7,FASE1!$X$2:$X$369)/100,0)</f>
        <v>0</v>
      </c>
      <c r="L29" s="117">
        <f>IFERROR(AVERAGEIF(FASE1!$B$2:$B$369,L$7,FASE1!$X$2:$X$369)/100,0)</f>
        <v>0</v>
      </c>
      <c r="M29" s="117">
        <f>IFERROR(AVERAGEIF(FASE1!$B$2:$B$369,M$7,FASE1!$X$2:$X$369)/100,0)</f>
        <v>0</v>
      </c>
      <c r="N29" s="117">
        <f>IFERROR(AVERAGEIF(FASE1!$B$2:$B$369,N$7,FASE1!$X$2:$X$369)/100,0)</f>
        <v>0</v>
      </c>
      <c r="O29" s="117">
        <f>IFERROR(AVERAGEIF(FASE1!$B$2:$B$369,O$7,FASE1!$X$2:$X$369)/100,0)</f>
        <v>0</v>
      </c>
      <c r="P29" s="116">
        <f t="shared" si="3"/>
        <v>0.1289875499177825</v>
      </c>
      <c r="Q29" s="61">
        <f t="shared" si="2"/>
        <v>0.1289875499177825</v>
      </c>
      <c r="R29" s="63"/>
      <c r="S29" s="63"/>
      <c r="T29" s="63"/>
      <c r="U29" s="63"/>
      <c r="V29" s="86"/>
      <c r="W29" s="80"/>
      <c r="X29" s="34"/>
    </row>
    <row r="30" spans="2:25" s="51" customFormat="1" ht="13.5" customHeight="1" x14ac:dyDescent="0.2">
      <c r="B30" s="133" t="s">
        <v>36</v>
      </c>
      <c r="C30" s="92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20"/>
      <c r="Q30" s="64"/>
      <c r="R30" s="64" t="s">
        <v>13</v>
      </c>
      <c r="S30" s="64" t="s">
        <v>14</v>
      </c>
      <c r="T30" s="64" t="s">
        <v>15</v>
      </c>
      <c r="U30" s="64" t="s">
        <v>37</v>
      </c>
      <c r="V30" s="64" t="s">
        <v>0</v>
      </c>
    </row>
    <row r="31" spans="2:25" s="51" customFormat="1" ht="13.5" customHeight="1" x14ac:dyDescent="0.2">
      <c r="B31" s="134"/>
      <c r="C31" s="93"/>
      <c r="D31" s="121"/>
      <c r="E31" s="121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2"/>
      <c r="Q31" s="60"/>
      <c r="R31" s="60">
        <f>+H9</f>
        <v>0.55555555550000002</v>
      </c>
      <c r="S31" s="60">
        <f>+J9</f>
        <v>0.77777777769999989</v>
      </c>
      <c r="T31" s="60">
        <f>+L9</f>
        <v>0.99999999989999999</v>
      </c>
      <c r="U31" s="60">
        <f>+N9</f>
        <v>0.9166666666666663</v>
      </c>
      <c r="V31" s="60">
        <f>+O9</f>
        <v>0.99999999999999956</v>
      </c>
    </row>
    <row r="32" spans="2:25" ht="21.75" customHeight="1" x14ac:dyDescent="0.35">
      <c r="B32" s="134"/>
      <c r="C32" s="35" t="s">
        <v>38</v>
      </c>
      <c r="D32" s="114">
        <f>IFERROR(AVERAGEIF(FASE2!$B$2:$B$369,D$7,FASE2!$E$2:$E$369),0)</f>
        <v>0.95909090909090911</v>
      </c>
      <c r="E32" s="114">
        <f>IFERROR(AVERAGEIF(FASE2!$B$2:$B$369,E$7,FASE2!$E$2:$E$369),0)</f>
        <v>0.31139534883720921</v>
      </c>
      <c r="F32" s="114">
        <f>IFERROR(AVERAGEIF(FASE2!$B$2:$B$369,F$7,FASE2!$E$2:$E$369),0)</f>
        <v>2.1590909090909091E-2</v>
      </c>
      <c r="G32" s="114">
        <f>IFERROR(AVERAGEIF(FASE2!$B$2:$B$369,G$7,FASE2!$E$2:$E$369),0)</f>
        <v>0</v>
      </c>
      <c r="H32" s="114">
        <f>IFERROR(AVERAGEIF(FASE2!$B$2:$B$369,H$7,FASE2!$E$2:$E$369),0)</f>
        <v>0</v>
      </c>
      <c r="I32" s="114">
        <f>IFERROR(AVERAGEIF(FASE2!$B$2:$B$369,I$7,FASE2!$E$2:$E$369),0)</f>
        <v>0</v>
      </c>
      <c r="J32" s="114">
        <f>IFERROR(AVERAGEIF(FASE2!$B$2:$B$369,J$7,FASE2!$E$2:$E$369),0)</f>
        <v>0</v>
      </c>
      <c r="K32" s="114">
        <f>IFERROR(AVERAGEIF(FASE2!$B$2:$B$369,K$7,FASE2!$E$2:$E$369),0)</f>
        <v>0</v>
      </c>
      <c r="L32" s="114">
        <f>IFERROR(AVERAGEIF(FASE2!$B$2:$B$369,L$7,FASE2!$E$2:$E$369),0)</f>
        <v>0</v>
      </c>
      <c r="M32" s="114">
        <f>IFERROR(AVERAGEIF(FASE2!$B$2:$B$369,M$7,FASE2!$E$2:$E$369),0)</f>
        <v>0</v>
      </c>
      <c r="N32" s="114">
        <f>IFERROR(AVERAGEIF(FASE2!$B$2:$B$369,N$7,FASE2!$E$2:$E$369),0)</f>
        <v>0</v>
      </c>
      <c r="O32" s="114">
        <f>IFERROR(AVERAGEIF(FASE2!$B$2:$B$369,O$7,FASE2!$E$2:$E$369),0)</f>
        <v>0</v>
      </c>
      <c r="P32" s="115">
        <f t="shared" ref="P32:P43" si="4">+AVERAGE(D32:O32)</f>
        <v>0.10767309725158562</v>
      </c>
      <c r="Q32" s="61"/>
      <c r="R32" s="65"/>
      <c r="S32" s="65"/>
      <c r="T32" s="65"/>
      <c r="U32" s="65"/>
      <c r="V32" s="87"/>
      <c r="W32" s="78"/>
      <c r="X32" s="31"/>
    </row>
    <row r="33" spans="1:24" s="1" customFormat="1" ht="21.75" customHeight="1" x14ac:dyDescent="0.35">
      <c r="A33" s="4"/>
      <c r="B33" s="134"/>
      <c r="C33" s="36" t="s">
        <v>39</v>
      </c>
      <c r="D33" s="114">
        <f>IFERROR(AVERAGEIF(FASE2!$B$2:$B$369,D$7,FASE2!$F$2:$F$369),0)</f>
        <v>0.18181818181818182</v>
      </c>
      <c r="E33" s="114">
        <f>IFERROR(AVERAGEIF(FASE2!$B$2:$B$369,E$7,FASE2!$F$2:$F$369),0)</f>
        <v>0</v>
      </c>
      <c r="F33" s="114">
        <f>IFERROR(AVERAGEIF(FASE2!$B$2:$B$369,F$7,FASE2!$F$2:$F$369),0)</f>
        <v>0</v>
      </c>
      <c r="G33" s="114">
        <f>IFERROR(AVERAGEIF(FASE2!$B$2:$B$369,G$7,FASE2!$F$2:$F$369),0)</f>
        <v>0</v>
      </c>
      <c r="H33" s="114">
        <f>IFERROR(AVERAGEIF(FASE2!$B$2:$B$369,H$7,FASE2!$F$2:$F$369),0)</f>
        <v>0</v>
      </c>
      <c r="I33" s="114">
        <f>IFERROR(AVERAGEIF(FASE2!$B$2:$B$369,I$7,FASE2!$F$2:$F$369),0)</f>
        <v>0</v>
      </c>
      <c r="J33" s="114">
        <f>IFERROR(AVERAGEIF(FASE2!$B$2:$B$369,J$7,FASE2!$F$2:$F$369),0)</f>
        <v>0</v>
      </c>
      <c r="K33" s="114">
        <f>IFERROR(AVERAGEIF(FASE2!$B$2:$B$369,K$7,FASE2!$F$2:$F$369),0)</f>
        <v>0</v>
      </c>
      <c r="L33" s="114">
        <f>IFERROR(AVERAGEIF(FASE2!$B$2:$B$369,L$7,FASE2!$F$2:$F$369),0)</f>
        <v>0</v>
      </c>
      <c r="M33" s="114">
        <f>IFERROR(AVERAGEIF(FASE2!$B$2:$B$369,M$7,FASE2!$F$2:$F$369),0)</f>
        <v>0</v>
      </c>
      <c r="N33" s="114">
        <f>IFERROR(AVERAGEIF(FASE2!$B$2:$B$369,N$7,FASE2!$F$2:$F$369),0)</f>
        <v>0</v>
      </c>
      <c r="O33" s="114">
        <f>IFERROR(AVERAGEIF(FASE2!$B$2:$B$369,O$7,FASE2!$F$2:$F$369),0)</f>
        <v>0</v>
      </c>
      <c r="P33" s="116">
        <f t="shared" si="4"/>
        <v>1.5151515151515152E-2</v>
      </c>
      <c r="Q33" s="61">
        <f t="shared" ref="Q33:Q46" si="5">P33</f>
        <v>1.5151515151515152E-2</v>
      </c>
      <c r="R33" s="62"/>
      <c r="S33" s="62"/>
      <c r="T33" s="62"/>
      <c r="U33" s="62"/>
      <c r="V33" s="85"/>
      <c r="W33" s="79"/>
      <c r="X33" s="32"/>
    </row>
    <row r="34" spans="1:24" s="1" customFormat="1" ht="21.75" customHeight="1" x14ac:dyDescent="0.35">
      <c r="A34" s="4"/>
      <c r="B34" s="134"/>
      <c r="C34" s="36" t="s">
        <v>40</v>
      </c>
      <c r="D34" s="114">
        <f>IFERROR(AVERAGEIF(FASE2!$B$2:$B$369,D$7,FASE2!$G$2:$G$369),0)</f>
        <v>0.18181818181818182</v>
      </c>
      <c r="E34" s="114">
        <f>IFERROR(AVERAGEIF(FASE2!$B$2:$B$369,E$7,FASE2!$G$2:$G$369),0)</f>
        <v>0</v>
      </c>
      <c r="F34" s="114">
        <f>IFERROR(AVERAGEIF(FASE2!$B$2:$B$369,F$7,FASE2!$G$2:$G$369),0)</f>
        <v>0</v>
      </c>
      <c r="G34" s="114">
        <f>IFERROR(AVERAGEIF(FASE2!$B$2:$B$369,G$7,FASE2!$G$2:$G$369),0)</f>
        <v>0</v>
      </c>
      <c r="H34" s="114">
        <f>IFERROR(AVERAGEIF(FASE2!$B$2:$B$369,H$7,FASE2!$G$2:$G$369),0)</f>
        <v>0</v>
      </c>
      <c r="I34" s="114">
        <f>IFERROR(AVERAGEIF(FASE2!$B$2:$B$369,I$7,FASE2!$G$2:$G$369),0)</f>
        <v>0</v>
      </c>
      <c r="J34" s="114">
        <f>IFERROR(AVERAGEIF(FASE2!$B$2:$B$369,J$7,FASE2!$G$2:$G$369),0)</f>
        <v>0</v>
      </c>
      <c r="K34" s="114">
        <f>IFERROR(AVERAGEIF(FASE2!$B$2:$B$369,K$7,FASE2!$G$2:$G$369),0)</f>
        <v>0</v>
      </c>
      <c r="L34" s="114">
        <f>IFERROR(AVERAGEIF(FASE2!$B$2:$B$369,L$7,FASE2!$G$2:$G$369),0)</f>
        <v>0</v>
      </c>
      <c r="M34" s="114">
        <f>IFERROR(AVERAGEIF(FASE2!$B$2:$B$369,M$7,FASE2!$G$2:$G$369),0)</f>
        <v>0</v>
      </c>
      <c r="N34" s="114">
        <f>IFERROR(AVERAGEIF(FASE2!$B$2:$B$369,N$7,FASE2!$G$2:$G$369),0)</f>
        <v>0</v>
      </c>
      <c r="O34" s="114">
        <f>IFERROR(AVERAGEIF(FASE2!$B$2:$B$369,O$7,FASE2!$G$2:$G$369),0)</f>
        <v>0</v>
      </c>
      <c r="P34" s="116">
        <f t="shared" si="4"/>
        <v>1.5151515151515152E-2</v>
      </c>
      <c r="Q34" s="61">
        <f t="shared" si="5"/>
        <v>1.5151515151515152E-2</v>
      </c>
      <c r="R34" s="62"/>
      <c r="S34" s="62"/>
      <c r="T34" s="62"/>
      <c r="U34" s="62"/>
      <c r="V34" s="85"/>
      <c r="W34" s="79"/>
      <c r="X34" s="32"/>
    </row>
    <row r="35" spans="1:24" s="1" customFormat="1" ht="21.75" customHeight="1" x14ac:dyDescent="0.35">
      <c r="A35" s="4"/>
      <c r="B35" s="134"/>
      <c r="C35" s="36" t="s">
        <v>41</v>
      </c>
      <c r="D35" s="114">
        <f>IFERROR(AVERAGEIF(FASE2!$B$2:$B$369,D$7,FASE2!$H$2:$H$369),0)</f>
        <v>0.95909090909090911</v>
      </c>
      <c r="E35" s="114">
        <f>IFERROR(AVERAGEIF(FASE2!$B$2:$B$369,E$7,FASE2!$H$2:$H$369),0)</f>
        <v>0.32093023255813974</v>
      </c>
      <c r="F35" s="114">
        <f>IFERROR(AVERAGEIF(FASE2!$B$2:$B$369,F$7,FASE2!$H$2:$H$369),0)</f>
        <v>0.23863636363636373</v>
      </c>
      <c r="G35" s="114">
        <f>IFERROR(AVERAGEIF(FASE2!$B$2:$B$369,G$7,FASE2!$H$2:$H$369),0)</f>
        <v>0</v>
      </c>
      <c r="H35" s="114">
        <f>IFERROR(AVERAGEIF(FASE2!$B$2:$B$369,H$7,FASE2!$H$2:$H$369),0)</f>
        <v>0</v>
      </c>
      <c r="I35" s="114">
        <f>IFERROR(AVERAGEIF(FASE2!$B$2:$B$369,I$7,FASE2!$H$2:$H$369),0)</f>
        <v>0</v>
      </c>
      <c r="J35" s="114">
        <f>IFERROR(AVERAGEIF(FASE2!$B$2:$B$369,J$7,FASE2!$H$2:$H$369),0)</f>
        <v>0</v>
      </c>
      <c r="K35" s="114">
        <f>IFERROR(AVERAGEIF(FASE2!$B$2:$B$369,K$7,FASE2!$H$2:$H$369),0)</f>
        <v>0</v>
      </c>
      <c r="L35" s="114">
        <f>IFERROR(AVERAGEIF(FASE2!$B$2:$B$369,L$7,FASE2!$H$2:$H$369),0)</f>
        <v>0</v>
      </c>
      <c r="M35" s="114">
        <f>IFERROR(AVERAGEIF(FASE2!$B$2:$B$369,M$7,FASE2!$H$2:$H$369),0)</f>
        <v>0</v>
      </c>
      <c r="N35" s="114">
        <f>IFERROR(AVERAGEIF(FASE2!$B$2:$B$369,N$7,FASE2!$H$2:$H$369),0)</f>
        <v>0</v>
      </c>
      <c r="O35" s="114">
        <f>IFERROR(AVERAGEIF(FASE2!$B$2:$B$369,O$7,FASE2!$H$2:$H$369),0)</f>
        <v>0</v>
      </c>
      <c r="P35" s="116">
        <f t="shared" si="4"/>
        <v>0.1265547921071177</v>
      </c>
      <c r="Q35" s="61">
        <f t="shared" si="5"/>
        <v>0.1265547921071177</v>
      </c>
      <c r="R35" s="62"/>
      <c r="S35" s="62"/>
      <c r="T35" s="62"/>
      <c r="U35" s="62"/>
      <c r="V35" s="85"/>
      <c r="W35" s="79"/>
      <c r="X35" s="32"/>
    </row>
    <row r="36" spans="1:24" s="1" customFormat="1" ht="21.75" customHeight="1" x14ac:dyDescent="0.35">
      <c r="A36" s="4"/>
      <c r="B36" s="134"/>
      <c r="C36" s="36" t="s">
        <v>42</v>
      </c>
      <c r="D36" s="114">
        <f>IFERROR(AVERAGEIF(FASE2!$B$2:$B$369,D$7,FASE2!$I$2:$I$369),0)</f>
        <v>0.79090909090909089</v>
      </c>
      <c r="E36" s="114">
        <f>IFERROR(AVERAGEIF(FASE2!$B$2:$B$369,E$7,FASE2!$I$2:$I$369),0)</f>
        <v>2.5581395348837212E-2</v>
      </c>
      <c r="F36" s="114">
        <f>IFERROR(AVERAGEIF(FASE2!$B$2:$B$369,F$7,FASE2!$I$2:$I$369),0)</f>
        <v>2.1590909090909091E-2</v>
      </c>
      <c r="G36" s="114">
        <f>IFERROR(AVERAGEIF(FASE2!$B$2:$B$369,G$7,FASE2!$I$2:$I$369),0)</f>
        <v>0</v>
      </c>
      <c r="H36" s="114">
        <f>IFERROR(AVERAGEIF(FASE2!$B$2:$B$369,H$7,FASE2!$I$2:$I$369),0)</f>
        <v>0</v>
      </c>
      <c r="I36" s="114">
        <f>IFERROR(AVERAGEIF(FASE2!$B$2:$B$369,I$7,FASE2!$I$2:$I$369),0)</f>
        <v>0</v>
      </c>
      <c r="J36" s="114">
        <f>IFERROR(AVERAGEIF(FASE2!$B$2:$B$369,J$7,FASE2!$I$2:$I$369),0)</f>
        <v>0</v>
      </c>
      <c r="K36" s="114">
        <f>IFERROR(AVERAGEIF(FASE2!$B$2:$B$369,K$7,FASE2!$I$2:$I$369),0)</f>
        <v>0</v>
      </c>
      <c r="L36" s="114">
        <f>IFERROR(AVERAGEIF(FASE2!$B$2:$B$369,L$7,FASE2!$I$2:$I$369),0)</f>
        <v>0</v>
      </c>
      <c r="M36" s="114">
        <f>IFERROR(AVERAGEIF(FASE2!$B$2:$B$369,M$7,FASE2!$I$2:$I$369),0)</f>
        <v>0</v>
      </c>
      <c r="N36" s="114">
        <f>IFERROR(AVERAGEIF(FASE2!$B$2:$B$369,N$7,FASE2!$I$2:$I$369),0)</f>
        <v>0</v>
      </c>
      <c r="O36" s="114">
        <f>IFERROR(AVERAGEIF(FASE2!$B$2:$B$369,O$7,FASE2!$I$2:$I$369),0)</f>
        <v>0</v>
      </c>
      <c r="P36" s="116">
        <f t="shared" si="4"/>
        <v>6.9840116279069761E-2</v>
      </c>
      <c r="Q36" s="61">
        <f t="shared" si="5"/>
        <v>6.9840116279069761E-2</v>
      </c>
      <c r="R36" s="62"/>
      <c r="S36" s="62"/>
      <c r="T36" s="62"/>
      <c r="U36" s="62"/>
      <c r="V36" s="85"/>
      <c r="W36" s="79"/>
      <c r="X36" s="32"/>
    </row>
    <row r="37" spans="1:24" s="1" customFormat="1" ht="21.75" customHeight="1" x14ac:dyDescent="0.35">
      <c r="A37" s="4"/>
      <c r="B37" s="134"/>
      <c r="C37" s="36" t="s">
        <v>43</v>
      </c>
      <c r="D37" s="114">
        <f>IFERROR(AVERAGEIF(FASE2!$B$2:$B$369,D$7,FASE2!$J$2:$J$369),0)</f>
        <v>0.95909090909090911</v>
      </c>
      <c r="E37" s="114">
        <f>IFERROR(AVERAGEIF(FASE2!$B$2:$B$369,E$7,FASE2!$J$2:$J$369),0)</f>
        <v>0.53953488372092995</v>
      </c>
      <c r="F37" s="114">
        <f>IFERROR(AVERAGEIF(FASE2!$B$2:$B$369,F$7,FASE2!$J$2:$J$369),0)</f>
        <v>2.1590909090909091E-2</v>
      </c>
      <c r="G37" s="114">
        <f>IFERROR(AVERAGEIF(FASE2!$B$2:$B$369,G$7,FASE2!$J$2:$J$369),0)</f>
        <v>0</v>
      </c>
      <c r="H37" s="114">
        <f>IFERROR(AVERAGEIF(FASE2!$B$2:$B$369,H$7,FASE2!$J$2:$J$369),0)</f>
        <v>0</v>
      </c>
      <c r="I37" s="114">
        <f>IFERROR(AVERAGEIF(FASE2!$B$2:$B$369,I$7,FASE2!$J$2:$J$369),0)</f>
        <v>0</v>
      </c>
      <c r="J37" s="114">
        <f>IFERROR(AVERAGEIF(FASE2!$B$2:$B$369,J$7,FASE2!$J$2:$J$369),0)</f>
        <v>0</v>
      </c>
      <c r="K37" s="114">
        <f>IFERROR(AVERAGEIF(FASE2!$B$2:$B$369,K$7,FASE2!$J$2:$J$369),0)</f>
        <v>0</v>
      </c>
      <c r="L37" s="114">
        <f>IFERROR(AVERAGEIF(FASE2!$B$2:$B$369,L$7,FASE2!$J$2:$J$369),0)</f>
        <v>0</v>
      </c>
      <c r="M37" s="114">
        <f>IFERROR(AVERAGEIF(FASE2!$B$2:$B$369,M$7,FASE2!$J$2:$J$369),0)</f>
        <v>0</v>
      </c>
      <c r="N37" s="114">
        <f>IFERROR(AVERAGEIF(FASE2!$B$2:$B$369,N$7,FASE2!$J$2:$J$369),0)</f>
        <v>0</v>
      </c>
      <c r="O37" s="114">
        <f>IFERROR(AVERAGEIF(FASE2!$B$2:$B$369,O$7,FASE2!$J$2:$J$369),0)</f>
        <v>0</v>
      </c>
      <c r="P37" s="116">
        <f t="shared" si="4"/>
        <v>0.12668472515856233</v>
      </c>
      <c r="Q37" s="61">
        <f t="shared" si="5"/>
        <v>0.12668472515856233</v>
      </c>
      <c r="R37" s="62"/>
      <c r="S37" s="62"/>
      <c r="T37" s="62"/>
      <c r="U37" s="62"/>
      <c r="V37" s="85"/>
      <c r="W37" s="79"/>
      <c r="X37" s="32"/>
    </row>
    <row r="38" spans="1:24" s="1" customFormat="1" ht="21.75" customHeight="1" x14ac:dyDescent="0.35">
      <c r="A38" s="4"/>
      <c r="B38" s="134"/>
      <c r="C38" s="36" t="s">
        <v>44</v>
      </c>
      <c r="D38" s="114">
        <f>IFERROR(AVERAGEIF(FASE2!$B$2:$B$369,D$7,FASE2!$K$2:$K$369),0)</f>
        <v>0.95909090909090911</v>
      </c>
      <c r="E38" s="114">
        <f>IFERROR(AVERAGEIF(FASE2!$B$2:$B$369,E$7,FASE2!$K$2:$K$369),0)</f>
        <v>6.9767441860465115E-3</v>
      </c>
      <c r="F38" s="114">
        <f>IFERROR(AVERAGEIF(FASE2!$B$2:$B$369,F$7,FASE2!$K$2:$K$369),0)</f>
        <v>2.1590909090909091E-2</v>
      </c>
      <c r="G38" s="114">
        <f>IFERROR(AVERAGEIF(FASE2!$B$2:$B$369,G$7,FASE2!$K$2:$K$369),0)</f>
        <v>0</v>
      </c>
      <c r="H38" s="114">
        <f>IFERROR(AVERAGEIF(FASE2!$B$2:$B$369,H$7,FASE2!$K$2:$K$369),0)</f>
        <v>0</v>
      </c>
      <c r="I38" s="114">
        <f>IFERROR(AVERAGEIF(FASE2!$B$2:$B$369,I$7,FASE2!$K$2:$K$369),0)</f>
        <v>0</v>
      </c>
      <c r="J38" s="114">
        <f>IFERROR(AVERAGEIF(FASE2!$B$2:$B$369,J$7,FASE2!$K$2:$K$369),0)</f>
        <v>0</v>
      </c>
      <c r="K38" s="114">
        <f>IFERROR(AVERAGEIF(FASE2!$B$2:$B$369,K$7,FASE2!$K$2:$K$369),0)</f>
        <v>0</v>
      </c>
      <c r="L38" s="114">
        <f>IFERROR(AVERAGEIF(FASE2!$B$2:$B$369,L$7,FASE2!$K$2:$K$369),0)</f>
        <v>0</v>
      </c>
      <c r="M38" s="114">
        <f>IFERROR(AVERAGEIF(FASE2!$B$2:$B$369,M$7,FASE2!$K$2:$K$369),0)</f>
        <v>0</v>
      </c>
      <c r="N38" s="114">
        <f>IFERROR(AVERAGEIF(FASE2!$B$2:$B$369,N$7,FASE2!$K$2:$K$369),0)</f>
        <v>0</v>
      </c>
      <c r="O38" s="114">
        <f>IFERROR(AVERAGEIF(FASE2!$B$2:$B$369,O$7,FASE2!$K$2:$K$369),0)</f>
        <v>0</v>
      </c>
      <c r="P38" s="116">
        <f t="shared" si="4"/>
        <v>8.2304880197322058E-2</v>
      </c>
      <c r="Q38" s="61">
        <f t="shared" si="5"/>
        <v>8.2304880197322058E-2</v>
      </c>
      <c r="R38" s="62"/>
      <c r="S38" s="62"/>
      <c r="T38" s="62"/>
      <c r="U38" s="62"/>
      <c r="V38" s="85"/>
      <c r="W38" s="79"/>
      <c r="X38" s="32"/>
    </row>
    <row r="39" spans="1:24" s="1" customFormat="1" ht="21.75" customHeight="1" x14ac:dyDescent="0.35">
      <c r="A39" s="4"/>
      <c r="B39" s="134"/>
      <c r="C39" s="36" t="s">
        <v>45</v>
      </c>
      <c r="D39" s="114">
        <f>IFERROR(AVERAGEIF(FASE2!$B$2:$B$369,D$7,FASE2!$L$2:$L$369),0)</f>
        <v>0.95909090909090911</v>
      </c>
      <c r="E39" s="114">
        <f>IFERROR(AVERAGEIF(FASE2!$B$2:$B$369,E$7,FASE2!$L$2:$L$369),0)</f>
        <v>4.6511627906976744E-3</v>
      </c>
      <c r="F39" s="114">
        <f>IFERROR(AVERAGEIF(FASE2!$B$2:$B$369,F$7,FASE2!$L$2:$L$369),0)</f>
        <v>2.1590909090909091E-2</v>
      </c>
      <c r="G39" s="114">
        <f>IFERROR(AVERAGEIF(FASE2!$B$2:$B$369,G$7,FASE2!$L$2:$L$369),0)</f>
        <v>0</v>
      </c>
      <c r="H39" s="114">
        <f>IFERROR(AVERAGEIF(FASE2!$B$2:$B$369,H$7,FASE2!$L$2:$L$369),0)</f>
        <v>0</v>
      </c>
      <c r="I39" s="114">
        <f>IFERROR(AVERAGEIF(FASE2!$B$2:$B$369,I$7,FASE2!$L$2:$L$369),0)</f>
        <v>0</v>
      </c>
      <c r="J39" s="114">
        <f>IFERROR(AVERAGEIF(FASE2!$B$2:$B$369,J$7,FASE2!$L$2:$L$369),0)</f>
        <v>0</v>
      </c>
      <c r="K39" s="114">
        <f>IFERROR(AVERAGEIF(FASE2!$B$2:$B$369,K$7,FASE2!$L$2:$L$369),0)</f>
        <v>0</v>
      </c>
      <c r="L39" s="114">
        <f>IFERROR(AVERAGEIF(FASE2!$B$2:$B$369,L$7,FASE2!$L$2:$L$369),0)</f>
        <v>0</v>
      </c>
      <c r="M39" s="114">
        <f>IFERROR(AVERAGEIF(FASE2!$B$2:$B$369,M$7,FASE2!$L$2:$L$369),0)</f>
        <v>0</v>
      </c>
      <c r="N39" s="114">
        <f>IFERROR(AVERAGEIF(FASE2!$B$2:$B$369,N$7,FASE2!$L$2:$L$369),0)</f>
        <v>0</v>
      </c>
      <c r="O39" s="114">
        <f>IFERROR(AVERAGEIF(FASE2!$B$2:$B$369,O$7,FASE2!$L$2:$L$369),0)</f>
        <v>0</v>
      </c>
      <c r="P39" s="116">
        <f t="shared" si="4"/>
        <v>8.2111081747709661E-2</v>
      </c>
      <c r="Q39" s="61">
        <f t="shared" si="5"/>
        <v>8.2111081747709661E-2</v>
      </c>
      <c r="R39" s="62"/>
      <c r="S39" s="62"/>
      <c r="T39" s="62"/>
      <c r="U39" s="62"/>
      <c r="V39" s="85"/>
      <c r="W39" s="79"/>
      <c r="X39" s="32"/>
    </row>
    <row r="40" spans="1:24" s="1" customFormat="1" ht="21.75" customHeight="1" x14ac:dyDescent="0.35">
      <c r="A40" s="4"/>
      <c r="B40" s="134"/>
      <c r="C40" s="36" t="s">
        <v>46</v>
      </c>
      <c r="D40" s="114">
        <f>IFERROR(AVERAGEIF(FASE2!$B$2:$B$369,D$7,FASE2!$M$2:$M$369),0)</f>
        <v>0.95909090909090911</v>
      </c>
      <c r="E40" s="114">
        <f>IFERROR(AVERAGEIF(FASE2!$B$2:$B$369,E$7,FASE2!$M$2:$M$369),0)</f>
        <v>0.20116279069767443</v>
      </c>
      <c r="F40" s="114">
        <f>IFERROR(AVERAGEIF(FASE2!$B$2:$B$369,F$7,FASE2!$M$2:$M$369),0)</f>
        <v>2.0454545454545454E-2</v>
      </c>
      <c r="G40" s="114">
        <f>IFERROR(AVERAGEIF(FASE2!$B$2:$B$369,G$7,FASE2!$M$2:$M$369),0)</f>
        <v>0</v>
      </c>
      <c r="H40" s="114">
        <f>IFERROR(AVERAGEIF(FASE2!$B$2:$B$369,H$7,FASE2!$M$2:$M$369),0)</f>
        <v>0</v>
      </c>
      <c r="I40" s="114">
        <f>IFERROR(AVERAGEIF(FASE2!$B$2:$B$369,I$7,FASE2!$M$2:$M$369),0)</f>
        <v>0</v>
      </c>
      <c r="J40" s="114">
        <f>IFERROR(AVERAGEIF(FASE2!$B$2:$B$369,J$7,FASE2!$M$2:$M$369),0)</f>
        <v>0</v>
      </c>
      <c r="K40" s="114">
        <f>IFERROR(AVERAGEIF(FASE2!$B$2:$B$369,K$7,FASE2!$M$2:$M$369),0)</f>
        <v>0</v>
      </c>
      <c r="L40" s="114">
        <f>IFERROR(AVERAGEIF(FASE2!$B$2:$B$369,L$7,FASE2!$M$2:$M$369),0)</f>
        <v>0</v>
      </c>
      <c r="M40" s="114">
        <f>IFERROR(AVERAGEIF(FASE2!$B$2:$B$369,M$7,FASE2!$M$2:$M$369),0)</f>
        <v>0</v>
      </c>
      <c r="N40" s="114">
        <f>IFERROR(AVERAGEIF(FASE2!$B$2:$B$369,N$7,FASE2!$M$2:$M$369),0)</f>
        <v>0</v>
      </c>
      <c r="O40" s="114">
        <f>IFERROR(AVERAGEIF(FASE2!$B$2:$B$369,O$7,FASE2!$M$2:$M$369),0)</f>
        <v>0</v>
      </c>
      <c r="P40" s="116">
        <f t="shared" si="4"/>
        <v>9.8392353770260746E-2</v>
      </c>
      <c r="Q40" s="61">
        <f t="shared" si="5"/>
        <v>9.8392353770260746E-2</v>
      </c>
      <c r="R40" s="62"/>
      <c r="S40" s="62"/>
      <c r="T40" s="62"/>
      <c r="U40" s="62"/>
      <c r="V40" s="85"/>
      <c r="W40" s="79"/>
      <c r="X40" s="32"/>
    </row>
    <row r="41" spans="1:24" s="1" customFormat="1" ht="21.75" customHeight="1" x14ac:dyDescent="0.35">
      <c r="A41" s="4"/>
      <c r="B41" s="134"/>
      <c r="C41" s="36" t="s">
        <v>47</v>
      </c>
      <c r="D41" s="114">
        <f>IFERROR(AVERAGEIF(FASE2!$B$2:$B$369,D$7,FASE2!$N$2:$N$369),0)</f>
        <v>0.95909090909090911</v>
      </c>
      <c r="E41" s="114">
        <f>IFERROR(AVERAGEIF(FASE2!$B$2:$B$369,E$7,FASE2!$N$2:$N$369),0)</f>
        <v>0.23953488372093013</v>
      </c>
      <c r="F41" s="114">
        <f>IFERROR(AVERAGEIF(FASE2!$B$2:$B$369,F$7,FASE2!$N$2:$N$369),0)</f>
        <v>2.0454545454545454E-2</v>
      </c>
      <c r="G41" s="114">
        <f>IFERROR(AVERAGEIF(FASE2!$B$2:$B$369,G$7,FASE2!$N$2:$N$369),0)</f>
        <v>0</v>
      </c>
      <c r="H41" s="114">
        <f>IFERROR(AVERAGEIF(FASE2!$B$2:$B$369,H$7,FASE2!$N$2:$N$369),0)</f>
        <v>0</v>
      </c>
      <c r="I41" s="114">
        <f>IFERROR(AVERAGEIF(FASE2!$B$2:$B$369,I$7,FASE2!$N$2:$N$369),0)</f>
        <v>0</v>
      </c>
      <c r="J41" s="114">
        <f>IFERROR(AVERAGEIF(FASE2!$B$2:$B$369,J$7,FASE2!$N$2:$N$369),0)</f>
        <v>0</v>
      </c>
      <c r="K41" s="114">
        <f>IFERROR(AVERAGEIF(FASE2!$B$2:$B$369,K$7,FASE2!$N$2:$N$369),0)</f>
        <v>0</v>
      </c>
      <c r="L41" s="114">
        <f>IFERROR(AVERAGEIF(FASE2!$B$2:$B$369,L$7,FASE2!$N$2:$N$369),0)</f>
        <v>0</v>
      </c>
      <c r="M41" s="114">
        <f>IFERROR(AVERAGEIF(FASE2!$B$2:$B$369,M$7,FASE2!$N$2:$N$369),0)</f>
        <v>0</v>
      </c>
      <c r="N41" s="114">
        <f>IFERROR(AVERAGEIF(FASE2!$B$2:$B$369,N$7,FASE2!$N$2:$N$369),0)</f>
        <v>0</v>
      </c>
      <c r="O41" s="114">
        <f>IFERROR(AVERAGEIF(FASE2!$B$2:$B$369,O$7,FASE2!$N$2:$N$369),0)</f>
        <v>0</v>
      </c>
      <c r="P41" s="116">
        <f t="shared" si="4"/>
        <v>0.10159002818886538</v>
      </c>
      <c r="Q41" s="61">
        <f t="shared" si="5"/>
        <v>0.10159002818886538</v>
      </c>
      <c r="R41" s="62"/>
      <c r="S41" s="62"/>
      <c r="T41" s="62"/>
      <c r="U41" s="62"/>
      <c r="V41" s="85"/>
      <c r="W41" s="79"/>
      <c r="X41" s="32"/>
    </row>
    <row r="42" spans="1:24" s="1" customFormat="1" ht="21.75" customHeight="1" x14ac:dyDescent="0.35">
      <c r="A42" s="4"/>
      <c r="B42" s="134"/>
      <c r="C42" s="36" t="s">
        <v>48</v>
      </c>
      <c r="D42" s="114">
        <f>IFERROR(AVERAGEIF(FASE2!$B$2:$B$369,D$7,FASE2!$O$2:$O$369),0)</f>
        <v>0.66818181818181821</v>
      </c>
      <c r="E42" s="114">
        <f>IFERROR(AVERAGEIF(FASE2!$B$2:$B$369,E$7,FASE2!$O$2:$O$369),0)</f>
        <v>9.3023255813953487E-3</v>
      </c>
      <c r="F42" s="114">
        <f>IFERROR(AVERAGEIF(FASE2!$B$2:$B$369,F$7,FASE2!$O$2:$O$369),0)</f>
        <v>2.1590909090909091E-2</v>
      </c>
      <c r="G42" s="114">
        <f>IFERROR(AVERAGEIF(FASE2!$B$2:$B$369,G$7,FASE2!$O$2:$O$369),0)</f>
        <v>0</v>
      </c>
      <c r="H42" s="114">
        <f>IFERROR(AVERAGEIF(FASE2!$B$2:$B$369,H$7,FASE2!$O$2:$O$369),0)</f>
        <v>0</v>
      </c>
      <c r="I42" s="114">
        <f>IFERROR(AVERAGEIF(FASE2!$B$2:$B$369,I$7,FASE2!$O$2:$O$369),0)</f>
        <v>0</v>
      </c>
      <c r="J42" s="114">
        <f>IFERROR(AVERAGEIF(FASE2!$B$2:$B$369,J$7,FASE2!$O$2:$O$369),0)</f>
        <v>0</v>
      </c>
      <c r="K42" s="114">
        <f>IFERROR(AVERAGEIF(FASE2!$B$2:$B$369,K$7,FASE2!$O$2:$O$369),0)</f>
        <v>0</v>
      </c>
      <c r="L42" s="114">
        <f>IFERROR(AVERAGEIF(FASE2!$B$2:$B$369,L$7,FASE2!$O$2:$O$369),0)</f>
        <v>0</v>
      </c>
      <c r="M42" s="114">
        <f>IFERROR(AVERAGEIF(FASE2!$B$2:$B$369,M$7,FASE2!$O$2:$O$369),0)</f>
        <v>0</v>
      </c>
      <c r="N42" s="114">
        <f>IFERROR(AVERAGEIF(FASE2!$B$2:$B$369,N$7,FASE2!$O$2:$O$369),0)</f>
        <v>0</v>
      </c>
      <c r="O42" s="114">
        <f>IFERROR(AVERAGEIF(FASE2!$B$2:$B$369,O$7,FASE2!$O$2:$O$369),0)</f>
        <v>0</v>
      </c>
      <c r="P42" s="116">
        <f t="shared" si="4"/>
        <v>5.8256254404510217E-2</v>
      </c>
      <c r="Q42" s="61">
        <f t="shared" si="5"/>
        <v>5.8256254404510217E-2</v>
      </c>
      <c r="R42" s="62"/>
      <c r="S42" s="62"/>
      <c r="T42" s="62"/>
      <c r="U42" s="62"/>
      <c r="V42" s="85"/>
      <c r="W42" s="79"/>
      <c r="X42" s="32"/>
    </row>
    <row r="43" spans="1:24" s="1" customFormat="1" ht="21.75" customHeight="1" x14ac:dyDescent="0.35">
      <c r="A43" s="4"/>
      <c r="B43" s="134"/>
      <c r="C43" s="36" t="s">
        <v>49</v>
      </c>
      <c r="D43" s="114">
        <f>IFERROR(AVERAGEIF(FASE2!$B$2:$B$369,D$7,FASE2!$P$2:$P$369),0)</f>
        <v>0.75</v>
      </c>
      <c r="E43" s="114">
        <f>IFERROR(AVERAGEIF(FASE2!$B$2:$B$369,E$7,FASE2!$P$2:$P$369),0)</f>
        <v>6.9883720930232554E-3</v>
      </c>
      <c r="F43" s="114">
        <f>IFERROR(AVERAGEIF(FASE2!$B$2:$B$369,F$7,FASE2!$P$2:$P$369),0)</f>
        <v>2.1590909090909091E-2</v>
      </c>
      <c r="G43" s="114">
        <f>IFERROR(AVERAGEIF(FASE2!$B$2:$B$369,G$7,FASE2!$P$2:$P$369),0)</f>
        <v>0</v>
      </c>
      <c r="H43" s="114">
        <f>IFERROR(AVERAGEIF(FASE2!$B$2:$B$369,H$7,FASE2!$P$2:$P$369),0)</f>
        <v>0</v>
      </c>
      <c r="I43" s="114">
        <f>IFERROR(AVERAGEIF(FASE2!$B$2:$B$369,I$7,FASE2!$P$2:$P$369),0)</f>
        <v>0</v>
      </c>
      <c r="J43" s="114">
        <f>IFERROR(AVERAGEIF(FASE2!$B$2:$B$369,J$7,FASE2!$P$2:$P$369),0)</f>
        <v>0</v>
      </c>
      <c r="K43" s="114">
        <f>IFERROR(AVERAGEIF(FASE2!$B$2:$B$369,K$7,FASE2!$P$2:$P$369),0)</f>
        <v>0</v>
      </c>
      <c r="L43" s="114">
        <f>IFERROR(AVERAGEIF(FASE2!$B$2:$B$369,L$7,FASE2!$P$2:$P$369),0)</f>
        <v>0</v>
      </c>
      <c r="M43" s="114">
        <f>IFERROR(AVERAGEIF(FASE2!$B$2:$B$369,M$7,FASE2!$P$2:$P$369),0)</f>
        <v>0</v>
      </c>
      <c r="N43" s="114">
        <f>IFERROR(AVERAGEIF(FASE2!$B$2:$B$369,N$7,FASE2!$P$2:$P$369),0)</f>
        <v>0</v>
      </c>
      <c r="O43" s="114">
        <f>IFERROR(AVERAGEIF(FASE2!$B$2:$B$369,O$7,FASE2!$P$2:$P$369),0)</f>
        <v>0</v>
      </c>
      <c r="P43" s="116">
        <f t="shared" si="4"/>
        <v>6.4881606765327698E-2</v>
      </c>
      <c r="Q43" s="61">
        <f t="shared" si="5"/>
        <v>6.4881606765327698E-2</v>
      </c>
      <c r="R43" s="62"/>
      <c r="S43" s="62"/>
      <c r="T43" s="62"/>
      <c r="U43" s="62"/>
      <c r="V43" s="85"/>
      <c r="W43" s="79"/>
      <c r="X43" s="32"/>
    </row>
    <row r="44" spans="1:24" s="1" customFormat="1" ht="21.75" customHeight="1" x14ac:dyDescent="0.35">
      <c r="A44" s="4"/>
      <c r="B44" s="134"/>
      <c r="C44" s="36" t="s">
        <v>50</v>
      </c>
      <c r="D44" s="114">
        <f>IFERROR(AVERAGEIF(FASE2!$B$2:$B$369,D$7,FASE2!$Q$2:$Q$369),0)</f>
        <v>1</v>
      </c>
      <c r="E44" s="114">
        <f>IFERROR(AVERAGEIF(FASE2!$B$2:$B$369,E$7,FASE2!$Q$2:$Q$369),0)</f>
        <v>0.41511627906976739</v>
      </c>
      <c r="F44" s="114">
        <f>IFERROR(AVERAGEIF(FASE2!$B$2:$B$369,F$7,FASE2!$Q$2:$Q$369),0)</f>
        <v>1.8181818181818184E-2</v>
      </c>
      <c r="G44" s="114">
        <f>IFERROR(AVERAGEIF(FASE2!$B$2:$B$369,G$7,FASE2!$Q$2:$Q$369),0)</f>
        <v>0</v>
      </c>
      <c r="H44" s="114">
        <f>IFERROR(AVERAGEIF(FASE2!$B$2:$B$369,H$7,FASE2!$Q$2:$Q$369),0)</f>
        <v>0</v>
      </c>
      <c r="I44" s="114">
        <f>IFERROR(AVERAGEIF(FASE2!$B$2:$B$369,I$7,FASE2!$Q$2:$Q$369),0)</f>
        <v>0</v>
      </c>
      <c r="J44" s="114">
        <f>IFERROR(AVERAGEIF(FASE2!$B$2:$B$369,J$7,FASE2!$Q$2:$Q$369),0)</f>
        <v>0</v>
      </c>
      <c r="K44" s="114">
        <f>IFERROR(AVERAGEIF(FASE2!$B$2:$B$369,K$7,FASE2!$Q$2:$Q$369),0)</f>
        <v>0</v>
      </c>
      <c r="L44" s="114">
        <f>IFERROR(AVERAGEIF(FASE2!$B$2:$B$369,L$7,FASE2!$Q$2:$Q$369),0)</f>
        <v>0</v>
      </c>
      <c r="M44" s="114">
        <f>IFERROR(AVERAGEIF(FASE2!$B$2:$B$369,M$7,FASE2!$Q$2:$Q$369),0)</f>
        <v>0</v>
      </c>
      <c r="N44" s="114">
        <f>IFERROR(AVERAGEIF(FASE2!$B$2:$B$369,N$7,FASE2!$Q$2:$Q$369),0)</f>
        <v>0</v>
      </c>
      <c r="O44" s="114">
        <f>IFERROR(AVERAGEIF(FASE2!$B$2:$B$369,O$7,FASE2!$Q$2:$Q$369),0)</f>
        <v>0</v>
      </c>
      <c r="P44" s="116">
        <f>AVERAGE(D44:O44)</f>
        <v>0.11944150810429878</v>
      </c>
      <c r="Q44" s="61">
        <f t="shared" si="5"/>
        <v>0.11944150810429878</v>
      </c>
      <c r="R44" s="62"/>
      <c r="S44" s="62"/>
      <c r="T44" s="62"/>
      <c r="U44" s="62"/>
      <c r="V44" s="85"/>
      <c r="W44" s="79"/>
      <c r="X44" s="32"/>
    </row>
    <row r="45" spans="1:24" s="1" customFormat="1" ht="21.75" customHeight="1" x14ac:dyDescent="0.35">
      <c r="A45" s="4"/>
      <c r="B45" s="134"/>
      <c r="C45" s="36" t="s">
        <v>51</v>
      </c>
      <c r="D45" s="114">
        <f>IFERROR(AVERAGEIF(FASE2!$B$2:$B$369,D$7,FASE2!$R$2:$R$369),0)</f>
        <v>0.59545454545454557</v>
      </c>
      <c r="E45" s="114">
        <f>IFERROR(AVERAGEIF(FASE2!$B$2:$B$369,E$7,FASE2!$R$2:$R$369),0)</f>
        <v>0</v>
      </c>
      <c r="F45" s="114">
        <f>IFERROR(AVERAGEIF(FASE2!$B$2:$B$369,F$7,FASE2!$R$2:$R$369),0)</f>
        <v>1.1363636363636364E-2</v>
      </c>
      <c r="G45" s="114">
        <f>IFERROR(AVERAGEIF(FASE2!$B$2:$B$369,G$7,FASE2!$R$2:$R$369),0)</f>
        <v>0</v>
      </c>
      <c r="H45" s="114">
        <f>IFERROR(AVERAGEIF(FASE2!$B$2:$B$369,H$7,FASE2!$R$2:$R$369),0)</f>
        <v>0</v>
      </c>
      <c r="I45" s="114">
        <f>IFERROR(AVERAGEIF(FASE2!$B$2:$B$369,I$7,FASE2!$R$2:$R$369),0)</f>
        <v>0</v>
      </c>
      <c r="J45" s="114">
        <f>IFERROR(AVERAGEIF(FASE2!$B$2:$B$369,J$7,FASE2!$R$2:$R$369),0)</f>
        <v>0</v>
      </c>
      <c r="K45" s="114">
        <f>IFERROR(AVERAGEIF(FASE2!$B$2:$B$369,K$7,FASE2!$R$2:$R$369),0)</f>
        <v>0</v>
      </c>
      <c r="L45" s="114">
        <f>IFERROR(AVERAGEIF(FASE2!$B$2:$B$369,L$7,FASE2!$R$2:$R$369),0)</f>
        <v>0</v>
      </c>
      <c r="M45" s="114">
        <f>IFERROR(AVERAGEIF(FASE2!$B$2:$B$369,M$7,FASE2!$R$2:$R$369),0)</f>
        <v>0</v>
      </c>
      <c r="N45" s="114">
        <f>IFERROR(AVERAGEIF(FASE2!$B$2:$B$369,N$7,FASE2!$R$2:$R$369),0)</f>
        <v>0</v>
      </c>
      <c r="O45" s="114">
        <f>IFERROR(AVERAGEIF(FASE2!$B$2:$B$369,O$7,FASE2!$R$2:$R$369),0)</f>
        <v>0</v>
      </c>
      <c r="P45" s="116">
        <f>+AVERAGE(D45:O45)</f>
        <v>5.0568181818181825E-2</v>
      </c>
      <c r="Q45" s="61">
        <f t="shared" si="5"/>
        <v>5.0568181818181825E-2</v>
      </c>
      <c r="R45" s="62"/>
      <c r="S45" s="62"/>
      <c r="T45" s="62"/>
      <c r="U45" s="62"/>
      <c r="V45" s="85"/>
      <c r="W45" s="79"/>
      <c r="X45" s="32"/>
    </row>
    <row r="46" spans="1:24" s="1" customFormat="1" ht="21.75" customHeight="1" x14ac:dyDescent="0.35">
      <c r="A46" s="4"/>
      <c r="B46" s="135"/>
      <c r="C46" s="38" t="s">
        <v>52</v>
      </c>
      <c r="D46" s="117">
        <f>IFERROR(AVERAGEIF(FASE2!$B$2:$B$369,D$7,FASE2!$S$2:$S$369),0)</f>
        <v>0.80909090909090908</v>
      </c>
      <c r="E46" s="117">
        <f>IFERROR(AVERAGEIF(FASE2!$B$2:$B$369,E$7,FASE2!$S$2:$S$369),0)</f>
        <v>1.1627906976744186E-2</v>
      </c>
      <c r="F46" s="117">
        <f>IFERROR(AVERAGEIF(FASE2!$B$2:$B$369,F$7,FASE2!$S$2:$S$369),0)</f>
        <v>2.1590909090909091E-2</v>
      </c>
      <c r="G46" s="117">
        <f>IFERROR(AVERAGEIF(FASE2!$B$2:$B$369,G$7,FASE2!$S$2:$S$369),0)</f>
        <v>0</v>
      </c>
      <c r="H46" s="117">
        <f>IFERROR(AVERAGEIF(FASE2!$B$2:$B$369,H$7,FASE2!$S$2:$S$369),0)</f>
        <v>0</v>
      </c>
      <c r="I46" s="117">
        <f>IFERROR(AVERAGEIF(FASE2!$B$2:$B$369,I$7,FASE2!$S$2:$S$369),0)</f>
        <v>0</v>
      </c>
      <c r="J46" s="117">
        <f>IFERROR(AVERAGEIF(FASE2!$B$2:$B$369,J$7,FASE2!$S$2:$S$369),0)</f>
        <v>0</v>
      </c>
      <c r="K46" s="117">
        <f>IFERROR(AVERAGEIF(FASE2!$B$2:$B$369,K$7,FASE2!$S$2:$S$369),0)</f>
        <v>0</v>
      </c>
      <c r="L46" s="117">
        <f>IFERROR(AVERAGEIF(FASE2!$B$2:$B$369,L$7,FASE2!$S$2:$S$369),0)</f>
        <v>0</v>
      </c>
      <c r="M46" s="117">
        <f>IFERROR(AVERAGEIF(FASE2!$B$2:$B$369,M$7,FASE2!$S$2:$S$369),0)</f>
        <v>0</v>
      </c>
      <c r="N46" s="117">
        <f>IFERROR(AVERAGEIF(FASE2!$B$2:$B$369,N$7,FASE2!$S$2:$S$369),0)</f>
        <v>0</v>
      </c>
      <c r="O46" s="117">
        <f>IFERROR(AVERAGEIF(FASE2!$B$2:$B$369,O$7,FASE2!$S$2:$S$369),0)</f>
        <v>0</v>
      </c>
      <c r="P46" s="118">
        <f>+AVERAGE(D46:O46)</f>
        <v>7.0192477096546871E-2</v>
      </c>
      <c r="Q46" s="61">
        <f t="shared" si="5"/>
        <v>7.0192477096546871E-2</v>
      </c>
      <c r="R46" s="63"/>
      <c r="S46" s="63"/>
      <c r="T46" s="63"/>
      <c r="U46" s="63"/>
      <c r="V46" s="86"/>
      <c r="W46" s="80"/>
      <c r="X46" s="34"/>
    </row>
    <row r="47" spans="1:24" s="51" customFormat="1" ht="13.5" customHeight="1" x14ac:dyDescent="0.2">
      <c r="B47" s="133" t="s">
        <v>53</v>
      </c>
      <c r="C47" s="148"/>
      <c r="D47" s="137"/>
      <c r="E47" s="137"/>
      <c r="F47" s="137"/>
      <c r="G47" s="137"/>
      <c r="H47" s="137"/>
      <c r="I47" s="137"/>
      <c r="J47" s="137"/>
      <c r="K47" s="137"/>
      <c r="L47" s="137"/>
      <c r="M47" s="137"/>
      <c r="N47" s="137"/>
      <c r="O47" s="137"/>
      <c r="P47" s="138"/>
      <c r="Q47" s="66"/>
      <c r="R47" s="66" t="s">
        <v>14</v>
      </c>
      <c r="S47" s="66" t="s">
        <v>15</v>
      </c>
      <c r="T47" s="66" t="s">
        <v>37</v>
      </c>
      <c r="U47" s="66" t="s">
        <v>0</v>
      </c>
      <c r="V47" s="66" t="s">
        <v>1</v>
      </c>
    </row>
    <row r="48" spans="1:24" s="51" customFormat="1" ht="13.5" customHeight="1" x14ac:dyDescent="0.2">
      <c r="B48" s="134"/>
      <c r="C48" s="149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1"/>
      <c r="Q48" s="55"/>
      <c r="R48" s="55">
        <f>+H9</f>
        <v>0.55555555550000002</v>
      </c>
      <c r="S48" s="55">
        <f>+J9</f>
        <v>0.77777777769999989</v>
      </c>
      <c r="T48" s="55">
        <f>+L9</f>
        <v>0.99999999989999999</v>
      </c>
      <c r="U48" s="55">
        <f>+N9</f>
        <v>0.9166666666666663</v>
      </c>
      <c r="V48" s="55">
        <f>+O9</f>
        <v>0.99999999999999956</v>
      </c>
    </row>
    <row r="49" spans="1:24" s="1" customFormat="1" ht="21.75" customHeight="1" x14ac:dyDescent="0.35">
      <c r="A49" s="4"/>
      <c r="B49" s="134"/>
      <c r="C49" s="40" t="s">
        <v>54</v>
      </c>
      <c r="D49" s="114">
        <f>IFERROR(AVERAGEIF(FASE3!$B$2:$B$369,D$7,FASE3!$E$2:$E$369),0)</f>
        <v>0</v>
      </c>
      <c r="E49" s="114">
        <f>IFERROR(AVERAGEIF(FASE3!$B$2:$B$369,E$7,FASE3!$E$2:$E$369),0)</f>
        <v>0</v>
      </c>
      <c r="F49" s="114">
        <f>IFERROR(AVERAGEIF(FASE3!$B$2:$B$369,F$7,FASE3!$E$2:$E$369),0)</f>
        <v>0</v>
      </c>
      <c r="G49" s="114">
        <f>IFERROR(AVERAGEIF(FASE3!$B$2:$B$369,G$7,FASE3!$E$2:$E$369),0)</f>
        <v>0</v>
      </c>
      <c r="H49" s="114">
        <f>IFERROR(AVERAGEIF(FASE3!$B$2:$B$369,H$7,FASE3!$E$2:$E$369),0)</f>
        <v>0</v>
      </c>
      <c r="I49" s="114">
        <f>IFERROR(AVERAGEIF(FASE3!$B$2:$B$369,I$7,FASE3!$E$2:$E$369),0)</f>
        <v>0</v>
      </c>
      <c r="J49" s="114">
        <f>IFERROR(AVERAGEIF(FASE3!$B$2:$B$369,J$7,FASE3!$E$2:$E$369),0)</f>
        <v>0</v>
      </c>
      <c r="K49" s="114">
        <f>IFERROR(AVERAGEIF(FASE3!$B$2:$B$369,K$7,FASE3!$E$2:$E$369),0)</f>
        <v>0</v>
      </c>
      <c r="L49" s="114">
        <f>IFERROR(AVERAGEIF(FASE3!$B$2:$B$369,L$7,FASE3!$E$2:$E$369),0)</f>
        <v>0</v>
      </c>
      <c r="M49" s="114">
        <f>IFERROR(AVERAGEIF(FASE3!$B$2:$B$369,M$7,FASE3!$E$2:$E$369),0)</f>
        <v>0</v>
      </c>
      <c r="N49" s="114">
        <f>IFERROR(AVERAGEIF(FASE3!$B$2:$B$369,N$7,FASE3!$E$2:$E$369),0)</f>
        <v>0</v>
      </c>
      <c r="O49" s="114">
        <f>IFERROR(AVERAGEIF(FASE3!$B$2:$B$369,O$7,FASE3!$E$2:$E$369),0)</f>
        <v>0</v>
      </c>
      <c r="P49" s="118">
        <f>+AVERAGE(D49:O49)</f>
        <v>0</v>
      </c>
      <c r="Q49" s="61"/>
      <c r="R49" s="65"/>
      <c r="S49" s="65"/>
      <c r="T49" s="65"/>
      <c r="U49" s="65"/>
      <c r="V49" s="87"/>
      <c r="W49" s="78"/>
      <c r="X49" s="31"/>
    </row>
    <row r="50" spans="1:24" s="1" customFormat="1" ht="21.75" customHeight="1" x14ac:dyDescent="0.35">
      <c r="A50" s="4"/>
      <c r="B50" s="134"/>
      <c r="C50" s="41" t="s">
        <v>55</v>
      </c>
      <c r="D50" s="114">
        <f>IFERROR(AVERAGEIF(FASE3!$B$2:$B$369,D$7,FASE3!$F$2:$F$369),0)</f>
        <v>0.75454545454545463</v>
      </c>
      <c r="E50" s="114">
        <f>IFERROR(AVERAGEIF(FASE3!$B$2:$B$369,E$7,FASE3!$F$2:$F$369),0)</f>
        <v>0.11162790697674418</v>
      </c>
      <c r="F50" s="114">
        <f>IFERROR(AVERAGEIF(FASE3!$B$2:$B$369,F$7,FASE3!$F$2:$F$369),0)</f>
        <v>2.0454545454545454E-2</v>
      </c>
      <c r="G50" s="114">
        <f>IFERROR(AVERAGEIF(FASE3!$B$2:$B$369,G$7,FASE3!$F$2:$F$369),0)</f>
        <v>0</v>
      </c>
      <c r="H50" s="114">
        <f>IFERROR(AVERAGEIF(FASE3!$B$2:$B$369,H$7,FASE3!$F$2:$F$369),0)</f>
        <v>0</v>
      </c>
      <c r="I50" s="114">
        <f>IFERROR(AVERAGEIF(FASE3!$B$2:$B$369,I$7,FASE3!$F$2:$F$369),0)</f>
        <v>0</v>
      </c>
      <c r="J50" s="114">
        <f>IFERROR(AVERAGEIF(FASE3!$B$2:$B$369,J$7,FASE3!$F$2:$F$369),0)</f>
        <v>0</v>
      </c>
      <c r="K50" s="114">
        <f>IFERROR(AVERAGEIF(FASE3!$B$2:$B$369,K$7,FASE3!$F$2:$F$369),0)</f>
        <v>0</v>
      </c>
      <c r="L50" s="114">
        <f>IFERROR(AVERAGEIF(FASE3!$B$2:$B$369,L$7,FASE3!$F$2:$F$369),0)</f>
        <v>0</v>
      </c>
      <c r="M50" s="114">
        <f>IFERROR(AVERAGEIF(FASE3!$B$2:$B$369,M$7,FASE3!$F$2:$F$369),0)</f>
        <v>0</v>
      </c>
      <c r="N50" s="114">
        <f>IFERROR(AVERAGEIF(FASE3!$B$2:$B$369,N$7,FASE3!$F$2:$F$369),0)</f>
        <v>0</v>
      </c>
      <c r="O50" s="114">
        <f>IFERROR(AVERAGEIF(FASE3!$B$2:$B$369,O$7,FASE3!$F$2:$F$369),0)</f>
        <v>0</v>
      </c>
      <c r="P50" s="118">
        <f t="shared" ref="P50:P69" si="6">+AVERAGE(D50:O50)</f>
        <v>7.3885658914728689E-2</v>
      </c>
      <c r="Q50" s="61">
        <f t="shared" ref="Q50:Q69" si="7">P50</f>
        <v>7.3885658914728689E-2</v>
      </c>
      <c r="R50" s="62"/>
      <c r="S50" s="62"/>
      <c r="T50" s="62"/>
      <c r="U50" s="62"/>
      <c r="V50" s="85"/>
      <c r="W50" s="79"/>
      <c r="X50" s="32"/>
    </row>
    <row r="51" spans="1:24" s="1" customFormat="1" ht="21.75" customHeight="1" x14ac:dyDescent="0.35">
      <c r="A51" s="4"/>
      <c r="B51" s="134"/>
      <c r="C51" s="41" t="s">
        <v>56</v>
      </c>
      <c r="D51" s="114">
        <f>IFERROR(AVERAGEIF(FASE3!$B$2:$B$369,D$7,FASE3!$G$2:$G$369),0)</f>
        <v>0.92727272727272725</v>
      </c>
      <c r="E51" s="114">
        <f>IFERROR(AVERAGEIF(FASE3!$B$2:$B$369,E$7,FASE3!$G$2:$G$369),0)</f>
        <v>7.441860465116279E-2</v>
      </c>
      <c r="F51" s="114">
        <f>IFERROR(AVERAGEIF(FASE3!$B$2:$B$369,F$7,FASE3!$G$2:$G$369),0)</f>
        <v>2.2727272727272728E-2</v>
      </c>
      <c r="G51" s="114">
        <f>IFERROR(AVERAGEIF(FASE3!$B$2:$B$369,G$7,FASE3!$G$2:$G$369),0)</f>
        <v>0</v>
      </c>
      <c r="H51" s="114">
        <f>IFERROR(AVERAGEIF(FASE3!$B$2:$B$369,H$7,FASE3!$G$2:$G$369),0)</f>
        <v>0</v>
      </c>
      <c r="I51" s="114">
        <f>IFERROR(AVERAGEIF(FASE3!$B$2:$B$369,I$7,FASE3!$G$2:$G$369),0)</f>
        <v>0</v>
      </c>
      <c r="J51" s="114">
        <f>IFERROR(AVERAGEIF(FASE3!$B$2:$B$369,J$7,FASE3!$G$2:$G$369),0)</f>
        <v>0</v>
      </c>
      <c r="K51" s="114">
        <f>IFERROR(AVERAGEIF(FASE3!$B$2:$B$369,K$7,FASE3!$G$2:$G$369),0)</f>
        <v>0</v>
      </c>
      <c r="L51" s="114">
        <f>IFERROR(AVERAGEIF(FASE3!$B$2:$B$369,L$7,FASE3!$G$2:$G$369),0)</f>
        <v>0</v>
      </c>
      <c r="M51" s="114">
        <f>IFERROR(AVERAGEIF(FASE3!$B$2:$B$369,M$7,FASE3!$G$2:$G$369),0)</f>
        <v>0</v>
      </c>
      <c r="N51" s="114">
        <f>IFERROR(AVERAGEIF(FASE3!$B$2:$B$369,N$7,FASE3!$G$2:$G$369),0)</f>
        <v>0</v>
      </c>
      <c r="O51" s="114">
        <f>IFERROR(AVERAGEIF(FASE3!$B$2:$B$369,O$7,FASE3!$G$2:$G$369),0)</f>
        <v>0</v>
      </c>
      <c r="P51" s="118">
        <f t="shared" si="6"/>
        <v>8.5368217054263562E-2</v>
      </c>
      <c r="Q51" s="61">
        <f t="shared" si="7"/>
        <v>8.5368217054263562E-2</v>
      </c>
      <c r="R51" s="62"/>
      <c r="S51" s="62"/>
      <c r="T51" s="62"/>
      <c r="U51" s="62"/>
      <c r="V51" s="85"/>
      <c r="W51" s="79"/>
      <c r="X51" s="32"/>
    </row>
    <row r="52" spans="1:24" s="1" customFormat="1" ht="21.75" customHeight="1" x14ac:dyDescent="0.35">
      <c r="A52" s="4"/>
      <c r="B52" s="134"/>
      <c r="C52" s="41" t="s">
        <v>57</v>
      </c>
      <c r="D52" s="114">
        <f>IFERROR(AVERAGEIF(FASE3!$B$2:$B$369,D$7,FASE3!$H$2:$H$369),0)</f>
        <v>0.18181818181818182</v>
      </c>
      <c r="E52" s="114">
        <f>IFERROR(AVERAGEIF(FASE3!$B$2:$B$369,E$7,FASE3!$H$2:$H$369),0)</f>
        <v>0</v>
      </c>
      <c r="F52" s="114">
        <f>IFERROR(AVERAGEIF(FASE3!$B$2:$B$369,F$7,FASE3!$H$2:$H$369),0)</f>
        <v>0</v>
      </c>
      <c r="G52" s="114">
        <f>IFERROR(AVERAGEIF(FASE3!$B$2:$B$369,G$7,FASE3!$H$2:$H$369),0)</f>
        <v>0</v>
      </c>
      <c r="H52" s="114">
        <f>IFERROR(AVERAGEIF(FASE3!$B$2:$B$369,H$7,FASE3!$H$2:$H$369),0)</f>
        <v>0</v>
      </c>
      <c r="I52" s="114">
        <f>IFERROR(AVERAGEIF(FASE3!$B$2:$B$369,I$7,FASE3!$H$2:$H$369),0)</f>
        <v>0</v>
      </c>
      <c r="J52" s="114">
        <f>IFERROR(AVERAGEIF(FASE3!$B$2:$B$369,J$7,FASE3!$H$2:$H$369),0)</f>
        <v>0</v>
      </c>
      <c r="K52" s="114">
        <f>IFERROR(AVERAGEIF(FASE3!$B$2:$B$369,K$7,FASE3!$H$2:$H$369),0)</f>
        <v>0</v>
      </c>
      <c r="L52" s="114">
        <f>IFERROR(AVERAGEIF(FASE3!$B$2:$B$369,L$7,FASE3!$H$2:$H$369),0)</f>
        <v>0</v>
      </c>
      <c r="M52" s="114">
        <f>IFERROR(AVERAGEIF(FASE3!$B$2:$B$369,M$7,FASE3!$H$2:$H$369),0)</f>
        <v>0</v>
      </c>
      <c r="N52" s="114">
        <f>IFERROR(AVERAGEIF(FASE3!$B$2:$B$369,N$7,FASE3!$H$2:$H$369),0)</f>
        <v>0</v>
      </c>
      <c r="O52" s="114">
        <f>IFERROR(AVERAGEIF(FASE3!$B$2:$B$369,O$7,FASE3!$H$2:$H$369),0)</f>
        <v>0</v>
      </c>
      <c r="P52" s="118">
        <f t="shared" si="6"/>
        <v>1.5151515151515152E-2</v>
      </c>
      <c r="Q52" s="61">
        <f t="shared" si="7"/>
        <v>1.5151515151515152E-2</v>
      </c>
      <c r="R52" s="62"/>
      <c r="S52" s="62"/>
      <c r="T52" s="62"/>
      <c r="U52" s="62"/>
      <c r="V52" s="85"/>
      <c r="W52" s="79"/>
      <c r="X52" s="32"/>
    </row>
    <row r="53" spans="1:24" s="1" customFormat="1" ht="21.75" customHeight="1" x14ac:dyDescent="0.35">
      <c r="A53" s="4"/>
      <c r="B53" s="134"/>
      <c r="C53" s="41" t="s">
        <v>58</v>
      </c>
      <c r="D53" s="114">
        <f>IFERROR(AVERAGEIF(FASE3!$B$2:$B$369,D$7,FASE3!$I$2:$I$369),0)</f>
        <v>0.18181818181818182</v>
      </c>
      <c r="E53" s="114">
        <f>IFERROR(AVERAGEIF(FASE3!$B$2:$B$369,E$7,FASE3!$I$2:$I$369),0)</f>
        <v>0</v>
      </c>
      <c r="F53" s="114">
        <f>IFERROR(AVERAGEIF(FASE3!$B$2:$B$369,F$7,FASE3!$I$2:$I$369),0)</f>
        <v>0</v>
      </c>
      <c r="G53" s="114">
        <f>IFERROR(AVERAGEIF(FASE3!$B$2:$B$369,G$7,FASE3!$I$2:$I$369),0)</f>
        <v>0</v>
      </c>
      <c r="H53" s="114">
        <f>IFERROR(AVERAGEIF(FASE3!$B$2:$B$369,H$7,FASE3!$I$2:$I$369),0)</f>
        <v>0</v>
      </c>
      <c r="I53" s="114">
        <f>IFERROR(AVERAGEIF(FASE3!$B$2:$B$369,I$7,FASE3!$I$2:$I$369),0)</f>
        <v>0</v>
      </c>
      <c r="J53" s="114">
        <f>IFERROR(AVERAGEIF(FASE3!$B$2:$B$369,J$7,FASE3!$I$2:$I$369),0)</f>
        <v>0</v>
      </c>
      <c r="K53" s="114">
        <f>IFERROR(AVERAGEIF(FASE3!$B$2:$B$369,K$7,FASE3!$I$2:$I$369),0)</f>
        <v>0</v>
      </c>
      <c r="L53" s="114">
        <f>IFERROR(AVERAGEIF(FASE3!$B$2:$B$369,L$7,FASE3!$I$2:$I$369),0)</f>
        <v>0</v>
      </c>
      <c r="M53" s="114">
        <f>IFERROR(AVERAGEIF(FASE3!$B$2:$B$369,M$7,FASE3!$I$2:$I$369),0)</f>
        <v>0</v>
      </c>
      <c r="N53" s="114">
        <f>IFERROR(AVERAGEIF(FASE3!$B$2:$B$369,N$7,FASE3!$I$2:$I$369),0)</f>
        <v>0</v>
      </c>
      <c r="O53" s="114">
        <f>IFERROR(AVERAGEIF(FASE3!$B$2:$B$369,O$7,FASE3!$I$2:$I$369),0)</f>
        <v>0</v>
      </c>
      <c r="P53" s="118">
        <f t="shared" si="6"/>
        <v>1.5151515151515152E-2</v>
      </c>
      <c r="Q53" s="61">
        <f t="shared" si="7"/>
        <v>1.5151515151515152E-2</v>
      </c>
      <c r="R53" s="62"/>
      <c r="S53" s="62"/>
      <c r="T53" s="62"/>
      <c r="U53" s="62"/>
      <c r="V53" s="85"/>
      <c r="W53" s="79"/>
      <c r="X53" s="32"/>
    </row>
    <row r="54" spans="1:24" s="1" customFormat="1" ht="21.75" customHeight="1" x14ac:dyDescent="0.35">
      <c r="A54" s="4"/>
      <c r="B54" s="134"/>
      <c r="C54" s="41" t="s">
        <v>59</v>
      </c>
      <c r="D54" s="114">
        <f>IFERROR(AVERAGEIF(FASE3!$B$2:$B$369,D$7,FASE3!$J$2:$J$369),0)</f>
        <v>0</v>
      </c>
      <c r="E54" s="114">
        <f>IFERROR(AVERAGEIF(FASE3!$B$2:$B$369,E$7,FASE3!$J$2:$J$369),0)</f>
        <v>0</v>
      </c>
      <c r="F54" s="114">
        <f>IFERROR(AVERAGEIF(FASE3!$B$2:$B$369,F$7,FASE3!$J$2:$J$369),0)</f>
        <v>0</v>
      </c>
      <c r="G54" s="114">
        <f>IFERROR(AVERAGEIF(FASE3!$B$2:$B$369,G$7,FASE3!$J$2:$J$369),0)</f>
        <v>0</v>
      </c>
      <c r="H54" s="114">
        <f>IFERROR(AVERAGEIF(FASE3!$B$2:$B$369,H$7,FASE3!$J$2:$J$369),0)</f>
        <v>0</v>
      </c>
      <c r="I54" s="114">
        <f>IFERROR(AVERAGEIF(FASE3!$B$2:$B$369,I$7,FASE3!$J$2:$J$369),0)</f>
        <v>0</v>
      </c>
      <c r="J54" s="114">
        <f>IFERROR(AVERAGEIF(FASE3!$B$2:$B$369,J$7,FASE3!$J$2:$J$369),0)</f>
        <v>0</v>
      </c>
      <c r="K54" s="114">
        <f>IFERROR(AVERAGEIF(FASE3!$B$2:$B$369,K$7,FASE3!$J$2:$J$369),0)</f>
        <v>0</v>
      </c>
      <c r="L54" s="114">
        <f>IFERROR(AVERAGEIF(FASE3!$B$2:$B$369,L$7,FASE3!$J$2:$J$369),0)</f>
        <v>0</v>
      </c>
      <c r="M54" s="114">
        <f>IFERROR(AVERAGEIF(FASE3!$B$2:$B$369,M$7,FASE3!$J$2:$J$369),0)</f>
        <v>0</v>
      </c>
      <c r="N54" s="114">
        <f>IFERROR(AVERAGEIF(FASE3!$B$2:$B$369,N$7,FASE3!$J$2:$J$369),0)</f>
        <v>0</v>
      </c>
      <c r="O54" s="114">
        <f>IFERROR(AVERAGEIF(FASE3!$B$2:$B$369,O$7,FASE3!$J$2:$J$369),0)</f>
        <v>0</v>
      </c>
      <c r="P54" s="118">
        <f t="shared" si="6"/>
        <v>0</v>
      </c>
      <c r="Q54" s="61">
        <f t="shared" si="7"/>
        <v>0</v>
      </c>
      <c r="R54" s="62"/>
      <c r="S54" s="62"/>
      <c r="T54" s="62"/>
      <c r="U54" s="62"/>
      <c r="V54" s="85"/>
      <c r="W54" s="79"/>
      <c r="X54" s="32"/>
    </row>
    <row r="55" spans="1:24" s="1" customFormat="1" ht="21.75" customHeight="1" x14ac:dyDescent="0.35">
      <c r="A55" s="4"/>
      <c r="B55" s="134"/>
      <c r="C55" s="41" t="s">
        <v>60</v>
      </c>
      <c r="D55" s="114">
        <f>IFERROR(AVERAGEIF(FASE3!$B$2:$B$369,D$7,FASE3!$K$2:$K$369),0)</f>
        <v>0.18181818181818182</v>
      </c>
      <c r="E55" s="114">
        <f>IFERROR(AVERAGEIF(FASE3!$B$2:$B$369,E$7,FASE3!$K$2:$K$369),0)</f>
        <v>0</v>
      </c>
      <c r="F55" s="114">
        <f>IFERROR(AVERAGEIF(FASE3!$B$2:$B$369,F$7,FASE3!$K$2:$K$369),0)</f>
        <v>0</v>
      </c>
      <c r="G55" s="114">
        <f>IFERROR(AVERAGEIF(FASE3!$B$2:$B$369,G$7,FASE3!$K$2:$K$369),0)</f>
        <v>0</v>
      </c>
      <c r="H55" s="114">
        <f>IFERROR(AVERAGEIF(FASE3!$B$2:$B$369,H$7,FASE3!$K$2:$K$369),0)</f>
        <v>0</v>
      </c>
      <c r="I55" s="114">
        <f>IFERROR(AVERAGEIF(FASE3!$B$2:$B$369,I$7,FASE3!$K$2:$K$369),0)</f>
        <v>0</v>
      </c>
      <c r="J55" s="114">
        <f>IFERROR(AVERAGEIF(FASE3!$B$2:$B$369,J$7,FASE3!$K$2:$K$369),0)</f>
        <v>0</v>
      </c>
      <c r="K55" s="114">
        <f>IFERROR(AVERAGEIF(FASE3!$B$2:$B$369,K$7,FASE3!$K$2:$K$369),0)</f>
        <v>0</v>
      </c>
      <c r="L55" s="114">
        <f>IFERROR(AVERAGEIF(FASE3!$B$2:$B$369,L$7,FASE3!$K$2:$K$369),0)</f>
        <v>0</v>
      </c>
      <c r="M55" s="114">
        <f>IFERROR(AVERAGEIF(FASE3!$B$2:$B$369,M$7,FASE3!$K$2:$K$369),0)</f>
        <v>0</v>
      </c>
      <c r="N55" s="114">
        <f>IFERROR(AVERAGEIF(FASE3!$B$2:$B$369,N$7,FASE3!$K$2:$K$369),0)</f>
        <v>0</v>
      </c>
      <c r="O55" s="114">
        <f>IFERROR(AVERAGEIF(FASE3!$B$2:$B$369,O$7,FASE3!$K$2:$K$369),0)</f>
        <v>0</v>
      </c>
      <c r="P55" s="118">
        <f t="shared" si="6"/>
        <v>1.5151515151515152E-2</v>
      </c>
      <c r="Q55" s="61">
        <f t="shared" si="7"/>
        <v>1.5151515151515152E-2</v>
      </c>
      <c r="R55" s="62"/>
      <c r="S55" s="62"/>
      <c r="T55" s="62"/>
      <c r="U55" s="62"/>
      <c r="V55" s="85"/>
      <c r="W55" s="79"/>
      <c r="X55" s="32"/>
    </row>
    <row r="56" spans="1:24" s="1" customFormat="1" ht="21.75" customHeight="1" x14ac:dyDescent="0.35">
      <c r="A56" s="4"/>
      <c r="B56" s="134"/>
      <c r="C56" s="41" t="s">
        <v>61</v>
      </c>
      <c r="D56" s="114">
        <f>IFERROR(AVERAGEIF(FASE3!$B$2:$B$369,D$7,FASE3!$L$2:$L$369),0)</f>
        <v>0.18181818181818182</v>
      </c>
      <c r="E56" s="114">
        <f>IFERROR(AVERAGEIF(FASE3!$B$2:$B$369,E$7,FASE3!$L$2:$L$369),0)</f>
        <v>0</v>
      </c>
      <c r="F56" s="114">
        <f>IFERROR(AVERAGEIF(FASE3!$B$2:$B$369,F$7,FASE3!$L$2:$L$369),0)</f>
        <v>0</v>
      </c>
      <c r="G56" s="114">
        <f>IFERROR(AVERAGEIF(FASE3!$B$2:$B$369,G$7,FASE3!$L$2:$L$369),0)</f>
        <v>0</v>
      </c>
      <c r="H56" s="114">
        <f>IFERROR(AVERAGEIF(FASE3!$B$2:$B$369,H$7,FASE3!$L$2:$L$369),0)</f>
        <v>0</v>
      </c>
      <c r="I56" s="114">
        <f>IFERROR(AVERAGEIF(FASE3!$B$2:$B$369,I$7,FASE3!$L$2:$L$369),0)</f>
        <v>0</v>
      </c>
      <c r="J56" s="114">
        <f>IFERROR(AVERAGEIF(FASE3!$B$2:$B$369,J$7,FASE3!$L$2:$L$369),0)</f>
        <v>0</v>
      </c>
      <c r="K56" s="114">
        <f>IFERROR(AVERAGEIF(FASE3!$B$2:$B$369,K$7,FASE3!$L$2:$L$369),0)</f>
        <v>0</v>
      </c>
      <c r="L56" s="114">
        <f>IFERROR(AVERAGEIF(FASE3!$B$2:$B$369,L$7,FASE3!$L$2:$L$369),0)</f>
        <v>0</v>
      </c>
      <c r="M56" s="114">
        <f>IFERROR(AVERAGEIF(FASE3!$B$2:$B$369,M$7,FASE3!$L$2:$L$369),0)</f>
        <v>0</v>
      </c>
      <c r="N56" s="114">
        <f>IFERROR(AVERAGEIF(FASE3!$B$2:$B$369,N$7,FASE3!$L$2:$L$369),0)</f>
        <v>0</v>
      </c>
      <c r="O56" s="114">
        <f>IFERROR(AVERAGEIF(FASE3!$B$2:$B$369,O$7,FASE3!$L$2:$L$369),0)</f>
        <v>0</v>
      </c>
      <c r="P56" s="118">
        <f t="shared" si="6"/>
        <v>1.5151515151515152E-2</v>
      </c>
      <c r="Q56" s="61">
        <f t="shared" si="7"/>
        <v>1.5151515151515152E-2</v>
      </c>
      <c r="R56" s="62"/>
      <c r="S56" s="62"/>
      <c r="T56" s="62"/>
      <c r="U56" s="62"/>
      <c r="V56" s="85"/>
      <c r="W56" s="79"/>
      <c r="X56" s="39"/>
    </row>
    <row r="57" spans="1:24" s="1" customFormat="1" ht="21.75" customHeight="1" x14ac:dyDescent="0.35">
      <c r="A57" s="4"/>
      <c r="B57" s="134"/>
      <c r="C57" s="41" t="s">
        <v>62</v>
      </c>
      <c r="D57" s="114">
        <f>IFERROR(AVERAGEIF(FASE3!$B$2:$B$369,D$7,FASE3!$M$2:$M$369),0)</f>
        <v>0</v>
      </c>
      <c r="E57" s="114">
        <f>IFERROR(AVERAGEIF(FASE3!$B$2:$B$369,E$7,FASE3!$M$2:$M$369),0)</f>
        <v>0</v>
      </c>
      <c r="F57" s="114">
        <f>IFERROR(AVERAGEIF(FASE3!$B$2:$B$369,F$7,FASE3!$M$2:$M$369),0)</f>
        <v>0</v>
      </c>
      <c r="G57" s="114">
        <f>IFERROR(AVERAGEIF(FASE3!$B$2:$B$369,G$7,FASE3!$M$2:$M$369),0)</f>
        <v>0</v>
      </c>
      <c r="H57" s="114">
        <f>IFERROR(AVERAGEIF(FASE3!$B$2:$B$369,H$7,FASE3!$M$2:$M$369),0)</f>
        <v>0</v>
      </c>
      <c r="I57" s="114">
        <f>IFERROR(AVERAGEIF(FASE3!$B$2:$B$369,I$7,FASE3!$M$2:$M$369),0)</f>
        <v>0</v>
      </c>
      <c r="J57" s="114">
        <f>IFERROR(AVERAGEIF(FASE3!$B$2:$B$369,J$7,FASE3!$M$2:$M$369),0)</f>
        <v>0</v>
      </c>
      <c r="K57" s="114">
        <f>IFERROR(AVERAGEIF(FASE3!$B$2:$B$369,K$7,FASE3!$M$2:$M$369),0)</f>
        <v>0</v>
      </c>
      <c r="L57" s="114">
        <f>IFERROR(AVERAGEIF(FASE3!$B$2:$B$369,L$7,FASE3!$M$2:$M$369),0)</f>
        <v>0</v>
      </c>
      <c r="M57" s="114">
        <f>IFERROR(AVERAGEIF(FASE3!$B$2:$B$369,M$7,FASE3!$M$2:$M$369),0)</f>
        <v>0</v>
      </c>
      <c r="N57" s="114">
        <f>IFERROR(AVERAGEIF(FASE3!$B$2:$B$369,N$7,FASE3!$M$2:$M$369),0)</f>
        <v>0</v>
      </c>
      <c r="O57" s="114">
        <f>IFERROR(AVERAGEIF(FASE3!$B$2:$B$369,O$7,FASE3!$M$2:$M$369),0)</f>
        <v>0</v>
      </c>
      <c r="P57" s="118">
        <f t="shared" si="6"/>
        <v>0</v>
      </c>
      <c r="Q57" s="61">
        <f t="shared" si="7"/>
        <v>0</v>
      </c>
      <c r="R57" s="62"/>
      <c r="S57" s="62"/>
      <c r="T57" s="62"/>
      <c r="U57" s="62"/>
      <c r="V57" s="85"/>
      <c r="W57" s="79"/>
      <c r="X57" s="32"/>
    </row>
    <row r="58" spans="1:24" s="1" customFormat="1" ht="21.75" customHeight="1" x14ac:dyDescent="0.35">
      <c r="A58" s="4"/>
      <c r="B58" s="134"/>
      <c r="C58" s="41" t="s">
        <v>63</v>
      </c>
      <c r="D58" s="114">
        <f>IFERROR(AVERAGEIF(FASE3!$B$2:$B$369,D$7,FASE3!$N$2:$N$369),0)</f>
        <v>0.87272727272727268</v>
      </c>
      <c r="E58" s="114">
        <f>IFERROR(AVERAGEIF(FASE3!$B$2:$B$369,E$7,FASE3!$N$2:$N$369),0)</f>
        <v>0.28255813953488373</v>
      </c>
      <c r="F58" s="114">
        <f>IFERROR(AVERAGEIF(FASE3!$B$2:$B$369,F$7,FASE3!$N$2:$N$369),0)</f>
        <v>5.3409090909090899E-2</v>
      </c>
      <c r="G58" s="114">
        <f>IFERROR(AVERAGEIF(FASE3!$B$2:$B$369,G$7,FASE3!$N$2:$N$369),0)</f>
        <v>0</v>
      </c>
      <c r="H58" s="114">
        <f>IFERROR(AVERAGEIF(FASE3!$B$2:$B$369,H$7,FASE3!$N$2:$N$369),0)</f>
        <v>0</v>
      </c>
      <c r="I58" s="114">
        <f>IFERROR(AVERAGEIF(FASE3!$B$2:$B$369,I$7,FASE3!$N$2:$N$369),0)</f>
        <v>0</v>
      </c>
      <c r="J58" s="114">
        <f>IFERROR(AVERAGEIF(FASE3!$B$2:$B$369,J$7,FASE3!$N$2:$N$369),0)</f>
        <v>0</v>
      </c>
      <c r="K58" s="114">
        <f>IFERROR(AVERAGEIF(FASE3!$B$2:$B$369,K$7,FASE3!$N$2:$N$369),0)</f>
        <v>0</v>
      </c>
      <c r="L58" s="114">
        <f>IFERROR(AVERAGEIF(FASE3!$B$2:$B$369,L$7,FASE3!$N$2:$N$369),0)</f>
        <v>0</v>
      </c>
      <c r="M58" s="114">
        <f>IFERROR(AVERAGEIF(FASE3!$B$2:$B$369,M$7,FASE3!$N$2:$N$369),0)</f>
        <v>0</v>
      </c>
      <c r="N58" s="114">
        <f>IFERROR(AVERAGEIF(FASE3!$B$2:$B$369,N$7,FASE3!$N$2:$N$369),0)</f>
        <v>0</v>
      </c>
      <c r="O58" s="114">
        <f>IFERROR(AVERAGEIF(FASE3!$B$2:$B$369,O$7,FASE3!$N$2:$N$369),0)</f>
        <v>0</v>
      </c>
      <c r="P58" s="118">
        <f t="shared" si="6"/>
        <v>0.10072454193093729</v>
      </c>
      <c r="Q58" s="61">
        <f t="shared" si="7"/>
        <v>0.10072454193093729</v>
      </c>
      <c r="R58" s="62"/>
      <c r="S58" s="62"/>
      <c r="T58" s="62"/>
      <c r="U58" s="62"/>
      <c r="V58" s="85"/>
      <c r="W58" s="79"/>
      <c r="X58" s="39"/>
    </row>
    <row r="59" spans="1:24" s="1" customFormat="1" ht="21.75" customHeight="1" x14ac:dyDescent="0.35">
      <c r="A59" s="4"/>
      <c r="B59" s="134"/>
      <c r="C59" s="41" t="s">
        <v>64</v>
      </c>
      <c r="D59" s="114">
        <f>IFERROR(AVERAGEIF(FASE3!$B$2:$B$369,D$7,FASE3!$O$2:$O$369),0)</f>
        <v>0.18181818181818182</v>
      </c>
      <c r="E59" s="114">
        <f>IFERROR(AVERAGEIF(FASE3!$B$2:$B$369,E$7,FASE3!$O$2:$O$369),0)</f>
        <v>0</v>
      </c>
      <c r="F59" s="114">
        <f>IFERROR(AVERAGEIF(FASE3!$B$2:$B$369,F$7,FASE3!$O$2:$O$369),0)</f>
        <v>0</v>
      </c>
      <c r="G59" s="114">
        <f>IFERROR(AVERAGEIF(FASE3!$B$2:$B$369,G$7,FASE3!$O$2:$O$369),0)</f>
        <v>0</v>
      </c>
      <c r="H59" s="114">
        <f>IFERROR(AVERAGEIF(FASE3!$B$2:$B$369,H$7,FASE3!$O$2:$O$369),0)</f>
        <v>0</v>
      </c>
      <c r="I59" s="114">
        <f>IFERROR(AVERAGEIF(FASE3!$B$2:$B$369,I$7,FASE3!$O$2:$O$369),0)</f>
        <v>0</v>
      </c>
      <c r="J59" s="114">
        <f>IFERROR(AVERAGEIF(FASE3!$B$2:$B$369,J$7,FASE3!$O$2:$O$369),0)</f>
        <v>0</v>
      </c>
      <c r="K59" s="114">
        <f>IFERROR(AVERAGEIF(FASE3!$B$2:$B$369,K$7,FASE3!$O$2:$O$369),0)</f>
        <v>0</v>
      </c>
      <c r="L59" s="114">
        <f>IFERROR(AVERAGEIF(FASE3!$B$2:$B$369,L$7,FASE3!$O$2:$O$369),0)</f>
        <v>0</v>
      </c>
      <c r="M59" s="114">
        <f>IFERROR(AVERAGEIF(FASE3!$B$2:$B$369,M$7,FASE3!$O$2:$O$369),0)</f>
        <v>0</v>
      </c>
      <c r="N59" s="114">
        <f>IFERROR(AVERAGEIF(FASE3!$B$2:$B$369,N$7,FASE3!$O$2:$O$369),0)</f>
        <v>0</v>
      </c>
      <c r="O59" s="114">
        <f>IFERROR(AVERAGEIF(FASE3!$B$2:$B$369,O$7,FASE3!$O$2:$O$369),0)</f>
        <v>0</v>
      </c>
      <c r="P59" s="118">
        <f t="shared" si="6"/>
        <v>1.5151515151515152E-2</v>
      </c>
      <c r="Q59" s="61">
        <f t="shared" si="7"/>
        <v>1.5151515151515152E-2</v>
      </c>
      <c r="R59" s="62"/>
      <c r="S59" s="62"/>
      <c r="T59" s="62"/>
      <c r="U59" s="62"/>
      <c r="V59" s="85"/>
      <c r="W59" s="79"/>
      <c r="X59" s="39"/>
    </row>
    <row r="60" spans="1:24" s="1" customFormat="1" ht="21.75" customHeight="1" x14ac:dyDescent="0.35">
      <c r="A60" s="4"/>
      <c r="B60" s="134"/>
      <c r="C60" s="41" t="s">
        <v>65</v>
      </c>
      <c r="D60" s="114">
        <f>IFERROR(AVERAGEIF(FASE3!$B$2:$B$369,D$7,FASE3!$P$2:$P$369),0)</f>
        <v>0.18181818181818182</v>
      </c>
      <c r="E60" s="114">
        <f>IFERROR(AVERAGEIF(FASE3!$B$2:$B$369,E$7,FASE3!$P$2:$P$369),0)</f>
        <v>0</v>
      </c>
      <c r="F60" s="114">
        <f>IFERROR(AVERAGEIF(FASE3!$B$2:$B$369,F$7,FASE3!$P$2:$P$369),0)</f>
        <v>0</v>
      </c>
      <c r="G60" s="114">
        <f>IFERROR(AVERAGEIF(FASE3!$B$2:$B$369,G$7,FASE3!$P$2:$P$369),0)</f>
        <v>0</v>
      </c>
      <c r="H60" s="114">
        <f>IFERROR(AVERAGEIF(FASE3!$B$2:$B$369,H$7,FASE3!$P$2:$P$369),0)</f>
        <v>0</v>
      </c>
      <c r="I60" s="114">
        <f>IFERROR(AVERAGEIF(FASE3!$B$2:$B$369,I$7,FASE3!$P$2:$P$369),0)</f>
        <v>0</v>
      </c>
      <c r="J60" s="114">
        <f>IFERROR(AVERAGEIF(FASE3!$B$2:$B$369,J$7,FASE3!$P$2:$P$369),0)</f>
        <v>0</v>
      </c>
      <c r="K60" s="114">
        <f>IFERROR(AVERAGEIF(FASE3!$B$2:$B$369,K$7,FASE3!$P$2:$P$369),0)</f>
        <v>0</v>
      </c>
      <c r="L60" s="114">
        <f>IFERROR(AVERAGEIF(FASE3!$B$2:$B$369,L$7,FASE3!$P$2:$P$369),0)</f>
        <v>0</v>
      </c>
      <c r="M60" s="114">
        <f>IFERROR(AVERAGEIF(FASE3!$B$2:$B$369,M$7,FASE3!$P$2:$P$369),0)</f>
        <v>0</v>
      </c>
      <c r="N60" s="114">
        <f>IFERROR(AVERAGEIF(FASE3!$B$2:$B$369,N$7,FASE3!$P$2:$P$369),0)</f>
        <v>0</v>
      </c>
      <c r="O60" s="114">
        <f>IFERROR(AVERAGEIF(FASE3!$B$2:$B$369,O$7,FASE3!$P$2:$P$369),0)</f>
        <v>0</v>
      </c>
      <c r="P60" s="118">
        <f t="shared" si="6"/>
        <v>1.5151515151515152E-2</v>
      </c>
      <c r="Q60" s="61">
        <f t="shared" si="7"/>
        <v>1.5151515151515152E-2</v>
      </c>
      <c r="R60" s="62"/>
      <c r="S60" s="62"/>
      <c r="T60" s="62"/>
      <c r="U60" s="62"/>
      <c r="V60" s="85"/>
      <c r="W60" s="79"/>
      <c r="X60" s="39"/>
    </row>
    <row r="61" spans="1:24" s="1" customFormat="1" ht="21.75" customHeight="1" x14ac:dyDescent="0.35">
      <c r="A61" s="4"/>
      <c r="B61" s="134"/>
      <c r="C61" s="41" t="s">
        <v>66</v>
      </c>
      <c r="D61" s="114">
        <f>IFERROR(AVERAGEIF(FASE3!$B$2:$B$369,D$7,FASE3!$Q$2:$Q$369),0)</f>
        <v>0.38636363636363635</v>
      </c>
      <c r="E61" s="114">
        <f>IFERROR(AVERAGEIF(FASE3!$B$2:$B$369,E$7,FASE3!$Q$2:$Q$369),0)</f>
        <v>0</v>
      </c>
      <c r="F61" s="114">
        <f>IFERROR(AVERAGEIF(FASE3!$B$2:$B$369,F$7,FASE3!$Q$2:$Q$369),0)</f>
        <v>0</v>
      </c>
      <c r="G61" s="114">
        <f>IFERROR(AVERAGEIF(FASE3!$B$2:$B$369,G$7,FASE3!$Q$2:$Q$369),0)</f>
        <v>0</v>
      </c>
      <c r="H61" s="114">
        <f>IFERROR(AVERAGEIF(FASE3!$B$2:$B$369,H$7,FASE3!$Q$2:$Q$369),0)</f>
        <v>0</v>
      </c>
      <c r="I61" s="114">
        <f>IFERROR(AVERAGEIF(FASE3!$B$2:$B$369,I$7,FASE3!$Q$2:$Q$369),0)</f>
        <v>0</v>
      </c>
      <c r="J61" s="114">
        <f>IFERROR(AVERAGEIF(FASE3!$B$2:$B$369,J$7,FASE3!$Q$2:$Q$369),0)</f>
        <v>0</v>
      </c>
      <c r="K61" s="114">
        <f>IFERROR(AVERAGEIF(FASE3!$B$2:$B$369,K$7,FASE3!$Q$2:$Q$369),0)</f>
        <v>0</v>
      </c>
      <c r="L61" s="114">
        <f>IFERROR(AVERAGEIF(FASE3!$B$2:$B$369,L$7,FASE3!$Q$2:$Q$369),0)</f>
        <v>0</v>
      </c>
      <c r="M61" s="114">
        <f>IFERROR(AVERAGEIF(FASE3!$B$2:$B$369,M$7,FASE3!$Q$2:$Q$369),0)</f>
        <v>0</v>
      </c>
      <c r="N61" s="114">
        <f>IFERROR(AVERAGEIF(FASE3!$B$2:$B$369,N$7,FASE3!$Q$2:$Q$369),0)</f>
        <v>0</v>
      </c>
      <c r="O61" s="114">
        <f>IFERROR(AVERAGEIF(FASE3!$B$2:$B$369,O$7,FASE3!$Q$2:$Q$369),0)</f>
        <v>0</v>
      </c>
      <c r="P61" s="118">
        <f t="shared" si="6"/>
        <v>3.2196969696969696E-2</v>
      </c>
      <c r="Q61" s="61">
        <f t="shared" si="7"/>
        <v>3.2196969696969696E-2</v>
      </c>
      <c r="R61" s="62"/>
      <c r="S61" s="62"/>
      <c r="T61" s="62"/>
      <c r="U61" s="62"/>
      <c r="V61" s="85"/>
      <c r="W61" s="79"/>
      <c r="X61" s="32"/>
    </row>
    <row r="62" spans="1:24" s="1" customFormat="1" ht="21.75" customHeight="1" x14ac:dyDescent="0.35">
      <c r="A62" s="4"/>
      <c r="B62" s="134"/>
      <c r="C62" s="41" t="s">
        <v>67</v>
      </c>
      <c r="D62" s="114">
        <f>IFERROR(AVERAGEIF(FASE3!$B$2:$B$369,D$7,FASE3!$R$2:$R$369),0)</f>
        <v>0.18181818181818182</v>
      </c>
      <c r="E62" s="114">
        <f>IFERROR(AVERAGEIF(FASE3!$B$2:$B$369,E$7,FASE3!$R$2:$R$369),0)</f>
        <v>0</v>
      </c>
      <c r="F62" s="114">
        <f>IFERROR(AVERAGEIF(FASE3!$B$2:$B$369,F$7,FASE3!$R$2:$R$369),0)</f>
        <v>0</v>
      </c>
      <c r="G62" s="114">
        <f>IFERROR(AVERAGEIF(FASE3!$B$2:$B$369,G$7,FASE3!$R$2:$R$369),0)</f>
        <v>0</v>
      </c>
      <c r="H62" s="114">
        <f>IFERROR(AVERAGEIF(FASE3!$B$2:$B$369,H$7,FASE3!$R$2:$R$369),0)</f>
        <v>0</v>
      </c>
      <c r="I62" s="114">
        <f>IFERROR(AVERAGEIF(FASE3!$B$2:$B$369,I$7,FASE3!$R$2:$R$369),0)</f>
        <v>0</v>
      </c>
      <c r="J62" s="114">
        <f>IFERROR(AVERAGEIF(FASE3!$B$2:$B$369,J$7,FASE3!$R$2:$R$369),0)</f>
        <v>0</v>
      </c>
      <c r="K62" s="114">
        <f>IFERROR(AVERAGEIF(FASE3!$B$2:$B$369,K$7,FASE3!$R$2:$R$369),0)</f>
        <v>0</v>
      </c>
      <c r="L62" s="114">
        <f>IFERROR(AVERAGEIF(FASE3!$B$2:$B$369,L$7,FASE3!$R$2:$R$369),0)</f>
        <v>0</v>
      </c>
      <c r="M62" s="114">
        <f>IFERROR(AVERAGEIF(FASE3!$B$2:$B$369,M$7,FASE3!$R$2:$R$369),0)</f>
        <v>0</v>
      </c>
      <c r="N62" s="114">
        <f>IFERROR(AVERAGEIF(FASE3!$B$2:$B$369,N$7,FASE3!$R$2:$R$369),0)</f>
        <v>0</v>
      </c>
      <c r="O62" s="114">
        <f>IFERROR(AVERAGEIF(FASE3!$B$2:$B$369,O$7,FASE3!$R$2:$R$369),0)</f>
        <v>0</v>
      </c>
      <c r="P62" s="118">
        <f t="shared" si="6"/>
        <v>1.5151515151515152E-2</v>
      </c>
      <c r="Q62" s="61">
        <f t="shared" si="7"/>
        <v>1.5151515151515152E-2</v>
      </c>
      <c r="R62" s="62"/>
      <c r="S62" s="62"/>
      <c r="T62" s="62"/>
      <c r="U62" s="62"/>
      <c r="V62" s="85"/>
      <c r="W62" s="79"/>
      <c r="X62" s="39"/>
    </row>
    <row r="63" spans="1:24" s="1" customFormat="1" ht="21.75" customHeight="1" x14ac:dyDescent="0.35">
      <c r="A63" s="4"/>
      <c r="B63" s="134"/>
      <c r="C63" s="41" t="s">
        <v>68</v>
      </c>
      <c r="D63" s="114">
        <f>IFERROR(AVERAGEIF(FASE3!$B$2:$B$369,D$7,FASE3!$S$2:$S$369),0)</f>
        <v>0.18181818181818182</v>
      </c>
      <c r="E63" s="114">
        <f>IFERROR(AVERAGEIF(FASE3!$B$2:$B$369,E$7,FASE3!$S$2:$S$369),0)</f>
        <v>0</v>
      </c>
      <c r="F63" s="114">
        <f>IFERROR(AVERAGEIF(FASE3!$B$2:$B$369,F$7,FASE3!$S$2:$S$369),0)</f>
        <v>0</v>
      </c>
      <c r="G63" s="114">
        <f>IFERROR(AVERAGEIF(FASE3!$B$2:$B$369,G$7,FASE3!$S$2:$S$369),0)</f>
        <v>0</v>
      </c>
      <c r="H63" s="114">
        <f>IFERROR(AVERAGEIF(FASE3!$B$2:$B$369,H$7,FASE3!$S$2:$S$369),0)</f>
        <v>0</v>
      </c>
      <c r="I63" s="114">
        <f>IFERROR(AVERAGEIF(FASE3!$B$2:$B$369,I$7,FASE3!$S$2:$S$369),0)</f>
        <v>0</v>
      </c>
      <c r="J63" s="114">
        <f>IFERROR(AVERAGEIF(FASE3!$B$2:$B$369,J$7,FASE3!$S$2:$S$369),0)</f>
        <v>0</v>
      </c>
      <c r="K63" s="114">
        <f>IFERROR(AVERAGEIF(FASE3!$B$2:$B$369,K$7,FASE3!$S$2:$S$369),0)</f>
        <v>0</v>
      </c>
      <c r="L63" s="114">
        <f>IFERROR(AVERAGEIF(FASE3!$B$2:$B$369,L$7,FASE3!$S$2:$S$369),0)</f>
        <v>0</v>
      </c>
      <c r="M63" s="114">
        <f>IFERROR(AVERAGEIF(FASE3!$B$2:$B$369,M$7,FASE3!$S$2:$S$369),0)</f>
        <v>0</v>
      </c>
      <c r="N63" s="114">
        <f>IFERROR(AVERAGEIF(FASE3!$B$2:$B$369,N$7,FASE3!$S$2:$S$369),0)</f>
        <v>0</v>
      </c>
      <c r="O63" s="114">
        <f>IFERROR(AVERAGEIF(FASE3!$B$2:$B$369,O$7,FASE3!$S$2:$S$369),0)</f>
        <v>0</v>
      </c>
      <c r="P63" s="118">
        <f t="shared" si="6"/>
        <v>1.5151515151515152E-2</v>
      </c>
      <c r="Q63" s="61">
        <f t="shared" si="7"/>
        <v>1.5151515151515152E-2</v>
      </c>
      <c r="R63" s="62"/>
      <c r="S63" s="62"/>
      <c r="T63" s="62"/>
      <c r="U63" s="62"/>
      <c r="V63" s="85"/>
      <c r="W63" s="79"/>
      <c r="X63" s="39"/>
    </row>
    <row r="64" spans="1:24" s="1" customFormat="1" ht="21.75" customHeight="1" x14ac:dyDescent="0.35">
      <c r="A64" s="4"/>
      <c r="B64" s="134"/>
      <c r="C64" s="41" t="s">
        <v>69</v>
      </c>
      <c r="D64" s="114">
        <f>IFERROR(AVERAGEIF(FASE3!$B$2:$B$369,D$7,FASE3!$T$2:$T$369),0)</f>
        <v>0.18181818181818182</v>
      </c>
      <c r="E64" s="114">
        <f>IFERROR(AVERAGEIF(FASE3!$B$2:$B$369,E$7,FASE3!$T$2:$T$369),0)</f>
        <v>2.0930232558139531E-2</v>
      </c>
      <c r="F64" s="114">
        <f>IFERROR(AVERAGEIF(FASE3!$B$2:$B$369,F$7,FASE3!$T$2:$T$369),0)</f>
        <v>4.5454545454545461E-3</v>
      </c>
      <c r="G64" s="114">
        <f>IFERROR(AVERAGEIF(FASE3!$B$2:$B$369,G$7,FASE3!$T$2:$T$369),0)</f>
        <v>0</v>
      </c>
      <c r="H64" s="114">
        <f>IFERROR(AVERAGEIF(FASE3!$B$2:$B$369,H$7,FASE3!$T$2:$T$369),0)</f>
        <v>0</v>
      </c>
      <c r="I64" s="114">
        <f>IFERROR(AVERAGEIF(FASE3!$B$2:$B$369,I$7,FASE3!$T$2:$T$369),0)</f>
        <v>0</v>
      </c>
      <c r="J64" s="114">
        <f>IFERROR(AVERAGEIF(FASE3!$B$2:$B$369,J$7,FASE3!$T$2:$T$369),0)</f>
        <v>0</v>
      </c>
      <c r="K64" s="114">
        <f>IFERROR(AVERAGEIF(FASE3!$B$2:$B$369,K$7,FASE3!$T$2:$T$369),0)</f>
        <v>0</v>
      </c>
      <c r="L64" s="114">
        <f>IFERROR(AVERAGEIF(FASE3!$B$2:$B$369,L$7,FASE3!$T$2:$T$369),0)</f>
        <v>0</v>
      </c>
      <c r="M64" s="114">
        <f>IFERROR(AVERAGEIF(FASE3!$B$2:$B$369,M$7,FASE3!$T$2:$T$369),0)</f>
        <v>0</v>
      </c>
      <c r="N64" s="114">
        <f>IFERROR(AVERAGEIF(FASE3!$B$2:$B$369,N$7,FASE3!$T$2:$T$369),0)</f>
        <v>0</v>
      </c>
      <c r="O64" s="114">
        <f>IFERROR(AVERAGEIF(FASE3!$B$2:$B$369,O$7,FASE3!$T$2:$T$369),0)</f>
        <v>0</v>
      </c>
      <c r="P64" s="118">
        <f t="shared" si="6"/>
        <v>1.7274489076814659E-2</v>
      </c>
      <c r="Q64" s="61">
        <f t="shared" si="7"/>
        <v>1.7274489076814659E-2</v>
      </c>
      <c r="R64" s="62"/>
      <c r="S64" s="62"/>
      <c r="T64" s="62"/>
      <c r="U64" s="62"/>
      <c r="V64" s="85"/>
      <c r="W64" s="79"/>
      <c r="X64" s="39"/>
    </row>
    <row r="65" spans="1:24" s="1" customFormat="1" ht="21.75" customHeight="1" x14ac:dyDescent="0.35">
      <c r="A65" s="4"/>
      <c r="B65" s="134"/>
      <c r="C65" s="41" t="s">
        <v>70</v>
      </c>
      <c r="D65" s="114">
        <f>IFERROR(AVERAGEIF(FASE3!$B$2:$B$369,D$7,FASE3!$U$2:$U$369),0)</f>
        <v>0.18181818181818182</v>
      </c>
      <c r="E65" s="114">
        <f>IFERROR(AVERAGEIF(FASE3!$B$2:$B$369,E$7,FASE3!$U$2:$U$369),0)</f>
        <v>0</v>
      </c>
      <c r="F65" s="114">
        <f>IFERROR(AVERAGEIF(FASE3!$B$2:$B$369,F$7,FASE3!$U$2:$U$369),0)</f>
        <v>0</v>
      </c>
      <c r="G65" s="114">
        <f>IFERROR(AVERAGEIF(FASE3!$B$2:$B$369,G$7,FASE3!$U$2:$U$369),0)</f>
        <v>0</v>
      </c>
      <c r="H65" s="114">
        <f>IFERROR(AVERAGEIF(FASE3!$B$2:$B$369,H$7,FASE3!$U$2:$U$369),0)</f>
        <v>0</v>
      </c>
      <c r="I65" s="114">
        <f>IFERROR(AVERAGEIF(FASE3!$B$2:$B$369,I$7,FASE3!$U$2:$U$369),0)</f>
        <v>0</v>
      </c>
      <c r="J65" s="114">
        <f>IFERROR(AVERAGEIF(FASE3!$B$2:$B$369,J$7,FASE3!$U$2:$U$369),0)</f>
        <v>0</v>
      </c>
      <c r="K65" s="114">
        <f>IFERROR(AVERAGEIF(FASE3!$B$2:$B$369,K$7,FASE3!$U$2:$U$369),0)</f>
        <v>0</v>
      </c>
      <c r="L65" s="114">
        <f>IFERROR(AVERAGEIF(FASE3!$B$2:$B$369,L$7,FASE3!$U$2:$U$369),0)</f>
        <v>0</v>
      </c>
      <c r="M65" s="114">
        <f>IFERROR(AVERAGEIF(FASE3!$B$2:$B$369,M$7,FASE3!$U$2:$U$369),0)</f>
        <v>0</v>
      </c>
      <c r="N65" s="114">
        <f>IFERROR(AVERAGEIF(FASE3!$B$2:$B$369,N$7,FASE3!$U$2:$U$369),0)</f>
        <v>0</v>
      </c>
      <c r="O65" s="114">
        <f>IFERROR(AVERAGEIF(FASE3!$B$2:$B$369,O$7,FASE3!$U$2:$U$369),0)</f>
        <v>0</v>
      </c>
      <c r="P65" s="118">
        <f t="shared" si="6"/>
        <v>1.5151515151515152E-2</v>
      </c>
      <c r="Q65" s="61">
        <f t="shared" si="7"/>
        <v>1.5151515151515152E-2</v>
      </c>
      <c r="R65" s="62"/>
      <c r="S65" s="62"/>
      <c r="T65" s="62"/>
      <c r="U65" s="62"/>
      <c r="V65" s="85"/>
      <c r="W65" s="79"/>
      <c r="X65" s="39"/>
    </row>
    <row r="66" spans="1:24" s="1" customFormat="1" ht="21.75" customHeight="1" x14ac:dyDescent="0.35">
      <c r="A66" s="4"/>
      <c r="B66" s="134"/>
      <c r="C66" s="41" t="s">
        <v>71</v>
      </c>
      <c r="D66" s="114">
        <f>IFERROR(AVERAGEIF(FASE3!$B$2:$B$369,D$7,FASE3!$V$2:$V$369),0)</f>
        <v>0.18181818181818182</v>
      </c>
      <c r="E66" s="114">
        <f>IFERROR(AVERAGEIF(FASE3!$B$2:$B$369,E$7,FASE3!$V$2:$V$369),0)</f>
        <v>0</v>
      </c>
      <c r="F66" s="114">
        <f>IFERROR(AVERAGEIF(FASE3!$B$2:$B$369,F$7,FASE3!$V$2:$V$369),0)</f>
        <v>0</v>
      </c>
      <c r="G66" s="114">
        <f>IFERROR(AVERAGEIF(FASE3!$B$2:$B$369,G$7,FASE3!$V$2:$V$369),0)</f>
        <v>0</v>
      </c>
      <c r="H66" s="114">
        <f>IFERROR(AVERAGEIF(FASE3!$B$2:$B$369,H$7,FASE3!$V$2:$V$369),0)</f>
        <v>0</v>
      </c>
      <c r="I66" s="114">
        <f>IFERROR(AVERAGEIF(FASE3!$B$2:$B$369,I$7,FASE3!$V$2:$V$369),0)</f>
        <v>0</v>
      </c>
      <c r="J66" s="114">
        <f>IFERROR(AVERAGEIF(FASE3!$B$2:$B$369,J$7,FASE3!$V$2:$V$369),0)</f>
        <v>0</v>
      </c>
      <c r="K66" s="114">
        <f>IFERROR(AVERAGEIF(FASE3!$B$2:$B$369,K$7,FASE3!$V$2:$V$369),0)</f>
        <v>0</v>
      </c>
      <c r="L66" s="114">
        <f>IFERROR(AVERAGEIF(FASE3!$B$2:$B$369,L$7,FASE3!$V$2:$V$369),0)</f>
        <v>0</v>
      </c>
      <c r="M66" s="114">
        <f>IFERROR(AVERAGEIF(FASE3!$B$2:$B$369,M$7,FASE3!$V$2:$V$369),0)</f>
        <v>0</v>
      </c>
      <c r="N66" s="114">
        <f>IFERROR(AVERAGEIF(FASE3!$B$2:$B$369,N$7,FASE3!$V$2:$V$369),0)</f>
        <v>0</v>
      </c>
      <c r="O66" s="114">
        <f>IFERROR(AVERAGEIF(FASE3!$B$2:$B$369,O$7,FASE3!$V$2:$V$369),0)</f>
        <v>0</v>
      </c>
      <c r="P66" s="118">
        <f t="shared" si="6"/>
        <v>1.5151515151515152E-2</v>
      </c>
      <c r="Q66" s="61">
        <f t="shared" si="7"/>
        <v>1.5151515151515152E-2</v>
      </c>
      <c r="R66" s="62"/>
      <c r="S66" s="62"/>
      <c r="T66" s="62"/>
      <c r="U66" s="62"/>
      <c r="V66" s="85"/>
      <c r="W66" s="79"/>
      <c r="X66" s="39"/>
    </row>
    <row r="67" spans="1:24" s="1" customFormat="1" ht="21.75" customHeight="1" x14ac:dyDescent="0.35">
      <c r="A67" s="4"/>
      <c r="B67" s="134"/>
      <c r="C67" s="41" t="s">
        <v>72</v>
      </c>
      <c r="D67" s="114">
        <f>IFERROR(AVERAGEIF(FASE3!$B$2:$B$369,D$7,FASE3!$W$2:$W$369),0)</f>
        <v>0.18181818181818182</v>
      </c>
      <c r="E67" s="114">
        <f>IFERROR(AVERAGEIF(FASE3!$B$2:$B$369,E$7,FASE3!$W$2:$W$369),0)</f>
        <v>0</v>
      </c>
      <c r="F67" s="114">
        <f>IFERROR(AVERAGEIF(FASE3!$B$2:$B$369,F$7,FASE3!$W$2:$W$369),0)</f>
        <v>0</v>
      </c>
      <c r="G67" s="114">
        <f>IFERROR(AVERAGEIF(FASE3!$B$2:$B$369,G$7,FASE3!$W$2:$W$369),0)</f>
        <v>0</v>
      </c>
      <c r="H67" s="114">
        <f>IFERROR(AVERAGEIF(FASE3!$B$2:$B$369,H$7,FASE3!$W$2:$W$369),0)</f>
        <v>0</v>
      </c>
      <c r="I67" s="114">
        <f>IFERROR(AVERAGEIF(FASE3!$B$2:$B$369,I$7,FASE3!$W$2:$W$369),0)</f>
        <v>0</v>
      </c>
      <c r="J67" s="114">
        <f>IFERROR(AVERAGEIF(FASE3!$B$2:$B$369,J$7,FASE3!$W$2:$W$369),0)</f>
        <v>0</v>
      </c>
      <c r="K67" s="114">
        <f>IFERROR(AVERAGEIF(FASE3!$B$2:$B$369,K$7,FASE3!$W$2:$W$369),0)</f>
        <v>0</v>
      </c>
      <c r="L67" s="114">
        <f>IFERROR(AVERAGEIF(FASE3!$B$2:$B$369,L$7,FASE3!$W$2:$W$369),0)</f>
        <v>0</v>
      </c>
      <c r="M67" s="114">
        <f>IFERROR(AVERAGEIF(FASE3!$B$2:$B$369,M$7,FASE3!$W$2:$W$369),0)</f>
        <v>0</v>
      </c>
      <c r="N67" s="114">
        <f>IFERROR(AVERAGEIF(FASE3!$B$2:$B$369,N$7,FASE3!$W$2:$W$369),0)</f>
        <v>0</v>
      </c>
      <c r="O67" s="114">
        <f>IFERROR(AVERAGEIF(FASE3!$B$2:$B$369,O$7,FASE3!$W$2:$W$369),0)</f>
        <v>0</v>
      </c>
      <c r="P67" s="118">
        <f t="shared" si="6"/>
        <v>1.5151515151515152E-2</v>
      </c>
      <c r="Q67" s="61">
        <f t="shared" si="7"/>
        <v>1.5151515151515152E-2</v>
      </c>
      <c r="R67" s="62"/>
      <c r="S67" s="62"/>
      <c r="T67" s="62"/>
      <c r="U67" s="62"/>
      <c r="V67" s="85"/>
      <c r="W67" s="79"/>
      <c r="X67" s="39"/>
    </row>
    <row r="68" spans="1:24" s="1" customFormat="1" ht="21.75" customHeight="1" x14ac:dyDescent="0.35">
      <c r="A68" s="4"/>
      <c r="B68" s="134"/>
      <c r="C68" s="41" t="s">
        <v>73</v>
      </c>
      <c r="D68" s="114">
        <f>IFERROR(AVERAGEIF(FASE3!$B$2:$B$369,D$7,FASE3!$X$2:$X$369),0)</f>
        <v>0.18181818181818182</v>
      </c>
      <c r="E68" s="114">
        <f>IFERROR(AVERAGEIF(FASE3!$B$2:$B$369,E$7,FASE3!$X$2:$X$369),0)</f>
        <v>0</v>
      </c>
      <c r="F68" s="114">
        <f>IFERROR(AVERAGEIF(FASE3!$B$2:$B$369,F$7,FASE3!$X$2:$X$369),0)</f>
        <v>0</v>
      </c>
      <c r="G68" s="114">
        <f>IFERROR(AVERAGEIF(FASE3!$B$2:$B$369,G$7,FASE3!$X$2:$X$369),0)</f>
        <v>0</v>
      </c>
      <c r="H68" s="114">
        <f>IFERROR(AVERAGEIF(FASE3!$B$2:$B$369,H$7,FASE3!$X$2:$X$369),0)</f>
        <v>0</v>
      </c>
      <c r="I68" s="114">
        <f>IFERROR(AVERAGEIF(FASE3!$B$2:$B$369,I$7,FASE3!$X$2:$X$369),0)</f>
        <v>0</v>
      </c>
      <c r="J68" s="114">
        <f>IFERROR(AVERAGEIF(FASE3!$B$2:$B$369,J$7,FASE3!$X$2:$X$369),0)</f>
        <v>0</v>
      </c>
      <c r="K68" s="114">
        <f>IFERROR(AVERAGEIF(FASE3!$B$2:$B$369,K$7,FASE3!$X$2:$X$369),0)</f>
        <v>0</v>
      </c>
      <c r="L68" s="114">
        <f>IFERROR(AVERAGEIF(FASE3!$B$2:$B$369,L$7,FASE3!$X$2:$X$369),0)</f>
        <v>0</v>
      </c>
      <c r="M68" s="114">
        <f>IFERROR(AVERAGEIF(FASE3!$B$2:$B$369,M$7,FASE3!$X$2:$X$369),0)</f>
        <v>0</v>
      </c>
      <c r="N68" s="114">
        <f>IFERROR(AVERAGEIF(FASE3!$B$2:$B$369,N$7,FASE3!$X$2:$X$369),0)</f>
        <v>0</v>
      </c>
      <c r="O68" s="114">
        <f>IFERROR(AVERAGEIF(FASE3!$B$2:$B$369,O$7,FASE3!$X$2:$X$369),0)</f>
        <v>0</v>
      </c>
      <c r="P68" s="118">
        <f t="shared" si="6"/>
        <v>1.5151515151515152E-2</v>
      </c>
      <c r="Q68" s="61">
        <f t="shared" si="7"/>
        <v>1.5151515151515152E-2</v>
      </c>
      <c r="R68" s="62"/>
      <c r="S68" s="62"/>
      <c r="T68" s="62"/>
      <c r="U68" s="62"/>
      <c r="V68" s="85"/>
      <c r="W68" s="79"/>
      <c r="X68" s="39"/>
    </row>
    <row r="69" spans="1:24" s="1" customFormat="1" ht="21.75" customHeight="1" x14ac:dyDescent="0.35">
      <c r="A69" s="4"/>
      <c r="B69" s="135"/>
      <c r="C69" s="42" t="s">
        <v>74</v>
      </c>
      <c r="D69" s="117">
        <f>IFERROR(AVERAGEIF(FASE3!$B$2:$B$369,D$7,FASE3!$Y$2:$Y$369),0)</f>
        <v>0</v>
      </c>
      <c r="E69" s="117">
        <f>IFERROR(AVERAGEIF(FASE3!$B$2:$B$369,E$7,FASE3!$Y$2:$Y$369),0)</f>
        <v>0</v>
      </c>
      <c r="F69" s="117">
        <f>IFERROR(AVERAGEIF(FASE3!$B$2:$B$369,F$7,FASE3!$Y$2:$Y$369),0)</f>
        <v>0</v>
      </c>
      <c r="G69" s="117">
        <f>IFERROR(AVERAGEIF(FASE3!$B$2:$B$369,G$7,FASE3!$Y$2:$Y$369),0)</f>
        <v>0</v>
      </c>
      <c r="H69" s="117">
        <f>IFERROR(AVERAGEIF(FASE3!$B$2:$B$369,H$7,FASE3!$Y$2:$Y$369),0)</f>
        <v>0</v>
      </c>
      <c r="I69" s="117">
        <f>IFERROR(AVERAGEIF(FASE3!$B$2:$B$369,I$7,FASE3!$Y$2:$Y$369),0)</f>
        <v>0</v>
      </c>
      <c r="J69" s="117">
        <f>IFERROR(AVERAGEIF(FASE3!$B$2:$B$369,J$7,FASE3!$Y$2:$Y$369),0)</f>
        <v>0</v>
      </c>
      <c r="K69" s="117">
        <f>IFERROR(AVERAGEIF(FASE3!$B$2:$B$369,K$7,FASE3!$Y$2:$Y$369),0)</f>
        <v>0</v>
      </c>
      <c r="L69" s="117">
        <f>IFERROR(AVERAGEIF(FASE3!$B$2:$B$369,L$7,FASE3!$Y$2:$Y$369),0)</f>
        <v>0</v>
      </c>
      <c r="M69" s="117">
        <f>IFERROR(AVERAGEIF(FASE3!$B$2:$B$369,M$7,FASE3!$Y$2:$Y$369),0)</f>
        <v>0</v>
      </c>
      <c r="N69" s="117">
        <f>IFERROR(AVERAGEIF(FASE3!$B$2:$B$369,N$7,FASE3!$Y$2:$Y$369),0)</f>
        <v>0</v>
      </c>
      <c r="O69" s="117">
        <f>IFERROR(AVERAGEIF(FASE3!$B$2:$B$369,O$7,FASE3!$Y$2:$Y$369),0)</f>
        <v>0</v>
      </c>
      <c r="P69" s="118">
        <f t="shared" si="6"/>
        <v>0</v>
      </c>
      <c r="Q69" s="61">
        <f t="shared" si="7"/>
        <v>0</v>
      </c>
      <c r="R69" s="63"/>
      <c r="S69" s="63"/>
      <c r="T69" s="63"/>
      <c r="U69" s="63"/>
      <c r="V69" s="86"/>
      <c r="W69" s="80"/>
      <c r="X69" s="34"/>
    </row>
    <row r="70" spans="1:24" s="51" customFormat="1" ht="13.5" customHeight="1" x14ac:dyDescent="0.2">
      <c r="B70" s="145" t="s">
        <v>75</v>
      </c>
      <c r="C70" s="148"/>
      <c r="D70" s="137"/>
      <c r="E70" s="137"/>
      <c r="F70" s="137"/>
      <c r="G70" s="137"/>
      <c r="H70" s="137"/>
      <c r="I70" s="137"/>
      <c r="J70" s="137"/>
      <c r="K70" s="137"/>
      <c r="L70" s="137"/>
      <c r="M70" s="137"/>
      <c r="N70" s="137"/>
      <c r="O70" s="137"/>
      <c r="P70" s="138"/>
      <c r="Q70" s="67"/>
      <c r="R70" s="67" t="s">
        <v>15</v>
      </c>
      <c r="S70" s="67" t="s">
        <v>37</v>
      </c>
      <c r="T70" s="67" t="s">
        <v>0</v>
      </c>
      <c r="U70" s="67" t="s">
        <v>1</v>
      </c>
      <c r="V70" s="67" t="s">
        <v>3</v>
      </c>
    </row>
    <row r="71" spans="1:24" s="51" customFormat="1" ht="13.5" customHeight="1" x14ac:dyDescent="0.2">
      <c r="B71" s="134"/>
      <c r="C71" s="149"/>
      <c r="D71" s="150"/>
      <c r="E71" s="150"/>
      <c r="F71" s="150"/>
      <c r="G71" s="150"/>
      <c r="H71" s="150"/>
      <c r="I71" s="150"/>
      <c r="J71" s="150"/>
      <c r="K71" s="150"/>
      <c r="L71" s="150"/>
      <c r="M71" s="150"/>
      <c r="N71" s="150"/>
      <c r="O71" s="150"/>
      <c r="P71" s="151"/>
      <c r="Q71" s="55"/>
      <c r="R71" s="55">
        <f>+H9</f>
        <v>0.55555555550000002</v>
      </c>
      <c r="S71" s="55">
        <f>+J9</f>
        <v>0.77777777769999989</v>
      </c>
      <c r="T71" s="55">
        <f>+L9</f>
        <v>0.99999999989999999</v>
      </c>
      <c r="U71" s="55">
        <f>+N9</f>
        <v>0.9166666666666663</v>
      </c>
      <c r="V71" s="55">
        <f>+O9</f>
        <v>0.99999999999999956</v>
      </c>
    </row>
    <row r="72" spans="1:24" s="1" customFormat="1" ht="21.75" customHeight="1" x14ac:dyDescent="0.35">
      <c r="A72" s="4"/>
      <c r="B72" s="134"/>
      <c r="C72" s="88" t="s">
        <v>76</v>
      </c>
      <c r="D72" s="123">
        <f>IFERROR(AVERAGEIF(FASE4!$B$2:$B$369,D$7,FASE4!$E$2:$E$369),0)</f>
        <v>0</v>
      </c>
      <c r="E72" s="114">
        <f>IFERROR(AVERAGEIF(FASE4!$B$2:$B$369,E$7,FASE4!$E$2:$E$369),0)</f>
        <v>0</v>
      </c>
      <c r="F72" s="114">
        <f>IFERROR(AVERAGEIF(FASE4!$B$2:$B$369,F$7,FASE4!$E$2:$E$369),0)</f>
        <v>0</v>
      </c>
      <c r="G72" s="114">
        <f>IFERROR(AVERAGEIF(FASE4!$B$2:$B$369,G$7,FASE4!$E$2:$E$369),0)</f>
        <v>0</v>
      </c>
      <c r="H72" s="114">
        <f>IFERROR(AVERAGEIF(FASE4!$B$2:$B$369,H$7,FASE4!$E$2:$E$369),0)</f>
        <v>0</v>
      </c>
      <c r="I72" s="114">
        <f>IFERROR(AVERAGEIF(FASE4!$B$2:$B$369,I$7,FASE4!$E$2:$E$369),0)</f>
        <v>0</v>
      </c>
      <c r="J72" s="114">
        <f>IFERROR(AVERAGEIF(FASE4!$B$2:$B$369,J$7,FASE4!$E$2:$E$369),0)</f>
        <v>0</v>
      </c>
      <c r="K72" s="114">
        <f>IFERROR(AVERAGEIF(FASE4!$B$2:$B$369,K$7,FASE4!$E$2:$E$369),0)</f>
        <v>0</v>
      </c>
      <c r="L72" s="114">
        <f>IFERROR(AVERAGEIF(FASE4!$B$2:$B$369,L$7,FASE4!$E$2:$E$369),0)</f>
        <v>0</v>
      </c>
      <c r="M72" s="114">
        <f>IFERROR(AVERAGEIF(FASE4!$B$2:$B$369,M$7,FASE4!$E$2:$E$369),0)</f>
        <v>0</v>
      </c>
      <c r="N72" s="114">
        <f>IFERROR(AVERAGEIF(FASE4!$B$2:$B$369,N$7,FASE4!$E$2:$E$369),0)</f>
        <v>0</v>
      </c>
      <c r="O72" s="124">
        <f>IFERROR(AVERAGEIF(FASE4!$B$2:$B$369,O$7,FASE4!$E$2:$E$369),0)</f>
        <v>0</v>
      </c>
      <c r="P72" s="118">
        <f t="shared" ref="P72:P84" si="8">+AVERAGE(D72:O72)</f>
        <v>0</v>
      </c>
      <c r="Q72" s="65"/>
      <c r="R72" s="68"/>
      <c r="S72" s="68"/>
      <c r="T72" s="68"/>
      <c r="U72" s="65"/>
      <c r="V72" s="87"/>
      <c r="W72" s="78"/>
      <c r="X72" s="31"/>
    </row>
    <row r="73" spans="1:24" s="1" customFormat="1" ht="21.75" customHeight="1" x14ac:dyDescent="0.35">
      <c r="A73" s="4"/>
      <c r="B73" s="134"/>
      <c r="C73" s="89" t="s">
        <v>77</v>
      </c>
      <c r="D73" s="123">
        <f>IFERROR(AVERAGEIF(FASE4!$B$2:$B$369,D$7,FASE4!$F$2:$F$369),0)</f>
        <v>0</v>
      </c>
      <c r="E73" s="114">
        <f>IFERROR(AVERAGEIF(FASE4!$B$2:$B$369,E$7,FASE4!$F$2:$F$369),0)</f>
        <v>0</v>
      </c>
      <c r="F73" s="114">
        <f>IFERROR(AVERAGEIF(FASE4!$B$2:$B$369,F$7,FASE4!$F$2:$F$369),0)</f>
        <v>0</v>
      </c>
      <c r="G73" s="114">
        <f>IFERROR(AVERAGEIF(FASE4!$B$2:$B$369,G$7,FASE4!$F$2:$F$369),0)</f>
        <v>0</v>
      </c>
      <c r="H73" s="114">
        <f>IFERROR(AVERAGEIF(FASE4!$B$2:$B$369,H$7,FASE4!$F$2:$F$369),0)</f>
        <v>0</v>
      </c>
      <c r="I73" s="114">
        <f>IFERROR(AVERAGEIF(FASE4!$B$2:$B$369,I$7,FASE4!$F$2:$F$369),0)</f>
        <v>0</v>
      </c>
      <c r="J73" s="114">
        <f>IFERROR(AVERAGEIF(FASE4!$B$2:$B$369,J$7,FASE4!$F$2:$F$369),0)</f>
        <v>0</v>
      </c>
      <c r="K73" s="114">
        <f>IFERROR(AVERAGEIF(FASE4!$B$2:$B$369,K$7,FASE4!$F$2:$F$369),0)</f>
        <v>0</v>
      </c>
      <c r="L73" s="114">
        <f>IFERROR(AVERAGEIF(FASE4!$B$2:$B$369,L$7,FASE4!$F$2:$F$369),0)</f>
        <v>0</v>
      </c>
      <c r="M73" s="114">
        <f>IFERROR(AVERAGEIF(FASE4!$B$2:$B$369,M$7,FASE4!$F$2:$F$369),0)</f>
        <v>0</v>
      </c>
      <c r="N73" s="114">
        <f>IFERROR(AVERAGEIF(FASE4!$B$2:$B$369,N$7,FASE4!$F$2:$F$369),0)</f>
        <v>0</v>
      </c>
      <c r="O73" s="124">
        <f>IFERROR(AVERAGEIF(FASE4!$B$2:$B$369,O$7,FASE4!$F$2:$F$369),0)</f>
        <v>0</v>
      </c>
      <c r="P73" s="118">
        <f t="shared" si="8"/>
        <v>0</v>
      </c>
      <c r="Q73" s="61">
        <f t="shared" ref="Q73:Q84" si="9">P73</f>
        <v>0</v>
      </c>
      <c r="R73" s="69"/>
      <c r="S73" s="69"/>
      <c r="T73" s="69"/>
      <c r="U73" s="62"/>
      <c r="V73" s="85"/>
      <c r="W73" s="79"/>
      <c r="X73" s="32"/>
    </row>
    <row r="74" spans="1:24" s="1" customFormat="1" ht="21.75" hidden="1" customHeight="1" x14ac:dyDescent="0.35">
      <c r="A74" s="4"/>
      <c r="B74" s="134"/>
      <c r="C74" s="89" t="s">
        <v>78</v>
      </c>
      <c r="D74" s="123"/>
      <c r="E74" s="114"/>
      <c r="F74" s="114"/>
      <c r="G74" s="114"/>
      <c r="H74" s="114"/>
      <c r="I74" s="114"/>
      <c r="J74" s="114"/>
      <c r="K74" s="114"/>
      <c r="L74" s="114"/>
      <c r="M74" s="114"/>
      <c r="N74" s="114"/>
      <c r="O74" s="124"/>
      <c r="P74" s="118" t="e">
        <f t="shared" si="8"/>
        <v>#DIV/0!</v>
      </c>
      <c r="Q74" s="61" t="e">
        <f t="shared" si="9"/>
        <v>#DIV/0!</v>
      </c>
      <c r="R74" s="69"/>
      <c r="S74" s="69"/>
      <c r="T74" s="69"/>
      <c r="U74" s="62"/>
      <c r="V74" s="85"/>
      <c r="W74" s="79"/>
      <c r="X74" s="32"/>
    </row>
    <row r="75" spans="1:24" s="1" customFormat="1" ht="21.75" customHeight="1" x14ac:dyDescent="0.35">
      <c r="A75" s="4"/>
      <c r="B75" s="134"/>
      <c r="C75" s="89" t="s">
        <v>79</v>
      </c>
      <c r="D75" s="123">
        <f>IFERROR(AVERAGEIF(FASE4!$B$2:$B$369,D$7,FASE4!$G$2:$G$369),0)</f>
        <v>0</v>
      </c>
      <c r="E75" s="114">
        <f>IFERROR(AVERAGEIF(FASE4!$B$2:$B$369,E$7,FASE4!$G$2:$G$369),0)</f>
        <v>0</v>
      </c>
      <c r="F75" s="114">
        <f>IFERROR(AVERAGEIF(FASE4!$B$2:$B$369,F$7,FASE4!$G$2:$G$369),0)</f>
        <v>0</v>
      </c>
      <c r="G75" s="114">
        <f>IFERROR(AVERAGEIF(FASE4!$B$2:$B$369,G$7,FASE4!$G$2:$G$369),0)</f>
        <v>0</v>
      </c>
      <c r="H75" s="114">
        <f>IFERROR(AVERAGEIF(FASE4!$B$2:$B$369,H$7,FASE4!$G$2:$G$369),0)</f>
        <v>0</v>
      </c>
      <c r="I75" s="114">
        <f>IFERROR(AVERAGEIF(FASE4!$B$2:$B$369,I$7,FASE4!$G$2:$G$369),0)</f>
        <v>0</v>
      </c>
      <c r="J75" s="114">
        <f>IFERROR(AVERAGEIF(FASE4!$B$2:$B$369,J$7,FASE4!$G$2:$G$369),0)</f>
        <v>0</v>
      </c>
      <c r="K75" s="114">
        <f>IFERROR(AVERAGEIF(FASE4!$B$2:$B$369,K$7,FASE4!$G$2:$G$369),0)</f>
        <v>0</v>
      </c>
      <c r="L75" s="114">
        <f>IFERROR(AVERAGEIF(FASE4!$B$2:$B$369,L$7,FASE4!$G$2:$G$369),0)</f>
        <v>0</v>
      </c>
      <c r="M75" s="114">
        <f>IFERROR(AVERAGEIF(FASE4!$B$2:$B$369,M$7,FASE4!$G$2:$G$369),0)</f>
        <v>0</v>
      </c>
      <c r="N75" s="114">
        <f>IFERROR(AVERAGEIF(FASE4!$B$2:$B$369,N$7,FASE4!$G$2:$G$369),0)</f>
        <v>0</v>
      </c>
      <c r="O75" s="124">
        <f>IFERROR(AVERAGEIF(FASE4!$B$2:$B$369,O$7,FASE4!$G$2:$G$369),0)</f>
        <v>0</v>
      </c>
      <c r="P75" s="118">
        <f t="shared" si="8"/>
        <v>0</v>
      </c>
      <c r="Q75" s="61">
        <f t="shared" si="9"/>
        <v>0</v>
      </c>
      <c r="R75" s="69"/>
      <c r="S75" s="69"/>
      <c r="T75" s="69"/>
      <c r="U75" s="62"/>
      <c r="V75" s="85"/>
      <c r="W75" s="79"/>
      <c r="X75" s="32"/>
    </row>
    <row r="76" spans="1:24" s="1" customFormat="1" ht="21.75" customHeight="1" x14ac:dyDescent="0.35">
      <c r="A76" s="4"/>
      <c r="B76" s="134"/>
      <c r="C76" s="89" t="s">
        <v>80</v>
      </c>
      <c r="D76" s="123">
        <f>IFERROR(AVERAGEIF(FASE4!$B$2:$B$369,D$7,FASE4!$H$2:$H$369),0)</f>
        <v>0</v>
      </c>
      <c r="E76" s="114">
        <f>IFERROR(AVERAGEIF(FASE4!$B$2:$B$369,E$7,FASE4!$H$2:$H$369),0)</f>
        <v>0</v>
      </c>
      <c r="F76" s="114">
        <f>IFERROR(AVERAGEIF(FASE4!$B$2:$B$369,F$7,FASE4!$H$2:$H$369),0)</f>
        <v>0</v>
      </c>
      <c r="G76" s="114">
        <f>IFERROR(AVERAGEIF(FASE4!$B$2:$B$369,G$7,FASE4!$H$2:$H$369),0)</f>
        <v>0</v>
      </c>
      <c r="H76" s="114">
        <f>IFERROR(AVERAGEIF(FASE4!$B$2:$B$369,H$7,FASE4!$H$2:$H$369),0)</f>
        <v>0</v>
      </c>
      <c r="I76" s="114">
        <f>IFERROR(AVERAGEIF(FASE4!$B$2:$B$369,I$7,FASE4!$H$2:$H$369),0)</f>
        <v>0</v>
      </c>
      <c r="J76" s="114">
        <f>IFERROR(AVERAGEIF(FASE4!$B$2:$B$369,J$7,FASE4!$H$2:$H$369),0)</f>
        <v>0</v>
      </c>
      <c r="K76" s="114">
        <f>IFERROR(AVERAGEIF(FASE4!$B$2:$B$369,K$7,FASE4!$H$2:$H$369),0)</f>
        <v>0</v>
      </c>
      <c r="L76" s="114">
        <f>IFERROR(AVERAGEIF(FASE4!$B$2:$B$369,L$7,FASE4!$H$2:$H$369),0)</f>
        <v>0</v>
      </c>
      <c r="M76" s="114">
        <f>IFERROR(AVERAGEIF(FASE4!$B$2:$B$369,M$7,FASE4!$H$2:$H$369),0)</f>
        <v>0</v>
      </c>
      <c r="N76" s="114">
        <f>IFERROR(AVERAGEIF(FASE4!$B$2:$B$369,N$7,FASE4!$H$2:$H$369),0)</f>
        <v>0</v>
      </c>
      <c r="O76" s="124">
        <f>IFERROR(AVERAGEIF(FASE4!$B$2:$B$369,O$7,FASE4!$H$2:$H$369),0)</f>
        <v>0</v>
      </c>
      <c r="P76" s="118">
        <f t="shared" si="8"/>
        <v>0</v>
      </c>
      <c r="Q76" s="61">
        <f t="shared" si="9"/>
        <v>0</v>
      </c>
      <c r="R76" s="69"/>
      <c r="S76" s="69"/>
      <c r="T76" s="69"/>
      <c r="U76" s="62"/>
      <c r="V76" s="85"/>
      <c r="W76" s="79"/>
      <c r="X76" s="32"/>
    </row>
    <row r="77" spans="1:24" s="1" customFormat="1" ht="21.75" customHeight="1" x14ac:dyDescent="0.35">
      <c r="A77" s="4"/>
      <c r="B77" s="134"/>
      <c r="C77" s="89" t="s">
        <v>81</v>
      </c>
      <c r="D77" s="123">
        <f>IFERROR(AVERAGEIF(FASE4!$B$2:$B$369,D$7,FASE4!$I$2:$I$369),0)</f>
        <v>0</v>
      </c>
      <c r="E77" s="114">
        <f>IFERROR(AVERAGEIF(FASE4!$B$2:$B$369,E$7,FASE4!$I$2:$I$369),0)</f>
        <v>0</v>
      </c>
      <c r="F77" s="114">
        <f>IFERROR(AVERAGEIF(FASE4!$B$2:$B$369,F$7,FASE4!$I$2:$I$369),0)</f>
        <v>0</v>
      </c>
      <c r="G77" s="114">
        <f>IFERROR(AVERAGEIF(FASE4!$B$2:$B$369,G$7,FASE4!$I$2:$I$369),0)</f>
        <v>0</v>
      </c>
      <c r="H77" s="114">
        <f>IFERROR(AVERAGEIF(FASE4!$B$2:$B$369,H$7,FASE4!$I$2:$I$369),0)</f>
        <v>0</v>
      </c>
      <c r="I77" s="114">
        <f>IFERROR(AVERAGEIF(FASE4!$B$2:$B$369,I$7,FASE4!$I$2:$I$369),0)</f>
        <v>0</v>
      </c>
      <c r="J77" s="114">
        <f>IFERROR(AVERAGEIF(FASE4!$B$2:$B$369,J$7,FASE4!$I$2:$I$369),0)</f>
        <v>0</v>
      </c>
      <c r="K77" s="114">
        <f>IFERROR(AVERAGEIF(FASE4!$B$2:$B$369,K$7,FASE4!$I$2:$I$369),0)</f>
        <v>0</v>
      </c>
      <c r="L77" s="114">
        <f>IFERROR(AVERAGEIF(FASE4!$B$2:$B$369,L$7,FASE4!$I$2:$I$369),0)</f>
        <v>0</v>
      </c>
      <c r="M77" s="114">
        <f>IFERROR(AVERAGEIF(FASE4!$B$2:$B$369,M$7,FASE4!$I$2:$I$369),0)</f>
        <v>0</v>
      </c>
      <c r="N77" s="114">
        <f>IFERROR(AVERAGEIF(FASE4!$B$2:$B$369,N$7,FASE4!$I$2:$I$369),0)</f>
        <v>0</v>
      </c>
      <c r="O77" s="124">
        <f>IFERROR(AVERAGEIF(FASE4!$B$2:$B$369,O$7,FASE4!$I$2:$I$369),0)</f>
        <v>0</v>
      </c>
      <c r="P77" s="118">
        <f t="shared" si="8"/>
        <v>0</v>
      </c>
      <c r="Q77" s="61">
        <f t="shared" si="9"/>
        <v>0</v>
      </c>
      <c r="R77" s="69"/>
      <c r="S77" s="69"/>
      <c r="T77" s="69"/>
      <c r="U77" s="62"/>
      <c r="V77" s="85"/>
      <c r="W77" s="79"/>
      <c r="X77" s="32"/>
    </row>
    <row r="78" spans="1:24" s="1" customFormat="1" ht="21.75" customHeight="1" x14ac:dyDescent="0.35">
      <c r="A78" s="4"/>
      <c r="B78" s="134"/>
      <c r="C78" s="89" t="s">
        <v>82</v>
      </c>
      <c r="D78" s="123">
        <f>IFERROR(AVERAGEIF(FASE4!$B$2:$B$369,D$7,FASE4!$J$2:$J$369),0)</f>
        <v>0</v>
      </c>
      <c r="E78" s="114">
        <f>IFERROR(AVERAGEIF(FASE4!$B$2:$B$369,E$7,FASE4!$J$2:$J$369),0)</f>
        <v>0</v>
      </c>
      <c r="F78" s="114">
        <f>IFERROR(AVERAGEIF(FASE4!$B$2:$B$369,F$7,FASE4!$J$2:$J$369),0)</f>
        <v>0</v>
      </c>
      <c r="G78" s="114">
        <f>IFERROR(AVERAGEIF(FASE4!$B$2:$B$369,G$7,FASE4!$J$2:$J$369),0)</f>
        <v>0</v>
      </c>
      <c r="H78" s="114">
        <f>IFERROR(AVERAGEIF(FASE4!$B$2:$B$369,H$7,FASE4!$J$2:$J$369),0)</f>
        <v>0</v>
      </c>
      <c r="I78" s="114">
        <f>IFERROR(AVERAGEIF(FASE4!$B$2:$B$369,I$7,FASE4!$J$2:$J$369),0)</f>
        <v>0</v>
      </c>
      <c r="J78" s="114">
        <f>IFERROR(AVERAGEIF(FASE4!$B$2:$B$369,J$7,FASE4!$J$2:$J$369),0)</f>
        <v>0</v>
      </c>
      <c r="K78" s="114">
        <f>IFERROR(AVERAGEIF(FASE4!$B$2:$B$369,K$7,FASE4!$J$2:$J$369),0)</f>
        <v>0</v>
      </c>
      <c r="L78" s="114">
        <f>IFERROR(AVERAGEIF(FASE4!$B$2:$B$369,L$7,FASE4!$J$2:$J$369),0)</f>
        <v>0</v>
      </c>
      <c r="M78" s="114">
        <f>IFERROR(AVERAGEIF(FASE4!$B$2:$B$369,M$7,FASE4!$J$2:$J$369),0)</f>
        <v>0</v>
      </c>
      <c r="N78" s="114">
        <f>IFERROR(AVERAGEIF(FASE4!$B$2:$B$369,N$7,FASE4!$J$2:$J$369),0)</f>
        <v>0</v>
      </c>
      <c r="O78" s="124">
        <f>IFERROR(AVERAGEIF(FASE4!$B$2:$B$369,O$7,FASE4!$J$2:$J$369),0)</f>
        <v>0</v>
      </c>
      <c r="P78" s="118">
        <f t="shared" si="8"/>
        <v>0</v>
      </c>
      <c r="Q78" s="61">
        <f t="shared" si="9"/>
        <v>0</v>
      </c>
      <c r="R78" s="69"/>
      <c r="S78" s="69"/>
      <c r="T78" s="69"/>
      <c r="U78" s="62"/>
      <c r="V78" s="85"/>
      <c r="W78" s="79"/>
      <c r="X78" s="32"/>
    </row>
    <row r="79" spans="1:24" s="1" customFormat="1" ht="21.75" customHeight="1" x14ac:dyDescent="0.35">
      <c r="A79" s="4"/>
      <c r="B79" s="134"/>
      <c r="C79" s="89" t="s">
        <v>83</v>
      </c>
      <c r="D79" s="123">
        <f>IFERROR(AVERAGEIF(FASE4!$B$2:$B$369,D$7,FASE4!$K$2:$K$369),0)</f>
        <v>0</v>
      </c>
      <c r="E79" s="114">
        <f>IFERROR(AVERAGEIF(FASE4!$B$2:$B$369,E$7,FASE4!$K$2:$K$369),0)</f>
        <v>0</v>
      </c>
      <c r="F79" s="114">
        <f>IFERROR(AVERAGEIF(FASE4!$B$2:$B$369,F$7,FASE4!$K$2:$K$369),0)</f>
        <v>0</v>
      </c>
      <c r="G79" s="114">
        <f>IFERROR(AVERAGEIF(FASE4!$B$2:$B$369,G$7,FASE4!$K$2:$K$369),0)</f>
        <v>0</v>
      </c>
      <c r="H79" s="114">
        <f>IFERROR(AVERAGEIF(FASE4!$B$2:$B$369,H$7,FASE4!$K$2:$K$369),0)</f>
        <v>0</v>
      </c>
      <c r="I79" s="114">
        <f>IFERROR(AVERAGEIF(FASE4!$B$2:$B$369,I$7,FASE4!$K$2:$K$369),0)</f>
        <v>0</v>
      </c>
      <c r="J79" s="114">
        <f>IFERROR(AVERAGEIF(FASE4!$B$2:$B$369,J$7,FASE4!$K$2:$K$369),0)</f>
        <v>0</v>
      </c>
      <c r="K79" s="114">
        <f>IFERROR(AVERAGEIF(FASE4!$B$2:$B$369,K$7,FASE4!$K$2:$K$369),0)</f>
        <v>0</v>
      </c>
      <c r="L79" s="114">
        <f>IFERROR(AVERAGEIF(FASE4!$B$2:$B$369,L$7,FASE4!$K$2:$K$369),0)</f>
        <v>0</v>
      </c>
      <c r="M79" s="114">
        <f>IFERROR(AVERAGEIF(FASE4!$B$2:$B$369,M$7,FASE4!$K$2:$K$369),0)</f>
        <v>0</v>
      </c>
      <c r="N79" s="114">
        <f>IFERROR(AVERAGEIF(FASE4!$B$2:$B$369,N$7,FASE4!$K$2:$K$369),0)</f>
        <v>0</v>
      </c>
      <c r="O79" s="124">
        <f>IFERROR(AVERAGEIF(FASE4!$B$2:$B$369,O$7,FASE4!$K$2:$K$369),0)</f>
        <v>0</v>
      </c>
      <c r="P79" s="118">
        <f t="shared" si="8"/>
        <v>0</v>
      </c>
      <c r="Q79" s="61">
        <f t="shared" si="9"/>
        <v>0</v>
      </c>
      <c r="R79" s="69"/>
      <c r="S79" s="69"/>
      <c r="T79" s="69"/>
      <c r="U79" s="62"/>
      <c r="V79" s="85"/>
      <c r="W79" s="79"/>
      <c r="X79" s="32"/>
    </row>
    <row r="80" spans="1:24" s="1" customFormat="1" ht="21.75" customHeight="1" x14ac:dyDescent="0.35">
      <c r="A80" s="4"/>
      <c r="B80" s="134"/>
      <c r="C80" s="89" t="s">
        <v>84</v>
      </c>
      <c r="D80" s="123">
        <f>IFERROR(AVERAGEIF(FASE4!$B$2:$B$369,D$7,FASE4!$L$2:$L$369),0)</f>
        <v>0</v>
      </c>
      <c r="E80" s="114">
        <f>IFERROR(AVERAGEIF(FASE4!$B$2:$B$369,E$7,FASE4!$L$2:$L$369),0)</f>
        <v>0</v>
      </c>
      <c r="F80" s="114">
        <f>IFERROR(AVERAGEIF(FASE4!$B$2:$B$369,F$7,FASE4!$L$2:$L$369),0)</f>
        <v>0</v>
      </c>
      <c r="G80" s="114">
        <f>IFERROR(AVERAGEIF(FASE4!$B$2:$B$369,G$7,FASE4!$L$2:$L$369),0)</f>
        <v>0</v>
      </c>
      <c r="H80" s="114">
        <f>IFERROR(AVERAGEIF(FASE4!$B$2:$B$369,H$7,FASE4!$L$2:$L$369),0)</f>
        <v>0</v>
      </c>
      <c r="I80" s="114">
        <f>IFERROR(AVERAGEIF(FASE4!$B$2:$B$369,I$7,FASE4!$L$2:$L$369),0)</f>
        <v>0</v>
      </c>
      <c r="J80" s="114">
        <f>IFERROR(AVERAGEIF(FASE4!$B$2:$B$369,J$7,FASE4!$L$2:$L$369),0)</f>
        <v>0</v>
      </c>
      <c r="K80" s="114">
        <f>IFERROR(AVERAGEIF(FASE4!$B$2:$B$369,K$7,FASE4!$L$2:$L$369),0)</f>
        <v>0</v>
      </c>
      <c r="L80" s="114">
        <f>IFERROR(AVERAGEIF(FASE4!$B$2:$B$369,L$7,FASE4!$L$2:$L$369),0)</f>
        <v>0</v>
      </c>
      <c r="M80" s="114">
        <f>IFERROR(AVERAGEIF(FASE4!$B$2:$B$369,M$7,FASE4!$L$2:$L$369),0)</f>
        <v>0</v>
      </c>
      <c r="N80" s="114">
        <f>IFERROR(AVERAGEIF(FASE4!$B$2:$B$369,N$7,FASE4!$L$2:$L$369),0)</f>
        <v>0</v>
      </c>
      <c r="O80" s="124">
        <f>IFERROR(AVERAGEIF(FASE4!$B$2:$B$369,O$7,FASE4!$L$2:$L$369),0)</f>
        <v>0</v>
      </c>
      <c r="P80" s="118">
        <f t="shared" si="8"/>
        <v>0</v>
      </c>
      <c r="Q80" s="61">
        <f t="shared" si="9"/>
        <v>0</v>
      </c>
      <c r="R80" s="69"/>
      <c r="S80" s="69"/>
      <c r="T80" s="69"/>
      <c r="U80" s="62"/>
      <c r="V80" s="85"/>
      <c r="W80" s="79"/>
      <c r="X80" s="32"/>
    </row>
    <row r="81" spans="1:24" s="1" customFormat="1" ht="21.75" hidden="1" customHeight="1" x14ac:dyDescent="0.35">
      <c r="A81" s="4"/>
      <c r="B81" s="134"/>
      <c r="C81" s="89" t="s">
        <v>85</v>
      </c>
      <c r="D81" s="123"/>
      <c r="E81" s="114"/>
      <c r="F81" s="114"/>
      <c r="G81" s="114"/>
      <c r="H81" s="114"/>
      <c r="I81" s="114"/>
      <c r="J81" s="114"/>
      <c r="K81" s="114"/>
      <c r="L81" s="114"/>
      <c r="M81" s="114"/>
      <c r="N81" s="114"/>
      <c r="O81" s="124"/>
      <c r="P81" s="118" t="e">
        <f t="shared" si="8"/>
        <v>#DIV/0!</v>
      </c>
      <c r="Q81" s="61" t="e">
        <f t="shared" si="9"/>
        <v>#DIV/0!</v>
      </c>
      <c r="R81" s="69"/>
      <c r="S81" s="69"/>
      <c r="T81" s="69"/>
      <c r="U81" s="62"/>
      <c r="V81" s="85"/>
      <c r="W81" s="79"/>
      <c r="X81" s="32"/>
    </row>
    <row r="82" spans="1:24" s="1" customFormat="1" ht="21.75" customHeight="1" x14ac:dyDescent="0.35">
      <c r="A82" s="4"/>
      <c r="B82" s="134"/>
      <c r="C82" s="89" t="s">
        <v>86</v>
      </c>
      <c r="D82" s="123">
        <f>IFERROR(AVERAGEIF(FASE4!$B$2:$B$369,D$7,FASE4!$N$2:$N$369),0)</f>
        <v>0</v>
      </c>
      <c r="E82" s="114">
        <f>IFERROR(AVERAGEIF(FASE4!$B$2:$B$369,E$7,FASE4!$N$2:$N$369),0)</f>
        <v>0</v>
      </c>
      <c r="F82" s="114">
        <f>IFERROR(AVERAGEIF(FASE4!$B$2:$B$369,F$7,FASE4!$N$2:$N$369),0)</f>
        <v>0</v>
      </c>
      <c r="G82" s="114">
        <f>IFERROR(AVERAGEIF(FASE4!$B$2:$B$369,G$7,FASE4!$N$2:$N$369),0)</f>
        <v>0</v>
      </c>
      <c r="H82" s="114">
        <f>IFERROR(AVERAGEIF(FASE4!$B$2:$B$369,H$7,FASE4!$N$2:$N$369),0)</f>
        <v>0</v>
      </c>
      <c r="I82" s="114">
        <f>IFERROR(AVERAGEIF(FASE4!$B$2:$B$369,I$7,FASE4!$N$2:$N$369),0)</f>
        <v>0</v>
      </c>
      <c r="J82" s="114">
        <f>IFERROR(AVERAGEIF(FASE4!$B$2:$B$369,J$7,FASE4!$N$2:$N$369),0)</f>
        <v>0</v>
      </c>
      <c r="K82" s="114">
        <f>IFERROR(AVERAGEIF(FASE4!$B$2:$B$369,K$7,FASE4!$N$2:$N$369),0)</f>
        <v>0</v>
      </c>
      <c r="L82" s="114">
        <f>IFERROR(AVERAGEIF(FASE4!$B$2:$B$369,L$7,FASE4!$N$2:$N$369),0)</f>
        <v>0</v>
      </c>
      <c r="M82" s="114">
        <f>IFERROR(AVERAGEIF(FASE4!$B$2:$B$369,M$7,FASE4!$N$2:$N$369),0)</f>
        <v>0</v>
      </c>
      <c r="N82" s="114">
        <f>IFERROR(AVERAGEIF(FASE4!$B$2:$B$369,N$7,FASE4!$N$2:$N$369),0)</f>
        <v>0</v>
      </c>
      <c r="O82" s="124">
        <f>IFERROR(AVERAGEIF(FASE4!$B$2:$B$369,O$7,FASE4!$N$2:$N$369),0)</f>
        <v>0</v>
      </c>
      <c r="P82" s="118">
        <f t="shared" si="8"/>
        <v>0</v>
      </c>
      <c r="Q82" s="61">
        <f t="shared" si="9"/>
        <v>0</v>
      </c>
      <c r="R82" s="69"/>
      <c r="S82" s="69"/>
      <c r="T82" s="69"/>
      <c r="U82" s="62"/>
      <c r="V82" s="85"/>
      <c r="W82" s="79"/>
      <c r="X82" s="32"/>
    </row>
    <row r="83" spans="1:24" s="1" customFormat="1" ht="21.75" customHeight="1" x14ac:dyDescent="0.35">
      <c r="A83" s="4"/>
      <c r="B83" s="134"/>
      <c r="C83" s="89" t="s">
        <v>87</v>
      </c>
      <c r="D83" s="123">
        <f>IFERROR(AVERAGEIF(FASE4!$B$2:$B$369,D$7,FASE4!$O$2:$O$369),0)</f>
        <v>0</v>
      </c>
      <c r="E83" s="114">
        <f>IFERROR(AVERAGEIF(FASE4!$B$2:$B$369,E$7,FASE4!$O$2:$O$369),0)</f>
        <v>0</v>
      </c>
      <c r="F83" s="114">
        <f>IFERROR(AVERAGEIF(FASE4!$B$2:$B$369,F$7,FASE4!$O$2:$O$369),0)</f>
        <v>0</v>
      </c>
      <c r="G83" s="114">
        <f>IFERROR(AVERAGEIF(FASE4!$B$2:$B$369,G$7,FASE4!$O$2:$O$369),0)</f>
        <v>0</v>
      </c>
      <c r="H83" s="114">
        <f>IFERROR(AVERAGEIF(FASE4!$B$2:$B$369,H$7,FASE4!$O$2:$O$369),0)</f>
        <v>0</v>
      </c>
      <c r="I83" s="114">
        <f>IFERROR(AVERAGEIF(FASE4!$B$2:$B$369,I$7,FASE4!$O$2:$O$369),0)</f>
        <v>0</v>
      </c>
      <c r="J83" s="114">
        <f>IFERROR(AVERAGEIF(FASE4!$B$2:$B$369,J$7,FASE4!$O$2:$O$369),0)</f>
        <v>0</v>
      </c>
      <c r="K83" s="114">
        <f>IFERROR(AVERAGEIF(FASE4!$B$2:$B$369,K$7,FASE4!$O$2:$O$369),0)</f>
        <v>0</v>
      </c>
      <c r="L83" s="114">
        <f>IFERROR(AVERAGEIF(FASE4!$B$2:$B$369,L$7,FASE4!$O$2:$O$369),0)</f>
        <v>0</v>
      </c>
      <c r="M83" s="114">
        <f>IFERROR(AVERAGEIF(FASE4!$B$2:$B$369,M$7,FASE4!$O$2:$O$369),0)</f>
        <v>0</v>
      </c>
      <c r="N83" s="114">
        <f>IFERROR(AVERAGEIF(FASE4!$B$2:$B$369,N$7,FASE4!$O$2:$O$369),0)</f>
        <v>0</v>
      </c>
      <c r="O83" s="124">
        <f>IFERROR(AVERAGEIF(FASE4!$B$2:$B$369,O$7,FASE4!$O$2:$O$369),0)</f>
        <v>0</v>
      </c>
      <c r="P83" s="118">
        <f t="shared" si="8"/>
        <v>0</v>
      </c>
      <c r="Q83" s="61">
        <f t="shared" si="9"/>
        <v>0</v>
      </c>
      <c r="R83" s="69"/>
      <c r="S83" s="69"/>
      <c r="T83" s="69"/>
      <c r="U83" s="62"/>
      <c r="V83" s="85"/>
      <c r="W83" s="79"/>
      <c r="X83" s="32"/>
    </row>
    <row r="84" spans="1:24" s="1" customFormat="1" ht="21.75" customHeight="1" x14ac:dyDescent="0.35">
      <c r="A84" s="4"/>
      <c r="B84" s="134"/>
      <c r="C84" s="90" t="s">
        <v>88</v>
      </c>
      <c r="D84" s="125">
        <f>IFERROR(AVERAGEIF(FASE4!$B$2:$B$369,D$7,FASE4!$P$2:$P$369),0)</f>
        <v>0</v>
      </c>
      <c r="E84" s="126">
        <f>IFERROR(AVERAGEIF(FASE4!$B$2:$B$369,E$7,FASE4!$P$2:$P$369),0)</f>
        <v>0</v>
      </c>
      <c r="F84" s="126">
        <f>IFERROR(AVERAGEIF(FASE4!$B$2:$B$369,F$7,FASE4!$P$2:$P$369),0)</f>
        <v>0</v>
      </c>
      <c r="G84" s="126">
        <f>IFERROR(AVERAGEIF(FASE4!$B$2:$B$369,G$7,FASE4!$P$2:$P$369),0)</f>
        <v>0</v>
      </c>
      <c r="H84" s="126">
        <f>IFERROR(AVERAGEIF(FASE4!$B$2:$B$369,H$7,FASE4!$P$2:$P$369),0)</f>
        <v>0</v>
      </c>
      <c r="I84" s="126">
        <f>IFERROR(AVERAGEIF(FASE4!$B$2:$B$369,I$7,FASE4!$P$2:$P$369),0)</f>
        <v>0</v>
      </c>
      <c r="J84" s="126">
        <f>IFERROR(AVERAGEIF(FASE4!$B$2:$B$369,J$7,FASE4!$P$2:$P$369),0)</f>
        <v>0</v>
      </c>
      <c r="K84" s="126">
        <f>IFERROR(AVERAGEIF(FASE4!$B$2:$B$369,K$7,FASE4!$P$2:$P$369),0)</f>
        <v>0</v>
      </c>
      <c r="L84" s="126">
        <f>IFERROR(AVERAGEIF(FASE4!$B$2:$B$369,L$7,FASE4!$P$2:$P$369),0)</f>
        <v>0</v>
      </c>
      <c r="M84" s="126">
        <f>IFERROR(AVERAGEIF(FASE4!$B$2:$B$369,M$7,FASE4!$P$2:$P$369),0)</f>
        <v>0</v>
      </c>
      <c r="N84" s="126">
        <f>IFERROR(AVERAGEIF(FASE4!$B$2:$B$369,N$7,FASE4!$P$2:$P$369),0)</f>
        <v>0</v>
      </c>
      <c r="O84" s="127">
        <f>IFERROR(AVERAGEIF(FASE4!$B$2:$B$369,O$7,FASE4!$P$2:$P$369),0)</f>
        <v>0</v>
      </c>
      <c r="P84" s="118">
        <f t="shared" si="8"/>
        <v>0</v>
      </c>
      <c r="Q84" s="75">
        <f t="shared" si="9"/>
        <v>0</v>
      </c>
      <c r="R84" s="70"/>
      <c r="S84" s="70"/>
      <c r="T84" s="70"/>
      <c r="U84" s="71"/>
      <c r="V84" s="91"/>
      <c r="W84" s="81"/>
      <c r="X84" s="33"/>
    </row>
    <row r="85" spans="1:24" ht="15" customHeight="1" x14ac:dyDescent="0.25">
      <c r="B85" s="134"/>
      <c r="D85" s="128"/>
      <c r="E85" s="129"/>
      <c r="F85" s="129"/>
      <c r="G85" s="129"/>
      <c r="H85" s="129"/>
      <c r="I85" s="129"/>
      <c r="J85" s="129"/>
      <c r="K85" s="129"/>
      <c r="L85" s="129"/>
      <c r="M85" s="129"/>
      <c r="N85" s="129"/>
      <c r="O85" s="129"/>
      <c r="P85" s="128"/>
    </row>
    <row r="86" spans="1:24" ht="15.75" customHeight="1" x14ac:dyDescent="0.25">
      <c r="B86" s="134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</row>
    <row r="87" spans="1:24" ht="24" customHeight="1" x14ac:dyDescent="0.35">
      <c r="B87" s="134"/>
      <c r="C87" s="52" t="s">
        <v>89</v>
      </c>
      <c r="D87" s="12"/>
      <c r="E87" s="12"/>
      <c r="F87" s="13"/>
      <c r="G87" s="13"/>
      <c r="H87" s="13"/>
      <c r="I87" s="14"/>
      <c r="J87" s="15"/>
      <c r="K87" s="14"/>
      <c r="L87" s="18"/>
      <c r="M87" s="18"/>
      <c r="N87" s="18"/>
      <c r="O87" s="18"/>
      <c r="P87" s="16" t="e">
        <f>AVERAGE(P10:P84)</f>
        <v>#DIV/0!</v>
      </c>
      <c r="Q87" s="73"/>
      <c r="R87" s="73"/>
      <c r="S87" s="73"/>
      <c r="T87" s="73"/>
      <c r="U87" s="74"/>
      <c r="V87" s="74"/>
    </row>
    <row r="88" spans="1:24" ht="24" customHeight="1" x14ac:dyDescent="0.35">
      <c r="B88" s="134"/>
      <c r="F88" s="20"/>
      <c r="G88" s="20"/>
      <c r="H88" s="20"/>
      <c r="J88" s="11"/>
      <c r="K88" s="11"/>
      <c r="P88" s="17"/>
      <c r="Q88" s="73"/>
      <c r="R88" s="73"/>
      <c r="S88" s="73"/>
      <c r="T88" s="73"/>
      <c r="U88" s="74"/>
      <c r="V88" s="74"/>
    </row>
    <row r="89" spans="1:24" ht="24" customHeight="1" x14ac:dyDescent="0.35">
      <c r="B89" s="134"/>
      <c r="C89" s="53" t="s">
        <v>90</v>
      </c>
      <c r="D89" s="14"/>
      <c r="E89" s="14"/>
      <c r="F89" s="14"/>
      <c r="G89" s="18"/>
      <c r="H89" s="18"/>
      <c r="I89" s="18"/>
      <c r="J89" s="22"/>
      <c r="K89" s="22"/>
      <c r="L89" s="22"/>
      <c r="M89" s="28"/>
      <c r="N89" s="28"/>
      <c r="O89" s="28"/>
      <c r="P89" s="3"/>
      <c r="Q89" s="74"/>
      <c r="R89" s="74"/>
      <c r="S89" s="74"/>
      <c r="T89" s="74"/>
    </row>
    <row r="90" spans="1:24" ht="15.75" customHeight="1" x14ac:dyDescent="0.25">
      <c r="B90" s="146"/>
      <c r="F90" s="143"/>
      <c r="G90" s="140"/>
      <c r="H90" s="140"/>
    </row>
    <row r="104" spans="9:15" x14ac:dyDescent="0.45">
      <c r="I104" s="1">
        <f>1.9*700</f>
        <v>1330</v>
      </c>
      <c r="J104" s="44">
        <f>+I104*36200</f>
        <v>48146000</v>
      </c>
    </row>
    <row r="109" spans="9:15" x14ac:dyDescent="0.45">
      <c r="L109" s="9"/>
      <c r="M109" s="27"/>
      <c r="N109" s="27"/>
      <c r="O109" s="27"/>
    </row>
  </sheetData>
  <mergeCells count="15">
    <mergeCell ref="W6:W7"/>
    <mergeCell ref="X6:X7"/>
    <mergeCell ref="B47:B69"/>
    <mergeCell ref="Q6:V7"/>
    <mergeCell ref="D3:E3"/>
    <mergeCell ref="F90:H90"/>
    <mergeCell ref="B30:B46"/>
    <mergeCell ref="P6:P7"/>
    <mergeCell ref="B10:B29"/>
    <mergeCell ref="C6:C7"/>
    <mergeCell ref="C70:P71"/>
    <mergeCell ref="I3:K3"/>
    <mergeCell ref="B70:B90"/>
    <mergeCell ref="F3:H3"/>
    <mergeCell ref="C47:P48"/>
  </mergeCells>
  <conditionalFormatting sqref="D32:O46 D49:O69 D72:O84 D10:O29">
    <cfRule type="cellIs" dxfId="9" priority="2" operator="greaterThanOrEqual">
      <formula>1</formula>
    </cfRule>
    <cfRule type="cellIs" dxfId="8" priority="3" operator="equal">
      <formula>0</formula>
    </cfRule>
    <cfRule type="cellIs" dxfId="7" priority="4" operator="between">
      <formula>50%</formula>
      <formula>99%</formula>
    </cfRule>
    <cfRule type="cellIs" dxfId="6" priority="5" operator="between">
      <formula>1%</formula>
      <formula>50%</formula>
    </cfRule>
    <cfRule type="cellIs" dxfId="5" priority="6" operator="equal">
      <formula>100</formula>
    </cfRule>
  </conditionalFormatting>
  <conditionalFormatting sqref="L109:O109">
    <cfRule type="cellIs" dxfId="4" priority="240" operator="equal">
      <formula>0</formula>
    </cfRule>
    <cfRule type="cellIs" dxfId="3" priority="242" operator="between">
      <formula>50</formula>
      <formula>99</formula>
    </cfRule>
    <cfRule type="cellIs" dxfId="2" priority="243" operator="between">
      <formula>1</formula>
      <formula>50</formula>
    </cfRule>
    <cfRule type="cellIs" dxfId="1" priority="244" operator="equal">
      <formula>100</formula>
    </cfRule>
  </conditionalFormatting>
  <conditionalFormatting sqref="P32:P46 R10:T29 R32:T46 R49:T69 R72:T84 P10:P29 P49:P69 P72:P84">
    <cfRule type="iconSet" priority="265">
      <iconSet iconSet="3Symbols2">
        <cfvo type="percent" val="0"/>
        <cfvo type="percent" val="33"/>
        <cfvo type="percent" val="67"/>
      </iconSet>
    </cfRule>
    <cfRule type="dataBar" priority="26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{00000000-000E-0000-0000-00000A010000}</x14:id>
        </ext>
      </extLst>
    </cfRule>
    <cfRule type="dataBar" priority="27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{00000000-000E-0000-0000-00000E010000}</x14:id>
        </ext>
      </extLst>
    </cfRule>
  </conditionalFormatting>
  <conditionalFormatting sqref="P32:P46 R32:W46 R49:W69 R72:W84 R10:W29 P10:P29 P49:P69 P72:P84">
    <cfRule type="cellIs" dxfId="0" priority="267" stopIfTrue="1" operator="equal">
      <formula>1</formula>
    </cfRule>
  </conditionalFormatting>
  <conditionalFormatting sqref="U32:V46 U10:V29 U49:V69 U72:V84">
    <cfRule type="dataBar" priority="5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{00000000-000E-0000-0000-000026020000}</x14:id>
        </ext>
      </extLst>
    </cfRule>
  </conditionalFormatting>
  <conditionalFormatting sqref="U49:V49">
    <cfRule type="dataBar" priority="2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{00000000-000E-0000-0000-000006010000}</x14:id>
        </ext>
      </extLst>
    </cfRule>
  </conditionalFormatting>
  <conditionalFormatting sqref="U49:V69 U72:V84">
    <cfRule type="dataBar" priority="2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{00000000-000E-0000-0000-000007010000}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0-000E-0000-0000-00000A01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000-00000E010000}">
            <x14:dataBar minLength="0" maxLength="100" negativeBarColorSameAsPositive="1" axisPosition="none">
              <x14:cfvo type="min"/>
              <x14:cfvo type="max"/>
            </x14:dataBar>
          </x14:cfRule>
          <xm:sqref>P32:P46 R10:T29 R32:T46 R49:T69 R72:T84 P10:P29 P49:P69 P72:P84</xm:sqref>
        </x14:conditionalFormatting>
        <x14:conditionalFormatting xmlns:xm="http://schemas.microsoft.com/office/excel/2006/main">
          <x14:cfRule type="dataBar" id="{00000000-000E-0000-0000-000026020000}">
            <x14:dataBar minLength="0" maxLength="100" negativeBarColorSameAsPositive="1" axisPosition="none">
              <x14:cfvo type="min"/>
              <x14:cfvo type="max"/>
            </x14:dataBar>
          </x14:cfRule>
          <xm:sqref>U32:V46 U10:V29 U49:V69 U72:V84</xm:sqref>
        </x14:conditionalFormatting>
        <x14:conditionalFormatting xmlns:xm="http://schemas.microsoft.com/office/excel/2006/main">
          <x14:cfRule type="dataBar" id="{00000000-000E-0000-0000-000006010000}">
            <x14:dataBar minLength="0" maxLength="100" negativeBarColorSameAsPositive="1" axisPosition="none">
              <x14:cfvo type="min"/>
              <x14:cfvo type="max"/>
            </x14:dataBar>
          </x14:cfRule>
          <xm:sqref>U49:V49</xm:sqref>
        </x14:conditionalFormatting>
        <x14:conditionalFormatting xmlns:xm="http://schemas.microsoft.com/office/excel/2006/main">
          <x14:cfRule type="dataBar" id="{00000000-000E-0000-0000-000007010000}">
            <x14:dataBar minLength="0" maxLength="100" negativeBarColorSameAsPositive="1" axisPosition="none">
              <x14:cfvo type="min"/>
              <x14:cfvo type="max"/>
            </x14:dataBar>
          </x14:cfRule>
          <xm:sqref>U49:V69 U72:V84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L69"/>
  <sheetViews>
    <sheetView workbookViewId="0"/>
  </sheetViews>
  <sheetFormatPr baseColWidth="10" defaultRowHeight="12.75" x14ac:dyDescent="0.2"/>
  <cols>
    <col min="2" max="2" width="45.85546875" customWidth="1"/>
    <col min="3" max="12" width="11.5703125" style="1" customWidth="1"/>
  </cols>
  <sheetData>
    <row r="1" spans="1:12" x14ac:dyDescent="0.2">
      <c r="A1" s="25" t="s">
        <v>91</v>
      </c>
      <c r="B1" s="25" t="s">
        <v>5</v>
      </c>
      <c r="C1" s="105" t="s">
        <v>92</v>
      </c>
      <c r="D1" s="105" t="s">
        <v>93</v>
      </c>
      <c r="E1" s="105" t="s">
        <v>94</v>
      </c>
      <c r="F1" s="105" t="s">
        <v>95</v>
      </c>
      <c r="G1" s="105" t="s">
        <v>96</v>
      </c>
      <c r="H1" s="105" t="s">
        <v>97</v>
      </c>
      <c r="I1" s="105" t="s">
        <v>98</v>
      </c>
      <c r="J1" s="105" t="s">
        <v>99</v>
      </c>
      <c r="K1" s="105" t="s">
        <v>100</v>
      </c>
      <c r="L1" s="105" t="s">
        <v>7</v>
      </c>
    </row>
    <row r="2" spans="1:12" x14ac:dyDescent="0.2">
      <c r="A2" t="s">
        <v>101</v>
      </c>
      <c r="B2" t="s">
        <v>16</v>
      </c>
      <c r="C2" s="130">
        <f>FASE1!E$13</f>
        <v>100</v>
      </c>
      <c r="D2" s="130">
        <f>FASE1!E$57</f>
        <v>100</v>
      </c>
      <c r="E2" s="130">
        <f>FASE1!E$102</f>
        <v>0</v>
      </c>
      <c r="F2" s="130">
        <f>FASE1!E$147</f>
        <v>47.727272727272727</v>
      </c>
      <c r="G2" s="130">
        <f>FASE1!E$192</f>
        <v>0</v>
      </c>
      <c r="H2" s="130">
        <f>FASE1!E$237</f>
        <v>0</v>
      </c>
      <c r="I2" s="130">
        <f>FASE1!E$282</f>
        <v>0</v>
      </c>
      <c r="J2" s="130">
        <f>FASE1!E$327</f>
        <v>0</v>
      </c>
      <c r="K2" s="130">
        <f>FASE1!E$369</f>
        <v>0</v>
      </c>
      <c r="L2" s="130">
        <f t="shared" ref="L2:L33" si="0">AVERAGE(C2:K2)</f>
        <v>27.525252525252526</v>
      </c>
    </row>
    <row r="3" spans="1:12" x14ac:dyDescent="0.2">
      <c r="A3" t="s">
        <v>101</v>
      </c>
      <c r="B3" t="s">
        <v>17</v>
      </c>
      <c r="C3" s="130">
        <f>FASE1!F$13</f>
        <v>100</v>
      </c>
      <c r="D3" s="130">
        <f>FASE1!F$57</f>
        <v>100</v>
      </c>
      <c r="E3" s="130">
        <f>FASE1!F$102</f>
        <v>79.318181818181813</v>
      </c>
      <c r="F3" s="130">
        <f>FASE1!F$147</f>
        <v>34.090909090909093</v>
      </c>
      <c r="G3" s="130">
        <f>FASE1!F$192</f>
        <v>0</v>
      </c>
      <c r="H3" s="130">
        <f>FASE1!F$237</f>
        <v>0</v>
      </c>
      <c r="I3" s="130">
        <f>FASE1!F$282</f>
        <v>0</v>
      </c>
      <c r="J3" s="130">
        <f>FASE1!F$327</f>
        <v>0</v>
      </c>
      <c r="K3" s="130">
        <f>FASE1!F$369</f>
        <v>0</v>
      </c>
      <c r="L3" s="130">
        <f t="shared" si="0"/>
        <v>34.823232323232318</v>
      </c>
    </row>
    <row r="4" spans="1:12" x14ac:dyDescent="0.2">
      <c r="A4" t="s">
        <v>101</v>
      </c>
      <c r="B4" t="s">
        <v>18</v>
      </c>
      <c r="C4" s="130">
        <f>FASE1!G$13</f>
        <v>100</v>
      </c>
      <c r="D4" s="130">
        <f>FASE1!G$57</f>
        <v>77.906976744186053</v>
      </c>
      <c r="E4" s="130">
        <f>FASE1!G$102</f>
        <v>50.340909090909093</v>
      </c>
      <c r="F4" s="130">
        <f>FASE1!G$147</f>
        <v>1.3636363636363635</v>
      </c>
      <c r="G4" s="130">
        <f>FASE1!G$192</f>
        <v>0</v>
      </c>
      <c r="H4" s="130">
        <f>FASE1!G$237</f>
        <v>0</v>
      </c>
      <c r="I4" s="130">
        <f>FASE1!G$282</f>
        <v>0</v>
      </c>
      <c r="J4" s="130">
        <f>FASE1!G$327</f>
        <v>0</v>
      </c>
      <c r="K4" s="130">
        <f>FASE1!G$369</f>
        <v>0</v>
      </c>
      <c r="L4" s="130">
        <f t="shared" si="0"/>
        <v>25.512391355414614</v>
      </c>
    </row>
    <row r="5" spans="1:12" x14ac:dyDescent="0.2">
      <c r="A5" t="s">
        <v>101</v>
      </c>
      <c r="B5" t="s">
        <v>19</v>
      </c>
      <c r="C5" s="130">
        <f>FASE1!H$13</f>
        <v>92.727272727272734</v>
      </c>
      <c r="D5" s="130">
        <f>FASE1!H$57</f>
        <v>79.069767441860463</v>
      </c>
      <c r="E5" s="130">
        <f>FASE1!H$102</f>
        <v>79.545454545454547</v>
      </c>
      <c r="F5" s="130">
        <f>FASE1!H$147</f>
        <v>0</v>
      </c>
      <c r="G5" s="130">
        <f>FASE1!H$192</f>
        <v>0</v>
      </c>
      <c r="H5" s="130">
        <f>FASE1!H$237</f>
        <v>0</v>
      </c>
      <c r="I5" s="130">
        <f>FASE1!H$282</f>
        <v>0</v>
      </c>
      <c r="J5" s="130">
        <f>FASE1!H$327</f>
        <v>0</v>
      </c>
      <c r="K5" s="130">
        <f>FASE1!H$369</f>
        <v>0</v>
      </c>
      <c r="L5" s="130">
        <f t="shared" si="0"/>
        <v>27.926943857176418</v>
      </c>
    </row>
    <row r="6" spans="1:12" x14ac:dyDescent="0.2">
      <c r="A6" t="s">
        <v>101</v>
      </c>
      <c r="B6" t="s">
        <v>20</v>
      </c>
      <c r="C6" s="130">
        <f>FASE1!I$13</f>
        <v>100</v>
      </c>
      <c r="D6" s="130">
        <f>FASE1!I$57</f>
        <v>78.95348837209302</v>
      </c>
      <c r="E6" s="130">
        <f>FASE1!I$102</f>
        <v>79.545454545454547</v>
      </c>
      <c r="F6" s="130">
        <f>FASE1!I$147</f>
        <v>47.727272727272727</v>
      </c>
      <c r="G6" s="130">
        <f>FASE1!I$192</f>
        <v>0</v>
      </c>
      <c r="H6" s="130">
        <f>FASE1!I$237</f>
        <v>0</v>
      </c>
      <c r="I6" s="130">
        <f>FASE1!I$282</f>
        <v>0</v>
      </c>
      <c r="J6" s="130">
        <f>FASE1!I$327</f>
        <v>0</v>
      </c>
      <c r="K6" s="130">
        <f>FASE1!I$369</f>
        <v>0</v>
      </c>
      <c r="L6" s="130">
        <f t="shared" si="0"/>
        <v>34.025135071646702</v>
      </c>
    </row>
    <row r="7" spans="1:12" x14ac:dyDescent="0.2">
      <c r="A7" t="s">
        <v>101</v>
      </c>
      <c r="B7" t="s">
        <v>21</v>
      </c>
      <c r="C7" s="130">
        <f>FASE1!J$13</f>
        <v>100</v>
      </c>
      <c r="D7" s="130">
        <f>FASE1!J$57</f>
        <v>79.069767441860463</v>
      </c>
      <c r="E7" s="130">
        <f>FASE1!J$102</f>
        <v>58.636363636363633</v>
      </c>
      <c r="F7" s="130">
        <f>FASE1!J$147</f>
        <v>1.8181818181818181</v>
      </c>
      <c r="G7" s="130">
        <f>FASE1!J$192</f>
        <v>0</v>
      </c>
      <c r="H7" s="130">
        <f>FASE1!J$237</f>
        <v>0</v>
      </c>
      <c r="I7" s="130">
        <f>FASE1!J$282</f>
        <v>0</v>
      </c>
      <c r="J7" s="130">
        <f>FASE1!J$327</f>
        <v>0</v>
      </c>
      <c r="K7" s="130">
        <f>FASE1!J$369</f>
        <v>0</v>
      </c>
      <c r="L7" s="130">
        <f t="shared" si="0"/>
        <v>26.6138125440451</v>
      </c>
    </row>
    <row r="8" spans="1:12" x14ac:dyDescent="0.2">
      <c r="A8" t="s">
        <v>101</v>
      </c>
      <c r="B8" t="s">
        <v>22</v>
      </c>
      <c r="C8" s="130">
        <f>FASE1!K$13</f>
        <v>100</v>
      </c>
      <c r="D8" s="130">
        <f>FASE1!K$57</f>
        <v>79.069767441860463</v>
      </c>
      <c r="E8" s="130">
        <f>FASE1!K$102</f>
        <v>79.545454545454547</v>
      </c>
      <c r="F8" s="130">
        <f>FASE1!K$147</f>
        <v>0</v>
      </c>
      <c r="G8" s="130">
        <f>FASE1!K$192</f>
        <v>0</v>
      </c>
      <c r="H8" s="130">
        <f>FASE1!K$237</f>
        <v>0</v>
      </c>
      <c r="I8" s="130">
        <f>FASE1!K$282</f>
        <v>0</v>
      </c>
      <c r="J8" s="130">
        <f>FASE1!K$327</f>
        <v>0</v>
      </c>
      <c r="K8" s="130">
        <f>FASE1!K$369</f>
        <v>0</v>
      </c>
      <c r="L8" s="130">
        <f t="shared" si="0"/>
        <v>28.735024665257225</v>
      </c>
    </row>
    <row r="9" spans="1:12" x14ac:dyDescent="0.2">
      <c r="A9" t="s">
        <v>101</v>
      </c>
      <c r="B9" t="s">
        <v>23</v>
      </c>
      <c r="C9" s="130">
        <f>FASE1!L$13</f>
        <v>100</v>
      </c>
      <c r="D9" s="130">
        <f>FASE1!L$57</f>
        <v>78.023255813953483</v>
      </c>
      <c r="E9" s="130">
        <f>FASE1!L$102</f>
        <v>76.931818181818187</v>
      </c>
      <c r="F9" s="130">
        <f>FASE1!L$147</f>
        <v>0</v>
      </c>
      <c r="G9" s="130">
        <f>FASE1!L$192</f>
        <v>0</v>
      </c>
      <c r="H9" s="130">
        <f>FASE1!L$237</f>
        <v>0</v>
      </c>
      <c r="I9" s="130">
        <f>FASE1!L$282</f>
        <v>0</v>
      </c>
      <c r="J9" s="130">
        <f>FASE1!L$327</f>
        <v>0</v>
      </c>
      <c r="K9" s="130">
        <f>FASE1!L$369</f>
        <v>0</v>
      </c>
      <c r="L9" s="130">
        <f t="shared" si="0"/>
        <v>28.328341555085743</v>
      </c>
    </row>
    <row r="10" spans="1:12" x14ac:dyDescent="0.2">
      <c r="A10" t="s">
        <v>101</v>
      </c>
      <c r="B10" t="s">
        <v>24</v>
      </c>
      <c r="C10" s="130">
        <f>FASE1!M$13</f>
        <v>100</v>
      </c>
      <c r="D10" s="130">
        <f>FASE1!M$57</f>
        <v>74.418604651162795</v>
      </c>
      <c r="E10" s="130">
        <f>FASE1!M$102</f>
        <v>32.727272727272727</v>
      </c>
      <c r="F10" s="130">
        <f>FASE1!M$147</f>
        <v>0</v>
      </c>
      <c r="G10" s="130">
        <f>FASE1!M$192</f>
        <v>0</v>
      </c>
      <c r="H10" s="130">
        <f>FASE1!M$237</f>
        <v>0</v>
      </c>
      <c r="I10" s="130">
        <f>FASE1!M$282</f>
        <v>0</v>
      </c>
      <c r="J10" s="130">
        <f>FASE1!M$327</f>
        <v>0</v>
      </c>
      <c r="K10" s="130">
        <f>FASE1!M$369</f>
        <v>0</v>
      </c>
      <c r="L10" s="130">
        <f t="shared" si="0"/>
        <v>23.016208597603949</v>
      </c>
    </row>
    <row r="11" spans="1:12" x14ac:dyDescent="0.2">
      <c r="A11" t="s">
        <v>101</v>
      </c>
      <c r="B11" t="s">
        <v>25</v>
      </c>
      <c r="C11" s="130">
        <f>FASE1!N$13</f>
        <v>95</v>
      </c>
      <c r="D11" s="130">
        <f>FASE1!N$57</f>
        <v>22.790697674418606</v>
      </c>
      <c r="E11" s="130">
        <f>FASE1!N$102</f>
        <v>0.11363636363636363</v>
      </c>
      <c r="F11" s="130">
        <f>FASE1!N$147</f>
        <v>0</v>
      </c>
      <c r="G11" s="130">
        <f>FASE1!N$192</f>
        <v>0</v>
      </c>
      <c r="H11" s="130">
        <f>FASE1!N$237</f>
        <v>0</v>
      </c>
      <c r="I11" s="130">
        <f>FASE1!N$282</f>
        <v>0</v>
      </c>
      <c r="J11" s="130">
        <f>FASE1!N$327</f>
        <v>0</v>
      </c>
      <c r="K11" s="130">
        <f>FASE1!N$369</f>
        <v>0</v>
      </c>
      <c r="L11" s="130">
        <f t="shared" si="0"/>
        <v>13.100481559783885</v>
      </c>
    </row>
    <row r="12" spans="1:12" x14ac:dyDescent="0.2">
      <c r="A12" t="s">
        <v>101</v>
      </c>
      <c r="B12" t="s">
        <v>26</v>
      </c>
      <c r="C12" s="130">
        <f>FASE1!O$13</f>
        <v>94.545454545454547</v>
      </c>
      <c r="D12" s="130">
        <f>FASE1!O$57</f>
        <v>20.697674418604652</v>
      </c>
      <c r="E12" s="130">
        <f>FASE1!O$102</f>
        <v>1.8181818181818181</v>
      </c>
      <c r="F12" s="130">
        <f>FASE1!O$147</f>
        <v>0</v>
      </c>
      <c r="G12" s="130">
        <f>FASE1!O$192</f>
        <v>0</v>
      </c>
      <c r="H12" s="130">
        <f>FASE1!O$237</f>
        <v>0</v>
      </c>
      <c r="I12" s="130">
        <f>FASE1!O$282</f>
        <v>0</v>
      </c>
      <c r="J12" s="130">
        <f>FASE1!O$327</f>
        <v>0</v>
      </c>
      <c r="K12" s="130">
        <f>FASE1!O$369</f>
        <v>0</v>
      </c>
      <c r="L12" s="130">
        <f t="shared" si="0"/>
        <v>13.00681230913789</v>
      </c>
    </row>
    <row r="13" spans="1:12" x14ac:dyDescent="0.2">
      <c r="A13" t="s">
        <v>101</v>
      </c>
      <c r="B13" t="s">
        <v>27</v>
      </c>
      <c r="C13" s="130">
        <f>FASE1!P$13</f>
        <v>85.909090909090907</v>
      </c>
      <c r="D13" s="130">
        <f>FASE1!P$57</f>
        <v>48.953488372093027</v>
      </c>
      <c r="E13" s="130">
        <f>FASE1!P$102</f>
        <v>37.727272727272727</v>
      </c>
      <c r="F13" s="130">
        <f>FASE1!P$147</f>
        <v>0</v>
      </c>
      <c r="G13" s="130">
        <f>FASE1!P$192</f>
        <v>0</v>
      </c>
      <c r="H13" s="130">
        <f>FASE1!P$237</f>
        <v>0</v>
      </c>
      <c r="I13" s="130">
        <f>FASE1!P$282</f>
        <v>0</v>
      </c>
      <c r="J13" s="130">
        <f>FASE1!P$327</f>
        <v>0</v>
      </c>
      <c r="K13" s="130">
        <f>FASE1!P$369</f>
        <v>0</v>
      </c>
      <c r="L13" s="130">
        <f t="shared" si="0"/>
        <v>19.17665022316185</v>
      </c>
    </row>
    <row r="14" spans="1:12" x14ac:dyDescent="0.2">
      <c r="A14" t="s">
        <v>101</v>
      </c>
      <c r="B14" t="s">
        <v>28</v>
      </c>
      <c r="C14" s="130">
        <f>FASE1!Q$13</f>
        <v>84.090909090909093</v>
      </c>
      <c r="D14" s="130">
        <f>FASE1!Q$57</f>
        <v>65.465116279069761</v>
      </c>
      <c r="E14" s="130">
        <f>FASE1!Q$102</f>
        <v>62.613636363636367</v>
      </c>
      <c r="F14" s="130">
        <f>FASE1!Q$147</f>
        <v>12.613636363636363</v>
      </c>
      <c r="G14" s="130">
        <f>FASE1!Q$192</f>
        <v>0</v>
      </c>
      <c r="H14" s="130">
        <f>FASE1!Q$237</f>
        <v>0</v>
      </c>
      <c r="I14" s="130">
        <f>FASE1!Q$282</f>
        <v>0</v>
      </c>
      <c r="J14" s="130">
        <f>FASE1!Q$327</f>
        <v>0</v>
      </c>
      <c r="K14" s="130">
        <f>FASE1!Q$369</f>
        <v>0</v>
      </c>
      <c r="L14" s="130">
        <f t="shared" si="0"/>
        <v>24.975922010805732</v>
      </c>
    </row>
    <row r="15" spans="1:12" x14ac:dyDescent="0.2">
      <c r="A15" t="s">
        <v>101</v>
      </c>
      <c r="B15" t="s">
        <v>29</v>
      </c>
      <c r="C15" s="130">
        <f>FASE1!R$13</f>
        <v>95</v>
      </c>
      <c r="D15" s="130">
        <f>FASE1!R$57</f>
        <v>72.441860465116278</v>
      </c>
      <c r="E15" s="130">
        <f>FASE1!R$102</f>
        <v>1.8181818181818181</v>
      </c>
      <c r="F15" s="130">
        <f>FASE1!R$147</f>
        <v>0</v>
      </c>
      <c r="G15" s="130">
        <f>FASE1!R$192</f>
        <v>0</v>
      </c>
      <c r="H15" s="130">
        <f>FASE1!R$237</f>
        <v>0</v>
      </c>
      <c r="I15" s="130">
        <f>FASE1!R$282</f>
        <v>0</v>
      </c>
      <c r="J15" s="130">
        <f>FASE1!R$327</f>
        <v>0</v>
      </c>
      <c r="K15" s="130">
        <f>FASE1!R$369</f>
        <v>0</v>
      </c>
      <c r="L15" s="130">
        <f t="shared" si="0"/>
        <v>18.806671364810899</v>
      </c>
    </row>
    <row r="16" spans="1:12" x14ac:dyDescent="0.2">
      <c r="A16" t="s">
        <v>101</v>
      </c>
      <c r="B16" t="s">
        <v>30</v>
      </c>
      <c r="C16" s="130">
        <f>FASE1!S$13</f>
        <v>100</v>
      </c>
      <c r="D16" s="130">
        <f>FASE1!S$57</f>
        <v>65.348837209302332</v>
      </c>
      <c r="E16" s="130">
        <f>FASE1!S$102</f>
        <v>2.2727272727272729</v>
      </c>
      <c r="F16" s="130">
        <f>FASE1!S$147</f>
        <v>0</v>
      </c>
      <c r="G16" s="130">
        <f>FASE1!S$192</f>
        <v>0</v>
      </c>
      <c r="H16" s="130">
        <f>FASE1!S$237</f>
        <v>0</v>
      </c>
      <c r="I16" s="130">
        <f>FASE1!S$282</f>
        <v>0</v>
      </c>
      <c r="J16" s="130">
        <f>FASE1!S$327</f>
        <v>0</v>
      </c>
      <c r="K16" s="130">
        <f>FASE1!S$369</f>
        <v>0</v>
      </c>
      <c r="L16" s="130">
        <f t="shared" si="0"/>
        <v>18.624618275781067</v>
      </c>
    </row>
    <row r="17" spans="1:12" x14ac:dyDescent="0.2">
      <c r="A17" t="s">
        <v>101</v>
      </c>
      <c r="B17" t="s">
        <v>31</v>
      </c>
      <c r="C17" s="130">
        <f>FASE1!T$13</f>
        <v>18.181818181818183</v>
      </c>
      <c r="D17" s="130">
        <f>FASE1!T$57</f>
        <v>0</v>
      </c>
      <c r="E17" s="130">
        <f>FASE1!T$102</f>
        <v>0</v>
      </c>
      <c r="F17" s="130">
        <f>FASE1!T$147</f>
        <v>0</v>
      </c>
      <c r="G17" s="130">
        <f>FASE1!T$192</f>
        <v>0</v>
      </c>
      <c r="H17" s="130">
        <f>FASE1!T$237</f>
        <v>0</v>
      </c>
      <c r="I17" s="130">
        <f>FASE1!T$282</f>
        <v>0</v>
      </c>
      <c r="J17" s="130">
        <f>FASE1!T$327</f>
        <v>0</v>
      </c>
      <c r="K17" s="130">
        <f>FASE1!T$369</f>
        <v>0</v>
      </c>
      <c r="L17" s="130">
        <f t="shared" si="0"/>
        <v>2.0202020202020203</v>
      </c>
    </row>
    <row r="18" spans="1:12" x14ac:dyDescent="0.2">
      <c r="A18" t="s">
        <v>101</v>
      </c>
      <c r="B18" t="s">
        <v>32</v>
      </c>
      <c r="C18" s="130">
        <f>FASE1!U$13</f>
        <v>92.727272727272734</v>
      </c>
      <c r="D18" s="130">
        <f>FASE1!U$57</f>
        <v>36.511627906976742</v>
      </c>
      <c r="E18" s="130">
        <f>FASE1!U$102</f>
        <v>2.2727272727272729</v>
      </c>
      <c r="F18" s="130">
        <f>FASE1!U$147</f>
        <v>0</v>
      </c>
      <c r="G18" s="130">
        <f>FASE1!U$192</f>
        <v>0</v>
      </c>
      <c r="H18" s="130">
        <f>FASE1!U$237</f>
        <v>0</v>
      </c>
      <c r="I18" s="130">
        <f>FASE1!U$282</f>
        <v>0</v>
      </c>
      <c r="J18" s="130">
        <f>FASE1!U$327</f>
        <v>0</v>
      </c>
      <c r="K18" s="130">
        <f>FASE1!U$369</f>
        <v>0</v>
      </c>
      <c r="L18" s="130">
        <f t="shared" si="0"/>
        <v>14.612403100775197</v>
      </c>
    </row>
    <row r="19" spans="1:12" x14ac:dyDescent="0.2">
      <c r="A19" t="s">
        <v>101</v>
      </c>
      <c r="B19" t="s">
        <v>33</v>
      </c>
      <c r="C19" s="130">
        <f>FASE1!V$13</f>
        <v>91.36363636363636</v>
      </c>
      <c r="D19" s="130">
        <f>FASE1!V$57</f>
        <v>25.232558139534884</v>
      </c>
      <c r="E19" s="130">
        <f>FASE1!V$102</f>
        <v>2.2727272727272729</v>
      </c>
      <c r="F19" s="130">
        <f>FASE1!V$147</f>
        <v>0</v>
      </c>
      <c r="G19" s="130">
        <f>FASE1!V$192</f>
        <v>0</v>
      </c>
      <c r="H19" s="130">
        <f>FASE1!V$237</f>
        <v>0</v>
      </c>
      <c r="I19" s="130">
        <f>FASE1!V$282</f>
        <v>0</v>
      </c>
      <c r="J19" s="130">
        <f>FASE1!V$327</f>
        <v>0</v>
      </c>
      <c r="K19" s="130">
        <f>FASE1!V$369</f>
        <v>0</v>
      </c>
      <c r="L19" s="130">
        <f t="shared" si="0"/>
        <v>13.207657975099835</v>
      </c>
    </row>
    <row r="20" spans="1:12" x14ac:dyDescent="0.2">
      <c r="A20" t="s">
        <v>101</v>
      </c>
      <c r="B20" t="s">
        <v>34</v>
      </c>
      <c r="C20" s="130">
        <f>FASE1!W$13</f>
        <v>89.090909090909093</v>
      </c>
      <c r="D20" s="130">
        <f>FASE1!W$57</f>
        <v>28.488372093023255</v>
      </c>
      <c r="E20" s="130">
        <f>FASE1!W$102</f>
        <v>2.2727272727272729</v>
      </c>
      <c r="F20" s="130">
        <f>FASE1!W$147</f>
        <v>0</v>
      </c>
      <c r="G20" s="130">
        <f>FASE1!W$192</f>
        <v>0</v>
      </c>
      <c r="H20" s="130">
        <f>FASE1!W$237</f>
        <v>0</v>
      </c>
      <c r="I20" s="130">
        <f>FASE1!W$282</f>
        <v>0</v>
      </c>
      <c r="J20" s="130">
        <f>FASE1!W$327</f>
        <v>0</v>
      </c>
      <c r="K20" s="130">
        <f>FASE1!W$369</f>
        <v>0</v>
      </c>
      <c r="L20" s="130">
        <f t="shared" si="0"/>
        <v>13.316889828517736</v>
      </c>
    </row>
    <row r="21" spans="1:12" x14ac:dyDescent="0.2">
      <c r="A21" t="s">
        <v>101</v>
      </c>
      <c r="B21" t="s">
        <v>35</v>
      </c>
      <c r="C21" s="130">
        <f>FASE1!X$13</f>
        <v>95.909090909090907</v>
      </c>
      <c r="D21" s="130">
        <f>FASE1!X$57</f>
        <v>17.906976744186046</v>
      </c>
      <c r="E21" s="130">
        <f>FASE1!X$102</f>
        <v>2.2727272727272729</v>
      </c>
      <c r="F21" s="130">
        <f>FASE1!X$147</f>
        <v>0</v>
      </c>
      <c r="G21" s="130">
        <f>FASE1!X$192</f>
        <v>0</v>
      </c>
      <c r="H21" s="130">
        <f>FASE1!X$237</f>
        <v>0</v>
      </c>
      <c r="I21" s="130">
        <f>FASE1!X$282</f>
        <v>0</v>
      </c>
      <c r="J21" s="130">
        <f>FASE1!X$327</f>
        <v>0</v>
      </c>
      <c r="K21" s="130">
        <f>FASE1!X$369</f>
        <v>0</v>
      </c>
      <c r="L21" s="130">
        <f t="shared" si="0"/>
        <v>12.898754991778246</v>
      </c>
    </row>
    <row r="22" spans="1:12" x14ac:dyDescent="0.2">
      <c r="A22" t="s">
        <v>102</v>
      </c>
      <c r="B22" t="s">
        <v>38</v>
      </c>
      <c r="C22" s="132">
        <f>FASE2!E$13</f>
        <v>0</v>
      </c>
      <c r="D22" s="132">
        <f>FASE2!E$57</f>
        <v>0</v>
      </c>
      <c r="E22" s="132">
        <f>FASE2!E$102</f>
        <v>0</v>
      </c>
      <c r="F22" s="132">
        <f>FASE2!E$147</f>
        <v>0</v>
      </c>
      <c r="G22" s="132">
        <f>FASE2!E$192</f>
        <v>0</v>
      </c>
      <c r="H22" s="132">
        <f>FASE2!E$237</f>
        <v>0</v>
      </c>
      <c r="I22" s="132">
        <f>FASE2!E$282</f>
        <v>0</v>
      </c>
      <c r="J22" s="132">
        <f>FASE2!E$327</f>
        <v>0</v>
      </c>
      <c r="K22" s="132">
        <f>FASE2!E$369</f>
        <v>0</v>
      </c>
      <c r="L22" s="132">
        <f t="shared" si="0"/>
        <v>0</v>
      </c>
    </row>
    <row r="23" spans="1:12" x14ac:dyDescent="0.2">
      <c r="A23" t="s">
        <v>102</v>
      </c>
      <c r="B23" t="s">
        <v>39</v>
      </c>
      <c r="C23" s="132">
        <f>FASE2!F$13</f>
        <v>0.18181818181818182</v>
      </c>
      <c r="D23" s="132">
        <f>FASE2!F$57</f>
        <v>0</v>
      </c>
      <c r="E23" s="132">
        <f>FASE2!F$102</f>
        <v>0</v>
      </c>
      <c r="F23" s="132">
        <f>FASE2!F$147</f>
        <v>0</v>
      </c>
      <c r="G23" s="132">
        <f>FASE2!F$192</f>
        <v>0</v>
      </c>
      <c r="H23" s="132">
        <f>FASE2!F$237</f>
        <v>0</v>
      </c>
      <c r="I23" s="132">
        <f>FASE2!F$282</f>
        <v>0</v>
      </c>
      <c r="J23" s="132">
        <f>FASE2!F$327</f>
        <v>0</v>
      </c>
      <c r="K23" s="132">
        <f>FASE2!F$369</f>
        <v>0</v>
      </c>
      <c r="L23" s="132">
        <f t="shared" si="0"/>
        <v>2.0202020202020204E-2</v>
      </c>
    </row>
    <row r="24" spans="1:12" x14ac:dyDescent="0.2">
      <c r="A24" t="s">
        <v>102</v>
      </c>
      <c r="B24" t="s">
        <v>40</v>
      </c>
      <c r="C24" s="132">
        <f>FASE2!G$13</f>
        <v>0.18181818181818182</v>
      </c>
      <c r="D24" s="132">
        <f>FASE2!G$57</f>
        <v>0</v>
      </c>
      <c r="E24" s="132">
        <f>FASE2!G$102</f>
        <v>0</v>
      </c>
      <c r="F24" s="132">
        <f>FASE2!G$147</f>
        <v>0</v>
      </c>
      <c r="G24" s="132">
        <f>FASE2!G$192</f>
        <v>0</v>
      </c>
      <c r="H24" s="132">
        <f>FASE2!G$237</f>
        <v>0</v>
      </c>
      <c r="I24" s="132">
        <f>FASE2!G$282</f>
        <v>0</v>
      </c>
      <c r="J24" s="132">
        <f>FASE2!G$327</f>
        <v>0</v>
      </c>
      <c r="K24" s="132">
        <f>FASE2!G$369</f>
        <v>0</v>
      </c>
      <c r="L24" s="132">
        <f t="shared" si="0"/>
        <v>2.0202020202020204E-2</v>
      </c>
    </row>
    <row r="25" spans="1:12" x14ac:dyDescent="0.2">
      <c r="A25" t="s">
        <v>102</v>
      </c>
      <c r="B25" t="s">
        <v>41</v>
      </c>
      <c r="C25" s="132">
        <f>FASE2!H$13</f>
        <v>0.95909090909090911</v>
      </c>
      <c r="D25" s="132">
        <f>FASE2!H$57</f>
        <v>0.3</v>
      </c>
      <c r="E25" s="132">
        <f>FASE2!H$102</f>
        <v>0.3</v>
      </c>
      <c r="F25" s="132">
        <f>FASE2!H$147</f>
        <v>0</v>
      </c>
      <c r="G25" s="132">
        <f>FASE2!H$192</f>
        <v>0</v>
      </c>
      <c r="H25" s="132">
        <f>FASE2!H$237</f>
        <v>0</v>
      </c>
      <c r="I25" s="132">
        <f>FASE2!H$282</f>
        <v>0</v>
      </c>
      <c r="J25" s="132">
        <f>FASE2!H$327</f>
        <v>0</v>
      </c>
      <c r="K25" s="132">
        <f>FASE2!H$369</f>
        <v>0</v>
      </c>
      <c r="L25" s="132">
        <f t="shared" si="0"/>
        <v>0.17323232323232324</v>
      </c>
    </row>
    <row r="26" spans="1:12" x14ac:dyDescent="0.2">
      <c r="A26" t="s">
        <v>102</v>
      </c>
      <c r="B26" t="s">
        <v>42</v>
      </c>
      <c r="C26" s="132">
        <f>FASE2!I$13</f>
        <v>0.79090909090909089</v>
      </c>
      <c r="D26" s="132">
        <f>FASE2!I$57</f>
        <v>2.5581395348837212E-2</v>
      </c>
      <c r="E26" s="132">
        <f>FASE2!I$102</f>
        <v>2.1590909090909091E-2</v>
      </c>
      <c r="F26" s="132">
        <f>FASE2!I$147</f>
        <v>0</v>
      </c>
      <c r="G26" s="132">
        <f>FASE2!I$192</f>
        <v>0</v>
      </c>
      <c r="H26" s="132">
        <f>FASE2!I$237</f>
        <v>0</v>
      </c>
      <c r="I26" s="132">
        <f>FASE2!I$282</f>
        <v>0</v>
      </c>
      <c r="J26" s="132">
        <f>FASE2!I$327</f>
        <v>0</v>
      </c>
      <c r="K26" s="132">
        <f>FASE2!I$369</f>
        <v>0</v>
      </c>
      <c r="L26" s="132">
        <f t="shared" si="0"/>
        <v>9.3120155038759686E-2</v>
      </c>
    </row>
    <row r="27" spans="1:12" x14ac:dyDescent="0.2">
      <c r="A27" t="s">
        <v>102</v>
      </c>
      <c r="B27" t="s">
        <v>43</v>
      </c>
      <c r="C27" s="132">
        <f>FASE2!J$13</f>
        <v>0.95909090909090911</v>
      </c>
      <c r="D27" s="132">
        <f>FASE2!J$57</f>
        <v>0.9</v>
      </c>
      <c r="E27" s="132">
        <f>FASE2!J$102</f>
        <v>2.1590909090909091E-2</v>
      </c>
      <c r="F27" s="132">
        <f>FASE2!J$147</f>
        <v>0</v>
      </c>
      <c r="G27" s="132">
        <f>FASE2!J$192</f>
        <v>0</v>
      </c>
      <c r="H27" s="132">
        <f>FASE2!J$237</f>
        <v>0</v>
      </c>
      <c r="I27" s="132">
        <f>FASE2!J$282</f>
        <v>0</v>
      </c>
      <c r="J27" s="132">
        <f>FASE2!J$327</f>
        <v>0</v>
      </c>
      <c r="K27" s="132">
        <f>FASE2!J$369</f>
        <v>0</v>
      </c>
      <c r="L27" s="132">
        <f t="shared" si="0"/>
        <v>0.20896464646464646</v>
      </c>
    </row>
    <row r="28" spans="1:12" x14ac:dyDescent="0.2">
      <c r="A28" t="s">
        <v>102</v>
      </c>
      <c r="B28" t="s">
        <v>44</v>
      </c>
      <c r="C28" s="132">
        <f>FASE2!K$13</f>
        <v>0.1</v>
      </c>
      <c r="D28" s="132">
        <f>FASE2!K$57</f>
        <v>6.9767441860465115E-3</v>
      </c>
      <c r="E28" s="132">
        <f>FASE2!K$102</f>
        <v>2.1590909090909091E-2</v>
      </c>
      <c r="F28" s="132">
        <f>FASE2!K$147</f>
        <v>0</v>
      </c>
      <c r="G28" s="132">
        <f>FASE2!K$192</f>
        <v>0</v>
      </c>
      <c r="H28" s="132">
        <f>FASE2!K$237</f>
        <v>0</v>
      </c>
      <c r="I28" s="132">
        <f>FASE2!K$282</f>
        <v>0</v>
      </c>
      <c r="J28" s="132">
        <f>FASE2!K$327</f>
        <v>0</v>
      </c>
      <c r="K28" s="132">
        <f>FASE2!K$369</f>
        <v>0</v>
      </c>
      <c r="L28" s="132">
        <f t="shared" si="0"/>
        <v>1.4285294808550626E-2</v>
      </c>
    </row>
    <row r="29" spans="1:12" x14ac:dyDescent="0.2">
      <c r="A29" t="s">
        <v>102</v>
      </c>
      <c r="B29" t="s">
        <v>45</v>
      </c>
      <c r="C29" s="132">
        <f>FASE2!L$13</f>
        <v>0.95909090909090911</v>
      </c>
      <c r="D29" s="132">
        <f>FASE2!L$57</f>
        <v>4.6511627906976744E-3</v>
      </c>
      <c r="E29" s="132">
        <f>FASE2!L$102</f>
        <v>2.1590909090909091E-2</v>
      </c>
      <c r="F29" s="132">
        <f>FASE2!L$147</f>
        <v>0</v>
      </c>
      <c r="G29" s="132">
        <f>FASE2!L$192</f>
        <v>0</v>
      </c>
      <c r="H29" s="132">
        <f>FASE2!L$237</f>
        <v>0</v>
      </c>
      <c r="I29" s="132">
        <f>FASE2!L$282</f>
        <v>0</v>
      </c>
      <c r="J29" s="132">
        <f>FASE2!L$327</f>
        <v>0</v>
      </c>
      <c r="K29" s="132">
        <f>FASE2!L$369</f>
        <v>0</v>
      </c>
      <c r="L29" s="132">
        <f t="shared" si="0"/>
        <v>0.10948144233027954</v>
      </c>
    </row>
    <row r="30" spans="1:12" x14ac:dyDescent="0.2">
      <c r="A30" t="s">
        <v>102</v>
      </c>
      <c r="B30" t="s">
        <v>46</v>
      </c>
      <c r="C30" s="132">
        <f>FASE2!M$13</f>
        <v>0.95909090909090911</v>
      </c>
      <c r="D30" s="132">
        <f>FASE2!M$57</f>
        <v>0.20116279069767443</v>
      </c>
      <c r="E30" s="132">
        <f>FASE2!M$102</f>
        <v>2.0454545454545454E-2</v>
      </c>
      <c r="F30" s="132">
        <f>FASE2!M$147</f>
        <v>0</v>
      </c>
      <c r="G30" s="132">
        <f>FASE2!M$192</f>
        <v>0</v>
      </c>
      <c r="H30" s="132">
        <f>FASE2!M$237</f>
        <v>0</v>
      </c>
      <c r="I30" s="132">
        <f>FASE2!M$282</f>
        <v>0</v>
      </c>
      <c r="J30" s="132">
        <f>FASE2!M$327</f>
        <v>0</v>
      </c>
      <c r="K30" s="132">
        <f>FASE2!M$369</f>
        <v>0</v>
      </c>
      <c r="L30" s="132">
        <f t="shared" si="0"/>
        <v>0.13118980502701433</v>
      </c>
    </row>
    <row r="31" spans="1:12" x14ac:dyDescent="0.2">
      <c r="A31" t="s">
        <v>102</v>
      </c>
      <c r="B31" t="s">
        <v>47</v>
      </c>
      <c r="C31" s="132">
        <f>FASE2!N$13</f>
        <v>0.95909090909090911</v>
      </c>
      <c r="D31" s="132">
        <f>FASE2!N$57</f>
        <v>0.23953488372093013</v>
      </c>
      <c r="E31" s="132">
        <f>FASE2!N$102</f>
        <v>2.0454545454545454E-2</v>
      </c>
      <c r="F31" s="132">
        <f>FASE2!N$147</f>
        <v>0</v>
      </c>
      <c r="G31" s="132">
        <f>FASE2!N$192</f>
        <v>0</v>
      </c>
      <c r="H31" s="132">
        <f>FASE2!N$237</f>
        <v>0</v>
      </c>
      <c r="I31" s="132">
        <f>FASE2!N$282</f>
        <v>0</v>
      </c>
      <c r="J31" s="132">
        <f>FASE2!N$327</f>
        <v>0</v>
      </c>
      <c r="K31" s="132">
        <f>FASE2!N$369</f>
        <v>0</v>
      </c>
      <c r="L31" s="132">
        <f t="shared" si="0"/>
        <v>0.13545337091848719</v>
      </c>
    </row>
    <row r="32" spans="1:12" x14ac:dyDescent="0.2">
      <c r="A32" t="s">
        <v>102</v>
      </c>
      <c r="B32" t="s">
        <v>48</v>
      </c>
      <c r="C32" s="132">
        <f>FASE2!O$13</f>
        <v>0.66818181818181821</v>
      </c>
      <c r="D32" s="132">
        <f>FASE2!O$57</f>
        <v>9.3023255813953487E-3</v>
      </c>
      <c r="E32" s="132">
        <f>FASE2!O$102</f>
        <v>2.1590909090909091E-2</v>
      </c>
      <c r="F32" s="132">
        <f>FASE2!O$147</f>
        <v>0</v>
      </c>
      <c r="G32" s="132">
        <f>FASE2!O$192</f>
        <v>0</v>
      </c>
      <c r="H32" s="132">
        <f>FASE2!O$237</f>
        <v>0</v>
      </c>
      <c r="I32" s="132">
        <f>FASE2!O$282</f>
        <v>0</v>
      </c>
      <c r="J32" s="132">
        <f>FASE2!O$327</f>
        <v>0</v>
      </c>
      <c r="K32" s="132">
        <f>FASE2!O$369</f>
        <v>0</v>
      </c>
      <c r="L32" s="132">
        <f t="shared" si="0"/>
        <v>7.7675005872680294E-2</v>
      </c>
    </row>
    <row r="33" spans="1:12" x14ac:dyDescent="0.2">
      <c r="A33" t="s">
        <v>102</v>
      </c>
      <c r="B33" t="s">
        <v>49</v>
      </c>
      <c r="C33" s="132">
        <f>FASE2!P$13</f>
        <v>0.75</v>
      </c>
      <c r="D33" s="132">
        <f>FASE2!P$57</f>
        <v>6.9883720930232554E-3</v>
      </c>
      <c r="E33" s="132">
        <f>FASE2!P$102</f>
        <v>2.1590909090909091E-2</v>
      </c>
      <c r="F33" s="132">
        <f>FASE2!P$147</f>
        <v>0</v>
      </c>
      <c r="G33" s="132">
        <f>FASE2!P$192</f>
        <v>0</v>
      </c>
      <c r="H33" s="132">
        <f>FASE2!P$237</f>
        <v>0</v>
      </c>
      <c r="I33" s="132">
        <f>FASE2!P$282</f>
        <v>0</v>
      </c>
      <c r="J33" s="132">
        <f>FASE2!P$327</f>
        <v>0</v>
      </c>
      <c r="K33" s="132">
        <f>FASE2!P$369</f>
        <v>0</v>
      </c>
      <c r="L33" s="132">
        <f t="shared" si="0"/>
        <v>8.6508809020436936E-2</v>
      </c>
    </row>
    <row r="34" spans="1:12" x14ac:dyDescent="0.2">
      <c r="A34" t="s">
        <v>102</v>
      </c>
      <c r="B34" t="s">
        <v>50</v>
      </c>
      <c r="C34" s="132">
        <f>FASE2!Q$13</f>
        <v>1</v>
      </c>
      <c r="D34" s="132">
        <f>FASE2!Q$57</f>
        <v>0.41511627906976739</v>
      </c>
      <c r="E34" s="132">
        <f>FASE2!Q$102</f>
        <v>1.8181818181818184E-2</v>
      </c>
      <c r="F34" s="132">
        <f>FASE2!Q$147</f>
        <v>0</v>
      </c>
      <c r="G34" s="132">
        <f>FASE2!Q$192</f>
        <v>0</v>
      </c>
      <c r="H34" s="132">
        <f>FASE2!Q$237</f>
        <v>0</v>
      </c>
      <c r="I34" s="132">
        <f>FASE2!Q$282</f>
        <v>0</v>
      </c>
      <c r="J34" s="132">
        <f>FASE2!Q$327</f>
        <v>0</v>
      </c>
      <c r="K34" s="132">
        <f>FASE2!Q$369</f>
        <v>0</v>
      </c>
      <c r="L34" s="132">
        <f t="shared" ref="L34:L65" si="1">AVERAGE(C34:K34)</f>
        <v>0.15925534413906506</v>
      </c>
    </row>
    <row r="35" spans="1:12" x14ac:dyDescent="0.2">
      <c r="A35" t="s">
        <v>102</v>
      </c>
      <c r="B35" t="s">
        <v>51</v>
      </c>
      <c r="C35" s="132">
        <f>FASE2!R$13</f>
        <v>0.59545454545454557</v>
      </c>
      <c r="D35" s="132">
        <f>FASE2!R$57</f>
        <v>0</v>
      </c>
      <c r="E35" s="132">
        <f>FASE2!R$102</f>
        <v>1.1363636363636364E-2</v>
      </c>
      <c r="F35" s="132">
        <f>FASE2!R$147</f>
        <v>0</v>
      </c>
      <c r="G35" s="132">
        <f>FASE2!R$192</f>
        <v>0</v>
      </c>
      <c r="H35" s="132">
        <f>FASE2!R$237</f>
        <v>0</v>
      </c>
      <c r="I35" s="132">
        <f>FASE2!R$282</f>
        <v>0</v>
      </c>
      <c r="J35" s="132">
        <f>FASE2!R$327</f>
        <v>0</v>
      </c>
      <c r="K35" s="132">
        <f>FASE2!R$369</f>
        <v>0</v>
      </c>
      <c r="L35" s="132">
        <f t="shared" si="1"/>
        <v>6.7424242424242442E-2</v>
      </c>
    </row>
    <row r="36" spans="1:12" x14ac:dyDescent="0.2">
      <c r="A36" t="s">
        <v>102</v>
      </c>
      <c r="B36" t="s">
        <v>52</v>
      </c>
      <c r="C36" s="132">
        <f>FASE2!S$13</f>
        <v>0.80909090909090908</v>
      </c>
      <c r="D36" s="132">
        <f>FASE2!S$57</f>
        <v>1.1627906976744186E-2</v>
      </c>
      <c r="E36" s="132">
        <f>FASE2!S$102</f>
        <v>2.1590909090909091E-2</v>
      </c>
      <c r="F36" s="132">
        <f>FASE2!S$147</f>
        <v>0</v>
      </c>
      <c r="G36" s="132">
        <f>FASE2!S$192</f>
        <v>0</v>
      </c>
      <c r="H36" s="132">
        <f>FASE2!S$237</f>
        <v>0</v>
      </c>
      <c r="I36" s="132">
        <f>FASE2!S$282</f>
        <v>0</v>
      </c>
      <c r="J36" s="132">
        <f>FASE2!S$327</f>
        <v>0</v>
      </c>
      <c r="K36" s="132">
        <f>FASE2!S$369</f>
        <v>0</v>
      </c>
      <c r="L36" s="132">
        <f t="shared" si="1"/>
        <v>9.3589969462062494E-2</v>
      </c>
    </row>
    <row r="37" spans="1:12" x14ac:dyDescent="0.2">
      <c r="A37" t="s">
        <v>103</v>
      </c>
      <c r="B37" t="s">
        <v>54</v>
      </c>
      <c r="C37" s="132">
        <f>FASE3!E$13</f>
        <v>0</v>
      </c>
      <c r="D37" s="132">
        <f>FASE3!E$57</f>
        <v>0</v>
      </c>
      <c r="E37" s="132">
        <f>FASE3!E$102</f>
        <v>0</v>
      </c>
      <c r="F37" s="132">
        <f>FASE3!E$147</f>
        <v>0</v>
      </c>
      <c r="G37" s="132">
        <f>FASE3!E$192</f>
        <v>0</v>
      </c>
      <c r="H37" s="132">
        <f>FASE3!E$237</f>
        <v>0</v>
      </c>
      <c r="I37" s="132">
        <f>FASE3!E$282</f>
        <v>0</v>
      </c>
      <c r="J37" s="132">
        <f>FASE3!E$327</f>
        <v>0</v>
      </c>
      <c r="K37" s="132">
        <f>FASE3!E$369</f>
        <v>0</v>
      </c>
      <c r="L37" s="132">
        <f t="shared" si="1"/>
        <v>0</v>
      </c>
    </row>
    <row r="38" spans="1:12" x14ac:dyDescent="0.2">
      <c r="A38" t="s">
        <v>103</v>
      </c>
      <c r="B38" t="s">
        <v>55</v>
      </c>
      <c r="C38" s="132">
        <f>FASE3!F$13</f>
        <v>0.75454545454545463</v>
      </c>
      <c r="D38" s="132">
        <f>FASE3!F$57</f>
        <v>0.11162790697674418</v>
      </c>
      <c r="E38" s="132">
        <f>FASE3!F$102</f>
        <v>2.0454545454545454E-2</v>
      </c>
      <c r="F38" s="132">
        <f>FASE3!F$147</f>
        <v>0</v>
      </c>
      <c r="G38" s="132">
        <f>FASE3!F$192</f>
        <v>0</v>
      </c>
      <c r="H38" s="132">
        <f>FASE3!F$237</f>
        <v>0</v>
      </c>
      <c r="I38" s="132">
        <f>FASE3!F$282</f>
        <v>0</v>
      </c>
      <c r="J38" s="132">
        <f>FASE3!F$327</f>
        <v>0</v>
      </c>
      <c r="K38" s="132">
        <f>FASE3!F$369</f>
        <v>0</v>
      </c>
      <c r="L38" s="132">
        <f t="shared" si="1"/>
        <v>9.8514211886304923E-2</v>
      </c>
    </row>
    <row r="39" spans="1:12" x14ac:dyDescent="0.2">
      <c r="A39" t="s">
        <v>103</v>
      </c>
      <c r="B39" t="s">
        <v>56</v>
      </c>
      <c r="C39" s="132">
        <f>FASE3!G$13</f>
        <v>0.92727272727272725</v>
      </c>
      <c r="D39" s="132">
        <f>FASE3!G$57</f>
        <v>7.441860465116279E-2</v>
      </c>
      <c r="E39" s="132">
        <f>FASE3!G$102</f>
        <v>2.2727272727272728E-2</v>
      </c>
      <c r="F39" s="132">
        <f>FASE3!G$147</f>
        <v>0</v>
      </c>
      <c r="G39" s="132">
        <f>FASE3!G$192</f>
        <v>0</v>
      </c>
      <c r="H39" s="132">
        <f>FASE3!G$237</f>
        <v>0</v>
      </c>
      <c r="I39" s="132">
        <f>FASE3!G$282</f>
        <v>0</v>
      </c>
      <c r="J39" s="132">
        <f>FASE3!G$327</f>
        <v>0</v>
      </c>
      <c r="K39" s="132">
        <f>FASE3!G$369</f>
        <v>0</v>
      </c>
      <c r="L39" s="132">
        <f t="shared" si="1"/>
        <v>0.11382428940568474</v>
      </c>
    </row>
    <row r="40" spans="1:12" x14ac:dyDescent="0.2">
      <c r="A40" t="s">
        <v>103</v>
      </c>
      <c r="B40" t="s">
        <v>57</v>
      </c>
      <c r="C40" s="132">
        <f>FASE3!H$13</f>
        <v>0.18181818181818182</v>
      </c>
      <c r="D40" s="132">
        <f>FASE3!H$57</f>
        <v>0</v>
      </c>
      <c r="E40" s="132">
        <f>FASE3!H$102</f>
        <v>0</v>
      </c>
      <c r="F40" s="132">
        <f>FASE3!H$147</f>
        <v>0</v>
      </c>
      <c r="G40" s="132">
        <f>FASE3!H$192</f>
        <v>0</v>
      </c>
      <c r="H40" s="132">
        <f>FASE3!H$237</f>
        <v>0</v>
      </c>
      <c r="I40" s="132">
        <f>FASE3!H$282</f>
        <v>0</v>
      </c>
      <c r="J40" s="132">
        <f>FASE3!H$327</f>
        <v>0</v>
      </c>
      <c r="K40" s="132">
        <f>FASE3!H$369</f>
        <v>0</v>
      </c>
      <c r="L40" s="132">
        <f t="shared" si="1"/>
        <v>2.0202020202020204E-2</v>
      </c>
    </row>
    <row r="41" spans="1:12" x14ac:dyDescent="0.2">
      <c r="A41" t="s">
        <v>103</v>
      </c>
      <c r="B41" t="s">
        <v>58</v>
      </c>
      <c r="C41" s="132">
        <f>FASE3!I$13</f>
        <v>0.18181818181818182</v>
      </c>
      <c r="D41" s="132">
        <f>FASE3!I$57</f>
        <v>0</v>
      </c>
      <c r="E41" s="132">
        <f>FASE3!I$102</f>
        <v>0</v>
      </c>
      <c r="F41" s="132">
        <f>FASE3!I$147</f>
        <v>0</v>
      </c>
      <c r="G41" s="132">
        <f>FASE3!I$192</f>
        <v>0</v>
      </c>
      <c r="H41" s="132">
        <f>FASE3!I$237</f>
        <v>0</v>
      </c>
      <c r="I41" s="132">
        <f>FASE3!I$282</f>
        <v>0</v>
      </c>
      <c r="J41" s="132">
        <f>FASE3!I$327</f>
        <v>0</v>
      </c>
      <c r="K41" s="132">
        <f>FASE3!I$369</f>
        <v>0</v>
      </c>
      <c r="L41" s="132">
        <f t="shared" si="1"/>
        <v>2.0202020202020204E-2</v>
      </c>
    </row>
    <row r="42" spans="1:12" x14ac:dyDescent="0.2">
      <c r="A42" t="s">
        <v>103</v>
      </c>
      <c r="B42" t="s">
        <v>59</v>
      </c>
      <c r="C42" s="132">
        <f>FASE3!J$13</f>
        <v>0</v>
      </c>
      <c r="D42" s="132">
        <f>FASE3!J$57</f>
        <v>0</v>
      </c>
      <c r="E42" s="132">
        <f>FASE3!J$102</f>
        <v>0</v>
      </c>
      <c r="F42" s="132">
        <f>FASE3!J$147</f>
        <v>0</v>
      </c>
      <c r="G42" s="132">
        <f>FASE3!J$192</f>
        <v>0</v>
      </c>
      <c r="H42" s="132">
        <f>FASE3!J$237</f>
        <v>0</v>
      </c>
      <c r="I42" s="132">
        <f>FASE3!J$282</f>
        <v>0</v>
      </c>
      <c r="J42" s="132">
        <f>FASE3!J$327</f>
        <v>0</v>
      </c>
      <c r="K42" s="132">
        <f>FASE3!J$369</f>
        <v>0</v>
      </c>
      <c r="L42" s="132">
        <f t="shared" si="1"/>
        <v>0</v>
      </c>
    </row>
    <row r="43" spans="1:12" x14ac:dyDescent="0.2">
      <c r="A43" t="s">
        <v>103</v>
      </c>
      <c r="B43" t="s">
        <v>60</v>
      </c>
      <c r="C43" s="132">
        <f>FASE3!K$13</f>
        <v>0.18181818181818182</v>
      </c>
      <c r="D43" s="132">
        <f>FASE3!K$57</f>
        <v>0</v>
      </c>
      <c r="E43" s="132">
        <f>FASE3!K$102</f>
        <v>0</v>
      </c>
      <c r="F43" s="132">
        <f>FASE3!K$147</f>
        <v>0</v>
      </c>
      <c r="G43" s="132">
        <f>FASE3!K$192</f>
        <v>0</v>
      </c>
      <c r="H43" s="132">
        <f>FASE3!K$237</f>
        <v>0</v>
      </c>
      <c r="I43" s="132">
        <f>FASE3!K$282</f>
        <v>0</v>
      </c>
      <c r="J43" s="132">
        <f>FASE3!K$327</f>
        <v>0</v>
      </c>
      <c r="K43" s="132">
        <f>FASE3!K$369</f>
        <v>0</v>
      </c>
      <c r="L43" s="132">
        <f t="shared" si="1"/>
        <v>2.0202020202020204E-2</v>
      </c>
    </row>
    <row r="44" spans="1:12" x14ac:dyDescent="0.2">
      <c r="A44" t="s">
        <v>103</v>
      </c>
      <c r="B44" t="s">
        <v>61</v>
      </c>
      <c r="C44" s="132">
        <f>FASE3!L$13</f>
        <v>0.18181818181818182</v>
      </c>
      <c r="D44" s="132">
        <f>FASE3!L$57</f>
        <v>0</v>
      </c>
      <c r="E44" s="132">
        <f>FASE3!L$102</f>
        <v>0</v>
      </c>
      <c r="F44" s="132">
        <f>FASE3!L$147</f>
        <v>0</v>
      </c>
      <c r="G44" s="132">
        <f>FASE3!L$192</f>
        <v>0</v>
      </c>
      <c r="H44" s="132">
        <f>FASE3!L$237</f>
        <v>0</v>
      </c>
      <c r="I44" s="132">
        <f>FASE3!L$282</f>
        <v>0</v>
      </c>
      <c r="J44" s="132">
        <f>FASE3!L$327</f>
        <v>0</v>
      </c>
      <c r="K44" s="132">
        <f>FASE3!L$369</f>
        <v>0</v>
      </c>
      <c r="L44" s="132">
        <f t="shared" si="1"/>
        <v>2.0202020202020204E-2</v>
      </c>
    </row>
    <row r="45" spans="1:12" x14ac:dyDescent="0.2">
      <c r="A45" t="s">
        <v>103</v>
      </c>
      <c r="B45" t="s">
        <v>62</v>
      </c>
      <c r="C45" s="132">
        <f>FASE3!M$13</f>
        <v>0</v>
      </c>
      <c r="D45" s="132">
        <f>FASE3!M$57</f>
        <v>0</v>
      </c>
      <c r="E45" s="132">
        <f>FASE3!M$102</f>
        <v>0</v>
      </c>
      <c r="F45" s="132">
        <f>FASE3!M$147</f>
        <v>0</v>
      </c>
      <c r="G45" s="132">
        <f>FASE3!M$192</f>
        <v>0</v>
      </c>
      <c r="H45" s="132">
        <f>FASE3!M$237</f>
        <v>0</v>
      </c>
      <c r="I45" s="132">
        <f>FASE3!M$282</f>
        <v>0</v>
      </c>
      <c r="J45" s="132">
        <f>FASE3!M$327</f>
        <v>0</v>
      </c>
      <c r="K45" s="132">
        <f>FASE3!M$369</f>
        <v>0</v>
      </c>
      <c r="L45" s="132">
        <f t="shared" si="1"/>
        <v>0</v>
      </c>
    </row>
    <row r="46" spans="1:12" x14ac:dyDescent="0.2">
      <c r="A46" t="s">
        <v>103</v>
      </c>
      <c r="B46" t="s">
        <v>63</v>
      </c>
      <c r="C46" s="132">
        <f>FASE3!N$13</f>
        <v>0.87272727272727268</v>
      </c>
      <c r="D46" s="132">
        <f>FASE3!N$57</f>
        <v>0.28255813953488373</v>
      </c>
      <c r="E46" s="132">
        <f>FASE3!N$102</f>
        <v>5.3409090909090899E-2</v>
      </c>
      <c r="F46" s="132">
        <f>FASE3!N$147</f>
        <v>0</v>
      </c>
      <c r="G46" s="132">
        <f>FASE3!N$192</f>
        <v>0</v>
      </c>
      <c r="H46" s="132">
        <f>FASE3!N$237</f>
        <v>0</v>
      </c>
      <c r="I46" s="132">
        <f>FASE3!N$282</f>
        <v>0</v>
      </c>
      <c r="J46" s="132">
        <f>FASE3!N$327</f>
        <v>0</v>
      </c>
      <c r="K46" s="132">
        <f>FASE3!N$369</f>
        <v>0</v>
      </c>
      <c r="L46" s="132">
        <f t="shared" si="1"/>
        <v>0.13429938924124973</v>
      </c>
    </row>
    <row r="47" spans="1:12" x14ac:dyDescent="0.2">
      <c r="A47" t="s">
        <v>103</v>
      </c>
      <c r="B47" t="s">
        <v>64</v>
      </c>
      <c r="C47" s="132">
        <f>FASE3!O$13</f>
        <v>0.18181818181818182</v>
      </c>
      <c r="D47" s="132">
        <f>FASE3!O$57</f>
        <v>0</v>
      </c>
      <c r="E47" s="132">
        <f>FASE3!O$102</f>
        <v>0</v>
      </c>
      <c r="F47" s="132">
        <f>FASE3!O$147</f>
        <v>0</v>
      </c>
      <c r="G47" s="132">
        <f>FASE3!O$192</f>
        <v>0</v>
      </c>
      <c r="H47" s="132">
        <f>FASE3!O$237</f>
        <v>0</v>
      </c>
      <c r="I47" s="132">
        <f>FASE3!O$282</f>
        <v>0</v>
      </c>
      <c r="J47" s="132">
        <f>FASE3!O$327</f>
        <v>0</v>
      </c>
      <c r="K47" s="132">
        <f>FASE3!O$369</f>
        <v>0</v>
      </c>
      <c r="L47" s="132">
        <f t="shared" si="1"/>
        <v>2.0202020202020204E-2</v>
      </c>
    </row>
    <row r="48" spans="1:12" x14ac:dyDescent="0.2">
      <c r="A48" t="s">
        <v>103</v>
      </c>
      <c r="B48" t="s">
        <v>65</v>
      </c>
      <c r="C48" s="132">
        <f>FASE3!P$13</f>
        <v>0.18181818181818182</v>
      </c>
      <c r="D48" s="132">
        <f>FASE3!P$57</f>
        <v>0</v>
      </c>
      <c r="E48" s="132">
        <f>FASE3!P$102</f>
        <v>0</v>
      </c>
      <c r="F48" s="132">
        <f>FASE3!P$147</f>
        <v>0</v>
      </c>
      <c r="G48" s="132">
        <f>FASE3!P$192</f>
        <v>0</v>
      </c>
      <c r="H48" s="132">
        <f>FASE3!P$237</f>
        <v>0</v>
      </c>
      <c r="I48" s="132">
        <f>FASE3!P$282</f>
        <v>0</v>
      </c>
      <c r="J48" s="132">
        <f>FASE3!P$327</f>
        <v>0</v>
      </c>
      <c r="K48" s="132">
        <f>FASE3!P$369</f>
        <v>0</v>
      </c>
      <c r="L48" s="132">
        <f t="shared" si="1"/>
        <v>2.0202020202020204E-2</v>
      </c>
    </row>
    <row r="49" spans="1:12" x14ac:dyDescent="0.2">
      <c r="A49" t="s">
        <v>103</v>
      </c>
      <c r="B49" t="s">
        <v>66</v>
      </c>
      <c r="C49" s="132">
        <f>FASE3!Q$13</f>
        <v>0.38636363636363635</v>
      </c>
      <c r="D49" s="132">
        <f>FASE3!Q$57</f>
        <v>0</v>
      </c>
      <c r="E49" s="132">
        <f>FASE3!Q$102</f>
        <v>0</v>
      </c>
      <c r="F49" s="132">
        <f>FASE3!Q$147</f>
        <v>0</v>
      </c>
      <c r="G49" s="132">
        <f>FASE3!Q$192</f>
        <v>0</v>
      </c>
      <c r="H49" s="132">
        <f>FASE3!Q$237</f>
        <v>0</v>
      </c>
      <c r="I49" s="132">
        <f>FASE3!Q$282</f>
        <v>0</v>
      </c>
      <c r="J49" s="132">
        <f>FASE3!Q$327</f>
        <v>0</v>
      </c>
      <c r="K49" s="132">
        <f>FASE3!Q$369</f>
        <v>0</v>
      </c>
      <c r="L49" s="132">
        <f t="shared" si="1"/>
        <v>4.2929292929292928E-2</v>
      </c>
    </row>
    <row r="50" spans="1:12" x14ac:dyDescent="0.2">
      <c r="A50" t="s">
        <v>103</v>
      </c>
      <c r="B50" t="s">
        <v>67</v>
      </c>
      <c r="C50" s="132">
        <f>FASE3!R$13</f>
        <v>0.18181818181818182</v>
      </c>
      <c r="D50" s="132">
        <f>FASE3!R$57</f>
        <v>0</v>
      </c>
      <c r="E50" s="132">
        <f>FASE3!R$102</f>
        <v>0</v>
      </c>
      <c r="F50" s="132">
        <f>FASE3!R$147</f>
        <v>0</v>
      </c>
      <c r="G50" s="132">
        <f>FASE3!R$192</f>
        <v>0</v>
      </c>
      <c r="H50" s="132">
        <f>FASE3!R$237</f>
        <v>0</v>
      </c>
      <c r="I50" s="132">
        <f>FASE3!R$282</f>
        <v>0</v>
      </c>
      <c r="J50" s="132">
        <f>FASE3!R$327</f>
        <v>0</v>
      </c>
      <c r="K50" s="132">
        <f>FASE3!R$369</f>
        <v>0</v>
      </c>
      <c r="L50" s="132">
        <f t="shared" si="1"/>
        <v>2.0202020202020204E-2</v>
      </c>
    </row>
    <row r="51" spans="1:12" x14ac:dyDescent="0.2">
      <c r="A51" t="s">
        <v>103</v>
      </c>
      <c r="B51" t="s">
        <v>68</v>
      </c>
      <c r="C51" s="132">
        <f>FASE3!S$13</f>
        <v>0.18181818181818182</v>
      </c>
      <c r="D51" s="132">
        <f>FASE3!S$57</f>
        <v>0</v>
      </c>
      <c r="E51" s="132">
        <f>FASE3!S$102</f>
        <v>0</v>
      </c>
      <c r="F51" s="132">
        <f>FASE3!S$147</f>
        <v>0</v>
      </c>
      <c r="G51" s="132">
        <f>FASE3!S$192</f>
        <v>0</v>
      </c>
      <c r="H51" s="132">
        <f>FASE3!S$237</f>
        <v>0</v>
      </c>
      <c r="I51" s="132">
        <f>FASE3!S$282</f>
        <v>0</v>
      </c>
      <c r="J51" s="132">
        <f>FASE3!S$327</f>
        <v>0</v>
      </c>
      <c r="K51" s="132">
        <f>FASE3!S$369</f>
        <v>0</v>
      </c>
      <c r="L51" s="132">
        <f t="shared" si="1"/>
        <v>2.0202020202020204E-2</v>
      </c>
    </row>
    <row r="52" spans="1:12" x14ac:dyDescent="0.2">
      <c r="A52" t="s">
        <v>103</v>
      </c>
      <c r="B52" t="s">
        <v>69</v>
      </c>
      <c r="C52" s="132">
        <f>FASE3!T$13</f>
        <v>0.18181818181818182</v>
      </c>
      <c r="D52" s="132">
        <f>FASE3!T$57</f>
        <v>2.0930232558139531E-2</v>
      </c>
      <c r="E52" s="132">
        <f>FASE3!T$102</f>
        <v>4.5454545454545461E-3</v>
      </c>
      <c r="F52" s="132">
        <f>FASE3!T$147</f>
        <v>0</v>
      </c>
      <c r="G52" s="132">
        <f>FASE3!T$192</f>
        <v>0</v>
      </c>
      <c r="H52" s="132">
        <f>FASE3!T$237</f>
        <v>0</v>
      </c>
      <c r="I52" s="132">
        <f>FASE3!T$282</f>
        <v>0</v>
      </c>
      <c r="J52" s="132">
        <f>FASE3!T$327</f>
        <v>0</v>
      </c>
      <c r="K52" s="132">
        <f>FASE3!T$369</f>
        <v>0</v>
      </c>
      <c r="L52" s="132">
        <f t="shared" si="1"/>
        <v>2.3032652102419546E-2</v>
      </c>
    </row>
    <row r="53" spans="1:12" x14ac:dyDescent="0.2">
      <c r="A53" t="s">
        <v>103</v>
      </c>
      <c r="B53" t="s">
        <v>70</v>
      </c>
      <c r="C53" s="132">
        <f>FASE3!U$13</f>
        <v>0.18181818181818182</v>
      </c>
      <c r="D53" s="132">
        <f>FASE3!U$57</f>
        <v>0</v>
      </c>
      <c r="E53" s="132">
        <f>FASE3!U$102</f>
        <v>0</v>
      </c>
      <c r="F53" s="132">
        <f>FASE3!U$147</f>
        <v>0</v>
      </c>
      <c r="G53" s="132">
        <f>FASE3!U$192</f>
        <v>0</v>
      </c>
      <c r="H53" s="132">
        <f>FASE3!U$237</f>
        <v>0</v>
      </c>
      <c r="I53" s="132">
        <f>FASE3!U$282</f>
        <v>0</v>
      </c>
      <c r="J53" s="132">
        <f>FASE3!U$327</f>
        <v>0</v>
      </c>
      <c r="K53" s="132">
        <f>FASE3!U$369</f>
        <v>0</v>
      </c>
      <c r="L53" s="132">
        <f t="shared" si="1"/>
        <v>2.0202020202020204E-2</v>
      </c>
    </row>
    <row r="54" spans="1:12" x14ac:dyDescent="0.2">
      <c r="A54" t="s">
        <v>103</v>
      </c>
      <c r="B54" t="s">
        <v>71</v>
      </c>
      <c r="C54" s="132">
        <f>FASE3!V$13</f>
        <v>0.18181818181818182</v>
      </c>
      <c r="D54" s="132">
        <f>FASE3!V$57</f>
        <v>0</v>
      </c>
      <c r="E54" s="132">
        <f>FASE3!V$102</f>
        <v>0</v>
      </c>
      <c r="F54" s="132">
        <f>FASE3!V$147</f>
        <v>0</v>
      </c>
      <c r="G54" s="132">
        <f>FASE3!V$192</f>
        <v>0</v>
      </c>
      <c r="H54" s="132">
        <f>FASE3!V$237</f>
        <v>0</v>
      </c>
      <c r="I54" s="132">
        <f>FASE3!V$282</f>
        <v>0</v>
      </c>
      <c r="J54" s="132">
        <f>FASE3!V$327</f>
        <v>0</v>
      </c>
      <c r="K54" s="132">
        <f>FASE3!V$369</f>
        <v>0</v>
      </c>
      <c r="L54" s="132">
        <f t="shared" si="1"/>
        <v>2.0202020202020204E-2</v>
      </c>
    </row>
    <row r="55" spans="1:12" x14ac:dyDescent="0.2">
      <c r="A55" t="s">
        <v>103</v>
      </c>
      <c r="B55" t="s">
        <v>72</v>
      </c>
      <c r="C55" s="132">
        <f>FASE3!W$13</f>
        <v>0.18181818181818182</v>
      </c>
      <c r="D55" s="132">
        <f>FASE3!W$57</f>
        <v>0</v>
      </c>
      <c r="E55" s="132">
        <f>FASE3!W$102</f>
        <v>0</v>
      </c>
      <c r="F55" s="132">
        <f>FASE3!W$147</f>
        <v>0</v>
      </c>
      <c r="G55" s="132">
        <f>FASE3!W$192</f>
        <v>0</v>
      </c>
      <c r="H55" s="132">
        <f>FASE3!W$237</f>
        <v>0</v>
      </c>
      <c r="I55" s="132">
        <f>FASE3!W$282</f>
        <v>0</v>
      </c>
      <c r="J55" s="132">
        <f>FASE3!W$327</f>
        <v>0</v>
      </c>
      <c r="K55" s="132">
        <f>FASE3!W$369</f>
        <v>0</v>
      </c>
      <c r="L55" s="132">
        <f t="shared" si="1"/>
        <v>2.0202020202020204E-2</v>
      </c>
    </row>
    <row r="56" spans="1:12" x14ac:dyDescent="0.2">
      <c r="A56" t="s">
        <v>103</v>
      </c>
      <c r="B56" t="s">
        <v>73</v>
      </c>
      <c r="C56" s="132">
        <f>FASE3!X$13</f>
        <v>0.18181818181818182</v>
      </c>
      <c r="D56" s="132">
        <f>FASE3!X$57</f>
        <v>0</v>
      </c>
      <c r="E56" s="132">
        <f>FASE3!X$102</f>
        <v>0</v>
      </c>
      <c r="F56" s="132">
        <f>FASE3!X$147</f>
        <v>0</v>
      </c>
      <c r="G56" s="132">
        <f>FASE3!X$192</f>
        <v>0</v>
      </c>
      <c r="H56" s="132">
        <f>FASE3!X$237</f>
        <v>0</v>
      </c>
      <c r="I56" s="132">
        <f>FASE3!X$282</f>
        <v>0</v>
      </c>
      <c r="J56" s="132">
        <f>FASE3!X$327</f>
        <v>0</v>
      </c>
      <c r="K56" s="132">
        <f>FASE3!X$369</f>
        <v>0</v>
      </c>
      <c r="L56" s="132">
        <f t="shared" si="1"/>
        <v>2.0202020202020204E-2</v>
      </c>
    </row>
    <row r="57" spans="1:12" x14ac:dyDescent="0.2">
      <c r="A57" t="s">
        <v>103</v>
      </c>
      <c r="B57" t="s">
        <v>74</v>
      </c>
      <c r="C57" s="132">
        <f>FASE3!Y$13</f>
        <v>0</v>
      </c>
      <c r="D57" s="132">
        <f>FASE3!Y$57</f>
        <v>0</v>
      </c>
      <c r="E57" s="132">
        <f>FASE3!Y$102</f>
        <v>0</v>
      </c>
      <c r="F57" s="132">
        <f>FASE3!Y$147</f>
        <v>0</v>
      </c>
      <c r="G57" s="132">
        <f>FASE3!Y$192</f>
        <v>0</v>
      </c>
      <c r="H57" s="132">
        <f>FASE3!Y$237</f>
        <v>0</v>
      </c>
      <c r="I57" s="132">
        <f>FASE3!Y$282</f>
        <v>0</v>
      </c>
      <c r="J57" s="132">
        <f>FASE3!Y$327</f>
        <v>0</v>
      </c>
      <c r="K57" s="132">
        <f>FASE3!Y$369</f>
        <v>0</v>
      </c>
      <c r="L57" s="132">
        <f t="shared" si="1"/>
        <v>0</v>
      </c>
    </row>
    <row r="58" spans="1:12" x14ac:dyDescent="0.2">
      <c r="A58" t="s">
        <v>104</v>
      </c>
      <c r="B58" t="s">
        <v>76</v>
      </c>
      <c r="C58" s="132">
        <f>FASE4!E$13</f>
        <v>0</v>
      </c>
      <c r="D58" s="132">
        <f>FASE4!E$57</f>
        <v>0</v>
      </c>
      <c r="E58" s="132">
        <f>FASE4!E$102</f>
        <v>0</v>
      </c>
      <c r="F58" s="132">
        <f>FASE4!E$147</f>
        <v>0</v>
      </c>
      <c r="G58" s="132">
        <f>FASE4!E$192</f>
        <v>0</v>
      </c>
      <c r="H58" s="132">
        <f>FASE4!E$237</f>
        <v>0</v>
      </c>
      <c r="I58" s="132">
        <f>FASE4!E$282</f>
        <v>0</v>
      </c>
      <c r="J58" s="132">
        <f>FASE4!E$327</f>
        <v>0</v>
      </c>
      <c r="K58" s="132">
        <f>FASE4!E$369</f>
        <v>0</v>
      </c>
      <c r="L58" s="132">
        <f t="shared" si="1"/>
        <v>0</v>
      </c>
    </row>
    <row r="59" spans="1:12" x14ac:dyDescent="0.2">
      <c r="A59" t="s">
        <v>104</v>
      </c>
      <c r="B59" t="s">
        <v>77</v>
      </c>
      <c r="C59" s="132">
        <f>FASE4!F$13</f>
        <v>0</v>
      </c>
      <c r="D59" s="132">
        <f>FASE4!F$57</f>
        <v>0</v>
      </c>
      <c r="E59" s="132">
        <f>FASE4!F$102</f>
        <v>0</v>
      </c>
      <c r="F59" s="132">
        <f>FASE4!F$147</f>
        <v>0</v>
      </c>
      <c r="G59" s="132">
        <f>FASE4!F$192</f>
        <v>0</v>
      </c>
      <c r="H59" s="132">
        <f>FASE4!F$237</f>
        <v>0</v>
      </c>
      <c r="I59" s="132">
        <f>FASE4!F$282</f>
        <v>0</v>
      </c>
      <c r="J59" s="132">
        <f>FASE4!F$327</f>
        <v>0</v>
      </c>
      <c r="K59" s="132">
        <f>FASE4!F$369</f>
        <v>0</v>
      </c>
      <c r="L59" s="132">
        <f t="shared" si="1"/>
        <v>0</v>
      </c>
    </row>
    <row r="60" spans="1:12" x14ac:dyDescent="0.2">
      <c r="A60" t="s">
        <v>104</v>
      </c>
      <c r="B60" t="s">
        <v>105</v>
      </c>
      <c r="C60" s="132">
        <f>FASE4!G$13</f>
        <v>0</v>
      </c>
      <c r="D60" s="132">
        <f>FASE4!G$57</f>
        <v>0</v>
      </c>
      <c r="E60" s="132">
        <f>FASE4!G$102</f>
        <v>0</v>
      </c>
      <c r="F60" s="132">
        <f>FASE4!G$147</f>
        <v>0</v>
      </c>
      <c r="G60" s="132">
        <f>FASE4!G$192</f>
        <v>0</v>
      </c>
      <c r="H60" s="132">
        <f>FASE4!G$237</f>
        <v>0</v>
      </c>
      <c r="I60" s="132">
        <f>FASE4!G$282</f>
        <v>0</v>
      </c>
      <c r="J60" s="132">
        <f>FASE4!G$327</f>
        <v>0</v>
      </c>
      <c r="K60" s="132">
        <f>FASE4!G$369</f>
        <v>0</v>
      </c>
      <c r="L60" s="132">
        <f t="shared" si="1"/>
        <v>0</v>
      </c>
    </row>
    <row r="61" spans="1:12" x14ac:dyDescent="0.2">
      <c r="A61" t="s">
        <v>104</v>
      </c>
      <c r="B61" t="s">
        <v>80</v>
      </c>
      <c r="C61" s="132">
        <f>FASE4!H$13</f>
        <v>0</v>
      </c>
      <c r="D61" s="132">
        <f>FASE4!H$57</f>
        <v>0</v>
      </c>
      <c r="E61" s="132">
        <f>FASE4!H$102</f>
        <v>0</v>
      </c>
      <c r="F61" s="132">
        <f>FASE4!H$147</f>
        <v>0</v>
      </c>
      <c r="G61" s="132">
        <f>FASE4!H$192</f>
        <v>0</v>
      </c>
      <c r="H61" s="132">
        <f>FASE4!H$237</f>
        <v>0</v>
      </c>
      <c r="I61" s="132">
        <f>FASE4!H$282</f>
        <v>0</v>
      </c>
      <c r="J61" s="132">
        <f>FASE4!H$327</f>
        <v>0</v>
      </c>
      <c r="K61" s="132">
        <f>FASE4!H$369</f>
        <v>0</v>
      </c>
      <c r="L61" s="132">
        <f t="shared" si="1"/>
        <v>0</v>
      </c>
    </row>
    <row r="62" spans="1:12" x14ac:dyDescent="0.2">
      <c r="A62" t="s">
        <v>104</v>
      </c>
      <c r="B62" t="s">
        <v>81</v>
      </c>
      <c r="C62" s="132">
        <f>FASE4!I$13</f>
        <v>0</v>
      </c>
      <c r="D62" s="132">
        <f>FASE4!I$57</f>
        <v>0</v>
      </c>
      <c r="E62" s="132">
        <f>FASE4!I$102</f>
        <v>0</v>
      </c>
      <c r="F62" s="132">
        <f>FASE4!I$147</f>
        <v>0</v>
      </c>
      <c r="G62" s="132">
        <f>FASE4!I$192</f>
        <v>0</v>
      </c>
      <c r="H62" s="132">
        <f>FASE4!I$237</f>
        <v>0</v>
      </c>
      <c r="I62" s="132">
        <f>FASE4!I$282</f>
        <v>0</v>
      </c>
      <c r="J62" s="132">
        <f>FASE4!I$327</f>
        <v>0</v>
      </c>
      <c r="K62" s="132">
        <f>FASE4!I$369</f>
        <v>0</v>
      </c>
      <c r="L62" s="132">
        <f t="shared" si="1"/>
        <v>0</v>
      </c>
    </row>
    <row r="63" spans="1:12" x14ac:dyDescent="0.2">
      <c r="A63" t="s">
        <v>104</v>
      </c>
      <c r="B63" t="s">
        <v>82</v>
      </c>
      <c r="C63" s="132">
        <f>FASE4!J$13</f>
        <v>0</v>
      </c>
      <c r="D63" s="132">
        <f>FASE4!J$57</f>
        <v>0</v>
      </c>
      <c r="E63" s="132">
        <f>FASE4!J$102</f>
        <v>0</v>
      </c>
      <c r="F63" s="132">
        <f>FASE4!J$147</f>
        <v>0</v>
      </c>
      <c r="G63" s="132">
        <f>FASE4!J$192</f>
        <v>0</v>
      </c>
      <c r="H63" s="132">
        <f>FASE4!J$237</f>
        <v>0</v>
      </c>
      <c r="I63" s="132">
        <f>FASE4!J$282</f>
        <v>0</v>
      </c>
      <c r="J63" s="132">
        <f>FASE4!J$327</f>
        <v>0</v>
      </c>
      <c r="K63" s="132">
        <f>FASE4!J$369</f>
        <v>0</v>
      </c>
      <c r="L63" s="132">
        <f t="shared" si="1"/>
        <v>0</v>
      </c>
    </row>
    <row r="64" spans="1:12" x14ac:dyDescent="0.2">
      <c r="A64" t="s">
        <v>104</v>
      </c>
      <c r="B64" t="s">
        <v>83</v>
      </c>
      <c r="C64" s="132">
        <f>FASE4!K$13</f>
        <v>0</v>
      </c>
      <c r="D64" s="132">
        <f>FASE4!K$57</f>
        <v>0</v>
      </c>
      <c r="E64" s="132">
        <f>FASE4!K$102</f>
        <v>0</v>
      </c>
      <c r="F64" s="132">
        <f>FASE4!K$147</f>
        <v>0</v>
      </c>
      <c r="G64" s="132">
        <f>FASE4!K$192</f>
        <v>0</v>
      </c>
      <c r="H64" s="132">
        <f>FASE4!K$237</f>
        <v>0</v>
      </c>
      <c r="I64" s="132">
        <f>FASE4!K$282</f>
        <v>0</v>
      </c>
      <c r="J64" s="132">
        <f>FASE4!K$327</f>
        <v>0</v>
      </c>
      <c r="K64" s="132">
        <f>FASE4!K$369</f>
        <v>0</v>
      </c>
      <c r="L64" s="132">
        <f t="shared" si="1"/>
        <v>0</v>
      </c>
    </row>
    <row r="65" spans="1:12" x14ac:dyDescent="0.2">
      <c r="A65" t="s">
        <v>104</v>
      </c>
      <c r="B65" t="s">
        <v>84</v>
      </c>
      <c r="C65" s="132">
        <f>FASE4!L$13</f>
        <v>0</v>
      </c>
      <c r="D65" s="132">
        <f>FASE4!L$57</f>
        <v>0</v>
      </c>
      <c r="E65" s="132">
        <f>FASE4!L$102</f>
        <v>0</v>
      </c>
      <c r="F65" s="132">
        <f>FASE4!L$147</f>
        <v>0</v>
      </c>
      <c r="G65" s="132">
        <f>FASE4!L$192</f>
        <v>0</v>
      </c>
      <c r="H65" s="132">
        <f>FASE4!L$237</f>
        <v>0</v>
      </c>
      <c r="I65" s="132">
        <f>FASE4!L$282</f>
        <v>0</v>
      </c>
      <c r="J65" s="132">
        <f>FASE4!L$327</f>
        <v>0</v>
      </c>
      <c r="K65" s="132">
        <f>FASE4!L$369</f>
        <v>0</v>
      </c>
      <c r="L65" s="132">
        <f t="shared" si="1"/>
        <v>0</v>
      </c>
    </row>
    <row r="66" spans="1:12" x14ac:dyDescent="0.2">
      <c r="A66" t="s">
        <v>104</v>
      </c>
      <c r="B66" t="s">
        <v>106</v>
      </c>
      <c r="C66" s="132">
        <f>FASE4!M$13</f>
        <v>0</v>
      </c>
      <c r="D66" s="132">
        <f>FASE4!M$57</f>
        <v>0</v>
      </c>
      <c r="E66" s="132">
        <f>FASE4!M$102</f>
        <v>0</v>
      </c>
      <c r="F66" s="132">
        <f>FASE4!M$147</f>
        <v>0</v>
      </c>
      <c r="G66" s="132">
        <f>FASE4!M$192</f>
        <v>0</v>
      </c>
      <c r="H66" s="132">
        <f>FASE4!M$237</f>
        <v>0</v>
      </c>
      <c r="I66" s="132">
        <f>FASE4!M$282</f>
        <v>0</v>
      </c>
      <c r="J66" s="132">
        <f>FASE4!M$327</f>
        <v>0</v>
      </c>
      <c r="K66" s="132">
        <f>FASE4!M$369</f>
        <v>0</v>
      </c>
      <c r="L66" s="132">
        <f t="shared" ref="L66:L97" si="2">AVERAGE(C66:K66)</f>
        <v>0</v>
      </c>
    </row>
    <row r="67" spans="1:12" x14ac:dyDescent="0.2">
      <c r="A67" t="s">
        <v>104</v>
      </c>
      <c r="B67" t="s">
        <v>86</v>
      </c>
      <c r="C67" s="132">
        <f>FASE4!N$13</f>
        <v>0</v>
      </c>
      <c r="D67" s="132">
        <f>FASE4!N$57</f>
        <v>0</v>
      </c>
      <c r="E67" s="132">
        <f>FASE4!N$102</f>
        <v>0</v>
      </c>
      <c r="F67" s="132">
        <f>FASE4!N$147</f>
        <v>0</v>
      </c>
      <c r="G67" s="132">
        <f>FASE4!N$192</f>
        <v>0</v>
      </c>
      <c r="H67" s="132">
        <f>FASE4!N$237</f>
        <v>0</v>
      </c>
      <c r="I67" s="132">
        <f>FASE4!N$282</f>
        <v>0</v>
      </c>
      <c r="J67" s="132">
        <f>FASE4!N$327</f>
        <v>0</v>
      </c>
      <c r="K67" s="132">
        <f>FASE4!N$369</f>
        <v>0</v>
      </c>
      <c r="L67" s="132">
        <f t="shared" si="2"/>
        <v>0</v>
      </c>
    </row>
    <row r="68" spans="1:12" x14ac:dyDescent="0.2">
      <c r="A68" t="s">
        <v>104</v>
      </c>
      <c r="B68" t="s">
        <v>87</v>
      </c>
      <c r="C68" s="132">
        <f>FASE4!O$13</f>
        <v>0</v>
      </c>
      <c r="D68" s="132">
        <f>FASE4!O$57</f>
        <v>0</v>
      </c>
      <c r="E68" s="132">
        <f>FASE4!O$102</f>
        <v>0</v>
      </c>
      <c r="F68" s="132">
        <f>FASE4!O$147</f>
        <v>0</v>
      </c>
      <c r="G68" s="132">
        <f>FASE4!O$192</f>
        <v>0</v>
      </c>
      <c r="H68" s="132">
        <f>FASE4!O$237</f>
        <v>0</v>
      </c>
      <c r="I68" s="132">
        <f>FASE4!O$282</f>
        <v>0</v>
      </c>
      <c r="J68" s="132">
        <f>FASE4!O$327</f>
        <v>0</v>
      </c>
      <c r="K68" s="132">
        <f>FASE4!O$369</f>
        <v>0</v>
      </c>
      <c r="L68" s="132">
        <f t="shared" si="2"/>
        <v>0</v>
      </c>
    </row>
    <row r="69" spans="1:12" x14ac:dyDescent="0.2">
      <c r="A69" t="s">
        <v>104</v>
      </c>
      <c r="B69" t="s">
        <v>88</v>
      </c>
      <c r="C69" s="132">
        <f>FASE4!P$13</f>
        <v>0</v>
      </c>
      <c r="D69" s="132">
        <f>FASE4!P$57</f>
        <v>0</v>
      </c>
      <c r="E69" s="132">
        <f>FASE4!P$102</f>
        <v>0</v>
      </c>
      <c r="F69" s="132">
        <f>FASE4!P$147</f>
        <v>0</v>
      </c>
      <c r="G69" s="132">
        <f>FASE4!P$192</f>
        <v>0</v>
      </c>
      <c r="H69" s="132">
        <f>FASE4!P$237</f>
        <v>0</v>
      </c>
      <c r="I69" s="132">
        <f>FASE4!P$282</f>
        <v>0</v>
      </c>
      <c r="J69" s="132">
        <f>FASE4!P$327</f>
        <v>0</v>
      </c>
      <c r="K69" s="132">
        <f>FASE4!P$369</f>
        <v>0</v>
      </c>
      <c r="L69" s="132">
        <f t="shared" si="2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</sheetPr>
  <dimension ref="A1:Y369"/>
  <sheetViews>
    <sheetView workbookViewId="0"/>
  </sheetViews>
  <sheetFormatPr baseColWidth="10" defaultRowHeight="12.75" x14ac:dyDescent="0.2"/>
  <cols>
    <col min="4" max="4" width="13.5703125" customWidth="1"/>
    <col min="5" max="24" width="5.7109375" style="1" customWidth="1"/>
    <col min="25" max="25" width="6.42578125" customWidth="1"/>
  </cols>
  <sheetData>
    <row r="1" spans="1:25" ht="216" customHeight="1" x14ac:dyDescent="0.2">
      <c r="A1" s="23" t="s">
        <v>91</v>
      </c>
      <c r="B1" s="23" t="s">
        <v>107</v>
      </c>
      <c r="C1" s="23" t="s">
        <v>108</v>
      </c>
      <c r="D1" s="23" t="s">
        <v>109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  <c r="K1" s="1" t="s">
        <v>22</v>
      </c>
      <c r="L1" s="1" t="s">
        <v>23</v>
      </c>
      <c r="M1" s="1" t="s">
        <v>24</v>
      </c>
      <c r="N1" s="1" t="s">
        <v>25</v>
      </c>
      <c r="O1" s="1" t="s">
        <v>26</v>
      </c>
      <c r="P1" s="1" t="s">
        <v>27</v>
      </c>
      <c r="Q1" s="1" t="s">
        <v>28</v>
      </c>
      <c r="R1" s="1" t="s">
        <v>29</v>
      </c>
      <c r="S1" s="1" t="s">
        <v>30</v>
      </c>
      <c r="T1" s="1" t="s">
        <v>31</v>
      </c>
      <c r="U1" s="1" t="s">
        <v>32</v>
      </c>
      <c r="V1" s="1" t="s">
        <v>33</v>
      </c>
      <c r="W1" s="1" t="s">
        <v>34</v>
      </c>
      <c r="X1" s="1" t="s">
        <v>35</v>
      </c>
      <c r="Y1" s="72" t="s">
        <v>110</v>
      </c>
    </row>
    <row r="2" spans="1:25" x14ac:dyDescent="0.2">
      <c r="A2" s="23" t="s">
        <v>101</v>
      </c>
      <c r="B2">
        <v>1</v>
      </c>
      <c r="C2" s="23" t="s">
        <v>111</v>
      </c>
      <c r="D2">
        <v>102</v>
      </c>
      <c r="E2" s="130">
        <v>100</v>
      </c>
      <c r="F2" s="130">
        <v>100</v>
      </c>
      <c r="G2" s="130">
        <v>100</v>
      </c>
      <c r="H2" s="130">
        <v>90</v>
      </c>
      <c r="I2" s="130">
        <v>100</v>
      </c>
      <c r="J2" s="130">
        <v>100</v>
      </c>
      <c r="K2" s="130">
        <v>100</v>
      </c>
      <c r="L2" s="130">
        <v>100</v>
      </c>
      <c r="M2" s="130">
        <v>100</v>
      </c>
      <c r="N2" s="130">
        <v>90</v>
      </c>
      <c r="O2" s="130">
        <v>95</v>
      </c>
      <c r="P2" s="130">
        <v>50</v>
      </c>
      <c r="Q2" s="130">
        <v>80</v>
      </c>
      <c r="R2" s="130">
        <v>95</v>
      </c>
      <c r="S2" s="130">
        <v>100</v>
      </c>
      <c r="T2" s="130">
        <v>0</v>
      </c>
      <c r="U2" s="130">
        <v>90</v>
      </c>
      <c r="V2" s="130">
        <v>95</v>
      </c>
      <c r="W2" s="130">
        <v>90</v>
      </c>
      <c r="X2" s="130">
        <v>95</v>
      </c>
      <c r="Y2" s="131">
        <f t="shared" ref="Y2:Y65" si="0">AVERAGE(E2:X2)</f>
        <v>88.5</v>
      </c>
    </row>
    <row r="3" spans="1:25" x14ac:dyDescent="0.2">
      <c r="A3" s="23" t="s">
        <v>101</v>
      </c>
      <c r="B3">
        <v>1</v>
      </c>
      <c r="C3" s="23" t="s">
        <v>111</v>
      </c>
      <c r="D3">
        <v>103</v>
      </c>
      <c r="E3" s="130">
        <v>100</v>
      </c>
      <c r="F3" s="130">
        <v>100</v>
      </c>
      <c r="G3" s="130">
        <v>100</v>
      </c>
      <c r="H3" s="130">
        <v>90</v>
      </c>
      <c r="I3" s="130">
        <v>100</v>
      </c>
      <c r="J3" s="130">
        <v>100</v>
      </c>
      <c r="K3" s="130">
        <v>100</v>
      </c>
      <c r="L3" s="130">
        <v>100</v>
      </c>
      <c r="M3" s="130">
        <v>100</v>
      </c>
      <c r="N3" s="130">
        <v>95</v>
      </c>
      <c r="O3" s="130">
        <v>95</v>
      </c>
      <c r="P3" s="130">
        <v>100</v>
      </c>
      <c r="Q3" s="130">
        <v>85</v>
      </c>
      <c r="R3" s="130">
        <v>95</v>
      </c>
      <c r="S3" s="130">
        <v>100</v>
      </c>
      <c r="T3" s="130">
        <v>0</v>
      </c>
      <c r="U3" s="130">
        <v>90</v>
      </c>
      <c r="V3" s="130">
        <v>95</v>
      </c>
      <c r="W3" s="130">
        <v>90</v>
      </c>
      <c r="X3" s="130">
        <v>100</v>
      </c>
      <c r="Y3" s="131">
        <f t="shared" si="0"/>
        <v>91.75</v>
      </c>
    </row>
    <row r="4" spans="1:25" x14ac:dyDescent="0.2">
      <c r="A4" s="23" t="s">
        <v>101</v>
      </c>
      <c r="B4">
        <v>1</v>
      </c>
      <c r="C4" s="23" t="s">
        <v>111</v>
      </c>
      <c r="D4">
        <v>104</v>
      </c>
      <c r="E4" s="130">
        <v>100</v>
      </c>
      <c r="F4" s="130">
        <v>100</v>
      </c>
      <c r="G4" s="130">
        <v>100</v>
      </c>
      <c r="H4" s="130">
        <v>100</v>
      </c>
      <c r="I4" s="130">
        <v>100</v>
      </c>
      <c r="J4" s="130">
        <v>100</v>
      </c>
      <c r="K4" s="130">
        <v>100</v>
      </c>
      <c r="L4" s="130">
        <v>100</v>
      </c>
      <c r="M4" s="130">
        <v>100</v>
      </c>
      <c r="N4" s="130">
        <v>100</v>
      </c>
      <c r="O4" s="130">
        <v>95</v>
      </c>
      <c r="P4" s="130">
        <v>50</v>
      </c>
      <c r="Q4" s="130">
        <v>80</v>
      </c>
      <c r="R4" s="130">
        <v>90</v>
      </c>
      <c r="S4" s="130">
        <v>100</v>
      </c>
      <c r="T4" s="130">
        <v>0</v>
      </c>
      <c r="U4" s="130">
        <v>90</v>
      </c>
      <c r="V4" s="130">
        <v>95</v>
      </c>
      <c r="W4" s="130">
        <v>90</v>
      </c>
      <c r="X4" s="130">
        <v>100</v>
      </c>
      <c r="Y4" s="131">
        <f t="shared" si="0"/>
        <v>89.5</v>
      </c>
    </row>
    <row r="5" spans="1:25" x14ac:dyDescent="0.2">
      <c r="A5" s="23" t="s">
        <v>101</v>
      </c>
      <c r="B5">
        <v>1</v>
      </c>
      <c r="C5" s="23" t="s">
        <v>111</v>
      </c>
      <c r="D5">
        <v>105</v>
      </c>
      <c r="E5" s="130">
        <v>100</v>
      </c>
      <c r="F5" s="130">
        <v>100</v>
      </c>
      <c r="G5" s="130">
        <v>100</v>
      </c>
      <c r="H5" s="130">
        <v>90</v>
      </c>
      <c r="I5" s="130">
        <v>100</v>
      </c>
      <c r="J5" s="130">
        <v>100</v>
      </c>
      <c r="K5" s="130">
        <v>100</v>
      </c>
      <c r="L5" s="130">
        <v>100</v>
      </c>
      <c r="M5" s="130">
        <v>100</v>
      </c>
      <c r="N5" s="130">
        <v>95</v>
      </c>
      <c r="O5" s="130">
        <v>95</v>
      </c>
      <c r="P5" s="130">
        <v>90</v>
      </c>
      <c r="Q5" s="130">
        <v>80</v>
      </c>
      <c r="R5" s="130">
        <v>95</v>
      </c>
      <c r="S5" s="130">
        <v>100</v>
      </c>
      <c r="T5" s="130">
        <v>0</v>
      </c>
      <c r="U5" s="130">
        <v>90</v>
      </c>
      <c r="V5" s="130">
        <v>95</v>
      </c>
      <c r="W5" s="130">
        <v>95</v>
      </c>
      <c r="X5" s="130">
        <v>95</v>
      </c>
      <c r="Y5" s="131">
        <f t="shared" si="0"/>
        <v>91</v>
      </c>
    </row>
    <row r="6" spans="1:25" x14ac:dyDescent="0.2">
      <c r="A6" s="23" t="s">
        <v>101</v>
      </c>
      <c r="B6">
        <v>1</v>
      </c>
      <c r="C6" s="23" t="s">
        <v>111</v>
      </c>
      <c r="D6">
        <v>106</v>
      </c>
      <c r="E6" s="130">
        <v>100</v>
      </c>
      <c r="F6" s="130">
        <v>100</v>
      </c>
      <c r="G6" s="130">
        <v>100</v>
      </c>
      <c r="H6" s="130">
        <v>90</v>
      </c>
      <c r="I6" s="130">
        <v>100</v>
      </c>
      <c r="J6" s="130">
        <v>100</v>
      </c>
      <c r="K6" s="130">
        <v>100</v>
      </c>
      <c r="L6" s="130">
        <v>100</v>
      </c>
      <c r="M6" s="130">
        <v>100</v>
      </c>
      <c r="N6" s="130">
        <v>90</v>
      </c>
      <c r="O6" s="130">
        <v>95</v>
      </c>
      <c r="P6" s="130">
        <v>90</v>
      </c>
      <c r="Q6" s="130">
        <v>80</v>
      </c>
      <c r="R6" s="130">
        <v>95</v>
      </c>
      <c r="S6" s="130">
        <v>100</v>
      </c>
      <c r="T6" s="130">
        <v>0</v>
      </c>
      <c r="U6" s="130">
        <v>95</v>
      </c>
      <c r="V6" s="130">
        <v>95</v>
      </c>
      <c r="W6" s="130">
        <v>90</v>
      </c>
      <c r="X6" s="130">
        <v>95</v>
      </c>
      <c r="Y6" s="131">
        <f t="shared" si="0"/>
        <v>90.75</v>
      </c>
    </row>
    <row r="7" spans="1:25" x14ac:dyDescent="0.2">
      <c r="A7" s="23" t="s">
        <v>101</v>
      </c>
      <c r="B7">
        <v>1</v>
      </c>
      <c r="C7" s="23" t="s">
        <v>111</v>
      </c>
      <c r="D7">
        <v>107</v>
      </c>
      <c r="E7" s="130">
        <v>100</v>
      </c>
      <c r="F7" s="130">
        <v>100</v>
      </c>
      <c r="G7" s="130">
        <v>100</v>
      </c>
      <c r="H7" s="130">
        <v>85</v>
      </c>
      <c r="I7" s="130">
        <v>100</v>
      </c>
      <c r="J7" s="130">
        <v>100</v>
      </c>
      <c r="K7" s="130">
        <v>100</v>
      </c>
      <c r="L7" s="130">
        <v>100</v>
      </c>
      <c r="M7" s="130">
        <v>100</v>
      </c>
      <c r="N7" s="130">
        <v>95</v>
      </c>
      <c r="O7" s="130">
        <v>90</v>
      </c>
      <c r="P7" s="130">
        <v>90</v>
      </c>
      <c r="Q7" s="130">
        <v>80</v>
      </c>
      <c r="R7" s="130">
        <v>95</v>
      </c>
      <c r="S7" s="130">
        <v>100</v>
      </c>
      <c r="T7" s="130">
        <v>0</v>
      </c>
      <c r="U7" s="130">
        <v>95</v>
      </c>
      <c r="V7" s="130">
        <v>95</v>
      </c>
      <c r="W7" s="130">
        <v>50</v>
      </c>
      <c r="X7" s="130">
        <v>100</v>
      </c>
      <c r="Y7" s="131">
        <f t="shared" si="0"/>
        <v>88.75</v>
      </c>
    </row>
    <row r="8" spans="1:25" x14ac:dyDescent="0.2">
      <c r="A8" s="23" t="s">
        <v>101</v>
      </c>
      <c r="B8">
        <v>1</v>
      </c>
      <c r="C8" s="23" t="s">
        <v>111</v>
      </c>
      <c r="D8">
        <v>108</v>
      </c>
      <c r="E8" s="130">
        <v>100</v>
      </c>
      <c r="F8" s="130">
        <v>100</v>
      </c>
      <c r="G8" s="130">
        <v>100</v>
      </c>
      <c r="H8" s="130">
        <v>95</v>
      </c>
      <c r="I8" s="130">
        <v>100</v>
      </c>
      <c r="J8" s="130">
        <v>100</v>
      </c>
      <c r="K8" s="130">
        <v>100</v>
      </c>
      <c r="L8" s="130">
        <v>100</v>
      </c>
      <c r="M8" s="130">
        <v>100</v>
      </c>
      <c r="N8" s="130">
        <v>80</v>
      </c>
      <c r="O8" s="130">
        <v>95</v>
      </c>
      <c r="P8" s="130">
        <v>95</v>
      </c>
      <c r="Q8" s="130">
        <v>80</v>
      </c>
      <c r="R8" s="130">
        <v>90</v>
      </c>
      <c r="S8" s="130">
        <v>100</v>
      </c>
      <c r="T8" s="130">
        <v>0</v>
      </c>
      <c r="U8" s="130">
        <v>90</v>
      </c>
      <c r="V8" s="130">
        <v>55</v>
      </c>
      <c r="W8" s="130">
        <v>95</v>
      </c>
      <c r="X8" s="130">
        <v>100</v>
      </c>
      <c r="Y8" s="131">
        <f t="shared" si="0"/>
        <v>88.75</v>
      </c>
    </row>
    <row r="9" spans="1:25" x14ac:dyDescent="0.2">
      <c r="A9" s="23" t="s">
        <v>101</v>
      </c>
      <c r="B9">
        <v>1</v>
      </c>
      <c r="C9" s="23" t="s">
        <v>111</v>
      </c>
      <c r="D9">
        <v>118</v>
      </c>
      <c r="E9" s="130">
        <v>100</v>
      </c>
      <c r="F9" s="130">
        <v>100</v>
      </c>
      <c r="G9" s="130">
        <v>100</v>
      </c>
      <c r="H9" s="130">
        <v>90</v>
      </c>
      <c r="I9" s="130">
        <v>100</v>
      </c>
      <c r="J9" s="130">
        <v>100</v>
      </c>
      <c r="K9" s="130">
        <v>100</v>
      </c>
      <c r="L9" s="130">
        <v>100</v>
      </c>
      <c r="M9" s="130">
        <v>100</v>
      </c>
      <c r="N9" s="130">
        <v>100</v>
      </c>
      <c r="O9" s="130">
        <v>90</v>
      </c>
      <c r="P9" s="130">
        <v>90</v>
      </c>
      <c r="Q9" s="130">
        <v>80</v>
      </c>
      <c r="R9" s="130">
        <v>95</v>
      </c>
      <c r="S9" s="130">
        <v>100</v>
      </c>
      <c r="T9" s="130">
        <v>0</v>
      </c>
      <c r="U9" s="130">
        <v>90</v>
      </c>
      <c r="V9" s="130">
        <v>90</v>
      </c>
      <c r="W9" s="130">
        <v>90</v>
      </c>
      <c r="X9" s="130">
        <v>90</v>
      </c>
      <c r="Y9" s="131">
        <f t="shared" si="0"/>
        <v>90.25</v>
      </c>
    </row>
    <row r="10" spans="1:25" x14ac:dyDescent="0.2">
      <c r="A10" s="23" t="s">
        <v>101</v>
      </c>
      <c r="B10">
        <v>1</v>
      </c>
      <c r="C10" s="23" t="s">
        <v>111</v>
      </c>
      <c r="D10">
        <v>119</v>
      </c>
      <c r="E10" s="130">
        <v>100</v>
      </c>
      <c r="F10" s="130">
        <v>100</v>
      </c>
      <c r="G10" s="130">
        <v>100</v>
      </c>
      <c r="H10" s="130">
        <v>90</v>
      </c>
      <c r="I10" s="130">
        <v>100</v>
      </c>
      <c r="J10" s="130">
        <v>100</v>
      </c>
      <c r="K10" s="130">
        <v>100</v>
      </c>
      <c r="L10" s="130">
        <v>100</v>
      </c>
      <c r="M10" s="130">
        <v>100</v>
      </c>
      <c r="N10" s="130">
        <v>100</v>
      </c>
      <c r="O10" s="130">
        <v>90</v>
      </c>
      <c r="P10" s="130">
        <v>90</v>
      </c>
      <c r="Q10" s="130">
        <v>80</v>
      </c>
      <c r="R10" s="130">
        <v>95</v>
      </c>
      <c r="S10" s="130">
        <v>100</v>
      </c>
      <c r="T10" s="130">
        <v>0</v>
      </c>
      <c r="U10" s="130">
        <v>90</v>
      </c>
      <c r="V10" s="130">
        <v>90</v>
      </c>
      <c r="W10" s="130">
        <v>90</v>
      </c>
      <c r="X10" s="130">
        <v>90</v>
      </c>
      <c r="Y10" s="131">
        <f t="shared" si="0"/>
        <v>90.25</v>
      </c>
    </row>
    <row r="11" spans="1:25" x14ac:dyDescent="0.2">
      <c r="A11" s="23" t="s">
        <v>101</v>
      </c>
      <c r="B11">
        <v>1</v>
      </c>
      <c r="C11" s="23" t="s">
        <v>111</v>
      </c>
      <c r="D11">
        <v>120</v>
      </c>
      <c r="E11" s="130">
        <v>100</v>
      </c>
      <c r="F11" s="130">
        <v>100</v>
      </c>
      <c r="G11" s="130">
        <v>100</v>
      </c>
      <c r="H11" s="130">
        <v>100</v>
      </c>
      <c r="I11" s="130">
        <v>100</v>
      </c>
      <c r="J11" s="130">
        <v>100</v>
      </c>
      <c r="K11" s="130">
        <v>100</v>
      </c>
      <c r="L11" s="130">
        <v>100</v>
      </c>
      <c r="M11" s="130">
        <v>100</v>
      </c>
      <c r="N11" s="130">
        <v>100</v>
      </c>
      <c r="O11" s="130">
        <v>100</v>
      </c>
      <c r="P11" s="130">
        <v>100</v>
      </c>
      <c r="Q11" s="130">
        <v>100</v>
      </c>
      <c r="R11" s="130">
        <v>100</v>
      </c>
      <c r="S11" s="130">
        <v>100</v>
      </c>
      <c r="T11" s="130">
        <v>100</v>
      </c>
      <c r="U11" s="130">
        <v>100</v>
      </c>
      <c r="V11" s="130">
        <v>100</v>
      </c>
      <c r="W11" s="130">
        <v>100</v>
      </c>
      <c r="X11" s="130">
        <v>90</v>
      </c>
      <c r="Y11" s="131">
        <f t="shared" si="0"/>
        <v>99.5</v>
      </c>
    </row>
    <row r="12" spans="1:25" x14ac:dyDescent="0.2">
      <c r="A12" s="23" t="s">
        <v>101</v>
      </c>
      <c r="B12">
        <v>1</v>
      </c>
      <c r="C12" s="23" t="s">
        <v>111</v>
      </c>
      <c r="D12">
        <v>121</v>
      </c>
      <c r="E12" s="130">
        <v>100</v>
      </c>
      <c r="F12" s="130">
        <v>100</v>
      </c>
      <c r="G12" s="130">
        <v>100</v>
      </c>
      <c r="H12" s="130">
        <v>100</v>
      </c>
      <c r="I12" s="130">
        <v>100</v>
      </c>
      <c r="J12" s="130">
        <v>100</v>
      </c>
      <c r="K12" s="130">
        <v>100</v>
      </c>
      <c r="L12" s="130">
        <v>100</v>
      </c>
      <c r="M12" s="130">
        <v>100</v>
      </c>
      <c r="N12" s="130">
        <v>100</v>
      </c>
      <c r="O12" s="130">
        <v>100</v>
      </c>
      <c r="P12" s="130">
        <v>100</v>
      </c>
      <c r="Q12" s="130">
        <v>100</v>
      </c>
      <c r="R12" s="130">
        <v>100</v>
      </c>
      <c r="S12" s="130">
        <v>100</v>
      </c>
      <c r="T12" s="130">
        <v>100</v>
      </c>
      <c r="U12" s="130">
        <v>100</v>
      </c>
      <c r="V12" s="130">
        <v>100</v>
      </c>
      <c r="W12" s="130">
        <v>100</v>
      </c>
      <c r="X12" s="130">
        <v>100</v>
      </c>
      <c r="Y12" s="131">
        <f t="shared" si="0"/>
        <v>100</v>
      </c>
    </row>
    <row r="13" spans="1:25" x14ac:dyDescent="0.2">
      <c r="A13" s="23"/>
      <c r="C13" s="23"/>
      <c r="D13" s="23"/>
      <c r="E13" s="130">
        <f>AVERAGE(E2:E12)</f>
        <v>100</v>
      </c>
      <c r="F13" s="130">
        <f>AVERAGE(F2:F12)</f>
        <v>100</v>
      </c>
      <c r="G13" s="130">
        <v>100</v>
      </c>
      <c r="H13" s="130">
        <f t="shared" ref="H13:X13" si="1">AVERAGE(H2:H12)</f>
        <v>92.727272727272734</v>
      </c>
      <c r="I13" s="130">
        <f t="shared" si="1"/>
        <v>100</v>
      </c>
      <c r="J13" s="130">
        <f t="shared" si="1"/>
        <v>100</v>
      </c>
      <c r="K13" s="130">
        <f t="shared" si="1"/>
        <v>100</v>
      </c>
      <c r="L13" s="130">
        <f t="shared" si="1"/>
        <v>100</v>
      </c>
      <c r="M13" s="130">
        <f t="shared" si="1"/>
        <v>100</v>
      </c>
      <c r="N13" s="130">
        <f t="shared" si="1"/>
        <v>95</v>
      </c>
      <c r="O13" s="130">
        <f t="shared" si="1"/>
        <v>94.545454545454547</v>
      </c>
      <c r="P13" s="130">
        <f t="shared" si="1"/>
        <v>85.909090909090907</v>
      </c>
      <c r="Q13" s="130">
        <f t="shared" si="1"/>
        <v>84.090909090909093</v>
      </c>
      <c r="R13" s="130">
        <f t="shared" si="1"/>
        <v>95</v>
      </c>
      <c r="S13" s="130">
        <f t="shared" si="1"/>
        <v>100</v>
      </c>
      <c r="T13" s="130">
        <f t="shared" si="1"/>
        <v>18.181818181818183</v>
      </c>
      <c r="U13" s="130">
        <f t="shared" si="1"/>
        <v>92.727272727272734</v>
      </c>
      <c r="V13" s="130">
        <f t="shared" si="1"/>
        <v>91.36363636363636</v>
      </c>
      <c r="W13" s="130">
        <f t="shared" si="1"/>
        <v>89.090909090909093</v>
      </c>
      <c r="X13" s="130">
        <f t="shared" si="1"/>
        <v>95.909090909090907</v>
      </c>
      <c r="Y13" s="131">
        <f t="shared" si="0"/>
        <v>91.72727272727272</v>
      </c>
    </row>
    <row r="14" spans="1:25" x14ac:dyDescent="0.2">
      <c r="A14" s="23" t="s">
        <v>101</v>
      </c>
      <c r="B14">
        <v>2</v>
      </c>
      <c r="C14" s="23" t="s">
        <v>112</v>
      </c>
      <c r="D14">
        <v>202</v>
      </c>
      <c r="E14" s="130">
        <v>100</v>
      </c>
      <c r="F14" s="130">
        <v>100</v>
      </c>
      <c r="G14" s="130">
        <v>100</v>
      </c>
      <c r="H14" s="130">
        <v>100</v>
      </c>
      <c r="I14" s="130">
        <v>100</v>
      </c>
      <c r="J14" s="130">
        <v>100</v>
      </c>
      <c r="K14" s="130">
        <v>100</v>
      </c>
      <c r="L14" s="130">
        <v>100</v>
      </c>
      <c r="M14" s="130">
        <v>95</v>
      </c>
      <c r="N14" s="130">
        <v>0</v>
      </c>
      <c r="O14" s="130">
        <v>0</v>
      </c>
      <c r="P14" s="130">
        <v>100</v>
      </c>
      <c r="Q14" s="130">
        <v>80</v>
      </c>
      <c r="R14" s="130">
        <v>85</v>
      </c>
      <c r="S14" s="130">
        <v>80</v>
      </c>
      <c r="T14" s="130">
        <v>0</v>
      </c>
      <c r="U14" s="130">
        <v>0</v>
      </c>
      <c r="V14" s="130">
        <v>0</v>
      </c>
      <c r="W14" s="130">
        <v>0</v>
      </c>
      <c r="X14" s="130">
        <v>0</v>
      </c>
      <c r="Y14" s="131">
        <f t="shared" si="0"/>
        <v>62</v>
      </c>
    </row>
    <row r="15" spans="1:25" x14ac:dyDescent="0.2">
      <c r="A15" s="23" t="s">
        <v>101</v>
      </c>
      <c r="B15">
        <v>2</v>
      </c>
      <c r="C15" s="23" t="s">
        <v>112</v>
      </c>
      <c r="D15">
        <v>203</v>
      </c>
      <c r="E15" s="130">
        <v>100</v>
      </c>
      <c r="F15" s="130">
        <v>100</v>
      </c>
      <c r="G15" s="130">
        <v>100</v>
      </c>
      <c r="H15" s="130">
        <v>100</v>
      </c>
      <c r="I15" s="130">
        <v>100</v>
      </c>
      <c r="J15" s="130">
        <v>100</v>
      </c>
      <c r="K15" s="130">
        <v>100</v>
      </c>
      <c r="L15" s="130">
        <v>100</v>
      </c>
      <c r="M15" s="130">
        <v>95</v>
      </c>
      <c r="N15" s="130">
        <v>5</v>
      </c>
      <c r="O15" s="130">
        <v>0</v>
      </c>
      <c r="P15" s="130">
        <v>0</v>
      </c>
      <c r="Q15" s="130">
        <v>80</v>
      </c>
      <c r="R15" s="130">
        <v>95</v>
      </c>
      <c r="S15" s="130">
        <v>90</v>
      </c>
      <c r="T15" s="130">
        <v>0</v>
      </c>
      <c r="U15" s="130">
        <v>0</v>
      </c>
      <c r="V15" s="130">
        <v>0</v>
      </c>
      <c r="W15" s="130">
        <v>0</v>
      </c>
      <c r="X15" s="130">
        <v>0</v>
      </c>
      <c r="Y15" s="131">
        <f t="shared" si="0"/>
        <v>58.25</v>
      </c>
    </row>
    <row r="16" spans="1:25" x14ac:dyDescent="0.2">
      <c r="A16" s="23" t="s">
        <v>101</v>
      </c>
      <c r="B16">
        <v>2</v>
      </c>
      <c r="C16" s="23" t="s">
        <v>112</v>
      </c>
      <c r="D16">
        <v>204</v>
      </c>
      <c r="E16" s="130">
        <v>100</v>
      </c>
      <c r="F16" s="130">
        <v>100</v>
      </c>
      <c r="G16" s="130">
        <v>100</v>
      </c>
      <c r="H16" s="130">
        <v>100</v>
      </c>
      <c r="I16" s="130">
        <v>100</v>
      </c>
      <c r="J16" s="130">
        <v>100</v>
      </c>
      <c r="K16" s="130">
        <v>100</v>
      </c>
      <c r="L16" s="130">
        <v>95</v>
      </c>
      <c r="M16" s="130">
        <v>95</v>
      </c>
      <c r="N16" s="130">
        <v>0</v>
      </c>
      <c r="O16" s="130">
        <v>0</v>
      </c>
      <c r="P16" s="130">
        <v>0</v>
      </c>
      <c r="Q16" s="130">
        <v>80</v>
      </c>
      <c r="R16" s="130">
        <v>95</v>
      </c>
      <c r="S16" s="130">
        <v>0</v>
      </c>
      <c r="T16" s="130">
        <v>0</v>
      </c>
      <c r="U16" s="130">
        <v>0</v>
      </c>
      <c r="V16" s="130">
        <v>0</v>
      </c>
      <c r="W16" s="130">
        <v>0</v>
      </c>
      <c r="X16" s="130">
        <v>0</v>
      </c>
      <c r="Y16" s="131">
        <f t="shared" si="0"/>
        <v>53.25</v>
      </c>
    </row>
    <row r="17" spans="1:25" x14ac:dyDescent="0.2">
      <c r="A17" s="23" t="s">
        <v>101</v>
      </c>
      <c r="B17">
        <v>2</v>
      </c>
      <c r="C17" s="23" t="s">
        <v>112</v>
      </c>
      <c r="D17">
        <v>205</v>
      </c>
      <c r="E17" s="130">
        <v>100</v>
      </c>
      <c r="F17" s="130">
        <v>100</v>
      </c>
      <c r="G17" s="130">
        <v>100</v>
      </c>
      <c r="H17" s="130">
        <v>100</v>
      </c>
      <c r="I17" s="130">
        <v>100</v>
      </c>
      <c r="J17" s="130">
        <v>100</v>
      </c>
      <c r="K17" s="130">
        <v>100</v>
      </c>
      <c r="L17" s="130">
        <v>95</v>
      </c>
      <c r="M17" s="130">
        <v>95</v>
      </c>
      <c r="N17" s="130">
        <v>0</v>
      </c>
      <c r="O17" s="130">
        <v>0</v>
      </c>
      <c r="P17" s="130">
        <v>55</v>
      </c>
      <c r="Q17" s="130">
        <v>85</v>
      </c>
      <c r="R17" s="130">
        <v>95</v>
      </c>
      <c r="S17" s="130">
        <v>95</v>
      </c>
      <c r="T17" s="130">
        <v>0</v>
      </c>
      <c r="U17" s="130">
        <v>95</v>
      </c>
      <c r="V17" s="130">
        <v>0</v>
      </c>
      <c r="W17" s="130">
        <v>50</v>
      </c>
      <c r="X17" s="130">
        <v>0</v>
      </c>
      <c r="Y17" s="131">
        <f t="shared" si="0"/>
        <v>68.25</v>
      </c>
    </row>
    <row r="18" spans="1:25" x14ac:dyDescent="0.2">
      <c r="A18" s="23" t="s">
        <v>101</v>
      </c>
      <c r="B18">
        <v>2</v>
      </c>
      <c r="C18" s="23" t="s">
        <v>112</v>
      </c>
      <c r="D18">
        <v>206</v>
      </c>
      <c r="E18" s="130">
        <v>100</v>
      </c>
      <c r="F18" s="130">
        <v>100</v>
      </c>
      <c r="G18" s="130">
        <v>100</v>
      </c>
      <c r="H18" s="130">
        <v>100</v>
      </c>
      <c r="I18" s="130">
        <v>100</v>
      </c>
      <c r="J18" s="130">
        <v>100</v>
      </c>
      <c r="K18" s="130">
        <v>100</v>
      </c>
      <c r="L18" s="130">
        <v>95</v>
      </c>
      <c r="M18" s="130">
        <v>95</v>
      </c>
      <c r="N18" s="130">
        <v>0</v>
      </c>
      <c r="O18" s="130">
        <v>0</v>
      </c>
      <c r="P18" s="130">
        <v>0</v>
      </c>
      <c r="Q18" s="130">
        <v>85</v>
      </c>
      <c r="R18" s="130">
        <v>95</v>
      </c>
      <c r="S18" s="130">
        <v>95</v>
      </c>
      <c r="T18" s="130">
        <v>0</v>
      </c>
      <c r="U18" s="130">
        <v>95</v>
      </c>
      <c r="V18" s="130">
        <v>0</v>
      </c>
      <c r="W18" s="130">
        <v>50</v>
      </c>
      <c r="X18" s="130">
        <v>0</v>
      </c>
      <c r="Y18" s="131">
        <f t="shared" si="0"/>
        <v>65.5</v>
      </c>
    </row>
    <row r="19" spans="1:25" x14ac:dyDescent="0.2">
      <c r="A19" s="23" t="s">
        <v>101</v>
      </c>
      <c r="B19">
        <v>2</v>
      </c>
      <c r="C19" s="23" t="s">
        <v>112</v>
      </c>
      <c r="D19">
        <v>207</v>
      </c>
      <c r="E19" s="130">
        <v>100</v>
      </c>
      <c r="F19" s="130">
        <v>100</v>
      </c>
      <c r="G19" s="130">
        <v>100</v>
      </c>
      <c r="H19" s="130">
        <v>100</v>
      </c>
      <c r="I19" s="130">
        <v>100</v>
      </c>
      <c r="J19" s="130">
        <v>100</v>
      </c>
      <c r="K19" s="130">
        <v>100</v>
      </c>
      <c r="L19" s="130">
        <v>100</v>
      </c>
      <c r="M19" s="130">
        <v>95</v>
      </c>
      <c r="N19" s="130">
        <v>0</v>
      </c>
      <c r="O19" s="130">
        <v>0</v>
      </c>
      <c r="P19" s="130">
        <v>0</v>
      </c>
      <c r="Q19" s="130">
        <v>85</v>
      </c>
      <c r="R19" s="130">
        <v>95</v>
      </c>
      <c r="S19" s="130">
        <v>95</v>
      </c>
      <c r="T19" s="130">
        <v>0</v>
      </c>
      <c r="U19" s="130">
        <v>95</v>
      </c>
      <c r="V19" s="130">
        <v>0</v>
      </c>
      <c r="W19" s="130">
        <v>50</v>
      </c>
      <c r="X19" s="130">
        <v>0</v>
      </c>
      <c r="Y19" s="131">
        <f t="shared" si="0"/>
        <v>65.75</v>
      </c>
    </row>
    <row r="20" spans="1:25" x14ac:dyDescent="0.2">
      <c r="A20" s="23" t="s">
        <v>101</v>
      </c>
      <c r="B20">
        <v>2</v>
      </c>
      <c r="C20" s="23" t="s">
        <v>112</v>
      </c>
      <c r="D20">
        <v>208</v>
      </c>
      <c r="E20" s="130">
        <v>100</v>
      </c>
      <c r="F20" s="130">
        <v>100</v>
      </c>
      <c r="G20" s="130">
        <v>100</v>
      </c>
      <c r="H20" s="130">
        <v>100</v>
      </c>
      <c r="I20" s="130">
        <v>100</v>
      </c>
      <c r="J20" s="130">
        <v>100</v>
      </c>
      <c r="K20" s="130">
        <v>100</v>
      </c>
      <c r="L20" s="130">
        <v>100</v>
      </c>
      <c r="M20" s="130">
        <v>95</v>
      </c>
      <c r="N20" s="130">
        <v>0</v>
      </c>
      <c r="O20" s="130">
        <v>0</v>
      </c>
      <c r="P20" s="130">
        <v>0</v>
      </c>
      <c r="Q20" s="130">
        <v>65</v>
      </c>
      <c r="R20" s="130">
        <v>85</v>
      </c>
      <c r="S20" s="130">
        <v>70</v>
      </c>
      <c r="T20" s="130">
        <v>0</v>
      </c>
      <c r="U20" s="130">
        <v>0</v>
      </c>
      <c r="V20" s="130">
        <v>0</v>
      </c>
      <c r="W20" s="130">
        <v>0</v>
      </c>
      <c r="X20" s="130">
        <v>0</v>
      </c>
      <c r="Y20" s="131">
        <f t="shared" si="0"/>
        <v>55.75</v>
      </c>
    </row>
    <row r="21" spans="1:25" x14ac:dyDescent="0.2">
      <c r="A21" s="23" t="s">
        <v>101</v>
      </c>
      <c r="B21">
        <v>2</v>
      </c>
      <c r="C21" s="23" t="s">
        <v>112</v>
      </c>
      <c r="D21">
        <v>209</v>
      </c>
      <c r="E21" s="130">
        <v>100</v>
      </c>
      <c r="F21" s="130">
        <v>100</v>
      </c>
      <c r="G21" s="130">
        <v>100</v>
      </c>
      <c r="H21" s="130">
        <v>100</v>
      </c>
      <c r="I21" s="130">
        <v>100</v>
      </c>
      <c r="J21" s="130">
        <v>100</v>
      </c>
      <c r="K21" s="130">
        <v>100</v>
      </c>
      <c r="L21" s="130">
        <v>95</v>
      </c>
      <c r="M21" s="130">
        <v>95</v>
      </c>
      <c r="N21" s="130">
        <v>5</v>
      </c>
      <c r="O21" s="130">
        <v>0</v>
      </c>
      <c r="P21" s="130">
        <v>0</v>
      </c>
      <c r="Q21" s="130">
        <v>80</v>
      </c>
      <c r="R21" s="130">
        <v>95</v>
      </c>
      <c r="S21" s="130">
        <v>95</v>
      </c>
      <c r="T21" s="130">
        <v>0</v>
      </c>
      <c r="U21" s="130">
        <v>95</v>
      </c>
      <c r="V21" s="130">
        <v>0</v>
      </c>
      <c r="W21" s="130">
        <v>50</v>
      </c>
      <c r="X21" s="130">
        <v>0</v>
      </c>
      <c r="Y21" s="131">
        <f t="shared" si="0"/>
        <v>65.5</v>
      </c>
    </row>
    <row r="22" spans="1:25" x14ac:dyDescent="0.2">
      <c r="A22" s="23" t="s">
        <v>101</v>
      </c>
      <c r="B22">
        <v>2</v>
      </c>
      <c r="C22" s="23" t="s">
        <v>112</v>
      </c>
      <c r="D22">
        <v>210</v>
      </c>
      <c r="E22" s="130">
        <v>100</v>
      </c>
      <c r="F22" s="130">
        <v>100</v>
      </c>
      <c r="G22" s="130">
        <v>100</v>
      </c>
      <c r="H22" s="130">
        <v>100</v>
      </c>
      <c r="I22" s="130">
        <v>100</v>
      </c>
      <c r="J22" s="130">
        <v>100</v>
      </c>
      <c r="K22" s="130">
        <v>100</v>
      </c>
      <c r="L22" s="130">
        <v>95</v>
      </c>
      <c r="M22" s="130">
        <v>95</v>
      </c>
      <c r="N22" s="130">
        <v>0</v>
      </c>
      <c r="O22" s="130">
        <v>0</v>
      </c>
      <c r="P22" s="130">
        <v>0</v>
      </c>
      <c r="Q22" s="130">
        <v>65</v>
      </c>
      <c r="R22" s="130">
        <v>95</v>
      </c>
      <c r="S22" s="130">
        <v>40</v>
      </c>
      <c r="T22" s="130">
        <v>0</v>
      </c>
      <c r="U22" s="130">
        <v>0</v>
      </c>
      <c r="V22" s="130">
        <v>0</v>
      </c>
      <c r="W22" s="130">
        <v>0</v>
      </c>
      <c r="X22" s="130">
        <v>0</v>
      </c>
      <c r="Y22" s="131">
        <f t="shared" si="0"/>
        <v>54.5</v>
      </c>
    </row>
    <row r="23" spans="1:25" x14ac:dyDescent="0.2">
      <c r="A23" s="23" t="s">
        <v>101</v>
      </c>
      <c r="B23">
        <v>2</v>
      </c>
      <c r="C23" s="23" t="s">
        <v>112</v>
      </c>
      <c r="D23">
        <v>211</v>
      </c>
      <c r="E23" s="130">
        <v>100</v>
      </c>
      <c r="F23" s="130">
        <v>100</v>
      </c>
      <c r="G23" s="130">
        <v>100</v>
      </c>
      <c r="H23" s="130">
        <v>100</v>
      </c>
      <c r="I23" s="130">
        <v>100</v>
      </c>
      <c r="J23" s="130">
        <v>100</v>
      </c>
      <c r="K23" s="130">
        <v>100</v>
      </c>
      <c r="L23" s="130">
        <v>95</v>
      </c>
      <c r="M23" s="130">
        <v>100</v>
      </c>
      <c r="N23" s="130">
        <v>95</v>
      </c>
      <c r="O23" s="130">
        <v>0</v>
      </c>
      <c r="P23" s="130">
        <v>0</v>
      </c>
      <c r="Q23" s="130">
        <v>65</v>
      </c>
      <c r="R23" s="130">
        <v>95</v>
      </c>
      <c r="S23" s="130">
        <v>95</v>
      </c>
      <c r="T23" s="130">
        <v>0</v>
      </c>
      <c r="U23" s="130">
        <v>95</v>
      </c>
      <c r="V23" s="130">
        <v>0</v>
      </c>
      <c r="W23" s="130">
        <v>50</v>
      </c>
      <c r="X23" s="130">
        <v>0</v>
      </c>
      <c r="Y23" s="131">
        <f t="shared" si="0"/>
        <v>69.5</v>
      </c>
    </row>
    <row r="24" spans="1:25" x14ac:dyDescent="0.2">
      <c r="A24" s="23" t="s">
        <v>101</v>
      </c>
      <c r="B24">
        <v>2</v>
      </c>
      <c r="C24" s="23" t="s">
        <v>112</v>
      </c>
      <c r="D24">
        <v>212</v>
      </c>
      <c r="E24" s="130">
        <v>100</v>
      </c>
      <c r="F24" s="130">
        <v>100</v>
      </c>
      <c r="G24" s="130">
        <v>100</v>
      </c>
      <c r="H24" s="130">
        <v>100</v>
      </c>
      <c r="I24" s="130">
        <v>100</v>
      </c>
      <c r="J24" s="130">
        <v>100</v>
      </c>
      <c r="K24" s="130">
        <v>100</v>
      </c>
      <c r="L24" s="130">
        <v>95</v>
      </c>
      <c r="M24" s="130">
        <v>95</v>
      </c>
      <c r="N24" s="130">
        <v>5</v>
      </c>
      <c r="O24" s="130">
        <v>0</v>
      </c>
      <c r="P24" s="130">
        <v>0</v>
      </c>
      <c r="Q24" s="130">
        <v>60</v>
      </c>
      <c r="R24" s="130">
        <v>95</v>
      </c>
      <c r="S24" s="130">
        <v>90</v>
      </c>
      <c r="T24" s="130">
        <v>0</v>
      </c>
      <c r="U24" s="130">
        <v>95</v>
      </c>
      <c r="V24" s="130">
        <v>0</v>
      </c>
      <c r="W24" s="130">
        <v>50</v>
      </c>
      <c r="X24" s="130">
        <v>0</v>
      </c>
      <c r="Y24" s="131">
        <f t="shared" si="0"/>
        <v>64.25</v>
      </c>
    </row>
    <row r="25" spans="1:25" x14ac:dyDescent="0.2">
      <c r="A25" s="23" t="s">
        <v>101</v>
      </c>
      <c r="B25">
        <v>2</v>
      </c>
      <c r="C25" s="23" t="s">
        <v>112</v>
      </c>
      <c r="D25">
        <v>213</v>
      </c>
      <c r="E25" s="130">
        <v>100</v>
      </c>
      <c r="F25" s="130">
        <v>100</v>
      </c>
      <c r="G25" s="130">
        <v>100</v>
      </c>
      <c r="H25" s="130">
        <v>100</v>
      </c>
      <c r="I25" s="130">
        <v>100</v>
      </c>
      <c r="J25" s="130">
        <v>100</v>
      </c>
      <c r="K25" s="130">
        <v>100</v>
      </c>
      <c r="L25" s="130">
        <v>95</v>
      </c>
      <c r="M25" s="130">
        <v>100</v>
      </c>
      <c r="N25" s="130">
        <v>5</v>
      </c>
      <c r="O25" s="130">
        <v>0</v>
      </c>
      <c r="P25" s="130">
        <v>0</v>
      </c>
      <c r="Q25" s="130">
        <v>70</v>
      </c>
      <c r="R25" s="130">
        <v>95</v>
      </c>
      <c r="S25" s="130">
        <v>0</v>
      </c>
      <c r="T25" s="130">
        <v>0</v>
      </c>
      <c r="U25" s="130">
        <v>0</v>
      </c>
      <c r="V25" s="130">
        <v>0</v>
      </c>
      <c r="W25" s="130">
        <v>0</v>
      </c>
      <c r="X25" s="130">
        <v>0</v>
      </c>
      <c r="Y25" s="131">
        <f t="shared" si="0"/>
        <v>53.25</v>
      </c>
    </row>
    <row r="26" spans="1:25" x14ac:dyDescent="0.2">
      <c r="A26" s="23" t="s">
        <v>101</v>
      </c>
      <c r="B26">
        <v>2</v>
      </c>
      <c r="C26" s="23" t="s">
        <v>112</v>
      </c>
      <c r="D26">
        <v>214</v>
      </c>
      <c r="E26" s="130">
        <v>100</v>
      </c>
      <c r="F26" s="130">
        <v>100</v>
      </c>
      <c r="G26" s="130">
        <v>50</v>
      </c>
      <c r="H26" s="130">
        <v>100</v>
      </c>
      <c r="I26" s="130">
        <v>95</v>
      </c>
      <c r="J26" s="130">
        <v>100</v>
      </c>
      <c r="K26" s="130">
        <v>100</v>
      </c>
      <c r="L26" s="130">
        <v>95</v>
      </c>
      <c r="M26" s="130">
        <v>95</v>
      </c>
      <c r="N26" s="130">
        <v>95</v>
      </c>
      <c r="O26" s="130">
        <v>0</v>
      </c>
      <c r="P26" s="130">
        <v>0</v>
      </c>
      <c r="Q26" s="130">
        <v>60</v>
      </c>
      <c r="R26" s="130">
        <v>95</v>
      </c>
      <c r="S26" s="130">
        <v>0</v>
      </c>
      <c r="T26" s="130">
        <v>0</v>
      </c>
      <c r="U26" s="130">
        <v>0</v>
      </c>
      <c r="V26" s="130">
        <v>0</v>
      </c>
      <c r="W26" s="130">
        <v>0</v>
      </c>
      <c r="X26" s="130">
        <v>0</v>
      </c>
      <c r="Y26" s="131">
        <f t="shared" si="0"/>
        <v>54.25</v>
      </c>
    </row>
    <row r="27" spans="1:25" x14ac:dyDescent="0.2">
      <c r="A27" s="23" t="s">
        <v>101</v>
      </c>
      <c r="B27">
        <v>2</v>
      </c>
      <c r="C27" s="23" t="s">
        <v>112</v>
      </c>
      <c r="D27">
        <v>215</v>
      </c>
      <c r="E27" s="130">
        <v>100</v>
      </c>
      <c r="F27" s="130">
        <v>100</v>
      </c>
      <c r="G27" s="130">
        <v>0</v>
      </c>
      <c r="H27" s="130">
        <v>0</v>
      </c>
      <c r="I27" s="130">
        <v>0</v>
      </c>
      <c r="J27" s="130">
        <v>0</v>
      </c>
      <c r="K27" s="130">
        <v>0</v>
      </c>
      <c r="L27" s="130">
        <v>0</v>
      </c>
      <c r="M27" s="130">
        <v>0</v>
      </c>
      <c r="N27" s="130">
        <v>0</v>
      </c>
      <c r="O27" s="130">
        <v>0</v>
      </c>
      <c r="P27" s="130">
        <v>0</v>
      </c>
      <c r="Q27" s="130">
        <v>0</v>
      </c>
      <c r="R27" s="130">
        <v>0</v>
      </c>
      <c r="S27" s="130">
        <v>0</v>
      </c>
      <c r="T27" s="130">
        <v>0</v>
      </c>
      <c r="U27" s="130">
        <v>0</v>
      </c>
      <c r="V27" s="130">
        <v>0</v>
      </c>
      <c r="W27" s="130">
        <v>0</v>
      </c>
      <c r="X27" s="130">
        <v>0</v>
      </c>
      <c r="Y27" s="131">
        <f t="shared" si="0"/>
        <v>10</v>
      </c>
    </row>
    <row r="28" spans="1:25" x14ac:dyDescent="0.2">
      <c r="A28" s="23" t="s">
        <v>101</v>
      </c>
      <c r="B28">
        <v>2</v>
      </c>
      <c r="C28" s="23" t="s">
        <v>112</v>
      </c>
      <c r="D28">
        <v>216</v>
      </c>
      <c r="E28" s="130">
        <v>100</v>
      </c>
      <c r="F28" s="130">
        <v>100</v>
      </c>
      <c r="G28" s="130">
        <v>0</v>
      </c>
      <c r="H28" s="130">
        <v>0</v>
      </c>
      <c r="I28" s="130">
        <v>0</v>
      </c>
      <c r="J28" s="130">
        <v>0</v>
      </c>
      <c r="K28" s="130">
        <v>0</v>
      </c>
      <c r="L28" s="130">
        <v>0</v>
      </c>
      <c r="M28" s="130">
        <v>0</v>
      </c>
      <c r="N28" s="130">
        <v>0</v>
      </c>
      <c r="O28" s="130">
        <v>0</v>
      </c>
      <c r="P28" s="130">
        <v>0</v>
      </c>
      <c r="Q28" s="130">
        <v>0</v>
      </c>
      <c r="R28" s="130">
        <v>0</v>
      </c>
      <c r="S28" s="130">
        <v>0</v>
      </c>
      <c r="T28" s="130">
        <v>0</v>
      </c>
      <c r="U28" s="130">
        <v>0</v>
      </c>
      <c r="V28" s="130">
        <v>0</v>
      </c>
      <c r="W28" s="130">
        <v>0</v>
      </c>
      <c r="X28" s="130">
        <v>0</v>
      </c>
      <c r="Y28" s="131">
        <f t="shared" si="0"/>
        <v>10</v>
      </c>
    </row>
    <row r="29" spans="1:25" x14ac:dyDescent="0.2">
      <c r="A29" s="23" t="s">
        <v>101</v>
      </c>
      <c r="B29">
        <v>2</v>
      </c>
      <c r="C29" s="23" t="s">
        <v>112</v>
      </c>
      <c r="D29">
        <v>217</v>
      </c>
      <c r="E29" s="130">
        <v>100</v>
      </c>
      <c r="F29" s="130">
        <v>100</v>
      </c>
      <c r="G29" s="130">
        <v>0</v>
      </c>
      <c r="H29" s="130">
        <v>0</v>
      </c>
      <c r="I29" s="130">
        <v>0</v>
      </c>
      <c r="J29" s="130">
        <v>0</v>
      </c>
      <c r="K29" s="130">
        <v>0</v>
      </c>
      <c r="L29" s="130">
        <v>0</v>
      </c>
      <c r="M29" s="130">
        <v>0</v>
      </c>
      <c r="N29" s="130">
        <v>0</v>
      </c>
      <c r="O29" s="130">
        <v>0</v>
      </c>
      <c r="P29" s="130">
        <v>0</v>
      </c>
      <c r="Q29" s="130">
        <v>0</v>
      </c>
      <c r="R29" s="130">
        <v>0</v>
      </c>
      <c r="S29" s="130">
        <v>0</v>
      </c>
      <c r="T29" s="130">
        <v>0</v>
      </c>
      <c r="U29" s="130">
        <v>0</v>
      </c>
      <c r="V29" s="130">
        <v>0</v>
      </c>
      <c r="W29" s="130">
        <v>0</v>
      </c>
      <c r="X29" s="130">
        <v>0</v>
      </c>
      <c r="Y29" s="131">
        <f t="shared" si="0"/>
        <v>10</v>
      </c>
    </row>
    <row r="30" spans="1:25" x14ac:dyDescent="0.2">
      <c r="A30" s="23" t="s">
        <v>101</v>
      </c>
      <c r="B30">
        <v>2</v>
      </c>
      <c r="C30" s="23" t="s">
        <v>112</v>
      </c>
      <c r="D30">
        <v>218</v>
      </c>
      <c r="E30" s="130">
        <v>100</v>
      </c>
      <c r="F30" s="130">
        <v>100</v>
      </c>
      <c r="G30" s="130">
        <v>0</v>
      </c>
      <c r="H30" s="130">
        <v>0</v>
      </c>
      <c r="I30" s="130">
        <v>0</v>
      </c>
      <c r="J30" s="130">
        <v>0</v>
      </c>
      <c r="K30" s="130">
        <v>0</v>
      </c>
      <c r="L30" s="130">
        <v>0</v>
      </c>
      <c r="M30" s="130">
        <v>0</v>
      </c>
      <c r="N30" s="130">
        <v>0</v>
      </c>
      <c r="O30" s="130">
        <v>0</v>
      </c>
      <c r="P30" s="130">
        <v>0</v>
      </c>
      <c r="Q30" s="130">
        <v>0</v>
      </c>
      <c r="R30" s="130">
        <v>0</v>
      </c>
      <c r="S30" s="130">
        <v>0</v>
      </c>
      <c r="T30" s="130">
        <v>0</v>
      </c>
      <c r="U30" s="130">
        <v>0</v>
      </c>
      <c r="V30" s="130">
        <v>0</v>
      </c>
      <c r="W30" s="130">
        <v>0</v>
      </c>
      <c r="X30" s="130">
        <v>0</v>
      </c>
      <c r="Y30" s="131">
        <f t="shared" si="0"/>
        <v>10</v>
      </c>
    </row>
    <row r="31" spans="1:25" x14ac:dyDescent="0.2">
      <c r="A31" s="23" t="s">
        <v>101</v>
      </c>
      <c r="B31">
        <v>2</v>
      </c>
      <c r="C31" s="23" t="s">
        <v>112</v>
      </c>
      <c r="D31">
        <v>219</v>
      </c>
      <c r="E31" s="130">
        <v>100</v>
      </c>
      <c r="F31" s="130">
        <v>100</v>
      </c>
      <c r="G31" s="130">
        <v>0</v>
      </c>
      <c r="H31" s="130">
        <v>0</v>
      </c>
      <c r="I31" s="130">
        <v>0</v>
      </c>
      <c r="J31" s="130">
        <v>0</v>
      </c>
      <c r="K31" s="130">
        <v>0</v>
      </c>
      <c r="L31" s="130">
        <v>0</v>
      </c>
      <c r="M31" s="130">
        <v>0</v>
      </c>
      <c r="N31" s="130">
        <v>0</v>
      </c>
      <c r="O31" s="130">
        <v>0</v>
      </c>
      <c r="P31" s="130">
        <v>0</v>
      </c>
      <c r="Q31" s="130">
        <v>0</v>
      </c>
      <c r="R31" s="130">
        <v>0</v>
      </c>
      <c r="S31" s="130">
        <v>0</v>
      </c>
      <c r="T31" s="130">
        <v>0</v>
      </c>
      <c r="U31" s="130">
        <v>0</v>
      </c>
      <c r="V31" s="130">
        <v>0</v>
      </c>
      <c r="W31" s="130">
        <v>0</v>
      </c>
      <c r="X31" s="130">
        <v>0</v>
      </c>
      <c r="Y31" s="131">
        <f t="shared" si="0"/>
        <v>10</v>
      </c>
    </row>
    <row r="32" spans="1:25" x14ac:dyDescent="0.2">
      <c r="A32" s="23" t="s">
        <v>101</v>
      </c>
      <c r="B32">
        <v>2</v>
      </c>
      <c r="C32" s="23" t="s">
        <v>112</v>
      </c>
      <c r="D32">
        <v>220</v>
      </c>
      <c r="E32" s="130">
        <v>100</v>
      </c>
      <c r="F32" s="130">
        <v>100</v>
      </c>
      <c r="G32" s="130">
        <v>0</v>
      </c>
      <c r="H32" s="130">
        <v>0</v>
      </c>
      <c r="I32" s="130">
        <v>0</v>
      </c>
      <c r="J32" s="130">
        <v>0</v>
      </c>
      <c r="K32" s="130">
        <v>0</v>
      </c>
      <c r="L32" s="130">
        <v>0</v>
      </c>
      <c r="M32" s="130">
        <v>0</v>
      </c>
      <c r="N32" s="130">
        <v>0</v>
      </c>
      <c r="O32" s="130">
        <v>0</v>
      </c>
      <c r="P32" s="130">
        <v>0</v>
      </c>
      <c r="Q32" s="130">
        <v>0</v>
      </c>
      <c r="R32" s="130">
        <v>0</v>
      </c>
      <c r="S32" s="130">
        <v>0</v>
      </c>
      <c r="T32" s="130">
        <v>0</v>
      </c>
      <c r="U32" s="130">
        <v>0</v>
      </c>
      <c r="V32" s="130">
        <v>0</v>
      </c>
      <c r="W32" s="130">
        <v>0</v>
      </c>
      <c r="X32" s="130">
        <v>0</v>
      </c>
      <c r="Y32" s="131">
        <f t="shared" si="0"/>
        <v>10</v>
      </c>
    </row>
    <row r="33" spans="1:25" x14ac:dyDescent="0.2">
      <c r="A33" s="23" t="s">
        <v>101</v>
      </c>
      <c r="B33">
        <v>2</v>
      </c>
      <c r="C33" s="23" t="s">
        <v>112</v>
      </c>
      <c r="D33">
        <v>221</v>
      </c>
      <c r="E33" s="130">
        <v>100</v>
      </c>
      <c r="F33" s="130">
        <v>100</v>
      </c>
      <c r="G33" s="130">
        <v>0</v>
      </c>
      <c r="H33" s="130">
        <v>0</v>
      </c>
      <c r="I33" s="130">
        <v>0</v>
      </c>
      <c r="J33" s="130">
        <v>0</v>
      </c>
      <c r="K33" s="130">
        <v>0</v>
      </c>
      <c r="L33" s="130">
        <v>0</v>
      </c>
      <c r="M33" s="130">
        <v>0</v>
      </c>
      <c r="N33" s="130">
        <v>0</v>
      </c>
      <c r="O33" s="130">
        <v>0</v>
      </c>
      <c r="P33" s="130">
        <v>0</v>
      </c>
      <c r="Q33" s="130">
        <v>0</v>
      </c>
      <c r="R33" s="130">
        <v>0</v>
      </c>
      <c r="S33" s="130">
        <v>0</v>
      </c>
      <c r="T33" s="130">
        <v>0</v>
      </c>
      <c r="U33" s="130">
        <v>0</v>
      </c>
      <c r="V33" s="130">
        <v>0</v>
      </c>
      <c r="W33" s="130">
        <v>0</v>
      </c>
      <c r="X33" s="130">
        <v>0</v>
      </c>
      <c r="Y33" s="131">
        <f t="shared" si="0"/>
        <v>10</v>
      </c>
    </row>
    <row r="34" spans="1:25" x14ac:dyDescent="0.2">
      <c r="A34" s="23" t="s">
        <v>101</v>
      </c>
      <c r="B34">
        <v>2</v>
      </c>
      <c r="C34" s="23" t="s">
        <v>112</v>
      </c>
      <c r="D34">
        <v>222</v>
      </c>
      <c r="E34" s="130">
        <v>100</v>
      </c>
      <c r="F34" s="130">
        <v>100</v>
      </c>
      <c r="G34" s="130">
        <v>0</v>
      </c>
      <c r="H34" s="130">
        <v>0</v>
      </c>
      <c r="I34" s="130">
        <v>0</v>
      </c>
      <c r="J34" s="130">
        <v>0</v>
      </c>
      <c r="K34" s="130">
        <v>0</v>
      </c>
      <c r="L34" s="130">
        <v>0</v>
      </c>
      <c r="M34" s="130">
        <v>0</v>
      </c>
      <c r="N34" s="130">
        <v>0</v>
      </c>
      <c r="O34" s="130">
        <v>0</v>
      </c>
      <c r="P34" s="130">
        <v>0</v>
      </c>
      <c r="Q34" s="130">
        <v>0</v>
      </c>
      <c r="R34" s="130">
        <v>0</v>
      </c>
      <c r="S34" s="130">
        <v>0</v>
      </c>
      <c r="T34" s="130">
        <v>0</v>
      </c>
      <c r="U34" s="130">
        <v>0</v>
      </c>
      <c r="V34" s="130">
        <v>0</v>
      </c>
      <c r="W34" s="130">
        <v>0</v>
      </c>
      <c r="X34" s="130">
        <v>0</v>
      </c>
      <c r="Y34" s="131">
        <f t="shared" si="0"/>
        <v>10</v>
      </c>
    </row>
    <row r="35" spans="1:25" x14ac:dyDescent="0.2">
      <c r="A35" s="23" t="s">
        <v>101</v>
      </c>
      <c r="B35">
        <v>2</v>
      </c>
      <c r="C35" s="23" t="s">
        <v>112</v>
      </c>
      <c r="D35">
        <v>223</v>
      </c>
      <c r="E35" s="130">
        <v>100</v>
      </c>
      <c r="F35" s="130">
        <v>100</v>
      </c>
      <c r="G35" s="130">
        <v>0</v>
      </c>
      <c r="H35" s="130">
        <v>0</v>
      </c>
      <c r="I35" s="130">
        <v>0</v>
      </c>
      <c r="J35" s="130">
        <v>0</v>
      </c>
      <c r="K35" s="130">
        <v>0</v>
      </c>
      <c r="L35" s="130">
        <v>0</v>
      </c>
      <c r="M35" s="130">
        <v>0</v>
      </c>
      <c r="N35" s="130">
        <v>0</v>
      </c>
      <c r="O35" s="130">
        <v>0</v>
      </c>
      <c r="P35" s="130">
        <v>0</v>
      </c>
      <c r="Q35" s="130">
        <v>0</v>
      </c>
      <c r="R35" s="130">
        <v>0</v>
      </c>
      <c r="S35" s="130">
        <v>0</v>
      </c>
      <c r="T35" s="130">
        <v>0</v>
      </c>
      <c r="U35" s="130">
        <v>0</v>
      </c>
      <c r="V35" s="130">
        <v>0</v>
      </c>
      <c r="W35" s="130">
        <v>0</v>
      </c>
      <c r="X35" s="130">
        <v>0</v>
      </c>
      <c r="Y35" s="131">
        <f t="shared" si="0"/>
        <v>10</v>
      </c>
    </row>
    <row r="36" spans="1:25" x14ac:dyDescent="0.2">
      <c r="A36" s="23" t="s">
        <v>101</v>
      </c>
      <c r="B36">
        <v>2</v>
      </c>
      <c r="C36" s="23" t="s">
        <v>111</v>
      </c>
      <c r="D36">
        <v>201</v>
      </c>
      <c r="E36" s="130">
        <v>100</v>
      </c>
      <c r="F36" s="130">
        <v>100</v>
      </c>
      <c r="G36" s="130">
        <v>100</v>
      </c>
      <c r="H36" s="130">
        <v>100</v>
      </c>
      <c r="I36" s="130">
        <v>100</v>
      </c>
      <c r="J36" s="130">
        <v>100</v>
      </c>
      <c r="K36" s="130">
        <v>100</v>
      </c>
      <c r="L36" s="130">
        <v>100</v>
      </c>
      <c r="M36" s="130">
        <v>100</v>
      </c>
      <c r="N36" s="130">
        <v>100</v>
      </c>
      <c r="O36" s="130">
        <v>100</v>
      </c>
      <c r="P36" s="130">
        <v>85</v>
      </c>
      <c r="Q36" s="130">
        <v>90</v>
      </c>
      <c r="R36" s="130">
        <v>95</v>
      </c>
      <c r="S36" s="130">
        <v>100</v>
      </c>
      <c r="T36" s="130">
        <v>0</v>
      </c>
      <c r="U36" s="130">
        <v>95</v>
      </c>
      <c r="V36" s="130">
        <v>95</v>
      </c>
      <c r="W36" s="130">
        <v>100</v>
      </c>
      <c r="X36" s="130">
        <v>90</v>
      </c>
      <c r="Y36" s="131">
        <f t="shared" si="0"/>
        <v>92.5</v>
      </c>
    </row>
    <row r="37" spans="1:25" x14ac:dyDescent="0.2">
      <c r="A37" s="23" t="s">
        <v>101</v>
      </c>
      <c r="B37">
        <v>2</v>
      </c>
      <c r="C37" s="23" t="s">
        <v>111</v>
      </c>
      <c r="D37">
        <v>202</v>
      </c>
      <c r="E37" s="130">
        <v>100</v>
      </c>
      <c r="F37" s="130">
        <v>100</v>
      </c>
      <c r="G37" s="130">
        <v>100</v>
      </c>
      <c r="H37" s="130">
        <v>100</v>
      </c>
      <c r="I37" s="130">
        <v>100</v>
      </c>
      <c r="J37" s="130">
        <v>100</v>
      </c>
      <c r="K37" s="130">
        <v>100</v>
      </c>
      <c r="L37" s="130">
        <v>100</v>
      </c>
      <c r="M37" s="130">
        <v>100</v>
      </c>
      <c r="N37" s="130">
        <v>90</v>
      </c>
      <c r="O37" s="130">
        <v>100</v>
      </c>
      <c r="P37" s="130">
        <v>100</v>
      </c>
      <c r="Q37" s="130">
        <v>90</v>
      </c>
      <c r="R37" s="130">
        <v>95</v>
      </c>
      <c r="S37" s="130">
        <v>100</v>
      </c>
      <c r="T37" s="130">
        <v>0</v>
      </c>
      <c r="U37" s="130">
        <v>95</v>
      </c>
      <c r="V37" s="130">
        <v>95</v>
      </c>
      <c r="W37" s="130">
        <v>100</v>
      </c>
      <c r="X37" s="130">
        <v>95</v>
      </c>
      <c r="Y37" s="131">
        <f t="shared" si="0"/>
        <v>93</v>
      </c>
    </row>
    <row r="38" spans="1:25" x14ac:dyDescent="0.2">
      <c r="A38" s="23" t="s">
        <v>101</v>
      </c>
      <c r="B38">
        <v>2</v>
      </c>
      <c r="C38" s="23" t="s">
        <v>111</v>
      </c>
      <c r="D38">
        <v>203</v>
      </c>
      <c r="E38" s="130">
        <v>100</v>
      </c>
      <c r="F38" s="130">
        <v>100</v>
      </c>
      <c r="G38" s="130">
        <v>100</v>
      </c>
      <c r="H38" s="130">
        <v>100</v>
      </c>
      <c r="I38" s="130">
        <v>100</v>
      </c>
      <c r="J38" s="130">
        <v>100</v>
      </c>
      <c r="K38" s="130">
        <v>100</v>
      </c>
      <c r="L38" s="130">
        <v>100</v>
      </c>
      <c r="M38" s="130">
        <v>100</v>
      </c>
      <c r="N38" s="130">
        <v>95</v>
      </c>
      <c r="O38" s="130">
        <v>100</v>
      </c>
      <c r="P38" s="130">
        <v>90</v>
      </c>
      <c r="Q38" s="130">
        <v>90</v>
      </c>
      <c r="R38" s="130">
        <v>95</v>
      </c>
      <c r="S38" s="130">
        <v>95</v>
      </c>
      <c r="T38" s="130">
        <v>0</v>
      </c>
      <c r="U38" s="130">
        <v>85</v>
      </c>
      <c r="V38" s="130">
        <v>95</v>
      </c>
      <c r="W38" s="130">
        <v>100</v>
      </c>
      <c r="X38" s="130">
        <v>100</v>
      </c>
      <c r="Y38" s="131">
        <f t="shared" si="0"/>
        <v>92.25</v>
      </c>
    </row>
    <row r="39" spans="1:25" x14ac:dyDescent="0.2">
      <c r="A39" s="23" t="s">
        <v>101</v>
      </c>
      <c r="B39">
        <v>2</v>
      </c>
      <c r="C39" s="23" t="s">
        <v>111</v>
      </c>
      <c r="D39">
        <v>204</v>
      </c>
      <c r="E39" s="130">
        <v>100</v>
      </c>
      <c r="F39" s="130">
        <v>100</v>
      </c>
      <c r="G39" s="130">
        <v>100</v>
      </c>
      <c r="H39" s="130">
        <v>100</v>
      </c>
      <c r="I39" s="130">
        <v>100</v>
      </c>
      <c r="J39" s="130">
        <v>100</v>
      </c>
      <c r="K39" s="130">
        <v>100</v>
      </c>
      <c r="L39" s="130">
        <v>100</v>
      </c>
      <c r="M39" s="130">
        <v>100</v>
      </c>
      <c r="N39" s="130">
        <v>95</v>
      </c>
      <c r="O39" s="130">
        <v>95</v>
      </c>
      <c r="P39" s="130">
        <v>90</v>
      </c>
      <c r="Q39" s="130">
        <v>90</v>
      </c>
      <c r="R39" s="130">
        <v>95</v>
      </c>
      <c r="S39" s="130">
        <v>100</v>
      </c>
      <c r="T39" s="130">
        <v>0</v>
      </c>
      <c r="U39" s="130">
        <v>95</v>
      </c>
      <c r="V39" s="130">
        <v>95</v>
      </c>
      <c r="W39" s="130">
        <v>100</v>
      </c>
      <c r="X39" s="130">
        <v>95</v>
      </c>
      <c r="Y39" s="131">
        <f t="shared" si="0"/>
        <v>92.5</v>
      </c>
    </row>
    <row r="40" spans="1:25" x14ac:dyDescent="0.2">
      <c r="A40" s="23" t="s">
        <v>101</v>
      </c>
      <c r="B40">
        <v>2</v>
      </c>
      <c r="C40" s="23" t="s">
        <v>111</v>
      </c>
      <c r="D40">
        <v>205</v>
      </c>
      <c r="E40" s="130">
        <v>100</v>
      </c>
      <c r="F40" s="130">
        <v>100</v>
      </c>
      <c r="G40" s="130">
        <v>100</v>
      </c>
      <c r="H40" s="130">
        <v>100</v>
      </c>
      <c r="I40" s="130">
        <v>100</v>
      </c>
      <c r="J40" s="130">
        <v>100</v>
      </c>
      <c r="K40" s="130">
        <v>100</v>
      </c>
      <c r="L40" s="130">
        <v>100</v>
      </c>
      <c r="M40" s="130">
        <v>100</v>
      </c>
      <c r="N40" s="130">
        <v>95</v>
      </c>
      <c r="O40" s="130">
        <v>100</v>
      </c>
      <c r="P40" s="130">
        <v>95</v>
      </c>
      <c r="Q40" s="130">
        <v>90</v>
      </c>
      <c r="R40" s="130">
        <v>95</v>
      </c>
      <c r="S40" s="130">
        <v>100</v>
      </c>
      <c r="T40" s="130">
        <v>0</v>
      </c>
      <c r="U40" s="130">
        <v>95</v>
      </c>
      <c r="V40" s="130">
        <v>95</v>
      </c>
      <c r="W40" s="130">
        <v>100</v>
      </c>
      <c r="X40" s="130">
        <v>95</v>
      </c>
      <c r="Y40" s="131">
        <f t="shared" si="0"/>
        <v>93</v>
      </c>
    </row>
    <row r="41" spans="1:25" x14ac:dyDescent="0.2">
      <c r="A41" s="23" t="s">
        <v>101</v>
      </c>
      <c r="B41">
        <v>2</v>
      </c>
      <c r="C41" s="23" t="s">
        <v>111</v>
      </c>
      <c r="D41">
        <v>206</v>
      </c>
      <c r="E41" s="130">
        <v>100</v>
      </c>
      <c r="F41" s="130">
        <v>100</v>
      </c>
      <c r="G41" s="130">
        <v>100</v>
      </c>
      <c r="H41" s="130">
        <v>100</v>
      </c>
      <c r="I41" s="130">
        <v>100</v>
      </c>
      <c r="J41" s="130">
        <v>100</v>
      </c>
      <c r="K41" s="130">
        <v>100</v>
      </c>
      <c r="L41" s="130">
        <v>100</v>
      </c>
      <c r="M41" s="130">
        <v>100</v>
      </c>
      <c r="N41" s="130">
        <v>95</v>
      </c>
      <c r="O41" s="130">
        <v>100</v>
      </c>
      <c r="P41" s="130">
        <v>90</v>
      </c>
      <c r="Q41" s="130">
        <v>95</v>
      </c>
      <c r="R41" s="130">
        <v>95</v>
      </c>
      <c r="S41" s="130">
        <v>100</v>
      </c>
      <c r="T41" s="130">
        <v>0</v>
      </c>
      <c r="U41" s="130">
        <v>95</v>
      </c>
      <c r="V41" s="130">
        <v>95</v>
      </c>
      <c r="W41" s="130">
        <v>100</v>
      </c>
      <c r="X41" s="130">
        <v>95</v>
      </c>
      <c r="Y41" s="131">
        <f t="shared" si="0"/>
        <v>93</v>
      </c>
    </row>
    <row r="42" spans="1:25" x14ac:dyDescent="0.2">
      <c r="A42" s="23" t="s">
        <v>101</v>
      </c>
      <c r="B42">
        <v>2</v>
      </c>
      <c r="C42" s="23" t="s">
        <v>111</v>
      </c>
      <c r="D42">
        <v>207</v>
      </c>
      <c r="E42" s="130">
        <v>100</v>
      </c>
      <c r="F42" s="130">
        <v>100</v>
      </c>
      <c r="G42" s="130">
        <v>100</v>
      </c>
      <c r="H42" s="130">
        <v>100</v>
      </c>
      <c r="I42" s="130">
        <v>100</v>
      </c>
      <c r="J42" s="130">
        <v>100</v>
      </c>
      <c r="K42" s="130">
        <v>100</v>
      </c>
      <c r="L42" s="130">
        <v>100</v>
      </c>
      <c r="M42" s="130">
        <v>100</v>
      </c>
      <c r="N42" s="130">
        <v>100</v>
      </c>
      <c r="O42" s="130">
        <v>90</v>
      </c>
      <c r="P42" s="130">
        <v>100</v>
      </c>
      <c r="Q42" s="130">
        <v>90</v>
      </c>
      <c r="R42" s="130">
        <v>95</v>
      </c>
      <c r="S42" s="130">
        <v>100</v>
      </c>
      <c r="T42" s="130">
        <v>0</v>
      </c>
      <c r="U42" s="130">
        <v>95</v>
      </c>
      <c r="V42" s="130">
        <v>95</v>
      </c>
      <c r="W42" s="130">
        <v>100</v>
      </c>
      <c r="X42" s="130">
        <v>100</v>
      </c>
      <c r="Y42" s="131">
        <f t="shared" si="0"/>
        <v>93.25</v>
      </c>
    </row>
    <row r="43" spans="1:25" x14ac:dyDescent="0.2">
      <c r="A43" s="23" t="s">
        <v>101</v>
      </c>
      <c r="B43">
        <v>2</v>
      </c>
      <c r="C43" s="23" t="s">
        <v>111</v>
      </c>
      <c r="D43">
        <v>208</v>
      </c>
      <c r="E43" s="130">
        <v>100</v>
      </c>
      <c r="F43" s="130">
        <v>100</v>
      </c>
      <c r="G43" s="130">
        <v>100</v>
      </c>
      <c r="H43" s="130">
        <v>100</v>
      </c>
      <c r="I43" s="130">
        <v>100</v>
      </c>
      <c r="J43" s="130">
        <v>100</v>
      </c>
      <c r="K43" s="130">
        <v>100</v>
      </c>
      <c r="L43" s="130">
        <v>100</v>
      </c>
      <c r="M43" s="130">
        <v>100</v>
      </c>
      <c r="N43" s="130">
        <v>100</v>
      </c>
      <c r="O43" s="130">
        <v>100</v>
      </c>
      <c r="P43" s="130">
        <v>95</v>
      </c>
      <c r="Q43" s="130">
        <v>90</v>
      </c>
      <c r="R43" s="130">
        <v>95</v>
      </c>
      <c r="S43" s="130">
        <v>100</v>
      </c>
      <c r="T43" s="130">
        <v>0</v>
      </c>
      <c r="U43" s="130">
        <v>95</v>
      </c>
      <c r="V43" s="130">
        <v>95</v>
      </c>
      <c r="W43" s="130">
        <v>100</v>
      </c>
      <c r="X43" s="130">
        <v>100</v>
      </c>
      <c r="Y43" s="131">
        <f t="shared" si="0"/>
        <v>93.5</v>
      </c>
    </row>
    <row r="44" spans="1:25" x14ac:dyDescent="0.2">
      <c r="A44" s="23" t="s">
        <v>101</v>
      </c>
      <c r="B44">
        <v>2</v>
      </c>
      <c r="C44" s="23" t="s">
        <v>111</v>
      </c>
      <c r="D44">
        <v>209</v>
      </c>
      <c r="E44" s="130">
        <v>100</v>
      </c>
      <c r="F44" s="130">
        <v>100</v>
      </c>
      <c r="G44" s="130">
        <v>100</v>
      </c>
      <c r="H44" s="130">
        <v>100</v>
      </c>
      <c r="I44" s="130">
        <v>100</v>
      </c>
      <c r="J44" s="130">
        <v>100</v>
      </c>
      <c r="K44" s="130">
        <v>100</v>
      </c>
      <c r="L44" s="130">
        <v>100</v>
      </c>
      <c r="M44" s="130">
        <v>100</v>
      </c>
      <c r="N44" s="130">
        <v>0</v>
      </c>
      <c r="O44" s="130">
        <v>0</v>
      </c>
      <c r="P44" s="130">
        <v>90</v>
      </c>
      <c r="Q44" s="130">
        <v>85</v>
      </c>
      <c r="R44" s="130">
        <v>95</v>
      </c>
      <c r="S44" s="130">
        <v>100</v>
      </c>
      <c r="T44" s="130">
        <v>0</v>
      </c>
      <c r="U44" s="130">
        <v>80</v>
      </c>
      <c r="V44" s="130">
        <v>85</v>
      </c>
      <c r="W44" s="130">
        <v>65</v>
      </c>
      <c r="X44" s="130">
        <v>0</v>
      </c>
      <c r="Y44" s="131">
        <f t="shared" si="0"/>
        <v>75</v>
      </c>
    </row>
    <row r="45" spans="1:25" x14ac:dyDescent="0.2">
      <c r="A45" s="23" t="s">
        <v>101</v>
      </c>
      <c r="B45">
        <v>2</v>
      </c>
      <c r="C45" s="23" t="s">
        <v>111</v>
      </c>
      <c r="D45">
        <v>210</v>
      </c>
      <c r="E45" s="130">
        <v>100</v>
      </c>
      <c r="F45" s="130">
        <v>100</v>
      </c>
      <c r="G45" s="130">
        <v>100</v>
      </c>
      <c r="H45" s="130">
        <v>100</v>
      </c>
      <c r="I45" s="130">
        <v>100</v>
      </c>
      <c r="J45" s="130">
        <v>100</v>
      </c>
      <c r="K45" s="130">
        <v>100</v>
      </c>
      <c r="L45" s="130">
        <v>100</v>
      </c>
      <c r="M45" s="130">
        <v>100</v>
      </c>
      <c r="N45" s="130">
        <v>0</v>
      </c>
      <c r="O45" s="130">
        <v>100</v>
      </c>
      <c r="P45" s="130">
        <v>95</v>
      </c>
      <c r="Q45" s="130">
        <v>85</v>
      </c>
      <c r="R45" s="130">
        <v>95</v>
      </c>
      <c r="S45" s="130">
        <v>95</v>
      </c>
      <c r="T45" s="130">
        <v>0</v>
      </c>
      <c r="U45" s="130">
        <v>95</v>
      </c>
      <c r="V45" s="130">
        <v>80</v>
      </c>
      <c r="W45" s="130">
        <v>60</v>
      </c>
      <c r="X45" s="130">
        <v>0</v>
      </c>
      <c r="Y45" s="131">
        <f t="shared" si="0"/>
        <v>80.25</v>
      </c>
    </row>
    <row r="46" spans="1:25" x14ac:dyDescent="0.2">
      <c r="A46" s="23" t="s">
        <v>101</v>
      </c>
      <c r="B46">
        <v>2</v>
      </c>
      <c r="C46" s="23" t="s">
        <v>111</v>
      </c>
      <c r="D46">
        <v>211</v>
      </c>
      <c r="E46" s="130">
        <v>100</v>
      </c>
      <c r="F46" s="130">
        <v>100</v>
      </c>
      <c r="G46" s="130">
        <v>100</v>
      </c>
      <c r="H46" s="130">
        <v>100</v>
      </c>
      <c r="I46" s="130">
        <v>100</v>
      </c>
      <c r="J46" s="130">
        <v>100</v>
      </c>
      <c r="K46" s="130">
        <v>100</v>
      </c>
      <c r="L46" s="130">
        <v>100</v>
      </c>
      <c r="M46" s="130">
        <v>95</v>
      </c>
      <c r="N46" s="130">
        <v>0</v>
      </c>
      <c r="O46" s="130">
        <v>5</v>
      </c>
      <c r="P46" s="130">
        <v>70</v>
      </c>
      <c r="Q46" s="130">
        <v>90</v>
      </c>
      <c r="R46" s="130">
        <v>95</v>
      </c>
      <c r="S46" s="130">
        <v>95</v>
      </c>
      <c r="T46" s="130">
        <v>0</v>
      </c>
      <c r="U46" s="130">
        <v>75</v>
      </c>
      <c r="V46" s="130">
        <v>80</v>
      </c>
      <c r="W46" s="130">
        <v>0</v>
      </c>
      <c r="X46" s="130">
        <v>0</v>
      </c>
      <c r="Y46" s="131">
        <f t="shared" si="0"/>
        <v>70.25</v>
      </c>
    </row>
    <row r="47" spans="1:25" x14ac:dyDescent="0.2">
      <c r="A47" s="23" t="s">
        <v>101</v>
      </c>
      <c r="B47">
        <v>2</v>
      </c>
      <c r="C47" s="23" t="s">
        <v>111</v>
      </c>
      <c r="D47">
        <v>212</v>
      </c>
      <c r="E47" s="130">
        <v>100</v>
      </c>
      <c r="F47" s="130">
        <v>100</v>
      </c>
      <c r="G47" s="130">
        <v>100</v>
      </c>
      <c r="H47" s="130">
        <v>100</v>
      </c>
      <c r="I47" s="130">
        <v>100</v>
      </c>
      <c r="J47" s="130">
        <v>100</v>
      </c>
      <c r="K47" s="130">
        <v>100</v>
      </c>
      <c r="L47" s="130">
        <v>100</v>
      </c>
      <c r="M47" s="130">
        <v>95</v>
      </c>
      <c r="N47" s="130">
        <v>0</v>
      </c>
      <c r="O47" s="130">
        <v>0</v>
      </c>
      <c r="P47" s="130">
        <v>70</v>
      </c>
      <c r="Q47" s="130">
        <v>80</v>
      </c>
      <c r="R47" s="130">
        <v>95</v>
      </c>
      <c r="S47" s="130">
        <v>85</v>
      </c>
      <c r="T47" s="130">
        <v>0</v>
      </c>
      <c r="U47" s="130">
        <v>0</v>
      </c>
      <c r="V47" s="130">
        <v>0</v>
      </c>
      <c r="W47" s="130">
        <v>0</v>
      </c>
      <c r="X47" s="130">
        <v>0</v>
      </c>
      <c r="Y47" s="131">
        <f t="shared" si="0"/>
        <v>61.25</v>
      </c>
    </row>
    <row r="48" spans="1:25" x14ac:dyDescent="0.2">
      <c r="A48" s="23" t="s">
        <v>101</v>
      </c>
      <c r="B48">
        <v>2</v>
      </c>
      <c r="C48" s="23" t="s">
        <v>111</v>
      </c>
      <c r="D48">
        <v>213</v>
      </c>
      <c r="E48" s="130">
        <v>100</v>
      </c>
      <c r="F48" s="130">
        <v>100</v>
      </c>
      <c r="G48" s="130">
        <v>100</v>
      </c>
      <c r="H48" s="130">
        <v>100</v>
      </c>
      <c r="I48" s="130">
        <v>100</v>
      </c>
      <c r="J48" s="130">
        <v>100</v>
      </c>
      <c r="K48" s="130">
        <v>100</v>
      </c>
      <c r="L48" s="130">
        <v>100</v>
      </c>
      <c r="M48" s="130">
        <v>100</v>
      </c>
      <c r="N48" s="130">
        <v>0</v>
      </c>
      <c r="O48" s="130">
        <v>0</v>
      </c>
      <c r="P48" s="130">
        <v>100</v>
      </c>
      <c r="Q48" s="130">
        <v>95</v>
      </c>
      <c r="R48" s="130">
        <v>95</v>
      </c>
      <c r="S48" s="130">
        <v>100</v>
      </c>
      <c r="T48" s="130">
        <v>0</v>
      </c>
      <c r="U48" s="130">
        <v>0</v>
      </c>
      <c r="V48" s="130">
        <v>0</v>
      </c>
      <c r="W48" s="130">
        <v>0</v>
      </c>
      <c r="X48" s="130">
        <v>0</v>
      </c>
      <c r="Y48" s="131">
        <f t="shared" si="0"/>
        <v>64.5</v>
      </c>
    </row>
    <row r="49" spans="1:25" x14ac:dyDescent="0.2">
      <c r="A49" s="23" t="s">
        <v>101</v>
      </c>
      <c r="B49">
        <v>2</v>
      </c>
      <c r="C49" s="23" t="s">
        <v>111</v>
      </c>
      <c r="D49">
        <v>214</v>
      </c>
      <c r="E49" s="130">
        <v>100</v>
      </c>
      <c r="F49" s="130">
        <v>100</v>
      </c>
      <c r="G49" s="130">
        <v>100</v>
      </c>
      <c r="H49" s="130">
        <v>100</v>
      </c>
      <c r="I49" s="130">
        <v>100</v>
      </c>
      <c r="J49" s="130">
        <v>100</v>
      </c>
      <c r="K49" s="130">
        <v>100</v>
      </c>
      <c r="L49" s="130">
        <v>100</v>
      </c>
      <c r="M49" s="130">
        <v>95</v>
      </c>
      <c r="N49" s="130">
        <v>0</v>
      </c>
      <c r="O49" s="130">
        <v>0</v>
      </c>
      <c r="P49" s="130">
        <v>100</v>
      </c>
      <c r="Q49" s="130">
        <v>85</v>
      </c>
      <c r="R49" s="130">
        <v>95</v>
      </c>
      <c r="S49" s="130">
        <v>95</v>
      </c>
      <c r="T49" s="130">
        <v>0</v>
      </c>
      <c r="U49" s="130">
        <v>0</v>
      </c>
      <c r="V49" s="130">
        <v>0</v>
      </c>
      <c r="W49" s="130">
        <v>0</v>
      </c>
      <c r="X49" s="130">
        <v>0</v>
      </c>
      <c r="Y49" s="131">
        <f t="shared" si="0"/>
        <v>63.5</v>
      </c>
    </row>
    <row r="50" spans="1:25" x14ac:dyDescent="0.2">
      <c r="A50" s="23" t="s">
        <v>101</v>
      </c>
      <c r="B50">
        <v>2</v>
      </c>
      <c r="C50" s="23" t="s">
        <v>111</v>
      </c>
      <c r="D50">
        <v>215</v>
      </c>
      <c r="E50" s="130">
        <v>100</v>
      </c>
      <c r="F50" s="130">
        <v>100</v>
      </c>
      <c r="G50" s="130">
        <v>100</v>
      </c>
      <c r="H50" s="130">
        <v>100</v>
      </c>
      <c r="I50" s="130">
        <v>100</v>
      </c>
      <c r="J50" s="130">
        <v>100</v>
      </c>
      <c r="K50" s="130">
        <v>100</v>
      </c>
      <c r="L50" s="130">
        <v>100</v>
      </c>
      <c r="M50" s="130">
        <v>95</v>
      </c>
      <c r="N50" s="130">
        <v>0</v>
      </c>
      <c r="O50" s="130">
        <v>0</v>
      </c>
      <c r="P50" s="130">
        <v>100</v>
      </c>
      <c r="Q50" s="130">
        <v>85</v>
      </c>
      <c r="R50" s="130">
        <v>95</v>
      </c>
      <c r="S50" s="130">
        <v>100</v>
      </c>
      <c r="T50" s="130">
        <v>0</v>
      </c>
      <c r="U50" s="130">
        <v>0</v>
      </c>
      <c r="V50" s="130">
        <v>0</v>
      </c>
      <c r="W50" s="130">
        <v>0</v>
      </c>
      <c r="X50" s="130">
        <v>0</v>
      </c>
      <c r="Y50" s="131">
        <f t="shared" si="0"/>
        <v>63.75</v>
      </c>
    </row>
    <row r="51" spans="1:25" x14ac:dyDescent="0.2">
      <c r="A51" s="23" t="s">
        <v>101</v>
      </c>
      <c r="B51">
        <v>2</v>
      </c>
      <c r="C51" s="23" t="s">
        <v>111</v>
      </c>
      <c r="D51">
        <v>216</v>
      </c>
      <c r="E51" s="130">
        <v>100</v>
      </c>
      <c r="F51" s="130">
        <v>100</v>
      </c>
      <c r="G51" s="130">
        <v>100</v>
      </c>
      <c r="H51" s="130">
        <v>100</v>
      </c>
      <c r="I51" s="130">
        <v>100</v>
      </c>
      <c r="J51" s="130">
        <v>100</v>
      </c>
      <c r="K51" s="130">
        <v>100</v>
      </c>
      <c r="L51" s="130">
        <v>100</v>
      </c>
      <c r="M51" s="130">
        <v>95</v>
      </c>
      <c r="N51" s="130">
        <v>0</v>
      </c>
      <c r="O51" s="130">
        <v>0</v>
      </c>
      <c r="P51" s="130">
        <v>80</v>
      </c>
      <c r="Q51" s="130">
        <v>85</v>
      </c>
      <c r="R51" s="130">
        <v>95</v>
      </c>
      <c r="S51" s="130">
        <v>100</v>
      </c>
      <c r="T51" s="130">
        <v>0</v>
      </c>
      <c r="U51" s="130">
        <v>0</v>
      </c>
      <c r="V51" s="130">
        <v>0</v>
      </c>
      <c r="W51" s="130">
        <v>0</v>
      </c>
      <c r="X51" s="130">
        <v>0</v>
      </c>
      <c r="Y51" s="131">
        <f t="shared" si="0"/>
        <v>62.75</v>
      </c>
    </row>
    <row r="52" spans="1:25" x14ac:dyDescent="0.2">
      <c r="A52" s="23" t="s">
        <v>101</v>
      </c>
      <c r="B52">
        <v>2</v>
      </c>
      <c r="C52" s="23" t="s">
        <v>111</v>
      </c>
      <c r="D52">
        <v>217</v>
      </c>
      <c r="E52" s="130">
        <v>100</v>
      </c>
      <c r="F52" s="130">
        <v>100</v>
      </c>
      <c r="G52" s="130">
        <v>100</v>
      </c>
      <c r="H52" s="130">
        <v>100</v>
      </c>
      <c r="I52" s="130">
        <v>100</v>
      </c>
      <c r="J52" s="130">
        <v>100</v>
      </c>
      <c r="K52" s="130">
        <v>100</v>
      </c>
      <c r="L52" s="130">
        <v>100</v>
      </c>
      <c r="M52" s="130">
        <v>95</v>
      </c>
      <c r="N52" s="130">
        <v>0</v>
      </c>
      <c r="O52" s="130">
        <v>0</v>
      </c>
      <c r="P52" s="130">
        <v>100</v>
      </c>
      <c r="Q52" s="130">
        <v>80</v>
      </c>
      <c r="R52" s="130">
        <v>95</v>
      </c>
      <c r="S52" s="130">
        <v>100</v>
      </c>
      <c r="T52" s="130">
        <v>0</v>
      </c>
      <c r="U52" s="130">
        <v>0</v>
      </c>
      <c r="V52" s="130">
        <v>0</v>
      </c>
      <c r="W52" s="130">
        <v>0</v>
      </c>
      <c r="X52" s="130">
        <v>0</v>
      </c>
      <c r="Y52" s="131">
        <f t="shared" si="0"/>
        <v>63.5</v>
      </c>
    </row>
    <row r="53" spans="1:25" x14ac:dyDescent="0.2">
      <c r="A53" s="23" t="s">
        <v>101</v>
      </c>
      <c r="B53">
        <v>2</v>
      </c>
      <c r="C53" s="23" t="s">
        <v>111</v>
      </c>
      <c r="D53">
        <v>218</v>
      </c>
      <c r="E53" s="130">
        <v>100</v>
      </c>
      <c r="F53" s="130">
        <v>100</v>
      </c>
      <c r="G53" s="130">
        <v>100</v>
      </c>
      <c r="H53" s="130">
        <v>100</v>
      </c>
      <c r="I53" s="130">
        <v>100</v>
      </c>
      <c r="J53" s="130">
        <v>100</v>
      </c>
      <c r="K53" s="130">
        <v>100</v>
      </c>
      <c r="L53" s="130">
        <v>100</v>
      </c>
      <c r="M53" s="130">
        <v>95</v>
      </c>
      <c r="N53" s="130">
        <v>0</v>
      </c>
      <c r="O53" s="130">
        <v>0</v>
      </c>
      <c r="P53" s="130">
        <v>100</v>
      </c>
      <c r="Q53" s="130">
        <v>85</v>
      </c>
      <c r="R53" s="130">
        <v>95</v>
      </c>
      <c r="S53" s="130">
        <v>100</v>
      </c>
      <c r="T53" s="130">
        <v>0</v>
      </c>
      <c r="U53" s="130">
        <v>0</v>
      </c>
      <c r="V53" s="130">
        <v>0</v>
      </c>
      <c r="W53" s="130">
        <v>0</v>
      </c>
      <c r="X53" s="130">
        <v>0</v>
      </c>
      <c r="Y53" s="131">
        <f t="shared" si="0"/>
        <v>63.75</v>
      </c>
    </row>
    <row r="54" spans="1:25" x14ac:dyDescent="0.2">
      <c r="A54" s="23" t="s">
        <v>101</v>
      </c>
      <c r="B54">
        <v>2</v>
      </c>
      <c r="C54" s="23" t="s">
        <v>111</v>
      </c>
      <c r="D54">
        <v>219</v>
      </c>
      <c r="E54" s="130">
        <v>100</v>
      </c>
      <c r="F54" s="130">
        <v>100</v>
      </c>
      <c r="G54" s="130">
        <v>100</v>
      </c>
      <c r="H54" s="130">
        <v>100</v>
      </c>
      <c r="I54" s="130">
        <v>100</v>
      </c>
      <c r="J54" s="130">
        <v>100</v>
      </c>
      <c r="K54" s="130">
        <v>100</v>
      </c>
      <c r="L54" s="130">
        <v>100</v>
      </c>
      <c r="M54" s="130">
        <v>0</v>
      </c>
      <c r="N54" s="130">
        <v>0</v>
      </c>
      <c r="O54" s="130">
        <v>0</v>
      </c>
      <c r="P54" s="130">
        <v>100</v>
      </c>
      <c r="Q54" s="130">
        <v>85</v>
      </c>
      <c r="R54" s="130">
        <v>0</v>
      </c>
      <c r="S54" s="130">
        <v>0</v>
      </c>
      <c r="T54" s="130">
        <v>0</v>
      </c>
      <c r="U54" s="130">
        <v>0</v>
      </c>
      <c r="V54" s="130">
        <v>0</v>
      </c>
      <c r="W54" s="130">
        <v>0</v>
      </c>
      <c r="X54" s="130">
        <v>0</v>
      </c>
      <c r="Y54" s="131">
        <f t="shared" si="0"/>
        <v>49.25</v>
      </c>
    </row>
    <row r="55" spans="1:25" x14ac:dyDescent="0.2">
      <c r="A55" s="23" t="s">
        <v>101</v>
      </c>
      <c r="B55">
        <v>2</v>
      </c>
      <c r="C55" s="23" t="s">
        <v>111</v>
      </c>
      <c r="D55">
        <v>220</v>
      </c>
      <c r="E55" s="130">
        <v>100</v>
      </c>
      <c r="F55" s="130">
        <v>100</v>
      </c>
      <c r="G55" s="130">
        <v>100</v>
      </c>
      <c r="H55" s="130">
        <v>100</v>
      </c>
      <c r="I55" s="130">
        <v>100</v>
      </c>
      <c r="J55" s="130">
        <v>100</v>
      </c>
      <c r="K55" s="130">
        <v>100</v>
      </c>
      <c r="L55" s="130">
        <v>100</v>
      </c>
      <c r="M55" s="130">
        <v>95</v>
      </c>
      <c r="N55" s="130">
        <v>0</v>
      </c>
      <c r="O55" s="130">
        <v>0</v>
      </c>
      <c r="P55" s="130">
        <v>100</v>
      </c>
      <c r="Q55" s="130">
        <v>90</v>
      </c>
      <c r="R55" s="130">
        <v>95</v>
      </c>
      <c r="S55" s="130">
        <v>100</v>
      </c>
      <c r="T55" s="130">
        <v>0</v>
      </c>
      <c r="U55" s="130">
        <v>0</v>
      </c>
      <c r="V55" s="130">
        <v>0</v>
      </c>
      <c r="W55" s="130">
        <v>0</v>
      </c>
      <c r="X55" s="130">
        <v>0</v>
      </c>
      <c r="Y55" s="131">
        <f t="shared" si="0"/>
        <v>64</v>
      </c>
    </row>
    <row r="56" spans="1:25" x14ac:dyDescent="0.2">
      <c r="A56" s="23" t="s">
        <v>101</v>
      </c>
      <c r="B56">
        <v>2</v>
      </c>
      <c r="C56" s="23" t="s">
        <v>111</v>
      </c>
      <c r="D56">
        <v>221</v>
      </c>
      <c r="E56" s="130">
        <v>100</v>
      </c>
      <c r="F56" s="130">
        <v>100</v>
      </c>
      <c r="G56" s="130">
        <v>100</v>
      </c>
      <c r="H56" s="130">
        <v>100</v>
      </c>
      <c r="I56" s="130">
        <v>100</v>
      </c>
      <c r="J56" s="130">
        <v>100</v>
      </c>
      <c r="K56" s="130">
        <v>100</v>
      </c>
      <c r="L56" s="130">
        <v>100</v>
      </c>
      <c r="M56" s="130">
        <v>95</v>
      </c>
      <c r="N56" s="130">
        <v>0</v>
      </c>
      <c r="O56" s="130">
        <v>0</v>
      </c>
      <c r="P56" s="130">
        <v>100</v>
      </c>
      <c r="Q56" s="130">
        <v>100</v>
      </c>
      <c r="R56" s="130">
        <v>95</v>
      </c>
      <c r="S56" s="130">
        <v>100</v>
      </c>
      <c r="T56" s="130">
        <v>0</v>
      </c>
      <c r="U56" s="130">
        <v>0</v>
      </c>
      <c r="V56" s="130">
        <v>80</v>
      </c>
      <c r="W56" s="130">
        <v>0</v>
      </c>
      <c r="X56" s="130">
        <v>0</v>
      </c>
      <c r="Y56" s="131">
        <f t="shared" si="0"/>
        <v>68.5</v>
      </c>
    </row>
    <row r="57" spans="1:25" x14ac:dyDescent="0.2">
      <c r="A57" s="23"/>
      <c r="C57" s="23"/>
      <c r="D57" s="23"/>
      <c r="E57" s="130">
        <f t="shared" ref="E57:X57" si="2">AVERAGE(E14:E56)</f>
        <v>100</v>
      </c>
      <c r="F57" s="130">
        <f t="shared" si="2"/>
        <v>100</v>
      </c>
      <c r="G57" s="130">
        <f t="shared" si="2"/>
        <v>77.906976744186053</v>
      </c>
      <c r="H57" s="130">
        <f t="shared" si="2"/>
        <v>79.069767441860463</v>
      </c>
      <c r="I57" s="130">
        <f t="shared" si="2"/>
        <v>78.95348837209302</v>
      </c>
      <c r="J57" s="130">
        <f t="shared" si="2"/>
        <v>79.069767441860463</v>
      </c>
      <c r="K57" s="130">
        <f t="shared" si="2"/>
        <v>79.069767441860463</v>
      </c>
      <c r="L57" s="130">
        <f t="shared" si="2"/>
        <v>78.023255813953483</v>
      </c>
      <c r="M57" s="130">
        <f t="shared" si="2"/>
        <v>74.418604651162795</v>
      </c>
      <c r="N57" s="130">
        <f t="shared" si="2"/>
        <v>22.790697674418606</v>
      </c>
      <c r="O57" s="130">
        <f t="shared" si="2"/>
        <v>20.697674418604652</v>
      </c>
      <c r="P57" s="130">
        <f t="shared" si="2"/>
        <v>48.953488372093027</v>
      </c>
      <c r="Q57" s="130">
        <f t="shared" si="2"/>
        <v>65.465116279069761</v>
      </c>
      <c r="R57" s="130">
        <f t="shared" si="2"/>
        <v>72.441860465116278</v>
      </c>
      <c r="S57" s="130">
        <f t="shared" si="2"/>
        <v>65.348837209302332</v>
      </c>
      <c r="T57" s="130">
        <f t="shared" si="2"/>
        <v>0</v>
      </c>
      <c r="U57" s="130">
        <f t="shared" si="2"/>
        <v>36.511627906976742</v>
      </c>
      <c r="V57" s="130">
        <f t="shared" si="2"/>
        <v>25.232558139534884</v>
      </c>
      <c r="W57" s="130">
        <f t="shared" si="2"/>
        <v>28.488372093023255</v>
      </c>
      <c r="X57" s="130">
        <f t="shared" si="2"/>
        <v>17.906976744186046</v>
      </c>
      <c r="Y57" s="131">
        <f t="shared" si="0"/>
        <v>57.517441860465112</v>
      </c>
    </row>
    <row r="58" spans="1:25" x14ac:dyDescent="0.2">
      <c r="A58" s="23" t="s">
        <v>101</v>
      </c>
      <c r="B58">
        <v>3</v>
      </c>
      <c r="C58" s="23" t="s">
        <v>112</v>
      </c>
      <c r="D58">
        <v>301</v>
      </c>
      <c r="E58" s="130">
        <v>100</v>
      </c>
      <c r="F58" s="130">
        <v>100</v>
      </c>
      <c r="G58" s="130">
        <v>50</v>
      </c>
      <c r="H58" s="130">
        <v>100</v>
      </c>
      <c r="I58" s="130">
        <v>100</v>
      </c>
      <c r="J58" s="130">
        <v>70</v>
      </c>
      <c r="K58" s="130">
        <v>100</v>
      </c>
      <c r="L58" s="130">
        <v>95</v>
      </c>
      <c r="M58" s="130">
        <v>0</v>
      </c>
      <c r="N58" s="130">
        <v>0</v>
      </c>
      <c r="O58" s="130">
        <v>0</v>
      </c>
      <c r="P58" s="130">
        <v>0</v>
      </c>
      <c r="Q58" s="130">
        <v>90</v>
      </c>
      <c r="R58" s="130">
        <v>0</v>
      </c>
      <c r="S58" s="130">
        <v>0</v>
      </c>
      <c r="T58" s="130">
        <v>0</v>
      </c>
      <c r="U58" s="130">
        <v>0</v>
      </c>
      <c r="V58" s="130">
        <v>0</v>
      </c>
      <c r="W58" s="130">
        <v>0</v>
      </c>
      <c r="X58" s="130">
        <v>0</v>
      </c>
      <c r="Y58" s="131">
        <f t="shared" si="0"/>
        <v>40.25</v>
      </c>
    </row>
    <row r="59" spans="1:25" x14ac:dyDescent="0.2">
      <c r="A59" s="23" t="s">
        <v>101</v>
      </c>
      <c r="B59">
        <v>3</v>
      </c>
      <c r="C59" s="23" t="s">
        <v>112</v>
      </c>
      <c r="D59">
        <v>302</v>
      </c>
      <c r="E59" s="130">
        <v>100</v>
      </c>
      <c r="F59" s="130">
        <v>100</v>
      </c>
      <c r="G59" s="130">
        <v>50</v>
      </c>
      <c r="H59" s="130">
        <v>100</v>
      </c>
      <c r="I59" s="130">
        <v>100</v>
      </c>
      <c r="J59" s="130">
        <v>70</v>
      </c>
      <c r="K59" s="130">
        <v>100</v>
      </c>
      <c r="L59" s="130">
        <v>95</v>
      </c>
      <c r="M59" s="130">
        <v>0</v>
      </c>
      <c r="N59" s="130">
        <v>0</v>
      </c>
      <c r="O59" s="130">
        <v>0</v>
      </c>
      <c r="P59" s="130">
        <v>0</v>
      </c>
      <c r="Q59" s="130">
        <v>85</v>
      </c>
      <c r="R59" s="130">
        <v>0</v>
      </c>
      <c r="S59" s="130">
        <v>0</v>
      </c>
      <c r="T59" s="130">
        <v>0</v>
      </c>
      <c r="U59" s="130">
        <v>0</v>
      </c>
      <c r="V59" s="130">
        <v>0</v>
      </c>
      <c r="W59" s="130">
        <v>0</v>
      </c>
      <c r="X59" s="130">
        <v>0</v>
      </c>
      <c r="Y59" s="131">
        <f t="shared" si="0"/>
        <v>40</v>
      </c>
    </row>
    <row r="60" spans="1:25" x14ac:dyDescent="0.2">
      <c r="A60" s="23" t="s">
        <v>101</v>
      </c>
      <c r="B60">
        <v>3</v>
      </c>
      <c r="C60" s="23" t="s">
        <v>112</v>
      </c>
      <c r="D60">
        <v>303</v>
      </c>
      <c r="E60" s="130">
        <v>100</v>
      </c>
      <c r="F60" s="130">
        <v>100</v>
      </c>
      <c r="G60" s="130">
        <v>50</v>
      </c>
      <c r="H60" s="130">
        <v>100</v>
      </c>
      <c r="I60" s="130">
        <v>100</v>
      </c>
      <c r="J60" s="130">
        <v>70</v>
      </c>
      <c r="K60" s="130">
        <v>100</v>
      </c>
      <c r="L60" s="130">
        <v>95</v>
      </c>
      <c r="M60" s="130">
        <v>0</v>
      </c>
      <c r="N60" s="130">
        <v>0</v>
      </c>
      <c r="O60" s="130">
        <v>0</v>
      </c>
      <c r="P60" s="130">
        <v>0</v>
      </c>
      <c r="Q60" s="130">
        <v>80</v>
      </c>
      <c r="R60" s="130">
        <v>0</v>
      </c>
      <c r="S60" s="130">
        <v>0</v>
      </c>
      <c r="T60" s="130">
        <v>0</v>
      </c>
      <c r="U60" s="130">
        <v>0</v>
      </c>
      <c r="V60" s="130">
        <v>0</v>
      </c>
      <c r="W60" s="130">
        <v>0</v>
      </c>
      <c r="X60" s="130">
        <v>0</v>
      </c>
      <c r="Y60" s="131">
        <f t="shared" si="0"/>
        <v>39.75</v>
      </c>
    </row>
    <row r="61" spans="1:25" x14ac:dyDescent="0.2">
      <c r="A61" s="23" t="s">
        <v>101</v>
      </c>
      <c r="B61">
        <v>3</v>
      </c>
      <c r="C61" s="23" t="s">
        <v>112</v>
      </c>
      <c r="D61">
        <v>304</v>
      </c>
      <c r="E61" s="130">
        <v>100</v>
      </c>
      <c r="F61" s="130">
        <v>100</v>
      </c>
      <c r="G61" s="130">
        <v>50</v>
      </c>
      <c r="H61" s="130">
        <v>100</v>
      </c>
      <c r="I61" s="130">
        <v>100</v>
      </c>
      <c r="J61" s="130">
        <v>70</v>
      </c>
      <c r="K61" s="130">
        <v>100</v>
      </c>
      <c r="L61" s="130">
        <v>95</v>
      </c>
      <c r="M61" s="130">
        <v>0</v>
      </c>
      <c r="N61" s="130">
        <v>0</v>
      </c>
      <c r="O61" s="130">
        <v>0</v>
      </c>
      <c r="P61" s="130">
        <v>85</v>
      </c>
      <c r="Q61" s="130">
        <v>70</v>
      </c>
      <c r="R61" s="130">
        <v>0</v>
      </c>
      <c r="S61" s="130">
        <v>0</v>
      </c>
      <c r="T61" s="130">
        <v>0</v>
      </c>
      <c r="U61" s="130">
        <v>0</v>
      </c>
      <c r="V61" s="130">
        <v>0</v>
      </c>
      <c r="W61" s="130">
        <v>0</v>
      </c>
      <c r="X61" s="130">
        <v>0</v>
      </c>
      <c r="Y61" s="131">
        <f t="shared" si="0"/>
        <v>43.5</v>
      </c>
    </row>
    <row r="62" spans="1:25" x14ac:dyDescent="0.2">
      <c r="A62" s="23" t="s">
        <v>101</v>
      </c>
      <c r="B62">
        <v>3</v>
      </c>
      <c r="C62" s="23" t="s">
        <v>112</v>
      </c>
      <c r="D62">
        <v>305</v>
      </c>
      <c r="E62" s="130">
        <v>100</v>
      </c>
      <c r="F62" s="130">
        <v>100</v>
      </c>
      <c r="G62" s="130">
        <v>100</v>
      </c>
      <c r="H62" s="130">
        <v>100</v>
      </c>
      <c r="I62" s="130">
        <v>100</v>
      </c>
      <c r="J62" s="130">
        <v>90</v>
      </c>
      <c r="K62" s="130">
        <v>100</v>
      </c>
      <c r="L62" s="130">
        <v>100</v>
      </c>
      <c r="M62" s="130">
        <v>100</v>
      </c>
      <c r="N62" s="130">
        <v>0</v>
      </c>
      <c r="O62" s="130">
        <v>80</v>
      </c>
      <c r="P62" s="130">
        <v>50</v>
      </c>
      <c r="Q62" s="130">
        <v>70</v>
      </c>
      <c r="R62" s="130">
        <v>80</v>
      </c>
      <c r="S62" s="130">
        <v>100</v>
      </c>
      <c r="T62" s="130">
        <v>0</v>
      </c>
      <c r="U62" s="130">
        <v>100</v>
      </c>
      <c r="V62" s="130">
        <v>100</v>
      </c>
      <c r="W62" s="130">
        <v>100</v>
      </c>
      <c r="X62" s="130">
        <v>100</v>
      </c>
      <c r="Y62" s="131">
        <f t="shared" si="0"/>
        <v>83.5</v>
      </c>
    </row>
    <row r="63" spans="1:25" x14ac:dyDescent="0.2">
      <c r="A63" s="23" t="s">
        <v>101</v>
      </c>
      <c r="B63">
        <v>3</v>
      </c>
      <c r="C63" s="23" t="s">
        <v>112</v>
      </c>
      <c r="D63">
        <v>306</v>
      </c>
      <c r="E63" s="130">
        <v>100</v>
      </c>
      <c r="F63" s="130">
        <v>100</v>
      </c>
      <c r="G63" s="130">
        <v>50</v>
      </c>
      <c r="H63" s="130">
        <v>100</v>
      </c>
      <c r="I63" s="130">
        <v>100</v>
      </c>
      <c r="J63" s="130">
        <v>80</v>
      </c>
      <c r="K63" s="130">
        <v>100</v>
      </c>
      <c r="L63" s="130">
        <v>100</v>
      </c>
      <c r="M63" s="130">
        <v>0</v>
      </c>
      <c r="N63" s="130">
        <v>0</v>
      </c>
      <c r="O63" s="130">
        <v>0</v>
      </c>
      <c r="P63" s="130">
        <v>85</v>
      </c>
      <c r="Q63" s="130">
        <v>45</v>
      </c>
      <c r="R63" s="130">
        <v>0</v>
      </c>
      <c r="S63" s="130">
        <v>0</v>
      </c>
      <c r="T63" s="130">
        <v>0</v>
      </c>
      <c r="U63" s="130">
        <v>0</v>
      </c>
      <c r="V63" s="130">
        <v>0</v>
      </c>
      <c r="W63" s="130">
        <v>0</v>
      </c>
      <c r="X63" s="130">
        <v>0</v>
      </c>
      <c r="Y63" s="131">
        <f t="shared" si="0"/>
        <v>43</v>
      </c>
    </row>
    <row r="64" spans="1:25" x14ac:dyDescent="0.2">
      <c r="A64" s="23" t="s">
        <v>101</v>
      </c>
      <c r="B64">
        <v>3</v>
      </c>
      <c r="C64" s="23" t="s">
        <v>112</v>
      </c>
      <c r="D64">
        <v>307</v>
      </c>
      <c r="E64" s="130">
        <v>100</v>
      </c>
      <c r="F64" s="130">
        <v>100</v>
      </c>
      <c r="G64" s="130">
        <v>50</v>
      </c>
      <c r="H64" s="130">
        <v>100</v>
      </c>
      <c r="I64" s="130">
        <v>100</v>
      </c>
      <c r="J64" s="130">
        <v>70</v>
      </c>
      <c r="K64" s="130">
        <v>100</v>
      </c>
      <c r="L64" s="130">
        <v>100</v>
      </c>
      <c r="M64" s="130">
        <v>0</v>
      </c>
      <c r="N64" s="130">
        <v>0</v>
      </c>
      <c r="O64" s="130">
        <v>0</v>
      </c>
      <c r="P64" s="130">
        <v>90</v>
      </c>
      <c r="Q64" s="130">
        <v>85</v>
      </c>
      <c r="R64" s="130">
        <v>0</v>
      </c>
      <c r="S64" s="130">
        <v>0</v>
      </c>
      <c r="T64" s="130">
        <v>0</v>
      </c>
      <c r="U64" s="130">
        <v>0</v>
      </c>
      <c r="V64" s="130">
        <v>0</v>
      </c>
      <c r="W64" s="130">
        <v>0</v>
      </c>
      <c r="X64" s="130">
        <v>0</v>
      </c>
      <c r="Y64" s="131">
        <f t="shared" si="0"/>
        <v>44.75</v>
      </c>
    </row>
    <row r="65" spans="1:25" x14ac:dyDescent="0.2">
      <c r="A65" s="23" t="s">
        <v>101</v>
      </c>
      <c r="B65">
        <v>3</v>
      </c>
      <c r="C65" s="23" t="s">
        <v>112</v>
      </c>
      <c r="D65">
        <v>308</v>
      </c>
      <c r="E65" s="130">
        <v>100</v>
      </c>
      <c r="F65" s="130">
        <v>100</v>
      </c>
      <c r="G65" s="130">
        <v>50</v>
      </c>
      <c r="H65" s="130">
        <v>100</v>
      </c>
      <c r="I65" s="130">
        <v>100</v>
      </c>
      <c r="J65" s="130">
        <v>70</v>
      </c>
      <c r="K65" s="130">
        <v>100</v>
      </c>
      <c r="L65" s="130">
        <v>95</v>
      </c>
      <c r="M65" s="130">
        <v>0</v>
      </c>
      <c r="N65" s="130">
        <v>0</v>
      </c>
      <c r="O65" s="130">
        <v>0</v>
      </c>
      <c r="P65" s="130">
        <v>40</v>
      </c>
      <c r="Q65" s="130">
        <v>85</v>
      </c>
      <c r="R65" s="130">
        <v>0</v>
      </c>
      <c r="S65" s="130">
        <v>0</v>
      </c>
      <c r="T65" s="130">
        <v>0</v>
      </c>
      <c r="U65" s="130">
        <v>0</v>
      </c>
      <c r="V65" s="130">
        <v>0</v>
      </c>
      <c r="W65" s="130">
        <v>0</v>
      </c>
      <c r="X65" s="130">
        <v>0</v>
      </c>
      <c r="Y65" s="131">
        <f t="shared" si="0"/>
        <v>42</v>
      </c>
    </row>
    <row r="66" spans="1:25" x14ac:dyDescent="0.2">
      <c r="A66" s="23" t="s">
        <v>101</v>
      </c>
      <c r="B66">
        <v>3</v>
      </c>
      <c r="C66" s="23" t="s">
        <v>112</v>
      </c>
      <c r="D66">
        <v>309</v>
      </c>
      <c r="E66" s="130">
        <v>100</v>
      </c>
      <c r="F66" s="130">
        <v>100</v>
      </c>
      <c r="G66" s="130">
        <v>50</v>
      </c>
      <c r="H66" s="130">
        <v>100</v>
      </c>
      <c r="I66" s="130">
        <v>100</v>
      </c>
      <c r="J66" s="130">
        <v>100</v>
      </c>
      <c r="K66" s="130">
        <v>100</v>
      </c>
      <c r="L66" s="130">
        <v>95</v>
      </c>
      <c r="M66" s="130">
        <v>0</v>
      </c>
      <c r="N66" s="130">
        <v>0</v>
      </c>
      <c r="O66" s="130">
        <v>0</v>
      </c>
      <c r="P66" s="130">
        <v>45</v>
      </c>
      <c r="Q66" s="130">
        <v>85</v>
      </c>
      <c r="R66" s="130">
        <v>0</v>
      </c>
      <c r="S66" s="130">
        <v>0</v>
      </c>
      <c r="T66" s="130">
        <v>0</v>
      </c>
      <c r="U66" s="130">
        <v>0</v>
      </c>
      <c r="V66" s="130">
        <v>0</v>
      </c>
      <c r="W66" s="130">
        <v>0</v>
      </c>
      <c r="X66" s="130">
        <v>0</v>
      </c>
      <c r="Y66" s="131">
        <f t="shared" ref="Y66:Y129" si="3">AVERAGE(E66:X66)</f>
        <v>43.75</v>
      </c>
    </row>
    <row r="67" spans="1:25" x14ac:dyDescent="0.2">
      <c r="A67" s="23" t="s">
        <v>101</v>
      </c>
      <c r="B67">
        <v>3</v>
      </c>
      <c r="C67" s="23" t="s">
        <v>112</v>
      </c>
      <c r="D67">
        <v>310</v>
      </c>
      <c r="E67" s="130">
        <v>100</v>
      </c>
      <c r="F67" s="130">
        <v>100</v>
      </c>
      <c r="G67" s="130">
        <v>50</v>
      </c>
      <c r="H67" s="130">
        <v>100</v>
      </c>
      <c r="I67" s="130">
        <v>100</v>
      </c>
      <c r="J67" s="130">
        <v>70</v>
      </c>
      <c r="K67" s="130">
        <v>100</v>
      </c>
      <c r="L67" s="130">
        <v>95</v>
      </c>
      <c r="M67" s="130">
        <v>0</v>
      </c>
      <c r="N67" s="130">
        <v>0</v>
      </c>
      <c r="O67" s="130">
        <v>0</v>
      </c>
      <c r="P67" s="130">
        <v>85</v>
      </c>
      <c r="Q67" s="130">
        <v>80</v>
      </c>
      <c r="R67" s="130">
        <v>0</v>
      </c>
      <c r="S67" s="130">
        <v>0</v>
      </c>
      <c r="T67" s="130">
        <v>0</v>
      </c>
      <c r="U67" s="130">
        <v>0</v>
      </c>
      <c r="V67" s="130">
        <v>0</v>
      </c>
      <c r="W67" s="130">
        <v>0</v>
      </c>
      <c r="X67" s="130">
        <v>0</v>
      </c>
      <c r="Y67" s="131">
        <f t="shared" si="3"/>
        <v>44</v>
      </c>
    </row>
    <row r="68" spans="1:25" x14ac:dyDescent="0.2">
      <c r="A68" s="23" t="s">
        <v>101</v>
      </c>
      <c r="B68">
        <v>3</v>
      </c>
      <c r="C68" s="23" t="s">
        <v>112</v>
      </c>
      <c r="D68">
        <v>311</v>
      </c>
      <c r="E68" s="130">
        <v>100</v>
      </c>
      <c r="F68" s="130">
        <v>100</v>
      </c>
      <c r="G68" s="130">
        <v>50</v>
      </c>
      <c r="H68" s="130">
        <v>100</v>
      </c>
      <c r="I68" s="130">
        <v>100</v>
      </c>
      <c r="J68" s="130">
        <v>70</v>
      </c>
      <c r="K68" s="130">
        <v>100</v>
      </c>
      <c r="L68" s="130">
        <v>95</v>
      </c>
      <c r="M68" s="130">
        <v>0</v>
      </c>
      <c r="N68" s="130">
        <v>0</v>
      </c>
      <c r="O68" s="130">
        <v>0</v>
      </c>
      <c r="P68" s="130">
        <v>0</v>
      </c>
      <c r="Q68" s="130">
        <v>80</v>
      </c>
      <c r="R68" s="130">
        <v>0</v>
      </c>
      <c r="S68" s="130">
        <v>0</v>
      </c>
      <c r="T68" s="130">
        <v>0</v>
      </c>
      <c r="U68" s="130">
        <v>0</v>
      </c>
      <c r="V68" s="130">
        <v>0</v>
      </c>
      <c r="W68" s="130">
        <v>0</v>
      </c>
      <c r="X68" s="130">
        <v>0</v>
      </c>
      <c r="Y68" s="131">
        <f t="shared" si="3"/>
        <v>39.75</v>
      </c>
    </row>
    <row r="69" spans="1:25" x14ac:dyDescent="0.2">
      <c r="A69" s="23" t="s">
        <v>101</v>
      </c>
      <c r="B69">
        <v>3</v>
      </c>
      <c r="C69" s="23" t="s">
        <v>112</v>
      </c>
      <c r="D69">
        <v>312</v>
      </c>
      <c r="E69" s="130">
        <v>100</v>
      </c>
      <c r="F69" s="130">
        <v>100</v>
      </c>
      <c r="G69" s="130">
        <v>50</v>
      </c>
      <c r="H69" s="130">
        <v>100</v>
      </c>
      <c r="I69" s="130">
        <v>100</v>
      </c>
      <c r="J69" s="130">
        <v>100</v>
      </c>
      <c r="K69" s="130">
        <v>100</v>
      </c>
      <c r="L69" s="130">
        <v>95</v>
      </c>
      <c r="M69" s="130">
        <v>0</v>
      </c>
      <c r="N69" s="130">
        <v>0</v>
      </c>
      <c r="O69" s="130">
        <v>0</v>
      </c>
      <c r="P69" s="130">
        <v>80</v>
      </c>
      <c r="Q69" s="130">
        <v>100</v>
      </c>
      <c r="R69" s="130">
        <v>0</v>
      </c>
      <c r="S69" s="130">
        <v>0</v>
      </c>
      <c r="T69" s="130">
        <v>0</v>
      </c>
      <c r="U69" s="130">
        <v>0</v>
      </c>
      <c r="V69" s="130">
        <v>0</v>
      </c>
      <c r="W69" s="130">
        <v>0</v>
      </c>
      <c r="X69" s="130">
        <v>0</v>
      </c>
      <c r="Y69" s="131">
        <f t="shared" si="3"/>
        <v>46.25</v>
      </c>
    </row>
    <row r="70" spans="1:25" x14ac:dyDescent="0.2">
      <c r="A70" s="23" t="s">
        <v>101</v>
      </c>
      <c r="B70">
        <v>3</v>
      </c>
      <c r="C70" s="23" t="s">
        <v>112</v>
      </c>
      <c r="D70">
        <v>313</v>
      </c>
      <c r="E70" s="130">
        <v>100</v>
      </c>
      <c r="F70" s="130">
        <v>100</v>
      </c>
      <c r="G70" s="130">
        <v>50</v>
      </c>
      <c r="H70" s="130">
        <v>100</v>
      </c>
      <c r="I70" s="130">
        <v>100</v>
      </c>
      <c r="J70" s="130">
        <v>70</v>
      </c>
      <c r="K70" s="130">
        <v>100</v>
      </c>
      <c r="L70" s="130">
        <v>95</v>
      </c>
      <c r="M70" s="130">
        <v>0</v>
      </c>
      <c r="N70" s="130">
        <v>0</v>
      </c>
      <c r="O70" s="130">
        <v>0</v>
      </c>
      <c r="P70" s="130">
        <v>0</v>
      </c>
      <c r="Q70" s="130">
        <v>100</v>
      </c>
      <c r="R70" s="130">
        <v>0</v>
      </c>
      <c r="S70" s="130">
        <v>0</v>
      </c>
      <c r="T70" s="130">
        <v>0</v>
      </c>
      <c r="U70" s="130">
        <v>0</v>
      </c>
      <c r="V70" s="130">
        <v>0</v>
      </c>
      <c r="W70" s="130">
        <v>0</v>
      </c>
      <c r="X70" s="130">
        <v>0</v>
      </c>
      <c r="Y70" s="131">
        <f t="shared" si="3"/>
        <v>40.75</v>
      </c>
    </row>
    <row r="71" spans="1:25" x14ac:dyDescent="0.2">
      <c r="A71" s="23" t="s">
        <v>101</v>
      </c>
      <c r="B71">
        <v>3</v>
      </c>
      <c r="C71" s="23" t="s">
        <v>112</v>
      </c>
      <c r="D71">
        <v>314</v>
      </c>
      <c r="E71" s="130">
        <v>100</v>
      </c>
      <c r="F71" s="130">
        <v>100</v>
      </c>
      <c r="G71" s="130">
        <v>50</v>
      </c>
      <c r="H71" s="130">
        <v>100</v>
      </c>
      <c r="I71" s="130">
        <v>100</v>
      </c>
      <c r="J71" s="130">
        <v>80</v>
      </c>
      <c r="K71" s="130">
        <v>100</v>
      </c>
      <c r="L71" s="130">
        <v>95</v>
      </c>
      <c r="M71" s="130">
        <v>0</v>
      </c>
      <c r="N71" s="130">
        <v>0</v>
      </c>
      <c r="O71" s="130">
        <v>0</v>
      </c>
      <c r="P71" s="130">
        <v>0</v>
      </c>
      <c r="Q71" s="130">
        <v>90</v>
      </c>
      <c r="R71" s="130">
        <v>0</v>
      </c>
      <c r="S71" s="130">
        <v>0</v>
      </c>
      <c r="T71" s="130">
        <v>0</v>
      </c>
      <c r="U71" s="130">
        <v>0</v>
      </c>
      <c r="V71" s="130">
        <v>0</v>
      </c>
      <c r="W71" s="130">
        <v>0</v>
      </c>
      <c r="X71" s="130">
        <v>0</v>
      </c>
      <c r="Y71" s="131">
        <f t="shared" si="3"/>
        <v>40.75</v>
      </c>
    </row>
    <row r="72" spans="1:25" x14ac:dyDescent="0.2">
      <c r="A72" s="23" t="s">
        <v>101</v>
      </c>
      <c r="B72">
        <v>3</v>
      </c>
      <c r="C72" s="23" t="s">
        <v>112</v>
      </c>
      <c r="D72">
        <v>315</v>
      </c>
      <c r="E72" s="130">
        <v>0</v>
      </c>
      <c r="F72" s="130">
        <v>0</v>
      </c>
      <c r="G72" s="130">
        <v>0</v>
      </c>
      <c r="H72" s="130">
        <v>0</v>
      </c>
      <c r="I72" s="130">
        <v>0</v>
      </c>
      <c r="J72" s="130">
        <v>0</v>
      </c>
      <c r="K72" s="130">
        <v>0</v>
      </c>
      <c r="L72" s="130">
        <v>0</v>
      </c>
      <c r="M72" s="130">
        <v>0</v>
      </c>
      <c r="N72" s="130">
        <v>0</v>
      </c>
      <c r="O72" s="130">
        <v>0</v>
      </c>
      <c r="P72" s="130">
        <v>0</v>
      </c>
      <c r="Q72" s="130">
        <v>0</v>
      </c>
      <c r="R72" s="130">
        <v>0</v>
      </c>
      <c r="S72" s="130">
        <v>0</v>
      </c>
      <c r="T72" s="130">
        <v>0</v>
      </c>
      <c r="U72" s="130">
        <v>0</v>
      </c>
      <c r="V72" s="130">
        <v>0</v>
      </c>
      <c r="W72" s="130">
        <v>0</v>
      </c>
      <c r="X72" s="130">
        <v>0</v>
      </c>
      <c r="Y72" s="131">
        <f t="shared" si="3"/>
        <v>0</v>
      </c>
    </row>
    <row r="73" spans="1:25" x14ac:dyDescent="0.2">
      <c r="A73" s="23" t="s">
        <v>101</v>
      </c>
      <c r="B73">
        <v>3</v>
      </c>
      <c r="C73" s="23" t="s">
        <v>112</v>
      </c>
      <c r="D73">
        <v>316</v>
      </c>
      <c r="E73" s="130">
        <v>0</v>
      </c>
      <c r="F73" s="130">
        <v>0</v>
      </c>
      <c r="G73" s="130">
        <v>0</v>
      </c>
      <c r="H73" s="130">
        <v>0</v>
      </c>
      <c r="I73" s="130">
        <v>0</v>
      </c>
      <c r="J73" s="130">
        <v>0</v>
      </c>
      <c r="K73" s="130">
        <v>0</v>
      </c>
      <c r="L73" s="130">
        <v>0</v>
      </c>
      <c r="M73" s="130">
        <v>0</v>
      </c>
      <c r="N73" s="130">
        <v>0</v>
      </c>
      <c r="O73" s="130">
        <v>0</v>
      </c>
      <c r="P73" s="130">
        <v>0</v>
      </c>
      <c r="Q73" s="130">
        <v>0</v>
      </c>
      <c r="R73" s="130">
        <v>0</v>
      </c>
      <c r="S73" s="130">
        <v>0</v>
      </c>
      <c r="T73" s="130">
        <v>0</v>
      </c>
      <c r="U73" s="130">
        <v>0</v>
      </c>
      <c r="V73" s="130">
        <v>0</v>
      </c>
      <c r="W73" s="130">
        <v>0</v>
      </c>
      <c r="X73" s="130">
        <v>0</v>
      </c>
      <c r="Y73" s="131">
        <f t="shared" si="3"/>
        <v>0</v>
      </c>
    </row>
    <row r="74" spans="1:25" x14ac:dyDescent="0.2">
      <c r="A74" s="23" t="s">
        <v>101</v>
      </c>
      <c r="B74">
        <v>3</v>
      </c>
      <c r="C74" s="23" t="s">
        <v>112</v>
      </c>
      <c r="D74">
        <v>317</v>
      </c>
      <c r="E74" s="130">
        <v>0</v>
      </c>
      <c r="F74" s="130">
        <v>0</v>
      </c>
      <c r="G74" s="130">
        <v>0</v>
      </c>
      <c r="H74" s="130">
        <v>0</v>
      </c>
      <c r="I74" s="130">
        <v>0</v>
      </c>
      <c r="J74" s="130">
        <v>0</v>
      </c>
      <c r="K74" s="130">
        <v>0</v>
      </c>
      <c r="L74" s="130">
        <v>0</v>
      </c>
      <c r="M74" s="130">
        <v>0</v>
      </c>
      <c r="N74" s="130">
        <v>0</v>
      </c>
      <c r="O74" s="130">
        <v>0</v>
      </c>
      <c r="P74" s="130">
        <v>0</v>
      </c>
      <c r="Q74" s="130">
        <v>0</v>
      </c>
      <c r="R74" s="130">
        <v>0</v>
      </c>
      <c r="S74" s="130">
        <v>0</v>
      </c>
      <c r="T74" s="130">
        <v>0</v>
      </c>
      <c r="U74" s="130">
        <v>0</v>
      </c>
      <c r="V74" s="130">
        <v>0</v>
      </c>
      <c r="W74" s="130">
        <v>0</v>
      </c>
      <c r="X74" s="130">
        <v>0</v>
      </c>
      <c r="Y74" s="131">
        <f t="shared" si="3"/>
        <v>0</v>
      </c>
    </row>
    <row r="75" spans="1:25" x14ac:dyDescent="0.2">
      <c r="A75" s="23" t="s">
        <v>101</v>
      </c>
      <c r="B75">
        <v>3</v>
      </c>
      <c r="C75" s="23" t="s">
        <v>112</v>
      </c>
      <c r="D75">
        <v>318</v>
      </c>
      <c r="E75" s="130">
        <v>0</v>
      </c>
      <c r="F75" s="130">
        <v>0</v>
      </c>
      <c r="G75" s="130">
        <v>0</v>
      </c>
      <c r="H75" s="130">
        <v>0</v>
      </c>
      <c r="I75" s="130">
        <v>0</v>
      </c>
      <c r="J75" s="130">
        <v>0</v>
      </c>
      <c r="K75" s="130">
        <v>0</v>
      </c>
      <c r="L75" s="130">
        <v>0</v>
      </c>
      <c r="M75" s="130">
        <v>0</v>
      </c>
      <c r="N75" s="130">
        <v>0</v>
      </c>
      <c r="O75" s="130">
        <v>0</v>
      </c>
      <c r="P75" s="130">
        <v>0</v>
      </c>
      <c r="Q75" s="130">
        <v>0</v>
      </c>
      <c r="R75" s="130">
        <v>0</v>
      </c>
      <c r="S75" s="130">
        <v>0</v>
      </c>
      <c r="T75" s="130">
        <v>0</v>
      </c>
      <c r="U75" s="130">
        <v>0</v>
      </c>
      <c r="V75" s="130">
        <v>0</v>
      </c>
      <c r="W75" s="130">
        <v>0</v>
      </c>
      <c r="X75" s="130">
        <v>0</v>
      </c>
      <c r="Y75" s="131">
        <f t="shared" si="3"/>
        <v>0</v>
      </c>
    </row>
    <row r="76" spans="1:25" x14ac:dyDescent="0.2">
      <c r="A76" s="23" t="s">
        <v>101</v>
      </c>
      <c r="B76">
        <v>3</v>
      </c>
      <c r="C76" s="23" t="s">
        <v>112</v>
      </c>
      <c r="D76">
        <v>319</v>
      </c>
      <c r="E76" s="130">
        <v>0</v>
      </c>
      <c r="F76" s="130">
        <v>0</v>
      </c>
      <c r="G76" s="130">
        <v>0</v>
      </c>
      <c r="H76" s="130">
        <v>0</v>
      </c>
      <c r="I76" s="130">
        <v>0</v>
      </c>
      <c r="J76" s="130">
        <v>0</v>
      </c>
      <c r="K76" s="130">
        <v>0</v>
      </c>
      <c r="L76" s="130">
        <v>0</v>
      </c>
      <c r="M76" s="130">
        <v>0</v>
      </c>
      <c r="N76" s="130">
        <v>0</v>
      </c>
      <c r="O76" s="130">
        <v>0</v>
      </c>
      <c r="P76" s="130">
        <v>0</v>
      </c>
      <c r="Q76" s="130">
        <v>0</v>
      </c>
      <c r="R76" s="130">
        <v>0</v>
      </c>
      <c r="S76" s="130">
        <v>0</v>
      </c>
      <c r="T76" s="130">
        <v>0</v>
      </c>
      <c r="U76" s="130">
        <v>0</v>
      </c>
      <c r="V76" s="130">
        <v>0</v>
      </c>
      <c r="W76" s="130">
        <v>0</v>
      </c>
      <c r="X76" s="130">
        <v>0</v>
      </c>
      <c r="Y76" s="131">
        <f t="shared" si="3"/>
        <v>0</v>
      </c>
    </row>
    <row r="77" spans="1:25" x14ac:dyDescent="0.2">
      <c r="A77" s="23" t="s">
        <v>101</v>
      </c>
      <c r="B77">
        <v>3</v>
      </c>
      <c r="C77" s="23" t="s">
        <v>112</v>
      </c>
      <c r="D77">
        <v>320</v>
      </c>
      <c r="E77" s="130">
        <v>0</v>
      </c>
      <c r="F77" s="130">
        <v>0</v>
      </c>
      <c r="G77" s="130">
        <v>0</v>
      </c>
      <c r="H77" s="130">
        <v>0</v>
      </c>
      <c r="I77" s="130">
        <v>0</v>
      </c>
      <c r="J77" s="130">
        <v>0</v>
      </c>
      <c r="K77" s="130">
        <v>0</v>
      </c>
      <c r="L77" s="130">
        <v>0</v>
      </c>
      <c r="M77" s="130">
        <v>0</v>
      </c>
      <c r="N77" s="130">
        <v>0</v>
      </c>
      <c r="O77" s="130">
        <v>0</v>
      </c>
      <c r="P77" s="130">
        <v>0</v>
      </c>
      <c r="Q77" s="130">
        <v>0</v>
      </c>
      <c r="R77" s="130">
        <v>0</v>
      </c>
      <c r="S77" s="130">
        <v>0</v>
      </c>
      <c r="T77" s="130">
        <v>0</v>
      </c>
      <c r="U77" s="130">
        <v>0</v>
      </c>
      <c r="V77" s="130">
        <v>0</v>
      </c>
      <c r="W77" s="130">
        <v>0</v>
      </c>
      <c r="X77" s="130">
        <v>0</v>
      </c>
      <c r="Y77" s="131">
        <f t="shared" si="3"/>
        <v>0</v>
      </c>
    </row>
    <row r="78" spans="1:25" x14ac:dyDescent="0.2">
      <c r="A78" s="23" t="s">
        <v>101</v>
      </c>
      <c r="B78">
        <v>3</v>
      </c>
      <c r="C78" s="23" t="s">
        <v>112</v>
      </c>
      <c r="D78">
        <v>321</v>
      </c>
      <c r="E78" s="130">
        <v>0</v>
      </c>
      <c r="F78" s="130">
        <v>0</v>
      </c>
      <c r="G78" s="130">
        <v>0</v>
      </c>
      <c r="H78" s="130">
        <v>0</v>
      </c>
      <c r="I78" s="130">
        <v>0</v>
      </c>
      <c r="J78" s="130">
        <v>0</v>
      </c>
      <c r="K78" s="130">
        <v>0</v>
      </c>
      <c r="L78" s="130">
        <v>0</v>
      </c>
      <c r="M78" s="130">
        <v>0</v>
      </c>
      <c r="N78" s="130">
        <v>0</v>
      </c>
      <c r="O78" s="130">
        <v>0</v>
      </c>
      <c r="P78" s="130">
        <v>0</v>
      </c>
      <c r="Q78" s="130">
        <v>0</v>
      </c>
      <c r="R78" s="130">
        <v>0</v>
      </c>
      <c r="S78" s="130">
        <v>0</v>
      </c>
      <c r="T78" s="130">
        <v>0</v>
      </c>
      <c r="U78" s="130">
        <v>0</v>
      </c>
      <c r="V78" s="130">
        <v>0</v>
      </c>
      <c r="W78" s="130">
        <v>0</v>
      </c>
      <c r="X78" s="130">
        <v>0</v>
      </c>
      <c r="Y78" s="131">
        <f t="shared" si="3"/>
        <v>0</v>
      </c>
    </row>
    <row r="79" spans="1:25" x14ac:dyDescent="0.2">
      <c r="A79" s="23" t="s">
        <v>101</v>
      </c>
      <c r="B79">
        <v>3</v>
      </c>
      <c r="C79" s="23" t="s">
        <v>112</v>
      </c>
      <c r="D79">
        <v>322</v>
      </c>
      <c r="E79" s="130">
        <v>0</v>
      </c>
      <c r="F79" s="130">
        <v>0</v>
      </c>
      <c r="G79" s="130">
        <v>0</v>
      </c>
      <c r="H79" s="130">
        <v>0</v>
      </c>
      <c r="I79" s="130">
        <v>0</v>
      </c>
      <c r="J79" s="130">
        <v>0</v>
      </c>
      <c r="K79" s="130">
        <v>0</v>
      </c>
      <c r="L79" s="130">
        <v>0</v>
      </c>
      <c r="M79" s="130">
        <v>0</v>
      </c>
      <c r="N79" s="130">
        <v>0</v>
      </c>
      <c r="O79" s="130">
        <v>0</v>
      </c>
      <c r="P79" s="130">
        <v>0</v>
      </c>
      <c r="Q79" s="130">
        <v>0</v>
      </c>
      <c r="R79" s="130">
        <v>0</v>
      </c>
      <c r="S79" s="130">
        <v>0</v>
      </c>
      <c r="T79" s="130">
        <v>0</v>
      </c>
      <c r="U79" s="130">
        <v>0</v>
      </c>
      <c r="V79" s="130">
        <v>0</v>
      </c>
      <c r="W79" s="130">
        <v>0</v>
      </c>
      <c r="X79" s="130">
        <v>0</v>
      </c>
      <c r="Y79" s="131">
        <f t="shared" si="3"/>
        <v>0</v>
      </c>
    </row>
    <row r="80" spans="1:25" x14ac:dyDescent="0.2">
      <c r="A80" s="23" t="s">
        <v>101</v>
      </c>
      <c r="B80">
        <v>3</v>
      </c>
      <c r="C80" s="23" t="s">
        <v>112</v>
      </c>
      <c r="D80">
        <v>323</v>
      </c>
      <c r="E80" s="130">
        <v>0</v>
      </c>
      <c r="F80" s="130">
        <v>0</v>
      </c>
      <c r="G80" s="130">
        <v>0</v>
      </c>
      <c r="H80" s="130">
        <v>0</v>
      </c>
      <c r="I80" s="130">
        <v>0</v>
      </c>
      <c r="J80" s="130">
        <v>0</v>
      </c>
      <c r="K80" s="130">
        <v>0</v>
      </c>
      <c r="L80" s="130">
        <v>0</v>
      </c>
      <c r="M80" s="130">
        <v>0</v>
      </c>
      <c r="N80" s="130">
        <v>0</v>
      </c>
      <c r="O80" s="130">
        <v>0</v>
      </c>
      <c r="P80" s="130">
        <v>0</v>
      </c>
      <c r="Q80" s="130">
        <v>0</v>
      </c>
      <c r="R80" s="130">
        <v>0</v>
      </c>
      <c r="S80" s="130">
        <v>0</v>
      </c>
      <c r="T80" s="130">
        <v>0</v>
      </c>
      <c r="U80" s="130">
        <v>0</v>
      </c>
      <c r="V80" s="130">
        <v>0</v>
      </c>
      <c r="W80" s="130">
        <v>0</v>
      </c>
      <c r="X80" s="130">
        <v>0</v>
      </c>
      <c r="Y80" s="131">
        <f t="shared" si="3"/>
        <v>0</v>
      </c>
    </row>
    <row r="81" spans="1:25" x14ac:dyDescent="0.2">
      <c r="A81" s="23" t="s">
        <v>101</v>
      </c>
      <c r="B81">
        <v>3</v>
      </c>
      <c r="C81" s="23" t="s">
        <v>111</v>
      </c>
      <c r="D81">
        <v>301</v>
      </c>
      <c r="E81" s="130">
        <v>100</v>
      </c>
      <c r="F81" s="130">
        <v>100</v>
      </c>
      <c r="G81" s="130">
        <v>100</v>
      </c>
      <c r="H81" s="130">
        <v>100</v>
      </c>
      <c r="I81" s="130">
        <v>100</v>
      </c>
      <c r="J81" s="130">
        <v>100</v>
      </c>
      <c r="K81" s="130">
        <v>100</v>
      </c>
      <c r="L81" s="130">
        <v>100</v>
      </c>
      <c r="M81" s="130">
        <v>100</v>
      </c>
      <c r="N81" s="130">
        <v>0</v>
      </c>
      <c r="O81" s="130">
        <v>0</v>
      </c>
      <c r="P81" s="130">
        <v>100</v>
      </c>
      <c r="Q81" s="130">
        <v>85</v>
      </c>
      <c r="R81" s="130">
        <v>0</v>
      </c>
      <c r="S81" s="130">
        <v>0</v>
      </c>
      <c r="T81" s="130">
        <v>0</v>
      </c>
      <c r="U81" s="130">
        <v>0</v>
      </c>
      <c r="V81" s="130">
        <v>0</v>
      </c>
      <c r="W81" s="130">
        <v>0</v>
      </c>
      <c r="X81" s="130">
        <v>0</v>
      </c>
      <c r="Y81" s="131">
        <f t="shared" si="3"/>
        <v>54.25</v>
      </c>
    </row>
    <row r="82" spans="1:25" x14ac:dyDescent="0.2">
      <c r="A82" s="23" t="s">
        <v>101</v>
      </c>
      <c r="B82">
        <v>3</v>
      </c>
      <c r="C82" s="23" t="s">
        <v>111</v>
      </c>
      <c r="D82">
        <v>302</v>
      </c>
      <c r="E82" s="130">
        <v>100</v>
      </c>
      <c r="F82" s="130">
        <v>100</v>
      </c>
      <c r="G82" s="130">
        <v>100</v>
      </c>
      <c r="H82" s="130">
        <v>100</v>
      </c>
      <c r="I82" s="130">
        <v>100</v>
      </c>
      <c r="J82" s="130">
        <v>100</v>
      </c>
      <c r="K82" s="130">
        <v>100</v>
      </c>
      <c r="L82" s="130">
        <v>100</v>
      </c>
      <c r="M82" s="130">
        <v>95</v>
      </c>
      <c r="N82" s="130">
        <v>0</v>
      </c>
      <c r="O82" s="130">
        <v>0</v>
      </c>
      <c r="P82" s="130">
        <v>0</v>
      </c>
      <c r="Q82" s="130">
        <v>80</v>
      </c>
      <c r="R82" s="130">
        <v>0</v>
      </c>
      <c r="S82" s="130">
        <v>0</v>
      </c>
      <c r="T82" s="130">
        <v>0</v>
      </c>
      <c r="U82" s="130">
        <v>0</v>
      </c>
      <c r="V82" s="130">
        <v>0</v>
      </c>
      <c r="W82" s="130">
        <v>0</v>
      </c>
      <c r="X82" s="130">
        <v>0</v>
      </c>
      <c r="Y82" s="131">
        <f t="shared" si="3"/>
        <v>48.75</v>
      </c>
    </row>
    <row r="83" spans="1:25" x14ac:dyDescent="0.2">
      <c r="A83" s="23" t="s">
        <v>101</v>
      </c>
      <c r="B83">
        <v>3</v>
      </c>
      <c r="C83" s="23" t="s">
        <v>111</v>
      </c>
      <c r="D83">
        <v>303</v>
      </c>
      <c r="E83" s="130">
        <v>100</v>
      </c>
      <c r="F83" s="130">
        <v>100</v>
      </c>
      <c r="G83" s="130">
        <v>100</v>
      </c>
      <c r="H83" s="130">
        <v>100</v>
      </c>
      <c r="I83" s="130">
        <v>100</v>
      </c>
      <c r="J83" s="130">
        <v>100</v>
      </c>
      <c r="K83" s="130">
        <v>100</v>
      </c>
      <c r="L83" s="130">
        <v>100</v>
      </c>
      <c r="M83" s="130">
        <v>95</v>
      </c>
      <c r="N83" s="130">
        <v>0</v>
      </c>
      <c r="O83" s="130">
        <v>0</v>
      </c>
      <c r="P83" s="130">
        <v>0</v>
      </c>
      <c r="Q83" s="130">
        <v>85</v>
      </c>
      <c r="R83" s="130">
        <v>0</v>
      </c>
      <c r="S83" s="130">
        <v>0</v>
      </c>
      <c r="T83" s="130">
        <v>0</v>
      </c>
      <c r="U83" s="130">
        <v>0</v>
      </c>
      <c r="V83" s="130">
        <v>0</v>
      </c>
      <c r="W83" s="130">
        <v>0</v>
      </c>
      <c r="X83" s="130">
        <v>0</v>
      </c>
      <c r="Y83" s="131">
        <f t="shared" si="3"/>
        <v>49</v>
      </c>
    </row>
    <row r="84" spans="1:25" x14ac:dyDescent="0.2">
      <c r="A84" s="23" t="s">
        <v>101</v>
      </c>
      <c r="B84">
        <v>3</v>
      </c>
      <c r="C84" s="23" t="s">
        <v>111</v>
      </c>
      <c r="D84">
        <v>304</v>
      </c>
      <c r="E84" s="130">
        <v>100</v>
      </c>
      <c r="F84" s="130">
        <v>100</v>
      </c>
      <c r="G84" s="130">
        <v>100</v>
      </c>
      <c r="H84" s="130">
        <v>100</v>
      </c>
      <c r="I84" s="130">
        <v>100</v>
      </c>
      <c r="J84" s="130">
        <v>100</v>
      </c>
      <c r="K84" s="130">
        <v>100</v>
      </c>
      <c r="L84" s="130">
        <v>100</v>
      </c>
      <c r="M84" s="130">
        <v>95</v>
      </c>
      <c r="N84" s="130">
        <v>0</v>
      </c>
      <c r="O84" s="130">
        <v>0</v>
      </c>
      <c r="P84" s="130">
        <v>0</v>
      </c>
      <c r="Q84" s="130">
        <v>80</v>
      </c>
      <c r="R84" s="130">
        <v>0</v>
      </c>
      <c r="S84" s="130">
        <v>0</v>
      </c>
      <c r="T84" s="130">
        <v>0</v>
      </c>
      <c r="U84" s="130">
        <v>0</v>
      </c>
      <c r="V84" s="130">
        <v>0</v>
      </c>
      <c r="W84" s="130">
        <v>0</v>
      </c>
      <c r="X84" s="130">
        <v>0</v>
      </c>
      <c r="Y84" s="131">
        <f t="shared" si="3"/>
        <v>48.75</v>
      </c>
    </row>
    <row r="85" spans="1:25" x14ac:dyDescent="0.2">
      <c r="A85" s="23" t="s">
        <v>101</v>
      </c>
      <c r="B85">
        <v>3</v>
      </c>
      <c r="C85" s="23" t="s">
        <v>111</v>
      </c>
      <c r="D85">
        <v>305</v>
      </c>
      <c r="E85" s="130">
        <v>100</v>
      </c>
      <c r="F85" s="130">
        <v>100</v>
      </c>
      <c r="G85" s="130">
        <v>100</v>
      </c>
      <c r="H85" s="130">
        <v>100</v>
      </c>
      <c r="I85" s="130">
        <v>100</v>
      </c>
      <c r="J85" s="130">
        <v>100</v>
      </c>
      <c r="K85" s="130">
        <v>100</v>
      </c>
      <c r="L85" s="130">
        <v>100</v>
      </c>
      <c r="M85" s="130">
        <v>95</v>
      </c>
      <c r="N85" s="130">
        <v>5</v>
      </c>
      <c r="O85" s="130">
        <v>0</v>
      </c>
      <c r="P85" s="130">
        <v>0</v>
      </c>
      <c r="Q85" s="130">
        <v>80</v>
      </c>
      <c r="R85" s="130">
        <v>0</v>
      </c>
      <c r="S85" s="130">
        <v>0</v>
      </c>
      <c r="T85" s="130">
        <v>0</v>
      </c>
      <c r="U85" s="130">
        <v>0</v>
      </c>
      <c r="V85" s="130">
        <v>0</v>
      </c>
      <c r="W85" s="130">
        <v>0</v>
      </c>
      <c r="X85" s="130">
        <v>0</v>
      </c>
      <c r="Y85" s="131">
        <f t="shared" si="3"/>
        <v>49</v>
      </c>
    </row>
    <row r="86" spans="1:25" x14ac:dyDescent="0.2">
      <c r="A86" s="23" t="s">
        <v>101</v>
      </c>
      <c r="B86">
        <v>3</v>
      </c>
      <c r="C86" s="23" t="s">
        <v>111</v>
      </c>
      <c r="D86">
        <v>306</v>
      </c>
      <c r="E86" s="130">
        <v>100</v>
      </c>
      <c r="F86" s="130">
        <v>100</v>
      </c>
      <c r="G86" s="130">
        <v>100</v>
      </c>
      <c r="H86" s="130">
        <v>100</v>
      </c>
      <c r="I86" s="130">
        <v>100</v>
      </c>
      <c r="J86" s="130">
        <v>100</v>
      </c>
      <c r="K86" s="130">
        <v>100</v>
      </c>
      <c r="L86" s="130">
        <v>100</v>
      </c>
      <c r="M86" s="130">
        <v>95</v>
      </c>
      <c r="N86" s="130">
        <v>0</v>
      </c>
      <c r="O86" s="130">
        <v>0</v>
      </c>
      <c r="P86" s="130">
        <v>100</v>
      </c>
      <c r="Q86" s="130">
        <v>85</v>
      </c>
      <c r="R86" s="130">
        <v>0</v>
      </c>
      <c r="S86" s="130">
        <v>0</v>
      </c>
      <c r="T86" s="130">
        <v>0</v>
      </c>
      <c r="U86" s="130">
        <v>0</v>
      </c>
      <c r="V86" s="130">
        <v>0</v>
      </c>
      <c r="W86" s="130">
        <v>0</v>
      </c>
      <c r="X86" s="130">
        <v>0</v>
      </c>
      <c r="Y86" s="131">
        <f t="shared" si="3"/>
        <v>54</v>
      </c>
    </row>
    <row r="87" spans="1:25" x14ac:dyDescent="0.2">
      <c r="A87" s="23" t="s">
        <v>101</v>
      </c>
      <c r="B87">
        <v>3</v>
      </c>
      <c r="C87" s="23" t="s">
        <v>111</v>
      </c>
      <c r="D87">
        <v>307</v>
      </c>
      <c r="E87" s="130">
        <v>100</v>
      </c>
      <c r="F87" s="130">
        <v>100</v>
      </c>
      <c r="G87" s="130">
        <v>100</v>
      </c>
      <c r="H87" s="130">
        <v>100</v>
      </c>
      <c r="I87" s="130">
        <v>100</v>
      </c>
      <c r="J87" s="130">
        <v>100</v>
      </c>
      <c r="K87" s="130">
        <v>100</v>
      </c>
      <c r="L87" s="130">
        <v>100</v>
      </c>
      <c r="M87" s="130">
        <v>95</v>
      </c>
      <c r="N87" s="130">
        <v>0</v>
      </c>
      <c r="O87" s="130">
        <v>0</v>
      </c>
      <c r="P87" s="130">
        <v>100</v>
      </c>
      <c r="Q87" s="130">
        <v>90</v>
      </c>
      <c r="R87" s="130">
        <v>0</v>
      </c>
      <c r="S87" s="130">
        <v>0</v>
      </c>
      <c r="T87" s="130">
        <v>0</v>
      </c>
      <c r="U87" s="130">
        <v>0</v>
      </c>
      <c r="V87" s="130">
        <v>0</v>
      </c>
      <c r="W87" s="130">
        <v>0</v>
      </c>
      <c r="X87" s="130">
        <v>0</v>
      </c>
      <c r="Y87" s="131">
        <f t="shared" si="3"/>
        <v>54.25</v>
      </c>
    </row>
    <row r="88" spans="1:25" x14ac:dyDescent="0.2">
      <c r="A88" s="23" t="s">
        <v>101</v>
      </c>
      <c r="B88">
        <v>3</v>
      </c>
      <c r="C88" s="23" t="s">
        <v>111</v>
      </c>
      <c r="D88">
        <v>308</v>
      </c>
      <c r="E88" s="130">
        <v>100</v>
      </c>
      <c r="F88" s="130">
        <v>100</v>
      </c>
      <c r="G88" s="130">
        <v>100</v>
      </c>
      <c r="H88" s="130">
        <v>100</v>
      </c>
      <c r="I88" s="130">
        <v>100</v>
      </c>
      <c r="J88" s="130">
        <v>100</v>
      </c>
      <c r="K88" s="130">
        <v>100</v>
      </c>
      <c r="L88" s="130">
        <v>100</v>
      </c>
      <c r="M88" s="130">
        <v>95</v>
      </c>
      <c r="N88" s="130">
        <v>0</v>
      </c>
      <c r="O88" s="130">
        <v>0</v>
      </c>
      <c r="P88" s="130">
        <v>0</v>
      </c>
      <c r="Q88" s="130">
        <v>75</v>
      </c>
      <c r="R88" s="130">
        <v>0</v>
      </c>
      <c r="S88" s="130">
        <v>0</v>
      </c>
      <c r="T88" s="130">
        <v>0</v>
      </c>
      <c r="U88" s="130">
        <v>0</v>
      </c>
      <c r="V88" s="130">
        <v>0</v>
      </c>
      <c r="W88" s="130">
        <v>0</v>
      </c>
      <c r="X88" s="130">
        <v>0</v>
      </c>
      <c r="Y88" s="131">
        <f t="shared" si="3"/>
        <v>48.5</v>
      </c>
    </row>
    <row r="89" spans="1:25" x14ac:dyDescent="0.2">
      <c r="A89" s="23" t="s">
        <v>101</v>
      </c>
      <c r="B89">
        <v>3</v>
      </c>
      <c r="C89" s="23" t="s">
        <v>111</v>
      </c>
      <c r="D89">
        <v>309</v>
      </c>
      <c r="E89" s="130">
        <v>100</v>
      </c>
      <c r="F89" s="130">
        <v>100</v>
      </c>
      <c r="G89" s="130">
        <v>50</v>
      </c>
      <c r="H89" s="130">
        <v>100</v>
      </c>
      <c r="I89" s="130">
        <v>100</v>
      </c>
      <c r="J89" s="130">
        <v>50</v>
      </c>
      <c r="K89" s="130">
        <v>100</v>
      </c>
      <c r="L89" s="130">
        <v>95</v>
      </c>
      <c r="M89" s="130">
        <v>100</v>
      </c>
      <c r="N89" s="130">
        <v>0</v>
      </c>
      <c r="O89" s="130">
        <v>0</v>
      </c>
      <c r="P89" s="130">
        <v>100</v>
      </c>
      <c r="Q89" s="130">
        <v>80</v>
      </c>
      <c r="R89" s="130">
        <v>0</v>
      </c>
      <c r="S89" s="130">
        <v>0</v>
      </c>
      <c r="T89" s="130">
        <v>0</v>
      </c>
      <c r="U89" s="130">
        <v>0</v>
      </c>
      <c r="V89" s="130">
        <v>0</v>
      </c>
      <c r="W89" s="130">
        <v>0</v>
      </c>
      <c r="X89" s="130">
        <v>0</v>
      </c>
      <c r="Y89" s="131">
        <f t="shared" si="3"/>
        <v>48.75</v>
      </c>
    </row>
    <row r="90" spans="1:25" x14ac:dyDescent="0.2">
      <c r="A90" s="23" t="s">
        <v>101</v>
      </c>
      <c r="B90">
        <v>3</v>
      </c>
      <c r="C90" s="23" t="s">
        <v>111</v>
      </c>
      <c r="D90">
        <v>310</v>
      </c>
      <c r="E90" s="130">
        <v>100</v>
      </c>
      <c r="F90" s="130">
        <v>100</v>
      </c>
      <c r="G90" s="130">
        <v>50</v>
      </c>
      <c r="H90" s="130">
        <v>100</v>
      </c>
      <c r="I90" s="130">
        <v>100</v>
      </c>
      <c r="J90" s="130">
        <v>75</v>
      </c>
      <c r="K90" s="130">
        <v>100</v>
      </c>
      <c r="L90" s="130">
        <v>95</v>
      </c>
      <c r="M90" s="130">
        <v>95</v>
      </c>
      <c r="N90" s="130">
        <v>0</v>
      </c>
      <c r="O90" s="130">
        <v>0</v>
      </c>
      <c r="P90" s="130">
        <v>100</v>
      </c>
      <c r="Q90" s="130">
        <v>90</v>
      </c>
      <c r="R90" s="130">
        <v>0</v>
      </c>
      <c r="S90" s="130">
        <v>0</v>
      </c>
      <c r="T90" s="130">
        <v>0</v>
      </c>
      <c r="U90" s="130">
        <v>0</v>
      </c>
      <c r="V90" s="130">
        <v>0</v>
      </c>
      <c r="W90" s="130">
        <v>0</v>
      </c>
      <c r="X90" s="130">
        <v>0</v>
      </c>
      <c r="Y90" s="131">
        <f t="shared" si="3"/>
        <v>50.25</v>
      </c>
    </row>
    <row r="91" spans="1:25" x14ac:dyDescent="0.2">
      <c r="A91" s="23" t="s">
        <v>101</v>
      </c>
      <c r="B91">
        <v>3</v>
      </c>
      <c r="C91" s="23" t="s">
        <v>111</v>
      </c>
      <c r="D91">
        <v>311</v>
      </c>
      <c r="E91" s="130">
        <v>100</v>
      </c>
      <c r="F91" s="130">
        <v>100</v>
      </c>
      <c r="G91" s="130">
        <v>65</v>
      </c>
      <c r="H91" s="130">
        <v>100</v>
      </c>
      <c r="I91" s="130">
        <v>100</v>
      </c>
      <c r="J91" s="130">
        <v>70</v>
      </c>
      <c r="K91" s="130">
        <v>100</v>
      </c>
      <c r="L91" s="130">
        <v>95</v>
      </c>
      <c r="M91" s="130">
        <v>95</v>
      </c>
      <c r="N91" s="130">
        <v>0</v>
      </c>
      <c r="O91" s="130">
        <v>0</v>
      </c>
      <c r="P91" s="130">
        <v>100</v>
      </c>
      <c r="Q91" s="130">
        <v>85</v>
      </c>
      <c r="R91" s="130">
        <v>0</v>
      </c>
      <c r="S91" s="130">
        <v>0</v>
      </c>
      <c r="T91" s="130">
        <v>0</v>
      </c>
      <c r="U91" s="130">
        <v>0</v>
      </c>
      <c r="V91" s="130">
        <v>0</v>
      </c>
      <c r="W91" s="130">
        <v>0</v>
      </c>
      <c r="X91" s="130">
        <v>0</v>
      </c>
      <c r="Y91" s="131">
        <f t="shared" si="3"/>
        <v>50.5</v>
      </c>
    </row>
    <row r="92" spans="1:25" x14ac:dyDescent="0.2">
      <c r="A92" s="23" t="s">
        <v>101</v>
      </c>
      <c r="B92">
        <v>3</v>
      </c>
      <c r="C92" s="23" t="s">
        <v>111</v>
      </c>
      <c r="D92">
        <v>312</v>
      </c>
      <c r="E92" s="130">
        <v>100</v>
      </c>
      <c r="F92" s="130">
        <v>100</v>
      </c>
      <c r="G92" s="130">
        <v>50</v>
      </c>
      <c r="H92" s="130">
        <v>100</v>
      </c>
      <c r="I92" s="130">
        <v>100</v>
      </c>
      <c r="J92" s="130">
        <v>55</v>
      </c>
      <c r="K92" s="130">
        <v>100</v>
      </c>
      <c r="L92" s="130">
        <v>95</v>
      </c>
      <c r="M92" s="130">
        <v>95</v>
      </c>
      <c r="N92" s="130">
        <v>0</v>
      </c>
      <c r="O92" s="130">
        <v>0</v>
      </c>
      <c r="P92" s="130">
        <v>100</v>
      </c>
      <c r="Q92" s="130">
        <v>85</v>
      </c>
      <c r="R92" s="130">
        <v>0</v>
      </c>
      <c r="S92" s="130">
        <v>0</v>
      </c>
      <c r="T92" s="130">
        <v>0</v>
      </c>
      <c r="U92" s="130">
        <v>0</v>
      </c>
      <c r="V92" s="130">
        <v>0</v>
      </c>
      <c r="W92" s="130">
        <v>0</v>
      </c>
      <c r="X92" s="130">
        <v>0</v>
      </c>
      <c r="Y92" s="131">
        <f t="shared" si="3"/>
        <v>49</v>
      </c>
    </row>
    <row r="93" spans="1:25" x14ac:dyDescent="0.2">
      <c r="A93" s="23" t="s">
        <v>101</v>
      </c>
      <c r="B93">
        <v>3</v>
      </c>
      <c r="C93" s="23" t="s">
        <v>111</v>
      </c>
      <c r="D93">
        <v>313</v>
      </c>
      <c r="E93" s="130">
        <v>100</v>
      </c>
      <c r="F93" s="130">
        <v>100</v>
      </c>
      <c r="G93" s="130">
        <v>50</v>
      </c>
      <c r="H93" s="130">
        <v>100</v>
      </c>
      <c r="I93" s="130">
        <v>100</v>
      </c>
      <c r="J93" s="130">
        <v>50</v>
      </c>
      <c r="K93" s="130">
        <v>100</v>
      </c>
      <c r="L93" s="130">
        <v>95</v>
      </c>
      <c r="M93" s="130">
        <v>95</v>
      </c>
      <c r="N93" s="130">
        <v>0</v>
      </c>
      <c r="O93" s="130">
        <v>0</v>
      </c>
      <c r="P93" s="130">
        <v>100</v>
      </c>
      <c r="Q93" s="130">
        <v>80</v>
      </c>
      <c r="R93" s="130">
        <v>0</v>
      </c>
      <c r="S93" s="130">
        <v>0</v>
      </c>
      <c r="T93" s="130">
        <v>0</v>
      </c>
      <c r="U93" s="130">
        <v>0</v>
      </c>
      <c r="V93" s="130">
        <v>0</v>
      </c>
      <c r="W93" s="130">
        <v>0</v>
      </c>
      <c r="X93" s="130">
        <v>0</v>
      </c>
      <c r="Y93" s="131">
        <f t="shared" si="3"/>
        <v>48.5</v>
      </c>
    </row>
    <row r="94" spans="1:25" x14ac:dyDescent="0.2">
      <c r="A94" s="23" t="s">
        <v>101</v>
      </c>
      <c r="B94">
        <v>3</v>
      </c>
      <c r="C94" s="23" t="s">
        <v>111</v>
      </c>
      <c r="D94">
        <v>314</v>
      </c>
      <c r="E94" s="130">
        <v>100</v>
      </c>
      <c r="F94" s="130">
        <v>95</v>
      </c>
      <c r="G94" s="130">
        <v>50</v>
      </c>
      <c r="H94" s="130">
        <v>100</v>
      </c>
      <c r="I94" s="130">
        <v>100</v>
      </c>
      <c r="J94" s="130">
        <v>50</v>
      </c>
      <c r="K94" s="130">
        <v>100</v>
      </c>
      <c r="L94" s="130">
        <v>100</v>
      </c>
      <c r="M94" s="130">
        <v>0</v>
      </c>
      <c r="N94" s="130">
        <v>0</v>
      </c>
      <c r="O94" s="130">
        <v>0</v>
      </c>
      <c r="P94" s="130">
        <v>100</v>
      </c>
      <c r="Q94" s="130">
        <v>80</v>
      </c>
      <c r="R94" s="130">
        <v>0</v>
      </c>
      <c r="S94" s="130">
        <v>0</v>
      </c>
      <c r="T94" s="130">
        <v>0</v>
      </c>
      <c r="U94" s="130">
        <v>0</v>
      </c>
      <c r="V94" s="130">
        <v>0</v>
      </c>
      <c r="W94" s="130">
        <v>0</v>
      </c>
      <c r="X94" s="130">
        <v>0</v>
      </c>
      <c r="Y94" s="131">
        <f t="shared" si="3"/>
        <v>43.75</v>
      </c>
    </row>
    <row r="95" spans="1:25" x14ac:dyDescent="0.2">
      <c r="A95" s="23" t="s">
        <v>101</v>
      </c>
      <c r="B95">
        <v>3</v>
      </c>
      <c r="C95" s="23" t="s">
        <v>111</v>
      </c>
      <c r="D95">
        <v>315</v>
      </c>
      <c r="E95" s="130">
        <v>100</v>
      </c>
      <c r="F95" s="130">
        <v>100</v>
      </c>
      <c r="G95" s="130">
        <v>50</v>
      </c>
      <c r="H95" s="130">
        <v>100</v>
      </c>
      <c r="I95" s="130">
        <v>100</v>
      </c>
      <c r="J95" s="130">
        <v>50</v>
      </c>
      <c r="K95" s="130">
        <v>100</v>
      </c>
      <c r="L95" s="130">
        <v>95</v>
      </c>
      <c r="M95" s="130">
        <v>0</v>
      </c>
      <c r="N95" s="130">
        <v>0</v>
      </c>
      <c r="O95" s="130">
        <v>0</v>
      </c>
      <c r="P95" s="130">
        <v>100</v>
      </c>
      <c r="Q95" s="130">
        <v>35</v>
      </c>
      <c r="R95" s="130">
        <v>0</v>
      </c>
      <c r="S95" s="130">
        <v>0</v>
      </c>
      <c r="T95" s="130">
        <v>0</v>
      </c>
      <c r="U95" s="130">
        <v>0</v>
      </c>
      <c r="V95" s="130">
        <v>0</v>
      </c>
      <c r="W95" s="130">
        <v>0</v>
      </c>
      <c r="X95" s="130">
        <v>0</v>
      </c>
      <c r="Y95" s="131">
        <f t="shared" si="3"/>
        <v>41.5</v>
      </c>
    </row>
    <row r="96" spans="1:25" x14ac:dyDescent="0.2">
      <c r="A96" s="23" t="s">
        <v>101</v>
      </c>
      <c r="B96">
        <v>3</v>
      </c>
      <c r="C96" s="23" t="s">
        <v>111</v>
      </c>
      <c r="D96">
        <v>316</v>
      </c>
      <c r="E96" s="130">
        <v>100</v>
      </c>
      <c r="F96" s="130">
        <v>100</v>
      </c>
      <c r="G96" s="130">
        <v>50</v>
      </c>
      <c r="H96" s="130">
        <v>100</v>
      </c>
      <c r="I96" s="130">
        <v>100</v>
      </c>
      <c r="J96" s="130">
        <v>50</v>
      </c>
      <c r="K96" s="130">
        <v>100</v>
      </c>
      <c r="L96" s="130">
        <v>95</v>
      </c>
      <c r="M96" s="130">
        <v>0</v>
      </c>
      <c r="N96" s="130">
        <v>0</v>
      </c>
      <c r="O96" s="130">
        <v>0</v>
      </c>
      <c r="P96" s="130">
        <v>0</v>
      </c>
      <c r="Q96" s="130">
        <v>75</v>
      </c>
      <c r="R96" s="130">
        <v>0</v>
      </c>
      <c r="S96" s="130">
        <v>0</v>
      </c>
      <c r="T96" s="130">
        <v>0</v>
      </c>
      <c r="U96" s="130">
        <v>0</v>
      </c>
      <c r="V96" s="130">
        <v>0</v>
      </c>
      <c r="W96" s="130">
        <v>0</v>
      </c>
      <c r="X96" s="130">
        <v>0</v>
      </c>
      <c r="Y96" s="131">
        <f t="shared" si="3"/>
        <v>38.5</v>
      </c>
    </row>
    <row r="97" spans="1:25" x14ac:dyDescent="0.2">
      <c r="A97" s="23" t="s">
        <v>101</v>
      </c>
      <c r="B97">
        <v>3</v>
      </c>
      <c r="C97" s="23" t="s">
        <v>111</v>
      </c>
      <c r="D97">
        <v>317</v>
      </c>
      <c r="E97" s="130">
        <v>100</v>
      </c>
      <c r="F97" s="130">
        <v>100</v>
      </c>
      <c r="G97" s="130">
        <v>50</v>
      </c>
      <c r="H97" s="130">
        <v>100</v>
      </c>
      <c r="I97" s="130">
        <v>100</v>
      </c>
      <c r="J97" s="130">
        <v>50</v>
      </c>
      <c r="K97" s="130">
        <v>100</v>
      </c>
      <c r="L97" s="130">
        <v>95</v>
      </c>
      <c r="M97" s="130">
        <v>0</v>
      </c>
      <c r="N97" s="130">
        <v>0</v>
      </c>
      <c r="O97" s="130">
        <v>0</v>
      </c>
      <c r="P97" s="130">
        <v>100</v>
      </c>
      <c r="Q97" s="130">
        <v>55</v>
      </c>
      <c r="R97" s="130">
        <v>0</v>
      </c>
      <c r="S97" s="130">
        <v>0</v>
      </c>
      <c r="T97" s="130">
        <v>0</v>
      </c>
      <c r="U97" s="130">
        <v>0</v>
      </c>
      <c r="V97" s="130">
        <v>0</v>
      </c>
      <c r="W97" s="130">
        <v>0</v>
      </c>
      <c r="X97" s="130">
        <v>0</v>
      </c>
      <c r="Y97" s="131">
        <f t="shared" si="3"/>
        <v>42.5</v>
      </c>
    </row>
    <row r="98" spans="1:25" x14ac:dyDescent="0.2">
      <c r="A98" s="23" t="s">
        <v>101</v>
      </c>
      <c r="B98">
        <v>3</v>
      </c>
      <c r="C98" s="23" t="s">
        <v>111</v>
      </c>
      <c r="D98">
        <v>318</v>
      </c>
      <c r="E98" s="130">
        <v>100</v>
      </c>
      <c r="F98" s="130">
        <v>100</v>
      </c>
      <c r="G98" s="130">
        <v>50</v>
      </c>
      <c r="H98" s="130">
        <v>100</v>
      </c>
      <c r="I98" s="130">
        <v>100</v>
      </c>
      <c r="J98" s="130">
        <v>50</v>
      </c>
      <c r="K98" s="130">
        <v>100</v>
      </c>
      <c r="L98" s="130">
        <v>95</v>
      </c>
      <c r="M98" s="130">
        <v>0</v>
      </c>
      <c r="N98" s="130">
        <v>0</v>
      </c>
      <c r="O98" s="130">
        <v>0</v>
      </c>
      <c r="P98" s="130">
        <v>0</v>
      </c>
      <c r="Q98" s="130">
        <v>65</v>
      </c>
      <c r="R98" s="130">
        <v>0</v>
      </c>
      <c r="S98" s="130">
        <v>0</v>
      </c>
      <c r="T98" s="130">
        <v>0</v>
      </c>
      <c r="U98" s="130">
        <v>0</v>
      </c>
      <c r="V98" s="130">
        <v>0</v>
      </c>
      <c r="W98" s="130">
        <v>0</v>
      </c>
      <c r="X98" s="130">
        <v>0</v>
      </c>
      <c r="Y98" s="131">
        <f t="shared" si="3"/>
        <v>38</v>
      </c>
    </row>
    <row r="99" spans="1:25" x14ac:dyDescent="0.2">
      <c r="A99" s="23" t="s">
        <v>101</v>
      </c>
      <c r="B99">
        <v>3</v>
      </c>
      <c r="C99" s="23" t="s">
        <v>111</v>
      </c>
      <c r="D99">
        <v>319</v>
      </c>
      <c r="E99" s="130">
        <v>100</v>
      </c>
      <c r="F99" s="130">
        <v>95</v>
      </c>
      <c r="G99" s="130">
        <v>50</v>
      </c>
      <c r="H99" s="130">
        <v>100</v>
      </c>
      <c r="I99" s="130">
        <v>100</v>
      </c>
      <c r="J99" s="130">
        <v>50</v>
      </c>
      <c r="K99" s="130">
        <v>100</v>
      </c>
      <c r="L99" s="130">
        <v>95</v>
      </c>
      <c r="M99" s="130">
        <v>0</v>
      </c>
      <c r="N99" s="130">
        <v>0</v>
      </c>
      <c r="O99" s="130">
        <v>0</v>
      </c>
      <c r="P99" s="130">
        <v>0</v>
      </c>
      <c r="Q99" s="130">
        <v>70</v>
      </c>
      <c r="R99" s="130">
        <v>0</v>
      </c>
      <c r="S99" s="130">
        <v>0</v>
      </c>
      <c r="T99" s="130">
        <v>0</v>
      </c>
      <c r="U99" s="130">
        <v>0</v>
      </c>
      <c r="V99" s="130">
        <v>0</v>
      </c>
      <c r="W99" s="130">
        <v>0</v>
      </c>
      <c r="X99" s="130">
        <v>0</v>
      </c>
      <c r="Y99" s="131">
        <f t="shared" si="3"/>
        <v>38</v>
      </c>
    </row>
    <row r="100" spans="1:25" x14ac:dyDescent="0.2">
      <c r="A100" s="23" t="s">
        <v>101</v>
      </c>
      <c r="B100">
        <v>3</v>
      </c>
      <c r="C100" s="23" t="s">
        <v>111</v>
      </c>
      <c r="D100">
        <v>320</v>
      </c>
      <c r="E100" s="130">
        <v>100</v>
      </c>
      <c r="F100" s="130">
        <v>100</v>
      </c>
      <c r="G100" s="130">
        <v>50</v>
      </c>
      <c r="H100" s="130">
        <v>100</v>
      </c>
      <c r="I100" s="130">
        <v>100</v>
      </c>
      <c r="J100" s="130">
        <v>50</v>
      </c>
      <c r="K100" s="130">
        <v>100</v>
      </c>
      <c r="L100" s="130">
        <v>95</v>
      </c>
      <c r="M100" s="130">
        <v>0</v>
      </c>
      <c r="N100" s="130">
        <v>0</v>
      </c>
      <c r="O100" s="130">
        <v>0</v>
      </c>
      <c r="P100" s="130">
        <v>0</v>
      </c>
      <c r="Q100" s="130">
        <v>75</v>
      </c>
      <c r="R100" s="130">
        <v>0</v>
      </c>
      <c r="S100" s="130">
        <v>0</v>
      </c>
      <c r="T100" s="130">
        <v>0</v>
      </c>
      <c r="U100" s="130">
        <v>0</v>
      </c>
      <c r="V100" s="130">
        <v>0</v>
      </c>
      <c r="W100" s="130">
        <v>0</v>
      </c>
      <c r="X100" s="130">
        <v>0</v>
      </c>
      <c r="Y100" s="131">
        <f t="shared" si="3"/>
        <v>38.5</v>
      </c>
    </row>
    <row r="101" spans="1:25" x14ac:dyDescent="0.2">
      <c r="A101" s="23" t="s">
        <v>101</v>
      </c>
      <c r="B101">
        <v>3</v>
      </c>
      <c r="C101" s="23" t="s">
        <v>111</v>
      </c>
      <c r="D101">
        <v>321</v>
      </c>
      <c r="E101" s="130">
        <v>100</v>
      </c>
      <c r="F101" s="130">
        <v>100</v>
      </c>
      <c r="G101" s="130">
        <v>50</v>
      </c>
      <c r="H101" s="130">
        <v>100</v>
      </c>
      <c r="I101" s="130">
        <v>100</v>
      </c>
      <c r="J101" s="130">
        <v>50</v>
      </c>
      <c r="K101" s="130">
        <v>100</v>
      </c>
      <c r="L101" s="130">
        <v>95</v>
      </c>
      <c r="M101" s="130">
        <v>95</v>
      </c>
      <c r="N101" s="130">
        <v>0</v>
      </c>
      <c r="O101" s="130">
        <v>0</v>
      </c>
      <c r="P101" s="130">
        <v>0</v>
      </c>
      <c r="Q101" s="130">
        <v>75</v>
      </c>
      <c r="R101" s="130">
        <v>0</v>
      </c>
      <c r="S101" s="130">
        <v>0</v>
      </c>
      <c r="T101" s="130">
        <v>0</v>
      </c>
      <c r="U101" s="130">
        <v>0</v>
      </c>
      <c r="V101" s="130">
        <v>0</v>
      </c>
      <c r="W101" s="130">
        <v>0</v>
      </c>
      <c r="X101" s="130">
        <v>0</v>
      </c>
      <c r="Y101" s="131">
        <f t="shared" si="3"/>
        <v>43.25</v>
      </c>
    </row>
    <row r="102" spans="1:25" x14ac:dyDescent="0.2">
      <c r="A102" s="23"/>
      <c r="C102" s="23"/>
      <c r="D102" s="23"/>
      <c r="E102" s="130"/>
      <c r="F102" s="130">
        <f t="shared" ref="F102:X102" si="4">AVERAGE(F58:F101)</f>
        <v>79.318181818181813</v>
      </c>
      <c r="G102" s="130">
        <f t="shared" si="4"/>
        <v>50.340909090909093</v>
      </c>
      <c r="H102" s="130">
        <f t="shared" si="4"/>
        <v>79.545454545454547</v>
      </c>
      <c r="I102" s="130">
        <f t="shared" si="4"/>
        <v>79.545454545454547</v>
      </c>
      <c r="J102" s="130">
        <f t="shared" si="4"/>
        <v>58.636363636363633</v>
      </c>
      <c r="K102" s="130">
        <f t="shared" si="4"/>
        <v>79.545454545454547</v>
      </c>
      <c r="L102" s="130">
        <f t="shared" si="4"/>
        <v>76.931818181818187</v>
      </c>
      <c r="M102" s="130">
        <f t="shared" si="4"/>
        <v>32.727272727272727</v>
      </c>
      <c r="N102" s="130">
        <f t="shared" si="4"/>
        <v>0.11363636363636363</v>
      </c>
      <c r="O102" s="130">
        <f t="shared" si="4"/>
        <v>1.8181818181818181</v>
      </c>
      <c r="P102" s="130">
        <f t="shared" si="4"/>
        <v>37.727272727272727</v>
      </c>
      <c r="Q102" s="130">
        <f t="shared" si="4"/>
        <v>62.613636363636367</v>
      </c>
      <c r="R102" s="130">
        <f t="shared" si="4"/>
        <v>1.8181818181818181</v>
      </c>
      <c r="S102" s="130">
        <f t="shared" si="4"/>
        <v>2.2727272727272729</v>
      </c>
      <c r="T102" s="130">
        <f t="shared" si="4"/>
        <v>0</v>
      </c>
      <c r="U102" s="130">
        <f t="shared" si="4"/>
        <v>2.2727272727272729</v>
      </c>
      <c r="V102" s="130">
        <f t="shared" si="4"/>
        <v>2.2727272727272729</v>
      </c>
      <c r="W102" s="130">
        <f t="shared" si="4"/>
        <v>2.2727272727272729</v>
      </c>
      <c r="X102" s="130">
        <f t="shared" si="4"/>
        <v>2.2727272727272729</v>
      </c>
      <c r="Y102" s="131">
        <f t="shared" si="3"/>
        <v>34.31818181818182</v>
      </c>
    </row>
    <row r="103" spans="1:25" x14ac:dyDescent="0.2">
      <c r="A103" s="23" t="s">
        <v>101</v>
      </c>
      <c r="B103">
        <v>4</v>
      </c>
      <c r="C103" s="23" t="s">
        <v>112</v>
      </c>
      <c r="D103">
        <v>401</v>
      </c>
      <c r="E103" s="130">
        <v>0</v>
      </c>
      <c r="F103" s="130">
        <v>0</v>
      </c>
      <c r="G103" s="130">
        <v>0</v>
      </c>
      <c r="H103" s="130">
        <v>0</v>
      </c>
      <c r="I103" s="130">
        <v>0</v>
      </c>
      <c r="J103" s="130">
        <v>0</v>
      </c>
      <c r="K103" s="130">
        <v>0</v>
      </c>
      <c r="L103" s="130">
        <v>0</v>
      </c>
      <c r="M103" s="130">
        <v>0</v>
      </c>
      <c r="N103" s="130">
        <v>0</v>
      </c>
      <c r="O103" s="130">
        <v>0</v>
      </c>
      <c r="P103" s="130">
        <v>0</v>
      </c>
      <c r="Q103" s="130">
        <v>0</v>
      </c>
      <c r="R103" s="130">
        <v>0</v>
      </c>
      <c r="S103" s="130">
        <v>0</v>
      </c>
      <c r="T103" s="130">
        <v>0</v>
      </c>
      <c r="U103" s="130">
        <v>0</v>
      </c>
      <c r="V103" s="130">
        <v>0</v>
      </c>
      <c r="W103" s="130">
        <v>0</v>
      </c>
      <c r="X103" s="130">
        <v>0</v>
      </c>
      <c r="Y103" s="131">
        <f t="shared" si="3"/>
        <v>0</v>
      </c>
    </row>
    <row r="104" spans="1:25" x14ac:dyDescent="0.2">
      <c r="A104" s="23" t="s">
        <v>101</v>
      </c>
      <c r="B104">
        <v>4</v>
      </c>
      <c r="C104" s="23" t="s">
        <v>112</v>
      </c>
      <c r="D104">
        <v>402</v>
      </c>
      <c r="E104" s="130">
        <v>0</v>
      </c>
      <c r="F104" s="130">
        <v>0</v>
      </c>
      <c r="G104" s="130">
        <v>0</v>
      </c>
      <c r="H104" s="130">
        <v>0</v>
      </c>
      <c r="I104" s="130">
        <v>0</v>
      </c>
      <c r="J104" s="130">
        <v>0</v>
      </c>
      <c r="K104" s="130">
        <v>0</v>
      </c>
      <c r="L104" s="130">
        <v>0</v>
      </c>
      <c r="M104" s="130">
        <v>0</v>
      </c>
      <c r="N104" s="130">
        <v>0</v>
      </c>
      <c r="O104" s="130">
        <v>0</v>
      </c>
      <c r="P104" s="130">
        <v>0</v>
      </c>
      <c r="Q104" s="130">
        <v>0</v>
      </c>
      <c r="R104" s="130">
        <v>0</v>
      </c>
      <c r="S104" s="130">
        <v>0</v>
      </c>
      <c r="T104" s="130">
        <v>0</v>
      </c>
      <c r="U104" s="130">
        <v>0</v>
      </c>
      <c r="V104" s="130">
        <v>0</v>
      </c>
      <c r="W104" s="130">
        <v>0</v>
      </c>
      <c r="X104" s="130">
        <v>0</v>
      </c>
      <c r="Y104" s="131">
        <f t="shared" si="3"/>
        <v>0</v>
      </c>
    </row>
    <row r="105" spans="1:25" x14ac:dyDescent="0.2">
      <c r="A105" s="23" t="s">
        <v>101</v>
      </c>
      <c r="B105">
        <v>4</v>
      </c>
      <c r="C105" s="23" t="s">
        <v>112</v>
      </c>
      <c r="D105">
        <v>403</v>
      </c>
      <c r="E105" s="130">
        <v>0</v>
      </c>
      <c r="F105" s="130">
        <v>0</v>
      </c>
      <c r="G105" s="130">
        <v>0</v>
      </c>
      <c r="H105" s="130">
        <v>0</v>
      </c>
      <c r="I105" s="130">
        <v>0</v>
      </c>
      <c r="J105" s="130">
        <v>0</v>
      </c>
      <c r="K105" s="130">
        <v>0</v>
      </c>
      <c r="L105" s="130">
        <v>0</v>
      </c>
      <c r="M105" s="130">
        <v>0</v>
      </c>
      <c r="N105" s="130">
        <v>0</v>
      </c>
      <c r="O105" s="130">
        <v>0</v>
      </c>
      <c r="P105" s="130">
        <v>0</v>
      </c>
      <c r="Q105" s="130">
        <v>0</v>
      </c>
      <c r="R105" s="130">
        <v>0</v>
      </c>
      <c r="S105" s="130">
        <v>0</v>
      </c>
      <c r="T105" s="130">
        <v>0</v>
      </c>
      <c r="U105" s="130">
        <v>0</v>
      </c>
      <c r="V105" s="130">
        <v>0</v>
      </c>
      <c r="W105" s="130">
        <v>0</v>
      </c>
      <c r="X105" s="130">
        <v>0</v>
      </c>
      <c r="Y105" s="131">
        <f t="shared" si="3"/>
        <v>0</v>
      </c>
    </row>
    <row r="106" spans="1:25" x14ac:dyDescent="0.2">
      <c r="A106" s="23" t="s">
        <v>101</v>
      </c>
      <c r="B106">
        <v>4</v>
      </c>
      <c r="C106" s="23" t="s">
        <v>112</v>
      </c>
      <c r="D106">
        <v>404</v>
      </c>
      <c r="E106" s="130">
        <v>0</v>
      </c>
      <c r="F106" s="130">
        <v>0</v>
      </c>
      <c r="G106" s="130">
        <v>0</v>
      </c>
      <c r="H106" s="130">
        <v>0</v>
      </c>
      <c r="I106" s="130">
        <v>0</v>
      </c>
      <c r="J106" s="130">
        <v>0</v>
      </c>
      <c r="K106" s="130">
        <v>0</v>
      </c>
      <c r="L106" s="130">
        <v>0</v>
      </c>
      <c r="M106" s="130">
        <v>0</v>
      </c>
      <c r="N106" s="130">
        <v>0</v>
      </c>
      <c r="O106" s="130">
        <v>0</v>
      </c>
      <c r="P106" s="130">
        <v>0</v>
      </c>
      <c r="Q106" s="130">
        <v>0</v>
      </c>
      <c r="R106" s="130">
        <v>0</v>
      </c>
      <c r="S106" s="130">
        <v>0</v>
      </c>
      <c r="T106" s="130">
        <v>0</v>
      </c>
      <c r="U106" s="130">
        <v>0</v>
      </c>
      <c r="V106" s="130">
        <v>0</v>
      </c>
      <c r="W106" s="130">
        <v>0</v>
      </c>
      <c r="X106" s="130">
        <v>0</v>
      </c>
      <c r="Y106" s="131">
        <f t="shared" si="3"/>
        <v>0</v>
      </c>
    </row>
    <row r="107" spans="1:25" x14ac:dyDescent="0.2">
      <c r="A107" s="23" t="s">
        <v>101</v>
      </c>
      <c r="B107">
        <v>4</v>
      </c>
      <c r="C107" s="23" t="s">
        <v>112</v>
      </c>
      <c r="D107">
        <v>405</v>
      </c>
      <c r="E107" s="130">
        <v>0</v>
      </c>
      <c r="F107" s="130">
        <v>0</v>
      </c>
      <c r="G107" s="130">
        <v>0</v>
      </c>
      <c r="H107" s="130">
        <v>0</v>
      </c>
      <c r="I107" s="130">
        <v>0</v>
      </c>
      <c r="J107" s="130">
        <v>0</v>
      </c>
      <c r="K107" s="130">
        <v>0</v>
      </c>
      <c r="L107" s="130">
        <v>0</v>
      </c>
      <c r="M107" s="130">
        <v>0</v>
      </c>
      <c r="N107" s="130">
        <v>0</v>
      </c>
      <c r="O107" s="130">
        <v>0</v>
      </c>
      <c r="P107" s="130">
        <v>0</v>
      </c>
      <c r="Q107" s="130">
        <v>0</v>
      </c>
      <c r="R107" s="130">
        <v>0</v>
      </c>
      <c r="S107" s="130">
        <v>0</v>
      </c>
      <c r="T107" s="130">
        <v>0</v>
      </c>
      <c r="U107" s="130">
        <v>0</v>
      </c>
      <c r="V107" s="130">
        <v>0</v>
      </c>
      <c r="W107" s="130">
        <v>0</v>
      </c>
      <c r="X107" s="130">
        <v>0</v>
      </c>
      <c r="Y107" s="131">
        <f t="shared" si="3"/>
        <v>0</v>
      </c>
    </row>
    <row r="108" spans="1:25" x14ac:dyDescent="0.2">
      <c r="A108" s="23" t="s">
        <v>101</v>
      </c>
      <c r="B108">
        <v>4</v>
      </c>
      <c r="C108" s="23" t="s">
        <v>112</v>
      </c>
      <c r="D108">
        <v>406</v>
      </c>
      <c r="E108" s="130">
        <v>0</v>
      </c>
      <c r="F108" s="130">
        <v>0</v>
      </c>
      <c r="G108" s="130">
        <v>0</v>
      </c>
      <c r="H108" s="130">
        <v>0</v>
      </c>
      <c r="I108" s="130">
        <v>0</v>
      </c>
      <c r="J108" s="130">
        <v>0</v>
      </c>
      <c r="K108" s="130">
        <v>0</v>
      </c>
      <c r="L108" s="130">
        <v>0</v>
      </c>
      <c r="M108" s="130">
        <v>0</v>
      </c>
      <c r="N108" s="130">
        <v>0</v>
      </c>
      <c r="O108" s="130">
        <v>0</v>
      </c>
      <c r="P108" s="130">
        <v>0</v>
      </c>
      <c r="Q108" s="130">
        <v>0</v>
      </c>
      <c r="R108" s="130">
        <v>0</v>
      </c>
      <c r="S108" s="130">
        <v>0</v>
      </c>
      <c r="T108" s="130">
        <v>0</v>
      </c>
      <c r="U108" s="130">
        <v>0</v>
      </c>
      <c r="V108" s="130">
        <v>0</v>
      </c>
      <c r="W108" s="130">
        <v>0</v>
      </c>
      <c r="X108" s="130">
        <v>0</v>
      </c>
      <c r="Y108" s="131">
        <f t="shared" si="3"/>
        <v>0</v>
      </c>
    </row>
    <row r="109" spans="1:25" x14ac:dyDescent="0.2">
      <c r="A109" s="23" t="s">
        <v>101</v>
      </c>
      <c r="B109">
        <v>4</v>
      </c>
      <c r="C109" s="23" t="s">
        <v>112</v>
      </c>
      <c r="D109">
        <v>407</v>
      </c>
      <c r="E109" s="130">
        <v>0</v>
      </c>
      <c r="F109" s="130">
        <v>0</v>
      </c>
      <c r="G109" s="130">
        <v>0</v>
      </c>
      <c r="H109" s="130">
        <v>0</v>
      </c>
      <c r="I109" s="130">
        <v>0</v>
      </c>
      <c r="J109" s="130">
        <v>0</v>
      </c>
      <c r="K109" s="130">
        <v>0</v>
      </c>
      <c r="L109" s="130">
        <v>0</v>
      </c>
      <c r="M109" s="130">
        <v>0</v>
      </c>
      <c r="N109" s="130">
        <v>0</v>
      </c>
      <c r="O109" s="130">
        <v>0</v>
      </c>
      <c r="P109" s="130">
        <v>0</v>
      </c>
      <c r="Q109" s="130">
        <v>0</v>
      </c>
      <c r="R109" s="130">
        <v>0</v>
      </c>
      <c r="S109" s="130">
        <v>0</v>
      </c>
      <c r="T109" s="130">
        <v>0</v>
      </c>
      <c r="U109" s="130">
        <v>0</v>
      </c>
      <c r="V109" s="130">
        <v>0</v>
      </c>
      <c r="W109" s="130">
        <v>0</v>
      </c>
      <c r="X109" s="130">
        <v>0</v>
      </c>
      <c r="Y109" s="131">
        <f t="shared" si="3"/>
        <v>0</v>
      </c>
    </row>
    <row r="110" spans="1:25" x14ac:dyDescent="0.2">
      <c r="A110" s="23" t="s">
        <v>101</v>
      </c>
      <c r="B110">
        <v>4</v>
      </c>
      <c r="C110" s="23" t="s">
        <v>112</v>
      </c>
      <c r="D110">
        <v>408</v>
      </c>
      <c r="E110" s="130">
        <v>0</v>
      </c>
      <c r="F110" s="130">
        <v>0</v>
      </c>
      <c r="G110" s="130">
        <v>0</v>
      </c>
      <c r="H110" s="130">
        <v>0</v>
      </c>
      <c r="I110" s="130">
        <v>0</v>
      </c>
      <c r="J110" s="130">
        <v>0</v>
      </c>
      <c r="K110" s="130">
        <v>0</v>
      </c>
      <c r="L110" s="130">
        <v>0</v>
      </c>
      <c r="M110" s="130">
        <v>0</v>
      </c>
      <c r="N110" s="130">
        <v>0</v>
      </c>
      <c r="O110" s="130">
        <v>0</v>
      </c>
      <c r="P110" s="130">
        <v>0</v>
      </c>
      <c r="Q110" s="130">
        <v>0</v>
      </c>
      <c r="R110" s="130">
        <v>0</v>
      </c>
      <c r="S110" s="130">
        <v>0</v>
      </c>
      <c r="T110" s="130">
        <v>0</v>
      </c>
      <c r="U110" s="130">
        <v>0</v>
      </c>
      <c r="V110" s="130">
        <v>0</v>
      </c>
      <c r="W110" s="130">
        <v>0</v>
      </c>
      <c r="X110" s="130">
        <v>0</v>
      </c>
      <c r="Y110" s="131">
        <f t="shared" si="3"/>
        <v>0</v>
      </c>
    </row>
    <row r="111" spans="1:25" x14ac:dyDescent="0.2">
      <c r="A111" s="23" t="s">
        <v>101</v>
      </c>
      <c r="B111">
        <v>4</v>
      </c>
      <c r="C111" s="23" t="s">
        <v>112</v>
      </c>
      <c r="D111">
        <v>409</v>
      </c>
      <c r="E111" s="130">
        <v>0</v>
      </c>
      <c r="F111" s="130">
        <v>0</v>
      </c>
      <c r="G111" s="130">
        <v>0</v>
      </c>
      <c r="H111" s="130">
        <v>0</v>
      </c>
      <c r="I111" s="130">
        <v>0</v>
      </c>
      <c r="J111" s="130">
        <v>0</v>
      </c>
      <c r="K111" s="130">
        <v>0</v>
      </c>
      <c r="L111" s="130">
        <v>0</v>
      </c>
      <c r="M111" s="130">
        <v>0</v>
      </c>
      <c r="N111" s="130">
        <v>0</v>
      </c>
      <c r="O111" s="130">
        <v>0</v>
      </c>
      <c r="P111" s="130">
        <v>0</v>
      </c>
      <c r="Q111" s="130">
        <v>0</v>
      </c>
      <c r="R111" s="130">
        <v>0</v>
      </c>
      <c r="S111" s="130">
        <v>0</v>
      </c>
      <c r="T111" s="130">
        <v>0</v>
      </c>
      <c r="U111" s="130">
        <v>0</v>
      </c>
      <c r="V111" s="130">
        <v>0</v>
      </c>
      <c r="W111" s="130">
        <v>0</v>
      </c>
      <c r="X111" s="130">
        <v>0</v>
      </c>
      <c r="Y111" s="131">
        <f t="shared" si="3"/>
        <v>0</v>
      </c>
    </row>
    <row r="112" spans="1:25" x14ac:dyDescent="0.2">
      <c r="A112" s="23" t="s">
        <v>101</v>
      </c>
      <c r="B112">
        <v>4</v>
      </c>
      <c r="C112" s="23" t="s">
        <v>112</v>
      </c>
      <c r="D112">
        <v>410</v>
      </c>
      <c r="E112" s="130">
        <v>0</v>
      </c>
      <c r="F112" s="130">
        <v>0</v>
      </c>
      <c r="G112" s="130">
        <v>0</v>
      </c>
      <c r="H112" s="130">
        <v>0</v>
      </c>
      <c r="I112" s="130">
        <v>0</v>
      </c>
      <c r="J112" s="130">
        <v>0</v>
      </c>
      <c r="K112" s="130">
        <v>0</v>
      </c>
      <c r="L112" s="130">
        <v>0</v>
      </c>
      <c r="M112" s="130">
        <v>0</v>
      </c>
      <c r="N112" s="130">
        <v>0</v>
      </c>
      <c r="O112" s="130">
        <v>0</v>
      </c>
      <c r="P112" s="130">
        <v>0</v>
      </c>
      <c r="Q112" s="130">
        <v>0</v>
      </c>
      <c r="R112" s="130">
        <v>0</v>
      </c>
      <c r="S112" s="130">
        <v>0</v>
      </c>
      <c r="T112" s="130">
        <v>0</v>
      </c>
      <c r="U112" s="130">
        <v>0</v>
      </c>
      <c r="V112" s="130">
        <v>0</v>
      </c>
      <c r="W112" s="130">
        <v>0</v>
      </c>
      <c r="X112" s="130">
        <v>0</v>
      </c>
      <c r="Y112" s="131">
        <f t="shared" si="3"/>
        <v>0</v>
      </c>
    </row>
    <row r="113" spans="1:25" x14ac:dyDescent="0.2">
      <c r="A113" s="23" t="s">
        <v>101</v>
      </c>
      <c r="B113">
        <v>4</v>
      </c>
      <c r="C113" s="23" t="s">
        <v>112</v>
      </c>
      <c r="D113">
        <v>411</v>
      </c>
      <c r="E113" s="130">
        <v>0</v>
      </c>
      <c r="F113" s="130">
        <v>0</v>
      </c>
      <c r="G113" s="130">
        <v>0</v>
      </c>
      <c r="H113" s="130">
        <v>0</v>
      </c>
      <c r="I113" s="130">
        <v>0</v>
      </c>
      <c r="J113" s="130">
        <v>0</v>
      </c>
      <c r="K113" s="130">
        <v>0</v>
      </c>
      <c r="L113" s="130">
        <v>0</v>
      </c>
      <c r="M113" s="130">
        <v>0</v>
      </c>
      <c r="N113" s="130">
        <v>0</v>
      </c>
      <c r="O113" s="130">
        <v>0</v>
      </c>
      <c r="P113" s="130">
        <v>0</v>
      </c>
      <c r="Q113" s="130">
        <v>0</v>
      </c>
      <c r="R113" s="130">
        <v>0</v>
      </c>
      <c r="S113" s="130">
        <v>0</v>
      </c>
      <c r="T113" s="130">
        <v>0</v>
      </c>
      <c r="U113" s="130">
        <v>0</v>
      </c>
      <c r="V113" s="130">
        <v>0</v>
      </c>
      <c r="W113" s="130">
        <v>0</v>
      </c>
      <c r="X113" s="130">
        <v>0</v>
      </c>
      <c r="Y113" s="131">
        <f t="shared" si="3"/>
        <v>0</v>
      </c>
    </row>
    <row r="114" spans="1:25" x14ac:dyDescent="0.2">
      <c r="A114" s="23" t="s">
        <v>101</v>
      </c>
      <c r="B114">
        <v>4</v>
      </c>
      <c r="C114" s="23" t="s">
        <v>112</v>
      </c>
      <c r="D114">
        <v>412</v>
      </c>
      <c r="E114" s="130">
        <v>0</v>
      </c>
      <c r="F114" s="130">
        <v>0</v>
      </c>
      <c r="G114" s="130">
        <v>0</v>
      </c>
      <c r="H114" s="130">
        <v>0</v>
      </c>
      <c r="I114" s="130">
        <v>0</v>
      </c>
      <c r="J114" s="130">
        <v>0</v>
      </c>
      <c r="K114" s="130">
        <v>0</v>
      </c>
      <c r="L114" s="130">
        <v>0</v>
      </c>
      <c r="M114" s="130">
        <v>0</v>
      </c>
      <c r="N114" s="130">
        <v>0</v>
      </c>
      <c r="O114" s="130">
        <v>0</v>
      </c>
      <c r="P114" s="130">
        <v>0</v>
      </c>
      <c r="Q114" s="130">
        <v>0</v>
      </c>
      <c r="R114" s="130">
        <v>0</v>
      </c>
      <c r="S114" s="130">
        <v>0</v>
      </c>
      <c r="T114" s="130">
        <v>0</v>
      </c>
      <c r="U114" s="130">
        <v>0</v>
      </c>
      <c r="V114" s="130">
        <v>0</v>
      </c>
      <c r="W114" s="130">
        <v>0</v>
      </c>
      <c r="X114" s="130">
        <v>0</v>
      </c>
      <c r="Y114" s="131">
        <f t="shared" si="3"/>
        <v>0</v>
      </c>
    </row>
    <row r="115" spans="1:25" x14ac:dyDescent="0.2">
      <c r="A115" s="23" t="s">
        <v>101</v>
      </c>
      <c r="B115">
        <v>4</v>
      </c>
      <c r="C115" s="23" t="s">
        <v>112</v>
      </c>
      <c r="D115">
        <v>413</v>
      </c>
      <c r="E115" s="130">
        <v>0</v>
      </c>
      <c r="F115" s="130">
        <v>0</v>
      </c>
      <c r="G115" s="130">
        <v>0</v>
      </c>
      <c r="H115" s="130">
        <v>0</v>
      </c>
      <c r="I115" s="130">
        <v>0</v>
      </c>
      <c r="J115" s="130">
        <v>0</v>
      </c>
      <c r="K115" s="130">
        <v>0</v>
      </c>
      <c r="L115" s="130">
        <v>0</v>
      </c>
      <c r="M115" s="130">
        <v>0</v>
      </c>
      <c r="N115" s="130">
        <v>0</v>
      </c>
      <c r="O115" s="130">
        <v>0</v>
      </c>
      <c r="P115" s="130">
        <v>0</v>
      </c>
      <c r="Q115" s="130">
        <v>0</v>
      </c>
      <c r="R115" s="130">
        <v>0</v>
      </c>
      <c r="S115" s="130">
        <v>0</v>
      </c>
      <c r="T115" s="130">
        <v>0</v>
      </c>
      <c r="U115" s="130">
        <v>0</v>
      </c>
      <c r="V115" s="130">
        <v>0</v>
      </c>
      <c r="W115" s="130">
        <v>0</v>
      </c>
      <c r="X115" s="130">
        <v>0</v>
      </c>
      <c r="Y115" s="131">
        <f t="shared" si="3"/>
        <v>0</v>
      </c>
    </row>
    <row r="116" spans="1:25" x14ac:dyDescent="0.2">
      <c r="A116" s="23" t="s">
        <v>101</v>
      </c>
      <c r="B116">
        <v>4</v>
      </c>
      <c r="C116" s="23" t="s">
        <v>112</v>
      </c>
      <c r="D116">
        <v>414</v>
      </c>
      <c r="E116" s="130">
        <v>0</v>
      </c>
      <c r="F116" s="130">
        <v>0</v>
      </c>
      <c r="G116" s="130">
        <v>0</v>
      </c>
      <c r="H116" s="130">
        <v>0</v>
      </c>
      <c r="I116" s="130">
        <v>0</v>
      </c>
      <c r="J116" s="130">
        <v>0</v>
      </c>
      <c r="K116" s="130">
        <v>0</v>
      </c>
      <c r="L116" s="130">
        <v>0</v>
      </c>
      <c r="M116" s="130">
        <v>0</v>
      </c>
      <c r="N116" s="130">
        <v>0</v>
      </c>
      <c r="O116" s="130">
        <v>0</v>
      </c>
      <c r="P116" s="130">
        <v>0</v>
      </c>
      <c r="Q116" s="130">
        <v>0</v>
      </c>
      <c r="R116" s="130">
        <v>0</v>
      </c>
      <c r="S116" s="130">
        <v>0</v>
      </c>
      <c r="T116" s="130">
        <v>0</v>
      </c>
      <c r="U116" s="130">
        <v>0</v>
      </c>
      <c r="V116" s="130">
        <v>0</v>
      </c>
      <c r="W116" s="130">
        <v>0</v>
      </c>
      <c r="X116" s="130">
        <v>0</v>
      </c>
      <c r="Y116" s="131">
        <f t="shared" si="3"/>
        <v>0</v>
      </c>
    </row>
    <row r="117" spans="1:25" x14ac:dyDescent="0.2">
      <c r="A117" s="23" t="s">
        <v>101</v>
      </c>
      <c r="B117">
        <v>4</v>
      </c>
      <c r="C117" s="23" t="s">
        <v>112</v>
      </c>
      <c r="D117">
        <v>415</v>
      </c>
      <c r="E117" s="130">
        <v>0</v>
      </c>
      <c r="F117" s="130">
        <v>0</v>
      </c>
      <c r="G117" s="130">
        <v>0</v>
      </c>
      <c r="H117" s="130">
        <v>0</v>
      </c>
      <c r="I117" s="130">
        <v>0</v>
      </c>
      <c r="J117" s="130">
        <v>0</v>
      </c>
      <c r="K117" s="130">
        <v>0</v>
      </c>
      <c r="L117" s="130">
        <v>0</v>
      </c>
      <c r="M117" s="130">
        <v>0</v>
      </c>
      <c r="N117" s="130">
        <v>0</v>
      </c>
      <c r="O117" s="130">
        <v>0</v>
      </c>
      <c r="P117" s="130">
        <v>0</v>
      </c>
      <c r="Q117" s="130">
        <v>0</v>
      </c>
      <c r="R117" s="130">
        <v>0</v>
      </c>
      <c r="S117" s="130">
        <v>0</v>
      </c>
      <c r="T117" s="130">
        <v>0</v>
      </c>
      <c r="U117" s="130">
        <v>0</v>
      </c>
      <c r="V117" s="130">
        <v>0</v>
      </c>
      <c r="W117" s="130">
        <v>0</v>
      </c>
      <c r="X117" s="130">
        <v>0</v>
      </c>
      <c r="Y117" s="131">
        <f t="shared" si="3"/>
        <v>0</v>
      </c>
    </row>
    <row r="118" spans="1:25" x14ac:dyDescent="0.2">
      <c r="A118" s="23" t="s">
        <v>101</v>
      </c>
      <c r="B118">
        <v>4</v>
      </c>
      <c r="C118" s="23" t="s">
        <v>112</v>
      </c>
      <c r="D118">
        <v>416</v>
      </c>
      <c r="E118" s="130">
        <v>0</v>
      </c>
      <c r="F118" s="130">
        <v>0</v>
      </c>
      <c r="G118" s="130">
        <v>0</v>
      </c>
      <c r="H118" s="130">
        <v>0</v>
      </c>
      <c r="I118" s="130">
        <v>0</v>
      </c>
      <c r="J118" s="130">
        <v>0</v>
      </c>
      <c r="K118" s="130">
        <v>0</v>
      </c>
      <c r="L118" s="130">
        <v>0</v>
      </c>
      <c r="M118" s="130">
        <v>0</v>
      </c>
      <c r="N118" s="130">
        <v>0</v>
      </c>
      <c r="O118" s="130">
        <v>0</v>
      </c>
      <c r="P118" s="130">
        <v>0</v>
      </c>
      <c r="Q118" s="130">
        <v>0</v>
      </c>
      <c r="R118" s="130">
        <v>0</v>
      </c>
      <c r="S118" s="130">
        <v>0</v>
      </c>
      <c r="T118" s="130">
        <v>0</v>
      </c>
      <c r="U118" s="130">
        <v>0</v>
      </c>
      <c r="V118" s="130">
        <v>0</v>
      </c>
      <c r="W118" s="130">
        <v>0</v>
      </c>
      <c r="X118" s="130">
        <v>0</v>
      </c>
      <c r="Y118" s="131">
        <f t="shared" si="3"/>
        <v>0</v>
      </c>
    </row>
    <row r="119" spans="1:25" x14ac:dyDescent="0.2">
      <c r="A119" s="23" t="s">
        <v>101</v>
      </c>
      <c r="B119">
        <v>4</v>
      </c>
      <c r="C119" s="23" t="s">
        <v>112</v>
      </c>
      <c r="D119">
        <v>417</v>
      </c>
      <c r="E119" s="130">
        <v>0</v>
      </c>
      <c r="F119" s="130">
        <v>0</v>
      </c>
      <c r="G119" s="130">
        <v>0</v>
      </c>
      <c r="H119" s="130">
        <v>0</v>
      </c>
      <c r="I119" s="130">
        <v>0</v>
      </c>
      <c r="J119" s="130">
        <v>0</v>
      </c>
      <c r="K119" s="130">
        <v>0</v>
      </c>
      <c r="L119" s="130">
        <v>0</v>
      </c>
      <c r="M119" s="130">
        <v>0</v>
      </c>
      <c r="N119" s="130">
        <v>0</v>
      </c>
      <c r="O119" s="130">
        <v>0</v>
      </c>
      <c r="P119" s="130">
        <v>0</v>
      </c>
      <c r="Q119" s="130">
        <v>0</v>
      </c>
      <c r="R119" s="130">
        <v>0</v>
      </c>
      <c r="S119" s="130">
        <v>0</v>
      </c>
      <c r="T119" s="130">
        <v>0</v>
      </c>
      <c r="U119" s="130">
        <v>0</v>
      </c>
      <c r="V119" s="130">
        <v>0</v>
      </c>
      <c r="W119" s="130">
        <v>0</v>
      </c>
      <c r="X119" s="130">
        <v>0</v>
      </c>
      <c r="Y119" s="131">
        <f t="shared" si="3"/>
        <v>0</v>
      </c>
    </row>
    <row r="120" spans="1:25" x14ac:dyDescent="0.2">
      <c r="A120" s="23" t="s">
        <v>101</v>
      </c>
      <c r="B120">
        <v>4</v>
      </c>
      <c r="C120" s="23" t="s">
        <v>112</v>
      </c>
      <c r="D120">
        <v>418</v>
      </c>
      <c r="E120" s="130">
        <v>0</v>
      </c>
      <c r="F120" s="130">
        <v>0</v>
      </c>
      <c r="G120" s="130">
        <v>0</v>
      </c>
      <c r="H120" s="130">
        <v>0</v>
      </c>
      <c r="I120" s="130">
        <v>0</v>
      </c>
      <c r="J120" s="130">
        <v>0</v>
      </c>
      <c r="K120" s="130">
        <v>0</v>
      </c>
      <c r="L120" s="130">
        <v>0</v>
      </c>
      <c r="M120" s="130">
        <v>0</v>
      </c>
      <c r="N120" s="130">
        <v>0</v>
      </c>
      <c r="O120" s="130">
        <v>0</v>
      </c>
      <c r="P120" s="130">
        <v>0</v>
      </c>
      <c r="Q120" s="130">
        <v>0</v>
      </c>
      <c r="R120" s="130">
        <v>0</v>
      </c>
      <c r="S120" s="130">
        <v>0</v>
      </c>
      <c r="T120" s="130">
        <v>0</v>
      </c>
      <c r="U120" s="130">
        <v>0</v>
      </c>
      <c r="V120" s="130">
        <v>0</v>
      </c>
      <c r="W120" s="130">
        <v>0</v>
      </c>
      <c r="X120" s="130">
        <v>0</v>
      </c>
      <c r="Y120" s="131">
        <f t="shared" si="3"/>
        <v>0</v>
      </c>
    </row>
    <row r="121" spans="1:25" x14ac:dyDescent="0.2">
      <c r="A121" s="23" t="s">
        <v>101</v>
      </c>
      <c r="B121">
        <v>4</v>
      </c>
      <c r="C121" s="23" t="s">
        <v>112</v>
      </c>
      <c r="D121">
        <v>419</v>
      </c>
      <c r="E121" s="130">
        <v>0</v>
      </c>
      <c r="F121" s="130">
        <v>0</v>
      </c>
      <c r="G121" s="130">
        <v>0</v>
      </c>
      <c r="H121" s="130">
        <v>0</v>
      </c>
      <c r="I121" s="130">
        <v>0</v>
      </c>
      <c r="J121" s="130">
        <v>0</v>
      </c>
      <c r="K121" s="130">
        <v>0</v>
      </c>
      <c r="L121" s="130">
        <v>0</v>
      </c>
      <c r="M121" s="130">
        <v>0</v>
      </c>
      <c r="N121" s="130">
        <v>0</v>
      </c>
      <c r="O121" s="130">
        <v>0</v>
      </c>
      <c r="P121" s="130">
        <v>0</v>
      </c>
      <c r="Q121" s="130">
        <v>0</v>
      </c>
      <c r="R121" s="130">
        <v>0</v>
      </c>
      <c r="S121" s="130">
        <v>0</v>
      </c>
      <c r="T121" s="130">
        <v>0</v>
      </c>
      <c r="U121" s="130">
        <v>0</v>
      </c>
      <c r="V121" s="130">
        <v>0</v>
      </c>
      <c r="W121" s="130">
        <v>0</v>
      </c>
      <c r="X121" s="130">
        <v>0</v>
      </c>
      <c r="Y121" s="131">
        <f t="shared" si="3"/>
        <v>0</v>
      </c>
    </row>
    <row r="122" spans="1:25" x14ac:dyDescent="0.2">
      <c r="A122" s="23" t="s">
        <v>101</v>
      </c>
      <c r="B122">
        <v>4</v>
      </c>
      <c r="C122" s="23" t="s">
        <v>112</v>
      </c>
      <c r="D122">
        <v>420</v>
      </c>
      <c r="E122" s="130">
        <v>0</v>
      </c>
      <c r="F122" s="130">
        <v>0</v>
      </c>
      <c r="G122" s="130">
        <v>0</v>
      </c>
      <c r="H122" s="130">
        <v>0</v>
      </c>
      <c r="I122" s="130">
        <v>0</v>
      </c>
      <c r="J122" s="130">
        <v>0</v>
      </c>
      <c r="K122" s="130">
        <v>0</v>
      </c>
      <c r="L122" s="130">
        <v>0</v>
      </c>
      <c r="M122" s="130">
        <v>0</v>
      </c>
      <c r="N122" s="130">
        <v>0</v>
      </c>
      <c r="O122" s="130">
        <v>0</v>
      </c>
      <c r="P122" s="130">
        <v>0</v>
      </c>
      <c r="Q122" s="130">
        <v>0</v>
      </c>
      <c r="R122" s="130">
        <v>0</v>
      </c>
      <c r="S122" s="130">
        <v>0</v>
      </c>
      <c r="T122" s="130">
        <v>0</v>
      </c>
      <c r="U122" s="130">
        <v>0</v>
      </c>
      <c r="V122" s="130">
        <v>0</v>
      </c>
      <c r="W122" s="130">
        <v>0</v>
      </c>
      <c r="X122" s="130">
        <v>0</v>
      </c>
      <c r="Y122" s="131">
        <f t="shared" si="3"/>
        <v>0</v>
      </c>
    </row>
    <row r="123" spans="1:25" x14ac:dyDescent="0.2">
      <c r="A123" s="23" t="s">
        <v>101</v>
      </c>
      <c r="B123">
        <v>4</v>
      </c>
      <c r="C123" s="23" t="s">
        <v>112</v>
      </c>
      <c r="D123">
        <v>421</v>
      </c>
      <c r="E123" s="130">
        <v>0</v>
      </c>
      <c r="F123" s="130">
        <v>0</v>
      </c>
      <c r="G123" s="130">
        <v>0</v>
      </c>
      <c r="H123" s="130">
        <v>0</v>
      </c>
      <c r="I123" s="130">
        <v>0</v>
      </c>
      <c r="J123" s="130">
        <v>0</v>
      </c>
      <c r="K123" s="130">
        <v>0</v>
      </c>
      <c r="L123" s="130">
        <v>0</v>
      </c>
      <c r="M123" s="130">
        <v>0</v>
      </c>
      <c r="N123" s="130">
        <v>0</v>
      </c>
      <c r="O123" s="130">
        <v>0</v>
      </c>
      <c r="P123" s="130">
        <v>0</v>
      </c>
      <c r="Q123" s="130">
        <v>0</v>
      </c>
      <c r="R123" s="130">
        <v>0</v>
      </c>
      <c r="S123" s="130">
        <v>0</v>
      </c>
      <c r="T123" s="130">
        <v>0</v>
      </c>
      <c r="U123" s="130">
        <v>0</v>
      </c>
      <c r="V123" s="130">
        <v>0</v>
      </c>
      <c r="W123" s="130">
        <v>0</v>
      </c>
      <c r="X123" s="130">
        <v>0</v>
      </c>
      <c r="Y123" s="131">
        <f t="shared" si="3"/>
        <v>0</v>
      </c>
    </row>
    <row r="124" spans="1:25" x14ac:dyDescent="0.2">
      <c r="A124" s="23" t="s">
        <v>101</v>
      </c>
      <c r="B124">
        <v>4</v>
      </c>
      <c r="C124" s="23" t="s">
        <v>112</v>
      </c>
      <c r="D124">
        <v>422</v>
      </c>
      <c r="E124" s="130">
        <v>0</v>
      </c>
      <c r="F124" s="130">
        <v>0</v>
      </c>
      <c r="G124" s="130">
        <v>0</v>
      </c>
      <c r="H124" s="130">
        <v>0</v>
      </c>
      <c r="I124" s="130">
        <v>0</v>
      </c>
      <c r="J124" s="130">
        <v>0</v>
      </c>
      <c r="K124" s="130">
        <v>0</v>
      </c>
      <c r="L124" s="130">
        <v>0</v>
      </c>
      <c r="M124" s="130">
        <v>0</v>
      </c>
      <c r="N124" s="130">
        <v>0</v>
      </c>
      <c r="O124" s="130">
        <v>0</v>
      </c>
      <c r="P124" s="130">
        <v>0</v>
      </c>
      <c r="Q124" s="130">
        <v>0</v>
      </c>
      <c r="R124" s="130">
        <v>0</v>
      </c>
      <c r="S124" s="130">
        <v>0</v>
      </c>
      <c r="T124" s="130">
        <v>0</v>
      </c>
      <c r="U124" s="130">
        <v>0</v>
      </c>
      <c r="V124" s="130">
        <v>0</v>
      </c>
      <c r="W124" s="130">
        <v>0</v>
      </c>
      <c r="X124" s="130">
        <v>0</v>
      </c>
      <c r="Y124" s="131">
        <f t="shared" si="3"/>
        <v>0</v>
      </c>
    </row>
    <row r="125" spans="1:25" x14ac:dyDescent="0.2">
      <c r="A125" s="23" t="s">
        <v>101</v>
      </c>
      <c r="B125">
        <v>4</v>
      </c>
      <c r="C125" s="23" t="s">
        <v>112</v>
      </c>
      <c r="D125">
        <v>423</v>
      </c>
      <c r="E125" s="130">
        <v>0</v>
      </c>
      <c r="F125" s="130">
        <v>0</v>
      </c>
      <c r="G125" s="130">
        <v>0</v>
      </c>
      <c r="H125" s="130">
        <v>0</v>
      </c>
      <c r="I125" s="130">
        <v>0</v>
      </c>
      <c r="J125" s="130">
        <v>0</v>
      </c>
      <c r="K125" s="130">
        <v>0</v>
      </c>
      <c r="L125" s="130">
        <v>0</v>
      </c>
      <c r="M125" s="130">
        <v>0</v>
      </c>
      <c r="N125" s="130">
        <v>0</v>
      </c>
      <c r="O125" s="130">
        <v>0</v>
      </c>
      <c r="P125" s="130">
        <v>0</v>
      </c>
      <c r="Q125" s="130">
        <v>0</v>
      </c>
      <c r="R125" s="130">
        <v>0</v>
      </c>
      <c r="S125" s="130">
        <v>0</v>
      </c>
      <c r="T125" s="130">
        <v>0</v>
      </c>
      <c r="U125" s="130">
        <v>0</v>
      </c>
      <c r="V125" s="130">
        <v>0</v>
      </c>
      <c r="W125" s="130">
        <v>0</v>
      </c>
      <c r="X125" s="130">
        <v>0</v>
      </c>
      <c r="Y125" s="131">
        <f t="shared" si="3"/>
        <v>0</v>
      </c>
    </row>
    <row r="126" spans="1:25" x14ac:dyDescent="0.2">
      <c r="A126" s="23" t="s">
        <v>101</v>
      </c>
      <c r="B126">
        <v>4</v>
      </c>
      <c r="C126" s="23" t="s">
        <v>111</v>
      </c>
      <c r="D126">
        <v>401</v>
      </c>
      <c r="E126" s="130">
        <v>100</v>
      </c>
      <c r="F126" s="130">
        <v>100</v>
      </c>
      <c r="G126" s="130">
        <v>0</v>
      </c>
      <c r="H126" s="130">
        <v>0</v>
      </c>
      <c r="I126" s="130">
        <v>100</v>
      </c>
      <c r="J126" s="130">
        <v>50</v>
      </c>
      <c r="K126" s="130">
        <v>0</v>
      </c>
      <c r="L126" s="130">
        <v>0</v>
      </c>
      <c r="M126" s="130">
        <v>0</v>
      </c>
      <c r="N126" s="130">
        <v>0</v>
      </c>
      <c r="O126" s="130">
        <v>0</v>
      </c>
      <c r="P126" s="130">
        <v>0</v>
      </c>
      <c r="Q126" s="130">
        <v>80</v>
      </c>
      <c r="R126" s="130">
        <v>0</v>
      </c>
      <c r="S126" s="130">
        <v>0</v>
      </c>
      <c r="T126" s="130">
        <v>0</v>
      </c>
      <c r="U126" s="130">
        <v>0</v>
      </c>
      <c r="V126" s="130">
        <v>0</v>
      </c>
      <c r="W126" s="130">
        <v>0</v>
      </c>
      <c r="X126" s="130">
        <v>0</v>
      </c>
      <c r="Y126" s="131">
        <f t="shared" si="3"/>
        <v>21.5</v>
      </c>
    </row>
    <row r="127" spans="1:25" x14ac:dyDescent="0.2">
      <c r="A127" s="23" t="s">
        <v>101</v>
      </c>
      <c r="B127">
        <v>4</v>
      </c>
      <c r="C127" s="23" t="s">
        <v>111</v>
      </c>
      <c r="D127">
        <v>402</v>
      </c>
      <c r="E127" s="130">
        <v>100</v>
      </c>
      <c r="F127" s="130">
        <v>100</v>
      </c>
      <c r="G127" s="130">
        <v>15</v>
      </c>
      <c r="H127" s="130">
        <v>0</v>
      </c>
      <c r="I127" s="130">
        <v>100</v>
      </c>
      <c r="J127" s="130">
        <v>30</v>
      </c>
      <c r="K127" s="130">
        <v>0</v>
      </c>
      <c r="L127" s="130">
        <v>0</v>
      </c>
      <c r="M127" s="130">
        <v>0</v>
      </c>
      <c r="N127" s="130">
        <v>0</v>
      </c>
      <c r="O127" s="130">
        <v>0</v>
      </c>
      <c r="P127" s="130">
        <v>0</v>
      </c>
      <c r="Q127" s="130">
        <v>85</v>
      </c>
      <c r="R127" s="130">
        <v>0</v>
      </c>
      <c r="S127" s="130">
        <v>0</v>
      </c>
      <c r="T127" s="130">
        <v>0</v>
      </c>
      <c r="U127" s="130">
        <v>0</v>
      </c>
      <c r="V127" s="130">
        <v>0</v>
      </c>
      <c r="W127" s="130">
        <v>0</v>
      </c>
      <c r="X127" s="130">
        <v>0</v>
      </c>
      <c r="Y127" s="131">
        <f t="shared" si="3"/>
        <v>21.5</v>
      </c>
    </row>
    <row r="128" spans="1:25" x14ac:dyDescent="0.2">
      <c r="A128" s="23" t="s">
        <v>101</v>
      </c>
      <c r="B128">
        <v>4</v>
      </c>
      <c r="C128" s="23" t="s">
        <v>111</v>
      </c>
      <c r="D128">
        <v>403</v>
      </c>
      <c r="E128" s="130">
        <v>100</v>
      </c>
      <c r="F128" s="130">
        <v>100</v>
      </c>
      <c r="G128" s="130">
        <v>15</v>
      </c>
      <c r="H128" s="130">
        <v>0</v>
      </c>
      <c r="I128" s="130">
        <v>100</v>
      </c>
      <c r="J128" s="130">
        <v>0</v>
      </c>
      <c r="K128" s="130">
        <v>0</v>
      </c>
      <c r="L128" s="130">
        <v>0</v>
      </c>
      <c r="M128" s="130">
        <v>0</v>
      </c>
      <c r="N128" s="130">
        <v>0</v>
      </c>
      <c r="O128" s="130">
        <v>0</v>
      </c>
      <c r="P128" s="130">
        <v>0</v>
      </c>
      <c r="Q128" s="130">
        <v>75</v>
      </c>
      <c r="R128" s="130">
        <v>0</v>
      </c>
      <c r="S128" s="130">
        <v>0</v>
      </c>
      <c r="T128" s="130">
        <v>0</v>
      </c>
      <c r="U128" s="130">
        <v>0</v>
      </c>
      <c r="V128" s="130">
        <v>0</v>
      </c>
      <c r="W128" s="130">
        <v>0</v>
      </c>
      <c r="X128" s="130">
        <v>0</v>
      </c>
      <c r="Y128" s="131">
        <f t="shared" si="3"/>
        <v>19.5</v>
      </c>
    </row>
    <row r="129" spans="1:25" x14ac:dyDescent="0.2">
      <c r="A129" s="23" t="s">
        <v>101</v>
      </c>
      <c r="B129">
        <v>4</v>
      </c>
      <c r="C129" s="23" t="s">
        <v>111</v>
      </c>
      <c r="D129">
        <v>404</v>
      </c>
      <c r="E129" s="130">
        <v>100</v>
      </c>
      <c r="F129" s="130">
        <v>100</v>
      </c>
      <c r="G129" s="130">
        <v>15</v>
      </c>
      <c r="H129" s="130">
        <v>0</v>
      </c>
      <c r="I129" s="130">
        <v>100</v>
      </c>
      <c r="J129" s="130">
        <v>0</v>
      </c>
      <c r="K129" s="130">
        <v>0</v>
      </c>
      <c r="L129" s="130">
        <v>0</v>
      </c>
      <c r="M129" s="130">
        <v>0</v>
      </c>
      <c r="N129" s="130">
        <v>0</v>
      </c>
      <c r="O129" s="130">
        <v>0</v>
      </c>
      <c r="P129" s="130">
        <v>0</v>
      </c>
      <c r="Q129" s="130">
        <v>75</v>
      </c>
      <c r="R129" s="130">
        <v>0</v>
      </c>
      <c r="S129" s="130">
        <v>0</v>
      </c>
      <c r="T129" s="130">
        <v>0</v>
      </c>
      <c r="U129" s="130">
        <v>0</v>
      </c>
      <c r="V129" s="130">
        <v>0</v>
      </c>
      <c r="W129" s="130">
        <v>0</v>
      </c>
      <c r="X129" s="130">
        <v>0</v>
      </c>
      <c r="Y129" s="131">
        <f t="shared" si="3"/>
        <v>19.5</v>
      </c>
    </row>
    <row r="130" spans="1:25" x14ac:dyDescent="0.2">
      <c r="A130" s="23" t="s">
        <v>101</v>
      </c>
      <c r="B130">
        <v>4</v>
      </c>
      <c r="C130" s="23" t="s">
        <v>111</v>
      </c>
      <c r="D130">
        <v>405</v>
      </c>
      <c r="E130" s="130">
        <v>100</v>
      </c>
      <c r="F130" s="130">
        <v>100</v>
      </c>
      <c r="G130" s="130">
        <v>15</v>
      </c>
      <c r="H130" s="130">
        <v>0</v>
      </c>
      <c r="I130" s="130">
        <v>100</v>
      </c>
      <c r="J130" s="130">
        <v>0</v>
      </c>
      <c r="K130" s="130">
        <v>0</v>
      </c>
      <c r="L130" s="130">
        <v>0</v>
      </c>
      <c r="M130" s="130">
        <v>0</v>
      </c>
      <c r="N130" s="130">
        <v>0</v>
      </c>
      <c r="O130" s="130">
        <v>0</v>
      </c>
      <c r="P130" s="130">
        <v>0</v>
      </c>
      <c r="Q130" s="130">
        <v>75</v>
      </c>
      <c r="R130" s="130">
        <v>0</v>
      </c>
      <c r="S130" s="130">
        <v>0</v>
      </c>
      <c r="T130" s="130">
        <v>0</v>
      </c>
      <c r="U130" s="130">
        <v>0</v>
      </c>
      <c r="V130" s="130">
        <v>0</v>
      </c>
      <c r="W130" s="130">
        <v>0</v>
      </c>
      <c r="X130" s="130">
        <v>0</v>
      </c>
      <c r="Y130" s="131">
        <f t="shared" ref="Y130:Y193" si="5">AVERAGE(E130:X130)</f>
        <v>19.5</v>
      </c>
    </row>
    <row r="131" spans="1:25" x14ac:dyDescent="0.2">
      <c r="A131" s="23" t="s">
        <v>101</v>
      </c>
      <c r="B131">
        <v>4</v>
      </c>
      <c r="C131" s="23" t="s">
        <v>111</v>
      </c>
      <c r="D131">
        <v>406</v>
      </c>
      <c r="E131" s="130">
        <v>100</v>
      </c>
      <c r="F131" s="130">
        <v>100</v>
      </c>
      <c r="G131" s="130">
        <v>0</v>
      </c>
      <c r="H131" s="130">
        <v>0</v>
      </c>
      <c r="I131" s="130">
        <v>100</v>
      </c>
      <c r="J131" s="130">
        <v>0</v>
      </c>
      <c r="K131" s="130">
        <v>0</v>
      </c>
      <c r="L131" s="130">
        <v>0</v>
      </c>
      <c r="M131" s="130">
        <v>0</v>
      </c>
      <c r="N131" s="130">
        <v>0</v>
      </c>
      <c r="O131" s="130">
        <v>0</v>
      </c>
      <c r="P131" s="130">
        <v>0</v>
      </c>
      <c r="Q131" s="130">
        <v>0</v>
      </c>
      <c r="R131" s="130">
        <v>0</v>
      </c>
      <c r="S131" s="130">
        <v>0</v>
      </c>
      <c r="T131" s="130">
        <v>0</v>
      </c>
      <c r="U131" s="130">
        <v>0</v>
      </c>
      <c r="V131" s="130">
        <v>0</v>
      </c>
      <c r="W131" s="130">
        <v>0</v>
      </c>
      <c r="X131" s="130">
        <v>0</v>
      </c>
      <c r="Y131" s="131">
        <f t="shared" si="5"/>
        <v>15</v>
      </c>
    </row>
    <row r="132" spans="1:25" x14ac:dyDescent="0.2">
      <c r="A132" s="23" t="s">
        <v>101</v>
      </c>
      <c r="B132">
        <v>4</v>
      </c>
      <c r="C132" s="23" t="s">
        <v>111</v>
      </c>
      <c r="D132">
        <v>407</v>
      </c>
      <c r="E132" s="130">
        <v>100</v>
      </c>
      <c r="F132" s="130">
        <v>100</v>
      </c>
      <c r="G132" s="130">
        <v>0</v>
      </c>
      <c r="H132" s="130">
        <v>0</v>
      </c>
      <c r="I132" s="130">
        <v>100</v>
      </c>
      <c r="J132" s="130">
        <v>0</v>
      </c>
      <c r="K132" s="130">
        <v>0</v>
      </c>
      <c r="L132" s="130">
        <v>0</v>
      </c>
      <c r="M132" s="130">
        <v>0</v>
      </c>
      <c r="N132" s="130">
        <v>0</v>
      </c>
      <c r="O132" s="130">
        <v>0</v>
      </c>
      <c r="P132" s="130">
        <v>0</v>
      </c>
      <c r="Q132" s="130">
        <v>0</v>
      </c>
      <c r="R132" s="130">
        <v>0</v>
      </c>
      <c r="S132" s="130">
        <v>0</v>
      </c>
      <c r="T132" s="130">
        <v>0</v>
      </c>
      <c r="U132" s="130">
        <v>0</v>
      </c>
      <c r="V132" s="130">
        <v>0</v>
      </c>
      <c r="W132" s="130">
        <v>0</v>
      </c>
      <c r="X132" s="130">
        <v>0</v>
      </c>
      <c r="Y132" s="131">
        <f t="shared" si="5"/>
        <v>15</v>
      </c>
    </row>
    <row r="133" spans="1:25" x14ac:dyDescent="0.2">
      <c r="A133" s="23" t="s">
        <v>101</v>
      </c>
      <c r="B133">
        <v>4</v>
      </c>
      <c r="C133" s="23" t="s">
        <v>111</v>
      </c>
      <c r="D133">
        <v>408</v>
      </c>
      <c r="E133" s="130">
        <v>100</v>
      </c>
      <c r="F133" s="130">
        <v>100</v>
      </c>
      <c r="G133" s="130">
        <v>0</v>
      </c>
      <c r="H133" s="130">
        <v>0</v>
      </c>
      <c r="I133" s="130">
        <v>100</v>
      </c>
      <c r="J133" s="130">
        <v>0</v>
      </c>
      <c r="K133" s="130">
        <v>0</v>
      </c>
      <c r="L133" s="130">
        <v>0</v>
      </c>
      <c r="M133" s="130">
        <v>0</v>
      </c>
      <c r="N133" s="130">
        <v>0</v>
      </c>
      <c r="O133" s="130">
        <v>0</v>
      </c>
      <c r="P133" s="130">
        <v>0</v>
      </c>
      <c r="Q133" s="130">
        <v>0</v>
      </c>
      <c r="R133" s="130">
        <v>0</v>
      </c>
      <c r="S133" s="130">
        <v>0</v>
      </c>
      <c r="T133" s="130">
        <v>0</v>
      </c>
      <c r="U133" s="130">
        <v>0</v>
      </c>
      <c r="V133" s="130">
        <v>0</v>
      </c>
      <c r="W133" s="130">
        <v>0</v>
      </c>
      <c r="X133" s="130">
        <v>0</v>
      </c>
      <c r="Y133" s="131">
        <f t="shared" si="5"/>
        <v>15</v>
      </c>
    </row>
    <row r="134" spans="1:25" x14ac:dyDescent="0.2">
      <c r="A134" s="23" t="s">
        <v>101</v>
      </c>
      <c r="B134">
        <v>4</v>
      </c>
      <c r="C134" s="23" t="s">
        <v>111</v>
      </c>
      <c r="D134">
        <v>409</v>
      </c>
      <c r="E134" s="130">
        <v>100</v>
      </c>
      <c r="F134" s="130">
        <v>100</v>
      </c>
      <c r="G134" s="130">
        <v>0</v>
      </c>
      <c r="H134" s="130">
        <v>0</v>
      </c>
      <c r="I134" s="130">
        <v>100</v>
      </c>
      <c r="J134" s="130">
        <v>0</v>
      </c>
      <c r="K134" s="130">
        <v>0</v>
      </c>
      <c r="L134" s="130">
        <v>0</v>
      </c>
      <c r="M134" s="130">
        <v>0</v>
      </c>
      <c r="N134" s="130">
        <v>0</v>
      </c>
      <c r="O134" s="130">
        <v>0</v>
      </c>
      <c r="P134" s="130">
        <v>0</v>
      </c>
      <c r="Q134" s="130">
        <v>0</v>
      </c>
      <c r="R134" s="130">
        <v>0</v>
      </c>
      <c r="S134" s="130">
        <v>0</v>
      </c>
      <c r="T134" s="130">
        <v>0</v>
      </c>
      <c r="U134" s="130">
        <v>0</v>
      </c>
      <c r="V134" s="130">
        <v>0</v>
      </c>
      <c r="W134" s="130">
        <v>0</v>
      </c>
      <c r="X134" s="130">
        <v>0</v>
      </c>
      <c r="Y134" s="131">
        <f t="shared" si="5"/>
        <v>15</v>
      </c>
    </row>
    <row r="135" spans="1:25" x14ac:dyDescent="0.2">
      <c r="A135" s="23" t="s">
        <v>101</v>
      </c>
      <c r="B135">
        <v>4</v>
      </c>
      <c r="C135" s="23" t="s">
        <v>111</v>
      </c>
      <c r="D135">
        <v>410</v>
      </c>
      <c r="E135" s="130">
        <v>100</v>
      </c>
      <c r="F135" s="130">
        <v>100</v>
      </c>
      <c r="G135" s="130">
        <v>0</v>
      </c>
      <c r="H135" s="130">
        <v>0</v>
      </c>
      <c r="I135" s="130">
        <v>100</v>
      </c>
      <c r="J135" s="130">
        <v>0</v>
      </c>
      <c r="K135" s="130">
        <v>0</v>
      </c>
      <c r="L135" s="130">
        <v>0</v>
      </c>
      <c r="M135" s="130">
        <v>0</v>
      </c>
      <c r="N135" s="130">
        <v>0</v>
      </c>
      <c r="O135" s="130">
        <v>0</v>
      </c>
      <c r="P135" s="130">
        <v>0</v>
      </c>
      <c r="Q135" s="130">
        <v>0</v>
      </c>
      <c r="R135" s="130">
        <v>0</v>
      </c>
      <c r="S135" s="130">
        <v>0</v>
      </c>
      <c r="T135" s="130">
        <v>0</v>
      </c>
      <c r="U135" s="130">
        <v>0</v>
      </c>
      <c r="V135" s="130">
        <v>0</v>
      </c>
      <c r="W135" s="130">
        <v>0</v>
      </c>
      <c r="X135" s="130">
        <v>0</v>
      </c>
      <c r="Y135" s="131">
        <f t="shared" si="5"/>
        <v>15</v>
      </c>
    </row>
    <row r="136" spans="1:25" x14ac:dyDescent="0.2">
      <c r="A136" s="23" t="s">
        <v>101</v>
      </c>
      <c r="B136">
        <v>4</v>
      </c>
      <c r="C136" s="23" t="s">
        <v>111</v>
      </c>
      <c r="D136">
        <v>411</v>
      </c>
      <c r="E136" s="130">
        <v>100</v>
      </c>
      <c r="F136" s="130">
        <v>100</v>
      </c>
      <c r="G136" s="130">
        <v>0</v>
      </c>
      <c r="H136" s="130">
        <v>0</v>
      </c>
      <c r="I136" s="130">
        <v>100</v>
      </c>
      <c r="J136" s="130">
        <v>0</v>
      </c>
      <c r="K136" s="130">
        <v>0</v>
      </c>
      <c r="L136" s="130">
        <v>0</v>
      </c>
      <c r="M136" s="130">
        <v>0</v>
      </c>
      <c r="N136" s="130">
        <v>0</v>
      </c>
      <c r="O136" s="130">
        <v>0</v>
      </c>
      <c r="P136" s="130">
        <v>0</v>
      </c>
      <c r="Q136" s="130">
        <v>80</v>
      </c>
      <c r="R136" s="130">
        <v>0</v>
      </c>
      <c r="S136" s="130">
        <v>0</v>
      </c>
      <c r="T136" s="130">
        <v>0</v>
      </c>
      <c r="U136" s="130">
        <v>0</v>
      </c>
      <c r="V136" s="130">
        <v>0</v>
      </c>
      <c r="W136" s="130">
        <v>0</v>
      </c>
      <c r="X136" s="130">
        <v>0</v>
      </c>
      <c r="Y136" s="131">
        <f t="shared" si="5"/>
        <v>19</v>
      </c>
    </row>
    <row r="137" spans="1:25" x14ac:dyDescent="0.2">
      <c r="A137" s="23" t="s">
        <v>101</v>
      </c>
      <c r="B137">
        <v>4</v>
      </c>
      <c r="C137" s="23" t="s">
        <v>111</v>
      </c>
      <c r="D137">
        <v>412</v>
      </c>
      <c r="E137" s="130">
        <v>100</v>
      </c>
      <c r="F137" s="130">
        <v>100</v>
      </c>
      <c r="G137" s="130">
        <v>0</v>
      </c>
      <c r="H137" s="130">
        <v>0</v>
      </c>
      <c r="I137" s="130">
        <v>100</v>
      </c>
      <c r="J137" s="130">
        <v>0</v>
      </c>
      <c r="K137" s="130">
        <v>0</v>
      </c>
      <c r="L137" s="130">
        <v>0</v>
      </c>
      <c r="M137" s="130">
        <v>0</v>
      </c>
      <c r="N137" s="130">
        <v>0</v>
      </c>
      <c r="O137" s="130">
        <v>0</v>
      </c>
      <c r="P137" s="130">
        <v>0</v>
      </c>
      <c r="Q137" s="130">
        <v>85</v>
      </c>
      <c r="R137" s="130">
        <v>0</v>
      </c>
      <c r="S137" s="130">
        <v>0</v>
      </c>
      <c r="T137" s="130">
        <v>0</v>
      </c>
      <c r="U137" s="130">
        <v>0</v>
      </c>
      <c r="V137" s="130">
        <v>0</v>
      </c>
      <c r="W137" s="130">
        <v>0</v>
      </c>
      <c r="X137" s="130">
        <v>0</v>
      </c>
      <c r="Y137" s="131">
        <f t="shared" si="5"/>
        <v>19.25</v>
      </c>
    </row>
    <row r="138" spans="1:25" x14ac:dyDescent="0.2">
      <c r="A138" s="23" t="s">
        <v>101</v>
      </c>
      <c r="B138">
        <v>4</v>
      </c>
      <c r="C138" s="23" t="s">
        <v>111</v>
      </c>
      <c r="D138">
        <v>413</v>
      </c>
      <c r="E138" s="130">
        <v>100</v>
      </c>
      <c r="F138" s="130">
        <v>100</v>
      </c>
      <c r="G138" s="130">
        <v>0</v>
      </c>
      <c r="H138" s="130">
        <v>0</v>
      </c>
      <c r="I138" s="130">
        <v>100</v>
      </c>
      <c r="J138" s="130">
        <v>0</v>
      </c>
      <c r="K138" s="130">
        <v>0</v>
      </c>
      <c r="L138" s="130">
        <v>0</v>
      </c>
      <c r="M138" s="130">
        <v>0</v>
      </c>
      <c r="N138" s="130">
        <v>0</v>
      </c>
      <c r="O138" s="130">
        <v>0</v>
      </c>
      <c r="P138" s="130">
        <v>0</v>
      </c>
      <c r="Q138" s="130">
        <v>0</v>
      </c>
      <c r="R138" s="130">
        <v>0</v>
      </c>
      <c r="S138" s="130">
        <v>0</v>
      </c>
      <c r="T138" s="130">
        <v>0</v>
      </c>
      <c r="U138" s="130">
        <v>0</v>
      </c>
      <c r="V138" s="130">
        <v>0</v>
      </c>
      <c r="W138" s="130">
        <v>0</v>
      </c>
      <c r="X138" s="130">
        <v>0</v>
      </c>
      <c r="Y138" s="131">
        <f t="shared" si="5"/>
        <v>15</v>
      </c>
    </row>
    <row r="139" spans="1:25" x14ac:dyDescent="0.2">
      <c r="A139" s="23" t="s">
        <v>101</v>
      </c>
      <c r="B139">
        <v>4</v>
      </c>
      <c r="C139" s="23" t="s">
        <v>111</v>
      </c>
      <c r="D139">
        <v>414</v>
      </c>
      <c r="E139" s="130">
        <v>100</v>
      </c>
      <c r="F139" s="130">
        <v>100</v>
      </c>
      <c r="G139" s="130">
        <v>0</v>
      </c>
      <c r="H139" s="130">
        <v>0</v>
      </c>
      <c r="I139" s="130">
        <v>100</v>
      </c>
      <c r="J139" s="130">
        <v>0</v>
      </c>
      <c r="K139" s="130">
        <v>0</v>
      </c>
      <c r="L139" s="130">
        <v>0</v>
      </c>
      <c r="M139" s="130">
        <v>0</v>
      </c>
      <c r="N139" s="130">
        <v>0</v>
      </c>
      <c r="O139" s="130">
        <v>0</v>
      </c>
      <c r="P139" s="130">
        <v>0</v>
      </c>
      <c r="Q139" s="130">
        <v>0</v>
      </c>
      <c r="R139" s="130">
        <v>0</v>
      </c>
      <c r="S139" s="130">
        <v>0</v>
      </c>
      <c r="T139" s="130">
        <v>0</v>
      </c>
      <c r="U139" s="130">
        <v>0</v>
      </c>
      <c r="V139" s="130">
        <v>0</v>
      </c>
      <c r="W139" s="130">
        <v>0</v>
      </c>
      <c r="X139" s="130">
        <v>0</v>
      </c>
      <c r="Y139" s="131">
        <f t="shared" si="5"/>
        <v>15</v>
      </c>
    </row>
    <row r="140" spans="1:25" x14ac:dyDescent="0.2">
      <c r="A140" s="23" t="s">
        <v>101</v>
      </c>
      <c r="B140">
        <v>4</v>
      </c>
      <c r="C140" s="23" t="s">
        <v>111</v>
      </c>
      <c r="D140">
        <v>415</v>
      </c>
      <c r="E140" s="130">
        <v>100</v>
      </c>
      <c r="F140" s="130">
        <v>0</v>
      </c>
      <c r="G140" s="130">
        <v>0</v>
      </c>
      <c r="H140" s="130">
        <v>0</v>
      </c>
      <c r="I140" s="130">
        <v>100</v>
      </c>
      <c r="J140" s="130">
        <v>0</v>
      </c>
      <c r="K140" s="130">
        <v>0</v>
      </c>
      <c r="L140" s="130">
        <v>0</v>
      </c>
      <c r="M140" s="130">
        <v>0</v>
      </c>
      <c r="N140" s="130">
        <v>0</v>
      </c>
      <c r="O140" s="130">
        <v>0</v>
      </c>
      <c r="P140" s="130">
        <v>0</v>
      </c>
      <c r="Q140" s="130">
        <v>0</v>
      </c>
      <c r="R140" s="130">
        <v>0</v>
      </c>
      <c r="S140" s="130">
        <v>0</v>
      </c>
      <c r="T140" s="130">
        <v>0</v>
      </c>
      <c r="U140" s="130">
        <v>0</v>
      </c>
      <c r="V140" s="130">
        <v>0</v>
      </c>
      <c r="W140" s="130">
        <v>0</v>
      </c>
      <c r="X140" s="130">
        <v>0</v>
      </c>
      <c r="Y140" s="131">
        <f t="shared" si="5"/>
        <v>10</v>
      </c>
    </row>
    <row r="141" spans="1:25" x14ac:dyDescent="0.2">
      <c r="A141" s="23" t="s">
        <v>101</v>
      </c>
      <c r="B141">
        <v>4</v>
      </c>
      <c r="C141" s="23" t="s">
        <v>111</v>
      </c>
      <c r="D141">
        <v>416</v>
      </c>
      <c r="E141" s="130">
        <v>100</v>
      </c>
      <c r="F141" s="130">
        <v>0</v>
      </c>
      <c r="G141" s="130">
        <v>0</v>
      </c>
      <c r="H141" s="130">
        <v>0</v>
      </c>
      <c r="I141" s="130">
        <v>100</v>
      </c>
      <c r="J141" s="130">
        <v>0</v>
      </c>
      <c r="K141" s="130">
        <v>0</v>
      </c>
      <c r="L141" s="130">
        <v>0</v>
      </c>
      <c r="M141" s="130">
        <v>0</v>
      </c>
      <c r="N141" s="130">
        <v>0</v>
      </c>
      <c r="O141" s="130">
        <v>0</v>
      </c>
      <c r="P141" s="130">
        <v>0</v>
      </c>
      <c r="Q141" s="130">
        <v>0</v>
      </c>
      <c r="R141" s="130">
        <v>0</v>
      </c>
      <c r="S141" s="130">
        <v>0</v>
      </c>
      <c r="T141" s="130">
        <v>0</v>
      </c>
      <c r="U141" s="130">
        <v>0</v>
      </c>
      <c r="V141" s="130">
        <v>0</v>
      </c>
      <c r="W141" s="130">
        <v>0</v>
      </c>
      <c r="X141" s="130">
        <v>0</v>
      </c>
      <c r="Y141" s="131">
        <f t="shared" si="5"/>
        <v>10</v>
      </c>
    </row>
    <row r="142" spans="1:25" x14ac:dyDescent="0.2">
      <c r="A142" s="23" t="s">
        <v>101</v>
      </c>
      <c r="B142">
        <v>4</v>
      </c>
      <c r="C142" s="23" t="s">
        <v>111</v>
      </c>
      <c r="D142">
        <v>417</v>
      </c>
      <c r="E142" s="130">
        <v>100</v>
      </c>
      <c r="F142" s="130">
        <v>0</v>
      </c>
      <c r="G142" s="130">
        <v>0</v>
      </c>
      <c r="H142" s="130">
        <v>0</v>
      </c>
      <c r="I142" s="130">
        <v>100</v>
      </c>
      <c r="J142" s="130">
        <v>0</v>
      </c>
      <c r="K142" s="130">
        <v>0</v>
      </c>
      <c r="L142" s="130">
        <v>0</v>
      </c>
      <c r="M142" s="130">
        <v>0</v>
      </c>
      <c r="N142" s="130">
        <v>0</v>
      </c>
      <c r="O142" s="130">
        <v>0</v>
      </c>
      <c r="P142" s="130">
        <v>0</v>
      </c>
      <c r="Q142" s="130">
        <v>0</v>
      </c>
      <c r="R142" s="130">
        <v>0</v>
      </c>
      <c r="S142" s="130">
        <v>0</v>
      </c>
      <c r="T142" s="130">
        <v>0</v>
      </c>
      <c r="U142" s="130">
        <v>0</v>
      </c>
      <c r="V142" s="130">
        <v>0</v>
      </c>
      <c r="W142" s="130">
        <v>0</v>
      </c>
      <c r="X142" s="130">
        <v>0</v>
      </c>
      <c r="Y142" s="131">
        <f t="shared" si="5"/>
        <v>10</v>
      </c>
    </row>
    <row r="143" spans="1:25" x14ac:dyDescent="0.2">
      <c r="A143" s="23" t="s">
        <v>101</v>
      </c>
      <c r="B143">
        <v>4</v>
      </c>
      <c r="C143" s="23" t="s">
        <v>111</v>
      </c>
      <c r="D143">
        <v>418</v>
      </c>
      <c r="E143" s="130">
        <v>100</v>
      </c>
      <c r="F143" s="130">
        <v>0</v>
      </c>
      <c r="G143" s="130">
        <v>0</v>
      </c>
      <c r="H143" s="130">
        <v>0</v>
      </c>
      <c r="I143" s="130">
        <v>100</v>
      </c>
      <c r="J143" s="130">
        <v>0</v>
      </c>
      <c r="K143" s="130">
        <v>0</v>
      </c>
      <c r="L143" s="130">
        <v>0</v>
      </c>
      <c r="M143" s="130">
        <v>0</v>
      </c>
      <c r="N143" s="130">
        <v>0</v>
      </c>
      <c r="O143" s="130">
        <v>0</v>
      </c>
      <c r="P143" s="130">
        <v>0</v>
      </c>
      <c r="Q143" s="130">
        <v>0</v>
      </c>
      <c r="R143" s="130">
        <v>0</v>
      </c>
      <c r="S143" s="130">
        <v>0</v>
      </c>
      <c r="T143" s="130">
        <v>0</v>
      </c>
      <c r="U143" s="130">
        <v>0</v>
      </c>
      <c r="V143" s="130">
        <v>0</v>
      </c>
      <c r="W143" s="130">
        <v>0</v>
      </c>
      <c r="X143" s="130">
        <v>0</v>
      </c>
      <c r="Y143" s="131">
        <f t="shared" si="5"/>
        <v>10</v>
      </c>
    </row>
    <row r="144" spans="1:25" x14ac:dyDescent="0.2">
      <c r="A144" s="23" t="s">
        <v>101</v>
      </c>
      <c r="B144">
        <v>4</v>
      </c>
      <c r="C144" s="23" t="s">
        <v>111</v>
      </c>
      <c r="D144">
        <v>419</v>
      </c>
      <c r="E144" s="130">
        <v>100</v>
      </c>
      <c r="F144" s="130">
        <v>0</v>
      </c>
      <c r="G144" s="130">
        <v>0</v>
      </c>
      <c r="H144" s="130">
        <v>0</v>
      </c>
      <c r="I144" s="130">
        <v>100</v>
      </c>
      <c r="J144" s="130">
        <v>0</v>
      </c>
      <c r="K144" s="130">
        <v>0</v>
      </c>
      <c r="L144" s="130">
        <v>0</v>
      </c>
      <c r="M144" s="130">
        <v>0</v>
      </c>
      <c r="N144" s="130">
        <v>0</v>
      </c>
      <c r="O144" s="130">
        <v>0</v>
      </c>
      <c r="P144" s="130">
        <v>0</v>
      </c>
      <c r="Q144" s="130">
        <v>0</v>
      </c>
      <c r="R144" s="130">
        <v>0</v>
      </c>
      <c r="S144" s="130">
        <v>0</v>
      </c>
      <c r="T144" s="130">
        <v>0</v>
      </c>
      <c r="U144" s="130">
        <v>0</v>
      </c>
      <c r="V144" s="130">
        <v>0</v>
      </c>
      <c r="W144" s="130">
        <v>0</v>
      </c>
      <c r="X144" s="130">
        <v>0</v>
      </c>
      <c r="Y144" s="131">
        <f t="shared" si="5"/>
        <v>10</v>
      </c>
    </row>
    <row r="145" spans="1:25" x14ac:dyDescent="0.2">
      <c r="A145" s="23" t="s">
        <v>101</v>
      </c>
      <c r="B145">
        <v>4</v>
      </c>
      <c r="C145" s="23" t="s">
        <v>111</v>
      </c>
      <c r="D145">
        <v>420</v>
      </c>
      <c r="E145" s="130">
        <v>100</v>
      </c>
      <c r="F145" s="130">
        <v>0</v>
      </c>
      <c r="G145" s="130">
        <v>0</v>
      </c>
      <c r="H145" s="130">
        <v>0</v>
      </c>
      <c r="I145" s="130">
        <v>100</v>
      </c>
      <c r="J145" s="130">
        <v>0</v>
      </c>
      <c r="K145" s="130">
        <v>0</v>
      </c>
      <c r="L145" s="130">
        <v>0</v>
      </c>
      <c r="M145" s="130">
        <v>0</v>
      </c>
      <c r="N145" s="130">
        <v>0</v>
      </c>
      <c r="O145" s="130">
        <v>0</v>
      </c>
      <c r="P145" s="130">
        <v>0</v>
      </c>
      <c r="Q145" s="130">
        <v>0</v>
      </c>
      <c r="R145" s="130">
        <v>0</v>
      </c>
      <c r="S145" s="130">
        <v>0</v>
      </c>
      <c r="T145" s="130">
        <v>0</v>
      </c>
      <c r="U145" s="130">
        <v>0</v>
      </c>
      <c r="V145" s="130">
        <v>0</v>
      </c>
      <c r="W145" s="130">
        <v>0</v>
      </c>
      <c r="X145" s="130">
        <v>0</v>
      </c>
      <c r="Y145" s="131">
        <f t="shared" si="5"/>
        <v>10</v>
      </c>
    </row>
    <row r="146" spans="1:25" x14ac:dyDescent="0.2">
      <c r="A146" s="23" t="s">
        <v>101</v>
      </c>
      <c r="B146">
        <v>4</v>
      </c>
      <c r="C146" s="23" t="s">
        <v>111</v>
      </c>
      <c r="D146">
        <v>421</v>
      </c>
      <c r="E146" s="130">
        <v>100</v>
      </c>
      <c r="F146" s="130">
        <v>100</v>
      </c>
      <c r="G146" s="130">
        <v>0</v>
      </c>
      <c r="H146" s="130">
        <v>0</v>
      </c>
      <c r="I146" s="130">
        <v>100</v>
      </c>
      <c r="J146" s="130">
        <v>0</v>
      </c>
      <c r="K146" s="130">
        <v>0</v>
      </c>
      <c r="L146" s="130">
        <v>0</v>
      </c>
      <c r="M146" s="130">
        <v>0</v>
      </c>
      <c r="N146" s="130">
        <v>0</v>
      </c>
      <c r="O146" s="130">
        <v>0</v>
      </c>
      <c r="P146" s="130">
        <v>0</v>
      </c>
      <c r="Q146" s="130">
        <v>0</v>
      </c>
      <c r="R146" s="130">
        <v>0</v>
      </c>
      <c r="S146" s="130">
        <v>0</v>
      </c>
      <c r="T146" s="130">
        <v>0</v>
      </c>
      <c r="U146" s="130">
        <v>0</v>
      </c>
      <c r="V146" s="130">
        <v>0</v>
      </c>
      <c r="W146" s="130">
        <v>0</v>
      </c>
      <c r="X146" s="130">
        <v>0</v>
      </c>
      <c r="Y146" s="131">
        <f t="shared" si="5"/>
        <v>15</v>
      </c>
    </row>
    <row r="147" spans="1:25" x14ac:dyDescent="0.2">
      <c r="A147" s="23"/>
      <c r="C147" s="23"/>
      <c r="D147" s="23"/>
      <c r="E147" s="130">
        <f t="shared" ref="E147:X147" si="6">AVERAGE(E103:E146)</f>
        <v>47.727272727272727</v>
      </c>
      <c r="F147" s="130">
        <f t="shared" si="6"/>
        <v>34.090909090909093</v>
      </c>
      <c r="G147" s="130">
        <f t="shared" si="6"/>
        <v>1.3636363636363635</v>
      </c>
      <c r="H147" s="130">
        <f t="shared" si="6"/>
        <v>0</v>
      </c>
      <c r="I147" s="130">
        <f t="shared" si="6"/>
        <v>47.727272727272727</v>
      </c>
      <c r="J147" s="130">
        <f t="shared" si="6"/>
        <v>1.8181818181818181</v>
      </c>
      <c r="K147" s="130">
        <f t="shared" si="6"/>
        <v>0</v>
      </c>
      <c r="L147" s="130">
        <f t="shared" si="6"/>
        <v>0</v>
      </c>
      <c r="M147" s="130">
        <f t="shared" si="6"/>
        <v>0</v>
      </c>
      <c r="N147" s="130">
        <f t="shared" si="6"/>
        <v>0</v>
      </c>
      <c r="O147" s="130">
        <f t="shared" si="6"/>
        <v>0</v>
      </c>
      <c r="P147" s="130">
        <f t="shared" si="6"/>
        <v>0</v>
      </c>
      <c r="Q147" s="130">
        <f t="shared" si="6"/>
        <v>12.613636363636363</v>
      </c>
      <c r="R147" s="130">
        <f t="shared" si="6"/>
        <v>0</v>
      </c>
      <c r="S147" s="130">
        <f t="shared" si="6"/>
        <v>0</v>
      </c>
      <c r="T147" s="130">
        <f t="shared" si="6"/>
        <v>0</v>
      </c>
      <c r="U147" s="130">
        <f t="shared" si="6"/>
        <v>0</v>
      </c>
      <c r="V147" s="130">
        <f t="shared" si="6"/>
        <v>0</v>
      </c>
      <c r="W147" s="130">
        <f t="shared" si="6"/>
        <v>0</v>
      </c>
      <c r="X147" s="130">
        <f t="shared" si="6"/>
        <v>0</v>
      </c>
      <c r="Y147" s="131">
        <f t="shared" si="5"/>
        <v>7.267045454545455</v>
      </c>
    </row>
    <row r="148" spans="1:25" x14ac:dyDescent="0.2">
      <c r="A148" s="23" t="s">
        <v>101</v>
      </c>
      <c r="B148">
        <v>5</v>
      </c>
      <c r="C148" s="23" t="s">
        <v>112</v>
      </c>
      <c r="D148">
        <v>501</v>
      </c>
      <c r="E148" s="130">
        <v>0</v>
      </c>
      <c r="F148" s="130">
        <v>0</v>
      </c>
      <c r="G148" s="130">
        <v>0</v>
      </c>
      <c r="H148" s="130">
        <v>0</v>
      </c>
      <c r="I148" s="130">
        <v>0</v>
      </c>
      <c r="J148" s="130">
        <v>0</v>
      </c>
      <c r="K148" s="130">
        <v>0</v>
      </c>
      <c r="L148" s="130">
        <v>0</v>
      </c>
      <c r="M148" s="130">
        <v>0</v>
      </c>
      <c r="N148" s="130">
        <v>0</v>
      </c>
      <c r="O148" s="130">
        <v>0</v>
      </c>
      <c r="P148" s="130">
        <v>0</v>
      </c>
      <c r="Q148" s="130">
        <v>0</v>
      </c>
      <c r="R148" s="130">
        <v>0</v>
      </c>
      <c r="S148" s="130">
        <v>0</v>
      </c>
      <c r="T148" s="130">
        <v>0</v>
      </c>
      <c r="U148" s="130">
        <v>0</v>
      </c>
      <c r="V148" s="130">
        <v>0</v>
      </c>
      <c r="W148" s="130">
        <v>0</v>
      </c>
      <c r="X148" s="130">
        <v>0</v>
      </c>
      <c r="Y148" s="131">
        <f t="shared" si="5"/>
        <v>0</v>
      </c>
    </row>
    <row r="149" spans="1:25" x14ac:dyDescent="0.2">
      <c r="A149" s="23" t="s">
        <v>101</v>
      </c>
      <c r="B149">
        <v>5</v>
      </c>
      <c r="C149" s="23" t="s">
        <v>112</v>
      </c>
      <c r="D149">
        <v>502</v>
      </c>
      <c r="E149" s="130">
        <v>0</v>
      </c>
      <c r="F149" s="130">
        <v>0</v>
      </c>
      <c r="G149" s="130">
        <v>0</v>
      </c>
      <c r="H149" s="130">
        <v>0</v>
      </c>
      <c r="I149" s="130">
        <v>0</v>
      </c>
      <c r="J149" s="130">
        <v>0</v>
      </c>
      <c r="K149" s="130">
        <v>0</v>
      </c>
      <c r="L149" s="130">
        <v>0</v>
      </c>
      <c r="M149" s="130">
        <v>0</v>
      </c>
      <c r="N149" s="130">
        <v>0</v>
      </c>
      <c r="O149" s="130">
        <v>0</v>
      </c>
      <c r="P149" s="130">
        <v>0</v>
      </c>
      <c r="Q149" s="130">
        <v>0</v>
      </c>
      <c r="R149" s="130">
        <v>0</v>
      </c>
      <c r="S149" s="130">
        <v>0</v>
      </c>
      <c r="T149" s="130">
        <v>0</v>
      </c>
      <c r="U149" s="130">
        <v>0</v>
      </c>
      <c r="V149" s="130">
        <v>0</v>
      </c>
      <c r="W149" s="130">
        <v>0</v>
      </c>
      <c r="X149" s="130">
        <v>0</v>
      </c>
      <c r="Y149" s="131">
        <f t="shared" si="5"/>
        <v>0</v>
      </c>
    </row>
    <row r="150" spans="1:25" x14ac:dyDescent="0.2">
      <c r="A150" s="23" t="s">
        <v>101</v>
      </c>
      <c r="B150">
        <v>5</v>
      </c>
      <c r="C150" s="23" t="s">
        <v>112</v>
      </c>
      <c r="D150">
        <v>503</v>
      </c>
      <c r="E150" s="130">
        <v>0</v>
      </c>
      <c r="F150" s="130">
        <v>0</v>
      </c>
      <c r="G150" s="130">
        <v>0</v>
      </c>
      <c r="H150" s="130">
        <v>0</v>
      </c>
      <c r="I150" s="130">
        <v>0</v>
      </c>
      <c r="J150" s="130">
        <v>0</v>
      </c>
      <c r="K150" s="130">
        <v>0</v>
      </c>
      <c r="L150" s="130">
        <v>0</v>
      </c>
      <c r="M150" s="130">
        <v>0</v>
      </c>
      <c r="N150" s="130">
        <v>0</v>
      </c>
      <c r="O150" s="130">
        <v>0</v>
      </c>
      <c r="P150" s="130">
        <v>0</v>
      </c>
      <c r="Q150" s="130">
        <v>0</v>
      </c>
      <c r="R150" s="130">
        <v>0</v>
      </c>
      <c r="S150" s="130">
        <v>0</v>
      </c>
      <c r="T150" s="130">
        <v>0</v>
      </c>
      <c r="U150" s="130">
        <v>0</v>
      </c>
      <c r="V150" s="130">
        <v>0</v>
      </c>
      <c r="W150" s="130">
        <v>0</v>
      </c>
      <c r="X150" s="130">
        <v>0</v>
      </c>
      <c r="Y150" s="131">
        <f t="shared" si="5"/>
        <v>0</v>
      </c>
    </row>
    <row r="151" spans="1:25" x14ac:dyDescent="0.2">
      <c r="A151" s="23" t="s">
        <v>101</v>
      </c>
      <c r="B151">
        <v>5</v>
      </c>
      <c r="C151" s="23" t="s">
        <v>112</v>
      </c>
      <c r="D151">
        <v>504</v>
      </c>
      <c r="E151" s="130">
        <v>0</v>
      </c>
      <c r="F151" s="130">
        <v>0</v>
      </c>
      <c r="G151" s="130">
        <v>0</v>
      </c>
      <c r="H151" s="130">
        <v>0</v>
      </c>
      <c r="I151" s="130">
        <v>0</v>
      </c>
      <c r="J151" s="130">
        <v>0</v>
      </c>
      <c r="K151" s="130">
        <v>0</v>
      </c>
      <c r="L151" s="130">
        <v>0</v>
      </c>
      <c r="M151" s="130">
        <v>0</v>
      </c>
      <c r="N151" s="130">
        <v>0</v>
      </c>
      <c r="O151" s="130">
        <v>0</v>
      </c>
      <c r="P151" s="130">
        <v>0</v>
      </c>
      <c r="Q151" s="130">
        <v>0</v>
      </c>
      <c r="R151" s="130">
        <v>0</v>
      </c>
      <c r="S151" s="130">
        <v>0</v>
      </c>
      <c r="T151" s="130">
        <v>0</v>
      </c>
      <c r="U151" s="130">
        <v>0</v>
      </c>
      <c r="V151" s="130">
        <v>0</v>
      </c>
      <c r="W151" s="130">
        <v>0</v>
      </c>
      <c r="X151" s="130">
        <v>0</v>
      </c>
      <c r="Y151" s="131">
        <f t="shared" si="5"/>
        <v>0</v>
      </c>
    </row>
    <row r="152" spans="1:25" x14ac:dyDescent="0.2">
      <c r="A152" s="23" t="s">
        <v>101</v>
      </c>
      <c r="B152">
        <v>5</v>
      </c>
      <c r="C152" s="23" t="s">
        <v>112</v>
      </c>
      <c r="D152">
        <v>505</v>
      </c>
      <c r="E152" s="130">
        <v>0</v>
      </c>
      <c r="F152" s="130">
        <v>0</v>
      </c>
      <c r="G152" s="130">
        <v>0</v>
      </c>
      <c r="H152" s="130">
        <v>0</v>
      </c>
      <c r="I152" s="130">
        <v>0</v>
      </c>
      <c r="J152" s="130">
        <v>0</v>
      </c>
      <c r="K152" s="130">
        <v>0</v>
      </c>
      <c r="L152" s="130">
        <v>0</v>
      </c>
      <c r="M152" s="130">
        <v>0</v>
      </c>
      <c r="N152" s="130">
        <v>0</v>
      </c>
      <c r="O152" s="130">
        <v>0</v>
      </c>
      <c r="P152" s="130">
        <v>0</v>
      </c>
      <c r="Q152" s="130">
        <v>0</v>
      </c>
      <c r="R152" s="130">
        <v>0</v>
      </c>
      <c r="S152" s="130">
        <v>0</v>
      </c>
      <c r="T152" s="130">
        <v>0</v>
      </c>
      <c r="U152" s="130">
        <v>0</v>
      </c>
      <c r="V152" s="130">
        <v>0</v>
      </c>
      <c r="W152" s="130">
        <v>0</v>
      </c>
      <c r="X152" s="130">
        <v>0</v>
      </c>
      <c r="Y152" s="131">
        <f t="shared" si="5"/>
        <v>0</v>
      </c>
    </row>
    <row r="153" spans="1:25" x14ac:dyDescent="0.2">
      <c r="A153" s="23" t="s">
        <v>101</v>
      </c>
      <c r="B153">
        <v>5</v>
      </c>
      <c r="C153" s="23" t="s">
        <v>112</v>
      </c>
      <c r="D153">
        <v>506</v>
      </c>
      <c r="E153" s="130">
        <v>0</v>
      </c>
      <c r="F153" s="130">
        <v>0</v>
      </c>
      <c r="G153" s="130">
        <v>0</v>
      </c>
      <c r="H153" s="130">
        <v>0</v>
      </c>
      <c r="I153" s="130">
        <v>0</v>
      </c>
      <c r="J153" s="130">
        <v>0</v>
      </c>
      <c r="K153" s="130">
        <v>0</v>
      </c>
      <c r="L153" s="130">
        <v>0</v>
      </c>
      <c r="M153" s="130">
        <v>0</v>
      </c>
      <c r="N153" s="130">
        <v>0</v>
      </c>
      <c r="O153" s="130">
        <v>0</v>
      </c>
      <c r="P153" s="130">
        <v>0</v>
      </c>
      <c r="Q153" s="130">
        <v>0</v>
      </c>
      <c r="R153" s="130">
        <v>0</v>
      </c>
      <c r="S153" s="130">
        <v>0</v>
      </c>
      <c r="T153" s="130">
        <v>0</v>
      </c>
      <c r="U153" s="130">
        <v>0</v>
      </c>
      <c r="V153" s="130">
        <v>0</v>
      </c>
      <c r="W153" s="130">
        <v>0</v>
      </c>
      <c r="X153" s="130">
        <v>0</v>
      </c>
      <c r="Y153" s="131">
        <f t="shared" si="5"/>
        <v>0</v>
      </c>
    </row>
    <row r="154" spans="1:25" x14ac:dyDescent="0.2">
      <c r="A154" s="23" t="s">
        <v>101</v>
      </c>
      <c r="B154">
        <v>5</v>
      </c>
      <c r="C154" s="23" t="s">
        <v>112</v>
      </c>
      <c r="D154">
        <v>507</v>
      </c>
      <c r="E154" s="130">
        <v>0</v>
      </c>
      <c r="F154" s="130">
        <v>0</v>
      </c>
      <c r="G154" s="130">
        <v>0</v>
      </c>
      <c r="H154" s="130">
        <v>0</v>
      </c>
      <c r="I154" s="130">
        <v>0</v>
      </c>
      <c r="J154" s="130">
        <v>0</v>
      </c>
      <c r="K154" s="130">
        <v>0</v>
      </c>
      <c r="L154" s="130">
        <v>0</v>
      </c>
      <c r="M154" s="130">
        <v>0</v>
      </c>
      <c r="N154" s="130">
        <v>0</v>
      </c>
      <c r="O154" s="130">
        <v>0</v>
      </c>
      <c r="P154" s="130">
        <v>0</v>
      </c>
      <c r="Q154" s="130">
        <v>0</v>
      </c>
      <c r="R154" s="130">
        <v>0</v>
      </c>
      <c r="S154" s="130">
        <v>0</v>
      </c>
      <c r="T154" s="130">
        <v>0</v>
      </c>
      <c r="U154" s="130">
        <v>0</v>
      </c>
      <c r="V154" s="130">
        <v>0</v>
      </c>
      <c r="W154" s="130">
        <v>0</v>
      </c>
      <c r="X154" s="130">
        <v>0</v>
      </c>
      <c r="Y154" s="131">
        <f t="shared" si="5"/>
        <v>0</v>
      </c>
    </row>
    <row r="155" spans="1:25" x14ac:dyDescent="0.2">
      <c r="A155" s="23" t="s">
        <v>101</v>
      </c>
      <c r="B155">
        <v>5</v>
      </c>
      <c r="C155" s="23" t="s">
        <v>112</v>
      </c>
      <c r="D155">
        <v>508</v>
      </c>
      <c r="E155" s="130">
        <v>0</v>
      </c>
      <c r="F155" s="130">
        <v>0</v>
      </c>
      <c r="G155" s="130">
        <v>0</v>
      </c>
      <c r="H155" s="130">
        <v>0</v>
      </c>
      <c r="I155" s="130">
        <v>0</v>
      </c>
      <c r="J155" s="130">
        <v>0</v>
      </c>
      <c r="K155" s="130">
        <v>0</v>
      </c>
      <c r="L155" s="130">
        <v>0</v>
      </c>
      <c r="M155" s="130">
        <v>0</v>
      </c>
      <c r="N155" s="130">
        <v>0</v>
      </c>
      <c r="O155" s="130">
        <v>0</v>
      </c>
      <c r="P155" s="130">
        <v>0</v>
      </c>
      <c r="Q155" s="130">
        <v>0</v>
      </c>
      <c r="R155" s="130">
        <v>0</v>
      </c>
      <c r="S155" s="130">
        <v>0</v>
      </c>
      <c r="T155" s="130">
        <v>0</v>
      </c>
      <c r="U155" s="130">
        <v>0</v>
      </c>
      <c r="V155" s="130">
        <v>0</v>
      </c>
      <c r="W155" s="130">
        <v>0</v>
      </c>
      <c r="X155" s="130">
        <v>0</v>
      </c>
      <c r="Y155" s="131">
        <f t="shared" si="5"/>
        <v>0</v>
      </c>
    </row>
    <row r="156" spans="1:25" x14ac:dyDescent="0.2">
      <c r="A156" s="23" t="s">
        <v>101</v>
      </c>
      <c r="B156">
        <v>5</v>
      </c>
      <c r="C156" s="23" t="s">
        <v>112</v>
      </c>
      <c r="D156">
        <v>509</v>
      </c>
      <c r="E156" s="130">
        <v>0</v>
      </c>
      <c r="F156" s="130">
        <v>0</v>
      </c>
      <c r="G156" s="130">
        <v>0</v>
      </c>
      <c r="H156" s="130">
        <v>0</v>
      </c>
      <c r="I156" s="130">
        <v>0</v>
      </c>
      <c r="J156" s="130">
        <v>0</v>
      </c>
      <c r="K156" s="130">
        <v>0</v>
      </c>
      <c r="L156" s="130">
        <v>0</v>
      </c>
      <c r="M156" s="130">
        <v>0</v>
      </c>
      <c r="N156" s="130">
        <v>0</v>
      </c>
      <c r="O156" s="130">
        <v>0</v>
      </c>
      <c r="P156" s="130">
        <v>0</v>
      </c>
      <c r="Q156" s="130">
        <v>0</v>
      </c>
      <c r="R156" s="130">
        <v>0</v>
      </c>
      <c r="S156" s="130">
        <v>0</v>
      </c>
      <c r="T156" s="130">
        <v>0</v>
      </c>
      <c r="U156" s="130">
        <v>0</v>
      </c>
      <c r="V156" s="130">
        <v>0</v>
      </c>
      <c r="W156" s="130">
        <v>0</v>
      </c>
      <c r="X156" s="130">
        <v>0</v>
      </c>
      <c r="Y156" s="131">
        <f t="shared" si="5"/>
        <v>0</v>
      </c>
    </row>
    <row r="157" spans="1:25" x14ac:dyDescent="0.2">
      <c r="A157" s="23" t="s">
        <v>101</v>
      </c>
      <c r="B157">
        <v>5</v>
      </c>
      <c r="C157" s="23" t="s">
        <v>112</v>
      </c>
      <c r="D157">
        <v>510</v>
      </c>
      <c r="E157" s="130">
        <v>0</v>
      </c>
      <c r="F157" s="130">
        <v>0</v>
      </c>
      <c r="G157" s="130">
        <v>0</v>
      </c>
      <c r="H157" s="130">
        <v>0</v>
      </c>
      <c r="I157" s="130">
        <v>0</v>
      </c>
      <c r="J157" s="130">
        <v>0</v>
      </c>
      <c r="K157" s="130">
        <v>0</v>
      </c>
      <c r="L157" s="130">
        <v>0</v>
      </c>
      <c r="M157" s="130">
        <v>0</v>
      </c>
      <c r="N157" s="130">
        <v>0</v>
      </c>
      <c r="O157" s="130">
        <v>0</v>
      </c>
      <c r="P157" s="130">
        <v>0</v>
      </c>
      <c r="Q157" s="130">
        <v>0</v>
      </c>
      <c r="R157" s="130">
        <v>0</v>
      </c>
      <c r="S157" s="130">
        <v>0</v>
      </c>
      <c r="T157" s="130">
        <v>0</v>
      </c>
      <c r="U157" s="130">
        <v>0</v>
      </c>
      <c r="V157" s="130">
        <v>0</v>
      </c>
      <c r="W157" s="130">
        <v>0</v>
      </c>
      <c r="X157" s="130">
        <v>0</v>
      </c>
      <c r="Y157" s="131">
        <f t="shared" si="5"/>
        <v>0</v>
      </c>
    </row>
    <row r="158" spans="1:25" x14ac:dyDescent="0.2">
      <c r="A158" s="23" t="s">
        <v>101</v>
      </c>
      <c r="B158">
        <v>5</v>
      </c>
      <c r="C158" s="23" t="s">
        <v>112</v>
      </c>
      <c r="D158">
        <v>511</v>
      </c>
      <c r="E158" s="130">
        <v>0</v>
      </c>
      <c r="F158" s="130">
        <v>0</v>
      </c>
      <c r="G158" s="130">
        <v>0</v>
      </c>
      <c r="H158" s="130">
        <v>0</v>
      </c>
      <c r="I158" s="130">
        <v>0</v>
      </c>
      <c r="J158" s="130">
        <v>0</v>
      </c>
      <c r="K158" s="130">
        <v>0</v>
      </c>
      <c r="L158" s="130">
        <v>0</v>
      </c>
      <c r="M158" s="130">
        <v>0</v>
      </c>
      <c r="N158" s="130">
        <v>0</v>
      </c>
      <c r="O158" s="130">
        <v>0</v>
      </c>
      <c r="P158" s="130">
        <v>0</v>
      </c>
      <c r="Q158" s="130">
        <v>0</v>
      </c>
      <c r="R158" s="130">
        <v>0</v>
      </c>
      <c r="S158" s="130">
        <v>0</v>
      </c>
      <c r="T158" s="130">
        <v>0</v>
      </c>
      <c r="U158" s="130">
        <v>0</v>
      </c>
      <c r="V158" s="130">
        <v>0</v>
      </c>
      <c r="W158" s="130">
        <v>0</v>
      </c>
      <c r="X158" s="130">
        <v>0</v>
      </c>
      <c r="Y158" s="131">
        <f t="shared" si="5"/>
        <v>0</v>
      </c>
    </row>
    <row r="159" spans="1:25" x14ac:dyDescent="0.2">
      <c r="A159" s="23" t="s">
        <v>101</v>
      </c>
      <c r="B159">
        <v>5</v>
      </c>
      <c r="C159" s="23" t="s">
        <v>112</v>
      </c>
      <c r="D159">
        <v>512</v>
      </c>
      <c r="E159" s="130">
        <v>0</v>
      </c>
      <c r="F159" s="130">
        <v>0</v>
      </c>
      <c r="G159" s="130">
        <v>0</v>
      </c>
      <c r="H159" s="130">
        <v>0</v>
      </c>
      <c r="I159" s="130">
        <v>0</v>
      </c>
      <c r="J159" s="130">
        <v>0</v>
      </c>
      <c r="K159" s="130">
        <v>0</v>
      </c>
      <c r="L159" s="130">
        <v>0</v>
      </c>
      <c r="M159" s="130">
        <v>0</v>
      </c>
      <c r="N159" s="130">
        <v>0</v>
      </c>
      <c r="O159" s="130">
        <v>0</v>
      </c>
      <c r="P159" s="130">
        <v>0</v>
      </c>
      <c r="Q159" s="130">
        <v>0</v>
      </c>
      <c r="R159" s="130">
        <v>0</v>
      </c>
      <c r="S159" s="130">
        <v>0</v>
      </c>
      <c r="T159" s="130">
        <v>0</v>
      </c>
      <c r="U159" s="130">
        <v>0</v>
      </c>
      <c r="V159" s="130">
        <v>0</v>
      </c>
      <c r="W159" s="130">
        <v>0</v>
      </c>
      <c r="X159" s="130">
        <v>0</v>
      </c>
      <c r="Y159" s="131">
        <f t="shared" si="5"/>
        <v>0</v>
      </c>
    </row>
    <row r="160" spans="1:25" x14ac:dyDescent="0.2">
      <c r="A160" s="23" t="s">
        <v>101</v>
      </c>
      <c r="B160">
        <v>5</v>
      </c>
      <c r="C160" s="23" t="s">
        <v>112</v>
      </c>
      <c r="D160">
        <v>513</v>
      </c>
      <c r="E160" s="130">
        <v>0</v>
      </c>
      <c r="F160" s="130">
        <v>0</v>
      </c>
      <c r="G160" s="130">
        <v>0</v>
      </c>
      <c r="H160" s="130">
        <v>0</v>
      </c>
      <c r="I160" s="130">
        <v>0</v>
      </c>
      <c r="J160" s="130">
        <v>0</v>
      </c>
      <c r="K160" s="130">
        <v>0</v>
      </c>
      <c r="L160" s="130">
        <v>0</v>
      </c>
      <c r="M160" s="130">
        <v>0</v>
      </c>
      <c r="N160" s="130">
        <v>0</v>
      </c>
      <c r="O160" s="130">
        <v>0</v>
      </c>
      <c r="P160" s="130">
        <v>0</v>
      </c>
      <c r="Q160" s="130">
        <v>0</v>
      </c>
      <c r="R160" s="130">
        <v>0</v>
      </c>
      <c r="S160" s="130">
        <v>0</v>
      </c>
      <c r="T160" s="130">
        <v>0</v>
      </c>
      <c r="U160" s="130">
        <v>0</v>
      </c>
      <c r="V160" s="130">
        <v>0</v>
      </c>
      <c r="W160" s="130">
        <v>0</v>
      </c>
      <c r="X160" s="130">
        <v>0</v>
      </c>
      <c r="Y160" s="131">
        <f t="shared" si="5"/>
        <v>0</v>
      </c>
    </row>
    <row r="161" spans="1:25" x14ac:dyDescent="0.2">
      <c r="A161" s="23" t="s">
        <v>101</v>
      </c>
      <c r="B161">
        <v>5</v>
      </c>
      <c r="C161" s="23" t="s">
        <v>112</v>
      </c>
      <c r="D161">
        <v>514</v>
      </c>
      <c r="E161" s="130">
        <v>0</v>
      </c>
      <c r="F161" s="130">
        <v>0</v>
      </c>
      <c r="G161" s="130">
        <v>0</v>
      </c>
      <c r="H161" s="130">
        <v>0</v>
      </c>
      <c r="I161" s="130">
        <v>0</v>
      </c>
      <c r="J161" s="130">
        <v>0</v>
      </c>
      <c r="K161" s="130">
        <v>0</v>
      </c>
      <c r="L161" s="130">
        <v>0</v>
      </c>
      <c r="M161" s="130">
        <v>0</v>
      </c>
      <c r="N161" s="130">
        <v>0</v>
      </c>
      <c r="O161" s="130">
        <v>0</v>
      </c>
      <c r="P161" s="130">
        <v>0</v>
      </c>
      <c r="Q161" s="130">
        <v>0</v>
      </c>
      <c r="R161" s="130">
        <v>0</v>
      </c>
      <c r="S161" s="130">
        <v>0</v>
      </c>
      <c r="T161" s="130">
        <v>0</v>
      </c>
      <c r="U161" s="130">
        <v>0</v>
      </c>
      <c r="V161" s="130">
        <v>0</v>
      </c>
      <c r="W161" s="130">
        <v>0</v>
      </c>
      <c r="X161" s="130">
        <v>0</v>
      </c>
      <c r="Y161" s="131">
        <f t="shared" si="5"/>
        <v>0</v>
      </c>
    </row>
    <row r="162" spans="1:25" x14ac:dyDescent="0.2">
      <c r="A162" s="23" t="s">
        <v>101</v>
      </c>
      <c r="B162">
        <v>5</v>
      </c>
      <c r="C162" s="23" t="s">
        <v>112</v>
      </c>
      <c r="D162">
        <v>515</v>
      </c>
      <c r="E162" s="130">
        <v>0</v>
      </c>
      <c r="F162" s="130">
        <v>0</v>
      </c>
      <c r="G162" s="130">
        <v>0</v>
      </c>
      <c r="H162" s="130">
        <v>0</v>
      </c>
      <c r="I162" s="130">
        <v>0</v>
      </c>
      <c r="J162" s="130">
        <v>0</v>
      </c>
      <c r="K162" s="130">
        <v>0</v>
      </c>
      <c r="L162" s="130">
        <v>0</v>
      </c>
      <c r="M162" s="130">
        <v>0</v>
      </c>
      <c r="N162" s="130">
        <v>0</v>
      </c>
      <c r="O162" s="130">
        <v>0</v>
      </c>
      <c r="P162" s="130">
        <v>0</v>
      </c>
      <c r="Q162" s="130">
        <v>0</v>
      </c>
      <c r="R162" s="130">
        <v>0</v>
      </c>
      <c r="S162" s="130">
        <v>0</v>
      </c>
      <c r="T162" s="130">
        <v>0</v>
      </c>
      <c r="U162" s="130">
        <v>0</v>
      </c>
      <c r="V162" s="130">
        <v>0</v>
      </c>
      <c r="W162" s="130">
        <v>0</v>
      </c>
      <c r="X162" s="130">
        <v>0</v>
      </c>
      <c r="Y162" s="131">
        <f t="shared" si="5"/>
        <v>0</v>
      </c>
    </row>
    <row r="163" spans="1:25" x14ac:dyDescent="0.2">
      <c r="A163" s="23" t="s">
        <v>101</v>
      </c>
      <c r="B163">
        <v>5</v>
      </c>
      <c r="C163" s="23" t="s">
        <v>112</v>
      </c>
      <c r="D163">
        <v>516</v>
      </c>
      <c r="E163" s="130">
        <v>0</v>
      </c>
      <c r="F163" s="130">
        <v>0</v>
      </c>
      <c r="G163" s="130">
        <v>0</v>
      </c>
      <c r="H163" s="130">
        <v>0</v>
      </c>
      <c r="I163" s="130">
        <v>0</v>
      </c>
      <c r="J163" s="130">
        <v>0</v>
      </c>
      <c r="K163" s="130">
        <v>0</v>
      </c>
      <c r="L163" s="130">
        <v>0</v>
      </c>
      <c r="M163" s="130">
        <v>0</v>
      </c>
      <c r="N163" s="130">
        <v>0</v>
      </c>
      <c r="O163" s="130">
        <v>0</v>
      </c>
      <c r="P163" s="130">
        <v>0</v>
      </c>
      <c r="Q163" s="130">
        <v>0</v>
      </c>
      <c r="R163" s="130">
        <v>0</v>
      </c>
      <c r="S163" s="130">
        <v>0</v>
      </c>
      <c r="T163" s="130">
        <v>0</v>
      </c>
      <c r="U163" s="130">
        <v>0</v>
      </c>
      <c r="V163" s="130">
        <v>0</v>
      </c>
      <c r="W163" s="130">
        <v>0</v>
      </c>
      <c r="X163" s="130">
        <v>0</v>
      </c>
      <c r="Y163" s="131">
        <f t="shared" si="5"/>
        <v>0</v>
      </c>
    </row>
    <row r="164" spans="1:25" x14ac:dyDescent="0.2">
      <c r="A164" s="23" t="s">
        <v>101</v>
      </c>
      <c r="B164">
        <v>5</v>
      </c>
      <c r="C164" s="23" t="s">
        <v>112</v>
      </c>
      <c r="D164">
        <v>517</v>
      </c>
      <c r="E164" s="130">
        <v>0</v>
      </c>
      <c r="F164" s="130">
        <v>0</v>
      </c>
      <c r="G164" s="130">
        <v>0</v>
      </c>
      <c r="H164" s="130">
        <v>0</v>
      </c>
      <c r="I164" s="130">
        <v>0</v>
      </c>
      <c r="J164" s="130">
        <v>0</v>
      </c>
      <c r="K164" s="130">
        <v>0</v>
      </c>
      <c r="L164" s="130">
        <v>0</v>
      </c>
      <c r="M164" s="130">
        <v>0</v>
      </c>
      <c r="N164" s="130">
        <v>0</v>
      </c>
      <c r="O164" s="130">
        <v>0</v>
      </c>
      <c r="P164" s="130">
        <v>0</v>
      </c>
      <c r="Q164" s="130">
        <v>0</v>
      </c>
      <c r="R164" s="130">
        <v>0</v>
      </c>
      <c r="S164" s="130">
        <v>0</v>
      </c>
      <c r="T164" s="130">
        <v>0</v>
      </c>
      <c r="U164" s="130">
        <v>0</v>
      </c>
      <c r="V164" s="130">
        <v>0</v>
      </c>
      <c r="W164" s="130">
        <v>0</v>
      </c>
      <c r="X164" s="130">
        <v>0</v>
      </c>
      <c r="Y164" s="131">
        <f t="shared" si="5"/>
        <v>0</v>
      </c>
    </row>
    <row r="165" spans="1:25" x14ac:dyDescent="0.2">
      <c r="A165" s="23" t="s">
        <v>101</v>
      </c>
      <c r="B165">
        <v>5</v>
      </c>
      <c r="C165" s="23" t="s">
        <v>112</v>
      </c>
      <c r="D165">
        <v>518</v>
      </c>
      <c r="E165" s="130">
        <v>0</v>
      </c>
      <c r="F165" s="130">
        <v>0</v>
      </c>
      <c r="G165" s="130">
        <v>0</v>
      </c>
      <c r="H165" s="130">
        <v>0</v>
      </c>
      <c r="I165" s="130">
        <v>0</v>
      </c>
      <c r="J165" s="130">
        <v>0</v>
      </c>
      <c r="K165" s="130">
        <v>0</v>
      </c>
      <c r="L165" s="130">
        <v>0</v>
      </c>
      <c r="M165" s="130">
        <v>0</v>
      </c>
      <c r="N165" s="130">
        <v>0</v>
      </c>
      <c r="O165" s="130">
        <v>0</v>
      </c>
      <c r="P165" s="130">
        <v>0</v>
      </c>
      <c r="Q165" s="130">
        <v>0</v>
      </c>
      <c r="R165" s="130">
        <v>0</v>
      </c>
      <c r="S165" s="130">
        <v>0</v>
      </c>
      <c r="T165" s="130">
        <v>0</v>
      </c>
      <c r="U165" s="130">
        <v>0</v>
      </c>
      <c r="V165" s="130">
        <v>0</v>
      </c>
      <c r="W165" s="130">
        <v>0</v>
      </c>
      <c r="X165" s="130">
        <v>0</v>
      </c>
      <c r="Y165" s="131">
        <f t="shared" si="5"/>
        <v>0</v>
      </c>
    </row>
    <row r="166" spans="1:25" x14ac:dyDescent="0.2">
      <c r="A166" s="23" t="s">
        <v>101</v>
      </c>
      <c r="B166">
        <v>5</v>
      </c>
      <c r="C166" s="23" t="s">
        <v>112</v>
      </c>
      <c r="D166">
        <v>519</v>
      </c>
      <c r="E166" s="130">
        <v>0</v>
      </c>
      <c r="F166" s="130">
        <v>0</v>
      </c>
      <c r="G166" s="130">
        <v>0</v>
      </c>
      <c r="H166" s="130">
        <v>0</v>
      </c>
      <c r="I166" s="130">
        <v>0</v>
      </c>
      <c r="J166" s="130">
        <v>0</v>
      </c>
      <c r="K166" s="130">
        <v>0</v>
      </c>
      <c r="L166" s="130">
        <v>0</v>
      </c>
      <c r="M166" s="130">
        <v>0</v>
      </c>
      <c r="N166" s="130">
        <v>0</v>
      </c>
      <c r="O166" s="130">
        <v>0</v>
      </c>
      <c r="P166" s="130">
        <v>0</v>
      </c>
      <c r="Q166" s="130">
        <v>0</v>
      </c>
      <c r="R166" s="130">
        <v>0</v>
      </c>
      <c r="S166" s="130">
        <v>0</v>
      </c>
      <c r="T166" s="130">
        <v>0</v>
      </c>
      <c r="U166" s="130">
        <v>0</v>
      </c>
      <c r="V166" s="130">
        <v>0</v>
      </c>
      <c r="W166" s="130">
        <v>0</v>
      </c>
      <c r="X166" s="130">
        <v>0</v>
      </c>
      <c r="Y166" s="131">
        <f t="shared" si="5"/>
        <v>0</v>
      </c>
    </row>
    <row r="167" spans="1:25" x14ac:dyDescent="0.2">
      <c r="A167" s="23" t="s">
        <v>101</v>
      </c>
      <c r="B167">
        <v>5</v>
      </c>
      <c r="C167" s="23" t="s">
        <v>112</v>
      </c>
      <c r="D167">
        <v>520</v>
      </c>
      <c r="E167" s="130">
        <v>0</v>
      </c>
      <c r="F167" s="130">
        <v>0</v>
      </c>
      <c r="G167" s="130">
        <v>0</v>
      </c>
      <c r="H167" s="130">
        <v>0</v>
      </c>
      <c r="I167" s="130">
        <v>0</v>
      </c>
      <c r="J167" s="130">
        <v>0</v>
      </c>
      <c r="K167" s="130">
        <v>0</v>
      </c>
      <c r="L167" s="130">
        <v>0</v>
      </c>
      <c r="M167" s="130">
        <v>0</v>
      </c>
      <c r="N167" s="130">
        <v>0</v>
      </c>
      <c r="O167" s="130">
        <v>0</v>
      </c>
      <c r="P167" s="130">
        <v>0</v>
      </c>
      <c r="Q167" s="130">
        <v>0</v>
      </c>
      <c r="R167" s="130">
        <v>0</v>
      </c>
      <c r="S167" s="130">
        <v>0</v>
      </c>
      <c r="T167" s="130">
        <v>0</v>
      </c>
      <c r="U167" s="130">
        <v>0</v>
      </c>
      <c r="V167" s="130">
        <v>0</v>
      </c>
      <c r="W167" s="130">
        <v>0</v>
      </c>
      <c r="X167" s="130">
        <v>0</v>
      </c>
      <c r="Y167" s="131">
        <f t="shared" si="5"/>
        <v>0</v>
      </c>
    </row>
    <row r="168" spans="1:25" x14ac:dyDescent="0.2">
      <c r="A168" s="23" t="s">
        <v>101</v>
      </c>
      <c r="B168">
        <v>5</v>
      </c>
      <c r="C168" s="23" t="s">
        <v>112</v>
      </c>
      <c r="D168">
        <v>521</v>
      </c>
      <c r="E168" s="130">
        <v>0</v>
      </c>
      <c r="F168" s="130">
        <v>0</v>
      </c>
      <c r="G168" s="130">
        <v>0</v>
      </c>
      <c r="H168" s="130">
        <v>0</v>
      </c>
      <c r="I168" s="130">
        <v>0</v>
      </c>
      <c r="J168" s="130">
        <v>0</v>
      </c>
      <c r="K168" s="130">
        <v>0</v>
      </c>
      <c r="L168" s="130">
        <v>0</v>
      </c>
      <c r="M168" s="130">
        <v>0</v>
      </c>
      <c r="N168" s="130">
        <v>0</v>
      </c>
      <c r="O168" s="130">
        <v>0</v>
      </c>
      <c r="P168" s="130">
        <v>0</v>
      </c>
      <c r="Q168" s="130">
        <v>0</v>
      </c>
      <c r="R168" s="130">
        <v>0</v>
      </c>
      <c r="S168" s="130">
        <v>0</v>
      </c>
      <c r="T168" s="130">
        <v>0</v>
      </c>
      <c r="U168" s="130">
        <v>0</v>
      </c>
      <c r="V168" s="130">
        <v>0</v>
      </c>
      <c r="W168" s="130">
        <v>0</v>
      </c>
      <c r="X168" s="130">
        <v>0</v>
      </c>
      <c r="Y168" s="131">
        <f t="shared" si="5"/>
        <v>0</v>
      </c>
    </row>
    <row r="169" spans="1:25" x14ac:dyDescent="0.2">
      <c r="A169" s="23" t="s">
        <v>101</v>
      </c>
      <c r="B169">
        <v>5</v>
      </c>
      <c r="C169" s="23" t="s">
        <v>112</v>
      </c>
      <c r="D169">
        <v>522</v>
      </c>
      <c r="E169" s="130">
        <v>0</v>
      </c>
      <c r="F169" s="130">
        <v>0</v>
      </c>
      <c r="G169" s="130">
        <v>0</v>
      </c>
      <c r="H169" s="130">
        <v>0</v>
      </c>
      <c r="I169" s="130">
        <v>0</v>
      </c>
      <c r="J169" s="130">
        <v>0</v>
      </c>
      <c r="K169" s="130">
        <v>0</v>
      </c>
      <c r="L169" s="130">
        <v>0</v>
      </c>
      <c r="M169" s="130">
        <v>0</v>
      </c>
      <c r="N169" s="130">
        <v>0</v>
      </c>
      <c r="O169" s="130">
        <v>0</v>
      </c>
      <c r="P169" s="130">
        <v>0</v>
      </c>
      <c r="Q169" s="130">
        <v>0</v>
      </c>
      <c r="R169" s="130">
        <v>0</v>
      </c>
      <c r="S169" s="130">
        <v>0</v>
      </c>
      <c r="T169" s="130">
        <v>0</v>
      </c>
      <c r="U169" s="130">
        <v>0</v>
      </c>
      <c r="V169" s="130">
        <v>0</v>
      </c>
      <c r="W169" s="130">
        <v>0</v>
      </c>
      <c r="X169" s="130">
        <v>0</v>
      </c>
      <c r="Y169" s="131">
        <f t="shared" si="5"/>
        <v>0</v>
      </c>
    </row>
    <row r="170" spans="1:25" x14ac:dyDescent="0.2">
      <c r="A170" s="23" t="s">
        <v>101</v>
      </c>
      <c r="B170">
        <v>5</v>
      </c>
      <c r="C170" s="23" t="s">
        <v>112</v>
      </c>
      <c r="D170">
        <v>523</v>
      </c>
      <c r="E170" s="130">
        <v>0</v>
      </c>
      <c r="F170" s="130">
        <v>0</v>
      </c>
      <c r="G170" s="130">
        <v>0</v>
      </c>
      <c r="H170" s="130">
        <v>0</v>
      </c>
      <c r="I170" s="130">
        <v>0</v>
      </c>
      <c r="J170" s="130">
        <v>0</v>
      </c>
      <c r="K170" s="130">
        <v>0</v>
      </c>
      <c r="L170" s="130">
        <v>0</v>
      </c>
      <c r="M170" s="130">
        <v>0</v>
      </c>
      <c r="N170" s="130">
        <v>0</v>
      </c>
      <c r="O170" s="130">
        <v>0</v>
      </c>
      <c r="P170" s="130">
        <v>0</v>
      </c>
      <c r="Q170" s="130">
        <v>0</v>
      </c>
      <c r="R170" s="130">
        <v>0</v>
      </c>
      <c r="S170" s="130">
        <v>0</v>
      </c>
      <c r="T170" s="130">
        <v>0</v>
      </c>
      <c r="U170" s="130">
        <v>0</v>
      </c>
      <c r="V170" s="130">
        <v>0</v>
      </c>
      <c r="W170" s="130">
        <v>0</v>
      </c>
      <c r="X170" s="130">
        <v>0</v>
      </c>
      <c r="Y170" s="131">
        <f t="shared" si="5"/>
        <v>0</v>
      </c>
    </row>
    <row r="171" spans="1:25" x14ac:dyDescent="0.2">
      <c r="A171" s="23" t="s">
        <v>101</v>
      </c>
      <c r="B171">
        <v>5</v>
      </c>
      <c r="C171" s="23" t="s">
        <v>111</v>
      </c>
      <c r="D171">
        <v>501</v>
      </c>
      <c r="E171" s="130">
        <v>0</v>
      </c>
      <c r="F171" s="130">
        <v>0</v>
      </c>
      <c r="G171" s="130">
        <v>0</v>
      </c>
      <c r="H171" s="130">
        <v>0</v>
      </c>
      <c r="I171" s="130">
        <v>0</v>
      </c>
      <c r="J171" s="130">
        <v>0</v>
      </c>
      <c r="K171" s="130">
        <v>0</v>
      </c>
      <c r="L171" s="130">
        <v>0</v>
      </c>
      <c r="M171" s="130">
        <v>0</v>
      </c>
      <c r="N171" s="130">
        <v>0</v>
      </c>
      <c r="O171" s="130">
        <v>0</v>
      </c>
      <c r="P171" s="130">
        <v>0</v>
      </c>
      <c r="Q171" s="130">
        <v>0</v>
      </c>
      <c r="R171" s="130">
        <v>0</v>
      </c>
      <c r="S171" s="130">
        <v>0</v>
      </c>
      <c r="T171" s="130">
        <v>0</v>
      </c>
      <c r="U171" s="130">
        <v>0</v>
      </c>
      <c r="V171" s="130">
        <v>0</v>
      </c>
      <c r="W171" s="130">
        <v>0</v>
      </c>
      <c r="X171" s="130">
        <v>0</v>
      </c>
      <c r="Y171" s="131">
        <f t="shared" si="5"/>
        <v>0</v>
      </c>
    </row>
    <row r="172" spans="1:25" x14ac:dyDescent="0.2">
      <c r="A172" s="23" t="s">
        <v>101</v>
      </c>
      <c r="B172">
        <v>5</v>
      </c>
      <c r="C172" s="23" t="s">
        <v>111</v>
      </c>
      <c r="D172">
        <v>502</v>
      </c>
      <c r="E172" s="130">
        <v>0</v>
      </c>
      <c r="F172" s="130">
        <v>0</v>
      </c>
      <c r="G172" s="130">
        <v>0</v>
      </c>
      <c r="H172" s="130">
        <v>0</v>
      </c>
      <c r="I172" s="130">
        <v>0</v>
      </c>
      <c r="J172" s="130">
        <v>0</v>
      </c>
      <c r="K172" s="130">
        <v>0</v>
      </c>
      <c r="L172" s="130">
        <v>0</v>
      </c>
      <c r="M172" s="130">
        <v>0</v>
      </c>
      <c r="N172" s="130">
        <v>0</v>
      </c>
      <c r="O172" s="130">
        <v>0</v>
      </c>
      <c r="P172" s="130">
        <v>0</v>
      </c>
      <c r="Q172" s="130">
        <v>0</v>
      </c>
      <c r="R172" s="130">
        <v>0</v>
      </c>
      <c r="S172" s="130">
        <v>0</v>
      </c>
      <c r="T172" s="130">
        <v>0</v>
      </c>
      <c r="U172" s="130">
        <v>0</v>
      </c>
      <c r="V172" s="130">
        <v>0</v>
      </c>
      <c r="W172" s="130">
        <v>0</v>
      </c>
      <c r="X172" s="130">
        <v>0</v>
      </c>
      <c r="Y172" s="131">
        <f t="shared" si="5"/>
        <v>0</v>
      </c>
    </row>
    <row r="173" spans="1:25" x14ac:dyDescent="0.2">
      <c r="A173" s="23" t="s">
        <v>101</v>
      </c>
      <c r="B173">
        <v>5</v>
      </c>
      <c r="C173" s="23" t="s">
        <v>111</v>
      </c>
      <c r="D173">
        <v>503</v>
      </c>
      <c r="E173" s="130">
        <v>0</v>
      </c>
      <c r="F173" s="130">
        <v>0</v>
      </c>
      <c r="G173" s="130">
        <v>0</v>
      </c>
      <c r="H173" s="130">
        <v>0</v>
      </c>
      <c r="I173" s="130">
        <v>0</v>
      </c>
      <c r="J173" s="130">
        <v>0</v>
      </c>
      <c r="K173" s="130">
        <v>0</v>
      </c>
      <c r="L173" s="130">
        <v>0</v>
      </c>
      <c r="M173" s="130">
        <v>0</v>
      </c>
      <c r="N173" s="130">
        <v>0</v>
      </c>
      <c r="O173" s="130">
        <v>0</v>
      </c>
      <c r="P173" s="130">
        <v>0</v>
      </c>
      <c r="Q173" s="130">
        <v>0</v>
      </c>
      <c r="R173" s="130">
        <v>0</v>
      </c>
      <c r="S173" s="130">
        <v>0</v>
      </c>
      <c r="T173" s="130">
        <v>0</v>
      </c>
      <c r="U173" s="130">
        <v>0</v>
      </c>
      <c r="V173" s="130">
        <v>0</v>
      </c>
      <c r="W173" s="130">
        <v>0</v>
      </c>
      <c r="X173" s="130">
        <v>0</v>
      </c>
      <c r="Y173" s="131">
        <f t="shared" si="5"/>
        <v>0</v>
      </c>
    </row>
    <row r="174" spans="1:25" x14ac:dyDescent="0.2">
      <c r="A174" s="23" t="s">
        <v>101</v>
      </c>
      <c r="B174">
        <v>5</v>
      </c>
      <c r="C174" s="23" t="s">
        <v>111</v>
      </c>
      <c r="D174">
        <v>504</v>
      </c>
      <c r="E174" s="130">
        <v>0</v>
      </c>
      <c r="F174" s="130">
        <v>0</v>
      </c>
      <c r="G174" s="130">
        <v>0</v>
      </c>
      <c r="H174" s="130">
        <v>0</v>
      </c>
      <c r="I174" s="130">
        <v>0</v>
      </c>
      <c r="J174" s="130">
        <v>0</v>
      </c>
      <c r="K174" s="130">
        <v>0</v>
      </c>
      <c r="L174" s="130">
        <v>0</v>
      </c>
      <c r="M174" s="130">
        <v>0</v>
      </c>
      <c r="N174" s="130">
        <v>0</v>
      </c>
      <c r="O174" s="130">
        <v>0</v>
      </c>
      <c r="P174" s="130">
        <v>0</v>
      </c>
      <c r="Q174" s="130">
        <v>0</v>
      </c>
      <c r="R174" s="130">
        <v>0</v>
      </c>
      <c r="S174" s="130">
        <v>0</v>
      </c>
      <c r="T174" s="130">
        <v>0</v>
      </c>
      <c r="U174" s="130">
        <v>0</v>
      </c>
      <c r="V174" s="130">
        <v>0</v>
      </c>
      <c r="W174" s="130">
        <v>0</v>
      </c>
      <c r="X174" s="130">
        <v>0</v>
      </c>
      <c r="Y174" s="131">
        <f t="shared" si="5"/>
        <v>0</v>
      </c>
    </row>
    <row r="175" spans="1:25" x14ac:dyDescent="0.2">
      <c r="A175" s="23" t="s">
        <v>101</v>
      </c>
      <c r="B175">
        <v>5</v>
      </c>
      <c r="C175" s="23" t="s">
        <v>111</v>
      </c>
      <c r="D175">
        <v>505</v>
      </c>
      <c r="E175" s="130">
        <v>0</v>
      </c>
      <c r="F175" s="130">
        <v>0</v>
      </c>
      <c r="G175" s="130">
        <v>0</v>
      </c>
      <c r="H175" s="130">
        <v>0</v>
      </c>
      <c r="I175" s="130">
        <v>0</v>
      </c>
      <c r="J175" s="130">
        <v>0</v>
      </c>
      <c r="K175" s="130">
        <v>0</v>
      </c>
      <c r="L175" s="130">
        <v>0</v>
      </c>
      <c r="M175" s="130">
        <v>0</v>
      </c>
      <c r="N175" s="130">
        <v>0</v>
      </c>
      <c r="O175" s="130">
        <v>0</v>
      </c>
      <c r="P175" s="130">
        <v>0</v>
      </c>
      <c r="Q175" s="130">
        <v>0</v>
      </c>
      <c r="R175" s="130">
        <v>0</v>
      </c>
      <c r="S175" s="130">
        <v>0</v>
      </c>
      <c r="T175" s="130">
        <v>0</v>
      </c>
      <c r="U175" s="130">
        <v>0</v>
      </c>
      <c r="V175" s="130">
        <v>0</v>
      </c>
      <c r="W175" s="130">
        <v>0</v>
      </c>
      <c r="X175" s="130">
        <v>0</v>
      </c>
      <c r="Y175" s="131">
        <f t="shared" si="5"/>
        <v>0</v>
      </c>
    </row>
    <row r="176" spans="1:25" x14ac:dyDescent="0.2">
      <c r="A176" s="23" t="s">
        <v>101</v>
      </c>
      <c r="B176">
        <v>5</v>
      </c>
      <c r="C176" s="23" t="s">
        <v>111</v>
      </c>
      <c r="D176">
        <v>506</v>
      </c>
      <c r="E176" s="130">
        <v>0</v>
      </c>
      <c r="F176" s="130">
        <v>0</v>
      </c>
      <c r="G176" s="130">
        <v>0</v>
      </c>
      <c r="H176" s="130">
        <v>0</v>
      </c>
      <c r="I176" s="130">
        <v>0</v>
      </c>
      <c r="J176" s="130">
        <v>0</v>
      </c>
      <c r="K176" s="130">
        <v>0</v>
      </c>
      <c r="L176" s="130">
        <v>0</v>
      </c>
      <c r="M176" s="130">
        <v>0</v>
      </c>
      <c r="N176" s="130">
        <v>0</v>
      </c>
      <c r="O176" s="130">
        <v>0</v>
      </c>
      <c r="P176" s="130">
        <v>0</v>
      </c>
      <c r="Q176" s="130">
        <v>0</v>
      </c>
      <c r="R176" s="130">
        <v>0</v>
      </c>
      <c r="S176" s="130">
        <v>0</v>
      </c>
      <c r="T176" s="130">
        <v>0</v>
      </c>
      <c r="U176" s="130">
        <v>0</v>
      </c>
      <c r="V176" s="130">
        <v>0</v>
      </c>
      <c r="W176" s="130">
        <v>0</v>
      </c>
      <c r="X176" s="130">
        <v>0</v>
      </c>
      <c r="Y176" s="131">
        <f t="shared" si="5"/>
        <v>0</v>
      </c>
    </row>
    <row r="177" spans="1:25" x14ac:dyDescent="0.2">
      <c r="A177" s="23" t="s">
        <v>101</v>
      </c>
      <c r="B177">
        <v>5</v>
      </c>
      <c r="C177" s="23" t="s">
        <v>111</v>
      </c>
      <c r="D177">
        <v>507</v>
      </c>
      <c r="E177" s="130">
        <v>0</v>
      </c>
      <c r="F177" s="130">
        <v>0</v>
      </c>
      <c r="G177" s="130">
        <v>0</v>
      </c>
      <c r="H177" s="130">
        <v>0</v>
      </c>
      <c r="I177" s="130">
        <v>0</v>
      </c>
      <c r="J177" s="130">
        <v>0</v>
      </c>
      <c r="K177" s="130">
        <v>0</v>
      </c>
      <c r="L177" s="130">
        <v>0</v>
      </c>
      <c r="M177" s="130">
        <v>0</v>
      </c>
      <c r="N177" s="130">
        <v>0</v>
      </c>
      <c r="O177" s="130">
        <v>0</v>
      </c>
      <c r="P177" s="130">
        <v>0</v>
      </c>
      <c r="Q177" s="130">
        <v>0</v>
      </c>
      <c r="R177" s="130">
        <v>0</v>
      </c>
      <c r="S177" s="130">
        <v>0</v>
      </c>
      <c r="T177" s="130">
        <v>0</v>
      </c>
      <c r="U177" s="130">
        <v>0</v>
      </c>
      <c r="V177" s="130">
        <v>0</v>
      </c>
      <c r="W177" s="130">
        <v>0</v>
      </c>
      <c r="X177" s="130">
        <v>0</v>
      </c>
      <c r="Y177" s="131">
        <f t="shared" si="5"/>
        <v>0</v>
      </c>
    </row>
    <row r="178" spans="1:25" x14ac:dyDescent="0.2">
      <c r="A178" s="23" t="s">
        <v>101</v>
      </c>
      <c r="B178">
        <v>5</v>
      </c>
      <c r="C178" s="23" t="s">
        <v>111</v>
      </c>
      <c r="D178">
        <v>508</v>
      </c>
      <c r="E178" s="130">
        <v>0</v>
      </c>
      <c r="F178" s="130">
        <v>0</v>
      </c>
      <c r="G178" s="130">
        <v>0</v>
      </c>
      <c r="H178" s="130">
        <v>0</v>
      </c>
      <c r="I178" s="130">
        <v>0</v>
      </c>
      <c r="J178" s="130">
        <v>0</v>
      </c>
      <c r="K178" s="130">
        <v>0</v>
      </c>
      <c r="L178" s="130">
        <v>0</v>
      </c>
      <c r="M178" s="130">
        <v>0</v>
      </c>
      <c r="N178" s="130">
        <v>0</v>
      </c>
      <c r="O178" s="130">
        <v>0</v>
      </c>
      <c r="P178" s="130">
        <v>0</v>
      </c>
      <c r="Q178" s="130">
        <v>0</v>
      </c>
      <c r="R178" s="130">
        <v>0</v>
      </c>
      <c r="S178" s="130">
        <v>0</v>
      </c>
      <c r="T178" s="130">
        <v>0</v>
      </c>
      <c r="U178" s="130">
        <v>0</v>
      </c>
      <c r="V178" s="130">
        <v>0</v>
      </c>
      <c r="W178" s="130">
        <v>0</v>
      </c>
      <c r="X178" s="130">
        <v>0</v>
      </c>
      <c r="Y178" s="131">
        <f t="shared" si="5"/>
        <v>0</v>
      </c>
    </row>
    <row r="179" spans="1:25" x14ac:dyDescent="0.2">
      <c r="A179" s="23" t="s">
        <v>101</v>
      </c>
      <c r="B179">
        <v>5</v>
      </c>
      <c r="C179" s="23" t="s">
        <v>111</v>
      </c>
      <c r="D179">
        <v>509</v>
      </c>
      <c r="E179" s="130">
        <v>0</v>
      </c>
      <c r="F179" s="130">
        <v>0</v>
      </c>
      <c r="G179" s="130">
        <v>0</v>
      </c>
      <c r="H179" s="130">
        <v>0</v>
      </c>
      <c r="I179" s="130">
        <v>0</v>
      </c>
      <c r="J179" s="130">
        <v>0</v>
      </c>
      <c r="K179" s="130">
        <v>0</v>
      </c>
      <c r="L179" s="130">
        <v>0</v>
      </c>
      <c r="M179" s="130">
        <v>0</v>
      </c>
      <c r="N179" s="130">
        <v>0</v>
      </c>
      <c r="O179" s="130">
        <v>0</v>
      </c>
      <c r="P179" s="130">
        <v>0</v>
      </c>
      <c r="Q179" s="130">
        <v>0</v>
      </c>
      <c r="R179" s="130">
        <v>0</v>
      </c>
      <c r="S179" s="130">
        <v>0</v>
      </c>
      <c r="T179" s="130">
        <v>0</v>
      </c>
      <c r="U179" s="130">
        <v>0</v>
      </c>
      <c r="V179" s="130">
        <v>0</v>
      </c>
      <c r="W179" s="130">
        <v>0</v>
      </c>
      <c r="X179" s="130">
        <v>0</v>
      </c>
      <c r="Y179" s="131">
        <f t="shared" si="5"/>
        <v>0</v>
      </c>
    </row>
    <row r="180" spans="1:25" x14ac:dyDescent="0.2">
      <c r="A180" s="23" t="s">
        <v>101</v>
      </c>
      <c r="B180">
        <v>5</v>
      </c>
      <c r="C180" s="23" t="s">
        <v>111</v>
      </c>
      <c r="D180">
        <v>510</v>
      </c>
      <c r="E180" s="130">
        <v>0</v>
      </c>
      <c r="F180" s="130">
        <v>0</v>
      </c>
      <c r="G180" s="130">
        <v>0</v>
      </c>
      <c r="H180" s="130">
        <v>0</v>
      </c>
      <c r="I180" s="130">
        <v>0</v>
      </c>
      <c r="J180" s="130">
        <v>0</v>
      </c>
      <c r="K180" s="130">
        <v>0</v>
      </c>
      <c r="L180" s="130">
        <v>0</v>
      </c>
      <c r="M180" s="130">
        <v>0</v>
      </c>
      <c r="N180" s="130">
        <v>0</v>
      </c>
      <c r="O180" s="130">
        <v>0</v>
      </c>
      <c r="P180" s="130">
        <v>0</v>
      </c>
      <c r="Q180" s="130">
        <v>0</v>
      </c>
      <c r="R180" s="130">
        <v>0</v>
      </c>
      <c r="S180" s="130">
        <v>0</v>
      </c>
      <c r="T180" s="130">
        <v>0</v>
      </c>
      <c r="U180" s="130">
        <v>0</v>
      </c>
      <c r="V180" s="130">
        <v>0</v>
      </c>
      <c r="W180" s="130">
        <v>0</v>
      </c>
      <c r="X180" s="130">
        <v>0</v>
      </c>
      <c r="Y180" s="131">
        <f t="shared" si="5"/>
        <v>0</v>
      </c>
    </row>
    <row r="181" spans="1:25" x14ac:dyDescent="0.2">
      <c r="A181" s="23" t="s">
        <v>101</v>
      </c>
      <c r="B181">
        <v>5</v>
      </c>
      <c r="C181" s="23" t="s">
        <v>111</v>
      </c>
      <c r="D181">
        <v>511</v>
      </c>
      <c r="E181" s="130">
        <v>0</v>
      </c>
      <c r="F181" s="130">
        <v>0</v>
      </c>
      <c r="G181" s="130">
        <v>0</v>
      </c>
      <c r="H181" s="130">
        <v>0</v>
      </c>
      <c r="I181" s="130">
        <v>0</v>
      </c>
      <c r="J181" s="130">
        <v>0</v>
      </c>
      <c r="K181" s="130">
        <v>0</v>
      </c>
      <c r="L181" s="130">
        <v>0</v>
      </c>
      <c r="M181" s="130">
        <v>0</v>
      </c>
      <c r="N181" s="130">
        <v>0</v>
      </c>
      <c r="O181" s="130">
        <v>0</v>
      </c>
      <c r="P181" s="130">
        <v>0</v>
      </c>
      <c r="Q181" s="130">
        <v>0</v>
      </c>
      <c r="R181" s="130">
        <v>0</v>
      </c>
      <c r="S181" s="130">
        <v>0</v>
      </c>
      <c r="T181" s="130">
        <v>0</v>
      </c>
      <c r="U181" s="130">
        <v>0</v>
      </c>
      <c r="V181" s="130">
        <v>0</v>
      </c>
      <c r="W181" s="130">
        <v>0</v>
      </c>
      <c r="X181" s="130">
        <v>0</v>
      </c>
      <c r="Y181" s="131">
        <f t="shared" si="5"/>
        <v>0</v>
      </c>
    </row>
    <row r="182" spans="1:25" x14ac:dyDescent="0.2">
      <c r="A182" s="23" t="s">
        <v>101</v>
      </c>
      <c r="B182">
        <v>5</v>
      </c>
      <c r="C182" s="23" t="s">
        <v>111</v>
      </c>
      <c r="D182">
        <v>512</v>
      </c>
      <c r="E182" s="130">
        <v>0</v>
      </c>
      <c r="F182" s="130">
        <v>0</v>
      </c>
      <c r="G182" s="130">
        <v>0</v>
      </c>
      <c r="H182" s="130">
        <v>0</v>
      </c>
      <c r="I182" s="130">
        <v>0</v>
      </c>
      <c r="J182" s="130">
        <v>0</v>
      </c>
      <c r="K182" s="130">
        <v>0</v>
      </c>
      <c r="L182" s="130">
        <v>0</v>
      </c>
      <c r="M182" s="130">
        <v>0</v>
      </c>
      <c r="N182" s="130">
        <v>0</v>
      </c>
      <c r="O182" s="130">
        <v>0</v>
      </c>
      <c r="P182" s="130">
        <v>0</v>
      </c>
      <c r="Q182" s="130">
        <v>0</v>
      </c>
      <c r="R182" s="130">
        <v>0</v>
      </c>
      <c r="S182" s="130">
        <v>0</v>
      </c>
      <c r="T182" s="130">
        <v>0</v>
      </c>
      <c r="U182" s="130">
        <v>0</v>
      </c>
      <c r="V182" s="130">
        <v>0</v>
      </c>
      <c r="W182" s="130">
        <v>0</v>
      </c>
      <c r="X182" s="130">
        <v>0</v>
      </c>
      <c r="Y182" s="131">
        <f t="shared" si="5"/>
        <v>0</v>
      </c>
    </row>
    <row r="183" spans="1:25" x14ac:dyDescent="0.2">
      <c r="A183" s="23" t="s">
        <v>101</v>
      </c>
      <c r="B183">
        <v>5</v>
      </c>
      <c r="C183" s="23" t="s">
        <v>111</v>
      </c>
      <c r="D183">
        <v>513</v>
      </c>
      <c r="E183" s="130">
        <v>0</v>
      </c>
      <c r="F183" s="130">
        <v>0</v>
      </c>
      <c r="G183" s="130">
        <v>0</v>
      </c>
      <c r="H183" s="130">
        <v>0</v>
      </c>
      <c r="I183" s="130">
        <v>0</v>
      </c>
      <c r="J183" s="130">
        <v>0</v>
      </c>
      <c r="K183" s="130">
        <v>0</v>
      </c>
      <c r="L183" s="130">
        <v>0</v>
      </c>
      <c r="M183" s="130">
        <v>0</v>
      </c>
      <c r="N183" s="130">
        <v>0</v>
      </c>
      <c r="O183" s="130">
        <v>0</v>
      </c>
      <c r="P183" s="130">
        <v>0</v>
      </c>
      <c r="Q183" s="130">
        <v>0</v>
      </c>
      <c r="R183" s="130">
        <v>0</v>
      </c>
      <c r="S183" s="130">
        <v>0</v>
      </c>
      <c r="T183" s="130">
        <v>0</v>
      </c>
      <c r="U183" s="130">
        <v>0</v>
      </c>
      <c r="V183" s="130">
        <v>0</v>
      </c>
      <c r="W183" s="130">
        <v>0</v>
      </c>
      <c r="X183" s="130">
        <v>0</v>
      </c>
      <c r="Y183" s="131">
        <f t="shared" si="5"/>
        <v>0</v>
      </c>
    </row>
    <row r="184" spans="1:25" x14ac:dyDescent="0.2">
      <c r="A184" s="23" t="s">
        <v>101</v>
      </c>
      <c r="B184">
        <v>5</v>
      </c>
      <c r="C184" s="23" t="s">
        <v>111</v>
      </c>
      <c r="D184">
        <v>514</v>
      </c>
      <c r="E184" s="130">
        <v>0</v>
      </c>
      <c r="F184" s="130">
        <v>0</v>
      </c>
      <c r="G184" s="130">
        <v>0</v>
      </c>
      <c r="H184" s="130">
        <v>0</v>
      </c>
      <c r="I184" s="130">
        <v>0</v>
      </c>
      <c r="J184" s="130">
        <v>0</v>
      </c>
      <c r="K184" s="130">
        <v>0</v>
      </c>
      <c r="L184" s="130">
        <v>0</v>
      </c>
      <c r="M184" s="130">
        <v>0</v>
      </c>
      <c r="N184" s="130">
        <v>0</v>
      </c>
      <c r="O184" s="130">
        <v>0</v>
      </c>
      <c r="P184" s="130">
        <v>0</v>
      </c>
      <c r="Q184" s="130">
        <v>0</v>
      </c>
      <c r="R184" s="130">
        <v>0</v>
      </c>
      <c r="S184" s="130">
        <v>0</v>
      </c>
      <c r="T184" s="130">
        <v>0</v>
      </c>
      <c r="U184" s="130">
        <v>0</v>
      </c>
      <c r="V184" s="130">
        <v>0</v>
      </c>
      <c r="W184" s="130">
        <v>0</v>
      </c>
      <c r="X184" s="130">
        <v>0</v>
      </c>
      <c r="Y184" s="131">
        <f t="shared" si="5"/>
        <v>0</v>
      </c>
    </row>
    <row r="185" spans="1:25" x14ac:dyDescent="0.2">
      <c r="A185" s="23" t="s">
        <v>101</v>
      </c>
      <c r="B185">
        <v>5</v>
      </c>
      <c r="C185" s="23" t="s">
        <v>111</v>
      </c>
      <c r="D185">
        <v>515</v>
      </c>
      <c r="E185" s="130">
        <v>0</v>
      </c>
      <c r="F185" s="130">
        <v>0</v>
      </c>
      <c r="G185" s="130">
        <v>0</v>
      </c>
      <c r="H185" s="130">
        <v>0</v>
      </c>
      <c r="I185" s="130">
        <v>0</v>
      </c>
      <c r="J185" s="130">
        <v>0</v>
      </c>
      <c r="K185" s="130">
        <v>0</v>
      </c>
      <c r="L185" s="130">
        <v>0</v>
      </c>
      <c r="M185" s="130">
        <v>0</v>
      </c>
      <c r="N185" s="130">
        <v>0</v>
      </c>
      <c r="O185" s="130">
        <v>0</v>
      </c>
      <c r="P185" s="130">
        <v>0</v>
      </c>
      <c r="Q185" s="130">
        <v>0</v>
      </c>
      <c r="R185" s="130">
        <v>0</v>
      </c>
      <c r="S185" s="130">
        <v>0</v>
      </c>
      <c r="T185" s="130">
        <v>0</v>
      </c>
      <c r="U185" s="130">
        <v>0</v>
      </c>
      <c r="V185" s="130">
        <v>0</v>
      </c>
      <c r="W185" s="130">
        <v>0</v>
      </c>
      <c r="X185" s="130">
        <v>0</v>
      </c>
      <c r="Y185" s="131">
        <f t="shared" si="5"/>
        <v>0</v>
      </c>
    </row>
    <row r="186" spans="1:25" x14ac:dyDescent="0.2">
      <c r="A186" s="23" t="s">
        <v>101</v>
      </c>
      <c r="B186">
        <v>5</v>
      </c>
      <c r="C186" s="23" t="s">
        <v>111</v>
      </c>
      <c r="D186">
        <v>516</v>
      </c>
      <c r="E186" s="130">
        <v>0</v>
      </c>
      <c r="F186" s="130">
        <v>0</v>
      </c>
      <c r="G186" s="130">
        <v>0</v>
      </c>
      <c r="H186" s="130">
        <v>0</v>
      </c>
      <c r="I186" s="130">
        <v>0</v>
      </c>
      <c r="J186" s="130">
        <v>0</v>
      </c>
      <c r="K186" s="130">
        <v>0</v>
      </c>
      <c r="L186" s="130">
        <v>0</v>
      </c>
      <c r="M186" s="130">
        <v>0</v>
      </c>
      <c r="N186" s="130">
        <v>0</v>
      </c>
      <c r="O186" s="130">
        <v>0</v>
      </c>
      <c r="P186" s="130">
        <v>0</v>
      </c>
      <c r="Q186" s="130">
        <v>0</v>
      </c>
      <c r="R186" s="130">
        <v>0</v>
      </c>
      <c r="S186" s="130">
        <v>0</v>
      </c>
      <c r="T186" s="130">
        <v>0</v>
      </c>
      <c r="U186" s="130">
        <v>0</v>
      </c>
      <c r="V186" s="130">
        <v>0</v>
      </c>
      <c r="W186" s="130">
        <v>0</v>
      </c>
      <c r="X186" s="130">
        <v>0</v>
      </c>
      <c r="Y186" s="131">
        <f t="shared" si="5"/>
        <v>0</v>
      </c>
    </row>
    <row r="187" spans="1:25" x14ac:dyDescent="0.2">
      <c r="A187" s="23" t="s">
        <v>101</v>
      </c>
      <c r="B187">
        <v>5</v>
      </c>
      <c r="C187" s="23" t="s">
        <v>111</v>
      </c>
      <c r="D187">
        <v>517</v>
      </c>
      <c r="E187" s="130">
        <v>0</v>
      </c>
      <c r="F187" s="130">
        <v>0</v>
      </c>
      <c r="G187" s="130">
        <v>0</v>
      </c>
      <c r="H187" s="130">
        <v>0</v>
      </c>
      <c r="I187" s="130">
        <v>0</v>
      </c>
      <c r="J187" s="130">
        <v>0</v>
      </c>
      <c r="K187" s="130">
        <v>0</v>
      </c>
      <c r="L187" s="130">
        <v>0</v>
      </c>
      <c r="M187" s="130">
        <v>0</v>
      </c>
      <c r="N187" s="130">
        <v>0</v>
      </c>
      <c r="O187" s="130">
        <v>0</v>
      </c>
      <c r="P187" s="130">
        <v>0</v>
      </c>
      <c r="Q187" s="130">
        <v>0</v>
      </c>
      <c r="R187" s="130">
        <v>0</v>
      </c>
      <c r="S187" s="130">
        <v>0</v>
      </c>
      <c r="T187" s="130">
        <v>0</v>
      </c>
      <c r="U187" s="130">
        <v>0</v>
      </c>
      <c r="V187" s="130">
        <v>0</v>
      </c>
      <c r="W187" s="130">
        <v>0</v>
      </c>
      <c r="X187" s="130">
        <v>0</v>
      </c>
      <c r="Y187" s="131">
        <f t="shared" si="5"/>
        <v>0</v>
      </c>
    </row>
    <row r="188" spans="1:25" x14ac:dyDescent="0.2">
      <c r="A188" s="23" t="s">
        <v>101</v>
      </c>
      <c r="B188">
        <v>5</v>
      </c>
      <c r="C188" s="23" t="s">
        <v>111</v>
      </c>
      <c r="D188">
        <v>518</v>
      </c>
      <c r="E188" s="130">
        <v>0</v>
      </c>
      <c r="F188" s="130">
        <v>0</v>
      </c>
      <c r="G188" s="130">
        <v>0</v>
      </c>
      <c r="H188" s="130">
        <v>0</v>
      </c>
      <c r="I188" s="130">
        <v>0</v>
      </c>
      <c r="J188" s="130">
        <v>0</v>
      </c>
      <c r="K188" s="130">
        <v>0</v>
      </c>
      <c r="L188" s="130">
        <v>0</v>
      </c>
      <c r="M188" s="130">
        <v>0</v>
      </c>
      <c r="N188" s="130">
        <v>0</v>
      </c>
      <c r="O188" s="130">
        <v>0</v>
      </c>
      <c r="P188" s="130">
        <v>0</v>
      </c>
      <c r="Q188" s="130">
        <v>0</v>
      </c>
      <c r="R188" s="130">
        <v>0</v>
      </c>
      <c r="S188" s="130">
        <v>0</v>
      </c>
      <c r="T188" s="130">
        <v>0</v>
      </c>
      <c r="U188" s="130">
        <v>0</v>
      </c>
      <c r="V188" s="130">
        <v>0</v>
      </c>
      <c r="W188" s="130">
        <v>0</v>
      </c>
      <c r="X188" s="130">
        <v>0</v>
      </c>
      <c r="Y188" s="131">
        <f t="shared" si="5"/>
        <v>0</v>
      </c>
    </row>
    <row r="189" spans="1:25" x14ac:dyDescent="0.2">
      <c r="A189" s="23" t="s">
        <v>101</v>
      </c>
      <c r="B189">
        <v>5</v>
      </c>
      <c r="C189" s="23" t="s">
        <v>111</v>
      </c>
      <c r="D189">
        <v>519</v>
      </c>
      <c r="E189" s="130">
        <v>0</v>
      </c>
      <c r="F189" s="130">
        <v>0</v>
      </c>
      <c r="G189" s="130">
        <v>0</v>
      </c>
      <c r="H189" s="130">
        <v>0</v>
      </c>
      <c r="I189" s="130">
        <v>0</v>
      </c>
      <c r="J189" s="130">
        <v>0</v>
      </c>
      <c r="K189" s="130">
        <v>0</v>
      </c>
      <c r="L189" s="130">
        <v>0</v>
      </c>
      <c r="M189" s="130">
        <v>0</v>
      </c>
      <c r="N189" s="130">
        <v>0</v>
      </c>
      <c r="O189" s="130">
        <v>0</v>
      </c>
      <c r="P189" s="130">
        <v>0</v>
      </c>
      <c r="Q189" s="130">
        <v>0</v>
      </c>
      <c r="R189" s="130">
        <v>0</v>
      </c>
      <c r="S189" s="130">
        <v>0</v>
      </c>
      <c r="T189" s="130">
        <v>0</v>
      </c>
      <c r="U189" s="130">
        <v>0</v>
      </c>
      <c r="V189" s="130">
        <v>0</v>
      </c>
      <c r="W189" s="130">
        <v>0</v>
      </c>
      <c r="X189" s="130">
        <v>0</v>
      </c>
      <c r="Y189" s="131">
        <f t="shared" si="5"/>
        <v>0</v>
      </c>
    </row>
    <row r="190" spans="1:25" x14ac:dyDescent="0.2">
      <c r="A190" s="23" t="s">
        <v>101</v>
      </c>
      <c r="B190">
        <v>5</v>
      </c>
      <c r="C190" s="23" t="s">
        <v>111</v>
      </c>
      <c r="D190">
        <v>520</v>
      </c>
      <c r="E190" s="130">
        <v>0</v>
      </c>
      <c r="F190" s="130">
        <v>0</v>
      </c>
      <c r="G190" s="130">
        <v>0</v>
      </c>
      <c r="H190" s="130">
        <v>0</v>
      </c>
      <c r="I190" s="130">
        <v>0</v>
      </c>
      <c r="J190" s="130">
        <v>0</v>
      </c>
      <c r="K190" s="130">
        <v>0</v>
      </c>
      <c r="L190" s="130">
        <v>0</v>
      </c>
      <c r="M190" s="130">
        <v>0</v>
      </c>
      <c r="N190" s="130">
        <v>0</v>
      </c>
      <c r="O190" s="130">
        <v>0</v>
      </c>
      <c r="P190" s="130">
        <v>0</v>
      </c>
      <c r="Q190" s="130">
        <v>0</v>
      </c>
      <c r="R190" s="130">
        <v>0</v>
      </c>
      <c r="S190" s="130">
        <v>0</v>
      </c>
      <c r="T190" s="130">
        <v>0</v>
      </c>
      <c r="U190" s="130">
        <v>0</v>
      </c>
      <c r="V190" s="130">
        <v>0</v>
      </c>
      <c r="W190" s="130">
        <v>0</v>
      </c>
      <c r="X190" s="130">
        <v>0</v>
      </c>
      <c r="Y190" s="131">
        <f t="shared" si="5"/>
        <v>0</v>
      </c>
    </row>
    <row r="191" spans="1:25" x14ac:dyDescent="0.2">
      <c r="A191" s="23" t="s">
        <v>101</v>
      </c>
      <c r="B191">
        <v>5</v>
      </c>
      <c r="C191" s="23" t="s">
        <v>111</v>
      </c>
      <c r="D191">
        <v>521</v>
      </c>
      <c r="E191" s="130">
        <v>0</v>
      </c>
      <c r="F191" s="130">
        <v>0</v>
      </c>
      <c r="G191" s="130">
        <v>0</v>
      </c>
      <c r="H191" s="130">
        <v>0</v>
      </c>
      <c r="I191" s="130">
        <v>0</v>
      </c>
      <c r="J191" s="130">
        <v>0</v>
      </c>
      <c r="K191" s="130">
        <v>0</v>
      </c>
      <c r="L191" s="130">
        <v>0</v>
      </c>
      <c r="M191" s="130">
        <v>0</v>
      </c>
      <c r="N191" s="130">
        <v>0</v>
      </c>
      <c r="O191" s="130">
        <v>0</v>
      </c>
      <c r="P191" s="130">
        <v>0</v>
      </c>
      <c r="Q191" s="130">
        <v>0</v>
      </c>
      <c r="R191" s="130">
        <v>0</v>
      </c>
      <c r="S191" s="130">
        <v>0</v>
      </c>
      <c r="T191" s="130">
        <v>0</v>
      </c>
      <c r="U191" s="130">
        <v>0</v>
      </c>
      <c r="V191" s="130">
        <v>0</v>
      </c>
      <c r="W191" s="130">
        <v>0</v>
      </c>
      <c r="X191" s="130">
        <v>0</v>
      </c>
      <c r="Y191" s="131">
        <f t="shared" si="5"/>
        <v>0</v>
      </c>
    </row>
    <row r="192" spans="1:25" x14ac:dyDescent="0.2">
      <c r="A192" s="23"/>
      <c r="C192" s="23"/>
      <c r="D192" s="23"/>
      <c r="E192" s="130">
        <f t="shared" ref="E192:X192" si="7">AVERAGE(E148:E191)</f>
        <v>0</v>
      </c>
      <c r="F192" s="130">
        <f t="shared" si="7"/>
        <v>0</v>
      </c>
      <c r="G192" s="130">
        <f t="shared" si="7"/>
        <v>0</v>
      </c>
      <c r="H192" s="130">
        <f t="shared" si="7"/>
        <v>0</v>
      </c>
      <c r="I192" s="130">
        <f t="shared" si="7"/>
        <v>0</v>
      </c>
      <c r="J192" s="130">
        <f t="shared" si="7"/>
        <v>0</v>
      </c>
      <c r="K192" s="130">
        <f t="shared" si="7"/>
        <v>0</v>
      </c>
      <c r="L192" s="130">
        <f t="shared" si="7"/>
        <v>0</v>
      </c>
      <c r="M192" s="130">
        <f t="shared" si="7"/>
        <v>0</v>
      </c>
      <c r="N192" s="130">
        <f t="shared" si="7"/>
        <v>0</v>
      </c>
      <c r="O192" s="130">
        <f t="shared" si="7"/>
        <v>0</v>
      </c>
      <c r="P192" s="130">
        <f t="shared" si="7"/>
        <v>0</v>
      </c>
      <c r="Q192" s="130">
        <f t="shared" si="7"/>
        <v>0</v>
      </c>
      <c r="R192" s="130">
        <f t="shared" si="7"/>
        <v>0</v>
      </c>
      <c r="S192" s="130">
        <f t="shared" si="7"/>
        <v>0</v>
      </c>
      <c r="T192" s="130">
        <f t="shared" si="7"/>
        <v>0</v>
      </c>
      <c r="U192" s="130">
        <f t="shared" si="7"/>
        <v>0</v>
      </c>
      <c r="V192" s="130">
        <f t="shared" si="7"/>
        <v>0</v>
      </c>
      <c r="W192" s="130">
        <f t="shared" si="7"/>
        <v>0</v>
      </c>
      <c r="X192" s="130">
        <f t="shared" si="7"/>
        <v>0</v>
      </c>
      <c r="Y192" s="131">
        <f t="shared" si="5"/>
        <v>0</v>
      </c>
    </row>
    <row r="193" spans="1:25" x14ac:dyDescent="0.2">
      <c r="A193" s="23" t="s">
        <v>101</v>
      </c>
      <c r="B193">
        <v>6</v>
      </c>
      <c r="C193" s="23" t="s">
        <v>112</v>
      </c>
      <c r="D193">
        <v>601</v>
      </c>
      <c r="E193" s="130">
        <v>0</v>
      </c>
      <c r="F193" s="130">
        <v>0</v>
      </c>
      <c r="G193" s="130">
        <v>0</v>
      </c>
      <c r="H193" s="130">
        <v>0</v>
      </c>
      <c r="I193" s="130">
        <v>0</v>
      </c>
      <c r="J193" s="130">
        <v>0</v>
      </c>
      <c r="K193" s="130">
        <v>0</v>
      </c>
      <c r="L193" s="130">
        <v>0</v>
      </c>
      <c r="M193" s="130">
        <v>0</v>
      </c>
      <c r="N193" s="130">
        <v>0</v>
      </c>
      <c r="O193" s="130">
        <v>0</v>
      </c>
      <c r="P193" s="130">
        <v>0</v>
      </c>
      <c r="Q193" s="130">
        <v>0</v>
      </c>
      <c r="R193" s="130">
        <v>0</v>
      </c>
      <c r="S193" s="130">
        <v>0</v>
      </c>
      <c r="T193" s="130">
        <v>0</v>
      </c>
      <c r="U193" s="130">
        <v>0</v>
      </c>
      <c r="V193" s="130">
        <v>0</v>
      </c>
      <c r="W193" s="130">
        <v>0</v>
      </c>
      <c r="X193" s="130">
        <v>0</v>
      </c>
      <c r="Y193" s="131">
        <f t="shared" si="5"/>
        <v>0</v>
      </c>
    </row>
    <row r="194" spans="1:25" x14ac:dyDescent="0.2">
      <c r="A194" s="23" t="s">
        <v>101</v>
      </c>
      <c r="B194">
        <v>6</v>
      </c>
      <c r="C194" s="23" t="s">
        <v>112</v>
      </c>
      <c r="D194">
        <v>602</v>
      </c>
      <c r="E194" s="130">
        <v>0</v>
      </c>
      <c r="F194" s="130">
        <v>0</v>
      </c>
      <c r="G194" s="130">
        <v>0</v>
      </c>
      <c r="H194" s="130">
        <v>0</v>
      </c>
      <c r="I194" s="130">
        <v>0</v>
      </c>
      <c r="J194" s="130">
        <v>0</v>
      </c>
      <c r="K194" s="130">
        <v>0</v>
      </c>
      <c r="L194" s="130">
        <v>0</v>
      </c>
      <c r="M194" s="130">
        <v>0</v>
      </c>
      <c r="N194" s="130">
        <v>0</v>
      </c>
      <c r="O194" s="130">
        <v>0</v>
      </c>
      <c r="P194" s="130">
        <v>0</v>
      </c>
      <c r="Q194" s="130">
        <v>0</v>
      </c>
      <c r="R194" s="130">
        <v>0</v>
      </c>
      <c r="S194" s="130">
        <v>0</v>
      </c>
      <c r="T194" s="130">
        <v>0</v>
      </c>
      <c r="U194" s="130">
        <v>0</v>
      </c>
      <c r="V194" s="130">
        <v>0</v>
      </c>
      <c r="W194" s="130">
        <v>0</v>
      </c>
      <c r="X194" s="130">
        <v>0</v>
      </c>
      <c r="Y194" s="131">
        <f t="shared" ref="Y194:Y257" si="8">AVERAGE(E194:X194)</f>
        <v>0</v>
      </c>
    </row>
    <row r="195" spans="1:25" x14ac:dyDescent="0.2">
      <c r="A195" s="23" t="s">
        <v>101</v>
      </c>
      <c r="B195">
        <v>6</v>
      </c>
      <c r="C195" s="23" t="s">
        <v>112</v>
      </c>
      <c r="D195">
        <v>603</v>
      </c>
      <c r="E195" s="130">
        <v>0</v>
      </c>
      <c r="F195" s="130">
        <v>0</v>
      </c>
      <c r="G195" s="130">
        <v>0</v>
      </c>
      <c r="H195" s="130">
        <v>0</v>
      </c>
      <c r="I195" s="130">
        <v>0</v>
      </c>
      <c r="J195" s="130">
        <v>0</v>
      </c>
      <c r="K195" s="130">
        <v>0</v>
      </c>
      <c r="L195" s="130">
        <v>0</v>
      </c>
      <c r="M195" s="130">
        <v>0</v>
      </c>
      <c r="N195" s="130">
        <v>0</v>
      </c>
      <c r="O195" s="130">
        <v>0</v>
      </c>
      <c r="P195" s="130">
        <v>0</v>
      </c>
      <c r="Q195" s="130">
        <v>0</v>
      </c>
      <c r="R195" s="130">
        <v>0</v>
      </c>
      <c r="S195" s="130">
        <v>0</v>
      </c>
      <c r="T195" s="130">
        <v>0</v>
      </c>
      <c r="U195" s="130">
        <v>0</v>
      </c>
      <c r="V195" s="130">
        <v>0</v>
      </c>
      <c r="W195" s="130">
        <v>0</v>
      </c>
      <c r="X195" s="130">
        <v>0</v>
      </c>
      <c r="Y195" s="131">
        <f t="shared" si="8"/>
        <v>0</v>
      </c>
    </row>
    <row r="196" spans="1:25" x14ac:dyDescent="0.2">
      <c r="A196" s="23" t="s">
        <v>101</v>
      </c>
      <c r="B196">
        <v>6</v>
      </c>
      <c r="C196" s="23" t="s">
        <v>112</v>
      </c>
      <c r="D196">
        <v>604</v>
      </c>
      <c r="E196" s="130">
        <v>0</v>
      </c>
      <c r="F196" s="130">
        <v>0</v>
      </c>
      <c r="G196" s="130">
        <v>0</v>
      </c>
      <c r="H196" s="130">
        <v>0</v>
      </c>
      <c r="I196" s="130">
        <v>0</v>
      </c>
      <c r="J196" s="130">
        <v>0</v>
      </c>
      <c r="K196" s="130">
        <v>0</v>
      </c>
      <c r="L196" s="130">
        <v>0</v>
      </c>
      <c r="M196" s="130">
        <v>0</v>
      </c>
      <c r="N196" s="130">
        <v>0</v>
      </c>
      <c r="O196" s="130">
        <v>0</v>
      </c>
      <c r="P196" s="130">
        <v>0</v>
      </c>
      <c r="Q196" s="130">
        <v>0</v>
      </c>
      <c r="R196" s="130">
        <v>0</v>
      </c>
      <c r="S196" s="130">
        <v>0</v>
      </c>
      <c r="T196" s="130">
        <v>0</v>
      </c>
      <c r="U196" s="130">
        <v>0</v>
      </c>
      <c r="V196" s="130">
        <v>0</v>
      </c>
      <c r="W196" s="130">
        <v>0</v>
      </c>
      <c r="X196" s="130">
        <v>0</v>
      </c>
      <c r="Y196" s="131">
        <f t="shared" si="8"/>
        <v>0</v>
      </c>
    </row>
    <row r="197" spans="1:25" x14ac:dyDescent="0.2">
      <c r="A197" s="23" t="s">
        <v>101</v>
      </c>
      <c r="B197">
        <v>6</v>
      </c>
      <c r="C197" s="23" t="s">
        <v>112</v>
      </c>
      <c r="D197">
        <v>605</v>
      </c>
      <c r="E197" s="130">
        <v>0</v>
      </c>
      <c r="F197" s="130">
        <v>0</v>
      </c>
      <c r="G197" s="130">
        <v>0</v>
      </c>
      <c r="H197" s="130">
        <v>0</v>
      </c>
      <c r="I197" s="130">
        <v>0</v>
      </c>
      <c r="J197" s="130">
        <v>0</v>
      </c>
      <c r="K197" s="130">
        <v>0</v>
      </c>
      <c r="L197" s="130">
        <v>0</v>
      </c>
      <c r="M197" s="130">
        <v>0</v>
      </c>
      <c r="N197" s="130">
        <v>0</v>
      </c>
      <c r="O197" s="130">
        <v>0</v>
      </c>
      <c r="P197" s="130">
        <v>0</v>
      </c>
      <c r="Q197" s="130">
        <v>0</v>
      </c>
      <c r="R197" s="130">
        <v>0</v>
      </c>
      <c r="S197" s="130">
        <v>0</v>
      </c>
      <c r="T197" s="130">
        <v>0</v>
      </c>
      <c r="U197" s="130">
        <v>0</v>
      </c>
      <c r="V197" s="130">
        <v>0</v>
      </c>
      <c r="W197" s="130">
        <v>0</v>
      </c>
      <c r="X197" s="130">
        <v>0</v>
      </c>
      <c r="Y197" s="131">
        <f t="shared" si="8"/>
        <v>0</v>
      </c>
    </row>
    <row r="198" spans="1:25" x14ac:dyDescent="0.2">
      <c r="A198" s="23" t="s">
        <v>101</v>
      </c>
      <c r="B198">
        <v>6</v>
      </c>
      <c r="C198" s="23" t="s">
        <v>112</v>
      </c>
      <c r="D198">
        <v>606</v>
      </c>
      <c r="E198" s="130">
        <v>0</v>
      </c>
      <c r="F198" s="130">
        <v>0</v>
      </c>
      <c r="G198" s="130">
        <v>0</v>
      </c>
      <c r="H198" s="130">
        <v>0</v>
      </c>
      <c r="I198" s="130">
        <v>0</v>
      </c>
      <c r="J198" s="130">
        <v>0</v>
      </c>
      <c r="K198" s="130">
        <v>0</v>
      </c>
      <c r="L198" s="130">
        <v>0</v>
      </c>
      <c r="M198" s="130">
        <v>0</v>
      </c>
      <c r="N198" s="130">
        <v>0</v>
      </c>
      <c r="O198" s="130">
        <v>0</v>
      </c>
      <c r="P198" s="130">
        <v>0</v>
      </c>
      <c r="Q198" s="130">
        <v>0</v>
      </c>
      <c r="R198" s="130">
        <v>0</v>
      </c>
      <c r="S198" s="130">
        <v>0</v>
      </c>
      <c r="T198" s="130">
        <v>0</v>
      </c>
      <c r="U198" s="130">
        <v>0</v>
      </c>
      <c r="V198" s="130">
        <v>0</v>
      </c>
      <c r="W198" s="130">
        <v>0</v>
      </c>
      <c r="X198" s="130">
        <v>0</v>
      </c>
      <c r="Y198" s="131">
        <f t="shared" si="8"/>
        <v>0</v>
      </c>
    </row>
    <row r="199" spans="1:25" x14ac:dyDescent="0.2">
      <c r="A199" s="23" t="s">
        <v>101</v>
      </c>
      <c r="B199">
        <v>6</v>
      </c>
      <c r="C199" s="23" t="s">
        <v>112</v>
      </c>
      <c r="D199">
        <v>607</v>
      </c>
      <c r="E199" s="130">
        <v>0</v>
      </c>
      <c r="F199" s="130">
        <v>0</v>
      </c>
      <c r="G199" s="130">
        <v>0</v>
      </c>
      <c r="H199" s="130">
        <v>0</v>
      </c>
      <c r="I199" s="130">
        <v>0</v>
      </c>
      <c r="J199" s="130">
        <v>0</v>
      </c>
      <c r="K199" s="130">
        <v>0</v>
      </c>
      <c r="L199" s="130">
        <v>0</v>
      </c>
      <c r="M199" s="130">
        <v>0</v>
      </c>
      <c r="N199" s="130">
        <v>0</v>
      </c>
      <c r="O199" s="130">
        <v>0</v>
      </c>
      <c r="P199" s="130">
        <v>0</v>
      </c>
      <c r="Q199" s="130">
        <v>0</v>
      </c>
      <c r="R199" s="130">
        <v>0</v>
      </c>
      <c r="S199" s="130">
        <v>0</v>
      </c>
      <c r="T199" s="130">
        <v>0</v>
      </c>
      <c r="U199" s="130">
        <v>0</v>
      </c>
      <c r="V199" s="130">
        <v>0</v>
      </c>
      <c r="W199" s="130">
        <v>0</v>
      </c>
      <c r="X199" s="130">
        <v>0</v>
      </c>
      <c r="Y199" s="131">
        <f t="shared" si="8"/>
        <v>0</v>
      </c>
    </row>
    <row r="200" spans="1:25" x14ac:dyDescent="0.2">
      <c r="A200" s="23" t="s">
        <v>101</v>
      </c>
      <c r="B200">
        <v>6</v>
      </c>
      <c r="C200" s="23" t="s">
        <v>112</v>
      </c>
      <c r="D200">
        <v>608</v>
      </c>
      <c r="E200" s="130">
        <v>0</v>
      </c>
      <c r="F200" s="130">
        <v>0</v>
      </c>
      <c r="G200" s="130">
        <v>0</v>
      </c>
      <c r="H200" s="130">
        <v>0</v>
      </c>
      <c r="I200" s="130">
        <v>0</v>
      </c>
      <c r="J200" s="130">
        <v>0</v>
      </c>
      <c r="K200" s="130">
        <v>0</v>
      </c>
      <c r="L200" s="130">
        <v>0</v>
      </c>
      <c r="M200" s="130">
        <v>0</v>
      </c>
      <c r="N200" s="130">
        <v>0</v>
      </c>
      <c r="O200" s="130">
        <v>0</v>
      </c>
      <c r="P200" s="130">
        <v>0</v>
      </c>
      <c r="Q200" s="130">
        <v>0</v>
      </c>
      <c r="R200" s="130">
        <v>0</v>
      </c>
      <c r="S200" s="130">
        <v>0</v>
      </c>
      <c r="T200" s="130">
        <v>0</v>
      </c>
      <c r="U200" s="130">
        <v>0</v>
      </c>
      <c r="V200" s="130">
        <v>0</v>
      </c>
      <c r="W200" s="130">
        <v>0</v>
      </c>
      <c r="X200" s="130">
        <v>0</v>
      </c>
      <c r="Y200" s="131">
        <f t="shared" si="8"/>
        <v>0</v>
      </c>
    </row>
    <row r="201" spans="1:25" x14ac:dyDescent="0.2">
      <c r="A201" s="23" t="s">
        <v>101</v>
      </c>
      <c r="B201">
        <v>6</v>
      </c>
      <c r="C201" s="23" t="s">
        <v>112</v>
      </c>
      <c r="D201">
        <v>609</v>
      </c>
      <c r="E201" s="130">
        <v>0</v>
      </c>
      <c r="F201" s="130">
        <v>0</v>
      </c>
      <c r="G201" s="130">
        <v>0</v>
      </c>
      <c r="H201" s="130">
        <v>0</v>
      </c>
      <c r="I201" s="130">
        <v>0</v>
      </c>
      <c r="J201" s="130">
        <v>0</v>
      </c>
      <c r="K201" s="130">
        <v>0</v>
      </c>
      <c r="L201" s="130">
        <v>0</v>
      </c>
      <c r="M201" s="130">
        <v>0</v>
      </c>
      <c r="N201" s="130">
        <v>0</v>
      </c>
      <c r="O201" s="130">
        <v>0</v>
      </c>
      <c r="P201" s="130">
        <v>0</v>
      </c>
      <c r="Q201" s="130">
        <v>0</v>
      </c>
      <c r="R201" s="130">
        <v>0</v>
      </c>
      <c r="S201" s="130">
        <v>0</v>
      </c>
      <c r="T201" s="130">
        <v>0</v>
      </c>
      <c r="U201" s="130">
        <v>0</v>
      </c>
      <c r="V201" s="130">
        <v>0</v>
      </c>
      <c r="W201" s="130">
        <v>0</v>
      </c>
      <c r="X201" s="130">
        <v>0</v>
      </c>
      <c r="Y201" s="131">
        <f t="shared" si="8"/>
        <v>0</v>
      </c>
    </row>
    <row r="202" spans="1:25" x14ac:dyDescent="0.2">
      <c r="A202" s="23" t="s">
        <v>101</v>
      </c>
      <c r="B202">
        <v>6</v>
      </c>
      <c r="C202" s="23" t="s">
        <v>112</v>
      </c>
      <c r="D202">
        <v>610</v>
      </c>
      <c r="E202" s="130">
        <v>0</v>
      </c>
      <c r="F202" s="130">
        <v>0</v>
      </c>
      <c r="G202" s="130">
        <v>0</v>
      </c>
      <c r="H202" s="130">
        <v>0</v>
      </c>
      <c r="I202" s="130">
        <v>0</v>
      </c>
      <c r="J202" s="130">
        <v>0</v>
      </c>
      <c r="K202" s="130">
        <v>0</v>
      </c>
      <c r="L202" s="130">
        <v>0</v>
      </c>
      <c r="M202" s="130">
        <v>0</v>
      </c>
      <c r="N202" s="130">
        <v>0</v>
      </c>
      <c r="O202" s="130">
        <v>0</v>
      </c>
      <c r="P202" s="130">
        <v>0</v>
      </c>
      <c r="Q202" s="130">
        <v>0</v>
      </c>
      <c r="R202" s="130">
        <v>0</v>
      </c>
      <c r="S202" s="130">
        <v>0</v>
      </c>
      <c r="T202" s="130">
        <v>0</v>
      </c>
      <c r="U202" s="130">
        <v>0</v>
      </c>
      <c r="V202" s="130">
        <v>0</v>
      </c>
      <c r="W202" s="130">
        <v>0</v>
      </c>
      <c r="X202" s="130">
        <v>0</v>
      </c>
      <c r="Y202" s="131">
        <f t="shared" si="8"/>
        <v>0</v>
      </c>
    </row>
    <row r="203" spans="1:25" x14ac:dyDescent="0.2">
      <c r="A203" s="23" t="s">
        <v>101</v>
      </c>
      <c r="B203">
        <v>6</v>
      </c>
      <c r="C203" s="23" t="s">
        <v>112</v>
      </c>
      <c r="D203">
        <v>611</v>
      </c>
      <c r="E203" s="130">
        <v>0</v>
      </c>
      <c r="F203" s="130">
        <v>0</v>
      </c>
      <c r="G203" s="130">
        <v>0</v>
      </c>
      <c r="H203" s="130">
        <v>0</v>
      </c>
      <c r="I203" s="130">
        <v>0</v>
      </c>
      <c r="J203" s="130">
        <v>0</v>
      </c>
      <c r="K203" s="130">
        <v>0</v>
      </c>
      <c r="L203" s="130">
        <v>0</v>
      </c>
      <c r="M203" s="130">
        <v>0</v>
      </c>
      <c r="N203" s="130">
        <v>0</v>
      </c>
      <c r="O203" s="130">
        <v>0</v>
      </c>
      <c r="P203" s="130">
        <v>0</v>
      </c>
      <c r="Q203" s="130">
        <v>0</v>
      </c>
      <c r="R203" s="130">
        <v>0</v>
      </c>
      <c r="S203" s="130">
        <v>0</v>
      </c>
      <c r="T203" s="130">
        <v>0</v>
      </c>
      <c r="U203" s="130">
        <v>0</v>
      </c>
      <c r="V203" s="130">
        <v>0</v>
      </c>
      <c r="W203" s="130">
        <v>0</v>
      </c>
      <c r="X203" s="130">
        <v>0</v>
      </c>
      <c r="Y203" s="131">
        <f t="shared" si="8"/>
        <v>0</v>
      </c>
    </row>
    <row r="204" spans="1:25" x14ac:dyDescent="0.2">
      <c r="A204" s="23" t="s">
        <v>101</v>
      </c>
      <c r="B204">
        <v>6</v>
      </c>
      <c r="C204" s="23" t="s">
        <v>112</v>
      </c>
      <c r="D204">
        <v>612</v>
      </c>
      <c r="E204" s="130">
        <v>0</v>
      </c>
      <c r="F204" s="130">
        <v>0</v>
      </c>
      <c r="G204" s="130">
        <v>0</v>
      </c>
      <c r="H204" s="130">
        <v>0</v>
      </c>
      <c r="I204" s="130">
        <v>0</v>
      </c>
      <c r="J204" s="130">
        <v>0</v>
      </c>
      <c r="K204" s="130">
        <v>0</v>
      </c>
      <c r="L204" s="130">
        <v>0</v>
      </c>
      <c r="M204" s="130">
        <v>0</v>
      </c>
      <c r="N204" s="130">
        <v>0</v>
      </c>
      <c r="O204" s="130">
        <v>0</v>
      </c>
      <c r="P204" s="130">
        <v>0</v>
      </c>
      <c r="Q204" s="130">
        <v>0</v>
      </c>
      <c r="R204" s="130">
        <v>0</v>
      </c>
      <c r="S204" s="130">
        <v>0</v>
      </c>
      <c r="T204" s="130">
        <v>0</v>
      </c>
      <c r="U204" s="130">
        <v>0</v>
      </c>
      <c r="V204" s="130">
        <v>0</v>
      </c>
      <c r="W204" s="130">
        <v>0</v>
      </c>
      <c r="X204" s="130">
        <v>0</v>
      </c>
      <c r="Y204" s="131">
        <f t="shared" si="8"/>
        <v>0</v>
      </c>
    </row>
    <row r="205" spans="1:25" x14ac:dyDescent="0.2">
      <c r="A205" s="23" t="s">
        <v>101</v>
      </c>
      <c r="B205">
        <v>6</v>
      </c>
      <c r="C205" s="23" t="s">
        <v>112</v>
      </c>
      <c r="D205">
        <v>613</v>
      </c>
      <c r="E205" s="130">
        <v>0</v>
      </c>
      <c r="F205" s="130">
        <v>0</v>
      </c>
      <c r="G205" s="130">
        <v>0</v>
      </c>
      <c r="H205" s="130">
        <v>0</v>
      </c>
      <c r="I205" s="130">
        <v>0</v>
      </c>
      <c r="J205" s="130">
        <v>0</v>
      </c>
      <c r="K205" s="130">
        <v>0</v>
      </c>
      <c r="L205" s="130">
        <v>0</v>
      </c>
      <c r="M205" s="130">
        <v>0</v>
      </c>
      <c r="N205" s="130">
        <v>0</v>
      </c>
      <c r="O205" s="130">
        <v>0</v>
      </c>
      <c r="P205" s="130">
        <v>0</v>
      </c>
      <c r="Q205" s="130">
        <v>0</v>
      </c>
      <c r="R205" s="130">
        <v>0</v>
      </c>
      <c r="S205" s="130">
        <v>0</v>
      </c>
      <c r="T205" s="130">
        <v>0</v>
      </c>
      <c r="U205" s="130">
        <v>0</v>
      </c>
      <c r="V205" s="130">
        <v>0</v>
      </c>
      <c r="W205" s="130">
        <v>0</v>
      </c>
      <c r="X205" s="130">
        <v>0</v>
      </c>
      <c r="Y205" s="131">
        <f t="shared" si="8"/>
        <v>0</v>
      </c>
    </row>
    <row r="206" spans="1:25" x14ac:dyDescent="0.2">
      <c r="A206" s="23" t="s">
        <v>101</v>
      </c>
      <c r="B206">
        <v>6</v>
      </c>
      <c r="C206" s="23" t="s">
        <v>112</v>
      </c>
      <c r="D206">
        <v>614</v>
      </c>
      <c r="E206" s="130">
        <v>0</v>
      </c>
      <c r="F206" s="130">
        <v>0</v>
      </c>
      <c r="G206" s="130">
        <v>0</v>
      </c>
      <c r="H206" s="130">
        <v>0</v>
      </c>
      <c r="I206" s="130">
        <v>0</v>
      </c>
      <c r="J206" s="130">
        <v>0</v>
      </c>
      <c r="K206" s="130">
        <v>0</v>
      </c>
      <c r="L206" s="130">
        <v>0</v>
      </c>
      <c r="M206" s="130">
        <v>0</v>
      </c>
      <c r="N206" s="130">
        <v>0</v>
      </c>
      <c r="O206" s="130">
        <v>0</v>
      </c>
      <c r="P206" s="130">
        <v>0</v>
      </c>
      <c r="Q206" s="130">
        <v>0</v>
      </c>
      <c r="R206" s="130">
        <v>0</v>
      </c>
      <c r="S206" s="130">
        <v>0</v>
      </c>
      <c r="T206" s="130">
        <v>0</v>
      </c>
      <c r="U206" s="130">
        <v>0</v>
      </c>
      <c r="V206" s="130">
        <v>0</v>
      </c>
      <c r="W206" s="130">
        <v>0</v>
      </c>
      <c r="X206" s="130">
        <v>0</v>
      </c>
      <c r="Y206" s="131">
        <f t="shared" si="8"/>
        <v>0</v>
      </c>
    </row>
    <row r="207" spans="1:25" x14ac:dyDescent="0.2">
      <c r="A207" s="23" t="s">
        <v>101</v>
      </c>
      <c r="B207">
        <v>6</v>
      </c>
      <c r="C207" s="23" t="s">
        <v>112</v>
      </c>
      <c r="D207">
        <v>615</v>
      </c>
      <c r="E207" s="130">
        <v>0</v>
      </c>
      <c r="F207" s="130">
        <v>0</v>
      </c>
      <c r="G207" s="130">
        <v>0</v>
      </c>
      <c r="H207" s="130">
        <v>0</v>
      </c>
      <c r="I207" s="130">
        <v>0</v>
      </c>
      <c r="J207" s="130">
        <v>0</v>
      </c>
      <c r="K207" s="130">
        <v>0</v>
      </c>
      <c r="L207" s="130">
        <v>0</v>
      </c>
      <c r="M207" s="130">
        <v>0</v>
      </c>
      <c r="N207" s="130">
        <v>0</v>
      </c>
      <c r="O207" s="130">
        <v>0</v>
      </c>
      <c r="P207" s="130">
        <v>0</v>
      </c>
      <c r="Q207" s="130">
        <v>0</v>
      </c>
      <c r="R207" s="130">
        <v>0</v>
      </c>
      <c r="S207" s="130">
        <v>0</v>
      </c>
      <c r="T207" s="130">
        <v>0</v>
      </c>
      <c r="U207" s="130">
        <v>0</v>
      </c>
      <c r="V207" s="130">
        <v>0</v>
      </c>
      <c r="W207" s="130">
        <v>0</v>
      </c>
      <c r="X207" s="130">
        <v>0</v>
      </c>
      <c r="Y207" s="131">
        <f t="shared" si="8"/>
        <v>0</v>
      </c>
    </row>
    <row r="208" spans="1:25" x14ac:dyDescent="0.2">
      <c r="A208" s="23" t="s">
        <v>101</v>
      </c>
      <c r="B208">
        <v>6</v>
      </c>
      <c r="C208" s="23" t="s">
        <v>112</v>
      </c>
      <c r="D208">
        <v>616</v>
      </c>
      <c r="E208" s="130">
        <v>0</v>
      </c>
      <c r="F208" s="130">
        <v>0</v>
      </c>
      <c r="G208" s="130">
        <v>0</v>
      </c>
      <c r="H208" s="130">
        <v>0</v>
      </c>
      <c r="I208" s="130">
        <v>0</v>
      </c>
      <c r="J208" s="130">
        <v>0</v>
      </c>
      <c r="K208" s="130">
        <v>0</v>
      </c>
      <c r="L208" s="130">
        <v>0</v>
      </c>
      <c r="M208" s="130">
        <v>0</v>
      </c>
      <c r="N208" s="130">
        <v>0</v>
      </c>
      <c r="O208" s="130">
        <v>0</v>
      </c>
      <c r="P208" s="130">
        <v>0</v>
      </c>
      <c r="Q208" s="130">
        <v>0</v>
      </c>
      <c r="R208" s="130">
        <v>0</v>
      </c>
      <c r="S208" s="130">
        <v>0</v>
      </c>
      <c r="T208" s="130">
        <v>0</v>
      </c>
      <c r="U208" s="130">
        <v>0</v>
      </c>
      <c r="V208" s="130">
        <v>0</v>
      </c>
      <c r="W208" s="130">
        <v>0</v>
      </c>
      <c r="X208" s="130">
        <v>0</v>
      </c>
      <c r="Y208" s="131">
        <f t="shared" si="8"/>
        <v>0</v>
      </c>
    </row>
    <row r="209" spans="1:25" x14ac:dyDescent="0.2">
      <c r="A209" s="23" t="s">
        <v>101</v>
      </c>
      <c r="B209">
        <v>6</v>
      </c>
      <c r="C209" s="23" t="s">
        <v>112</v>
      </c>
      <c r="D209">
        <v>617</v>
      </c>
      <c r="E209" s="130">
        <v>0</v>
      </c>
      <c r="F209" s="130">
        <v>0</v>
      </c>
      <c r="G209" s="130">
        <v>0</v>
      </c>
      <c r="H209" s="130">
        <v>0</v>
      </c>
      <c r="I209" s="130">
        <v>0</v>
      </c>
      <c r="J209" s="130">
        <v>0</v>
      </c>
      <c r="K209" s="130">
        <v>0</v>
      </c>
      <c r="L209" s="130">
        <v>0</v>
      </c>
      <c r="M209" s="130">
        <v>0</v>
      </c>
      <c r="N209" s="130">
        <v>0</v>
      </c>
      <c r="O209" s="130">
        <v>0</v>
      </c>
      <c r="P209" s="130">
        <v>0</v>
      </c>
      <c r="Q209" s="130">
        <v>0</v>
      </c>
      <c r="R209" s="130">
        <v>0</v>
      </c>
      <c r="S209" s="130">
        <v>0</v>
      </c>
      <c r="T209" s="130">
        <v>0</v>
      </c>
      <c r="U209" s="130">
        <v>0</v>
      </c>
      <c r="V209" s="130">
        <v>0</v>
      </c>
      <c r="W209" s="130">
        <v>0</v>
      </c>
      <c r="X209" s="130">
        <v>0</v>
      </c>
      <c r="Y209" s="131">
        <f t="shared" si="8"/>
        <v>0</v>
      </c>
    </row>
    <row r="210" spans="1:25" x14ac:dyDescent="0.2">
      <c r="A210" s="23" t="s">
        <v>101</v>
      </c>
      <c r="B210">
        <v>6</v>
      </c>
      <c r="C210" s="23" t="s">
        <v>112</v>
      </c>
      <c r="D210">
        <v>618</v>
      </c>
      <c r="E210" s="130">
        <v>0</v>
      </c>
      <c r="F210" s="130">
        <v>0</v>
      </c>
      <c r="G210" s="130">
        <v>0</v>
      </c>
      <c r="H210" s="130">
        <v>0</v>
      </c>
      <c r="I210" s="130">
        <v>0</v>
      </c>
      <c r="J210" s="130">
        <v>0</v>
      </c>
      <c r="K210" s="130">
        <v>0</v>
      </c>
      <c r="L210" s="130">
        <v>0</v>
      </c>
      <c r="M210" s="130">
        <v>0</v>
      </c>
      <c r="N210" s="130">
        <v>0</v>
      </c>
      <c r="O210" s="130">
        <v>0</v>
      </c>
      <c r="P210" s="130">
        <v>0</v>
      </c>
      <c r="Q210" s="130">
        <v>0</v>
      </c>
      <c r="R210" s="130">
        <v>0</v>
      </c>
      <c r="S210" s="130">
        <v>0</v>
      </c>
      <c r="T210" s="130">
        <v>0</v>
      </c>
      <c r="U210" s="130">
        <v>0</v>
      </c>
      <c r="V210" s="130">
        <v>0</v>
      </c>
      <c r="W210" s="130">
        <v>0</v>
      </c>
      <c r="X210" s="130">
        <v>0</v>
      </c>
      <c r="Y210" s="131">
        <f t="shared" si="8"/>
        <v>0</v>
      </c>
    </row>
    <row r="211" spans="1:25" x14ac:dyDescent="0.2">
      <c r="A211" s="23" t="s">
        <v>101</v>
      </c>
      <c r="B211">
        <v>6</v>
      </c>
      <c r="C211" s="23" t="s">
        <v>112</v>
      </c>
      <c r="D211">
        <v>619</v>
      </c>
      <c r="E211" s="130">
        <v>0</v>
      </c>
      <c r="F211" s="130">
        <v>0</v>
      </c>
      <c r="G211" s="130">
        <v>0</v>
      </c>
      <c r="H211" s="130">
        <v>0</v>
      </c>
      <c r="I211" s="130">
        <v>0</v>
      </c>
      <c r="J211" s="130">
        <v>0</v>
      </c>
      <c r="K211" s="130">
        <v>0</v>
      </c>
      <c r="L211" s="130">
        <v>0</v>
      </c>
      <c r="M211" s="130">
        <v>0</v>
      </c>
      <c r="N211" s="130">
        <v>0</v>
      </c>
      <c r="O211" s="130">
        <v>0</v>
      </c>
      <c r="P211" s="130">
        <v>0</v>
      </c>
      <c r="Q211" s="130">
        <v>0</v>
      </c>
      <c r="R211" s="130">
        <v>0</v>
      </c>
      <c r="S211" s="130">
        <v>0</v>
      </c>
      <c r="T211" s="130">
        <v>0</v>
      </c>
      <c r="U211" s="130">
        <v>0</v>
      </c>
      <c r="V211" s="130">
        <v>0</v>
      </c>
      <c r="W211" s="130">
        <v>0</v>
      </c>
      <c r="X211" s="130">
        <v>0</v>
      </c>
      <c r="Y211" s="131">
        <f t="shared" si="8"/>
        <v>0</v>
      </c>
    </row>
    <row r="212" spans="1:25" x14ac:dyDescent="0.2">
      <c r="A212" s="23" t="s">
        <v>101</v>
      </c>
      <c r="B212">
        <v>6</v>
      </c>
      <c r="C212" s="23" t="s">
        <v>112</v>
      </c>
      <c r="D212">
        <v>620</v>
      </c>
      <c r="E212" s="130">
        <v>0</v>
      </c>
      <c r="F212" s="130">
        <v>0</v>
      </c>
      <c r="G212" s="130">
        <v>0</v>
      </c>
      <c r="H212" s="130">
        <v>0</v>
      </c>
      <c r="I212" s="130">
        <v>0</v>
      </c>
      <c r="J212" s="130">
        <v>0</v>
      </c>
      <c r="K212" s="130">
        <v>0</v>
      </c>
      <c r="L212" s="130">
        <v>0</v>
      </c>
      <c r="M212" s="130">
        <v>0</v>
      </c>
      <c r="N212" s="130">
        <v>0</v>
      </c>
      <c r="O212" s="130">
        <v>0</v>
      </c>
      <c r="P212" s="130">
        <v>0</v>
      </c>
      <c r="Q212" s="130">
        <v>0</v>
      </c>
      <c r="R212" s="130">
        <v>0</v>
      </c>
      <c r="S212" s="130">
        <v>0</v>
      </c>
      <c r="T212" s="130">
        <v>0</v>
      </c>
      <c r="U212" s="130">
        <v>0</v>
      </c>
      <c r="V212" s="130">
        <v>0</v>
      </c>
      <c r="W212" s="130">
        <v>0</v>
      </c>
      <c r="X212" s="130">
        <v>0</v>
      </c>
      <c r="Y212" s="131">
        <f t="shared" si="8"/>
        <v>0</v>
      </c>
    </row>
    <row r="213" spans="1:25" x14ac:dyDescent="0.2">
      <c r="A213" s="23" t="s">
        <v>101</v>
      </c>
      <c r="B213">
        <v>6</v>
      </c>
      <c r="C213" s="23" t="s">
        <v>112</v>
      </c>
      <c r="D213">
        <v>621</v>
      </c>
      <c r="E213" s="130">
        <v>0</v>
      </c>
      <c r="F213" s="130">
        <v>0</v>
      </c>
      <c r="G213" s="130">
        <v>0</v>
      </c>
      <c r="H213" s="130">
        <v>0</v>
      </c>
      <c r="I213" s="130">
        <v>0</v>
      </c>
      <c r="J213" s="130">
        <v>0</v>
      </c>
      <c r="K213" s="130">
        <v>0</v>
      </c>
      <c r="L213" s="130">
        <v>0</v>
      </c>
      <c r="M213" s="130">
        <v>0</v>
      </c>
      <c r="N213" s="130">
        <v>0</v>
      </c>
      <c r="O213" s="130">
        <v>0</v>
      </c>
      <c r="P213" s="130">
        <v>0</v>
      </c>
      <c r="Q213" s="130">
        <v>0</v>
      </c>
      <c r="R213" s="130">
        <v>0</v>
      </c>
      <c r="S213" s="130">
        <v>0</v>
      </c>
      <c r="T213" s="130">
        <v>0</v>
      </c>
      <c r="U213" s="130">
        <v>0</v>
      </c>
      <c r="V213" s="130">
        <v>0</v>
      </c>
      <c r="W213" s="130">
        <v>0</v>
      </c>
      <c r="X213" s="130">
        <v>0</v>
      </c>
      <c r="Y213" s="131">
        <f t="shared" si="8"/>
        <v>0</v>
      </c>
    </row>
    <row r="214" spans="1:25" x14ac:dyDescent="0.2">
      <c r="A214" s="23" t="s">
        <v>101</v>
      </c>
      <c r="B214">
        <v>6</v>
      </c>
      <c r="C214" s="23" t="s">
        <v>112</v>
      </c>
      <c r="D214">
        <v>622</v>
      </c>
      <c r="E214" s="130">
        <v>0</v>
      </c>
      <c r="F214" s="130">
        <v>0</v>
      </c>
      <c r="G214" s="130">
        <v>0</v>
      </c>
      <c r="H214" s="130">
        <v>0</v>
      </c>
      <c r="I214" s="130">
        <v>0</v>
      </c>
      <c r="J214" s="130">
        <v>0</v>
      </c>
      <c r="K214" s="130">
        <v>0</v>
      </c>
      <c r="L214" s="130">
        <v>0</v>
      </c>
      <c r="M214" s="130">
        <v>0</v>
      </c>
      <c r="N214" s="130">
        <v>0</v>
      </c>
      <c r="O214" s="130">
        <v>0</v>
      </c>
      <c r="P214" s="130">
        <v>0</v>
      </c>
      <c r="Q214" s="130">
        <v>0</v>
      </c>
      <c r="R214" s="130">
        <v>0</v>
      </c>
      <c r="S214" s="130">
        <v>0</v>
      </c>
      <c r="T214" s="130">
        <v>0</v>
      </c>
      <c r="U214" s="130">
        <v>0</v>
      </c>
      <c r="V214" s="130">
        <v>0</v>
      </c>
      <c r="W214" s="130">
        <v>0</v>
      </c>
      <c r="X214" s="130">
        <v>0</v>
      </c>
      <c r="Y214" s="131">
        <f t="shared" si="8"/>
        <v>0</v>
      </c>
    </row>
    <row r="215" spans="1:25" x14ac:dyDescent="0.2">
      <c r="A215" s="23" t="s">
        <v>101</v>
      </c>
      <c r="B215">
        <v>6</v>
      </c>
      <c r="C215" s="23" t="s">
        <v>112</v>
      </c>
      <c r="D215">
        <v>623</v>
      </c>
      <c r="E215" s="130">
        <v>0</v>
      </c>
      <c r="F215" s="130">
        <v>0</v>
      </c>
      <c r="G215" s="130">
        <v>0</v>
      </c>
      <c r="H215" s="130">
        <v>0</v>
      </c>
      <c r="I215" s="130">
        <v>0</v>
      </c>
      <c r="J215" s="130">
        <v>0</v>
      </c>
      <c r="K215" s="130">
        <v>0</v>
      </c>
      <c r="L215" s="130">
        <v>0</v>
      </c>
      <c r="M215" s="130">
        <v>0</v>
      </c>
      <c r="N215" s="130">
        <v>0</v>
      </c>
      <c r="O215" s="130">
        <v>0</v>
      </c>
      <c r="P215" s="130">
        <v>0</v>
      </c>
      <c r="Q215" s="130">
        <v>0</v>
      </c>
      <c r="R215" s="130">
        <v>0</v>
      </c>
      <c r="S215" s="130">
        <v>0</v>
      </c>
      <c r="T215" s="130">
        <v>0</v>
      </c>
      <c r="U215" s="130">
        <v>0</v>
      </c>
      <c r="V215" s="130">
        <v>0</v>
      </c>
      <c r="W215" s="130">
        <v>0</v>
      </c>
      <c r="X215" s="130">
        <v>0</v>
      </c>
      <c r="Y215" s="131">
        <f t="shared" si="8"/>
        <v>0</v>
      </c>
    </row>
    <row r="216" spans="1:25" x14ac:dyDescent="0.2">
      <c r="A216" s="23" t="s">
        <v>101</v>
      </c>
      <c r="B216">
        <v>6</v>
      </c>
      <c r="C216" s="23" t="s">
        <v>111</v>
      </c>
      <c r="D216">
        <v>601</v>
      </c>
      <c r="E216" s="130">
        <v>0</v>
      </c>
      <c r="F216" s="130">
        <v>0</v>
      </c>
      <c r="G216" s="130">
        <v>0</v>
      </c>
      <c r="H216" s="130">
        <v>0</v>
      </c>
      <c r="I216" s="130">
        <v>0</v>
      </c>
      <c r="J216" s="130">
        <v>0</v>
      </c>
      <c r="K216" s="130">
        <v>0</v>
      </c>
      <c r="L216" s="130">
        <v>0</v>
      </c>
      <c r="M216" s="130">
        <v>0</v>
      </c>
      <c r="N216" s="130">
        <v>0</v>
      </c>
      <c r="O216" s="130">
        <v>0</v>
      </c>
      <c r="P216" s="130">
        <v>0</v>
      </c>
      <c r="Q216" s="130">
        <v>0</v>
      </c>
      <c r="R216" s="130">
        <v>0</v>
      </c>
      <c r="S216" s="130">
        <v>0</v>
      </c>
      <c r="T216" s="130">
        <v>0</v>
      </c>
      <c r="U216" s="130">
        <v>0</v>
      </c>
      <c r="V216" s="130">
        <v>0</v>
      </c>
      <c r="W216" s="130">
        <v>0</v>
      </c>
      <c r="X216" s="130">
        <v>0</v>
      </c>
      <c r="Y216" s="131">
        <f t="shared" si="8"/>
        <v>0</v>
      </c>
    </row>
    <row r="217" spans="1:25" x14ac:dyDescent="0.2">
      <c r="A217" s="23" t="s">
        <v>101</v>
      </c>
      <c r="B217">
        <v>6</v>
      </c>
      <c r="C217" s="23" t="s">
        <v>111</v>
      </c>
      <c r="D217">
        <v>602</v>
      </c>
      <c r="E217" s="130">
        <v>0</v>
      </c>
      <c r="F217" s="130">
        <v>0</v>
      </c>
      <c r="G217" s="130">
        <v>0</v>
      </c>
      <c r="H217" s="130">
        <v>0</v>
      </c>
      <c r="I217" s="130">
        <v>0</v>
      </c>
      <c r="J217" s="130">
        <v>0</v>
      </c>
      <c r="K217" s="130">
        <v>0</v>
      </c>
      <c r="L217" s="130">
        <v>0</v>
      </c>
      <c r="M217" s="130">
        <v>0</v>
      </c>
      <c r="N217" s="130">
        <v>0</v>
      </c>
      <c r="O217" s="130">
        <v>0</v>
      </c>
      <c r="P217" s="130">
        <v>0</v>
      </c>
      <c r="Q217" s="130">
        <v>0</v>
      </c>
      <c r="R217" s="130">
        <v>0</v>
      </c>
      <c r="S217" s="130">
        <v>0</v>
      </c>
      <c r="T217" s="130">
        <v>0</v>
      </c>
      <c r="U217" s="130">
        <v>0</v>
      </c>
      <c r="V217" s="130">
        <v>0</v>
      </c>
      <c r="W217" s="130">
        <v>0</v>
      </c>
      <c r="X217" s="130">
        <v>0</v>
      </c>
      <c r="Y217" s="131">
        <f t="shared" si="8"/>
        <v>0</v>
      </c>
    </row>
    <row r="218" spans="1:25" x14ac:dyDescent="0.2">
      <c r="A218" s="23" t="s">
        <v>101</v>
      </c>
      <c r="B218">
        <v>6</v>
      </c>
      <c r="C218" s="23" t="s">
        <v>111</v>
      </c>
      <c r="D218">
        <v>603</v>
      </c>
      <c r="E218" s="130">
        <v>0</v>
      </c>
      <c r="F218" s="130">
        <v>0</v>
      </c>
      <c r="G218" s="130">
        <v>0</v>
      </c>
      <c r="H218" s="130">
        <v>0</v>
      </c>
      <c r="I218" s="130">
        <v>0</v>
      </c>
      <c r="J218" s="130">
        <v>0</v>
      </c>
      <c r="K218" s="130">
        <v>0</v>
      </c>
      <c r="L218" s="130">
        <v>0</v>
      </c>
      <c r="M218" s="130">
        <v>0</v>
      </c>
      <c r="N218" s="130">
        <v>0</v>
      </c>
      <c r="O218" s="130">
        <v>0</v>
      </c>
      <c r="P218" s="130">
        <v>0</v>
      </c>
      <c r="Q218" s="130">
        <v>0</v>
      </c>
      <c r="R218" s="130">
        <v>0</v>
      </c>
      <c r="S218" s="130">
        <v>0</v>
      </c>
      <c r="T218" s="130">
        <v>0</v>
      </c>
      <c r="U218" s="130">
        <v>0</v>
      </c>
      <c r="V218" s="130">
        <v>0</v>
      </c>
      <c r="W218" s="130">
        <v>0</v>
      </c>
      <c r="X218" s="130">
        <v>0</v>
      </c>
      <c r="Y218" s="131">
        <f t="shared" si="8"/>
        <v>0</v>
      </c>
    </row>
    <row r="219" spans="1:25" x14ac:dyDescent="0.2">
      <c r="A219" s="23" t="s">
        <v>101</v>
      </c>
      <c r="B219">
        <v>6</v>
      </c>
      <c r="C219" s="23" t="s">
        <v>111</v>
      </c>
      <c r="D219">
        <v>604</v>
      </c>
      <c r="E219" s="130">
        <v>0</v>
      </c>
      <c r="F219" s="130">
        <v>0</v>
      </c>
      <c r="G219" s="130">
        <v>0</v>
      </c>
      <c r="H219" s="130">
        <v>0</v>
      </c>
      <c r="I219" s="130">
        <v>0</v>
      </c>
      <c r="J219" s="130">
        <v>0</v>
      </c>
      <c r="K219" s="130">
        <v>0</v>
      </c>
      <c r="L219" s="130">
        <v>0</v>
      </c>
      <c r="M219" s="130">
        <v>0</v>
      </c>
      <c r="N219" s="130">
        <v>0</v>
      </c>
      <c r="O219" s="130">
        <v>0</v>
      </c>
      <c r="P219" s="130">
        <v>0</v>
      </c>
      <c r="Q219" s="130">
        <v>0</v>
      </c>
      <c r="R219" s="130">
        <v>0</v>
      </c>
      <c r="S219" s="130">
        <v>0</v>
      </c>
      <c r="T219" s="130">
        <v>0</v>
      </c>
      <c r="U219" s="130">
        <v>0</v>
      </c>
      <c r="V219" s="130">
        <v>0</v>
      </c>
      <c r="W219" s="130">
        <v>0</v>
      </c>
      <c r="X219" s="130">
        <v>0</v>
      </c>
      <c r="Y219" s="131">
        <f t="shared" si="8"/>
        <v>0</v>
      </c>
    </row>
    <row r="220" spans="1:25" x14ac:dyDescent="0.2">
      <c r="A220" s="23" t="s">
        <v>101</v>
      </c>
      <c r="B220">
        <v>6</v>
      </c>
      <c r="C220" s="23" t="s">
        <v>111</v>
      </c>
      <c r="D220">
        <v>605</v>
      </c>
      <c r="E220" s="130">
        <v>0</v>
      </c>
      <c r="F220" s="130">
        <v>0</v>
      </c>
      <c r="G220" s="130">
        <v>0</v>
      </c>
      <c r="H220" s="130">
        <v>0</v>
      </c>
      <c r="I220" s="130">
        <v>0</v>
      </c>
      <c r="J220" s="130">
        <v>0</v>
      </c>
      <c r="K220" s="130">
        <v>0</v>
      </c>
      <c r="L220" s="130">
        <v>0</v>
      </c>
      <c r="M220" s="130">
        <v>0</v>
      </c>
      <c r="N220" s="130">
        <v>0</v>
      </c>
      <c r="O220" s="130">
        <v>0</v>
      </c>
      <c r="P220" s="130">
        <v>0</v>
      </c>
      <c r="Q220" s="130">
        <v>0</v>
      </c>
      <c r="R220" s="130">
        <v>0</v>
      </c>
      <c r="S220" s="130">
        <v>0</v>
      </c>
      <c r="T220" s="130">
        <v>0</v>
      </c>
      <c r="U220" s="130">
        <v>0</v>
      </c>
      <c r="V220" s="130">
        <v>0</v>
      </c>
      <c r="W220" s="130">
        <v>0</v>
      </c>
      <c r="X220" s="130">
        <v>0</v>
      </c>
      <c r="Y220" s="131">
        <f t="shared" si="8"/>
        <v>0</v>
      </c>
    </row>
    <row r="221" spans="1:25" x14ac:dyDescent="0.2">
      <c r="A221" s="23" t="s">
        <v>101</v>
      </c>
      <c r="B221">
        <v>6</v>
      </c>
      <c r="C221" s="23" t="s">
        <v>111</v>
      </c>
      <c r="D221">
        <v>606</v>
      </c>
      <c r="E221" s="130">
        <v>0</v>
      </c>
      <c r="F221" s="130">
        <v>0</v>
      </c>
      <c r="G221" s="130">
        <v>0</v>
      </c>
      <c r="H221" s="130">
        <v>0</v>
      </c>
      <c r="I221" s="130">
        <v>0</v>
      </c>
      <c r="J221" s="130">
        <v>0</v>
      </c>
      <c r="K221" s="130">
        <v>0</v>
      </c>
      <c r="L221" s="130">
        <v>0</v>
      </c>
      <c r="M221" s="130">
        <v>0</v>
      </c>
      <c r="N221" s="130">
        <v>0</v>
      </c>
      <c r="O221" s="130">
        <v>0</v>
      </c>
      <c r="P221" s="130">
        <v>0</v>
      </c>
      <c r="Q221" s="130">
        <v>0</v>
      </c>
      <c r="R221" s="130">
        <v>0</v>
      </c>
      <c r="S221" s="130">
        <v>0</v>
      </c>
      <c r="T221" s="130">
        <v>0</v>
      </c>
      <c r="U221" s="130">
        <v>0</v>
      </c>
      <c r="V221" s="130">
        <v>0</v>
      </c>
      <c r="W221" s="130">
        <v>0</v>
      </c>
      <c r="X221" s="130">
        <v>0</v>
      </c>
      <c r="Y221" s="131">
        <f t="shared" si="8"/>
        <v>0</v>
      </c>
    </row>
    <row r="222" spans="1:25" x14ac:dyDescent="0.2">
      <c r="A222" s="23" t="s">
        <v>101</v>
      </c>
      <c r="B222">
        <v>6</v>
      </c>
      <c r="C222" s="23" t="s">
        <v>111</v>
      </c>
      <c r="D222">
        <v>607</v>
      </c>
      <c r="E222" s="130">
        <v>0</v>
      </c>
      <c r="F222" s="130">
        <v>0</v>
      </c>
      <c r="G222" s="130">
        <v>0</v>
      </c>
      <c r="H222" s="130">
        <v>0</v>
      </c>
      <c r="I222" s="130">
        <v>0</v>
      </c>
      <c r="J222" s="130">
        <v>0</v>
      </c>
      <c r="K222" s="130">
        <v>0</v>
      </c>
      <c r="L222" s="130">
        <v>0</v>
      </c>
      <c r="M222" s="130">
        <v>0</v>
      </c>
      <c r="N222" s="130">
        <v>0</v>
      </c>
      <c r="O222" s="130">
        <v>0</v>
      </c>
      <c r="P222" s="130">
        <v>0</v>
      </c>
      <c r="Q222" s="130">
        <v>0</v>
      </c>
      <c r="R222" s="130">
        <v>0</v>
      </c>
      <c r="S222" s="130">
        <v>0</v>
      </c>
      <c r="T222" s="130">
        <v>0</v>
      </c>
      <c r="U222" s="130">
        <v>0</v>
      </c>
      <c r="V222" s="130">
        <v>0</v>
      </c>
      <c r="W222" s="130">
        <v>0</v>
      </c>
      <c r="X222" s="130">
        <v>0</v>
      </c>
      <c r="Y222" s="131">
        <f t="shared" si="8"/>
        <v>0</v>
      </c>
    </row>
    <row r="223" spans="1:25" x14ac:dyDescent="0.2">
      <c r="A223" s="23" t="s">
        <v>101</v>
      </c>
      <c r="B223">
        <v>6</v>
      </c>
      <c r="C223" s="23" t="s">
        <v>111</v>
      </c>
      <c r="D223">
        <v>608</v>
      </c>
      <c r="E223" s="130">
        <v>0</v>
      </c>
      <c r="F223" s="130">
        <v>0</v>
      </c>
      <c r="G223" s="130">
        <v>0</v>
      </c>
      <c r="H223" s="130">
        <v>0</v>
      </c>
      <c r="I223" s="130">
        <v>0</v>
      </c>
      <c r="J223" s="130">
        <v>0</v>
      </c>
      <c r="K223" s="130">
        <v>0</v>
      </c>
      <c r="L223" s="130">
        <v>0</v>
      </c>
      <c r="M223" s="130">
        <v>0</v>
      </c>
      <c r="N223" s="130">
        <v>0</v>
      </c>
      <c r="O223" s="130">
        <v>0</v>
      </c>
      <c r="P223" s="130">
        <v>0</v>
      </c>
      <c r="Q223" s="130">
        <v>0</v>
      </c>
      <c r="R223" s="130">
        <v>0</v>
      </c>
      <c r="S223" s="130">
        <v>0</v>
      </c>
      <c r="T223" s="130">
        <v>0</v>
      </c>
      <c r="U223" s="130">
        <v>0</v>
      </c>
      <c r="V223" s="130">
        <v>0</v>
      </c>
      <c r="W223" s="130">
        <v>0</v>
      </c>
      <c r="X223" s="130">
        <v>0</v>
      </c>
      <c r="Y223" s="131">
        <f t="shared" si="8"/>
        <v>0</v>
      </c>
    </row>
    <row r="224" spans="1:25" x14ac:dyDescent="0.2">
      <c r="A224" s="23" t="s">
        <v>101</v>
      </c>
      <c r="B224">
        <v>6</v>
      </c>
      <c r="C224" s="23" t="s">
        <v>111</v>
      </c>
      <c r="D224">
        <v>609</v>
      </c>
      <c r="E224" s="130">
        <v>0</v>
      </c>
      <c r="F224" s="130">
        <v>0</v>
      </c>
      <c r="G224" s="130">
        <v>0</v>
      </c>
      <c r="H224" s="130">
        <v>0</v>
      </c>
      <c r="I224" s="130">
        <v>0</v>
      </c>
      <c r="J224" s="130">
        <v>0</v>
      </c>
      <c r="K224" s="130">
        <v>0</v>
      </c>
      <c r="L224" s="130">
        <v>0</v>
      </c>
      <c r="M224" s="130">
        <v>0</v>
      </c>
      <c r="N224" s="130">
        <v>0</v>
      </c>
      <c r="O224" s="130">
        <v>0</v>
      </c>
      <c r="P224" s="130">
        <v>0</v>
      </c>
      <c r="Q224" s="130">
        <v>0</v>
      </c>
      <c r="R224" s="130">
        <v>0</v>
      </c>
      <c r="S224" s="130">
        <v>0</v>
      </c>
      <c r="T224" s="130">
        <v>0</v>
      </c>
      <c r="U224" s="130">
        <v>0</v>
      </c>
      <c r="V224" s="130">
        <v>0</v>
      </c>
      <c r="W224" s="130">
        <v>0</v>
      </c>
      <c r="X224" s="130">
        <v>0</v>
      </c>
      <c r="Y224" s="131">
        <f t="shared" si="8"/>
        <v>0</v>
      </c>
    </row>
    <row r="225" spans="1:25" x14ac:dyDescent="0.2">
      <c r="A225" s="23" t="s">
        <v>101</v>
      </c>
      <c r="B225">
        <v>6</v>
      </c>
      <c r="C225" s="23" t="s">
        <v>111</v>
      </c>
      <c r="D225">
        <v>610</v>
      </c>
      <c r="E225" s="130">
        <v>0</v>
      </c>
      <c r="F225" s="130">
        <v>0</v>
      </c>
      <c r="G225" s="130">
        <v>0</v>
      </c>
      <c r="H225" s="130">
        <v>0</v>
      </c>
      <c r="I225" s="130">
        <v>0</v>
      </c>
      <c r="J225" s="130">
        <v>0</v>
      </c>
      <c r="K225" s="130">
        <v>0</v>
      </c>
      <c r="L225" s="130">
        <v>0</v>
      </c>
      <c r="M225" s="130">
        <v>0</v>
      </c>
      <c r="N225" s="130">
        <v>0</v>
      </c>
      <c r="O225" s="130">
        <v>0</v>
      </c>
      <c r="P225" s="130">
        <v>0</v>
      </c>
      <c r="Q225" s="130">
        <v>0</v>
      </c>
      <c r="R225" s="130">
        <v>0</v>
      </c>
      <c r="S225" s="130">
        <v>0</v>
      </c>
      <c r="T225" s="130">
        <v>0</v>
      </c>
      <c r="U225" s="130">
        <v>0</v>
      </c>
      <c r="V225" s="130">
        <v>0</v>
      </c>
      <c r="W225" s="130">
        <v>0</v>
      </c>
      <c r="X225" s="130">
        <v>0</v>
      </c>
      <c r="Y225" s="131">
        <f t="shared" si="8"/>
        <v>0</v>
      </c>
    </row>
    <row r="226" spans="1:25" x14ac:dyDescent="0.2">
      <c r="A226" s="23" t="s">
        <v>101</v>
      </c>
      <c r="B226">
        <v>6</v>
      </c>
      <c r="C226" s="23" t="s">
        <v>111</v>
      </c>
      <c r="D226">
        <v>611</v>
      </c>
      <c r="E226" s="130">
        <v>0</v>
      </c>
      <c r="F226" s="130">
        <v>0</v>
      </c>
      <c r="G226" s="130">
        <v>0</v>
      </c>
      <c r="H226" s="130">
        <v>0</v>
      </c>
      <c r="I226" s="130">
        <v>0</v>
      </c>
      <c r="J226" s="130">
        <v>0</v>
      </c>
      <c r="K226" s="130">
        <v>0</v>
      </c>
      <c r="L226" s="130">
        <v>0</v>
      </c>
      <c r="M226" s="130">
        <v>0</v>
      </c>
      <c r="N226" s="130">
        <v>0</v>
      </c>
      <c r="O226" s="130">
        <v>0</v>
      </c>
      <c r="P226" s="130">
        <v>0</v>
      </c>
      <c r="Q226" s="130">
        <v>0</v>
      </c>
      <c r="R226" s="130">
        <v>0</v>
      </c>
      <c r="S226" s="130">
        <v>0</v>
      </c>
      <c r="T226" s="130">
        <v>0</v>
      </c>
      <c r="U226" s="130">
        <v>0</v>
      </c>
      <c r="V226" s="130">
        <v>0</v>
      </c>
      <c r="W226" s="130">
        <v>0</v>
      </c>
      <c r="X226" s="130">
        <v>0</v>
      </c>
      <c r="Y226" s="131">
        <f t="shared" si="8"/>
        <v>0</v>
      </c>
    </row>
    <row r="227" spans="1:25" x14ac:dyDescent="0.2">
      <c r="A227" s="23" t="s">
        <v>101</v>
      </c>
      <c r="B227">
        <v>6</v>
      </c>
      <c r="C227" s="23" t="s">
        <v>111</v>
      </c>
      <c r="D227">
        <v>612</v>
      </c>
      <c r="E227" s="130">
        <v>0</v>
      </c>
      <c r="F227" s="130">
        <v>0</v>
      </c>
      <c r="G227" s="130">
        <v>0</v>
      </c>
      <c r="H227" s="130">
        <v>0</v>
      </c>
      <c r="I227" s="130">
        <v>0</v>
      </c>
      <c r="J227" s="130">
        <v>0</v>
      </c>
      <c r="K227" s="130">
        <v>0</v>
      </c>
      <c r="L227" s="130">
        <v>0</v>
      </c>
      <c r="M227" s="130">
        <v>0</v>
      </c>
      <c r="N227" s="130">
        <v>0</v>
      </c>
      <c r="O227" s="130">
        <v>0</v>
      </c>
      <c r="P227" s="130">
        <v>0</v>
      </c>
      <c r="Q227" s="130">
        <v>0</v>
      </c>
      <c r="R227" s="130">
        <v>0</v>
      </c>
      <c r="S227" s="130">
        <v>0</v>
      </c>
      <c r="T227" s="130">
        <v>0</v>
      </c>
      <c r="U227" s="130">
        <v>0</v>
      </c>
      <c r="V227" s="130">
        <v>0</v>
      </c>
      <c r="W227" s="130">
        <v>0</v>
      </c>
      <c r="X227" s="130">
        <v>0</v>
      </c>
      <c r="Y227" s="131">
        <f t="shared" si="8"/>
        <v>0</v>
      </c>
    </row>
    <row r="228" spans="1:25" x14ac:dyDescent="0.2">
      <c r="A228" s="23" t="s">
        <v>101</v>
      </c>
      <c r="B228">
        <v>6</v>
      </c>
      <c r="C228" s="23" t="s">
        <v>111</v>
      </c>
      <c r="D228">
        <v>613</v>
      </c>
      <c r="E228" s="130">
        <v>0</v>
      </c>
      <c r="F228" s="130">
        <v>0</v>
      </c>
      <c r="G228" s="130">
        <v>0</v>
      </c>
      <c r="H228" s="130">
        <v>0</v>
      </c>
      <c r="I228" s="130">
        <v>0</v>
      </c>
      <c r="J228" s="130">
        <v>0</v>
      </c>
      <c r="K228" s="130">
        <v>0</v>
      </c>
      <c r="L228" s="130">
        <v>0</v>
      </c>
      <c r="M228" s="130">
        <v>0</v>
      </c>
      <c r="N228" s="130">
        <v>0</v>
      </c>
      <c r="O228" s="130">
        <v>0</v>
      </c>
      <c r="P228" s="130">
        <v>0</v>
      </c>
      <c r="Q228" s="130">
        <v>0</v>
      </c>
      <c r="R228" s="130">
        <v>0</v>
      </c>
      <c r="S228" s="130">
        <v>0</v>
      </c>
      <c r="T228" s="130">
        <v>0</v>
      </c>
      <c r="U228" s="130">
        <v>0</v>
      </c>
      <c r="V228" s="130">
        <v>0</v>
      </c>
      <c r="W228" s="130">
        <v>0</v>
      </c>
      <c r="X228" s="130">
        <v>0</v>
      </c>
      <c r="Y228" s="131">
        <f t="shared" si="8"/>
        <v>0</v>
      </c>
    </row>
    <row r="229" spans="1:25" x14ac:dyDescent="0.2">
      <c r="A229" s="23" t="s">
        <v>101</v>
      </c>
      <c r="B229">
        <v>6</v>
      </c>
      <c r="C229" s="23" t="s">
        <v>111</v>
      </c>
      <c r="D229">
        <v>614</v>
      </c>
      <c r="E229" s="130">
        <v>0</v>
      </c>
      <c r="F229" s="130">
        <v>0</v>
      </c>
      <c r="G229" s="130">
        <v>0</v>
      </c>
      <c r="H229" s="130">
        <v>0</v>
      </c>
      <c r="I229" s="130">
        <v>0</v>
      </c>
      <c r="J229" s="130">
        <v>0</v>
      </c>
      <c r="K229" s="130">
        <v>0</v>
      </c>
      <c r="L229" s="130">
        <v>0</v>
      </c>
      <c r="M229" s="130">
        <v>0</v>
      </c>
      <c r="N229" s="130">
        <v>0</v>
      </c>
      <c r="O229" s="130">
        <v>0</v>
      </c>
      <c r="P229" s="130">
        <v>0</v>
      </c>
      <c r="Q229" s="130">
        <v>0</v>
      </c>
      <c r="R229" s="130">
        <v>0</v>
      </c>
      <c r="S229" s="130">
        <v>0</v>
      </c>
      <c r="T229" s="130">
        <v>0</v>
      </c>
      <c r="U229" s="130">
        <v>0</v>
      </c>
      <c r="V229" s="130">
        <v>0</v>
      </c>
      <c r="W229" s="130">
        <v>0</v>
      </c>
      <c r="X229" s="130">
        <v>0</v>
      </c>
      <c r="Y229" s="131">
        <f t="shared" si="8"/>
        <v>0</v>
      </c>
    </row>
    <row r="230" spans="1:25" x14ac:dyDescent="0.2">
      <c r="A230" s="23" t="s">
        <v>101</v>
      </c>
      <c r="B230">
        <v>6</v>
      </c>
      <c r="C230" s="23" t="s">
        <v>111</v>
      </c>
      <c r="D230">
        <v>615</v>
      </c>
      <c r="E230" s="130">
        <v>0</v>
      </c>
      <c r="F230" s="130">
        <v>0</v>
      </c>
      <c r="G230" s="130">
        <v>0</v>
      </c>
      <c r="H230" s="130">
        <v>0</v>
      </c>
      <c r="I230" s="130">
        <v>0</v>
      </c>
      <c r="J230" s="130">
        <v>0</v>
      </c>
      <c r="K230" s="130">
        <v>0</v>
      </c>
      <c r="L230" s="130">
        <v>0</v>
      </c>
      <c r="M230" s="130">
        <v>0</v>
      </c>
      <c r="N230" s="130">
        <v>0</v>
      </c>
      <c r="O230" s="130">
        <v>0</v>
      </c>
      <c r="P230" s="130">
        <v>0</v>
      </c>
      <c r="Q230" s="130">
        <v>0</v>
      </c>
      <c r="R230" s="130">
        <v>0</v>
      </c>
      <c r="S230" s="130">
        <v>0</v>
      </c>
      <c r="T230" s="130">
        <v>0</v>
      </c>
      <c r="U230" s="130">
        <v>0</v>
      </c>
      <c r="V230" s="130">
        <v>0</v>
      </c>
      <c r="W230" s="130">
        <v>0</v>
      </c>
      <c r="X230" s="130">
        <v>0</v>
      </c>
      <c r="Y230" s="131">
        <f t="shared" si="8"/>
        <v>0</v>
      </c>
    </row>
    <row r="231" spans="1:25" x14ac:dyDescent="0.2">
      <c r="A231" s="23" t="s">
        <v>101</v>
      </c>
      <c r="B231">
        <v>6</v>
      </c>
      <c r="C231" s="23" t="s">
        <v>111</v>
      </c>
      <c r="D231">
        <v>616</v>
      </c>
      <c r="E231" s="130">
        <v>0</v>
      </c>
      <c r="F231" s="130">
        <v>0</v>
      </c>
      <c r="G231" s="130">
        <v>0</v>
      </c>
      <c r="H231" s="130">
        <v>0</v>
      </c>
      <c r="I231" s="130">
        <v>0</v>
      </c>
      <c r="J231" s="130">
        <v>0</v>
      </c>
      <c r="K231" s="130">
        <v>0</v>
      </c>
      <c r="L231" s="130">
        <v>0</v>
      </c>
      <c r="M231" s="130">
        <v>0</v>
      </c>
      <c r="N231" s="130">
        <v>0</v>
      </c>
      <c r="O231" s="130">
        <v>0</v>
      </c>
      <c r="P231" s="130">
        <v>0</v>
      </c>
      <c r="Q231" s="130">
        <v>0</v>
      </c>
      <c r="R231" s="130">
        <v>0</v>
      </c>
      <c r="S231" s="130">
        <v>0</v>
      </c>
      <c r="T231" s="130">
        <v>0</v>
      </c>
      <c r="U231" s="130">
        <v>0</v>
      </c>
      <c r="V231" s="130">
        <v>0</v>
      </c>
      <c r="W231" s="130">
        <v>0</v>
      </c>
      <c r="X231" s="130">
        <v>0</v>
      </c>
      <c r="Y231" s="131">
        <f t="shared" si="8"/>
        <v>0</v>
      </c>
    </row>
    <row r="232" spans="1:25" x14ac:dyDescent="0.2">
      <c r="A232" s="23" t="s">
        <v>101</v>
      </c>
      <c r="B232">
        <v>6</v>
      </c>
      <c r="C232" s="23" t="s">
        <v>111</v>
      </c>
      <c r="D232">
        <v>617</v>
      </c>
      <c r="E232" s="130">
        <v>0</v>
      </c>
      <c r="F232" s="130">
        <v>0</v>
      </c>
      <c r="G232" s="130">
        <v>0</v>
      </c>
      <c r="H232" s="130">
        <v>0</v>
      </c>
      <c r="I232" s="130">
        <v>0</v>
      </c>
      <c r="J232" s="130">
        <v>0</v>
      </c>
      <c r="K232" s="130">
        <v>0</v>
      </c>
      <c r="L232" s="130">
        <v>0</v>
      </c>
      <c r="M232" s="130">
        <v>0</v>
      </c>
      <c r="N232" s="130">
        <v>0</v>
      </c>
      <c r="O232" s="130">
        <v>0</v>
      </c>
      <c r="P232" s="130">
        <v>0</v>
      </c>
      <c r="Q232" s="130">
        <v>0</v>
      </c>
      <c r="R232" s="130">
        <v>0</v>
      </c>
      <c r="S232" s="130">
        <v>0</v>
      </c>
      <c r="T232" s="130">
        <v>0</v>
      </c>
      <c r="U232" s="130">
        <v>0</v>
      </c>
      <c r="V232" s="130">
        <v>0</v>
      </c>
      <c r="W232" s="130">
        <v>0</v>
      </c>
      <c r="X232" s="130">
        <v>0</v>
      </c>
      <c r="Y232" s="131">
        <f t="shared" si="8"/>
        <v>0</v>
      </c>
    </row>
    <row r="233" spans="1:25" x14ac:dyDescent="0.2">
      <c r="A233" s="23" t="s">
        <v>101</v>
      </c>
      <c r="B233">
        <v>6</v>
      </c>
      <c r="C233" s="23" t="s">
        <v>111</v>
      </c>
      <c r="D233">
        <v>618</v>
      </c>
      <c r="E233" s="130">
        <v>0</v>
      </c>
      <c r="F233" s="130">
        <v>0</v>
      </c>
      <c r="G233" s="130">
        <v>0</v>
      </c>
      <c r="H233" s="130">
        <v>0</v>
      </c>
      <c r="I233" s="130">
        <v>0</v>
      </c>
      <c r="J233" s="130">
        <v>0</v>
      </c>
      <c r="K233" s="130">
        <v>0</v>
      </c>
      <c r="L233" s="130">
        <v>0</v>
      </c>
      <c r="M233" s="130">
        <v>0</v>
      </c>
      <c r="N233" s="130">
        <v>0</v>
      </c>
      <c r="O233" s="130">
        <v>0</v>
      </c>
      <c r="P233" s="130">
        <v>0</v>
      </c>
      <c r="Q233" s="130">
        <v>0</v>
      </c>
      <c r="R233" s="130">
        <v>0</v>
      </c>
      <c r="S233" s="130">
        <v>0</v>
      </c>
      <c r="T233" s="130">
        <v>0</v>
      </c>
      <c r="U233" s="130">
        <v>0</v>
      </c>
      <c r="V233" s="130">
        <v>0</v>
      </c>
      <c r="W233" s="130">
        <v>0</v>
      </c>
      <c r="X233" s="130">
        <v>0</v>
      </c>
      <c r="Y233" s="131">
        <f t="shared" si="8"/>
        <v>0</v>
      </c>
    </row>
    <row r="234" spans="1:25" x14ac:dyDescent="0.2">
      <c r="A234" s="23" t="s">
        <v>101</v>
      </c>
      <c r="B234">
        <v>6</v>
      </c>
      <c r="C234" s="23" t="s">
        <v>111</v>
      </c>
      <c r="D234">
        <v>619</v>
      </c>
      <c r="E234" s="130">
        <v>0</v>
      </c>
      <c r="F234" s="130">
        <v>0</v>
      </c>
      <c r="G234" s="130">
        <v>0</v>
      </c>
      <c r="H234" s="130">
        <v>0</v>
      </c>
      <c r="I234" s="130">
        <v>0</v>
      </c>
      <c r="J234" s="130">
        <v>0</v>
      </c>
      <c r="K234" s="130">
        <v>0</v>
      </c>
      <c r="L234" s="130">
        <v>0</v>
      </c>
      <c r="M234" s="130">
        <v>0</v>
      </c>
      <c r="N234" s="130">
        <v>0</v>
      </c>
      <c r="O234" s="130">
        <v>0</v>
      </c>
      <c r="P234" s="130">
        <v>0</v>
      </c>
      <c r="Q234" s="130">
        <v>0</v>
      </c>
      <c r="R234" s="130">
        <v>0</v>
      </c>
      <c r="S234" s="130">
        <v>0</v>
      </c>
      <c r="T234" s="130">
        <v>0</v>
      </c>
      <c r="U234" s="130">
        <v>0</v>
      </c>
      <c r="V234" s="130">
        <v>0</v>
      </c>
      <c r="W234" s="130">
        <v>0</v>
      </c>
      <c r="X234" s="130">
        <v>0</v>
      </c>
      <c r="Y234" s="131">
        <f t="shared" si="8"/>
        <v>0</v>
      </c>
    </row>
    <row r="235" spans="1:25" x14ac:dyDescent="0.2">
      <c r="A235" s="23" t="s">
        <v>101</v>
      </c>
      <c r="B235">
        <v>6</v>
      </c>
      <c r="C235" s="23" t="s">
        <v>111</v>
      </c>
      <c r="D235">
        <v>620</v>
      </c>
      <c r="E235" s="130">
        <v>0</v>
      </c>
      <c r="F235" s="130">
        <v>0</v>
      </c>
      <c r="G235" s="130">
        <v>0</v>
      </c>
      <c r="H235" s="130">
        <v>0</v>
      </c>
      <c r="I235" s="130">
        <v>0</v>
      </c>
      <c r="J235" s="130">
        <v>0</v>
      </c>
      <c r="K235" s="130">
        <v>0</v>
      </c>
      <c r="L235" s="130">
        <v>0</v>
      </c>
      <c r="M235" s="130">
        <v>0</v>
      </c>
      <c r="N235" s="130">
        <v>0</v>
      </c>
      <c r="O235" s="130">
        <v>0</v>
      </c>
      <c r="P235" s="130">
        <v>0</v>
      </c>
      <c r="Q235" s="130">
        <v>0</v>
      </c>
      <c r="R235" s="130">
        <v>0</v>
      </c>
      <c r="S235" s="130">
        <v>0</v>
      </c>
      <c r="T235" s="130">
        <v>0</v>
      </c>
      <c r="U235" s="130">
        <v>0</v>
      </c>
      <c r="V235" s="130">
        <v>0</v>
      </c>
      <c r="W235" s="130">
        <v>0</v>
      </c>
      <c r="X235" s="130">
        <v>0</v>
      </c>
      <c r="Y235" s="131">
        <f t="shared" si="8"/>
        <v>0</v>
      </c>
    </row>
    <row r="236" spans="1:25" x14ac:dyDescent="0.2">
      <c r="A236" s="23" t="s">
        <v>101</v>
      </c>
      <c r="B236">
        <v>6</v>
      </c>
      <c r="C236" s="23" t="s">
        <v>111</v>
      </c>
      <c r="D236">
        <v>621</v>
      </c>
      <c r="E236" s="130">
        <v>0</v>
      </c>
      <c r="F236" s="130">
        <v>0</v>
      </c>
      <c r="G236" s="130">
        <v>0</v>
      </c>
      <c r="H236" s="130">
        <v>0</v>
      </c>
      <c r="I236" s="130">
        <v>0</v>
      </c>
      <c r="J236" s="130">
        <v>0</v>
      </c>
      <c r="K236" s="130">
        <v>0</v>
      </c>
      <c r="L236" s="130">
        <v>0</v>
      </c>
      <c r="M236" s="130">
        <v>0</v>
      </c>
      <c r="N236" s="130">
        <v>0</v>
      </c>
      <c r="O236" s="130">
        <v>0</v>
      </c>
      <c r="P236" s="130">
        <v>0</v>
      </c>
      <c r="Q236" s="130">
        <v>0</v>
      </c>
      <c r="R236" s="130">
        <v>0</v>
      </c>
      <c r="S236" s="130">
        <v>0</v>
      </c>
      <c r="T236" s="130">
        <v>0</v>
      </c>
      <c r="U236" s="130">
        <v>0</v>
      </c>
      <c r="V236" s="130">
        <v>0</v>
      </c>
      <c r="W236" s="130">
        <v>0</v>
      </c>
      <c r="X236" s="130">
        <v>0</v>
      </c>
      <c r="Y236" s="131">
        <f t="shared" si="8"/>
        <v>0</v>
      </c>
    </row>
    <row r="237" spans="1:25" x14ac:dyDescent="0.2">
      <c r="A237" s="23"/>
      <c r="C237" s="23"/>
      <c r="E237" s="130">
        <f t="shared" ref="E237:X237" si="9">AVERAGE(E193:E236)</f>
        <v>0</v>
      </c>
      <c r="F237" s="130">
        <f t="shared" si="9"/>
        <v>0</v>
      </c>
      <c r="G237" s="130">
        <f t="shared" si="9"/>
        <v>0</v>
      </c>
      <c r="H237" s="130">
        <f t="shared" si="9"/>
        <v>0</v>
      </c>
      <c r="I237" s="130">
        <f t="shared" si="9"/>
        <v>0</v>
      </c>
      <c r="J237" s="130">
        <f t="shared" si="9"/>
        <v>0</v>
      </c>
      <c r="K237" s="130">
        <f t="shared" si="9"/>
        <v>0</v>
      </c>
      <c r="L237" s="130">
        <f t="shared" si="9"/>
        <v>0</v>
      </c>
      <c r="M237" s="130">
        <f t="shared" si="9"/>
        <v>0</v>
      </c>
      <c r="N237" s="130">
        <f t="shared" si="9"/>
        <v>0</v>
      </c>
      <c r="O237" s="130">
        <f t="shared" si="9"/>
        <v>0</v>
      </c>
      <c r="P237" s="130">
        <f t="shared" si="9"/>
        <v>0</v>
      </c>
      <c r="Q237" s="130">
        <f t="shared" si="9"/>
        <v>0</v>
      </c>
      <c r="R237" s="130">
        <f t="shared" si="9"/>
        <v>0</v>
      </c>
      <c r="S237" s="130">
        <f t="shared" si="9"/>
        <v>0</v>
      </c>
      <c r="T237" s="130">
        <f t="shared" si="9"/>
        <v>0</v>
      </c>
      <c r="U237" s="130">
        <f t="shared" si="9"/>
        <v>0</v>
      </c>
      <c r="V237" s="130">
        <f t="shared" si="9"/>
        <v>0</v>
      </c>
      <c r="W237" s="130">
        <f t="shared" si="9"/>
        <v>0</v>
      </c>
      <c r="X237" s="130">
        <f t="shared" si="9"/>
        <v>0</v>
      </c>
      <c r="Y237" s="131">
        <f t="shared" si="8"/>
        <v>0</v>
      </c>
    </row>
    <row r="238" spans="1:25" x14ac:dyDescent="0.2">
      <c r="A238" s="23" t="s">
        <v>101</v>
      </c>
      <c r="B238">
        <v>7</v>
      </c>
      <c r="C238" s="23" t="s">
        <v>112</v>
      </c>
      <c r="D238">
        <v>701</v>
      </c>
      <c r="E238" s="130">
        <v>0</v>
      </c>
      <c r="F238" s="130">
        <v>0</v>
      </c>
      <c r="G238" s="130">
        <v>0</v>
      </c>
      <c r="H238" s="130">
        <v>0</v>
      </c>
      <c r="I238" s="130">
        <v>0</v>
      </c>
      <c r="J238" s="130">
        <v>0</v>
      </c>
      <c r="K238" s="130">
        <v>0</v>
      </c>
      <c r="L238" s="130">
        <v>0</v>
      </c>
      <c r="M238" s="130">
        <v>0</v>
      </c>
      <c r="N238" s="130">
        <v>0</v>
      </c>
      <c r="O238" s="130">
        <v>0</v>
      </c>
      <c r="P238" s="130">
        <v>0</v>
      </c>
      <c r="Q238" s="130">
        <v>0</v>
      </c>
      <c r="R238" s="130">
        <v>0</v>
      </c>
      <c r="S238" s="130">
        <v>0</v>
      </c>
      <c r="T238" s="130">
        <v>0</v>
      </c>
      <c r="U238" s="130">
        <v>0</v>
      </c>
      <c r="V238" s="130">
        <v>0</v>
      </c>
      <c r="W238" s="130">
        <v>0</v>
      </c>
      <c r="X238" s="130">
        <v>0</v>
      </c>
      <c r="Y238" s="131">
        <f t="shared" si="8"/>
        <v>0</v>
      </c>
    </row>
    <row r="239" spans="1:25" x14ac:dyDescent="0.2">
      <c r="A239" s="23" t="s">
        <v>101</v>
      </c>
      <c r="B239">
        <v>7</v>
      </c>
      <c r="C239" s="23" t="s">
        <v>112</v>
      </c>
      <c r="D239">
        <v>702</v>
      </c>
      <c r="E239" s="130">
        <v>0</v>
      </c>
      <c r="F239" s="130">
        <v>0</v>
      </c>
      <c r="G239" s="130">
        <v>0</v>
      </c>
      <c r="H239" s="130">
        <v>0</v>
      </c>
      <c r="I239" s="130">
        <v>0</v>
      </c>
      <c r="J239" s="130">
        <v>0</v>
      </c>
      <c r="K239" s="130">
        <v>0</v>
      </c>
      <c r="L239" s="130">
        <v>0</v>
      </c>
      <c r="M239" s="130">
        <v>0</v>
      </c>
      <c r="N239" s="130">
        <v>0</v>
      </c>
      <c r="O239" s="130">
        <v>0</v>
      </c>
      <c r="P239" s="130">
        <v>0</v>
      </c>
      <c r="Q239" s="130">
        <v>0</v>
      </c>
      <c r="R239" s="130">
        <v>0</v>
      </c>
      <c r="S239" s="130">
        <v>0</v>
      </c>
      <c r="T239" s="130">
        <v>0</v>
      </c>
      <c r="U239" s="130">
        <v>0</v>
      </c>
      <c r="V239" s="130">
        <v>0</v>
      </c>
      <c r="W239" s="130">
        <v>0</v>
      </c>
      <c r="X239" s="130">
        <v>0</v>
      </c>
      <c r="Y239" s="131">
        <f t="shared" si="8"/>
        <v>0</v>
      </c>
    </row>
    <row r="240" spans="1:25" x14ac:dyDescent="0.2">
      <c r="A240" s="23" t="s">
        <v>101</v>
      </c>
      <c r="B240">
        <v>7</v>
      </c>
      <c r="C240" s="23" t="s">
        <v>112</v>
      </c>
      <c r="D240">
        <v>703</v>
      </c>
      <c r="E240" s="130">
        <v>0</v>
      </c>
      <c r="F240" s="130">
        <v>0</v>
      </c>
      <c r="G240" s="130">
        <v>0</v>
      </c>
      <c r="H240" s="130">
        <v>0</v>
      </c>
      <c r="I240" s="130">
        <v>0</v>
      </c>
      <c r="J240" s="130">
        <v>0</v>
      </c>
      <c r="K240" s="130">
        <v>0</v>
      </c>
      <c r="L240" s="130">
        <v>0</v>
      </c>
      <c r="M240" s="130">
        <v>0</v>
      </c>
      <c r="N240" s="130">
        <v>0</v>
      </c>
      <c r="O240" s="130">
        <v>0</v>
      </c>
      <c r="P240" s="130">
        <v>0</v>
      </c>
      <c r="Q240" s="130">
        <v>0</v>
      </c>
      <c r="R240" s="130">
        <v>0</v>
      </c>
      <c r="S240" s="130">
        <v>0</v>
      </c>
      <c r="T240" s="130">
        <v>0</v>
      </c>
      <c r="U240" s="130">
        <v>0</v>
      </c>
      <c r="V240" s="130">
        <v>0</v>
      </c>
      <c r="W240" s="130">
        <v>0</v>
      </c>
      <c r="X240" s="130">
        <v>0</v>
      </c>
      <c r="Y240" s="131">
        <f t="shared" si="8"/>
        <v>0</v>
      </c>
    </row>
    <row r="241" spans="1:25" x14ac:dyDescent="0.2">
      <c r="A241" s="23" t="s">
        <v>101</v>
      </c>
      <c r="B241">
        <v>7</v>
      </c>
      <c r="C241" s="23" t="s">
        <v>112</v>
      </c>
      <c r="D241">
        <v>704</v>
      </c>
      <c r="E241" s="130">
        <v>0</v>
      </c>
      <c r="F241" s="130">
        <v>0</v>
      </c>
      <c r="G241" s="130">
        <v>0</v>
      </c>
      <c r="H241" s="130">
        <v>0</v>
      </c>
      <c r="I241" s="130">
        <v>0</v>
      </c>
      <c r="J241" s="130">
        <v>0</v>
      </c>
      <c r="K241" s="130">
        <v>0</v>
      </c>
      <c r="L241" s="130">
        <v>0</v>
      </c>
      <c r="M241" s="130">
        <v>0</v>
      </c>
      <c r="N241" s="130">
        <v>0</v>
      </c>
      <c r="O241" s="130">
        <v>0</v>
      </c>
      <c r="P241" s="130">
        <v>0</v>
      </c>
      <c r="Q241" s="130">
        <v>0</v>
      </c>
      <c r="R241" s="130">
        <v>0</v>
      </c>
      <c r="S241" s="130">
        <v>0</v>
      </c>
      <c r="T241" s="130">
        <v>0</v>
      </c>
      <c r="U241" s="130">
        <v>0</v>
      </c>
      <c r="V241" s="130">
        <v>0</v>
      </c>
      <c r="W241" s="130">
        <v>0</v>
      </c>
      <c r="X241" s="130">
        <v>0</v>
      </c>
      <c r="Y241" s="131">
        <f t="shared" si="8"/>
        <v>0</v>
      </c>
    </row>
    <row r="242" spans="1:25" x14ac:dyDescent="0.2">
      <c r="A242" s="23" t="s">
        <v>101</v>
      </c>
      <c r="B242">
        <v>7</v>
      </c>
      <c r="C242" s="23" t="s">
        <v>112</v>
      </c>
      <c r="D242">
        <v>705</v>
      </c>
      <c r="E242" s="130">
        <v>0</v>
      </c>
      <c r="F242" s="130">
        <v>0</v>
      </c>
      <c r="G242" s="130">
        <v>0</v>
      </c>
      <c r="H242" s="130">
        <v>0</v>
      </c>
      <c r="I242" s="130">
        <v>0</v>
      </c>
      <c r="J242" s="130">
        <v>0</v>
      </c>
      <c r="K242" s="130">
        <v>0</v>
      </c>
      <c r="L242" s="130">
        <v>0</v>
      </c>
      <c r="M242" s="130">
        <v>0</v>
      </c>
      <c r="N242" s="130">
        <v>0</v>
      </c>
      <c r="O242" s="130">
        <v>0</v>
      </c>
      <c r="P242" s="130">
        <v>0</v>
      </c>
      <c r="Q242" s="130">
        <v>0</v>
      </c>
      <c r="R242" s="130">
        <v>0</v>
      </c>
      <c r="S242" s="130">
        <v>0</v>
      </c>
      <c r="T242" s="130">
        <v>0</v>
      </c>
      <c r="U242" s="130">
        <v>0</v>
      </c>
      <c r="V242" s="130">
        <v>0</v>
      </c>
      <c r="W242" s="130">
        <v>0</v>
      </c>
      <c r="X242" s="130">
        <v>0</v>
      </c>
      <c r="Y242" s="131">
        <f t="shared" si="8"/>
        <v>0</v>
      </c>
    </row>
    <row r="243" spans="1:25" x14ac:dyDescent="0.2">
      <c r="A243" s="23" t="s">
        <v>101</v>
      </c>
      <c r="B243">
        <v>7</v>
      </c>
      <c r="C243" s="23" t="s">
        <v>112</v>
      </c>
      <c r="D243">
        <v>706</v>
      </c>
      <c r="E243" s="130">
        <v>0</v>
      </c>
      <c r="F243" s="130">
        <v>0</v>
      </c>
      <c r="G243" s="130">
        <v>0</v>
      </c>
      <c r="H243" s="130">
        <v>0</v>
      </c>
      <c r="I243" s="130">
        <v>0</v>
      </c>
      <c r="J243" s="130">
        <v>0</v>
      </c>
      <c r="K243" s="130">
        <v>0</v>
      </c>
      <c r="L243" s="130">
        <v>0</v>
      </c>
      <c r="M243" s="130">
        <v>0</v>
      </c>
      <c r="N243" s="130">
        <v>0</v>
      </c>
      <c r="O243" s="130">
        <v>0</v>
      </c>
      <c r="P243" s="130">
        <v>0</v>
      </c>
      <c r="Q243" s="130">
        <v>0</v>
      </c>
      <c r="R243" s="130">
        <v>0</v>
      </c>
      <c r="S243" s="130">
        <v>0</v>
      </c>
      <c r="T243" s="130">
        <v>0</v>
      </c>
      <c r="U243" s="130">
        <v>0</v>
      </c>
      <c r="V243" s="130">
        <v>0</v>
      </c>
      <c r="W243" s="130">
        <v>0</v>
      </c>
      <c r="X243" s="130">
        <v>0</v>
      </c>
      <c r="Y243" s="131">
        <f t="shared" si="8"/>
        <v>0</v>
      </c>
    </row>
    <row r="244" spans="1:25" x14ac:dyDescent="0.2">
      <c r="A244" s="23" t="s">
        <v>101</v>
      </c>
      <c r="B244">
        <v>7</v>
      </c>
      <c r="C244" s="23" t="s">
        <v>112</v>
      </c>
      <c r="D244">
        <v>707</v>
      </c>
      <c r="E244" s="130">
        <v>0</v>
      </c>
      <c r="F244" s="130">
        <v>0</v>
      </c>
      <c r="G244" s="130">
        <v>0</v>
      </c>
      <c r="H244" s="130">
        <v>0</v>
      </c>
      <c r="I244" s="130">
        <v>0</v>
      </c>
      <c r="J244" s="130">
        <v>0</v>
      </c>
      <c r="K244" s="130">
        <v>0</v>
      </c>
      <c r="L244" s="130">
        <v>0</v>
      </c>
      <c r="M244" s="130">
        <v>0</v>
      </c>
      <c r="N244" s="130">
        <v>0</v>
      </c>
      <c r="O244" s="130">
        <v>0</v>
      </c>
      <c r="P244" s="130">
        <v>0</v>
      </c>
      <c r="Q244" s="130">
        <v>0</v>
      </c>
      <c r="R244" s="130">
        <v>0</v>
      </c>
      <c r="S244" s="130">
        <v>0</v>
      </c>
      <c r="T244" s="130">
        <v>0</v>
      </c>
      <c r="U244" s="130">
        <v>0</v>
      </c>
      <c r="V244" s="130">
        <v>0</v>
      </c>
      <c r="W244" s="130">
        <v>0</v>
      </c>
      <c r="X244" s="130">
        <v>0</v>
      </c>
      <c r="Y244" s="131">
        <f t="shared" si="8"/>
        <v>0</v>
      </c>
    </row>
    <row r="245" spans="1:25" x14ac:dyDescent="0.2">
      <c r="A245" s="23" t="s">
        <v>101</v>
      </c>
      <c r="B245">
        <v>7</v>
      </c>
      <c r="C245" s="23" t="s">
        <v>112</v>
      </c>
      <c r="D245">
        <v>708</v>
      </c>
      <c r="E245" s="130">
        <v>0</v>
      </c>
      <c r="F245" s="130">
        <v>0</v>
      </c>
      <c r="G245" s="130">
        <v>0</v>
      </c>
      <c r="H245" s="130">
        <v>0</v>
      </c>
      <c r="I245" s="130">
        <v>0</v>
      </c>
      <c r="J245" s="130">
        <v>0</v>
      </c>
      <c r="K245" s="130">
        <v>0</v>
      </c>
      <c r="L245" s="130">
        <v>0</v>
      </c>
      <c r="M245" s="130">
        <v>0</v>
      </c>
      <c r="N245" s="130">
        <v>0</v>
      </c>
      <c r="O245" s="130">
        <v>0</v>
      </c>
      <c r="P245" s="130">
        <v>0</v>
      </c>
      <c r="Q245" s="130">
        <v>0</v>
      </c>
      <c r="R245" s="130">
        <v>0</v>
      </c>
      <c r="S245" s="130">
        <v>0</v>
      </c>
      <c r="T245" s="130">
        <v>0</v>
      </c>
      <c r="U245" s="130">
        <v>0</v>
      </c>
      <c r="V245" s="130">
        <v>0</v>
      </c>
      <c r="W245" s="130">
        <v>0</v>
      </c>
      <c r="X245" s="130">
        <v>0</v>
      </c>
      <c r="Y245" s="131">
        <f t="shared" si="8"/>
        <v>0</v>
      </c>
    </row>
    <row r="246" spans="1:25" x14ac:dyDescent="0.2">
      <c r="A246" s="23" t="s">
        <v>101</v>
      </c>
      <c r="B246">
        <v>7</v>
      </c>
      <c r="C246" s="23" t="s">
        <v>112</v>
      </c>
      <c r="D246">
        <v>709</v>
      </c>
      <c r="E246" s="130">
        <v>0</v>
      </c>
      <c r="F246" s="130">
        <v>0</v>
      </c>
      <c r="G246" s="130">
        <v>0</v>
      </c>
      <c r="H246" s="130">
        <v>0</v>
      </c>
      <c r="I246" s="130">
        <v>0</v>
      </c>
      <c r="J246" s="130">
        <v>0</v>
      </c>
      <c r="K246" s="130">
        <v>0</v>
      </c>
      <c r="L246" s="130">
        <v>0</v>
      </c>
      <c r="M246" s="130">
        <v>0</v>
      </c>
      <c r="N246" s="130">
        <v>0</v>
      </c>
      <c r="O246" s="130">
        <v>0</v>
      </c>
      <c r="P246" s="130">
        <v>0</v>
      </c>
      <c r="Q246" s="130">
        <v>0</v>
      </c>
      <c r="R246" s="130">
        <v>0</v>
      </c>
      <c r="S246" s="130">
        <v>0</v>
      </c>
      <c r="T246" s="130">
        <v>0</v>
      </c>
      <c r="U246" s="130">
        <v>0</v>
      </c>
      <c r="V246" s="130">
        <v>0</v>
      </c>
      <c r="W246" s="130">
        <v>0</v>
      </c>
      <c r="X246" s="130">
        <v>0</v>
      </c>
      <c r="Y246" s="131">
        <f t="shared" si="8"/>
        <v>0</v>
      </c>
    </row>
    <row r="247" spans="1:25" x14ac:dyDescent="0.2">
      <c r="A247" s="23" t="s">
        <v>101</v>
      </c>
      <c r="B247">
        <v>7</v>
      </c>
      <c r="C247" s="23" t="s">
        <v>112</v>
      </c>
      <c r="D247">
        <v>710</v>
      </c>
      <c r="E247" s="130">
        <v>0</v>
      </c>
      <c r="F247" s="130">
        <v>0</v>
      </c>
      <c r="G247" s="130">
        <v>0</v>
      </c>
      <c r="H247" s="130">
        <v>0</v>
      </c>
      <c r="I247" s="130">
        <v>0</v>
      </c>
      <c r="J247" s="130">
        <v>0</v>
      </c>
      <c r="K247" s="130">
        <v>0</v>
      </c>
      <c r="L247" s="130">
        <v>0</v>
      </c>
      <c r="M247" s="130">
        <v>0</v>
      </c>
      <c r="N247" s="130">
        <v>0</v>
      </c>
      <c r="O247" s="130">
        <v>0</v>
      </c>
      <c r="P247" s="130">
        <v>0</v>
      </c>
      <c r="Q247" s="130">
        <v>0</v>
      </c>
      <c r="R247" s="130">
        <v>0</v>
      </c>
      <c r="S247" s="130">
        <v>0</v>
      </c>
      <c r="T247" s="130">
        <v>0</v>
      </c>
      <c r="U247" s="130">
        <v>0</v>
      </c>
      <c r="V247" s="130">
        <v>0</v>
      </c>
      <c r="W247" s="130">
        <v>0</v>
      </c>
      <c r="X247" s="130">
        <v>0</v>
      </c>
      <c r="Y247" s="131">
        <f t="shared" si="8"/>
        <v>0</v>
      </c>
    </row>
    <row r="248" spans="1:25" x14ac:dyDescent="0.2">
      <c r="A248" s="23" t="s">
        <v>101</v>
      </c>
      <c r="B248">
        <v>7</v>
      </c>
      <c r="C248" s="23" t="s">
        <v>112</v>
      </c>
      <c r="D248">
        <v>711</v>
      </c>
      <c r="E248" s="130">
        <v>0</v>
      </c>
      <c r="F248" s="130">
        <v>0</v>
      </c>
      <c r="G248" s="130">
        <v>0</v>
      </c>
      <c r="H248" s="130">
        <v>0</v>
      </c>
      <c r="I248" s="130">
        <v>0</v>
      </c>
      <c r="J248" s="130">
        <v>0</v>
      </c>
      <c r="K248" s="130">
        <v>0</v>
      </c>
      <c r="L248" s="130">
        <v>0</v>
      </c>
      <c r="M248" s="130">
        <v>0</v>
      </c>
      <c r="N248" s="130">
        <v>0</v>
      </c>
      <c r="O248" s="130">
        <v>0</v>
      </c>
      <c r="P248" s="130">
        <v>0</v>
      </c>
      <c r="Q248" s="130">
        <v>0</v>
      </c>
      <c r="R248" s="130">
        <v>0</v>
      </c>
      <c r="S248" s="130">
        <v>0</v>
      </c>
      <c r="T248" s="130">
        <v>0</v>
      </c>
      <c r="U248" s="130">
        <v>0</v>
      </c>
      <c r="V248" s="130">
        <v>0</v>
      </c>
      <c r="W248" s="130">
        <v>0</v>
      </c>
      <c r="X248" s="130">
        <v>0</v>
      </c>
      <c r="Y248" s="131">
        <f t="shared" si="8"/>
        <v>0</v>
      </c>
    </row>
    <row r="249" spans="1:25" x14ac:dyDescent="0.2">
      <c r="A249" s="23" t="s">
        <v>101</v>
      </c>
      <c r="B249">
        <v>7</v>
      </c>
      <c r="C249" s="23" t="s">
        <v>112</v>
      </c>
      <c r="D249">
        <v>712</v>
      </c>
      <c r="E249" s="130">
        <v>0</v>
      </c>
      <c r="F249" s="130">
        <v>0</v>
      </c>
      <c r="G249" s="130">
        <v>0</v>
      </c>
      <c r="H249" s="130">
        <v>0</v>
      </c>
      <c r="I249" s="130">
        <v>0</v>
      </c>
      <c r="J249" s="130">
        <v>0</v>
      </c>
      <c r="K249" s="130">
        <v>0</v>
      </c>
      <c r="L249" s="130">
        <v>0</v>
      </c>
      <c r="M249" s="130">
        <v>0</v>
      </c>
      <c r="N249" s="130">
        <v>0</v>
      </c>
      <c r="O249" s="130">
        <v>0</v>
      </c>
      <c r="P249" s="130">
        <v>0</v>
      </c>
      <c r="Q249" s="130">
        <v>0</v>
      </c>
      <c r="R249" s="130">
        <v>0</v>
      </c>
      <c r="S249" s="130">
        <v>0</v>
      </c>
      <c r="T249" s="130">
        <v>0</v>
      </c>
      <c r="U249" s="130">
        <v>0</v>
      </c>
      <c r="V249" s="130">
        <v>0</v>
      </c>
      <c r="W249" s="130">
        <v>0</v>
      </c>
      <c r="X249" s="130">
        <v>0</v>
      </c>
      <c r="Y249" s="131">
        <f t="shared" si="8"/>
        <v>0</v>
      </c>
    </row>
    <row r="250" spans="1:25" x14ac:dyDescent="0.2">
      <c r="A250" s="23" t="s">
        <v>101</v>
      </c>
      <c r="B250">
        <v>7</v>
      </c>
      <c r="C250" s="23" t="s">
        <v>112</v>
      </c>
      <c r="D250">
        <v>713</v>
      </c>
      <c r="E250" s="130">
        <v>0</v>
      </c>
      <c r="F250" s="130">
        <v>0</v>
      </c>
      <c r="G250" s="130">
        <v>0</v>
      </c>
      <c r="H250" s="130">
        <v>0</v>
      </c>
      <c r="I250" s="130">
        <v>0</v>
      </c>
      <c r="J250" s="130">
        <v>0</v>
      </c>
      <c r="K250" s="130">
        <v>0</v>
      </c>
      <c r="L250" s="130">
        <v>0</v>
      </c>
      <c r="M250" s="130">
        <v>0</v>
      </c>
      <c r="N250" s="130">
        <v>0</v>
      </c>
      <c r="O250" s="130">
        <v>0</v>
      </c>
      <c r="P250" s="130">
        <v>0</v>
      </c>
      <c r="Q250" s="130">
        <v>0</v>
      </c>
      <c r="R250" s="130">
        <v>0</v>
      </c>
      <c r="S250" s="130">
        <v>0</v>
      </c>
      <c r="T250" s="130">
        <v>0</v>
      </c>
      <c r="U250" s="130">
        <v>0</v>
      </c>
      <c r="V250" s="130">
        <v>0</v>
      </c>
      <c r="W250" s="130">
        <v>0</v>
      </c>
      <c r="X250" s="130">
        <v>0</v>
      </c>
      <c r="Y250" s="131">
        <f t="shared" si="8"/>
        <v>0</v>
      </c>
    </row>
    <row r="251" spans="1:25" x14ac:dyDescent="0.2">
      <c r="A251" s="23" t="s">
        <v>101</v>
      </c>
      <c r="B251">
        <v>7</v>
      </c>
      <c r="C251" s="23" t="s">
        <v>112</v>
      </c>
      <c r="D251">
        <v>714</v>
      </c>
      <c r="E251" s="130">
        <v>0</v>
      </c>
      <c r="F251" s="130">
        <v>0</v>
      </c>
      <c r="G251" s="130">
        <v>0</v>
      </c>
      <c r="H251" s="130">
        <v>0</v>
      </c>
      <c r="I251" s="130">
        <v>0</v>
      </c>
      <c r="J251" s="130">
        <v>0</v>
      </c>
      <c r="K251" s="130">
        <v>0</v>
      </c>
      <c r="L251" s="130">
        <v>0</v>
      </c>
      <c r="M251" s="130">
        <v>0</v>
      </c>
      <c r="N251" s="130">
        <v>0</v>
      </c>
      <c r="O251" s="130">
        <v>0</v>
      </c>
      <c r="P251" s="130">
        <v>0</v>
      </c>
      <c r="Q251" s="130">
        <v>0</v>
      </c>
      <c r="R251" s="130">
        <v>0</v>
      </c>
      <c r="S251" s="130">
        <v>0</v>
      </c>
      <c r="T251" s="130">
        <v>0</v>
      </c>
      <c r="U251" s="130">
        <v>0</v>
      </c>
      <c r="V251" s="130">
        <v>0</v>
      </c>
      <c r="W251" s="130">
        <v>0</v>
      </c>
      <c r="X251" s="130">
        <v>0</v>
      </c>
      <c r="Y251" s="131">
        <f t="shared" si="8"/>
        <v>0</v>
      </c>
    </row>
    <row r="252" spans="1:25" x14ac:dyDescent="0.2">
      <c r="A252" s="23" t="s">
        <v>101</v>
      </c>
      <c r="B252">
        <v>7</v>
      </c>
      <c r="C252" s="23" t="s">
        <v>112</v>
      </c>
      <c r="D252">
        <v>715</v>
      </c>
      <c r="E252" s="130">
        <v>0</v>
      </c>
      <c r="F252" s="130">
        <v>0</v>
      </c>
      <c r="G252" s="130">
        <v>0</v>
      </c>
      <c r="H252" s="130">
        <v>0</v>
      </c>
      <c r="I252" s="130">
        <v>0</v>
      </c>
      <c r="J252" s="130">
        <v>0</v>
      </c>
      <c r="K252" s="130">
        <v>0</v>
      </c>
      <c r="L252" s="130">
        <v>0</v>
      </c>
      <c r="M252" s="130">
        <v>0</v>
      </c>
      <c r="N252" s="130">
        <v>0</v>
      </c>
      <c r="O252" s="130">
        <v>0</v>
      </c>
      <c r="P252" s="130">
        <v>0</v>
      </c>
      <c r="Q252" s="130">
        <v>0</v>
      </c>
      <c r="R252" s="130">
        <v>0</v>
      </c>
      <c r="S252" s="130">
        <v>0</v>
      </c>
      <c r="T252" s="130">
        <v>0</v>
      </c>
      <c r="U252" s="130">
        <v>0</v>
      </c>
      <c r="V252" s="130">
        <v>0</v>
      </c>
      <c r="W252" s="130">
        <v>0</v>
      </c>
      <c r="X252" s="130">
        <v>0</v>
      </c>
      <c r="Y252" s="131">
        <f t="shared" si="8"/>
        <v>0</v>
      </c>
    </row>
    <row r="253" spans="1:25" x14ac:dyDescent="0.2">
      <c r="A253" s="23" t="s">
        <v>101</v>
      </c>
      <c r="B253">
        <v>7</v>
      </c>
      <c r="C253" s="23" t="s">
        <v>112</v>
      </c>
      <c r="D253">
        <v>716</v>
      </c>
      <c r="E253" s="130">
        <v>0</v>
      </c>
      <c r="F253" s="130">
        <v>0</v>
      </c>
      <c r="G253" s="130">
        <v>0</v>
      </c>
      <c r="H253" s="130">
        <v>0</v>
      </c>
      <c r="I253" s="130">
        <v>0</v>
      </c>
      <c r="J253" s="130">
        <v>0</v>
      </c>
      <c r="K253" s="130">
        <v>0</v>
      </c>
      <c r="L253" s="130">
        <v>0</v>
      </c>
      <c r="M253" s="130">
        <v>0</v>
      </c>
      <c r="N253" s="130">
        <v>0</v>
      </c>
      <c r="O253" s="130">
        <v>0</v>
      </c>
      <c r="P253" s="130">
        <v>0</v>
      </c>
      <c r="Q253" s="130">
        <v>0</v>
      </c>
      <c r="R253" s="130">
        <v>0</v>
      </c>
      <c r="S253" s="130">
        <v>0</v>
      </c>
      <c r="T253" s="130">
        <v>0</v>
      </c>
      <c r="U253" s="130">
        <v>0</v>
      </c>
      <c r="V253" s="130">
        <v>0</v>
      </c>
      <c r="W253" s="130">
        <v>0</v>
      </c>
      <c r="X253" s="130">
        <v>0</v>
      </c>
      <c r="Y253" s="131">
        <f t="shared" si="8"/>
        <v>0</v>
      </c>
    </row>
    <row r="254" spans="1:25" x14ac:dyDescent="0.2">
      <c r="A254" s="23" t="s">
        <v>101</v>
      </c>
      <c r="B254">
        <v>7</v>
      </c>
      <c r="C254" s="23" t="s">
        <v>112</v>
      </c>
      <c r="D254">
        <v>717</v>
      </c>
      <c r="E254" s="130">
        <v>0</v>
      </c>
      <c r="F254" s="130">
        <v>0</v>
      </c>
      <c r="G254" s="130">
        <v>0</v>
      </c>
      <c r="H254" s="130">
        <v>0</v>
      </c>
      <c r="I254" s="130">
        <v>0</v>
      </c>
      <c r="J254" s="130">
        <v>0</v>
      </c>
      <c r="K254" s="130">
        <v>0</v>
      </c>
      <c r="L254" s="130">
        <v>0</v>
      </c>
      <c r="M254" s="130">
        <v>0</v>
      </c>
      <c r="N254" s="130">
        <v>0</v>
      </c>
      <c r="O254" s="130">
        <v>0</v>
      </c>
      <c r="P254" s="130">
        <v>0</v>
      </c>
      <c r="Q254" s="130">
        <v>0</v>
      </c>
      <c r="R254" s="130">
        <v>0</v>
      </c>
      <c r="S254" s="130">
        <v>0</v>
      </c>
      <c r="T254" s="130">
        <v>0</v>
      </c>
      <c r="U254" s="130">
        <v>0</v>
      </c>
      <c r="V254" s="130">
        <v>0</v>
      </c>
      <c r="W254" s="130">
        <v>0</v>
      </c>
      <c r="X254" s="130">
        <v>0</v>
      </c>
      <c r="Y254" s="131">
        <f t="shared" si="8"/>
        <v>0</v>
      </c>
    </row>
    <row r="255" spans="1:25" x14ac:dyDescent="0.2">
      <c r="A255" s="23" t="s">
        <v>101</v>
      </c>
      <c r="B255">
        <v>7</v>
      </c>
      <c r="C255" s="23" t="s">
        <v>112</v>
      </c>
      <c r="D255">
        <v>718</v>
      </c>
      <c r="E255" s="130">
        <v>0</v>
      </c>
      <c r="F255" s="130">
        <v>0</v>
      </c>
      <c r="G255" s="130">
        <v>0</v>
      </c>
      <c r="H255" s="130">
        <v>0</v>
      </c>
      <c r="I255" s="130">
        <v>0</v>
      </c>
      <c r="J255" s="130">
        <v>0</v>
      </c>
      <c r="K255" s="130">
        <v>0</v>
      </c>
      <c r="L255" s="130">
        <v>0</v>
      </c>
      <c r="M255" s="130">
        <v>0</v>
      </c>
      <c r="N255" s="130">
        <v>0</v>
      </c>
      <c r="O255" s="130">
        <v>0</v>
      </c>
      <c r="P255" s="130">
        <v>0</v>
      </c>
      <c r="Q255" s="130">
        <v>0</v>
      </c>
      <c r="R255" s="130">
        <v>0</v>
      </c>
      <c r="S255" s="130">
        <v>0</v>
      </c>
      <c r="T255" s="130">
        <v>0</v>
      </c>
      <c r="U255" s="130">
        <v>0</v>
      </c>
      <c r="V255" s="130">
        <v>0</v>
      </c>
      <c r="W255" s="130">
        <v>0</v>
      </c>
      <c r="X255" s="130">
        <v>0</v>
      </c>
      <c r="Y255" s="131">
        <f t="shared" si="8"/>
        <v>0</v>
      </c>
    </row>
    <row r="256" spans="1:25" x14ac:dyDescent="0.2">
      <c r="A256" s="23" t="s">
        <v>101</v>
      </c>
      <c r="B256">
        <v>7</v>
      </c>
      <c r="C256" s="23" t="s">
        <v>112</v>
      </c>
      <c r="D256">
        <v>719</v>
      </c>
      <c r="E256" s="130">
        <v>0</v>
      </c>
      <c r="F256" s="130">
        <v>0</v>
      </c>
      <c r="G256" s="130">
        <v>0</v>
      </c>
      <c r="H256" s="130">
        <v>0</v>
      </c>
      <c r="I256" s="130">
        <v>0</v>
      </c>
      <c r="J256" s="130">
        <v>0</v>
      </c>
      <c r="K256" s="130">
        <v>0</v>
      </c>
      <c r="L256" s="130">
        <v>0</v>
      </c>
      <c r="M256" s="130">
        <v>0</v>
      </c>
      <c r="N256" s="130">
        <v>0</v>
      </c>
      <c r="O256" s="130">
        <v>0</v>
      </c>
      <c r="P256" s="130">
        <v>0</v>
      </c>
      <c r="Q256" s="130">
        <v>0</v>
      </c>
      <c r="R256" s="130">
        <v>0</v>
      </c>
      <c r="S256" s="130">
        <v>0</v>
      </c>
      <c r="T256" s="130">
        <v>0</v>
      </c>
      <c r="U256" s="130">
        <v>0</v>
      </c>
      <c r="V256" s="130">
        <v>0</v>
      </c>
      <c r="W256" s="130">
        <v>0</v>
      </c>
      <c r="X256" s="130">
        <v>0</v>
      </c>
      <c r="Y256" s="131">
        <f t="shared" si="8"/>
        <v>0</v>
      </c>
    </row>
    <row r="257" spans="1:25" x14ac:dyDescent="0.2">
      <c r="A257" s="23" t="s">
        <v>101</v>
      </c>
      <c r="B257">
        <v>7</v>
      </c>
      <c r="C257" s="23" t="s">
        <v>112</v>
      </c>
      <c r="D257">
        <v>720</v>
      </c>
      <c r="E257" s="130">
        <v>0</v>
      </c>
      <c r="F257" s="130">
        <v>0</v>
      </c>
      <c r="G257" s="130">
        <v>0</v>
      </c>
      <c r="H257" s="130">
        <v>0</v>
      </c>
      <c r="I257" s="130">
        <v>0</v>
      </c>
      <c r="J257" s="130">
        <v>0</v>
      </c>
      <c r="K257" s="130">
        <v>0</v>
      </c>
      <c r="L257" s="130">
        <v>0</v>
      </c>
      <c r="M257" s="130">
        <v>0</v>
      </c>
      <c r="N257" s="130">
        <v>0</v>
      </c>
      <c r="O257" s="130">
        <v>0</v>
      </c>
      <c r="P257" s="130">
        <v>0</v>
      </c>
      <c r="Q257" s="130">
        <v>0</v>
      </c>
      <c r="R257" s="130">
        <v>0</v>
      </c>
      <c r="S257" s="130">
        <v>0</v>
      </c>
      <c r="T257" s="130">
        <v>0</v>
      </c>
      <c r="U257" s="130">
        <v>0</v>
      </c>
      <c r="V257" s="130">
        <v>0</v>
      </c>
      <c r="W257" s="130">
        <v>0</v>
      </c>
      <c r="X257" s="130">
        <v>0</v>
      </c>
      <c r="Y257" s="131">
        <f t="shared" si="8"/>
        <v>0</v>
      </c>
    </row>
    <row r="258" spans="1:25" x14ac:dyDescent="0.2">
      <c r="A258" s="23" t="s">
        <v>101</v>
      </c>
      <c r="B258">
        <v>7</v>
      </c>
      <c r="C258" s="23" t="s">
        <v>112</v>
      </c>
      <c r="D258">
        <v>721</v>
      </c>
      <c r="E258" s="130">
        <v>0</v>
      </c>
      <c r="F258" s="130">
        <v>0</v>
      </c>
      <c r="G258" s="130">
        <v>0</v>
      </c>
      <c r="H258" s="130">
        <v>0</v>
      </c>
      <c r="I258" s="130">
        <v>0</v>
      </c>
      <c r="J258" s="130">
        <v>0</v>
      </c>
      <c r="K258" s="130">
        <v>0</v>
      </c>
      <c r="L258" s="130">
        <v>0</v>
      </c>
      <c r="M258" s="130">
        <v>0</v>
      </c>
      <c r="N258" s="130">
        <v>0</v>
      </c>
      <c r="O258" s="130">
        <v>0</v>
      </c>
      <c r="P258" s="130">
        <v>0</v>
      </c>
      <c r="Q258" s="130">
        <v>0</v>
      </c>
      <c r="R258" s="130">
        <v>0</v>
      </c>
      <c r="S258" s="130">
        <v>0</v>
      </c>
      <c r="T258" s="130">
        <v>0</v>
      </c>
      <c r="U258" s="130">
        <v>0</v>
      </c>
      <c r="V258" s="130">
        <v>0</v>
      </c>
      <c r="W258" s="130">
        <v>0</v>
      </c>
      <c r="X258" s="130">
        <v>0</v>
      </c>
      <c r="Y258" s="131">
        <f t="shared" ref="Y258:Y321" si="10">AVERAGE(E258:X258)</f>
        <v>0</v>
      </c>
    </row>
    <row r="259" spans="1:25" x14ac:dyDescent="0.2">
      <c r="A259" s="23" t="s">
        <v>101</v>
      </c>
      <c r="B259">
        <v>7</v>
      </c>
      <c r="C259" s="23" t="s">
        <v>112</v>
      </c>
      <c r="D259">
        <v>722</v>
      </c>
      <c r="E259" s="130">
        <v>0</v>
      </c>
      <c r="F259" s="130">
        <v>0</v>
      </c>
      <c r="G259" s="130">
        <v>0</v>
      </c>
      <c r="H259" s="130">
        <v>0</v>
      </c>
      <c r="I259" s="130">
        <v>0</v>
      </c>
      <c r="J259" s="130">
        <v>0</v>
      </c>
      <c r="K259" s="130">
        <v>0</v>
      </c>
      <c r="L259" s="130">
        <v>0</v>
      </c>
      <c r="M259" s="130">
        <v>0</v>
      </c>
      <c r="N259" s="130">
        <v>0</v>
      </c>
      <c r="O259" s="130">
        <v>0</v>
      </c>
      <c r="P259" s="130">
        <v>0</v>
      </c>
      <c r="Q259" s="130">
        <v>0</v>
      </c>
      <c r="R259" s="130">
        <v>0</v>
      </c>
      <c r="S259" s="130">
        <v>0</v>
      </c>
      <c r="T259" s="130">
        <v>0</v>
      </c>
      <c r="U259" s="130">
        <v>0</v>
      </c>
      <c r="V259" s="130">
        <v>0</v>
      </c>
      <c r="W259" s="130">
        <v>0</v>
      </c>
      <c r="X259" s="130">
        <v>0</v>
      </c>
      <c r="Y259" s="131">
        <f t="shared" si="10"/>
        <v>0</v>
      </c>
    </row>
    <row r="260" spans="1:25" x14ac:dyDescent="0.2">
      <c r="A260" s="23" t="s">
        <v>101</v>
      </c>
      <c r="B260">
        <v>7</v>
      </c>
      <c r="C260" s="23" t="s">
        <v>112</v>
      </c>
      <c r="D260">
        <v>723</v>
      </c>
      <c r="E260" s="130">
        <v>0</v>
      </c>
      <c r="F260" s="130">
        <v>0</v>
      </c>
      <c r="G260" s="130">
        <v>0</v>
      </c>
      <c r="H260" s="130">
        <v>0</v>
      </c>
      <c r="I260" s="130">
        <v>0</v>
      </c>
      <c r="J260" s="130">
        <v>0</v>
      </c>
      <c r="K260" s="130">
        <v>0</v>
      </c>
      <c r="L260" s="130">
        <v>0</v>
      </c>
      <c r="M260" s="130">
        <v>0</v>
      </c>
      <c r="N260" s="130">
        <v>0</v>
      </c>
      <c r="O260" s="130">
        <v>0</v>
      </c>
      <c r="P260" s="130">
        <v>0</v>
      </c>
      <c r="Q260" s="130">
        <v>0</v>
      </c>
      <c r="R260" s="130">
        <v>0</v>
      </c>
      <c r="S260" s="130">
        <v>0</v>
      </c>
      <c r="T260" s="130">
        <v>0</v>
      </c>
      <c r="U260" s="130">
        <v>0</v>
      </c>
      <c r="V260" s="130">
        <v>0</v>
      </c>
      <c r="W260" s="130">
        <v>0</v>
      </c>
      <c r="X260" s="130">
        <v>0</v>
      </c>
      <c r="Y260" s="131">
        <f t="shared" si="10"/>
        <v>0</v>
      </c>
    </row>
    <row r="261" spans="1:25" x14ac:dyDescent="0.2">
      <c r="A261" s="23" t="s">
        <v>101</v>
      </c>
      <c r="B261">
        <v>7</v>
      </c>
      <c r="C261" s="23" t="s">
        <v>111</v>
      </c>
      <c r="D261">
        <v>701</v>
      </c>
      <c r="E261" s="130">
        <v>0</v>
      </c>
      <c r="F261" s="130">
        <v>0</v>
      </c>
      <c r="G261" s="130">
        <v>0</v>
      </c>
      <c r="H261" s="130">
        <v>0</v>
      </c>
      <c r="I261" s="130">
        <v>0</v>
      </c>
      <c r="J261" s="130">
        <v>0</v>
      </c>
      <c r="K261" s="130">
        <v>0</v>
      </c>
      <c r="L261" s="130">
        <v>0</v>
      </c>
      <c r="M261" s="130">
        <v>0</v>
      </c>
      <c r="N261" s="130">
        <v>0</v>
      </c>
      <c r="O261" s="130">
        <v>0</v>
      </c>
      <c r="P261" s="130">
        <v>0</v>
      </c>
      <c r="Q261" s="130">
        <v>0</v>
      </c>
      <c r="R261" s="130">
        <v>0</v>
      </c>
      <c r="S261" s="130">
        <v>0</v>
      </c>
      <c r="T261" s="130">
        <v>0</v>
      </c>
      <c r="U261" s="130">
        <v>0</v>
      </c>
      <c r="V261" s="130">
        <v>0</v>
      </c>
      <c r="W261" s="130">
        <v>0</v>
      </c>
      <c r="X261" s="130">
        <v>0</v>
      </c>
      <c r="Y261" s="131">
        <f t="shared" si="10"/>
        <v>0</v>
      </c>
    </row>
    <row r="262" spans="1:25" x14ac:dyDescent="0.2">
      <c r="A262" s="23" t="s">
        <v>101</v>
      </c>
      <c r="B262">
        <v>7</v>
      </c>
      <c r="C262" s="23" t="s">
        <v>111</v>
      </c>
      <c r="D262">
        <v>702</v>
      </c>
      <c r="E262" s="130">
        <v>0</v>
      </c>
      <c r="F262" s="130">
        <v>0</v>
      </c>
      <c r="G262" s="130">
        <v>0</v>
      </c>
      <c r="H262" s="130">
        <v>0</v>
      </c>
      <c r="I262" s="130">
        <v>0</v>
      </c>
      <c r="J262" s="130">
        <v>0</v>
      </c>
      <c r="K262" s="130">
        <v>0</v>
      </c>
      <c r="L262" s="130">
        <v>0</v>
      </c>
      <c r="M262" s="130">
        <v>0</v>
      </c>
      <c r="N262" s="130">
        <v>0</v>
      </c>
      <c r="O262" s="130">
        <v>0</v>
      </c>
      <c r="P262" s="130">
        <v>0</v>
      </c>
      <c r="Q262" s="130">
        <v>0</v>
      </c>
      <c r="R262" s="130">
        <v>0</v>
      </c>
      <c r="S262" s="130">
        <v>0</v>
      </c>
      <c r="T262" s="130">
        <v>0</v>
      </c>
      <c r="U262" s="130">
        <v>0</v>
      </c>
      <c r="V262" s="130">
        <v>0</v>
      </c>
      <c r="W262" s="130">
        <v>0</v>
      </c>
      <c r="X262" s="130">
        <v>0</v>
      </c>
      <c r="Y262" s="131">
        <f t="shared" si="10"/>
        <v>0</v>
      </c>
    </row>
    <row r="263" spans="1:25" x14ac:dyDescent="0.2">
      <c r="A263" s="23" t="s">
        <v>101</v>
      </c>
      <c r="B263">
        <v>7</v>
      </c>
      <c r="C263" s="23" t="s">
        <v>111</v>
      </c>
      <c r="D263">
        <v>703</v>
      </c>
      <c r="E263" s="130">
        <v>0</v>
      </c>
      <c r="F263" s="130">
        <v>0</v>
      </c>
      <c r="G263" s="130">
        <v>0</v>
      </c>
      <c r="H263" s="130">
        <v>0</v>
      </c>
      <c r="I263" s="130">
        <v>0</v>
      </c>
      <c r="J263" s="130">
        <v>0</v>
      </c>
      <c r="K263" s="130">
        <v>0</v>
      </c>
      <c r="L263" s="130">
        <v>0</v>
      </c>
      <c r="M263" s="130">
        <v>0</v>
      </c>
      <c r="N263" s="130">
        <v>0</v>
      </c>
      <c r="O263" s="130">
        <v>0</v>
      </c>
      <c r="P263" s="130">
        <v>0</v>
      </c>
      <c r="Q263" s="130">
        <v>0</v>
      </c>
      <c r="R263" s="130">
        <v>0</v>
      </c>
      <c r="S263" s="130">
        <v>0</v>
      </c>
      <c r="T263" s="130">
        <v>0</v>
      </c>
      <c r="U263" s="130">
        <v>0</v>
      </c>
      <c r="V263" s="130">
        <v>0</v>
      </c>
      <c r="W263" s="130">
        <v>0</v>
      </c>
      <c r="X263" s="130">
        <v>0</v>
      </c>
      <c r="Y263" s="131">
        <f t="shared" si="10"/>
        <v>0</v>
      </c>
    </row>
    <row r="264" spans="1:25" x14ac:dyDescent="0.2">
      <c r="A264" s="23" t="s">
        <v>101</v>
      </c>
      <c r="B264">
        <v>7</v>
      </c>
      <c r="C264" s="23" t="s">
        <v>111</v>
      </c>
      <c r="D264">
        <v>704</v>
      </c>
      <c r="E264" s="130">
        <v>0</v>
      </c>
      <c r="F264" s="130">
        <v>0</v>
      </c>
      <c r="G264" s="130">
        <v>0</v>
      </c>
      <c r="H264" s="130">
        <v>0</v>
      </c>
      <c r="I264" s="130">
        <v>0</v>
      </c>
      <c r="J264" s="130">
        <v>0</v>
      </c>
      <c r="K264" s="130">
        <v>0</v>
      </c>
      <c r="L264" s="130">
        <v>0</v>
      </c>
      <c r="M264" s="130">
        <v>0</v>
      </c>
      <c r="N264" s="130">
        <v>0</v>
      </c>
      <c r="O264" s="130">
        <v>0</v>
      </c>
      <c r="P264" s="130">
        <v>0</v>
      </c>
      <c r="Q264" s="130">
        <v>0</v>
      </c>
      <c r="R264" s="130">
        <v>0</v>
      </c>
      <c r="S264" s="130">
        <v>0</v>
      </c>
      <c r="T264" s="130">
        <v>0</v>
      </c>
      <c r="U264" s="130">
        <v>0</v>
      </c>
      <c r="V264" s="130">
        <v>0</v>
      </c>
      <c r="W264" s="130">
        <v>0</v>
      </c>
      <c r="X264" s="130">
        <v>0</v>
      </c>
      <c r="Y264" s="131">
        <f t="shared" si="10"/>
        <v>0</v>
      </c>
    </row>
    <row r="265" spans="1:25" x14ac:dyDescent="0.2">
      <c r="A265" s="23" t="s">
        <v>101</v>
      </c>
      <c r="B265">
        <v>7</v>
      </c>
      <c r="C265" s="23" t="s">
        <v>111</v>
      </c>
      <c r="D265">
        <v>705</v>
      </c>
      <c r="E265" s="130">
        <v>0</v>
      </c>
      <c r="F265" s="130">
        <v>0</v>
      </c>
      <c r="G265" s="130">
        <v>0</v>
      </c>
      <c r="H265" s="130">
        <v>0</v>
      </c>
      <c r="I265" s="130">
        <v>0</v>
      </c>
      <c r="J265" s="130">
        <v>0</v>
      </c>
      <c r="K265" s="130">
        <v>0</v>
      </c>
      <c r="L265" s="130">
        <v>0</v>
      </c>
      <c r="M265" s="130">
        <v>0</v>
      </c>
      <c r="N265" s="130">
        <v>0</v>
      </c>
      <c r="O265" s="130">
        <v>0</v>
      </c>
      <c r="P265" s="130">
        <v>0</v>
      </c>
      <c r="Q265" s="130">
        <v>0</v>
      </c>
      <c r="R265" s="130">
        <v>0</v>
      </c>
      <c r="S265" s="130">
        <v>0</v>
      </c>
      <c r="T265" s="130">
        <v>0</v>
      </c>
      <c r="U265" s="130">
        <v>0</v>
      </c>
      <c r="V265" s="130">
        <v>0</v>
      </c>
      <c r="W265" s="130">
        <v>0</v>
      </c>
      <c r="X265" s="130">
        <v>0</v>
      </c>
      <c r="Y265" s="131">
        <f t="shared" si="10"/>
        <v>0</v>
      </c>
    </row>
    <row r="266" spans="1:25" x14ac:dyDescent="0.2">
      <c r="A266" s="23" t="s">
        <v>101</v>
      </c>
      <c r="B266">
        <v>7</v>
      </c>
      <c r="C266" s="23" t="s">
        <v>111</v>
      </c>
      <c r="D266">
        <v>706</v>
      </c>
      <c r="E266" s="130">
        <v>0</v>
      </c>
      <c r="F266" s="130">
        <v>0</v>
      </c>
      <c r="G266" s="130">
        <v>0</v>
      </c>
      <c r="H266" s="130">
        <v>0</v>
      </c>
      <c r="I266" s="130">
        <v>0</v>
      </c>
      <c r="J266" s="130">
        <v>0</v>
      </c>
      <c r="K266" s="130">
        <v>0</v>
      </c>
      <c r="L266" s="130">
        <v>0</v>
      </c>
      <c r="M266" s="130">
        <v>0</v>
      </c>
      <c r="N266" s="130">
        <v>0</v>
      </c>
      <c r="O266" s="130">
        <v>0</v>
      </c>
      <c r="P266" s="130">
        <v>0</v>
      </c>
      <c r="Q266" s="130">
        <v>0</v>
      </c>
      <c r="R266" s="130">
        <v>0</v>
      </c>
      <c r="S266" s="130">
        <v>0</v>
      </c>
      <c r="T266" s="130">
        <v>0</v>
      </c>
      <c r="U266" s="130">
        <v>0</v>
      </c>
      <c r="V266" s="130">
        <v>0</v>
      </c>
      <c r="W266" s="130">
        <v>0</v>
      </c>
      <c r="X266" s="130">
        <v>0</v>
      </c>
      <c r="Y266" s="131">
        <f t="shared" si="10"/>
        <v>0</v>
      </c>
    </row>
    <row r="267" spans="1:25" x14ac:dyDescent="0.2">
      <c r="A267" s="23" t="s">
        <v>101</v>
      </c>
      <c r="B267">
        <v>7</v>
      </c>
      <c r="C267" s="23" t="s">
        <v>111</v>
      </c>
      <c r="D267">
        <v>707</v>
      </c>
      <c r="E267" s="130">
        <v>0</v>
      </c>
      <c r="F267" s="130">
        <v>0</v>
      </c>
      <c r="G267" s="130">
        <v>0</v>
      </c>
      <c r="H267" s="130">
        <v>0</v>
      </c>
      <c r="I267" s="130">
        <v>0</v>
      </c>
      <c r="J267" s="130">
        <v>0</v>
      </c>
      <c r="K267" s="130">
        <v>0</v>
      </c>
      <c r="L267" s="130">
        <v>0</v>
      </c>
      <c r="M267" s="130">
        <v>0</v>
      </c>
      <c r="N267" s="130">
        <v>0</v>
      </c>
      <c r="O267" s="130">
        <v>0</v>
      </c>
      <c r="P267" s="130">
        <v>0</v>
      </c>
      <c r="Q267" s="130">
        <v>0</v>
      </c>
      <c r="R267" s="130">
        <v>0</v>
      </c>
      <c r="S267" s="130">
        <v>0</v>
      </c>
      <c r="T267" s="130">
        <v>0</v>
      </c>
      <c r="U267" s="130">
        <v>0</v>
      </c>
      <c r="V267" s="130">
        <v>0</v>
      </c>
      <c r="W267" s="130">
        <v>0</v>
      </c>
      <c r="X267" s="130">
        <v>0</v>
      </c>
      <c r="Y267" s="131">
        <f t="shared" si="10"/>
        <v>0</v>
      </c>
    </row>
    <row r="268" spans="1:25" x14ac:dyDescent="0.2">
      <c r="A268" s="23" t="s">
        <v>101</v>
      </c>
      <c r="B268">
        <v>7</v>
      </c>
      <c r="C268" s="23" t="s">
        <v>111</v>
      </c>
      <c r="D268">
        <v>708</v>
      </c>
      <c r="E268" s="130">
        <v>0</v>
      </c>
      <c r="F268" s="130">
        <v>0</v>
      </c>
      <c r="G268" s="130">
        <v>0</v>
      </c>
      <c r="H268" s="130">
        <v>0</v>
      </c>
      <c r="I268" s="130">
        <v>0</v>
      </c>
      <c r="J268" s="130">
        <v>0</v>
      </c>
      <c r="K268" s="130">
        <v>0</v>
      </c>
      <c r="L268" s="130">
        <v>0</v>
      </c>
      <c r="M268" s="130">
        <v>0</v>
      </c>
      <c r="N268" s="130">
        <v>0</v>
      </c>
      <c r="O268" s="130">
        <v>0</v>
      </c>
      <c r="P268" s="130">
        <v>0</v>
      </c>
      <c r="Q268" s="130">
        <v>0</v>
      </c>
      <c r="R268" s="130">
        <v>0</v>
      </c>
      <c r="S268" s="130">
        <v>0</v>
      </c>
      <c r="T268" s="130">
        <v>0</v>
      </c>
      <c r="U268" s="130">
        <v>0</v>
      </c>
      <c r="V268" s="130">
        <v>0</v>
      </c>
      <c r="W268" s="130">
        <v>0</v>
      </c>
      <c r="X268" s="130">
        <v>0</v>
      </c>
      <c r="Y268" s="131">
        <f t="shared" si="10"/>
        <v>0</v>
      </c>
    </row>
    <row r="269" spans="1:25" x14ac:dyDescent="0.2">
      <c r="A269" s="23" t="s">
        <v>101</v>
      </c>
      <c r="B269">
        <v>7</v>
      </c>
      <c r="C269" s="23" t="s">
        <v>111</v>
      </c>
      <c r="D269">
        <v>709</v>
      </c>
      <c r="E269" s="130">
        <v>0</v>
      </c>
      <c r="F269" s="130">
        <v>0</v>
      </c>
      <c r="G269" s="130">
        <v>0</v>
      </c>
      <c r="H269" s="130">
        <v>0</v>
      </c>
      <c r="I269" s="130">
        <v>0</v>
      </c>
      <c r="J269" s="130">
        <v>0</v>
      </c>
      <c r="K269" s="130">
        <v>0</v>
      </c>
      <c r="L269" s="130">
        <v>0</v>
      </c>
      <c r="M269" s="130">
        <v>0</v>
      </c>
      <c r="N269" s="130">
        <v>0</v>
      </c>
      <c r="O269" s="130">
        <v>0</v>
      </c>
      <c r="P269" s="130">
        <v>0</v>
      </c>
      <c r="Q269" s="130">
        <v>0</v>
      </c>
      <c r="R269" s="130">
        <v>0</v>
      </c>
      <c r="S269" s="130">
        <v>0</v>
      </c>
      <c r="T269" s="130">
        <v>0</v>
      </c>
      <c r="U269" s="130">
        <v>0</v>
      </c>
      <c r="V269" s="130">
        <v>0</v>
      </c>
      <c r="W269" s="130">
        <v>0</v>
      </c>
      <c r="X269" s="130">
        <v>0</v>
      </c>
      <c r="Y269" s="131">
        <f t="shared" si="10"/>
        <v>0</v>
      </c>
    </row>
    <row r="270" spans="1:25" x14ac:dyDescent="0.2">
      <c r="A270" s="23" t="s">
        <v>101</v>
      </c>
      <c r="B270">
        <v>7</v>
      </c>
      <c r="C270" s="23" t="s">
        <v>111</v>
      </c>
      <c r="D270">
        <v>710</v>
      </c>
      <c r="E270" s="130">
        <v>0</v>
      </c>
      <c r="F270" s="130">
        <v>0</v>
      </c>
      <c r="G270" s="130">
        <v>0</v>
      </c>
      <c r="H270" s="130">
        <v>0</v>
      </c>
      <c r="I270" s="130">
        <v>0</v>
      </c>
      <c r="J270" s="130">
        <v>0</v>
      </c>
      <c r="K270" s="130">
        <v>0</v>
      </c>
      <c r="L270" s="130">
        <v>0</v>
      </c>
      <c r="M270" s="130">
        <v>0</v>
      </c>
      <c r="N270" s="130">
        <v>0</v>
      </c>
      <c r="O270" s="130">
        <v>0</v>
      </c>
      <c r="P270" s="130">
        <v>0</v>
      </c>
      <c r="Q270" s="130">
        <v>0</v>
      </c>
      <c r="R270" s="130">
        <v>0</v>
      </c>
      <c r="S270" s="130">
        <v>0</v>
      </c>
      <c r="T270" s="130">
        <v>0</v>
      </c>
      <c r="U270" s="130">
        <v>0</v>
      </c>
      <c r="V270" s="130">
        <v>0</v>
      </c>
      <c r="W270" s="130">
        <v>0</v>
      </c>
      <c r="X270" s="130">
        <v>0</v>
      </c>
      <c r="Y270" s="131">
        <f t="shared" si="10"/>
        <v>0</v>
      </c>
    </row>
    <row r="271" spans="1:25" x14ac:dyDescent="0.2">
      <c r="A271" s="23" t="s">
        <v>101</v>
      </c>
      <c r="B271">
        <v>7</v>
      </c>
      <c r="C271" s="23" t="s">
        <v>111</v>
      </c>
      <c r="D271">
        <v>711</v>
      </c>
      <c r="E271" s="130">
        <v>0</v>
      </c>
      <c r="F271" s="130">
        <v>0</v>
      </c>
      <c r="G271" s="130">
        <v>0</v>
      </c>
      <c r="H271" s="130">
        <v>0</v>
      </c>
      <c r="I271" s="130">
        <v>0</v>
      </c>
      <c r="J271" s="130">
        <v>0</v>
      </c>
      <c r="K271" s="130">
        <v>0</v>
      </c>
      <c r="L271" s="130">
        <v>0</v>
      </c>
      <c r="M271" s="130">
        <v>0</v>
      </c>
      <c r="N271" s="130">
        <v>0</v>
      </c>
      <c r="O271" s="130">
        <v>0</v>
      </c>
      <c r="P271" s="130">
        <v>0</v>
      </c>
      <c r="Q271" s="130">
        <v>0</v>
      </c>
      <c r="R271" s="130">
        <v>0</v>
      </c>
      <c r="S271" s="130">
        <v>0</v>
      </c>
      <c r="T271" s="130">
        <v>0</v>
      </c>
      <c r="U271" s="130">
        <v>0</v>
      </c>
      <c r="V271" s="130">
        <v>0</v>
      </c>
      <c r="W271" s="130">
        <v>0</v>
      </c>
      <c r="X271" s="130">
        <v>0</v>
      </c>
      <c r="Y271" s="131">
        <f t="shared" si="10"/>
        <v>0</v>
      </c>
    </row>
    <row r="272" spans="1:25" x14ac:dyDescent="0.2">
      <c r="A272" s="23" t="s">
        <v>101</v>
      </c>
      <c r="B272">
        <v>7</v>
      </c>
      <c r="C272" s="23" t="s">
        <v>111</v>
      </c>
      <c r="D272">
        <v>712</v>
      </c>
      <c r="E272" s="130">
        <v>0</v>
      </c>
      <c r="F272" s="130">
        <v>0</v>
      </c>
      <c r="G272" s="130">
        <v>0</v>
      </c>
      <c r="H272" s="130">
        <v>0</v>
      </c>
      <c r="I272" s="130">
        <v>0</v>
      </c>
      <c r="J272" s="130">
        <v>0</v>
      </c>
      <c r="K272" s="130">
        <v>0</v>
      </c>
      <c r="L272" s="130">
        <v>0</v>
      </c>
      <c r="M272" s="130">
        <v>0</v>
      </c>
      <c r="N272" s="130">
        <v>0</v>
      </c>
      <c r="O272" s="130">
        <v>0</v>
      </c>
      <c r="P272" s="130">
        <v>0</v>
      </c>
      <c r="Q272" s="130">
        <v>0</v>
      </c>
      <c r="R272" s="130">
        <v>0</v>
      </c>
      <c r="S272" s="130">
        <v>0</v>
      </c>
      <c r="T272" s="130">
        <v>0</v>
      </c>
      <c r="U272" s="130">
        <v>0</v>
      </c>
      <c r="V272" s="130">
        <v>0</v>
      </c>
      <c r="W272" s="130">
        <v>0</v>
      </c>
      <c r="X272" s="130">
        <v>0</v>
      </c>
      <c r="Y272" s="131">
        <f t="shared" si="10"/>
        <v>0</v>
      </c>
    </row>
    <row r="273" spans="1:25" x14ac:dyDescent="0.2">
      <c r="A273" s="23" t="s">
        <v>101</v>
      </c>
      <c r="B273">
        <v>7</v>
      </c>
      <c r="C273" s="23" t="s">
        <v>111</v>
      </c>
      <c r="D273">
        <v>713</v>
      </c>
      <c r="E273" s="130">
        <v>0</v>
      </c>
      <c r="F273" s="130">
        <v>0</v>
      </c>
      <c r="G273" s="130">
        <v>0</v>
      </c>
      <c r="H273" s="130">
        <v>0</v>
      </c>
      <c r="I273" s="130">
        <v>0</v>
      </c>
      <c r="J273" s="130">
        <v>0</v>
      </c>
      <c r="K273" s="130">
        <v>0</v>
      </c>
      <c r="L273" s="130">
        <v>0</v>
      </c>
      <c r="M273" s="130">
        <v>0</v>
      </c>
      <c r="N273" s="130">
        <v>0</v>
      </c>
      <c r="O273" s="130">
        <v>0</v>
      </c>
      <c r="P273" s="130">
        <v>0</v>
      </c>
      <c r="Q273" s="130">
        <v>0</v>
      </c>
      <c r="R273" s="130">
        <v>0</v>
      </c>
      <c r="S273" s="130">
        <v>0</v>
      </c>
      <c r="T273" s="130">
        <v>0</v>
      </c>
      <c r="U273" s="130">
        <v>0</v>
      </c>
      <c r="V273" s="130">
        <v>0</v>
      </c>
      <c r="W273" s="130">
        <v>0</v>
      </c>
      <c r="X273" s="130">
        <v>0</v>
      </c>
      <c r="Y273" s="131">
        <f t="shared" si="10"/>
        <v>0</v>
      </c>
    </row>
    <row r="274" spans="1:25" x14ac:dyDescent="0.2">
      <c r="A274" s="23" t="s">
        <v>101</v>
      </c>
      <c r="B274">
        <v>7</v>
      </c>
      <c r="C274" s="23" t="s">
        <v>111</v>
      </c>
      <c r="D274">
        <v>714</v>
      </c>
      <c r="E274" s="130">
        <v>0</v>
      </c>
      <c r="F274" s="130">
        <v>0</v>
      </c>
      <c r="G274" s="130">
        <v>0</v>
      </c>
      <c r="H274" s="130">
        <v>0</v>
      </c>
      <c r="I274" s="130">
        <v>0</v>
      </c>
      <c r="J274" s="130">
        <v>0</v>
      </c>
      <c r="K274" s="130">
        <v>0</v>
      </c>
      <c r="L274" s="130">
        <v>0</v>
      </c>
      <c r="M274" s="130">
        <v>0</v>
      </c>
      <c r="N274" s="130">
        <v>0</v>
      </c>
      <c r="O274" s="130">
        <v>0</v>
      </c>
      <c r="P274" s="130">
        <v>0</v>
      </c>
      <c r="Q274" s="130">
        <v>0</v>
      </c>
      <c r="R274" s="130">
        <v>0</v>
      </c>
      <c r="S274" s="130">
        <v>0</v>
      </c>
      <c r="T274" s="130">
        <v>0</v>
      </c>
      <c r="U274" s="130">
        <v>0</v>
      </c>
      <c r="V274" s="130">
        <v>0</v>
      </c>
      <c r="W274" s="130">
        <v>0</v>
      </c>
      <c r="X274" s="130">
        <v>0</v>
      </c>
      <c r="Y274" s="131">
        <f t="shared" si="10"/>
        <v>0</v>
      </c>
    </row>
    <row r="275" spans="1:25" x14ac:dyDescent="0.2">
      <c r="A275" s="23" t="s">
        <v>101</v>
      </c>
      <c r="B275">
        <v>7</v>
      </c>
      <c r="C275" s="23" t="s">
        <v>111</v>
      </c>
      <c r="D275">
        <v>715</v>
      </c>
      <c r="E275" s="130">
        <v>0</v>
      </c>
      <c r="F275" s="130">
        <v>0</v>
      </c>
      <c r="G275" s="130">
        <v>0</v>
      </c>
      <c r="H275" s="130">
        <v>0</v>
      </c>
      <c r="I275" s="130">
        <v>0</v>
      </c>
      <c r="J275" s="130">
        <v>0</v>
      </c>
      <c r="K275" s="130">
        <v>0</v>
      </c>
      <c r="L275" s="130">
        <v>0</v>
      </c>
      <c r="M275" s="130">
        <v>0</v>
      </c>
      <c r="N275" s="130">
        <v>0</v>
      </c>
      <c r="O275" s="130">
        <v>0</v>
      </c>
      <c r="P275" s="130">
        <v>0</v>
      </c>
      <c r="Q275" s="130">
        <v>0</v>
      </c>
      <c r="R275" s="130">
        <v>0</v>
      </c>
      <c r="S275" s="130">
        <v>0</v>
      </c>
      <c r="T275" s="130">
        <v>0</v>
      </c>
      <c r="U275" s="130">
        <v>0</v>
      </c>
      <c r="V275" s="130">
        <v>0</v>
      </c>
      <c r="W275" s="130">
        <v>0</v>
      </c>
      <c r="X275" s="130">
        <v>0</v>
      </c>
      <c r="Y275" s="131">
        <f t="shared" si="10"/>
        <v>0</v>
      </c>
    </row>
    <row r="276" spans="1:25" x14ac:dyDescent="0.2">
      <c r="A276" s="23" t="s">
        <v>101</v>
      </c>
      <c r="B276">
        <v>7</v>
      </c>
      <c r="C276" s="23" t="s">
        <v>111</v>
      </c>
      <c r="D276">
        <v>716</v>
      </c>
      <c r="E276" s="130">
        <v>0</v>
      </c>
      <c r="F276" s="130">
        <v>0</v>
      </c>
      <c r="G276" s="130">
        <v>0</v>
      </c>
      <c r="H276" s="130">
        <v>0</v>
      </c>
      <c r="I276" s="130">
        <v>0</v>
      </c>
      <c r="J276" s="130">
        <v>0</v>
      </c>
      <c r="K276" s="130">
        <v>0</v>
      </c>
      <c r="L276" s="130">
        <v>0</v>
      </c>
      <c r="M276" s="130">
        <v>0</v>
      </c>
      <c r="N276" s="130">
        <v>0</v>
      </c>
      <c r="O276" s="130">
        <v>0</v>
      </c>
      <c r="P276" s="130">
        <v>0</v>
      </c>
      <c r="Q276" s="130">
        <v>0</v>
      </c>
      <c r="R276" s="130">
        <v>0</v>
      </c>
      <c r="S276" s="130">
        <v>0</v>
      </c>
      <c r="T276" s="130">
        <v>0</v>
      </c>
      <c r="U276" s="130">
        <v>0</v>
      </c>
      <c r="V276" s="130">
        <v>0</v>
      </c>
      <c r="W276" s="130">
        <v>0</v>
      </c>
      <c r="X276" s="130">
        <v>0</v>
      </c>
      <c r="Y276" s="131">
        <f t="shared" si="10"/>
        <v>0</v>
      </c>
    </row>
    <row r="277" spans="1:25" x14ac:dyDescent="0.2">
      <c r="A277" s="23" t="s">
        <v>101</v>
      </c>
      <c r="B277">
        <v>7</v>
      </c>
      <c r="C277" s="23" t="s">
        <v>111</v>
      </c>
      <c r="D277">
        <v>717</v>
      </c>
      <c r="E277" s="130">
        <v>0</v>
      </c>
      <c r="F277" s="130">
        <v>0</v>
      </c>
      <c r="G277" s="130">
        <v>0</v>
      </c>
      <c r="H277" s="130">
        <v>0</v>
      </c>
      <c r="I277" s="130">
        <v>0</v>
      </c>
      <c r="J277" s="130">
        <v>0</v>
      </c>
      <c r="K277" s="130">
        <v>0</v>
      </c>
      <c r="L277" s="130">
        <v>0</v>
      </c>
      <c r="M277" s="130">
        <v>0</v>
      </c>
      <c r="N277" s="130">
        <v>0</v>
      </c>
      <c r="O277" s="130">
        <v>0</v>
      </c>
      <c r="P277" s="130">
        <v>0</v>
      </c>
      <c r="Q277" s="130">
        <v>0</v>
      </c>
      <c r="R277" s="130">
        <v>0</v>
      </c>
      <c r="S277" s="130">
        <v>0</v>
      </c>
      <c r="T277" s="130">
        <v>0</v>
      </c>
      <c r="U277" s="130">
        <v>0</v>
      </c>
      <c r="V277" s="130">
        <v>0</v>
      </c>
      <c r="W277" s="130">
        <v>0</v>
      </c>
      <c r="X277" s="130">
        <v>0</v>
      </c>
      <c r="Y277" s="131">
        <f t="shared" si="10"/>
        <v>0</v>
      </c>
    </row>
    <row r="278" spans="1:25" x14ac:dyDescent="0.2">
      <c r="A278" s="23" t="s">
        <v>101</v>
      </c>
      <c r="B278">
        <v>7</v>
      </c>
      <c r="C278" s="23" t="s">
        <v>111</v>
      </c>
      <c r="D278">
        <v>718</v>
      </c>
      <c r="E278" s="130">
        <v>0</v>
      </c>
      <c r="F278" s="130">
        <v>0</v>
      </c>
      <c r="G278" s="130">
        <v>0</v>
      </c>
      <c r="H278" s="130">
        <v>0</v>
      </c>
      <c r="I278" s="130">
        <v>0</v>
      </c>
      <c r="J278" s="130">
        <v>0</v>
      </c>
      <c r="K278" s="130">
        <v>0</v>
      </c>
      <c r="L278" s="130">
        <v>0</v>
      </c>
      <c r="M278" s="130">
        <v>0</v>
      </c>
      <c r="N278" s="130">
        <v>0</v>
      </c>
      <c r="O278" s="130">
        <v>0</v>
      </c>
      <c r="P278" s="130">
        <v>0</v>
      </c>
      <c r="Q278" s="130">
        <v>0</v>
      </c>
      <c r="R278" s="130">
        <v>0</v>
      </c>
      <c r="S278" s="130">
        <v>0</v>
      </c>
      <c r="T278" s="130">
        <v>0</v>
      </c>
      <c r="U278" s="130">
        <v>0</v>
      </c>
      <c r="V278" s="130">
        <v>0</v>
      </c>
      <c r="W278" s="130">
        <v>0</v>
      </c>
      <c r="X278" s="130">
        <v>0</v>
      </c>
      <c r="Y278" s="131">
        <f t="shared" si="10"/>
        <v>0</v>
      </c>
    </row>
    <row r="279" spans="1:25" x14ac:dyDescent="0.2">
      <c r="A279" s="23" t="s">
        <v>101</v>
      </c>
      <c r="B279">
        <v>7</v>
      </c>
      <c r="C279" s="23" t="s">
        <v>111</v>
      </c>
      <c r="D279">
        <v>719</v>
      </c>
      <c r="E279" s="130">
        <v>0</v>
      </c>
      <c r="F279" s="130">
        <v>0</v>
      </c>
      <c r="G279" s="130">
        <v>0</v>
      </c>
      <c r="H279" s="130">
        <v>0</v>
      </c>
      <c r="I279" s="130">
        <v>0</v>
      </c>
      <c r="J279" s="130">
        <v>0</v>
      </c>
      <c r="K279" s="130">
        <v>0</v>
      </c>
      <c r="L279" s="130">
        <v>0</v>
      </c>
      <c r="M279" s="130">
        <v>0</v>
      </c>
      <c r="N279" s="130">
        <v>0</v>
      </c>
      <c r="O279" s="130">
        <v>0</v>
      </c>
      <c r="P279" s="130">
        <v>0</v>
      </c>
      <c r="Q279" s="130">
        <v>0</v>
      </c>
      <c r="R279" s="130">
        <v>0</v>
      </c>
      <c r="S279" s="130">
        <v>0</v>
      </c>
      <c r="T279" s="130">
        <v>0</v>
      </c>
      <c r="U279" s="130">
        <v>0</v>
      </c>
      <c r="V279" s="130">
        <v>0</v>
      </c>
      <c r="W279" s="130">
        <v>0</v>
      </c>
      <c r="X279" s="130">
        <v>0</v>
      </c>
      <c r="Y279" s="131">
        <f t="shared" si="10"/>
        <v>0</v>
      </c>
    </row>
    <row r="280" spans="1:25" x14ac:dyDescent="0.2">
      <c r="A280" s="23" t="s">
        <v>101</v>
      </c>
      <c r="B280">
        <v>7</v>
      </c>
      <c r="C280" s="23" t="s">
        <v>111</v>
      </c>
      <c r="D280">
        <v>720</v>
      </c>
      <c r="E280" s="130">
        <v>0</v>
      </c>
      <c r="F280" s="130">
        <v>0</v>
      </c>
      <c r="G280" s="130">
        <v>0</v>
      </c>
      <c r="H280" s="130">
        <v>0</v>
      </c>
      <c r="I280" s="130">
        <v>0</v>
      </c>
      <c r="J280" s="130">
        <v>0</v>
      </c>
      <c r="K280" s="130">
        <v>0</v>
      </c>
      <c r="L280" s="130">
        <v>0</v>
      </c>
      <c r="M280" s="130">
        <v>0</v>
      </c>
      <c r="N280" s="130">
        <v>0</v>
      </c>
      <c r="O280" s="130">
        <v>0</v>
      </c>
      <c r="P280" s="130">
        <v>0</v>
      </c>
      <c r="Q280" s="130">
        <v>0</v>
      </c>
      <c r="R280" s="130">
        <v>0</v>
      </c>
      <c r="S280" s="130">
        <v>0</v>
      </c>
      <c r="T280" s="130">
        <v>0</v>
      </c>
      <c r="U280" s="130">
        <v>0</v>
      </c>
      <c r="V280" s="130">
        <v>0</v>
      </c>
      <c r="W280" s="130">
        <v>0</v>
      </c>
      <c r="X280" s="130">
        <v>0</v>
      </c>
      <c r="Y280" s="131">
        <f t="shared" si="10"/>
        <v>0</v>
      </c>
    </row>
    <row r="281" spans="1:25" x14ac:dyDescent="0.2">
      <c r="A281" s="23" t="s">
        <v>101</v>
      </c>
      <c r="B281">
        <v>7</v>
      </c>
      <c r="C281" s="23" t="s">
        <v>111</v>
      </c>
      <c r="D281">
        <v>721</v>
      </c>
      <c r="E281" s="130">
        <v>0</v>
      </c>
      <c r="F281" s="130">
        <v>0</v>
      </c>
      <c r="G281" s="130">
        <v>0</v>
      </c>
      <c r="H281" s="130">
        <v>0</v>
      </c>
      <c r="I281" s="130">
        <v>0</v>
      </c>
      <c r="J281" s="130">
        <v>0</v>
      </c>
      <c r="K281" s="130">
        <v>0</v>
      </c>
      <c r="L281" s="130">
        <v>0</v>
      </c>
      <c r="M281" s="130">
        <v>0</v>
      </c>
      <c r="N281" s="130">
        <v>0</v>
      </c>
      <c r="O281" s="130">
        <v>0</v>
      </c>
      <c r="P281" s="130">
        <v>0</v>
      </c>
      <c r="Q281" s="130">
        <v>0</v>
      </c>
      <c r="R281" s="130">
        <v>0</v>
      </c>
      <c r="S281" s="130">
        <v>0</v>
      </c>
      <c r="T281" s="130">
        <v>0</v>
      </c>
      <c r="U281" s="130">
        <v>0</v>
      </c>
      <c r="V281" s="130">
        <v>0</v>
      </c>
      <c r="W281" s="130">
        <v>0</v>
      </c>
      <c r="X281" s="130">
        <v>0</v>
      </c>
      <c r="Y281" s="131">
        <f t="shared" si="10"/>
        <v>0</v>
      </c>
    </row>
    <row r="282" spans="1:25" x14ac:dyDescent="0.2">
      <c r="A282" s="23"/>
      <c r="C282" s="23"/>
      <c r="E282" s="130">
        <f t="shared" ref="E282:X282" si="11">AVERAGE(E238:E281)</f>
        <v>0</v>
      </c>
      <c r="F282" s="130">
        <f t="shared" si="11"/>
        <v>0</v>
      </c>
      <c r="G282" s="130">
        <f t="shared" si="11"/>
        <v>0</v>
      </c>
      <c r="H282" s="130">
        <f t="shared" si="11"/>
        <v>0</v>
      </c>
      <c r="I282" s="130">
        <f t="shared" si="11"/>
        <v>0</v>
      </c>
      <c r="J282" s="130">
        <f t="shared" si="11"/>
        <v>0</v>
      </c>
      <c r="K282" s="130">
        <f t="shared" si="11"/>
        <v>0</v>
      </c>
      <c r="L282" s="130">
        <f t="shared" si="11"/>
        <v>0</v>
      </c>
      <c r="M282" s="130">
        <f t="shared" si="11"/>
        <v>0</v>
      </c>
      <c r="N282" s="130">
        <f t="shared" si="11"/>
        <v>0</v>
      </c>
      <c r="O282" s="130">
        <f t="shared" si="11"/>
        <v>0</v>
      </c>
      <c r="P282" s="130">
        <f t="shared" si="11"/>
        <v>0</v>
      </c>
      <c r="Q282" s="130">
        <f t="shared" si="11"/>
        <v>0</v>
      </c>
      <c r="R282" s="130">
        <f t="shared" si="11"/>
        <v>0</v>
      </c>
      <c r="S282" s="130">
        <f t="shared" si="11"/>
        <v>0</v>
      </c>
      <c r="T282" s="130">
        <f t="shared" si="11"/>
        <v>0</v>
      </c>
      <c r="U282" s="130">
        <f t="shared" si="11"/>
        <v>0</v>
      </c>
      <c r="V282" s="130">
        <f t="shared" si="11"/>
        <v>0</v>
      </c>
      <c r="W282" s="130">
        <f t="shared" si="11"/>
        <v>0</v>
      </c>
      <c r="X282" s="130">
        <f t="shared" si="11"/>
        <v>0</v>
      </c>
      <c r="Y282" s="131">
        <f t="shared" si="10"/>
        <v>0</v>
      </c>
    </row>
    <row r="283" spans="1:25" x14ac:dyDescent="0.2">
      <c r="A283" s="23" t="s">
        <v>101</v>
      </c>
      <c r="B283">
        <v>8</v>
      </c>
      <c r="C283" s="23" t="s">
        <v>112</v>
      </c>
      <c r="D283">
        <v>801</v>
      </c>
      <c r="E283" s="130">
        <v>0</v>
      </c>
      <c r="F283" s="130">
        <v>0</v>
      </c>
      <c r="G283" s="130">
        <v>0</v>
      </c>
      <c r="H283" s="130">
        <v>0</v>
      </c>
      <c r="I283" s="130">
        <v>0</v>
      </c>
      <c r="J283" s="130">
        <v>0</v>
      </c>
      <c r="K283" s="130">
        <v>0</v>
      </c>
      <c r="L283" s="130">
        <v>0</v>
      </c>
      <c r="M283" s="130">
        <v>0</v>
      </c>
      <c r="N283" s="130">
        <v>0</v>
      </c>
      <c r="O283" s="130">
        <v>0</v>
      </c>
      <c r="P283" s="130">
        <v>0</v>
      </c>
      <c r="Q283" s="130">
        <v>0</v>
      </c>
      <c r="R283" s="130">
        <v>0</v>
      </c>
      <c r="S283" s="130">
        <v>0</v>
      </c>
      <c r="T283" s="130">
        <v>0</v>
      </c>
      <c r="U283" s="130">
        <v>0</v>
      </c>
      <c r="V283" s="130">
        <v>0</v>
      </c>
      <c r="W283" s="130">
        <v>0</v>
      </c>
      <c r="X283" s="130">
        <v>0</v>
      </c>
      <c r="Y283" s="131">
        <f t="shared" si="10"/>
        <v>0</v>
      </c>
    </row>
    <row r="284" spans="1:25" x14ac:dyDescent="0.2">
      <c r="A284" s="23" t="s">
        <v>101</v>
      </c>
      <c r="B284">
        <v>8</v>
      </c>
      <c r="C284" s="23" t="s">
        <v>112</v>
      </c>
      <c r="D284">
        <v>802</v>
      </c>
      <c r="E284" s="130">
        <v>0</v>
      </c>
      <c r="F284" s="130">
        <v>0</v>
      </c>
      <c r="G284" s="130">
        <v>0</v>
      </c>
      <c r="H284" s="130">
        <v>0</v>
      </c>
      <c r="I284" s="130">
        <v>0</v>
      </c>
      <c r="J284" s="130">
        <v>0</v>
      </c>
      <c r="K284" s="130">
        <v>0</v>
      </c>
      <c r="L284" s="130">
        <v>0</v>
      </c>
      <c r="M284" s="130">
        <v>0</v>
      </c>
      <c r="N284" s="130">
        <v>0</v>
      </c>
      <c r="O284" s="130">
        <v>0</v>
      </c>
      <c r="P284" s="130">
        <v>0</v>
      </c>
      <c r="Q284" s="130">
        <v>0</v>
      </c>
      <c r="R284" s="130">
        <v>0</v>
      </c>
      <c r="S284" s="130">
        <v>0</v>
      </c>
      <c r="T284" s="130">
        <v>0</v>
      </c>
      <c r="U284" s="130">
        <v>0</v>
      </c>
      <c r="V284" s="130">
        <v>0</v>
      </c>
      <c r="W284" s="130">
        <v>0</v>
      </c>
      <c r="X284" s="130">
        <v>0</v>
      </c>
      <c r="Y284" s="131">
        <f t="shared" si="10"/>
        <v>0</v>
      </c>
    </row>
    <row r="285" spans="1:25" x14ac:dyDescent="0.2">
      <c r="A285" s="23" t="s">
        <v>101</v>
      </c>
      <c r="B285">
        <v>8</v>
      </c>
      <c r="C285" s="23" t="s">
        <v>112</v>
      </c>
      <c r="D285">
        <v>803</v>
      </c>
      <c r="E285" s="130">
        <v>0</v>
      </c>
      <c r="F285" s="130">
        <v>0</v>
      </c>
      <c r="G285" s="130">
        <v>0</v>
      </c>
      <c r="H285" s="130">
        <v>0</v>
      </c>
      <c r="I285" s="130">
        <v>0</v>
      </c>
      <c r="J285" s="130">
        <v>0</v>
      </c>
      <c r="K285" s="130">
        <v>0</v>
      </c>
      <c r="L285" s="130">
        <v>0</v>
      </c>
      <c r="M285" s="130">
        <v>0</v>
      </c>
      <c r="N285" s="130">
        <v>0</v>
      </c>
      <c r="O285" s="130">
        <v>0</v>
      </c>
      <c r="P285" s="130">
        <v>0</v>
      </c>
      <c r="Q285" s="130">
        <v>0</v>
      </c>
      <c r="R285" s="130">
        <v>0</v>
      </c>
      <c r="S285" s="130">
        <v>0</v>
      </c>
      <c r="T285" s="130">
        <v>0</v>
      </c>
      <c r="U285" s="130">
        <v>0</v>
      </c>
      <c r="V285" s="130">
        <v>0</v>
      </c>
      <c r="W285" s="130">
        <v>0</v>
      </c>
      <c r="X285" s="130">
        <v>0</v>
      </c>
      <c r="Y285" s="131">
        <f t="shared" si="10"/>
        <v>0</v>
      </c>
    </row>
    <row r="286" spans="1:25" x14ac:dyDescent="0.2">
      <c r="A286" s="23" t="s">
        <v>101</v>
      </c>
      <c r="B286">
        <v>8</v>
      </c>
      <c r="C286" s="23" t="s">
        <v>112</v>
      </c>
      <c r="D286">
        <v>804</v>
      </c>
      <c r="E286" s="130">
        <v>0</v>
      </c>
      <c r="F286" s="130">
        <v>0</v>
      </c>
      <c r="G286" s="130">
        <v>0</v>
      </c>
      <c r="H286" s="130">
        <v>0</v>
      </c>
      <c r="I286" s="130">
        <v>0</v>
      </c>
      <c r="J286" s="130">
        <v>0</v>
      </c>
      <c r="K286" s="130">
        <v>0</v>
      </c>
      <c r="L286" s="130">
        <v>0</v>
      </c>
      <c r="M286" s="130">
        <v>0</v>
      </c>
      <c r="N286" s="130">
        <v>0</v>
      </c>
      <c r="O286" s="130">
        <v>0</v>
      </c>
      <c r="P286" s="130">
        <v>0</v>
      </c>
      <c r="Q286" s="130">
        <v>0</v>
      </c>
      <c r="R286" s="130">
        <v>0</v>
      </c>
      <c r="S286" s="130">
        <v>0</v>
      </c>
      <c r="T286" s="130">
        <v>0</v>
      </c>
      <c r="U286" s="130">
        <v>0</v>
      </c>
      <c r="V286" s="130">
        <v>0</v>
      </c>
      <c r="W286" s="130">
        <v>0</v>
      </c>
      <c r="X286" s="130">
        <v>0</v>
      </c>
      <c r="Y286" s="131">
        <f t="shared" si="10"/>
        <v>0</v>
      </c>
    </row>
    <row r="287" spans="1:25" x14ac:dyDescent="0.2">
      <c r="A287" s="23" t="s">
        <v>101</v>
      </c>
      <c r="B287">
        <v>8</v>
      </c>
      <c r="C287" s="23" t="s">
        <v>112</v>
      </c>
      <c r="D287">
        <v>805</v>
      </c>
      <c r="E287" s="130">
        <v>0</v>
      </c>
      <c r="F287" s="130">
        <v>0</v>
      </c>
      <c r="G287" s="130">
        <v>0</v>
      </c>
      <c r="H287" s="130">
        <v>0</v>
      </c>
      <c r="I287" s="130">
        <v>0</v>
      </c>
      <c r="J287" s="130">
        <v>0</v>
      </c>
      <c r="K287" s="130">
        <v>0</v>
      </c>
      <c r="L287" s="130">
        <v>0</v>
      </c>
      <c r="M287" s="130">
        <v>0</v>
      </c>
      <c r="N287" s="130">
        <v>0</v>
      </c>
      <c r="O287" s="130">
        <v>0</v>
      </c>
      <c r="P287" s="130">
        <v>0</v>
      </c>
      <c r="Q287" s="130">
        <v>0</v>
      </c>
      <c r="R287" s="130">
        <v>0</v>
      </c>
      <c r="S287" s="130">
        <v>0</v>
      </c>
      <c r="T287" s="130">
        <v>0</v>
      </c>
      <c r="U287" s="130">
        <v>0</v>
      </c>
      <c r="V287" s="130">
        <v>0</v>
      </c>
      <c r="W287" s="130">
        <v>0</v>
      </c>
      <c r="X287" s="130">
        <v>0</v>
      </c>
      <c r="Y287" s="131">
        <f t="shared" si="10"/>
        <v>0</v>
      </c>
    </row>
    <row r="288" spans="1:25" x14ac:dyDescent="0.2">
      <c r="A288" s="23" t="s">
        <v>101</v>
      </c>
      <c r="B288">
        <v>8</v>
      </c>
      <c r="C288" s="23" t="s">
        <v>112</v>
      </c>
      <c r="D288">
        <v>806</v>
      </c>
      <c r="E288" s="130">
        <v>0</v>
      </c>
      <c r="F288" s="130">
        <v>0</v>
      </c>
      <c r="G288" s="130">
        <v>0</v>
      </c>
      <c r="H288" s="130">
        <v>0</v>
      </c>
      <c r="I288" s="130">
        <v>0</v>
      </c>
      <c r="J288" s="130">
        <v>0</v>
      </c>
      <c r="K288" s="130">
        <v>0</v>
      </c>
      <c r="L288" s="130">
        <v>0</v>
      </c>
      <c r="M288" s="130">
        <v>0</v>
      </c>
      <c r="N288" s="130">
        <v>0</v>
      </c>
      <c r="O288" s="130">
        <v>0</v>
      </c>
      <c r="P288" s="130">
        <v>0</v>
      </c>
      <c r="Q288" s="130">
        <v>0</v>
      </c>
      <c r="R288" s="130">
        <v>0</v>
      </c>
      <c r="S288" s="130">
        <v>0</v>
      </c>
      <c r="T288" s="130">
        <v>0</v>
      </c>
      <c r="U288" s="130">
        <v>0</v>
      </c>
      <c r="V288" s="130">
        <v>0</v>
      </c>
      <c r="W288" s="130">
        <v>0</v>
      </c>
      <c r="X288" s="130">
        <v>0</v>
      </c>
      <c r="Y288" s="131">
        <f t="shared" si="10"/>
        <v>0</v>
      </c>
    </row>
    <row r="289" spans="1:25" x14ac:dyDescent="0.2">
      <c r="A289" s="23" t="s">
        <v>101</v>
      </c>
      <c r="B289">
        <v>8</v>
      </c>
      <c r="C289" s="23" t="s">
        <v>112</v>
      </c>
      <c r="D289">
        <v>807</v>
      </c>
      <c r="E289" s="130">
        <v>0</v>
      </c>
      <c r="F289" s="130">
        <v>0</v>
      </c>
      <c r="G289" s="130">
        <v>0</v>
      </c>
      <c r="H289" s="130">
        <v>0</v>
      </c>
      <c r="I289" s="130">
        <v>0</v>
      </c>
      <c r="J289" s="130">
        <v>0</v>
      </c>
      <c r="K289" s="130">
        <v>0</v>
      </c>
      <c r="L289" s="130">
        <v>0</v>
      </c>
      <c r="M289" s="130">
        <v>0</v>
      </c>
      <c r="N289" s="130">
        <v>0</v>
      </c>
      <c r="O289" s="130">
        <v>0</v>
      </c>
      <c r="P289" s="130">
        <v>0</v>
      </c>
      <c r="Q289" s="130">
        <v>0</v>
      </c>
      <c r="R289" s="130">
        <v>0</v>
      </c>
      <c r="S289" s="130">
        <v>0</v>
      </c>
      <c r="T289" s="130">
        <v>0</v>
      </c>
      <c r="U289" s="130">
        <v>0</v>
      </c>
      <c r="V289" s="130">
        <v>0</v>
      </c>
      <c r="W289" s="130">
        <v>0</v>
      </c>
      <c r="X289" s="130">
        <v>0</v>
      </c>
      <c r="Y289" s="131">
        <f t="shared" si="10"/>
        <v>0</v>
      </c>
    </row>
    <row r="290" spans="1:25" x14ac:dyDescent="0.2">
      <c r="A290" s="23" t="s">
        <v>101</v>
      </c>
      <c r="B290">
        <v>8</v>
      </c>
      <c r="C290" s="23" t="s">
        <v>112</v>
      </c>
      <c r="D290">
        <v>808</v>
      </c>
      <c r="E290" s="130">
        <v>0</v>
      </c>
      <c r="F290" s="130">
        <v>0</v>
      </c>
      <c r="G290" s="130">
        <v>0</v>
      </c>
      <c r="H290" s="130">
        <v>0</v>
      </c>
      <c r="I290" s="130">
        <v>0</v>
      </c>
      <c r="J290" s="130">
        <v>0</v>
      </c>
      <c r="K290" s="130">
        <v>0</v>
      </c>
      <c r="L290" s="130">
        <v>0</v>
      </c>
      <c r="M290" s="130">
        <v>0</v>
      </c>
      <c r="N290" s="130">
        <v>0</v>
      </c>
      <c r="O290" s="130">
        <v>0</v>
      </c>
      <c r="P290" s="130">
        <v>0</v>
      </c>
      <c r="Q290" s="130">
        <v>0</v>
      </c>
      <c r="R290" s="130">
        <v>0</v>
      </c>
      <c r="S290" s="130">
        <v>0</v>
      </c>
      <c r="T290" s="130">
        <v>0</v>
      </c>
      <c r="U290" s="130">
        <v>0</v>
      </c>
      <c r="V290" s="130">
        <v>0</v>
      </c>
      <c r="W290" s="130">
        <v>0</v>
      </c>
      <c r="X290" s="130">
        <v>0</v>
      </c>
      <c r="Y290" s="131">
        <f t="shared" si="10"/>
        <v>0</v>
      </c>
    </row>
    <row r="291" spans="1:25" x14ac:dyDescent="0.2">
      <c r="A291" s="23" t="s">
        <v>101</v>
      </c>
      <c r="B291">
        <v>8</v>
      </c>
      <c r="C291" s="23" t="s">
        <v>112</v>
      </c>
      <c r="D291">
        <v>809</v>
      </c>
      <c r="E291" s="130">
        <v>0</v>
      </c>
      <c r="F291" s="130">
        <v>0</v>
      </c>
      <c r="G291" s="130">
        <v>0</v>
      </c>
      <c r="H291" s="130">
        <v>0</v>
      </c>
      <c r="I291" s="130">
        <v>0</v>
      </c>
      <c r="J291" s="130">
        <v>0</v>
      </c>
      <c r="K291" s="130">
        <v>0</v>
      </c>
      <c r="L291" s="130">
        <v>0</v>
      </c>
      <c r="M291" s="130">
        <v>0</v>
      </c>
      <c r="N291" s="130">
        <v>0</v>
      </c>
      <c r="O291" s="130">
        <v>0</v>
      </c>
      <c r="P291" s="130">
        <v>0</v>
      </c>
      <c r="Q291" s="130">
        <v>0</v>
      </c>
      <c r="R291" s="130">
        <v>0</v>
      </c>
      <c r="S291" s="130">
        <v>0</v>
      </c>
      <c r="T291" s="130">
        <v>0</v>
      </c>
      <c r="U291" s="130">
        <v>0</v>
      </c>
      <c r="V291" s="130">
        <v>0</v>
      </c>
      <c r="W291" s="130">
        <v>0</v>
      </c>
      <c r="X291" s="130">
        <v>0</v>
      </c>
      <c r="Y291" s="131">
        <f t="shared" si="10"/>
        <v>0</v>
      </c>
    </row>
    <row r="292" spans="1:25" x14ac:dyDescent="0.2">
      <c r="A292" s="23" t="s">
        <v>101</v>
      </c>
      <c r="B292">
        <v>8</v>
      </c>
      <c r="C292" s="23" t="s">
        <v>112</v>
      </c>
      <c r="D292">
        <v>810</v>
      </c>
      <c r="E292" s="130">
        <v>0</v>
      </c>
      <c r="F292" s="130">
        <v>0</v>
      </c>
      <c r="G292" s="130">
        <v>0</v>
      </c>
      <c r="H292" s="130">
        <v>0</v>
      </c>
      <c r="I292" s="130">
        <v>0</v>
      </c>
      <c r="J292" s="130">
        <v>0</v>
      </c>
      <c r="K292" s="130">
        <v>0</v>
      </c>
      <c r="L292" s="130">
        <v>0</v>
      </c>
      <c r="M292" s="130">
        <v>0</v>
      </c>
      <c r="N292" s="130">
        <v>0</v>
      </c>
      <c r="O292" s="130">
        <v>0</v>
      </c>
      <c r="P292" s="130">
        <v>0</v>
      </c>
      <c r="Q292" s="130">
        <v>0</v>
      </c>
      <c r="R292" s="130">
        <v>0</v>
      </c>
      <c r="S292" s="130">
        <v>0</v>
      </c>
      <c r="T292" s="130">
        <v>0</v>
      </c>
      <c r="U292" s="130">
        <v>0</v>
      </c>
      <c r="V292" s="130">
        <v>0</v>
      </c>
      <c r="W292" s="130">
        <v>0</v>
      </c>
      <c r="X292" s="130">
        <v>0</v>
      </c>
      <c r="Y292" s="131">
        <f t="shared" si="10"/>
        <v>0</v>
      </c>
    </row>
    <row r="293" spans="1:25" x14ac:dyDescent="0.2">
      <c r="A293" s="23" t="s">
        <v>101</v>
      </c>
      <c r="B293">
        <v>8</v>
      </c>
      <c r="C293" s="23" t="s">
        <v>112</v>
      </c>
      <c r="D293">
        <v>811</v>
      </c>
      <c r="E293" s="130">
        <v>0</v>
      </c>
      <c r="F293" s="130">
        <v>0</v>
      </c>
      <c r="G293" s="130">
        <v>0</v>
      </c>
      <c r="H293" s="130">
        <v>0</v>
      </c>
      <c r="I293" s="130">
        <v>0</v>
      </c>
      <c r="J293" s="130">
        <v>0</v>
      </c>
      <c r="K293" s="130">
        <v>0</v>
      </c>
      <c r="L293" s="130">
        <v>0</v>
      </c>
      <c r="M293" s="130">
        <v>0</v>
      </c>
      <c r="N293" s="130">
        <v>0</v>
      </c>
      <c r="O293" s="130">
        <v>0</v>
      </c>
      <c r="P293" s="130">
        <v>0</v>
      </c>
      <c r="Q293" s="130">
        <v>0</v>
      </c>
      <c r="R293" s="130">
        <v>0</v>
      </c>
      <c r="S293" s="130">
        <v>0</v>
      </c>
      <c r="T293" s="130">
        <v>0</v>
      </c>
      <c r="U293" s="130">
        <v>0</v>
      </c>
      <c r="V293" s="130">
        <v>0</v>
      </c>
      <c r="W293" s="130">
        <v>0</v>
      </c>
      <c r="X293" s="130">
        <v>0</v>
      </c>
      <c r="Y293" s="131">
        <f t="shared" si="10"/>
        <v>0</v>
      </c>
    </row>
    <row r="294" spans="1:25" x14ac:dyDescent="0.2">
      <c r="A294" s="23" t="s">
        <v>101</v>
      </c>
      <c r="B294">
        <v>8</v>
      </c>
      <c r="C294" s="23" t="s">
        <v>112</v>
      </c>
      <c r="D294">
        <v>812</v>
      </c>
      <c r="E294" s="130">
        <v>0</v>
      </c>
      <c r="F294" s="130">
        <v>0</v>
      </c>
      <c r="G294" s="130">
        <v>0</v>
      </c>
      <c r="H294" s="130">
        <v>0</v>
      </c>
      <c r="I294" s="130">
        <v>0</v>
      </c>
      <c r="J294" s="130">
        <v>0</v>
      </c>
      <c r="K294" s="130">
        <v>0</v>
      </c>
      <c r="L294" s="130">
        <v>0</v>
      </c>
      <c r="M294" s="130">
        <v>0</v>
      </c>
      <c r="N294" s="130">
        <v>0</v>
      </c>
      <c r="O294" s="130">
        <v>0</v>
      </c>
      <c r="P294" s="130">
        <v>0</v>
      </c>
      <c r="Q294" s="130">
        <v>0</v>
      </c>
      <c r="R294" s="130">
        <v>0</v>
      </c>
      <c r="S294" s="130">
        <v>0</v>
      </c>
      <c r="T294" s="130">
        <v>0</v>
      </c>
      <c r="U294" s="130">
        <v>0</v>
      </c>
      <c r="V294" s="130">
        <v>0</v>
      </c>
      <c r="W294" s="130">
        <v>0</v>
      </c>
      <c r="X294" s="130">
        <v>0</v>
      </c>
      <c r="Y294" s="131">
        <f t="shared" si="10"/>
        <v>0</v>
      </c>
    </row>
    <row r="295" spans="1:25" x14ac:dyDescent="0.2">
      <c r="A295" s="23" t="s">
        <v>101</v>
      </c>
      <c r="B295">
        <v>8</v>
      </c>
      <c r="C295" s="23" t="s">
        <v>112</v>
      </c>
      <c r="D295">
        <v>813</v>
      </c>
      <c r="E295" s="130">
        <v>0</v>
      </c>
      <c r="F295" s="130">
        <v>0</v>
      </c>
      <c r="G295" s="130">
        <v>0</v>
      </c>
      <c r="H295" s="130">
        <v>0</v>
      </c>
      <c r="I295" s="130">
        <v>0</v>
      </c>
      <c r="J295" s="130">
        <v>0</v>
      </c>
      <c r="K295" s="130">
        <v>0</v>
      </c>
      <c r="L295" s="130">
        <v>0</v>
      </c>
      <c r="M295" s="130">
        <v>0</v>
      </c>
      <c r="N295" s="130">
        <v>0</v>
      </c>
      <c r="O295" s="130">
        <v>0</v>
      </c>
      <c r="P295" s="130">
        <v>0</v>
      </c>
      <c r="Q295" s="130">
        <v>0</v>
      </c>
      <c r="R295" s="130">
        <v>0</v>
      </c>
      <c r="S295" s="130">
        <v>0</v>
      </c>
      <c r="T295" s="130">
        <v>0</v>
      </c>
      <c r="U295" s="130">
        <v>0</v>
      </c>
      <c r="V295" s="130">
        <v>0</v>
      </c>
      <c r="W295" s="130">
        <v>0</v>
      </c>
      <c r="X295" s="130">
        <v>0</v>
      </c>
      <c r="Y295" s="131">
        <f t="shared" si="10"/>
        <v>0</v>
      </c>
    </row>
    <row r="296" spans="1:25" x14ac:dyDescent="0.2">
      <c r="A296" s="23" t="s">
        <v>101</v>
      </c>
      <c r="B296">
        <v>8</v>
      </c>
      <c r="C296" s="23" t="s">
        <v>112</v>
      </c>
      <c r="D296">
        <v>814</v>
      </c>
      <c r="E296" s="130">
        <v>0</v>
      </c>
      <c r="F296" s="130">
        <v>0</v>
      </c>
      <c r="G296" s="130">
        <v>0</v>
      </c>
      <c r="H296" s="130">
        <v>0</v>
      </c>
      <c r="I296" s="130">
        <v>0</v>
      </c>
      <c r="J296" s="130">
        <v>0</v>
      </c>
      <c r="K296" s="130">
        <v>0</v>
      </c>
      <c r="L296" s="130">
        <v>0</v>
      </c>
      <c r="M296" s="130">
        <v>0</v>
      </c>
      <c r="N296" s="130">
        <v>0</v>
      </c>
      <c r="O296" s="130">
        <v>0</v>
      </c>
      <c r="P296" s="130">
        <v>0</v>
      </c>
      <c r="Q296" s="130">
        <v>0</v>
      </c>
      <c r="R296" s="130">
        <v>0</v>
      </c>
      <c r="S296" s="130">
        <v>0</v>
      </c>
      <c r="T296" s="130">
        <v>0</v>
      </c>
      <c r="U296" s="130">
        <v>0</v>
      </c>
      <c r="V296" s="130">
        <v>0</v>
      </c>
      <c r="W296" s="130">
        <v>0</v>
      </c>
      <c r="X296" s="130">
        <v>0</v>
      </c>
      <c r="Y296" s="131">
        <f t="shared" si="10"/>
        <v>0</v>
      </c>
    </row>
    <row r="297" spans="1:25" x14ac:dyDescent="0.2">
      <c r="A297" s="23" t="s">
        <v>101</v>
      </c>
      <c r="B297">
        <v>8</v>
      </c>
      <c r="C297" s="23" t="s">
        <v>112</v>
      </c>
      <c r="D297">
        <v>815</v>
      </c>
      <c r="E297" s="130">
        <v>0</v>
      </c>
      <c r="F297" s="130">
        <v>0</v>
      </c>
      <c r="G297" s="130">
        <v>0</v>
      </c>
      <c r="H297" s="130">
        <v>0</v>
      </c>
      <c r="I297" s="130">
        <v>0</v>
      </c>
      <c r="J297" s="130">
        <v>0</v>
      </c>
      <c r="K297" s="130">
        <v>0</v>
      </c>
      <c r="L297" s="130">
        <v>0</v>
      </c>
      <c r="M297" s="130">
        <v>0</v>
      </c>
      <c r="N297" s="130">
        <v>0</v>
      </c>
      <c r="O297" s="130">
        <v>0</v>
      </c>
      <c r="P297" s="130">
        <v>0</v>
      </c>
      <c r="Q297" s="130">
        <v>0</v>
      </c>
      <c r="R297" s="130">
        <v>0</v>
      </c>
      <c r="S297" s="130">
        <v>0</v>
      </c>
      <c r="T297" s="130">
        <v>0</v>
      </c>
      <c r="U297" s="130">
        <v>0</v>
      </c>
      <c r="V297" s="130">
        <v>0</v>
      </c>
      <c r="W297" s="130">
        <v>0</v>
      </c>
      <c r="X297" s="130">
        <v>0</v>
      </c>
      <c r="Y297" s="131">
        <f t="shared" si="10"/>
        <v>0</v>
      </c>
    </row>
    <row r="298" spans="1:25" x14ac:dyDescent="0.2">
      <c r="A298" s="23" t="s">
        <v>101</v>
      </c>
      <c r="B298">
        <v>8</v>
      </c>
      <c r="C298" s="23" t="s">
        <v>112</v>
      </c>
      <c r="D298">
        <v>816</v>
      </c>
      <c r="E298" s="130">
        <v>0</v>
      </c>
      <c r="F298" s="130">
        <v>0</v>
      </c>
      <c r="G298" s="130">
        <v>0</v>
      </c>
      <c r="H298" s="130">
        <v>0</v>
      </c>
      <c r="I298" s="130">
        <v>0</v>
      </c>
      <c r="J298" s="130">
        <v>0</v>
      </c>
      <c r="K298" s="130">
        <v>0</v>
      </c>
      <c r="L298" s="130">
        <v>0</v>
      </c>
      <c r="M298" s="130">
        <v>0</v>
      </c>
      <c r="N298" s="130">
        <v>0</v>
      </c>
      <c r="O298" s="130">
        <v>0</v>
      </c>
      <c r="P298" s="130">
        <v>0</v>
      </c>
      <c r="Q298" s="130">
        <v>0</v>
      </c>
      <c r="R298" s="130">
        <v>0</v>
      </c>
      <c r="S298" s="130">
        <v>0</v>
      </c>
      <c r="T298" s="130">
        <v>0</v>
      </c>
      <c r="U298" s="130">
        <v>0</v>
      </c>
      <c r="V298" s="130">
        <v>0</v>
      </c>
      <c r="W298" s="130">
        <v>0</v>
      </c>
      <c r="X298" s="130">
        <v>0</v>
      </c>
      <c r="Y298" s="131">
        <f t="shared" si="10"/>
        <v>0</v>
      </c>
    </row>
    <row r="299" spans="1:25" x14ac:dyDescent="0.2">
      <c r="A299" s="23" t="s">
        <v>101</v>
      </c>
      <c r="B299">
        <v>8</v>
      </c>
      <c r="C299" s="23" t="s">
        <v>112</v>
      </c>
      <c r="D299">
        <v>817</v>
      </c>
      <c r="E299" s="130">
        <v>0</v>
      </c>
      <c r="F299" s="130">
        <v>0</v>
      </c>
      <c r="G299" s="130">
        <v>0</v>
      </c>
      <c r="H299" s="130">
        <v>0</v>
      </c>
      <c r="I299" s="130">
        <v>0</v>
      </c>
      <c r="J299" s="130">
        <v>0</v>
      </c>
      <c r="K299" s="130">
        <v>0</v>
      </c>
      <c r="L299" s="130">
        <v>0</v>
      </c>
      <c r="M299" s="130">
        <v>0</v>
      </c>
      <c r="N299" s="130">
        <v>0</v>
      </c>
      <c r="O299" s="130">
        <v>0</v>
      </c>
      <c r="P299" s="130">
        <v>0</v>
      </c>
      <c r="Q299" s="130">
        <v>0</v>
      </c>
      <c r="R299" s="130">
        <v>0</v>
      </c>
      <c r="S299" s="130">
        <v>0</v>
      </c>
      <c r="T299" s="130">
        <v>0</v>
      </c>
      <c r="U299" s="130">
        <v>0</v>
      </c>
      <c r="V299" s="130">
        <v>0</v>
      </c>
      <c r="W299" s="130">
        <v>0</v>
      </c>
      <c r="X299" s="130">
        <v>0</v>
      </c>
      <c r="Y299" s="131">
        <f t="shared" si="10"/>
        <v>0</v>
      </c>
    </row>
    <row r="300" spans="1:25" x14ac:dyDescent="0.2">
      <c r="A300" s="23" t="s">
        <v>101</v>
      </c>
      <c r="B300">
        <v>8</v>
      </c>
      <c r="C300" s="23" t="s">
        <v>112</v>
      </c>
      <c r="D300">
        <v>818</v>
      </c>
      <c r="E300" s="130">
        <v>0</v>
      </c>
      <c r="F300" s="130">
        <v>0</v>
      </c>
      <c r="G300" s="130">
        <v>0</v>
      </c>
      <c r="H300" s="130">
        <v>0</v>
      </c>
      <c r="I300" s="130">
        <v>0</v>
      </c>
      <c r="J300" s="130">
        <v>0</v>
      </c>
      <c r="K300" s="130">
        <v>0</v>
      </c>
      <c r="L300" s="130">
        <v>0</v>
      </c>
      <c r="M300" s="130">
        <v>0</v>
      </c>
      <c r="N300" s="130">
        <v>0</v>
      </c>
      <c r="O300" s="130">
        <v>0</v>
      </c>
      <c r="P300" s="130">
        <v>0</v>
      </c>
      <c r="Q300" s="130">
        <v>0</v>
      </c>
      <c r="R300" s="130">
        <v>0</v>
      </c>
      <c r="S300" s="130">
        <v>0</v>
      </c>
      <c r="T300" s="130">
        <v>0</v>
      </c>
      <c r="U300" s="130">
        <v>0</v>
      </c>
      <c r="V300" s="130">
        <v>0</v>
      </c>
      <c r="W300" s="130">
        <v>0</v>
      </c>
      <c r="X300" s="130">
        <v>0</v>
      </c>
      <c r="Y300" s="131">
        <f t="shared" si="10"/>
        <v>0</v>
      </c>
    </row>
    <row r="301" spans="1:25" x14ac:dyDescent="0.2">
      <c r="A301" s="23" t="s">
        <v>101</v>
      </c>
      <c r="B301">
        <v>8</v>
      </c>
      <c r="C301" s="23" t="s">
        <v>112</v>
      </c>
      <c r="D301">
        <v>819</v>
      </c>
      <c r="E301" s="130">
        <v>0</v>
      </c>
      <c r="F301" s="130">
        <v>0</v>
      </c>
      <c r="G301" s="130">
        <v>0</v>
      </c>
      <c r="H301" s="130">
        <v>0</v>
      </c>
      <c r="I301" s="130">
        <v>0</v>
      </c>
      <c r="J301" s="130">
        <v>0</v>
      </c>
      <c r="K301" s="130">
        <v>0</v>
      </c>
      <c r="L301" s="130">
        <v>0</v>
      </c>
      <c r="M301" s="130">
        <v>0</v>
      </c>
      <c r="N301" s="130">
        <v>0</v>
      </c>
      <c r="O301" s="130">
        <v>0</v>
      </c>
      <c r="P301" s="130">
        <v>0</v>
      </c>
      <c r="Q301" s="130">
        <v>0</v>
      </c>
      <c r="R301" s="130">
        <v>0</v>
      </c>
      <c r="S301" s="130">
        <v>0</v>
      </c>
      <c r="T301" s="130">
        <v>0</v>
      </c>
      <c r="U301" s="130">
        <v>0</v>
      </c>
      <c r="V301" s="130">
        <v>0</v>
      </c>
      <c r="W301" s="130">
        <v>0</v>
      </c>
      <c r="X301" s="130">
        <v>0</v>
      </c>
      <c r="Y301" s="131">
        <f t="shared" si="10"/>
        <v>0</v>
      </c>
    </row>
    <row r="302" spans="1:25" x14ac:dyDescent="0.2">
      <c r="A302" s="23" t="s">
        <v>101</v>
      </c>
      <c r="B302">
        <v>8</v>
      </c>
      <c r="C302" s="23" t="s">
        <v>112</v>
      </c>
      <c r="D302">
        <v>820</v>
      </c>
      <c r="E302" s="130">
        <v>0</v>
      </c>
      <c r="F302" s="130">
        <v>0</v>
      </c>
      <c r="G302" s="130">
        <v>0</v>
      </c>
      <c r="H302" s="130">
        <v>0</v>
      </c>
      <c r="I302" s="130">
        <v>0</v>
      </c>
      <c r="J302" s="130">
        <v>0</v>
      </c>
      <c r="K302" s="130">
        <v>0</v>
      </c>
      <c r="L302" s="130">
        <v>0</v>
      </c>
      <c r="M302" s="130">
        <v>0</v>
      </c>
      <c r="N302" s="130">
        <v>0</v>
      </c>
      <c r="O302" s="130">
        <v>0</v>
      </c>
      <c r="P302" s="130">
        <v>0</v>
      </c>
      <c r="Q302" s="130">
        <v>0</v>
      </c>
      <c r="R302" s="130">
        <v>0</v>
      </c>
      <c r="S302" s="130">
        <v>0</v>
      </c>
      <c r="T302" s="130">
        <v>0</v>
      </c>
      <c r="U302" s="130">
        <v>0</v>
      </c>
      <c r="V302" s="130">
        <v>0</v>
      </c>
      <c r="W302" s="130">
        <v>0</v>
      </c>
      <c r="X302" s="130">
        <v>0</v>
      </c>
      <c r="Y302" s="131">
        <f t="shared" si="10"/>
        <v>0</v>
      </c>
    </row>
    <row r="303" spans="1:25" x14ac:dyDescent="0.2">
      <c r="A303" s="23" t="s">
        <v>101</v>
      </c>
      <c r="B303">
        <v>8</v>
      </c>
      <c r="C303" s="23" t="s">
        <v>112</v>
      </c>
      <c r="D303">
        <v>821</v>
      </c>
      <c r="E303" s="130">
        <v>0</v>
      </c>
      <c r="F303" s="130">
        <v>0</v>
      </c>
      <c r="G303" s="130">
        <v>0</v>
      </c>
      <c r="H303" s="130">
        <v>0</v>
      </c>
      <c r="I303" s="130">
        <v>0</v>
      </c>
      <c r="J303" s="130">
        <v>0</v>
      </c>
      <c r="K303" s="130">
        <v>0</v>
      </c>
      <c r="L303" s="130">
        <v>0</v>
      </c>
      <c r="M303" s="130">
        <v>0</v>
      </c>
      <c r="N303" s="130">
        <v>0</v>
      </c>
      <c r="O303" s="130">
        <v>0</v>
      </c>
      <c r="P303" s="130">
        <v>0</v>
      </c>
      <c r="Q303" s="130">
        <v>0</v>
      </c>
      <c r="R303" s="130">
        <v>0</v>
      </c>
      <c r="S303" s="130">
        <v>0</v>
      </c>
      <c r="T303" s="130">
        <v>0</v>
      </c>
      <c r="U303" s="130">
        <v>0</v>
      </c>
      <c r="V303" s="130">
        <v>0</v>
      </c>
      <c r="W303" s="130">
        <v>0</v>
      </c>
      <c r="X303" s="130">
        <v>0</v>
      </c>
      <c r="Y303" s="131">
        <f t="shared" si="10"/>
        <v>0</v>
      </c>
    </row>
    <row r="304" spans="1:25" x14ac:dyDescent="0.2">
      <c r="A304" s="23" t="s">
        <v>101</v>
      </c>
      <c r="B304">
        <v>8</v>
      </c>
      <c r="C304" s="23" t="s">
        <v>112</v>
      </c>
      <c r="D304">
        <v>822</v>
      </c>
      <c r="E304" s="130">
        <v>0</v>
      </c>
      <c r="F304" s="130">
        <v>0</v>
      </c>
      <c r="G304" s="130">
        <v>0</v>
      </c>
      <c r="H304" s="130">
        <v>0</v>
      </c>
      <c r="I304" s="130">
        <v>0</v>
      </c>
      <c r="J304" s="130">
        <v>0</v>
      </c>
      <c r="K304" s="130">
        <v>0</v>
      </c>
      <c r="L304" s="130">
        <v>0</v>
      </c>
      <c r="M304" s="130">
        <v>0</v>
      </c>
      <c r="N304" s="130">
        <v>0</v>
      </c>
      <c r="O304" s="130">
        <v>0</v>
      </c>
      <c r="P304" s="130">
        <v>0</v>
      </c>
      <c r="Q304" s="130">
        <v>0</v>
      </c>
      <c r="R304" s="130">
        <v>0</v>
      </c>
      <c r="S304" s="130">
        <v>0</v>
      </c>
      <c r="T304" s="130">
        <v>0</v>
      </c>
      <c r="U304" s="130">
        <v>0</v>
      </c>
      <c r="V304" s="130">
        <v>0</v>
      </c>
      <c r="W304" s="130">
        <v>0</v>
      </c>
      <c r="X304" s="130">
        <v>0</v>
      </c>
      <c r="Y304" s="131">
        <f t="shared" si="10"/>
        <v>0</v>
      </c>
    </row>
    <row r="305" spans="1:25" x14ac:dyDescent="0.2">
      <c r="A305" s="23" t="s">
        <v>101</v>
      </c>
      <c r="B305">
        <v>8</v>
      </c>
      <c r="C305" s="23" t="s">
        <v>112</v>
      </c>
      <c r="D305">
        <v>823</v>
      </c>
      <c r="E305" s="130">
        <v>0</v>
      </c>
      <c r="F305" s="130">
        <v>0</v>
      </c>
      <c r="G305" s="130">
        <v>0</v>
      </c>
      <c r="H305" s="130">
        <v>0</v>
      </c>
      <c r="I305" s="130">
        <v>0</v>
      </c>
      <c r="J305" s="130">
        <v>0</v>
      </c>
      <c r="K305" s="130">
        <v>0</v>
      </c>
      <c r="L305" s="130">
        <v>0</v>
      </c>
      <c r="M305" s="130">
        <v>0</v>
      </c>
      <c r="N305" s="130">
        <v>0</v>
      </c>
      <c r="O305" s="130">
        <v>0</v>
      </c>
      <c r="P305" s="130">
        <v>0</v>
      </c>
      <c r="Q305" s="130">
        <v>0</v>
      </c>
      <c r="R305" s="130">
        <v>0</v>
      </c>
      <c r="S305" s="130">
        <v>0</v>
      </c>
      <c r="T305" s="130">
        <v>0</v>
      </c>
      <c r="U305" s="130">
        <v>0</v>
      </c>
      <c r="V305" s="130">
        <v>0</v>
      </c>
      <c r="W305" s="130">
        <v>0</v>
      </c>
      <c r="X305" s="130">
        <v>0</v>
      </c>
      <c r="Y305" s="131">
        <f t="shared" si="10"/>
        <v>0</v>
      </c>
    </row>
    <row r="306" spans="1:25" x14ac:dyDescent="0.2">
      <c r="A306" s="23" t="s">
        <v>101</v>
      </c>
      <c r="B306">
        <v>8</v>
      </c>
      <c r="C306" s="23" t="s">
        <v>111</v>
      </c>
      <c r="D306">
        <v>801</v>
      </c>
      <c r="E306" s="130">
        <v>0</v>
      </c>
      <c r="F306" s="130">
        <v>0</v>
      </c>
      <c r="G306" s="130">
        <v>0</v>
      </c>
      <c r="H306" s="130">
        <v>0</v>
      </c>
      <c r="I306" s="130">
        <v>0</v>
      </c>
      <c r="J306" s="130">
        <v>0</v>
      </c>
      <c r="K306" s="130">
        <v>0</v>
      </c>
      <c r="L306" s="130">
        <v>0</v>
      </c>
      <c r="M306" s="130">
        <v>0</v>
      </c>
      <c r="N306" s="130">
        <v>0</v>
      </c>
      <c r="O306" s="130">
        <v>0</v>
      </c>
      <c r="P306" s="130">
        <v>0</v>
      </c>
      <c r="Q306" s="130">
        <v>0</v>
      </c>
      <c r="R306" s="130">
        <v>0</v>
      </c>
      <c r="S306" s="130">
        <v>0</v>
      </c>
      <c r="T306" s="130">
        <v>0</v>
      </c>
      <c r="U306" s="130">
        <v>0</v>
      </c>
      <c r="V306" s="130">
        <v>0</v>
      </c>
      <c r="W306" s="130">
        <v>0</v>
      </c>
      <c r="X306" s="130">
        <v>0</v>
      </c>
      <c r="Y306" s="131">
        <f t="shared" si="10"/>
        <v>0</v>
      </c>
    </row>
    <row r="307" spans="1:25" x14ac:dyDescent="0.2">
      <c r="A307" s="23" t="s">
        <v>101</v>
      </c>
      <c r="B307">
        <v>8</v>
      </c>
      <c r="C307" s="23" t="s">
        <v>111</v>
      </c>
      <c r="D307">
        <v>802</v>
      </c>
      <c r="E307" s="130">
        <v>0</v>
      </c>
      <c r="F307" s="130">
        <v>0</v>
      </c>
      <c r="G307" s="130">
        <v>0</v>
      </c>
      <c r="H307" s="130">
        <v>0</v>
      </c>
      <c r="I307" s="130">
        <v>0</v>
      </c>
      <c r="J307" s="130">
        <v>0</v>
      </c>
      <c r="K307" s="130">
        <v>0</v>
      </c>
      <c r="L307" s="130">
        <v>0</v>
      </c>
      <c r="M307" s="130">
        <v>0</v>
      </c>
      <c r="N307" s="130">
        <v>0</v>
      </c>
      <c r="O307" s="130">
        <v>0</v>
      </c>
      <c r="P307" s="130">
        <v>0</v>
      </c>
      <c r="Q307" s="130">
        <v>0</v>
      </c>
      <c r="R307" s="130">
        <v>0</v>
      </c>
      <c r="S307" s="130">
        <v>0</v>
      </c>
      <c r="T307" s="130">
        <v>0</v>
      </c>
      <c r="U307" s="130">
        <v>0</v>
      </c>
      <c r="V307" s="130">
        <v>0</v>
      </c>
      <c r="W307" s="130">
        <v>0</v>
      </c>
      <c r="X307" s="130">
        <v>0</v>
      </c>
      <c r="Y307" s="131">
        <f t="shared" si="10"/>
        <v>0</v>
      </c>
    </row>
    <row r="308" spans="1:25" x14ac:dyDescent="0.2">
      <c r="A308" s="23" t="s">
        <v>101</v>
      </c>
      <c r="B308">
        <v>8</v>
      </c>
      <c r="C308" s="23" t="s">
        <v>111</v>
      </c>
      <c r="D308">
        <v>803</v>
      </c>
      <c r="E308" s="130">
        <v>0</v>
      </c>
      <c r="F308" s="130">
        <v>0</v>
      </c>
      <c r="G308" s="130">
        <v>0</v>
      </c>
      <c r="H308" s="130">
        <v>0</v>
      </c>
      <c r="I308" s="130">
        <v>0</v>
      </c>
      <c r="J308" s="130">
        <v>0</v>
      </c>
      <c r="K308" s="130">
        <v>0</v>
      </c>
      <c r="L308" s="130">
        <v>0</v>
      </c>
      <c r="M308" s="130">
        <v>0</v>
      </c>
      <c r="N308" s="130">
        <v>0</v>
      </c>
      <c r="O308" s="130">
        <v>0</v>
      </c>
      <c r="P308" s="130">
        <v>0</v>
      </c>
      <c r="Q308" s="130">
        <v>0</v>
      </c>
      <c r="R308" s="130">
        <v>0</v>
      </c>
      <c r="S308" s="130">
        <v>0</v>
      </c>
      <c r="T308" s="130">
        <v>0</v>
      </c>
      <c r="U308" s="130">
        <v>0</v>
      </c>
      <c r="V308" s="130">
        <v>0</v>
      </c>
      <c r="W308" s="130">
        <v>0</v>
      </c>
      <c r="X308" s="130">
        <v>0</v>
      </c>
      <c r="Y308" s="131">
        <f t="shared" si="10"/>
        <v>0</v>
      </c>
    </row>
    <row r="309" spans="1:25" x14ac:dyDescent="0.2">
      <c r="A309" s="23" t="s">
        <v>101</v>
      </c>
      <c r="B309">
        <v>8</v>
      </c>
      <c r="C309" s="23" t="s">
        <v>111</v>
      </c>
      <c r="D309">
        <v>804</v>
      </c>
      <c r="E309" s="130">
        <v>0</v>
      </c>
      <c r="F309" s="130">
        <v>0</v>
      </c>
      <c r="G309" s="130">
        <v>0</v>
      </c>
      <c r="H309" s="130">
        <v>0</v>
      </c>
      <c r="I309" s="130">
        <v>0</v>
      </c>
      <c r="J309" s="130">
        <v>0</v>
      </c>
      <c r="K309" s="130">
        <v>0</v>
      </c>
      <c r="L309" s="130">
        <v>0</v>
      </c>
      <c r="M309" s="130">
        <v>0</v>
      </c>
      <c r="N309" s="130">
        <v>0</v>
      </c>
      <c r="O309" s="130">
        <v>0</v>
      </c>
      <c r="P309" s="130">
        <v>0</v>
      </c>
      <c r="Q309" s="130">
        <v>0</v>
      </c>
      <c r="R309" s="130">
        <v>0</v>
      </c>
      <c r="S309" s="130">
        <v>0</v>
      </c>
      <c r="T309" s="130">
        <v>0</v>
      </c>
      <c r="U309" s="130">
        <v>0</v>
      </c>
      <c r="V309" s="130">
        <v>0</v>
      </c>
      <c r="W309" s="130">
        <v>0</v>
      </c>
      <c r="X309" s="130">
        <v>0</v>
      </c>
      <c r="Y309" s="131">
        <f t="shared" si="10"/>
        <v>0</v>
      </c>
    </row>
    <row r="310" spans="1:25" x14ac:dyDescent="0.2">
      <c r="A310" s="23" t="s">
        <v>101</v>
      </c>
      <c r="B310">
        <v>8</v>
      </c>
      <c r="C310" s="23" t="s">
        <v>111</v>
      </c>
      <c r="D310">
        <v>805</v>
      </c>
      <c r="E310" s="130">
        <v>0</v>
      </c>
      <c r="F310" s="130">
        <v>0</v>
      </c>
      <c r="G310" s="130">
        <v>0</v>
      </c>
      <c r="H310" s="130">
        <v>0</v>
      </c>
      <c r="I310" s="130">
        <v>0</v>
      </c>
      <c r="J310" s="130">
        <v>0</v>
      </c>
      <c r="K310" s="130">
        <v>0</v>
      </c>
      <c r="L310" s="130">
        <v>0</v>
      </c>
      <c r="M310" s="130">
        <v>0</v>
      </c>
      <c r="N310" s="130">
        <v>0</v>
      </c>
      <c r="O310" s="130">
        <v>0</v>
      </c>
      <c r="P310" s="130">
        <v>0</v>
      </c>
      <c r="Q310" s="130">
        <v>0</v>
      </c>
      <c r="R310" s="130">
        <v>0</v>
      </c>
      <c r="S310" s="130">
        <v>0</v>
      </c>
      <c r="T310" s="130">
        <v>0</v>
      </c>
      <c r="U310" s="130">
        <v>0</v>
      </c>
      <c r="V310" s="130">
        <v>0</v>
      </c>
      <c r="W310" s="130">
        <v>0</v>
      </c>
      <c r="X310" s="130">
        <v>0</v>
      </c>
      <c r="Y310" s="131">
        <f t="shared" si="10"/>
        <v>0</v>
      </c>
    </row>
    <row r="311" spans="1:25" x14ac:dyDescent="0.2">
      <c r="A311" s="23" t="s">
        <v>101</v>
      </c>
      <c r="B311">
        <v>8</v>
      </c>
      <c r="C311" s="23" t="s">
        <v>111</v>
      </c>
      <c r="D311">
        <v>806</v>
      </c>
      <c r="E311" s="130">
        <v>0</v>
      </c>
      <c r="F311" s="130">
        <v>0</v>
      </c>
      <c r="G311" s="130">
        <v>0</v>
      </c>
      <c r="H311" s="130">
        <v>0</v>
      </c>
      <c r="I311" s="130">
        <v>0</v>
      </c>
      <c r="J311" s="130">
        <v>0</v>
      </c>
      <c r="K311" s="130">
        <v>0</v>
      </c>
      <c r="L311" s="130">
        <v>0</v>
      </c>
      <c r="M311" s="130">
        <v>0</v>
      </c>
      <c r="N311" s="130">
        <v>0</v>
      </c>
      <c r="O311" s="130">
        <v>0</v>
      </c>
      <c r="P311" s="130">
        <v>0</v>
      </c>
      <c r="Q311" s="130">
        <v>0</v>
      </c>
      <c r="R311" s="130">
        <v>0</v>
      </c>
      <c r="S311" s="130">
        <v>0</v>
      </c>
      <c r="T311" s="130">
        <v>0</v>
      </c>
      <c r="U311" s="130">
        <v>0</v>
      </c>
      <c r="V311" s="130">
        <v>0</v>
      </c>
      <c r="W311" s="130">
        <v>0</v>
      </c>
      <c r="X311" s="130">
        <v>0</v>
      </c>
      <c r="Y311" s="131">
        <f t="shared" si="10"/>
        <v>0</v>
      </c>
    </row>
    <row r="312" spans="1:25" x14ac:dyDescent="0.2">
      <c r="A312" s="23" t="s">
        <v>101</v>
      </c>
      <c r="B312">
        <v>8</v>
      </c>
      <c r="C312" s="23" t="s">
        <v>111</v>
      </c>
      <c r="D312">
        <v>807</v>
      </c>
      <c r="E312" s="130">
        <v>0</v>
      </c>
      <c r="F312" s="130">
        <v>0</v>
      </c>
      <c r="G312" s="130">
        <v>0</v>
      </c>
      <c r="H312" s="130">
        <v>0</v>
      </c>
      <c r="I312" s="130">
        <v>0</v>
      </c>
      <c r="J312" s="130">
        <v>0</v>
      </c>
      <c r="K312" s="130">
        <v>0</v>
      </c>
      <c r="L312" s="130">
        <v>0</v>
      </c>
      <c r="M312" s="130">
        <v>0</v>
      </c>
      <c r="N312" s="130">
        <v>0</v>
      </c>
      <c r="O312" s="130">
        <v>0</v>
      </c>
      <c r="P312" s="130">
        <v>0</v>
      </c>
      <c r="Q312" s="130">
        <v>0</v>
      </c>
      <c r="R312" s="130">
        <v>0</v>
      </c>
      <c r="S312" s="130">
        <v>0</v>
      </c>
      <c r="T312" s="130">
        <v>0</v>
      </c>
      <c r="U312" s="130">
        <v>0</v>
      </c>
      <c r="V312" s="130">
        <v>0</v>
      </c>
      <c r="W312" s="130">
        <v>0</v>
      </c>
      <c r="X312" s="130">
        <v>0</v>
      </c>
      <c r="Y312" s="131">
        <f t="shared" si="10"/>
        <v>0</v>
      </c>
    </row>
    <row r="313" spans="1:25" x14ac:dyDescent="0.2">
      <c r="A313" s="23" t="s">
        <v>101</v>
      </c>
      <c r="B313">
        <v>8</v>
      </c>
      <c r="C313" s="23" t="s">
        <v>111</v>
      </c>
      <c r="D313">
        <v>808</v>
      </c>
      <c r="E313" s="130">
        <v>0</v>
      </c>
      <c r="F313" s="130">
        <v>0</v>
      </c>
      <c r="G313" s="130">
        <v>0</v>
      </c>
      <c r="H313" s="130">
        <v>0</v>
      </c>
      <c r="I313" s="130">
        <v>0</v>
      </c>
      <c r="J313" s="130">
        <v>0</v>
      </c>
      <c r="K313" s="130">
        <v>0</v>
      </c>
      <c r="L313" s="130">
        <v>0</v>
      </c>
      <c r="M313" s="130">
        <v>0</v>
      </c>
      <c r="N313" s="130">
        <v>0</v>
      </c>
      <c r="O313" s="130">
        <v>0</v>
      </c>
      <c r="P313" s="130">
        <v>0</v>
      </c>
      <c r="Q313" s="130">
        <v>0</v>
      </c>
      <c r="R313" s="130">
        <v>0</v>
      </c>
      <c r="S313" s="130">
        <v>0</v>
      </c>
      <c r="T313" s="130">
        <v>0</v>
      </c>
      <c r="U313" s="130">
        <v>0</v>
      </c>
      <c r="V313" s="130">
        <v>0</v>
      </c>
      <c r="W313" s="130">
        <v>0</v>
      </c>
      <c r="X313" s="130">
        <v>0</v>
      </c>
      <c r="Y313" s="131">
        <f t="shared" si="10"/>
        <v>0</v>
      </c>
    </row>
    <row r="314" spans="1:25" x14ac:dyDescent="0.2">
      <c r="A314" s="23" t="s">
        <v>101</v>
      </c>
      <c r="B314">
        <v>8</v>
      </c>
      <c r="C314" s="23" t="s">
        <v>111</v>
      </c>
      <c r="D314">
        <v>809</v>
      </c>
      <c r="E314" s="130">
        <v>0</v>
      </c>
      <c r="F314" s="130">
        <v>0</v>
      </c>
      <c r="G314" s="130">
        <v>0</v>
      </c>
      <c r="H314" s="130">
        <v>0</v>
      </c>
      <c r="I314" s="130">
        <v>0</v>
      </c>
      <c r="J314" s="130">
        <v>0</v>
      </c>
      <c r="K314" s="130">
        <v>0</v>
      </c>
      <c r="L314" s="130">
        <v>0</v>
      </c>
      <c r="M314" s="130">
        <v>0</v>
      </c>
      <c r="N314" s="130">
        <v>0</v>
      </c>
      <c r="O314" s="130">
        <v>0</v>
      </c>
      <c r="P314" s="130">
        <v>0</v>
      </c>
      <c r="Q314" s="130">
        <v>0</v>
      </c>
      <c r="R314" s="130">
        <v>0</v>
      </c>
      <c r="S314" s="130">
        <v>0</v>
      </c>
      <c r="T314" s="130">
        <v>0</v>
      </c>
      <c r="U314" s="130">
        <v>0</v>
      </c>
      <c r="V314" s="130">
        <v>0</v>
      </c>
      <c r="W314" s="130">
        <v>0</v>
      </c>
      <c r="X314" s="130">
        <v>0</v>
      </c>
      <c r="Y314" s="131">
        <f t="shared" si="10"/>
        <v>0</v>
      </c>
    </row>
    <row r="315" spans="1:25" x14ac:dyDescent="0.2">
      <c r="A315" s="23" t="s">
        <v>101</v>
      </c>
      <c r="B315">
        <v>8</v>
      </c>
      <c r="C315" s="23" t="s">
        <v>111</v>
      </c>
      <c r="D315">
        <v>810</v>
      </c>
      <c r="E315" s="130">
        <v>0</v>
      </c>
      <c r="F315" s="130">
        <v>0</v>
      </c>
      <c r="G315" s="130">
        <v>0</v>
      </c>
      <c r="H315" s="130">
        <v>0</v>
      </c>
      <c r="I315" s="130">
        <v>0</v>
      </c>
      <c r="J315" s="130">
        <v>0</v>
      </c>
      <c r="K315" s="130">
        <v>0</v>
      </c>
      <c r="L315" s="130">
        <v>0</v>
      </c>
      <c r="M315" s="130">
        <v>0</v>
      </c>
      <c r="N315" s="130">
        <v>0</v>
      </c>
      <c r="O315" s="130">
        <v>0</v>
      </c>
      <c r="P315" s="130">
        <v>0</v>
      </c>
      <c r="Q315" s="130">
        <v>0</v>
      </c>
      <c r="R315" s="130">
        <v>0</v>
      </c>
      <c r="S315" s="130">
        <v>0</v>
      </c>
      <c r="T315" s="130">
        <v>0</v>
      </c>
      <c r="U315" s="130">
        <v>0</v>
      </c>
      <c r="V315" s="130">
        <v>0</v>
      </c>
      <c r="W315" s="130">
        <v>0</v>
      </c>
      <c r="X315" s="130">
        <v>0</v>
      </c>
      <c r="Y315" s="131">
        <f t="shared" si="10"/>
        <v>0</v>
      </c>
    </row>
    <row r="316" spans="1:25" x14ac:dyDescent="0.2">
      <c r="A316" s="23" t="s">
        <v>101</v>
      </c>
      <c r="B316">
        <v>8</v>
      </c>
      <c r="C316" s="23" t="s">
        <v>111</v>
      </c>
      <c r="D316">
        <v>811</v>
      </c>
      <c r="E316" s="130">
        <v>0</v>
      </c>
      <c r="F316" s="130">
        <v>0</v>
      </c>
      <c r="G316" s="130">
        <v>0</v>
      </c>
      <c r="H316" s="130">
        <v>0</v>
      </c>
      <c r="I316" s="130">
        <v>0</v>
      </c>
      <c r="J316" s="130">
        <v>0</v>
      </c>
      <c r="K316" s="130">
        <v>0</v>
      </c>
      <c r="L316" s="130">
        <v>0</v>
      </c>
      <c r="M316" s="130">
        <v>0</v>
      </c>
      <c r="N316" s="130">
        <v>0</v>
      </c>
      <c r="O316" s="130">
        <v>0</v>
      </c>
      <c r="P316" s="130">
        <v>0</v>
      </c>
      <c r="Q316" s="130">
        <v>0</v>
      </c>
      <c r="R316" s="130">
        <v>0</v>
      </c>
      <c r="S316" s="130">
        <v>0</v>
      </c>
      <c r="T316" s="130">
        <v>0</v>
      </c>
      <c r="U316" s="130">
        <v>0</v>
      </c>
      <c r="V316" s="130">
        <v>0</v>
      </c>
      <c r="W316" s="130">
        <v>0</v>
      </c>
      <c r="X316" s="130">
        <v>0</v>
      </c>
      <c r="Y316" s="131">
        <f t="shared" si="10"/>
        <v>0</v>
      </c>
    </row>
    <row r="317" spans="1:25" x14ac:dyDescent="0.2">
      <c r="A317" s="23" t="s">
        <v>101</v>
      </c>
      <c r="B317">
        <v>8</v>
      </c>
      <c r="C317" s="23" t="s">
        <v>111</v>
      </c>
      <c r="D317">
        <v>812</v>
      </c>
      <c r="E317" s="130">
        <v>0</v>
      </c>
      <c r="F317" s="130">
        <v>0</v>
      </c>
      <c r="G317" s="130">
        <v>0</v>
      </c>
      <c r="H317" s="130">
        <v>0</v>
      </c>
      <c r="I317" s="130">
        <v>0</v>
      </c>
      <c r="J317" s="130">
        <v>0</v>
      </c>
      <c r="K317" s="130">
        <v>0</v>
      </c>
      <c r="L317" s="130">
        <v>0</v>
      </c>
      <c r="M317" s="130">
        <v>0</v>
      </c>
      <c r="N317" s="130">
        <v>0</v>
      </c>
      <c r="O317" s="130">
        <v>0</v>
      </c>
      <c r="P317" s="130">
        <v>0</v>
      </c>
      <c r="Q317" s="130">
        <v>0</v>
      </c>
      <c r="R317" s="130">
        <v>0</v>
      </c>
      <c r="S317" s="130">
        <v>0</v>
      </c>
      <c r="T317" s="130">
        <v>0</v>
      </c>
      <c r="U317" s="130">
        <v>0</v>
      </c>
      <c r="V317" s="130">
        <v>0</v>
      </c>
      <c r="W317" s="130">
        <v>0</v>
      </c>
      <c r="X317" s="130">
        <v>0</v>
      </c>
      <c r="Y317" s="131">
        <f t="shared" si="10"/>
        <v>0</v>
      </c>
    </row>
    <row r="318" spans="1:25" x14ac:dyDescent="0.2">
      <c r="A318" s="23" t="s">
        <v>101</v>
      </c>
      <c r="B318">
        <v>8</v>
      </c>
      <c r="C318" s="23" t="s">
        <v>111</v>
      </c>
      <c r="D318">
        <v>813</v>
      </c>
      <c r="E318" s="130">
        <v>0</v>
      </c>
      <c r="F318" s="130">
        <v>0</v>
      </c>
      <c r="G318" s="130">
        <v>0</v>
      </c>
      <c r="H318" s="130">
        <v>0</v>
      </c>
      <c r="I318" s="130">
        <v>0</v>
      </c>
      <c r="J318" s="130">
        <v>0</v>
      </c>
      <c r="K318" s="130">
        <v>0</v>
      </c>
      <c r="L318" s="130">
        <v>0</v>
      </c>
      <c r="M318" s="130">
        <v>0</v>
      </c>
      <c r="N318" s="130">
        <v>0</v>
      </c>
      <c r="O318" s="130">
        <v>0</v>
      </c>
      <c r="P318" s="130">
        <v>0</v>
      </c>
      <c r="Q318" s="130">
        <v>0</v>
      </c>
      <c r="R318" s="130">
        <v>0</v>
      </c>
      <c r="S318" s="130">
        <v>0</v>
      </c>
      <c r="T318" s="130">
        <v>0</v>
      </c>
      <c r="U318" s="130">
        <v>0</v>
      </c>
      <c r="V318" s="130">
        <v>0</v>
      </c>
      <c r="W318" s="130">
        <v>0</v>
      </c>
      <c r="X318" s="130">
        <v>0</v>
      </c>
      <c r="Y318" s="131">
        <f t="shared" si="10"/>
        <v>0</v>
      </c>
    </row>
    <row r="319" spans="1:25" x14ac:dyDescent="0.2">
      <c r="A319" s="23" t="s">
        <v>101</v>
      </c>
      <c r="B319">
        <v>8</v>
      </c>
      <c r="C319" s="23" t="s">
        <v>111</v>
      </c>
      <c r="D319">
        <v>814</v>
      </c>
      <c r="E319" s="130">
        <v>0</v>
      </c>
      <c r="F319" s="130">
        <v>0</v>
      </c>
      <c r="G319" s="130">
        <v>0</v>
      </c>
      <c r="H319" s="130">
        <v>0</v>
      </c>
      <c r="I319" s="130">
        <v>0</v>
      </c>
      <c r="J319" s="130">
        <v>0</v>
      </c>
      <c r="K319" s="130">
        <v>0</v>
      </c>
      <c r="L319" s="130">
        <v>0</v>
      </c>
      <c r="M319" s="130">
        <v>0</v>
      </c>
      <c r="N319" s="130">
        <v>0</v>
      </c>
      <c r="O319" s="130">
        <v>0</v>
      </c>
      <c r="P319" s="130">
        <v>0</v>
      </c>
      <c r="Q319" s="130">
        <v>0</v>
      </c>
      <c r="R319" s="130">
        <v>0</v>
      </c>
      <c r="S319" s="130">
        <v>0</v>
      </c>
      <c r="T319" s="130">
        <v>0</v>
      </c>
      <c r="U319" s="130">
        <v>0</v>
      </c>
      <c r="V319" s="130">
        <v>0</v>
      </c>
      <c r="W319" s="130">
        <v>0</v>
      </c>
      <c r="X319" s="130">
        <v>0</v>
      </c>
      <c r="Y319" s="131">
        <f t="shared" si="10"/>
        <v>0</v>
      </c>
    </row>
    <row r="320" spans="1:25" x14ac:dyDescent="0.2">
      <c r="A320" s="23" t="s">
        <v>101</v>
      </c>
      <c r="B320">
        <v>8</v>
      </c>
      <c r="C320" s="23" t="s">
        <v>111</v>
      </c>
      <c r="D320">
        <v>815</v>
      </c>
      <c r="E320" s="130">
        <v>0</v>
      </c>
      <c r="F320" s="130">
        <v>0</v>
      </c>
      <c r="G320" s="130">
        <v>0</v>
      </c>
      <c r="H320" s="130">
        <v>0</v>
      </c>
      <c r="I320" s="130">
        <v>0</v>
      </c>
      <c r="J320" s="130">
        <v>0</v>
      </c>
      <c r="K320" s="130">
        <v>0</v>
      </c>
      <c r="L320" s="130">
        <v>0</v>
      </c>
      <c r="M320" s="130">
        <v>0</v>
      </c>
      <c r="N320" s="130">
        <v>0</v>
      </c>
      <c r="O320" s="130">
        <v>0</v>
      </c>
      <c r="P320" s="130">
        <v>0</v>
      </c>
      <c r="Q320" s="130">
        <v>0</v>
      </c>
      <c r="R320" s="130">
        <v>0</v>
      </c>
      <c r="S320" s="130">
        <v>0</v>
      </c>
      <c r="T320" s="130">
        <v>0</v>
      </c>
      <c r="U320" s="130">
        <v>0</v>
      </c>
      <c r="V320" s="130">
        <v>0</v>
      </c>
      <c r="W320" s="130">
        <v>0</v>
      </c>
      <c r="X320" s="130">
        <v>0</v>
      </c>
      <c r="Y320" s="131">
        <f t="shared" si="10"/>
        <v>0</v>
      </c>
    </row>
    <row r="321" spans="1:25" x14ac:dyDescent="0.2">
      <c r="A321" s="23" t="s">
        <v>101</v>
      </c>
      <c r="B321">
        <v>8</v>
      </c>
      <c r="C321" s="23" t="s">
        <v>111</v>
      </c>
      <c r="D321">
        <v>816</v>
      </c>
      <c r="E321" s="130">
        <v>0</v>
      </c>
      <c r="F321" s="130">
        <v>0</v>
      </c>
      <c r="G321" s="130">
        <v>0</v>
      </c>
      <c r="H321" s="130">
        <v>0</v>
      </c>
      <c r="I321" s="130">
        <v>0</v>
      </c>
      <c r="J321" s="130">
        <v>0</v>
      </c>
      <c r="K321" s="130">
        <v>0</v>
      </c>
      <c r="L321" s="130">
        <v>0</v>
      </c>
      <c r="M321" s="130">
        <v>0</v>
      </c>
      <c r="N321" s="130">
        <v>0</v>
      </c>
      <c r="O321" s="130">
        <v>0</v>
      </c>
      <c r="P321" s="130">
        <v>0</v>
      </c>
      <c r="Q321" s="130">
        <v>0</v>
      </c>
      <c r="R321" s="130">
        <v>0</v>
      </c>
      <c r="S321" s="130">
        <v>0</v>
      </c>
      <c r="T321" s="130">
        <v>0</v>
      </c>
      <c r="U321" s="130">
        <v>0</v>
      </c>
      <c r="V321" s="130">
        <v>0</v>
      </c>
      <c r="W321" s="130">
        <v>0</v>
      </c>
      <c r="X321" s="130">
        <v>0</v>
      </c>
      <c r="Y321" s="131">
        <f t="shared" si="10"/>
        <v>0</v>
      </c>
    </row>
    <row r="322" spans="1:25" x14ac:dyDescent="0.2">
      <c r="A322" s="23" t="s">
        <v>101</v>
      </c>
      <c r="B322">
        <v>8</v>
      </c>
      <c r="C322" s="23" t="s">
        <v>111</v>
      </c>
      <c r="D322">
        <v>817</v>
      </c>
      <c r="E322" s="130">
        <v>0</v>
      </c>
      <c r="F322" s="130">
        <v>0</v>
      </c>
      <c r="G322" s="130">
        <v>0</v>
      </c>
      <c r="H322" s="130">
        <v>0</v>
      </c>
      <c r="I322" s="130">
        <v>0</v>
      </c>
      <c r="J322" s="130">
        <v>0</v>
      </c>
      <c r="K322" s="130">
        <v>0</v>
      </c>
      <c r="L322" s="130">
        <v>0</v>
      </c>
      <c r="M322" s="130">
        <v>0</v>
      </c>
      <c r="N322" s="130">
        <v>0</v>
      </c>
      <c r="O322" s="130">
        <v>0</v>
      </c>
      <c r="P322" s="130">
        <v>0</v>
      </c>
      <c r="Q322" s="130">
        <v>0</v>
      </c>
      <c r="R322" s="130">
        <v>0</v>
      </c>
      <c r="S322" s="130">
        <v>0</v>
      </c>
      <c r="T322" s="130">
        <v>0</v>
      </c>
      <c r="U322" s="130">
        <v>0</v>
      </c>
      <c r="V322" s="130">
        <v>0</v>
      </c>
      <c r="W322" s="130">
        <v>0</v>
      </c>
      <c r="X322" s="130">
        <v>0</v>
      </c>
      <c r="Y322" s="131">
        <f t="shared" ref="Y322:Y385" si="12">AVERAGE(E322:X322)</f>
        <v>0</v>
      </c>
    </row>
    <row r="323" spans="1:25" x14ac:dyDescent="0.2">
      <c r="A323" s="23" t="s">
        <v>101</v>
      </c>
      <c r="B323">
        <v>8</v>
      </c>
      <c r="C323" s="23" t="s">
        <v>111</v>
      </c>
      <c r="D323">
        <v>818</v>
      </c>
      <c r="E323" s="130">
        <v>0</v>
      </c>
      <c r="F323" s="130">
        <v>0</v>
      </c>
      <c r="G323" s="130">
        <v>0</v>
      </c>
      <c r="H323" s="130">
        <v>0</v>
      </c>
      <c r="I323" s="130">
        <v>0</v>
      </c>
      <c r="J323" s="130">
        <v>0</v>
      </c>
      <c r="K323" s="130">
        <v>0</v>
      </c>
      <c r="L323" s="130">
        <v>0</v>
      </c>
      <c r="M323" s="130">
        <v>0</v>
      </c>
      <c r="N323" s="130">
        <v>0</v>
      </c>
      <c r="O323" s="130">
        <v>0</v>
      </c>
      <c r="P323" s="130">
        <v>0</v>
      </c>
      <c r="Q323" s="130">
        <v>0</v>
      </c>
      <c r="R323" s="130">
        <v>0</v>
      </c>
      <c r="S323" s="130">
        <v>0</v>
      </c>
      <c r="T323" s="130">
        <v>0</v>
      </c>
      <c r="U323" s="130">
        <v>0</v>
      </c>
      <c r="V323" s="130">
        <v>0</v>
      </c>
      <c r="W323" s="130">
        <v>0</v>
      </c>
      <c r="X323" s="130">
        <v>0</v>
      </c>
      <c r="Y323" s="131">
        <f t="shared" si="12"/>
        <v>0</v>
      </c>
    </row>
    <row r="324" spans="1:25" x14ac:dyDescent="0.2">
      <c r="A324" s="23" t="s">
        <v>101</v>
      </c>
      <c r="B324">
        <v>8</v>
      </c>
      <c r="C324" s="23" t="s">
        <v>111</v>
      </c>
      <c r="D324">
        <v>819</v>
      </c>
      <c r="E324" s="130">
        <v>0</v>
      </c>
      <c r="F324" s="130">
        <v>0</v>
      </c>
      <c r="G324" s="130">
        <v>0</v>
      </c>
      <c r="H324" s="130">
        <v>0</v>
      </c>
      <c r="I324" s="130">
        <v>0</v>
      </c>
      <c r="J324" s="130">
        <v>0</v>
      </c>
      <c r="K324" s="130">
        <v>0</v>
      </c>
      <c r="L324" s="130">
        <v>0</v>
      </c>
      <c r="M324" s="130">
        <v>0</v>
      </c>
      <c r="N324" s="130">
        <v>0</v>
      </c>
      <c r="O324" s="130">
        <v>0</v>
      </c>
      <c r="P324" s="130">
        <v>0</v>
      </c>
      <c r="Q324" s="130">
        <v>0</v>
      </c>
      <c r="R324" s="130">
        <v>0</v>
      </c>
      <c r="S324" s="130">
        <v>0</v>
      </c>
      <c r="T324" s="130">
        <v>0</v>
      </c>
      <c r="U324" s="130">
        <v>0</v>
      </c>
      <c r="V324" s="130">
        <v>0</v>
      </c>
      <c r="W324" s="130">
        <v>0</v>
      </c>
      <c r="X324" s="130">
        <v>0</v>
      </c>
      <c r="Y324" s="131">
        <f t="shared" si="12"/>
        <v>0</v>
      </c>
    </row>
    <row r="325" spans="1:25" x14ac:dyDescent="0.2">
      <c r="A325" s="23" t="s">
        <v>101</v>
      </c>
      <c r="B325">
        <v>8</v>
      </c>
      <c r="C325" s="23" t="s">
        <v>111</v>
      </c>
      <c r="D325">
        <v>820</v>
      </c>
      <c r="E325" s="130">
        <v>0</v>
      </c>
      <c r="F325" s="130">
        <v>0</v>
      </c>
      <c r="G325" s="130">
        <v>0</v>
      </c>
      <c r="H325" s="130">
        <v>0</v>
      </c>
      <c r="I325" s="130">
        <v>0</v>
      </c>
      <c r="J325" s="130">
        <v>0</v>
      </c>
      <c r="K325" s="130">
        <v>0</v>
      </c>
      <c r="L325" s="130">
        <v>0</v>
      </c>
      <c r="M325" s="130">
        <v>0</v>
      </c>
      <c r="N325" s="130">
        <v>0</v>
      </c>
      <c r="O325" s="130">
        <v>0</v>
      </c>
      <c r="P325" s="130">
        <v>0</v>
      </c>
      <c r="Q325" s="130">
        <v>0</v>
      </c>
      <c r="R325" s="130">
        <v>0</v>
      </c>
      <c r="S325" s="130">
        <v>0</v>
      </c>
      <c r="T325" s="130">
        <v>0</v>
      </c>
      <c r="U325" s="130">
        <v>0</v>
      </c>
      <c r="V325" s="130">
        <v>0</v>
      </c>
      <c r="W325" s="130">
        <v>0</v>
      </c>
      <c r="X325" s="130">
        <v>0</v>
      </c>
      <c r="Y325" s="131">
        <f t="shared" si="12"/>
        <v>0</v>
      </c>
    </row>
    <row r="326" spans="1:25" x14ac:dyDescent="0.2">
      <c r="A326" s="23" t="s">
        <v>101</v>
      </c>
      <c r="B326">
        <v>8</v>
      </c>
      <c r="C326" s="23" t="s">
        <v>111</v>
      </c>
      <c r="D326">
        <v>821</v>
      </c>
      <c r="E326" s="130">
        <v>0</v>
      </c>
      <c r="F326" s="130">
        <v>0</v>
      </c>
      <c r="G326" s="130">
        <v>0</v>
      </c>
      <c r="H326" s="130">
        <v>0</v>
      </c>
      <c r="I326" s="130">
        <v>0</v>
      </c>
      <c r="J326" s="130">
        <v>0</v>
      </c>
      <c r="K326" s="130">
        <v>0</v>
      </c>
      <c r="L326" s="130">
        <v>0</v>
      </c>
      <c r="M326" s="130">
        <v>0</v>
      </c>
      <c r="N326" s="130">
        <v>0</v>
      </c>
      <c r="O326" s="130">
        <v>0</v>
      </c>
      <c r="P326" s="130">
        <v>0</v>
      </c>
      <c r="Q326" s="130">
        <v>0</v>
      </c>
      <c r="R326" s="130">
        <v>0</v>
      </c>
      <c r="S326" s="130">
        <v>0</v>
      </c>
      <c r="T326" s="130">
        <v>0</v>
      </c>
      <c r="U326" s="130">
        <v>0</v>
      </c>
      <c r="V326" s="130">
        <v>0</v>
      </c>
      <c r="W326" s="130">
        <v>0</v>
      </c>
      <c r="X326" s="130">
        <v>0</v>
      </c>
      <c r="Y326" s="131">
        <f t="shared" si="12"/>
        <v>0</v>
      </c>
    </row>
    <row r="327" spans="1:25" x14ac:dyDescent="0.2">
      <c r="A327" s="23"/>
      <c r="C327" s="23"/>
      <c r="E327" s="130">
        <f t="shared" ref="E327:X327" si="13">AVERAGE(E283:E326)</f>
        <v>0</v>
      </c>
      <c r="F327" s="130">
        <f t="shared" si="13"/>
        <v>0</v>
      </c>
      <c r="G327" s="130">
        <f t="shared" si="13"/>
        <v>0</v>
      </c>
      <c r="H327" s="130">
        <f t="shared" si="13"/>
        <v>0</v>
      </c>
      <c r="I327" s="130">
        <f t="shared" si="13"/>
        <v>0</v>
      </c>
      <c r="J327" s="130">
        <f t="shared" si="13"/>
        <v>0</v>
      </c>
      <c r="K327" s="130">
        <f t="shared" si="13"/>
        <v>0</v>
      </c>
      <c r="L327" s="130">
        <f t="shared" si="13"/>
        <v>0</v>
      </c>
      <c r="M327" s="130">
        <f t="shared" si="13"/>
        <v>0</v>
      </c>
      <c r="N327" s="130">
        <f t="shared" si="13"/>
        <v>0</v>
      </c>
      <c r="O327" s="130">
        <f t="shared" si="13"/>
        <v>0</v>
      </c>
      <c r="P327" s="130">
        <f t="shared" si="13"/>
        <v>0</v>
      </c>
      <c r="Q327" s="130">
        <f t="shared" si="13"/>
        <v>0</v>
      </c>
      <c r="R327" s="130">
        <f t="shared" si="13"/>
        <v>0</v>
      </c>
      <c r="S327" s="130">
        <f t="shared" si="13"/>
        <v>0</v>
      </c>
      <c r="T327" s="130">
        <f t="shared" si="13"/>
        <v>0</v>
      </c>
      <c r="U327" s="130">
        <f t="shared" si="13"/>
        <v>0</v>
      </c>
      <c r="V327" s="130">
        <f t="shared" si="13"/>
        <v>0</v>
      </c>
      <c r="W327" s="130">
        <f t="shared" si="13"/>
        <v>0</v>
      </c>
      <c r="X327" s="130">
        <f t="shared" si="13"/>
        <v>0</v>
      </c>
      <c r="Y327" s="131">
        <f t="shared" si="12"/>
        <v>0</v>
      </c>
    </row>
    <row r="328" spans="1:25" x14ac:dyDescent="0.2">
      <c r="A328" s="23" t="s">
        <v>101</v>
      </c>
      <c r="B328">
        <v>9</v>
      </c>
      <c r="C328" s="23" t="s">
        <v>112</v>
      </c>
      <c r="D328">
        <v>901</v>
      </c>
      <c r="E328" s="130">
        <v>0</v>
      </c>
      <c r="F328" s="130">
        <v>0</v>
      </c>
      <c r="G328" s="130">
        <v>0</v>
      </c>
      <c r="H328" s="130">
        <v>0</v>
      </c>
      <c r="I328" s="130">
        <v>0</v>
      </c>
      <c r="J328" s="130">
        <v>0</v>
      </c>
      <c r="K328" s="130">
        <v>0</v>
      </c>
      <c r="L328" s="130">
        <v>0</v>
      </c>
      <c r="M328" s="130">
        <v>0</v>
      </c>
      <c r="N328" s="130">
        <v>0</v>
      </c>
      <c r="O328" s="130">
        <v>0</v>
      </c>
      <c r="P328" s="130">
        <v>0</v>
      </c>
      <c r="Q328" s="130">
        <v>0</v>
      </c>
      <c r="R328" s="130">
        <v>0</v>
      </c>
      <c r="S328" s="130">
        <v>0</v>
      </c>
      <c r="T328" s="130">
        <v>0</v>
      </c>
      <c r="U328" s="130">
        <v>0</v>
      </c>
      <c r="V328" s="130">
        <v>0</v>
      </c>
      <c r="W328" s="130">
        <v>0</v>
      </c>
      <c r="X328" s="130">
        <v>0</v>
      </c>
      <c r="Y328" s="131">
        <f t="shared" si="12"/>
        <v>0</v>
      </c>
    </row>
    <row r="329" spans="1:25" x14ac:dyDescent="0.2">
      <c r="A329" s="23" t="s">
        <v>101</v>
      </c>
      <c r="B329">
        <v>9</v>
      </c>
      <c r="C329" s="23" t="s">
        <v>112</v>
      </c>
      <c r="D329">
        <v>902</v>
      </c>
      <c r="E329" s="130">
        <v>0</v>
      </c>
      <c r="F329" s="130">
        <v>0</v>
      </c>
      <c r="G329" s="130">
        <v>0</v>
      </c>
      <c r="H329" s="130">
        <v>0</v>
      </c>
      <c r="I329" s="130">
        <v>0</v>
      </c>
      <c r="J329" s="130">
        <v>0</v>
      </c>
      <c r="K329" s="130">
        <v>0</v>
      </c>
      <c r="L329" s="130">
        <v>0</v>
      </c>
      <c r="M329" s="130">
        <v>0</v>
      </c>
      <c r="N329" s="130">
        <v>0</v>
      </c>
      <c r="O329" s="130">
        <v>0</v>
      </c>
      <c r="P329" s="130">
        <v>0</v>
      </c>
      <c r="Q329" s="130">
        <v>0</v>
      </c>
      <c r="R329" s="130">
        <v>0</v>
      </c>
      <c r="S329" s="130">
        <v>0</v>
      </c>
      <c r="T329" s="130">
        <v>0</v>
      </c>
      <c r="U329" s="130">
        <v>0</v>
      </c>
      <c r="V329" s="130">
        <v>0</v>
      </c>
      <c r="W329" s="130">
        <v>0</v>
      </c>
      <c r="X329" s="130">
        <v>0</v>
      </c>
      <c r="Y329" s="131">
        <f t="shared" si="12"/>
        <v>0</v>
      </c>
    </row>
    <row r="330" spans="1:25" x14ac:dyDescent="0.2">
      <c r="A330" s="23" t="s">
        <v>101</v>
      </c>
      <c r="B330">
        <v>9</v>
      </c>
      <c r="C330" s="23" t="s">
        <v>112</v>
      </c>
      <c r="D330">
        <v>903</v>
      </c>
      <c r="E330" s="130">
        <v>0</v>
      </c>
      <c r="F330" s="130">
        <v>0</v>
      </c>
      <c r="G330" s="130">
        <v>0</v>
      </c>
      <c r="H330" s="130">
        <v>0</v>
      </c>
      <c r="I330" s="130">
        <v>0</v>
      </c>
      <c r="J330" s="130">
        <v>0</v>
      </c>
      <c r="K330" s="130">
        <v>0</v>
      </c>
      <c r="L330" s="130">
        <v>0</v>
      </c>
      <c r="M330" s="130">
        <v>0</v>
      </c>
      <c r="N330" s="130">
        <v>0</v>
      </c>
      <c r="O330" s="130">
        <v>0</v>
      </c>
      <c r="P330" s="130">
        <v>0</v>
      </c>
      <c r="Q330" s="130">
        <v>0</v>
      </c>
      <c r="R330" s="130">
        <v>0</v>
      </c>
      <c r="S330" s="130">
        <v>0</v>
      </c>
      <c r="T330" s="130">
        <v>0</v>
      </c>
      <c r="U330" s="130">
        <v>0</v>
      </c>
      <c r="V330" s="130">
        <v>0</v>
      </c>
      <c r="W330" s="130">
        <v>0</v>
      </c>
      <c r="X330" s="130">
        <v>0</v>
      </c>
      <c r="Y330" s="131">
        <f t="shared" si="12"/>
        <v>0</v>
      </c>
    </row>
    <row r="331" spans="1:25" x14ac:dyDescent="0.2">
      <c r="A331" s="23" t="s">
        <v>101</v>
      </c>
      <c r="B331">
        <v>9</v>
      </c>
      <c r="C331" s="23" t="s">
        <v>112</v>
      </c>
      <c r="D331">
        <v>904</v>
      </c>
      <c r="E331" s="130">
        <v>0</v>
      </c>
      <c r="F331" s="130">
        <v>0</v>
      </c>
      <c r="G331" s="130">
        <v>0</v>
      </c>
      <c r="H331" s="130">
        <v>0</v>
      </c>
      <c r="I331" s="130">
        <v>0</v>
      </c>
      <c r="J331" s="130">
        <v>0</v>
      </c>
      <c r="K331" s="130">
        <v>0</v>
      </c>
      <c r="L331" s="130">
        <v>0</v>
      </c>
      <c r="M331" s="130">
        <v>0</v>
      </c>
      <c r="N331" s="130">
        <v>0</v>
      </c>
      <c r="O331" s="130">
        <v>0</v>
      </c>
      <c r="P331" s="130">
        <v>0</v>
      </c>
      <c r="Q331" s="130">
        <v>0</v>
      </c>
      <c r="R331" s="130">
        <v>0</v>
      </c>
      <c r="S331" s="130">
        <v>0</v>
      </c>
      <c r="T331" s="130">
        <v>0</v>
      </c>
      <c r="U331" s="130">
        <v>0</v>
      </c>
      <c r="V331" s="130">
        <v>0</v>
      </c>
      <c r="W331" s="130">
        <v>0</v>
      </c>
      <c r="X331" s="130">
        <v>0</v>
      </c>
      <c r="Y331" s="131">
        <f t="shared" si="12"/>
        <v>0</v>
      </c>
    </row>
    <row r="332" spans="1:25" x14ac:dyDescent="0.2">
      <c r="A332" s="23" t="s">
        <v>101</v>
      </c>
      <c r="B332">
        <v>9</v>
      </c>
      <c r="C332" s="23" t="s">
        <v>112</v>
      </c>
      <c r="D332">
        <v>905</v>
      </c>
      <c r="E332" s="130">
        <v>0</v>
      </c>
      <c r="F332" s="130">
        <v>0</v>
      </c>
      <c r="G332" s="130">
        <v>0</v>
      </c>
      <c r="H332" s="130">
        <v>0</v>
      </c>
      <c r="I332" s="130">
        <v>0</v>
      </c>
      <c r="J332" s="130">
        <v>0</v>
      </c>
      <c r="K332" s="130">
        <v>0</v>
      </c>
      <c r="L332" s="130">
        <v>0</v>
      </c>
      <c r="M332" s="130">
        <v>0</v>
      </c>
      <c r="N332" s="130">
        <v>0</v>
      </c>
      <c r="O332" s="130">
        <v>0</v>
      </c>
      <c r="P332" s="130">
        <v>0</v>
      </c>
      <c r="Q332" s="130">
        <v>0</v>
      </c>
      <c r="R332" s="130">
        <v>0</v>
      </c>
      <c r="S332" s="130">
        <v>0</v>
      </c>
      <c r="T332" s="130">
        <v>0</v>
      </c>
      <c r="U332" s="130">
        <v>0</v>
      </c>
      <c r="V332" s="130">
        <v>0</v>
      </c>
      <c r="W332" s="130">
        <v>0</v>
      </c>
      <c r="X332" s="130">
        <v>0</v>
      </c>
      <c r="Y332" s="131">
        <f t="shared" si="12"/>
        <v>0</v>
      </c>
    </row>
    <row r="333" spans="1:25" x14ac:dyDescent="0.2">
      <c r="A333" s="23" t="s">
        <v>101</v>
      </c>
      <c r="B333">
        <v>9</v>
      </c>
      <c r="C333" s="23" t="s">
        <v>112</v>
      </c>
      <c r="D333">
        <v>906</v>
      </c>
      <c r="E333" s="130">
        <v>0</v>
      </c>
      <c r="F333" s="130">
        <v>0</v>
      </c>
      <c r="G333" s="130">
        <v>0</v>
      </c>
      <c r="H333" s="130">
        <v>0</v>
      </c>
      <c r="I333" s="130">
        <v>0</v>
      </c>
      <c r="J333" s="130">
        <v>0</v>
      </c>
      <c r="K333" s="130">
        <v>0</v>
      </c>
      <c r="L333" s="130">
        <v>0</v>
      </c>
      <c r="M333" s="130">
        <v>0</v>
      </c>
      <c r="N333" s="130">
        <v>0</v>
      </c>
      <c r="O333" s="130">
        <v>0</v>
      </c>
      <c r="P333" s="130">
        <v>0</v>
      </c>
      <c r="Q333" s="130">
        <v>0</v>
      </c>
      <c r="R333" s="130">
        <v>0</v>
      </c>
      <c r="S333" s="130">
        <v>0</v>
      </c>
      <c r="T333" s="130">
        <v>0</v>
      </c>
      <c r="U333" s="130">
        <v>0</v>
      </c>
      <c r="V333" s="130">
        <v>0</v>
      </c>
      <c r="W333" s="130">
        <v>0</v>
      </c>
      <c r="X333" s="130">
        <v>0</v>
      </c>
      <c r="Y333" s="131">
        <f t="shared" si="12"/>
        <v>0</v>
      </c>
    </row>
    <row r="334" spans="1:25" x14ac:dyDescent="0.2">
      <c r="A334" s="23" t="s">
        <v>101</v>
      </c>
      <c r="B334">
        <v>9</v>
      </c>
      <c r="C334" s="23" t="s">
        <v>112</v>
      </c>
      <c r="D334">
        <v>907</v>
      </c>
      <c r="E334" s="130">
        <v>0</v>
      </c>
      <c r="F334" s="130">
        <v>0</v>
      </c>
      <c r="G334" s="130">
        <v>0</v>
      </c>
      <c r="H334" s="130">
        <v>0</v>
      </c>
      <c r="I334" s="130">
        <v>0</v>
      </c>
      <c r="J334" s="130">
        <v>0</v>
      </c>
      <c r="K334" s="130">
        <v>0</v>
      </c>
      <c r="L334" s="130">
        <v>0</v>
      </c>
      <c r="M334" s="130">
        <v>0</v>
      </c>
      <c r="N334" s="130">
        <v>0</v>
      </c>
      <c r="O334" s="130">
        <v>0</v>
      </c>
      <c r="P334" s="130">
        <v>0</v>
      </c>
      <c r="Q334" s="130">
        <v>0</v>
      </c>
      <c r="R334" s="130">
        <v>0</v>
      </c>
      <c r="S334" s="130">
        <v>0</v>
      </c>
      <c r="T334" s="130">
        <v>0</v>
      </c>
      <c r="U334" s="130">
        <v>0</v>
      </c>
      <c r="V334" s="130">
        <v>0</v>
      </c>
      <c r="W334" s="130">
        <v>0</v>
      </c>
      <c r="X334" s="130">
        <v>0</v>
      </c>
      <c r="Y334" s="131">
        <f t="shared" si="12"/>
        <v>0</v>
      </c>
    </row>
    <row r="335" spans="1:25" x14ac:dyDescent="0.2">
      <c r="A335" s="23" t="s">
        <v>101</v>
      </c>
      <c r="B335">
        <v>9</v>
      </c>
      <c r="C335" s="23" t="s">
        <v>112</v>
      </c>
      <c r="D335">
        <v>908</v>
      </c>
      <c r="E335" s="130">
        <v>0</v>
      </c>
      <c r="F335" s="130">
        <v>0</v>
      </c>
      <c r="G335" s="130">
        <v>0</v>
      </c>
      <c r="H335" s="130">
        <v>0</v>
      </c>
      <c r="I335" s="130">
        <v>0</v>
      </c>
      <c r="J335" s="130">
        <v>0</v>
      </c>
      <c r="K335" s="130">
        <v>0</v>
      </c>
      <c r="L335" s="130">
        <v>0</v>
      </c>
      <c r="M335" s="130">
        <v>0</v>
      </c>
      <c r="N335" s="130">
        <v>0</v>
      </c>
      <c r="O335" s="130">
        <v>0</v>
      </c>
      <c r="P335" s="130">
        <v>0</v>
      </c>
      <c r="Q335" s="130">
        <v>0</v>
      </c>
      <c r="R335" s="130">
        <v>0</v>
      </c>
      <c r="S335" s="130">
        <v>0</v>
      </c>
      <c r="T335" s="130">
        <v>0</v>
      </c>
      <c r="U335" s="130">
        <v>0</v>
      </c>
      <c r="V335" s="130">
        <v>0</v>
      </c>
      <c r="W335" s="130">
        <v>0</v>
      </c>
      <c r="X335" s="130">
        <v>0</v>
      </c>
      <c r="Y335" s="131">
        <f t="shared" si="12"/>
        <v>0</v>
      </c>
    </row>
    <row r="336" spans="1:25" x14ac:dyDescent="0.2">
      <c r="A336" s="23" t="s">
        <v>101</v>
      </c>
      <c r="B336">
        <v>9</v>
      </c>
      <c r="C336" s="23" t="s">
        <v>112</v>
      </c>
      <c r="D336">
        <v>909</v>
      </c>
      <c r="E336" s="130">
        <v>0</v>
      </c>
      <c r="F336" s="130">
        <v>0</v>
      </c>
      <c r="G336" s="130">
        <v>0</v>
      </c>
      <c r="H336" s="130">
        <v>0</v>
      </c>
      <c r="I336" s="130">
        <v>0</v>
      </c>
      <c r="J336" s="130">
        <v>0</v>
      </c>
      <c r="K336" s="130">
        <v>0</v>
      </c>
      <c r="L336" s="130">
        <v>0</v>
      </c>
      <c r="M336" s="130">
        <v>0</v>
      </c>
      <c r="N336" s="130">
        <v>0</v>
      </c>
      <c r="O336" s="130">
        <v>0</v>
      </c>
      <c r="P336" s="130">
        <v>0</v>
      </c>
      <c r="Q336" s="130">
        <v>0</v>
      </c>
      <c r="R336" s="130">
        <v>0</v>
      </c>
      <c r="S336" s="130">
        <v>0</v>
      </c>
      <c r="T336" s="130">
        <v>0</v>
      </c>
      <c r="U336" s="130">
        <v>0</v>
      </c>
      <c r="V336" s="130">
        <v>0</v>
      </c>
      <c r="W336" s="130">
        <v>0</v>
      </c>
      <c r="X336" s="130">
        <v>0</v>
      </c>
      <c r="Y336" s="131">
        <f t="shared" si="12"/>
        <v>0</v>
      </c>
    </row>
    <row r="337" spans="1:25" x14ac:dyDescent="0.2">
      <c r="A337" s="23" t="s">
        <v>101</v>
      </c>
      <c r="B337">
        <v>9</v>
      </c>
      <c r="C337" s="23" t="s">
        <v>112</v>
      </c>
      <c r="D337">
        <v>910</v>
      </c>
      <c r="E337" s="130">
        <v>0</v>
      </c>
      <c r="F337" s="130">
        <v>0</v>
      </c>
      <c r="G337" s="130">
        <v>0</v>
      </c>
      <c r="H337" s="130">
        <v>0</v>
      </c>
      <c r="I337" s="130">
        <v>0</v>
      </c>
      <c r="J337" s="130">
        <v>0</v>
      </c>
      <c r="K337" s="130">
        <v>0</v>
      </c>
      <c r="L337" s="130">
        <v>0</v>
      </c>
      <c r="M337" s="130">
        <v>0</v>
      </c>
      <c r="N337" s="130">
        <v>0</v>
      </c>
      <c r="O337" s="130">
        <v>0</v>
      </c>
      <c r="P337" s="130">
        <v>0</v>
      </c>
      <c r="Q337" s="130">
        <v>0</v>
      </c>
      <c r="R337" s="130">
        <v>0</v>
      </c>
      <c r="S337" s="130">
        <v>0</v>
      </c>
      <c r="T337" s="130">
        <v>0</v>
      </c>
      <c r="U337" s="130">
        <v>0</v>
      </c>
      <c r="V337" s="130">
        <v>0</v>
      </c>
      <c r="W337" s="130">
        <v>0</v>
      </c>
      <c r="X337" s="130">
        <v>0</v>
      </c>
      <c r="Y337" s="131">
        <f t="shared" si="12"/>
        <v>0</v>
      </c>
    </row>
    <row r="338" spans="1:25" x14ac:dyDescent="0.2">
      <c r="A338" s="23" t="s">
        <v>101</v>
      </c>
      <c r="B338">
        <v>9</v>
      </c>
      <c r="C338" s="23" t="s">
        <v>112</v>
      </c>
      <c r="D338">
        <v>911</v>
      </c>
      <c r="E338" s="130">
        <v>0</v>
      </c>
      <c r="F338" s="130">
        <v>0</v>
      </c>
      <c r="G338" s="130">
        <v>0</v>
      </c>
      <c r="H338" s="130">
        <v>0</v>
      </c>
      <c r="I338" s="130">
        <v>0</v>
      </c>
      <c r="J338" s="130">
        <v>0</v>
      </c>
      <c r="K338" s="130">
        <v>0</v>
      </c>
      <c r="L338" s="130">
        <v>0</v>
      </c>
      <c r="M338" s="130">
        <v>0</v>
      </c>
      <c r="N338" s="130">
        <v>0</v>
      </c>
      <c r="O338" s="130">
        <v>0</v>
      </c>
      <c r="P338" s="130">
        <v>0</v>
      </c>
      <c r="Q338" s="130">
        <v>0</v>
      </c>
      <c r="R338" s="130">
        <v>0</v>
      </c>
      <c r="S338" s="130">
        <v>0</v>
      </c>
      <c r="T338" s="130">
        <v>0</v>
      </c>
      <c r="U338" s="130">
        <v>0</v>
      </c>
      <c r="V338" s="130">
        <v>0</v>
      </c>
      <c r="W338" s="130">
        <v>0</v>
      </c>
      <c r="X338" s="130">
        <v>0</v>
      </c>
      <c r="Y338" s="131">
        <f t="shared" si="12"/>
        <v>0</v>
      </c>
    </row>
    <row r="339" spans="1:25" x14ac:dyDescent="0.2">
      <c r="A339" s="23" t="s">
        <v>101</v>
      </c>
      <c r="B339">
        <v>9</v>
      </c>
      <c r="C339" s="23" t="s">
        <v>112</v>
      </c>
      <c r="D339">
        <v>912</v>
      </c>
      <c r="E339" s="130">
        <v>0</v>
      </c>
      <c r="F339" s="130">
        <v>0</v>
      </c>
      <c r="G339" s="130">
        <v>0</v>
      </c>
      <c r="H339" s="130">
        <v>0</v>
      </c>
      <c r="I339" s="130">
        <v>0</v>
      </c>
      <c r="J339" s="130">
        <v>0</v>
      </c>
      <c r="K339" s="130">
        <v>0</v>
      </c>
      <c r="L339" s="130">
        <v>0</v>
      </c>
      <c r="M339" s="130">
        <v>0</v>
      </c>
      <c r="N339" s="130">
        <v>0</v>
      </c>
      <c r="O339" s="130">
        <v>0</v>
      </c>
      <c r="P339" s="130">
        <v>0</v>
      </c>
      <c r="Q339" s="130">
        <v>0</v>
      </c>
      <c r="R339" s="130">
        <v>0</v>
      </c>
      <c r="S339" s="130">
        <v>0</v>
      </c>
      <c r="T339" s="130">
        <v>0</v>
      </c>
      <c r="U339" s="130">
        <v>0</v>
      </c>
      <c r="V339" s="130">
        <v>0</v>
      </c>
      <c r="W339" s="130">
        <v>0</v>
      </c>
      <c r="X339" s="130">
        <v>0</v>
      </c>
      <c r="Y339" s="131">
        <f t="shared" si="12"/>
        <v>0</v>
      </c>
    </row>
    <row r="340" spans="1:25" x14ac:dyDescent="0.2">
      <c r="A340" s="23" t="s">
        <v>101</v>
      </c>
      <c r="B340">
        <v>9</v>
      </c>
      <c r="C340" s="23" t="s">
        <v>112</v>
      </c>
      <c r="D340">
        <v>913</v>
      </c>
      <c r="E340" s="130">
        <v>0</v>
      </c>
      <c r="F340" s="130">
        <v>0</v>
      </c>
      <c r="G340" s="130">
        <v>0</v>
      </c>
      <c r="H340" s="130">
        <v>0</v>
      </c>
      <c r="I340" s="130">
        <v>0</v>
      </c>
      <c r="J340" s="130">
        <v>0</v>
      </c>
      <c r="K340" s="130">
        <v>0</v>
      </c>
      <c r="L340" s="130">
        <v>0</v>
      </c>
      <c r="M340" s="130">
        <v>0</v>
      </c>
      <c r="N340" s="130">
        <v>0</v>
      </c>
      <c r="O340" s="130">
        <v>0</v>
      </c>
      <c r="P340" s="130">
        <v>0</v>
      </c>
      <c r="Q340" s="130">
        <v>0</v>
      </c>
      <c r="R340" s="130">
        <v>0</v>
      </c>
      <c r="S340" s="130">
        <v>0</v>
      </c>
      <c r="T340" s="130">
        <v>0</v>
      </c>
      <c r="U340" s="130">
        <v>0</v>
      </c>
      <c r="V340" s="130">
        <v>0</v>
      </c>
      <c r="W340" s="130">
        <v>0</v>
      </c>
      <c r="X340" s="130">
        <v>0</v>
      </c>
      <c r="Y340" s="131">
        <f t="shared" si="12"/>
        <v>0</v>
      </c>
    </row>
    <row r="341" spans="1:25" x14ac:dyDescent="0.2">
      <c r="A341" s="23" t="s">
        <v>101</v>
      </c>
      <c r="B341">
        <v>9</v>
      </c>
      <c r="C341" s="23" t="s">
        <v>112</v>
      </c>
      <c r="D341">
        <v>914</v>
      </c>
      <c r="E341" s="130">
        <v>0</v>
      </c>
      <c r="F341" s="130">
        <v>0</v>
      </c>
      <c r="G341" s="130">
        <v>0</v>
      </c>
      <c r="H341" s="130">
        <v>0</v>
      </c>
      <c r="I341" s="130">
        <v>0</v>
      </c>
      <c r="J341" s="130">
        <v>0</v>
      </c>
      <c r="K341" s="130">
        <v>0</v>
      </c>
      <c r="L341" s="130">
        <v>0</v>
      </c>
      <c r="M341" s="130">
        <v>0</v>
      </c>
      <c r="N341" s="130">
        <v>0</v>
      </c>
      <c r="O341" s="130">
        <v>0</v>
      </c>
      <c r="P341" s="130">
        <v>0</v>
      </c>
      <c r="Q341" s="130">
        <v>0</v>
      </c>
      <c r="R341" s="130">
        <v>0</v>
      </c>
      <c r="S341" s="130">
        <v>0</v>
      </c>
      <c r="T341" s="130">
        <v>0</v>
      </c>
      <c r="U341" s="130">
        <v>0</v>
      </c>
      <c r="V341" s="130">
        <v>0</v>
      </c>
      <c r="W341" s="130">
        <v>0</v>
      </c>
      <c r="X341" s="130">
        <v>0</v>
      </c>
      <c r="Y341" s="131">
        <f t="shared" si="12"/>
        <v>0</v>
      </c>
    </row>
    <row r="342" spans="1:25" x14ac:dyDescent="0.2">
      <c r="A342" s="23" t="s">
        <v>101</v>
      </c>
      <c r="B342">
        <v>9</v>
      </c>
      <c r="C342" s="23" t="s">
        <v>112</v>
      </c>
      <c r="D342">
        <v>915</v>
      </c>
      <c r="E342" s="130">
        <v>0</v>
      </c>
      <c r="F342" s="130">
        <v>0</v>
      </c>
      <c r="G342" s="130">
        <v>0</v>
      </c>
      <c r="H342" s="130">
        <v>0</v>
      </c>
      <c r="I342" s="130">
        <v>0</v>
      </c>
      <c r="J342" s="130">
        <v>0</v>
      </c>
      <c r="K342" s="130">
        <v>0</v>
      </c>
      <c r="L342" s="130">
        <v>0</v>
      </c>
      <c r="M342" s="130">
        <v>0</v>
      </c>
      <c r="N342" s="130">
        <v>0</v>
      </c>
      <c r="O342" s="130">
        <v>0</v>
      </c>
      <c r="P342" s="130">
        <v>0</v>
      </c>
      <c r="Q342" s="130">
        <v>0</v>
      </c>
      <c r="R342" s="130">
        <v>0</v>
      </c>
      <c r="S342" s="130">
        <v>0</v>
      </c>
      <c r="T342" s="130">
        <v>0</v>
      </c>
      <c r="U342" s="130">
        <v>0</v>
      </c>
      <c r="V342" s="130">
        <v>0</v>
      </c>
      <c r="W342" s="130">
        <v>0</v>
      </c>
      <c r="X342" s="130">
        <v>0</v>
      </c>
      <c r="Y342" s="131">
        <f t="shared" si="12"/>
        <v>0</v>
      </c>
    </row>
    <row r="343" spans="1:25" x14ac:dyDescent="0.2">
      <c r="A343" s="23" t="s">
        <v>101</v>
      </c>
      <c r="B343">
        <v>9</v>
      </c>
      <c r="C343" s="23" t="s">
        <v>112</v>
      </c>
      <c r="D343">
        <v>916</v>
      </c>
      <c r="E343" s="130">
        <v>0</v>
      </c>
      <c r="F343" s="130">
        <v>0</v>
      </c>
      <c r="G343" s="130">
        <v>0</v>
      </c>
      <c r="H343" s="130">
        <v>0</v>
      </c>
      <c r="I343" s="130">
        <v>0</v>
      </c>
      <c r="J343" s="130">
        <v>0</v>
      </c>
      <c r="K343" s="130">
        <v>0</v>
      </c>
      <c r="L343" s="130">
        <v>0</v>
      </c>
      <c r="M343" s="130">
        <v>0</v>
      </c>
      <c r="N343" s="130">
        <v>0</v>
      </c>
      <c r="O343" s="130">
        <v>0</v>
      </c>
      <c r="P343" s="130">
        <v>0</v>
      </c>
      <c r="Q343" s="130">
        <v>0</v>
      </c>
      <c r="R343" s="130">
        <v>0</v>
      </c>
      <c r="S343" s="130">
        <v>0</v>
      </c>
      <c r="T343" s="130">
        <v>0</v>
      </c>
      <c r="U343" s="130">
        <v>0</v>
      </c>
      <c r="V343" s="130">
        <v>0</v>
      </c>
      <c r="W343" s="130">
        <v>0</v>
      </c>
      <c r="X343" s="130">
        <v>0</v>
      </c>
      <c r="Y343" s="131">
        <f t="shared" si="12"/>
        <v>0</v>
      </c>
    </row>
    <row r="344" spans="1:25" x14ac:dyDescent="0.2">
      <c r="A344" s="23" t="s">
        <v>101</v>
      </c>
      <c r="B344">
        <v>9</v>
      </c>
      <c r="C344" s="23" t="s">
        <v>112</v>
      </c>
      <c r="D344">
        <v>917</v>
      </c>
      <c r="E344" s="130">
        <v>0</v>
      </c>
      <c r="F344" s="130">
        <v>0</v>
      </c>
      <c r="G344" s="130">
        <v>0</v>
      </c>
      <c r="H344" s="130">
        <v>0</v>
      </c>
      <c r="I344" s="130">
        <v>0</v>
      </c>
      <c r="J344" s="130">
        <v>0</v>
      </c>
      <c r="K344" s="130">
        <v>0</v>
      </c>
      <c r="L344" s="130">
        <v>0</v>
      </c>
      <c r="M344" s="130">
        <v>0</v>
      </c>
      <c r="N344" s="130">
        <v>0</v>
      </c>
      <c r="O344" s="130">
        <v>0</v>
      </c>
      <c r="P344" s="130">
        <v>0</v>
      </c>
      <c r="Q344" s="130">
        <v>0</v>
      </c>
      <c r="R344" s="130">
        <v>0</v>
      </c>
      <c r="S344" s="130">
        <v>0</v>
      </c>
      <c r="T344" s="130">
        <v>0</v>
      </c>
      <c r="U344" s="130">
        <v>0</v>
      </c>
      <c r="V344" s="130">
        <v>0</v>
      </c>
      <c r="W344" s="130">
        <v>0</v>
      </c>
      <c r="X344" s="130">
        <v>0</v>
      </c>
      <c r="Y344" s="131">
        <f t="shared" si="12"/>
        <v>0</v>
      </c>
    </row>
    <row r="345" spans="1:25" x14ac:dyDescent="0.2">
      <c r="A345" s="23" t="s">
        <v>101</v>
      </c>
      <c r="B345">
        <v>9</v>
      </c>
      <c r="C345" s="23" t="s">
        <v>112</v>
      </c>
      <c r="D345">
        <v>918</v>
      </c>
      <c r="E345" s="130">
        <v>0</v>
      </c>
      <c r="F345" s="130">
        <v>0</v>
      </c>
      <c r="G345" s="130">
        <v>0</v>
      </c>
      <c r="H345" s="130">
        <v>0</v>
      </c>
      <c r="I345" s="130">
        <v>0</v>
      </c>
      <c r="J345" s="130">
        <v>0</v>
      </c>
      <c r="K345" s="130">
        <v>0</v>
      </c>
      <c r="L345" s="130">
        <v>0</v>
      </c>
      <c r="M345" s="130">
        <v>0</v>
      </c>
      <c r="N345" s="130">
        <v>0</v>
      </c>
      <c r="O345" s="130">
        <v>0</v>
      </c>
      <c r="P345" s="130">
        <v>0</v>
      </c>
      <c r="Q345" s="130">
        <v>0</v>
      </c>
      <c r="R345" s="130">
        <v>0</v>
      </c>
      <c r="S345" s="130">
        <v>0</v>
      </c>
      <c r="T345" s="130">
        <v>0</v>
      </c>
      <c r="U345" s="130">
        <v>0</v>
      </c>
      <c r="V345" s="130">
        <v>0</v>
      </c>
      <c r="W345" s="130">
        <v>0</v>
      </c>
      <c r="X345" s="130">
        <v>0</v>
      </c>
      <c r="Y345" s="131">
        <f t="shared" si="12"/>
        <v>0</v>
      </c>
    </row>
    <row r="346" spans="1:25" x14ac:dyDescent="0.2">
      <c r="A346" s="23" t="s">
        <v>101</v>
      </c>
      <c r="B346">
        <v>9</v>
      </c>
      <c r="C346" s="23" t="s">
        <v>112</v>
      </c>
      <c r="D346">
        <v>919</v>
      </c>
      <c r="E346" s="130">
        <v>0</v>
      </c>
      <c r="F346" s="130">
        <v>0</v>
      </c>
      <c r="G346" s="130">
        <v>0</v>
      </c>
      <c r="H346" s="130">
        <v>0</v>
      </c>
      <c r="I346" s="130">
        <v>0</v>
      </c>
      <c r="J346" s="130">
        <v>0</v>
      </c>
      <c r="K346" s="130">
        <v>0</v>
      </c>
      <c r="L346" s="130">
        <v>0</v>
      </c>
      <c r="M346" s="130">
        <v>0</v>
      </c>
      <c r="N346" s="130">
        <v>0</v>
      </c>
      <c r="O346" s="130">
        <v>0</v>
      </c>
      <c r="P346" s="130">
        <v>0</v>
      </c>
      <c r="Q346" s="130">
        <v>0</v>
      </c>
      <c r="R346" s="130">
        <v>0</v>
      </c>
      <c r="S346" s="130">
        <v>0</v>
      </c>
      <c r="T346" s="130">
        <v>0</v>
      </c>
      <c r="U346" s="130">
        <v>0</v>
      </c>
      <c r="V346" s="130">
        <v>0</v>
      </c>
      <c r="W346" s="130">
        <v>0</v>
      </c>
      <c r="X346" s="130">
        <v>0</v>
      </c>
      <c r="Y346" s="131">
        <f t="shared" si="12"/>
        <v>0</v>
      </c>
    </row>
    <row r="347" spans="1:25" x14ac:dyDescent="0.2">
      <c r="A347" s="23" t="s">
        <v>101</v>
      </c>
      <c r="B347">
        <v>9</v>
      </c>
      <c r="C347" s="23" t="s">
        <v>112</v>
      </c>
      <c r="D347">
        <v>923</v>
      </c>
      <c r="E347" s="130">
        <v>0</v>
      </c>
      <c r="F347" s="130">
        <v>0</v>
      </c>
      <c r="G347" s="130">
        <v>0</v>
      </c>
      <c r="H347" s="130">
        <v>0</v>
      </c>
      <c r="I347" s="130">
        <v>0</v>
      </c>
      <c r="J347" s="130">
        <v>0</v>
      </c>
      <c r="K347" s="130">
        <v>0</v>
      </c>
      <c r="L347" s="130">
        <v>0</v>
      </c>
      <c r="M347" s="130">
        <v>0</v>
      </c>
      <c r="N347" s="130">
        <v>0</v>
      </c>
      <c r="O347" s="130">
        <v>0</v>
      </c>
      <c r="P347" s="130">
        <v>0</v>
      </c>
      <c r="Q347" s="130">
        <v>0</v>
      </c>
      <c r="R347" s="130">
        <v>0</v>
      </c>
      <c r="S347" s="130">
        <v>0</v>
      </c>
      <c r="T347" s="130">
        <v>0</v>
      </c>
      <c r="U347" s="130">
        <v>0</v>
      </c>
      <c r="V347" s="130">
        <v>0</v>
      </c>
      <c r="W347" s="130">
        <v>0</v>
      </c>
      <c r="X347" s="130">
        <v>0</v>
      </c>
      <c r="Y347" s="131">
        <f t="shared" si="12"/>
        <v>0</v>
      </c>
    </row>
    <row r="348" spans="1:25" x14ac:dyDescent="0.2">
      <c r="A348" s="23" t="s">
        <v>101</v>
      </c>
      <c r="B348">
        <v>9</v>
      </c>
      <c r="C348" s="23" t="s">
        <v>111</v>
      </c>
      <c r="D348">
        <v>901</v>
      </c>
      <c r="E348" s="130">
        <v>0</v>
      </c>
      <c r="F348" s="130">
        <v>0</v>
      </c>
      <c r="G348" s="130">
        <v>0</v>
      </c>
      <c r="H348" s="130">
        <v>0</v>
      </c>
      <c r="I348" s="130">
        <v>0</v>
      </c>
      <c r="J348" s="130">
        <v>0</v>
      </c>
      <c r="K348" s="130">
        <v>0</v>
      </c>
      <c r="L348" s="130">
        <v>0</v>
      </c>
      <c r="M348" s="130">
        <v>0</v>
      </c>
      <c r="N348" s="130">
        <v>0</v>
      </c>
      <c r="O348" s="130">
        <v>0</v>
      </c>
      <c r="P348" s="130">
        <v>0</v>
      </c>
      <c r="Q348" s="130">
        <v>0</v>
      </c>
      <c r="R348" s="130">
        <v>0</v>
      </c>
      <c r="S348" s="130">
        <v>0</v>
      </c>
      <c r="T348" s="130">
        <v>0</v>
      </c>
      <c r="U348" s="130">
        <v>0</v>
      </c>
      <c r="V348" s="130">
        <v>0</v>
      </c>
      <c r="W348" s="130">
        <v>0</v>
      </c>
      <c r="X348" s="130">
        <v>0</v>
      </c>
      <c r="Y348" s="131">
        <f t="shared" si="12"/>
        <v>0</v>
      </c>
    </row>
    <row r="349" spans="1:25" x14ac:dyDescent="0.2">
      <c r="A349" s="23" t="s">
        <v>101</v>
      </c>
      <c r="B349">
        <v>9</v>
      </c>
      <c r="C349" s="23" t="s">
        <v>111</v>
      </c>
      <c r="D349">
        <v>902</v>
      </c>
      <c r="E349" s="130">
        <v>0</v>
      </c>
      <c r="F349" s="130">
        <v>0</v>
      </c>
      <c r="G349" s="130">
        <v>0</v>
      </c>
      <c r="H349" s="130">
        <v>0</v>
      </c>
      <c r="I349" s="130">
        <v>0</v>
      </c>
      <c r="J349" s="130">
        <v>0</v>
      </c>
      <c r="K349" s="130">
        <v>0</v>
      </c>
      <c r="L349" s="130">
        <v>0</v>
      </c>
      <c r="M349" s="130">
        <v>0</v>
      </c>
      <c r="N349" s="130">
        <v>0</v>
      </c>
      <c r="O349" s="130">
        <v>0</v>
      </c>
      <c r="P349" s="130">
        <v>0</v>
      </c>
      <c r="Q349" s="130">
        <v>0</v>
      </c>
      <c r="R349" s="130">
        <v>0</v>
      </c>
      <c r="S349" s="130">
        <v>0</v>
      </c>
      <c r="T349" s="130">
        <v>0</v>
      </c>
      <c r="U349" s="130">
        <v>0</v>
      </c>
      <c r="V349" s="130">
        <v>0</v>
      </c>
      <c r="W349" s="130">
        <v>0</v>
      </c>
      <c r="X349" s="130">
        <v>0</v>
      </c>
      <c r="Y349" s="131">
        <f t="shared" si="12"/>
        <v>0</v>
      </c>
    </row>
    <row r="350" spans="1:25" x14ac:dyDescent="0.2">
      <c r="A350" s="23" t="s">
        <v>101</v>
      </c>
      <c r="B350">
        <v>9</v>
      </c>
      <c r="C350" s="23" t="s">
        <v>111</v>
      </c>
      <c r="D350">
        <v>903</v>
      </c>
      <c r="E350" s="130">
        <v>0</v>
      </c>
      <c r="F350" s="130">
        <v>0</v>
      </c>
      <c r="G350" s="130">
        <v>0</v>
      </c>
      <c r="H350" s="130">
        <v>0</v>
      </c>
      <c r="I350" s="130">
        <v>0</v>
      </c>
      <c r="J350" s="130">
        <v>0</v>
      </c>
      <c r="K350" s="130">
        <v>0</v>
      </c>
      <c r="L350" s="130">
        <v>0</v>
      </c>
      <c r="M350" s="130">
        <v>0</v>
      </c>
      <c r="N350" s="130">
        <v>0</v>
      </c>
      <c r="O350" s="130">
        <v>0</v>
      </c>
      <c r="P350" s="130">
        <v>0</v>
      </c>
      <c r="Q350" s="130">
        <v>0</v>
      </c>
      <c r="R350" s="130">
        <v>0</v>
      </c>
      <c r="S350" s="130">
        <v>0</v>
      </c>
      <c r="T350" s="130">
        <v>0</v>
      </c>
      <c r="U350" s="130">
        <v>0</v>
      </c>
      <c r="V350" s="130">
        <v>0</v>
      </c>
      <c r="W350" s="130">
        <v>0</v>
      </c>
      <c r="X350" s="130">
        <v>0</v>
      </c>
      <c r="Y350" s="131">
        <f t="shared" si="12"/>
        <v>0</v>
      </c>
    </row>
    <row r="351" spans="1:25" x14ac:dyDescent="0.2">
      <c r="A351" s="23" t="s">
        <v>101</v>
      </c>
      <c r="B351">
        <v>9</v>
      </c>
      <c r="C351" s="23" t="s">
        <v>111</v>
      </c>
      <c r="D351">
        <v>904</v>
      </c>
      <c r="E351" s="130">
        <v>0</v>
      </c>
      <c r="F351" s="130">
        <v>0</v>
      </c>
      <c r="G351" s="130">
        <v>0</v>
      </c>
      <c r="H351" s="130">
        <v>0</v>
      </c>
      <c r="I351" s="130">
        <v>0</v>
      </c>
      <c r="J351" s="130">
        <v>0</v>
      </c>
      <c r="K351" s="130">
        <v>0</v>
      </c>
      <c r="L351" s="130">
        <v>0</v>
      </c>
      <c r="M351" s="130">
        <v>0</v>
      </c>
      <c r="N351" s="130">
        <v>0</v>
      </c>
      <c r="O351" s="130">
        <v>0</v>
      </c>
      <c r="P351" s="130">
        <v>0</v>
      </c>
      <c r="Q351" s="130">
        <v>0</v>
      </c>
      <c r="R351" s="130">
        <v>0</v>
      </c>
      <c r="S351" s="130">
        <v>0</v>
      </c>
      <c r="T351" s="130">
        <v>0</v>
      </c>
      <c r="U351" s="130">
        <v>0</v>
      </c>
      <c r="V351" s="130">
        <v>0</v>
      </c>
      <c r="W351" s="130">
        <v>0</v>
      </c>
      <c r="X351" s="130">
        <v>0</v>
      </c>
      <c r="Y351" s="131">
        <f t="shared" si="12"/>
        <v>0</v>
      </c>
    </row>
    <row r="352" spans="1:25" x14ac:dyDescent="0.2">
      <c r="A352" s="23" t="s">
        <v>101</v>
      </c>
      <c r="B352">
        <v>9</v>
      </c>
      <c r="C352" s="23" t="s">
        <v>111</v>
      </c>
      <c r="D352">
        <v>905</v>
      </c>
      <c r="E352" s="130">
        <v>0</v>
      </c>
      <c r="F352" s="130">
        <v>0</v>
      </c>
      <c r="G352" s="130">
        <v>0</v>
      </c>
      <c r="H352" s="130">
        <v>0</v>
      </c>
      <c r="I352" s="130">
        <v>0</v>
      </c>
      <c r="J352" s="130">
        <v>0</v>
      </c>
      <c r="K352" s="130">
        <v>0</v>
      </c>
      <c r="L352" s="130">
        <v>0</v>
      </c>
      <c r="M352" s="130">
        <v>0</v>
      </c>
      <c r="N352" s="130">
        <v>0</v>
      </c>
      <c r="O352" s="130">
        <v>0</v>
      </c>
      <c r="P352" s="130">
        <v>0</v>
      </c>
      <c r="Q352" s="130">
        <v>0</v>
      </c>
      <c r="R352" s="130">
        <v>0</v>
      </c>
      <c r="S352" s="130">
        <v>0</v>
      </c>
      <c r="T352" s="130">
        <v>0</v>
      </c>
      <c r="U352" s="130">
        <v>0</v>
      </c>
      <c r="V352" s="130">
        <v>0</v>
      </c>
      <c r="W352" s="130">
        <v>0</v>
      </c>
      <c r="X352" s="130">
        <v>0</v>
      </c>
      <c r="Y352" s="131">
        <f t="shared" si="12"/>
        <v>0</v>
      </c>
    </row>
    <row r="353" spans="1:25" x14ac:dyDescent="0.2">
      <c r="A353" s="23" t="s">
        <v>101</v>
      </c>
      <c r="B353">
        <v>9</v>
      </c>
      <c r="C353" s="23" t="s">
        <v>111</v>
      </c>
      <c r="D353">
        <v>906</v>
      </c>
      <c r="E353" s="130">
        <v>0</v>
      </c>
      <c r="F353" s="130">
        <v>0</v>
      </c>
      <c r="G353" s="130">
        <v>0</v>
      </c>
      <c r="H353" s="130">
        <v>0</v>
      </c>
      <c r="I353" s="130">
        <v>0</v>
      </c>
      <c r="J353" s="130">
        <v>0</v>
      </c>
      <c r="K353" s="130">
        <v>0</v>
      </c>
      <c r="L353" s="130">
        <v>0</v>
      </c>
      <c r="M353" s="130">
        <v>0</v>
      </c>
      <c r="N353" s="130">
        <v>0</v>
      </c>
      <c r="O353" s="130">
        <v>0</v>
      </c>
      <c r="P353" s="130">
        <v>0</v>
      </c>
      <c r="Q353" s="130">
        <v>0</v>
      </c>
      <c r="R353" s="130">
        <v>0</v>
      </c>
      <c r="S353" s="130">
        <v>0</v>
      </c>
      <c r="T353" s="130">
        <v>0</v>
      </c>
      <c r="U353" s="130">
        <v>0</v>
      </c>
      <c r="V353" s="130">
        <v>0</v>
      </c>
      <c r="W353" s="130">
        <v>0</v>
      </c>
      <c r="X353" s="130">
        <v>0</v>
      </c>
      <c r="Y353" s="131">
        <f t="shared" si="12"/>
        <v>0</v>
      </c>
    </row>
    <row r="354" spans="1:25" x14ac:dyDescent="0.2">
      <c r="A354" s="23" t="s">
        <v>101</v>
      </c>
      <c r="B354">
        <v>9</v>
      </c>
      <c r="C354" s="23" t="s">
        <v>111</v>
      </c>
      <c r="D354">
        <v>907</v>
      </c>
      <c r="E354" s="130">
        <v>0</v>
      </c>
      <c r="F354" s="130">
        <v>0</v>
      </c>
      <c r="G354" s="130">
        <v>0</v>
      </c>
      <c r="H354" s="130">
        <v>0</v>
      </c>
      <c r="I354" s="130">
        <v>0</v>
      </c>
      <c r="J354" s="130">
        <v>0</v>
      </c>
      <c r="K354" s="130">
        <v>0</v>
      </c>
      <c r="L354" s="130">
        <v>0</v>
      </c>
      <c r="M354" s="130">
        <v>0</v>
      </c>
      <c r="N354" s="130">
        <v>0</v>
      </c>
      <c r="O354" s="130">
        <v>0</v>
      </c>
      <c r="P354" s="130">
        <v>0</v>
      </c>
      <c r="Q354" s="130">
        <v>0</v>
      </c>
      <c r="R354" s="130">
        <v>0</v>
      </c>
      <c r="S354" s="130">
        <v>0</v>
      </c>
      <c r="T354" s="130">
        <v>0</v>
      </c>
      <c r="U354" s="130">
        <v>0</v>
      </c>
      <c r="V354" s="130">
        <v>0</v>
      </c>
      <c r="W354" s="130">
        <v>0</v>
      </c>
      <c r="X354" s="130">
        <v>0</v>
      </c>
      <c r="Y354" s="131">
        <f t="shared" si="12"/>
        <v>0</v>
      </c>
    </row>
    <row r="355" spans="1:25" x14ac:dyDescent="0.2">
      <c r="A355" s="23" t="s">
        <v>101</v>
      </c>
      <c r="B355">
        <v>9</v>
      </c>
      <c r="C355" s="23" t="s">
        <v>111</v>
      </c>
      <c r="D355">
        <v>908</v>
      </c>
      <c r="E355" s="130">
        <v>0</v>
      </c>
      <c r="F355" s="130">
        <v>0</v>
      </c>
      <c r="G355" s="130">
        <v>0</v>
      </c>
      <c r="H355" s="130">
        <v>0</v>
      </c>
      <c r="I355" s="130">
        <v>0</v>
      </c>
      <c r="J355" s="130">
        <v>0</v>
      </c>
      <c r="K355" s="130">
        <v>0</v>
      </c>
      <c r="L355" s="130">
        <v>0</v>
      </c>
      <c r="M355" s="130">
        <v>0</v>
      </c>
      <c r="N355" s="130">
        <v>0</v>
      </c>
      <c r="O355" s="130">
        <v>0</v>
      </c>
      <c r="P355" s="130">
        <v>0</v>
      </c>
      <c r="Q355" s="130">
        <v>0</v>
      </c>
      <c r="R355" s="130">
        <v>0</v>
      </c>
      <c r="S355" s="130">
        <v>0</v>
      </c>
      <c r="T355" s="130">
        <v>0</v>
      </c>
      <c r="U355" s="130">
        <v>0</v>
      </c>
      <c r="V355" s="130">
        <v>0</v>
      </c>
      <c r="W355" s="130">
        <v>0</v>
      </c>
      <c r="X355" s="130">
        <v>0</v>
      </c>
      <c r="Y355" s="131">
        <f t="shared" si="12"/>
        <v>0</v>
      </c>
    </row>
    <row r="356" spans="1:25" x14ac:dyDescent="0.2">
      <c r="A356" s="23" t="s">
        <v>101</v>
      </c>
      <c r="B356">
        <v>9</v>
      </c>
      <c r="C356" s="23" t="s">
        <v>111</v>
      </c>
      <c r="D356">
        <v>909</v>
      </c>
      <c r="E356" s="130">
        <v>0</v>
      </c>
      <c r="F356" s="130">
        <v>0</v>
      </c>
      <c r="G356" s="130">
        <v>0</v>
      </c>
      <c r="H356" s="130">
        <v>0</v>
      </c>
      <c r="I356" s="130">
        <v>0</v>
      </c>
      <c r="J356" s="130">
        <v>0</v>
      </c>
      <c r="K356" s="130">
        <v>0</v>
      </c>
      <c r="L356" s="130">
        <v>0</v>
      </c>
      <c r="M356" s="130">
        <v>0</v>
      </c>
      <c r="N356" s="130">
        <v>0</v>
      </c>
      <c r="O356" s="130">
        <v>0</v>
      </c>
      <c r="P356" s="130">
        <v>0</v>
      </c>
      <c r="Q356" s="130">
        <v>0</v>
      </c>
      <c r="R356" s="130">
        <v>0</v>
      </c>
      <c r="S356" s="130">
        <v>0</v>
      </c>
      <c r="T356" s="130">
        <v>0</v>
      </c>
      <c r="U356" s="130">
        <v>0</v>
      </c>
      <c r="V356" s="130">
        <v>0</v>
      </c>
      <c r="W356" s="130">
        <v>0</v>
      </c>
      <c r="X356" s="130">
        <v>0</v>
      </c>
      <c r="Y356" s="131">
        <f t="shared" si="12"/>
        <v>0</v>
      </c>
    </row>
    <row r="357" spans="1:25" x14ac:dyDescent="0.2">
      <c r="A357" s="23" t="s">
        <v>101</v>
      </c>
      <c r="B357">
        <v>9</v>
      </c>
      <c r="C357" s="23" t="s">
        <v>111</v>
      </c>
      <c r="D357">
        <v>910</v>
      </c>
      <c r="E357" s="130">
        <v>0</v>
      </c>
      <c r="F357" s="130">
        <v>0</v>
      </c>
      <c r="G357" s="130">
        <v>0</v>
      </c>
      <c r="H357" s="130">
        <v>0</v>
      </c>
      <c r="I357" s="130">
        <v>0</v>
      </c>
      <c r="J357" s="130">
        <v>0</v>
      </c>
      <c r="K357" s="130">
        <v>0</v>
      </c>
      <c r="L357" s="130">
        <v>0</v>
      </c>
      <c r="M357" s="130">
        <v>0</v>
      </c>
      <c r="N357" s="130">
        <v>0</v>
      </c>
      <c r="O357" s="130">
        <v>0</v>
      </c>
      <c r="P357" s="130">
        <v>0</v>
      </c>
      <c r="Q357" s="130">
        <v>0</v>
      </c>
      <c r="R357" s="130">
        <v>0</v>
      </c>
      <c r="S357" s="130">
        <v>0</v>
      </c>
      <c r="T357" s="130">
        <v>0</v>
      </c>
      <c r="U357" s="130">
        <v>0</v>
      </c>
      <c r="V357" s="130">
        <v>0</v>
      </c>
      <c r="W357" s="130">
        <v>0</v>
      </c>
      <c r="X357" s="130">
        <v>0</v>
      </c>
      <c r="Y357" s="131">
        <f t="shared" si="12"/>
        <v>0</v>
      </c>
    </row>
    <row r="358" spans="1:25" x14ac:dyDescent="0.2">
      <c r="A358" s="23" t="s">
        <v>101</v>
      </c>
      <c r="B358">
        <v>9</v>
      </c>
      <c r="C358" s="23" t="s">
        <v>111</v>
      </c>
      <c r="D358">
        <v>911</v>
      </c>
      <c r="E358" s="130">
        <v>0</v>
      </c>
      <c r="F358" s="130">
        <v>0</v>
      </c>
      <c r="G358" s="130">
        <v>0</v>
      </c>
      <c r="H358" s="130">
        <v>0</v>
      </c>
      <c r="I358" s="130">
        <v>0</v>
      </c>
      <c r="J358" s="130">
        <v>0</v>
      </c>
      <c r="K358" s="130">
        <v>0</v>
      </c>
      <c r="L358" s="130">
        <v>0</v>
      </c>
      <c r="M358" s="130">
        <v>0</v>
      </c>
      <c r="N358" s="130">
        <v>0</v>
      </c>
      <c r="O358" s="130">
        <v>0</v>
      </c>
      <c r="P358" s="130">
        <v>0</v>
      </c>
      <c r="Q358" s="130">
        <v>0</v>
      </c>
      <c r="R358" s="130">
        <v>0</v>
      </c>
      <c r="S358" s="130">
        <v>0</v>
      </c>
      <c r="T358" s="130">
        <v>0</v>
      </c>
      <c r="U358" s="130">
        <v>0</v>
      </c>
      <c r="V358" s="130">
        <v>0</v>
      </c>
      <c r="W358" s="130">
        <v>0</v>
      </c>
      <c r="X358" s="130">
        <v>0</v>
      </c>
      <c r="Y358" s="131">
        <f t="shared" si="12"/>
        <v>0</v>
      </c>
    </row>
    <row r="359" spans="1:25" x14ac:dyDescent="0.2">
      <c r="A359" s="23" t="s">
        <v>101</v>
      </c>
      <c r="B359">
        <v>9</v>
      </c>
      <c r="C359" s="23" t="s">
        <v>111</v>
      </c>
      <c r="D359">
        <v>912</v>
      </c>
      <c r="E359" s="130">
        <v>0</v>
      </c>
      <c r="F359" s="130">
        <v>0</v>
      </c>
      <c r="G359" s="130">
        <v>0</v>
      </c>
      <c r="H359" s="130">
        <v>0</v>
      </c>
      <c r="I359" s="130">
        <v>0</v>
      </c>
      <c r="J359" s="130">
        <v>0</v>
      </c>
      <c r="K359" s="130">
        <v>0</v>
      </c>
      <c r="L359" s="130">
        <v>0</v>
      </c>
      <c r="M359" s="130">
        <v>0</v>
      </c>
      <c r="N359" s="130">
        <v>0</v>
      </c>
      <c r="O359" s="130">
        <v>0</v>
      </c>
      <c r="P359" s="130">
        <v>0</v>
      </c>
      <c r="Q359" s="130">
        <v>0</v>
      </c>
      <c r="R359" s="130">
        <v>0</v>
      </c>
      <c r="S359" s="130">
        <v>0</v>
      </c>
      <c r="T359" s="130">
        <v>0</v>
      </c>
      <c r="U359" s="130">
        <v>0</v>
      </c>
      <c r="V359" s="130">
        <v>0</v>
      </c>
      <c r="W359" s="130">
        <v>0</v>
      </c>
      <c r="X359" s="130">
        <v>0</v>
      </c>
      <c r="Y359" s="131">
        <f t="shared" si="12"/>
        <v>0</v>
      </c>
    </row>
    <row r="360" spans="1:25" x14ac:dyDescent="0.2">
      <c r="A360" s="23" t="s">
        <v>101</v>
      </c>
      <c r="B360">
        <v>9</v>
      </c>
      <c r="C360" s="23" t="s">
        <v>111</v>
      </c>
      <c r="D360">
        <v>913</v>
      </c>
      <c r="E360" s="130">
        <v>0</v>
      </c>
      <c r="F360" s="130">
        <v>0</v>
      </c>
      <c r="G360" s="130">
        <v>0</v>
      </c>
      <c r="H360" s="130">
        <v>0</v>
      </c>
      <c r="I360" s="130">
        <v>0</v>
      </c>
      <c r="J360" s="130">
        <v>0</v>
      </c>
      <c r="K360" s="130">
        <v>0</v>
      </c>
      <c r="L360" s="130">
        <v>0</v>
      </c>
      <c r="M360" s="130">
        <v>0</v>
      </c>
      <c r="N360" s="130">
        <v>0</v>
      </c>
      <c r="O360" s="130">
        <v>0</v>
      </c>
      <c r="P360" s="130">
        <v>0</v>
      </c>
      <c r="Q360" s="130">
        <v>0</v>
      </c>
      <c r="R360" s="130">
        <v>0</v>
      </c>
      <c r="S360" s="130">
        <v>0</v>
      </c>
      <c r="T360" s="130">
        <v>0</v>
      </c>
      <c r="U360" s="130">
        <v>0</v>
      </c>
      <c r="V360" s="130">
        <v>0</v>
      </c>
      <c r="W360" s="130">
        <v>0</v>
      </c>
      <c r="X360" s="130">
        <v>0</v>
      </c>
      <c r="Y360" s="131">
        <f t="shared" si="12"/>
        <v>0</v>
      </c>
    </row>
    <row r="361" spans="1:25" x14ac:dyDescent="0.2">
      <c r="A361" s="23" t="s">
        <v>101</v>
      </c>
      <c r="B361">
        <v>9</v>
      </c>
      <c r="C361" s="23" t="s">
        <v>111</v>
      </c>
      <c r="D361">
        <v>914</v>
      </c>
      <c r="E361" s="130">
        <v>0</v>
      </c>
      <c r="F361" s="130">
        <v>0</v>
      </c>
      <c r="G361" s="130">
        <v>0</v>
      </c>
      <c r="H361" s="130">
        <v>0</v>
      </c>
      <c r="I361" s="130">
        <v>0</v>
      </c>
      <c r="J361" s="130">
        <v>0</v>
      </c>
      <c r="K361" s="130">
        <v>0</v>
      </c>
      <c r="L361" s="130">
        <v>0</v>
      </c>
      <c r="M361" s="130">
        <v>0</v>
      </c>
      <c r="N361" s="130">
        <v>0</v>
      </c>
      <c r="O361" s="130">
        <v>0</v>
      </c>
      <c r="P361" s="130">
        <v>0</v>
      </c>
      <c r="Q361" s="130">
        <v>0</v>
      </c>
      <c r="R361" s="130">
        <v>0</v>
      </c>
      <c r="S361" s="130">
        <v>0</v>
      </c>
      <c r="T361" s="130">
        <v>0</v>
      </c>
      <c r="U361" s="130">
        <v>0</v>
      </c>
      <c r="V361" s="130">
        <v>0</v>
      </c>
      <c r="W361" s="130">
        <v>0</v>
      </c>
      <c r="X361" s="130">
        <v>0</v>
      </c>
      <c r="Y361" s="131">
        <f t="shared" si="12"/>
        <v>0</v>
      </c>
    </row>
    <row r="362" spans="1:25" x14ac:dyDescent="0.2">
      <c r="A362" s="23" t="s">
        <v>101</v>
      </c>
      <c r="B362">
        <v>9</v>
      </c>
      <c r="C362" s="23" t="s">
        <v>111</v>
      </c>
      <c r="D362">
        <v>915</v>
      </c>
      <c r="E362" s="130">
        <v>0</v>
      </c>
      <c r="F362" s="130">
        <v>0</v>
      </c>
      <c r="G362" s="130">
        <v>0</v>
      </c>
      <c r="H362" s="130">
        <v>0</v>
      </c>
      <c r="I362" s="130">
        <v>0</v>
      </c>
      <c r="J362" s="130">
        <v>0</v>
      </c>
      <c r="K362" s="130">
        <v>0</v>
      </c>
      <c r="L362" s="130">
        <v>0</v>
      </c>
      <c r="M362" s="130">
        <v>0</v>
      </c>
      <c r="N362" s="130">
        <v>0</v>
      </c>
      <c r="O362" s="130">
        <v>0</v>
      </c>
      <c r="P362" s="130">
        <v>0</v>
      </c>
      <c r="Q362" s="130">
        <v>0</v>
      </c>
      <c r="R362" s="130">
        <v>0</v>
      </c>
      <c r="S362" s="130">
        <v>0</v>
      </c>
      <c r="T362" s="130">
        <v>0</v>
      </c>
      <c r="U362" s="130">
        <v>0</v>
      </c>
      <c r="V362" s="130">
        <v>0</v>
      </c>
      <c r="W362" s="130">
        <v>0</v>
      </c>
      <c r="X362" s="130">
        <v>0</v>
      </c>
      <c r="Y362" s="131">
        <f t="shared" si="12"/>
        <v>0</v>
      </c>
    </row>
    <row r="363" spans="1:25" x14ac:dyDescent="0.2">
      <c r="A363" s="23" t="s">
        <v>101</v>
      </c>
      <c r="B363">
        <v>9</v>
      </c>
      <c r="C363" s="23" t="s">
        <v>111</v>
      </c>
      <c r="D363">
        <v>916</v>
      </c>
      <c r="E363" s="130">
        <v>0</v>
      </c>
      <c r="F363" s="130">
        <v>0</v>
      </c>
      <c r="G363" s="130">
        <v>0</v>
      </c>
      <c r="H363" s="130">
        <v>0</v>
      </c>
      <c r="I363" s="130">
        <v>0</v>
      </c>
      <c r="J363" s="130">
        <v>0</v>
      </c>
      <c r="K363" s="130">
        <v>0</v>
      </c>
      <c r="L363" s="130">
        <v>0</v>
      </c>
      <c r="M363" s="130">
        <v>0</v>
      </c>
      <c r="N363" s="130">
        <v>0</v>
      </c>
      <c r="O363" s="130">
        <v>0</v>
      </c>
      <c r="P363" s="130">
        <v>0</v>
      </c>
      <c r="Q363" s="130">
        <v>0</v>
      </c>
      <c r="R363" s="130">
        <v>0</v>
      </c>
      <c r="S363" s="130">
        <v>0</v>
      </c>
      <c r="T363" s="130">
        <v>0</v>
      </c>
      <c r="U363" s="130">
        <v>0</v>
      </c>
      <c r="V363" s="130">
        <v>0</v>
      </c>
      <c r="W363" s="130">
        <v>0</v>
      </c>
      <c r="X363" s="130">
        <v>0</v>
      </c>
      <c r="Y363" s="131">
        <f t="shared" si="12"/>
        <v>0</v>
      </c>
    </row>
    <row r="364" spans="1:25" x14ac:dyDescent="0.2">
      <c r="A364" s="23" t="s">
        <v>101</v>
      </c>
      <c r="B364">
        <v>9</v>
      </c>
      <c r="C364" s="23" t="s">
        <v>111</v>
      </c>
      <c r="D364">
        <v>917</v>
      </c>
      <c r="E364" s="130">
        <v>0</v>
      </c>
      <c r="F364" s="130">
        <v>0</v>
      </c>
      <c r="G364" s="130">
        <v>0</v>
      </c>
      <c r="H364" s="130">
        <v>0</v>
      </c>
      <c r="I364" s="130">
        <v>0</v>
      </c>
      <c r="J364" s="130">
        <v>0</v>
      </c>
      <c r="K364" s="130">
        <v>0</v>
      </c>
      <c r="L364" s="130">
        <v>0</v>
      </c>
      <c r="M364" s="130">
        <v>0</v>
      </c>
      <c r="N364" s="130">
        <v>0</v>
      </c>
      <c r="O364" s="130">
        <v>0</v>
      </c>
      <c r="P364" s="130">
        <v>0</v>
      </c>
      <c r="Q364" s="130">
        <v>0</v>
      </c>
      <c r="R364" s="130">
        <v>0</v>
      </c>
      <c r="S364" s="130">
        <v>0</v>
      </c>
      <c r="T364" s="130">
        <v>0</v>
      </c>
      <c r="U364" s="130">
        <v>0</v>
      </c>
      <c r="V364" s="130">
        <v>0</v>
      </c>
      <c r="W364" s="130">
        <v>0</v>
      </c>
      <c r="X364" s="130">
        <v>0</v>
      </c>
      <c r="Y364" s="131">
        <f t="shared" si="12"/>
        <v>0</v>
      </c>
    </row>
    <row r="365" spans="1:25" x14ac:dyDescent="0.2">
      <c r="A365" s="23" t="s">
        <v>101</v>
      </c>
      <c r="B365">
        <v>9</v>
      </c>
      <c r="C365" s="23" t="s">
        <v>111</v>
      </c>
      <c r="D365">
        <v>918</v>
      </c>
      <c r="E365" s="130">
        <v>0</v>
      </c>
      <c r="F365" s="130">
        <v>0</v>
      </c>
      <c r="G365" s="130">
        <v>0</v>
      </c>
      <c r="H365" s="130">
        <v>0</v>
      </c>
      <c r="I365" s="130">
        <v>0</v>
      </c>
      <c r="J365" s="130">
        <v>0</v>
      </c>
      <c r="K365" s="130">
        <v>0</v>
      </c>
      <c r="L365" s="130">
        <v>0</v>
      </c>
      <c r="M365" s="130">
        <v>0</v>
      </c>
      <c r="N365" s="130">
        <v>0</v>
      </c>
      <c r="O365" s="130">
        <v>0</v>
      </c>
      <c r="P365" s="130">
        <v>0</v>
      </c>
      <c r="Q365" s="130">
        <v>0</v>
      </c>
      <c r="R365" s="130">
        <v>0</v>
      </c>
      <c r="S365" s="130">
        <v>0</v>
      </c>
      <c r="T365" s="130">
        <v>0</v>
      </c>
      <c r="U365" s="130">
        <v>0</v>
      </c>
      <c r="V365" s="130">
        <v>0</v>
      </c>
      <c r="W365" s="130">
        <v>0</v>
      </c>
      <c r="X365" s="130">
        <v>0</v>
      </c>
      <c r="Y365" s="131">
        <f t="shared" si="12"/>
        <v>0</v>
      </c>
    </row>
    <row r="366" spans="1:25" x14ac:dyDescent="0.2">
      <c r="A366" s="23" t="s">
        <v>101</v>
      </c>
      <c r="B366">
        <v>9</v>
      </c>
      <c r="C366" s="23" t="s">
        <v>111</v>
      </c>
      <c r="D366">
        <v>919</v>
      </c>
      <c r="E366" s="130">
        <v>0</v>
      </c>
      <c r="F366" s="130">
        <v>0</v>
      </c>
      <c r="G366" s="130">
        <v>0</v>
      </c>
      <c r="H366" s="130">
        <v>0</v>
      </c>
      <c r="I366" s="130">
        <v>0</v>
      </c>
      <c r="J366" s="130">
        <v>0</v>
      </c>
      <c r="K366" s="130">
        <v>0</v>
      </c>
      <c r="L366" s="130">
        <v>0</v>
      </c>
      <c r="M366" s="130">
        <v>0</v>
      </c>
      <c r="N366" s="130">
        <v>0</v>
      </c>
      <c r="O366" s="130">
        <v>0</v>
      </c>
      <c r="P366" s="130">
        <v>0</v>
      </c>
      <c r="Q366" s="130">
        <v>0</v>
      </c>
      <c r="R366" s="130">
        <v>0</v>
      </c>
      <c r="S366" s="130">
        <v>0</v>
      </c>
      <c r="T366" s="130">
        <v>0</v>
      </c>
      <c r="U366" s="130">
        <v>0</v>
      </c>
      <c r="V366" s="130">
        <v>0</v>
      </c>
      <c r="W366" s="130">
        <v>0</v>
      </c>
      <c r="X366" s="130">
        <v>0</v>
      </c>
      <c r="Y366" s="131">
        <f t="shared" si="12"/>
        <v>0</v>
      </c>
    </row>
    <row r="367" spans="1:25" x14ac:dyDescent="0.2">
      <c r="A367" s="23" t="s">
        <v>101</v>
      </c>
      <c r="B367">
        <v>9</v>
      </c>
      <c r="C367" s="23" t="s">
        <v>111</v>
      </c>
      <c r="D367">
        <v>920</v>
      </c>
      <c r="E367" s="130">
        <v>0</v>
      </c>
      <c r="F367" s="130">
        <v>0</v>
      </c>
      <c r="G367" s="130">
        <v>0</v>
      </c>
      <c r="H367" s="130">
        <v>0</v>
      </c>
      <c r="I367" s="130">
        <v>0</v>
      </c>
      <c r="J367" s="130">
        <v>0</v>
      </c>
      <c r="K367" s="130">
        <v>0</v>
      </c>
      <c r="L367" s="130">
        <v>0</v>
      </c>
      <c r="M367" s="130">
        <v>0</v>
      </c>
      <c r="N367" s="130">
        <v>0</v>
      </c>
      <c r="O367" s="130">
        <v>0</v>
      </c>
      <c r="P367" s="130">
        <v>0</v>
      </c>
      <c r="Q367" s="130">
        <v>0</v>
      </c>
      <c r="R367" s="130">
        <v>0</v>
      </c>
      <c r="S367" s="130">
        <v>0</v>
      </c>
      <c r="T367" s="130">
        <v>0</v>
      </c>
      <c r="U367" s="130">
        <v>0</v>
      </c>
      <c r="V367" s="130">
        <v>0</v>
      </c>
      <c r="W367" s="130">
        <v>0</v>
      </c>
      <c r="X367" s="130">
        <v>0</v>
      </c>
      <c r="Y367" s="131">
        <f t="shared" si="12"/>
        <v>0</v>
      </c>
    </row>
    <row r="368" spans="1:25" x14ac:dyDescent="0.2">
      <c r="A368" s="23" t="s">
        <v>101</v>
      </c>
      <c r="B368">
        <v>9</v>
      </c>
      <c r="C368" s="23" t="s">
        <v>111</v>
      </c>
      <c r="D368">
        <v>921</v>
      </c>
      <c r="E368" s="130">
        <v>0</v>
      </c>
      <c r="F368" s="130">
        <v>0</v>
      </c>
      <c r="G368" s="130">
        <v>0</v>
      </c>
      <c r="H368" s="130">
        <v>0</v>
      </c>
      <c r="I368" s="130">
        <v>0</v>
      </c>
      <c r="J368" s="130">
        <v>0</v>
      </c>
      <c r="K368" s="130">
        <v>0</v>
      </c>
      <c r="L368" s="130">
        <v>0</v>
      </c>
      <c r="M368" s="130">
        <v>0</v>
      </c>
      <c r="N368" s="130">
        <v>0</v>
      </c>
      <c r="O368" s="130">
        <v>0</v>
      </c>
      <c r="P368" s="130">
        <v>0</v>
      </c>
      <c r="Q368" s="130">
        <v>0</v>
      </c>
      <c r="R368" s="130">
        <v>0</v>
      </c>
      <c r="S368" s="130">
        <v>0</v>
      </c>
      <c r="T368" s="130">
        <v>0</v>
      </c>
      <c r="U368" s="130">
        <v>0</v>
      </c>
      <c r="V368" s="130">
        <v>0</v>
      </c>
      <c r="W368" s="130">
        <v>0</v>
      </c>
      <c r="X368" s="130">
        <v>0</v>
      </c>
      <c r="Y368" s="131">
        <f t="shared" si="12"/>
        <v>0</v>
      </c>
    </row>
    <row r="369" spans="1:25" x14ac:dyDescent="0.2">
      <c r="A369" s="23"/>
      <c r="C369" s="23"/>
      <c r="E369" s="130">
        <f t="shared" ref="E369:X369" si="14">AVERAGE(E328:E368)</f>
        <v>0</v>
      </c>
      <c r="F369" s="130">
        <f t="shared" si="14"/>
        <v>0</v>
      </c>
      <c r="G369" s="130">
        <f t="shared" si="14"/>
        <v>0</v>
      </c>
      <c r="H369" s="130">
        <f t="shared" si="14"/>
        <v>0</v>
      </c>
      <c r="I369" s="130">
        <f t="shared" si="14"/>
        <v>0</v>
      </c>
      <c r="J369" s="130">
        <f t="shared" si="14"/>
        <v>0</v>
      </c>
      <c r="K369" s="130">
        <f t="shared" si="14"/>
        <v>0</v>
      </c>
      <c r="L369" s="130">
        <f t="shared" si="14"/>
        <v>0</v>
      </c>
      <c r="M369" s="130">
        <f t="shared" si="14"/>
        <v>0</v>
      </c>
      <c r="N369" s="130">
        <f t="shared" si="14"/>
        <v>0</v>
      </c>
      <c r="O369" s="130">
        <f t="shared" si="14"/>
        <v>0</v>
      </c>
      <c r="P369" s="130">
        <f t="shared" si="14"/>
        <v>0</v>
      </c>
      <c r="Q369" s="130">
        <f t="shared" si="14"/>
        <v>0</v>
      </c>
      <c r="R369" s="130">
        <f t="shared" si="14"/>
        <v>0</v>
      </c>
      <c r="S369" s="130">
        <f t="shared" si="14"/>
        <v>0</v>
      </c>
      <c r="T369" s="130">
        <f t="shared" si="14"/>
        <v>0</v>
      </c>
      <c r="U369" s="130">
        <f t="shared" si="14"/>
        <v>0</v>
      </c>
      <c r="V369" s="130">
        <f t="shared" si="14"/>
        <v>0</v>
      </c>
      <c r="W369" s="130">
        <f t="shared" si="14"/>
        <v>0</v>
      </c>
      <c r="X369" s="130">
        <f t="shared" si="14"/>
        <v>0</v>
      </c>
      <c r="Y369" s="131">
        <f t="shared" si="12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T369"/>
  <sheetViews>
    <sheetView workbookViewId="0"/>
  </sheetViews>
  <sheetFormatPr baseColWidth="10" defaultRowHeight="12.75" x14ac:dyDescent="0.2"/>
  <cols>
    <col min="5" max="5" width="7.85546875" style="112" customWidth="1"/>
    <col min="6" max="7" width="5.7109375" style="112" customWidth="1"/>
    <col min="8" max="8" width="27.5703125" style="112" customWidth="1"/>
    <col min="9" max="19" width="5.7109375" style="112" customWidth="1"/>
    <col min="20" max="20" width="11.42578125" style="101" customWidth="1"/>
  </cols>
  <sheetData>
    <row r="1" spans="1:20" ht="158.25" customHeight="1" x14ac:dyDescent="0.2">
      <c r="A1" s="23" t="s">
        <v>91</v>
      </c>
      <c r="B1" s="23" t="s">
        <v>107</v>
      </c>
      <c r="C1" s="23" t="s">
        <v>108</v>
      </c>
      <c r="D1" s="23" t="s">
        <v>109</v>
      </c>
      <c r="E1" s="112" t="s">
        <v>38</v>
      </c>
      <c r="F1" s="112" t="s">
        <v>39</v>
      </c>
      <c r="G1" s="112" t="s">
        <v>40</v>
      </c>
      <c r="H1" s="112" t="s">
        <v>41</v>
      </c>
      <c r="I1" s="112" t="s">
        <v>42</v>
      </c>
      <c r="J1" s="112" t="s">
        <v>43</v>
      </c>
      <c r="K1" s="112" t="s">
        <v>44</v>
      </c>
      <c r="L1" s="112" t="s">
        <v>45</v>
      </c>
      <c r="M1" s="112" t="s">
        <v>46</v>
      </c>
      <c r="N1" s="112" t="s">
        <v>47</v>
      </c>
      <c r="O1" s="112" t="s">
        <v>48</v>
      </c>
      <c r="P1" s="112" t="s">
        <v>49</v>
      </c>
      <c r="Q1" s="112" t="s">
        <v>50</v>
      </c>
      <c r="R1" s="112" t="s">
        <v>51</v>
      </c>
      <c r="S1" s="112" t="s">
        <v>52</v>
      </c>
      <c r="T1" s="113" t="s">
        <v>110</v>
      </c>
    </row>
    <row r="2" spans="1:20" x14ac:dyDescent="0.2">
      <c r="A2" s="23" t="s">
        <v>102</v>
      </c>
      <c r="B2">
        <v>1</v>
      </c>
      <c r="C2" s="23" t="s">
        <v>111</v>
      </c>
      <c r="D2">
        <v>102</v>
      </c>
      <c r="E2" s="132">
        <v>0.95</v>
      </c>
      <c r="F2" s="132">
        <v>0</v>
      </c>
      <c r="G2" s="132">
        <v>0</v>
      </c>
      <c r="H2" s="132">
        <v>0.95</v>
      </c>
      <c r="I2" s="132">
        <v>0.95</v>
      </c>
      <c r="J2" s="132">
        <v>0.95</v>
      </c>
      <c r="K2" s="132">
        <v>0.95</v>
      </c>
      <c r="L2" s="132">
        <v>0.95</v>
      </c>
      <c r="M2" s="132">
        <v>0.95</v>
      </c>
      <c r="N2" s="132">
        <v>0.95</v>
      </c>
      <c r="O2" s="132">
        <v>0.3</v>
      </c>
      <c r="P2" s="132">
        <v>0.95</v>
      </c>
      <c r="Q2" s="132">
        <v>1</v>
      </c>
      <c r="R2" s="132">
        <v>0.3</v>
      </c>
      <c r="S2" s="132">
        <v>0.95</v>
      </c>
      <c r="T2" s="128">
        <f t="shared" ref="T2:T65" si="0">AVERAGE(E2:S2)</f>
        <v>0.74</v>
      </c>
    </row>
    <row r="3" spans="1:20" x14ac:dyDescent="0.2">
      <c r="A3" s="23" t="s">
        <v>102</v>
      </c>
      <c r="B3">
        <v>1</v>
      </c>
      <c r="C3" s="23" t="s">
        <v>111</v>
      </c>
      <c r="D3">
        <v>103</v>
      </c>
      <c r="E3" s="132">
        <v>0.95</v>
      </c>
      <c r="F3" s="132">
        <v>0</v>
      </c>
      <c r="G3" s="132">
        <v>0</v>
      </c>
      <c r="H3" s="132">
        <v>0.95</v>
      </c>
      <c r="I3" s="132">
        <v>1</v>
      </c>
      <c r="J3" s="132">
        <v>0.95</v>
      </c>
      <c r="K3" s="132">
        <v>0.95</v>
      </c>
      <c r="L3" s="132">
        <v>0.95</v>
      </c>
      <c r="M3" s="132">
        <v>0.95</v>
      </c>
      <c r="N3" s="132">
        <v>0.95</v>
      </c>
      <c r="O3" s="132">
        <v>0.95</v>
      </c>
      <c r="P3" s="132">
        <v>0.95</v>
      </c>
      <c r="Q3" s="132">
        <v>1</v>
      </c>
      <c r="R3" s="132">
        <v>0.95</v>
      </c>
      <c r="S3" s="132">
        <v>1</v>
      </c>
      <c r="T3" s="128">
        <f t="shared" si="0"/>
        <v>0.83333333333333326</v>
      </c>
    </row>
    <row r="4" spans="1:20" x14ac:dyDescent="0.2">
      <c r="A4" s="23" t="s">
        <v>102</v>
      </c>
      <c r="B4">
        <v>1</v>
      </c>
      <c r="C4" s="23" t="s">
        <v>111</v>
      </c>
      <c r="D4">
        <v>104</v>
      </c>
      <c r="E4" s="132">
        <v>0.95</v>
      </c>
      <c r="F4" s="132">
        <v>0</v>
      </c>
      <c r="G4" s="132">
        <v>0</v>
      </c>
      <c r="H4" s="132">
        <v>0.95</v>
      </c>
      <c r="I4" s="132">
        <v>1</v>
      </c>
      <c r="J4" s="132">
        <v>0.95</v>
      </c>
      <c r="K4" s="132">
        <v>0.95</v>
      </c>
      <c r="L4" s="132">
        <v>0.95</v>
      </c>
      <c r="M4" s="132">
        <v>0.95</v>
      </c>
      <c r="N4" s="132">
        <v>0.95</v>
      </c>
      <c r="O4" s="132">
        <v>0.95</v>
      </c>
      <c r="P4" s="132">
        <v>0.95</v>
      </c>
      <c r="Q4" s="132">
        <v>1</v>
      </c>
      <c r="R4" s="132">
        <v>0.95</v>
      </c>
      <c r="S4" s="132">
        <v>1</v>
      </c>
      <c r="T4" s="128">
        <f t="shared" si="0"/>
        <v>0.83333333333333326</v>
      </c>
    </row>
    <row r="5" spans="1:20" x14ac:dyDescent="0.2">
      <c r="A5" s="23" t="s">
        <v>102</v>
      </c>
      <c r="B5">
        <v>1</v>
      </c>
      <c r="C5" s="23" t="s">
        <v>111</v>
      </c>
      <c r="D5">
        <v>105</v>
      </c>
      <c r="E5" s="132">
        <v>0.95</v>
      </c>
      <c r="F5" s="132">
        <v>0</v>
      </c>
      <c r="G5" s="132">
        <v>0</v>
      </c>
      <c r="H5" s="132">
        <v>0.95</v>
      </c>
      <c r="I5" s="132">
        <v>0.95</v>
      </c>
      <c r="J5" s="132">
        <v>0.95</v>
      </c>
      <c r="K5" s="132">
        <v>0.95</v>
      </c>
      <c r="L5" s="132">
        <v>0.95</v>
      </c>
      <c r="M5" s="132">
        <v>0.95</v>
      </c>
      <c r="N5" s="132">
        <v>0.95</v>
      </c>
      <c r="O5" s="132">
        <v>0.95</v>
      </c>
      <c r="P5" s="132">
        <v>0.95</v>
      </c>
      <c r="Q5" s="132">
        <v>1</v>
      </c>
      <c r="R5" s="132">
        <v>0.95</v>
      </c>
      <c r="S5" s="132">
        <v>0.95</v>
      </c>
      <c r="T5" s="128">
        <f t="shared" si="0"/>
        <v>0.82666666666666655</v>
      </c>
    </row>
    <row r="6" spans="1:20" x14ac:dyDescent="0.2">
      <c r="A6" s="23" t="s">
        <v>102</v>
      </c>
      <c r="B6">
        <v>1</v>
      </c>
      <c r="C6" s="23" t="s">
        <v>111</v>
      </c>
      <c r="D6">
        <v>106</v>
      </c>
      <c r="E6" s="132">
        <v>0.95</v>
      </c>
      <c r="F6" s="132">
        <v>0</v>
      </c>
      <c r="G6" s="132">
        <v>0</v>
      </c>
      <c r="H6" s="132">
        <v>0.95</v>
      </c>
      <c r="I6" s="132">
        <v>0.95</v>
      </c>
      <c r="J6" s="132">
        <v>0.95</v>
      </c>
      <c r="K6" s="132">
        <v>0.95</v>
      </c>
      <c r="L6" s="132">
        <v>0.95</v>
      </c>
      <c r="M6" s="132">
        <v>0.95</v>
      </c>
      <c r="N6" s="132">
        <v>0.95</v>
      </c>
      <c r="O6" s="132">
        <v>0.95</v>
      </c>
      <c r="P6" s="132">
        <v>0.95</v>
      </c>
      <c r="Q6" s="132">
        <v>1</v>
      </c>
      <c r="R6" s="132">
        <v>0.95</v>
      </c>
      <c r="S6" s="132">
        <v>0.95</v>
      </c>
      <c r="T6" s="128">
        <f t="shared" si="0"/>
        <v>0.82666666666666655</v>
      </c>
    </row>
    <row r="7" spans="1:20" x14ac:dyDescent="0.2">
      <c r="A7" s="23" t="s">
        <v>102</v>
      </c>
      <c r="B7">
        <v>1</v>
      </c>
      <c r="C7" s="23" t="s">
        <v>111</v>
      </c>
      <c r="D7">
        <v>107</v>
      </c>
      <c r="E7" s="132">
        <v>0.95</v>
      </c>
      <c r="F7" s="132">
        <v>0</v>
      </c>
      <c r="G7" s="132">
        <v>0</v>
      </c>
      <c r="H7" s="132">
        <v>0.95</v>
      </c>
      <c r="I7" s="132">
        <v>0.95</v>
      </c>
      <c r="J7" s="132">
        <v>0.95</v>
      </c>
      <c r="K7" s="132">
        <v>0.95</v>
      </c>
      <c r="L7" s="132">
        <v>0.95</v>
      </c>
      <c r="M7" s="132">
        <v>0.95</v>
      </c>
      <c r="N7" s="132">
        <v>0.95</v>
      </c>
      <c r="O7" s="132">
        <v>0.95</v>
      </c>
      <c r="P7" s="132">
        <v>0.95</v>
      </c>
      <c r="Q7" s="132">
        <v>1</v>
      </c>
      <c r="R7" s="132">
        <v>0.95</v>
      </c>
      <c r="S7" s="132">
        <v>0.95</v>
      </c>
      <c r="T7" s="128">
        <f t="shared" si="0"/>
        <v>0.82666666666666655</v>
      </c>
    </row>
    <row r="8" spans="1:20" x14ac:dyDescent="0.2">
      <c r="A8" s="23" t="s">
        <v>102</v>
      </c>
      <c r="B8">
        <v>1</v>
      </c>
      <c r="C8" s="23" t="s">
        <v>111</v>
      </c>
      <c r="D8">
        <v>108</v>
      </c>
      <c r="E8" s="132">
        <v>0.95</v>
      </c>
      <c r="F8" s="132">
        <v>0</v>
      </c>
      <c r="G8" s="132">
        <v>0</v>
      </c>
      <c r="H8" s="132">
        <v>0.95</v>
      </c>
      <c r="I8" s="132">
        <v>0.3</v>
      </c>
      <c r="J8" s="132">
        <v>0.95</v>
      </c>
      <c r="K8" s="132">
        <v>0.95</v>
      </c>
      <c r="L8" s="132">
        <v>0.95</v>
      </c>
      <c r="M8" s="132">
        <v>0.95</v>
      </c>
      <c r="N8" s="132">
        <v>0.95</v>
      </c>
      <c r="O8" s="132">
        <v>0.3</v>
      </c>
      <c r="P8" s="132">
        <v>0.5</v>
      </c>
      <c r="Q8" s="132">
        <v>1</v>
      </c>
      <c r="R8" s="132">
        <v>0.5</v>
      </c>
      <c r="S8" s="132">
        <v>0.95</v>
      </c>
      <c r="T8" s="128">
        <f t="shared" si="0"/>
        <v>0.67999999999999994</v>
      </c>
    </row>
    <row r="9" spans="1:20" x14ac:dyDescent="0.2">
      <c r="A9" s="23" t="s">
        <v>102</v>
      </c>
      <c r="B9">
        <v>1</v>
      </c>
      <c r="C9" s="23" t="s">
        <v>111</v>
      </c>
      <c r="D9">
        <v>118</v>
      </c>
      <c r="E9" s="132">
        <v>0.95</v>
      </c>
      <c r="F9" s="132">
        <v>0</v>
      </c>
      <c r="G9" s="132">
        <v>0</v>
      </c>
      <c r="H9" s="132">
        <v>0.95</v>
      </c>
      <c r="I9" s="132">
        <v>0.3</v>
      </c>
      <c r="J9" s="132">
        <v>0.95</v>
      </c>
      <c r="K9" s="132">
        <v>0.95</v>
      </c>
      <c r="L9" s="132">
        <v>0.95</v>
      </c>
      <c r="M9" s="132">
        <v>0.95</v>
      </c>
      <c r="N9" s="132">
        <v>0.95</v>
      </c>
      <c r="O9" s="132">
        <v>0</v>
      </c>
      <c r="P9" s="132">
        <v>0</v>
      </c>
      <c r="Q9" s="132">
        <v>1</v>
      </c>
      <c r="R9" s="132">
        <v>0</v>
      </c>
      <c r="S9" s="132">
        <v>0.1</v>
      </c>
      <c r="T9" s="128">
        <f t="shared" si="0"/>
        <v>0.53666666666666674</v>
      </c>
    </row>
    <row r="10" spans="1:20" x14ac:dyDescent="0.2">
      <c r="A10" s="23" t="s">
        <v>102</v>
      </c>
      <c r="B10">
        <v>1</v>
      </c>
      <c r="C10" s="23" t="s">
        <v>111</v>
      </c>
      <c r="D10">
        <v>119</v>
      </c>
      <c r="E10" s="132">
        <v>0.95</v>
      </c>
      <c r="F10" s="132">
        <v>0</v>
      </c>
      <c r="G10" s="132">
        <v>0</v>
      </c>
      <c r="H10" s="132">
        <v>0.95</v>
      </c>
      <c r="I10" s="132">
        <v>0.3</v>
      </c>
      <c r="J10" s="132">
        <v>0.95</v>
      </c>
      <c r="K10" s="132">
        <v>0.95</v>
      </c>
      <c r="L10" s="132">
        <v>0.95</v>
      </c>
      <c r="M10" s="132">
        <v>0.95</v>
      </c>
      <c r="N10" s="132">
        <v>0.95</v>
      </c>
      <c r="O10" s="132">
        <v>0</v>
      </c>
      <c r="P10" s="132">
        <v>0.05</v>
      </c>
      <c r="Q10" s="132">
        <v>1</v>
      </c>
      <c r="R10" s="132">
        <v>0</v>
      </c>
      <c r="S10" s="132">
        <v>0.05</v>
      </c>
      <c r="T10" s="128">
        <f t="shared" si="0"/>
        <v>0.53666666666666674</v>
      </c>
    </row>
    <row r="11" spans="1:20" x14ac:dyDescent="0.2">
      <c r="A11" s="23" t="s">
        <v>102</v>
      </c>
      <c r="B11">
        <v>1</v>
      </c>
      <c r="C11" s="23" t="s">
        <v>111</v>
      </c>
      <c r="D11">
        <v>120</v>
      </c>
      <c r="E11" s="132">
        <v>1</v>
      </c>
      <c r="F11" s="132">
        <v>1</v>
      </c>
      <c r="G11" s="132">
        <v>1</v>
      </c>
      <c r="H11" s="132">
        <v>1</v>
      </c>
      <c r="I11" s="132">
        <v>1</v>
      </c>
      <c r="J11" s="132">
        <v>1</v>
      </c>
      <c r="K11" s="132">
        <v>1</v>
      </c>
      <c r="L11" s="132">
        <v>1</v>
      </c>
      <c r="M11" s="132">
        <v>1</v>
      </c>
      <c r="N11" s="132">
        <v>1</v>
      </c>
      <c r="O11" s="132">
        <v>1</v>
      </c>
      <c r="P11" s="132">
        <v>1</v>
      </c>
      <c r="Q11" s="132">
        <v>1</v>
      </c>
      <c r="R11" s="132">
        <v>0</v>
      </c>
      <c r="S11" s="132">
        <v>1</v>
      </c>
      <c r="T11" s="128">
        <f t="shared" si="0"/>
        <v>0.93333333333333335</v>
      </c>
    </row>
    <row r="12" spans="1:20" x14ac:dyDescent="0.2">
      <c r="A12" s="23" t="s">
        <v>102</v>
      </c>
      <c r="B12">
        <v>1</v>
      </c>
      <c r="C12" s="23" t="s">
        <v>111</v>
      </c>
      <c r="D12">
        <v>121</v>
      </c>
      <c r="E12" s="132">
        <v>1</v>
      </c>
      <c r="F12" s="132">
        <v>1</v>
      </c>
      <c r="G12" s="132">
        <v>1</v>
      </c>
      <c r="H12" s="132">
        <v>1</v>
      </c>
      <c r="I12" s="132">
        <v>1</v>
      </c>
      <c r="J12" s="132">
        <v>1</v>
      </c>
      <c r="K12" s="132">
        <v>1</v>
      </c>
      <c r="L12" s="132">
        <v>1</v>
      </c>
      <c r="M12" s="132">
        <v>1</v>
      </c>
      <c r="N12" s="132">
        <v>1</v>
      </c>
      <c r="O12" s="132">
        <v>1</v>
      </c>
      <c r="P12" s="132">
        <v>1</v>
      </c>
      <c r="Q12" s="132">
        <v>1</v>
      </c>
      <c r="R12" s="132">
        <v>1</v>
      </c>
      <c r="S12" s="132">
        <v>1</v>
      </c>
      <c r="T12" s="128">
        <f t="shared" si="0"/>
        <v>1</v>
      </c>
    </row>
    <row r="13" spans="1:20" x14ac:dyDescent="0.2">
      <c r="A13" s="23"/>
      <c r="C13" s="23"/>
      <c r="D13" s="23"/>
      <c r="E13" s="132"/>
      <c r="F13" s="132">
        <f>AVERAGE(F2:F12)</f>
        <v>0.18181818181818182</v>
      </c>
      <c r="G13" s="132">
        <f>AVERAGE(G2:G12)</f>
        <v>0.18181818181818182</v>
      </c>
      <c r="H13" s="132">
        <f>AVERAGE(H2:H12)</f>
        <v>0.95909090909090911</v>
      </c>
      <c r="I13" s="132">
        <f>AVERAGE(I2:I12)</f>
        <v>0.79090909090909089</v>
      </c>
      <c r="J13" s="132">
        <f>AVERAGE(J2:J12)</f>
        <v>0.95909090909090911</v>
      </c>
      <c r="K13" s="132">
        <v>0.1</v>
      </c>
      <c r="L13" s="132">
        <f t="shared" ref="L13:S13" si="1">AVERAGE(L2:L12)</f>
        <v>0.95909090909090911</v>
      </c>
      <c r="M13" s="132">
        <f t="shared" si="1"/>
        <v>0.95909090909090911</v>
      </c>
      <c r="N13" s="132">
        <f t="shared" si="1"/>
        <v>0.95909090909090911</v>
      </c>
      <c r="O13" s="132">
        <f t="shared" si="1"/>
        <v>0.66818181818181821</v>
      </c>
      <c r="P13" s="132">
        <f t="shared" si="1"/>
        <v>0.75</v>
      </c>
      <c r="Q13" s="132">
        <f t="shared" si="1"/>
        <v>1</v>
      </c>
      <c r="R13" s="132">
        <f t="shared" si="1"/>
        <v>0.59545454545454557</v>
      </c>
      <c r="S13" s="132">
        <f t="shared" si="1"/>
        <v>0.80909090909090908</v>
      </c>
      <c r="T13" s="128">
        <f t="shared" si="0"/>
        <v>0.70519480519480526</v>
      </c>
    </row>
    <row r="14" spans="1:20" x14ac:dyDescent="0.2">
      <c r="A14" s="23" t="s">
        <v>102</v>
      </c>
      <c r="B14">
        <v>2</v>
      </c>
      <c r="C14" s="23" t="s">
        <v>112</v>
      </c>
      <c r="D14">
        <v>202</v>
      </c>
      <c r="E14" s="132">
        <v>0</v>
      </c>
      <c r="F14" s="132">
        <v>0</v>
      </c>
      <c r="G14" s="132">
        <v>0</v>
      </c>
      <c r="H14" s="132">
        <v>0.3</v>
      </c>
      <c r="I14" s="132">
        <v>0</v>
      </c>
      <c r="J14" s="132">
        <v>0</v>
      </c>
      <c r="K14" s="132">
        <v>0</v>
      </c>
      <c r="L14" s="132">
        <v>0</v>
      </c>
      <c r="M14" s="132">
        <v>0</v>
      </c>
      <c r="N14" s="132">
        <v>0.1</v>
      </c>
      <c r="O14" s="132">
        <v>0</v>
      </c>
      <c r="P14" s="132">
        <v>0</v>
      </c>
      <c r="Q14" s="132">
        <v>0</v>
      </c>
      <c r="R14" s="132">
        <v>0</v>
      </c>
      <c r="S14" s="132">
        <v>0</v>
      </c>
      <c r="T14" s="128">
        <f t="shared" si="0"/>
        <v>2.6666666666666668E-2</v>
      </c>
    </row>
    <row r="15" spans="1:20" x14ac:dyDescent="0.2">
      <c r="A15" s="23" t="s">
        <v>102</v>
      </c>
      <c r="B15">
        <v>2</v>
      </c>
      <c r="C15" s="23" t="s">
        <v>112</v>
      </c>
      <c r="D15">
        <v>203</v>
      </c>
      <c r="E15" s="132">
        <v>0</v>
      </c>
      <c r="F15" s="132">
        <v>0</v>
      </c>
      <c r="G15" s="132">
        <v>0</v>
      </c>
      <c r="H15" s="132">
        <v>0.3</v>
      </c>
      <c r="I15" s="132">
        <v>0</v>
      </c>
      <c r="J15" s="132">
        <v>0</v>
      </c>
      <c r="K15" s="132">
        <v>0</v>
      </c>
      <c r="L15" s="132">
        <v>0</v>
      </c>
      <c r="M15" s="132">
        <v>0.5</v>
      </c>
      <c r="N15" s="132">
        <v>0.1</v>
      </c>
      <c r="O15" s="132">
        <v>0</v>
      </c>
      <c r="P15" s="132">
        <v>0</v>
      </c>
      <c r="Q15" s="132">
        <v>0</v>
      </c>
      <c r="R15" s="132">
        <v>0</v>
      </c>
      <c r="S15" s="132">
        <v>0</v>
      </c>
      <c r="T15" s="128">
        <f t="shared" si="0"/>
        <v>6.0000000000000005E-2</v>
      </c>
    </row>
    <row r="16" spans="1:20" x14ac:dyDescent="0.2">
      <c r="A16" s="23" t="s">
        <v>102</v>
      </c>
      <c r="B16">
        <v>2</v>
      </c>
      <c r="C16" s="23" t="s">
        <v>112</v>
      </c>
      <c r="D16">
        <v>204</v>
      </c>
      <c r="E16" s="132">
        <v>0</v>
      </c>
      <c r="F16" s="132">
        <v>0</v>
      </c>
      <c r="G16" s="132">
        <v>0</v>
      </c>
      <c r="H16" s="132">
        <v>0.3</v>
      </c>
      <c r="I16" s="132">
        <v>0</v>
      </c>
      <c r="J16" s="132">
        <v>0</v>
      </c>
      <c r="K16" s="132">
        <v>0</v>
      </c>
      <c r="L16" s="132">
        <v>0</v>
      </c>
      <c r="M16" s="132">
        <v>0.5</v>
      </c>
      <c r="N16" s="132">
        <v>0.1</v>
      </c>
      <c r="O16" s="132">
        <v>0</v>
      </c>
      <c r="P16" s="132">
        <v>0</v>
      </c>
      <c r="Q16" s="132">
        <v>0</v>
      </c>
      <c r="R16" s="132">
        <v>0</v>
      </c>
      <c r="S16" s="132">
        <v>0</v>
      </c>
      <c r="T16" s="128">
        <f t="shared" si="0"/>
        <v>6.0000000000000005E-2</v>
      </c>
    </row>
    <row r="17" spans="1:20" x14ac:dyDescent="0.2">
      <c r="A17" s="23" t="s">
        <v>102</v>
      </c>
      <c r="B17">
        <v>2</v>
      </c>
      <c r="C17" s="23" t="s">
        <v>112</v>
      </c>
      <c r="D17">
        <v>205</v>
      </c>
      <c r="E17" s="132">
        <v>0</v>
      </c>
      <c r="F17" s="132">
        <v>0</v>
      </c>
      <c r="G17" s="132">
        <v>0</v>
      </c>
      <c r="H17" s="132">
        <v>0.3</v>
      </c>
      <c r="I17" s="132">
        <v>0</v>
      </c>
      <c r="J17" s="132">
        <v>0</v>
      </c>
      <c r="K17" s="132">
        <v>0</v>
      </c>
      <c r="L17" s="132">
        <v>0</v>
      </c>
      <c r="M17" s="132">
        <v>0.5</v>
      </c>
      <c r="N17" s="132">
        <v>0.1</v>
      </c>
      <c r="O17" s="132">
        <v>0</v>
      </c>
      <c r="P17" s="132">
        <v>0</v>
      </c>
      <c r="Q17" s="132">
        <v>0</v>
      </c>
      <c r="R17" s="132">
        <v>0</v>
      </c>
      <c r="S17" s="132">
        <v>0</v>
      </c>
      <c r="T17" s="128">
        <f t="shared" si="0"/>
        <v>6.0000000000000005E-2</v>
      </c>
    </row>
    <row r="18" spans="1:20" x14ac:dyDescent="0.2">
      <c r="A18" s="23" t="s">
        <v>102</v>
      </c>
      <c r="B18">
        <v>2</v>
      </c>
      <c r="C18" s="23" t="s">
        <v>112</v>
      </c>
      <c r="D18">
        <v>206</v>
      </c>
      <c r="E18" s="132">
        <v>0</v>
      </c>
      <c r="F18" s="132">
        <v>0</v>
      </c>
      <c r="G18" s="132">
        <v>0</v>
      </c>
      <c r="H18" s="132">
        <v>0.3</v>
      </c>
      <c r="I18" s="132">
        <v>0</v>
      </c>
      <c r="J18" s="132">
        <v>0</v>
      </c>
      <c r="K18" s="132">
        <v>0</v>
      </c>
      <c r="L18" s="132">
        <v>0</v>
      </c>
      <c r="M18" s="132">
        <v>0.5</v>
      </c>
      <c r="N18" s="132">
        <v>0.1</v>
      </c>
      <c r="O18" s="132">
        <v>0</v>
      </c>
      <c r="P18" s="132">
        <v>0</v>
      </c>
      <c r="Q18" s="132">
        <v>0</v>
      </c>
      <c r="R18" s="132">
        <v>0</v>
      </c>
      <c r="S18" s="132">
        <v>0</v>
      </c>
      <c r="T18" s="128">
        <f t="shared" si="0"/>
        <v>6.0000000000000005E-2</v>
      </c>
    </row>
    <row r="19" spans="1:20" x14ac:dyDescent="0.2">
      <c r="A19" s="23" t="s">
        <v>102</v>
      </c>
      <c r="B19">
        <v>2</v>
      </c>
      <c r="C19" s="23" t="s">
        <v>112</v>
      </c>
      <c r="D19">
        <v>207</v>
      </c>
      <c r="E19" s="132">
        <v>0.09</v>
      </c>
      <c r="F19" s="132">
        <v>0</v>
      </c>
      <c r="G19" s="132">
        <v>0</v>
      </c>
      <c r="H19" s="132">
        <v>0.3</v>
      </c>
      <c r="I19" s="132">
        <v>0</v>
      </c>
      <c r="J19" s="132">
        <v>0.5</v>
      </c>
      <c r="K19" s="132">
        <v>0</v>
      </c>
      <c r="L19" s="132">
        <v>0</v>
      </c>
      <c r="M19" s="132">
        <v>0</v>
      </c>
      <c r="N19" s="132">
        <v>0.1</v>
      </c>
      <c r="O19" s="132">
        <v>0</v>
      </c>
      <c r="P19" s="132">
        <v>0</v>
      </c>
      <c r="Q19" s="132">
        <v>0</v>
      </c>
      <c r="R19" s="132">
        <v>0</v>
      </c>
      <c r="S19" s="132">
        <v>0</v>
      </c>
      <c r="T19" s="128">
        <f t="shared" si="0"/>
        <v>6.6000000000000003E-2</v>
      </c>
    </row>
    <row r="20" spans="1:20" x14ac:dyDescent="0.2">
      <c r="A20" s="23" t="s">
        <v>102</v>
      </c>
      <c r="B20">
        <v>2</v>
      </c>
      <c r="C20" s="23" t="s">
        <v>112</v>
      </c>
      <c r="D20">
        <v>208</v>
      </c>
      <c r="E20" s="132">
        <v>0</v>
      </c>
      <c r="F20" s="132">
        <v>0</v>
      </c>
      <c r="G20" s="132">
        <v>0</v>
      </c>
      <c r="H20" s="132">
        <v>0.3</v>
      </c>
      <c r="I20" s="132">
        <v>0</v>
      </c>
      <c r="J20" s="132">
        <v>0.9</v>
      </c>
      <c r="K20" s="132">
        <v>0</v>
      </c>
      <c r="L20" s="132">
        <v>0</v>
      </c>
      <c r="M20" s="132">
        <v>0</v>
      </c>
      <c r="N20" s="132">
        <v>0.1</v>
      </c>
      <c r="O20" s="132">
        <v>0</v>
      </c>
      <c r="P20" s="132">
        <v>0</v>
      </c>
      <c r="Q20" s="132">
        <v>0</v>
      </c>
      <c r="R20" s="132">
        <v>0</v>
      </c>
      <c r="S20" s="132">
        <v>0</v>
      </c>
      <c r="T20" s="128">
        <f t="shared" si="0"/>
        <v>8.666666666666667E-2</v>
      </c>
    </row>
    <row r="21" spans="1:20" x14ac:dyDescent="0.2">
      <c r="A21" s="23" t="s">
        <v>102</v>
      </c>
      <c r="B21">
        <v>2</v>
      </c>
      <c r="C21" s="23" t="s">
        <v>112</v>
      </c>
      <c r="D21">
        <v>209</v>
      </c>
      <c r="E21" s="132">
        <v>0</v>
      </c>
      <c r="F21" s="132">
        <v>0</v>
      </c>
      <c r="G21" s="132">
        <v>0</v>
      </c>
      <c r="H21" s="132">
        <v>0.3</v>
      </c>
      <c r="I21" s="132">
        <v>0</v>
      </c>
      <c r="J21" s="132">
        <v>0.9</v>
      </c>
      <c r="K21" s="132">
        <v>0</v>
      </c>
      <c r="L21" s="132">
        <v>0</v>
      </c>
      <c r="M21" s="132">
        <v>0</v>
      </c>
      <c r="N21" s="132">
        <v>0.1</v>
      </c>
      <c r="O21" s="132">
        <v>0</v>
      </c>
      <c r="P21" s="132">
        <v>0</v>
      </c>
      <c r="Q21" s="132">
        <v>0</v>
      </c>
      <c r="R21" s="132">
        <v>0</v>
      </c>
      <c r="S21" s="132">
        <v>0</v>
      </c>
      <c r="T21" s="128">
        <f t="shared" si="0"/>
        <v>8.666666666666667E-2</v>
      </c>
    </row>
    <row r="22" spans="1:20" x14ac:dyDescent="0.2">
      <c r="A22" s="23" t="s">
        <v>102</v>
      </c>
      <c r="B22">
        <v>2</v>
      </c>
      <c r="C22" s="23" t="s">
        <v>112</v>
      </c>
      <c r="D22">
        <v>210</v>
      </c>
      <c r="E22" s="132">
        <v>0</v>
      </c>
      <c r="F22" s="132">
        <v>0</v>
      </c>
      <c r="G22" s="132">
        <v>0</v>
      </c>
      <c r="H22" s="132">
        <v>0.3</v>
      </c>
      <c r="I22" s="132">
        <v>0</v>
      </c>
      <c r="J22" s="132">
        <v>0.9</v>
      </c>
      <c r="K22" s="132">
        <v>0</v>
      </c>
      <c r="L22" s="132">
        <v>0</v>
      </c>
      <c r="M22" s="132">
        <v>0</v>
      </c>
      <c r="N22" s="132">
        <v>0.1</v>
      </c>
      <c r="O22" s="132">
        <v>0</v>
      </c>
      <c r="P22" s="132">
        <v>0</v>
      </c>
      <c r="Q22" s="132">
        <v>0</v>
      </c>
      <c r="R22" s="132">
        <v>0</v>
      </c>
      <c r="S22" s="132">
        <v>0</v>
      </c>
      <c r="T22" s="128">
        <f t="shared" si="0"/>
        <v>8.666666666666667E-2</v>
      </c>
    </row>
    <row r="23" spans="1:20" x14ac:dyDescent="0.2">
      <c r="A23" s="23" t="s">
        <v>102</v>
      </c>
      <c r="B23">
        <v>2</v>
      </c>
      <c r="C23" s="23" t="s">
        <v>112</v>
      </c>
      <c r="D23">
        <v>211</v>
      </c>
      <c r="E23" s="132">
        <v>0</v>
      </c>
      <c r="F23" s="132">
        <v>0</v>
      </c>
      <c r="G23" s="132">
        <v>0</v>
      </c>
      <c r="H23" s="132">
        <v>0.3</v>
      </c>
      <c r="I23" s="132">
        <v>0</v>
      </c>
      <c r="J23" s="132">
        <v>0.9</v>
      </c>
      <c r="K23" s="132">
        <v>0</v>
      </c>
      <c r="L23" s="132">
        <v>0</v>
      </c>
      <c r="M23" s="132">
        <v>0</v>
      </c>
      <c r="N23" s="132">
        <v>0.1</v>
      </c>
      <c r="O23" s="132">
        <v>0</v>
      </c>
      <c r="P23" s="132">
        <v>0</v>
      </c>
      <c r="Q23" s="132">
        <v>0</v>
      </c>
      <c r="R23" s="132">
        <v>0</v>
      </c>
      <c r="S23" s="132">
        <v>0</v>
      </c>
      <c r="T23" s="128">
        <f t="shared" si="0"/>
        <v>8.666666666666667E-2</v>
      </c>
    </row>
    <row r="24" spans="1:20" x14ac:dyDescent="0.2">
      <c r="A24" s="23" t="s">
        <v>102</v>
      </c>
      <c r="B24">
        <v>2</v>
      </c>
      <c r="C24" s="23" t="s">
        <v>112</v>
      </c>
      <c r="D24">
        <v>212</v>
      </c>
      <c r="E24" s="132">
        <v>0</v>
      </c>
      <c r="F24" s="132">
        <v>0</v>
      </c>
      <c r="G24" s="132">
        <v>0</v>
      </c>
      <c r="H24" s="132">
        <v>0.3</v>
      </c>
      <c r="I24" s="132">
        <v>0</v>
      </c>
      <c r="J24" s="132">
        <v>0</v>
      </c>
      <c r="K24" s="132">
        <v>0</v>
      </c>
      <c r="L24" s="132">
        <v>0</v>
      </c>
      <c r="M24" s="132">
        <v>0</v>
      </c>
      <c r="N24" s="132">
        <v>0.1</v>
      </c>
      <c r="O24" s="132">
        <v>0</v>
      </c>
      <c r="P24" s="132">
        <v>0</v>
      </c>
      <c r="Q24" s="132">
        <v>0</v>
      </c>
      <c r="R24" s="132">
        <v>0</v>
      </c>
      <c r="S24" s="132">
        <v>0</v>
      </c>
      <c r="T24" s="128">
        <f t="shared" si="0"/>
        <v>2.6666666666666668E-2</v>
      </c>
    </row>
    <row r="25" spans="1:20" x14ac:dyDescent="0.2">
      <c r="A25" s="23" t="s">
        <v>102</v>
      </c>
      <c r="B25">
        <v>2</v>
      </c>
      <c r="C25" s="23" t="s">
        <v>112</v>
      </c>
      <c r="D25">
        <v>213</v>
      </c>
      <c r="E25" s="132">
        <v>0</v>
      </c>
      <c r="F25" s="132">
        <v>0</v>
      </c>
      <c r="G25" s="132">
        <v>0</v>
      </c>
      <c r="H25" s="132">
        <v>0.3</v>
      </c>
      <c r="I25" s="132">
        <v>0</v>
      </c>
      <c r="J25" s="132">
        <v>0</v>
      </c>
      <c r="K25" s="132">
        <v>0</v>
      </c>
      <c r="L25" s="132">
        <v>0</v>
      </c>
      <c r="M25" s="132">
        <v>0</v>
      </c>
      <c r="N25" s="132">
        <v>0.1</v>
      </c>
      <c r="O25" s="132">
        <v>0</v>
      </c>
      <c r="P25" s="132">
        <v>0</v>
      </c>
      <c r="Q25" s="132">
        <v>0</v>
      </c>
      <c r="R25" s="132">
        <v>0</v>
      </c>
      <c r="S25" s="132">
        <v>0</v>
      </c>
      <c r="T25" s="128">
        <f t="shared" si="0"/>
        <v>2.6666666666666668E-2</v>
      </c>
    </row>
    <row r="26" spans="1:20" x14ac:dyDescent="0.2">
      <c r="A26" s="23" t="s">
        <v>102</v>
      </c>
      <c r="B26">
        <v>2</v>
      </c>
      <c r="C26" s="23" t="s">
        <v>112</v>
      </c>
      <c r="D26">
        <v>214</v>
      </c>
      <c r="E26" s="132">
        <v>0</v>
      </c>
      <c r="F26" s="132">
        <v>0</v>
      </c>
      <c r="G26" s="132">
        <v>0</v>
      </c>
      <c r="H26" s="132">
        <v>0.3</v>
      </c>
      <c r="I26" s="132">
        <v>0</v>
      </c>
      <c r="J26" s="132">
        <v>0</v>
      </c>
      <c r="K26" s="132">
        <v>0</v>
      </c>
      <c r="L26" s="132">
        <v>0</v>
      </c>
      <c r="M26" s="132">
        <v>0</v>
      </c>
      <c r="N26" s="132">
        <v>0.1</v>
      </c>
      <c r="O26" s="132">
        <v>0</v>
      </c>
      <c r="P26" s="132">
        <v>0</v>
      </c>
      <c r="Q26" s="132">
        <v>0</v>
      </c>
      <c r="R26" s="132">
        <v>0</v>
      </c>
      <c r="S26" s="132">
        <v>0</v>
      </c>
      <c r="T26" s="128">
        <f t="shared" si="0"/>
        <v>2.6666666666666668E-2</v>
      </c>
    </row>
    <row r="27" spans="1:20" x14ac:dyDescent="0.2">
      <c r="A27" s="23" t="s">
        <v>102</v>
      </c>
      <c r="B27">
        <v>2</v>
      </c>
      <c r="C27" s="23" t="s">
        <v>112</v>
      </c>
      <c r="D27">
        <v>215</v>
      </c>
      <c r="E27" s="132">
        <v>0</v>
      </c>
      <c r="F27" s="132">
        <v>0</v>
      </c>
      <c r="G27" s="132">
        <v>0</v>
      </c>
      <c r="H27" s="132">
        <v>0.3</v>
      </c>
      <c r="I27" s="132">
        <v>0</v>
      </c>
      <c r="J27" s="132">
        <v>0</v>
      </c>
      <c r="K27" s="132">
        <v>0</v>
      </c>
      <c r="L27" s="132">
        <v>0</v>
      </c>
      <c r="M27" s="132">
        <v>0</v>
      </c>
      <c r="N27" s="132">
        <v>0.1</v>
      </c>
      <c r="O27" s="132">
        <v>0</v>
      </c>
      <c r="P27" s="132">
        <v>0</v>
      </c>
      <c r="Q27" s="132">
        <v>0</v>
      </c>
      <c r="R27" s="132">
        <v>0</v>
      </c>
      <c r="S27" s="132">
        <v>0</v>
      </c>
      <c r="T27" s="128">
        <f t="shared" si="0"/>
        <v>2.6666666666666668E-2</v>
      </c>
    </row>
    <row r="28" spans="1:20" x14ac:dyDescent="0.2">
      <c r="A28" s="23" t="s">
        <v>102</v>
      </c>
      <c r="B28">
        <v>2</v>
      </c>
      <c r="C28" s="23" t="s">
        <v>112</v>
      </c>
      <c r="D28">
        <v>216</v>
      </c>
      <c r="E28" s="132">
        <v>0</v>
      </c>
      <c r="F28" s="132">
        <v>0</v>
      </c>
      <c r="G28" s="132">
        <v>0</v>
      </c>
      <c r="H28" s="132">
        <v>0.3</v>
      </c>
      <c r="I28" s="132">
        <v>0</v>
      </c>
      <c r="J28" s="132">
        <v>0</v>
      </c>
      <c r="K28" s="132">
        <v>0</v>
      </c>
      <c r="L28" s="132">
        <v>0</v>
      </c>
      <c r="M28" s="132">
        <v>0</v>
      </c>
      <c r="N28" s="132">
        <v>0</v>
      </c>
      <c r="O28" s="132">
        <v>0</v>
      </c>
      <c r="P28" s="132">
        <v>0</v>
      </c>
      <c r="Q28" s="132">
        <v>0</v>
      </c>
      <c r="R28" s="132">
        <v>0</v>
      </c>
      <c r="S28" s="132">
        <v>0</v>
      </c>
      <c r="T28" s="128">
        <f t="shared" si="0"/>
        <v>0.02</v>
      </c>
    </row>
    <row r="29" spans="1:20" x14ac:dyDescent="0.2">
      <c r="A29" s="23" t="s">
        <v>102</v>
      </c>
      <c r="B29">
        <v>2</v>
      </c>
      <c r="C29" s="23" t="s">
        <v>112</v>
      </c>
      <c r="D29">
        <v>217</v>
      </c>
      <c r="E29" s="132">
        <v>0</v>
      </c>
      <c r="F29" s="132">
        <v>0</v>
      </c>
      <c r="G29" s="132">
        <v>0</v>
      </c>
      <c r="H29" s="132">
        <v>0.3</v>
      </c>
      <c r="I29" s="132">
        <v>0</v>
      </c>
      <c r="J29" s="132">
        <v>0</v>
      </c>
      <c r="K29" s="132">
        <v>0</v>
      </c>
      <c r="L29" s="132">
        <v>0</v>
      </c>
      <c r="M29" s="132">
        <v>0</v>
      </c>
      <c r="N29" s="132">
        <v>0</v>
      </c>
      <c r="O29" s="132">
        <v>0</v>
      </c>
      <c r="P29" s="132">
        <v>0</v>
      </c>
      <c r="Q29" s="132">
        <v>0</v>
      </c>
      <c r="R29" s="132">
        <v>0</v>
      </c>
      <c r="S29" s="132">
        <v>0</v>
      </c>
      <c r="T29" s="128">
        <f t="shared" si="0"/>
        <v>0.02</v>
      </c>
    </row>
    <row r="30" spans="1:20" x14ac:dyDescent="0.2">
      <c r="A30" s="23" t="s">
        <v>102</v>
      </c>
      <c r="B30">
        <v>2</v>
      </c>
      <c r="C30" s="23" t="s">
        <v>112</v>
      </c>
      <c r="D30">
        <v>218</v>
      </c>
      <c r="E30" s="132">
        <v>0</v>
      </c>
      <c r="F30" s="132">
        <v>0</v>
      </c>
      <c r="G30" s="132">
        <v>0</v>
      </c>
      <c r="H30" s="132">
        <v>0.3</v>
      </c>
      <c r="I30" s="132">
        <v>0</v>
      </c>
      <c r="J30" s="132">
        <v>0</v>
      </c>
      <c r="K30" s="132">
        <v>0</v>
      </c>
      <c r="L30" s="132">
        <v>0</v>
      </c>
      <c r="M30" s="132">
        <v>0</v>
      </c>
      <c r="N30" s="132">
        <v>0</v>
      </c>
      <c r="O30" s="132">
        <v>0</v>
      </c>
      <c r="P30" s="132">
        <v>0</v>
      </c>
      <c r="Q30" s="132">
        <v>0</v>
      </c>
      <c r="R30" s="132">
        <v>0</v>
      </c>
      <c r="S30" s="132">
        <v>0</v>
      </c>
      <c r="T30" s="128">
        <f t="shared" si="0"/>
        <v>0.02</v>
      </c>
    </row>
    <row r="31" spans="1:20" x14ac:dyDescent="0.2">
      <c r="A31" s="23" t="s">
        <v>102</v>
      </c>
      <c r="B31">
        <v>2</v>
      </c>
      <c r="C31" s="23" t="s">
        <v>112</v>
      </c>
      <c r="D31">
        <v>219</v>
      </c>
      <c r="E31" s="132">
        <v>0</v>
      </c>
      <c r="F31" s="132">
        <v>0</v>
      </c>
      <c r="G31" s="132">
        <v>0</v>
      </c>
      <c r="H31" s="132">
        <v>0.3</v>
      </c>
      <c r="I31" s="132">
        <v>0</v>
      </c>
      <c r="J31" s="132">
        <v>0</v>
      </c>
      <c r="K31" s="132">
        <v>0</v>
      </c>
      <c r="L31" s="132">
        <v>0</v>
      </c>
      <c r="M31" s="132">
        <v>0</v>
      </c>
      <c r="N31" s="132">
        <v>0</v>
      </c>
      <c r="O31" s="132">
        <v>0</v>
      </c>
      <c r="P31" s="132">
        <v>0</v>
      </c>
      <c r="Q31" s="132">
        <v>0</v>
      </c>
      <c r="R31" s="132">
        <v>0</v>
      </c>
      <c r="S31" s="132">
        <v>0</v>
      </c>
      <c r="T31" s="128">
        <f t="shared" si="0"/>
        <v>0.02</v>
      </c>
    </row>
    <row r="32" spans="1:20" x14ac:dyDescent="0.2">
      <c r="A32" s="23" t="s">
        <v>102</v>
      </c>
      <c r="B32">
        <v>2</v>
      </c>
      <c r="C32" s="23" t="s">
        <v>112</v>
      </c>
      <c r="D32">
        <v>220</v>
      </c>
      <c r="E32" s="132">
        <v>0</v>
      </c>
      <c r="F32" s="132">
        <v>0</v>
      </c>
      <c r="G32" s="132">
        <v>0</v>
      </c>
      <c r="H32" s="132">
        <v>0.3</v>
      </c>
      <c r="I32" s="132">
        <v>0</v>
      </c>
      <c r="J32" s="132">
        <v>0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0</v>
      </c>
      <c r="S32" s="132">
        <v>0</v>
      </c>
      <c r="T32" s="128">
        <f t="shared" si="0"/>
        <v>0.02</v>
      </c>
    </row>
    <row r="33" spans="1:20" x14ac:dyDescent="0.2">
      <c r="A33" s="23" t="s">
        <v>102</v>
      </c>
      <c r="B33">
        <v>2</v>
      </c>
      <c r="C33" s="23" t="s">
        <v>112</v>
      </c>
      <c r="D33">
        <v>221</v>
      </c>
      <c r="E33" s="132">
        <v>0</v>
      </c>
      <c r="F33" s="132">
        <v>0</v>
      </c>
      <c r="G33" s="132">
        <v>0</v>
      </c>
      <c r="H33" s="132">
        <v>0.3</v>
      </c>
      <c r="I33" s="132">
        <v>0</v>
      </c>
      <c r="J33" s="132">
        <v>0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0</v>
      </c>
      <c r="R33" s="132">
        <v>0</v>
      </c>
      <c r="S33" s="132">
        <v>0</v>
      </c>
      <c r="T33" s="128">
        <f t="shared" si="0"/>
        <v>0.02</v>
      </c>
    </row>
    <row r="34" spans="1:20" x14ac:dyDescent="0.2">
      <c r="A34" s="23" t="s">
        <v>102</v>
      </c>
      <c r="B34">
        <v>2</v>
      </c>
      <c r="C34" s="23" t="s">
        <v>112</v>
      </c>
      <c r="D34">
        <v>222</v>
      </c>
      <c r="E34" s="132">
        <v>0</v>
      </c>
      <c r="F34" s="132">
        <v>0</v>
      </c>
      <c r="G34" s="132">
        <v>0</v>
      </c>
      <c r="H34" s="132">
        <v>0.3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28">
        <f t="shared" si="0"/>
        <v>0.02</v>
      </c>
    </row>
    <row r="35" spans="1:20" x14ac:dyDescent="0.2">
      <c r="A35" s="23" t="s">
        <v>102</v>
      </c>
      <c r="B35">
        <v>2</v>
      </c>
      <c r="C35" s="23" t="s">
        <v>112</v>
      </c>
      <c r="D35">
        <v>223</v>
      </c>
      <c r="E35" s="132">
        <v>0</v>
      </c>
      <c r="F35" s="132">
        <v>0</v>
      </c>
      <c r="G35" s="132">
        <v>0</v>
      </c>
      <c r="H35" s="132">
        <v>0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28">
        <f t="shared" si="0"/>
        <v>0</v>
      </c>
    </row>
    <row r="36" spans="1:20" x14ac:dyDescent="0.2">
      <c r="A36" s="23" t="s">
        <v>102</v>
      </c>
      <c r="B36">
        <v>2</v>
      </c>
      <c r="C36" s="23" t="s">
        <v>111</v>
      </c>
      <c r="D36">
        <v>201</v>
      </c>
      <c r="E36" s="132">
        <v>0.95</v>
      </c>
      <c r="F36" s="132">
        <v>0</v>
      </c>
      <c r="G36" s="132">
        <v>0</v>
      </c>
      <c r="H36" s="132">
        <v>0.3</v>
      </c>
      <c r="I36" s="132">
        <v>0</v>
      </c>
      <c r="J36" s="132">
        <v>0.9</v>
      </c>
      <c r="K36" s="132">
        <v>0</v>
      </c>
      <c r="L36" s="132">
        <v>0</v>
      </c>
      <c r="M36" s="132">
        <v>0.95</v>
      </c>
      <c r="N36" s="132">
        <v>0.95</v>
      </c>
      <c r="O36" s="132">
        <v>0</v>
      </c>
      <c r="P36" s="132">
        <v>0</v>
      </c>
      <c r="Q36" s="132">
        <v>0.85</v>
      </c>
      <c r="R36" s="132">
        <v>0</v>
      </c>
      <c r="S36" s="132">
        <v>0</v>
      </c>
      <c r="T36" s="128">
        <f t="shared" si="0"/>
        <v>0.32666666666666661</v>
      </c>
    </row>
    <row r="37" spans="1:20" x14ac:dyDescent="0.2">
      <c r="A37" s="23" t="s">
        <v>102</v>
      </c>
      <c r="B37">
        <v>2</v>
      </c>
      <c r="C37" s="23" t="s">
        <v>111</v>
      </c>
      <c r="D37">
        <v>202</v>
      </c>
      <c r="E37" s="132">
        <v>0.95</v>
      </c>
      <c r="F37" s="132">
        <v>0</v>
      </c>
      <c r="G37" s="132">
        <v>0</v>
      </c>
      <c r="H37" s="132">
        <v>0.3</v>
      </c>
      <c r="I37" s="132">
        <v>0</v>
      </c>
      <c r="J37" s="132">
        <v>0.9</v>
      </c>
      <c r="K37" s="132">
        <v>0</v>
      </c>
      <c r="L37" s="132">
        <v>0</v>
      </c>
      <c r="M37" s="132">
        <v>0.95</v>
      </c>
      <c r="N37" s="132">
        <v>0.95</v>
      </c>
      <c r="O37" s="132">
        <v>0</v>
      </c>
      <c r="P37" s="132">
        <v>0</v>
      </c>
      <c r="Q37" s="132">
        <v>0.85</v>
      </c>
      <c r="R37" s="132">
        <v>0</v>
      </c>
      <c r="S37" s="132">
        <v>0</v>
      </c>
      <c r="T37" s="128">
        <f t="shared" si="0"/>
        <v>0.32666666666666661</v>
      </c>
    </row>
    <row r="38" spans="1:20" x14ac:dyDescent="0.2">
      <c r="A38" s="23" t="s">
        <v>102</v>
      </c>
      <c r="B38">
        <v>2</v>
      </c>
      <c r="C38" s="23" t="s">
        <v>111</v>
      </c>
      <c r="D38">
        <v>203</v>
      </c>
      <c r="E38" s="132">
        <v>0.95</v>
      </c>
      <c r="F38" s="132">
        <v>0</v>
      </c>
      <c r="G38" s="132">
        <v>0</v>
      </c>
      <c r="H38" s="132">
        <v>0.3</v>
      </c>
      <c r="I38" s="132">
        <v>0.15</v>
      </c>
      <c r="J38" s="132">
        <v>0.95</v>
      </c>
      <c r="K38" s="132">
        <v>0</v>
      </c>
      <c r="L38" s="132">
        <v>0</v>
      </c>
      <c r="M38" s="132">
        <v>0.95</v>
      </c>
      <c r="N38" s="132">
        <v>0.95</v>
      </c>
      <c r="O38" s="132">
        <v>0.1</v>
      </c>
      <c r="P38" s="132">
        <v>0</v>
      </c>
      <c r="Q38" s="132">
        <v>0.85</v>
      </c>
      <c r="R38" s="132">
        <v>0</v>
      </c>
      <c r="S38" s="132">
        <v>0.1</v>
      </c>
      <c r="T38" s="128">
        <f t="shared" si="0"/>
        <v>0.35333333333333328</v>
      </c>
    </row>
    <row r="39" spans="1:20" x14ac:dyDescent="0.2">
      <c r="A39" s="23" t="s">
        <v>102</v>
      </c>
      <c r="B39">
        <v>2</v>
      </c>
      <c r="C39" s="23" t="s">
        <v>111</v>
      </c>
      <c r="D39">
        <v>204</v>
      </c>
      <c r="E39" s="132">
        <v>0.95</v>
      </c>
      <c r="F39" s="132">
        <v>0</v>
      </c>
      <c r="G39" s="132">
        <v>0</v>
      </c>
      <c r="H39" s="132">
        <v>0.9</v>
      </c>
      <c r="I39" s="132">
        <v>0.4</v>
      </c>
      <c r="J39" s="132">
        <v>0.95</v>
      </c>
      <c r="K39" s="132">
        <v>0.15</v>
      </c>
      <c r="L39" s="132">
        <v>0.1</v>
      </c>
      <c r="M39" s="132">
        <v>0.95</v>
      </c>
      <c r="N39" s="132">
        <v>0.95</v>
      </c>
      <c r="O39" s="132">
        <v>0.1</v>
      </c>
      <c r="P39" s="132">
        <v>0.1</v>
      </c>
      <c r="Q39" s="132">
        <v>0.85</v>
      </c>
      <c r="R39" s="132">
        <v>0</v>
      </c>
      <c r="S39" s="132">
        <v>0.1</v>
      </c>
      <c r="T39" s="128">
        <f t="shared" si="0"/>
        <v>0.43333333333333329</v>
      </c>
    </row>
    <row r="40" spans="1:20" x14ac:dyDescent="0.2">
      <c r="A40" s="23" t="s">
        <v>102</v>
      </c>
      <c r="B40">
        <v>2</v>
      </c>
      <c r="C40" s="23" t="s">
        <v>111</v>
      </c>
      <c r="D40">
        <v>205</v>
      </c>
      <c r="E40" s="132">
        <v>0.95</v>
      </c>
      <c r="F40" s="132">
        <v>0</v>
      </c>
      <c r="G40" s="132">
        <v>0</v>
      </c>
      <c r="H40" s="132">
        <v>0.9</v>
      </c>
      <c r="I40" s="132">
        <v>0.4</v>
      </c>
      <c r="J40" s="132">
        <v>0.95</v>
      </c>
      <c r="K40" s="132">
        <v>0.15</v>
      </c>
      <c r="L40" s="132">
        <v>0.1</v>
      </c>
      <c r="M40" s="132">
        <v>0.95</v>
      </c>
      <c r="N40" s="132">
        <v>0.95</v>
      </c>
      <c r="O40" s="132">
        <v>0.1</v>
      </c>
      <c r="P40" s="132">
        <v>5.0000000000000001E-4</v>
      </c>
      <c r="Q40" s="132">
        <v>0.85</v>
      </c>
      <c r="R40" s="132">
        <v>0</v>
      </c>
      <c r="S40" s="132">
        <v>0.1</v>
      </c>
      <c r="T40" s="128">
        <f t="shared" si="0"/>
        <v>0.42669999999999997</v>
      </c>
    </row>
    <row r="41" spans="1:20" x14ac:dyDescent="0.2">
      <c r="A41" s="23" t="s">
        <v>102</v>
      </c>
      <c r="B41">
        <v>2</v>
      </c>
      <c r="C41" s="23" t="s">
        <v>111</v>
      </c>
      <c r="D41">
        <v>206</v>
      </c>
      <c r="E41" s="132">
        <v>0.95</v>
      </c>
      <c r="F41" s="132">
        <v>0</v>
      </c>
      <c r="G41" s="132">
        <v>0</v>
      </c>
      <c r="H41" s="132">
        <v>0.3</v>
      </c>
      <c r="I41" s="132">
        <v>0.15</v>
      </c>
      <c r="J41" s="132">
        <v>0.95</v>
      </c>
      <c r="K41" s="132">
        <v>0</v>
      </c>
      <c r="L41" s="132">
        <v>0</v>
      </c>
      <c r="M41" s="132">
        <v>0.95</v>
      </c>
      <c r="N41" s="132">
        <v>0.95</v>
      </c>
      <c r="O41" s="132">
        <v>0.1</v>
      </c>
      <c r="P41" s="132">
        <v>0.1</v>
      </c>
      <c r="Q41" s="132">
        <v>0.85</v>
      </c>
      <c r="R41" s="132">
        <v>0</v>
      </c>
      <c r="S41" s="132">
        <v>0.1</v>
      </c>
      <c r="T41" s="128">
        <f t="shared" si="0"/>
        <v>0.35999999999999993</v>
      </c>
    </row>
    <row r="42" spans="1:20" x14ac:dyDescent="0.2">
      <c r="A42" s="23" t="s">
        <v>102</v>
      </c>
      <c r="B42">
        <v>2</v>
      </c>
      <c r="C42" s="23" t="s">
        <v>111</v>
      </c>
      <c r="D42">
        <v>207</v>
      </c>
      <c r="E42" s="132">
        <v>0.95</v>
      </c>
      <c r="F42" s="132">
        <v>0</v>
      </c>
      <c r="G42" s="132">
        <v>0</v>
      </c>
      <c r="H42" s="132">
        <v>0.3</v>
      </c>
      <c r="I42" s="132">
        <v>0</v>
      </c>
      <c r="J42" s="132">
        <v>0.9</v>
      </c>
      <c r="K42" s="132">
        <v>0</v>
      </c>
      <c r="L42" s="132">
        <v>0</v>
      </c>
      <c r="M42" s="132">
        <v>0.95</v>
      </c>
      <c r="N42" s="132">
        <v>0.95</v>
      </c>
      <c r="O42" s="132">
        <v>0</v>
      </c>
      <c r="P42" s="132">
        <v>0</v>
      </c>
      <c r="Q42" s="132">
        <v>0.85</v>
      </c>
      <c r="R42" s="132">
        <v>0</v>
      </c>
      <c r="S42" s="132">
        <v>0</v>
      </c>
      <c r="T42" s="128">
        <f t="shared" si="0"/>
        <v>0.32666666666666661</v>
      </c>
    </row>
    <row r="43" spans="1:20" x14ac:dyDescent="0.2">
      <c r="A43" s="23" t="s">
        <v>102</v>
      </c>
      <c r="B43">
        <v>2</v>
      </c>
      <c r="C43" s="23" t="s">
        <v>111</v>
      </c>
      <c r="D43">
        <v>208</v>
      </c>
      <c r="E43" s="132">
        <v>0.95</v>
      </c>
      <c r="F43" s="132">
        <v>0</v>
      </c>
      <c r="G43" s="132">
        <v>0</v>
      </c>
      <c r="H43" s="132">
        <v>0.3</v>
      </c>
      <c r="I43" s="132">
        <v>0</v>
      </c>
      <c r="J43" s="132">
        <v>0.9</v>
      </c>
      <c r="K43" s="132">
        <v>0</v>
      </c>
      <c r="L43" s="132">
        <v>0</v>
      </c>
      <c r="M43" s="132">
        <v>0</v>
      </c>
      <c r="N43" s="132">
        <v>0.95</v>
      </c>
      <c r="O43" s="132">
        <v>0</v>
      </c>
      <c r="P43" s="132">
        <v>0.1</v>
      </c>
      <c r="Q43" s="132">
        <v>0.85</v>
      </c>
      <c r="R43" s="132">
        <v>0</v>
      </c>
      <c r="S43" s="132">
        <v>0.1</v>
      </c>
      <c r="T43" s="128">
        <f t="shared" si="0"/>
        <v>0.27666666666666662</v>
      </c>
    </row>
    <row r="44" spans="1:20" x14ac:dyDescent="0.2">
      <c r="A44" s="23" t="s">
        <v>102</v>
      </c>
      <c r="B44">
        <v>2</v>
      </c>
      <c r="C44" s="23" t="s">
        <v>111</v>
      </c>
      <c r="D44">
        <v>209</v>
      </c>
      <c r="E44" s="132">
        <v>0.95</v>
      </c>
      <c r="F44" s="132">
        <v>0</v>
      </c>
      <c r="G44" s="132">
        <v>0</v>
      </c>
      <c r="H44" s="132">
        <v>0.3</v>
      </c>
      <c r="I44" s="132">
        <v>0</v>
      </c>
      <c r="J44" s="132">
        <v>0.9</v>
      </c>
      <c r="K44" s="132">
        <v>0</v>
      </c>
      <c r="L44" s="132">
        <v>0</v>
      </c>
      <c r="M44" s="132">
        <v>0</v>
      </c>
      <c r="N44" s="132">
        <v>0.1</v>
      </c>
      <c r="O44" s="132">
        <v>0</v>
      </c>
      <c r="P44" s="132">
        <v>0</v>
      </c>
      <c r="Q44" s="132">
        <v>0.85</v>
      </c>
      <c r="R44" s="132">
        <v>0</v>
      </c>
      <c r="S44" s="132">
        <v>0</v>
      </c>
      <c r="T44" s="128">
        <f t="shared" si="0"/>
        <v>0.20666666666666667</v>
      </c>
    </row>
    <row r="45" spans="1:20" x14ac:dyDescent="0.2">
      <c r="A45" s="23" t="s">
        <v>102</v>
      </c>
      <c r="B45">
        <v>2</v>
      </c>
      <c r="C45" s="23" t="s">
        <v>111</v>
      </c>
      <c r="D45">
        <v>210</v>
      </c>
      <c r="E45" s="132">
        <v>0.95</v>
      </c>
      <c r="F45" s="132">
        <v>0</v>
      </c>
      <c r="G45" s="132">
        <v>0</v>
      </c>
      <c r="H45" s="132">
        <v>0.3</v>
      </c>
      <c r="I45" s="132">
        <v>0</v>
      </c>
      <c r="J45" s="132">
        <v>0.9</v>
      </c>
      <c r="K45" s="132">
        <v>0</v>
      </c>
      <c r="L45" s="132">
        <v>0</v>
      </c>
      <c r="M45" s="132">
        <v>0</v>
      </c>
      <c r="N45" s="132">
        <v>0.1</v>
      </c>
      <c r="O45" s="132">
        <v>0</v>
      </c>
      <c r="P45" s="132">
        <v>0</v>
      </c>
      <c r="Q45" s="132">
        <v>0.85</v>
      </c>
      <c r="R45" s="132">
        <v>0</v>
      </c>
      <c r="S45" s="132">
        <v>0</v>
      </c>
      <c r="T45" s="128">
        <f t="shared" si="0"/>
        <v>0.20666666666666667</v>
      </c>
    </row>
    <row r="46" spans="1:20" x14ac:dyDescent="0.2">
      <c r="A46" s="23" t="s">
        <v>102</v>
      </c>
      <c r="B46">
        <v>2</v>
      </c>
      <c r="C46" s="23" t="s">
        <v>111</v>
      </c>
      <c r="D46">
        <v>211</v>
      </c>
      <c r="E46" s="132">
        <v>0.95</v>
      </c>
      <c r="F46" s="132">
        <v>0</v>
      </c>
      <c r="G46" s="132">
        <v>0</v>
      </c>
      <c r="H46" s="132">
        <v>0.3</v>
      </c>
      <c r="I46" s="132">
        <v>0</v>
      </c>
      <c r="J46" s="132">
        <v>0.9</v>
      </c>
      <c r="K46" s="132">
        <v>0</v>
      </c>
      <c r="L46" s="132">
        <v>0</v>
      </c>
      <c r="M46" s="132">
        <v>0</v>
      </c>
      <c r="N46" s="132">
        <v>0.1</v>
      </c>
      <c r="O46" s="132">
        <v>0</v>
      </c>
      <c r="P46" s="132">
        <v>0</v>
      </c>
      <c r="Q46" s="132">
        <v>0.85</v>
      </c>
      <c r="R46" s="132">
        <v>0</v>
      </c>
      <c r="S46" s="132">
        <v>0</v>
      </c>
      <c r="T46" s="128">
        <f t="shared" si="0"/>
        <v>0.20666666666666667</v>
      </c>
    </row>
    <row r="47" spans="1:20" x14ac:dyDescent="0.2">
      <c r="A47" s="23" t="s">
        <v>102</v>
      </c>
      <c r="B47">
        <v>2</v>
      </c>
      <c r="C47" s="23" t="s">
        <v>111</v>
      </c>
      <c r="D47">
        <v>212</v>
      </c>
      <c r="E47" s="132">
        <v>0.95</v>
      </c>
      <c r="F47" s="132">
        <v>0</v>
      </c>
      <c r="G47" s="132">
        <v>0</v>
      </c>
      <c r="H47" s="132">
        <v>0.3</v>
      </c>
      <c r="I47" s="132">
        <v>0</v>
      </c>
      <c r="J47" s="132">
        <v>0.9</v>
      </c>
      <c r="K47" s="132">
        <v>0</v>
      </c>
      <c r="L47" s="132">
        <v>0</v>
      </c>
      <c r="M47" s="132">
        <v>0</v>
      </c>
      <c r="N47" s="132">
        <v>0.1</v>
      </c>
      <c r="O47" s="132">
        <v>0</v>
      </c>
      <c r="P47" s="132">
        <v>0</v>
      </c>
      <c r="Q47" s="132">
        <v>0.85</v>
      </c>
      <c r="R47" s="132">
        <v>0</v>
      </c>
      <c r="S47" s="132">
        <v>0</v>
      </c>
      <c r="T47" s="128">
        <f t="shared" si="0"/>
        <v>0.20666666666666667</v>
      </c>
    </row>
    <row r="48" spans="1:20" x14ac:dyDescent="0.2">
      <c r="A48" s="23" t="s">
        <v>102</v>
      </c>
      <c r="B48">
        <v>2</v>
      </c>
      <c r="C48" s="23" t="s">
        <v>111</v>
      </c>
      <c r="D48">
        <v>213</v>
      </c>
      <c r="E48" s="132">
        <v>0.95</v>
      </c>
      <c r="F48" s="132">
        <v>0</v>
      </c>
      <c r="G48" s="132">
        <v>0</v>
      </c>
      <c r="H48" s="132">
        <v>0.3</v>
      </c>
      <c r="I48" s="132">
        <v>0</v>
      </c>
      <c r="J48" s="132">
        <v>0.9</v>
      </c>
      <c r="K48" s="132">
        <v>0</v>
      </c>
      <c r="L48" s="132">
        <v>0</v>
      </c>
      <c r="M48" s="132">
        <v>0</v>
      </c>
      <c r="N48" s="132">
        <v>0.1</v>
      </c>
      <c r="O48" s="132">
        <v>0</v>
      </c>
      <c r="P48" s="132">
        <v>0</v>
      </c>
      <c r="Q48" s="132">
        <v>0.85</v>
      </c>
      <c r="R48" s="132">
        <v>0</v>
      </c>
      <c r="S48" s="132">
        <v>0</v>
      </c>
      <c r="T48" s="128">
        <f t="shared" si="0"/>
        <v>0.20666666666666667</v>
      </c>
    </row>
    <row r="49" spans="1:20" x14ac:dyDescent="0.2">
      <c r="A49" s="23" t="s">
        <v>102</v>
      </c>
      <c r="B49">
        <v>2</v>
      </c>
      <c r="C49" s="23" t="s">
        <v>111</v>
      </c>
      <c r="D49">
        <v>214</v>
      </c>
      <c r="E49" s="132">
        <v>0.95</v>
      </c>
      <c r="F49" s="132">
        <v>0</v>
      </c>
      <c r="G49" s="132">
        <v>0</v>
      </c>
      <c r="H49" s="132">
        <v>0.3</v>
      </c>
      <c r="I49" s="132">
        <v>0</v>
      </c>
      <c r="J49" s="132">
        <v>0.9</v>
      </c>
      <c r="K49" s="132">
        <v>0</v>
      </c>
      <c r="L49" s="132">
        <v>0</v>
      </c>
      <c r="M49" s="132">
        <v>0</v>
      </c>
      <c r="N49" s="132">
        <v>0.1</v>
      </c>
      <c r="O49" s="132">
        <v>0</v>
      </c>
      <c r="P49" s="132">
        <v>0</v>
      </c>
      <c r="Q49" s="132">
        <v>0.85</v>
      </c>
      <c r="R49" s="132">
        <v>0</v>
      </c>
      <c r="S49" s="132">
        <v>0</v>
      </c>
      <c r="T49" s="128">
        <f t="shared" si="0"/>
        <v>0.20666666666666667</v>
      </c>
    </row>
    <row r="50" spans="1:20" x14ac:dyDescent="0.2">
      <c r="A50" s="23" t="s">
        <v>102</v>
      </c>
      <c r="B50">
        <v>2</v>
      </c>
      <c r="C50" s="23" t="s">
        <v>111</v>
      </c>
      <c r="D50">
        <v>215</v>
      </c>
      <c r="E50" s="132">
        <v>0</v>
      </c>
      <c r="F50" s="132">
        <v>0</v>
      </c>
      <c r="G50" s="132">
        <v>0</v>
      </c>
      <c r="H50" s="132">
        <v>0.3</v>
      </c>
      <c r="I50" s="132">
        <v>0</v>
      </c>
      <c r="J50" s="132">
        <v>0.9</v>
      </c>
      <c r="K50" s="132">
        <v>0</v>
      </c>
      <c r="L50" s="132">
        <v>0</v>
      </c>
      <c r="M50" s="132">
        <v>0</v>
      </c>
      <c r="N50" s="132">
        <v>0.1</v>
      </c>
      <c r="O50" s="132">
        <v>0</v>
      </c>
      <c r="P50" s="132">
        <v>0</v>
      </c>
      <c r="Q50" s="132">
        <v>0.85</v>
      </c>
      <c r="R50" s="132">
        <v>0</v>
      </c>
      <c r="S50" s="132">
        <v>0</v>
      </c>
      <c r="T50" s="128">
        <f t="shared" si="0"/>
        <v>0.14333333333333334</v>
      </c>
    </row>
    <row r="51" spans="1:20" x14ac:dyDescent="0.2">
      <c r="A51" s="23" t="s">
        <v>102</v>
      </c>
      <c r="B51">
        <v>2</v>
      </c>
      <c r="C51" s="23" t="s">
        <v>111</v>
      </c>
      <c r="D51">
        <v>216</v>
      </c>
      <c r="E51" s="132">
        <v>0</v>
      </c>
      <c r="F51" s="132">
        <v>0</v>
      </c>
      <c r="G51" s="132">
        <v>0</v>
      </c>
      <c r="H51" s="132">
        <v>0.3</v>
      </c>
      <c r="I51" s="132">
        <v>0</v>
      </c>
      <c r="J51" s="132">
        <v>0.9</v>
      </c>
      <c r="K51" s="132">
        <v>0</v>
      </c>
      <c r="L51" s="132">
        <v>0</v>
      </c>
      <c r="M51" s="132">
        <v>0</v>
      </c>
      <c r="N51" s="132">
        <v>0.1</v>
      </c>
      <c r="O51" s="132">
        <v>0</v>
      </c>
      <c r="P51" s="132">
        <v>0</v>
      </c>
      <c r="Q51" s="132">
        <v>0.85</v>
      </c>
      <c r="R51" s="132">
        <v>0</v>
      </c>
      <c r="S51" s="132">
        <v>0</v>
      </c>
      <c r="T51" s="128">
        <f t="shared" si="0"/>
        <v>0.14333333333333334</v>
      </c>
    </row>
    <row r="52" spans="1:20" x14ac:dyDescent="0.2">
      <c r="A52" s="23" t="s">
        <v>102</v>
      </c>
      <c r="B52">
        <v>2</v>
      </c>
      <c r="C52" s="23" t="s">
        <v>111</v>
      </c>
      <c r="D52">
        <v>217</v>
      </c>
      <c r="E52" s="132">
        <v>0</v>
      </c>
      <c r="F52" s="132">
        <v>0</v>
      </c>
      <c r="G52" s="132">
        <v>0</v>
      </c>
      <c r="H52" s="132">
        <v>0.3</v>
      </c>
      <c r="I52" s="132">
        <v>0</v>
      </c>
      <c r="J52" s="132">
        <v>0.9</v>
      </c>
      <c r="K52" s="132">
        <v>0</v>
      </c>
      <c r="L52" s="132">
        <v>0</v>
      </c>
      <c r="M52" s="132">
        <v>0</v>
      </c>
      <c r="N52" s="132">
        <v>0.1</v>
      </c>
      <c r="O52" s="132">
        <v>0</v>
      </c>
      <c r="P52" s="132">
        <v>0</v>
      </c>
      <c r="Q52" s="132">
        <v>0.85</v>
      </c>
      <c r="R52" s="132">
        <v>0</v>
      </c>
      <c r="S52" s="132">
        <v>0</v>
      </c>
      <c r="T52" s="128">
        <f t="shared" si="0"/>
        <v>0.14333333333333334</v>
      </c>
    </row>
    <row r="53" spans="1:20" x14ac:dyDescent="0.2">
      <c r="A53" s="23" t="s">
        <v>102</v>
      </c>
      <c r="B53">
        <v>2</v>
      </c>
      <c r="C53" s="23" t="s">
        <v>111</v>
      </c>
      <c r="D53">
        <v>218</v>
      </c>
      <c r="E53" s="132">
        <v>0</v>
      </c>
      <c r="F53" s="132">
        <v>0</v>
      </c>
      <c r="G53" s="132">
        <v>0</v>
      </c>
      <c r="H53" s="132">
        <v>0.3</v>
      </c>
      <c r="I53" s="132">
        <v>0</v>
      </c>
      <c r="J53" s="132">
        <v>0.9</v>
      </c>
      <c r="K53" s="132">
        <v>0</v>
      </c>
      <c r="L53" s="132">
        <v>0</v>
      </c>
      <c r="M53" s="132">
        <v>0</v>
      </c>
      <c r="N53" s="132">
        <v>0.1</v>
      </c>
      <c r="O53" s="132">
        <v>0</v>
      </c>
      <c r="P53" s="132">
        <v>0</v>
      </c>
      <c r="Q53" s="132">
        <v>0.85</v>
      </c>
      <c r="R53" s="132">
        <v>0</v>
      </c>
      <c r="S53" s="132">
        <v>0</v>
      </c>
      <c r="T53" s="128">
        <f t="shared" si="0"/>
        <v>0.14333333333333334</v>
      </c>
    </row>
    <row r="54" spans="1:20" x14ac:dyDescent="0.2">
      <c r="A54" s="23" t="s">
        <v>102</v>
      </c>
      <c r="B54">
        <v>2</v>
      </c>
      <c r="C54" s="23" t="s">
        <v>111</v>
      </c>
      <c r="D54">
        <v>219</v>
      </c>
      <c r="E54" s="132">
        <v>0</v>
      </c>
      <c r="F54" s="132">
        <v>0</v>
      </c>
      <c r="G54" s="132">
        <v>0</v>
      </c>
      <c r="H54" s="132">
        <v>0.3</v>
      </c>
      <c r="I54" s="132">
        <v>0</v>
      </c>
      <c r="J54" s="132">
        <v>0.9</v>
      </c>
      <c r="K54" s="132">
        <v>0</v>
      </c>
      <c r="L54" s="132">
        <v>0</v>
      </c>
      <c r="M54" s="132">
        <v>0</v>
      </c>
      <c r="N54" s="132">
        <v>0.1</v>
      </c>
      <c r="O54" s="132">
        <v>0</v>
      </c>
      <c r="P54" s="132">
        <v>0</v>
      </c>
      <c r="Q54" s="132">
        <v>0.85</v>
      </c>
      <c r="R54" s="132">
        <v>0</v>
      </c>
      <c r="S54" s="132">
        <v>0</v>
      </c>
      <c r="T54" s="128">
        <f t="shared" si="0"/>
        <v>0.14333333333333334</v>
      </c>
    </row>
    <row r="55" spans="1:20" x14ac:dyDescent="0.2">
      <c r="A55" s="23" t="s">
        <v>102</v>
      </c>
      <c r="B55">
        <v>2</v>
      </c>
      <c r="C55" s="23" t="s">
        <v>111</v>
      </c>
      <c r="D55">
        <v>220</v>
      </c>
      <c r="E55" s="132">
        <v>0</v>
      </c>
      <c r="F55" s="132">
        <v>0</v>
      </c>
      <c r="G55" s="132">
        <v>0</v>
      </c>
      <c r="H55" s="132">
        <v>0.3</v>
      </c>
      <c r="I55" s="132">
        <v>0</v>
      </c>
      <c r="J55" s="132">
        <v>0.9</v>
      </c>
      <c r="K55" s="132">
        <v>0</v>
      </c>
      <c r="L55" s="132">
        <v>0</v>
      </c>
      <c r="M55" s="132">
        <v>0</v>
      </c>
      <c r="N55" s="132">
        <v>0.1</v>
      </c>
      <c r="O55" s="132">
        <v>0</v>
      </c>
      <c r="P55" s="132">
        <v>0</v>
      </c>
      <c r="Q55" s="132">
        <v>0.85</v>
      </c>
      <c r="R55" s="132">
        <v>0</v>
      </c>
      <c r="S55" s="132">
        <v>0</v>
      </c>
      <c r="T55" s="128">
        <f t="shared" si="0"/>
        <v>0.14333333333333334</v>
      </c>
    </row>
    <row r="56" spans="1:20" x14ac:dyDescent="0.2">
      <c r="A56" s="23" t="s">
        <v>102</v>
      </c>
      <c r="B56">
        <v>2</v>
      </c>
      <c r="C56" s="23" t="s">
        <v>111</v>
      </c>
      <c r="D56">
        <v>221</v>
      </c>
      <c r="E56" s="132">
        <v>0</v>
      </c>
      <c r="F56" s="132">
        <v>0</v>
      </c>
      <c r="G56" s="132">
        <v>0</v>
      </c>
      <c r="H56" s="132">
        <v>0.3</v>
      </c>
      <c r="I56" s="132">
        <v>0</v>
      </c>
      <c r="J56" s="132">
        <v>0.9</v>
      </c>
      <c r="K56" s="132">
        <v>0</v>
      </c>
      <c r="L56" s="132">
        <v>0</v>
      </c>
      <c r="M56" s="132">
        <v>0</v>
      </c>
      <c r="N56" s="132">
        <v>0.1</v>
      </c>
      <c r="O56" s="132">
        <v>0</v>
      </c>
      <c r="P56" s="132">
        <v>0</v>
      </c>
      <c r="Q56" s="132">
        <v>0.85</v>
      </c>
      <c r="R56" s="132">
        <v>0</v>
      </c>
      <c r="S56" s="132">
        <v>0</v>
      </c>
      <c r="T56" s="128">
        <f t="shared" si="0"/>
        <v>0.14333333333333334</v>
      </c>
    </row>
    <row r="57" spans="1:20" x14ac:dyDescent="0.2">
      <c r="A57" s="23"/>
      <c r="C57" s="23"/>
      <c r="D57" s="23"/>
      <c r="E57" s="132"/>
      <c r="F57" s="132">
        <f>AVERAGE(F14:F56)</f>
        <v>0</v>
      </c>
      <c r="G57" s="132">
        <f>AVERAGE(G14:G56)</f>
        <v>0</v>
      </c>
      <c r="H57" s="132">
        <v>0.3</v>
      </c>
      <c r="I57" s="132">
        <f>AVERAGE(I14:I56)</f>
        <v>2.5581395348837212E-2</v>
      </c>
      <c r="J57" s="132">
        <v>0.9</v>
      </c>
      <c r="K57" s="132">
        <f t="shared" ref="K57:S57" si="2">AVERAGE(K14:K56)</f>
        <v>6.9767441860465115E-3</v>
      </c>
      <c r="L57" s="132">
        <f t="shared" si="2"/>
        <v>4.6511627906976744E-3</v>
      </c>
      <c r="M57" s="132">
        <f t="shared" si="2"/>
        <v>0.20116279069767443</v>
      </c>
      <c r="N57" s="132">
        <f t="shared" si="2"/>
        <v>0.23953488372093013</v>
      </c>
      <c r="O57" s="132">
        <f t="shared" si="2"/>
        <v>9.3023255813953487E-3</v>
      </c>
      <c r="P57" s="132">
        <f t="shared" si="2"/>
        <v>6.9883720930232554E-3</v>
      </c>
      <c r="Q57" s="132">
        <f t="shared" si="2"/>
        <v>0.41511627906976739</v>
      </c>
      <c r="R57" s="132">
        <f t="shared" si="2"/>
        <v>0</v>
      </c>
      <c r="S57" s="132">
        <f t="shared" si="2"/>
        <v>1.1627906976744186E-2</v>
      </c>
      <c r="T57" s="128">
        <f t="shared" si="0"/>
        <v>0.15149584717607972</v>
      </c>
    </row>
    <row r="58" spans="1:20" x14ac:dyDescent="0.2">
      <c r="A58" s="23" t="s">
        <v>102</v>
      </c>
      <c r="B58">
        <v>3</v>
      </c>
      <c r="C58" s="23" t="s">
        <v>112</v>
      </c>
      <c r="D58">
        <v>301</v>
      </c>
      <c r="E58" s="132">
        <v>0</v>
      </c>
      <c r="F58" s="132">
        <v>0</v>
      </c>
      <c r="G58" s="132">
        <v>0</v>
      </c>
      <c r="H58" s="132">
        <v>0.3</v>
      </c>
      <c r="I58" s="132">
        <v>0</v>
      </c>
      <c r="J58" s="132">
        <v>0</v>
      </c>
      <c r="K58" s="132">
        <v>0</v>
      </c>
      <c r="L58" s="132">
        <v>0</v>
      </c>
      <c r="M58" s="132">
        <v>0</v>
      </c>
      <c r="N58" s="132">
        <v>0</v>
      </c>
      <c r="O58" s="132">
        <v>0</v>
      </c>
      <c r="P58" s="132">
        <v>0</v>
      </c>
      <c r="Q58" s="132">
        <v>0</v>
      </c>
      <c r="R58" s="132">
        <v>0</v>
      </c>
      <c r="S58" s="132">
        <v>0</v>
      </c>
      <c r="T58" s="128">
        <f t="shared" si="0"/>
        <v>0.02</v>
      </c>
    </row>
    <row r="59" spans="1:20" x14ac:dyDescent="0.2">
      <c r="A59" s="23" t="s">
        <v>102</v>
      </c>
      <c r="B59">
        <v>3</v>
      </c>
      <c r="C59" s="23" t="s">
        <v>112</v>
      </c>
      <c r="D59">
        <v>302</v>
      </c>
      <c r="E59" s="132">
        <v>0</v>
      </c>
      <c r="F59" s="132">
        <v>0</v>
      </c>
      <c r="G59" s="132">
        <v>0</v>
      </c>
      <c r="H59" s="132">
        <v>0.3</v>
      </c>
      <c r="I59" s="132">
        <v>0</v>
      </c>
      <c r="J59" s="132">
        <v>0</v>
      </c>
      <c r="K59" s="132">
        <v>0</v>
      </c>
      <c r="L59" s="132">
        <v>0</v>
      </c>
      <c r="M59" s="132">
        <v>0</v>
      </c>
      <c r="N59" s="132">
        <v>0</v>
      </c>
      <c r="O59" s="132">
        <v>0</v>
      </c>
      <c r="P59" s="132">
        <v>0</v>
      </c>
      <c r="Q59" s="132">
        <v>0</v>
      </c>
      <c r="R59" s="132">
        <v>0</v>
      </c>
      <c r="S59" s="132">
        <v>0</v>
      </c>
      <c r="T59" s="128">
        <f t="shared" si="0"/>
        <v>0.02</v>
      </c>
    </row>
    <row r="60" spans="1:20" x14ac:dyDescent="0.2">
      <c r="A60" s="23" t="s">
        <v>102</v>
      </c>
      <c r="B60">
        <v>3</v>
      </c>
      <c r="C60" s="23" t="s">
        <v>112</v>
      </c>
      <c r="D60">
        <v>303</v>
      </c>
      <c r="E60" s="132">
        <v>0</v>
      </c>
      <c r="F60" s="132">
        <v>0</v>
      </c>
      <c r="G60" s="132">
        <v>0</v>
      </c>
      <c r="H60" s="132">
        <v>0.3</v>
      </c>
      <c r="I60" s="132">
        <v>0</v>
      </c>
      <c r="J60" s="132">
        <v>0</v>
      </c>
      <c r="K60" s="132">
        <v>0</v>
      </c>
      <c r="L60" s="132">
        <v>0</v>
      </c>
      <c r="M60" s="132">
        <v>0</v>
      </c>
      <c r="N60" s="132">
        <v>0</v>
      </c>
      <c r="O60" s="132">
        <v>0</v>
      </c>
      <c r="P60" s="132">
        <v>0</v>
      </c>
      <c r="Q60" s="132">
        <v>0</v>
      </c>
      <c r="R60" s="132">
        <v>0</v>
      </c>
      <c r="S60" s="132">
        <v>0</v>
      </c>
      <c r="T60" s="128">
        <f t="shared" si="0"/>
        <v>0.02</v>
      </c>
    </row>
    <row r="61" spans="1:20" x14ac:dyDescent="0.2">
      <c r="A61" s="23" t="s">
        <v>102</v>
      </c>
      <c r="B61">
        <v>3</v>
      </c>
      <c r="C61" s="23" t="s">
        <v>112</v>
      </c>
      <c r="D61">
        <v>304</v>
      </c>
      <c r="E61" s="132">
        <v>0</v>
      </c>
      <c r="F61" s="132">
        <v>0</v>
      </c>
      <c r="G61" s="132">
        <v>0</v>
      </c>
      <c r="H61" s="132">
        <v>0.3</v>
      </c>
      <c r="I61" s="132">
        <v>0</v>
      </c>
      <c r="J61" s="132">
        <v>0</v>
      </c>
      <c r="K61" s="132">
        <v>0</v>
      </c>
      <c r="L61" s="132">
        <v>0</v>
      </c>
      <c r="M61" s="132">
        <v>0</v>
      </c>
      <c r="N61" s="132">
        <v>0</v>
      </c>
      <c r="O61" s="132">
        <v>0</v>
      </c>
      <c r="P61" s="132">
        <v>0</v>
      </c>
      <c r="Q61" s="132">
        <v>0</v>
      </c>
      <c r="R61" s="132">
        <v>0</v>
      </c>
      <c r="S61" s="132">
        <v>0</v>
      </c>
      <c r="T61" s="128">
        <f t="shared" si="0"/>
        <v>0.02</v>
      </c>
    </row>
    <row r="62" spans="1:20" x14ac:dyDescent="0.2">
      <c r="A62" s="23" t="s">
        <v>102</v>
      </c>
      <c r="B62">
        <v>3</v>
      </c>
      <c r="C62" s="23" t="s">
        <v>112</v>
      </c>
      <c r="D62">
        <v>305</v>
      </c>
      <c r="E62" s="132">
        <v>0.95</v>
      </c>
      <c r="F62" s="132">
        <v>0</v>
      </c>
      <c r="G62" s="132">
        <v>0</v>
      </c>
      <c r="H62" s="132">
        <v>0.3</v>
      </c>
      <c r="I62" s="132">
        <v>0.95</v>
      </c>
      <c r="J62" s="132">
        <v>0.95</v>
      </c>
      <c r="K62" s="132">
        <v>0.95</v>
      </c>
      <c r="L62" s="132">
        <v>0.95</v>
      </c>
      <c r="M62" s="132">
        <v>0.9</v>
      </c>
      <c r="N62" s="132">
        <v>0.9</v>
      </c>
      <c r="O62" s="132">
        <v>0.95</v>
      </c>
      <c r="P62" s="132">
        <v>0.95</v>
      </c>
      <c r="Q62" s="132">
        <v>0.8</v>
      </c>
      <c r="R62" s="132">
        <v>0.5</v>
      </c>
      <c r="S62" s="132">
        <v>0.95</v>
      </c>
      <c r="T62" s="128">
        <f t="shared" si="0"/>
        <v>0.7333333333333335</v>
      </c>
    </row>
    <row r="63" spans="1:20" x14ac:dyDescent="0.2">
      <c r="A63" s="23" t="s">
        <v>102</v>
      </c>
      <c r="B63">
        <v>3</v>
      </c>
      <c r="C63" s="23" t="s">
        <v>112</v>
      </c>
      <c r="D63">
        <v>306</v>
      </c>
      <c r="E63" s="132">
        <v>0</v>
      </c>
      <c r="F63" s="132">
        <v>0</v>
      </c>
      <c r="G63" s="132">
        <v>0</v>
      </c>
      <c r="H63" s="132">
        <v>0.3</v>
      </c>
      <c r="I63" s="132">
        <v>0</v>
      </c>
      <c r="J63" s="132">
        <v>0</v>
      </c>
      <c r="K63" s="132">
        <v>0</v>
      </c>
      <c r="L63" s="132">
        <v>0</v>
      </c>
      <c r="M63" s="132">
        <v>0</v>
      </c>
      <c r="N63" s="132">
        <v>0</v>
      </c>
      <c r="O63" s="132">
        <v>0</v>
      </c>
      <c r="P63" s="132">
        <v>0</v>
      </c>
      <c r="Q63" s="132">
        <v>0</v>
      </c>
      <c r="R63" s="132">
        <v>0</v>
      </c>
      <c r="S63" s="132">
        <v>0</v>
      </c>
      <c r="T63" s="128">
        <f t="shared" si="0"/>
        <v>0.02</v>
      </c>
    </row>
    <row r="64" spans="1:20" x14ac:dyDescent="0.2">
      <c r="A64" s="23" t="s">
        <v>102</v>
      </c>
      <c r="B64">
        <v>3</v>
      </c>
      <c r="C64" s="23" t="s">
        <v>112</v>
      </c>
      <c r="D64">
        <v>307</v>
      </c>
      <c r="E64" s="132">
        <v>0</v>
      </c>
      <c r="F64" s="132">
        <v>0</v>
      </c>
      <c r="G64" s="132">
        <v>0</v>
      </c>
      <c r="H64" s="132">
        <v>0.3</v>
      </c>
      <c r="I64" s="132">
        <v>0</v>
      </c>
      <c r="J64" s="132">
        <v>0</v>
      </c>
      <c r="K64" s="132">
        <v>0</v>
      </c>
      <c r="L64" s="132">
        <v>0</v>
      </c>
      <c r="M64" s="132">
        <v>0</v>
      </c>
      <c r="N64" s="132">
        <v>0</v>
      </c>
      <c r="O64" s="132">
        <v>0</v>
      </c>
      <c r="P64" s="132">
        <v>0</v>
      </c>
      <c r="Q64" s="132">
        <v>0</v>
      </c>
      <c r="R64" s="132">
        <v>0</v>
      </c>
      <c r="S64" s="132">
        <v>0</v>
      </c>
      <c r="T64" s="128">
        <f t="shared" si="0"/>
        <v>0.02</v>
      </c>
    </row>
    <row r="65" spans="1:20" x14ac:dyDescent="0.2">
      <c r="A65" s="23" t="s">
        <v>102</v>
      </c>
      <c r="B65">
        <v>3</v>
      </c>
      <c r="C65" s="23" t="s">
        <v>112</v>
      </c>
      <c r="D65">
        <v>308</v>
      </c>
      <c r="E65" s="132">
        <v>0</v>
      </c>
      <c r="F65" s="132">
        <v>0</v>
      </c>
      <c r="G65" s="132">
        <v>0</v>
      </c>
      <c r="H65" s="132">
        <v>0.3</v>
      </c>
      <c r="I65" s="132">
        <v>0</v>
      </c>
      <c r="J65" s="132">
        <v>0</v>
      </c>
      <c r="K65" s="132">
        <v>0</v>
      </c>
      <c r="L65" s="132">
        <v>0</v>
      </c>
      <c r="M65" s="132">
        <v>0</v>
      </c>
      <c r="N65" s="132">
        <v>0</v>
      </c>
      <c r="O65" s="132">
        <v>0</v>
      </c>
      <c r="P65" s="132">
        <v>0</v>
      </c>
      <c r="Q65" s="132">
        <v>0</v>
      </c>
      <c r="R65" s="132">
        <v>0</v>
      </c>
      <c r="S65" s="132">
        <v>0</v>
      </c>
      <c r="T65" s="128">
        <f t="shared" si="0"/>
        <v>0.02</v>
      </c>
    </row>
    <row r="66" spans="1:20" x14ac:dyDescent="0.2">
      <c r="A66" s="23" t="s">
        <v>102</v>
      </c>
      <c r="B66">
        <v>3</v>
      </c>
      <c r="C66" s="23" t="s">
        <v>112</v>
      </c>
      <c r="D66">
        <v>309</v>
      </c>
      <c r="E66" s="132">
        <v>0</v>
      </c>
      <c r="F66" s="132">
        <v>0</v>
      </c>
      <c r="G66" s="132">
        <v>0</v>
      </c>
      <c r="H66" s="132">
        <v>0.3</v>
      </c>
      <c r="I66" s="132">
        <v>0</v>
      </c>
      <c r="J66" s="132">
        <v>0</v>
      </c>
      <c r="K66" s="132">
        <v>0</v>
      </c>
      <c r="L66" s="132">
        <v>0</v>
      </c>
      <c r="M66" s="132">
        <v>0</v>
      </c>
      <c r="N66" s="132">
        <v>0</v>
      </c>
      <c r="O66" s="132">
        <v>0</v>
      </c>
      <c r="P66" s="132">
        <v>0</v>
      </c>
      <c r="Q66" s="132">
        <v>0</v>
      </c>
      <c r="R66" s="132">
        <v>0</v>
      </c>
      <c r="S66" s="132">
        <v>0</v>
      </c>
      <c r="T66" s="128">
        <f t="shared" ref="T66:T129" si="3">AVERAGE(E66:S66)</f>
        <v>0.02</v>
      </c>
    </row>
    <row r="67" spans="1:20" x14ac:dyDescent="0.2">
      <c r="A67" s="23" t="s">
        <v>102</v>
      </c>
      <c r="B67">
        <v>3</v>
      </c>
      <c r="C67" s="23" t="s">
        <v>112</v>
      </c>
      <c r="D67">
        <v>310</v>
      </c>
      <c r="E67" s="132">
        <v>0</v>
      </c>
      <c r="F67" s="132">
        <v>0</v>
      </c>
      <c r="G67" s="132">
        <v>0</v>
      </c>
      <c r="H67" s="132">
        <v>0.3</v>
      </c>
      <c r="I67" s="132">
        <v>0</v>
      </c>
      <c r="J67" s="132">
        <v>0</v>
      </c>
      <c r="K67" s="132">
        <v>0</v>
      </c>
      <c r="L67" s="132">
        <v>0</v>
      </c>
      <c r="M67" s="132">
        <v>0</v>
      </c>
      <c r="N67" s="132">
        <v>0</v>
      </c>
      <c r="O67" s="132">
        <v>0</v>
      </c>
      <c r="P67" s="132">
        <v>0</v>
      </c>
      <c r="Q67" s="132">
        <v>0</v>
      </c>
      <c r="R67" s="132">
        <v>0</v>
      </c>
      <c r="S67" s="132">
        <v>0</v>
      </c>
      <c r="T67" s="128">
        <f t="shared" si="3"/>
        <v>0.02</v>
      </c>
    </row>
    <row r="68" spans="1:20" x14ac:dyDescent="0.2">
      <c r="A68" s="23" t="s">
        <v>102</v>
      </c>
      <c r="B68">
        <v>3</v>
      </c>
      <c r="C68" s="23" t="s">
        <v>112</v>
      </c>
      <c r="D68">
        <v>311</v>
      </c>
      <c r="E68" s="132">
        <v>0</v>
      </c>
      <c r="F68" s="132">
        <v>0</v>
      </c>
      <c r="G68" s="132">
        <v>0</v>
      </c>
      <c r="H68" s="132">
        <v>0.3</v>
      </c>
      <c r="I68" s="132">
        <v>0</v>
      </c>
      <c r="J68" s="132">
        <v>0</v>
      </c>
      <c r="K68" s="132">
        <v>0</v>
      </c>
      <c r="L68" s="132">
        <v>0</v>
      </c>
      <c r="M68" s="132">
        <v>0</v>
      </c>
      <c r="N68" s="132">
        <v>0</v>
      </c>
      <c r="O68" s="132">
        <v>0</v>
      </c>
      <c r="P68" s="132">
        <v>0</v>
      </c>
      <c r="Q68" s="132">
        <v>0</v>
      </c>
      <c r="R68" s="132">
        <v>0</v>
      </c>
      <c r="S68" s="132">
        <v>0</v>
      </c>
      <c r="T68" s="128">
        <f t="shared" si="3"/>
        <v>0.02</v>
      </c>
    </row>
    <row r="69" spans="1:20" x14ac:dyDescent="0.2">
      <c r="A69" s="23" t="s">
        <v>102</v>
      </c>
      <c r="B69">
        <v>3</v>
      </c>
      <c r="C69" s="23" t="s">
        <v>112</v>
      </c>
      <c r="D69">
        <v>312</v>
      </c>
      <c r="E69" s="132">
        <v>0</v>
      </c>
      <c r="F69" s="132">
        <v>0</v>
      </c>
      <c r="G69" s="132">
        <v>0</v>
      </c>
      <c r="H69" s="132">
        <v>0.3</v>
      </c>
      <c r="I69" s="132">
        <v>0</v>
      </c>
      <c r="J69" s="132">
        <v>0</v>
      </c>
      <c r="K69" s="132">
        <v>0</v>
      </c>
      <c r="L69" s="132">
        <v>0</v>
      </c>
      <c r="M69" s="132">
        <v>0</v>
      </c>
      <c r="N69" s="132">
        <v>0</v>
      </c>
      <c r="O69" s="132">
        <v>0</v>
      </c>
      <c r="P69" s="132">
        <v>0</v>
      </c>
      <c r="Q69" s="132">
        <v>0</v>
      </c>
      <c r="R69" s="132">
        <v>0</v>
      </c>
      <c r="S69" s="132">
        <v>0</v>
      </c>
      <c r="T69" s="128">
        <f t="shared" si="3"/>
        <v>0.02</v>
      </c>
    </row>
    <row r="70" spans="1:20" x14ac:dyDescent="0.2">
      <c r="A70" s="23" t="s">
        <v>102</v>
      </c>
      <c r="B70">
        <v>3</v>
      </c>
      <c r="C70" s="23" t="s">
        <v>112</v>
      </c>
      <c r="D70">
        <v>313</v>
      </c>
      <c r="E70" s="132">
        <v>0</v>
      </c>
      <c r="F70" s="132">
        <v>0</v>
      </c>
      <c r="G70" s="132">
        <v>0</v>
      </c>
      <c r="H70" s="132">
        <v>0.3</v>
      </c>
      <c r="I70" s="132">
        <v>0</v>
      </c>
      <c r="J70" s="132">
        <v>0</v>
      </c>
      <c r="K70" s="132">
        <v>0</v>
      </c>
      <c r="L70" s="132">
        <v>0</v>
      </c>
      <c r="M70" s="132">
        <v>0</v>
      </c>
      <c r="N70" s="132">
        <v>0</v>
      </c>
      <c r="O70" s="132">
        <v>0</v>
      </c>
      <c r="P70" s="132">
        <v>0</v>
      </c>
      <c r="Q70" s="132">
        <v>0</v>
      </c>
      <c r="R70" s="132">
        <v>0</v>
      </c>
      <c r="S70" s="132">
        <v>0</v>
      </c>
      <c r="T70" s="128">
        <f t="shared" si="3"/>
        <v>0.02</v>
      </c>
    </row>
    <row r="71" spans="1:20" x14ac:dyDescent="0.2">
      <c r="A71" s="23" t="s">
        <v>102</v>
      </c>
      <c r="B71">
        <v>3</v>
      </c>
      <c r="C71" s="23" t="s">
        <v>112</v>
      </c>
      <c r="D71">
        <v>314</v>
      </c>
      <c r="E71" s="132">
        <v>0</v>
      </c>
      <c r="F71" s="132">
        <v>0</v>
      </c>
      <c r="G71" s="132">
        <v>0</v>
      </c>
      <c r="H71" s="132">
        <v>0.3</v>
      </c>
      <c r="I71" s="132">
        <v>0</v>
      </c>
      <c r="J71" s="132">
        <v>0</v>
      </c>
      <c r="K71" s="132">
        <v>0</v>
      </c>
      <c r="L71" s="132">
        <v>0</v>
      </c>
      <c r="M71" s="132">
        <v>0</v>
      </c>
      <c r="N71" s="132">
        <v>0</v>
      </c>
      <c r="O71" s="132">
        <v>0</v>
      </c>
      <c r="P71" s="132">
        <v>0</v>
      </c>
      <c r="Q71" s="132">
        <v>0</v>
      </c>
      <c r="R71" s="132">
        <v>0</v>
      </c>
      <c r="S71" s="132">
        <v>0</v>
      </c>
      <c r="T71" s="128">
        <f t="shared" si="3"/>
        <v>0.02</v>
      </c>
    </row>
    <row r="72" spans="1:20" x14ac:dyDescent="0.2">
      <c r="A72" s="23" t="s">
        <v>102</v>
      </c>
      <c r="B72">
        <v>3</v>
      </c>
      <c r="C72" s="23" t="s">
        <v>112</v>
      </c>
      <c r="D72">
        <v>315</v>
      </c>
      <c r="E72" s="132">
        <v>0</v>
      </c>
      <c r="F72" s="132">
        <v>0</v>
      </c>
      <c r="G72" s="132">
        <v>0</v>
      </c>
      <c r="H72" s="132">
        <v>0</v>
      </c>
      <c r="I72" s="132">
        <v>0</v>
      </c>
      <c r="J72" s="132">
        <v>0</v>
      </c>
      <c r="K72" s="132">
        <v>0</v>
      </c>
      <c r="L72" s="132">
        <v>0</v>
      </c>
      <c r="M72" s="132">
        <v>0</v>
      </c>
      <c r="N72" s="132">
        <v>0</v>
      </c>
      <c r="O72" s="132">
        <v>0</v>
      </c>
      <c r="P72" s="132">
        <v>0</v>
      </c>
      <c r="Q72" s="132">
        <v>0</v>
      </c>
      <c r="R72" s="132">
        <v>0</v>
      </c>
      <c r="S72" s="132">
        <v>0</v>
      </c>
      <c r="T72" s="128">
        <f t="shared" si="3"/>
        <v>0</v>
      </c>
    </row>
    <row r="73" spans="1:20" x14ac:dyDescent="0.2">
      <c r="A73" s="23" t="s">
        <v>102</v>
      </c>
      <c r="B73">
        <v>3</v>
      </c>
      <c r="C73" s="23" t="s">
        <v>112</v>
      </c>
      <c r="D73">
        <v>316</v>
      </c>
      <c r="E73" s="132">
        <v>0</v>
      </c>
      <c r="F73" s="132">
        <v>0</v>
      </c>
      <c r="G73" s="132">
        <v>0</v>
      </c>
      <c r="H73" s="132">
        <v>0</v>
      </c>
      <c r="I73" s="132">
        <v>0</v>
      </c>
      <c r="J73" s="132">
        <v>0</v>
      </c>
      <c r="K73" s="132">
        <v>0</v>
      </c>
      <c r="L73" s="132">
        <v>0</v>
      </c>
      <c r="M73" s="132">
        <v>0</v>
      </c>
      <c r="N73" s="132">
        <v>0</v>
      </c>
      <c r="O73" s="132">
        <v>0</v>
      </c>
      <c r="P73" s="132">
        <v>0</v>
      </c>
      <c r="Q73" s="132">
        <v>0</v>
      </c>
      <c r="R73" s="132">
        <v>0</v>
      </c>
      <c r="S73" s="132">
        <v>0</v>
      </c>
      <c r="T73" s="128">
        <f t="shared" si="3"/>
        <v>0</v>
      </c>
    </row>
    <row r="74" spans="1:20" x14ac:dyDescent="0.2">
      <c r="A74" s="23" t="s">
        <v>102</v>
      </c>
      <c r="B74">
        <v>3</v>
      </c>
      <c r="C74" s="23" t="s">
        <v>112</v>
      </c>
      <c r="D74">
        <v>317</v>
      </c>
      <c r="E74" s="132">
        <v>0</v>
      </c>
      <c r="F74" s="132">
        <v>0</v>
      </c>
      <c r="G74" s="132">
        <v>0</v>
      </c>
      <c r="H74" s="132">
        <v>0</v>
      </c>
      <c r="I74" s="132">
        <v>0</v>
      </c>
      <c r="J74" s="132">
        <v>0</v>
      </c>
      <c r="K74" s="132">
        <v>0</v>
      </c>
      <c r="L74" s="132">
        <v>0</v>
      </c>
      <c r="M74" s="132">
        <v>0</v>
      </c>
      <c r="N74" s="132">
        <v>0</v>
      </c>
      <c r="O74" s="132">
        <v>0</v>
      </c>
      <c r="P74" s="132">
        <v>0</v>
      </c>
      <c r="Q74" s="132">
        <v>0</v>
      </c>
      <c r="R74" s="132">
        <v>0</v>
      </c>
      <c r="S74" s="132">
        <v>0</v>
      </c>
      <c r="T74" s="128">
        <f t="shared" si="3"/>
        <v>0</v>
      </c>
    </row>
    <row r="75" spans="1:20" x14ac:dyDescent="0.2">
      <c r="A75" s="23" t="s">
        <v>102</v>
      </c>
      <c r="B75">
        <v>3</v>
      </c>
      <c r="C75" s="23" t="s">
        <v>112</v>
      </c>
      <c r="D75">
        <v>318</v>
      </c>
      <c r="E75" s="132">
        <v>0</v>
      </c>
      <c r="F75" s="132">
        <v>0</v>
      </c>
      <c r="G75" s="132">
        <v>0</v>
      </c>
      <c r="H75" s="132">
        <v>0</v>
      </c>
      <c r="I75" s="132">
        <v>0</v>
      </c>
      <c r="J75" s="132">
        <v>0</v>
      </c>
      <c r="K75" s="132">
        <v>0</v>
      </c>
      <c r="L75" s="132">
        <v>0</v>
      </c>
      <c r="M75" s="132">
        <v>0</v>
      </c>
      <c r="N75" s="132">
        <v>0</v>
      </c>
      <c r="O75" s="132">
        <v>0</v>
      </c>
      <c r="P75" s="132">
        <v>0</v>
      </c>
      <c r="Q75" s="132">
        <v>0</v>
      </c>
      <c r="R75" s="132">
        <v>0</v>
      </c>
      <c r="S75" s="132">
        <v>0</v>
      </c>
      <c r="T75" s="128">
        <f t="shared" si="3"/>
        <v>0</v>
      </c>
    </row>
    <row r="76" spans="1:20" x14ac:dyDescent="0.2">
      <c r="A76" s="23" t="s">
        <v>102</v>
      </c>
      <c r="B76">
        <v>3</v>
      </c>
      <c r="C76" s="23" t="s">
        <v>112</v>
      </c>
      <c r="D76">
        <v>319</v>
      </c>
      <c r="E76" s="132">
        <v>0</v>
      </c>
      <c r="F76" s="132">
        <v>0</v>
      </c>
      <c r="G76" s="132">
        <v>0</v>
      </c>
      <c r="H76" s="132">
        <v>0</v>
      </c>
      <c r="I76" s="132">
        <v>0</v>
      </c>
      <c r="J76" s="132">
        <v>0</v>
      </c>
      <c r="K76" s="132">
        <v>0</v>
      </c>
      <c r="L76" s="132">
        <v>0</v>
      </c>
      <c r="M76" s="132">
        <v>0</v>
      </c>
      <c r="N76" s="132">
        <v>0</v>
      </c>
      <c r="O76" s="132">
        <v>0</v>
      </c>
      <c r="P76" s="132">
        <v>0</v>
      </c>
      <c r="Q76" s="132">
        <v>0</v>
      </c>
      <c r="R76" s="132">
        <v>0</v>
      </c>
      <c r="S76" s="132">
        <v>0</v>
      </c>
      <c r="T76" s="128">
        <f t="shared" si="3"/>
        <v>0</v>
      </c>
    </row>
    <row r="77" spans="1:20" x14ac:dyDescent="0.2">
      <c r="A77" s="23" t="s">
        <v>102</v>
      </c>
      <c r="B77">
        <v>3</v>
      </c>
      <c r="C77" s="23" t="s">
        <v>112</v>
      </c>
      <c r="D77">
        <v>320</v>
      </c>
      <c r="E77" s="132">
        <v>0</v>
      </c>
      <c r="F77" s="132">
        <v>0</v>
      </c>
      <c r="G77" s="132">
        <v>0</v>
      </c>
      <c r="H77" s="132">
        <v>0</v>
      </c>
      <c r="I77" s="132">
        <v>0</v>
      </c>
      <c r="J77" s="132">
        <v>0</v>
      </c>
      <c r="K77" s="132">
        <v>0</v>
      </c>
      <c r="L77" s="132">
        <v>0</v>
      </c>
      <c r="M77" s="132">
        <v>0</v>
      </c>
      <c r="N77" s="132">
        <v>0</v>
      </c>
      <c r="O77" s="132">
        <v>0</v>
      </c>
      <c r="P77" s="132">
        <v>0</v>
      </c>
      <c r="Q77" s="132">
        <v>0</v>
      </c>
      <c r="R77" s="132">
        <v>0</v>
      </c>
      <c r="S77" s="132">
        <v>0</v>
      </c>
      <c r="T77" s="128">
        <f t="shared" si="3"/>
        <v>0</v>
      </c>
    </row>
    <row r="78" spans="1:20" x14ac:dyDescent="0.2">
      <c r="A78" s="23" t="s">
        <v>102</v>
      </c>
      <c r="B78">
        <v>3</v>
      </c>
      <c r="C78" s="23" t="s">
        <v>112</v>
      </c>
      <c r="D78">
        <v>321</v>
      </c>
      <c r="E78" s="132">
        <v>0</v>
      </c>
      <c r="F78" s="132">
        <v>0</v>
      </c>
      <c r="G78" s="132">
        <v>0</v>
      </c>
      <c r="H78" s="132">
        <v>0</v>
      </c>
      <c r="I78" s="132">
        <v>0</v>
      </c>
      <c r="J78" s="132">
        <v>0</v>
      </c>
      <c r="K78" s="132">
        <v>0</v>
      </c>
      <c r="L78" s="132">
        <v>0</v>
      </c>
      <c r="M78" s="132">
        <v>0</v>
      </c>
      <c r="N78" s="132">
        <v>0</v>
      </c>
      <c r="O78" s="132">
        <v>0</v>
      </c>
      <c r="P78" s="132">
        <v>0</v>
      </c>
      <c r="Q78" s="132">
        <v>0</v>
      </c>
      <c r="R78" s="132">
        <v>0</v>
      </c>
      <c r="S78" s="132">
        <v>0</v>
      </c>
      <c r="T78" s="128">
        <f t="shared" si="3"/>
        <v>0</v>
      </c>
    </row>
    <row r="79" spans="1:20" x14ac:dyDescent="0.2">
      <c r="A79" s="23" t="s">
        <v>102</v>
      </c>
      <c r="B79">
        <v>3</v>
      </c>
      <c r="C79" s="23" t="s">
        <v>112</v>
      </c>
      <c r="D79">
        <v>322</v>
      </c>
      <c r="E79" s="132">
        <v>0</v>
      </c>
      <c r="F79" s="132">
        <v>0</v>
      </c>
      <c r="G79" s="132">
        <v>0</v>
      </c>
      <c r="H79" s="132">
        <v>0</v>
      </c>
      <c r="I79" s="132">
        <v>0</v>
      </c>
      <c r="J79" s="132">
        <v>0</v>
      </c>
      <c r="K79" s="132">
        <v>0</v>
      </c>
      <c r="L79" s="132">
        <v>0</v>
      </c>
      <c r="M79" s="132">
        <v>0</v>
      </c>
      <c r="N79" s="132">
        <v>0</v>
      </c>
      <c r="O79" s="132">
        <v>0</v>
      </c>
      <c r="P79" s="132">
        <v>0</v>
      </c>
      <c r="Q79" s="132">
        <v>0</v>
      </c>
      <c r="R79" s="132">
        <v>0</v>
      </c>
      <c r="S79" s="132">
        <v>0</v>
      </c>
      <c r="T79" s="128">
        <f t="shared" si="3"/>
        <v>0</v>
      </c>
    </row>
    <row r="80" spans="1:20" x14ac:dyDescent="0.2">
      <c r="A80" s="23" t="s">
        <v>102</v>
      </c>
      <c r="B80">
        <v>3</v>
      </c>
      <c r="C80" s="23" t="s">
        <v>112</v>
      </c>
      <c r="D80">
        <v>323</v>
      </c>
      <c r="E80" s="132">
        <v>0</v>
      </c>
      <c r="F80" s="132">
        <v>0</v>
      </c>
      <c r="G80" s="132">
        <v>0</v>
      </c>
      <c r="H80" s="132">
        <v>0</v>
      </c>
      <c r="I80" s="132">
        <v>0</v>
      </c>
      <c r="J80" s="132">
        <v>0</v>
      </c>
      <c r="K80" s="132">
        <v>0</v>
      </c>
      <c r="L80" s="132">
        <v>0</v>
      </c>
      <c r="M80" s="132">
        <v>0</v>
      </c>
      <c r="N80" s="132">
        <v>0</v>
      </c>
      <c r="O80" s="132">
        <v>0</v>
      </c>
      <c r="P80" s="132">
        <v>0</v>
      </c>
      <c r="Q80" s="132">
        <v>0</v>
      </c>
      <c r="R80" s="132">
        <v>0</v>
      </c>
      <c r="S80" s="132">
        <v>0</v>
      </c>
      <c r="T80" s="128">
        <f t="shared" si="3"/>
        <v>0</v>
      </c>
    </row>
    <row r="81" spans="1:20" x14ac:dyDescent="0.2">
      <c r="A81" s="23" t="s">
        <v>102</v>
      </c>
      <c r="B81">
        <v>3</v>
      </c>
      <c r="C81" s="23" t="s">
        <v>111</v>
      </c>
      <c r="D81">
        <v>301</v>
      </c>
      <c r="E81" s="132">
        <v>0</v>
      </c>
      <c r="F81" s="132">
        <v>0</v>
      </c>
      <c r="G81" s="132">
        <v>0</v>
      </c>
      <c r="H81" s="132">
        <v>0.3</v>
      </c>
      <c r="I81" s="132">
        <v>0</v>
      </c>
      <c r="J81" s="132">
        <v>0</v>
      </c>
      <c r="K81" s="132">
        <v>0</v>
      </c>
      <c r="L81" s="132">
        <v>0</v>
      </c>
      <c r="M81" s="132">
        <v>0</v>
      </c>
      <c r="N81" s="132">
        <v>0</v>
      </c>
      <c r="O81" s="132">
        <v>0</v>
      </c>
      <c r="P81" s="132">
        <v>0</v>
      </c>
      <c r="Q81" s="132">
        <v>0</v>
      </c>
      <c r="R81" s="132">
        <v>0</v>
      </c>
      <c r="S81" s="132">
        <v>0</v>
      </c>
      <c r="T81" s="128">
        <f t="shared" si="3"/>
        <v>0.02</v>
      </c>
    </row>
    <row r="82" spans="1:20" x14ac:dyDescent="0.2">
      <c r="A82" s="23" t="s">
        <v>102</v>
      </c>
      <c r="B82">
        <v>3</v>
      </c>
      <c r="C82" s="23" t="s">
        <v>111</v>
      </c>
      <c r="D82">
        <v>302</v>
      </c>
      <c r="E82" s="132">
        <v>0</v>
      </c>
      <c r="F82" s="132">
        <v>0</v>
      </c>
      <c r="G82" s="132">
        <v>0</v>
      </c>
      <c r="H82" s="132">
        <v>0.3</v>
      </c>
      <c r="I82" s="132">
        <v>0</v>
      </c>
      <c r="J82" s="132">
        <v>0</v>
      </c>
      <c r="K82" s="132">
        <v>0</v>
      </c>
      <c r="L82" s="132">
        <v>0</v>
      </c>
      <c r="M82" s="132">
        <v>0</v>
      </c>
      <c r="N82" s="132">
        <v>0</v>
      </c>
      <c r="O82" s="132">
        <v>0</v>
      </c>
      <c r="P82" s="132">
        <v>0</v>
      </c>
      <c r="Q82" s="132">
        <v>0</v>
      </c>
      <c r="R82" s="132">
        <v>0</v>
      </c>
      <c r="S82" s="132">
        <v>0</v>
      </c>
      <c r="T82" s="128">
        <f t="shared" si="3"/>
        <v>0.02</v>
      </c>
    </row>
    <row r="83" spans="1:20" x14ac:dyDescent="0.2">
      <c r="A83" s="23" t="s">
        <v>102</v>
      </c>
      <c r="B83">
        <v>3</v>
      </c>
      <c r="C83" s="23" t="s">
        <v>111</v>
      </c>
      <c r="D83">
        <v>303</v>
      </c>
      <c r="E83" s="132">
        <v>0</v>
      </c>
      <c r="F83" s="132">
        <v>0</v>
      </c>
      <c r="G83" s="132">
        <v>0</v>
      </c>
      <c r="H83" s="132">
        <v>0.3</v>
      </c>
      <c r="I83" s="132">
        <v>0</v>
      </c>
      <c r="J83" s="132">
        <v>0</v>
      </c>
      <c r="K83" s="132">
        <v>0</v>
      </c>
      <c r="L83" s="132">
        <v>0</v>
      </c>
      <c r="M83" s="132">
        <v>0</v>
      </c>
      <c r="N83" s="132">
        <v>0</v>
      </c>
      <c r="O83" s="132">
        <v>0</v>
      </c>
      <c r="P83" s="132">
        <v>0</v>
      </c>
      <c r="Q83" s="132">
        <v>0</v>
      </c>
      <c r="R83" s="132">
        <v>0</v>
      </c>
      <c r="S83" s="132">
        <v>0</v>
      </c>
      <c r="T83" s="128">
        <f t="shared" si="3"/>
        <v>0.02</v>
      </c>
    </row>
    <row r="84" spans="1:20" x14ac:dyDescent="0.2">
      <c r="A84" s="23" t="s">
        <v>102</v>
      </c>
      <c r="B84">
        <v>3</v>
      </c>
      <c r="C84" s="23" t="s">
        <v>111</v>
      </c>
      <c r="D84">
        <v>304</v>
      </c>
      <c r="E84" s="132">
        <v>0</v>
      </c>
      <c r="F84" s="132">
        <v>0</v>
      </c>
      <c r="G84" s="132">
        <v>0</v>
      </c>
      <c r="H84" s="132">
        <v>0.3</v>
      </c>
      <c r="I84" s="132">
        <v>0</v>
      </c>
      <c r="J84" s="132">
        <v>0</v>
      </c>
      <c r="K84" s="132">
        <v>0</v>
      </c>
      <c r="L84" s="132">
        <v>0</v>
      </c>
      <c r="M84" s="132">
        <v>0</v>
      </c>
      <c r="N84" s="132">
        <v>0</v>
      </c>
      <c r="O84" s="132">
        <v>0</v>
      </c>
      <c r="P84" s="132">
        <v>0</v>
      </c>
      <c r="Q84" s="132">
        <v>0</v>
      </c>
      <c r="R84" s="132">
        <v>0</v>
      </c>
      <c r="S84" s="132">
        <v>0</v>
      </c>
      <c r="T84" s="128">
        <f t="shared" si="3"/>
        <v>0.02</v>
      </c>
    </row>
    <row r="85" spans="1:20" x14ac:dyDescent="0.2">
      <c r="A85" s="23" t="s">
        <v>102</v>
      </c>
      <c r="B85">
        <v>3</v>
      </c>
      <c r="C85" s="23" t="s">
        <v>111</v>
      </c>
      <c r="D85">
        <v>305</v>
      </c>
      <c r="E85" s="132">
        <v>0</v>
      </c>
      <c r="F85" s="132">
        <v>0</v>
      </c>
      <c r="G85" s="132">
        <v>0</v>
      </c>
      <c r="H85" s="132">
        <v>0.3</v>
      </c>
      <c r="I85" s="132">
        <v>0</v>
      </c>
      <c r="J85" s="132">
        <v>0</v>
      </c>
      <c r="K85" s="132">
        <v>0</v>
      </c>
      <c r="L85" s="132">
        <v>0</v>
      </c>
      <c r="M85" s="132">
        <v>0</v>
      </c>
      <c r="N85" s="132">
        <v>0</v>
      </c>
      <c r="O85" s="132">
        <v>0</v>
      </c>
      <c r="P85" s="132">
        <v>0</v>
      </c>
      <c r="Q85" s="132">
        <v>0</v>
      </c>
      <c r="R85" s="132">
        <v>0</v>
      </c>
      <c r="S85" s="132">
        <v>0</v>
      </c>
      <c r="T85" s="128">
        <f t="shared" si="3"/>
        <v>0.02</v>
      </c>
    </row>
    <row r="86" spans="1:20" x14ac:dyDescent="0.2">
      <c r="A86" s="23" t="s">
        <v>102</v>
      </c>
      <c r="B86">
        <v>3</v>
      </c>
      <c r="C86" s="23" t="s">
        <v>111</v>
      </c>
      <c r="D86">
        <v>306</v>
      </c>
      <c r="E86" s="132">
        <v>0</v>
      </c>
      <c r="F86" s="132">
        <v>0</v>
      </c>
      <c r="G86" s="132">
        <v>0</v>
      </c>
      <c r="H86" s="132">
        <v>0.3</v>
      </c>
      <c r="I86" s="132">
        <v>0</v>
      </c>
      <c r="J86" s="132">
        <v>0</v>
      </c>
      <c r="K86" s="132">
        <v>0</v>
      </c>
      <c r="L86" s="132">
        <v>0</v>
      </c>
      <c r="M86" s="132">
        <v>0</v>
      </c>
      <c r="N86" s="132">
        <v>0</v>
      </c>
      <c r="O86" s="132">
        <v>0</v>
      </c>
      <c r="P86" s="132">
        <v>0</v>
      </c>
      <c r="Q86" s="132">
        <v>0</v>
      </c>
      <c r="R86" s="132">
        <v>0</v>
      </c>
      <c r="S86" s="132">
        <v>0</v>
      </c>
      <c r="T86" s="128">
        <f t="shared" si="3"/>
        <v>0.02</v>
      </c>
    </row>
    <row r="87" spans="1:20" x14ac:dyDescent="0.2">
      <c r="A87" s="23" t="s">
        <v>102</v>
      </c>
      <c r="B87">
        <v>3</v>
      </c>
      <c r="C87" s="23" t="s">
        <v>111</v>
      </c>
      <c r="D87">
        <v>307</v>
      </c>
      <c r="E87" s="132">
        <v>0</v>
      </c>
      <c r="F87" s="132">
        <v>0</v>
      </c>
      <c r="G87" s="132">
        <v>0</v>
      </c>
      <c r="H87" s="132">
        <v>0.3</v>
      </c>
      <c r="I87" s="132">
        <v>0</v>
      </c>
      <c r="J87" s="132">
        <v>0</v>
      </c>
      <c r="K87" s="132">
        <v>0</v>
      </c>
      <c r="L87" s="132">
        <v>0</v>
      </c>
      <c r="M87" s="132">
        <v>0</v>
      </c>
      <c r="N87" s="132">
        <v>0</v>
      </c>
      <c r="O87" s="132">
        <v>0</v>
      </c>
      <c r="P87" s="132">
        <v>0</v>
      </c>
      <c r="Q87" s="132">
        <v>0</v>
      </c>
      <c r="R87" s="132">
        <v>0</v>
      </c>
      <c r="S87" s="132">
        <v>0</v>
      </c>
      <c r="T87" s="128">
        <f t="shared" si="3"/>
        <v>0.02</v>
      </c>
    </row>
    <row r="88" spans="1:20" x14ac:dyDescent="0.2">
      <c r="A88" s="23" t="s">
        <v>102</v>
      </c>
      <c r="B88">
        <v>3</v>
      </c>
      <c r="C88" s="23" t="s">
        <v>111</v>
      </c>
      <c r="D88">
        <v>308</v>
      </c>
      <c r="E88" s="132">
        <v>0</v>
      </c>
      <c r="F88" s="132">
        <v>0</v>
      </c>
      <c r="G88" s="132">
        <v>0</v>
      </c>
      <c r="H88" s="132">
        <v>0.3</v>
      </c>
      <c r="I88" s="132">
        <v>0</v>
      </c>
      <c r="J88" s="132">
        <v>0</v>
      </c>
      <c r="K88" s="132">
        <v>0</v>
      </c>
      <c r="L88" s="132">
        <v>0</v>
      </c>
      <c r="M88" s="132">
        <v>0</v>
      </c>
      <c r="N88" s="132">
        <v>0</v>
      </c>
      <c r="O88" s="132">
        <v>0</v>
      </c>
      <c r="P88" s="132">
        <v>0</v>
      </c>
      <c r="Q88" s="132">
        <v>0</v>
      </c>
      <c r="R88" s="132">
        <v>0</v>
      </c>
      <c r="S88" s="132">
        <v>0</v>
      </c>
      <c r="T88" s="128">
        <f t="shared" si="3"/>
        <v>0.02</v>
      </c>
    </row>
    <row r="89" spans="1:20" x14ac:dyDescent="0.2">
      <c r="A89" s="23" t="s">
        <v>102</v>
      </c>
      <c r="B89">
        <v>3</v>
      </c>
      <c r="C89" s="23" t="s">
        <v>111</v>
      </c>
      <c r="D89">
        <v>309</v>
      </c>
      <c r="E89" s="132">
        <v>0</v>
      </c>
      <c r="F89" s="132">
        <v>0</v>
      </c>
      <c r="G89" s="132">
        <v>0</v>
      </c>
      <c r="H89" s="132">
        <v>0.3</v>
      </c>
      <c r="I89" s="132">
        <v>0</v>
      </c>
      <c r="J89" s="132">
        <v>0</v>
      </c>
      <c r="K89" s="132">
        <v>0</v>
      </c>
      <c r="L89" s="132">
        <v>0</v>
      </c>
      <c r="M89" s="132">
        <v>0</v>
      </c>
      <c r="N89" s="132">
        <v>0</v>
      </c>
      <c r="O89" s="132">
        <v>0</v>
      </c>
      <c r="P89" s="132">
        <v>0</v>
      </c>
      <c r="Q89" s="132">
        <v>0</v>
      </c>
      <c r="R89" s="132">
        <v>0</v>
      </c>
      <c r="S89" s="132">
        <v>0</v>
      </c>
      <c r="T89" s="128">
        <f t="shared" si="3"/>
        <v>0.02</v>
      </c>
    </row>
    <row r="90" spans="1:20" x14ac:dyDescent="0.2">
      <c r="A90" s="23" t="s">
        <v>102</v>
      </c>
      <c r="B90">
        <v>3</v>
      </c>
      <c r="C90" s="23" t="s">
        <v>111</v>
      </c>
      <c r="D90">
        <v>310</v>
      </c>
      <c r="E90" s="132">
        <v>0</v>
      </c>
      <c r="F90" s="132">
        <v>0</v>
      </c>
      <c r="G90" s="132">
        <v>0</v>
      </c>
      <c r="H90" s="132">
        <v>0.3</v>
      </c>
      <c r="I90" s="132">
        <v>0</v>
      </c>
      <c r="J90" s="132">
        <v>0</v>
      </c>
      <c r="K90" s="132">
        <v>0</v>
      </c>
      <c r="L90" s="132">
        <v>0</v>
      </c>
      <c r="M90" s="132">
        <v>0</v>
      </c>
      <c r="N90" s="132">
        <v>0</v>
      </c>
      <c r="O90" s="132">
        <v>0</v>
      </c>
      <c r="P90" s="132">
        <v>0</v>
      </c>
      <c r="Q90" s="132">
        <v>0</v>
      </c>
      <c r="R90" s="132">
        <v>0</v>
      </c>
      <c r="S90" s="132">
        <v>0</v>
      </c>
      <c r="T90" s="128">
        <f t="shared" si="3"/>
        <v>0.02</v>
      </c>
    </row>
    <row r="91" spans="1:20" x14ac:dyDescent="0.2">
      <c r="A91" s="23" t="s">
        <v>102</v>
      </c>
      <c r="B91">
        <v>3</v>
      </c>
      <c r="C91" s="23" t="s">
        <v>111</v>
      </c>
      <c r="D91">
        <v>311</v>
      </c>
      <c r="E91" s="132">
        <v>0</v>
      </c>
      <c r="F91" s="132">
        <v>0</v>
      </c>
      <c r="G91" s="132">
        <v>0</v>
      </c>
      <c r="H91" s="132">
        <v>0.3</v>
      </c>
      <c r="I91" s="132">
        <v>0</v>
      </c>
      <c r="J91" s="132">
        <v>0</v>
      </c>
      <c r="K91" s="132">
        <v>0</v>
      </c>
      <c r="L91" s="132">
        <v>0</v>
      </c>
      <c r="M91" s="132">
        <v>0</v>
      </c>
      <c r="N91" s="132">
        <v>0</v>
      </c>
      <c r="O91" s="132">
        <v>0</v>
      </c>
      <c r="P91" s="132">
        <v>0</v>
      </c>
      <c r="Q91" s="132">
        <v>0</v>
      </c>
      <c r="R91" s="132">
        <v>0</v>
      </c>
      <c r="S91" s="132">
        <v>0</v>
      </c>
      <c r="T91" s="128">
        <f t="shared" si="3"/>
        <v>0.02</v>
      </c>
    </row>
    <row r="92" spans="1:20" x14ac:dyDescent="0.2">
      <c r="A92" s="23" t="s">
        <v>102</v>
      </c>
      <c r="B92">
        <v>3</v>
      </c>
      <c r="C92" s="23" t="s">
        <v>111</v>
      </c>
      <c r="D92">
        <v>312</v>
      </c>
      <c r="E92" s="132">
        <v>0</v>
      </c>
      <c r="F92" s="132">
        <v>0</v>
      </c>
      <c r="G92" s="132">
        <v>0</v>
      </c>
      <c r="H92" s="132">
        <v>0.3</v>
      </c>
      <c r="I92" s="132">
        <v>0</v>
      </c>
      <c r="J92" s="132">
        <v>0</v>
      </c>
      <c r="K92" s="132">
        <v>0</v>
      </c>
      <c r="L92" s="132">
        <v>0</v>
      </c>
      <c r="M92" s="132">
        <v>0</v>
      </c>
      <c r="N92" s="132">
        <v>0</v>
      </c>
      <c r="O92" s="132">
        <v>0</v>
      </c>
      <c r="P92" s="132">
        <v>0</v>
      </c>
      <c r="Q92" s="132">
        <v>0</v>
      </c>
      <c r="R92" s="132">
        <v>0</v>
      </c>
      <c r="S92" s="132">
        <v>0</v>
      </c>
      <c r="T92" s="128">
        <f t="shared" si="3"/>
        <v>0.02</v>
      </c>
    </row>
    <row r="93" spans="1:20" x14ac:dyDescent="0.2">
      <c r="A93" s="23" t="s">
        <v>102</v>
      </c>
      <c r="B93">
        <v>3</v>
      </c>
      <c r="C93" s="23" t="s">
        <v>111</v>
      </c>
      <c r="D93">
        <v>313</v>
      </c>
      <c r="E93" s="132">
        <v>0</v>
      </c>
      <c r="F93" s="132">
        <v>0</v>
      </c>
      <c r="G93" s="132">
        <v>0</v>
      </c>
      <c r="H93" s="132">
        <v>0.3</v>
      </c>
      <c r="I93" s="132">
        <v>0</v>
      </c>
      <c r="J93" s="132">
        <v>0</v>
      </c>
      <c r="K93" s="132">
        <v>0</v>
      </c>
      <c r="L93" s="132">
        <v>0</v>
      </c>
      <c r="M93" s="132">
        <v>0</v>
      </c>
      <c r="N93" s="132">
        <v>0</v>
      </c>
      <c r="O93" s="132">
        <v>0</v>
      </c>
      <c r="P93" s="132">
        <v>0</v>
      </c>
      <c r="Q93" s="132">
        <v>0</v>
      </c>
      <c r="R93" s="132">
        <v>0</v>
      </c>
      <c r="S93" s="132">
        <v>0</v>
      </c>
      <c r="T93" s="128">
        <f t="shared" si="3"/>
        <v>0.02</v>
      </c>
    </row>
    <row r="94" spans="1:20" x14ac:dyDescent="0.2">
      <c r="A94" s="23" t="s">
        <v>102</v>
      </c>
      <c r="B94">
        <v>3</v>
      </c>
      <c r="C94" s="23" t="s">
        <v>111</v>
      </c>
      <c r="D94">
        <v>314</v>
      </c>
      <c r="E94" s="132">
        <v>0</v>
      </c>
      <c r="F94" s="132">
        <v>0</v>
      </c>
      <c r="G94" s="132">
        <v>0</v>
      </c>
      <c r="H94" s="132">
        <v>0.3</v>
      </c>
      <c r="I94" s="132">
        <v>0</v>
      </c>
      <c r="J94" s="132">
        <v>0</v>
      </c>
      <c r="K94" s="132">
        <v>0</v>
      </c>
      <c r="L94" s="132">
        <v>0</v>
      </c>
      <c r="M94" s="132">
        <v>0</v>
      </c>
      <c r="N94" s="132">
        <v>0</v>
      </c>
      <c r="O94" s="132">
        <v>0</v>
      </c>
      <c r="P94" s="132">
        <v>0</v>
      </c>
      <c r="Q94" s="132">
        <v>0</v>
      </c>
      <c r="R94" s="132">
        <v>0</v>
      </c>
      <c r="S94" s="132">
        <v>0</v>
      </c>
      <c r="T94" s="128">
        <f t="shared" si="3"/>
        <v>0.02</v>
      </c>
    </row>
    <row r="95" spans="1:20" x14ac:dyDescent="0.2">
      <c r="A95" s="23" t="s">
        <v>102</v>
      </c>
      <c r="B95">
        <v>3</v>
      </c>
      <c r="C95" s="23" t="s">
        <v>111</v>
      </c>
      <c r="D95">
        <v>315</v>
      </c>
      <c r="E95" s="132">
        <v>0</v>
      </c>
      <c r="F95" s="132">
        <v>0</v>
      </c>
      <c r="G95" s="132">
        <v>0</v>
      </c>
      <c r="H95" s="132">
        <v>0.3</v>
      </c>
      <c r="I95" s="132">
        <v>0</v>
      </c>
      <c r="J95" s="132">
        <v>0</v>
      </c>
      <c r="K95" s="132">
        <v>0</v>
      </c>
      <c r="L95" s="132">
        <v>0</v>
      </c>
      <c r="M95" s="132">
        <v>0</v>
      </c>
      <c r="N95" s="132">
        <v>0</v>
      </c>
      <c r="O95" s="132">
        <v>0</v>
      </c>
      <c r="P95" s="132">
        <v>0</v>
      </c>
      <c r="Q95" s="132">
        <v>0</v>
      </c>
      <c r="R95" s="132">
        <v>0</v>
      </c>
      <c r="S95" s="132">
        <v>0</v>
      </c>
      <c r="T95" s="128">
        <f t="shared" si="3"/>
        <v>0.02</v>
      </c>
    </row>
    <row r="96" spans="1:20" x14ac:dyDescent="0.2">
      <c r="A96" s="23" t="s">
        <v>102</v>
      </c>
      <c r="B96">
        <v>3</v>
      </c>
      <c r="C96" s="23" t="s">
        <v>111</v>
      </c>
      <c r="D96">
        <v>316</v>
      </c>
      <c r="E96" s="132">
        <v>0</v>
      </c>
      <c r="F96" s="132">
        <v>0</v>
      </c>
      <c r="G96" s="132">
        <v>0</v>
      </c>
      <c r="H96" s="132">
        <v>0.3</v>
      </c>
      <c r="I96" s="132">
        <v>0</v>
      </c>
      <c r="J96" s="132">
        <v>0</v>
      </c>
      <c r="K96" s="132">
        <v>0</v>
      </c>
      <c r="L96" s="132">
        <v>0</v>
      </c>
      <c r="M96" s="132">
        <v>0</v>
      </c>
      <c r="N96" s="132">
        <v>0</v>
      </c>
      <c r="O96" s="132">
        <v>0</v>
      </c>
      <c r="P96" s="132">
        <v>0</v>
      </c>
      <c r="Q96" s="132">
        <v>0</v>
      </c>
      <c r="R96" s="132">
        <v>0</v>
      </c>
      <c r="S96" s="132">
        <v>0</v>
      </c>
      <c r="T96" s="128">
        <f t="shared" si="3"/>
        <v>0.02</v>
      </c>
    </row>
    <row r="97" spans="1:20" x14ac:dyDescent="0.2">
      <c r="A97" s="23" t="s">
        <v>102</v>
      </c>
      <c r="B97">
        <v>3</v>
      </c>
      <c r="C97" s="23" t="s">
        <v>111</v>
      </c>
      <c r="D97">
        <v>317</v>
      </c>
      <c r="E97" s="132">
        <v>0</v>
      </c>
      <c r="F97" s="132">
        <v>0</v>
      </c>
      <c r="G97" s="132">
        <v>0</v>
      </c>
      <c r="H97" s="132">
        <v>0.3</v>
      </c>
      <c r="I97" s="132">
        <v>0</v>
      </c>
      <c r="J97" s="132">
        <v>0</v>
      </c>
      <c r="K97" s="132">
        <v>0</v>
      </c>
      <c r="L97" s="132">
        <v>0</v>
      </c>
      <c r="M97" s="132">
        <v>0</v>
      </c>
      <c r="N97" s="132">
        <v>0</v>
      </c>
      <c r="O97" s="132">
        <v>0</v>
      </c>
      <c r="P97" s="132">
        <v>0</v>
      </c>
      <c r="Q97" s="132">
        <v>0</v>
      </c>
      <c r="R97" s="132">
        <v>0</v>
      </c>
      <c r="S97" s="132">
        <v>0</v>
      </c>
      <c r="T97" s="128">
        <f t="shared" si="3"/>
        <v>0.02</v>
      </c>
    </row>
    <row r="98" spans="1:20" x14ac:dyDescent="0.2">
      <c r="A98" s="23" t="s">
        <v>102</v>
      </c>
      <c r="B98">
        <v>3</v>
      </c>
      <c r="C98" s="23" t="s">
        <v>111</v>
      </c>
      <c r="D98">
        <v>318</v>
      </c>
      <c r="E98" s="132">
        <v>0</v>
      </c>
      <c r="F98" s="132">
        <v>0</v>
      </c>
      <c r="G98" s="132">
        <v>0</v>
      </c>
      <c r="H98" s="132">
        <v>0.3</v>
      </c>
      <c r="I98" s="132">
        <v>0</v>
      </c>
      <c r="J98" s="132">
        <v>0</v>
      </c>
      <c r="K98" s="132">
        <v>0</v>
      </c>
      <c r="L98" s="132">
        <v>0</v>
      </c>
      <c r="M98" s="132">
        <v>0</v>
      </c>
      <c r="N98" s="132">
        <v>0</v>
      </c>
      <c r="O98" s="132">
        <v>0</v>
      </c>
      <c r="P98" s="132">
        <v>0</v>
      </c>
      <c r="Q98" s="132">
        <v>0</v>
      </c>
      <c r="R98" s="132">
        <v>0</v>
      </c>
      <c r="S98" s="132">
        <v>0</v>
      </c>
      <c r="T98" s="128">
        <f t="shared" si="3"/>
        <v>0.02</v>
      </c>
    </row>
    <row r="99" spans="1:20" x14ac:dyDescent="0.2">
      <c r="A99" s="23" t="s">
        <v>102</v>
      </c>
      <c r="B99">
        <v>3</v>
      </c>
      <c r="C99" s="23" t="s">
        <v>111</v>
      </c>
      <c r="D99">
        <v>319</v>
      </c>
      <c r="E99" s="132">
        <v>0</v>
      </c>
      <c r="F99" s="132">
        <v>0</v>
      </c>
      <c r="G99" s="132">
        <v>0</v>
      </c>
      <c r="H99" s="132">
        <v>0.3</v>
      </c>
      <c r="I99" s="132">
        <v>0</v>
      </c>
      <c r="J99" s="132">
        <v>0</v>
      </c>
      <c r="K99" s="132">
        <v>0</v>
      </c>
      <c r="L99" s="132">
        <v>0</v>
      </c>
      <c r="M99" s="132">
        <v>0</v>
      </c>
      <c r="N99" s="132">
        <v>0</v>
      </c>
      <c r="O99" s="132">
        <v>0</v>
      </c>
      <c r="P99" s="132">
        <v>0</v>
      </c>
      <c r="Q99" s="132">
        <v>0</v>
      </c>
      <c r="R99" s="132">
        <v>0</v>
      </c>
      <c r="S99" s="132">
        <v>0</v>
      </c>
      <c r="T99" s="128">
        <f t="shared" si="3"/>
        <v>0.02</v>
      </c>
    </row>
    <row r="100" spans="1:20" x14ac:dyDescent="0.2">
      <c r="A100" s="23" t="s">
        <v>102</v>
      </c>
      <c r="B100">
        <v>3</v>
      </c>
      <c r="C100" s="23" t="s">
        <v>111</v>
      </c>
      <c r="D100">
        <v>320</v>
      </c>
      <c r="E100" s="132">
        <v>0</v>
      </c>
      <c r="F100" s="132">
        <v>0</v>
      </c>
      <c r="G100" s="132">
        <v>0</v>
      </c>
      <c r="H100" s="132">
        <v>0.3</v>
      </c>
      <c r="I100" s="132">
        <v>0</v>
      </c>
      <c r="J100" s="132">
        <v>0</v>
      </c>
      <c r="K100" s="132">
        <v>0</v>
      </c>
      <c r="L100" s="132">
        <v>0</v>
      </c>
      <c r="M100" s="132">
        <v>0</v>
      </c>
      <c r="N100" s="132">
        <v>0</v>
      </c>
      <c r="O100" s="132">
        <v>0</v>
      </c>
      <c r="P100" s="132">
        <v>0</v>
      </c>
      <c r="Q100" s="132">
        <v>0</v>
      </c>
      <c r="R100" s="132">
        <v>0</v>
      </c>
      <c r="S100" s="132">
        <v>0</v>
      </c>
      <c r="T100" s="128">
        <f t="shared" si="3"/>
        <v>0.02</v>
      </c>
    </row>
    <row r="101" spans="1:20" x14ac:dyDescent="0.2">
      <c r="A101" s="23" t="s">
        <v>102</v>
      </c>
      <c r="B101">
        <v>3</v>
      </c>
      <c r="C101" s="23" t="s">
        <v>111</v>
      </c>
      <c r="D101">
        <v>321</v>
      </c>
      <c r="E101" s="132">
        <v>0</v>
      </c>
      <c r="F101" s="132">
        <v>0</v>
      </c>
      <c r="G101" s="132">
        <v>0</v>
      </c>
      <c r="H101" s="132">
        <v>0.3</v>
      </c>
      <c r="I101" s="132">
        <v>0</v>
      </c>
      <c r="J101" s="132">
        <v>0</v>
      </c>
      <c r="K101" s="132">
        <v>0</v>
      </c>
      <c r="L101" s="132">
        <v>0</v>
      </c>
      <c r="M101" s="132">
        <v>0</v>
      </c>
      <c r="N101" s="132">
        <v>0</v>
      </c>
      <c r="O101" s="132">
        <v>0</v>
      </c>
      <c r="P101" s="132">
        <v>0</v>
      </c>
      <c r="Q101" s="132">
        <v>0</v>
      </c>
      <c r="R101" s="132">
        <v>0</v>
      </c>
      <c r="S101" s="132">
        <v>0</v>
      </c>
      <c r="T101" s="128">
        <f t="shared" si="3"/>
        <v>0.02</v>
      </c>
    </row>
    <row r="102" spans="1:20" x14ac:dyDescent="0.2">
      <c r="A102" s="23"/>
      <c r="C102" s="23"/>
      <c r="D102" s="23"/>
      <c r="E102" s="132"/>
      <c r="F102" s="132">
        <f>AVERAGE(F58:F101)</f>
        <v>0</v>
      </c>
      <c r="G102" s="132">
        <f>AVERAGE(G58:G101)</f>
        <v>0</v>
      </c>
      <c r="H102" s="132">
        <v>0.3</v>
      </c>
      <c r="I102" s="132">
        <f t="shared" ref="I102:S102" si="4">AVERAGE(I58:I101)</f>
        <v>2.1590909090909091E-2</v>
      </c>
      <c r="J102" s="132">
        <f t="shared" si="4"/>
        <v>2.1590909090909091E-2</v>
      </c>
      <c r="K102" s="132">
        <f t="shared" si="4"/>
        <v>2.1590909090909091E-2</v>
      </c>
      <c r="L102" s="132">
        <f t="shared" si="4"/>
        <v>2.1590909090909091E-2</v>
      </c>
      <c r="M102" s="132">
        <f t="shared" si="4"/>
        <v>2.0454545454545454E-2</v>
      </c>
      <c r="N102" s="132">
        <f t="shared" si="4"/>
        <v>2.0454545454545454E-2</v>
      </c>
      <c r="O102" s="132">
        <f t="shared" si="4"/>
        <v>2.1590909090909091E-2</v>
      </c>
      <c r="P102" s="132">
        <f t="shared" si="4"/>
        <v>2.1590909090909091E-2</v>
      </c>
      <c r="Q102" s="132">
        <f t="shared" si="4"/>
        <v>1.8181818181818184E-2</v>
      </c>
      <c r="R102" s="132">
        <f t="shared" si="4"/>
        <v>1.1363636363636364E-2</v>
      </c>
      <c r="S102" s="132">
        <f t="shared" si="4"/>
        <v>2.1590909090909091E-2</v>
      </c>
      <c r="T102" s="128">
        <f t="shared" si="3"/>
        <v>3.7256493506493515E-2</v>
      </c>
    </row>
    <row r="103" spans="1:20" x14ac:dyDescent="0.2">
      <c r="A103" s="23" t="s">
        <v>102</v>
      </c>
      <c r="B103">
        <v>4</v>
      </c>
      <c r="C103" s="23" t="s">
        <v>112</v>
      </c>
      <c r="D103">
        <v>401</v>
      </c>
      <c r="E103" s="132">
        <v>0</v>
      </c>
      <c r="F103" s="132">
        <v>0</v>
      </c>
      <c r="G103" s="132">
        <v>0</v>
      </c>
      <c r="H103" s="132">
        <v>0</v>
      </c>
      <c r="I103" s="132">
        <v>0</v>
      </c>
      <c r="J103" s="132">
        <v>0</v>
      </c>
      <c r="K103" s="132">
        <v>0</v>
      </c>
      <c r="L103" s="132">
        <v>0</v>
      </c>
      <c r="M103" s="132">
        <v>0</v>
      </c>
      <c r="N103" s="132">
        <v>0</v>
      </c>
      <c r="O103" s="132">
        <v>0</v>
      </c>
      <c r="P103" s="132">
        <v>0</v>
      </c>
      <c r="Q103" s="132">
        <v>0</v>
      </c>
      <c r="R103" s="132">
        <v>0</v>
      </c>
      <c r="S103" s="132">
        <v>0</v>
      </c>
      <c r="T103" s="128">
        <f t="shared" si="3"/>
        <v>0</v>
      </c>
    </row>
    <row r="104" spans="1:20" x14ac:dyDescent="0.2">
      <c r="A104" s="23" t="s">
        <v>102</v>
      </c>
      <c r="B104">
        <v>4</v>
      </c>
      <c r="C104" s="23" t="s">
        <v>112</v>
      </c>
      <c r="D104">
        <v>402</v>
      </c>
      <c r="E104" s="132">
        <v>0</v>
      </c>
      <c r="F104" s="132">
        <v>0</v>
      </c>
      <c r="G104" s="132">
        <v>0</v>
      </c>
      <c r="H104" s="132">
        <v>0</v>
      </c>
      <c r="I104" s="132">
        <v>0</v>
      </c>
      <c r="J104" s="132">
        <v>0</v>
      </c>
      <c r="K104" s="132">
        <v>0</v>
      </c>
      <c r="L104" s="132">
        <v>0</v>
      </c>
      <c r="M104" s="132">
        <v>0</v>
      </c>
      <c r="N104" s="132">
        <v>0</v>
      </c>
      <c r="O104" s="132">
        <v>0</v>
      </c>
      <c r="P104" s="132">
        <v>0</v>
      </c>
      <c r="Q104" s="132">
        <v>0</v>
      </c>
      <c r="R104" s="132">
        <v>0</v>
      </c>
      <c r="S104" s="132">
        <v>0</v>
      </c>
      <c r="T104" s="128">
        <f t="shared" si="3"/>
        <v>0</v>
      </c>
    </row>
    <row r="105" spans="1:20" x14ac:dyDescent="0.2">
      <c r="A105" s="23" t="s">
        <v>102</v>
      </c>
      <c r="B105">
        <v>4</v>
      </c>
      <c r="C105" s="23" t="s">
        <v>112</v>
      </c>
      <c r="D105">
        <v>403</v>
      </c>
      <c r="E105" s="132">
        <v>0</v>
      </c>
      <c r="F105" s="132">
        <v>0</v>
      </c>
      <c r="G105" s="132">
        <v>0</v>
      </c>
      <c r="H105" s="132">
        <v>0</v>
      </c>
      <c r="I105" s="132">
        <v>0</v>
      </c>
      <c r="J105" s="132">
        <v>0</v>
      </c>
      <c r="K105" s="132">
        <v>0</v>
      </c>
      <c r="L105" s="132">
        <v>0</v>
      </c>
      <c r="M105" s="132">
        <v>0</v>
      </c>
      <c r="N105" s="132">
        <v>0</v>
      </c>
      <c r="O105" s="132">
        <v>0</v>
      </c>
      <c r="P105" s="132">
        <v>0</v>
      </c>
      <c r="Q105" s="132">
        <v>0</v>
      </c>
      <c r="R105" s="132">
        <v>0</v>
      </c>
      <c r="S105" s="132">
        <v>0</v>
      </c>
      <c r="T105" s="128">
        <f t="shared" si="3"/>
        <v>0</v>
      </c>
    </row>
    <row r="106" spans="1:20" x14ac:dyDescent="0.2">
      <c r="A106" s="23" t="s">
        <v>102</v>
      </c>
      <c r="B106">
        <v>4</v>
      </c>
      <c r="C106" s="23" t="s">
        <v>112</v>
      </c>
      <c r="D106">
        <v>404</v>
      </c>
      <c r="E106" s="132">
        <v>0</v>
      </c>
      <c r="F106" s="132">
        <v>0</v>
      </c>
      <c r="G106" s="132">
        <v>0</v>
      </c>
      <c r="H106" s="132">
        <v>0</v>
      </c>
      <c r="I106" s="132">
        <v>0</v>
      </c>
      <c r="J106" s="132">
        <v>0</v>
      </c>
      <c r="K106" s="132">
        <v>0</v>
      </c>
      <c r="L106" s="132">
        <v>0</v>
      </c>
      <c r="M106" s="132">
        <v>0</v>
      </c>
      <c r="N106" s="132">
        <v>0</v>
      </c>
      <c r="O106" s="132">
        <v>0</v>
      </c>
      <c r="P106" s="132">
        <v>0</v>
      </c>
      <c r="Q106" s="132">
        <v>0</v>
      </c>
      <c r="R106" s="132">
        <v>0</v>
      </c>
      <c r="S106" s="132">
        <v>0</v>
      </c>
      <c r="T106" s="128">
        <f t="shared" si="3"/>
        <v>0</v>
      </c>
    </row>
    <row r="107" spans="1:20" x14ac:dyDescent="0.2">
      <c r="A107" s="23" t="s">
        <v>102</v>
      </c>
      <c r="B107">
        <v>4</v>
      </c>
      <c r="C107" s="23" t="s">
        <v>112</v>
      </c>
      <c r="D107">
        <v>405</v>
      </c>
      <c r="E107" s="132">
        <v>0</v>
      </c>
      <c r="F107" s="132">
        <v>0</v>
      </c>
      <c r="G107" s="132">
        <v>0</v>
      </c>
      <c r="H107" s="132">
        <v>0</v>
      </c>
      <c r="I107" s="132">
        <v>0</v>
      </c>
      <c r="J107" s="132">
        <v>0</v>
      </c>
      <c r="K107" s="132">
        <v>0</v>
      </c>
      <c r="L107" s="132">
        <v>0</v>
      </c>
      <c r="M107" s="132">
        <v>0</v>
      </c>
      <c r="N107" s="132">
        <v>0</v>
      </c>
      <c r="O107" s="132">
        <v>0</v>
      </c>
      <c r="P107" s="132">
        <v>0</v>
      </c>
      <c r="Q107" s="132">
        <v>0</v>
      </c>
      <c r="R107" s="132">
        <v>0</v>
      </c>
      <c r="S107" s="132">
        <v>0</v>
      </c>
      <c r="T107" s="128">
        <f t="shared" si="3"/>
        <v>0</v>
      </c>
    </row>
    <row r="108" spans="1:20" x14ac:dyDescent="0.2">
      <c r="A108" s="23" t="s">
        <v>102</v>
      </c>
      <c r="B108">
        <v>4</v>
      </c>
      <c r="C108" s="23" t="s">
        <v>112</v>
      </c>
      <c r="D108">
        <v>406</v>
      </c>
      <c r="E108" s="132">
        <v>0</v>
      </c>
      <c r="F108" s="132">
        <v>0</v>
      </c>
      <c r="G108" s="132">
        <v>0</v>
      </c>
      <c r="H108" s="132">
        <v>0</v>
      </c>
      <c r="I108" s="132">
        <v>0</v>
      </c>
      <c r="J108" s="132">
        <v>0</v>
      </c>
      <c r="K108" s="132">
        <v>0</v>
      </c>
      <c r="L108" s="132">
        <v>0</v>
      </c>
      <c r="M108" s="132">
        <v>0</v>
      </c>
      <c r="N108" s="132">
        <v>0</v>
      </c>
      <c r="O108" s="132">
        <v>0</v>
      </c>
      <c r="P108" s="132">
        <v>0</v>
      </c>
      <c r="Q108" s="132">
        <v>0</v>
      </c>
      <c r="R108" s="132">
        <v>0</v>
      </c>
      <c r="S108" s="132">
        <v>0</v>
      </c>
      <c r="T108" s="128">
        <f t="shared" si="3"/>
        <v>0</v>
      </c>
    </row>
    <row r="109" spans="1:20" x14ac:dyDescent="0.2">
      <c r="A109" s="23" t="s">
        <v>102</v>
      </c>
      <c r="B109">
        <v>4</v>
      </c>
      <c r="C109" s="23" t="s">
        <v>112</v>
      </c>
      <c r="D109">
        <v>407</v>
      </c>
      <c r="E109" s="132">
        <v>0</v>
      </c>
      <c r="F109" s="132">
        <v>0</v>
      </c>
      <c r="G109" s="132">
        <v>0</v>
      </c>
      <c r="H109" s="132">
        <v>0</v>
      </c>
      <c r="I109" s="132">
        <v>0</v>
      </c>
      <c r="J109" s="132">
        <v>0</v>
      </c>
      <c r="K109" s="132">
        <v>0</v>
      </c>
      <c r="L109" s="132">
        <v>0</v>
      </c>
      <c r="M109" s="132">
        <v>0</v>
      </c>
      <c r="N109" s="132">
        <v>0</v>
      </c>
      <c r="O109" s="132">
        <v>0</v>
      </c>
      <c r="P109" s="132">
        <v>0</v>
      </c>
      <c r="Q109" s="132">
        <v>0</v>
      </c>
      <c r="R109" s="132">
        <v>0</v>
      </c>
      <c r="S109" s="132">
        <v>0</v>
      </c>
      <c r="T109" s="128">
        <f t="shared" si="3"/>
        <v>0</v>
      </c>
    </row>
    <row r="110" spans="1:20" x14ac:dyDescent="0.2">
      <c r="A110" s="23" t="s">
        <v>102</v>
      </c>
      <c r="B110">
        <v>4</v>
      </c>
      <c r="C110" s="23" t="s">
        <v>112</v>
      </c>
      <c r="D110">
        <v>408</v>
      </c>
      <c r="E110" s="132">
        <v>0</v>
      </c>
      <c r="F110" s="132">
        <v>0</v>
      </c>
      <c r="G110" s="132">
        <v>0</v>
      </c>
      <c r="H110" s="132">
        <v>0</v>
      </c>
      <c r="I110" s="132">
        <v>0</v>
      </c>
      <c r="J110" s="132">
        <v>0</v>
      </c>
      <c r="K110" s="132">
        <v>0</v>
      </c>
      <c r="L110" s="132">
        <v>0</v>
      </c>
      <c r="M110" s="132">
        <v>0</v>
      </c>
      <c r="N110" s="132">
        <v>0</v>
      </c>
      <c r="O110" s="132">
        <v>0</v>
      </c>
      <c r="P110" s="132">
        <v>0</v>
      </c>
      <c r="Q110" s="132">
        <v>0</v>
      </c>
      <c r="R110" s="132">
        <v>0</v>
      </c>
      <c r="S110" s="132">
        <v>0</v>
      </c>
      <c r="T110" s="128">
        <f t="shared" si="3"/>
        <v>0</v>
      </c>
    </row>
    <row r="111" spans="1:20" x14ac:dyDescent="0.2">
      <c r="A111" s="23" t="s">
        <v>102</v>
      </c>
      <c r="B111">
        <v>4</v>
      </c>
      <c r="C111" s="23" t="s">
        <v>112</v>
      </c>
      <c r="D111">
        <v>409</v>
      </c>
      <c r="E111" s="132">
        <v>0</v>
      </c>
      <c r="F111" s="132">
        <v>0</v>
      </c>
      <c r="G111" s="132">
        <v>0</v>
      </c>
      <c r="H111" s="132">
        <v>0</v>
      </c>
      <c r="I111" s="132">
        <v>0</v>
      </c>
      <c r="J111" s="132">
        <v>0</v>
      </c>
      <c r="K111" s="132">
        <v>0</v>
      </c>
      <c r="L111" s="132">
        <v>0</v>
      </c>
      <c r="M111" s="132">
        <v>0</v>
      </c>
      <c r="N111" s="132">
        <v>0</v>
      </c>
      <c r="O111" s="132">
        <v>0</v>
      </c>
      <c r="P111" s="132">
        <v>0</v>
      </c>
      <c r="Q111" s="132">
        <v>0</v>
      </c>
      <c r="R111" s="132">
        <v>0</v>
      </c>
      <c r="S111" s="132">
        <v>0</v>
      </c>
      <c r="T111" s="128">
        <f t="shared" si="3"/>
        <v>0</v>
      </c>
    </row>
    <row r="112" spans="1:20" x14ac:dyDescent="0.2">
      <c r="A112" s="23" t="s">
        <v>102</v>
      </c>
      <c r="B112">
        <v>4</v>
      </c>
      <c r="C112" s="23" t="s">
        <v>112</v>
      </c>
      <c r="D112">
        <v>410</v>
      </c>
      <c r="E112" s="132">
        <v>0</v>
      </c>
      <c r="F112" s="132">
        <v>0</v>
      </c>
      <c r="G112" s="132">
        <v>0</v>
      </c>
      <c r="H112" s="132">
        <v>0</v>
      </c>
      <c r="I112" s="132">
        <v>0</v>
      </c>
      <c r="J112" s="132">
        <v>0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>
        <v>0</v>
      </c>
      <c r="Q112" s="132">
        <v>0</v>
      </c>
      <c r="R112" s="132">
        <v>0</v>
      </c>
      <c r="S112" s="132">
        <v>0</v>
      </c>
      <c r="T112" s="128">
        <f t="shared" si="3"/>
        <v>0</v>
      </c>
    </row>
    <row r="113" spans="1:20" x14ac:dyDescent="0.2">
      <c r="A113" s="23" t="s">
        <v>102</v>
      </c>
      <c r="B113">
        <v>4</v>
      </c>
      <c r="C113" s="23" t="s">
        <v>112</v>
      </c>
      <c r="D113">
        <v>411</v>
      </c>
      <c r="E113" s="132">
        <v>0</v>
      </c>
      <c r="F113" s="132">
        <v>0</v>
      </c>
      <c r="G113" s="132">
        <v>0</v>
      </c>
      <c r="H113" s="132">
        <v>0</v>
      </c>
      <c r="I113" s="132">
        <v>0</v>
      </c>
      <c r="J113" s="132">
        <v>0</v>
      </c>
      <c r="K113" s="132">
        <v>0</v>
      </c>
      <c r="L113" s="132">
        <v>0</v>
      </c>
      <c r="M113" s="132">
        <v>0</v>
      </c>
      <c r="N113" s="132">
        <v>0</v>
      </c>
      <c r="O113" s="132">
        <v>0</v>
      </c>
      <c r="P113" s="132">
        <v>0</v>
      </c>
      <c r="Q113" s="132">
        <v>0</v>
      </c>
      <c r="R113" s="132">
        <v>0</v>
      </c>
      <c r="S113" s="132">
        <v>0</v>
      </c>
      <c r="T113" s="128">
        <f t="shared" si="3"/>
        <v>0</v>
      </c>
    </row>
    <row r="114" spans="1:20" x14ac:dyDescent="0.2">
      <c r="A114" s="23" t="s">
        <v>102</v>
      </c>
      <c r="B114">
        <v>4</v>
      </c>
      <c r="C114" s="23" t="s">
        <v>112</v>
      </c>
      <c r="D114">
        <v>412</v>
      </c>
      <c r="E114" s="132">
        <v>0</v>
      </c>
      <c r="F114" s="132">
        <v>0</v>
      </c>
      <c r="G114" s="132">
        <v>0</v>
      </c>
      <c r="H114" s="132">
        <v>0</v>
      </c>
      <c r="I114" s="132">
        <v>0</v>
      </c>
      <c r="J114" s="132">
        <v>0</v>
      </c>
      <c r="K114" s="132">
        <v>0</v>
      </c>
      <c r="L114" s="132">
        <v>0</v>
      </c>
      <c r="M114" s="132">
        <v>0</v>
      </c>
      <c r="N114" s="132">
        <v>0</v>
      </c>
      <c r="O114" s="132">
        <v>0</v>
      </c>
      <c r="P114" s="132">
        <v>0</v>
      </c>
      <c r="Q114" s="132">
        <v>0</v>
      </c>
      <c r="R114" s="132">
        <v>0</v>
      </c>
      <c r="S114" s="132">
        <v>0</v>
      </c>
      <c r="T114" s="128">
        <f t="shared" si="3"/>
        <v>0</v>
      </c>
    </row>
    <row r="115" spans="1:20" x14ac:dyDescent="0.2">
      <c r="A115" s="23" t="s">
        <v>102</v>
      </c>
      <c r="B115">
        <v>4</v>
      </c>
      <c r="C115" s="23" t="s">
        <v>112</v>
      </c>
      <c r="D115">
        <v>413</v>
      </c>
      <c r="E115" s="132">
        <v>0</v>
      </c>
      <c r="F115" s="132">
        <v>0</v>
      </c>
      <c r="G115" s="132">
        <v>0</v>
      </c>
      <c r="H115" s="132">
        <v>0</v>
      </c>
      <c r="I115" s="132">
        <v>0</v>
      </c>
      <c r="J115" s="132">
        <v>0</v>
      </c>
      <c r="K115" s="132">
        <v>0</v>
      </c>
      <c r="L115" s="132">
        <v>0</v>
      </c>
      <c r="M115" s="132">
        <v>0</v>
      </c>
      <c r="N115" s="132">
        <v>0</v>
      </c>
      <c r="O115" s="132">
        <v>0</v>
      </c>
      <c r="P115" s="132">
        <v>0</v>
      </c>
      <c r="Q115" s="132">
        <v>0</v>
      </c>
      <c r="R115" s="132">
        <v>0</v>
      </c>
      <c r="S115" s="132">
        <v>0</v>
      </c>
      <c r="T115" s="128">
        <f t="shared" si="3"/>
        <v>0</v>
      </c>
    </row>
    <row r="116" spans="1:20" x14ac:dyDescent="0.2">
      <c r="A116" s="23" t="s">
        <v>102</v>
      </c>
      <c r="B116">
        <v>4</v>
      </c>
      <c r="C116" s="23" t="s">
        <v>112</v>
      </c>
      <c r="D116">
        <v>414</v>
      </c>
      <c r="E116" s="132">
        <v>0</v>
      </c>
      <c r="F116" s="132">
        <v>0</v>
      </c>
      <c r="G116" s="132">
        <v>0</v>
      </c>
      <c r="H116" s="132">
        <v>0</v>
      </c>
      <c r="I116" s="132">
        <v>0</v>
      </c>
      <c r="J116" s="132">
        <v>0</v>
      </c>
      <c r="K116" s="132">
        <v>0</v>
      </c>
      <c r="L116" s="132">
        <v>0</v>
      </c>
      <c r="M116" s="132">
        <v>0</v>
      </c>
      <c r="N116" s="132">
        <v>0</v>
      </c>
      <c r="O116" s="132">
        <v>0</v>
      </c>
      <c r="P116" s="132">
        <v>0</v>
      </c>
      <c r="Q116" s="132">
        <v>0</v>
      </c>
      <c r="R116" s="132">
        <v>0</v>
      </c>
      <c r="S116" s="132">
        <v>0</v>
      </c>
      <c r="T116" s="128">
        <f t="shared" si="3"/>
        <v>0</v>
      </c>
    </row>
    <row r="117" spans="1:20" x14ac:dyDescent="0.2">
      <c r="A117" s="23" t="s">
        <v>102</v>
      </c>
      <c r="B117">
        <v>4</v>
      </c>
      <c r="C117" s="23" t="s">
        <v>112</v>
      </c>
      <c r="D117">
        <v>415</v>
      </c>
      <c r="E117" s="132">
        <v>0</v>
      </c>
      <c r="F117" s="132">
        <v>0</v>
      </c>
      <c r="G117" s="132">
        <v>0</v>
      </c>
      <c r="H117" s="132">
        <v>0</v>
      </c>
      <c r="I117" s="132">
        <v>0</v>
      </c>
      <c r="J117" s="132">
        <v>0</v>
      </c>
      <c r="K117" s="132">
        <v>0</v>
      </c>
      <c r="L117" s="132">
        <v>0</v>
      </c>
      <c r="M117" s="132">
        <v>0</v>
      </c>
      <c r="N117" s="132">
        <v>0</v>
      </c>
      <c r="O117" s="132">
        <v>0</v>
      </c>
      <c r="P117" s="132">
        <v>0</v>
      </c>
      <c r="Q117" s="132">
        <v>0</v>
      </c>
      <c r="R117" s="132">
        <v>0</v>
      </c>
      <c r="S117" s="132">
        <v>0</v>
      </c>
      <c r="T117" s="128">
        <f t="shared" si="3"/>
        <v>0</v>
      </c>
    </row>
    <row r="118" spans="1:20" x14ac:dyDescent="0.2">
      <c r="A118" s="23" t="s">
        <v>102</v>
      </c>
      <c r="B118">
        <v>4</v>
      </c>
      <c r="C118" s="23" t="s">
        <v>112</v>
      </c>
      <c r="D118">
        <v>416</v>
      </c>
      <c r="E118" s="132">
        <v>0</v>
      </c>
      <c r="F118" s="132">
        <v>0</v>
      </c>
      <c r="G118" s="132">
        <v>0</v>
      </c>
      <c r="H118" s="132">
        <v>0</v>
      </c>
      <c r="I118" s="132">
        <v>0</v>
      </c>
      <c r="J118" s="132">
        <v>0</v>
      </c>
      <c r="K118" s="132">
        <v>0</v>
      </c>
      <c r="L118" s="132">
        <v>0</v>
      </c>
      <c r="M118" s="132">
        <v>0</v>
      </c>
      <c r="N118" s="132">
        <v>0</v>
      </c>
      <c r="O118" s="132">
        <v>0</v>
      </c>
      <c r="P118" s="132">
        <v>0</v>
      </c>
      <c r="Q118" s="132">
        <v>0</v>
      </c>
      <c r="R118" s="132">
        <v>0</v>
      </c>
      <c r="S118" s="132">
        <v>0</v>
      </c>
      <c r="T118" s="128">
        <f t="shared" si="3"/>
        <v>0</v>
      </c>
    </row>
    <row r="119" spans="1:20" x14ac:dyDescent="0.2">
      <c r="A119" s="23" t="s">
        <v>102</v>
      </c>
      <c r="B119">
        <v>4</v>
      </c>
      <c r="C119" s="23" t="s">
        <v>112</v>
      </c>
      <c r="D119">
        <v>417</v>
      </c>
      <c r="E119" s="132">
        <v>0</v>
      </c>
      <c r="F119" s="132">
        <v>0</v>
      </c>
      <c r="G119" s="132">
        <v>0</v>
      </c>
      <c r="H119" s="132">
        <v>0</v>
      </c>
      <c r="I119" s="132">
        <v>0</v>
      </c>
      <c r="J119" s="132">
        <v>0</v>
      </c>
      <c r="K119" s="132">
        <v>0</v>
      </c>
      <c r="L119" s="132">
        <v>0</v>
      </c>
      <c r="M119" s="132">
        <v>0</v>
      </c>
      <c r="N119" s="132">
        <v>0</v>
      </c>
      <c r="O119" s="132">
        <v>0</v>
      </c>
      <c r="P119" s="132">
        <v>0</v>
      </c>
      <c r="Q119" s="132">
        <v>0</v>
      </c>
      <c r="R119" s="132">
        <v>0</v>
      </c>
      <c r="S119" s="132">
        <v>0</v>
      </c>
      <c r="T119" s="128">
        <f t="shared" si="3"/>
        <v>0</v>
      </c>
    </row>
    <row r="120" spans="1:20" x14ac:dyDescent="0.2">
      <c r="A120" s="23" t="s">
        <v>102</v>
      </c>
      <c r="B120">
        <v>4</v>
      </c>
      <c r="C120" s="23" t="s">
        <v>112</v>
      </c>
      <c r="D120">
        <v>418</v>
      </c>
      <c r="E120" s="132">
        <v>0</v>
      </c>
      <c r="F120" s="132">
        <v>0</v>
      </c>
      <c r="G120" s="132">
        <v>0</v>
      </c>
      <c r="H120" s="132">
        <v>0</v>
      </c>
      <c r="I120" s="132">
        <v>0</v>
      </c>
      <c r="J120" s="132">
        <v>0</v>
      </c>
      <c r="K120" s="132">
        <v>0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>
        <v>0</v>
      </c>
      <c r="R120" s="132">
        <v>0</v>
      </c>
      <c r="S120" s="132">
        <v>0</v>
      </c>
      <c r="T120" s="128">
        <f t="shared" si="3"/>
        <v>0</v>
      </c>
    </row>
    <row r="121" spans="1:20" x14ac:dyDescent="0.2">
      <c r="A121" s="23" t="s">
        <v>102</v>
      </c>
      <c r="B121">
        <v>4</v>
      </c>
      <c r="C121" s="23" t="s">
        <v>112</v>
      </c>
      <c r="D121">
        <v>419</v>
      </c>
      <c r="E121" s="132">
        <v>0</v>
      </c>
      <c r="F121" s="132">
        <v>0</v>
      </c>
      <c r="G121" s="132">
        <v>0</v>
      </c>
      <c r="H121" s="132">
        <v>0</v>
      </c>
      <c r="I121" s="132">
        <v>0</v>
      </c>
      <c r="J121" s="132">
        <v>0</v>
      </c>
      <c r="K121" s="132">
        <v>0</v>
      </c>
      <c r="L121" s="132">
        <v>0</v>
      </c>
      <c r="M121" s="132">
        <v>0</v>
      </c>
      <c r="N121" s="132">
        <v>0</v>
      </c>
      <c r="O121" s="132">
        <v>0</v>
      </c>
      <c r="P121" s="132">
        <v>0</v>
      </c>
      <c r="Q121" s="132">
        <v>0</v>
      </c>
      <c r="R121" s="132">
        <v>0</v>
      </c>
      <c r="S121" s="132">
        <v>0</v>
      </c>
      <c r="T121" s="128">
        <f t="shared" si="3"/>
        <v>0</v>
      </c>
    </row>
    <row r="122" spans="1:20" x14ac:dyDescent="0.2">
      <c r="A122" s="23" t="s">
        <v>102</v>
      </c>
      <c r="B122">
        <v>4</v>
      </c>
      <c r="C122" s="23" t="s">
        <v>112</v>
      </c>
      <c r="D122">
        <v>420</v>
      </c>
      <c r="E122" s="132">
        <v>0</v>
      </c>
      <c r="F122" s="132">
        <v>0</v>
      </c>
      <c r="G122" s="132">
        <v>0</v>
      </c>
      <c r="H122" s="132">
        <v>0</v>
      </c>
      <c r="I122" s="132">
        <v>0</v>
      </c>
      <c r="J122" s="132">
        <v>0</v>
      </c>
      <c r="K122" s="132">
        <v>0</v>
      </c>
      <c r="L122" s="132">
        <v>0</v>
      </c>
      <c r="M122" s="132">
        <v>0</v>
      </c>
      <c r="N122" s="132">
        <v>0</v>
      </c>
      <c r="O122" s="132">
        <v>0</v>
      </c>
      <c r="P122" s="132">
        <v>0</v>
      </c>
      <c r="Q122" s="132">
        <v>0</v>
      </c>
      <c r="R122" s="132">
        <v>0</v>
      </c>
      <c r="S122" s="132">
        <v>0</v>
      </c>
      <c r="T122" s="128">
        <f t="shared" si="3"/>
        <v>0</v>
      </c>
    </row>
    <row r="123" spans="1:20" x14ac:dyDescent="0.2">
      <c r="A123" s="23" t="s">
        <v>102</v>
      </c>
      <c r="B123">
        <v>4</v>
      </c>
      <c r="C123" s="23" t="s">
        <v>112</v>
      </c>
      <c r="D123">
        <v>421</v>
      </c>
      <c r="E123" s="132">
        <v>0</v>
      </c>
      <c r="F123" s="132">
        <v>0</v>
      </c>
      <c r="G123" s="132">
        <v>0</v>
      </c>
      <c r="H123" s="132">
        <v>0</v>
      </c>
      <c r="I123" s="132">
        <v>0</v>
      </c>
      <c r="J123" s="132">
        <v>0</v>
      </c>
      <c r="K123" s="132">
        <v>0</v>
      </c>
      <c r="L123" s="132">
        <v>0</v>
      </c>
      <c r="M123" s="132">
        <v>0</v>
      </c>
      <c r="N123" s="132">
        <v>0</v>
      </c>
      <c r="O123" s="132">
        <v>0</v>
      </c>
      <c r="P123" s="132">
        <v>0</v>
      </c>
      <c r="Q123" s="132">
        <v>0</v>
      </c>
      <c r="R123" s="132">
        <v>0</v>
      </c>
      <c r="S123" s="132">
        <v>0</v>
      </c>
      <c r="T123" s="128">
        <f t="shared" si="3"/>
        <v>0</v>
      </c>
    </row>
    <row r="124" spans="1:20" x14ac:dyDescent="0.2">
      <c r="A124" s="23" t="s">
        <v>102</v>
      </c>
      <c r="B124">
        <v>4</v>
      </c>
      <c r="C124" s="23" t="s">
        <v>112</v>
      </c>
      <c r="D124">
        <v>422</v>
      </c>
      <c r="E124" s="132">
        <v>0</v>
      </c>
      <c r="F124" s="132">
        <v>0</v>
      </c>
      <c r="G124" s="132">
        <v>0</v>
      </c>
      <c r="H124" s="132">
        <v>0</v>
      </c>
      <c r="I124" s="132">
        <v>0</v>
      </c>
      <c r="J124" s="132">
        <v>0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0</v>
      </c>
      <c r="Q124" s="132">
        <v>0</v>
      </c>
      <c r="R124" s="132">
        <v>0</v>
      </c>
      <c r="S124" s="132">
        <v>0</v>
      </c>
      <c r="T124" s="128">
        <f t="shared" si="3"/>
        <v>0</v>
      </c>
    </row>
    <row r="125" spans="1:20" x14ac:dyDescent="0.2">
      <c r="A125" s="23" t="s">
        <v>102</v>
      </c>
      <c r="B125">
        <v>4</v>
      </c>
      <c r="C125" s="23" t="s">
        <v>112</v>
      </c>
      <c r="D125">
        <v>423</v>
      </c>
      <c r="E125" s="132">
        <v>0</v>
      </c>
      <c r="F125" s="132">
        <v>0</v>
      </c>
      <c r="G125" s="132">
        <v>0</v>
      </c>
      <c r="H125" s="132">
        <v>0</v>
      </c>
      <c r="I125" s="132">
        <v>0</v>
      </c>
      <c r="J125" s="132">
        <v>0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0</v>
      </c>
      <c r="Q125" s="132">
        <v>0</v>
      </c>
      <c r="R125" s="132">
        <v>0</v>
      </c>
      <c r="S125" s="132">
        <v>0</v>
      </c>
      <c r="T125" s="128">
        <f t="shared" si="3"/>
        <v>0</v>
      </c>
    </row>
    <row r="126" spans="1:20" x14ac:dyDescent="0.2">
      <c r="A126" s="23" t="s">
        <v>102</v>
      </c>
      <c r="B126">
        <v>4</v>
      </c>
      <c r="C126" s="23" t="s">
        <v>111</v>
      </c>
      <c r="D126">
        <v>401</v>
      </c>
      <c r="E126" s="132">
        <v>0</v>
      </c>
      <c r="F126" s="132">
        <v>0</v>
      </c>
      <c r="G126" s="132">
        <v>0</v>
      </c>
      <c r="H126" s="132">
        <v>0</v>
      </c>
      <c r="I126" s="132">
        <v>0</v>
      </c>
      <c r="J126" s="132">
        <v>0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0</v>
      </c>
      <c r="R126" s="132">
        <v>0</v>
      </c>
      <c r="S126" s="132">
        <v>0</v>
      </c>
      <c r="T126" s="128">
        <f t="shared" si="3"/>
        <v>0</v>
      </c>
    </row>
    <row r="127" spans="1:20" x14ac:dyDescent="0.2">
      <c r="A127" s="23" t="s">
        <v>102</v>
      </c>
      <c r="B127">
        <v>4</v>
      </c>
      <c r="C127" s="23" t="s">
        <v>111</v>
      </c>
      <c r="D127">
        <v>402</v>
      </c>
      <c r="E127" s="132">
        <v>0</v>
      </c>
      <c r="F127" s="132">
        <v>0</v>
      </c>
      <c r="G127" s="132">
        <v>0</v>
      </c>
      <c r="H127" s="132">
        <v>0</v>
      </c>
      <c r="I127" s="132">
        <v>0</v>
      </c>
      <c r="J127" s="132">
        <v>0</v>
      </c>
      <c r="K127" s="132">
        <v>0</v>
      </c>
      <c r="L127" s="132">
        <v>0</v>
      </c>
      <c r="M127" s="132">
        <v>0</v>
      </c>
      <c r="N127" s="132">
        <v>0</v>
      </c>
      <c r="O127" s="132">
        <v>0</v>
      </c>
      <c r="P127" s="132">
        <v>0</v>
      </c>
      <c r="Q127" s="132">
        <v>0</v>
      </c>
      <c r="R127" s="132">
        <v>0</v>
      </c>
      <c r="S127" s="132">
        <v>0</v>
      </c>
      <c r="T127" s="128">
        <f t="shared" si="3"/>
        <v>0</v>
      </c>
    </row>
    <row r="128" spans="1:20" x14ac:dyDescent="0.2">
      <c r="A128" s="23" t="s">
        <v>102</v>
      </c>
      <c r="B128">
        <v>4</v>
      </c>
      <c r="C128" s="23" t="s">
        <v>111</v>
      </c>
      <c r="D128">
        <v>403</v>
      </c>
      <c r="E128" s="132">
        <v>0</v>
      </c>
      <c r="F128" s="132">
        <v>0</v>
      </c>
      <c r="G128" s="132">
        <v>0</v>
      </c>
      <c r="H128" s="132">
        <v>0</v>
      </c>
      <c r="I128" s="132">
        <v>0</v>
      </c>
      <c r="J128" s="132">
        <v>0</v>
      </c>
      <c r="K128" s="132">
        <v>0</v>
      </c>
      <c r="L128" s="132">
        <v>0</v>
      </c>
      <c r="M128" s="132">
        <v>0</v>
      </c>
      <c r="N128" s="132">
        <v>0</v>
      </c>
      <c r="O128" s="132">
        <v>0</v>
      </c>
      <c r="P128" s="132">
        <v>0</v>
      </c>
      <c r="Q128" s="132">
        <v>0</v>
      </c>
      <c r="R128" s="132">
        <v>0</v>
      </c>
      <c r="S128" s="132">
        <v>0</v>
      </c>
      <c r="T128" s="128">
        <f t="shared" si="3"/>
        <v>0</v>
      </c>
    </row>
    <row r="129" spans="1:20" x14ac:dyDescent="0.2">
      <c r="A129" s="23" t="s">
        <v>102</v>
      </c>
      <c r="B129">
        <v>4</v>
      </c>
      <c r="C129" s="23" t="s">
        <v>111</v>
      </c>
      <c r="D129">
        <v>404</v>
      </c>
      <c r="E129" s="132">
        <v>0</v>
      </c>
      <c r="F129" s="132">
        <v>0</v>
      </c>
      <c r="G129" s="132">
        <v>0</v>
      </c>
      <c r="H129" s="132">
        <v>0</v>
      </c>
      <c r="I129" s="132">
        <v>0</v>
      </c>
      <c r="J129" s="132">
        <v>0</v>
      </c>
      <c r="K129" s="132">
        <v>0</v>
      </c>
      <c r="L129" s="132">
        <v>0</v>
      </c>
      <c r="M129" s="132">
        <v>0</v>
      </c>
      <c r="N129" s="132">
        <v>0</v>
      </c>
      <c r="O129" s="132">
        <v>0</v>
      </c>
      <c r="P129" s="132">
        <v>0</v>
      </c>
      <c r="Q129" s="132">
        <v>0</v>
      </c>
      <c r="R129" s="132">
        <v>0</v>
      </c>
      <c r="S129" s="132">
        <v>0</v>
      </c>
      <c r="T129" s="128">
        <f t="shared" si="3"/>
        <v>0</v>
      </c>
    </row>
    <row r="130" spans="1:20" x14ac:dyDescent="0.2">
      <c r="A130" s="23" t="s">
        <v>102</v>
      </c>
      <c r="B130">
        <v>4</v>
      </c>
      <c r="C130" s="23" t="s">
        <v>111</v>
      </c>
      <c r="D130">
        <v>405</v>
      </c>
      <c r="E130" s="132">
        <v>0</v>
      </c>
      <c r="F130" s="132">
        <v>0</v>
      </c>
      <c r="G130" s="132">
        <v>0</v>
      </c>
      <c r="H130" s="132">
        <v>0</v>
      </c>
      <c r="I130" s="132">
        <v>0</v>
      </c>
      <c r="J130" s="132">
        <v>0</v>
      </c>
      <c r="K130" s="132">
        <v>0</v>
      </c>
      <c r="L130" s="132">
        <v>0</v>
      </c>
      <c r="M130" s="132">
        <v>0</v>
      </c>
      <c r="N130" s="132">
        <v>0</v>
      </c>
      <c r="O130" s="132">
        <v>0</v>
      </c>
      <c r="P130" s="132">
        <v>0</v>
      </c>
      <c r="Q130" s="132">
        <v>0</v>
      </c>
      <c r="R130" s="132">
        <v>0</v>
      </c>
      <c r="S130" s="132">
        <v>0</v>
      </c>
      <c r="T130" s="128">
        <f t="shared" ref="T130:T193" si="5">AVERAGE(E130:S130)</f>
        <v>0</v>
      </c>
    </row>
    <row r="131" spans="1:20" x14ac:dyDescent="0.2">
      <c r="A131" s="23" t="s">
        <v>102</v>
      </c>
      <c r="B131">
        <v>4</v>
      </c>
      <c r="C131" s="23" t="s">
        <v>111</v>
      </c>
      <c r="D131">
        <v>406</v>
      </c>
      <c r="E131" s="132">
        <v>0</v>
      </c>
      <c r="F131" s="132">
        <v>0</v>
      </c>
      <c r="G131" s="132">
        <v>0</v>
      </c>
      <c r="H131" s="132">
        <v>0</v>
      </c>
      <c r="I131" s="132">
        <v>0</v>
      </c>
      <c r="J131" s="132">
        <v>0</v>
      </c>
      <c r="K131" s="132">
        <v>0</v>
      </c>
      <c r="L131" s="132">
        <v>0</v>
      </c>
      <c r="M131" s="132">
        <v>0</v>
      </c>
      <c r="N131" s="132">
        <v>0</v>
      </c>
      <c r="O131" s="132">
        <v>0</v>
      </c>
      <c r="P131" s="132">
        <v>0</v>
      </c>
      <c r="Q131" s="132">
        <v>0</v>
      </c>
      <c r="R131" s="132">
        <v>0</v>
      </c>
      <c r="S131" s="132">
        <v>0</v>
      </c>
      <c r="T131" s="128">
        <f t="shared" si="5"/>
        <v>0</v>
      </c>
    </row>
    <row r="132" spans="1:20" x14ac:dyDescent="0.2">
      <c r="A132" s="23" t="s">
        <v>102</v>
      </c>
      <c r="B132">
        <v>4</v>
      </c>
      <c r="C132" s="23" t="s">
        <v>111</v>
      </c>
      <c r="D132">
        <v>407</v>
      </c>
      <c r="E132" s="132">
        <v>0</v>
      </c>
      <c r="F132" s="132">
        <v>0</v>
      </c>
      <c r="G132" s="132">
        <v>0</v>
      </c>
      <c r="H132" s="132">
        <v>0</v>
      </c>
      <c r="I132" s="132">
        <v>0</v>
      </c>
      <c r="J132" s="132">
        <v>0</v>
      </c>
      <c r="K132" s="132">
        <v>0</v>
      </c>
      <c r="L132" s="132">
        <v>0</v>
      </c>
      <c r="M132" s="132">
        <v>0</v>
      </c>
      <c r="N132" s="132">
        <v>0</v>
      </c>
      <c r="O132" s="132">
        <v>0</v>
      </c>
      <c r="P132" s="132">
        <v>0</v>
      </c>
      <c r="Q132" s="132">
        <v>0</v>
      </c>
      <c r="R132" s="132">
        <v>0</v>
      </c>
      <c r="S132" s="132">
        <v>0</v>
      </c>
      <c r="T132" s="128">
        <f t="shared" si="5"/>
        <v>0</v>
      </c>
    </row>
    <row r="133" spans="1:20" x14ac:dyDescent="0.2">
      <c r="A133" s="23" t="s">
        <v>102</v>
      </c>
      <c r="B133">
        <v>4</v>
      </c>
      <c r="C133" s="23" t="s">
        <v>111</v>
      </c>
      <c r="D133">
        <v>408</v>
      </c>
      <c r="E133" s="132">
        <v>0</v>
      </c>
      <c r="F133" s="132">
        <v>0</v>
      </c>
      <c r="G133" s="132">
        <v>0</v>
      </c>
      <c r="H133" s="132">
        <v>0</v>
      </c>
      <c r="I133" s="132">
        <v>0</v>
      </c>
      <c r="J133" s="132">
        <v>0</v>
      </c>
      <c r="K133" s="132">
        <v>0</v>
      </c>
      <c r="L133" s="132">
        <v>0</v>
      </c>
      <c r="M133" s="132">
        <v>0</v>
      </c>
      <c r="N133" s="132">
        <v>0</v>
      </c>
      <c r="O133" s="132">
        <v>0</v>
      </c>
      <c r="P133" s="132">
        <v>0</v>
      </c>
      <c r="Q133" s="132">
        <v>0</v>
      </c>
      <c r="R133" s="132">
        <v>0</v>
      </c>
      <c r="S133" s="132">
        <v>0</v>
      </c>
      <c r="T133" s="128">
        <f t="shared" si="5"/>
        <v>0</v>
      </c>
    </row>
    <row r="134" spans="1:20" x14ac:dyDescent="0.2">
      <c r="A134" s="23" t="s">
        <v>102</v>
      </c>
      <c r="B134">
        <v>4</v>
      </c>
      <c r="C134" s="23" t="s">
        <v>111</v>
      </c>
      <c r="D134">
        <v>409</v>
      </c>
      <c r="E134" s="132">
        <v>0</v>
      </c>
      <c r="F134" s="132">
        <v>0</v>
      </c>
      <c r="G134" s="132">
        <v>0</v>
      </c>
      <c r="H134" s="132">
        <v>0</v>
      </c>
      <c r="I134" s="132">
        <v>0</v>
      </c>
      <c r="J134" s="132">
        <v>0</v>
      </c>
      <c r="K134" s="132">
        <v>0</v>
      </c>
      <c r="L134" s="132">
        <v>0</v>
      </c>
      <c r="M134" s="132">
        <v>0</v>
      </c>
      <c r="N134" s="132">
        <v>0</v>
      </c>
      <c r="O134" s="132">
        <v>0</v>
      </c>
      <c r="P134" s="132">
        <v>0</v>
      </c>
      <c r="Q134" s="132">
        <v>0</v>
      </c>
      <c r="R134" s="132">
        <v>0</v>
      </c>
      <c r="S134" s="132">
        <v>0</v>
      </c>
      <c r="T134" s="128">
        <f t="shared" si="5"/>
        <v>0</v>
      </c>
    </row>
    <row r="135" spans="1:20" x14ac:dyDescent="0.2">
      <c r="A135" s="23" t="s">
        <v>102</v>
      </c>
      <c r="B135">
        <v>4</v>
      </c>
      <c r="C135" s="23" t="s">
        <v>111</v>
      </c>
      <c r="D135">
        <v>410</v>
      </c>
      <c r="E135" s="132">
        <v>0</v>
      </c>
      <c r="F135" s="132">
        <v>0</v>
      </c>
      <c r="G135" s="132">
        <v>0</v>
      </c>
      <c r="H135" s="132">
        <v>0</v>
      </c>
      <c r="I135" s="132">
        <v>0</v>
      </c>
      <c r="J135" s="132">
        <v>0</v>
      </c>
      <c r="K135" s="132">
        <v>0</v>
      </c>
      <c r="L135" s="132">
        <v>0</v>
      </c>
      <c r="M135" s="132">
        <v>0</v>
      </c>
      <c r="N135" s="132">
        <v>0</v>
      </c>
      <c r="O135" s="132">
        <v>0</v>
      </c>
      <c r="P135" s="132">
        <v>0</v>
      </c>
      <c r="Q135" s="132">
        <v>0</v>
      </c>
      <c r="R135" s="132">
        <v>0</v>
      </c>
      <c r="S135" s="132">
        <v>0</v>
      </c>
      <c r="T135" s="128">
        <f t="shared" si="5"/>
        <v>0</v>
      </c>
    </row>
    <row r="136" spans="1:20" x14ac:dyDescent="0.2">
      <c r="A136" s="23" t="s">
        <v>102</v>
      </c>
      <c r="B136">
        <v>4</v>
      </c>
      <c r="C136" s="23" t="s">
        <v>111</v>
      </c>
      <c r="D136">
        <v>411</v>
      </c>
      <c r="E136" s="132">
        <v>0</v>
      </c>
      <c r="F136" s="132">
        <v>0</v>
      </c>
      <c r="G136" s="132">
        <v>0</v>
      </c>
      <c r="H136" s="132">
        <v>0</v>
      </c>
      <c r="I136" s="132">
        <v>0</v>
      </c>
      <c r="J136" s="132">
        <v>0</v>
      </c>
      <c r="K136" s="132">
        <v>0</v>
      </c>
      <c r="L136" s="132">
        <v>0</v>
      </c>
      <c r="M136" s="132">
        <v>0</v>
      </c>
      <c r="N136" s="132">
        <v>0</v>
      </c>
      <c r="O136" s="132">
        <v>0</v>
      </c>
      <c r="P136" s="132">
        <v>0</v>
      </c>
      <c r="Q136" s="132">
        <v>0</v>
      </c>
      <c r="R136" s="132">
        <v>0</v>
      </c>
      <c r="S136" s="132">
        <v>0</v>
      </c>
      <c r="T136" s="128">
        <f t="shared" si="5"/>
        <v>0</v>
      </c>
    </row>
    <row r="137" spans="1:20" x14ac:dyDescent="0.2">
      <c r="A137" s="23" t="s">
        <v>102</v>
      </c>
      <c r="B137">
        <v>4</v>
      </c>
      <c r="C137" s="23" t="s">
        <v>111</v>
      </c>
      <c r="D137">
        <v>412</v>
      </c>
      <c r="E137" s="132">
        <v>0</v>
      </c>
      <c r="F137" s="132">
        <v>0</v>
      </c>
      <c r="G137" s="132">
        <v>0</v>
      </c>
      <c r="H137" s="132">
        <v>0</v>
      </c>
      <c r="I137" s="132">
        <v>0</v>
      </c>
      <c r="J137" s="132">
        <v>0</v>
      </c>
      <c r="K137" s="132">
        <v>0</v>
      </c>
      <c r="L137" s="132">
        <v>0</v>
      </c>
      <c r="M137" s="132">
        <v>0</v>
      </c>
      <c r="N137" s="132">
        <v>0</v>
      </c>
      <c r="O137" s="132">
        <v>0</v>
      </c>
      <c r="P137" s="132">
        <v>0</v>
      </c>
      <c r="Q137" s="132">
        <v>0</v>
      </c>
      <c r="R137" s="132">
        <v>0</v>
      </c>
      <c r="S137" s="132">
        <v>0</v>
      </c>
      <c r="T137" s="128">
        <f t="shared" si="5"/>
        <v>0</v>
      </c>
    </row>
    <row r="138" spans="1:20" x14ac:dyDescent="0.2">
      <c r="A138" s="23" t="s">
        <v>102</v>
      </c>
      <c r="B138">
        <v>4</v>
      </c>
      <c r="C138" s="23" t="s">
        <v>111</v>
      </c>
      <c r="D138">
        <v>413</v>
      </c>
      <c r="E138" s="132">
        <v>0</v>
      </c>
      <c r="F138" s="132">
        <v>0</v>
      </c>
      <c r="G138" s="132">
        <v>0</v>
      </c>
      <c r="H138" s="132">
        <v>0</v>
      </c>
      <c r="I138" s="132">
        <v>0</v>
      </c>
      <c r="J138" s="132">
        <v>0</v>
      </c>
      <c r="K138" s="132">
        <v>0</v>
      </c>
      <c r="L138" s="132">
        <v>0</v>
      </c>
      <c r="M138" s="132">
        <v>0</v>
      </c>
      <c r="N138" s="132">
        <v>0</v>
      </c>
      <c r="O138" s="132">
        <v>0</v>
      </c>
      <c r="P138" s="132">
        <v>0</v>
      </c>
      <c r="Q138" s="132">
        <v>0</v>
      </c>
      <c r="R138" s="132">
        <v>0</v>
      </c>
      <c r="S138" s="132">
        <v>0</v>
      </c>
      <c r="T138" s="128">
        <f t="shared" si="5"/>
        <v>0</v>
      </c>
    </row>
    <row r="139" spans="1:20" x14ac:dyDescent="0.2">
      <c r="A139" s="23" t="s">
        <v>102</v>
      </c>
      <c r="B139">
        <v>4</v>
      </c>
      <c r="C139" s="23" t="s">
        <v>111</v>
      </c>
      <c r="D139">
        <v>414</v>
      </c>
      <c r="E139" s="132">
        <v>0</v>
      </c>
      <c r="F139" s="132">
        <v>0</v>
      </c>
      <c r="G139" s="132">
        <v>0</v>
      </c>
      <c r="H139" s="132">
        <v>0</v>
      </c>
      <c r="I139" s="132">
        <v>0</v>
      </c>
      <c r="J139" s="132">
        <v>0</v>
      </c>
      <c r="K139" s="132">
        <v>0</v>
      </c>
      <c r="L139" s="132">
        <v>0</v>
      </c>
      <c r="M139" s="132">
        <v>0</v>
      </c>
      <c r="N139" s="132">
        <v>0</v>
      </c>
      <c r="O139" s="132">
        <v>0</v>
      </c>
      <c r="P139" s="132">
        <v>0</v>
      </c>
      <c r="Q139" s="132">
        <v>0</v>
      </c>
      <c r="R139" s="132">
        <v>0</v>
      </c>
      <c r="S139" s="132">
        <v>0</v>
      </c>
      <c r="T139" s="128">
        <f t="shared" si="5"/>
        <v>0</v>
      </c>
    </row>
    <row r="140" spans="1:20" x14ac:dyDescent="0.2">
      <c r="A140" s="23" t="s">
        <v>102</v>
      </c>
      <c r="B140">
        <v>4</v>
      </c>
      <c r="C140" s="23" t="s">
        <v>111</v>
      </c>
      <c r="D140">
        <v>415</v>
      </c>
      <c r="E140" s="132">
        <v>0</v>
      </c>
      <c r="F140" s="132">
        <v>0</v>
      </c>
      <c r="G140" s="132">
        <v>0</v>
      </c>
      <c r="H140" s="132">
        <v>0</v>
      </c>
      <c r="I140" s="132">
        <v>0</v>
      </c>
      <c r="J140" s="132">
        <v>0</v>
      </c>
      <c r="K140" s="132">
        <v>0</v>
      </c>
      <c r="L140" s="132">
        <v>0</v>
      </c>
      <c r="M140" s="132">
        <v>0</v>
      </c>
      <c r="N140" s="132">
        <v>0</v>
      </c>
      <c r="O140" s="132">
        <v>0</v>
      </c>
      <c r="P140" s="132">
        <v>0</v>
      </c>
      <c r="Q140" s="132">
        <v>0</v>
      </c>
      <c r="R140" s="132">
        <v>0</v>
      </c>
      <c r="S140" s="132">
        <v>0</v>
      </c>
      <c r="T140" s="128">
        <f t="shared" si="5"/>
        <v>0</v>
      </c>
    </row>
    <row r="141" spans="1:20" x14ac:dyDescent="0.2">
      <c r="A141" s="23" t="s">
        <v>102</v>
      </c>
      <c r="B141">
        <v>4</v>
      </c>
      <c r="C141" s="23" t="s">
        <v>111</v>
      </c>
      <c r="D141">
        <v>416</v>
      </c>
      <c r="E141" s="132">
        <v>0</v>
      </c>
      <c r="F141" s="132">
        <v>0</v>
      </c>
      <c r="G141" s="132">
        <v>0</v>
      </c>
      <c r="H141" s="132">
        <v>0</v>
      </c>
      <c r="I141" s="132">
        <v>0</v>
      </c>
      <c r="J141" s="132">
        <v>0</v>
      </c>
      <c r="K141" s="132">
        <v>0</v>
      </c>
      <c r="L141" s="132">
        <v>0</v>
      </c>
      <c r="M141" s="132">
        <v>0</v>
      </c>
      <c r="N141" s="132">
        <v>0</v>
      </c>
      <c r="O141" s="132">
        <v>0</v>
      </c>
      <c r="P141" s="132">
        <v>0</v>
      </c>
      <c r="Q141" s="132">
        <v>0</v>
      </c>
      <c r="R141" s="132">
        <v>0</v>
      </c>
      <c r="S141" s="132">
        <v>0</v>
      </c>
      <c r="T141" s="128">
        <f t="shared" si="5"/>
        <v>0</v>
      </c>
    </row>
    <row r="142" spans="1:20" x14ac:dyDescent="0.2">
      <c r="A142" s="23" t="s">
        <v>102</v>
      </c>
      <c r="B142">
        <v>4</v>
      </c>
      <c r="C142" s="23" t="s">
        <v>111</v>
      </c>
      <c r="D142">
        <v>417</v>
      </c>
      <c r="E142" s="132">
        <v>0</v>
      </c>
      <c r="F142" s="132">
        <v>0</v>
      </c>
      <c r="G142" s="132">
        <v>0</v>
      </c>
      <c r="H142" s="132">
        <v>0</v>
      </c>
      <c r="I142" s="132">
        <v>0</v>
      </c>
      <c r="J142" s="132">
        <v>0</v>
      </c>
      <c r="K142" s="132">
        <v>0</v>
      </c>
      <c r="L142" s="132">
        <v>0</v>
      </c>
      <c r="M142" s="132">
        <v>0</v>
      </c>
      <c r="N142" s="132">
        <v>0</v>
      </c>
      <c r="O142" s="132">
        <v>0</v>
      </c>
      <c r="P142" s="132">
        <v>0</v>
      </c>
      <c r="Q142" s="132">
        <v>0</v>
      </c>
      <c r="R142" s="132">
        <v>0</v>
      </c>
      <c r="S142" s="132">
        <v>0</v>
      </c>
      <c r="T142" s="128">
        <f t="shared" si="5"/>
        <v>0</v>
      </c>
    </row>
    <row r="143" spans="1:20" x14ac:dyDescent="0.2">
      <c r="A143" s="23" t="s">
        <v>102</v>
      </c>
      <c r="B143">
        <v>4</v>
      </c>
      <c r="C143" s="23" t="s">
        <v>111</v>
      </c>
      <c r="D143">
        <v>418</v>
      </c>
      <c r="E143" s="132">
        <v>0</v>
      </c>
      <c r="F143" s="132">
        <v>0</v>
      </c>
      <c r="G143" s="132">
        <v>0</v>
      </c>
      <c r="H143" s="132">
        <v>0</v>
      </c>
      <c r="I143" s="132">
        <v>0</v>
      </c>
      <c r="J143" s="132">
        <v>0</v>
      </c>
      <c r="K143" s="132">
        <v>0</v>
      </c>
      <c r="L143" s="132">
        <v>0</v>
      </c>
      <c r="M143" s="132">
        <v>0</v>
      </c>
      <c r="N143" s="132">
        <v>0</v>
      </c>
      <c r="O143" s="132">
        <v>0</v>
      </c>
      <c r="P143" s="132">
        <v>0</v>
      </c>
      <c r="Q143" s="132">
        <v>0</v>
      </c>
      <c r="R143" s="132">
        <v>0</v>
      </c>
      <c r="S143" s="132">
        <v>0</v>
      </c>
      <c r="T143" s="128">
        <f t="shared" si="5"/>
        <v>0</v>
      </c>
    </row>
    <row r="144" spans="1:20" x14ac:dyDescent="0.2">
      <c r="A144" s="23" t="s">
        <v>102</v>
      </c>
      <c r="B144">
        <v>4</v>
      </c>
      <c r="C144" s="23" t="s">
        <v>111</v>
      </c>
      <c r="D144">
        <v>419</v>
      </c>
      <c r="E144" s="132">
        <v>0</v>
      </c>
      <c r="F144" s="132">
        <v>0</v>
      </c>
      <c r="G144" s="132">
        <v>0</v>
      </c>
      <c r="H144" s="132">
        <v>0</v>
      </c>
      <c r="I144" s="132">
        <v>0</v>
      </c>
      <c r="J144" s="132">
        <v>0</v>
      </c>
      <c r="K144" s="132">
        <v>0</v>
      </c>
      <c r="L144" s="132">
        <v>0</v>
      </c>
      <c r="M144" s="132">
        <v>0</v>
      </c>
      <c r="N144" s="132">
        <v>0</v>
      </c>
      <c r="O144" s="132">
        <v>0</v>
      </c>
      <c r="P144" s="132">
        <v>0</v>
      </c>
      <c r="Q144" s="132">
        <v>0</v>
      </c>
      <c r="R144" s="132">
        <v>0</v>
      </c>
      <c r="S144" s="132">
        <v>0</v>
      </c>
      <c r="T144" s="128">
        <f t="shared" si="5"/>
        <v>0</v>
      </c>
    </row>
    <row r="145" spans="1:20" x14ac:dyDescent="0.2">
      <c r="A145" s="23" t="s">
        <v>102</v>
      </c>
      <c r="B145">
        <v>4</v>
      </c>
      <c r="C145" s="23" t="s">
        <v>111</v>
      </c>
      <c r="D145">
        <v>420</v>
      </c>
      <c r="E145" s="132">
        <v>0</v>
      </c>
      <c r="F145" s="132">
        <v>0</v>
      </c>
      <c r="G145" s="132">
        <v>0</v>
      </c>
      <c r="H145" s="132">
        <v>0</v>
      </c>
      <c r="I145" s="132">
        <v>0</v>
      </c>
      <c r="J145" s="132">
        <v>0</v>
      </c>
      <c r="K145" s="132">
        <v>0</v>
      </c>
      <c r="L145" s="132">
        <v>0</v>
      </c>
      <c r="M145" s="132">
        <v>0</v>
      </c>
      <c r="N145" s="132">
        <v>0</v>
      </c>
      <c r="O145" s="132">
        <v>0</v>
      </c>
      <c r="P145" s="132">
        <v>0</v>
      </c>
      <c r="Q145" s="132">
        <v>0</v>
      </c>
      <c r="R145" s="132">
        <v>0</v>
      </c>
      <c r="S145" s="132">
        <v>0</v>
      </c>
      <c r="T145" s="128">
        <f t="shared" si="5"/>
        <v>0</v>
      </c>
    </row>
    <row r="146" spans="1:20" x14ac:dyDescent="0.2">
      <c r="A146" s="23" t="s">
        <v>102</v>
      </c>
      <c r="B146">
        <v>4</v>
      </c>
      <c r="C146" s="23" t="s">
        <v>111</v>
      </c>
      <c r="D146">
        <v>421</v>
      </c>
      <c r="E146" s="132">
        <v>0</v>
      </c>
      <c r="F146" s="132">
        <v>0</v>
      </c>
      <c r="G146" s="132">
        <v>0</v>
      </c>
      <c r="H146" s="132">
        <v>0</v>
      </c>
      <c r="I146" s="132">
        <v>0</v>
      </c>
      <c r="J146" s="132">
        <v>0</v>
      </c>
      <c r="K146" s="132">
        <v>0</v>
      </c>
      <c r="L146" s="132">
        <v>0</v>
      </c>
      <c r="M146" s="132">
        <v>0</v>
      </c>
      <c r="N146" s="132">
        <v>0</v>
      </c>
      <c r="O146" s="132">
        <v>0</v>
      </c>
      <c r="P146" s="132">
        <v>0</v>
      </c>
      <c r="Q146" s="132">
        <v>0</v>
      </c>
      <c r="R146" s="132">
        <v>0</v>
      </c>
      <c r="S146" s="132">
        <v>0</v>
      </c>
      <c r="T146" s="128">
        <f t="shared" si="5"/>
        <v>0</v>
      </c>
    </row>
    <row r="147" spans="1:20" x14ac:dyDescent="0.2">
      <c r="A147" s="23"/>
      <c r="C147" s="23"/>
      <c r="D147" s="23"/>
      <c r="E147" s="132"/>
      <c r="F147" s="132">
        <f t="shared" ref="F147:S147" si="6">AVERAGE(F103:F146)</f>
        <v>0</v>
      </c>
      <c r="G147" s="132">
        <f t="shared" si="6"/>
        <v>0</v>
      </c>
      <c r="H147" s="132">
        <f t="shared" si="6"/>
        <v>0</v>
      </c>
      <c r="I147" s="132">
        <f t="shared" si="6"/>
        <v>0</v>
      </c>
      <c r="J147" s="132">
        <f t="shared" si="6"/>
        <v>0</v>
      </c>
      <c r="K147" s="132">
        <f t="shared" si="6"/>
        <v>0</v>
      </c>
      <c r="L147" s="132">
        <f t="shared" si="6"/>
        <v>0</v>
      </c>
      <c r="M147" s="132">
        <f t="shared" si="6"/>
        <v>0</v>
      </c>
      <c r="N147" s="132">
        <f t="shared" si="6"/>
        <v>0</v>
      </c>
      <c r="O147" s="132">
        <f t="shared" si="6"/>
        <v>0</v>
      </c>
      <c r="P147" s="132">
        <f t="shared" si="6"/>
        <v>0</v>
      </c>
      <c r="Q147" s="132">
        <f t="shared" si="6"/>
        <v>0</v>
      </c>
      <c r="R147" s="132">
        <f t="shared" si="6"/>
        <v>0</v>
      </c>
      <c r="S147" s="132">
        <f t="shared" si="6"/>
        <v>0</v>
      </c>
      <c r="T147" s="128">
        <f t="shared" si="5"/>
        <v>0</v>
      </c>
    </row>
    <row r="148" spans="1:20" x14ac:dyDescent="0.2">
      <c r="A148" s="23" t="s">
        <v>102</v>
      </c>
      <c r="B148">
        <v>5</v>
      </c>
      <c r="C148" s="23" t="s">
        <v>112</v>
      </c>
      <c r="D148">
        <v>501</v>
      </c>
      <c r="E148" s="132">
        <v>0</v>
      </c>
      <c r="F148" s="132">
        <v>0</v>
      </c>
      <c r="G148" s="132">
        <v>0</v>
      </c>
      <c r="H148" s="132">
        <v>0</v>
      </c>
      <c r="I148" s="132">
        <v>0</v>
      </c>
      <c r="J148" s="132">
        <v>0</v>
      </c>
      <c r="K148" s="132">
        <v>0</v>
      </c>
      <c r="L148" s="132">
        <v>0</v>
      </c>
      <c r="M148" s="132">
        <v>0</v>
      </c>
      <c r="N148" s="132">
        <v>0</v>
      </c>
      <c r="O148" s="132">
        <v>0</v>
      </c>
      <c r="P148" s="132">
        <v>0</v>
      </c>
      <c r="Q148" s="132">
        <v>0</v>
      </c>
      <c r="R148" s="132">
        <v>0</v>
      </c>
      <c r="S148" s="132">
        <v>0</v>
      </c>
      <c r="T148" s="128">
        <f t="shared" si="5"/>
        <v>0</v>
      </c>
    </row>
    <row r="149" spans="1:20" x14ac:dyDescent="0.2">
      <c r="A149" s="23" t="s">
        <v>102</v>
      </c>
      <c r="B149">
        <v>5</v>
      </c>
      <c r="C149" s="23" t="s">
        <v>112</v>
      </c>
      <c r="D149">
        <v>502</v>
      </c>
      <c r="E149" s="132">
        <v>0</v>
      </c>
      <c r="F149" s="132">
        <v>0</v>
      </c>
      <c r="G149" s="132">
        <v>0</v>
      </c>
      <c r="H149" s="132">
        <v>0</v>
      </c>
      <c r="I149" s="132">
        <v>0</v>
      </c>
      <c r="J149" s="132">
        <v>0</v>
      </c>
      <c r="K149" s="132">
        <v>0</v>
      </c>
      <c r="L149" s="132">
        <v>0</v>
      </c>
      <c r="M149" s="132">
        <v>0</v>
      </c>
      <c r="N149" s="132">
        <v>0</v>
      </c>
      <c r="O149" s="132">
        <v>0</v>
      </c>
      <c r="P149" s="132">
        <v>0</v>
      </c>
      <c r="Q149" s="132">
        <v>0</v>
      </c>
      <c r="R149" s="132">
        <v>0</v>
      </c>
      <c r="S149" s="132">
        <v>0</v>
      </c>
      <c r="T149" s="128">
        <f t="shared" si="5"/>
        <v>0</v>
      </c>
    </row>
    <row r="150" spans="1:20" x14ac:dyDescent="0.2">
      <c r="A150" s="23" t="s">
        <v>102</v>
      </c>
      <c r="B150">
        <v>5</v>
      </c>
      <c r="C150" s="23" t="s">
        <v>112</v>
      </c>
      <c r="D150">
        <v>503</v>
      </c>
      <c r="E150" s="132">
        <v>0</v>
      </c>
      <c r="F150" s="132">
        <v>0</v>
      </c>
      <c r="G150" s="132">
        <v>0</v>
      </c>
      <c r="H150" s="132">
        <v>0</v>
      </c>
      <c r="I150" s="132">
        <v>0</v>
      </c>
      <c r="J150" s="132">
        <v>0</v>
      </c>
      <c r="K150" s="132">
        <v>0</v>
      </c>
      <c r="L150" s="132">
        <v>0</v>
      </c>
      <c r="M150" s="132">
        <v>0</v>
      </c>
      <c r="N150" s="132">
        <v>0</v>
      </c>
      <c r="O150" s="132">
        <v>0</v>
      </c>
      <c r="P150" s="132">
        <v>0</v>
      </c>
      <c r="Q150" s="132">
        <v>0</v>
      </c>
      <c r="R150" s="132">
        <v>0</v>
      </c>
      <c r="S150" s="132">
        <v>0</v>
      </c>
      <c r="T150" s="128">
        <f t="shared" si="5"/>
        <v>0</v>
      </c>
    </row>
    <row r="151" spans="1:20" x14ac:dyDescent="0.2">
      <c r="A151" s="23" t="s">
        <v>102</v>
      </c>
      <c r="B151">
        <v>5</v>
      </c>
      <c r="C151" s="23" t="s">
        <v>112</v>
      </c>
      <c r="D151">
        <v>504</v>
      </c>
      <c r="E151" s="132">
        <v>0</v>
      </c>
      <c r="F151" s="132">
        <v>0</v>
      </c>
      <c r="G151" s="132">
        <v>0</v>
      </c>
      <c r="H151" s="132">
        <v>0</v>
      </c>
      <c r="I151" s="132">
        <v>0</v>
      </c>
      <c r="J151" s="132">
        <v>0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0</v>
      </c>
      <c r="S151" s="132">
        <v>0</v>
      </c>
      <c r="T151" s="128">
        <f t="shared" si="5"/>
        <v>0</v>
      </c>
    </row>
    <row r="152" spans="1:20" x14ac:dyDescent="0.2">
      <c r="A152" s="23" t="s">
        <v>102</v>
      </c>
      <c r="B152">
        <v>5</v>
      </c>
      <c r="C152" s="23" t="s">
        <v>112</v>
      </c>
      <c r="D152">
        <v>505</v>
      </c>
      <c r="E152" s="132">
        <v>0</v>
      </c>
      <c r="F152" s="132">
        <v>0</v>
      </c>
      <c r="G152" s="132">
        <v>0</v>
      </c>
      <c r="H152" s="132">
        <v>0</v>
      </c>
      <c r="I152" s="132">
        <v>0</v>
      </c>
      <c r="J152" s="132">
        <v>0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0</v>
      </c>
      <c r="S152" s="132">
        <v>0</v>
      </c>
      <c r="T152" s="128">
        <f t="shared" si="5"/>
        <v>0</v>
      </c>
    </row>
    <row r="153" spans="1:20" x14ac:dyDescent="0.2">
      <c r="A153" s="23" t="s">
        <v>102</v>
      </c>
      <c r="B153">
        <v>5</v>
      </c>
      <c r="C153" s="23" t="s">
        <v>112</v>
      </c>
      <c r="D153">
        <v>506</v>
      </c>
      <c r="E153" s="132">
        <v>0</v>
      </c>
      <c r="F153" s="132">
        <v>0</v>
      </c>
      <c r="G153" s="132">
        <v>0</v>
      </c>
      <c r="H153" s="132">
        <v>0</v>
      </c>
      <c r="I153" s="132">
        <v>0</v>
      </c>
      <c r="J153" s="132">
        <v>0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0</v>
      </c>
      <c r="S153" s="132">
        <v>0</v>
      </c>
      <c r="T153" s="128">
        <f t="shared" si="5"/>
        <v>0</v>
      </c>
    </row>
    <row r="154" spans="1:20" x14ac:dyDescent="0.2">
      <c r="A154" s="23" t="s">
        <v>102</v>
      </c>
      <c r="B154">
        <v>5</v>
      </c>
      <c r="C154" s="23" t="s">
        <v>112</v>
      </c>
      <c r="D154">
        <v>507</v>
      </c>
      <c r="E154" s="132">
        <v>0</v>
      </c>
      <c r="F154" s="132">
        <v>0</v>
      </c>
      <c r="G154" s="132">
        <v>0</v>
      </c>
      <c r="H154" s="132">
        <v>0</v>
      </c>
      <c r="I154" s="132">
        <v>0</v>
      </c>
      <c r="J154" s="132">
        <v>0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0</v>
      </c>
      <c r="S154" s="132">
        <v>0</v>
      </c>
      <c r="T154" s="128">
        <f t="shared" si="5"/>
        <v>0</v>
      </c>
    </row>
    <row r="155" spans="1:20" x14ac:dyDescent="0.2">
      <c r="A155" s="23" t="s">
        <v>102</v>
      </c>
      <c r="B155">
        <v>5</v>
      </c>
      <c r="C155" s="23" t="s">
        <v>112</v>
      </c>
      <c r="D155">
        <v>508</v>
      </c>
      <c r="E155" s="132">
        <v>0</v>
      </c>
      <c r="F155" s="132">
        <v>0</v>
      </c>
      <c r="G155" s="132">
        <v>0</v>
      </c>
      <c r="H155" s="132">
        <v>0</v>
      </c>
      <c r="I155" s="132">
        <v>0</v>
      </c>
      <c r="J155" s="132">
        <v>0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0</v>
      </c>
      <c r="S155" s="132">
        <v>0</v>
      </c>
      <c r="T155" s="128">
        <f t="shared" si="5"/>
        <v>0</v>
      </c>
    </row>
    <row r="156" spans="1:20" x14ac:dyDescent="0.2">
      <c r="A156" s="23" t="s">
        <v>102</v>
      </c>
      <c r="B156">
        <v>5</v>
      </c>
      <c r="C156" s="23" t="s">
        <v>112</v>
      </c>
      <c r="D156">
        <v>509</v>
      </c>
      <c r="E156" s="132">
        <v>0</v>
      </c>
      <c r="F156" s="132">
        <v>0</v>
      </c>
      <c r="G156" s="132">
        <v>0</v>
      </c>
      <c r="H156" s="132">
        <v>0</v>
      </c>
      <c r="I156" s="132">
        <v>0</v>
      </c>
      <c r="J156" s="132">
        <v>0</v>
      </c>
      <c r="K156" s="132">
        <v>0</v>
      </c>
      <c r="L156" s="132">
        <v>0</v>
      </c>
      <c r="M156" s="132">
        <v>0</v>
      </c>
      <c r="N156" s="132">
        <v>0</v>
      </c>
      <c r="O156" s="132">
        <v>0</v>
      </c>
      <c r="P156" s="132">
        <v>0</v>
      </c>
      <c r="Q156" s="132">
        <v>0</v>
      </c>
      <c r="R156" s="132">
        <v>0</v>
      </c>
      <c r="S156" s="132">
        <v>0</v>
      </c>
      <c r="T156" s="128">
        <f t="shared" si="5"/>
        <v>0</v>
      </c>
    </row>
    <row r="157" spans="1:20" x14ac:dyDescent="0.2">
      <c r="A157" s="23" t="s">
        <v>102</v>
      </c>
      <c r="B157">
        <v>5</v>
      </c>
      <c r="C157" s="23" t="s">
        <v>112</v>
      </c>
      <c r="D157">
        <v>510</v>
      </c>
      <c r="E157" s="132">
        <v>0</v>
      </c>
      <c r="F157" s="132">
        <v>0</v>
      </c>
      <c r="G157" s="132">
        <v>0</v>
      </c>
      <c r="H157" s="132">
        <v>0</v>
      </c>
      <c r="I157" s="132">
        <v>0</v>
      </c>
      <c r="J157" s="132">
        <v>0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0</v>
      </c>
      <c r="S157" s="132">
        <v>0</v>
      </c>
      <c r="T157" s="128">
        <f t="shared" si="5"/>
        <v>0</v>
      </c>
    </row>
    <row r="158" spans="1:20" x14ac:dyDescent="0.2">
      <c r="A158" s="23" t="s">
        <v>102</v>
      </c>
      <c r="B158">
        <v>5</v>
      </c>
      <c r="C158" s="23" t="s">
        <v>112</v>
      </c>
      <c r="D158">
        <v>511</v>
      </c>
      <c r="E158" s="132">
        <v>0</v>
      </c>
      <c r="F158" s="132">
        <v>0</v>
      </c>
      <c r="G158" s="132">
        <v>0</v>
      </c>
      <c r="H158" s="132">
        <v>0</v>
      </c>
      <c r="I158" s="132">
        <v>0</v>
      </c>
      <c r="J158" s="132">
        <v>0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0</v>
      </c>
      <c r="S158" s="132">
        <v>0</v>
      </c>
      <c r="T158" s="128">
        <f t="shared" si="5"/>
        <v>0</v>
      </c>
    </row>
    <row r="159" spans="1:20" x14ac:dyDescent="0.2">
      <c r="A159" s="23" t="s">
        <v>102</v>
      </c>
      <c r="B159">
        <v>5</v>
      </c>
      <c r="C159" s="23" t="s">
        <v>112</v>
      </c>
      <c r="D159">
        <v>512</v>
      </c>
      <c r="E159" s="132">
        <v>0</v>
      </c>
      <c r="F159" s="132">
        <v>0</v>
      </c>
      <c r="G159" s="132">
        <v>0</v>
      </c>
      <c r="H159" s="132">
        <v>0</v>
      </c>
      <c r="I159" s="132">
        <v>0</v>
      </c>
      <c r="J159" s="132">
        <v>0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0</v>
      </c>
      <c r="S159" s="132">
        <v>0</v>
      </c>
      <c r="T159" s="128">
        <f t="shared" si="5"/>
        <v>0</v>
      </c>
    </row>
    <row r="160" spans="1:20" x14ac:dyDescent="0.2">
      <c r="A160" s="23" t="s">
        <v>102</v>
      </c>
      <c r="B160">
        <v>5</v>
      </c>
      <c r="C160" s="23" t="s">
        <v>112</v>
      </c>
      <c r="D160">
        <v>513</v>
      </c>
      <c r="E160" s="132">
        <v>0</v>
      </c>
      <c r="F160" s="132">
        <v>0</v>
      </c>
      <c r="G160" s="132">
        <v>0</v>
      </c>
      <c r="H160" s="132">
        <v>0</v>
      </c>
      <c r="I160" s="132">
        <v>0</v>
      </c>
      <c r="J160" s="132">
        <v>0</v>
      </c>
      <c r="K160" s="132">
        <v>0</v>
      </c>
      <c r="L160" s="132">
        <v>0</v>
      </c>
      <c r="M160" s="132">
        <v>0</v>
      </c>
      <c r="N160" s="132">
        <v>0</v>
      </c>
      <c r="O160" s="132">
        <v>0</v>
      </c>
      <c r="P160" s="132">
        <v>0</v>
      </c>
      <c r="Q160" s="132">
        <v>0</v>
      </c>
      <c r="R160" s="132">
        <v>0</v>
      </c>
      <c r="S160" s="132">
        <v>0</v>
      </c>
      <c r="T160" s="128">
        <f t="shared" si="5"/>
        <v>0</v>
      </c>
    </row>
    <row r="161" spans="1:20" x14ac:dyDescent="0.2">
      <c r="A161" s="23" t="s">
        <v>102</v>
      </c>
      <c r="B161">
        <v>5</v>
      </c>
      <c r="C161" s="23" t="s">
        <v>112</v>
      </c>
      <c r="D161">
        <v>514</v>
      </c>
      <c r="E161" s="132">
        <v>0</v>
      </c>
      <c r="F161" s="132">
        <v>0</v>
      </c>
      <c r="G161" s="132">
        <v>0</v>
      </c>
      <c r="H161" s="132">
        <v>0</v>
      </c>
      <c r="I161" s="132">
        <v>0</v>
      </c>
      <c r="J161" s="132">
        <v>0</v>
      </c>
      <c r="K161" s="132">
        <v>0</v>
      </c>
      <c r="L161" s="132">
        <v>0</v>
      </c>
      <c r="M161" s="132">
        <v>0</v>
      </c>
      <c r="N161" s="132">
        <v>0</v>
      </c>
      <c r="O161" s="132">
        <v>0</v>
      </c>
      <c r="P161" s="132">
        <v>0</v>
      </c>
      <c r="Q161" s="132">
        <v>0</v>
      </c>
      <c r="R161" s="132">
        <v>0</v>
      </c>
      <c r="S161" s="132">
        <v>0</v>
      </c>
      <c r="T161" s="128">
        <f t="shared" si="5"/>
        <v>0</v>
      </c>
    </row>
    <row r="162" spans="1:20" x14ac:dyDescent="0.2">
      <c r="A162" s="23" t="s">
        <v>102</v>
      </c>
      <c r="B162">
        <v>5</v>
      </c>
      <c r="C162" s="23" t="s">
        <v>112</v>
      </c>
      <c r="D162">
        <v>515</v>
      </c>
      <c r="E162" s="132">
        <v>0</v>
      </c>
      <c r="F162" s="132">
        <v>0</v>
      </c>
      <c r="G162" s="132">
        <v>0</v>
      </c>
      <c r="H162" s="132">
        <v>0</v>
      </c>
      <c r="I162" s="132">
        <v>0</v>
      </c>
      <c r="J162" s="132">
        <v>0</v>
      </c>
      <c r="K162" s="132">
        <v>0</v>
      </c>
      <c r="L162" s="132">
        <v>0</v>
      </c>
      <c r="M162" s="132">
        <v>0</v>
      </c>
      <c r="N162" s="132">
        <v>0</v>
      </c>
      <c r="O162" s="132">
        <v>0</v>
      </c>
      <c r="P162" s="132">
        <v>0</v>
      </c>
      <c r="Q162" s="132">
        <v>0</v>
      </c>
      <c r="R162" s="132">
        <v>0</v>
      </c>
      <c r="S162" s="132">
        <v>0</v>
      </c>
      <c r="T162" s="128">
        <f t="shared" si="5"/>
        <v>0</v>
      </c>
    </row>
    <row r="163" spans="1:20" x14ac:dyDescent="0.2">
      <c r="A163" s="23" t="s">
        <v>102</v>
      </c>
      <c r="B163">
        <v>5</v>
      </c>
      <c r="C163" s="23" t="s">
        <v>112</v>
      </c>
      <c r="D163">
        <v>516</v>
      </c>
      <c r="E163" s="132">
        <v>0</v>
      </c>
      <c r="F163" s="132">
        <v>0</v>
      </c>
      <c r="G163" s="132">
        <v>0</v>
      </c>
      <c r="H163" s="132">
        <v>0</v>
      </c>
      <c r="I163" s="132">
        <v>0</v>
      </c>
      <c r="J163" s="132">
        <v>0</v>
      </c>
      <c r="K163" s="132">
        <v>0</v>
      </c>
      <c r="L163" s="132">
        <v>0</v>
      </c>
      <c r="M163" s="132">
        <v>0</v>
      </c>
      <c r="N163" s="132">
        <v>0</v>
      </c>
      <c r="O163" s="132">
        <v>0</v>
      </c>
      <c r="P163" s="132">
        <v>0</v>
      </c>
      <c r="Q163" s="132">
        <v>0</v>
      </c>
      <c r="R163" s="132">
        <v>0</v>
      </c>
      <c r="S163" s="132">
        <v>0</v>
      </c>
      <c r="T163" s="128">
        <f t="shared" si="5"/>
        <v>0</v>
      </c>
    </row>
    <row r="164" spans="1:20" x14ac:dyDescent="0.2">
      <c r="A164" s="23" t="s">
        <v>102</v>
      </c>
      <c r="B164">
        <v>5</v>
      </c>
      <c r="C164" s="23" t="s">
        <v>112</v>
      </c>
      <c r="D164">
        <v>517</v>
      </c>
      <c r="E164" s="132">
        <v>0</v>
      </c>
      <c r="F164" s="132">
        <v>0</v>
      </c>
      <c r="G164" s="132">
        <v>0</v>
      </c>
      <c r="H164" s="132">
        <v>0</v>
      </c>
      <c r="I164" s="132">
        <v>0</v>
      </c>
      <c r="J164" s="132">
        <v>0</v>
      </c>
      <c r="K164" s="132">
        <v>0</v>
      </c>
      <c r="L164" s="132">
        <v>0</v>
      </c>
      <c r="M164" s="132">
        <v>0</v>
      </c>
      <c r="N164" s="132">
        <v>0</v>
      </c>
      <c r="O164" s="132">
        <v>0</v>
      </c>
      <c r="P164" s="132">
        <v>0</v>
      </c>
      <c r="Q164" s="132">
        <v>0</v>
      </c>
      <c r="R164" s="132">
        <v>0</v>
      </c>
      <c r="S164" s="132">
        <v>0</v>
      </c>
      <c r="T164" s="128">
        <f t="shared" si="5"/>
        <v>0</v>
      </c>
    </row>
    <row r="165" spans="1:20" x14ac:dyDescent="0.2">
      <c r="A165" s="23" t="s">
        <v>102</v>
      </c>
      <c r="B165">
        <v>5</v>
      </c>
      <c r="C165" s="23" t="s">
        <v>112</v>
      </c>
      <c r="D165">
        <v>518</v>
      </c>
      <c r="E165" s="132">
        <v>0</v>
      </c>
      <c r="F165" s="132">
        <v>0</v>
      </c>
      <c r="G165" s="132">
        <v>0</v>
      </c>
      <c r="H165" s="132">
        <v>0</v>
      </c>
      <c r="I165" s="132">
        <v>0</v>
      </c>
      <c r="J165" s="132">
        <v>0</v>
      </c>
      <c r="K165" s="132">
        <v>0</v>
      </c>
      <c r="L165" s="132">
        <v>0</v>
      </c>
      <c r="M165" s="132">
        <v>0</v>
      </c>
      <c r="N165" s="132">
        <v>0</v>
      </c>
      <c r="O165" s="132">
        <v>0</v>
      </c>
      <c r="P165" s="132">
        <v>0</v>
      </c>
      <c r="Q165" s="132">
        <v>0</v>
      </c>
      <c r="R165" s="132">
        <v>0</v>
      </c>
      <c r="S165" s="132">
        <v>0</v>
      </c>
      <c r="T165" s="128">
        <f t="shared" si="5"/>
        <v>0</v>
      </c>
    </row>
    <row r="166" spans="1:20" x14ac:dyDescent="0.2">
      <c r="A166" s="23" t="s">
        <v>102</v>
      </c>
      <c r="B166">
        <v>5</v>
      </c>
      <c r="C166" s="23" t="s">
        <v>112</v>
      </c>
      <c r="D166">
        <v>519</v>
      </c>
      <c r="E166" s="132">
        <v>0</v>
      </c>
      <c r="F166" s="132">
        <v>0</v>
      </c>
      <c r="G166" s="132">
        <v>0</v>
      </c>
      <c r="H166" s="132">
        <v>0</v>
      </c>
      <c r="I166" s="132">
        <v>0</v>
      </c>
      <c r="J166" s="132">
        <v>0</v>
      </c>
      <c r="K166" s="132">
        <v>0</v>
      </c>
      <c r="L166" s="132">
        <v>0</v>
      </c>
      <c r="M166" s="132">
        <v>0</v>
      </c>
      <c r="N166" s="132">
        <v>0</v>
      </c>
      <c r="O166" s="132">
        <v>0</v>
      </c>
      <c r="P166" s="132">
        <v>0</v>
      </c>
      <c r="Q166" s="132">
        <v>0</v>
      </c>
      <c r="R166" s="132">
        <v>0</v>
      </c>
      <c r="S166" s="132">
        <v>0</v>
      </c>
      <c r="T166" s="128">
        <f t="shared" si="5"/>
        <v>0</v>
      </c>
    </row>
    <row r="167" spans="1:20" x14ac:dyDescent="0.2">
      <c r="A167" s="23" t="s">
        <v>102</v>
      </c>
      <c r="B167">
        <v>5</v>
      </c>
      <c r="C167" s="23" t="s">
        <v>112</v>
      </c>
      <c r="D167">
        <v>520</v>
      </c>
      <c r="E167" s="132">
        <v>0</v>
      </c>
      <c r="F167" s="132">
        <v>0</v>
      </c>
      <c r="G167" s="132">
        <v>0</v>
      </c>
      <c r="H167" s="132">
        <v>0</v>
      </c>
      <c r="I167" s="132">
        <v>0</v>
      </c>
      <c r="J167" s="132">
        <v>0</v>
      </c>
      <c r="K167" s="132">
        <v>0</v>
      </c>
      <c r="L167" s="132">
        <v>0</v>
      </c>
      <c r="M167" s="132">
        <v>0</v>
      </c>
      <c r="N167" s="132">
        <v>0</v>
      </c>
      <c r="O167" s="132">
        <v>0</v>
      </c>
      <c r="P167" s="132">
        <v>0</v>
      </c>
      <c r="Q167" s="132">
        <v>0</v>
      </c>
      <c r="R167" s="132">
        <v>0</v>
      </c>
      <c r="S167" s="132">
        <v>0</v>
      </c>
      <c r="T167" s="128">
        <f t="shared" si="5"/>
        <v>0</v>
      </c>
    </row>
    <row r="168" spans="1:20" x14ac:dyDescent="0.2">
      <c r="A168" s="23" t="s">
        <v>102</v>
      </c>
      <c r="B168">
        <v>5</v>
      </c>
      <c r="C168" s="23" t="s">
        <v>112</v>
      </c>
      <c r="D168">
        <v>521</v>
      </c>
      <c r="E168" s="132">
        <v>0</v>
      </c>
      <c r="F168" s="132">
        <v>0</v>
      </c>
      <c r="G168" s="132">
        <v>0</v>
      </c>
      <c r="H168" s="132">
        <v>0</v>
      </c>
      <c r="I168" s="132">
        <v>0</v>
      </c>
      <c r="J168" s="132">
        <v>0</v>
      </c>
      <c r="K168" s="132">
        <v>0</v>
      </c>
      <c r="L168" s="132">
        <v>0</v>
      </c>
      <c r="M168" s="132">
        <v>0</v>
      </c>
      <c r="N168" s="132">
        <v>0</v>
      </c>
      <c r="O168" s="132">
        <v>0</v>
      </c>
      <c r="P168" s="132">
        <v>0</v>
      </c>
      <c r="Q168" s="132">
        <v>0</v>
      </c>
      <c r="R168" s="132">
        <v>0</v>
      </c>
      <c r="S168" s="132">
        <v>0</v>
      </c>
      <c r="T168" s="128">
        <f t="shared" si="5"/>
        <v>0</v>
      </c>
    </row>
    <row r="169" spans="1:20" x14ac:dyDescent="0.2">
      <c r="A169" s="23" t="s">
        <v>102</v>
      </c>
      <c r="B169">
        <v>5</v>
      </c>
      <c r="C169" s="23" t="s">
        <v>112</v>
      </c>
      <c r="D169">
        <v>522</v>
      </c>
      <c r="E169" s="132">
        <v>0</v>
      </c>
      <c r="F169" s="132">
        <v>0</v>
      </c>
      <c r="G169" s="132">
        <v>0</v>
      </c>
      <c r="H169" s="132">
        <v>0</v>
      </c>
      <c r="I169" s="132">
        <v>0</v>
      </c>
      <c r="J169" s="132">
        <v>0</v>
      </c>
      <c r="K169" s="132">
        <v>0</v>
      </c>
      <c r="L169" s="132">
        <v>0</v>
      </c>
      <c r="M169" s="132">
        <v>0</v>
      </c>
      <c r="N169" s="132">
        <v>0</v>
      </c>
      <c r="O169" s="132">
        <v>0</v>
      </c>
      <c r="P169" s="132">
        <v>0</v>
      </c>
      <c r="Q169" s="132">
        <v>0</v>
      </c>
      <c r="R169" s="132">
        <v>0</v>
      </c>
      <c r="S169" s="132">
        <v>0</v>
      </c>
      <c r="T169" s="128">
        <f t="shared" si="5"/>
        <v>0</v>
      </c>
    </row>
    <row r="170" spans="1:20" x14ac:dyDescent="0.2">
      <c r="A170" s="23" t="s">
        <v>102</v>
      </c>
      <c r="B170">
        <v>5</v>
      </c>
      <c r="C170" s="23" t="s">
        <v>112</v>
      </c>
      <c r="D170">
        <v>523</v>
      </c>
      <c r="E170" s="132">
        <v>0</v>
      </c>
      <c r="F170" s="132">
        <v>0</v>
      </c>
      <c r="G170" s="132">
        <v>0</v>
      </c>
      <c r="H170" s="132">
        <v>0</v>
      </c>
      <c r="I170" s="132">
        <v>0</v>
      </c>
      <c r="J170" s="132">
        <v>0</v>
      </c>
      <c r="K170" s="132">
        <v>0</v>
      </c>
      <c r="L170" s="132">
        <v>0</v>
      </c>
      <c r="M170" s="132">
        <v>0</v>
      </c>
      <c r="N170" s="132">
        <v>0</v>
      </c>
      <c r="O170" s="132">
        <v>0</v>
      </c>
      <c r="P170" s="132">
        <v>0</v>
      </c>
      <c r="Q170" s="132">
        <v>0</v>
      </c>
      <c r="R170" s="132">
        <v>0</v>
      </c>
      <c r="S170" s="132">
        <v>0</v>
      </c>
      <c r="T170" s="128">
        <f t="shared" si="5"/>
        <v>0</v>
      </c>
    </row>
    <row r="171" spans="1:20" x14ac:dyDescent="0.2">
      <c r="A171" s="23" t="s">
        <v>102</v>
      </c>
      <c r="B171">
        <v>5</v>
      </c>
      <c r="C171" s="23" t="s">
        <v>111</v>
      </c>
      <c r="D171">
        <v>501</v>
      </c>
      <c r="E171" s="132">
        <v>0</v>
      </c>
      <c r="F171" s="132">
        <v>0</v>
      </c>
      <c r="G171" s="132">
        <v>0</v>
      </c>
      <c r="H171" s="132">
        <v>0</v>
      </c>
      <c r="I171" s="132">
        <v>0</v>
      </c>
      <c r="J171" s="132">
        <v>0</v>
      </c>
      <c r="K171" s="132">
        <v>0</v>
      </c>
      <c r="L171" s="132">
        <v>0</v>
      </c>
      <c r="M171" s="132">
        <v>0</v>
      </c>
      <c r="N171" s="132">
        <v>0</v>
      </c>
      <c r="O171" s="132">
        <v>0</v>
      </c>
      <c r="P171" s="132">
        <v>0</v>
      </c>
      <c r="Q171" s="132">
        <v>0</v>
      </c>
      <c r="R171" s="132">
        <v>0</v>
      </c>
      <c r="S171" s="132">
        <v>0</v>
      </c>
      <c r="T171" s="128">
        <f t="shared" si="5"/>
        <v>0</v>
      </c>
    </row>
    <row r="172" spans="1:20" x14ac:dyDescent="0.2">
      <c r="A172" s="23" t="s">
        <v>102</v>
      </c>
      <c r="B172">
        <v>5</v>
      </c>
      <c r="C172" s="23" t="s">
        <v>111</v>
      </c>
      <c r="D172">
        <v>502</v>
      </c>
      <c r="E172" s="132">
        <v>0</v>
      </c>
      <c r="F172" s="132">
        <v>0</v>
      </c>
      <c r="G172" s="132">
        <v>0</v>
      </c>
      <c r="H172" s="132">
        <v>0</v>
      </c>
      <c r="I172" s="132">
        <v>0</v>
      </c>
      <c r="J172" s="132">
        <v>0</v>
      </c>
      <c r="K172" s="132">
        <v>0</v>
      </c>
      <c r="L172" s="132">
        <v>0</v>
      </c>
      <c r="M172" s="132">
        <v>0</v>
      </c>
      <c r="N172" s="132">
        <v>0</v>
      </c>
      <c r="O172" s="132">
        <v>0</v>
      </c>
      <c r="P172" s="132">
        <v>0</v>
      </c>
      <c r="Q172" s="132">
        <v>0</v>
      </c>
      <c r="R172" s="132">
        <v>0</v>
      </c>
      <c r="S172" s="132">
        <v>0</v>
      </c>
      <c r="T172" s="128">
        <f t="shared" si="5"/>
        <v>0</v>
      </c>
    </row>
    <row r="173" spans="1:20" x14ac:dyDescent="0.2">
      <c r="A173" s="23" t="s">
        <v>102</v>
      </c>
      <c r="B173">
        <v>5</v>
      </c>
      <c r="C173" s="23" t="s">
        <v>111</v>
      </c>
      <c r="D173">
        <v>503</v>
      </c>
      <c r="E173" s="132">
        <v>0</v>
      </c>
      <c r="F173" s="132">
        <v>0</v>
      </c>
      <c r="G173" s="132">
        <v>0</v>
      </c>
      <c r="H173" s="132">
        <v>0</v>
      </c>
      <c r="I173" s="132">
        <v>0</v>
      </c>
      <c r="J173" s="132">
        <v>0</v>
      </c>
      <c r="K173" s="132">
        <v>0</v>
      </c>
      <c r="L173" s="132">
        <v>0</v>
      </c>
      <c r="M173" s="132">
        <v>0</v>
      </c>
      <c r="N173" s="132">
        <v>0</v>
      </c>
      <c r="O173" s="132">
        <v>0</v>
      </c>
      <c r="P173" s="132">
        <v>0</v>
      </c>
      <c r="Q173" s="132">
        <v>0</v>
      </c>
      <c r="R173" s="132">
        <v>0</v>
      </c>
      <c r="S173" s="132">
        <v>0</v>
      </c>
      <c r="T173" s="128">
        <f t="shared" si="5"/>
        <v>0</v>
      </c>
    </row>
    <row r="174" spans="1:20" x14ac:dyDescent="0.2">
      <c r="A174" s="23" t="s">
        <v>102</v>
      </c>
      <c r="B174">
        <v>5</v>
      </c>
      <c r="C174" s="23" t="s">
        <v>111</v>
      </c>
      <c r="D174">
        <v>504</v>
      </c>
      <c r="E174" s="132">
        <v>0</v>
      </c>
      <c r="F174" s="132">
        <v>0</v>
      </c>
      <c r="G174" s="132">
        <v>0</v>
      </c>
      <c r="H174" s="132">
        <v>0</v>
      </c>
      <c r="I174" s="132">
        <v>0</v>
      </c>
      <c r="J174" s="132">
        <v>0</v>
      </c>
      <c r="K174" s="132">
        <v>0</v>
      </c>
      <c r="L174" s="132">
        <v>0</v>
      </c>
      <c r="M174" s="132">
        <v>0</v>
      </c>
      <c r="N174" s="132">
        <v>0</v>
      </c>
      <c r="O174" s="132">
        <v>0</v>
      </c>
      <c r="P174" s="132">
        <v>0</v>
      </c>
      <c r="Q174" s="132">
        <v>0</v>
      </c>
      <c r="R174" s="132">
        <v>0</v>
      </c>
      <c r="S174" s="132">
        <v>0</v>
      </c>
      <c r="T174" s="128">
        <f t="shared" si="5"/>
        <v>0</v>
      </c>
    </row>
    <row r="175" spans="1:20" x14ac:dyDescent="0.2">
      <c r="A175" s="23" t="s">
        <v>102</v>
      </c>
      <c r="B175">
        <v>5</v>
      </c>
      <c r="C175" s="23" t="s">
        <v>111</v>
      </c>
      <c r="D175">
        <v>505</v>
      </c>
      <c r="E175" s="132">
        <v>0</v>
      </c>
      <c r="F175" s="132">
        <v>0</v>
      </c>
      <c r="G175" s="132">
        <v>0</v>
      </c>
      <c r="H175" s="132">
        <v>0</v>
      </c>
      <c r="I175" s="132">
        <v>0</v>
      </c>
      <c r="J175" s="132">
        <v>0</v>
      </c>
      <c r="K175" s="132">
        <v>0</v>
      </c>
      <c r="L175" s="132">
        <v>0</v>
      </c>
      <c r="M175" s="132">
        <v>0</v>
      </c>
      <c r="N175" s="132">
        <v>0</v>
      </c>
      <c r="O175" s="132">
        <v>0</v>
      </c>
      <c r="P175" s="132">
        <v>0</v>
      </c>
      <c r="Q175" s="132">
        <v>0</v>
      </c>
      <c r="R175" s="132">
        <v>0</v>
      </c>
      <c r="S175" s="132">
        <v>0</v>
      </c>
      <c r="T175" s="128">
        <f t="shared" si="5"/>
        <v>0</v>
      </c>
    </row>
    <row r="176" spans="1:20" x14ac:dyDescent="0.2">
      <c r="A176" s="23" t="s">
        <v>102</v>
      </c>
      <c r="B176">
        <v>5</v>
      </c>
      <c r="C176" s="23" t="s">
        <v>111</v>
      </c>
      <c r="D176">
        <v>506</v>
      </c>
      <c r="E176" s="132">
        <v>0</v>
      </c>
      <c r="F176" s="132">
        <v>0</v>
      </c>
      <c r="G176" s="132">
        <v>0</v>
      </c>
      <c r="H176" s="132">
        <v>0</v>
      </c>
      <c r="I176" s="132">
        <v>0</v>
      </c>
      <c r="J176" s="132">
        <v>0</v>
      </c>
      <c r="K176" s="132">
        <v>0</v>
      </c>
      <c r="L176" s="132">
        <v>0</v>
      </c>
      <c r="M176" s="132">
        <v>0</v>
      </c>
      <c r="N176" s="132">
        <v>0</v>
      </c>
      <c r="O176" s="132">
        <v>0</v>
      </c>
      <c r="P176" s="132">
        <v>0</v>
      </c>
      <c r="Q176" s="132">
        <v>0</v>
      </c>
      <c r="R176" s="132">
        <v>0</v>
      </c>
      <c r="S176" s="132">
        <v>0</v>
      </c>
      <c r="T176" s="128">
        <f t="shared" si="5"/>
        <v>0</v>
      </c>
    </row>
    <row r="177" spans="1:20" x14ac:dyDescent="0.2">
      <c r="A177" s="23" t="s">
        <v>102</v>
      </c>
      <c r="B177">
        <v>5</v>
      </c>
      <c r="C177" s="23" t="s">
        <v>111</v>
      </c>
      <c r="D177">
        <v>507</v>
      </c>
      <c r="E177" s="132">
        <v>0</v>
      </c>
      <c r="F177" s="132">
        <v>0</v>
      </c>
      <c r="G177" s="132">
        <v>0</v>
      </c>
      <c r="H177" s="132">
        <v>0</v>
      </c>
      <c r="I177" s="132">
        <v>0</v>
      </c>
      <c r="J177" s="132">
        <v>0</v>
      </c>
      <c r="K177" s="132">
        <v>0</v>
      </c>
      <c r="L177" s="132">
        <v>0</v>
      </c>
      <c r="M177" s="132">
        <v>0</v>
      </c>
      <c r="N177" s="132">
        <v>0</v>
      </c>
      <c r="O177" s="132">
        <v>0</v>
      </c>
      <c r="P177" s="132">
        <v>0</v>
      </c>
      <c r="Q177" s="132">
        <v>0</v>
      </c>
      <c r="R177" s="132">
        <v>0</v>
      </c>
      <c r="S177" s="132">
        <v>0</v>
      </c>
      <c r="T177" s="128">
        <f t="shared" si="5"/>
        <v>0</v>
      </c>
    </row>
    <row r="178" spans="1:20" x14ac:dyDescent="0.2">
      <c r="A178" s="23" t="s">
        <v>102</v>
      </c>
      <c r="B178">
        <v>5</v>
      </c>
      <c r="C178" s="23" t="s">
        <v>111</v>
      </c>
      <c r="D178">
        <v>508</v>
      </c>
      <c r="E178" s="132">
        <v>0</v>
      </c>
      <c r="F178" s="132">
        <v>0</v>
      </c>
      <c r="G178" s="132">
        <v>0</v>
      </c>
      <c r="H178" s="132">
        <v>0</v>
      </c>
      <c r="I178" s="132">
        <v>0</v>
      </c>
      <c r="J178" s="132">
        <v>0</v>
      </c>
      <c r="K178" s="132">
        <v>0</v>
      </c>
      <c r="L178" s="132">
        <v>0</v>
      </c>
      <c r="M178" s="132">
        <v>0</v>
      </c>
      <c r="N178" s="132">
        <v>0</v>
      </c>
      <c r="O178" s="132">
        <v>0</v>
      </c>
      <c r="P178" s="132">
        <v>0</v>
      </c>
      <c r="Q178" s="132">
        <v>0</v>
      </c>
      <c r="R178" s="132">
        <v>0</v>
      </c>
      <c r="S178" s="132">
        <v>0</v>
      </c>
      <c r="T178" s="128">
        <f t="shared" si="5"/>
        <v>0</v>
      </c>
    </row>
    <row r="179" spans="1:20" x14ac:dyDescent="0.2">
      <c r="A179" s="23" t="s">
        <v>102</v>
      </c>
      <c r="B179">
        <v>5</v>
      </c>
      <c r="C179" s="23" t="s">
        <v>111</v>
      </c>
      <c r="D179">
        <v>509</v>
      </c>
      <c r="E179" s="132">
        <v>0</v>
      </c>
      <c r="F179" s="132">
        <v>0</v>
      </c>
      <c r="G179" s="132">
        <v>0</v>
      </c>
      <c r="H179" s="132">
        <v>0</v>
      </c>
      <c r="I179" s="132">
        <v>0</v>
      </c>
      <c r="J179" s="132">
        <v>0</v>
      </c>
      <c r="K179" s="132">
        <v>0</v>
      </c>
      <c r="L179" s="132">
        <v>0</v>
      </c>
      <c r="M179" s="132">
        <v>0</v>
      </c>
      <c r="N179" s="132">
        <v>0</v>
      </c>
      <c r="O179" s="132">
        <v>0</v>
      </c>
      <c r="P179" s="132">
        <v>0</v>
      </c>
      <c r="Q179" s="132">
        <v>0</v>
      </c>
      <c r="R179" s="132">
        <v>0</v>
      </c>
      <c r="S179" s="132">
        <v>0</v>
      </c>
      <c r="T179" s="128">
        <f t="shared" si="5"/>
        <v>0</v>
      </c>
    </row>
    <row r="180" spans="1:20" x14ac:dyDescent="0.2">
      <c r="A180" s="23" t="s">
        <v>102</v>
      </c>
      <c r="B180">
        <v>5</v>
      </c>
      <c r="C180" s="23" t="s">
        <v>111</v>
      </c>
      <c r="D180">
        <v>510</v>
      </c>
      <c r="E180" s="132">
        <v>0</v>
      </c>
      <c r="F180" s="132">
        <v>0</v>
      </c>
      <c r="G180" s="132">
        <v>0</v>
      </c>
      <c r="H180" s="132">
        <v>0</v>
      </c>
      <c r="I180" s="132">
        <v>0</v>
      </c>
      <c r="J180" s="132">
        <v>0</v>
      </c>
      <c r="K180" s="132">
        <v>0</v>
      </c>
      <c r="L180" s="132">
        <v>0</v>
      </c>
      <c r="M180" s="132">
        <v>0</v>
      </c>
      <c r="N180" s="132">
        <v>0</v>
      </c>
      <c r="O180" s="132">
        <v>0</v>
      </c>
      <c r="P180" s="132">
        <v>0</v>
      </c>
      <c r="Q180" s="132">
        <v>0</v>
      </c>
      <c r="R180" s="132">
        <v>0</v>
      </c>
      <c r="S180" s="132">
        <v>0</v>
      </c>
      <c r="T180" s="128">
        <f t="shared" si="5"/>
        <v>0</v>
      </c>
    </row>
    <row r="181" spans="1:20" x14ac:dyDescent="0.2">
      <c r="A181" s="23" t="s">
        <v>102</v>
      </c>
      <c r="B181">
        <v>5</v>
      </c>
      <c r="C181" s="23" t="s">
        <v>111</v>
      </c>
      <c r="D181">
        <v>511</v>
      </c>
      <c r="E181" s="132">
        <v>0</v>
      </c>
      <c r="F181" s="132">
        <v>0</v>
      </c>
      <c r="G181" s="132">
        <v>0</v>
      </c>
      <c r="H181" s="132">
        <v>0</v>
      </c>
      <c r="I181" s="132">
        <v>0</v>
      </c>
      <c r="J181" s="132">
        <v>0</v>
      </c>
      <c r="K181" s="132">
        <v>0</v>
      </c>
      <c r="L181" s="132">
        <v>0</v>
      </c>
      <c r="M181" s="132">
        <v>0</v>
      </c>
      <c r="N181" s="132">
        <v>0</v>
      </c>
      <c r="O181" s="132">
        <v>0</v>
      </c>
      <c r="P181" s="132">
        <v>0</v>
      </c>
      <c r="Q181" s="132">
        <v>0</v>
      </c>
      <c r="R181" s="132">
        <v>0</v>
      </c>
      <c r="S181" s="132">
        <v>0</v>
      </c>
      <c r="T181" s="128">
        <f t="shared" si="5"/>
        <v>0</v>
      </c>
    </row>
    <row r="182" spans="1:20" x14ac:dyDescent="0.2">
      <c r="A182" s="23" t="s">
        <v>102</v>
      </c>
      <c r="B182">
        <v>5</v>
      </c>
      <c r="C182" s="23" t="s">
        <v>111</v>
      </c>
      <c r="D182">
        <v>512</v>
      </c>
      <c r="E182" s="132">
        <v>0</v>
      </c>
      <c r="F182" s="132">
        <v>0</v>
      </c>
      <c r="G182" s="132">
        <v>0</v>
      </c>
      <c r="H182" s="132">
        <v>0</v>
      </c>
      <c r="I182" s="132">
        <v>0</v>
      </c>
      <c r="J182" s="132">
        <v>0</v>
      </c>
      <c r="K182" s="132">
        <v>0</v>
      </c>
      <c r="L182" s="132">
        <v>0</v>
      </c>
      <c r="M182" s="132">
        <v>0</v>
      </c>
      <c r="N182" s="132">
        <v>0</v>
      </c>
      <c r="O182" s="132">
        <v>0</v>
      </c>
      <c r="P182" s="132">
        <v>0</v>
      </c>
      <c r="Q182" s="132">
        <v>0</v>
      </c>
      <c r="R182" s="132">
        <v>0</v>
      </c>
      <c r="S182" s="132">
        <v>0</v>
      </c>
      <c r="T182" s="128">
        <f t="shared" si="5"/>
        <v>0</v>
      </c>
    </row>
    <row r="183" spans="1:20" x14ac:dyDescent="0.2">
      <c r="A183" s="23" t="s">
        <v>102</v>
      </c>
      <c r="B183">
        <v>5</v>
      </c>
      <c r="C183" s="23" t="s">
        <v>111</v>
      </c>
      <c r="D183">
        <v>513</v>
      </c>
      <c r="E183" s="132">
        <v>0</v>
      </c>
      <c r="F183" s="132">
        <v>0</v>
      </c>
      <c r="G183" s="132">
        <v>0</v>
      </c>
      <c r="H183" s="132">
        <v>0</v>
      </c>
      <c r="I183" s="132">
        <v>0</v>
      </c>
      <c r="J183" s="132">
        <v>0</v>
      </c>
      <c r="K183" s="132">
        <v>0</v>
      </c>
      <c r="L183" s="132">
        <v>0</v>
      </c>
      <c r="M183" s="132">
        <v>0</v>
      </c>
      <c r="N183" s="132">
        <v>0</v>
      </c>
      <c r="O183" s="132">
        <v>0</v>
      </c>
      <c r="P183" s="132">
        <v>0</v>
      </c>
      <c r="Q183" s="132">
        <v>0</v>
      </c>
      <c r="R183" s="132">
        <v>0</v>
      </c>
      <c r="S183" s="132">
        <v>0</v>
      </c>
      <c r="T183" s="128">
        <f t="shared" si="5"/>
        <v>0</v>
      </c>
    </row>
    <row r="184" spans="1:20" x14ac:dyDescent="0.2">
      <c r="A184" s="23" t="s">
        <v>102</v>
      </c>
      <c r="B184">
        <v>5</v>
      </c>
      <c r="C184" s="23" t="s">
        <v>111</v>
      </c>
      <c r="D184">
        <v>514</v>
      </c>
      <c r="E184" s="132">
        <v>0</v>
      </c>
      <c r="F184" s="132">
        <v>0</v>
      </c>
      <c r="G184" s="132">
        <v>0</v>
      </c>
      <c r="H184" s="132">
        <v>0</v>
      </c>
      <c r="I184" s="132">
        <v>0</v>
      </c>
      <c r="J184" s="132">
        <v>0</v>
      </c>
      <c r="K184" s="132">
        <v>0</v>
      </c>
      <c r="L184" s="132">
        <v>0</v>
      </c>
      <c r="M184" s="132">
        <v>0</v>
      </c>
      <c r="N184" s="132">
        <v>0</v>
      </c>
      <c r="O184" s="132">
        <v>0</v>
      </c>
      <c r="P184" s="132">
        <v>0</v>
      </c>
      <c r="Q184" s="132">
        <v>0</v>
      </c>
      <c r="R184" s="132">
        <v>0</v>
      </c>
      <c r="S184" s="132">
        <v>0</v>
      </c>
      <c r="T184" s="128">
        <f t="shared" si="5"/>
        <v>0</v>
      </c>
    </row>
    <row r="185" spans="1:20" x14ac:dyDescent="0.2">
      <c r="A185" s="23" t="s">
        <v>102</v>
      </c>
      <c r="B185">
        <v>5</v>
      </c>
      <c r="C185" s="23" t="s">
        <v>111</v>
      </c>
      <c r="D185">
        <v>515</v>
      </c>
      <c r="E185" s="132">
        <v>0</v>
      </c>
      <c r="F185" s="132">
        <v>0</v>
      </c>
      <c r="G185" s="132">
        <v>0</v>
      </c>
      <c r="H185" s="132">
        <v>0</v>
      </c>
      <c r="I185" s="132">
        <v>0</v>
      </c>
      <c r="J185" s="132">
        <v>0</v>
      </c>
      <c r="K185" s="132">
        <v>0</v>
      </c>
      <c r="L185" s="132">
        <v>0</v>
      </c>
      <c r="M185" s="132">
        <v>0</v>
      </c>
      <c r="N185" s="132">
        <v>0</v>
      </c>
      <c r="O185" s="132">
        <v>0</v>
      </c>
      <c r="P185" s="132">
        <v>0</v>
      </c>
      <c r="Q185" s="132">
        <v>0</v>
      </c>
      <c r="R185" s="132">
        <v>0</v>
      </c>
      <c r="S185" s="132">
        <v>0</v>
      </c>
      <c r="T185" s="128">
        <f t="shared" si="5"/>
        <v>0</v>
      </c>
    </row>
    <row r="186" spans="1:20" x14ac:dyDescent="0.2">
      <c r="A186" s="23" t="s">
        <v>102</v>
      </c>
      <c r="B186">
        <v>5</v>
      </c>
      <c r="C186" s="23" t="s">
        <v>111</v>
      </c>
      <c r="D186">
        <v>516</v>
      </c>
      <c r="E186" s="132">
        <v>0</v>
      </c>
      <c r="F186" s="132">
        <v>0</v>
      </c>
      <c r="G186" s="132">
        <v>0</v>
      </c>
      <c r="H186" s="132">
        <v>0</v>
      </c>
      <c r="I186" s="132">
        <v>0</v>
      </c>
      <c r="J186" s="132">
        <v>0</v>
      </c>
      <c r="K186" s="132">
        <v>0</v>
      </c>
      <c r="L186" s="132">
        <v>0</v>
      </c>
      <c r="M186" s="132">
        <v>0</v>
      </c>
      <c r="N186" s="132">
        <v>0</v>
      </c>
      <c r="O186" s="132">
        <v>0</v>
      </c>
      <c r="P186" s="132">
        <v>0</v>
      </c>
      <c r="Q186" s="132">
        <v>0</v>
      </c>
      <c r="R186" s="132">
        <v>0</v>
      </c>
      <c r="S186" s="132">
        <v>0</v>
      </c>
      <c r="T186" s="128">
        <f t="shared" si="5"/>
        <v>0</v>
      </c>
    </row>
    <row r="187" spans="1:20" x14ac:dyDescent="0.2">
      <c r="A187" s="23" t="s">
        <v>102</v>
      </c>
      <c r="B187">
        <v>5</v>
      </c>
      <c r="C187" s="23" t="s">
        <v>111</v>
      </c>
      <c r="D187">
        <v>517</v>
      </c>
      <c r="E187" s="132">
        <v>0</v>
      </c>
      <c r="F187" s="132">
        <v>0</v>
      </c>
      <c r="G187" s="132">
        <v>0</v>
      </c>
      <c r="H187" s="132">
        <v>0</v>
      </c>
      <c r="I187" s="132">
        <v>0</v>
      </c>
      <c r="J187" s="132">
        <v>0</v>
      </c>
      <c r="K187" s="132">
        <v>0</v>
      </c>
      <c r="L187" s="132">
        <v>0</v>
      </c>
      <c r="M187" s="132">
        <v>0</v>
      </c>
      <c r="N187" s="132">
        <v>0</v>
      </c>
      <c r="O187" s="132">
        <v>0</v>
      </c>
      <c r="P187" s="132">
        <v>0</v>
      </c>
      <c r="Q187" s="132">
        <v>0</v>
      </c>
      <c r="R187" s="132">
        <v>0</v>
      </c>
      <c r="S187" s="132">
        <v>0</v>
      </c>
      <c r="T187" s="128">
        <f t="shared" si="5"/>
        <v>0</v>
      </c>
    </row>
    <row r="188" spans="1:20" x14ac:dyDescent="0.2">
      <c r="A188" s="23" t="s">
        <v>102</v>
      </c>
      <c r="B188">
        <v>5</v>
      </c>
      <c r="C188" s="23" t="s">
        <v>111</v>
      </c>
      <c r="D188">
        <v>518</v>
      </c>
      <c r="E188" s="132">
        <v>0</v>
      </c>
      <c r="F188" s="132">
        <v>0</v>
      </c>
      <c r="G188" s="132">
        <v>0</v>
      </c>
      <c r="H188" s="132">
        <v>0</v>
      </c>
      <c r="I188" s="132">
        <v>0</v>
      </c>
      <c r="J188" s="132">
        <v>0</v>
      </c>
      <c r="K188" s="132">
        <v>0</v>
      </c>
      <c r="L188" s="132">
        <v>0</v>
      </c>
      <c r="M188" s="132">
        <v>0</v>
      </c>
      <c r="N188" s="132">
        <v>0</v>
      </c>
      <c r="O188" s="132">
        <v>0</v>
      </c>
      <c r="P188" s="132">
        <v>0</v>
      </c>
      <c r="Q188" s="132">
        <v>0</v>
      </c>
      <c r="R188" s="132">
        <v>0</v>
      </c>
      <c r="S188" s="132">
        <v>0</v>
      </c>
      <c r="T188" s="128">
        <f t="shared" si="5"/>
        <v>0</v>
      </c>
    </row>
    <row r="189" spans="1:20" x14ac:dyDescent="0.2">
      <c r="A189" s="23" t="s">
        <v>102</v>
      </c>
      <c r="B189">
        <v>5</v>
      </c>
      <c r="C189" s="23" t="s">
        <v>111</v>
      </c>
      <c r="D189">
        <v>519</v>
      </c>
      <c r="E189" s="132">
        <v>0</v>
      </c>
      <c r="F189" s="132">
        <v>0</v>
      </c>
      <c r="G189" s="132">
        <v>0</v>
      </c>
      <c r="H189" s="132">
        <v>0</v>
      </c>
      <c r="I189" s="132">
        <v>0</v>
      </c>
      <c r="J189" s="132">
        <v>0</v>
      </c>
      <c r="K189" s="132">
        <v>0</v>
      </c>
      <c r="L189" s="132">
        <v>0</v>
      </c>
      <c r="M189" s="132">
        <v>0</v>
      </c>
      <c r="N189" s="132">
        <v>0</v>
      </c>
      <c r="O189" s="132">
        <v>0</v>
      </c>
      <c r="P189" s="132">
        <v>0</v>
      </c>
      <c r="Q189" s="132">
        <v>0</v>
      </c>
      <c r="R189" s="132">
        <v>0</v>
      </c>
      <c r="S189" s="132">
        <v>0</v>
      </c>
      <c r="T189" s="128">
        <f t="shared" si="5"/>
        <v>0</v>
      </c>
    </row>
    <row r="190" spans="1:20" x14ac:dyDescent="0.2">
      <c r="A190" s="23" t="s">
        <v>102</v>
      </c>
      <c r="B190">
        <v>5</v>
      </c>
      <c r="C190" s="23" t="s">
        <v>111</v>
      </c>
      <c r="D190">
        <v>520</v>
      </c>
      <c r="E190" s="132">
        <v>0</v>
      </c>
      <c r="F190" s="132">
        <v>0</v>
      </c>
      <c r="G190" s="132">
        <v>0</v>
      </c>
      <c r="H190" s="132">
        <v>0</v>
      </c>
      <c r="I190" s="132">
        <v>0</v>
      </c>
      <c r="J190" s="132">
        <v>0</v>
      </c>
      <c r="K190" s="132">
        <v>0</v>
      </c>
      <c r="L190" s="132">
        <v>0</v>
      </c>
      <c r="M190" s="132">
        <v>0</v>
      </c>
      <c r="N190" s="132">
        <v>0</v>
      </c>
      <c r="O190" s="132">
        <v>0</v>
      </c>
      <c r="P190" s="132">
        <v>0</v>
      </c>
      <c r="Q190" s="132">
        <v>0</v>
      </c>
      <c r="R190" s="132">
        <v>0</v>
      </c>
      <c r="S190" s="132">
        <v>0</v>
      </c>
      <c r="T190" s="128">
        <f t="shared" si="5"/>
        <v>0</v>
      </c>
    </row>
    <row r="191" spans="1:20" x14ac:dyDescent="0.2">
      <c r="A191" s="23" t="s">
        <v>102</v>
      </c>
      <c r="B191">
        <v>5</v>
      </c>
      <c r="C191" s="23" t="s">
        <v>111</v>
      </c>
      <c r="D191">
        <v>521</v>
      </c>
      <c r="E191" s="132">
        <v>0</v>
      </c>
      <c r="F191" s="132">
        <v>0</v>
      </c>
      <c r="G191" s="132">
        <v>0</v>
      </c>
      <c r="H191" s="132">
        <v>0</v>
      </c>
      <c r="I191" s="132">
        <v>0</v>
      </c>
      <c r="J191" s="132">
        <v>0</v>
      </c>
      <c r="K191" s="132">
        <v>0</v>
      </c>
      <c r="L191" s="132">
        <v>0</v>
      </c>
      <c r="M191" s="132">
        <v>0</v>
      </c>
      <c r="N191" s="132">
        <v>0</v>
      </c>
      <c r="O191" s="132">
        <v>0</v>
      </c>
      <c r="P191" s="132">
        <v>0</v>
      </c>
      <c r="Q191" s="132">
        <v>0</v>
      </c>
      <c r="R191" s="132">
        <v>0</v>
      </c>
      <c r="S191" s="132">
        <v>0</v>
      </c>
      <c r="T191" s="128">
        <f t="shared" si="5"/>
        <v>0</v>
      </c>
    </row>
    <row r="192" spans="1:20" x14ac:dyDescent="0.2">
      <c r="A192" s="23"/>
      <c r="C192" s="23"/>
      <c r="D192" s="23"/>
      <c r="E192" s="132"/>
      <c r="F192" s="132">
        <f t="shared" ref="F192:S192" si="7">AVERAGE(F148:F191)</f>
        <v>0</v>
      </c>
      <c r="G192" s="132">
        <f t="shared" si="7"/>
        <v>0</v>
      </c>
      <c r="H192" s="132">
        <f t="shared" si="7"/>
        <v>0</v>
      </c>
      <c r="I192" s="132">
        <f t="shared" si="7"/>
        <v>0</v>
      </c>
      <c r="J192" s="132">
        <f t="shared" si="7"/>
        <v>0</v>
      </c>
      <c r="K192" s="132">
        <f t="shared" si="7"/>
        <v>0</v>
      </c>
      <c r="L192" s="132">
        <f t="shared" si="7"/>
        <v>0</v>
      </c>
      <c r="M192" s="132">
        <f t="shared" si="7"/>
        <v>0</v>
      </c>
      <c r="N192" s="132">
        <f t="shared" si="7"/>
        <v>0</v>
      </c>
      <c r="O192" s="132">
        <f t="shared" si="7"/>
        <v>0</v>
      </c>
      <c r="P192" s="132">
        <f t="shared" si="7"/>
        <v>0</v>
      </c>
      <c r="Q192" s="132">
        <f t="shared" si="7"/>
        <v>0</v>
      </c>
      <c r="R192" s="132">
        <f t="shared" si="7"/>
        <v>0</v>
      </c>
      <c r="S192" s="132">
        <f t="shared" si="7"/>
        <v>0</v>
      </c>
      <c r="T192" s="128">
        <f t="shared" si="5"/>
        <v>0</v>
      </c>
    </row>
    <row r="193" spans="1:20" x14ac:dyDescent="0.2">
      <c r="A193" s="23" t="s">
        <v>102</v>
      </c>
      <c r="B193">
        <v>6</v>
      </c>
      <c r="C193" s="23" t="s">
        <v>112</v>
      </c>
      <c r="D193">
        <v>601</v>
      </c>
      <c r="E193" s="132">
        <v>0</v>
      </c>
      <c r="F193" s="132">
        <v>0</v>
      </c>
      <c r="G193" s="132">
        <v>0</v>
      </c>
      <c r="H193" s="132">
        <v>0</v>
      </c>
      <c r="I193" s="132">
        <v>0</v>
      </c>
      <c r="J193" s="132">
        <v>0</v>
      </c>
      <c r="K193" s="132">
        <v>0</v>
      </c>
      <c r="L193" s="132">
        <v>0</v>
      </c>
      <c r="M193" s="132">
        <v>0</v>
      </c>
      <c r="N193" s="132">
        <v>0</v>
      </c>
      <c r="O193" s="132">
        <v>0</v>
      </c>
      <c r="P193" s="132">
        <v>0</v>
      </c>
      <c r="Q193" s="132">
        <v>0</v>
      </c>
      <c r="R193" s="132">
        <v>0</v>
      </c>
      <c r="S193" s="132">
        <v>0</v>
      </c>
      <c r="T193" s="128">
        <f t="shared" si="5"/>
        <v>0</v>
      </c>
    </row>
    <row r="194" spans="1:20" x14ac:dyDescent="0.2">
      <c r="A194" s="23" t="s">
        <v>102</v>
      </c>
      <c r="B194">
        <v>6</v>
      </c>
      <c r="C194" s="23" t="s">
        <v>112</v>
      </c>
      <c r="D194">
        <v>602</v>
      </c>
      <c r="E194" s="132">
        <v>0</v>
      </c>
      <c r="F194" s="132">
        <v>0</v>
      </c>
      <c r="G194" s="132">
        <v>0</v>
      </c>
      <c r="H194" s="132">
        <v>0</v>
      </c>
      <c r="I194" s="132">
        <v>0</v>
      </c>
      <c r="J194" s="132">
        <v>0</v>
      </c>
      <c r="K194" s="132">
        <v>0</v>
      </c>
      <c r="L194" s="132">
        <v>0</v>
      </c>
      <c r="M194" s="132">
        <v>0</v>
      </c>
      <c r="N194" s="132">
        <v>0</v>
      </c>
      <c r="O194" s="132">
        <v>0</v>
      </c>
      <c r="P194" s="132">
        <v>0</v>
      </c>
      <c r="Q194" s="132">
        <v>0</v>
      </c>
      <c r="R194" s="132">
        <v>0</v>
      </c>
      <c r="S194" s="132">
        <v>0</v>
      </c>
      <c r="T194" s="128">
        <f t="shared" ref="T194:T257" si="8">AVERAGE(E194:S194)</f>
        <v>0</v>
      </c>
    </row>
    <row r="195" spans="1:20" x14ac:dyDescent="0.2">
      <c r="A195" s="23" t="s">
        <v>102</v>
      </c>
      <c r="B195">
        <v>6</v>
      </c>
      <c r="C195" s="23" t="s">
        <v>112</v>
      </c>
      <c r="D195">
        <v>603</v>
      </c>
      <c r="E195" s="132">
        <v>0</v>
      </c>
      <c r="F195" s="132">
        <v>0</v>
      </c>
      <c r="G195" s="132">
        <v>0</v>
      </c>
      <c r="H195" s="132">
        <v>0</v>
      </c>
      <c r="I195" s="132">
        <v>0</v>
      </c>
      <c r="J195" s="132">
        <v>0</v>
      </c>
      <c r="K195" s="132">
        <v>0</v>
      </c>
      <c r="L195" s="132">
        <v>0</v>
      </c>
      <c r="M195" s="132">
        <v>0</v>
      </c>
      <c r="N195" s="132">
        <v>0</v>
      </c>
      <c r="O195" s="132">
        <v>0</v>
      </c>
      <c r="P195" s="132">
        <v>0</v>
      </c>
      <c r="Q195" s="132">
        <v>0</v>
      </c>
      <c r="R195" s="132">
        <v>0</v>
      </c>
      <c r="S195" s="132">
        <v>0</v>
      </c>
      <c r="T195" s="128">
        <f t="shared" si="8"/>
        <v>0</v>
      </c>
    </row>
    <row r="196" spans="1:20" x14ac:dyDescent="0.2">
      <c r="A196" s="23" t="s">
        <v>102</v>
      </c>
      <c r="B196">
        <v>6</v>
      </c>
      <c r="C196" s="23" t="s">
        <v>112</v>
      </c>
      <c r="D196">
        <v>604</v>
      </c>
      <c r="E196" s="132">
        <v>0</v>
      </c>
      <c r="F196" s="132">
        <v>0</v>
      </c>
      <c r="G196" s="132">
        <v>0</v>
      </c>
      <c r="H196" s="132">
        <v>0</v>
      </c>
      <c r="I196" s="132">
        <v>0</v>
      </c>
      <c r="J196" s="132">
        <v>0</v>
      </c>
      <c r="K196" s="132">
        <v>0</v>
      </c>
      <c r="L196" s="132">
        <v>0</v>
      </c>
      <c r="M196" s="132">
        <v>0</v>
      </c>
      <c r="N196" s="132">
        <v>0</v>
      </c>
      <c r="O196" s="132">
        <v>0</v>
      </c>
      <c r="P196" s="132">
        <v>0</v>
      </c>
      <c r="Q196" s="132">
        <v>0</v>
      </c>
      <c r="R196" s="132">
        <v>0</v>
      </c>
      <c r="S196" s="132">
        <v>0</v>
      </c>
      <c r="T196" s="128">
        <f t="shared" si="8"/>
        <v>0</v>
      </c>
    </row>
    <row r="197" spans="1:20" x14ac:dyDescent="0.2">
      <c r="A197" s="23" t="s">
        <v>102</v>
      </c>
      <c r="B197">
        <v>6</v>
      </c>
      <c r="C197" s="23" t="s">
        <v>112</v>
      </c>
      <c r="D197">
        <v>605</v>
      </c>
      <c r="E197" s="132">
        <v>0</v>
      </c>
      <c r="F197" s="132">
        <v>0</v>
      </c>
      <c r="G197" s="132">
        <v>0</v>
      </c>
      <c r="H197" s="132">
        <v>0</v>
      </c>
      <c r="I197" s="132">
        <v>0</v>
      </c>
      <c r="J197" s="132">
        <v>0</v>
      </c>
      <c r="K197" s="132">
        <v>0</v>
      </c>
      <c r="L197" s="132">
        <v>0</v>
      </c>
      <c r="M197" s="132">
        <v>0</v>
      </c>
      <c r="N197" s="132">
        <v>0</v>
      </c>
      <c r="O197" s="132">
        <v>0</v>
      </c>
      <c r="P197" s="132">
        <v>0</v>
      </c>
      <c r="Q197" s="132">
        <v>0</v>
      </c>
      <c r="R197" s="132">
        <v>0</v>
      </c>
      <c r="S197" s="132">
        <v>0</v>
      </c>
      <c r="T197" s="128">
        <f t="shared" si="8"/>
        <v>0</v>
      </c>
    </row>
    <row r="198" spans="1:20" x14ac:dyDescent="0.2">
      <c r="A198" s="23" t="s">
        <v>102</v>
      </c>
      <c r="B198">
        <v>6</v>
      </c>
      <c r="C198" s="23" t="s">
        <v>112</v>
      </c>
      <c r="D198">
        <v>606</v>
      </c>
      <c r="E198" s="132">
        <v>0</v>
      </c>
      <c r="F198" s="132">
        <v>0</v>
      </c>
      <c r="G198" s="132">
        <v>0</v>
      </c>
      <c r="H198" s="132">
        <v>0</v>
      </c>
      <c r="I198" s="132">
        <v>0</v>
      </c>
      <c r="J198" s="132">
        <v>0</v>
      </c>
      <c r="K198" s="132">
        <v>0</v>
      </c>
      <c r="L198" s="132">
        <v>0</v>
      </c>
      <c r="M198" s="132">
        <v>0</v>
      </c>
      <c r="N198" s="132">
        <v>0</v>
      </c>
      <c r="O198" s="132">
        <v>0</v>
      </c>
      <c r="P198" s="132">
        <v>0</v>
      </c>
      <c r="Q198" s="132">
        <v>0</v>
      </c>
      <c r="R198" s="132">
        <v>0</v>
      </c>
      <c r="S198" s="132">
        <v>0</v>
      </c>
      <c r="T198" s="128">
        <f t="shared" si="8"/>
        <v>0</v>
      </c>
    </row>
    <row r="199" spans="1:20" x14ac:dyDescent="0.2">
      <c r="A199" s="23" t="s">
        <v>102</v>
      </c>
      <c r="B199">
        <v>6</v>
      </c>
      <c r="C199" s="23" t="s">
        <v>112</v>
      </c>
      <c r="D199">
        <v>607</v>
      </c>
      <c r="E199" s="132">
        <v>0</v>
      </c>
      <c r="F199" s="132">
        <v>0</v>
      </c>
      <c r="G199" s="132">
        <v>0</v>
      </c>
      <c r="H199" s="132">
        <v>0</v>
      </c>
      <c r="I199" s="132">
        <v>0</v>
      </c>
      <c r="J199" s="132">
        <v>0</v>
      </c>
      <c r="K199" s="132">
        <v>0</v>
      </c>
      <c r="L199" s="132">
        <v>0</v>
      </c>
      <c r="M199" s="132">
        <v>0</v>
      </c>
      <c r="N199" s="132">
        <v>0</v>
      </c>
      <c r="O199" s="132">
        <v>0</v>
      </c>
      <c r="P199" s="132">
        <v>0</v>
      </c>
      <c r="Q199" s="132">
        <v>0</v>
      </c>
      <c r="R199" s="132">
        <v>0</v>
      </c>
      <c r="S199" s="132">
        <v>0</v>
      </c>
      <c r="T199" s="128">
        <f t="shared" si="8"/>
        <v>0</v>
      </c>
    </row>
    <row r="200" spans="1:20" x14ac:dyDescent="0.2">
      <c r="A200" s="23" t="s">
        <v>102</v>
      </c>
      <c r="B200">
        <v>6</v>
      </c>
      <c r="C200" s="23" t="s">
        <v>112</v>
      </c>
      <c r="D200">
        <v>608</v>
      </c>
      <c r="E200" s="132">
        <v>0</v>
      </c>
      <c r="F200" s="132">
        <v>0</v>
      </c>
      <c r="G200" s="132">
        <v>0</v>
      </c>
      <c r="H200" s="132">
        <v>0</v>
      </c>
      <c r="I200" s="132">
        <v>0</v>
      </c>
      <c r="J200" s="132">
        <v>0</v>
      </c>
      <c r="K200" s="132">
        <v>0</v>
      </c>
      <c r="L200" s="132">
        <v>0</v>
      </c>
      <c r="M200" s="132">
        <v>0</v>
      </c>
      <c r="N200" s="132">
        <v>0</v>
      </c>
      <c r="O200" s="132">
        <v>0</v>
      </c>
      <c r="P200" s="132">
        <v>0</v>
      </c>
      <c r="Q200" s="132">
        <v>0</v>
      </c>
      <c r="R200" s="132">
        <v>0</v>
      </c>
      <c r="S200" s="132">
        <v>0</v>
      </c>
      <c r="T200" s="128">
        <f t="shared" si="8"/>
        <v>0</v>
      </c>
    </row>
    <row r="201" spans="1:20" x14ac:dyDescent="0.2">
      <c r="A201" s="23" t="s">
        <v>102</v>
      </c>
      <c r="B201">
        <v>6</v>
      </c>
      <c r="C201" s="23" t="s">
        <v>112</v>
      </c>
      <c r="D201">
        <v>609</v>
      </c>
      <c r="E201" s="132">
        <v>0</v>
      </c>
      <c r="F201" s="132">
        <v>0</v>
      </c>
      <c r="G201" s="132">
        <v>0</v>
      </c>
      <c r="H201" s="132">
        <v>0</v>
      </c>
      <c r="I201" s="132">
        <v>0</v>
      </c>
      <c r="J201" s="132">
        <v>0</v>
      </c>
      <c r="K201" s="132">
        <v>0</v>
      </c>
      <c r="L201" s="132">
        <v>0</v>
      </c>
      <c r="M201" s="132">
        <v>0</v>
      </c>
      <c r="N201" s="132">
        <v>0</v>
      </c>
      <c r="O201" s="132">
        <v>0</v>
      </c>
      <c r="P201" s="132">
        <v>0</v>
      </c>
      <c r="Q201" s="132">
        <v>0</v>
      </c>
      <c r="R201" s="132">
        <v>0</v>
      </c>
      <c r="S201" s="132">
        <v>0</v>
      </c>
      <c r="T201" s="128">
        <f t="shared" si="8"/>
        <v>0</v>
      </c>
    </row>
    <row r="202" spans="1:20" x14ac:dyDescent="0.2">
      <c r="A202" s="23" t="s">
        <v>102</v>
      </c>
      <c r="B202">
        <v>6</v>
      </c>
      <c r="C202" s="23" t="s">
        <v>112</v>
      </c>
      <c r="D202">
        <v>610</v>
      </c>
      <c r="E202" s="132">
        <v>0</v>
      </c>
      <c r="F202" s="132">
        <v>0</v>
      </c>
      <c r="G202" s="132">
        <v>0</v>
      </c>
      <c r="H202" s="132">
        <v>0</v>
      </c>
      <c r="I202" s="132">
        <v>0</v>
      </c>
      <c r="J202" s="132">
        <v>0</v>
      </c>
      <c r="K202" s="132">
        <v>0</v>
      </c>
      <c r="L202" s="132">
        <v>0</v>
      </c>
      <c r="M202" s="132">
        <v>0</v>
      </c>
      <c r="N202" s="132">
        <v>0</v>
      </c>
      <c r="O202" s="132">
        <v>0</v>
      </c>
      <c r="P202" s="132">
        <v>0</v>
      </c>
      <c r="Q202" s="132">
        <v>0</v>
      </c>
      <c r="R202" s="132">
        <v>0</v>
      </c>
      <c r="S202" s="132">
        <v>0</v>
      </c>
      <c r="T202" s="128">
        <f t="shared" si="8"/>
        <v>0</v>
      </c>
    </row>
    <row r="203" spans="1:20" x14ac:dyDescent="0.2">
      <c r="A203" s="23" t="s">
        <v>102</v>
      </c>
      <c r="B203">
        <v>6</v>
      </c>
      <c r="C203" s="23" t="s">
        <v>112</v>
      </c>
      <c r="D203">
        <v>611</v>
      </c>
      <c r="E203" s="132">
        <v>0</v>
      </c>
      <c r="F203" s="132">
        <v>0</v>
      </c>
      <c r="G203" s="132">
        <v>0</v>
      </c>
      <c r="H203" s="132">
        <v>0</v>
      </c>
      <c r="I203" s="132">
        <v>0</v>
      </c>
      <c r="J203" s="132">
        <v>0</v>
      </c>
      <c r="K203" s="132">
        <v>0</v>
      </c>
      <c r="L203" s="132">
        <v>0</v>
      </c>
      <c r="M203" s="132">
        <v>0</v>
      </c>
      <c r="N203" s="132">
        <v>0</v>
      </c>
      <c r="O203" s="132">
        <v>0</v>
      </c>
      <c r="P203" s="132">
        <v>0</v>
      </c>
      <c r="Q203" s="132">
        <v>0</v>
      </c>
      <c r="R203" s="132">
        <v>0</v>
      </c>
      <c r="S203" s="132">
        <v>0</v>
      </c>
      <c r="T203" s="128">
        <f t="shared" si="8"/>
        <v>0</v>
      </c>
    </row>
    <row r="204" spans="1:20" x14ac:dyDescent="0.2">
      <c r="A204" s="23" t="s">
        <v>102</v>
      </c>
      <c r="B204">
        <v>6</v>
      </c>
      <c r="C204" s="23" t="s">
        <v>112</v>
      </c>
      <c r="D204">
        <v>612</v>
      </c>
      <c r="E204" s="132">
        <v>0</v>
      </c>
      <c r="F204" s="132">
        <v>0</v>
      </c>
      <c r="G204" s="132">
        <v>0</v>
      </c>
      <c r="H204" s="132">
        <v>0</v>
      </c>
      <c r="I204" s="132">
        <v>0</v>
      </c>
      <c r="J204" s="132">
        <v>0</v>
      </c>
      <c r="K204" s="132">
        <v>0</v>
      </c>
      <c r="L204" s="132">
        <v>0</v>
      </c>
      <c r="M204" s="132">
        <v>0</v>
      </c>
      <c r="N204" s="132">
        <v>0</v>
      </c>
      <c r="O204" s="132">
        <v>0</v>
      </c>
      <c r="P204" s="132">
        <v>0</v>
      </c>
      <c r="Q204" s="132">
        <v>0</v>
      </c>
      <c r="R204" s="132">
        <v>0</v>
      </c>
      <c r="S204" s="132">
        <v>0</v>
      </c>
      <c r="T204" s="128">
        <f t="shared" si="8"/>
        <v>0</v>
      </c>
    </row>
    <row r="205" spans="1:20" x14ac:dyDescent="0.2">
      <c r="A205" s="23" t="s">
        <v>102</v>
      </c>
      <c r="B205">
        <v>6</v>
      </c>
      <c r="C205" s="23" t="s">
        <v>112</v>
      </c>
      <c r="D205">
        <v>613</v>
      </c>
      <c r="E205" s="132">
        <v>0</v>
      </c>
      <c r="F205" s="132">
        <v>0</v>
      </c>
      <c r="G205" s="132">
        <v>0</v>
      </c>
      <c r="H205" s="132">
        <v>0</v>
      </c>
      <c r="I205" s="132">
        <v>0</v>
      </c>
      <c r="J205" s="132">
        <v>0</v>
      </c>
      <c r="K205" s="132">
        <v>0</v>
      </c>
      <c r="L205" s="132">
        <v>0</v>
      </c>
      <c r="M205" s="132">
        <v>0</v>
      </c>
      <c r="N205" s="132">
        <v>0</v>
      </c>
      <c r="O205" s="132">
        <v>0</v>
      </c>
      <c r="P205" s="132">
        <v>0</v>
      </c>
      <c r="Q205" s="132">
        <v>0</v>
      </c>
      <c r="R205" s="132">
        <v>0</v>
      </c>
      <c r="S205" s="132">
        <v>0</v>
      </c>
      <c r="T205" s="128">
        <f t="shared" si="8"/>
        <v>0</v>
      </c>
    </row>
    <row r="206" spans="1:20" x14ac:dyDescent="0.2">
      <c r="A206" s="23" t="s">
        <v>102</v>
      </c>
      <c r="B206">
        <v>6</v>
      </c>
      <c r="C206" s="23" t="s">
        <v>112</v>
      </c>
      <c r="D206">
        <v>614</v>
      </c>
      <c r="E206" s="132">
        <v>0</v>
      </c>
      <c r="F206" s="132">
        <v>0</v>
      </c>
      <c r="G206" s="132">
        <v>0</v>
      </c>
      <c r="H206" s="132">
        <v>0</v>
      </c>
      <c r="I206" s="132">
        <v>0</v>
      </c>
      <c r="J206" s="132">
        <v>0</v>
      </c>
      <c r="K206" s="132">
        <v>0</v>
      </c>
      <c r="L206" s="132">
        <v>0</v>
      </c>
      <c r="M206" s="132">
        <v>0</v>
      </c>
      <c r="N206" s="132">
        <v>0</v>
      </c>
      <c r="O206" s="132">
        <v>0</v>
      </c>
      <c r="P206" s="132">
        <v>0</v>
      </c>
      <c r="Q206" s="132">
        <v>0</v>
      </c>
      <c r="R206" s="132">
        <v>0</v>
      </c>
      <c r="S206" s="132">
        <v>0</v>
      </c>
      <c r="T206" s="128">
        <f t="shared" si="8"/>
        <v>0</v>
      </c>
    </row>
    <row r="207" spans="1:20" x14ac:dyDescent="0.2">
      <c r="A207" s="23" t="s">
        <v>102</v>
      </c>
      <c r="B207">
        <v>6</v>
      </c>
      <c r="C207" s="23" t="s">
        <v>112</v>
      </c>
      <c r="D207">
        <v>615</v>
      </c>
      <c r="E207" s="132">
        <v>0</v>
      </c>
      <c r="F207" s="132">
        <v>0</v>
      </c>
      <c r="G207" s="132">
        <v>0</v>
      </c>
      <c r="H207" s="132">
        <v>0</v>
      </c>
      <c r="I207" s="132">
        <v>0</v>
      </c>
      <c r="J207" s="132">
        <v>0</v>
      </c>
      <c r="K207" s="132">
        <v>0</v>
      </c>
      <c r="L207" s="132">
        <v>0</v>
      </c>
      <c r="M207" s="132">
        <v>0</v>
      </c>
      <c r="N207" s="132">
        <v>0</v>
      </c>
      <c r="O207" s="132">
        <v>0</v>
      </c>
      <c r="P207" s="132">
        <v>0</v>
      </c>
      <c r="Q207" s="132">
        <v>0</v>
      </c>
      <c r="R207" s="132">
        <v>0</v>
      </c>
      <c r="S207" s="132">
        <v>0</v>
      </c>
      <c r="T207" s="128">
        <f t="shared" si="8"/>
        <v>0</v>
      </c>
    </row>
    <row r="208" spans="1:20" x14ac:dyDescent="0.2">
      <c r="A208" s="23" t="s">
        <v>102</v>
      </c>
      <c r="B208">
        <v>6</v>
      </c>
      <c r="C208" s="23" t="s">
        <v>112</v>
      </c>
      <c r="D208">
        <v>616</v>
      </c>
      <c r="E208" s="132">
        <v>0</v>
      </c>
      <c r="F208" s="132">
        <v>0</v>
      </c>
      <c r="G208" s="132">
        <v>0</v>
      </c>
      <c r="H208" s="132">
        <v>0</v>
      </c>
      <c r="I208" s="132">
        <v>0</v>
      </c>
      <c r="J208" s="132">
        <v>0</v>
      </c>
      <c r="K208" s="132">
        <v>0</v>
      </c>
      <c r="L208" s="132">
        <v>0</v>
      </c>
      <c r="M208" s="132">
        <v>0</v>
      </c>
      <c r="N208" s="132">
        <v>0</v>
      </c>
      <c r="O208" s="132">
        <v>0</v>
      </c>
      <c r="P208" s="132">
        <v>0</v>
      </c>
      <c r="Q208" s="132">
        <v>0</v>
      </c>
      <c r="R208" s="132">
        <v>0</v>
      </c>
      <c r="S208" s="132">
        <v>0</v>
      </c>
      <c r="T208" s="128">
        <f t="shared" si="8"/>
        <v>0</v>
      </c>
    </row>
    <row r="209" spans="1:20" x14ac:dyDescent="0.2">
      <c r="A209" s="23" t="s">
        <v>102</v>
      </c>
      <c r="B209">
        <v>6</v>
      </c>
      <c r="C209" s="23" t="s">
        <v>112</v>
      </c>
      <c r="D209">
        <v>617</v>
      </c>
      <c r="E209" s="132">
        <v>0</v>
      </c>
      <c r="F209" s="132">
        <v>0</v>
      </c>
      <c r="G209" s="132">
        <v>0</v>
      </c>
      <c r="H209" s="132">
        <v>0</v>
      </c>
      <c r="I209" s="132">
        <v>0</v>
      </c>
      <c r="J209" s="132">
        <v>0</v>
      </c>
      <c r="K209" s="132">
        <v>0</v>
      </c>
      <c r="L209" s="132">
        <v>0</v>
      </c>
      <c r="M209" s="132">
        <v>0</v>
      </c>
      <c r="N209" s="132">
        <v>0</v>
      </c>
      <c r="O209" s="132">
        <v>0</v>
      </c>
      <c r="P209" s="132">
        <v>0</v>
      </c>
      <c r="Q209" s="132">
        <v>0</v>
      </c>
      <c r="R209" s="132">
        <v>0</v>
      </c>
      <c r="S209" s="132">
        <v>0</v>
      </c>
      <c r="T209" s="128">
        <f t="shared" si="8"/>
        <v>0</v>
      </c>
    </row>
    <row r="210" spans="1:20" x14ac:dyDescent="0.2">
      <c r="A210" s="23" t="s">
        <v>102</v>
      </c>
      <c r="B210">
        <v>6</v>
      </c>
      <c r="C210" s="23" t="s">
        <v>112</v>
      </c>
      <c r="D210">
        <v>618</v>
      </c>
      <c r="E210" s="132">
        <v>0</v>
      </c>
      <c r="F210" s="132">
        <v>0</v>
      </c>
      <c r="G210" s="132">
        <v>0</v>
      </c>
      <c r="H210" s="132">
        <v>0</v>
      </c>
      <c r="I210" s="132">
        <v>0</v>
      </c>
      <c r="J210" s="132">
        <v>0</v>
      </c>
      <c r="K210" s="132">
        <v>0</v>
      </c>
      <c r="L210" s="132">
        <v>0</v>
      </c>
      <c r="M210" s="132">
        <v>0</v>
      </c>
      <c r="N210" s="132">
        <v>0</v>
      </c>
      <c r="O210" s="132">
        <v>0</v>
      </c>
      <c r="P210" s="132">
        <v>0</v>
      </c>
      <c r="Q210" s="132">
        <v>0</v>
      </c>
      <c r="R210" s="132">
        <v>0</v>
      </c>
      <c r="S210" s="132">
        <v>0</v>
      </c>
      <c r="T210" s="128">
        <f t="shared" si="8"/>
        <v>0</v>
      </c>
    </row>
    <row r="211" spans="1:20" x14ac:dyDescent="0.2">
      <c r="A211" s="23" t="s">
        <v>102</v>
      </c>
      <c r="B211">
        <v>6</v>
      </c>
      <c r="C211" s="23" t="s">
        <v>112</v>
      </c>
      <c r="D211">
        <v>619</v>
      </c>
      <c r="E211" s="132">
        <v>0</v>
      </c>
      <c r="F211" s="132">
        <v>0</v>
      </c>
      <c r="G211" s="132">
        <v>0</v>
      </c>
      <c r="H211" s="132">
        <v>0</v>
      </c>
      <c r="I211" s="132">
        <v>0</v>
      </c>
      <c r="J211" s="132">
        <v>0</v>
      </c>
      <c r="K211" s="132">
        <v>0</v>
      </c>
      <c r="L211" s="132">
        <v>0</v>
      </c>
      <c r="M211" s="132">
        <v>0</v>
      </c>
      <c r="N211" s="132">
        <v>0</v>
      </c>
      <c r="O211" s="132">
        <v>0</v>
      </c>
      <c r="P211" s="132">
        <v>0</v>
      </c>
      <c r="Q211" s="132">
        <v>0</v>
      </c>
      <c r="R211" s="132">
        <v>0</v>
      </c>
      <c r="S211" s="132">
        <v>0</v>
      </c>
      <c r="T211" s="128">
        <f t="shared" si="8"/>
        <v>0</v>
      </c>
    </row>
    <row r="212" spans="1:20" x14ac:dyDescent="0.2">
      <c r="A212" s="23" t="s">
        <v>102</v>
      </c>
      <c r="B212">
        <v>6</v>
      </c>
      <c r="C212" s="23" t="s">
        <v>112</v>
      </c>
      <c r="D212">
        <v>620</v>
      </c>
      <c r="E212" s="132">
        <v>0</v>
      </c>
      <c r="F212" s="132">
        <v>0</v>
      </c>
      <c r="G212" s="132">
        <v>0</v>
      </c>
      <c r="H212" s="132">
        <v>0</v>
      </c>
      <c r="I212" s="132">
        <v>0</v>
      </c>
      <c r="J212" s="132">
        <v>0</v>
      </c>
      <c r="K212" s="132">
        <v>0</v>
      </c>
      <c r="L212" s="132">
        <v>0</v>
      </c>
      <c r="M212" s="132">
        <v>0</v>
      </c>
      <c r="N212" s="132">
        <v>0</v>
      </c>
      <c r="O212" s="132">
        <v>0</v>
      </c>
      <c r="P212" s="132">
        <v>0</v>
      </c>
      <c r="Q212" s="132">
        <v>0</v>
      </c>
      <c r="R212" s="132">
        <v>0</v>
      </c>
      <c r="S212" s="132">
        <v>0</v>
      </c>
      <c r="T212" s="128">
        <f t="shared" si="8"/>
        <v>0</v>
      </c>
    </row>
    <row r="213" spans="1:20" x14ac:dyDescent="0.2">
      <c r="A213" s="23" t="s">
        <v>102</v>
      </c>
      <c r="B213">
        <v>6</v>
      </c>
      <c r="C213" s="23" t="s">
        <v>112</v>
      </c>
      <c r="D213">
        <v>621</v>
      </c>
      <c r="E213" s="132">
        <v>0</v>
      </c>
      <c r="F213" s="132">
        <v>0</v>
      </c>
      <c r="G213" s="132">
        <v>0</v>
      </c>
      <c r="H213" s="132">
        <v>0</v>
      </c>
      <c r="I213" s="132">
        <v>0</v>
      </c>
      <c r="J213" s="132">
        <v>0</v>
      </c>
      <c r="K213" s="132">
        <v>0</v>
      </c>
      <c r="L213" s="132">
        <v>0</v>
      </c>
      <c r="M213" s="132">
        <v>0</v>
      </c>
      <c r="N213" s="132">
        <v>0</v>
      </c>
      <c r="O213" s="132">
        <v>0</v>
      </c>
      <c r="P213" s="132">
        <v>0</v>
      </c>
      <c r="Q213" s="132">
        <v>0</v>
      </c>
      <c r="R213" s="132">
        <v>0</v>
      </c>
      <c r="S213" s="132">
        <v>0</v>
      </c>
      <c r="T213" s="128">
        <f t="shared" si="8"/>
        <v>0</v>
      </c>
    </row>
    <row r="214" spans="1:20" x14ac:dyDescent="0.2">
      <c r="A214" s="23" t="s">
        <v>102</v>
      </c>
      <c r="B214">
        <v>6</v>
      </c>
      <c r="C214" s="23" t="s">
        <v>112</v>
      </c>
      <c r="D214">
        <v>622</v>
      </c>
      <c r="E214" s="132">
        <v>0</v>
      </c>
      <c r="F214" s="132">
        <v>0</v>
      </c>
      <c r="G214" s="132">
        <v>0</v>
      </c>
      <c r="H214" s="132">
        <v>0</v>
      </c>
      <c r="I214" s="132">
        <v>0</v>
      </c>
      <c r="J214" s="132">
        <v>0</v>
      </c>
      <c r="K214" s="132">
        <v>0</v>
      </c>
      <c r="L214" s="132">
        <v>0</v>
      </c>
      <c r="M214" s="132">
        <v>0</v>
      </c>
      <c r="N214" s="132">
        <v>0</v>
      </c>
      <c r="O214" s="132">
        <v>0</v>
      </c>
      <c r="P214" s="132">
        <v>0</v>
      </c>
      <c r="Q214" s="132">
        <v>0</v>
      </c>
      <c r="R214" s="132">
        <v>0</v>
      </c>
      <c r="S214" s="132">
        <v>0</v>
      </c>
      <c r="T214" s="128">
        <f t="shared" si="8"/>
        <v>0</v>
      </c>
    </row>
    <row r="215" spans="1:20" x14ac:dyDescent="0.2">
      <c r="A215" s="23" t="s">
        <v>102</v>
      </c>
      <c r="B215">
        <v>6</v>
      </c>
      <c r="C215" s="23" t="s">
        <v>112</v>
      </c>
      <c r="D215">
        <v>623</v>
      </c>
      <c r="E215" s="132">
        <v>0</v>
      </c>
      <c r="F215" s="132">
        <v>0</v>
      </c>
      <c r="G215" s="132">
        <v>0</v>
      </c>
      <c r="H215" s="132">
        <v>0</v>
      </c>
      <c r="I215" s="132">
        <v>0</v>
      </c>
      <c r="J215" s="132">
        <v>0</v>
      </c>
      <c r="K215" s="132">
        <v>0</v>
      </c>
      <c r="L215" s="132">
        <v>0</v>
      </c>
      <c r="M215" s="132">
        <v>0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32">
        <v>0</v>
      </c>
      <c r="T215" s="128">
        <f t="shared" si="8"/>
        <v>0</v>
      </c>
    </row>
    <row r="216" spans="1:20" x14ac:dyDescent="0.2">
      <c r="A216" s="23" t="s">
        <v>102</v>
      </c>
      <c r="B216">
        <v>6</v>
      </c>
      <c r="C216" s="23" t="s">
        <v>111</v>
      </c>
      <c r="D216">
        <v>601</v>
      </c>
      <c r="E216" s="132">
        <v>0</v>
      </c>
      <c r="F216" s="132">
        <v>0</v>
      </c>
      <c r="G216" s="132">
        <v>0</v>
      </c>
      <c r="H216" s="132">
        <v>0</v>
      </c>
      <c r="I216" s="132">
        <v>0</v>
      </c>
      <c r="J216" s="132">
        <v>0</v>
      </c>
      <c r="K216" s="132">
        <v>0</v>
      </c>
      <c r="L216" s="132">
        <v>0</v>
      </c>
      <c r="M216" s="132">
        <v>0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32">
        <v>0</v>
      </c>
      <c r="T216" s="128">
        <f t="shared" si="8"/>
        <v>0</v>
      </c>
    </row>
    <row r="217" spans="1:20" x14ac:dyDescent="0.2">
      <c r="A217" s="23" t="s">
        <v>102</v>
      </c>
      <c r="B217">
        <v>6</v>
      </c>
      <c r="C217" s="23" t="s">
        <v>111</v>
      </c>
      <c r="D217">
        <v>602</v>
      </c>
      <c r="E217" s="132">
        <v>0</v>
      </c>
      <c r="F217" s="132">
        <v>0</v>
      </c>
      <c r="G217" s="132">
        <v>0</v>
      </c>
      <c r="H217" s="132">
        <v>0</v>
      </c>
      <c r="I217" s="132">
        <v>0</v>
      </c>
      <c r="J217" s="132">
        <v>0</v>
      </c>
      <c r="K217" s="132">
        <v>0</v>
      </c>
      <c r="L217" s="132">
        <v>0</v>
      </c>
      <c r="M217" s="132">
        <v>0</v>
      </c>
      <c r="N217" s="132">
        <v>0</v>
      </c>
      <c r="O217" s="132">
        <v>0</v>
      </c>
      <c r="P217" s="132">
        <v>0</v>
      </c>
      <c r="Q217" s="132">
        <v>0</v>
      </c>
      <c r="R217" s="132">
        <v>0</v>
      </c>
      <c r="S217" s="132">
        <v>0</v>
      </c>
      <c r="T217" s="128">
        <f t="shared" si="8"/>
        <v>0</v>
      </c>
    </row>
    <row r="218" spans="1:20" x14ac:dyDescent="0.2">
      <c r="A218" s="23" t="s">
        <v>102</v>
      </c>
      <c r="B218">
        <v>6</v>
      </c>
      <c r="C218" s="23" t="s">
        <v>111</v>
      </c>
      <c r="D218">
        <v>603</v>
      </c>
      <c r="E218" s="132">
        <v>0</v>
      </c>
      <c r="F218" s="132">
        <v>0</v>
      </c>
      <c r="G218" s="132">
        <v>0</v>
      </c>
      <c r="H218" s="132">
        <v>0</v>
      </c>
      <c r="I218" s="132">
        <v>0</v>
      </c>
      <c r="J218" s="132">
        <v>0</v>
      </c>
      <c r="K218" s="132">
        <v>0</v>
      </c>
      <c r="L218" s="132">
        <v>0</v>
      </c>
      <c r="M218" s="132">
        <v>0</v>
      </c>
      <c r="N218" s="132">
        <v>0</v>
      </c>
      <c r="O218" s="132">
        <v>0</v>
      </c>
      <c r="P218" s="132">
        <v>0</v>
      </c>
      <c r="Q218" s="132">
        <v>0</v>
      </c>
      <c r="R218" s="132">
        <v>0</v>
      </c>
      <c r="S218" s="132">
        <v>0</v>
      </c>
      <c r="T218" s="128">
        <f t="shared" si="8"/>
        <v>0</v>
      </c>
    </row>
    <row r="219" spans="1:20" x14ac:dyDescent="0.2">
      <c r="A219" s="23" t="s">
        <v>102</v>
      </c>
      <c r="B219">
        <v>6</v>
      </c>
      <c r="C219" s="23" t="s">
        <v>111</v>
      </c>
      <c r="D219">
        <v>604</v>
      </c>
      <c r="E219" s="132">
        <v>0</v>
      </c>
      <c r="F219" s="132">
        <v>0</v>
      </c>
      <c r="G219" s="132">
        <v>0</v>
      </c>
      <c r="H219" s="132">
        <v>0</v>
      </c>
      <c r="I219" s="132">
        <v>0</v>
      </c>
      <c r="J219" s="132">
        <v>0</v>
      </c>
      <c r="K219" s="132">
        <v>0</v>
      </c>
      <c r="L219" s="132">
        <v>0</v>
      </c>
      <c r="M219" s="132">
        <v>0</v>
      </c>
      <c r="N219" s="132">
        <v>0</v>
      </c>
      <c r="O219" s="132">
        <v>0</v>
      </c>
      <c r="P219" s="132">
        <v>0</v>
      </c>
      <c r="Q219" s="132">
        <v>0</v>
      </c>
      <c r="R219" s="132">
        <v>0</v>
      </c>
      <c r="S219" s="132">
        <v>0</v>
      </c>
      <c r="T219" s="128">
        <f t="shared" si="8"/>
        <v>0</v>
      </c>
    </row>
    <row r="220" spans="1:20" x14ac:dyDescent="0.2">
      <c r="A220" s="23" t="s">
        <v>102</v>
      </c>
      <c r="B220">
        <v>6</v>
      </c>
      <c r="C220" s="23" t="s">
        <v>111</v>
      </c>
      <c r="D220">
        <v>605</v>
      </c>
      <c r="E220" s="132">
        <v>0</v>
      </c>
      <c r="F220" s="132">
        <v>0</v>
      </c>
      <c r="G220" s="132">
        <v>0</v>
      </c>
      <c r="H220" s="132">
        <v>0</v>
      </c>
      <c r="I220" s="132">
        <v>0</v>
      </c>
      <c r="J220" s="132">
        <v>0</v>
      </c>
      <c r="K220" s="132">
        <v>0</v>
      </c>
      <c r="L220" s="132">
        <v>0</v>
      </c>
      <c r="M220" s="132">
        <v>0</v>
      </c>
      <c r="N220" s="132">
        <v>0</v>
      </c>
      <c r="O220" s="132">
        <v>0</v>
      </c>
      <c r="P220" s="132">
        <v>0</v>
      </c>
      <c r="Q220" s="132">
        <v>0</v>
      </c>
      <c r="R220" s="132">
        <v>0</v>
      </c>
      <c r="S220" s="132">
        <v>0</v>
      </c>
      <c r="T220" s="128">
        <f t="shared" si="8"/>
        <v>0</v>
      </c>
    </row>
    <row r="221" spans="1:20" x14ac:dyDescent="0.2">
      <c r="A221" s="23" t="s">
        <v>102</v>
      </c>
      <c r="B221">
        <v>6</v>
      </c>
      <c r="C221" s="23" t="s">
        <v>111</v>
      </c>
      <c r="D221">
        <v>606</v>
      </c>
      <c r="E221" s="132">
        <v>0</v>
      </c>
      <c r="F221" s="132">
        <v>0</v>
      </c>
      <c r="G221" s="132">
        <v>0</v>
      </c>
      <c r="H221" s="132">
        <v>0</v>
      </c>
      <c r="I221" s="132">
        <v>0</v>
      </c>
      <c r="J221" s="132">
        <v>0</v>
      </c>
      <c r="K221" s="132">
        <v>0</v>
      </c>
      <c r="L221" s="132">
        <v>0</v>
      </c>
      <c r="M221" s="132">
        <v>0</v>
      </c>
      <c r="N221" s="132">
        <v>0</v>
      </c>
      <c r="O221" s="132">
        <v>0</v>
      </c>
      <c r="P221" s="132">
        <v>0</v>
      </c>
      <c r="Q221" s="132">
        <v>0</v>
      </c>
      <c r="R221" s="132">
        <v>0</v>
      </c>
      <c r="S221" s="132">
        <v>0</v>
      </c>
      <c r="T221" s="128">
        <f t="shared" si="8"/>
        <v>0</v>
      </c>
    </row>
    <row r="222" spans="1:20" x14ac:dyDescent="0.2">
      <c r="A222" s="23" t="s">
        <v>102</v>
      </c>
      <c r="B222">
        <v>6</v>
      </c>
      <c r="C222" s="23" t="s">
        <v>111</v>
      </c>
      <c r="D222">
        <v>607</v>
      </c>
      <c r="E222" s="132">
        <v>0</v>
      </c>
      <c r="F222" s="132">
        <v>0</v>
      </c>
      <c r="G222" s="132">
        <v>0</v>
      </c>
      <c r="H222" s="132">
        <v>0</v>
      </c>
      <c r="I222" s="132">
        <v>0</v>
      </c>
      <c r="J222" s="132">
        <v>0</v>
      </c>
      <c r="K222" s="132">
        <v>0</v>
      </c>
      <c r="L222" s="132">
        <v>0</v>
      </c>
      <c r="M222" s="132">
        <v>0</v>
      </c>
      <c r="N222" s="132">
        <v>0</v>
      </c>
      <c r="O222" s="132">
        <v>0</v>
      </c>
      <c r="P222" s="132">
        <v>0</v>
      </c>
      <c r="Q222" s="132">
        <v>0</v>
      </c>
      <c r="R222" s="132">
        <v>0</v>
      </c>
      <c r="S222" s="132">
        <v>0</v>
      </c>
      <c r="T222" s="128">
        <f t="shared" si="8"/>
        <v>0</v>
      </c>
    </row>
    <row r="223" spans="1:20" x14ac:dyDescent="0.2">
      <c r="A223" s="23" t="s">
        <v>102</v>
      </c>
      <c r="B223">
        <v>6</v>
      </c>
      <c r="C223" s="23" t="s">
        <v>111</v>
      </c>
      <c r="D223">
        <v>608</v>
      </c>
      <c r="E223" s="132">
        <v>0</v>
      </c>
      <c r="F223" s="132">
        <v>0</v>
      </c>
      <c r="G223" s="132">
        <v>0</v>
      </c>
      <c r="H223" s="132">
        <v>0</v>
      </c>
      <c r="I223" s="132">
        <v>0</v>
      </c>
      <c r="J223" s="132">
        <v>0</v>
      </c>
      <c r="K223" s="132">
        <v>0</v>
      </c>
      <c r="L223" s="132">
        <v>0</v>
      </c>
      <c r="M223" s="132">
        <v>0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32">
        <v>0</v>
      </c>
      <c r="T223" s="128">
        <f t="shared" si="8"/>
        <v>0</v>
      </c>
    </row>
    <row r="224" spans="1:20" x14ac:dyDescent="0.2">
      <c r="A224" s="23" t="s">
        <v>102</v>
      </c>
      <c r="B224">
        <v>6</v>
      </c>
      <c r="C224" s="23" t="s">
        <v>111</v>
      </c>
      <c r="D224">
        <v>609</v>
      </c>
      <c r="E224" s="132">
        <v>0</v>
      </c>
      <c r="F224" s="132">
        <v>0</v>
      </c>
      <c r="G224" s="132">
        <v>0</v>
      </c>
      <c r="H224" s="132">
        <v>0</v>
      </c>
      <c r="I224" s="132">
        <v>0</v>
      </c>
      <c r="J224" s="132">
        <v>0</v>
      </c>
      <c r="K224" s="132">
        <v>0</v>
      </c>
      <c r="L224" s="132">
        <v>0</v>
      </c>
      <c r="M224" s="132">
        <v>0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32">
        <v>0</v>
      </c>
      <c r="T224" s="128">
        <f t="shared" si="8"/>
        <v>0</v>
      </c>
    </row>
    <row r="225" spans="1:20" x14ac:dyDescent="0.2">
      <c r="A225" s="23" t="s">
        <v>102</v>
      </c>
      <c r="B225">
        <v>6</v>
      </c>
      <c r="C225" s="23" t="s">
        <v>111</v>
      </c>
      <c r="D225">
        <v>610</v>
      </c>
      <c r="E225" s="132">
        <v>0</v>
      </c>
      <c r="F225" s="132">
        <v>0</v>
      </c>
      <c r="G225" s="132">
        <v>0</v>
      </c>
      <c r="H225" s="132">
        <v>0</v>
      </c>
      <c r="I225" s="132">
        <v>0</v>
      </c>
      <c r="J225" s="132">
        <v>0</v>
      </c>
      <c r="K225" s="132">
        <v>0</v>
      </c>
      <c r="L225" s="132">
        <v>0</v>
      </c>
      <c r="M225" s="132">
        <v>0</v>
      </c>
      <c r="N225" s="132">
        <v>0</v>
      </c>
      <c r="O225" s="132">
        <v>0</v>
      </c>
      <c r="P225" s="132">
        <v>0</v>
      </c>
      <c r="Q225" s="132">
        <v>0</v>
      </c>
      <c r="R225" s="132">
        <v>0</v>
      </c>
      <c r="S225" s="132">
        <v>0</v>
      </c>
      <c r="T225" s="128">
        <f t="shared" si="8"/>
        <v>0</v>
      </c>
    </row>
    <row r="226" spans="1:20" x14ac:dyDescent="0.2">
      <c r="A226" s="23" t="s">
        <v>102</v>
      </c>
      <c r="B226">
        <v>6</v>
      </c>
      <c r="C226" s="23" t="s">
        <v>111</v>
      </c>
      <c r="D226">
        <v>611</v>
      </c>
      <c r="E226" s="132">
        <v>0</v>
      </c>
      <c r="F226" s="132">
        <v>0</v>
      </c>
      <c r="G226" s="132">
        <v>0</v>
      </c>
      <c r="H226" s="132">
        <v>0</v>
      </c>
      <c r="I226" s="132">
        <v>0</v>
      </c>
      <c r="J226" s="132">
        <v>0</v>
      </c>
      <c r="K226" s="132">
        <v>0</v>
      </c>
      <c r="L226" s="132">
        <v>0</v>
      </c>
      <c r="M226" s="132">
        <v>0</v>
      </c>
      <c r="N226" s="132">
        <v>0</v>
      </c>
      <c r="O226" s="132">
        <v>0</v>
      </c>
      <c r="P226" s="132">
        <v>0</v>
      </c>
      <c r="Q226" s="132">
        <v>0</v>
      </c>
      <c r="R226" s="132">
        <v>0</v>
      </c>
      <c r="S226" s="132">
        <v>0</v>
      </c>
      <c r="T226" s="128">
        <f t="shared" si="8"/>
        <v>0</v>
      </c>
    </row>
    <row r="227" spans="1:20" x14ac:dyDescent="0.2">
      <c r="A227" s="23" t="s">
        <v>102</v>
      </c>
      <c r="B227">
        <v>6</v>
      </c>
      <c r="C227" s="23" t="s">
        <v>111</v>
      </c>
      <c r="D227">
        <v>612</v>
      </c>
      <c r="E227" s="132">
        <v>0</v>
      </c>
      <c r="F227" s="132">
        <v>0</v>
      </c>
      <c r="G227" s="132">
        <v>0</v>
      </c>
      <c r="H227" s="132">
        <v>0</v>
      </c>
      <c r="I227" s="132">
        <v>0</v>
      </c>
      <c r="J227" s="132">
        <v>0</v>
      </c>
      <c r="K227" s="132">
        <v>0</v>
      </c>
      <c r="L227" s="132">
        <v>0</v>
      </c>
      <c r="M227" s="132">
        <v>0</v>
      </c>
      <c r="N227" s="132">
        <v>0</v>
      </c>
      <c r="O227" s="132">
        <v>0</v>
      </c>
      <c r="P227" s="132">
        <v>0</v>
      </c>
      <c r="Q227" s="132">
        <v>0</v>
      </c>
      <c r="R227" s="132">
        <v>0</v>
      </c>
      <c r="S227" s="132">
        <v>0</v>
      </c>
      <c r="T227" s="128">
        <f t="shared" si="8"/>
        <v>0</v>
      </c>
    </row>
    <row r="228" spans="1:20" x14ac:dyDescent="0.2">
      <c r="A228" s="23" t="s">
        <v>102</v>
      </c>
      <c r="B228">
        <v>6</v>
      </c>
      <c r="C228" s="23" t="s">
        <v>111</v>
      </c>
      <c r="D228">
        <v>613</v>
      </c>
      <c r="E228" s="132">
        <v>0</v>
      </c>
      <c r="F228" s="132">
        <v>0</v>
      </c>
      <c r="G228" s="132">
        <v>0</v>
      </c>
      <c r="H228" s="132">
        <v>0</v>
      </c>
      <c r="I228" s="132">
        <v>0</v>
      </c>
      <c r="J228" s="132">
        <v>0</v>
      </c>
      <c r="K228" s="132">
        <v>0</v>
      </c>
      <c r="L228" s="132">
        <v>0</v>
      </c>
      <c r="M228" s="132">
        <v>0</v>
      </c>
      <c r="N228" s="132">
        <v>0</v>
      </c>
      <c r="O228" s="132">
        <v>0</v>
      </c>
      <c r="P228" s="132">
        <v>0</v>
      </c>
      <c r="Q228" s="132">
        <v>0</v>
      </c>
      <c r="R228" s="132">
        <v>0</v>
      </c>
      <c r="S228" s="132">
        <v>0</v>
      </c>
      <c r="T228" s="128">
        <f t="shared" si="8"/>
        <v>0</v>
      </c>
    </row>
    <row r="229" spans="1:20" x14ac:dyDescent="0.2">
      <c r="A229" s="23" t="s">
        <v>102</v>
      </c>
      <c r="B229">
        <v>6</v>
      </c>
      <c r="C229" s="23" t="s">
        <v>111</v>
      </c>
      <c r="D229">
        <v>614</v>
      </c>
      <c r="E229" s="132">
        <v>0</v>
      </c>
      <c r="F229" s="132">
        <v>0</v>
      </c>
      <c r="G229" s="132">
        <v>0</v>
      </c>
      <c r="H229" s="132">
        <v>0</v>
      </c>
      <c r="I229" s="132">
        <v>0</v>
      </c>
      <c r="J229" s="132">
        <v>0</v>
      </c>
      <c r="K229" s="132">
        <v>0</v>
      </c>
      <c r="L229" s="132">
        <v>0</v>
      </c>
      <c r="M229" s="132">
        <v>0</v>
      </c>
      <c r="N229" s="132">
        <v>0</v>
      </c>
      <c r="O229" s="132">
        <v>0</v>
      </c>
      <c r="P229" s="132">
        <v>0</v>
      </c>
      <c r="Q229" s="132">
        <v>0</v>
      </c>
      <c r="R229" s="132">
        <v>0</v>
      </c>
      <c r="S229" s="132">
        <v>0</v>
      </c>
      <c r="T229" s="128">
        <f t="shared" si="8"/>
        <v>0</v>
      </c>
    </row>
    <row r="230" spans="1:20" x14ac:dyDescent="0.2">
      <c r="A230" s="23" t="s">
        <v>102</v>
      </c>
      <c r="B230">
        <v>6</v>
      </c>
      <c r="C230" s="23" t="s">
        <v>111</v>
      </c>
      <c r="D230">
        <v>615</v>
      </c>
      <c r="E230" s="132">
        <v>0</v>
      </c>
      <c r="F230" s="132">
        <v>0</v>
      </c>
      <c r="G230" s="132">
        <v>0</v>
      </c>
      <c r="H230" s="132">
        <v>0</v>
      </c>
      <c r="I230" s="132">
        <v>0</v>
      </c>
      <c r="J230" s="132">
        <v>0</v>
      </c>
      <c r="K230" s="132">
        <v>0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32">
        <v>0</v>
      </c>
      <c r="T230" s="128">
        <f t="shared" si="8"/>
        <v>0</v>
      </c>
    </row>
    <row r="231" spans="1:20" x14ac:dyDescent="0.2">
      <c r="A231" s="23" t="s">
        <v>102</v>
      </c>
      <c r="B231">
        <v>6</v>
      </c>
      <c r="C231" s="23" t="s">
        <v>111</v>
      </c>
      <c r="D231">
        <v>616</v>
      </c>
      <c r="E231" s="132">
        <v>0</v>
      </c>
      <c r="F231" s="132">
        <v>0</v>
      </c>
      <c r="G231" s="132">
        <v>0</v>
      </c>
      <c r="H231" s="132">
        <v>0</v>
      </c>
      <c r="I231" s="132">
        <v>0</v>
      </c>
      <c r="J231" s="132">
        <v>0</v>
      </c>
      <c r="K231" s="132">
        <v>0</v>
      </c>
      <c r="L231" s="132">
        <v>0</v>
      </c>
      <c r="M231" s="132">
        <v>0</v>
      </c>
      <c r="N231" s="132">
        <v>0</v>
      </c>
      <c r="O231" s="132">
        <v>0</v>
      </c>
      <c r="P231" s="132">
        <v>0</v>
      </c>
      <c r="Q231" s="132">
        <v>0</v>
      </c>
      <c r="R231" s="132">
        <v>0</v>
      </c>
      <c r="S231" s="132">
        <v>0</v>
      </c>
      <c r="T231" s="128">
        <f t="shared" si="8"/>
        <v>0</v>
      </c>
    </row>
    <row r="232" spans="1:20" x14ac:dyDescent="0.2">
      <c r="A232" s="23" t="s">
        <v>102</v>
      </c>
      <c r="B232">
        <v>6</v>
      </c>
      <c r="C232" s="23" t="s">
        <v>111</v>
      </c>
      <c r="D232">
        <v>617</v>
      </c>
      <c r="E232" s="132">
        <v>0</v>
      </c>
      <c r="F232" s="132">
        <v>0</v>
      </c>
      <c r="G232" s="132">
        <v>0</v>
      </c>
      <c r="H232" s="132">
        <v>0</v>
      </c>
      <c r="I232" s="132">
        <v>0</v>
      </c>
      <c r="J232" s="132">
        <v>0</v>
      </c>
      <c r="K232" s="132">
        <v>0</v>
      </c>
      <c r="L232" s="132">
        <v>0</v>
      </c>
      <c r="M232" s="132">
        <v>0</v>
      </c>
      <c r="N232" s="132">
        <v>0</v>
      </c>
      <c r="O232" s="132">
        <v>0</v>
      </c>
      <c r="P232" s="132">
        <v>0</v>
      </c>
      <c r="Q232" s="132">
        <v>0</v>
      </c>
      <c r="R232" s="132">
        <v>0</v>
      </c>
      <c r="S232" s="132">
        <v>0</v>
      </c>
      <c r="T232" s="128">
        <f t="shared" si="8"/>
        <v>0</v>
      </c>
    </row>
    <row r="233" spans="1:20" x14ac:dyDescent="0.2">
      <c r="A233" s="23" t="s">
        <v>102</v>
      </c>
      <c r="B233">
        <v>6</v>
      </c>
      <c r="C233" s="23" t="s">
        <v>111</v>
      </c>
      <c r="D233">
        <v>618</v>
      </c>
      <c r="E233" s="132">
        <v>0</v>
      </c>
      <c r="F233" s="132">
        <v>0</v>
      </c>
      <c r="G233" s="132">
        <v>0</v>
      </c>
      <c r="H233" s="132">
        <v>0</v>
      </c>
      <c r="I233" s="132">
        <v>0</v>
      </c>
      <c r="J233" s="132">
        <v>0</v>
      </c>
      <c r="K233" s="132">
        <v>0</v>
      </c>
      <c r="L233" s="132">
        <v>0</v>
      </c>
      <c r="M233" s="132">
        <v>0</v>
      </c>
      <c r="N233" s="132">
        <v>0</v>
      </c>
      <c r="O233" s="132">
        <v>0</v>
      </c>
      <c r="P233" s="132">
        <v>0</v>
      </c>
      <c r="Q233" s="132">
        <v>0</v>
      </c>
      <c r="R233" s="132">
        <v>0</v>
      </c>
      <c r="S233" s="132">
        <v>0</v>
      </c>
      <c r="T233" s="128">
        <f t="shared" si="8"/>
        <v>0</v>
      </c>
    </row>
    <row r="234" spans="1:20" x14ac:dyDescent="0.2">
      <c r="A234" s="23" t="s">
        <v>102</v>
      </c>
      <c r="B234">
        <v>6</v>
      </c>
      <c r="C234" s="23" t="s">
        <v>111</v>
      </c>
      <c r="D234">
        <v>619</v>
      </c>
      <c r="E234" s="132">
        <v>0</v>
      </c>
      <c r="F234" s="132">
        <v>0</v>
      </c>
      <c r="G234" s="132">
        <v>0</v>
      </c>
      <c r="H234" s="132">
        <v>0</v>
      </c>
      <c r="I234" s="132">
        <v>0</v>
      </c>
      <c r="J234" s="132">
        <v>0</v>
      </c>
      <c r="K234" s="132">
        <v>0</v>
      </c>
      <c r="L234" s="132">
        <v>0</v>
      </c>
      <c r="M234" s="132">
        <v>0</v>
      </c>
      <c r="N234" s="132">
        <v>0</v>
      </c>
      <c r="O234" s="132">
        <v>0</v>
      </c>
      <c r="P234" s="132">
        <v>0</v>
      </c>
      <c r="Q234" s="132">
        <v>0</v>
      </c>
      <c r="R234" s="132">
        <v>0</v>
      </c>
      <c r="S234" s="132">
        <v>0</v>
      </c>
      <c r="T234" s="128">
        <f t="shared" si="8"/>
        <v>0</v>
      </c>
    </row>
    <row r="235" spans="1:20" x14ac:dyDescent="0.2">
      <c r="A235" s="23" t="s">
        <v>102</v>
      </c>
      <c r="B235">
        <v>6</v>
      </c>
      <c r="C235" s="23" t="s">
        <v>111</v>
      </c>
      <c r="D235">
        <v>620</v>
      </c>
      <c r="E235" s="132">
        <v>0</v>
      </c>
      <c r="F235" s="132">
        <v>0</v>
      </c>
      <c r="G235" s="132">
        <v>0</v>
      </c>
      <c r="H235" s="132">
        <v>0</v>
      </c>
      <c r="I235" s="132">
        <v>0</v>
      </c>
      <c r="J235" s="132">
        <v>0</v>
      </c>
      <c r="K235" s="132">
        <v>0</v>
      </c>
      <c r="L235" s="132">
        <v>0</v>
      </c>
      <c r="M235" s="132">
        <v>0</v>
      </c>
      <c r="N235" s="132">
        <v>0</v>
      </c>
      <c r="O235" s="132">
        <v>0</v>
      </c>
      <c r="P235" s="132">
        <v>0</v>
      </c>
      <c r="Q235" s="132">
        <v>0</v>
      </c>
      <c r="R235" s="132">
        <v>0</v>
      </c>
      <c r="S235" s="132">
        <v>0</v>
      </c>
      <c r="T235" s="128">
        <f t="shared" si="8"/>
        <v>0</v>
      </c>
    </row>
    <row r="236" spans="1:20" x14ac:dyDescent="0.2">
      <c r="A236" s="23" t="s">
        <v>102</v>
      </c>
      <c r="B236">
        <v>6</v>
      </c>
      <c r="C236" s="23" t="s">
        <v>111</v>
      </c>
      <c r="D236">
        <v>621</v>
      </c>
      <c r="E236" s="132">
        <v>0</v>
      </c>
      <c r="F236" s="132">
        <v>0</v>
      </c>
      <c r="G236" s="132">
        <v>0</v>
      </c>
      <c r="H236" s="132">
        <v>0</v>
      </c>
      <c r="I236" s="132">
        <v>0</v>
      </c>
      <c r="J236" s="132">
        <v>0</v>
      </c>
      <c r="K236" s="132">
        <v>0</v>
      </c>
      <c r="L236" s="132">
        <v>0</v>
      </c>
      <c r="M236" s="132">
        <v>0</v>
      </c>
      <c r="N236" s="132">
        <v>0</v>
      </c>
      <c r="O236" s="132">
        <v>0</v>
      </c>
      <c r="P236" s="132">
        <v>0</v>
      </c>
      <c r="Q236" s="132">
        <v>0</v>
      </c>
      <c r="R236" s="132">
        <v>0</v>
      </c>
      <c r="S236" s="132">
        <v>0</v>
      </c>
      <c r="T236" s="128">
        <f t="shared" si="8"/>
        <v>0</v>
      </c>
    </row>
    <row r="237" spans="1:20" x14ac:dyDescent="0.2">
      <c r="A237" s="23"/>
      <c r="C237" s="23"/>
      <c r="E237" s="132"/>
      <c r="F237" s="132">
        <f t="shared" ref="F237:S237" si="9">AVERAGE(F193:F236)</f>
        <v>0</v>
      </c>
      <c r="G237" s="132">
        <f t="shared" si="9"/>
        <v>0</v>
      </c>
      <c r="H237" s="132">
        <f t="shared" si="9"/>
        <v>0</v>
      </c>
      <c r="I237" s="132">
        <f t="shared" si="9"/>
        <v>0</v>
      </c>
      <c r="J237" s="132">
        <f t="shared" si="9"/>
        <v>0</v>
      </c>
      <c r="K237" s="132">
        <f t="shared" si="9"/>
        <v>0</v>
      </c>
      <c r="L237" s="132">
        <f t="shared" si="9"/>
        <v>0</v>
      </c>
      <c r="M237" s="132">
        <f t="shared" si="9"/>
        <v>0</v>
      </c>
      <c r="N237" s="132">
        <f t="shared" si="9"/>
        <v>0</v>
      </c>
      <c r="O237" s="132">
        <f t="shared" si="9"/>
        <v>0</v>
      </c>
      <c r="P237" s="132">
        <f t="shared" si="9"/>
        <v>0</v>
      </c>
      <c r="Q237" s="132">
        <f t="shared" si="9"/>
        <v>0</v>
      </c>
      <c r="R237" s="132">
        <f t="shared" si="9"/>
        <v>0</v>
      </c>
      <c r="S237" s="132">
        <f t="shared" si="9"/>
        <v>0</v>
      </c>
      <c r="T237" s="128">
        <f t="shared" si="8"/>
        <v>0</v>
      </c>
    </row>
    <row r="238" spans="1:20" x14ac:dyDescent="0.2">
      <c r="A238" s="23" t="s">
        <v>102</v>
      </c>
      <c r="B238">
        <v>7</v>
      </c>
      <c r="C238" s="23" t="s">
        <v>112</v>
      </c>
      <c r="D238">
        <v>701</v>
      </c>
      <c r="E238" s="132">
        <v>0</v>
      </c>
      <c r="F238" s="132">
        <v>0</v>
      </c>
      <c r="G238" s="132">
        <v>0</v>
      </c>
      <c r="H238" s="132">
        <v>0</v>
      </c>
      <c r="I238" s="132">
        <v>0</v>
      </c>
      <c r="J238" s="132">
        <v>0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0</v>
      </c>
      <c r="Q238" s="132">
        <v>0</v>
      </c>
      <c r="R238" s="132">
        <v>0</v>
      </c>
      <c r="S238" s="132">
        <v>0</v>
      </c>
      <c r="T238" s="128">
        <f t="shared" si="8"/>
        <v>0</v>
      </c>
    </row>
    <row r="239" spans="1:20" x14ac:dyDescent="0.2">
      <c r="A239" s="23" t="s">
        <v>102</v>
      </c>
      <c r="B239">
        <v>7</v>
      </c>
      <c r="C239" s="23" t="s">
        <v>112</v>
      </c>
      <c r="D239">
        <v>702</v>
      </c>
      <c r="E239" s="132">
        <v>0</v>
      </c>
      <c r="F239" s="132">
        <v>0</v>
      </c>
      <c r="G239" s="132">
        <v>0</v>
      </c>
      <c r="H239" s="132">
        <v>0</v>
      </c>
      <c r="I239" s="132">
        <v>0</v>
      </c>
      <c r="J239" s="132">
        <v>0</v>
      </c>
      <c r="K239" s="132">
        <v>0</v>
      </c>
      <c r="L239" s="132">
        <v>0</v>
      </c>
      <c r="M239" s="132">
        <v>0</v>
      </c>
      <c r="N239" s="132">
        <v>0</v>
      </c>
      <c r="O239" s="132">
        <v>0</v>
      </c>
      <c r="P239" s="132">
        <v>0</v>
      </c>
      <c r="Q239" s="132">
        <v>0</v>
      </c>
      <c r="R239" s="132">
        <v>0</v>
      </c>
      <c r="S239" s="132">
        <v>0</v>
      </c>
      <c r="T239" s="128">
        <f t="shared" si="8"/>
        <v>0</v>
      </c>
    </row>
    <row r="240" spans="1:20" x14ac:dyDescent="0.2">
      <c r="A240" s="23" t="s">
        <v>102</v>
      </c>
      <c r="B240">
        <v>7</v>
      </c>
      <c r="C240" s="23" t="s">
        <v>112</v>
      </c>
      <c r="D240">
        <v>703</v>
      </c>
      <c r="E240" s="132">
        <v>0</v>
      </c>
      <c r="F240" s="132">
        <v>0</v>
      </c>
      <c r="G240" s="132">
        <v>0</v>
      </c>
      <c r="H240" s="132">
        <v>0</v>
      </c>
      <c r="I240" s="132">
        <v>0</v>
      </c>
      <c r="J240" s="132">
        <v>0</v>
      </c>
      <c r="K240" s="132">
        <v>0</v>
      </c>
      <c r="L240" s="132">
        <v>0</v>
      </c>
      <c r="M240" s="132">
        <v>0</v>
      </c>
      <c r="N240" s="132">
        <v>0</v>
      </c>
      <c r="O240" s="132">
        <v>0</v>
      </c>
      <c r="P240" s="132">
        <v>0</v>
      </c>
      <c r="Q240" s="132">
        <v>0</v>
      </c>
      <c r="R240" s="132">
        <v>0</v>
      </c>
      <c r="S240" s="132">
        <v>0</v>
      </c>
      <c r="T240" s="128">
        <f t="shared" si="8"/>
        <v>0</v>
      </c>
    </row>
    <row r="241" spans="1:20" x14ac:dyDescent="0.2">
      <c r="A241" s="23" t="s">
        <v>102</v>
      </c>
      <c r="B241">
        <v>7</v>
      </c>
      <c r="C241" s="23" t="s">
        <v>112</v>
      </c>
      <c r="D241">
        <v>704</v>
      </c>
      <c r="E241" s="132">
        <v>0</v>
      </c>
      <c r="F241" s="132">
        <v>0</v>
      </c>
      <c r="G241" s="132">
        <v>0</v>
      </c>
      <c r="H241" s="132">
        <v>0</v>
      </c>
      <c r="I241" s="132">
        <v>0</v>
      </c>
      <c r="J241" s="132">
        <v>0</v>
      </c>
      <c r="K241" s="132">
        <v>0</v>
      </c>
      <c r="L241" s="132">
        <v>0</v>
      </c>
      <c r="M241" s="132">
        <v>0</v>
      </c>
      <c r="N241" s="132">
        <v>0</v>
      </c>
      <c r="O241" s="132">
        <v>0</v>
      </c>
      <c r="P241" s="132">
        <v>0</v>
      </c>
      <c r="Q241" s="132">
        <v>0</v>
      </c>
      <c r="R241" s="132">
        <v>0</v>
      </c>
      <c r="S241" s="132">
        <v>0</v>
      </c>
      <c r="T241" s="128">
        <f t="shared" si="8"/>
        <v>0</v>
      </c>
    </row>
    <row r="242" spans="1:20" x14ac:dyDescent="0.2">
      <c r="A242" s="23" t="s">
        <v>102</v>
      </c>
      <c r="B242">
        <v>7</v>
      </c>
      <c r="C242" s="23" t="s">
        <v>112</v>
      </c>
      <c r="D242">
        <v>705</v>
      </c>
      <c r="E242" s="132">
        <v>0</v>
      </c>
      <c r="F242" s="132">
        <v>0</v>
      </c>
      <c r="G242" s="132">
        <v>0</v>
      </c>
      <c r="H242" s="132">
        <v>0</v>
      </c>
      <c r="I242" s="132">
        <v>0</v>
      </c>
      <c r="J242" s="132">
        <v>0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0</v>
      </c>
      <c r="Q242" s="132">
        <v>0</v>
      </c>
      <c r="R242" s="132">
        <v>0</v>
      </c>
      <c r="S242" s="132">
        <v>0</v>
      </c>
      <c r="T242" s="128">
        <f t="shared" si="8"/>
        <v>0</v>
      </c>
    </row>
    <row r="243" spans="1:20" x14ac:dyDescent="0.2">
      <c r="A243" s="23" t="s">
        <v>102</v>
      </c>
      <c r="B243">
        <v>7</v>
      </c>
      <c r="C243" s="23" t="s">
        <v>112</v>
      </c>
      <c r="D243">
        <v>706</v>
      </c>
      <c r="E243" s="132">
        <v>0</v>
      </c>
      <c r="F243" s="132">
        <v>0</v>
      </c>
      <c r="G243" s="132">
        <v>0</v>
      </c>
      <c r="H243" s="132">
        <v>0</v>
      </c>
      <c r="I243" s="132">
        <v>0</v>
      </c>
      <c r="J243" s="132">
        <v>0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0</v>
      </c>
      <c r="Q243" s="132">
        <v>0</v>
      </c>
      <c r="R243" s="132">
        <v>0</v>
      </c>
      <c r="S243" s="132">
        <v>0</v>
      </c>
      <c r="T243" s="128">
        <f t="shared" si="8"/>
        <v>0</v>
      </c>
    </row>
    <row r="244" spans="1:20" x14ac:dyDescent="0.2">
      <c r="A244" s="23" t="s">
        <v>102</v>
      </c>
      <c r="B244">
        <v>7</v>
      </c>
      <c r="C244" s="23" t="s">
        <v>112</v>
      </c>
      <c r="D244">
        <v>707</v>
      </c>
      <c r="E244" s="132">
        <v>0</v>
      </c>
      <c r="F244" s="132">
        <v>0</v>
      </c>
      <c r="G244" s="132">
        <v>0</v>
      </c>
      <c r="H244" s="132">
        <v>0</v>
      </c>
      <c r="I244" s="132">
        <v>0</v>
      </c>
      <c r="J244" s="132">
        <v>0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0</v>
      </c>
      <c r="R244" s="132">
        <v>0</v>
      </c>
      <c r="S244" s="132">
        <v>0</v>
      </c>
      <c r="T244" s="128">
        <f t="shared" si="8"/>
        <v>0</v>
      </c>
    </row>
    <row r="245" spans="1:20" x14ac:dyDescent="0.2">
      <c r="A245" s="23" t="s">
        <v>102</v>
      </c>
      <c r="B245">
        <v>7</v>
      </c>
      <c r="C245" s="23" t="s">
        <v>112</v>
      </c>
      <c r="D245">
        <v>708</v>
      </c>
      <c r="E245" s="132">
        <v>0</v>
      </c>
      <c r="F245" s="132">
        <v>0</v>
      </c>
      <c r="G245" s="132">
        <v>0</v>
      </c>
      <c r="H245" s="132">
        <v>0</v>
      </c>
      <c r="I245" s="132">
        <v>0</v>
      </c>
      <c r="J245" s="132">
        <v>0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0</v>
      </c>
      <c r="R245" s="132">
        <v>0</v>
      </c>
      <c r="S245" s="132">
        <v>0</v>
      </c>
      <c r="T245" s="128">
        <f t="shared" si="8"/>
        <v>0</v>
      </c>
    </row>
    <row r="246" spans="1:20" x14ac:dyDescent="0.2">
      <c r="A246" s="23" t="s">
        <v>102</v>
      </c>
      <c r="B246">
        <v>7</v>
      </c>
      <c r="C246" s="23" t="s">
        <v>112</v>
      </c>
      <c r="D246">
        <v>709</v>
      </c>
      <c r="E246" s="132">
        <v>0</v>
      </c>
      <c r="F246" s="132">
        <v>0</v>
      </c>
      <c r="G246" s="132">
        <v>0</v>
      </c>
      <c r="H246" s="132">
        <v>0</v>
      </c>
      <c r="I246" s="132">
        <v>0</v>
      </c>
      <c r="J246" s="132">
        <v>0</v>
      </c>
      <c r="K246" s="132">
        <v>0</v>
      </c>
      <c r="L246" s="132">
        <v>0</v>
      </c>
      <c r="M246" s="132">
        <v>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32">
        <v>0</v>
      </c>
      <c r="T246" s="128">
        <f t="shared" si="8"/>
        <v>0</v>
      </c>
    </row>
    <row r="247" spans="1:20" x14ac:dyDescent="0.2">
      <c r="A247" s="23" t="s">
        <v>102</v>
      </c>
      <c r="B247">
        <v>7</v>
      </c>
      <c r="C247" s="23" t="s">
        <v>112</v>
      </c>
      <c r="D247">
        <v>710</v>
      </c>
      <c r="E247" s="132">
        <v>0</v>
      </c>
      <c r="F247" s="132">
        <v>0</v>
      </c>
      <c r="G247" s="132">
        <v>0</v>
      </c>
      <c r="H247" s="132">
        <v>0</v>
      </c>
      <c r="I247" s="132">
        <v>0</v>
      </c>
      <c r="J247" s="132">
        <v>0</v>
      </c>
      <c r="K247" s="132">
        <v>0</v>
      </c>
      <c r="L247" s="132">
        <v>0</v>
      </c>
      <c r="M247" s="132">
        <v>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32">
        <v>0</v>
      </c>
      <c r="T247" s="128">
        <f t="shared" si="8"/>
        <v>0</v>
      </c>
    </row>
    <row r="248" spans="1:20" x14ac:dyDescent="0.2">
      <c r="A248" s="23" t="s">
        <v>102</v>
      </c>
      <c r="B248">
        <v>7</v>
      </c>
      <c r="C248" s="23" t="s">
        <v>112</v>
      </c>
      <c r="D248">
        <v>711</v>
      </c>
      <c r="E248" s="132">
        <v>0</v>
      </c>
      <c r="F248" s="132">
        <v>0</v>
      </c>
      <c r="G248" s="132">
        <v>0</v>
      </c>
      <c r="H248" s="132">
        <v>0</v>
      </c>
      <c r="I248" s="132">
        <v>0</v>
      </c>
      <c r="J248" s="132">
        <v>0</v>
      </c>
      <c r="K248" s="132">
        <v>0</v>
      </c>
      <c r="L248" s="132">
        <v>0</v>
      </c>
      <c r="M248" s="132">
        <v>0</v>
      </c>
      <c r="N248" s="132">
        <v>0</v>
      </c>
      <c r="O248" s="132">
        <v>0</v>
      </c>
      <c r="P248" s="132">
        <v>0</v>
      </c>
      <c r="Q248" s="132">
        <v>0</v>
      </c>
      <c r="R248" s="132">
        <v>0</v>
      </c>
      <c r="S248" s="132">
        <v>0</v>
      </c>
      <c r="T248" s="128">
        <f t="shared" si="8"/>
        <v>0</v>
      </c>
    </row>
    <row r="249" spans="1:20" x14ac:dyDescent="0.2">
      <c r="A249" s="23" t="s">
        <v>102</v>
      </c>
      <c r="B249">
        <v>7</v>
      </c>
      <c r="C249" s="23" t="s">
        <v>112</v>
      </c>
      <c r="D249">
        <v>712</v>
      </c>
      <c r="E249" s="132">
        <v>0</v>
      </c>
      <c r="F249" s="132">
        <v>0</v>
      </c>
      <c r="G249" s="132">
        <v>0</v>
      </c>
      <c r="H249" s="132">
        <v>0</v>
      </c>
      <c r="I249" s="132">
        <v>0</v>
      </c>
      <c r="J249" s="132">
        <v>0</v>
      </c>
      <c r="K249" s="132">
        <v>0</v>
      </c>
      <c r="L249" s="132">
        <v>0</v>
      </c>
      <c r="M249" s="132">
        <v>0</v>
      </c>
      <c r="N249" s="132">
        <v>0</v>
      </c>
      <c r="O249" s="132">
        <v>0</v>
      </c>
      <c r="P249" s="132">
        <v>0</v>
      </c>
      <c r="Q249" s="132">
        <v>0</v>
      </c>
      <c r="R249" s="132">
        <v>0</v>
      </c>
      <c r="S249" s="132">
        <v>0</v>
      </c>
      <c r="T249" s="128">
        <f t="shared" si="8"/>
        <v>0</v>
      </c>
    </row>
    <row r="250" spans="1:20" x14ac:dyDescent="0.2">
      <c r="A250" s="23" t="s">
        <v>102</v>
      </c>
      <c r="B250">
        <v>7</v>
      </c>
      <c r="C250" s="23" t="s">
        <v>112</v>
      </c>
      <c r="D250">
        <v>713</v>
      </c>
      <c r="E250" s="132">
        <v>0</v>
      </c>
      <c r="F250" s="132">
        <v>0</v>
      </c>
      <c r="G250" s="132">
        <v>0</v>
      </c>
      <c r="H250" s="132">
        <v>0</v>
      </c>
      <c r="I250" s="132">
        <v>0</v>
      </c>
      <c r="J250" s="132">
        <v>0</v>
      </c>
      <c r="K250" s="132">
        <v>0</v>
      </c>
      <c r="L250" s="132">
        <v>0</v>
      </c>
      <c r="M250" s="132">
        <v>0</v>
      </c>
      <c r="N250" s="132">
        <v>0</v>
      </c>
      <c r="O250" s="132">
        <v>0</v>
      </c>
      <c r="P250" s="132">
        <v>0</v>
      </c>
      <c r="Q250" s="132">
        <v>0</v>
      </c>
      <c r="R250" s="132">
        <v>0</v>
      </c>
      <c r="S250" s="132">
        <v>0</v>
      </c>
      <c r="T250" s="128">
        <f t="shared" si="8"/>
        <v>0</v>
      </c>
    </row>
    <row r="251" spans="1:20" x14ac:dyDescent="0.2">
      <c r="A251" s="23" t="s">
        <v>102</v>
      </c>
      <c r="B251">
        <v>7</v>
      </c>
      <c r="C251" s="23" t="s">
        <v>112</v>
      </c>
      <c r="D251">
        <v>714</v>
      </c>
      <c r="E251" s="132">
        <v>0</v>
      </c>
      <c r="F251" s="132">
        <v>0</v>
      </c>
      <c r="G251" s="132">
        <v>0</v>
      </c>
      <c r="H251" s="132">
        <v>0</v>
      </c>
      <c r="I251" s="132">
        <v>0</v>
      </c>
      <c r="J251" s="132">
        <v>0</v>
      </c>
      <c r="K251" s="132">
        <v>0</v>
      </c>
      <c r="L251" s="132">
        <v>0</v>
      </c>
      <c r="M251" s="132">
        <v>0</v>
      </c>
      <c r="N251" s="132">
        <v>0</v>
      </c>
      <c r="O251" s="132">
        <v>0</v>
      </c>
      <c r="P251" s="132">
        <v>0</v>
      </c>
      <c r="Q251" s="132">
        <v>0</v>
      </c>
      <c r="R251" s="132">
        <v>0</v>
      </c>
      <c r="S251" s="132">
        <v>0</v>
      </c>
      <c r="T251" s="128">
        <f t="shared" si="8"/>
        <v>0</v>
      </c>
    </row>
    <row r="252" spans="1:20" x14ac:dyDescent="0.2">
      <c r="A252" s="23" t="s">
        <v>102</v>
      </c>
      <c r="B252">
        <v>7</v>
      </c>
      <c r="C252" s="23" t="s">
        <v>112</v>
      </c>
      <c r="D252">
        <v>715</v>
      </c>
      <c r="E252" s="132">
        <v>0</v>
      </c>
      <c r="F252" s="132">
        <v>0</v>
      </c>
      <c r="G252" s="132">
        <v>0</v>
      </c>
      <c r="H252" s="132">
        <v>0</v>
      </c>
      <c r="I252" s="132">
        <v>0</v>
      </c>
      <c r="J252" s="132">
        <v>0</v>
      </c>
      <c r="K252" s="132">
        <v>0</v>
      </c>
      <c r="L252" s="132">
        <v>0</v>
      </c>
      <c r="M252" s="132">
        <v>0</v>
      </c>
      <c r="N252" s="132">
        <v>0</v>
      </c>
      <c r="O252" s="132">
        <v>0</v>
      </c>
      <c r="P252" s="132">
        <v>0</v>
      </c>
      <c r="Q252" s="132">
        <v>0</v>
      </c>
      <c r="R252" s="132">
        <v>0</v>
      </c>
      <c r="S252" s="132">
        <v>0</v>
      </c>
      <c r="T252" s="128">
        <f t="shared" si="8"/>
        <v>0</v>
      </c>
    </row>
    <row r="253" spans="1:20" x14ac:dyDescent="0.2">
      <c r="A253" s="23" t="s">
        <v>102</v>
      </c>
      <c r="B253">
        <v>7</v>
      </c>
      <c r="C253" s="23" t="s">
        <v>112</v>
      </c>
      <c r="D253">
        <v>716</v>
      </c>
      <c r="E253" s="132">
        <v>0</v>
      </c>
      <c r="F253" s="132">
        <v>0</v>
      </c>
      <c r="G253" s="132">
        <v>0</v>
      </c>
      <c r="H253" s="132">
        <v>0</v>
      </c>
      <c r="I253" s="132">
        <v>0</v>
      </c>
      <c r="J253" s="132">
        <v>0</v>
      </c>
      <c r="K253" s="132">
        <v>0</v>
      </c>
      <c r="L253" s="132">
        <v>0</v>
      </c>
      <c r="M253" s="132">
        <v>0</v>
      </c>
      <c r="N253" s="132">
        <v>0</v>
      </c>
      <c r="O253" s="132">
        <v>0</v>
      </c>
      <c r="P253" s="132">
        <v>0</v>
      </c>
      <c r="Q253" s="132">
        <v>0</v>
      </c>
      <c r="R253" s="132">
        <v>0</v>
      </c>
      <c r="S253" s="132">
        <v>0</v>
      </c>
      <c r="T253" s="128">
        <f t="shared" si="8"/>
        <v>0</v>
      </c>
    </row>
    <row r="254" spans="1:20" x14ac:dyDescent="0.2">
      <c r="A254" s="23" t="s">
        <v>102</v>
      </c>
      <c r="B254">
        <v>7</v>
      </c>
      <c r="C254" s="23" t="s">
        <v>112</v>
      </c>
      <c r="D254">
        <v>717</v>
      </c>
      <c r="E254" s="132">
        <v>0</v>
      </c>
      <c r="F254" s="132">
        <v>0</v>
      </c>
      <c r="G254" s="132">
        <v>0</v>
      </c>
      <c r="H254" s="132">
        <v>0</v>
      </c>
      <c r="I254" s="132">
        <v>0</v>
      </c>
      <c r="J254" s="132">
        <v>0</v>
      </c>
      <c r="K254" s="132">
        <v>0</v>
      </c>
      <c r="L254" s="132">
        <v>0</v>
      </c>
      <c r="M254" s="132">
        <v>0</v>
      </c>
      <c r="N254" s="132">
        <v>0</v>
      </c>
      <c r="O254" s="132">
        <v>0</v>
      </c>
      <c r="P254" s="132">
        <v>0</v>
      </c>
      <c r="Q254" s="132">
        <v>0</v>
      </c>
      <c r="R254" s="132">
        <v>0</v>
      </c>
      <c r="S254" s="132">
        <v>0</v>
      </c>
      <c r="T254" s="128">
        <f t="shared" si="8"/>
        <v>0</v>
      </c>
    </row>
    <row r="255" spans="1:20" x14ac:dyDescent="0.2">
      <c r="A255" s="23" t="s">
        <v>102</v>
      </c>
      <c r="B255">
        <v>7</v>
      </c>
      <c r="C255" s="23" t="s">
        <v>112</v>
      </c>
      <c r="D255">
        <v>718</v>
      </c>
      <c r="E255" s="132">
        <v>0</v>
      </c>
      <c r="F255" s="132">
        <v>0</v>
      </c>
      <c r="G255" s="132">
        <v>0</v>
      </c>
      <c r="H255" s="132">
        <v>0</v>
      </c>
      <c r="I255" s="132">
        <v>0</v>
      </c>
      <c r="J255" s="132">
        <v>0</v>
      </c>
      <c r="K255" s="132">
        <v>0</v>
      </c>
      <c r="L255" s="132">
        <v>0</v>
      </c>
      <c r="M255" s="132">
        <v>0</v>
      </c>
      <c r="N255" s="132">
        <v>0</v>
      </c>
      <c r="O255" s="132">
        <v>0</v>
      </c>
      <c r="P255" s="132">
        <v>0</v>
      </c>
      <c r="Q255" s="132">
        <v>0</v>
      </c>
      <c r="R255" s="132">
        <v>0</v>
      </c>
      <c r="S255" s="132">
        <v>0</v>
      </c>
      <c r="T255" s="128">
        <f t="shared" si="8"/>
        <v>0</v>
      </c>
    </row>
    <row r="256" spans="1:20" x14ac:dyDescent="0.2">
      <c r="A256" s="23" t="s">
        <v>102</v>
      </c>
      <c r="B256">
        <v>7</v>
      </c>
      <c r="C256" s="23" t="s">
        <v>112</v>
      </c>
      <c r="D256">
        <v>719</v>
      </c>
      <c r="E256" s="132">
        <v>0</v>
      </c>
      <c r="F256" s="132">
        <v>0</v>
      </c>
      <c r="G256" s="132">
        <v>0</v>
      </c>
      <c r="H256" s="132">
        <v>0</v>
      </c>
      <c r="I256" s="132">
        <v>0</v>
      </c>
      <c r="J256" s="132">
        <v>0</v>
      </c>
      <c r="K256" s="132">
        <v>0</v>
      </c>
      <c r="L256" s="132">
        <v>0</v>
      </c>
      <c r="M256" s="132">
        <v>0</v>
      </c>
      <c r="N256" s="132">
        <v>0</v>
      </c>
      <c r="O256" s="132">
        <v>0</v>
      </c>
      <c r="P256" s="132">
        <v>0</v>
      </c>
      <c r="Q256" s="132">
        <v>0</v>
      </c>
      <c r="R256" s="132">
        <v>0</v>
      </c>
      <c r="S256" s="132">
        <v>0</v>
      </c>
      <c r="T256" s="128">
        <f t="shared" si="8"/>
        <v>0</v>
      </c>
    </row>
    <row r="257" spans="1:20" x14ac:dyDescent="0.2">
      <c r="A257" s="23" t="s">
        <v>102</v>
      </c>
      <c r="B257">
        <v>7</v>
      </c>
      <c r="C257" s="23" t="s">
        <v>112</v>
      </c>
      <c r="D257">
        <v>720</v>
      </c>
      <c r="E257" s="132">
        <v>0</v>
      </c>
      <c r="F257" s="132">
        <v>0</v>
      </c>
      <c r="G257" s="132">
        <v>0</v>
      </c>
      <c r="H257" s="132">
        <v>0</v>
      </c>
      <c r="I257" s="132">
        <v>0</v>
      </c>
      <c r="J257" s="132">
        <v>0</v>
      </c>
      <c r="K257" s="132">
        <v>0</v>
      </c>
      <c r="L257" s="132">
        <v>0</v>
      </c>
      <c r="M257" s="132">
        <v>0</v>
      </c>
      <c r="N257" s="132">
        <v>0</v>
      </c>
      <c r="O257" s="132">
        <v>0</v>
      </c>
      <c r="P257" s="132">
        <v>0</v>
      </c>
      <c r="Q257" s="132">
        <v>0</v>
      </c>
      <c r="R257" s="132">
        <v>0</v>
      </c>
      <c r="S257" s="132">
        <v>0</v>
      </c>
      <c r="T257" s="128">
        <f t="shared" si="8"/>
        <v>0</v>
      </c>
    </row>
    <row r="258" spans="1:20" x14ac:dyDescent="0.2">
      <c r="A258" s="23" t="s">
        <v>102</v>
      </c>
      <c r="B258">
        <v>7</v>
      </c>
      <c r="C258" s="23" t="s">
        <v>112</v>
      </c>
      <c r="D258">
        <v>721</v>
      </c>
      <c r="E258" s="132">
        <v>0</v>
      </c>
      <c r="F258" s="132">
        <v>0</v>
      </c>
      <c r="G258" s="132">
        <v>0</v>
      </c>
      <c r="H258" s="132">
        <v>0</v>
      </c>
      <c r="I258" s="132">
        <v>0</v>
      </c>
      <c r="J258" s="132">
        <v>0</v>
      </c>
      <c r="K258" s="132">
        <v>0</v>
      </c>
      <c r="L258" s="132">
        <v>0</v>
      </c>
      <c r="M258" s="132">
        <v>0</v>
      </c>
      <c r="N258" s="132">
        <v>0</v>
      </c>
      <c r="O258" s="132">
        <v>0</v>
      </c>
      <c r="P258" s="132">
        <v>0</v>
      </c>
      <c r="Q258" s="132">
        <v>0</v>
      </c>
      <c r="R258" s="132">
        <v>0</v>
      </c>
      <c r="S258" s="132">
        <v>0</v>
      </c>
      <c r="T258" s="128">
        <f t="shared" ref="T258:T321" si="10">AVERAGE(E258:S258)</f>
        <v>0</v>
      </c>
    </row>
    <row r="259" spans="1:20" x14ac:dyDescent="0.2">
      <c r="A259" s="23" t="s">
        <v>102</v>
      </c>
      <c r="B259">
        <v>7</v>
      </c>
      <c r="C259" s="23" t="s">
        <v>112</v>
      </c>
      <c r="D259">
        <v>722</v>
      </c>
      <c r="E259" s="132">
        <v>0</v>
      </c>
      <c r="F259" s="132">
        <v>0</v>
      </c>
      <c r="G259" s="132">
        <v>0</v>
      </c>
      <c r="H259" s="132">
        <v>0</v>
      </c>
      <c r="I259" s="132">
        <v>0</v>
      </c>
      <c r="J259" s="132">
        <v>0</v>
      </c>
      <c r="K259" s="132">
        <v>0</v>
      </c>
      <c r="L259" s="132">
        <v>0</v>
      </c>
      <c r="M259" s="132">
        <v>0</v>
      </c>
      <c r="N259" s="132">
        <v>0</v>
      </c>
      <c r="O259" s="132">
        <v>0</v>
      </c>
      <c r="P259" s="132">
        <v>0</v>
      </c>
      <c r="Q259" s="132">
        <v>0</v>
      </c>
      <c r="R259" s="132">
        <v>0</v>
      </c>
      <c r="S259" s="132">
        <v>0</v>
      </c>
      <c r="T259" s="128">
        <f t="shared" si="10"/>
        <v>0</v>
      </c>
    </row>
    <row r="260" spans="1:20" x14ac:dyDescent="0.2">
      <c r="A260" s="23" t="s">
        <v>102</v>
      </c>
      <c r="B260">
        <v>7</v>
      </c>
      <c r="C260" s="23" t="s">
        <v>112</v>
      </c>
      <c r="D260">
        <v>723</v>
      </c>
      <c r="E260" s="132">
        <v>0</v>
      </c>
      <c r="F260" s="132">
        <v>0</v>
      </c>
      <c r="G260" s="132">
        <v>0</v>
      </c>
      <c r="H260" s="132">
        <v>0</v>
      </c>
      <c r="I260" s="132">
        <v>0</v>
      </c>
      <c r="J260" s="132">
        <v>0</v>
      </c>
      <c r="K260" s="132">
        <v>0</v>
      </c>
      <c r="L260" s="132">
        <v>0</v>
      </c>
      <c r="M260" s="132">
        <v>0</v>
      </c>
      <c r="N260" s="132">
        <v>0</v>
      </c>
      <c r="O260" s="132">
        <v>0</v>
      </c>
      <c r="P260" s="132">
        <v>0</v>
      </c>
      <c r="Q260" s="132">
        <v>0</v>
      </c>
      <c r="R260" s="132">
        <v>0</v>
      </c>
      <c r="S260" s="132">
        <v>0</v>
      </c>
      <c r="T260" s="128">
        <f t="shared" si="10"/>
        <v>0</v>
      </c>
    </row>
    <row r="261" spans="1:20" x14ac:dyDescent="0.2">
      <c r="A261" s="23" t="s">
        <v>102</v>
      </c>
      <c r="B261">
        <v>7</v>
      </c>
      <c r="C261" s="23" t="s">
        <v>111</v>
      </c>
      <c r="D261">
        <v>701</v>
      </c>
      <c r="E261" s="132">
        <v>0</v>
      </c>
      <c r="F261" s="132">
        <v>0</v>
      </c>
      <c r="G261" s="132">
        <v>0</v>
      </c>
      <c r="H261" s="132">
        <v>0</v>
      </c>
      <c r="I261" s="132">
        <v>0</v>
      </c>
      <c r="J261" s="132">
        <v>0</v>
      </c>
      <c r="K261" s="132">
        <v>0</v>
      </c>
      <c r="L261" s="132">
        <v>0</v>
      </c>
      <c r="M261" s="132">
        <v>0</v>
      </c>
      <c r="N261" s="132">
        <v>0</v>
      </c>
      <c r="O261" s="132">
        <v>0</v>
      </c>
      <c r="P261" s="132">
        <v>0</v>
      </c>
      <c r="Q261" s="132">
        <v>0</v>
      </c>
      <c r="R261" s="132">
        <v>0</v>
      </c>
      <c r="S261" s="132">
        <v>0</v>
      </c>
      <c r="T261" s="128">
        <f t="shared" si="10"/>
        <v>0</v>
      </c>
    </row>
    <row r="262" spans="1:20" x14ac:dyDescent="0.2">
      <c r="A262" s="23" t="s">
        <v>102</v>
      </c>
      <c r="B262">
        <v>7</v>
      </c>
      <c r="C262" s="23" t="s">
        <v>111</v>
      </c>
      <c r="D262">
        <v>702</v>
      </c>
      <c r="E262" s="132">
        <v>0</v>
      </c>
      <c r="F262" s="132">
        <v>0</v>
      </c>
      <c r="G262" s="132">
        <v>0</v>
      </c>
      <c r="H262" s="132">
        <v>0</v>
      </c>
      <c r="I262" s="132">
        <v>0</v>
      </c>
      <c r="J262" s="132">
        <v>0</v>
      </c>
      <c r="K262" s="132">
        <v>0</v>
      </c>
      <c r="L262" s="132">
        <v>0</v>
      </c>
      <c r="M262" s="132">
        <v>0</v>
      </c>
      <c r="N262" s="132">
        <v>0</v>
      </c>
      <c r="O262" s="132">
        <v>0</v>
      </c>
      <c r="P262" s="132">
        <v>0</v>
      </c>
      <c r="Q262" s="132">
        <v>0</v>
      </c>
      <c r="R262" s="132">
        <v>0</v>
      </c>
      <c r="S262" s="132">
        <v>0</v>
      </c>
      <c r="T262" s="128">
        <f t="shared" si="10"/>
        <v>0</v>
      </c>
    </row>
    <row r="263" spans="1:20" x14ac:dyDescent="0.2">
      <c r="A263" s="23" t="s">
        <v>102</v>
      </c>
      <c r="B263">
        <v>7</v>
      </c>
      <c r="C263" s="23" t="s">
        <v>111</v>
      </c>
      <c r="D263">
        <v>703</v>
      </c>
      <c r="E263" s="132">
        <v>0</v>
      </c>
      <c r="F263" s="132">
        <v>0</v>
      </c>
      <c r="G263" s="132">
        <v>0</v>
      </c>
      <c r="H263" s="132">
        <v>0</v>
      </c>
      <c r="I263" s="132">
        <v>0</v>
      </c>
      <c r="J263" s="132">
        <v>0</v>
      </c>
      <c r="K263" s="132">
        <v>0</v>
      </c>
      <c r="L263" s="132">
        <v>0</v>
      </c>
      <c r="M263" s="132">
        <v>0</v>
      </c>
      <c r="N263" s="132">
        <v>0</v>
      </c>
      <c r="O263" s="132">
        <v>0</v>
      </c>
      <c r="P263" s="132">
        <v>0</v>
      </c>
      <c r="Q263" s="132">
        <v>0</v>
      </c>
      <c r="R263" s="132">
        <v>0</v>
      </c>
      <c r="S263" s="132">
        <v>0</v>
      </c>
      <c r="T263" s="128">
        <f t="shared" si="10"/>
        <v>0</v>
      </c>
    </row>
    <row r="264" spans="1:20" x14ac:dyDescent="0.2">
      <c r="A264" s="23" t="s">
        <v>102</v>
      </c>
      <c r="B264">
        <v>7</v>
      </c>
      <c r="C264" s="23" t="s">
        <v>111</v>
      </c>
      <c r="D264">
        <v>704</v>
      </c>
      <c r="E264" s="132">
        <v>0</v>
      </c>
      <c r="F264" s="132">
        <v>0</v>
      </c>
      <c r="G264" s="132">
        <v>0</v>
      </c>
      <c r="H264" s="132">
        <v>0</v>
      </c>
      <c r="I264" s="132">
        <v>0</v>
      </c>
      <c r="J264" s="132">
        <v>0</v>
      </c>
      <c r="K264" s="132">
        <v>0</v>
      </c>
      <c r="L264" s="132">
        <v>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0</v>
      </c>
      <c r="S264" s="132">
        <v>0</v>
      </c>
      <c r="T264" s="128">
        <f t="shared" si="10"/>
        <v>0</v>
      </c>
    </row>
    <row r="265" spans="1:20" x14ac:dyDescent="0.2">
      <c r="A265" s="23" t="s">
        <v>102</v>
      </c>
      <c r="B265">
        <v>7</v>
      </c>
      <c r="C265" s="23" t="s">
        <v>111</v>
      </c>
      <c r="D265">
        <v>705</v>
      </c>
      <c r="E265" s="132">
        <v>0</v>
      </c>
      <c r="F265" s="132">
        <v>0</v>
      </c>
      <c r="G265" s="132">
        <v>0</v>
      </c>
      <c r="H265" s="132">
        <v>0</v>
      </c>
      <c r="I265" s="132">
        <v>0</v>
      </c>
      <c r="J265" s="132">
        <v>0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0</v>
      </c>
      <c r="S265" s="132">
        <v>0</v>
      </c>
      <c r="T265" s="128">
        <f t="shared" si="10"/>
        <v>0</v>
      </c>
    </row>
    <row r="266" spans="1:20" x14ac:dyDescent="0.2">
      <c r="A266" s="23" t="s">
        <v>102</v>
      </c>
      <c r="B266">
        <v>7</v>
      </c>
      <c r="C266" s="23" t="s">
        <v>111</v>
      </c>
      <c r="D266">
        <v>706</v>
      </c>
      <c r="E266" s="132">
        <v>0</v>
      </c>
      <c r="F266" s="132">
        <v>0</v>
      </c>
      <c r="G266" s="132">
        <v>0</v>
      </c>
      <c r="H266" s="132">
        <v>0</v>
      </c>
      <c r="I266" s="132">
        <v>0</v>
      </c>
      <c r="J266" s="132">
        <v>0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0</v>
      </c>
      <c r="S266" s="132">
        <v>0</v>
      </c>
      <c r="T266" s="128">
        <f t="shared" si="10"/>
        <v>0</v>
      </c>
    </row>
    <row r="267" spans="1:20" x14ac:dyDescent="0.2">
      <c r="A267" s="23" t="s">
        <v>102</v>
      </c>
      <c r="B267">
        <v>7</v>
      </c>
      <c r="C267" s="23" t="s">
        <v>111</v>
      </c>
      <c r="D267">
        <v>707</v>
      </c>
      <c r="E267" s="132">
        <v>0</v>
      </c>
      <c r="F267" s="132">
        <v>0</v>
      </c>
      <c r="G267" s="132">
        <v>0</v>
      </c>
      <c r="H267" s="132">
        <v>0</v>
      </c>
      <c r="I267" s="132">
        <v>0</v>
      </c>
      <c r="J267" s="132">
        <v>0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0</v>
      </c>
      <c r="S267" s="132">
        <v>0</v>
      </c>
      <c r="T267" s="128">
        <f t="shared" si="10"/>
        <v>0</v>
      </c>
    </row>
    <row r="268" spans="1:20" x14ac:dyDescent="0.2">
      <c r="A268" s="23" t="s">
        <v>102</v>
      </c>
      <c r="B268">
        <v>7</v>
      </c>
      <c r="C268" s="23" t="s">
        <v>111</v>
      </c>
      <c r="D268">
        <v>708</v>
      </c>
      <c r="E268" s="132">
        <v>0</v>
      </c>
      <c r="F268" s="132">
        <v>0</v>
      </c>
      <c r="G268" s="132">
        <v>0</v>
      </c>
      <c r="H268" s="132">
        <v>0</v>
      </c>
      <c r="I268" s="132">
        <v>0</v>
      </c>
      <c r="J268" s="132">
        <v>0</v>
      </c>
      <c r="K268" s="132">
        <v>0</v>
      </c>
      <c r="L268" s="132">
        <v>0</v>
      </c>
      <c r="M268" s="132">
        <v>0</v>
      </c>
      <c r="N268" s="132">
        <v>0</v>
      </c>
      <c r="O268" s="132">
        <v>0</v>
      </c>
      <c r="P268" s="132">
        <v>0</v>
      </c>
      <c r="Q268" s="132">
        <v>0</v>
      </c>
      <c r="R268" s="132">
        <v>0</v>
      </c>
      <c r="S268" s="132">
        <v>0</v>
      </c>
      <c r="T268" s="128">
        <f t="shared" si="10"/>
        <v>0</v>
      </c>
    </row>
    <row r="269" spans="1:20" x14ac:dyDescent="0.2">
      <c r="A269" s="23" t="s">
        <v>102</v>
      </c>
      <c r="B269">
        <v>7</v>
      </c>
      <c r="C269" s="23" t="s">
        <v>111</v>
      </c>
      <c r="D269">
        <v>709</v>
      </c>
      <c r="E269" s="132">
        <v>0</v>
      </c>
      <c r="F269" s="132">
        <v>0</v>
      </c>
      <c r="G269" s="132">
        <v>0</v>
      </c>
      <c r="H269" s="132">
        <v>0</v>
      </c>
      <c r="I269" s="132">
        <v>0</v>
      </c>
      <c r="J269" s="132">
        <v>0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0</v>
      </c>
      <c r="S269" s="132">
        <v>0</v>
      </c>
      <c r="T269" s="128">
        <f t="shared" si="10"/>
        <v>0</v>
      </c>
    </row>
    <row r="270" spans="1:20" x14ac:dyDescent="0.2">
      <c r="A270" s="23" t="s">
        <v>102</v>
      </c>
      <c r="B270">
        <v>7</v>
      </c>
      <c r="C270" s="23" t="s">
        <v>111</v>
      </c>
      <c r="D270">
        <v>710</v>
      </c>
      <c r="E270" s="132">
        <v>0</v>
      </c>
      <c r="F270" s="132">
        <v>0</v>
      </c>
      <c r="G270" s="132">
        <v>0</v>
      </c>
      <c r="H270" s="132">
        <v>0</v>
      </c>
      <c r="I270" s="132">
        <v>0</v>
      </c>
      <c r="J270" s="132">
        <v>0</v>
      </c>
      <c r="K270" s="132">
        <v>0</v>
      </c>
      <c r="L270" s="132">
        <v>0</v>
      </c>
      <c r="M270" s="132">
        <v>0</v>
      </c>
      <c r="N270" s="132">
        <v>0</v>
      </c>
      <c r="O270" s="132">
        <v>0</v>
      </c>
      <c r="P270" s="132">
        <v>0</v>
      </c>
      <c r="Q270" s="132">
        <v>0</v>
      </c>
      <c r="R270" s="132">
        <v>0</v>
      </c>
      <c r="S270" s="132">
        <v>0</v>
      </c>
      <c r="T270" s="128">
        <f t="shared" si="10"/>
        <v>0</v>
      </c>
    </row>
    <row r="271" spans="1:20" x14ac:dyDescent="0.2">
      <c r="A271" s="23" t="s">
        <v>102</v>
      </c>
      <c r="B271">
        <v>7</v>
      </c>
      <c r="C271" s="23" t="s">
        <v>111</v>
      </c>
      <c r="D271">
        <v>711</v>
      </c>
      <c r="E271" s="132">
        <v>0</v>
      </c>
      <c r="F271" s="132">
        <v>0</v>
      </c>
      <c r="G271" s="132">
        <v>0</v>
      </c>
      <c r="H271" s="132">
        <v>0</v>
      </c>
      <c r="I271" s="132">
        <v>0</v>
      </c>
      <c r="J271" s="132">
        <v>0</v>
      </c>
      <c r="K271" s="132">
        <v>0</v>
      </c>
      <c r="L271" s="132">
        <v>0</v>
      </c>
      <c r="M271" s="132">
        <v>0</v>
      </c>
      <c r="N271" s="132">
        <v>0</v>
      </c>
      <c r="O271" s="132">
        <v>0</v>
      </c>
      <c r="P271" s="132">
        <v>0</v>
      </c>
      <c r="Q271" s="132">
        <v>0</v>
      </c>
      <c r="R271" s="132">
        <v>0</v>
      </c>
      <c r="S271" s="132">
        <v>0</v>
      </c>
      <c r="T271" s="128">
        <f t="shared" si="10"/>
        <v>0</v>
      </c>
    </row>
    <row r="272" spans="1:20" x14ac:dyDescent="0.2">
      <c r="A272" s="23" t="s">
        <v>102</v>
      </c>
      <c r="B272">
        <v>7</v>
      </c>
      <c r="C272" s="23" t="s">
        <v>111</v>
      </c>
      <c r="D272">
        <v>712</v>
      </c>
      <c r="E272" s="132">
        <v>0</v>
      </c>
      <c r="F272" s="132">
        <v>0</v>
      </c>
      <c r="G272" s="132">
        <v>0</v>
      </c>
      <c r="H272" s="132">
        <v>0</v>
      </c>
      <c r="I272" s="132">
        <v>0</v>
      </c>
      <c r="J272" s="132">
        <v>0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0</v>
      </c>
      <c r="S272" s="132">
        <v>0</v>
      </c>
      <c r="T272" s="128">
        <f t="shared" si="10"/>
        <v>0</v>
      </c>
    </row>
    <row r="273" spans="1:20" x14ac:dyDescent="0.2">
      <c r="A273" s="23" t="s">
        <v>102</v>
      </c>
      <c r="B273">
        <v>7</v>
      </c>
      <c r="C273" s="23" t="s">
        <v>111</v>
      </c>
      <c r="D273">
        <v>713</v>
      </c>
      <c r="E273" s="132">
        <v>0</v>
      </c>
      <c r="F273" s="132">
        <v>0</v>
      </c>
      <c r="G273" s="132">
        <v>0</v>
      </c>
      <c r="H273" s="132">
        <v>0</v>
      </c>
      <c r="I273" s="132">
        <v>0</v>
      </c>
      <c r="J273" s="132">
        <v>0</v>
      </c>
      <c r="K273" s="132">
        <v>0</v>
      </c>
      <c r="L273" s="132">
        <v>0</v>
      </c>
      <c r="M273" s="132">
        <v>0</v>
      </c>
      <c r="N273" s="132">
        <v>0</v>
      </c>
      <c r="O273" s="132">
        <v>0</v>
      </c>
      <c r="P273" s="132">
        <v>0</v>
      </c>
      <c r="Q273" s="132">
        <v>0</v>
      </c>
      <c r="R273" s="132">
        <v>0</v>
      </c>
      <c r="S273" s="132">
        <v>0</v>
      </c>
      <c r="T273" s="128">
        <f t="shared" si="10"/>
        <v>0</v>
      </c>
    </row>
    <row r="274" spans="1:20" x14ac:dyDescent="0.2">
      <c r="A274" s="23" t="s">
        <v>102</v>
      </c>
      <c r="B274">
        <v>7</v>
      </c>
      <c r="C274" s="23" t="s">
        <v>111</v>
      </c>
      <c r="D274">
        <v>714</v>
      </c>
      <c r="E274" s="132">
        <v>0</v>
      </c>
      <c r="F274" s="132">
        <v>0</v>
      </c>
      <c r="G274" s="132">
        <v>0</v>
      </c>
      <c r="H274" s="132">
        <v>0</v>
      </c>
      <c r="I274" s="132">
        <v>0</v>
      </c>
      <c r="J274" s="132">
        <v>0</v>
      </c>
      <c r="K274" s="132">
        <v>0</v>
      </c>
      <c r="L274" s="132">
        <v>0</v>
      </c>
      <c r="M274" s="132">
        <v>0</v>
      </c>
      <c r="N274" s="132">
        <v>0</v>
      </c>
      <c r="O274" s="132">
        <v>0</v>
      </c>
      <c r="P274" s="132">
        <v>0</v>
      </c>
      <c r="Q274" s="132">
        <v>0</v>
      </c>
      <c r="R274" s="132">
        <v>0</v>
      </c>
      <c r="S274" s="132">
        <v>0</v>
      </c>
      <c r="T274" s="128">
        <f t="shared" si="10"/>
        <v>0</v>
      </c>
    </row>
    <row r="275" spans="1:20" x14ac:dyDescent="0.2">
      <c r="A275" s="23" t="s">
        <v>102</v>
      </c>
      <c r="B275">
        <v>7</v>
      </c>
      <c r="C275" s="23" t="s">
        <v>111</v>
      </c>
      <c r="D275">
        <v>715</v>
      </c>
      <c r="E275" s="132">
        <v>0</v>
      </c>
      <c r="F275" s="132">
        <v>0</v>
      </c>
      <c r="G275" s="132">
        <v>0</v>
      </c>
      <c r="H275" s="132">
        <v>0</v>
      </c>
      <c r="I275" s="132">
        <v>0</v>
      </c>
      <c r="J275" s="132">
        <v>0</v>
      </c>
      <c r="K275" s="132">
        <v>0</v>
      </c>
      <c r="L275" s="132">
        <v>0</v>
      </c>
      <c r="M275" s="132">
        <v>0</v>
      </c>
      <c r="N275" s="132">
        <v>0</v>
      </c>
      <c r="O275" s="132">
        <v>0</v>
      </c>
      <c r="P275" s="132">
        <v>0</v>
      </c>
      <c r="Q275" s="132">
        <v>0</v>
      </c>
      <c r="R275" s="132">
        <v>0</v>
      </c>
      <c r="S275" s="132">
        <v>0</v>
      </c>
      <c r="T275" s="128">
        <f t="shared" si="10"/>
        <v>0</v>
      </c>
    </row>
    <row r="276" spans="1:20" x14ac:dyDescent="0.2">
      <c r="A276" s="23" t="s">
        <v>102</v>
      </c>
      <c r="B276">
        <v>7</v>
      </c>
      <c r="C276" s="23" t="s">
        <v>111</v>
      </c>
      <c r="D276">
        <v>716</v>
      </c>
      <c r="E276" s="132">
        <v>0</v>
      </c>
      <c r="F276" s="132">
        <v>0</v>
      </c>
      <c r="G276" s="132">
        <v>0</v>
      </c>
      <c r="H276" s="132">
        <v>0</v>
      </c>
      <c r="I276" s="132">
        <v>0</v>
      </c>
      <c r="J276" s="132">
        <v>0</v>
      </c>
      <c r="K276" s="132">
        <v>0</v>
      </c>
      <c r="L276" s="132">
        <v>0</v>
      </c>
      <c r="M276" s="132">
        <v>0</v>
      </c>
      <c r="N276" s="132">
        <v>0</v>
      </c>
      <c r="O276" s="132">
        <v>0</v>
      </c>
      <c r="P276" s="132">
        <v>0</v>
      </c>
      <c r="Q276" s="132">
        <v>0</v>
      </c>
      <c r="R276" s="132">
        <v>0</v>
      </c>
      <c r="S276" s="132">
        <v>0</v>
      </c>
      <c r="T276" s="128">
        <f t="shared" si="10"/>
        <v>0</v>
      </c>
    </row>
    <row r="277" spans="1:20" x14ac:dyDescent="0.2">
      <c r="A277" s="23" t="s">
        <v>102</v>
      </c>
      <c r="B277">
        <v>7</v>
      </c>
      <c r="C277" s="23" t="s">
        <v>111</v>
      </c>
      <c r="D277">
        <v>717</v>
      </c>
      <c r="E277" s="132">
        <v>0</v>
      </c>
      <c r="F277" s="132">
        <v>0</v>
      </c>
      <c r="G277" s="132">
        <v>0</v>
      </c>
      <c r="H277" s="132">
        <v>0</v>
      </c>
      <c r="I277" s="132">
        <v>0</v>
      </c>
      <c r="J277" s="132">
        <v>0</v>
      </c>
      <c r="K277" s="132">
        <v>0</v>
      </c>
      <c r="L277" s="132">
        <v>0</v>
      </c>
      <c r="M277" s="132">
        <v>0</v>
      </c>
      <c r="N277" s="132">
        <v>0</v>
      </c>
      <c r="O277" s="132">
        <v>0</v>
      </c>
      <c r="P277" s="132">
        <v>0</v>
      </c>
      <c r="Q277" s="132">
        <v>0</v>
      </c>
      <c r="R277" s="132">
        <v>0</v>
      </c>
      <c r="S277" s="132">
        <v>0</v>
      </c>
      <c r="T277" s="128">
        <f t="shared" si="10"/>
        <v>0</v>
      </c>
    </row>
    <row r="278" spans="1:20" x14ac:dyDescent="0.2">
      <c r="A278" s="23" t="s">
        <v>102</v>
      </c>
      <c r="B278">
        <v>7</v>
      </c>
      <c r="C278" s="23" t="s">
        <v>111</v>
      </c>
      <c r="D278">
        <v>718</v>
      </c>
      <c r="E278" s="132">
        <v>0</v>
      </c>
      <c r="F278" s="132">
        <v>0</v>
      </c>
      <c r="G278" s="132">
        <v>0</v>
      </c>
      <c r="H278" s="132">
        <v>0</v>
      </c>
      <c r="I278" s="132">
        <v>0</v>
      </c>
      <c r="J278" s="132">
        <v>0</v>
      </c>
      <c r="K278" s="132">
        <v>0</v>
      </c>
      <c r="L278" s="132">
        <v>0</v>
      </c>
      <c r="M278" s="132">
        <v>0</v>
      </c>
      <c r="N278" s="132">
        <v>0</v>
      </c>
      <c r="O278" s="132">
        <v>0</v>
      </c>
      <c r="P278" s="132">
        <v>0</v>
      </c>
      <c r="Q278" s="132">
        <v>0</v>
      </c>
      <c r="R278" s="132">
        <v>0</v>
      </c>
      <c r="S278" s="132">
        <v>0</v>
      </c>
      <c r="T278" s="128">
        <f t="shared" si="10"/>
        <v>0</v>
      </c>
    </row>
    <row r="279" spans="1:20" x14ac:dyDescent="0.2">
      <c r="A279" s="23" t="s">
        <v>102</v>
      </c>
      <c r="B279">
        <v>7</v>
      </c>
      <c r="C279" s="23" t="s">
        <v>111</v>
      </c>
      <c r="D279">
        <v>719</v>
      </c>
      <c r="E279" s="132">
        <v>0</v>
      </c>
      <c r="F279" s="132">
        <v>0</v>
      </c>
      <c r="G279" s="132">
        <v>0</v>
      </c>
      <c r="H279" s="132">
        <v>0</v>
      </c>
      <c r="I279" s="132">
        <v>0</v>
      </c>
      <c r="J279" s="132">
        <v>0</v>
      </c>
      <c r="K279" s="132">
        <v>0</v>
      </c>
      <c r="L279" s="132">
        <v>0</v>
      </c>
      <c r="M279" s="132">
        <v>0</v>
      </c>
      <c r="N279" s="132">
        <v>0</v>
      </c>
      <c r="O279" s="132">
        <v>0</v>
      </c>
      <c r="P279" s="132">
        <v>0</v>
      </c>
      <c r="Q279" s="132">
        <v>0</v>
      </c>
      <c r="R279" s="132">
        <v>0</v>
      </c>
      <c r="S279" s="132">
        <v>0</v>
      </c>
      <c r="T279" s="128">
        <f t="shared" si="10"/>
        <v>0</v>
      </c>
    </row>
    <row r="280" spans="1:20" x14ac:dyDescent="0.2">
      <c r="A280" s="23" t="s">
        <v>102</v>
      </c>
      <c r="B280">
        <v>7</v>
      </c>
      <c r="C280" s="23" t="s">
        <v>111</v>
      </c>
      <c r="D280">
        <v>720</v>
      </c>
      <c r="E280" s="132">
        <v>0</v>
      </c>
      <c r="F280" s="132">
        <v>0</v>
      </c>
      <c r="G280" s="132">
        <v>0</v>
      </c>
      <c r="H280" s="132">
        <v>0</v>
      </c>
      <c r="I280" s="132">
        <v>0</v>
      </c>
      <c r="J280" s="132">
        <v>0</v>
      </c>
      <c r="K280" s="132">
        <v>0</v>
      </c>
      <c r="L280" s="132">
        <v>0</v>
      </c>
      <c r="M280" s="132">
        <v>0</v>
      </c>
      <c r="N280" s="132">
        <v>0</v>
      </c>
      <c r="O280" s="132">
        <v>0</v>
      </c>
      <c r="P280" s="132">
        <v>0</v>
      </c>
      <c r="Q280" s="132">
        <v>0</v>
      </c>
      <c r="R280" s="132">
        <v>0</v>
      </c>
      <c r="S280" s="132">
        <v>0</v>
      </c>
      <c r="T280" s="128">
        <f t="shared" si="10"/>
        <v>0</v>
      </c>
    </row>
    <row r="281" spans="1:20" x14ac:dyDescent="0.2">
      <c r="A281" s="23" t="s">
        <v>102</v>
      </c>
      <c r="B281">
        <v>7</v>
      </c>
      <c r="C281" s="23" t="s">
        <v>111</v>
      </c>
      <c r="D281">
        <v>721</v>
      </c>
      <c r="E281" s="132">
        <v>0</v>
      </c>
      <c r="F281" s="132">
        <v>0</v>
      </c>
      <c r="G281" s="132">
        <v>0</v>
      </c>
      <c r="H281" s="132">
        <v>0</v>
      </c>
      <c r="I281" s="132">
        <v>0</v>
      </c>
      <c r="J281" s="132">
        <v>0</v>
      </c>
      <c r="K281" s="132">
        <v>0</v>
      </c>
      <c r="L281" s="132">
        <v>0</v>
      </c>
      <c r="M281" s="132">
        <v>0</v>
      </c>
      <c r="N281" s="132">
        <v>0</v>
      </c>
      <c r="O281" s="132">
        <v>0</v>
      </c>
      <c r="P281" s="132">
        <v>0</v>
      </c>
      <c r="Q281" s="132">
        <v>0</v>
      </c>
      <c r="R281" s="132">
        <v>0</v>
      </c>
      <c r="S281" s="132">
        <v>0</v>
      </c>
      <c r="T281" s="128">
        <f t="shared" si="10"/>
        <v>0</v>
      </c>
    </row>
    <row r="282" spans="1:20" x14ac:dyDescent="0.2">
      <c r="A282" s="23"/>
      <c r="C282" s="23"/>
      <c r="E282" s="132"/>
      <c r="F282" s="132">
        <f t="shared" ref="F282:S282" si="11">AVERAGE(F238:F281)</f>
        <v>0</v>
      </c>
      <c r="G282" s="132">
        <f t="shared" si="11"/>
        <v>0</v>
      </c>
      <c r="H282" s="132">
        <f t="shared" si="11"/>
        <v>0</v>
      </c>
      <c r="I282" s="132">
        <f t="shared" si="11"/>
        <v>0</v>
      </c>
      <c r="J282" s="132">
        <f t="shared" si="11"/>
        <v>0</v>
      </c>
      <c r="K282" s="132">
        <f t="shared" si="11"/>
        <v>0</v>
      </c>
      <c r="L282" s="132">
        <f t="shared" si="11"/>
        <v>0</v>
      </c>
      <c r="M282" s="132">
        <f t="shared" si="11"/>
        <v>0</v>
      </c>
      <c r="N282" s="132">
        <f t="shared" si="11"/>
        <v>0</v>
      </c>
      <c r="O282" s="132">
        <f t="shared" si="11"/>
        <v>0</v>
      </c>
      <c r="P282" s="132">
        <f t="shared" si="11"/>
        <v>0</v>
      </c>
      <c r="Q282" s="132">
        <f t="shared" si="11"/>
        <v>0</v>
      </c>
      <c r="R282" s="132">
        <f t="shared" si="11"/>
        <v>0</v>
      </c>
      <c r="S282" s="132">
        <f t="shared" si="11"/>
        <v>0</v>
      </c>
      <c r="T282" s="128">
        <f t="shared" si="10"/>
        <v>0</v>
      </c>
    </row>
    <row r="283" spans="1:20" x14ac:dyDescent="0.2">
      <c r="A283" s="23" t="s">
        <v>102</v>
      </c>
      <c r="B283">
        <v>8</v>
      </c>
      <c r="C283" s="23" t="s">
        <v>112</v>
      </c>
      <c r="D283">
        <v>801</v>
      </c>
      <c r="E283" s="132">
        <v>0</v>
      </c>
      <c r="F283" s="132">
        <v>0</v>
      </c>
      <c r="G283" s="132">
        <v>0</v>
      </c>
      <c r="H283" s="132">
        <v>0</v>
      </c>
      <c r="I283" s="132">
        <v>0</v>
      </c>
      <c r="J283" s="132">
        <v>0</v>
      </c>
      <c r="K283" s="132">
        <v>0</v>
      </c>
      <c r="L283" s="132">
        <v>0</v>
      </c>
      <c r="M283" s="132">
        <v>0</v>
      </c>
      <c r="N283" s="132">
        <v>0</v>
      </c>
      <c r="O283" s="132">
        <v>0</v>
      </c>
      <c r="P283" s="132">
        <v>0</v>
      </c>
      <c r="Q283" s="132">
        <v>0</v>
      </c>
      <c r="R283" s="132">
        <v>0</v>
      </c>
      <c r="S283" s="132">
        <v>0</v>
      </c>
      <c r="T283" s="128">
        <f t="shared" si="10"/>
        <v>0</v>
      </c>
    </row>
    <row r="284" spans="1:20" x14ac:dyDescent="0.2">
      <c r="A284" s="23" t="s">
        <v>102</v>
      </c>
      <c r="B284">
        <v>8</v>
      </c>
      <c r="C284" s="23" t="s">
        <v>112</v>
      </c>
      <c r="D284">
        <v>802</v>
      </c>
      <c r="E284" s="132">
        <v>0</v>
      </c>
      <c r="F284" s="132">
        <v>0</v>
      </c>
      <c r="G284" s="132">
        <v>0</v>
      </c>
      <c r="H284" s="132">
        <v>0</v>
      </c>
      <c r="I284" s="132">
        <v>0</v>
      </c>
      <c r="J284" s="132">
        <v>0</v>
      </c>
      <c r="K284" s="132">
        <v>0</v>
      </c>
      <c r="L284" s="132">
        <v>0</v>
      </c>
      <c r="M284" s="132">
        <v>0</v>
      </c>
      <c r="N284" s="132">
        <v>0</v>
      </c>
      <c r="O284" s="132">
        <v>0</v>
      </c>
      <c r="P284" s="132">
        <v>0</v>
      </c>
      <c r="Q284" s="132">
        <v>0</v>
      </c>
      <c r="R284" s="132">
        <v>0</v>
      </c>
      <c r="S284" s="132">
        <v>0</v>
      </c>
      <c r="T284" s="128">
        <f t="shared" si="10"/>
        <v>0</v>
      </c>
    </row>
    <row r="285" spans="1:20" x14ac:dyDescent="0.2">
      <c r="A285" s="23" t="s">
        <v>102</v>
      </c>
      <c r="B285">
        <v>8</v>
      </c>
      <c r="C285" s="23" t="s">
        <v>112</v>
      </c>
      <c r="D285">
        <v>803</v>
      </c>
      <c r="E285" s="132">
        <v>0</v>
      </c>
      <c r="F285" s="132">
        <v>0</v>
      </c>
      <c r="G285" s="132">
        <v>0</v>
      </c>
      <c r="H285" s="132">
        <v>0</v>
      </c>
      <c r="I285" s="132">
        <v>0</v>
      </c>
      <c r="J285" s="132">
        <v>0</v>
      </c>
      <c r="K285" s="132">
        <v>0</v>
      </c>
      <c r="L285" s="132">
        <v>0</v>
      </c>
      <c r="M285" s="132">
        <v>0</v>
      </c>
      <c r="N285" s="132">
        <v>0</v>
      </c>
      <c r="O285" s="132">
        <v>0</v>
      </c>
      <c r="P285" s="132">
        <v>0</v>
      </c>
      <c r="Q285" s="132">
        <v>0</v>
      </c>
      <c r="R285" s="132">
        <v>0</v>
      </c>
      <c r="S285" s="132">
        <v>0</v>
      </c>
      <c r="T285" s="128">
        <f t="shared" si="10"/>
        <v>0</v>
      </c>
    </row>
    <row r="286" spans="1:20" x14ac:dyDescent="0.2">
      <c r="A286" s="23" t="s">
        <v>102</v>
      </c>
      <c r="B286">
        <v>8</v>
      </c>
      <c r="C286" s="23" t="s">
        <v>112</v>
      </c>
      <c r="D286">
        <v>804</v>
      </c>
      <c r="E286" s="132">
        <v>0</v>
      </c>
      <c r="F286" s="132">
        <v>0</v>
      </c>
      <c r="G286" s="132">
        <v>0</v>
      </c>
      <c r="H286" s="132">
        <v>0</v>
      </c>
      <c r="I286" s="132">
        <v>0</v>
      </c>
      <c r="J286" s="132">
        <v>0</v>
      </c>
      <c r="K286" s="132">
        <v>0</v>
      </c>
      <c r="L286" s="132">
        <v>0</v>
      </c>
      <c r="M286" s="132">
        <v>0</v>
      </c>
      <c r="N286" s="132">
        <v>0</v>
      </c>
      <c r="O286" s="132">
        <v>0</v>
      </c>
      <c r="P286" s="132">
        <v>0</v>
      </c>
      <c r="Q286" s="132">
        <v>0</v>
      </c>
      <c r="R286" s="132">
        <v>0</v>
      </c>
      <c r="S286" s="132">
        <v>0</v>
      </c>
      <c r="T286" s="128">
        <f t="shared" si="10"/>
        <v>0</v>
      </c>
    </row>
    <row r="287" spans="1:20" x14ac:dyDescent="0.2">
      <c r="A287" s="23" t="s">
        <v>102</v>
      </c>
      <c r="B287">
        <v>8</v>
      </c>
      <c r="C287" s="23" t="s">
        <v>112</v>
      </c>
      <c r="D287">
        <v>805</v>
      </c>
      <c r="E287" s="132">
        <v>0</v>
      </c>
      <c r="F287" s="132">
        <v>0</v>
      </c>
      <c r="G287" s="132">
        <v>0</v>
      </c>
      <c r="H287" s="132">
        <v>0</v>
      </c>
      <c r="I287" s="132">
        <v>0</v>
      </c>
      <c r="J287" s="132">
        <v>0</v>
      </c>
      <c r="K287" s="132">
        <v>0</v>
      </c>
      <c r="L287" s="132">
        <v>0</v>
      </c>
      <c r="M287" s="132">
        <v>0</v>
      </c>
      <c r="N287" s="132">
        <v>0</v>
      </c>
      <c r="O287" s="132">
        <v>0</v>
      </c>
      <c r="P287" s="132">
        <v>0</v>
      </c>
      <c r="Q287" s="132">
        <v>0</v>
      </c>
      <c r="R287" s="132">
        <v>0</v>
      </c>
      <c r="S287" s="132">
        <v>0</v>
      </c>
      <c r="T287" s="128">
        <f t="shared" si="10"/>
        <v>0</v>
      </c>
    </row>
    <row r="288" spans="1:20" x14ac:dyDescent="0.2">
      <c r="A288" s="23" t="s">
        <v>102</v>
      </c>
      <c r="B288">
        <v>8</v>
      </c>
      <c r="C288" s="23" t="s">
        <v>112</v>
      </c>
      <c r="D288">
        <v>806</v>
      </c>
      <c r="E288" s="132">
        <v>0</v>
      </c>
      <c r="F288" s="132">
        <v>0</v>
      </c>
      <c r="G288" s="132">
        <v>0</v>
      </c>
      <c r="H288" s="132">
        <v>0</v>
      </c>
      <c r="I288" s="132">
        <v>0</v>
      </c>
      <c r="J288" s="132">
        <v>0</v>
      </c>
      <c r="K288" s="132">
        <v>0</v>
      </c>
      <c r="L288" s="132">
        <v>0</v>
      </c>
      <c r="M288" s="132">
        <v>0</v>
      </c>
      <c r="N288" s="132">
        <v>0</v>
      </c>
      <c r="O288" s="132">
        <v>0</v>
      </c>
      <c r="P288" s="132">
        <v>0</v>
      </c>
      <c r="Q288" s="132">
        <v>0</v>
      </c>
      <c r="R288" s="132">
        <v>0</v>
      </c>
      <c r="S288" s="132">
        <v>0</v>
      </c>
      <c r="T288" s="128">
        <f t="shared" si="10"/>
        <v>0</v>
      </c>
    </row>
    <row r="289" spans="1:20" x14ac:dyDescent="0.2">
      <c r="A289" s="23" t="s">
        <v>102</v>
      </c>
      <c r="B289">
        <v>8</v>
      </c>
      <c r="C289" s="23" t="s">
        <v>112</v>
      </c>
      <c r="D289">
        <v>807</v>
      </c>
      <c r="E289" s="132">
        <v>0</v>
      </c>
      <c r="F289" s="132">
        <v>0</v>
      </c>
      <c r="G289" s="132">
        <v>0</v>
      </c>
      <c r="H289" s="132">
        <v>0</v>
      </c>
      <c r="I289" s="132">
        <v>0</v>
      </c>
      <c r="J289" s="132">
        <v>0</v>
      </c>
      <c r="K289" s="132">
        <v>0</v>
      </c>
      <c r="L289" s="132">
        <v>0</v>
      </c>
      <c r="M289" s="132">
        <v>0</v>
      </c>
      <c r="N289" s="132">
        <v>0</v>
      </c>
      <c r="O289" s="132">
        <v>0</v>
      </c>
      <c r="P289" s="132">
        <v>0</v>
      </c>
      <c r="Q289" s="132">
        <v>0</v>
      </c>
      <c r="R289" s="132">
        <v>0</v>
      </c>
      <c r="S289" s="132">
        <v>0</v>
      </c>
      <c r="T289" s="128">
        <f t="shared" si="10"/>
        <v>0</v>
      </c>
    </row>
    <row r="290" spans="1:20" x14ac:dyDescent="0.2">
      <c r="A290" s="23" t="s">
        <v>102</v>
      </c>
      <c r="B290">
        <v>8</v>
      </c>
      <c r="C290" s="23" t="s">
        <v>112</v>
      </c>
      <c r="D290">
        <v>808</v>
      </c>
      <c r="E290" s="132">
        <v>0</v>
      </c>
      <c r="F290" s="132">
        <v>0</v>
      </c>
      <c r="G290" s="132">
        <v>0</v>
      </c>
      <c r="H290" s="132">
        <v>0</v>
      </c>
      <c r="I290" s="132">
        <v>0</v>
      </c>
      <c r="J290" s="132">
        <v>0</v>
      </c>
      <c r="K290" s="132">
        <v>0</v>
      </c>
      <c r="L290" s="132">
        <v>0</v>
      </c>
      <c r="M290" s="132">
        <v>0</v>
      </c>
      <c r="N290" s="132">
        <v>0</v>
      </c>
      <c r="O290" s="132">
        <v>0</v>
      </c>
      <c r="P290" s="132">
        <v>0</v>
      </c>
      <c r="Q290" s="132">
        <v>0</v>
      </c>
      <c r="R290" s="132">
        <v>0</v>
      </c>
      <c r="S290" s="132">
        <v>0</v>
      </c>
      <c r="T290" s="128">
        <f t="shared" si="10"/>
        <v>0</v>
      </c>
    </row>
    <row r="291" spans="1:20" x14ac:dyDescent="0.2">
      <c r="A291" s="23" t="s">
        <v>102</v>
      </c>
      <c r="B291">
        <v>8</v>
      </c>
      <c r="C291" s="23" t="s">
        <v>112</v>
      </c>
      <c r="D291">
        <v>809</v>
      </c>
      <c r="E291" s="132">
        <v>0</v>
      </c>
      <c r="F291" s="132">
        <v>0</v>
      </c>
      <c r="G291" s="132">
        <v>0</v>
      </c>
      <c r="H291" s="132">
        <v>0</v>
      </c>
      <c r="I291" s="132">
        <v>0</v>
      </c>
      <c r="J291" s="132">
        <v>0</v>
      </c>
      <c r="K291" s="132">
        <v>0</v>
      </c>
      <c r="L291" s="132">
        <v>0</v>
      </c>
      <c r="M291" s="132">
        <v>0</v>
      </c>
      <c r="N291" s="132">
        <v>0</v>
      </c>
      <c r="O291" s="132">
        <v>0</v>
      </c>
      <c r="P291" s="132">
        <v>0</v>
      </c>
      <c r="Q291" s="132">
        <v>0</v>
      </c>
      <c r="R291" s="132">
        <v>0</v>
      </c>
      <c r="S291" s="132">
        <v>0</v>
      </c>
      <c r="T291" s="128">
        <f t="shared" si="10"/>
        <v>0</v>
      </c>
    </row>
    <row r="292" spans="1:20" x14ac:dyDescent="0.2">
      <c r="A292" s="23" t="s">
        <v>102</v>
      </c>
      <c r="B292">
        <v>8</v>
      </c>
      <c r="C292" s="23" t="s">
        <v>112</v>
      </c>
      <c r="D292">
        <v>810</v>
      </c>
      <c r="E292" s="132">
        <v>0</v>
      </c>
      <c r="F292" s="132">
        <v>0</v>
      </c>
      <c r="G292" s="132">
        <v>0</v>
      </c>
      <c r="H292" s="132">
        <v>0</v>
      </c>
      <c r="I292" s="132">
        <v>0</v>
      </c>
      <c r="J292" s="132">
        <v>0</v>
      </c>
      <c r="K292" s="132">
        <v>0</v>
      </c>
      <c r="L292" s="132">
        <v>0</v>
      </c>
      <c r="M292" s="132">
        <v>0</v>
      </c>
      <c r="N292" s="132">
        <v>0</v>
      </c>
      <c r="O292" s="132">
        <v>0</v>
      </c>
      <c r="P292" s="132">
        <v>0</v>
      </c>
      <c r="Q292" s="132">
        <v>0</v>
      </c>
      <c r="R292" s="132">
        <v>0</v>
      </c>
      <c r="S292" s="132">
        <v>0</v>
      </c>
      <c r="T292" s="128">
        <f t="shared" si="10"/>
        <v>0</v>
      </c>
    </row>
    <row r="293" spans="1:20" x14ac:dyDescent="0.2">
      <c r="A293" s="23" t="s">
        <v>102</v>
      </c>
      <c r="B293">
        <v>8</v>
      </c>
      <c r="C293" s="23" t="s">
        <v>112</v>
      </c>
      <c r="D293">
        <v>811</v>
      </c>
      <c r="E293" s="132">
        <v>0</v>
      </c>
      <c r="F293" s="132">
        <v>0</v>
      </c>
      <c r="G293" s="132">
        <v>0</v>
      </c>
      <c r="H293" s="132">
        <v>0</v>
      </c>
      <c r="I293" s="132">
        <v>0</v>
      </c>
      <c r="J293" s="132">
        <v>0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32">
        <v>0</v>
      </c>
      <c r="T293" s="128">
        <f t="shared" si="10"/>
        <v>0</v>
      </c>
    </row>
    <row r="294" spans="1:20" x14ac:dyDescent="0.2">
      <c r="A294" s="23" t="s">
        <v>102</v>
      </c>
      <c r="B294">
        <v>8</v>
      </c>
      <c r="C294" s="23" t="s">
        <v>112</v>
      </c>
      <c r="D294">
        <v>812</v>
      </c>
      <c r="E294" s="132">
        <v>0</v>
      </c>
      <c r="F294" s="132">
        <v>0</v>
      </c>
      <c r="G294" s="132">
        <v>0</v>
      </c>
      <c r="H294" s="132">
        <v>0</v>
      </c>
      <c r="I294" s="132">
        <v>0</v>
      </c>
      <c r="J294" s="132">
        <v>0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32">
        <v>0</v>
      </c>
      <c r="T294" s="128">
        <f t="shared" si="10"/>
        <v>0</v>
      </c>
    </row>
    <row r="295" spans="1:20" x14ac:dyDescent="0.2">
      <c r="A295" s="23" t="s">
        <v>102</v>
      </c>
      <c r="B295">
        <v>8</v>
      </c>
      <c r="C295" s="23" t="s">
        <v>112</v>
      </c>
      <c r="D295">
        <v>813</v>
      </c>
      <c r="E295" s="132">
        <v>0</v>
      </c>
      <c r="F295" s="132">
        <v>0</v>
      </c>
      <c r="G295" s="132">
        <v>0</v>
      </c>
      <c r="H295" s="132">
        <v>0</v>
      </c>
      <c r="I295" s="132">
        <v>0</v>
      </c>
      <c r="J295" s="132">
        <v>0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32">
        <v>0</v>
      </c>
      <c r="T295" s="128">
        <f t="shared" si="10"/>
        <v>0</v>
      </c>
    </row>
    <row r="296" spans="1:20" x14ac:dyDescent="0.2">
      <c r="A296" s="23" t="s">
        <v>102</v>
      </c>
      <c r="B296">
        <v>8</v>
      </c>
      <c r="C296" s="23" t="s">
        <v>112</v>
      </c>
      <c r="D296">
        <v>814</v>
      </c>
      <c r="E296" s="132">
        <v>0</v>
      </c>
      <c r="F296" s="132">
        <v>0</v>
      </c>
      <c r="G296" s="132">
        <v>0</v>
      </c>
      <c r="H296" s="132">
        <v>0</v>
      </c>
      <c r="I296" s="132">
        <v>0</v>
      </c>
      <c r="J296" s="132">
        <v>0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32">
        <v>0</v>
      </c>
      <c r="T296" s="128">
        <f t="shared" si="10"/>
        <v>0</v>
      </c>
    </row>
    <row r="297" spans="1:20" x14ac:dyDescent="0.2">
      <c r="A297" s="23" t="s">
        <v>102</v>
      </c>
      <c r="B297">
        <v>8</v>
      </c>
      <c r="C297" s="23" t="s">
        <v>112</v>
      </c>
      <c r="D297">
        <v>815</v>
      </c>
      <c r="E297" s="132">
        <v>0</v>
      </c>
      <c r="F297" s="132">
        <v>0</v>
      </c>
      <c r="G297" s="132">
        <v>0</v>
      </c>
      <c r="H297" s="132">
        <v>0</v>
      </c>
      <c r="I297" s="132">
        <v>0</v>
      </c>
      <c r="J297" s="132">
        <v>0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32">
        <v>0</v>
      </c>
      <c r="T297" s="128">
        <f t="shared" si="10"/>
        <v>0</v>
      </c>
    </row>
    <row r="298" spans="1:20" x14ac:dyDescent="0.2">
      <c r="A298" s="23" t="s">
        <v>102</v>
      </c>
      <c r="B298">
        <v>8</v>
      </c>
      <c r="C298" s="23" t="s">
        <v>112</v>
      </c>
      <c r="D298">
        <v>816</v>
      </c>
      <c r="E298" s="132">
        <v>0</v>
      </c>
      <c r="F298" s="132">
        <v>0</v>
      </c>
      <c r="G298" s="132">
        <v>0</v>
      </c>
      <c r="H298" s="132">
        <v>0</v>
      </c>
      <c r="I298" s="132">
        <v>0</v>
      </c>
      <c r="J298" s="132">
        <v>0</v>
      </c>
      <c r="K298" s="132">
        <v>0</v>
      </c>
      <c r="L298" s="132">
        <v>0</v>
      </c>
      <c r="M298" s="132">
        <v>0</v>
      </c>
      <c r="N298" s="132">
        <v>0</v>
      </c>
      <c r="O298" s="132">
        <v>0</v>
      </c>
      <c r="P298" s="132">
        <v>0</v>
      </c>
      <c r="Q298" s="132">
        <v>0</v>
      </c>
      <c r="R298" s="132">
        <v>0</v>
      </c>
      <c r="S298" s="132">
        <v>0</v>
      </c>
      <c r="T298" s="128">
        <f t="shared" si="10"/>
        <v>0</v>
      </c>
    </row>
    <row r="299" spans="1:20" x14ac:dyDescent="0.2">
      <c r="A299" s="23" t="s">
        <v>102</v>
      </c>
      <c r="B299">
        <v>8</v>
      </c>
      <c r="C299" s="23" t="s">
        <v>112</v>
      </c>
      <c r="D299">
        <v>817</v>
      </c>
      <c r="E299" s="132">
        <v>0</v>
      </c>
      <c r="F299" s="132">
        <v>0</v>
      </c>
      <c r="G299" s="132">
        <v>0</v>
      </c>
      <c r="H299" s="132">
        <v>0</v>
      </c>
      <c r="I299" s="132">
        <v>0</v>
      </c>
      <c r="J299" s="132">
        <v>0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32">
        <v>0</v>
      </c>
      <c r="T299" s="128">
        <f t="shared" si="10"/>
        <v>0</v>
      </c>
    </row>
    <row r="300" spans="1:20" x14ac:dyDescent="0.2">
      <c r="A300" s="23" t="s">
        <v>102</v>
      </c>
      <c r="B300">
        <v>8</v>
      </c>
      <c r="C300" s="23" t="s">
        <v>112</v>
      </c>
      <c r="D300">
        <v>818</v>
      </c>
      <c r="E300" s="132">
        <v>0</v>
      </c>
      <c r="F300" s="132">
        <v>0</v>
      </c>
      <c r="G300" s="132">
        <v>0</v>
      </c>
      <c r="H300" s="132">
        <v>0</v>
      </c>
      <c r="I300" s="132">
        <v>0</v>
      </c>
      <c r="J300" s="132">
        <v>0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32">
        <v>0</v>
      </c>
      <c r="T300" s="128">
        <f t="shared" si="10"/>
        <v>0</v>
      </c>
    </row>
    <row r="301" spans="1:20" x14ac:dyDescent="0.2">
      <c r="A301" s="23" t="s">
        <v>102</v>
      </c>
      <c r="B301">
        <v>8</v>
      </c>
      <c r="C301" s="23" t="s">
        <v>112</v>
      </c>
      <c r="D301">
        <v>819</v>
      </c>
      <c r="E301" s="132">
        <v>0</v>
      </c>
      <c r="F301" s="132">
        <v>0</v>
      </c>
      <c r="G301" s="132">
        <v>0</v>
      </c>
      <c r="H301" s="132">
        <v>0</v>
      </c>
      <c r="I301" s="132">
        <v>0</v>
      </c>
      <c r="J301" s="132">
        <v>0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32">
        <v>0</v>
      </c>
      <c r="T301" s="128">
        <f t="shared" si="10"/>
        <v>0</v>
      </c>
    </row>
    <row r="302" spans="1:20" x14ac:dyDescent="0.2">
      <c r="A302" s="23" t="s">
        <v>102</v>
      </c>
      <c r="B302">
        <v>8</v>
      </c>
      <c r="C302" s="23" t="s">
        <v>112</v>
      </c>
      <c r="D302">
        <v>820</v>
      </c>
      <c r="E302" s="132">
        <v>0</v>
      </c>
      <c r="F302" s="132">
        <v>0</v>
      </c>
      <c r="G302" s="132">
        <v>0</v>
      </c>
      <c r="H302" s="132">
        <v>0</v>
      </c>
      <c r="I302" s="132">
        <v>0</v>
      </c>
      <c r="J302" s="132">
        <v>0</v>
      </c>
      <c r="K302" s="132">
        <v>0</v>
      </c>
      <c r="L302" s="132">
        <v>0</v>
      </c>
      <c r="M302" s="132">
        <v>0</v>
      </c>
      <c r="N302" s="132">
        <v>0</v>
      </c>
      <c r="O302" s="132">
        <v>0</v>
      </c>
      <c r="P302" s="132">
        <v>0</v>
      </c>
      <c r="Q302" s="132">
        <v>0</v>
      </c>
      <c r="R302" s="132">
        <v>0</v>
      </c>
      <c r="S302" s="132">
        <v>0</v>
      </c>
      <c r="T302" s="128">
        <f t="shared" si="10"/>
        <v>0</v>
      </c>
    </row>
    <row r="303" spans="1:20" x14ac:dyDescent="0.2">
      <c r="A303" s="23" t="s">
        <v>102</v>
      </c>
      <c r="B303">
        <v>8</v>
      </c>
      <c r="C303" s="23" t="s">
        <v>112</v>
      </c>
      <c r="D303">
        <v>821</v>
      </c>
      <c r="E303" s="132">
        <v>0</v>
      </c>
      <c r="F303" s="132">
        <v>0</v>
      </c>
      <c r="G303" s="132">
        <v>0</v>
      </c>
      <c r="H303" s="132">
        <v>0</v>
      </c>
      <c r="I303" s="132">
        <v>0</v>
      </c>
      <c r="J303" s="132">
        <v>0</v>
      </c>
      <c r="K303" s="132">
        <v>0</v>
      </c>
      <c r="L303" s="132">
        <v>0</v>
      </c>
      <c r="M303" s="132">
        <v>0</v>
      </c>
      <c r="N303" s="132">
        <v>0</v>
      </c>
      <c r="O303" s="132">
        <v>0</v>
      </c>
      <c r="P303" s="132">
        <v>0</v>
      </c>
      <c r="Q303" s="132">
        <v>0</v>
      </c>
      <c r="R303" s="132">
        <v>0</v>
      </c>
      <c r="S303" s="132">
        <v>0</v>
      </c>
      <c r="T303" s="128">
        <f t="shared" si="10"/>
        <v>0</v>
      </c>
    </row>
    <row r="304" spans="1:20" x14ac:dyDescent="0.2">
      <c r="A304" s="23" t="s">
        <v>102</v>
      </c>
      <c r="B304">
        <v>8</v>
      </c>
      <c r="C304" s="23" t="s">
        <v>112</v>
      </c>
      <c r="D304">
        <v>822</v>
      </c>
      <c r="E304" s="132">
        <v>0</v>
      </c>
      <c r="F304" s="132">
        <v>0</v>
      </c>
      <c r="G304" s="132">
        <v>0</v>
      </c>
      <c r="H304" s="132">
        <v>0</v>
      </c>
      <c r="I304" s="132">
        <v>0</v>
      </c>
      <c r="J304" s="132">
        <v>0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32">
        <v>0</v>
      </c>
      <c r="T304" s="128">
        <f t="shared" si="10"/>
        <v>0</v>
      </c>
    </row>
    <row r="305" spans="1:20" x14ac:dyDescent="0.2">
      <c r="A305" s="23" t="s">
        <v>102</v>
      </c>
      <c r="B305">
        <v>8</v>
      </c>
      <c r="C305" s="23" t="s">
        <v>112</v>
      </c>
      <c r="D305">
        <v>823</v>
      </c>
      <c r="E305" s="132">
        <v>0</v>
      </c>
      <c r="F305" s="132">
        <v>0</v>
      </c>
      <c r="G305" s="132">
        <v>0</v>
      </c>
      <c r="H305" s="132">
        <v>0</v>
      </c>
      <c r="I305" s="132">
        <v>0</v>
      </c>
      <c r="J305" s="132">
        <v>0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32">
        <v>0</v>
      </c>
      <c r="T305" s="128">
        <f t="shared" si="10"/>
        <v>0</v>
      </c>
    </row>
    <row r="306" spans="1:20" x14ac:dyDescent="0.2">
      <c r="A306" s="23" t="s">
        <v>102</v>
      </c>
      <c r="B306">
        <v>8</v>
      </c>
      <c r="C306" s="23" t="s">
        <v>111</v>
      </c>
      <c r="D306">
        <v>801</v>
      </c>
      <c r="E306" s="132">
        <v>0</v>
      </c>
      <c r="F306" s="132">
        <v>0</v>
      </c>
      <c r="G306" s="132">
        <v>0</v>
      </c>
      <c r="H306" s="132">
        <v>0</v>
      </c>
      <c r="I306" s="132">
        <v>0</v>
      </c>
      <c r="J306" s="132">
        <v>0</v>
      </c>
      <c r="K306" s="132">
        <v>0</v>
      </c>
      <c r="L306" s="132">
        <v>0</v>
      </c>
      <c r="M306" s="132">
        <v>0</v>
      </c>
      <c r="N306" s="132">
        <v>0</v>
      </c>
      <c r="O306" s="132">
        <v>0</v>
      </c>
      <c r="P306" s="132">
        <v>0</v>
      </c>
      <c r="Q306" s="132">
        <v>0</v>
      </c>
      <c r="R306" s="132">
        <v>0</v>
      </c>
      <c r="S306" s="132">
        <v>0</v>
      </c>
      <c r="T306" s="128">
        <f t="shared" si="10"/>
        <v>0</v>
      </c>
    </row>
    <row r="307" spans="1:20" x14ac:dyDescent="0.2">
      <c r="A307" s="23" t="s">
        <v>102</v>
      </c>
      <c r="B307">
        <v>8</v>
      </c>
      <c r="C307" s="23" t="s">
        <v>111</v>
      </c>
      <c r="D307">
        <v>802</v>
      </c>
      <c r="E307" s="132">
        <v>0</v>
      </c>
      <c r="F307" s="132">
        <v>0</v>
      </c>
      <c r="G307" s="132">
        <v>0</v>
      </c>
      <c r="H307" s="132">
        <v>0</v>
      </c>
      <c r="I307" s="132">
        <v>0</v>
      </c>
      <c r="J307" s="132">
        <v>0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32">
        <v>0</v>
      </c>
      <c r="T307" s="128">
        <f t="shared" si="10"/>
        <v>0</v>
      </c>
    </row>
    <row r="308" spans="1:20" x14ac:dyDescent="0.2">
      <c r="A308" s="23" t="s">
        <v>102</v>
      </c>
      <c r="B308">
        <v>8</v>
      </c>
      <c r="C308" s="23" t="s">
        <v>111</v>
      </c>
      <c r="D308">
        <v>803</v>
      </c>
      <c r="E308" s="132">
        <v>0</v>
      </c>
      <c r="F308" s="132">
        <v>0</v>
      </c>
      <c r="G308" s="132">
        <v>0</v>
      </c>
      <c r="H308" s="132">
        <v>0</v>
      </c>
      <c r="I308" s="132">
        <v>0</v>
      </c>
      <c r="J308" s="132">
        <v>0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32">
        <v>0</v>
      </c>
      <c r="T308" s="128">
        <f t="shared" si="10"/>
        <v>0</v>
      </c>
    </row>
    <row r="309" spans="1:20" x14ac:dyDescent="0.2">
      <c r="A309" s="23" t="s">
        <v>102</v>
      </c>
      <c r="B309">
        <v>8</v>
      </c>
      <c r="C309" s="23" t="s">
        <v>111</v>
      </c>
      <c r="D309">
        <v>804</v>
      </c>
      <c r="E309" s="132">
        <v>0</v>
      </c>
      <c r="F309" s="132">
        <v>0</v>
      </c>
      <c r="G309" s="132">
        <v>0</v>
      </c>
      <c r="H309" s="132">
        <v>0</v>
      </c>
      <c r="I309" s="132">
        <v>0</v>
      </c>
      <c r="J309" s="132">
        <v>0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28">
        <f t="shared" si="10"/>
        <v>0</v>
      </c>
    </row>
    <row r="310" spans="1:20" x14ac:dyDescent="0.2">
      <c r="A310" s="23" t="s">
        <v>102</v>
      </c>
      <c r="B310">
        <v>8</v>
      </c>
      <c r="C310" s="23" t="s">
        <v>111</v>
      </c>
      <c r="D310">
        <v>805</v>
      </c>
      <c r="E310" s="132">
        <v>0</v>
      </c>
      <c r="F310" s="132">
        <v>0</v>
      </c>
      <c r="G310" s="132">
        <v>0</v>
      </c>
      <c r="H310" s="132">
        <v>0</v>
      </c>
      <c r="I310" s="132">
        <v>0</v>
      </c>
      <c r="J310" s="132">
        <v>0</v>
      </c>
      <c r="K310" s="132">
        <v>0</v>
      </c>
      <c r="L310" s="132">
        <v>0</v>
      </c>
      <c r="M310" s="132">
        <v>0</v>
      </c>
      <c r="N310" s="132">
        <v>0</v>
      </c>
      <c r="O310" s="132">
        <v>0</v>
      </c>
      <c r="P310" s="132">
        <v>0</v>
      </c>
      <c r="Q310" s="132">
        <v>0</v>
      </c>
      <c r="R310" s="132">
        <v>0</v>
      </c>
      <c r="S310" s="132">
        <v>0</v>
      </c>
      <c r="T310" s="128">
        <f t="shared" si="10"/>
        <v>0</v>
      </c>
    </row>
    <row r="311" spans="1:20" x14ac:dyDescent="0.2">
      <c r="A311" s="23" t="s">
        <v>102</v>
      </c>
      <c r="B311">
        <v>8</v>
      </c>
      <c r="C311" s="23" t="s">
        <v>111</v>
      </c>
      <c r="D311">
        <v>806</v>
      </c>
      <c r="E311" s="132">
        <v>0</v>
      </c>
      <c r="F311" s="132">
        <v>0</v>
      </c>
      <c r="G311" s="132">
        <v>0</v>
      </c>
      <c r="H311" s="132">
        <v>0</v>
      </c>
      <c r="I311" s="132">
        <v>0</v>
      </c>
      <c r="J311" s="132">
        <v>0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0</v>
      </c>
      <c r="T311" s="128">
        <f t="shared" si="10"/>
        <v>0</v>
      </c>
    </row>
    <row r="312" spans="1:20" x14ac:dyDescent="0.2">
      <c r="A312" s="23" t="s">
        <v>102</v>
      </c>
      <c r="B312">
        <v>8</v>
      </c>
      <c r="C312" s="23" t="s">
        <v>111</v>
      </c>
      <c r="D312">
        <v>807</v>
      </c>
      <c r="E312" s="132">
        <v>0</v>
      </c>
      <c r="F312" s="132">
        <v>0</v>
      </c>
      <c r="G312" s="132">
        <v>0</v>
      </c>
      <c r="H312" s="132">
        <v>0</v>
      </c>
      <c r="I312" s="132">
        <v>0</v>
      </c>
      <c r="J312" s="132">
        <v>0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0</v>
      </c>
      <c r="T312" s="128">
        <f t="shared" si="10"/>
        <v>0</v>
      </c>
    </row>
    <row r="313" spans="1:20" x14ac:dyDescent="0.2">
      <c r="A313" s="23" t="s">
        <v>102</v>
      </c>
      <c r="B313">
        <v>8</v>
      </c>
      <c r="C313" s="23" t="s">
        <v>111</v>
      </c>
      <c r="D313">
        <v>808</v>
      </c>
      <c r="E313" s="132">
        <v>0</v>
      </c>
      <c r="F313" s="132">
        <v>0</v>
      </c>
      <c r="G313" s="132">
        <v>0</v>
      </c>
      <c r="H313" s="132">
        <v>0</v>
      </c>
      <c r="I313" s="132">
        <v>0</v>
      </c>
      <c r="J313" s="132">
        <v>0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0</v>
      </c>
      <c r="T313" s="128">
        <f t="shared" si="10"/>
        <v>0</v>
      </c>
    </row>
    <row r="314" spans="1:20" x14ac:dyDescent="0.2">
      <c r="A314" s="23" t="s">
        <v>102</v>
      </c>
      <c r="B314">
        <v>8</v>
      </c>
      <c r="C314" s="23" t="s">
        <v>111</v>
      </c>
      <c r="D314">
        <v>809</v>
      </c>
      <c r="E314" s="132">
        <v>0</v>
      </c>
      <c r="F314" s="132">
        <v>0</v>
      </c>
      <c r="G314" s="132">
        <v>0</v>
      </c>
      <c r="H314" s="132">
        <v>0</v>
      </c>
      <c r="I314" s="132">
        <v>0</v>
      </c>
      <c r="J314" s="132">
        <v>0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28">
        <f t="shared" si="10"/>
        <v>0</v>
      </c>
    </row>
    <row r="315" spans="1:20" x14ac:dyDescent="0.2">
      <c r="A315" s="23" t="s">
        <v>102</v>
      </c>
      <c r="B315">
        <v>8</v>
      </c>
      <c r="C315" s="23" t="s">
        <v>111</v>
      </c>
      <c r="D315">
        <v>810</v>
      </c>
      <c r="E315" s="132">
        <v>0</v>
      </c>
      <c r="F315" s="132">
        <v>0</v>
      </c>
      <c r="G315" s="132">
        <v>0</v>
      </c>
      <c r="H315" s="132">
        <v>0</v>
      </c>
      <c r="I315" s="132">
        <v>0</v>
      </c>
      <c r="J315" s="132">
        <v>0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28">
        <f t="shared" si="10"/>
        <v>0</v>
      </c>
    </row>
    <row r="316" spans="1:20" x14ac:dyDescent="0.2">
      <c r="A316" s="23" t="s">
        <v>102</v>
      </c>
      <c r="B316">
        <v>8</v>
      </c>
      <c r="C316" s="23" t="s">
        <v>111</v>
      </c>
      <c r="D316">
        <v>811</v>
      </c>
      <c r="E316" s="132">
        <v>0</v>
      </c>
      <c r="F316" s="132">
        <v>0</v>
      </c>
      <c r="G316" s="132">
        <v>0</v>
      </c>
      <c r="H316" s="132">
        <v>0</v>
      </c>
      <c r="I316" s="132">
        <v>0</v>
      </c>
      <c r="J316" s="132">
        <v>0</v>
      </c>
      <c r="K316" s="132">
        <v>0</v>
      </c>
      <c r="L316" s="132">
        <v>0</v>
      </c>
      <c r="M316" s="132">
        <v>0</v>
      </c>
      <c r="N316" s="132">
        <v>0</v>
      </c>
      <c r="O316" s="132">
        <v>0</v>
      </c>
      <c r="P316" s="132">
        <v>0</v>
      </c>
      <c r="Q316" s="132">
        <v>0</v>
      </c>
      <c r="R316" s="132">
        <v>0</v>
      </c>
      <c r="S316" s="132">
        <v>0</v>
      </c>
      <c r="T316" s="128">
        <f t="shared" si="10"/>
        <v>0</v>
      </c>
    </row>
    <row r="317" spans="1:20" x14ac:dyDescent="0.2">
      <c r="A317" s="23" t="s">
        <v>102</v>
      </c>
      <c r="B317">
        <v>8</v>
      </c>
      <c r="C317" s="23" t="s">
        <v>111</v>
      </c>
      <c r="D317">
        <v>812</v>
      </c>
      <c r="E317" s="132">
        <v>0</v>
      </c>
      <c r="F317" s="132">
        <v>0</v>
      </c>
      <c r="G317" s="132">
        <v>0</v>
      </c>
      <c r="H317" s="132">
        <v>0</v>
      </c>
      <c r="I317" s="132">
        <v>0</v>
      </c>
      <c r="J317" s="132">
        <v>0</v>
      </c>
      <c r="K317" s="132">
        <v>0</v>
      </c>
      <c r="L317" s="132">
        <v>0</v>
      </c>
      <c r="M317" s="132">
        <v>0</v>
      </c>
      <c r="N317" s="132">
        <v>0</v>
      </c>
      <c r="O317" s="132">
        <v>0</v>
      </c>
      <c r="P317" s="132">
        <v>0</v>
      </c>
      <c r="Q317" s="132">
        <v>0</v>
      </c>
      <c r="R317" s="132">
        <v>0</v>
      </c>
      <c r="S317" s="132">
        <v>0</v>
      </c>
      <c r="T317" s="128">
        <f t="shared" si="10"/>
        <v>0</v>
      </c>
    </row>
    <row r="318" spans="1:20" x14ac:dyDescent="0.2">
      <c r="A318" s="23" t="s">
        <v>102</v>
      </c>
      <c r="B318">
        <v>8</v>
      </c>
      <c r="C318" s="23" t="s">
        <v>111</v>
      </c>
      <c r="D318">
        <v>813</v>
      </c>
      <c r="E318" s="132">
        <v>0</v>
      </c>
      <c r="F318" s="132">
        <v>0</v>
      </c>
      <c r="G318" s="132">
        <v>0</v>
      </c>
      <c r="H318" s="132">
        <v>0</v>
      </c>
      <c r="I318" s="132">
        <v>0</v>
      </c>
      <c r="J318" s="132">
        <v>0</v>
      </c>
      <c r="K318" s="132">
        <v>0</v>
      </c>
      <c r="L318" s="132">
        <v>0</v>
      </c>
      <c r="M318" s="132">
        <v>0</v>
      </c>
      <c r="N318" s="132">
        <v>0</v>
      </c>
      <c r="O318" s="132">
        <v>0</v>
      </c>
      <c r="P318" s="132">
        <v>0</v>
      </c>
      <c r="Q318" s="132">
        <v>0</v>
      </c>
      <c r="R318" s="132">
        <v>0</v>
      </c>
      <c r="S318" s="132">
        <v>0</v>
      </c>
      <c r="T318" s="128">
        <f t="shared" si="10"/>
        <v>0</v>
      </c>
    </row>
    <row r="319" spans="1:20" x14ac:dyDescent="0.2">
      <c r="A319" s="23" t="s">
        <v>102</v>
      </c>
      <c r="B319">
        <v>8</v>
      </c>
      <c r="C319" s="23" t="s">
        <v>111</v>
      </c>
      <c r="D319">
        <v>814</v>
      </c>
      <c r="E319" s="132">
        <v>0</v>
      </c>
      <c r="F319" s="132">
        <v>0</v>
      </c>
      <c r="G319" s="132">
        <v>0</v>
      </c>
      <c r="H319" s="132">
        <v>0</v>
      </c>
      <c r="I319" s="132">
        <v>0</v>
      </c>
      <c r="J319" s="132">
        <v>0</v>
      </c>
      <c r="K319" s="132">
        <v>0</v>
      </c>
      <c r="L319" s="132">
        <v>0</v>
      </c>
      <c r="M319" s="132">
        <v>0</v>
      </c>
      <c r="N319" s="132">
        <v>0</v>
      </c>
      <c r="O319" s="132">
        <v>0</v>
      </c>
      <c r="P319" s="132">
        <v>0</v>
      </c>
      <c r="Q319" s="132">
        <v>0</v>
      </c>
      <c r="R319" s="132">
        <v>0</v>
      </c>
      <c r="S319" s="132">
        <v>0</v>
      </c>
      <c r="T319" s="128">
        <f t="shared" si="10"/>
        <v>0</v>
      </c>
    </row>
    <row r="320" spans="1:20" x14ac:dyDescent="0.2">
      <c r="A320" s="23" t="s">
        <v>102</v>
      </c>
      <c r="B320">
        <v>8</v>
      </c>
      <c r="C320" s="23" t="s">
        <v>111</v>
      </c>
      <c r="D320">
        <v>815</v>
      </c>
      <c r="E320" s="132">
        <v>0</v>
      </c>
      <c r="F320" s="132">
        <v>0</v>
      </c>
      <c r="G320" s="132">
        <v>0</v>
      </c>
      <c r="H320" s="132">
        <v>0</v>
      </c>
      <c r="I320" s="132">
        <v>0</v>
      </c>
      <c r="J320" s="132">
        <v>0</v>
      </c>
      <c r="K320" s="132">
        <v>0</v>
      </c>
      <c r="L320" s="132">
        <v>0</v>
      </c>
      <c r="M320" s="132">
        <v>0</v>
      </c>
      <c r="N320" s="132">
        <v>0</v>
      </c>
      <c r="O320" s="132">
        <v>0</v>
      </c>
      <c r="P320" s="132">
        <v>0</v>
      </c>
      <c r="Q320" s="132">
        <v>0</v>
      </c>
      <c r="R320" s="132">
        <v>0</v>
      </c>
      <c r="S320" s="132">
        <v>0</v>
      </c>
      <c r="T320" s="128">
        <f t="shared" si="10"/>
        <v>0</v>
      </c>
    </row>
    <row r="321" spans="1:20" x14ac:dyDescent="0.2">
      <c r="A321" s="23" t="s">
        <v>102</v>
      </c>
      <c r="B321">
        <v>8</v>
      </c>
      <c r="C321" s="23" t="s">
        <v>111</v>
      </c>
      <c r="D321">
        <v>816</v>
      </c>
      <c r="E321" s="132">
        <v>0</v>
      </c>
      <c r="F321" s="132">
        <v>0</v>
      </c>
      <c r="G321" s="132">
        <v>0</v>
      </c>
      <c r="H321" s="132">
        <v>0</v>
      </c>
      <c r="I321" s="132">
        <v>0</v>
      </c>
      <c r="J321" s="132">
        <v>0</v>
      </c>
      <c r="K321" s="132">
        <v>0</v>
      </c>
      <c r="L321" s="132">
        <v>0</v>
      </c>
      <c r="M321" s="132">
        <v>0</v>
      </c>
      <c r="N321" s="132">
        <v>0</v>
      </c>
      <c r="O321" s="132">
        <v>0</v>
      </c>
      <c r="P321" s="132">
        <v>0</v>
      </c>
      <c r="Q321" s="132">
        <v>0</v>
      </c>
      <c r="R321" s="132">
        <v>0</v>
      </c>
      <c r="S321" s="132">
        <v>0</v>
      </c>
      <c r="T321" s="128">
        <f t="shared" si="10"/>
        <v>0</v>
      </c>
    </row>
    <row r="322" spans="1:20" x14ac:dyDescent="0.2">
      <c r="A322" s="23" t="s">
        <v>102</v>
      </c>
      <c r="B322">
        <v>8</v>
      </c>
      <c r="C322" s="23" t="s">
        <v>111</v>
      </c>
      <c r="D322">
        <v>817</v>
      </c>
      <c r="E322" s="132">
        <v>0</v>
      </c>
      <c r="F322" s="132">
        <v>0</v>
      </c>
      <c r="G322" s="132">
        <v>0</v>
      </c>
      <c r="H322" s="132">
        <v>0</v>
      </c>
      <c r="I322" s="132">
        <v>0</v>
      </c>
      <c r="J322" s="132">
        <v>0</v>
      </c>
      <c r="K322" s="132">
        <v>0</v>
      </c>
      <c r="L322" s="132">
        <v>0</v>
      </c>
      <c r="M322" s="132">
        <v>0</v>
      </c>
      <c r="N322" s="132">
        <v>0</v>
      </c>
      <c r="O322" s="132">
        <v>0</v>
      </c>
      <c r="P322" s="132">
        <v>0</v>
      </c>
      <c r="Q322" s="132">
        <v>0</v>
      </c>
      <c r="R322" s="132">
        <v>0</v>
      </c>
      <c r="S322" s="132">
        <v>0</v>
      </c>
      <c r="T322" s="128">
        <f t="shared" ref="T322:T385" si="12">AVERAGE(E322:S322)</f>
        <v>0</v>
      </c>
    </row>
    <row r="323" spans="1:20" x14ac:dyDescent="0.2">
      <c r="A323" s="23" t="s">
        <v>102</v>
      </c>
      <c r="B323">
        <v>8</v>
      </c>
      <c r="C323" s="23" t="s">
        <v>111</v>
      </c>
      <c r="D323">
        <v>818</v>
      </c>
      <c r="E323" s="132">
        <v>0</v>
      </c>
      <c r="F323" s="132">
        <v>0</v>
      </c>
      <c r="G323" s="132">
        <v>0</v>
      </c>
      <c r="H323" s="132">
        <v>0</v>
      </c>
      <c r="I323" s="132">
        <v>0</v>
      </c>
      <c r="J323" s="132">
        <v>0</v>
      </c>
      <c r="K323" s="132">
        <v>0</v>
      </c>
      <c r="L323" s="132">
        <v>0</v>
      </c>
      <c r="M323" s="132">
        <v>0</v>
      </c>
      <c r="N323" s="132">
        <v>0</v>
      </c>
      <c r="O323" s="132">
        <v>0</v>
      </c>
      <c r="P323" s="132">
        <v>0</v>
      </c>
      <c r="Q323" s="132">
        <v>0</v>
      </c>
      <c r="R323" s="132">
        <v>0</v>
      </c>
      <c r="S323" s="132">
        <v>0</v>
      </c>
      <c r="T323" s="128">
        <f t="shared" si="12"/>
        <v>0</v>
      </c>
    </row>
    <row r="324" spans="1:20" x14ac:dyDescent="0.2">
      <c r="A324" s="23" t="s">
        <v>102</v>
      </c>
      <c r="B324">
        <v>8</v>
      </c>
      <c r="C324" s="23" t="s">
        <v>111</v>
      </c>
      <c r="D324">
        <v>819</v>
      </c>
      <c r="E324" s="132">
        <v>0</v>
      </c>
      <c r="F324" s="132">
        <v>0</v>
      </c>
      <c r="G324" s="132">
        <v>0</v>
      </c>
      <c r="H324" s="132">
        <v>0</v>
      </c>
      <c r="I324" s="132">
        <v>0</v>
      </c>
      <c r="J324" s="132">
        <v>0</v>
      </c>
      <c r="K324" s="132">
        <v>0</v>
      </c>
      <c r="L324" s="132">
        <v>0</v>
      </c>
      <c r="M324" s="132">
        <v>0</v>
      </c>
      <c r="N324" s="132">
        <v>0</v>
      </c>
      <c r="O324" s="132">
        <v>0</v>
      </c>
      <c r="P324" s="132">
        <v>0</v>
      </c>
      <c r="Q324" s="132">
        <v>0</v>
      </c>
      <c r="R324" s="132">
        <v>0</v>
      </c>
      <c r="S324" s="132">
        <v>0</v>
      </c>
      <c r="T324" s="128">
        <f t="shared" si="12"/>
        <v>0</v>
      </c>
    </row>
    <row r="325" spans="1:20" x14ac:dyDescent="0.2">
      <c r="A325" s="23" t="s">
        <v>102</v>
      </c>
      <c r="B325">
        <v>8</v>
      </c>
      <c r="C325" s="23" t="s">
        <v>111</v>
      </c>
      <c r="D325">
        <v>820</v>
      </c>
      <c r="E325" s="132">
        <v>0</v>
      </c>
      <c r="F325" s="132">
        <v>0</v>
      </c>
      <c r="G325" s="132">
        <v>0</v>
      </c>
      <c r="H325" s="132">
        <v>0</v>
      </c>
      <c r="I325" s="132">
        <v>0</v>
      </c>
      <c r="J325" s="132">
        <v>0</v>
      </c>
      <c r="K325" s="132">
        <v>0</v>
      </c>
      <c r="L325" s="132">
        <v>0</v>
      </c>
      <c r="M325" s="132">
        <v>0</v>
      </c>
      <c r="N325" s="132">
        <v>0</v>
      </c>
      <c r="O325" s="132">
        <v>0</v>
      </c>
      <c r="P325" s="132">
        <v>0</v>
      </c>
      <c r="Q325" s="132">
        <v>0</v>
      </c>
      <c r="R325" s="132">
        <v>0</v>
      </c>
      <c r="S325" s="132">
        <v>0</v>
      </c>
      <c r="T325" s="128">
        <f t="shared" si="12"/>
        <v>0</v>
      </c>
    </row>
    <row r="326" spans="1:20" x14ac:dyDescent="0.2">
      <c r="A326" s="23" t="s">
        <v>102</v>
      </c>
      <c r="B326">
        <v>8</v>
      </c>
      <c r="C326" s="23" t="s">
        <v>111</v>
      </c>
      <c r="D326">
        <v>821</v>
      </c>
      <c r="E326" s="132">
        <v>0</v>
      </c>
      <c r="F326" s="132">
        <v>0</v>
      </c>
      <c r="G326" s="132">
        <v>0</v>
      </c>
      <c r="H326" s="132">
        <v>0</v>
      </c>
      <c r="I326" s="132">
        <v>0</v>
      </c>
      <c r="J326" s="132">
        <v>0</v>
      </c>
      <c r="K326" s="132">
        <v>0</v>
      </c>
      <c r="L326" s="132">
        <v>0</v>
      </c>
      <c r="M326" s="132">
        <v>0</v>
      </c>
      <c r="N326" s="132">
        <v>0</v>
      </c>
      <c r="O326" s="132">
        <v>0</v>
      </c>
      <c r="P326" s="132">
        <v>0</v>
      </c>
      <c r="Q326" s="132">
        <v>0</v>
      </c>
      <c r="R326" s="132">
        <v>0</v>
      </c>
      <c r="S326" s="132">
        <v>0</v>
      </c>
      <c r="T326" s="128">
        <f t="shared" si="12"/>
        <v>0</v>
      </c>
    </row>
    <row r="327" spans="1:20" x14ac:dyDescent="0.2">
      <c r="A327" s="23"/>
      <c r="C327" s="23"/>
      <c r="E327" s="132"/>
      <c r="F327" s="132">
        <f t="shared" ref="F327:S327" si="13">AVERAGE(F283:F326)</f>
        <v>0</v>
      </c>
      <c r="G327" s="132">
        <f t="shared" si="13"/>
        <v>0</v>
      </c>
      <c r="H327" s="132">
        <f t="shared" si="13"/>
        <v>0</v>
      </c>
      <c r="I327" s="132">
        <f t="shared" si="13"/>
        <v>0</v>
      </c>
      <c r="J327" s="132">
        <f t="shared" si="13"/>
        <v>0</v>
      </c>
      <c r="K327" s="132">
        <f t="shared" si="13"/>
        <v>0</v>
      </c>
      <c r="L327" s="132">
        <f t="shared" si="13"/>
        <v>0</v>
      </c>
      <c r="M327" s="132">
        <f t="shared" si="13"/>
        <v>0</v>
      </c>
      <c r="N327" s="132">
        <f t="shared" si="13"/>
        <v>0</v>
      </c>
      <c r="O327" s="132">
        <f t="shared" si="13"/>
        <v>0</v>
      </c>
      <c r="P327" s="132">
        <f t="shared" si="13"/>
        <v>0</v>
      </c>
      <c r="Q327" s="132">
        <f t="shared" si="13"/>
        <v>0</v>
      </c>
      <c r="R327" s="132">
        <f t="shared" si="13"/>
        <v>0</v>
      </c>
      <c r="S327" s="132">
        <f t="shared" si="13"/>
        <v>0</v>
      </c>
      <c r="T327" s="128">
        <f t="shared" si="12"/>
        <v>0</v>
      </c>
    </row>
    <row r="328" spans="1:20" x14ac:dyDescent="0.2">
      <c r="A328" s="23" t="s">
        <v>102</v>
      </c>
      <c r="B328">
        <v>9</v>
      </c>
      <c r="C328" s="23" t="s">
        <v>112</v>
      </c>
      <c r="D328">
        <v>901</v>
      </c>
      <c r="E328" s="132">
        <v>0</v>
      </c>
      <c r="F328" s="132">
        <v>0</v>
      </c>
      <c r="G328" s="132">
        <v>0</v>
      </c>
      <c r="H328" s="132">
        <v>0</v>
      </c>
      <c r="I328" s="132">
        <v>0</v>
      </c>
      <c r="J328" s="132">
        <v>0</v>
      </c>
      <c r="K328" s="132">
        <v>0</v>
      </c>
      <c r="L328" s="132">
        <v>0</v>
      </c>
      <c r="M328" s="132">
        <v>0</v>
      </c>
      <c r="N328" s="132">
        <v>0</v>
      </c>
      <c r="O328" s="132">
        <v>0</v>
      </c>
      <c r="P328" s="132">
        <v>0</v>
      </c>
      <c r="Q328" s="132">
        <v>0</v>
      </c>
      <c r="R328" s="132">
        <v>0</v>
      </c>
      <c r="S328" s="132">
        <v>0</v>
      </c>
      <c r="T328" s="128">
        <f t="shared" si="12"/>
        <v>0</v>
      </c>
    </row>
    <row r="329" spans="1:20" x14ac:dyDescent="0.2">
      <c r="A329" s="23" t="s">
        <v>102</v>
      </c>
      <c r="B329">
        <v>9</v>
      </c>
      <c r="C329" s="23" t="s">
        <v>112</v>
      </c>
      <c r="D329">
        <v>902</v>
      </c>
      <c r="E329" s="132">
        <v>0</v>
      </c>
      <c r="F329" s="132">
        <v>0</v>
      </c>
      <c r="G329" s="132">
        <v>0</v>
      </c>
      <c r="H329" s="132">
        <v>0</v>
      </c>
      <c r="I329" s="132">
        <v>0</v>
      </c>
      <c r="J329" s="132">
        <v>0</v>
      </c>
      <c r="K329" s="132">
        <v>0</v>
      </c>
      <c r="L329" s="132">
        <v>0</v>
      </c>
      <c r="M329" s="132">
        <v>0</v>
      </c>
      <c r="N329" s="132">
        <v>0</v>
      </c>
      <c r="O329" s="132">
        <v>0</v>
      </c>
      <c r="P329" s="132">
        <v>0</v>
      </c>
      <c r="Q329" s="132">
        <v>0</v>
      </c>
      <c r="R329" s="132">
        <v>0</v>
      </c>
      <c r="S329" s="132">
        <v>0</v>
      </c>
      <c r="T329" s="128">
        <f t="shared" si="12"/>
        <v>0</v>
      </c>
    </row>
    <row r="330" spans="1:20" x14ac:dyDescent="0.2">
      <c r="A330" s="23" t="s">
        <v>102</v>
      </c>
      <c r="B330">
        <v>9</v>
      </c>
      <c r="C330" s="23" t="s">
        <v>112</v>
      </c>
      <c r="D330">
        <v>903</v>
      </c>
      <c r="E330" s="132">
        <v>0</v>
      </c>
      <c r="F330" s="132">
        <v>0</v>
      </c>
      <c r="G330" s="132">
        <v>0</v>
      </c>
      <c r="H330" s="132">
        <v>0</v>
      </c>
      <c r="I330" s="132">
        <v>0</v>
      </c>
      <c r="J330" s="132">
        <v>0</v>
      </c>
      <c r="K330" s="132">
        <v>0</v>
      </c>
      <c r="L330" s="132">
        <v>0</v>
      </c>
      <c r="M330" s="132">
        <v>0</v>
      </c>
      <c r="N330" s="132">
        <v>0</v>
      </c>
      <c r="O330" s="132">
        <v>0</v>
      </c>
      <c r="P330" s="132">
        <v>0</v>
      </c>
      <c r="Q330" s="132">
        <v>0</v>
      </c>
      <c r="R330" s="132">
        <v>0</v>
      </c>
      <c r="S330" s="132">
        <v>0</v>
      </c>
      <c r="T330" s="128">
        <f t="shared" si="12"/>
        <v>0</v>
      </c>
    </row>
    <row r="331" spans="1:20" x14ac:dyDescent="0.2">
      <c r="A331" s="23" t="s">
        <v>102</v>
      </c>
      <c r="B331">
        <v>9</v>
      </c>
      <c r="C331" s="23" t="s">
        <v>112</v>
      </c>
      <c r="D331">
        <v>904</v>
      </c>
      <c r="E331" s="132">
        <v>0</v>
      </c>
      <c r="F331" s="132">
        <v>0</v>
      </c>
      <c r="G331" s="132">
        <v>0</v>
      </c>
      <c r="H331" s="132">
        <v>0</v>
      </c>
      <c r="I331" s="132">
        <v>0</v>
      </c>
      <c r="J331" s="132">
        <v>0</v>
      </c>
      <c r="K331" s="132">
        <v>0</v>
      </c>
      <c r="L331" s="132">
        <v>0</v>
      </c>
      <c r="M331" s="132">
        <v>0</v>
      </c>
      <c r="N331" s="132">
        <v>0</v>
      </c>
      <c r="O331" s="132">
        <v>0</v>
      </c>
      <c r="P331" s="132">
        <v>0</v>
      </c>
      <c r="Q331" s="132">
        <v>0</v>
      </c>
      <c r="R331" s="132">
        <v>0</v>
      </c>
      <c r="S331" s="132">
        <v>0</v>
      </c>
      <c r="T331" s="128">
        <f t="shared" si="12"/>
        <v>0</v>
      </c>
    </row>
    <row r="332" spans="1:20" x14ac:dyDescent="0.2">
      <c r="A332" s="23" t="s">
        <v>102</v>
      </c>
      <c r="B332">
        <v>9</v>
      </c>
      <c r="C332" s="23" t="s">
        <v>112</v>
      </c>
      <c r="D332">
        <v>905</v>
      </c>
      <c r="E332" s="132">
        <v>0</v>
      </c>
      <c r="F332" s="132">
        <v>0</v>
      </c>
      <c r="G332" s="132">
        <v>0</v>
      </c>
      <c r="H332" s="132">
        <v>0</v>
      </c>
      <c r="I332" s="132">
        <v>0</v>
      </c>
      <c r="J332" s="132">
        <v>0</v>
      </c>
      <c r="K332" s="132">
        <v>0</v>
      </c>
      <c r="L332" s="132">
        <v>0</v>
      </c>
      <c r="M332" s="132">
        <v>0</v>
      </c>
      <c r="N332" s="132">
        <v>0</v>
      </c>
      <c r="O332" s="132">
        <v>0</v>
      </c>
      <c r="P332" s="132">
        <v>0</v>
      </c>
      <c r="Q332" s="132">
        <v>0</v>
      </c>
      <c r="R332" s="132">
        <v>0</v>
      </c>
      <c r="S332" s="132">
        <v>0</v>
      </c>
      <c r="T332" s="128">
        <f t="shared" si="12"/>
        <v>0</v>
      </c>
    </row>
    <row r="333" spans="1:20" x14ac:dyDescent="0.2">
      <c r="A333" s="23" t="s">
        <v>102</v>
      </c>
      <c r="B333">
        <v>9</v>
      </c>
      <c r="C333" s="23" t="s">
        <v>112</v>
      </c>
      <c r="D333">
        <v>906</v>
      </c>
      <c r="E333" s="132">
        <v>0</v>
      </c>
      <c r="F333" s="132">
        <v>0</v>
      </c>
      <c r="G333" s="132">
        <v>0</v>
      </c>
      <c r="H333" s="132">
        <v>0</v>
      </c>
      <c r="I333" s="132">
        <v>0</v>
      </c>
      <c r="J333" s="132">
        <v>0</v>
      </c>
      <c r="K333" s="132">
        <v>0</v>
      </c>
      <c r="L333" s="132">
        <v>0</v>
      </c>
      <c r="M333" s="132">
        <v>0</v>
      </c>
      <c r="N333" s="132">
        <v>0</v>
      </c>
      <c r="O333" s="132">
        <v>0</v>
      </c>
      <c r="P333" s="132">
        <v>0</v>
      </c>
      <c r="Q333" s="132">
        <v>0</v>
      </c>
      <c r="R333" s="132">
        <v>0</v>
      </c>
      <c r="S333" s="132">
        <v>0</v>
      </c>
      <c r="T333" s="128">
        <f t="shared" si="12"/>
        <v>0</v>
      </c>
    </row>
    <row r="334" spans="1:20" x14ac:dyDescent="0.2">
      <c r="A334" s="23" t="s">
        <v>102</v>
      </c>
      <c r="B334">
        <v>9</v>
      </c>
      <c r="C334" s="23" t="s">
        <v>112</v>
      </c>
      <c r="D334">
        <v>907</v>
      </c>
      <c r="E334" s="132">
        <v>0</v>
      </c>
      <c r="F334" s="132">
        <v>0</v>
      </c>
      <c r="G334" s="132">
        <v>0</v>
      </c>
      <c r="H334" s="132">
        <v>0</v>
      </c>
      <c r="I334" s="132">
        <v>0</v>
      </c>
      <c r="J334" s="132">
        <v>0</v>
      </c>
      <c r="K334" s="132">
        <v>0</v>
      </c>
      <c r="L334" s="132">
        <v>0</v>
      </c>
      <c r="M334" s="132">
        <v>0</v>
      </c>
      <c r="N334" s="132">
        <v>0</v>
      </c>
      <c r="O334" s="132">
        <v>0</v>
      </c>
      <c r="P334" s="132">
        <v>0</v>
      </c>
      <c r="Q334" s="132">
        <v>0</v>
      </c>
      <c r="R334" s="132">
        <v>0</v>
      </c>
      <c r="S334" s="132">
        <v>0</v>
      </c>
      <c r="T334" s="128">
        <f t="shared" si="12"/>
        <v>0</v>
      </c>
    </row>
    <row r="335" spans="1:20" x14ac:dyDescent="0.2">
      <c r="A335" s="23" t="s">
        <v>102</v>
      </c>
      <c r="B335">
        <v>9</v>
      </c>
      <c r="C335" s="23" t="s">
        <v>112</v>
      </c>
      <c r="D335">
        <v>908</v>
      </c>
      <c r="E335" s="132">
        <v>0</v>
      </c>
      <c r="F335" s="132">
        <v>0</v>
      </c>
      <c r="G335" s="132">
        <v>0</v>
      </c>
      <c r="H335" s="132">
        <v>0</v>
      </c>
      <c r="I335" s="132">
        <v>0</v>
      </c>
      <c r="J335" s="132">
        <v>0</v>
      </c>
      <c r="K335" s="132">
        <v>0</v>
      </c>
      <c r="L335" s="132">
        <v>0</v>
      </c>
      <c r="M335" s="132">
        <v>0</v>
      </c>
      <c r="N335" s="132">
        <v>0</v>
      </c>
      <c r="O335" s="132">
        <v>0</v>
      </c>
      <c r="P335" s="132">
        <v>0</v>
      </c>
      <c r="Q335" s="132">
        <v>0</v>
      </c>
      <c r="R335" s="132">
        <v>0</v>
      </c>
      <c r="S335" s="132">
        <v>0</v>
      </c>
      <c r="T335" s="128">
        <f t="shared" si="12"/>
        <v>0</v>
      </c>
    </row>
    <row r="336" spans="1:20" x14ac:dyDescent="0.2">
      <c r="A336" s="23" t="s">
        <v>102</v>
      </c>
      <c r="B336">
        <v>9</v>
      </c>
      <c r="C336" s="23" t="s">
        <v>112</v>
      </c>
      <c r="D336">
        <v>909</v>
      </c>
      <c r="E336" s="132">
        <v>0</v>
      </c>
      <c r="F336" s="132">
        <v>0</v>
      </c>
      <c r="G336" s="132">
        <v>0</v>
      </c>
      <c r="H336" s="132">
        <v>0</v>
      </c>
      <c r="I336" s="132">
        <v>0</v>
      </c>
      <c r="J336" s="132">
        <v>0</v>
      </c>
      <c r="K336" s="132">
        <v>0</v>
      </c>
      <c r="L336" s="132">
        <v>0</v>
      </c>
      <c r="M336" s="132">
        <v>0</v>
      </c>
      <c r="N336" s="132">
        <v>0</v>
      </c>
      <c r="O336" s="132">
        <v>0</v>
      </c>
      <c r="P336" s="132">
        <v>0</v>
      </c>
      <c r="Q336" s="132">
        <v>0</v>
      </c>
      <c r="R336" s="132">
        <v>0</v>
      </c>
      <c r="S336" s="132">
        <v>0</v>
      </c>
      <c r="T336" s="128">
        <f t="shared" si="12"/>
        <v>0</v>
      </c>
    </row>
    <row r="337" spans="1:20" x14ac:dyDescent="0.2">
      <c r="A337" s="23" t="s">
        <v>102</v>
      </c>
      <c r="B337">
        <v>9</v>
      </c>
      <c r="C337" s="23" t="s">
        <v>112</v>
      </c>
      <c r="D337">
        <v>910</v>
      </c>
      <c r="E337" s="132">
        <v>0</v>
      </c>
      <c r="F337" s="132">
        <v>0</v>
      </c>
      <c r="G337" s="132">
        <v>0</v>
      </c>
      <c r="H337" s="132">
        <v>0</v>
      </c>
      <c r="I337" s="132">
        <v>0</v>
      </c>
      <c r="J337" s="132">
        <v>0</v>
      </c>
      <c r="K337" s="132">
        <v>0</v>
      </c>
      <c r="L337" s="132">
        <v>0</v>
      </c>
      <c r="M337" s="132">
        <v>0</v>
      </c>
      <c r="N337" s="132">
        <v>0</v>
      </c>
      <c r="O337" s="132">
        <v>0</v>
      </c>
      <c r="P337" s="132">
        <v>0</v>
      </c>
      <c r="Q337" s="132">
        <v>0</v>
      </c>
      <c r="R337" s="132">
        <v>0</v>
      </c>
      <c r="S337" s="132">
        <v>0</v>
      </c>
      <c r="T337" s="128">
        <f t="shared" si="12"/>
        <v>0</v>
      </c>
    </row>
    <row r="338" spans="1:20" x14ac:dyDescent="0.2">
      <c r="A338" s="23" t="s">
        <v>102</v>
      </c>
      <c r="B338">
        <v>9</v>
      </c>
      <c r="C338" s="23" t="s">
        <v>112</v>
      </c>
      <c r="D338">
        <v>911</v>
      </c>
      <c r="E338" s="132">
        <v>0</v>
      </c>
      <c r="F338" s="132">
        <v>0</v>
      </c>
      <c r="G338" s="132">
        <v>0</v>
      </c>
      <c r="H338" s="132">
        <v>0</v>
      </c>
      <c r="I338" s="132">
        <v>0</v>
      </c>
      <c r="J338" s="132">
        <v>0</v>
      </c>
      <c r="K338" s="132">
        <v>0</v>
      </c>
      <c r="L338" s="132">
        <v>0</v>
      </c>
      <c r="M338" s="132">
        <v>0</v>
      </c>
      <c r="N338" s="132">
        <v>0</v>
      </c>
      <c r="O338" s="132">
        <v>0</v>
      </c>
      <c r="P338" s="132">
        <v>0</v>
      </c>
      <c r="Q338" s="132">
        <v>0</v>
      </c>
      <c r="R338" s="132">
        <v>0</v>
      </c>
      <c r="S338" s="132">
        <v>0</v>
      </c>
      <c r="T338" s="128">
        <f t="shared" si="12"/>
        <v>0</v>
      </c>
    </row>
    <row r="339" spans="1:20" x14ac:dyDescent="0.2">
      <c r="A339" s="23" t="s">
        <v>102</v>
      </c>
      <c r="B339">
        <v>9</v>
      </c>
      <c r="C339" s="23" t="s">
        <v>112</v>
      </c>
      <c r="D339">
        <v>912</v>
      </c>
      <c r="E339" s="132">
        <v>0</v>
      </c>
      <c r="F339" s="132">
        <v>0</v>
      </c>
      <c r="G339" s="132">
        <v>0</v>
      </c>
      <c r="H339" s="132">
        <v>0</v>
      </c>
      <c r="I339" s="132">
        <v>0</v>
      </c>
      <c r="J339" s="132">
        <v>0</v>
      </c>
      <c r="K339" s="132">
        <v>0</v>
      </c>
      <c r="L339" s="132">
        <v>0</v>
      </c>
      <c r="M339" s="132">
        <v>0</v>
      </c>
      <c r="N339" s="132">
        <v>0</v>
      </c>
      <c r="O339" s="132">
        <v>0</v>
      </c>
      <c r="P339" s="132">
        <v>0</v>
      </c>
      <c r="Q339" s="132">
        <v>0</v>
      </c>
      <c r="R339" s="132">
        <v>0</v>
      </c>
      <c r="S339" s="132">
        <v>0</v>
      </c>
      <c r="T339" s="128">
        <f t="shared" si="12"/>
        <v>0</v>
      </c>
    </row>
    <row r="340" spans="1:20" x14ac:dyDescent="0.2">
      <c r="A340" s="23" t="s">
        <v>102</v>
      </c>
      <c r="B340">
        <v>9</v>
      </c>
      <c r="C340" s="23" t="s">
        <v>112</v>
      </c>
      <c r="D340">
        <v>913</v>
      </c>
      <c r="E340" s="132">
        <v>0</v>
      </c>
      <c r="F340" s="132">
        <v>0</v>
      </c>
      <c r="G340" s="132">
        <v>0</v>
      </c>
      <c r="H340" s="132">
        <v>0</v>
      </c>
      <c r="I340" s="132">
        <v>0</v>
      </c>
      <c r="J340" s="132">
        <v>0</v>
      </c>
      <c r="K340" s="132">
        <v>0</v>
      </c>
      <c r="L340" s="132">
        <v>0</v>
      </c>
      <c r="M340" s="132">
        <v>0</v>
      </c>
      <c r="N340" s="132">
        <v>0</v>
      </c>
      <c r="O340" s="132">
        <v>0</v>
      </c>
      <c r="P340" s="132">
        <v>0</v>
      </c>
      <c r="Q340" s="132">
        <v>0</v>
      </c>
      <c r="R340" s="132">
        <v>0</v>
      </c>
      <c r="S340" s="132">
        <v>0</v>
      </c>
      <c r="T340" s="128">
        <f t="shared" si="12"/>
        <v>0</v>
      </c>
    </row>
    <row r="341" spans="1:20" x14ac:dyDescent="0.2">
      <c r="A341" s="23" t="s">
        <v>102</v>
      </c>
      <c r="B341">
        <v>9</v>
      </c>
      <c r="C341" s="23" t="s">
        <v>112</v>
      </c>
      <c r="D341">
        <v>914</v>
      </c>
      <c r="E341" s="132">
        <v>0</v>
      </c>
      <c r="F341" s="132">
        <v>0</v>
      </c>
      <c r="G341" s="132">
        <v>0</v>
      </c>
      <c r="H341" s="132">
        <v>0</v>
      </c>
      <c r="I341" s="132">
        <v>0</v>
      </c>
      <c r="J341" s="132">
        <v>0</v>
      </c>
      <c r="K341" s="132">
        <v>0</v>
      </c>
      <c r="L341" s="132">
        <v>0</v>
      </c>
      <c r="M341" s="132">
        <v>0</v>
      </c>
      <c r="N341" s="132">
        <v>0</v>
      </c>
      <c r="O341" s="132">
        <v>0</v>
      </c>
      <c r="P341" s="132">
        <v>0</v>
      </c>
      <c r="Q341" s="132">
        <v>0</v>
      </c>
      <c r="R341" s="132">
        <v>0</v>
      </c>
      <c r="S341" s="132">
        <v>0</v>
      </c>
      <c r="T341" s="128">
        <f t="shared" si="12"/>
        <v>0</v>
      </c>
    </row>
    <row r="342" spans="1:20" x14ac:dyDescent="0.2">
      <c r="A342" s="23" t="s">
        <v>102</v>
      </c>
      <c r="B342">
        <v>9</v>
      </c>
      <c r="C342" s="23" t="s">
        <v>112</v>
      </c>
      <c r="D342">
        <v>915</v>
      </c>
      <c r="E342" s="132">
        <v>0</v>
      </c>
      <c r="F342" s="132">
        <v>0</v>
      </c>
      <c r="G342" s="132">
        <v>0</v>
      </c>
      <c r="H342" s="132">
        <v>0</v>
      </c>
      <c r="I342" s="132">
        <v>0</v>
      </c>
      <c r="J342" s="132">
        <v>0</v>
      </c>
      <c r="K342" s="132">
        <v>0</v>
      </c>
      <c r="L342" s="132">
        <v>0</v>
      </c>
      <c r="M342" s="132">
        <v>0</v>
      </c>
      <c r="N342" s="132">
        <v>0</v>
      </c>
      <c r="O342" s="132">
        <v>0</v>
      </c>
      <c r="P342" s="132">
        <v>0</v>
      </c>
      <c r="Q342" s="132">
        <v>0</v>
      </c>
      <c r="R342" s="132">
        <v>0</v>
      </c>
      <c r="S342" s="132">
        <v>0</v>
      </c>
      <c r="T342" s="128">
        <f t="shared" si="12"/>
        <v>0</v>
      </c>
    </row>
    <row r="343" spans="1:20" x14ac:dyDescent="0.2">
      <c r="A343" s="23" t="s">
        <v>102</v>
      </c>
      <c r="B343">
        <v>9</v>
      </c>
      <c r="C343" s="23" t="s">
        <v>112</v>
      </c>
      <c r="D343">
        <v>916</v>
      </c>
      <c r="E343" s="132">
        <v>0</v>
      </c>
      <c r="F343" s="132">
        <v>0</v>
      </c>
      <c r="G343" s="132">
        <v>0</v>
      </c>
      <c r="H343" s="132">
        <v>0</v>
      </c>
      <c r="I343" s="132">
        <v>0</v>
      </c>
      <c r="J343" s="132">
        <v>0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0</v>
      </c>
      <c r="Q343" s="132">
        <v>0</v>
      </c>
      <c r="R343" s="132">
        <v>0</v>
      </c>
      <c r="S343" s="132">
        <v>0</v>
      </c>
      <c r="T343" s="128">
        <f t="shared" si="12"/>
        <v>0</v>
      </c>
    </row>
    <row r="344" spans="1:20" x14ac:dyDescent="0.2">
      <c r="A344" s="23" t="s">
        <v>102</v>
      </c>
      <c r="B344">
        <v>9</v>
      </c>
      <c r="C344" s="23" t="s">
        <v>112</v>
      </c>
      <c r="D344">
        <v>917</v>
      </c>
      <c r="E344" s="132">
        <v>0</v>
      </c>
      <c r="F344" s="132">
        <v>0</v>
      </c>
      <c r="G344" s="132">
        <v>0</v>
      </c>
      <c r="H344" s="132">
        <v>0</v>
      </c>
      <c r="I344" s="132">
        <v>0</v>
      </c>
      <c r="J344" s="132">
        <v>0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0</v>
      </c>
      <c r="Q344" s="132">
        <v>0</v>
      </c>
      <c r="R344" s="132">
        <v>0</v>
      </c>
      <c r="S344" s="132">
        <v>0</v>
      </c>
      <c r="T344" s="128">
        <f t="shared" si="12"/>
        <v>0</v>
      </c>
    </row>
    <row r="345" spans="1:20" x14ac:dyDescent="0.2">
      <c r="A345" s="23" t="s">
        <v>102</v>
      </c>
      <c r="B345">
        <v>9</v>
      </c>
      <c r="C345" s="23" t="s">
        <v>112</v>
      </c>
      <c r="D345">
        <v>918</v>
      </c>
      <c r="E345" s="132">
        <v>0</v>
      </c>
      <c r="F345" s="132">
        <v>0</v>
      </c>
      <c r="G345" s="132">
        <v>0</v>
      </c>
      <c r="H345" s="132">
        <v>0</v>
      </c>
      <c r="I345" s="132">
        <v>0</v>
      </c>
      <c r="J345" s="132">
        <v>0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0</v>
      </c>
      <c r="Q345" s="132">
        <v>0</v>
      </c>
      <c r="R345" s="132">
        <v>0</v>
      </c>
      <c r="S345" s="132">
        <v>0</v>
      </c>
      <c r="T345" s="128">
        <f t="shared" si="12"/>
        <v>0</v>
      </c>
    </row>
    <row r="346" spans="1:20" x14ac:dyDescent="0.2">
      <c r="A346" s="23" t="s">
        <v>102</v>
      </c>
      <c r="B346">
        <v>9</v>
      </c>
      <c r="C346" s="23" t="s">
        <v>112</v>
      </c>
      <c r="D346">
        <v>919</v>
      </c>
      <c r="E346" s="132">
        <v>0</v>
      </c>
      <c r="F346" s="132">
        <v>0</v>
      </c>
      <c r="G346" s="132">
        <v>0</v>
      </c>
      <c r="H346" s="132">
        <v>0</v>
      </c>
      <c r="I346" s="132">
        <v>0</v>
      </c>
      <c r="J346" s="132">
        <v>0</v>
      </c>
      <c r="K346" s="132">
        <v>0</v>
      </c>
      <c r="L346" s="132">
        <v>0</v>
      </c>
      <c r="M346" s="132">
        <v>0</v>
      </c>
      <c r="N346" s="132">
        <v>0</v>
      </c>
      <c r="O346" s="132">
        <v>0</v>
      </c>
      <c r="P346" s="132">
        <v>0</v>
      </c>
      <c r="Q346" s="132">
        <v>0</v>
      </c>
      <c r="R346" s="132">
        <v>0</v>
      </c>
      <c r="S346" s="132">
        <v>0</v>
      </c>
      <c r="T346" s="128">
        <f t="shared" si="12"/>
        <v>0</v>
      </c>
    </row>
    <row r="347" spans="1:20" x14ac:dyDescent="0.2">
      <c r="A347" s="23" t="s">
        <v>102</v>
      </c>
      <c r="B347">
        <v>9</v>
      </c>
      <c r="C347" s="23" t="s">
        <v>112</v>
      </c>
      <c r="D347">
        <v>923</v>
      </c>
      <c r="E347" s="132">
        <v>0</v>
      </c>
      <c r="F347" s="132">
        <v>0</v>
      </c>
      <c r="G347" s="132">
        <v>0</v>
      </c>
      <c r="H347" s="132">
        <v>0</v>
      </c>
      <c r="I347" s="132">
        <v>0</v>
      </c>
      <c r="J347" s="132">
        <v>0</v>
      </c>
      <c r="K347" s="132">
        <v>0</v>
      </c>
      <c r="L347" s="132">
        <v>0</v>
      </c>
      <c r="M347" s="132">
        <v>0</v>
      </c>
      <c r="N347" s="132">
        <v>0</v>
      </c>
      <c r="O347" s="132">
        <v>0</v>
      </c>
      <c r="P347" s="132">
        <v>0</v>
      </c>
      <c r="Q347" s="132">
        <v>0</v>
      </c>
      <c r="R347" s="132">
        <v>0</v>
      </c>
      <c r="S347" s="132">
        <v>0</v>
      </c>
      <c r="T347" s="128">
        <f t="shared" si="12"/>
        <v>0</v>
      </c>
    </row>
    <row r="348" spans="1:20" x14ac:dyDescent="0.2">
      <c r="A348" s="23" t="s">
        <v>102</v>
      </c>
      <c r="B348">
        <v>9</v>
      </c>
      <c r="C348" s="23" t="s">
        <v>111</v>
      </c>
      <c r="D348">
        <v>901</v>
      </c>
      <c r="E348" s="132">
        <v>0</v>
      </c>
      <c r="F348" s="132">
        <v>0</v>
      </c>
      <c r="G348" s="132">
        <v>0</v>
      </c>
      <c r="H348" s="132">
        <v>0</v>
      </c>
      <c r="I348" s="132">
        <v>0</v>
      </c>
      <c r="J348" s="132">
        <v>0</v>
      </c>
      <c r="K348" s="132">
        <v>0</v>
      </c>
      <c r="L348" s="132">
        <v>0</v>
      </c>
      <c r="M348" s="132">
        <v>0</v>
      </c>
      <c r="N348" s="132">
        <v>0</v>
      </c>
      <c r="O348" s="132">
        <v>0</v>
      </c>
      <c r="P348" s="132">
        <v>0</v>
      </c>
      <c r="Q348" s="132">
        <v>0</v>
      </c>
      <c r="R348" s="132">
        <v>0</v>
      </c>
      <c r="S348" s="132">
        <v>0</v>
      </c>
      <c r="T348" s="128">
        <f t="shared" si="12"/>
        <v>0</v>
      </c>
    </row>
    <row r="349" spans="1:20" x14ac:dyDescent="0.2">
      <c r="A349" s="23" t="s">
        <v>102</v>
      </c>
      <c r="B349">
        <v>9</v>
      </c>
      <c r="C349" s="23" t="s">
        <v>111</v>
      </c>
      <c r="D349">
        <v>902</v>
      </c>
      <c r="E349" s="132">
        <v>0</v>
      </c>
      <c r="F349" s="132">
        <v>0</v>
      </c>
      <c r="G349" s="132">
        <v>0</v>
      </c>
      <c r="H349" s="132">
        <v>0</v>
      </c>
      <c r="I349" s="132">
        <v>0</v>
      </c>
      <c r="J349" s="132">
        <v>0</v>
      </c>
      <c r="K349" s="132">
        <v>0</v>
      </c>
      <c r="L349" s="132">
        <v>0</v>
      </c>
      <c r="M349" s="132">
        <v>0</v>
      </c>
      <c r="N349" s="132">
        <v>0</v>
      </c>
      <c r="O349" s="132">
        <v>0</v>
      </c>
      <c r="P349" s="132">
        <v>0</v>
      </c>
      <c r="Q349" s="132">
        <v>0</v>
      </c>
      <c r="R349" s="132">
        <v>0</v>
      </c>
      <c r="S349" s="132">
        <v>0</v>
      </c>
      <c r="T349" s="128">
        <f t="shared" si="12"/>
        <v>0</v>
      </c>
    </row>
    <row r="350" spans="1:20" x14ac:dyDescent="0.2">
      <c r="A350" s="23" t="s">
        <v>102</v>
      </c>
      <c r="B350">
        <v>9</v>
      </c>
      <c r="C350" s="23" t="s">
        <v>111</v>
      </c>
      <c r="D350">
        <v>903</v>
      </c>
      <c r="E350" s="132">
        <v>0</v>
      </c>
      <c r="F350" s="132">
        <v>0</v>
      </c>
      <c r="G350" s="132">
        <v>0</v>
      </c>
      <c r="H350" s="132">
        <v>0</v>
      </c>
      <c r="I350" s="132">
        <v>0</v>
      </c>
      <c r="J350" s="132">
        <v>0</v>
      </c>
      <c r="K350" s="132">
        <v>0</v>
      </c>
      <c r="L350" s="132">
        <v>0</v>
      </c>
      <c r="M350" s="132">
        <v>0</v>
      </c>
      <c r="N350" s="132">
        <v>0</v>
      </c>
      <c r="O350" s="132">
        <v>0</v>
      </c>
      <c r="P350" s="132">
        <v>0</v>
      </c>
      <c r="Q350" s="132">
        <v>0</v>
      </c>
      <c r="R350" s="132">
        <v>0</v>
      </c>
      <c r="S350" s="132">
        <v>0</v>
      </c>
      <c r="T350" s="128">
        <f t="shared" si="12"/>
        <v>0</v>
      </c>
    </row>
    <row r="351" spans="1:20" x14ac:dyDescent="0.2">
      <c r="A351" s="23" t="s">
        <v>102</v>
      </c>
      <c r="B351">
        <v>9</v>
      </c>
      <c r="C351" s="23" t="s">
        <v>111</v>
      </c>
      <c r="D351">
        <v>904</v>
      </c>
      <c r="E351" s="132">
        <v>0</v>
      </c>
      <c r="F351" s="132">
        <v>0</v>
      </c>
      <c r="G351" s="132">
        <v>0</v>
      </c>
      <c r="H351" s="132">
        <v>0</v>
      </c>
      <c r="I351" s="132">
        <v>0</v>
      </c>
      <c r="J351" s="132">
        <v>0</v>
      </c>
      <c r="K351" s="132">
        <v>0</v>
      </c>
      <c r="L351" s="132">
        <v>0</v>
      </c>
      <c r="M351" s="132">
        <v>0</v>
      </c>
      <c r="N351" s="132">
        <v>0</v>
      </c>
      <c r="O351" s="132">
        <v>0</v>
      </c>
      <c r="P351" s="132">
        <v>0</v>
      </c>
      <c r="Q351" s="132">
        <v>0</v>
      </c>
      <c r="R351" s="132">
        <v>0</v>
      </c>
      <c r="S351" s="132">
        <v>0</v>
      </c>
      <c r="T351" s="128">
        <f t="shared" si="12"/>
        <v>0</v>
      </c>
    </row>
    <row r="352" spans="1:20" x14ac:dyDescent="0.2">
      <c r="A352" s="23" t="s">
        <v>102</v>
      </c>
      <c r="B352">
        <v>9</v>
      </c>
      <c r="C352" s="23" t="s">
        <v>111</v>
      </c>
      <c r="D352">
        <v>905</v>
      </c>
      <c r="E352" s="132">
        <v>0</v>
      </c>
      <c r="F352" s="132">
        <v>0</v>
      </c>
      <c r="G352" s="132">
        <v>0</v>
      </c>
      <c r="H352" s="132">
        <v>0</v>
      </c>
      <c r="I352" s="132">
        <v>0</v>
      </c>
      <c r="J352" s="132">
        <v>0</v>
      </c>
      <c r="K352" s="132">
        <v>0</v>
      </c>
      <c r="L352" s="132">
        <v>0</v>
      </c>
      <c r="M352" s="132">
        <v>0</v>
      </c>
      <c r="N352" s="132">
        <v>0</v>
      </c>
      <c r="O352" s="132">
        <v>0</v>
      </c>
      <c r="P352" s="132">
        <v>0</v>
      </c>
      <c r="Q352" s="132">
        <v>0</v>
      </c>
      <c r="R352" s="132">
        <v>0</v>
      </c>
      <c r="S352" s="132">
        <v>0</v>
      </c>
      <c r="T352" s="128">
        <f t="shared" si="12"/>
        <v>0</v>
      </c>
    </row>
    <row r="353" spans="1:20" x14ac:dyDescent="0.2">
      <c r="A353" s="23" t="s">
        <v>102</v>
      </c>
      <c r="B353">
        <v>9</v>
      </c>
      <c r="C353" s="23" t="s">
        <v>111</v>
      </c>
      <c r="D353">
        <v>906</v>
      </c>
      <c r="E353" s="132">
        <v>0</v>
      </c>
      <c r="F353" s="132">
        <v>0</v>
      </c>
      <c r="G353" s="132">
        <v>0</v>
      </c>
      <c r="H353" s="132">
        <v>0</v>
      </c>
      <c r="I353" s="132">
        <v>0</v>
      </c>
      <c r="J353" s="132">
        <v>0</v>
      </c>
      <c r="K353" s="132">
        <v>0</v>
      </c>
      <c r="L353" s="132">
        <v>0</v>
      </c>
      <c r="M353" s="132">
        <v>0</v>
      </c>
      <c r="N353" s="132">
        <v>0</v>
      </c>
      <c r="O353" s="132">
        <v>0</v>
      </c>
      <c r="P353" s="132">
        <v>0</v>
      </c>
      <c r="Q353" s="132">
        <v>0</v>
      </c>
      <c r="R353" s="132">
        <v>0</v>
      </c>
      <c r="S353" s="132">
        <v>0</v>
      </c>
      <c r="T353" s="128">
        <f t="shared" si="12"/>
        <v>0</v>
      </c>
    </row>
    <row r="354" spans="1:20" x14ac:dyDescent="0.2">
      <c r="A354" s="23" t="s">
        <v>102</v>
      </c>
      <c r="B354">
        <v>9</v>
      </c>
      <c r="C354" s="23" t="s">
        <v>111</v>
      </c>
      <c r="D354">
        <v>907</v>
      </c>
      <c r="E354" s="132">
        <v>0</v>
      </c>
      <c r="F354" s="132">
        <v>0</v>
      </c>
      <c r="G354" s="132">
        <v>0</v>
      </c>
      <c r="H354" s="132">
        <v>0</v>
      </c>
      <c r="I354" s="132">
        <v>0</v>
      </c>
      <c r="J354" s="132">
        <v>0</v>
      </c>
      <c r="K354" s="132">
        <v>0</v>
      </c>
      <c r="L354" s="132">
        <v>0</v>
      </c>
      <c r="M354" s="132">
        <v>0</v>
      </c>
      <c r="N354" s="132">
        <v>0</v>
      </c>
      <c r="O354" s="132">
        <v>0</v>
      </c>
      <c r="P354" s="132">
        <v>0</v>
      </c>
      <c r="Q354" s="132">
        <v>0</v>
      </c>
      <c r="R354" s="132">
        <v>0</v>
      </c>
      <c r="S354" s="132">
        <v>0</v>
      </c>
      <c r="T354" s="128">
        <f t="shared" si="12"/>
        <v>0</v>
      </c>
    </row>
    <row r="355" spans="1:20" x14ac:dyDescent="0.2">
      <c r="A355" s="23" t="s">
        <v>102</v>
      </c>
      <c r="B355">
        <v>9</v>
      </c>
      <c r="C355" s="23" t="s">
        <v>111</v>
      </c>
      <c r="D355">
        <v>908</v>
      </c>
      <c r="E355" s="132">
        <v>0</v>
      </c>
      <c r="F355" s="132">
        <v>0</v>
      </c>
      <c r="G355" s="132">
        <v>0</v>
      </c>
      <c r="H355" s="132">
        <v>0</v>
      </c>
      <c r="I355" s="132">
        <v>0</v>
      </c>
      <c r="J355" s="132">
        <v>0</v>
      </c>
      <c r="K355" s="132">
        <v>0</v>
      </c>
      <c r="L355" s="132">
        <v>0</v>
      </c>
      <c r="M355" s="132">
        <v>0</v>
      </c>
      <c r="N355" s="132">
        <v>0</v>
      </c>
      <c r="O355" s="132">
        <v>0</v>
      </c>
      <c r="P355" s="132">
        <v>0</v>
      </c>
      <c r="Q355" s="132">
        <v>0</v>
      </c>
      <c r="R355" s="132">
        <v>0</v>
      </c>
      <c r="S355" s="132">
        <v>0</v>
      </c>
      <c r="T355" s="128">
        <f t="shared" si="12"/>
        <v>0</v>
      </c>
    </row>
    <row r="356" spans="1:20" x14ac:dyDescent="0.2">
      <c r="A356" s="23" t="s">
        <v>102</v>
      </c>
      <c r="B356">
        <v>9</v>
      </c>
      <c r="C356" s="23" t="s">
        <v>111</v>
      </c>
      <c r="D356">
        <v>909</v>
      </c>
      <c r="E356" s="132">
        <v>0</v>
      </c>
      <c r="F356" s="132">
        <v>0</v>
      </c>
      <c r="G356" s="132">
        <v>0</v>
      </c>
      <c r="H356" s="132">
        <v>0</v>
      </c>
      <c r="I356" s="132">
        <v>0</v>
      </c>
      <c r="J356" s="132">
        <v>0</v>
      </c>
      <c r="K356" s="132">
        <v>0</v>
      </c>
      <c r="L356" s="132">
        <v>0</v>
      </c>
      <c r="M356" s="132">
        <v>0</v>
      </c>
      <c r="N356" s="132">
        <v>0</v>
      </c>
      <c r="O356" s="132">
        <v>0</v>
      </c>
      <c r="P356" s="132">
        <v>0</v>
      </c>
      <c r="Q356" s="132">
        <v>0</v>
      </c>
      <c r="R356" s="132">
        <v>0</v>
      </c>
      <c r="S356" s="132">
        <v>0</v>
      </c>
      <c r="T356" s="128">
        <f t="shared" si="12"/>
        <v>0</v>
      </c>
    </row>
    <row r="357" spans="1:20" x14ac:dyDescent="0.2">
      <c r="A357" s="23" t="s">
        <v>102</v>
      </c>
      <c r="B357">
        <v>9</v>
      </c>
      <c r="C357" s="23" t="s">
        <v>111</v>
      </c>
      <c r="D357">
        <v>910</v>
      </c>
      <c r="E357" s="132">
        <v>0</v>
      </c>
      <c r="F357" s="132">
        <v>0</v>
      </c>
      <c r="G357" s="132">
        <v>0</v>
      </c>
      <c r="H357" s="132">
        <v>0</v>
      </c>
      <c r="I357" s="132">
        <v>0</v>
      </c>
      <c r="J357" s="132">
        <v>0</v>
      </c>
      <c r="K357" s="132">
        <v>0</v>
      </c>
      <c r="L357" s="132">
        <v>0</v>
      </c>
      <c r="M357" s="132">
        <v>0</v>
      </c>
      <c r="N357" s="132">
        <v>0</v>
      </c>
      <c r="O357" s="132">
        <v>0</v>
      </c>
      <c r="P357" s="132">
        <v>0</v>
      </c>
      <c r="Q357" s="132">
        <v>0</v>
      </c>
      <c r="R357" s="132">
        <v>0</v>
      </c>
      <c r="S357" s="132">
        <v>0</v>
      </c>
      <c r="T357" s="128">
        <f t="shared" si="12"/>
        <v>0</v>
      </c>
    </row>
    <row r="358" spans="1:20" x14ac:dyDescent="0.2">
      <c r="A358" s="23" t="s">
        <v>102</v>
      </c>
      <c r="B358">
        <v>9</v>
      </c>
      <c r="C358" s="23" t="s">
        <v>111</v>
      </c>
      <c r="D358">
        <v>911</v>
      </c>
      <c r="E358" s="132">
        <v>0</v>
      </c>
      <c r="F358" s="132">
        <v>0</v>
      </c>
      <c r="G358" s="132">
        <v>0</v>
      </c>
      <c r="H358" s="132">
        <v>0</v>
      </c>
      <c r="I358" s="132">
        <v>0</v>
      </c>
      <c r="J358" s="132">
        <v>0</v>
      </c>
      <c r="K358" s="132">
        <v>0</v>
      </c>
      <c r="L358" s="132">
        <v>0</v>
      </c>
      <c r="M358" s="132">
        <v>0</v>
      </c>
      <c r="N358" s="132">
        <v>0</v>
      </c>
      <c r="O358" s="132">
        <v>0</v>
      </c>
      <c r="P358" s="132">
        <v>0</v>
      </c>
      <c r="Q358" s="132">
        <v>0</v>
      </c>
      <c r="R358" s="132">
        <v>0</v>
      </c>
      <c r="S358" s="132">
        <v>0</v>
      </c>
      <c r="T358" s="128">
        <f t="shared" si="12"/>
        <v>0</v>
      </c>
    </row>
    <row r="359" spans="1:20" x14ac:dyDescent="0.2">
      <c r="A359" s="23" t="s">
        <v>102</v>
      </c>
      <c r="B359">
        <v>9</v>
      </c>
      <c r="C359" s="23" t="s">
        <v>111</v>
      </c>
      <c r="D359">
        <v>912</v>
      </c>
      <c r="E359" s="132">
        <v>0</v>
      </c>
      <c r="F359" s="132">
        <v>0</v>
      </c>
      <c r="G359" s="132">
        <v>0</v>
      </c>
      <c r="H359" s="132">
        <v>0</v>
      </c>
      <c r="I359" s="132">
        <v>0</v>
      </c>
      <c r="J359" s="132">
        <v>0</v>
      </c>
      <c r="K359" s="132">
        <v>0</v>
      </c>
      <c r="L359" s="132">
        <v>0</v>
      </c>
      <c r="M359" s="132">
        <v>0</v>
      </c>
      <c r="N359" s="132">
        <v>0</v>
      </c>
      <c r="O359" s="132">
        <v>0</v>
      </c>
      <c r="P359" s="132">
        <v>0</v>
      </c>
      <c r="Q359" s="132">
        <v>0</v>
      </c>
      <c r="R359" s="132">
        <v>0</v>
      </c>
      <c r="S359" s="132">
        <v>0</v>
      </c>
      <c r="T359" s="128">
        <f t="shared" si="12"/>
        <v>0</v>
      </c>
    </row>
    <row r="360" spans="1:20" x14ac:dyDescent="0.2">
      <c r="A360" s="23" t="s">
        <v>102</v>
      </c>
      <c r="B360">
        <v>9</v>
      </c>
      <c r="C360" s="23" t="s">
        <v>111</v>
      </c>
      <c r="D360">
        <v>913</v>
      </c>
      <c r="E360" s="132">
        <v>0</v>
      </c>
      <c r="F360" s="132">
        <v>0</v>
      </c>
      <c r="G360" s="132">
        <v>0</v>
      </c>
      <c r="H360" s="132">
        <v>0</v>
      </c>
      <c r="I360" s="132">
        <v>0</v>
      </c>
      <c r="J360" s="132">
        <v>0</v>
      </c>
      <c r="K360" s="132">
        <v>0</v>
      </c>
      <c r="L360" s="132">
        <v>0</v>
      </c>
      <c r="M360" s="132">
        <v>0</v>
      </c>
      <c r="N360" s="132">
        <v>0</v>
      </c>
      <c r="O360" s="132">
        <v>0</v>
      </c>
      <c r="P360" s="132">
        <v>0</v>
      </c>
      <c r="Q360" s="132">
        <v>0</v>
      </c>
      <c r="R360" s="132">
        <v>0</v>
      </c>
      <c r="S360" s="132">
        <v>0</v>
      </c>
      <c r="T360" s="128">
        <f t="shared" si="12"/>
        <v>0</v>
      </c>
    </row>
    <row r="361" spans="1:20" x14ac:dyDescent="0.2">
      <c r="A361" s="23" t="s">
        <v>102</v>
      </c>
      <c r="B361">
        <v>9</v>
      </c>
      <c r="C361" s="23" t="s">
        <v>111</v>
      </c>
      <c r="D361">
        <v>914</v>
      </c>
      <c r="E361" s="132">
        <v>0</v>
      </c>
      <c r="F361" s="132">
        <v>0</v>
      </c>
      <c r="G361" s="132">
        <v>0</v>
      </c>
      <c r="H361" s="132">
        <v>0</v>
      </c>
      <c r="I361" s="132">
        <v>0</v>
      </c>
      <c r="J361" s="132">
        <v>0</v>
      </c>
      <c r="K361" s="132">
        <v>0</v>
      </c>
      <c r="L361" s="132">
        <v>0</v>
      </c>
      <c r="M361" s="132">
        <v>0</v>
      </c>
      <c r="N361" s="132">
        <v>0</v>
      </c>
      <c r="O361" s="132">
        <v>0</v>
      </c>
      <c r="P361" s="132">
        <v>0</v>
      </c>
      <c r="Q361" s="132">
        <v>0</v>
      </c>
      <c r="R361" s="132">
        <v>0</v>
      </c>
      <c r="S361" s="132">
        <v>0</v>
      </c>
      <c r="T361" s="128">
        <f t="shared" si="12"/>
        <v>0</v>
      </c>
    </row>
    <row r="362" spans="1:20" x14ac:dyDescent="0.2">
      <c r="A362" s="23" t="s">
        <v>102</v>
      </c>
      <c r="B362">
        <v>9</v>
      </c>
      <c r="C362" s="23" t="s">
        <v>111</v>
      </c>
      <c r="D362">
        <v>915</v>
      </c>
      <c r="E362" s="132">
        <v>0</v>
      </c>
      <c r="F362" s="132">
        <v>0</v>
      </c>
      <c r="G362" s="132">
        <v>0</v>
      </c>
      <c r="H362" s="132">
        <v>0</v>
      </c>
      <c r="I362" s="132">
        <v>0</v>
      </c>
      <c r="J362" s="132">
        <v>0</v>
      </c>
      <c r="K362" s="132">
        <v>0</v>
      </c>
      <c r="L362" s="132">
        <v>0</v>
      </c>
      <c r="M362" s="132">
        <v>0</v>
      </c>
      <c r="N362" s="132">
        <v>0</v>
      </c>
      <c r="O362" s="132">
        <v>0</v>
      </c>
      <c r="P362" s="132">
        <v>0</v>
      </c>
      <c r="Q362" s="132">
        <v>0</v>
      </c>
      <c r="R362" s="132">
        <v>0</v>
      </c>
      <c r="S362" s="132">
        <v>0</v>
      </c>
      <c r="T362" s="128">
        <f t="shared" si="12"/>
        <v>0</v>
      </c>
    </row>
    <row r="363" spans="1:20" x14ac:dyDescent="0.2">
      <c r="A363" s="23" t="s">
        <v>102</v>
      </c>
      <c r="B363">
        <v>9</v>
      </c>
      <c r="C363" s="23" t="s">
        <v>111</v>
      </c>
      <c r="D363">
        <v>916</v>
      </c>
      <c r="E363" s="132">
        <v>0</v>
      </c>
      <c r="F363" s="132">
        <v>0</v>
      </c>
      <c r="G363" s="132">
        <v>0</v>
      </c>
      <c r="H363" s="132">
        <v>0</v>
      </c>
      <c r="I363" s="132">
        <v>0</v>
      </c>
      <c r="J363" s="132">
        <v>0</v>
      </c>
      <c r="K363" s="132">
        <v>0</v>
      </c>
      <c r="L363" s="132">
        <v>0</v>
      </c>
      <c r="M363" s="132">
        <v>0</v>
      </c>
      <c r="N363" s="132">
        <v>0</v>
      </c>
      <c r="O363" s="132">
        <v>0</v>
      </c>
      <c r="P363" s="132">
        <v>0</v>
      </c>
      <c r="Q363" s="132">
        <v>0</v>
      </c>
      <c r="R363" s="132">
        <v>0</v>
      </c>
      <c r="S363" s="132">
        <v>0</v>
      </c>
      <c r="T363" s="128">
        <f t="shared" si="12"/>
        <v>0</v>
      </c>
    </row>
    <row r="364" spans="1:20" x14ac:dyDescent="0.2">
      <c r="A364" s="23" t="s">
        <v>102</v>
      </c>
      <c r="B364">
        <v>9</v>
      </c>
      <c r="C364" s="23" t="s">
        <v>111</v>
      </c>
      <c r="D364">
        <v>917</v>
      </c>
      <c r="E364" s="132">
        <v>0</v>
      </c>
      <c r="F364" s="132">
        <v>0</v>
      </c>
      <c r="G364" s="132">
        <v>0</v>
      </c>
      <c r="H364" s="132">
        <v>0</v>
      </c>
      <c r="I364" s="132">
        <v>0</v>
      </c>
      <c r="J364" s="132">
        <v>0</v>
      </c>
      <c r="K364" s="132">
        <v>0</v>
      </c>
      <c r="L364" s="132">
        <v>0</v>
      </c>
      <c r="M364" s="132">
        <v>0</v>
      </c>
      <c r="N364" s="132">
        <v>0</v>
      </c>
      <c r="O364" s="132">
        <v>0</v>
      </c>
      <c r="P364" s="132">
        <v>0</v>
      </c>
      <c r="Q364" s="132">
        <v>0</v>
      </c>
      <c r="R364" s="132">
        <v>0</v>
      </c>
      <c r="S364" s="132">
        <v>0</v>
      </c>
      <c r="T364" s="128">
        <f t="shared" si="12"/>
        <v>0</v>
      </c>
    </row>
    <row r="365" spans="1:20" x14ac:dyDescent="0.2">
      <c r="A365" s="23" t="s">
        <v>102</v>
      </c>
      <c r="B365">
        <v>9</v>
      </c>
      <c r="C365" s="23" t="s">
        <v>111</v>
      </c>
      <c r="D365">
        <v>918</v>
      </c>
      <c r="E365" s="132">
        <v>0</v>
      </c>
      <c r="F365" s="132">
        <v>0</v>
      </c>
      <c r="G365" s="132">
        <v>0</v>
      </c>
      <c r="H365" s="132">
        <v>0</v>
      </c>
      <c r="I365" s="132">
        <v>0</v>
      </c>
      <c r="J365" s="132">
        <v>0</v>
      </c>
      <c r="K365" s="132">
        <v>0</v>
      </c>
      <c r="L365" s="132">
        <v>0</v>
      </c>
      <c r="M365" s="132">
        <v>0</v>
      </c>
      <c r="N365" s="132">
        <v>0</v>
      </c>
      <c r="O365" s="132">
        <v>0</v>
      </c>
      <c r="P365" s="132">
        <v>0</v>
      </c>
      <c r="Q365" s="132">
        <v>0</v>
      </c>
      <c r="R365" s="132">
        <v>0</v>
      </c>
      <c r="S365" s="132">
        <v>0</v>
      </c>
      <c r="T365" s="128">
        <f t="shared" si="12"/>
        <v>0</v>
      </c>
    </row>
    <row r="366" spans="1:20" x14ac:dyDescent="0.2">
      <c r="A366" s="23" t="s">
        <v>102</v>
      </c>
      <c r="B366">
        <v>9</v>
      </c>
      <c r="C366" s="23" t="s">
        <v>111</v>
      </c>
      <c r="D366">
        <v>919</v>
      </c>
      <c r="E366" s="132">
        <v>0</v>
      </c>
      <c r="F366" s="132">
        <v>0</v>
      </c>
      <c r="G366" s="132">
        <v>0</v>
      </c>
      <c r="H366" s="132">
        <v>0</v>
      </c>
      <c r="I366" s="132">
        <v>0</v>
      </c>
      <c r="J366" s="132">
        <v>0</v>
      </c>
      <c r="K366" s="132">
        <v>0</v>
      </c>
      <c r="L366" s="132">
        <v>0</v>
      </c>
      <c r="M366" s="132">
        <v>0</v>
      </c>
      <c r="N366" s="132">
        <v>0</v>
      </c>
      <c r="O366" s="132">
        <v>0</v>
      </c>
      <c r="P366" s="132">
        <v>0</v>
      </c>
      <c r="Q366" s="132">
        <v>0</v>
      </c>
      <c r="R366" s="132">
        <v>0</v>
      </c>
      <c r="S366" s="132">
        <v>0</v>
      </c>
      <c r="T366" s="128">
        <f t="shared" si="12"/>
        <v>0</v>
      </c>
    </row>
    <row r="367" spans="1:20" x14ac:dyDescent="0.2">
      <c r="A367" s="23" t="s">
        <v>102</v>
      </c>
      <c r="B367">
        <v>9</v>
      </c>
      <c r="C367" s="23" t="s">
        <v>111</v>
      </c>
      <c r="D367">
        <v>920</v>
      </c>
      <c r="E367" s="132">
        <v>0</v>
      </c>
      <c r="F367" s="132">
        <v>0</v>
      </c>
      <c r="G367" s="132">
        <v>0</v>
      </c>
      <c r="H367" s="132">
        <v>0</v>
      </c>
      <c r="I367" s="132">
        <v>0</v>
      </c>
      <c r="J367" s="132">
        <v>0</v>
      </c>
      <c r="K367" s="132">
        <v>0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0</v>
      </c>
      <c r="S367" s="132">
        <v>0</v>
      </c>
      <c r="T367" s="128">
        <f t="shared" si="12"/>
        <v>0</v>
      </c>
    </row>
    <row r="368" spans="1:20" x14ac:dyDescent="0.2">
      <c r="A368" s="23" t="s">
        <v>102</v>
      </c>
      <c r="B368">
        <v>9</v>
      </c>
      <c r="C368" s="23" t="s">
        <v>111</v>
      </c>
      <c r="D368">
        <v>921</v>
      </c>
      <c r="E368" s="132">
        <v>0</v>
      </c>
      <c r="F368" s="132">
        <v>0</v>
      </c>
      <c r="G368" s="132">
        <v>0</v>
      </c>
      <c r="H368" s="132">
        <v>0</v>
      </c>
      <c r="I368" s="132">
        <v>0</v>
      </c>
      <c r="J368" s="132">
        <v>0</v>
      </c>
      <c r="K368" s="132">
        <v>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0</v>
      </c>
      <c r="S368" s="132">
        <v>0</v>
      </c>
      <c r="T368" s="128">
        <f t="shared" si="12"/>
        <v>0</v>
      </c>
    </row>
    <row r="369" spans="1:20" x14ac:dyDescent="0.2">
      <c r="A369" s="23"/>
      <c r="C369" s="23"/>
      <c r="E369" s="132"/>
      <c r="F369" s="132">
        <f t="shared" ref="F369:S369" si="14">AVERAGE(F328:F368)</f>
        <v>0</v>
      </c>
      <c r="G369" s="132">
        <f t="shared" si="14"/>
        <v>0</v>
      </c>
      <c r="H369" s="132">
        <f t="shared" si="14"/>
        <v>0</v>
      </c>
      <c r="I369" s="132">
        <f t="shared" si="14"/>
        <v>0</v>
      </c>
      <c r="J369" s="132">
        <f t="shared" si="14"/>
        <v>0</v>
      </c>
      <c r="K369" s="132">
        <f t="shared" si="14"/>
        <v>0</v>
      </c>
      <c r="L369" s="132">
        <f t="shared" si="14"/>
        <v>0</v>
      </c>
      <c r="M369" s="132">
        <f t="shared" si="14"/>
        <v>0</v>
      </c>
      <c r="N369" s="132">
        <f t="shared" si="14"/>
        <v>0</v>
      </c>
      <c r="O369" s="132">
        <f t="shared" si="14"/>
        <v>0</v>
      </c>
      <c r="P369" s="132">
        <f t="shared" si="14"/>
        <v>0</v>
      </c>
      <c r="Q369" s="132">
        <f t="shared" si="14"/>
        <v>0</v>
      </c>
      <c r="R369" s="132">
        <f t="shared" si="14"/>
        <v>0</v>
      </c>
      <c r="S369" s="132">
        <f t="shared" si="14"/>
        <v>0</v>
      </c>
      <c r="T369" s="128">
        <f t="shared" si="12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Z369"/>
  <sheetViews>
    <sheetView workbookViewId="0"/>
  </sheetViews>
  <sheetFormatPr baseColWidth="10" defaultRowHeight="12.75" x14ac:dyDescent="0.2"/>
  <cols>
    <col min="5" max="25" width="5.7109375" style="112" customWidth="1"/>
    <col min="26" max="26" width="11.42578125" style="101" customWidth="1"/>
  </cols>
  <sheetData>
    <row r="1" spans="1:26" ht="174" customHeight="1" x14ac:dyDescent="0.2">
      <c r="A1" s="23" t="s">
        <v>91</v>
      </c>
      <c r="B1" s="23" t="s">
        <v>107</v>
      </c>
      <c r="C1" s="23" t="s">
        <v>108</v>
      </c>
      <c r="D1" s="23" t="s">
        <v>109</v>
      </c>
      <c r="E1" s="112" t="s">
        <v>54</v>
      </c>
      <c r="F1" s="112" t="s">
        <v>55</v>
      </c>
      <c r="G1" s="112" t="s">
        <v>56</v>
      </c>
      <c r="H1" s="112" t="s">
        <v>57</v>
      </c>
      <c r="I1" s="112" t="s">
        <v>58</v>
      </c>
      <c r="J1" s="112" t="s">
        <v>59</v>
      </c>
      <c r="K1" s="112" t="s">
        <v>60</v>
      </c>
      <c r="L1" s="112" t="s">
        <v>61</v>
      </c>
      <c r="M1" s="112" t="s">
        <v>62</v>
      </c>
      <c r="N1" s="112" t="s">
        <v>63</v>
      </c>
      <c r="O1" s="112" t="s">
        <v>64</v>
      </c>
      <c r="P1" s="112" t="s">
        <v>65</v>
      </c>
      <c r="Q1" s="112" t="s">
        <v>66</v>
      </c>
      <c r="R1" s="112" t="s">
        <v>67</v>
      </c>
      <c r="S1" s="112" t="s">
        <v>68</v>
      </c>
      <c r="T1" s="112" t="s">
        <v>69</v>
      </c>
      <c r="U1" s="112" t="s">
        <v>70</v>
      </c>
      <c r="V1" s="112" t="s">
        <v>71</v>
      </c>
      <c r="W1" s="112" t="s">
        <v>72</v>
      </c>
      <c r="X1" s="112" t="s">
        <v>73</v>
      </c>
      <c r="Y1" s="112" t="s">
        <v>74</v>
      </c>
      <c r="Z1" s="113" t="s">
        <v>110</v>
      </c>
    </row>
    <row r="2" spans="1:26" x14ac:dyDescent="0.2">
      <c r="A2" s="23" t="s">
        <v>103</v>
      </c>
      <c r="B2">
        <v>1</v>
      </c>
      <c r="C2" s="23" t="s">
        <v>111</v>
      </c>
      <c r="D2">
        <v>102</v>
      </c>
      <c r="E2" s="132">
        <v>0</v>
      </c>
      <c r="F2" s="132">
        <v>0.9</v>
      </c>
      <c r="G2" s="132">
        <v>1</v>
      </c>
      <c r="H2" s="132">
        <v>0</v>
      </c>
      <c r="I2" s="132">
        <v>0</v>
      </c>
      <c r="J2" s="132">
        <v>0</v>
      </c>
      <c r="K2" s="132">
        <v>0</v>
      </c>
      <c r="L2" s="132">
        <v>0</v>
      </c>
      <c r="M2" s="132">
        <v>0</v>
      </c>
      <c r="N2" s="132">
        <v>0.8</v>
      </c>
      <c r="O2" s="132">
        <v>0</v>
      </c>
      <c r="P2" s="132">
        <v>0</v>
      </c>
      <c r="Q2" s="132">
        <v>0.45</v>
      </c>
      <c r="R2" s="132">
        <v>0</v>
      </c>
      <c r="S2" s="132">
        <v>0</v>
      </c>
      <c r="T2" s="132">
        <v>0</v>
      </c>
      <c r="U2" s="132">
        <v>0</v>
      </c>
      <c r="V2" s="132">
        <v>0</v>
      </c>
      <c r="W2" s="132">
        <v>0</v>
      </c>
      <c r="X2" s="132">
        <v>0</v>
      </c>
      <c r="Y2" s="132">
        <v>0</v>
      </c>
      <c r="Z2" s="128">
        <f t="shared" ref="Z2:Z65" si="0">AVERAGE(E2:Y2)</f>
        <v>0.15000000000000002</v>
      </c>
    </row>
    <row r="3" spans="1:26" x14ac:dyDescent="0.2">
      <c r="A3" s="23" t="s">
        <v>103</v>
      </c>
      <c r="B3">
        <v>1</v>
      </c>
      <c r="C3" s="23" t="s">
        <v>111</v>
      </c>
      <c r="D3">
        <v>103</v>
      </c>
      <c r="E3" s="132">
        <v>0</v>
      </c>
      <c r="F3" s="132">
        <v>0.9</v>
      </c>
      <c r="G3" s="132">
        <v>1</v>
      </c>
      <c r="H3" s="132">
        <v>0</v>
      </c>
      <c r="I3" s="132">
        <v>0</v>
      </c>
      <c r="J3" s="132">
        <v>0</v>
      </c>
      <c r="K3" s="132">
        <v>0</v>
      </c>
      <c r="L3" s="132">
        <v>0</v>
      </c>
      <c r="M3" s="132">
        <v>0</v>
      </c>
      <c r="N3" s="132">
        <v>0.9</v>
      </c>
      <c r="O3" s="132">
        <v>0</v>
      </c>
      <c r="P3" s="132">
        <v>0</v>
      </c>
      <c r="Q3" s="132">
        <v>0.3</v>
      </c>
      <c r="R3" s="132">
        <v>0</v>
      </c>
      <c r="S3" s="132">
        <v>0</v>
      </c>
      <c r="T3" s="132">
        <v>0</v>
      </c>
      <c r="U3" s="132">
        <v>0</v>
      </c>
      <c r="V3" s="132">
        <v>0</v>
      </c>
      <c r="W3" s="132">
        <v>0</v>
      </c>
      <c r="X3" s="132">
        <v>0</v>
      </c>
      <c r="Y3" s="132">
        <v>0</v>
      </c>
      <c r="Z3" s="128">
        <f t="shared" si="0"/>
        <v>0.14761904761904759</v>
      </c>
    </row>
    <row r="4" spans="1:26" x14ac:dyDescent="0.2">
      <c r="A4" s="23" t="s">
        <v>103</v>
      </c>
      <c r="B4">
        <v>1</v>
      </c>
      <c r="C4" s="23" t="s">
        <v>111</v>
      </c>
      <c r="D4">
        <v>104</v>
      </c>
      <c r="E4" s="132">
        <v>0</v>
      </c>
      <c r="F4" s="132">
        <v>0.9</v>
      </c>
      <c r="G4" s="132">
        <v>1</v>
      </c>
      <c r="H4" s="132">
        <v>0</v>
      </c>
      <c r="I4" s="132">
        <v>0</v>
      </c>
      <c r="J4" s="132">
        <v>0</v>
      </c>
      <c r="K4" s="132">
        <v>0</v>
      </c>
      <c r="L4" s="132">
        <v>0</v>
      </c>
      <c r="M4" s="132">
        <v>0</v>
      </c>
      <c r="N4" s="132">
        <v>0.9</v>
      </c>
      <c r="O4" s="132">
        <v>0</v>
      </c>
      <c r="P4" s="132">
        <v>0</v>
      </c>
      <c r="Q4" s="132">
        <v>0.3</v>
      </c>
      <c r="R4" s="132">
        <v>0</v>
      </c>
      <c r="S4" s="132">
        <v>0</v>
      </c>
      <c r="T4" s="132">
        <v>0</v>
      </c>
      <c r="U4" s="132">
        <v>0</v>
      </c>
      <c r="V4" s="132">
        <v>0</v>
      </c>
      <c r="W4" s="132">
        <v>0</v>
      </c>
      <c r="X4" s="132">
        <v>0</v>
      </c>
      <c r="Y4" s="132">
        <v>0</v>
      </c>
      <c r="Z4" s="128">
        <f t="shared" si="0"/>
        <v>0.14761904761904759</v>
      </c>
    </row>
    <row r="5" spans="1:26" x14ac:dyDescent="0.2">
      <c r="A5" s="23" t="s">
        <v>103</v>
      </c>
      <c r="B5">
        <v>1</v>
      </c>
      <c r="C5" s="23" t="s">
        <v>111</v>
      </c>
      <c r="D5">
        <v>105</v>
      </c>
      <c r="E5" s="132">
        <v>0</v>
      </c>
      <c r="F5" s="132">
        <v>0.9</v>
      </c>
      <c r="G5" s="132">
        <v>1</v>
      </c>
      <c r="H5" s="132">
        <v>0</v>
      </c>
      <c r="I5" s="132">
        <v>0</v>
      </c>
      <c r="J5" s="132">
        <v>0</v>
      </c>
      <c r="K5" s="132">
        <v>0</v>
      </c>
      <c r="L5" s="132">
        <v>0</v>
      </c>
      <c r="M5" s="132">
        <v>0</v>
      </c>
      <c r="N5" s="132">
        <v>0.9</v>
      </c>
      <c r="O5" s="132">
        <v>0</v>
      </c>
      <c r="P5" s="132">
        <v>0</v>
      </c>
      <c r="Q5" s="132">
        <v>0.3</v>
      </c>
      <c r="R5" s="132">
        <v>0</v>
      </c>
      <c r="S5" s="132">
        <v>0</v>
      </c>
      <c r="T5" s="132">
        <v>0</v>
      </c>
      <c r="U5" s="132">
        <v>0</v>
      </c>
      <c r="V5" s="132">
        <v>0</v>
      </c>
      <c r="W5" s="132">
        <v>0</v>
      </c>
      <c r="X5" s="132">
        <v>0</v>
      </c>
      <c r="Y5" s="132">
        <v>0</v>
      </c>
      <c r="Z5" s="128">
        <f t="shared" si="0"/>
        <v>0.14761904761904759</v>
      </c>
    </row>
    <row r="6" spans="1:26" x14ac:dyDescent="0.2">
      <c r="A6" s="23" t="s">
        <v>103</v>
      </c>
      <c r="B6">
        <v>1</v>
      </c>
      <c r="C6" s="23" t="s">
        <v>111</v>
      </c>
      <c r="D6">
        <v>106</v>
      </c>
      <c r="E6" s="132">
        <v>0</v>
      </c>
      <c r="F6" s="132">
        <v>0.9</v>
      </c>
      <c r="G6" s="132">
        <v>1</v>
      </c>
      <c r="H6" s="132">
        <v>0</v>
      </c>
      <c r="I6" s="132">
        <v>0</v>
      </c>
      <c r="J6" s="132">
        <v>0</v>
      </c>
      <c r="K6" s="132">
        <v>0</v>
      </c>
      <c r="L6" s="132">
        <v>0</v>
      </c>
      <c r="M6" s="132">
        <v>0</v>
      </c>
      <c r="N6" s="132">
        <v>0.9</v>
      </c>
      <c r="O6" s="132">
        <v>0</v>
      </c>
      <c r="P6" s="132">
        <v>0</v>
      </c>
      <c r="Q6" s="132">
        <v>0.3</v>
      </c>
      <c r="R6" s="132">
        <v>0</v>
      </c>
      <c r="S6" s="132">
        <v>0</v>
      </c>
      <c r="T6" s="132">
        <v>0</v>
      </c>
      <c r="U6" s="132">
        <v>0</v>
      </c>
      <c r="V6" s="132">
        <v>0</v>
      </c>
      <c r="W6" s="132">
        <v>0</v>
      </c>
      <c r="X6" s="132">
        <v>0</v>
      </c>
      <c r="Y6" s="132">
        <v>0</v>
      </c>
      <c r="Z6" s="128">
        <f t="shared" si="0"/>
        <v>0.14761904761904759</v>
      </c>
    </row>
    <row r="7" spans="1:26" x14ac:dyDescent="0.2">
      <c r="A7" s="23" t="s">
        <v>103</v>
      </c>
      <c r="B7">
        <v>1</v>
      </c>
      <c r="C7" s="23" t="s">
        <v>111</v>
      </c>
      <c r="D7">
        <v>107</v>
      </c>
      <c r="E7" s="132">
        <v>0</v>
      </c>
      <c r="F7" s="132">
        <v>0.9</v>
      </c>
      <c r="G7" s="132">
        <v>1</v>
      </c>
      <c r="H7" s="132">
        <v>0</v>
      </c>
      <c r="I7" s="132">
        <v>0</v>
      </c>
      <c r="J7" s="132">
        <v>0</v>
      </c>
      <c r="K7" s="132">
        <v>0</v>
      </c>
      <c r="L7" s="132">
        <v>0</v>
      </c>
      <c r="M7" s="132">
        <v>0</v>
      </c>
      <c r="N7" s="132">
        <v>0.8</v>
      </c>
      <c r="O7" s="132">
        <v>0</v>
      </c>
      <c r="P7" s="132">
        <v>0</v>
      </c>
      <c r="Q7" s="132">
        <v>0.3</v>
      </c>
      <c r="R7" s="132">
        <v>0</v>
      </c>
      <c r="S7" s="132">
        <v>0</v>
      </c>
      <c r="T7" s="132">
        <v>0</v>
      </c>
      <c r="U7" s="132">
        <v>0</v>
      </c>
      <c r="V7" s="132">
        <v>0</v>
      </c>
      <c r="W7" s="132">
        <v>0</v>
      </c>
      <c r="X7" s="132">
        <v>0</v>
      </c>
      <c r="Y7" s="132">
        <v>0</v>
      </c>
      <c r="Z7" s="128">
        <f t="shared" si="0"/>
        <v>0.14285714285714285</v>
      </c>
    </row>
    <row r="8" spans="1:26" x14ac:dyDescent="0.2">
      <c r="A8" s="23" t="s">
        <v>103</v>
      </c>
      <c r="B8">
        <v>1</v>
      </c>
      <c r="C8" s="23" t="s">
        <v>111</v>
      </c>
      <c r="D8">
        <v>108</v>
      </c>
      <c r="E8" s="132">
        <v>0</v>
      </c>
      <c r="F8" s="132">
        <v>0.9</v>
      </c>
      <c r="G8" s="132">
        <v>1</v>
      </c>
      <c r="H8" s="132">
        <v>0</v>
      </c>
      <c r="I8" s="132">
        <v>0</v>
      </c>
      <c r="J8" s="132">
        <v>0</v>
      </c>
      <c r="K8" s="132">
        <v>0</v>
      </c>
      <c r="L8" s="132">
        <v>0</v>
      </c>
      <c r="M8" s="132">
        <v>0</v>
      </c>
      <c r="N8" s="132">
        <v>0.8</v>
      </c>
      <c r="O8" s="132">
        <v>0</v>
      </c>
      <c r="P8" s="132">
        <v>0</v>
      </c>
      <c r="Q8" s="132">
        <v>0.3</v>
      </c>
      <c r="R8" s="132">
        <v>0</v>
      </c>
      <c r="S8" s="132">
        <v>0</v>
      </c>
      <c r="T8" s="132">
        <v>0</v>
      </c>
      <c r="U8" s="132">
        <v>0</v>
      </c>
      <c r="V8" s="132">
        <v>0</v>
      </c>
      <c r="W8" s="132">
        <v>0</v>
      </c>
      <c r="X8" s="132">
        <v>0</v>
      </c>
      <c r="Y8" s="132">
        <v>0</v>
      </c>
      <c r="Z8" s="128">
        <f t="shared" si="0"/>
        <v>0.14285714285714285</v>
      </c>
    </row>
    <row r="9" spans="1:26" x14ac:dyDescent="0.2">
      <c r="A9" s="23" t="s">
        <v>103</v>
      </c>
      <c r="B9">
        <v>1</v>
      </c>
      <c r="C9" s="23" t="s">
        <v>111</v>
      </c>
      <c r="D9">
        <v>118</v>
      </c>
      <c r="E9" s="132">
        <v>0</v>
      </c>
      <c r="F9" s="132">
        <v>0</v>
      </c>
      <c r="G9" s="132">
        <v>0.6</v>
      </c>
      <c r="H9" s="132">
        <v>0</v>
      </c>
      <c r="I9" s="132">
        <v>0</v>
      </c>
      <c r="J9" s="132">
        <v>0</v>
      </c>
      <c r="K9" s="132">
        <v>0</v>
      </c>
      <c r="L9" s="132">
        <v>0</v>
      </c>
      <c r="M9" s="132">
        <v>0</v>
      </c>
      <c r="N9" s="132">
        <v>0.8</v>
      </c>
      <c r="O9" s="132">
        <v>0</v>
      </c>
      <c r="P9" s="132">
        <v>0</v>
      </c>
      <c r="Q9" s="132">
        <v>0</v>
      </c>
      <c r="R9" s="132">
        <v>0</v>
      </c>
      <c r="S9" s="132">
        <v>0</v>
      </c>
      <c r="T9" s="132">
        <v>0</v>
      </c>
      <c r="U9" s="132">
        <v>0</v>
      </c>
      <c r="V9" s="132">
        <v>0</v>
      </c>
      <c r="W9" s="132">
        <v>0</v>
      </c>
      <c r="X9" s="132">
        <v>0</v>
      </c>
      <c r="Y9" s="132">
        <v>0</v>
      </c>
      <c r="Z9" s="128">
        <f t="shared" si="0"/>
        <v>6.6666666666666666E-2</v>
      </c>
    </row>
    <row r="10" spans="1:26" x14ac:dyDescent="0.2">
      <c r="A10" s="23" t="s">
        <v>103</v>
      </c>
      <c r="B10">
        <v>1</v>
      </c>
      <c r="C10" s="23" t="s">
        <v>111</v>
      </c>
      <c r="D10">
        <v>119</v>
      </c>
      <c r="E10" s="132">
        <v>0</v>
      </c>
      <c r="F10" s="132">
        <v>0</v>
      </c>
      <c r="G10" s="132">
        <v>0.6</v>
      </c>
      <c r="H10" s="132">
        <v>0</v>
      </c>
      <c r="I10" s="132">
        <v>0</v>
      </c>
      <c r="J10" s="132">
        <v>0</v>
      </c>
      <c r="K10" s="132">
        <v>0</v>
      </c>
      <c r="L10" s="132">
        <v>0</v>
      </c>
      <c r="M10" s="132">
        <v>0</v>
      </c>
      <c r="N10" s="132">
        <v>0.8</v>
      </c>
      <c r="O10" s="132">
        <v>0</v>
      </c>
      <c r="P10" s="132">
        <v>0</v>
      </c>
      <c r="Q10" s="132">
        <v>0</v>
      </c>
      <c r="R10" s="132">
        <v>0</v>
      </c>
      <c r="S10" s="132">
        <v>0</v>
      </c>
      <c r="T10" s="132">
        <v>0</v>
      </c>
      <c r="U10" s="132">
        <v>0</v>
      </c>
      <c r="V10" s="132">
        <v>0</v>
      </c>
      <c r="W10" s="132">
        <v>0</v>
      </c>
      <c r="X10" s="132">
        <v>0</v>
      </c>
      <c r="Y10" s="132">
        <v>0</v>
      </c>
      <c r="Z10" s="128">
        <f t="shared" si="0"/>
        <v>6.6666666666666666E-2</v>
      </c>
    </row>
    <row r="11" spans="1:26" x14ac:dyDescent="0.2">
      <c r="A11" s="23" t="s">
        <v>103</v>
      </c>
      <c r="B11">
        <v>1</v>
      </c>
      <c r="C11" s="23" t="s">
        <v>111</v>
      </c>
      <c r="D11">
        <v>120</v>
      </c>
      <c r="E11" s="132">
        <v>0</v>
      </c>
      <c r="F11" s="132">
        <v>1</v>
      </c>
      <c r="G11" s="132">
        <v>1</v>
      </c>
      <c r="H11" s="132">
        <v>1</v>
      </c>
      <c r="I11" s="132">
        <v>1</v>
      </c>
      <c r="J11" s="132">
        <v>0</v>
      </c>
      <c r="K11" s="132">
        <v>1</v>
      </c>
      <c r="L11" s="132">
        <v>1</v>
      </c>
      <c r="M11" s="132">
        <v>0</v>
      </c>
      <c r="N11" s="132">
        <v>1</v>
      </c>
      <c r="O11" s="132">
        <v>1</v>
      </c>
      <c r="P11" s="132">
        <v>1</v>
      </c>
      <c r="Q11" s="132">
        <v>1</v>
      </c>
      <c r="R11" s="132">
        <v>1</v>
      </c>
      <c r="S11" s="132">
        <v>1</v>
      </c>
      <c r="T11" s="132">
        <v>1</v>
      </c>
      <c r="U11" s="132">
        <v>1</v>
      </c>
      <c r="V11" s="132">
        <v>1</v>
      </c>
      <c r="W11" s="132">
        <v>1</v>
      </c>
      <c r="X11" s="132">
        <v>1</v>
      </c>
      <c r="Y11" s="132">
        <v>0</v>
      </c>
      <c r="Z11" s="128">
        <f t="shared" si="0"/>
        <v>0.80952380952380953</v>
      </c>
    </row>
    <row r="12" spans="1:26" x14ac:dyDescent="0.2">
      <c r="A12" s="23" t="s">
        <v>103</v>
      </c>
      <c r="B12">
        <v>1</v>
      </c>
      <c r="C12" s="23" t="s">
        <v>111</v>
      </c>
      <c r="D12">
        <v>121</v>
      </c>
      <c r="E12" s="132">
        <v>0</v>
      </c>
      <c r="F12" s="132">
        <v>1</v>
      </c>
      <c r="G12" s="132">
        <v>1</v>
      </c>
      <c r="H12" s="132">
        <v>1</v>
      </c>
      <c r="I12" s="132">
        <v>1</v>
      </c>
      <c r="J12" s="132">
        <v>0</v>
      </c>
      <c r="K12" s="132">
        <v>1</v>
      </c>
      <c r="L12" s="132">
        <v>1</v>
      </c>
      <c r="M12" s="132">
        <v>0</v>
      </c>
      <c r="N12" s="132">
        <v>1</v>
      </c>
      <c r="O12" s="132">
        <v>1</v>
      </c>
      <c r="P12" s="132">
        <v>1</v>
      </c>
      <c r="Q12" s="132">
        <v>1</v>
      </c>
      <c r="R12" s="132">
        <v>1</v>
      </c>
      <c r="S12" s="132">
        <v>1</v>
      </c>
      <c r="T12" s="132">
        <v>1</v>
      </c>
      <c r="U12" s="132">
        <v>1</v>
      </c>
      <c r="V12" s="132">
        <v>1</v>
      </c>
      <c r="W12" s="132">
        <v>1</v>
      </c>
      <c r="X12" s="132">
        <v>1</v>
      </c>
      <c r="Y12" s="132">
        <v>0</v>
      </c>
      <c r="Z12" s="128">
        <f t="shared" si="0"/>
        <v>0.80952380952380953</v>
      </c>
    </row>
    <row r="13" spans="1:26" x14ac:dyDescent="0.2">
      <c r="A13" s="23"/>
      <c r="C13" s="23"/>
      <c r="D13" s="23"/>
      <c r="E13" s="132"/>
      <c r="F13" s="132">
        <f t="shared" ref="F13:Y13" si="1">AVERAGE(F2:F12)</f>
        <v>0.75454545454545463</v>
      </c>
      <c r="G13" s="132">
        <f t="shared" si="1"/>
        <v>0.92727272727272725</v>
      </c>
      <c r="H13" s="132">
        <f t="shared" si="1"/>
        <v>0.18181818181818182</v>
      </c>
      <c r="I13" s="132">
        <f t="shared" si="1"/>
        <v>0.18181818181818182</v>
      </c>
      <c r="J13" s="132">
        <f t="shared" si="1"/>
        <v>0</v>
      </c>
      <c r="K13" s="132">
        <f t="shared" si="1"/>
        <v>0.18181818181818182</v>
      </c>
      <c r="L13" s="132">
        <f t="shared" si="1"/>
        <v>0.18181818181818182</v>
      </c>
      <c r="M13" s="132">
        <f t="shared" si="1"/>
        <v>0</v>
      </c>
      <c r="N13" s="132">
        <f t="shared" si="1"/>
        <v>0.87272727272727268</v>
      </c>
      <c r="O13" s="132">
        <f t="shared" si="1"/>
        <v>0.18181818181818182</v>
      </c>
      <c r="P13" s="132">
        <f t="shared" si="1"/>
        <v>0.18181818181818182</v>
      </c>
      <c r="Q13" s="132">
        <f t="shared" si="1"/>
        <v>0.38636363636363635</v>
      </c>
      <c r="R13" s="132">
        <f t="shared" si="1"/>
        <v>0.18181818181818182</v>
      </c>
      <c r="S13" s="132">
        <f t="shared" si="1"/>
        <v>0.18181818181818182</v>
      </c>
      <c r="T13" s="132">
        <f t="shared" si="1"/>
        <v>0.18181818181818182</v>
      </c>
      <c r="U13" s="132">
        <f t="shared" si="1"/>
        <v>0.18181818181818182</v>
      </c>
      <c r="V13" s="132">
        <f t="shared" si="1"/>
        <v>0.18181818181818182</v>
      </c>
      <c r="W13" s="132">
        <f t="shared" si="1"/>
        <v>0.18181818181818182</v>
      </c>
      <c r="X13" s="132">
        <f t="shared" si="1"/>
        <v>0.18181818181818182</v>
      </c>
      <c r="Y13" s="132">
        <f t="shared" si="1"/>
        <v>0</v>
      </c>
      <c r="Z13" s="128">
        <f t="shared" si="0"/>
        <v>0.26522727272727264</v>
      </c>
    </row>
    <row r="14" spans="1:26" x14ac:dyDescent="0.2">
      <c r="A14" s="23" t="s">
        <v>103</v>
      </c>
      <c r="B14">
        <v>2</v>
      </c>
      <c r="C14" s="23" t="s">
        <v>112</v>
      </c>
      <c r="D14">
        <v>202</v>
      </c>
      <c r="E14" s="132">
        <v>0</v>
      </c>
      <c r="F14" s="132">
        <v>0</v>
      </c>
      <c r="G14" s="132">
        <v>0</v>
      </c>
      <c r="H14" s="132">
        <v>0</v>
      </c>
      <c r="I14" s="132">
        <v>0</v>
      </c>
      <c r="J14" s="132">
        <v>0</v>
      </c>
      <c r="K14" s="132">
        <v>0</v>
      </c>
      <c r="L14" s="132">
        <v>0</v>
      </c>
      <c r="M14" s="132">
        <v>0</v>
      </c>
      <c r="N14" s="132">
        <v>0.3</v>
      </c>
      <c r="O14" s="132">
        <v>0</v>
      </c>
      <c r="P14" s="132">
        <v>0</v>
      </c>
      <c r="Q14" s="132">
        <v>0</v>
      </c>
      <c r="R14" s="132">
        <v>0</v>
      </c>
      <c r="S14" s="132">
        <v>0</v>
      </c>
      <c r="T14" s="132">
        <v>0</v>
      </c>
      <c r="U14" s="132">
        <v>0</v>
      </c>
      <c r="V14" s="132">
        <v>0</v>
      </c>
      <c r="W14" s="132">
        <v>0</v>
      </c>
      <c r="X14" s="132">
        <v>0</v>
      </c>
      <c r="Y14" s="132">
        <v>0</v>
      </c>
      <c r="Z14" s="128">
        <f t="shared" si="0"/>
        <v>1.4285714285714285E-2</v>
      </c>
    </row>
    <row r="15" spans="1:26" x14ac:dyDescent="0.2">
      <c r="A15" s="23" t="s">
        <v>103</v>
      </c>
      <c r="B15">
        <v>2</v>
      </c>
      <c r="C15" s="23" t="s">
        <v>112</v>
      </c>
      <c r="D15">
        <v>203</v>
      </c>
      <c r="E15" s="132">
        <v>0</v>
      </c>
      <c r="F15" s="132">
        <v>0</v>
      </c>
      <c r="G15" s="132">
        <v>0</v>
      </c>
      <c r="H15" s="132">
        <v>0</v>
      </c>
      <c r="I15" s="132">
        <v>0</v>
      </c>
      <c r="J15" s="132">
        <v>0</v>
      </c>
      <c r="K15" s="132">
        <v>0</v>
      </c>
      <c r="L15" s="132">
        <v>0</v>
      </c>
      <c r="M15" s="132">
        <v>0</v>
      </c>
      <c r="N15" s="132">
        <v>0.3</v>
      </c>
      <c r="O15" s="132">
        <v>0</v>
      </c>
      <c r="P15" s="132">
        <v>0</v>
      </c>
      <c r="Q15" s="132">
        <v>0</v>
      </c>
      <c r="R15" s="132">
        <v>0</v>
      </c>
      <c r="S15" s="132">
        <v>0</v>
      </c>
      <c r="T15" s="132">
        <v>0</v>
      </c>
      <c r="U15" s="132">
        <v>0</v>
      </c>
      <c r="V15" s="132">
        <v>0</v>
      </c>
      <c r="W15" s="132">
        <v>0</v>
      </c>
      <c r="X15" s="132">
        <v>0</v>
      </c>
      <c r="Y15" s="132">
        <v>0</v>
      </c>
      <c r="Z15" s="128">
        <f t="shared" si="0"/>
        <v>1.4285714285714285E-2</v>
      </c>
    </row>
    <row r="16" spans="1:26" x14ac:dyDescent="0.2">
      <c r="A16" s="23" t="s">
        <v>103</v>
      </c>
      <c r="B16">
        <v>2</v>
      </c>
      <c r="C16" s="23" t="s">
        <v>112</v>
      </c>
      <c r="D16">
        <v>204</v>
      </c>
      <c r="E16" s="132">
        <v>0</v>
      </c>
      <c r="F16" s="132">
        <v>0</v>
      </c>
      <c r="G16" s="132">
        <v>0</v>
      </c>
      <c r="H16" s="132">
        <v>0</v>
      </c>
      <c r="I16" s="132">
        <v>0</v>
      </c>
      <c r="J16" s="132">
        <v>0</v>
      </c>
      <c r="K16" s="132">
        <v>0</v>
      </c>
      <c r="L16" s="132">
        <v>0</v>
      </c>
      <c r="M16" s="132">
        <v>0</v>
      </c>
      <c r="N16" s="132">
        <v>0.3</v>
      </c>
      <c r="O16" s="132">
        <v>0</v>
      </c>
      <c r="P16" s="132">
        <v>0</v>
      </c>
      <c r="Q16" s="132">
        <v>0</v>
      </c>
      <c r="R16" s="132">
        <v>0</v>
      </c>
      <c r="S16" s="132">
        <v>0</v>
      </c>
      <c r="T16" s="132">
        <v>0</v>
      </c>
      <c r="U16" s="132">
        <v>0</v>
      </c>
      <c r="V16" s="132">
        <v>0</v>
      </c>
      <c r="W16" s="132">
        <v>0</v>
      </c>
      <c r="X16" s="132">
        <v>0</v>
      </c>
      <c r="Y16" s="132">
        <v>0</v>
      </c>
      <c r="Z16" s="128">
        <f t="shared" si="0"/>
        <v>1.4285714285714285E-2</v>
      </c>
    </row>
    <row r="17" spans="1:26" x14ac:dyDescent="0.2">
      <c r="A17" s="23" t="s">
        <v>103</v>
      </c>
      <c r="B17">
        <v>2</v>
      </c>
      <c r="C17" s="23" t="s">
        <v>112</v>
      </c>
      <c r="D17">
        <v>205</v>
      </c>
      <c r="E17" s="132">
        <v>0</v>
      </c>
      <c r="F17" s="132">
        <v>0</v>
      </c>
      <c r="G17" s="132">
        <v>0</v>
      </c>
      <c r="H17" s="132">
        <v>0</v>
      </c>
      <c r="I17" s="132">
        <v>0</v>
      </c>
      <c r="J17" s="132">
        <v>0</v>
      </c>
      <c r="K17" s="132">
        <v>0</v>
      </c>
      <c r="L17" s="132">
        <v>0</v>
      </c>
      <c r="M17" s="132">
        <v>0</v>
      </c>
      <c r="N17" s="132">
        <v>0.3</v>
      </c>
      <c r="O17" s="132">
        <v>0</v>
      </c>
      <c r="P17" s="132">
        <v>0</v>
      </c>
      <c r="Q17" s="132">
        <v>0</v>
      </c>
      <c r="R17" s="132">
        <v>0</v>
      </c>
      <c r="S17" s="132">
        <v>0</v>
      </c>
      <c r="T17" s="132">
        <v>0</v>
      </c>
      <c r="U17" s="132">
        <v>0</v>
      </c>
      <c r="V17" s="132">
        <v>0</v>
      </c>
      <c r="W17" s="132">
        <v>0</v>
      </c>
      <c r="X17" s="132">
        <v>0</v>
      </c>
      <c r="Y17" s="132">
        <v>0</v>
      </c>
      <c r="Z17" s="128">
        <f t="shared" si="0"/>
        <v>1.4285714285714285E-2</v>
      </c>
    </row>
    <row r="18" spans="1:26" x14ac:dyDescent="0.2">
      <c r="A18" s="23" t="s">
        <v>103</v>
      </c>
      <c r="B18">
        <v>2</v>
      </c>
      <c r="C18" s="23" t="s">
        <v>112</v>
      </c>
      <c r="D18">
        <v>206</v>
      </c>
      <c r="E18" s="132">
        <v>0</v>
      </c>
      <c r="F18" s="132">
        <v>0</v>
      </c>
      <c r="G18" s="132">
        <v>0</v>
      </c>
      <c r="H18" s="132">
        <v>0</v>
      </c>
      <c r="I18" s="132">
        <v>0</v>
      </c>
      <c r="J18" s="132">
        <v>0</v>
      </c>
      <c r="K18" s="132">
        <v>0</v>
      </c>
      <c r="L18" s="132">
        <v>0</v>
      </c>
      <c r="M18" s="132">
        <v>0</v>
      </c>
      <c r="N18" s="132">
        <v>0.3</v>
      </c>
      <c r="O18" s="132">
        <v>0</v>
      </c>
      <c r="P18" s="132">
        <v>0</v>
      </c>
      <c r="Q18" s="132">
        <v>0</v>
      </c>
      <c r="R18" s="132">
        <v>0</v>
      </c>
      <c r="S18" s="132">
        <v>0</v>
      </c>
      <c r="T18" s="132">
        <v>0</v>
      </c>
      <c r="U18" s="132">
        <v>0</v>
      </c>
      <c r="V18" s="132">
        <v>0</v>
      </c>
      <c r="W18" s="132">
        <v>0</v>
      </c>
      <c r="X18" s="132">
        <v>0</v>
      </c>
      <c r="Y18" s="132">
        <v>0</v>
      </c>
      <c r="Z18" s="128">
        <f t="shared" si="0"/>
        <v>1.4285714285714285E-2</v>
      </c>
    </row>
    <row r="19" spans="1:26" x14ac:dyDescent="0.2">
      <c r="A19" s="23" t="s">
        <v>103</v>
      </c>
      <c r="B19">
        <v>2</v>
      </c>
      <c r="C19" s="23" t="s">
        <v>112</v>
      </c>
      <c r="D19">
        <v>207</v>
      </c>
      <c r="E19" s="132">
        <v>0</v>
      </c>
      <c r="F19" s="132">
        <v>0</v>
      </c>
      <c r="G19" s="132">
        <v>0</v>
      </c>
      <c r="H19" s="132">
        <v>0</v>
      </c>
      <c r="I19" s="132">
        <v>0</v>
      </c>
      <c r="J19" s="132">
        <v>0</v>
      </c>
      <c r="K19" s="132">
        <v>0</v>
      </c>
      <c r="L19" s="132">
        <v>0</v>
      </c>
      <c r="M19" s="132">
        <v>0</v>
      </c>
      <c r="N19" s="132">
        <v>0.3</v>
      </c>
      <c r="O19" s="132">
        <v>0</v>
      </c>
      <c r="P19" s="132">
        <v>0</v>
      </c>
      <c r="Q19" s="132">
        <v>0</v>
      </c>
      <c r="R19" s="132">
        <v>0</v>
      </c>
      <c r="S19" s="132">
        <v>0</v>
      </c>
      <c r="T19" s="132">
        <v>0</v>
      </c>
      <c r="U19" s="132">
        <v>0</v>
      </c>
      <c r="V19" s="132">
        <v>0</v>
      </c>
      <c r="W19" s="132">
        <v>0</v>
      </c>
      <c r="X19" s="132">
        <v>0</v>
      </c>
      <c r="Y19" s="132">
        <v>0</v>
      </c>
      <c r="Z19" s="128">
        <f t="shared" si="0"/>
        <v>1.4285714285714285E-2</v>
      </c>
    </row>
    <row r="20" spans="1:26" x14ac:dyDescent="0.2">
      <c r="A20" s="23" t="s">
        <v>103</v>
      </c>
      <c r="B20">
        <v>2</v>
      </c>
      <c r="C20" s="23" t="s">
        <v>112</v>
      </c>
      <c r="D20">
        <v>208</v>
      </c>
      <c r="E20" s="132">
        <v>0</v>
      </c>
      <c r="F20" s="132">
        <v>0</v>
      </c>
      <c r="G20" s="132">
        <v>0</v>
      </c>
      <c r="H20" s="132">
        <v>0</v>
      </c>
      <c r="I20" s="132">
        <v>0</v>
      </c>
      <c r="J20" s="132">
        <v>0</v>
      </c>
      <c r="K20" s="132">
        <v>0</v>
      </c>
      <c r="L20" s="132">
        <v>0</v>
      </c>
      <c r="M20" s="132">
        <v>0</v>
      </c>
      <c r="N20" s="132">
        <v>0.3</v>
      </c>
      <c r="O20" s="132">
        <v>0</v>
      </c>
      <c r="P20" s="132">
        <v>0</v>
      </c>
      <c r="Q20" s="132">
        <v>0</v>
      </c>
      <c r="R20" s="132">
        <v>0</v>
      </c>
      <c r="S20" s="132">
        <v>0</v>
      </c>
      <c r="T20" s="132">
        <v>0</v>
      </c>
      <c r="U20" s="132">
        <v>0</v>
      </c>
      <c r="V20" s="132">
        <v>0</v>
      </c>
      <c r="W20" s="132">
        <v>0</v>
      </c>
      <c r="X20" s="132">
        <v>0</v>
      </c>
      <c r="Y20" s="132">
        <v>0</v>
      </c>
      <c r="Z20" s="128">
        <f t="shared" si="0"/>
        <v>1.4285714285714285E-2</v>
      </c>
    </row>
    <row r="21" spans="1:26" x14ac:dyDescent="0.2">
      <c r="A21" s="23" t="s">
        <v>103</v>
      </c>
      <c r="B21">
        <v>2</v>
      </c>
      <c r="C21" s="23" t="s">
        <v>112</v>
      </c>
      <c r="D21">
        <v>209</v>
      </c>
      <c r="E21" s="132">
        <v>0</v>
      </c>
      <c r="F21" s="132">
        <v>0</v>
      </c>
      <c r="G21" s="132">
        <v>0</v>
      </c>
      <c r="H21" s="132">
        <v>0</v>
      </c>
      <c r="I21" s="132">
        <v>0</v>
      </c>
      <c r="J21" s="132">
        <v>0</v>
      </c>
      <c r="K21" s="132">
        <v>0</v>
      </c>
      <c r="L21" s="132">
        <v>0</v>
      </c>
      <c r="M21" s="132">
        <v>0</v>
      </c>
      <c r="N21" s="132">
        <v>0.3</v>
      </c>
      <c r="O21" s="132">
        <v>0</v>
      </c>
      <c r="P21" s="132">
        <v>0</v>
      </c>
      <c r="Q21" s="132">
        <v>0</v>
      </c>
      <c r="R21" s="132">
        <v>0</v>
      </c>
      <c r="S21" s="132">
        <v>0</v>
      </c>
      <c r="T21" s="132">
        <v>0</v>
      </c>
      <c r="U21" s="132">
        <v>0</v>
      </c>
      <c r="V21" s="132">
        <v>0</v>
      </c>
      <c r="W21" s="132">
        <v>0</v>
      </c>
      <c r="X21" s="132">
        <v>0</v>
      </c>
      <c r="Y21" s="132">
        <v>0</v>
      </c>
      <c r="Z21" s="128">
        <f t="shared" si="0"/>
        <v>1.4285714285714285E-2</v>
      </c>
    </row>
    <row r="22" spans="1:26" x14ac:dyDescent="0.2">
      <c r="A22" s="23" t="s">
        <v>103</v>
      </c>
      <c r="B22">
        <v>2</v>
      </c>
      <c r="C22" s="23" t="s">
        <v>112</v>
      </c>
      <c r="D22">
        <v>210</v>
      </c>
      <c r="E22" s="132">
        <v>0</v>
      </c>
      <c r="F22" s="132">
        <v>0</v>
      </c>
      <c r="G22" s="132">
        <v>0</v>
      </c>
      <c r="H22" s="132">
        <v>0</v>
      </c>
      <c r="I22" s="132">
        <v>0</v>
      </c>
      <c r="J22" s="132">
        <v>0</v>
      </c>
      <c r="K22" s="132">
        <v>0</v>
      </c>
      <c r="L22" s="132">
        <v>0</v>
      </c>
      <c r="M22" s="132">
        <v>0</v>
      </c>
      <c r="N22" s="132">
        <v>0.3</v>
      </c>
      <c r="O22" s="132">
        <v>0</v>
      </c>
      <c r="P22" s="132">
        <v>0</v>
      </c>
      <c r="Q22" s="132">
        <v>0</v>
      </c>
      <c r="R22" s="132">
        <v>0</v>
      </c>
      <c r="S22" s="132">
        <v>0</v>
      </c>
      <c r="T22" s="132">
        <v>0</v>
      </c>
      <c r="U22" s="132">
        <v>0</v>
      </c>
      <c r="V22" s="132">
        <v>0</v>
      </c>
      <c r="W22" s="132">
        <v>0</v>
      </c>
      <c r="X22" s="132">
        <v>0</v>
      </c>
      <c r="Y22" s="132">
        <v>0</v>
      </c>
      <c r="Z22" s="128">
        <f t="shared" si="0"/>
        <v>1.4285714285714285E-2</v>
      </c>
    </row>
    <row r="23" spans="1:26" x14ac:dyDescent="0.2">
      <c r="A23" s="23" t="s">
        <v>103</v>
      </c>
      <c r="B23">
        <v>2</v>
      </c>
      <c r="C23" s="23" t="s">
        <v>112</v>
      </c>
      <c r="D23">
        <v>211</v>
      </c>
      <c r="E23" s="132">
        <v>0</v>
      </c>
      <c r="F23" s="132">
        <v>0</v>
      </c>
      <c r="G23" s="132">
        <v>0</v>
      </c>
      <c r="H23" s="132">
        <v>0</v>
      </c>
      <c r="I23" s="132">
        <v>0</v>
      </c>
      <c r="J23" s="132">
        <v>0</v>
      </c>
      <c r="K23" s="132">
        <v>0</v>
      </c>
      <c r="L23" s="132">
        <v>0</v>
      </c>
      <c r="M23" s="132">
        <v>0</v>
      </c>
      <c r="N23" s="132">
        <v>0.3</v>
      </c>
      <c r="O23" s="132">
        <v>0</v>
      </c>
      <c r="P23" s="132">
        <v>0</v>
      </c>
      <c r="Q23" s="132">
        <v>0</v>
      </c>
      <c r="R23" s="132">
        <v>0</v>
      </c>
      <c r="S23" s="132">
        <v>0</v>
      </c>
      <c r="T23" s="132">
        <v>0</v>
      </c>
      <c r="U23" s="132">
        <v>0</v>
      </c>
      <c r="V23" s="132">
        <v>0</v>
      </c>
      <c r="W23" s="132">
        <v>0</v>
      </c>
      <c r="X23" s="132">
        <v>0</v>
      </c>
      <c r="Y23" s="132">
        <v>0</v>
      </c>
      <c r="Z23" s="128">
        <f t="shared" si="0"/>
        <v>1.4285714285714285E-2</v>
      </c>
    </row>
    <row r="24" spans="1:26" x14ac:dyDescent="0.2">
      <c r="A24" s="23" t="s">
        <v>103</v>
      </c>
      <c r="B24">
        <v>2</v>
      </c>
      <c r="C24" s="23" t="s">
        <v>112</v>
      </c>
      <c r="D24">
        <v>212</v>
      </c>
      <c r="E24" s="132">
        <v>0</v>
      </c>
      <c r="F24" s="132">
        <v>0</v>
      </c>
      <c r="G24" s="132">
        <v>0</v>
      </c>
      <c r="H24" s="132">
        <v>0</v>
      </c>
      <c r="I24" s="132">
        <v>0</v>
      </c>
      <c r="J24" s="132">
        <v>0</v>
      </c>
      <c r="K24" s="132">
        <v>0</v>
      </c>
      <c r="L24" s="132">
        <v>0</v>
      </c>
      <c r="M24" s="132">
        <v>0</v>
      </c>
      <c r="N24" s="132">
        <v>0.3</v>
      </c>
      <c r="O24" s="132">
        <v>0</v>
      </c>
      <c r="P24" s="132">
        <v>0</v>
      </c>
      <c r="Q24" s="132">
        <v>0</v>
      </c>
      <c r="R24" s="132">
        <v>0</v>
      </c>
      <c r="S24" s="132">
        <v>0</v>
      </c>
      <c r="T24" s="132">
        <v>0</v>
      </c>
      <c r="U24" s="132">
        <v>0</v>
      </c>
      <c r="V24" s="132">
        <v>0</v>
      </c>
      <c r="W24" s="132">
        <v>0</v>
      </c>
      <c r="X24" s="132">
        <v>0</v>
      </c>
      <c r="Y24" s="132">
        <v>0</v>
      </c>
      <c r="Z24" s="128">
        <f t="shared" si="0"/>
        <v>1.4285714285714285E-2</v>
      </c>
    </row>
    <row r="25" spans="1:26" x14ac:dyDescent="0.2">
      <c r="A25" s="23" t="s">
        <v>103</v>
      </c>
      <c r="B25">
        <v>2</v>
      </c>
      <c r="C25" s="23" t="s">
        <v>112</v>
      </c>
      <c r="D25">
        <v>213</v>
      </c>
      <c r="E25" s="132">
        <v>0</v>
      </c>
      <c r="F25" s="132">
        <v>0</v>
      </c>
      <c r="G25" s="132">
        <v>0</v>
      </c>
      <c r="H25" s="132">
        <v>0</v>
      </c>
      <c r="I25" s="132">
        <v>0</v>
      </c>
      <c r="J25" s="132">
        <v>0</v>
      </c>
      <c r="K25" s="132">
        <v>0</v>
      </c>
      <c r="L25" s="132">
        <v>0</v>
      </c>
      <c r="M25" s="132">
        <v>0</v>
      </c>
      <c r="N25" s="132">
        <v>0.3</v>
      </c>
      <c r="O25" s="132">
        <v>0</v>
      </c>
      <c r="P25" s="132">
        <v>0</v>
      </c>
      <c r="Q25" s="132">
        <v>0</v>
      </c>
      <c r="R25" s="132">
        <v>0</v>
      </c>
      <c r="S25" s="132">
        <v>0</v>
      </c>
      <c r="T25" s="132">
        <v>0</v>
      </c>
      <c r="U25" s="132">
        <v>0</v>
      </c>
      <c r="V25" s="132">
        <v>0</v>
      </c>
      <c r="W25" s="132">
        <v>0</v>
      </c>
      <c r="X25" s="132">
        <v>0</v>
      </c>
      <c r="Y25" s="132">
        <v>0</v>
      </c>
      <c r="Z25" s="128">
        <f t="shared" si="0"/>
        <v>1.4285714285714285E-2</v>
      </c>
    </row>
    <row r="26" spans="1:26" x14ac:dyDescent="0.2">
      <c r="A26" s="23" t="s">
        <v>103</v>
      </c>
      <c r="B26">
        <v>2</v>
      </c>
      <c r="C26" s="23" t="s">
        <v>112</v>
      </c>
      <c r="D26">
        <v>214</v>
      </c>
      <c r="E26" s="132">
        <v>0</v>
      </c>
      <c r="F26" s="132">
        <v>0</v>
      </c>
      <c r="G26" s="132">
        <v>0</v>
      </c>
      <c r="H26" s="132">
        <v>0</v>
      </c>
      <c r="I26" s="132">
        <v>0</v>
      </c>
      <c r="J26" s="132">
        <v>0</v>
      </c>
      <c r="K26" s="132">
        <v>0</v>
      </c>
      <c r="L26" s="132">
        <v>0</v>
      </c>
      <c r="M26" s="132">
        <v>0</v>
      </c>
      <c r="N26" s="132">
        <v>0.3</v>
      </c>
      <c r="O26" s="132">
        <v>0</v>
      </c>
      <c r="P26" s="132">
        <v>0</v>
      </c>
      <c r="Q26" s="132">
        <v>0</v>
      </c>
      <c r="R26" s="132">
        <v>0</v>
      </c>
      <c r="S26" s="132">
        <v>0</v>
      </c>
      <c r="T26" s="132">
        <v>0</v>
      </c>
      <c r="U26" s="132">
        <v>0</v>
      </c>
      <c r="V26" s="132">
        <v>0</v>
      </c>
      <c r="W26" s="132">
        <v>0</v>
      </c>
      <c r="X26" s="132">
        <v>0</v>
      </c>
      <c r="Y26" s="132">
        <v>0</v>
      </c>
      <c r="Z26" s="128">
        <f t="shared" si="0"/>
        <v>1.4285714285714285E-2</v>
      </c>
    </row>
    <row r="27" spans="1:26" x14ac:dyDescent="0.2">
      <c r="A27" s="23" t="s">
        <v>103</v>
      </c>
      <c r="B27">
        <v>2</v>
      </c>
      <c r="C27" s="23" t="s">
        <v>112</v>
      </c>
      <c r="D27">
        <v>215</v>
      </c>
      <c r="E27" s="132">
        <v>0</v>
      </c>
      <c r="F27" s="132">
        <v>0</v>
      </c>
      <c r="G27" s="132">
        <v>0</v>
      </c>
      <c r="H27" s="132">
        <v>0</v>
      </c>
      <c r="I27" s="132">
        <v>0</v>
      </c>
      <c r="J27" s="132">
        <v>0</v>
      </c>
      <c r="K27" s="132">
        <v>0</v>
      </c>
      <c r="L27" s="132">
        <v>0</v>
      </c>
      <c r="M27" s="132">
        <v>0</v>
      </c>
      <c r="N27" s="132">
        <v>0</v>
      </c>
      <c r="O27" s="132">
        <v>0</v>
      </c>
      <c r="P27" s="132">
        <v>0</v>
      </c>
      <c r="Q27" s="132">
        <v>0</v>
      </c>
      <c r="R27" s="132">
        <v>0</v>
      </c>
      <c r="S27" s="132">
        <v>0</v>
      </c>
      <c r="T27" s="132">
        <v>0</v>
      </c>
      <c r="U27" s="132">
        <v>0</v>
      </c>
      <c r="V27" s="132">
        <v>0</v>
      </c>
      <c r="W27" s="132">
        <v>0</v>
      </c>
      <c r="X27" s="132">
        <v>0</v>
      </c>
      <c r="Y27" s="132">
        <v>0</v>
      </c>
      <c r="Z27" s="128">
        <f t="shared" si="0"/>
        <v>0</v>
      </c>
    </row>
    <row r="28" spans="1:26" x14ac:dyDescent="0.2">
      <c r="A28" s="23" t="s">
        <v>103</v>
      </c>
      <c r="B28">
        <v>2</v>
      </c>
      <c r="C28" s="23" t="s">
        <v>112</v>
      </c>
      <c r="D28">
        <v>216</v>
      </c>
      <c r="E28" s="132">
        <v>0</v>
      </c>
      <c r="F28" s="132">
        <v>0</v>
      </c>
      <c r="G28" s="132">
        <v>0</v>
      </c>
      <c r="H28" s="132">
        <v>0</v>
      </c>
      <c r="I28" s="132">
        <v>0</v>
      </c>
      <c r="J28" s="132">
        <v>0</v>
      </c>
      <c r="K28" s="132">
        <v>0</v>
      </c>
      <c r="L28" s="132">
        <v>0</v>
      </c>
      <c r="M28" s="132">
        <v>0</v>
      </c>
      <c r="N28" s="132">
        <v>0</v>
      </c>
      <c r="O28" s="132">
        <v>0</v>
      </c>
      <c r="P28" s="132">
        <v>0</v>
      </c>
      <c r="Q28" s="132">
        <v>0</v>
      </c>
      <c r="R28" s="132">
        <v>0</v>
      </c>
      <c r="S28" s="132">
        <v>0</v>
      </c>
      <c r="T28" s="132">
        <v>0</v>
      </c>
      <c r="U28" s="132">
        <v>0</v>
      </c>
      <c r="V28" s="132">
        <v>0</v>
      </c>
      <c r="W28" s="132">
        <v>0</v>
      </c>
      <c r="X28" s="132">
        <v>0</v>
      </c>
      <c r="Y28" s="132">
        <v>0</v>
      </c>
      <c r="Z28" s="128">
        <f t="shared" si="0"/>
        <v>0</v>
      </c>
    </row>
    <row r="29" spans="1:26" x14ac:dyDescent="0.2">
      <c r="A29" s="23" t="s">
        <v>103</v>
      </c>
      <c r="B29">
        <v>2</v>
      </c>
      <c r="C29" s="23" t="s">
        <v>112</v>
      </c>
      <c r="D29">
        <v>217</v>
      </c>
      <c r="E29" s="132">
        <v>0</v>
      </c>
      <c r="F29" s="132">
        <v>0</v>
      </c>
      <c r="G29" s="132">
        <v>0</v>
      </c>
      <c r="H29" s="132">
        <v>0</v>
      </c>
      <c r="I29" s="132">
        <v>0</v>
      </c>
      <c r="J29" s="132">
        <v>0</v>
      </c>
      <c r="K29" s="132">
        <v>0</v>
      </c>
      <c r="L29" s="132">
        <v>0</v>
      </c>
      <c r="M29" s="132">
        <v>0</v>
      </c>
      <c r="N29" s="132">
        <v>0</v>
      </c>
      <c r="O29" s="132">
        <v>0</v>
      </c>
      <c r="P29" s="132">
        <v>0</v>
      </c>
      <c r="Q29" s="132">
        <v>0</v>
      </c>
      <c r="R29" s="132">
        <v>0</v>
      </c>
      <c r="S29" s="132">
        <v>0</v>
      </c>
      <c r="T29" s="132">
        <v>0</v>
      </c>
      <c r="U29" s="132">
        <v>0</v>
      </c>
      <c r="V29" s="132">
        <v>0</v>
      </c>
      <c r="W29" s="132">
        <v>0</v>
      </c>
      <c r="X29" s="132">
        <v>0</v>
      </c>
      <c r="Y29" s="132">
        <v>0</v>
      </c>
      <c r="Z29" s="128">
        <f t="shared" si="0"/>
        <v>0</v>
      </c>
    </row>
    <row r="30" spans="1:26" x14ac:dyDescent="0.2">
      <c r="A30" s="23" t="s">
        <v>103</v>
      </c>
      <c r="B30">
        <v>2</v>
      </c>
      <c r="C30" s="23" t="s">
        <v>112</v>
      </c>
      <c r="D30">
        <v>218</v>
      </c>
      <c r="E30" s="132">
        <v>0</v>
      </c>
      <c r="F30" s="132">
        <v>0</v>
      </c>
      <c r="G30" s="132">
        <v>0</v>
      </c>
      <c r="H30" s="132">
        <v>0</v>
      </c>
      <c r="I30" s="132">
        <v>0</v>
      </c>
      <c r="J30" s="132">
        <v>0</v>
      </c>
      <c r="K30" s="132">
        <v>0</v>
      </c>
      <c r="L30" s="132">
        <v>0</v>
      </c>
      <c r="M30" s="132">
        <v>0</v>
      </c>
      <c r="N30" s="132">
        <v>0</v>
      </c>
      <c r="O30" s="132">
        <v>0</v>
      </c>
      <c r="P30" s="132">
        <v>0</v>
      </c>
      <c r="Q30" s="132">
        <v>0</v>
      </c>
      <c r="R30" s="132">
        <v>0</v>
      </c>
      <c r="S30" s="132">
        <v>0</v>
      </c>
      <c r="T30" s="132">
        <v>0</v>
      </c>
      <c r="U30" s="132">
        <v>0</v>
      </c>
      <c r="V30" s="132">
        <v>0</v>
      </c>
      <c r="W30" s="132">
        <v>0</v>
      </c>
      <c r="X30" s="132">
        <v>0</v>
      </c>
      <c r="Y30" s="132">
        <v>0</v>
      </c>
      <c r="Z30" s="128">
        <f t="shared" si="0"/>
        <v>0</v>
      </c>
    </row>
    <row r="31" spans="1:26" x14ac:dyDescent="0.2">
      <c r="A31" s="23" t="s">
        <v>103</v>
      </c>
      <c r="B31">
        <v>2</v>
      </c>
      <c r="C31" s="23" t="s">
        <v>112</v>
      </c>
      <c r="D31">
        <v>219</v>
      </c>
      <c r="E31" s="132">
        <v>0</v>
      </c>
      <c r="F31" s="132">
        <v>0</v>
      </c>
      <c r="G31" s="132">
        <v>0</v>
      </c>
      <c r="H31" s="132">
        <v>0</v>
      </c>
      <c r="I31" s="132">
        <v>0</v>
      </c>
      <c r="J31" s="132">
        <v>0</v>
      </c>
      <c r="K31" s="132">
        <v>0</v>
      </c>
      <c r="L31" s="132">
        <v>0</v>
      </c>
      <c r="M31" s="132">
        <v>0</v>
      </c>
      <c r="N31" s="132">
        <v>0</v>
      </c>
      <c r="O31" s="132">
        <v>0</v>
      </c>
      <c r="P31" s="132">
        <v>0</v>
      </c>
      <c r="Q31" s="132">
        <v>0</v>
      </c>
      <c r="R31" s="132">
        <v>0</v>
      </c>
      <c r="S31" s="132">
        <v>0</v>
      </c>
      <c r="T31" s="132">
        <v>0</v>
      </c>
      <c r="U31" s="132">
        <v>0</v>
      </c>
      <c r="V31" s="132">
        <v>0</v>
      </c>
      <c r="W31" s="132">
        <v>0</v>
      </c>
      <c r="X31" s="132">
        <v>0</v>
      </c>
      <c r="Y31" s="132">
        <v>0</v>
      </c>
      <c r="Z31" s="128">
        <f t="shared" si="0"/>
        <v>0</v>
      </c>
    </row>
    <row r="32" spans="1:26" x14ac:dyDescent="0.2">
      <c r="A32" s="23" t="s">
        <v>103</v>
      </c>
      <c r="B32">
        <v>2</v>
      </c>
      <c r="C32" s="23" t="s">
        <v>112</v>
      </c>
      <c r="D32">
        <v>220</v>
      </c>
      <c r="E32" s="132">
        <v>0</v>
      </c>
      <c r="F32" s="132">
        <v>0</v>
      </c>
      <c r="G32" s="132">
        <v>0</v>
      </c>
      <c r="H32" s="132">
        <v>0</v>
      </c>
      <c r="I32" s="132">
        <v>0</v>
      </c>
      <c r="J32" s="132">
        <v>0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32">
        <v>0</v>
      </c>
      <c r="R32" s="132">
        <v>0</v>
      </c>
      <c r="S32" s="132">
        <v>0</v>
      </c>
      <c r="T32" s="132">
        <v>0</v>
      </c>
      <c r="U32" s="132">
        <v>0</v>
      </c>
      <c r="V32" s="132">
        <v>0</v>
      </c>
      <c r="W32" s="132">
        <v>0</v>
      </c>
      <c r="X32" s="132">
        <v>0</v>
      </c>
      <c r="Y32" s="132">
        <v>0</v>
      </c>
      <c r="Z32" s="128">
        <f t="shared" si="0"/>
        <v>0</v>
      </c>
    </row>
    <row r="33" spans="1:26" x14ac:dyDescent="0.2">
      <c r="A33" s="23" t="s">
        <v>103</v>
      </c>
      <c r="B33">
        <v>2</v>
      </c>
      <c r="C33" s="23" t="s">
        <v>112</v>
      </c>
      <c r="D33">
        <v>221</v>
      </c>
      <c r="E33" s="132">
        <v>0</v>
      </c>
      <c r="F33" s="132">
        <v>0</v>
      </c>
      <c r="G33" s="132">
        <v>0</v>
      </c>
      <c r="H33" s="132">
        <v>0</v>
      </c>
      <c r="I33" s="132">
        <v>0</v>
      </c>
      <c r="J33" s="132">
        <v>0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32">
        <v>0</v>
      </c>
      <c r="R33" s="132">
        <v>0</v>
      </c>
      <c r="S33" s="132">
        <v>0</v>
      </c>
      <c r="T33" s="132">
        <v>0</v>
      </c>
      <c r="U33" s="132">
        <v>0</v>
      </c>
      <c r="V33" s="132">
        <v>0</v>
      </c>
      <c r="W33" s="132">
        <v>0</v>
      </c>
      <c r="X33" s="132">
        <v>0</v>
      </c>
      <c r="Y33" s="132">
        <v>0</v>
      </c>
      <c r="Z33" s="128">
        <f t="shared" si="0"/>
        <v>0</v>
      </c>
    </row>
    <row r="34" spans="1:26" x14ac:dyDescent="0.2">
      <c r="A34" s="23" t="s">
        <v>103</v>
      </c>
      <c r="B34">
        <v>2</v>
      </c>
      <c r="C34" s="23" t="s">
        <v>112</v>
      </c>
      <c r="D34">
        <v>222</v>
      </c>
      <c r="E34" s="132">
        <v>0</v>
      </c>
      <c r="F34" s="132">
        <v>0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32">
        <v>0</v>
      </c>
      <c r="R34" s="132">
        <v>0</v>
      </c>
      <c r="S34" s="132">
        <v>0</v>
      </c>
      <c r="T34" s="132">
        <v>0</v>
      </c>
      <c r="U34" s="132">
        <v>0</v>
      </c>
      <c r="V34" s="132">
        <v>0</v>
      </c>
      <c r="W34" s="132">
        <v>0</v>
      </c>
      <c r="X34" s="132">
        <v>0</v>
      </c>
      <c r="Y34" s="132">
        <v>0</v>
      </c>
      <c r="Z34" s="128">
        <f t="shared" si="0"/>
        <v>0</v>
      </c>
    </row>
    <row r="35" spans="1:26" x14ac:dyDescent="0.2">
      <c r="A35" s="23" t="s">
        <v>103</v>
      </c>
      <c r="B35">
        <v>2</v>
      </c>
      <c r="C35" s="23" t="s">
        <v>112</v>
      </c>
      <c r="D35">
        <v>223</v>
      </c>
      <c r="E35" s="132">
        <v>0</v>
      </c>
      <c r="F35" s="132">
        <v>0</v>
      </c>
      <c r="G35" s="132">
        <v>0</v>
      </c>
      <c r="H35" s="132">
        <v>0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32">
        <v>0</v>
      </c>
      <c r="R35" s="132">
        <v>0</v>
      </c>
      <c r="S35" s="132">
        <v>0</v>
      </c>
      <c r="T35" s="132">
        <v>0</v>
      </c>
      <c r="U35" s="132">
        <v>0</v>
      </c>
      <c r="V35" s="132">
        <v>0</v>
      </c>
      <c r="W35" s="132">
        <v>0</v>
      </c>
      <c r="X35" s="132">
        <v>0</v>
      </c>
      <c r="Y35" s="132">
        <v>0</v>
      </c>
      <c r="Z35" s="128">
        <f t="shared" si="0"/>
        <v>0</v>
      </c>
    </row>
    <row r="36" spans="1:26" x14ac:dyDescent="0.2">
      <c r="A36" s="23" t="s">
        <v>103</v>
      </c>
      <c r="B36">
        <v>2</v>
      </c>
      <c r="C36" s="23" t="s">
        <v>111</v>
      </c>
      <c r="D36">
        <v>201</v>
      </c>
      <c r="E36" s="132">
        <v>0</v>
      </c>
      <c r="F36" s="132">
        <v>0.6</v>
      </c>
      <c r="G36" s="132">
        <v>0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0.5</v>
      </c>
      <c r="O36" s="132">
        <v>0</v>
      </c>
      <c r="P36" s="132">
        <v>0</v>
      </c>
      <c r="Q36" s="132">
        <v>0</v>
      </c>
      <c r="R36" s="132">
        <v>0</v>
      </c>
      <c r="S36" s="132">
        <v>0</v>
      </c>
      <c r="T36" s="132">
        <v>0</v>
      </c>
      <c r="U36" s="132">
        <v>0</v>
      </c>
      <c r="V36" s="132">
        <v>0</v>
      </c>
      <c r="W36" s="132">
        <v>0</v>
      </c>
      <c r="X36" s="132">
        <v>0</v>
      </c>
      <c r="Y36" s="132">
        <v>0</v>
      </c>
      <c r="Z36" s="128">
        <f t="shared" si="0"/>
        <v>5.2380952380952382E-2</v>
      </c>
    </row>
    <row r="37" spans="1:26" x14ac:dyDescent="0.2">
      <c r="A37" s="23" t="s">
        <v>103</v>
      </c>
      <c r="B37">
        <v>2</v>
      </c>
      <c r="C37" s="23" t="s">
        <v>111</v>
      </c>
      <c r="D37">
        <v>202</v>
      </c>
      <c r="E37" s="132">
        <v>0</v>
      </c>
      <c r="F37" s="132">
        <v>0.6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0.5</v>
      </c>
      <c r="O37" s="132">
        <v>0</v>
      </c>
      <c r="P37" s="132">
        <v>0</v>
      </c>
      <c r="Q37" s="132">
        <v>0</v>
      </c>
      <c r="R37" s="132">
        <v>0</v>
      </c>
      <c r="S37" s="132">
        <v>0</v>
      </c>
      <c r="T37" s="132">
        <v>0</v>
      </c>
      <c r="U37" s="132">
        <v>0</v>
      </c>
      <c r="V37" s="132">
        <v>0</v>
      </c>
      <c r="W37" s="132">
        <v>0</v>
      </c>
      <c r="X37" s="132">
        <v>0</v>
      </c>
      <c r="Y37" s="132">
        <v>0</v>
      </c>
      <c r="Z37" s="128">
        <f t="shared" si="0"/>
        <v>5.2380952380952382E-2</v>
      </c>
    </row>
    <row r="38" spans="1:26" x14ac:dyDescent="0.2">
      <c r="A38" s="23" t="s">
        <v>103</v>
      </c>
      <c r="B38">
        <v>2</v>
      </c>
      <c r="C38" s="23" t="s">
        <v>111</v>
      </c>
      <c r="D38">
        <v>203</v>
      </c>
      <c r="E38" s="132">
        <v>0</v>
      </c>
      <c r="F38" s="132">
        <v>0.6</v>
      </c>
      <c r="G38" s="132">
        <v>0.8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0.5</v>
      </c>
      <c r="O38" s="132">
        <v>0</v>
      </c>
      <c r="P38" s="132">
        <v>0</v>
      </c>
      <c r="Q38" s="132">
        <v>0</v>
      </c>
      <c r="R38" s="132">
        <v>0</v>
      </c>
      <c r="S38" s="132">
        <v>0</v>
      </c>
      <c r="T38" s="132">
        <v>0</v>
      </c>
      <c r="U38" s="132">
        <v>0</v>
      </c>
      <c r="V38" s="132">
        <v>0</v>
      </c>
      <c r="W38" s="132">
        <v>0</v>
      </c>
      <c r="X38" s="132">
        <v>0</v>
      </c>
      <c r="Y38" s="132">
        <v>0</v>
      </c>
      <c r="Z38" s="128">
        <f t="shared" si="0"/>
        <v>9.0476190476190474E-2</v>
      </c>
    </row>
    <row r="39" spans="1:26" x14ac:dyDescent="0.2">
      <c r="A39" s="23" t="s">
        <v>103</v>
      </c>
      <c r="B39">
        <v>2</v>
      </c>
      <c r="C39" s="23" t="s">
        <v>111</v>
      </c>
      <c r="D39">
        <v>204</v>
      </c>
      <c r="E39" s="132">
        <v>0</v>
      </c>
      <c r="F39" s="132">
        <v>0.6</v>
      </c>
      <c r="G39" s="132">
        <v>0.8</v>
      </c>
      <c r="H39" s="132">
        <v>0</v>
      </c>
      <c r="I39" s="132">
        <v>0</v>
      </c>
      <c r="J39" s="132">
        <v>0</v>
      </c>
      <c r="K39" s="132">
        <v>0</v>
      </c>
      <c r="L39" s="132">
        <v>0</v>
      </c>
      <c r="M39" s="132">
        <v>0</v>
      </c>
      <c r="N39" s="132">
        <v>0.5</v>
      </c>
      <c r="O39" s="132">
        <v>0</v>
      </c>
      <c r="P39" s="132">
        <v>0</v>
      </c>
      <c r="Q39" s="132">
        <v>0</v>
      </c>
      <c r="R39" s="132">
        <v>0</v>
      </c>
      <c r="S39" s="132">
        <v>0</v>
      </c>
      <c r="T39" s="132">
        <v>0</v>
      </c>
      <c r="U39" s="132">
        <v>0</v>
      </c>
      <c r="V39" s="132">
        <v>0</v>
      </c>
      <c r="W39" s="132">
        <v>0</v>
      </c>
      <c r="X39" s="132">
        <v>0</v>
      </c>
      <c r="Y39" s="132">
        <v>0</v>
      </c>
      <c r="Z39" s="128">
        <f t="shared" si="0"/>
        <v>9.0476190476190474E-2</v>
      </c>
    </row>
    <row r="40" spans="1:26" x14ac:dyDescent="0.2">
      <c r="A40" s="23" t="s">
        <v>103</v>
      </c>
      <c r="B40">
        <v>2</v>
      </c>
      <c r="C40" s="23" t="s">
        <v>111</v>
      </c>
      <c r="D40">
        <v>205</v>
      </c>
      <c r="E40" s="132">
        <v>0</v>
      </c>
      <c r="F40" s="132">
        <v>0.6</v>
      </c>
      <c r="G40" s="132">
        <v>0.8</v>
      </c>
      <c r="H40" s="132">
        <v>0</v>
      </c>
      <c r="I40" s="132">
        <v>0</v>
      </c>
      <c r="J40" s="132">
        <v>0</v>
      </c>
      <c r="K40" s="132">
        <v>0</v>
      </c>
      <c r="L40" s="132">
        <v>0</v>
      </c>
      <c r="M40" s="132">
        <v>0</v>
      </c>
      <c r="N40" s="132">
        <v>0.5</v>
      </c>
      <c r="O40" s="132">
        <v>0</v>
      </c>
      <c r="P40" s="132">
        <v>0</v>
      </c>
      <c r="Q40" s="132">
        <v>0</v>
      </c>
      <c r="R40" s="132">
        <v>0</v>
      </c>
      <c r="S40" s="132">
        <v>0</v>
      </c>
      <c r="T40" s="132">
        <v>0</v>
      </c>
      <c r="U40" s="132">
        <v>0</v>
      </c>
      <c r="V40" s="132">
        <v>0</v>
      </c>
      <c r="W40" s="132">
        <v>0</v>
      </c>
      <c r="X40" s="132">
        <v>0</v>
      </c>
      <c r="Y40" s="132">
        <v>0</v>
      </c>
      <c r="Z40" s="128">
        <f t="shared" si="0"/>
        <v>9.0476190476190474E-2</v>
      </c>
    </row>
    <row r="41" spans="1:26" x14ac:dyDescent="0.2">
      <c r="A41" s="23" t="s">
        <v>103</v>
      </c>
      <c r="B41">
        <v>2</v>
      </c>
      <c r="C41" s="23" t="s">
        <v>111</v>
      </c>
      <c r="D41">
        <v>206</v>
      </c>
      <c r="E41" s="132">
        <v>0</v>
      </c>
      <c r="F41" s="132">
        <v>0.6</v>
      </c>
      <c r="G41" s="132">
        <v>0.8</v>
      </c>
      <c r="H41" s="132">
        <v>0</v>
      </c>
      <c r="I41" s="132">
        <v>0</v>
      </c>
      <c r="J41" s="132">
        <v>0</v>
      </c>
      <c r="K41" s="132">
        <v>0</v>
      </c>
      <c r="L41" s="132">
        <v>0</v>
      </c>
      <c r="M41" s="132">
        <v>0</v>
      </c>
      <c r="N41" s="132">
        <v>0.5</v>
      </c>
      <c r="O41" s="132">
        <v>0</v>
      </c>
      <c r="P41" s="132">
        <v>0</v>
      </c>
      <c r="Q41" s="132">
        <v>0</v>
      </c>
      <c r="R41" s="132">
        <v>0</v>
      </c>
      <c r="S41" s="132">
        <v>0</v>
      </c>
      <c r="T41" s="132">
        <v>0</v>
      </c>
      <c r="U41" s="132">
        <v>0</v>
      </c>
      <c r="V41" s="132">
        <v>0</v>
      </c>
      <c r="W41" s="132">
        <v>0</v>
      </c>
      <c r="X41" s="132">
        <v>0</v>
      </c>
      <c r="Y41" s="132">
        <v>0</v>
      </c>
      <c r="Z41" s="128">
        <f t="shared" si="0"/>
        <v>9.0476190476190474E-2</v>
      </c>
    </row>
    <row r="42" spans="1:26" x14ac:dyDescent="0.2">
      <c r="A42" s="23" t="s">
        <v>103</v>
      </c>
      <c r="B42">
        <v>2</v>
      </c>
      <c r="C42" s="23" t="s">
        <v>111</v>
      </c>
      <c r="D42">
        <v>207</v>
      </c>
      <c r="E42" s="132">
        <v>0</v>
      </c>
      <c r="F42" s="132">
        <v>0.6</v>
      </c>
      <c r="G42" s="132">
        <v>0</v>
      </c>
      <c r="H42" s="132">
        <v>0</v>
      </c>
      <c r="I42" s="132">
        <v>0</v>
      </c>
      <c r="J42" s="132">
        <v>0</v>
      </c>
      <c r="K42" s="132">
        <v>0</v>
      </c>
      <c r="L42" s="132">
        <v>0</v>
      </c>
      <c r="M42" s="132">
        <v>0</v>
      </c>
      <c r="N42" s="132">
        <v>0.5</v>
      </c>
      <c r="O42" s="132">
        <v>0</v>
      </c>
      <c r="P42" s="132">
        <v>0</v>
      </c>
      <c r="Q42" s="132">
        <v>0</v>
      </c>
      <c r="R42" s="132">
        <v>0</v>
      </c>
      <c r="S42" s="132">
        <v>0</v>
      </c>
      <c r="T42" s="132">
        <v>0</v>
      </c>
      <c r="U42" s="132">
        <v>0</v>
      </c>
      <c r="V42" s="132">
        <v>0</v>
      </c>
      <c r="W42" s="132">
        <v>0</v>
      </c>
      <c r="X42" s="132">
        <v>0</v>
      </c>
      <c r="Y42" s="132">
        <v>0</v>
      </c>
      <c r="Z42" s="128">
        <f t="shared" si="0"/>
        <v>5.2380952380952382E-2</v>
      </c>
    </row>
    <row r="43" spans="1:26" x14ac:dyDescent="0.2">
      <c r="A43" s="23" t="s">
        <v>103</v>
      </c>
      <c r="B43">
        <v>2</v>
      </c>
      <c r="C43" s="23" t="s">
        <v>111</v>
      </c>
      <c r="D43">
        <v>208</v>
      </c>
      <c r="E43" s="132">
        <v>0</v>
      </c>
      <c r="F43" s="132">
        <v>0.6</v>
      </c>
      <c r="G43" s="132">
        <v>0</v>
      </c>
      <c r="H43" s="132">
        <v>0</v>
      </c>
      <c r="I43" s="132">
        <v>0</v>
      </c>
      <c r="J43" s="132">
        <v>0</v>
      </c>
      <c r="K43" s="132">
        <v>0</v>
      </c>
      <c r="L43" s="132">
        <v>0</v>
      </c>
      <c r="M43" s="132">
        <v>0</v>
      </c>
      <c r="N43" s="132">
        <v>0.5</v>
      </c>
      <c r="O43" s="132">
        <v>0</v>
      </c>
      <c r="P43" s="132">
        <v>0</v>
      </c>
      <c r="Q43" s="132">
        <v>0</v>
      </c>
      <c r="R43" s="132">
        <v>0</v>
      </c>
      <c r="S43" s="132">
        <v>0</v>
      </c>
      <c r="T43" s="132">
        <v>0</v>
      </c>
      <c r="U43" s="132">
        <v>0</v>
      </c>
      <c r="V43" s="132">
        <v>0</v>
      </c>
      <c r="W43" s="132">
        <v>0</v>
      </c>
      <c r="X43" s="132">
        <v>0</v>
      </c>
      <c r="Y43" s="132">
        <v>0</v>
      </c>
      <c r="Z43" s="128">
        <f t="shared" si="0"/>
        <v>5.2380952380952382E-2</v>
      </c>
    </row>
    <row r="44" spans="1:26" x14ac:dyDescent="0.2">
      <c r="A44" s="23" t="s">
        <v>103</v>
      </c>
      <c r="B44">
        <v>2</v>
      </c>
      <c r="C44" s="23" t="s">
        <v>111</v>
      </c>
      <c r="D44">
        <v>209</v>
      </c>
      <c r="E44" s="132">
        <v>0</v>
      </c>
      <c r="F44" s="132">
        <v>0</v>
      </c>
      <c r="G44" s="132">
        <v>0</v>
      </c>
      <c r="H44" s="132">
        <v>0</v>
      </c>
      <c r="I44" s="132">
        <v>0</v>
      </c>
      <c r="J44" s="132">
        <v>0</v>
      </c>
      <c r="K44" s="132">
        <v>0</v>
      </c>
      <c r="L44" s="132">
        <v>0</v>
      </c>
      <c r="M44" s="132">
        <v>0</v>
      </c>
      <c r="N44" s="132">
        <v>0.35</v>
      </c>
      <c r="O44" s="132">
        <v>0</v>
      </c>
      <c r="P44" s="132">
        <v>0</v>
      </c>
      <c r="Q44" s="132">
        <v>0</v>
      </c>
      <c r="R44" s="132">
        <v>0</v>
      </c>
      <c r="S44" s="132">
        <v>0</v>
      </c>
      <c r="T44" s="132">
        <v>0</v>
      </c>
      <c r="U44" s="132">
        <v>0</v>
      </c>
      <c r="V44" s="132">
        <v>0</v>
      </c>
      <c r="W44" s="132">
        <v>0</v>
      </c>
      <c r="X44" s="132">
        <v>0</v>
      </c>
      <c r="Y44" s="132">
        <v>0</v>
      </c>
      <c r="Z44" s="128">
        <f t="shared" si="0"/>
        <v>1.6666666666666666E-2</v>
      </c>
    </row>
    <row r="45" spans="1:26" x14ac:dyDescent="0.2">
      <c r="A45" s="23" t="s">
        <v>103</v>
      </c>
      <c r="B45">
        <v>2</v>
      </c>
      <c r="C45" s="23" t="s">
        <v>111</v>
      </c>
      <c r="D45">
        <v>210</v>
      </c>
      <c r="E45" s="132">
        <v>0</v>
      </c>
      <c r="F45" s="132">
        <v>0</v>
      </c>
      <c r="G45" s="132">
        <v>0</v>
      </c>
      <c r="H45" s="132">
        <v>0</v>
      </c>
      <c r="I45" s="132">
        <v>0</v>
      </c>
      <c r="J45" s="132">
        <v>0</v>
      </c>
      <c r="K45" s="132">
        <v>0</v>
      </c>
      <c r="L45" s="132">
        <v>0</v>
      </c>
      <c r="M45" s="132">
        <v>0</v>
      </c>
      <c r="N45" s="132">
        <v>0.4</v>
      </c>
      <c r="O45" s="132">
        <v>0</v>
      </c>
      <c r="P45" s="132">
        <v>0</v>
      </c>
      <c r="Q45" s="132">
        <v>0</v>
      </c>
      <c r="R45" s="132">
        <v>0</v>
      </c>
      <c r="S45" s="132">
        <v>0</v>
      </c>
      <c r="T45" s="132">
        <v>0</v>
      </c>
      <c r="U45" s="132">
        <v>0</v>
      </c>
      <c r="V45" s="132">
        <v>0</v>
      </c>
      <c r="W45" s="132">
        <v>0</v>
      </c>
      <c r="X45" s="132">
        <v>0</v>
      </c>
      <c r="Y45" s="132">
        <v>0</v>
      </c>
      <c r="Z45" s="128">
        <f t="shared" si="0"/>
        <v>1.9047619047619049E-2</v>
      </c>
    </row>
    <row r="46" spans="1:26" x14ac:dyDescent="0.2">
      <c r="A46" s="23" t="s">
        <v>103</v>
      </c>
      <c r="B46">
        <v>2</v>
      </c>
      <c r="C46" s="23" t="s">
        <v>111</v>
      </c>
      <c r="D46">
        <v>211</v>
      </c>
      <c r="E46" s="132">
        <v>0</v>
      </c>
      <c r="F46" s="132">
        <v>0</v>
      </c>
      <c r="G46" s="132">
        <v>0</v>
      </c>
      <c r="H46" s="132">
        <v>0</v>
      </c>
      <c r="I46" s="132">
        <v>0</v>
      </c>
      <c r="J46" s="132">
        <v>0</v>
      </c>
      <c r="K46" s="132">
        <v>0</v>
      </c>
      <c r="L46" s="132">
        <v>0</v>
      </c>
      <c r="M46" s="132">
        <v>0</v>
      </c>
      <c r="N46" s="132">
        <v>0.3</v>
      </c>
      <c r="O46" s="132">
        <v>0</v>
      </c>
      <c r="P46" s="132">
        <v>0</v>
      </c>
      <c r="Q46" s="132">
        <v>0</v>
      </c>
      <c r="R46" s="132">
        <v>0</v>
      </c>
      <c r="S46" s="132">
        <v>0</v>
      </c>
      <c r="T46" s="132">
        <v>0</v>
      </c>
      <c r="U46" s="132">
        <v>0</v>
      </c>
      <c r="V46" s="132">
        <v>0</v>
      </c>
      <c r="W46" s="132">
        <v>0</v>
      </c>
      <c r="X46" s="132">
        <v>0</v>
      </c>
      <c r="Y46" s="132">
        <v>0</v>
      </c>
      <c r="Z46" s="128">
        <f t="shared" si="0"/>
        <v>1.4285714285714285E-2</v>
      </c>
    </row>
    <row r="47" spans="1:26" x14ac:dyDescent="0.2">
      <c r="A47" s="23" t="s">
        <v>103</v>
      </c>
      <c r="B47">
        <v>2</v>
      </c>
      <c r="C47" s="23" t="s">
        <v>111</v>
      </c>
      <c r="D47">
        <v>212</v>
      </c>
      <c r="E47" s="132">
        <v>0</v>
      </c>
      <c r="F47" s="132">
        <v>0</v>
      </c>
      <c r="G47" s="132">
        <v>0</v>
      </c>
      <c r="H47" s="132">
        <v>0</v>
      </c>
      <c r="I47" s="132">
        <v>0</v>
      </c>
      <c r="J47" s="132">
        <v>0</v>
      </c>
      <c r="K47" s="132">
        <v>0</v>
      </c>
      <c r="L47" s="132">
        <v>0</v>
      </c>
      <c r="M47" s="132">
        <v>0</v>
      </c>
      <c r="N47" s="132">
        <v>0.35</v>
      </c>
      <c r="O47" s="132">
        <v>0</v>
      </c>
      <c r="P47" s="132">
        <v>0</v>
      </c>
      <c r="Q47" s="132">
        <v>0</v>
      </c>
      <c r="R47" s="132">
        <v>0</v>
      </c>
      <c r="S47" s="132">
        <v>0</v>
      </c>
      <c r="T47" s="132">
        <v>0</v>
      </c>
      <c r="U47" s="132">
        <v>0</v>
      </c>
      <c r="V47" s="132">
        <v>0</v>
      </c>
      <c r="W47" s="132">
        <v>0</v>
      </c>
      <c r="X47" s="132">
        <v>0</v>
      </c>
      <c r="Y47" s="132">
        <v>0</v>
      </c>
      <c r="Z47" s="128">
        <f t="shared" si="0"/>
        <v>1.6666666666666666E-2</v>
      </c>
    </row>
    <row r="48" spans="1:26" x14ac:dyDescent="0.2">
      <c r="A48" s="23" t="s">
        <v>103</v>
      </c>
      <c r="B48">
        <v>2</v>
      </c>
      <c r="C48" s="23" t="s">
        <v>111</v>
      </c>
      <c r="D48">
        <v>213</v>
      </c>
      <c r="E48" s="132">
        <v>0</v>
      </c>
      <c r="F48" s="132">
        <v>0</v>
      </c>
      <c r="G48" s="132">
        <v>0</v>
      </c>
      <c r="H48" s="132">
        <v>0</v>
      </c>
      <c r="I48" s="132">
        <v>0</v>
      </c>
      <c r="J48" s="132">
        <v>0</v>
      </c>
      <c r="K48" s="132">
        <v>0</v>
      </c>
      <c r="L48" s="132">
        <v>0</v>
      </c>
      <c r="M48" s="132">
        <v>0</v>
      </c>
      <c r="N48" s="132">
        <v>0.3</v>
      </c>
      <c r="O48" s="132">
        <v>0</v>
      </c>
      <c r="P48" s="132">
        <v>0</v>
      </c>
      <c r="Q48" s="132">
        <v>0</v>
      </c>
      <c r="R48" s="132">
        <v>0</v>
      </c>
      <c r="S48" s="132">
        <v>0</v>
      </c>
      <c r="T48" s="132">
        <v>0</v>
      </c>
      <c r="U48" s="132">
        <v>0</v>
      </c>
      <c r="V48" s="132">
        <v>0</v>
      </c>
      <c r="W48" s="132">
        <v>0</v>
      </c>
      <c r="X48" s="132">
        <v>0</v>
      </c>
      <c r="Y48" s="132">
        <v>0</v>
      </c>
      <c r="Z48" s="128">
        <f t="shared" si="0"/>
        <v>1.4285714285714285E-2</v>
      </c>
    </row>
    <row r="49" spans="1:26" x14ac:dyDescent="0.2">
      <c r="A49" s="23" t="s">
        <v>103</v>
      </c>
      <c r="B49">
        <v>2</v>
      </c>
      <c r="C49" s="23" t="s">
        <v>111</v>
      </c>
      <c r="D49">
        <v>214</v>
      </c>
      <c r="E49" s="132">
        <v>0</v>
      </c>
      <c r="F49" s="132">
        <v>0</v>
      </c>
      <c r="G49" s="132">
        <v>0</v>
      </c>
      <c r="H49" s="132">
        <v>0</v>
      </c>
      <c r="I49" s="132">
        <v>0</v>
      </c>
      <c r="J49" s="132">
        <v>0</v>
      </c>
      <c r="K49" s="132">
        <v>0</v>
      </c>
      <c r="L49" s="132">
        <v>0</v>
      </c>
      <c r="M49" s="132">
        <v>0</v>
      </c>
      <c r="N49" s="132">
        <v>0.35</v>
      </c>
      <c r="O49" s="132">
        <v>0</v>
      </c>
      <c r="P49" s="132">
        <v>0</v>
      </c>
      <c r="Q49" s="132">
        <v>0</v>
      </c>
      <c r="R49" s="132">
        <v>0</v>
      </c>
      <c r="S49" s="132">
        <v>0</v>
      </c>
      <c r="T49" s="132">
        <v>0.3</v>
      </c>
      <c r="U49" s="132">
        <v>0</v>
      </c>
      <c r="V49" s="132">
        <v>0</v>
      </c>
      <c r="W49" s="132">
        <v>0</v>
      </c>
      <c r="X49" s="132">
        <v>0</v>
      </c>
      <c r="Y49" s="132">
        <v>0</v>
      </c>
      <c r="Z49" s="128">
        <f t="shared" si="0"/>
        <v>3.0952380952380946E-2</v>
      </c>
    </row>
    <row r="50" spans="1:26" x14ac:dyDescent="0.2">
      <c r="A50" s="23" t="s">
        <v>103</v>
      </c>
      <c r="B50">
        <v>2</v>
      </c>
      <c r="C50" s="23" t="s">
        <v>111</v>
      </c>
      <c r="D50">
        <v>215</v>
      </c>
      <c r="E50" s="132">
        <v>0</v>
      </c>
      <c r="F50" s="132">
        <v>0</v>
      </c>
      <c r="G50" s="132">
        <v>0</v>
      </c>
      <c r="H50" s="132">
        <v>0</v>
      </c>
      <c r="I50" s="132">
        <v>0</v>
      </c>
      <c r="J50" s="132">
        <v>0</v>
      </c>
      <c r="K50" s="132">
        <v>0</v>
      </c>
      <c r="L50" s="132">
        <v>0</v>
      </c>
      <c r="M50" s="132">
        <v>0</v>
      </c>
      <c r="N50" s="132">
        <v>0.3</v>
      </c>
      <c r="O50" s="132">
        <v>0</v>
      </c>
      <c r="P50" s="132">
        <v>0</v>
      </c>
      <c r="Q50" s="132">
        <v>0</v>
      </c>
      <c r="R50" s="132">
        <v>0</v>
      </c>
      <c r="S50" s="132">
        <v>0</v>
      </c>
      <c r="T50" s="132">
        <v>0</v>
      </c>
      <c r="U50" s="132">
        <v>0</v>
      </c>
      <c r="V50" s="132">
        <v>0</v>
      </c>
      <c r="W50" s="132">
        <v>0</v>
      </c>
      <c r="X50" s="132">
        <v>0</v>
      </c>
      <c r="Y50" s="132">
        <v>0</v>
      </c>
      <c r="Z50" s="128">
        <f t="shared" si="0"/>
        <v>1.4285714285714285E-2</v>
      </c>
    </row>
    <row r="51" spans="1:26" x14ac:dyDescent="0.2">
      <c r="A51" s="23" t="s">
        <v>103</v>
      </c>
      <c r="B51">
        <v>2</v>
      </c>
      <c r="C51" s="23" t="s">
        <v>111</v>
      </c>
      <c r="D51">
        <v>216</v>
      </c>
      <c r="E51" s="132">
        <v>0</v>
      </c>
      <c r="F51" s="132">
        <v>0</v>
      </c>
      <c r="G51" s="132">
        <v>0</v>
      </c>
      <c r="H51" s="132">
        <v>0</v>
      </c>
      <c r="I51" s="132">
        <v>0</v>
      </c>
      <c r="J51" s="132">
        <v>0</v>
      </c>
      <c r="K51" s="132">
        <v>0</v>
      </c>
      <c r="L51" s="132">
        <v>0</v>
      </c>
      <c r="M51" s="132">
        <v>0</v>
      </c>
      <c r="N51" s="132">
        <v>0.35</v>
      </c>
      <c r="O51" s="132">
        <v>0</v>
      </c>
      <c r="P51" s="132">
        <v>0</v>
      </c>
      <c r="Q51" s="132">
        <v>0</v>
      </c>
      <c r="R51" s="132">
        <v>0</v>
      </c>
      <c r="S51" s="132">
        <v>0</v>
      </c>
      <c r="T51" s="132">
        <v>0</v>
      </c>
      <c r="U51" s="132">
        <v>0</v>
      </c>
      <c r="V51" s="132">
        <v>0</v>
      </c>
      <c r="W51" s="132">
        <v>0</v>
      </c>
      <c r="X51" s="132">
        <v>0</v>
      </c>
      <c r="Y51" s="132">
        <v>0</v>
      </c>
      <c r="Z51" s="128">
        <f t="shared" si="0"/>
        <v>1.6666666666666666E-2</v>
      </c>
    </row>
    <row r="52" spans="1:26" x14ac:dyDescent="0.2">
      <c r="A52" s="23" t="s">
        <v>103</v>
      </c>
      <c r="B52">
        <v>2</v>
      </c>
      <c r="C52" s="23" t="s">
        <v>111</v>
      </c>
      <c r="D52">
        <v>217</v>
      </c>
      <c r="E52" s="132">
        <v>0</v>
      </c>
      <c r="F52" s="132">
        <v>0</v>
      </c>
      <c r="G52" s="132">
        <v>0</v>
      </c>
      <c r="H52" s="132">
        <v>0</v>
      </c>
      <c r="I52" s="132">
        <v>0</v>
      </c>
      <c r="J52" s="132">
        <v>0</v>
      </c>
      <c r="K52" s="132">
        <v>0</v>
      </c>
      <c r="L52" s="132">
        <v>0</v>
      </c>
      <c r="M52" s="132">
        <v>0</v>
      </c>
      <c r="N52" s="132">
        <v>0.35</v>
      </c>
      <c r="O52" s="132">
        <v>0</v>
      </c>
      <c r="P52" s="132">
        <v>0</v>
      </c>
      <c r="Q52" s="132">
        <v>0</v>
      </c>
      <c r="R52" s="132">
        <v>0</v>
      </c>
      <c r="S52" s="132">
        <v>0</v>
      </c>
      <c r="T52" s="132">
        <v>0.3</v>
      </c>
      <c r="U52" s="132">
        <v>0</v>
      </c>
      <c r="V52" s="132">
        <v>0</v>
      </c>
      <c r="W52" s="132">
        <v>0</v>
      </c>
      <c r="X52" s="132">
        <v>0</v>
      </c>
      <c r="Y52" s="132">
        <v>0</v>
      </c>
      <c r="Z52" s="128">
        <f t="shared" si="0"/>
        <v>3.0952380952380946E-2</v>
      </c>
    </row>
    <row r="53" spans="1:26" x14ac:dyDescent="0.2">
      <c r="A53" s="23" t="s">
        <v>103</v>
      </c>
      <c r="B53">
        <v>2</v>
      </c>
      <c r="C53" s="23" t="s">
        <v>111</v>
      </c>
      <c r="D53">
        <v>218</v>
      </c>
      <c r="E53" s="132">
        <v>0</v>
      </c>
      <c r="F53" s="132">
        <v>0</v>
      </c>
      <c r="G53" s="132">
        <v>0</v>
      </c>
      <c r="H53" s="132">
        <v>0</v>
      </c>
      <c r="I53" s="132">
        <v>0</v>
      </c>
      <c r="J53" s="132">
        <v>0</v>
      </c>
      <c r="K53" s="132">
        <v>0</v>
      </c>
      <c r="L53" s="132">
        <v>0</v>
      </c>
      <c r="M53" s="132">
        <v>0</v>
      </c>
      <c r="N53" s="132">
        <v>0.4</v>
      </c>
      <c r="O53" s="132">
        <v>0</v>
      </c>
      <c r="P53" s="132">
        <v>0</v>
      </c>
      <c r="Q53" s="132">
        <v>0</v>
      </c>
      <c r="R53" s="132">
        <v>0</v>
      </c>
      <c r="S53" s="132">
        <v>0</v>
      </c>
      <c r="T53" s="132">
        <v>0</v>
      </c>
      <c r="U53" s="132">
        <v>0</v>
      </c>
      <c r="V53" s="132">
        <v>0</v>
      </c>
      <c r="W53" s="132">
        <v>0</v>
      </c>
      <c r="X53" s="132">
        <v>0</v>
      </c>
      <c r="Y53" s="132">
        <v>0</v>
      </c>
      <c r="Z53" s="128">
        <f t="shared" si="0"/>
        <v>1.9047619047619049E-2</v>
      </c>
    </row>
    <row r="54" spans="1:26" x14ac:dyDescent="0.2">
      <c r="A54" s="23" t="s">
        <v>103</v>
      </c>
      <c r="B54">
        <v>2</v>
      </c>
      <c r="C54" s="23" t="s">
        <v>111</v>
      </c>
      <c r="D54">
        <v>219</v>
      </c>
      <c r="E54" s="132">
        <v>0</v>
      </c>
      <c r="F54" s="132">
        <v>0</v>
      </c>
      <c r="G54" s="132">
        <v>0</v>
      </c>
      <c r="H54" s="132">
        <v>0</v>
      </c>
      <c r="I54" s="132">
        <v>0</v>
      </c>
      <c r="J54" s="132">
        <v>0</v>
      </c>
      <c r="K54" s="132">
        <v>0</v>
      </c>
      <c r="L54" s="132">
        <v>0</v>
      </c>
      <c r="M54" s="132">
        <v>0</v>
      </c>
      <c r="N54" s="132">
        <v>0</v>
      </c>
      <c r="O54" s="132">
        <v>0</v>
      </c>
      <c r="P54" s="132">
        <v>0</v>
      </c>
      <c r="Q54" s="132">
        <v>0</v>
      </c>
      <c r="R54" s="132">
        <v>0</v>
      </c>
      <c r="S54" s="132">
        <v>0</v>
      </c>
      <c r="T54" s="132">
        <v>0</v>
      </c>
      <c r="U54" s="132">
        <v>0</v>
      </c>
      <c r="V54" s="132">
        <v>0</v>
      </c>
      <c r="W54" s="132">
        <v>0</v>
      </c>
      <c r="X54" s="132">
        <v>0</v>
      </c>
      <c r="Y54" s="132">
        <v>0</v>
      </c>
      <c r="Z54" s="128">
        <f t="shared" si="0"/>
        <v>0</v>
      </c>
    </row>
    <row r="55" spans="1:26" x14ac:dyDescent="0.2">
      <c r="A55" s="23" t="s">
        <v>103</v>
      </c>
      <c r="B55">
        <v>2</v>
      </c>
      <c r="C55" s="23" t="s">
        <v>111</v>
      </c>
      <c r="D55">
        <v>220</v>
      </c>
      <c r="E55" s="132">
        <v>0</v>
      </c>
      <c r="F55" s="132">
        <v>0</v>
      </c>
      <c r="G55" s="132">
        <v>0</v>
      </c>
      <c r="H55" s="132">
        <v>0</v>
      </c>
      <c r="I55" s="132">
        <v>0</v>
      </c>
      <c r="J55" s="132">
        <v>0</v>
      </c>
      <c r="K55" s="132">
        <v>0</v>
      </c>
      <c r="L55" s="132">
        <v>0</v>
      </c>
      <c r="M55" s="132">
        <v>0</v>
      </c>
      <c r="N55" s="132">
        <v>0.4</v>
      </c>
      <c r="O55" s="132">
        <v>0</v>
      </c>
      <c r="P55" s="132">
        <v>0</v>
      </c>
      <c r="Q55" s="132">
        <v>0</v>
      </c>
      <c r="R55" s="132">
        <v>0</v>
      </c>
      <c r="S55" s="132">
        <v>0</v>
      </c>
      <c r="T55" s="132">
        <v>0.3</v>
      </c>
      <c r="U55" s="132">
        <v>0</v>
      </c>
      <c r="V55" s="132">
        <v>0</v>
      </c>
      <c r="W55" s="132">
        <v>0</v>
      </c>
      <c r="X55" s="132">
        <v>0</v>
      </c>
      <c r="Y55" s="132">
        <v>0</v>
      </c>
      <c r="Z55" s="128">
        <f t="shared" si="0"/>
        <v>3.3333333333333333E-2</v>
      </c>
    </row>
    <row r="56" spans="1:26" x14ac:dyDescent="0.2">
      <c r="A56" s="23" t="s">
        <v>103</v>
      </c>
      <c r="B56">
        <v>2</v>
      </c>
      <c r="C56" s="23" t="s">
        <v>111</v>
      </c>
      <c r="D56">
        <v>221</v>
      </c>
      <c r="E56" s="132">
        <v>0</v>
      </c>
      <c r="F56" s="132">
        <v>0</v>
      </c>
      <c r="G56" s="132">
        <v>0</v>
      </c>
      <c r="H56" s="132">
        <v>0</v>
      </c>
      <c r="I56" s="132">
        <v>0</v>
      </c>
      <c r="J56" s="132">
        <v>0</v>
      </c>
      <c r="K56" s="132">
        <v>0</v>
      </c>
      <c r="L56" s="132">
        <v>0</v>
      </c>
      <c r="M56" s="132">
        <v>0</v>
      </c>
      <c r="N56" s="132">
        <v>0.4</v>
      </c>
      <c r="O56" s="132">
        <v>0</v>
      </c>
      <c r="P56" s="132">
        <v>0</v>
      </c>
      <c r="Q56" s="132">
        <v>0</v>
      </c>
      <c r="R56" s="132">
        <v>0</v>
      </c>
      <c r="S56" s="132">
        <v>0</v>
      </c>
      <c r="T56" s="132">
        <v>0</v>
      </c>
      <c r="U56" s="132">
        <v>0</v>
      </c>
      <c r="V56" s="132">
        <v>0</v>
      </c>
      <c r="W56" s="132">
        <v>0</v>
      </c>
      <c r="X56" s="132">
        <v>0</v>
      </c>
      <c r="Y56" s="132">
        <v>0</v>
      </c>
      <c r="Z56" s="128">
        <f t="shared" si="0"/>
        <v>1.9047619047619049E-2</v>
      </c>
    </row>
    <row r="57" spans="1:26" x14ac:dyDescent="0.2">
      <c r="A57" s="23"/>
      <c r="C57" s="23"/>
      <c r="D57" s="23"/>
      <c r="E57" s="132"/>
      <c r="F57" s="132">
        <f t="shared" ref="F57:Y57" si="2">AVERAGE(F14:F56)</f>
        <v>0.11162790697674418</v>
      </c>
      <c r="G57" s="132">
        <f t="shared" si="2"/>
        <v>7.441860465116279E-2</v>
      </c>
      <c r="H57" s="132">
        <f t="shared" si="2"/>
        <v>0</v>
      </c>
      <c r="I57" s="132">
        <f t="shared" si="2"/>
        <v>0</v>
      </c>
      <c r="J57" s="132">
        <f t="shared" si="2"/>
        <v>0</v>
      </c>
      <c r="K57" s="132">
        <f t="shared" si="2"/>
        <v>0</v>
      </c>
      <c r="L57" s="132">
        <f t="shared" si="2"/>
        <v>0</v>
      </c>
      <c r="M57" s="132">
        <f t="shared" si="2"/>
        <v>0</v>
      </c>
      <c r="N57" s="132">
        <f t="shared" si="2"/>
        <v>0.28255813953488373</v>
      </c>
      <c r="O57" s="132">
        <f t="shared" si="2"/>
        <v>0</v>
      </c>
      <c r="P57" s="132">
        <f t="shared" si="2"/>
        <v>0</v>
      </c>
      <c r="Q57" s="132">
        <f t="shared" si="2"/>
        <v>0</v>
      </c>
      <c r="R57" s="132">
        <f t="shared" si="2"/>
        <v>0</v>
      </c>
      <c r="S57" s="132">
        <f t="shared" si="2"/>
        <v>0</v>
      </c>
      <c r="T57" s="132">
        <f t="shared" si="2"/>
        <v>2.0930232558139531E-2</v>
      </c>
      <c r="U57" s="132">
        <f t="shared" si="2"/>
        <v>0</v>
      </c>
      <c r="V57" s="132">
        <f t="shared" si="2"/>
        <v>0</v>
      </c>
      <c r="W57" s="132">
        <f t="shared" si="2"/>
        <v>0</v>
      </c>
      <c r="X57" s="132">
        <f t="shared" si="2"/>
        <v>0</v>
      </c>
      <c r="Y57" s="132">
        <f t="shared" si="2"/>
        <v>0</v>
      </c>
      <c r="Z57" s="128">
        <f t="shared" si="0"/>
        <v>2.4476744186046513E-2</v>
      </c>
    </row>
    <row r="58" spans="1:26" x14ac:dyDescent="0.2">
      <c r="A58" s="23" t="s">
        <v>103</v>
      </c>
      <c r="B58">
        <v>3</v>
      </c>
      <c r="C58" s="23" t="s">
        <v>112</v>
      </c>
      <c r="D58">
        <v>301</v>
      </c>
      <c r="E58" s="132">
        <v>0</v>
      </c>
      <c r="F58" s="132">
        <v>0</v>
      </c>
      <c r="G58" s="132">
        <v>0</v>
      </c>
      <c r="H58" s="132">
        <v>0</v>
      </c>
      <c r="I58" s="132">
        <v>0</v>
      </c>
      <c r="J58" s="132">
        <v>0</v>
      </c>
      <c r="K58" s="132">
        <v>0</v>
      </c>
      <c r="L58" s="132">
        <v>0</v>
      </c>
      <c r="M58" s="132">
        <v>0</v>
      </c>
      <c r="N58" s="132">
        <v>0</v>
      </c>
      <c r="O58" s="132">
        <v>0</v>
      </c>
      <c r="P58" s="132">
        <v>0</v>
      </c>
      <c r="Q58" s="132">
        <v>0</v>
      </c>
      <c r="R58" s="132">
        <v>0</v>
      </c>
      <c r="S58" s="132">
        <v>0</v>
      </c>
      <c r="T58" s="132">
        <v>0</v>
      </c>
      <c r="U58" s="132">
        <v>0</v>
      </c>
      <c r="V58" s="132">
        <v>0</v>
      </c>
      <c r="W58" s="132">
        <v>0</v>
      </c>
      <c r="X58" s="132">
        <v>0</v>
      </c>
      <c r="Y58" s="132">
        <v>0</v>
      </c>
      <c r="Z58" s="128">
        <f t="shared" si="0"/>
        <v>0</v>
      </c>
    </row>
    <row r="59" spans="1:26" x14ac:dyDescent="0.2">
      <c r="A59" s="23" t="s">
        <v>103</v>
      </c>
      <c r="B59">
        <v>3</v>
      </c>
      <c r="C59" s="23" t="s">
        <v>112</v>
      </c>
      <c r="D59">
        <v>302</v>
      </c>
      <c r="E59" s="132">
        <v>0</v>
      </c>
      <c r="F59" s="132">
        <v>0</v>
      </c>
      <c r="G59" s="132">
        <v>0</v>
      </c>
      <c r="H59" s="132">
        <v>0</v>
      </c>
      <c r="I59" s="132">
        <v>0</v>
      </c>
      <c r="J59" s="132">
        <v>0</v>
      </c>
      <c r="K59" s="132">
        <v>0</v>
      </c>
      <c r="L59" s="132">
        <v>0</v>
      </c>
      <c r="M59" s="132">
        <v>0</v>
      </c>
      <c r="N59" s="132">
        <v>0</v>
      </c>
      <c r="O59" s="132">
        <v>0</v>
      </c>
      <c r="P59" s="132">
        <v>0</v>
      </c>
      <c r="Q59" s="132">
        <v>0</v>
      </c>
      <c r="R59" s="132">
        <v>0</v>
      </c>
      <c r="S59" s="132">
        <v>0</v>
      </c>
      <c r="T59" s="132">
        <v>0</v>
      </c>
      <c r="U59" s="132">
        <v>0</v>
      </c>
      <c r="V59" s="132">
        <v>0</v>
      </c>
      <c r="W59" s="132">
        <v>0</v>
      </c>
      <c r="X59" s="132">
        <v>0</v>
      </c>
      <c r="Y59" s="132">
        <v>0</v>
      </c>
      <c r="Z59" s="128">
        <f t="shared" si="0"/>
        <v>0</v>
      </c>
    </row>
    <row r="60" spans="1:26" x14ac:dyDescent="0.2">
      <c r="A60" s="23" t="s">
        <v>103</v>
      </c>
      <c r="B60">
        <v>3</v>
      </c>
      <c r="C60" s="23" t="s">
        <v>112</v>
      </c>
      <c r="D60">
        <v>303</v>
      </c>
      <c r="E60" s="132">
        <v>0</v>
      </c>
      <c r="F60" s="132">
        <v>0</v>
      </c>
      <c r="G60" s="132">
        <v>0</v>
      </c>
      <c r="H60" s="132">
        <v>0</v>
      </c>
      <c r="I60" s="132">
        <v>0</v>
      </c>
      <c r="J60" s="132">
        <v>0</v>
      </c>
      <c r="K60" s="132">
        <v>0</v>
      </c>
      <c r="L60" s="132">
        <v>0</v>
      </c>
      <c r="M60" s="132">
        <v>0</v>
      </c>
      <c r="N60" s="132">
        <v>0</v>
      </c>
      <c r="O60" s="132">
        <v>0</v>
      </c>
      <c r="P60" s="132">
        <v>0</v>
      </c>
      <c r="Q60" s="132">
        <v>0</v>
      </c>
      <c r="R60" s="132">
        <v>0</v>
      </c>
      <c r="S60" s="132">
        <v>0</v>
      </c>
      <c r="T60" s="132">
        <v>0</v>
      </c>
      <c r="U60" s="132">
        <v>0</v>
      </c>
      <c r="V60" s="132">
        <v>0</v>
      </c>
      <c r="W60" s="132">
        <v>0</v>
      </c>
      <c r="X60" s="132">
        <v>0</v>
      </c>
      <c r="Y60" s="132">
        <v>0</v>
      </c>
      <c r="Z60" s="128">
        <f t="shared" si="0"/>
        <v>0</v>
      </c>
    </row>
    <row r="61" spans="1:26" x14ac:dyDescent="0.2">
      <c r="A61" s="23" t="s">
        <v>103</v>
      </c>
      <c r="B61">
        <v>3</v>
      </c>
      <c r="C61" s="23" t="s">
        <v>112</v>
      </c>
      <c r="D61">
        <v>304</v>
      </c>
      <c r="E61" s="132">
        <v>0</v>
      </c>
      <c r="F61" s="132">
        <v>0</v>
      </c>
      <c r="G61" s="132">
        <v>0</v>
      </c>
      <c r="H61" s="132">
        <v>0</v>
      </c>
      <c r="I61" s="132">
        <v>0</v>
      </c>
      <c r="J61" s="132">
        <v>0</v>
      </c>
      <c r="K61" s="132">
        <v>0</v>
      </c>
      <c r="L61" s="132">
        <v>0</v>
      </c>
      <c r="M61" s="132">
        <v>0</v>
      </c>
      <c r="N61" s="132">
        <v>0.25</v>
      </c>
      <c r="O61" s="132">
        <v>0</v>
      </c>
      <c r="P61" s="132">
        <v>0</v>
      </c>
      <c r="Q61" s="132">
        <v>0</v>
      </c>
      <c r="R61" s="132">
        <v>0</v>
      </c>
      <c r="S61" s="132">
        <v>0</v>
      </c>
      <c r="T61" s="132">
        <v>0</v>
      </c>
      <c r="U61" s="132">
        <v>0</v>
      </c>
      <c r="V61" s="132">
        <v>0</v>
      </c>
      <c r="W61" s="132">
        <v>0</v>
      </c>
      <c r="X61" s="132">
        <v>0</v>
      </c>
      <c r="Y61" s="132">
        <v>0</v>
      </c>
      <c r="Z61" s="128">
        <f t="shared" si="0"/>
        <v>1.1904761904761904E-2</v>
      </c>
    </row>
    <row r="62" spans="1:26" x14ac:dyDescent="0.2">
      <c r="A62" s="23" t="s">
        <v>103</v>
      </c>
      <c r="B62">
        <v>3</v>
      </c>
      <c r="C62" s="23" t="s">
        <v>112</v>
      </c>
      <c r="D62">
        <v>305</v>
      </c>
      <c r="E62" s="132">
        <v>0</v>
      </c>
      <c r="F62" s="132">
        <v>0.9</v>
      </c>
      <c r="G62" s="132">
        <v>1</v>
      </c>
      <c r="H62" s="132">
        <v>0</v>
      </c>
      <c r="I62" s="132">
        <v>0</v>
      </c>
      <c r="J62" s="132">
        <v>0</v>
      </c>
      <c r="K62" s="132">
        <v>0</v>
      </c>
      <c r="L62" s="132">
        <v>0</v>
      </c>
      <c r="M62" s="132">
        <v>0</v>
      </c>
      <c r="N62" s="132">
        <v>0.9</v>
      </c>
      <c r="O62" s="132">
        <v>0</v>
      </c>
      <c r="P62" s="132">
        <v>0</v>
      </c>
      <c r="Q62" s="132">
        <v>0</v>
      </c>
      <c r="R62" s="132">
        <v>0</v>
      </c>
      <c r="S62" s="132">
        <v>0</v>
      </c>
      <c r="T62" s="132">
        <v>0.2</v>
      </c>
      <c r="U62" s="132">
        <v>0</v>
      </c>
      <c r="V62" s="132">
        <v>0</v>
      </c>
      <c r="W62" s="132">
        <v>0</v>
      </c>
      <c r="X62" s="132">
        <v>0</v>
      </c>
      <c r="Y62" s="132">
        <v>0</v>
      </c>
      <c r="Z62" s="128">
        <f t="shared" si="0"/>
        <v>0.14285714285714285</v>
      </c>
    </row>
    <row r="63" spans="1:26" x14ac:dyDescent="0.2">
      <c r="A63" s="23" t="s">
        <v>103</v>
      </c>
      <c r="B63">
        <v>3</v>
      </c>
      <c r="C63" s="23" t="s">
        <v>112</v>
      </c>
      <c r="D63">
        <v>306</v>
      </c>
      <c r="E63" s="132">
        <v>0</v>
      </c>
      <c r="F63" s="132">
        <v>0</v>
      </c>
      <c r="G63" s="132">
        <v>0</v>
      </c>
      <c r="H63" s="132">
        <v>0</v>
      </c>
      <c r="I63" s="132">
        <v>0</v>
      </c>
      <c r="J63" s="132">
        <v>0</v>
      </c>
      <c r="K63" s="132">
        <v>0</v>
      </c>
      <c r="L63" s="132">
        <v>0</v>
      </c>
      <c r="M63" s="132">
        <v>0</v>
      </c>
      <c r="N63" s="132">
        <v>0</v>
      </c>
      <c r="O63" s="132">
        <v>0</v>
      </c>
      <c r="P63" s="132">
        <v>0</v>
      </c>
      <c r="Q63" s="132">
        <v>0</v>
      </c>
      <c r="R63" s="132">
        <v>0</v>
      </c>
      <c r="S63" s="132">
        <v>0</v>
      </c>
      <c r="T63" s="132">
        <v>0</v>
      </c>
      <c r="U63" s="132">
        <v>0</v>
      </c>
      <c r="V63" s="132">
        <v>0</v>
      </c>
      <c r="W63" s="132">
        <v>0</v>
      </c>
      <c r="X63" s="132">
        <v>0</v>
      </c>
      <c r="Y63" s="132">
        <v>0</v>
      </c>
      <c r="Z63" s="128">
        <f t="shared" si="0"/>
        <v>0</v>
      </c>
    </row>
    <row r="64" spans="1:26" x14ac:dyDescent="0.2">
      <c r="A64" s="23" t="s">
        <v>103</v>
      </c>
      <c r="B64">
        <v>3</v>
      </c>
      <c r="C64" s="23" t="s">
        <v>112</v>
      </c>
      <c r="D64">
        <v>307</v>
      </c>
      <c r="E64" s="132">
        <v>0</v>
      </c>
      <c r="F64" s="132">
        <v>0</v>
      </c>
      <c r="G64" s="132">
        <v>0</v>
      </c>
      <c r="H64" s="132">
        <v>0</v>
      </c>
      <c r="I64" s="132">
        <v>0</v>
      </c>
      <c r="J64" s="132">
        <v>0</v>
      </c>
      <c r="K64" s="132">
        <v>0</v>
      </c>
      <c r="L64" s="132">
        <v>0</v>
      </c>
      <c r="M64" s="132">
        <v>0</v>
      </c>
      <c r="N64" s="132">
        <v>0</v>
      </c>
      <c r="O64" s="132">
        <v>0</v>
      </c>
      <c r="P64" s="132">
        <v>0</v>
      </c>
      <c r="Q64" s="132">
        <v>0</v>
      </c>
      <c r="R64" s="132">
        <v>0</v>
      </c>
      <c r="S64" s="132">
        <v>0</v>
      </c>
      <c r="T64" s="132">
        <v>0</v>
      </c>
      <c r="U64" s="132">
        <v>0</v>
      </c>
      <c r="V64" s="132">
        <v>0</v>
      </c>
      <c r="W64" s="132">
        <v>0</v>
      </c>
      <c r="X64" s="132">
        <v>0</v>
      </c>
      <c r="Y64" s="132">
        <v>0</v>
      </c>
      <c r="Z64" s="128">
        <f t="shared" si="0"/>
        <v>0</v>
      </c>
    </row>
    <row r="65" spans="1:26" x14ac:dyDescent="0.2">
      <c r="A65" s="23" t="s">
        <v>103</v>
      </c>
      <c r="B65">
        <v>3</v>
      </c>
      <c r="C65" s="23" t="s">
        <v>112</v>
      </c>
      <c r="D65">
        <v>308</v>
      </c>
      <c r="E65" s="132">
        <v>0</v>
      </c>
      <c r="F65" s="132">
        <v>0</v>
      </c>
      <c r="G65" s="132">
        <v>0</v>
      </c>
      <c r="H65" s="132">
        <v>0</v>
      </c>
      <c r="I65" s="132">
        <v>0</v>
      </c>
      <c r="J65" s="132">
        <v>0</v>
      </c>
      <c r="K65" s="132">
        <v>0</v>
      </c>
      <c r="L65" s="132">
        <v>0</v>
      </c>
      <c r="M65" s="132">
        <v>0</v>
      </c>
      <c r="N65" s="132">
        <v>0</v>
      </c>
      <c r="O65" s="132">
        <v>0</v>
      </c>
      <c r="P65" s="132">
        <v>0</v>
      </c>
      <c r="Q65" s="132">
        <v>0</v>
      </c>
      <c r="R65" s="132">
        <v>0</v>
      </c>
      <c r="S65" s="132">
        <v>0</v>
      </c>
      <c r="T65" s="132">
        <v>0</v>
      </c>
      <c r="U65" s="132">
        <v>0</v>
      </c>
      <c r="V65" s="132">
        <v>0</v>
      </c>
      <c r="W65" s="132">
        <v>0</v>
      </c>
      <c r="X65" s="132">
        <v>0</v>
      </c>
      <c r="Y65" s="132">
        <v>0</v>
      </c>
      <c r="Z65" s="128">
        <f t="shared" si="0"/>
        <v>0</v>
      </c>
    </row>
    <row r="66" spans="1:26" x14ac:dyDescent="0.2">
      <c r="A66" s="23" t="s">
        <v>103</v>
      </c>
      <c r="B66">
        <v>3</v>
      </c>
      <c r="C66" s="23" t="s">
        <v>112</v>
      </c>
      <c r="D66">
        <v>309</v>
      </c>
      <c r="E66" s="132">
        <v>0</v>
      </c>
      <c r="F66" s="132">
        <v>0</v>
      </c>
      <c r="G66" s="132">
        <v>0</v>
      </c>
      <c r="H66" s="132">
        <v>0</v>
      </c>
      <c r="I66" s="132">
        <v>0</v>
      </c>
      <c r="J66" s="132">
        <v>0</v>
      </c>
      <c r="K66" s="132">
        <v>0</v>
      </c>
      <c r="L66" s="132">
        <v>0</v>
      </c>
      <c r="M66" s="132">
        <v>0</v>
      </c>
      <c r="N66" s="132">
        <v>0</v>
      </c>
      <c r="O66" s="132">
        <v>0</v>
      </c>
      <c r="P66" s="132">
        <v>0</v>
      </c>
      <c r="Q66" s="132">
        <v>0</v>
      </c>
      <c r="R66" s="132">
        <v>0</v>
      </c>
      <c r="S66" s="132">
        <v>0</v>
      </c>
      <c r="T66" s="132">
        <v>0</v>
      </c>
      <c r="U66" s="132">
        <v>0</v>
      </c>
      <c r="V66" s="132">
        <v>0</v>
      </c>
      <c r="W66" s="132">
        <v>0</v>
      </c>
      <c r="X66" s="132">
        <v>0</v>
      </c>
      <c r="Y66" s="132">
        <v>0</v>
      </c>
      <c r="Z66" s="128">
        <f t="shared" ref="Z66:Z129" si="3">AVERAGE(E66:Y66)</f>
        <v>0</v>
      </c>
    </row>
    <row r="67" spans="1:26" x14ac:dyDescent="0.2">
      <c r="A67" s="23" t="s">
        <v>103</v>
      </c>
      <c r="B67">
        <v>3</v>
      </c>
      <c r="C67" s="23" t="s">
        <v>112</v>
      </c>
      <c r="D67">
        <v>310</v>
      </c>
      <c r="E67" s="132">
        <v>0</v>
      </c>
      <c r="F67" s="132">
        <v>0</v>
      </c>
      <c r="G67" s="132">
        <v>0</v>
      </c>
      <c r="H67" s="132">
        <v>0</v>
      </c>
      <c r="I67" s="132">
        <v>0</v>
      </c>
      <c r="J67" s="132">
        <v>0</v>
      </c>
      <c r="K67" s="132">
        <v>0</v>
      </c>
      <c r="L67" s="132">
        <v>0</v>
      </c>
      <c r="M67" s="132">
        <v>0</v>
      </c>
      <c r="N67" s="132">
        <v>0</v>
      </c>
      <c r="O67" s="132">
        <v>0</v>
      </c>
      <c r="P67" s="132">
        <v>0</v>
      </c>
      <c r="Q67" s="132">
        <v>0</v>
      </c>
      <c r="R67" s="132">
        <v>0</v>
      </c>
      <c r="S67" s="132">
        <v>0</v>
      </c>
      <c r="T67" s="132">
        <v>0</v>
      </c>
      <c r="U67" s="132">
        <v>0</v>
      </c>
      <c r="V67" s="132">
        <v>0</v>
      </c>
      <c r="W67" s="132">
        <v>0</v>
      </c>
      <c r="X67" s="132">
        <v>0</v>
      </c>
      <c r="Y67" s="132">
        <v>0</v>
      </c>
      <c r="Z67" s="128">
        <f t="shared" si="3"/>
        <v>0</v>
      </c>
    </row>
    <row r="68" spans="1:26" x14ac:dyDescent="0.2">
      <c r="A68" s="23" t="s">
        <v>103</v>
      </c>
      <c r="B68">
        <v>3</v>
      </c>
      <c r="C68" s="23" t="s">
        <v>112</v>
      </c>
      <c r="D68">
        <v>311</v>
      </c>
      <c r="E68" s="132">
        <v>0</v>
      </c>
      <c r="F68" s="132">
        <v>0</v>
      </c>
      <c r="G68" s="132">
        <v>0</v>
      </c>
      <c r="H68" s="132">
        <v>0</v>
      </c>
      <c r="I68" s="132">
        <v>0</v>
      </c>
      <c r="J68" s="132">
        <v>0</v>
      </c>
      <c r="K68" s="132">
        <v>0</v>
      </c>
      <c r="L68" s="132">
        <v>0</v>
      </c>
      <c r="M68" s="132">
        <v>0</v>
      </c>
      <c r="N68" s="132">
        <v>0</v>
      </c>
      <c r="O68" s="132">
        <v>0</v>
      </c>
      <c r="P68" s="132">
        <v>0</v>
      </c>
      <c r="Q68" s="132">
        <v>0</v>
      </c>
      <c r="R68" s="132">
        <v>0</v>
      </c>
      <c r="S68" s="132">
        <v>0</v>
      </c>
      <c r="T68" s="132">
        <v>0</v>
      </c>
      <c r="U68" s="132">
        <v>0</v>
      </c>
      <c r="V68" s="132">
        <v>0</v>
      </c>
      <c r="W68" s="132">
        <v>0</v>
      </c>
      <c r="X68" s="132">
        <v>0</v>
      </c>
      <c r="Y68" s="132">
        <v>0</v>
      </c>
      <c r="Z68" s="128">
        <f t="shared" si="3"/>
        <v>0</v>
      </c>
    </row>
    <row r="69" spans="1:26" x14ac:dyDescent="0.2">
      <c r="A69" s="23" t="s">
        <v>103</v>
      </c>
      <c r="B69">
        <v>3</v>
      </c>
      <c r="C69" s="23" t="s">
        <v>112</v>
      </c>
      <c r="D69">
        <v>312</v>
      </c>
      <c r="E69" s="132">
        <v>0</v>
      </c>
      <c r="F69" s="132">
        <v>0</v>
      </c>
      <c r="G69" s="132">
        <v>0</v>
      </c>
      <c r="H69" s="132">
        <v>0</v>
      </c>
      <c r="I69" s="132">
        <v>0</v>
      </c>
      <c r="J69" s="132">
        <v>0</v>
      </c>
      <c r="K69" s="132">
        <v>0</v>
      </c>
      <c r="L69" s="132">
        <v>0</v>
      </c>
      <c r="M69" s="132">
        <v>0</v>
      </c>
      <c r="N69" s="132">
        <v>0</v>
      </c>
      <c r="O69" s="132">
        <v>0</v>
      </c>
      <c r="P69" s="132">
        <v>0</v>
      </c>
      <c r="Q69" s="132">
        <v>0</v>
      </c>
      <c r="R69" s="132">
        <v>0</v>
      </c>
      <c r="S69" s="132">
        <v>0</v>
      </c>
      <c r="T69" s="132">
        <v>0</v>
      </c>
      <c r="U69" s="132">
        <v>0</v>
      </c>
      <c r="V69" s="132">
        <v>0</v>
      </c>
      <c r="W69" s="132">
        <v>0</v>
      </c>
      <c r="X69" s="132">
        <v>0</v>
      </c>
      <c r="Y69" s="132">
        <v>0</v>
      </c>
      <c r="Z69" s="128">
        <f t="shared" si="3"/>
        <v>0</v>
      </c>
    </row>
    <row r="70" spans="1:26" x14ac:dyDescent="0.2">
      <c r="A70" s="23" t="s">
        <v>103</v>
      </c>
      <c r="B70">
        <v>3</v>
      </c>
      <c r="C70" s="23" t="s">
        <v>112</v>
      </c>
      <c r="D70">
        <v>313</v>
      </c>
      <c r="E70" s="132">
        <v>0</v>
      </c>
      <c r="F70" s="132">
        <v>0</v>
      </c>
      <c r="G70" s="132">
        <v>0</v>
      </c>
      <c r="H70" s="132">
        <v>0</v>
      </c>
      <c r="I70" s="132">
        <v>0</v>
      </c>
      <c r="J70" s="132">
        <v>0</v>
      </c>
      <c r="K70" s="132">
        <v>0</v>
      </c>
      <c r="L70" s="132">
        <v>0</v>
      </c>
      <c r="M70" s="132">
        <v>0</v>
      </c>
      <c r="N70" s="132">
        <v>0</v>
      </c>
      <c r="O70" s="132">
        <v>0</v>
      </c>
      <c r="P70" s="132">
        <v>0</v>
      </c>
      <c r="Q70" s="132">
        <v>0</v>
      </c>
      <c r="R70" s="132">
        <v>0</v>
      </c>
      <c r="S70" s="132">
        <v>0</v>
      </c>
      <c r="T70" s="132">
        <v>0</v>
      </c>
      <c r="U70" s="132">
        <v>0</v>
      </c>
      <c r="V70" s="132">
        <v>0</v>
      </c>
      <c r="W70" s="132">
        <v>0</v>
      </c>
      <c r="X70" s="132">
        <v>0</v>
      </c>
      <c r="Y70" s="132">
        <v>0</v>
      </c>
      <c r="Z70" s="128">
        <f t="shared" si="3"/>
        <v>0</v>
      </c>
    </row>
    <row r="71" spans="1:26" x14ac:dyDescent="0.2">
      <c r="A71" s="23" t="s">
        <v>103</v>
      </c>
      <c r="B71">
        <v>3</v>
      </c>
      <c r="C71" s="23" t="s">
        <v>112</v>
      </c>
      <c r="D71">
        <v>314</v>
      </c>
      <c r="E71" s="132">
        <v>0</v>
      </c>
      <c r="F71" s="132">
        <v>0</v>
      </c>
      <c r="G71" s="132">
        <v>0</v>
      </c>
      <c r="H71" s="132">
        <v>0</v>
      </c>
      <c r="I71" s="132">
        <v>0</v>
      </c>
      <c r="J71" s="132">
        <v>0</v>
      </c>
      <c r="K71" s="132">
        <v>0</v>
      </c>
      <c r="L71" s="132">
        <v>0</v>
      </c>
      <c r="M71" s="132">
        <v>0</v>
      </c>
      <c r="N71" s="132">
        <v>0</v>
      </c>
      <c r="O71" s="132">
        <v>0</v>
      </c>
      <c r="P71" s="132">
        <v>0</v>
      </c>
      <c r="Q71" s="132">
        <v>0</v>
      </c>
      <c r="R71" s="132">
        <v>0</v>
      </c>
      <c r="S71" s="132">
        <v>0</v>
      </c>
      <c r="T71" s="132">
        <v>0</v>
      </c>
      <c r="U71" s="132">
        <v>0</v>
      </c>
      <c r="V71" s="132">
        <v>0</v>
      </c>
      <c r="W71" s="132">
        <v>0</v>
      </c>
      <c r="X71" s="132">
        <v>0</v>
      </c>
      <c r="Y71" s="132">
        <v>0</v>
      </c>
      <c r="Z71" s="128">
        <f t="shared" si="3"/>
        <v>0</v>
      </c>
    </row>
    <row r="72" spans="1:26" x14ac:dyDescent="0.2">
      <c r="A72" s="23" t="s">
        <v>103</v>
      </c>
      <c r="B72">
        <v>3</v>
      </c>
      <c r="C72" s="23" t="s">
        <v>112</v>
      </c>
      <c r="D72">
        <v>315</v>
      </c>
      <c r="E72" s="132">
        <v>0</v>
      </c>
      <c r="F72" s="132">
        <v>0</v>
      </c>
      <c r="G72" s="132">
        <v>0</v>
      </c>
      <c r="H72" s="132">
        <v>0</v>
      </c>
      <c r="I72" s="132">
        <v>0</v>
      </c>
      <c r="J72" s="132">
        <v>0</v>
      </c>
      <c r="K72" s="132">
        <v>0</v>
      </c>
      <c r="L72" s="132">
        <v>0</v>
      </c>
      <c r="M72" s="132">
        <v>0</v>
      </c>
      <c r="N72" s="132">
        <v>0</v>
      </c>
      <c r="O72" s="132">
        <v>0</v>
      </c>
      <c r="P72" s="132">
        <v>0</v>
      </c>
      <c r="Q72" s="132">
        <v>0</v>
      </c>
      <c r="R72" s="132">
        <v>0</v>
      </c>
      <c r="S72" s="132">
        <v>0</v>
      </c>
      <c r="T72" s="132">
        <v>0</v>
      </c>
      <c r="U72" s="132">
        <v>0</v>
      </c>
      <c r="V72" s="132">
        <v>0</v>
      </c>
      <c r="W72" s="132">
        <v>0</v>
      </c>
      <c r="X72" s="132">
        <v>0</v>
      </c>
      <c r="Y72" s="132">
        <v>0</v>
      </c>
      <c r="Z72" s="128">
        <f t="shared" si="3"/>
        <v>0</v>
      </c>
    </row>
    <row r="73" spans="1:26" x14ac:dyDescent="0.2">
      <c r="A73" s="23" t="s">
        <v>103</v>
      </c>
      <c r="B73">
        <v>3</v>
      </c>
      <c r="C73" s="23" t="s">
        <v>112</v>
      </c>
      <c r="D73">
        <v>316</v>
      </c>
      <c r="E73" s="132">
        <v>0</v>
      </c>
      <c r="F73" s="132">
        <v>0</v>
      </c>
      <c r="G73" s="132">
        <v>0</v>
      </c>
      <c r="H73" s="132">
        <v>0</v>
      </c>
      <c r="I73" s="132">
        <v>0</v>
      </c>
      <c r="J73" s="132">
        <v>0</v>
      </c>
      <c r="K73" s="132">
        <v>0</v>
      </c>
      <c r="L73" s="132">
        <v>0</v>
      </c>
      <c r="M73" s="132">
        <v>0</v>
      </c>
      <c r="N73" s="132">
        <v>0</v>
      </c>
      <c r="O73" s="132">
        <v>0</v>
      </c>
      <c r="P73" s="132">
        <v>0</v>
      </c>
      <c r="Q73" s="132">
        <v>0</v>
      </c>
      <c r="R73" s="132">
        <v>0</v>
      </c>
      <c r="S73" s="132">
        <v>0</v>
      </c>
      <c r="T73" s="132">
        <v>0</v>
      </c>
      <c r="U73" s="132">
        <v>0</v>
      </c>
      <c r="V73" s="132">
        <v>0</v>
      </c>
      <c r="W73" s="132">
        <v>0</v>
      </c>
      <c r="X73" s="132">
        <v>0</v>
      </c>
      <c r="Y73" s="132">
        <v>0</v>
      </c>
      <c r="Z73" s="128">
        <f t="shared" si="3"/>
        <v>0</v>
      </c>
    </row>
    <row r="74" spans="1:26" x14ac:dyDescent="0.2">
      <c r="A74" s="23" t="s">
        <v>103</v>
      </c>
      <c r="B74">
        <v>3</v>
      </c>
      <c r="C74" s="23" t="s">
        <v>112</v>
      </c>
      <c r="D74">
        <v>317</v>
      </c>
      <c r="E74" s="132">
        <v>0</v>
      </c>
      <c r="F74" s="132">
        <v>0</v>
      </c>
      <c r="G74" s="132">
        <v>0</v>
      </c>
      <c r="H74" s="132">
        <v>0</v>
      </c>
      <c r="I74" s="132">
        <v>0</v>
      </c>
      <c r="J74" s="132">
        <v>0</v>
      </c>
      <c r="K74" s="132">
        <v>0</v>
      </c>
      <c r="L74" s="132">
        <v>0</v>
      </c>
      <c r="M74" s="132">
        <v>0</v>
      </c>
      <c r="N74" s="132">
        <v>0</v>
      </c>
      <c r="O74" s="132">
        <v>0</v>
      </c>
      <c r="P74" s="132">
        <v>0</v>
      </c>
      <c r="Q74" s="132">
        <v>0</v>
      </c>
      <c r="R74" s="132">
        <v>0</v>
      </c>
      <c r="S74" s="132">
        <v>0</v>
      </c>
      <c r="T74" s="132">
        <v>0</v>
      </c>
      <c r="U74" s="132">
        <v>0</v>
      </c>
      <c r="V74" s="132">
        <v>0</v>
      </c>
      <c r="W74" s="132">
        <v>0</v>
      </c>
      <c r="X74" s="132">
        <v>0</v>
      </c>
      <c r="Y74" s="132">
        <v>0</v>
      </c>
      <c r="Z74" s="128">
        <f t="shared" si="3"/>
        <v>0</v>
      </c>
    </row>
    <row r="75" spans="1:26" x14ac:dyDescent="0.2">
      <c r="A75" s="23" t="s">
        <v>103</v>
      </c>
      <c r="B75">
        <v>3</v>
      </c>
      <c r="C75" s="23" t="s">
        <v>112</v>
      </c>
      <c r="D75">
        <v>318</v>
      </c>
      <c r="E75" s="132">
        <v>0</v>
      </c>
      <c r="F75" s="132">
        <v>0</v>
      </c>
      <c r="G75" s="132">
        <v>0</v>
      </c>
      <c r="H75" s="132">
        <v>0</v>
      </c>
      <c r="I75" s="132">
        <v>0</v>
      </c>
      <c r="J75" s="132">
        <v>0</v>
      </c>
      <c r="K75" s="132">
        <v>0</v>
      </c>
      <c r="L75" s="132">
        <v>0</v>
      </c>
      <c r="M75" s="132">
        <v>0</v>
      </c>
      <c r="N75" s="132">
        <v>0</v>
      </c>
      <c r="O75" s="132">
        <v>0</v>
      </c>
      <c r="P75" s="132">
        <v>0</v>
      </c>
      <c r="Q75" s="132">
        <v>0</v>
      </c>
      <c r="R75" s="132">
        <v>0</v>
      </c>
      <c r="S75" s="132">
        <v>0</v>
      </c>
      <c r="T75" s="132">
        <v>0</v>
      </c>
      <c r="U75" s="132">
        <v>0</v>
      </c>
      <c r="V75" s="132">
        <v>0</v>
      </c>
      <c r="W75" s="132">
        <v>0</v>
      </c>
      <c r="X75" s="132">
        <v>0</v>
      </c>
      <c r="Y75" s="132">
        <v>0</v>
      </c>
      <c r="Z75" s="128">
        <f t="shared" si="3"/>
        <v>0</v>
      </c>
    </row>
    <row r="76" spans="1:26" x14ac:dyDescent="0.2">
      <c r="A76" s="23" t="s">
        <v>103</v>
      </c>
      <c r="B76">
        <v>3</v>
      </c>
      <c r="C76" s="23" t="s">
        <v>112</v>
      </c>
      <c r="D76">
        <v>319</v>
      </c>
      <c r="E76" s="132">
        <v>0</v>
      </c>
      <c r="F76" s="132">
        <v>0</v>
      </c>
      <c r="G76" s="132">
        <v>0</v>
      </c>
      <c r="H76" s="132">
        <v>0</v>
      </c>
      <c r="I76" s="132">
        <v>0</v>
      </c>
      <c r="J76" s="132">
        <v>0</v>
      </c>
      <c r="K76" s="132">
        <v>0</v>
      </c>
      <c r="L76" s="132">
        <v>0</v>
      </c>
      <c r="M76" s="132">
        <v>0</v>
      </c>
      <c r="N76" s="132">
        <v>0</v>
      </c>
      <c r="O76" s="132">
        <v>0</v>
      </c>
      <c r="P76" s="132">
        <v>0</v>
      </c>
      <c r="Q76" s="132">
        <v>0</v>
      </c>
      <c r="R76" s="132">
        <v>0</v>
      </c>
      <c r="S76" s="132">
        <v>0</v>
      </c>
      <c r="T76" s="132">
        <v>0</v>
      </c>
      <c r="U76" s="132">
        <v>0</v>
      </c>
      <c r="V76" s="132">
        <v>0</v>
      </c>
      <c r="W76" s="132">
        <v>0</v>
      </c>
      <c r="X76" s="132">
        <v>0</v>
      </c>
      <c r="Y76" s="132">
        <v>0</v>
      </c>
      <c r="Z76" s="128">
        <f t="shared" si="3"/>
        <v>0</v>
      </c>
    </row>
    <row r="77" spans="1:26" x14ac:dyDescent="0.2">
      <c r="A77" s="23" t="s">
        <v>103</v>
      </c>
      <c r="B77">
        <v>3</v>
      </c>
      <c r="C77" s="23" t="s">
        <v>112</v>
      </c>
      <c r="D77">
        <v>320</v>
      </c>
      <c r="E77" s="132">
        <v>0</v>
      </c>
      <c r="F77" s="132">
        <v>0</v>
      </c>
      <c r="G77" s="132">
        <v>0</v>
      </c>
      <c r="H77" s="132">
        <v>0</v>
      </c>
      <c r="I77" s="132">
        <v>0</v>
      </c>
      <c r="J77" s="132">
        <v>0</v>
      </c>
      <c r="K77" s="132">
        <v>0</v>
      </c>
      <c r="L77" s="132">
        <v>0</v>
      </c>
      <c r="M77" s="132">
        <v>0</v>
      </c>
      <c r="N77" s="132">
        <v>0</v>
      </c>
      <c r="O77" s="132">
        <v>0</v>
      </c>
      <c r="P77" s="132">
        <v>0</v>
      </c>
      <c r="Q77" s="132">
        <v>0</v>
      </c>
      <c r="R77" s="132">
        <v>0</v>
      </c>
      <c r="S77" s="132">
        <v>0</v>
      </c>
      <c r="T77" s="132">
        <v>0</v>
      </c>
      <c r="U77" s="132">
        <v>0</v>
      </c>
      <c r="V77" s="132">
        <v>0</v>
      </c>
      <c r="W77" s="132">
        <v>0</v>
      </c>
      <c r="X77" s="132">
        <v>0</v>
      </c>
      <c r="Y77" s="132">
        <v>0</v>
      </c>
      <c r="Z77" s="128">
        <f t="shared" si="3"/>
        <v>0</v>
      </c>
    </row>
    <row r="78" spans="1:26" x14ac:dyDescent="0.2">
      <c r="A78" s="23" t="s">
        <v>103</v>
      </c>
      <c r="B78">
        <v>3</v>
      </c>
      <c r="C78" s="23" t="s">
        <v>112</v>
      </c>
      <c r="D78">
        <v>321</v>
      </c>
      <c r="E78" s="132">
        <v>0</v>
      </c>
      <c r="F78" s="132">
        <v>0</v>
      </c>
      <c r="G78" s="132">
        <v>0</v>
      </c>
      <c r="H78" s="132">
        <v>0</v>
      </c>
      <c r="I78" s="132">
        <v>0</v>
      </c>
      <c r="J78" s="132">
        <v>0</v>
      </c>
      <c r="K78" s="132">
        <v>0</v>
      </c>
      <c r="L78" s="132">
        <v>0</v>
      </c>
      <c r="M78" s="132">
        <v>0</v>
      </c>
      <c r="N78" s="132">
        <v>0</v>
      </c>
      <c r="O78" s="132">
        <v>0</v>
      </c>
      <c r="P78" s="132">
        <v>0</v>
      </c>
      <c r="Q78" s="132">
        <v>0</v>
      </c>
      <c r="R78" s="132">
        <v>0</v>
      </c>
      <c r="S78" s="132">
        <v>0</v>
      </c>
      <c r="T78" s="132">
        <v>0</v>
      </c>
      <c r="U78" s="132">
        <v>0</v>
      </c>
      <c r="V78" s="132">
        <v>0</v>
      </c>
      <c r="W78" s="132">
        <v>0</v>
      </c>
      <c r="X78" s="132">
        <v>0</v>
      </c>
      <c r="Y78" s="132">
        <v>0</v>
      </c>
      <c r="Z78" s="128">
        <f t="shared" si="3"/>
        <v>0</v>
      </c>
    </row>
    <row r="79" spans="1:26" x14ac:dyDescent="0.2">
      <c r="A79" s="23" t="s">
        <v>103</v>
      </c>
      <c r="B79">
        <v>3</v>
      </c>
      <c r="C79" s="23" t="s">
        <v>112</v>
      </c>
      <c r="D79">
        <v>322</v>
      </c>
      <c r="E79" s="132">
        <v>0</v>
      </c>
      <c r="F79" s="132">
        <v>0</v>
      </c>
      <c r="G79" s="132">
        <v>0</v>
      </c>
      <c r="H79" s="132">
        <v>0</v>
      </c>
      <c r="I79" s="132">
        <v>0</v>
      </c>
      <c r="J79" s="132">
        <v>0</v>
      </c>
      <c r="K79" s="132">
        <v>0</v>
      </c>
      <c r="L79" s="132">
        <v>0</v>
      </c>
      <c r="M79" s="132">
        <v>0</v>
      </c>
      <c r="N79" s="132">
        <v>0</v>
      </c>
      <c r="O79" s="132">
        <v>0</v>
      </c>
      <c r="P79" s="132">
        <v>0</v>
      </c>
      <c r="Q79" s="132">
        <v>0</v>
      </c>
      <c r="R79" s="132">
        <v>0</v>
      </c>
      <c r="S79" s="132">
        <v>0</v>
      </c>
      <c r="T79" s="132">
        <v>0</v>
      </c>
      <c r="U79" s="132">
        <v>0</v>
      </c>
      <c r="V79" s="132">
        <v>0</v>
      </c>
      <c r="W79" s="132">
        <v>0</v>
      </c>
      <c r="X79" s="132">
        <v>0</v>
      </c>
      <c r="Y79" s="132">
        <v>0</v>
      </c>
      <c r="Z79" s="128">
        <f t="shared" si="3"/>
        <v>0</v>
      </c>
    </row>
    <row r="80" spans="1:26" x14ac:dyDescent="0.2">
      <c r="A80" s="23" t="s">
        <v>103</v>
      </c>
      <c r="B80">
        <v>3</v>
      </c>
      <c r="C80" s="23" t="s">
        <v>112</v>
      </c>
      <c r="D80">
        <v>323</v>
      </c>
      <c r="E80" s="132">
        <v>0</v>
      </c>
      <c r="F80" s="132">
        <v>0</v>
      </c>
      <c r="G80" s="132">
        <v>0</v>
      </c>
      <c r="H80" s="132">
        <v>0</v>
      </c>
      <c r="I80" s="132">
        <v>0</v>
      </c>
      <c r="J80" s="132">
        <v>0</v>
      </c>
      <c r="K80" s="132">
        <v>0</v>
      </c>
      <c r="L80" s="132">
        <v>0</v>
      </c>
      <c r="M80" s="132">
        <v>0</v>
      </c>
      <c r="N80" s="132">
        <v>0</v>
      </c>
      <c r="O80" s="132">
        <v>0</v>
      </c>
      <c r="P80" s="132">
        <v>0</v>
      </c>
      <c r="Q80" s="132">
        <v>0</v>
      </c>
      <c r="R80" s="132">
        <v>0</v>
      </c>
      <c r="S80" s="132">
        <v>0</v>
      </c>
      <c r="T80" s="132">
        <v>0</v>
      </c>
      <c r="U80" s="132">
        <v>0</v>
      </c>
      <c r="V80" s="132">
        <v>0</v>
      </c>
      <c r="W80" s="132">
        <v>0</v>
      </c>
      <c r="X80" s="132">
        <v>0</v>
      </c>
      <c r="Y80" s="132">
        <v>0</v>
      </c>
      <c r="Z80" s="128">
        <f t="shared" si="3"/>
        <v>0</v>
      </c>
    </row>
    <row r="81" spans="1:26" x14ac:dyDescent="0.2">
      <c r="A81" s="23" t="s">
        <v>103</v>
      </c>
      <c r="B81">
        <v>3</v>
      </c>
      <c r="C81" s="23" t="s">
        <v>111</v>
      </c>
      <c r="D81">
        <v>301</v>
      </c>
      <c r="E81" s="132">
        <v>0</v>
      </c>
      <c r="F81" s="132">
        <v>0</v>
      </c>
      <c r="G81" s="132">
        <v>0</v>
      </c>
      <c r="H81" s="132">
        <v>0</v>
      </c>
      <c r="I81" s="132">
        <v>0</v>
      </c>
      <c r="J81" s="132">
        <v>0</v>
      </c>
      <c r="K81" s="132">
        <v>0</v>
      </c>
      <c r="L81" s="132">
        <v>0</v>
      </c>
      <c r="M81" s="132">
        <v>0</v>
      </c>
      <c r="N81" s="132">
        <v>0</v>
      </c>
      <c r="O81" s="132">
        <v>0</v>
      </c>
      <c r="P81" s="132">
        <v>0</v>
      </c>
      <c r="Q81" s="132">
        <v>0</v>
      </c>
      <c r="R81" s="132">
        <v>0</v>
      </c>
      <c r="S81" s="132">
        <v>0</v>
      </c>
      <c r="T81" s="132">
        <v>0</v>
      </c>
      <c r="U81" s="132">
        <v>0</v>
      </c>
      <c r="V81" s="132">
        <v>0</v>
      </c>
      <c r="W81" s="132">
        <v>0</v>
      </c>
      <c r="X81" s="132">
        <v>0</v>
      </c>
      <c r="Y81" s="132">
        <v>0</v>
      </c>
      <c r="Z81" s="128">
        <f t="shared" si="3"/>
        <v>0</v>
      </c>
    </row>
    <row r="82" spans="1:26" x14ac:dyDescent="0.2">
      <c r="A82" s="23" t="s">
        <v>103</v>
      </c>
      <c r="B82">
        <v>3</v>
      </c>
      <c r="C82" s="23" t="s">
        <v>111</v>
      </c>
      <c r="D82">
        <v>302</v>
      </c>
      <c r="E82" s="132">
        <v>0</v>
      </c>
      <c r="F82" s="132">
        <v>0</v>
      </c>
      <c r="G82" s="132">
        <v>0</v>
      </c>
      <c r="H82" s="132">
        <v>0</v>
      </c>
      <c r="I82" s="132">
        <v>0</v>
      </c>
      <c r="J82" s="132">
        <v>0</v>
      </c>
      <c r="K82" s="132">
        <v>0</v>
      </c>
      <c r="L82" s="132">
        <v>0</v>
      </c>
      <c r="M82" s="132">
        <v>0</v>
      </c>
      <c r="N82" s="132">
        <v>0</v>
      </c>
      <c r="O82" s="132">
        <v>0</v>
      </c>
      <c r="P82" s="132">
        <v>0</v>
      </c>
      <c r="Q82" s="132">
        <v>0</v>
      </c>
      <c r="R82" s="132">
        <v>0</v>
      </c>
      <c r="S82" s="132">
        <v>0</v>
      </c>
      <c r="T82" s="132">
        <v>0</v>
      </c>
      <c r="U82" s="132">
        <v>0</v>
      </c>
      <c r="V82" s="132">
        <v>0</v>
      </c>
      <c r="W82" s="132">
        <v>0</v>
      </c>
      <c r="X82" s="132">
        <v>0</v>
      </c>
      <c r="Y82" s="132">
        <v>0</v>
      </c>
      <c r="Z82" s="128">
        <f t="shared" si="3"/>
        <v>0</v>
      </c>
    </row>
    <row r="83" spans="1:26" x14ac:dyDescent="0.2">
      <c r="A83" s="23" t="s">
        <v>103</v>
      </c>
      <c r="B83">
        <v>3</v>
      </c>
      <c r="C83" s="23" t="s">
        <v>111</v>
      </c>
      <c r="D83">
        <v>303</v>
      </c>
      <c r="E83" s="132">
        <v>0</v>
      </c>
      <c r="F83" s="132">
        <v>0</v>
      </c>
      <c r="G83" s="132">
        <v>0</v>
      </c>
      <c r="H83" s="132">
        <v>0</v>
      </c>
      <c r="I83" s="132">
        <v>0</v>
      </c>
      <c r="J83" s="132">
        <v>0</v>
      </c>
      <c r="K83" s="132">
        <v>0</v>
      </c>
      <c r="L83" s="132">
        <v>0</v>
      </c>
      <c r="M83" s="132">
        <v>0</v>
      </c>
      <c r="N83" s="132">
        <v>0</v>
      </c>
      <c r="O83" s="132">
        <v>0</v>
      </c>
      <c r="P83" s="132">
        <v>0</v>
      </c>
      <c r="Q83" s="132">
        <v>0</v>
      </c>
      <c r="R83" s="132">
        <v>0</v>
      </c>
      <c r="S83" s="132">
        <v>0</v>
      </c>
      <c r="T83" s="132">
        <v>0</v>
      </c>
      <c r="U83" s="132">
        <v>0</v>
      </c>
      <c r="V83" s="132">
        <v>0</v>
      </c>
      <c r="W83" s="132">
        <v>0</v>
      </c>
      <c r="X83" s="132">
        <v>0</v>
      </c>
      <c r="Y83" s="132">
        <v>0</v>
      </c>
      <c r="Z83" s="128">
        <f t="shared" si="3"/>
        <v>0</v>
      </c>
    </row>
    <row r="84" spans="1:26" x14ac:dyDescent="0.2">
      <c r="A84" s="23" t="s">
        <v>103</v>
      </c>
      <c r="B84">
        <v>3</v>
      </c>
      <c r="C84" s="23" t="s">
        <v>111</v>
      </c>
      <c r="D84">
        <v>304</v>
      </c>
      <c r="E84" s="132">
        <v>0</v>
      </c>
      <c r="F84" s="132">
        <v>0</v>
      </c>
      <c r="G84" s="132">
        <v>0</v>
      </c>
      <c r="H84" s="132">
        <v>0</v>
      </c>
      <c r="I84" s="132">
        <v>0</v>
      </c>
      <c r="J84" s="132">
        <v>0</v>
      </c>
      <c r="K84" s="132">
        <v>0</v>
      </c>
      <c r="L84" s="132">
        <v>0</v>
      </c>
      <c r="M84" s="132">
        <v>0</v>
      </c>
      <c r="N84" s="132">
        <v>0.3</v>
      </c>
      <c r="O84" s="132">
        <v>0</v>
      </c>
      <c r="P84" s="132">
        <v>0</v>
      </c>
      <c r="Q84" s="132">
        <v>0</v>
      </c>
      <c r="R84" s="132">
        <v>0</v>
      </c>
      <c r="S84" s="132">
        <v>0</v>
      </c>
      <c r="T84" s="132">
        <v>0</v>
      </c>
      <c r="U84" s="132">
        <v>0</v>
      </c>
      <c r="V84" s="132">
        <v>0</v>
      </c>
      <c r="W84" s="132">
        <v>0</v>
      </c>
      <c r="X84" s="132">
        <v>0</v>
      </c>
      <c r="Y84" s="132">
        <v>0</v>
      </c>
      <c r="Z84" s="128">
        <f t="shared" si="3"/>
        <v>1.4285714285714285E-2</v>
      </c>
    </row>
    <row r="85" spans="1:26" x14ac:dyDescent="0.2">
      <c r="A85" s="23" t="s">
        <v>103</v>
      </c>
      <c r="B85">
        <v>3</v>
      </c>
      <c r="C85" s="23" t="s">
        <v>111</v>
      </c>
      <c r="D85">
        <v>305</v>
      </c>
      <c r="E85" s="132">
        <v>0</v>
      </c>
      <c r="F85" s="132">
        <v>0</v>
      </c>
      <c r="G85" s="132">
        <v>0</v>
      </c>
      <c r="H85" s="132">
        <v>0</v>
      </c>
      <c r="I85" s="132">
        <v>0</v>
      </c>
      <c r="J85" s="132">
        <v>0</v>
      </c>
      <c r="K85" s="132">
        <v>0</v>
      </c>
      <c r="L85" s="132">
        <v>0</v>
      </c>
      <c r="M85" s="132">
        <v>0</v>
      </c>
      <c r="N85" s="132">
        <v>0.3</v>
      </c>
      <c r="O85" s="132">
        <v>0</v>
      </c>
      <c r="P85" s="132">
        <v>0</v>
      </c>
      <c r="Q85" s="132">
        <v>0</v>
      </c>
      <c r="R85" s="132">
        <v>0</v>
      </c>
      <c r="S85" s="132">
        <v>0</v>
      </c>
      <c r="T85" s="132">
        <v>0</v>
      </c>
      <c r="U85" s="132">
        <v>0</v>
      </c>
      <c r="V85" s="132">
        <v>0</v>
      </c>
      <c r="W85" s="132">
        <v>0</v>
      </c>
      <c r="X85" s="132">
        <v>0</v>
      </c>
      <c r="Y85" s="132">
        <v>0</v>
      </c>
      <c r="Z85" s="128">
        <f t="shared" si="3"/>
        <v>1.4285714285714285E-2</v>
      </c>
    </row>
    <row r="86" spans="1:26" x14ac:dyDescent="0.2">
      <c r="A86" s="23" t="s">
        <v>103</v>
      </c>
      <c r="B86">
        <v>3</v>
      </c>
      <c r="C86" s="23" t="s">
        <v>111</v>
      </c>
      <c r="D86">
        <v>306</v>
      </c>
      <c r="E86" s="132">
        <v>0</v>
      </c>
      <c r="F86" s="132">
        <v>0</v>
      </c>
      <c r="G86" s="132">
        <v>0</v>
      </c>
      <c r="H86" s="132">
        <v>0</v>
      </c>
      <c r="I86" s="132">
        <v>0</v>
      </c>
      <c r="J86" s="132">
        <v>0</v>
      </c>
      <c r="K86" s="132">
        <v>0</v>
      </c>
      <c r="L86" s="132">
        <v>0</v>
      </c>
      <c r="M86" s="132">
        <v>0</v>
      </c>
      <c r="N86" s="132">
        <v>0.3</v>
      </c>
      <c r="O86" s="132">
        <v>0</v>
      </c>
      <c r="P86" s="132">
        <v>0</v>
      </c>
      <c r="Q86" s="132">
        <v>0</v>
      </c>
      <c r="R86" s="132">
        <v>0</v>
      </c>
      <c r="S86" s="132">
        <v>0</v>
      </c>
      <c r="T86" s="132">
        <v>0</v>
      </c>
      <c r="U86" s="132">
        <v>0</v>
      </c>
      <c r="V86" s="132">
        <v>0</v>
      </c>
      <c r="W86" s="132">
        <v>0</v>
      </c>
      <c r="X86" s="132">
        <v>0</v>
      </c>
      <c r="Y86" s="132">
        <v>0</v>
      </c>
      <c r="Z86" s="128">
        <f t="shared" si="3"/>
        <v>1.4285714285714285E-2</v>
      </c>
    </row>
    <row r="87" spans="1:26" x14ac:dyDescent="0.2">
      <c r="A87" s="23" t="s">
        <v>103</v>
      </c>
      <c r="B87">
        <v>3</v>
      </c>
      <c r="C87" s="23" t="s">
        <v>111</v>
      </c>
      <c r="D87">
        <v>307</v>
      </c>
      <c r="E87" s="132">
        <v>0</v>
      </c>
      <c r="F87" s="132">
        <v>0</v>
      </c>
      <c r="G87" s="132">
        <v>0</v>
      </c>
      <c r="H87" s="132">
        <v>0</v>
      </c>
      <c r="I87" s="132">
        <v>0</v>
      </c>
      <c r="J87" s="132">
        <v>0</v>
      </c>
      <c r="K87" s="132">
        <v>0</v>
      </c>
      <c r="L87" s="132">
        <v>0</v>
      </c>
      <c r="M87" s="132">
        <v>0</v>
      </c>
      <c r="N87" s="132">
        <v>0.3</v>
      </c>
      <c r="O87" s="132">
        <v>0</v>
      </c>
      <c r="P87" s="132">
        <v>0</v>
      </c>
      <c r="Q87" s="132">
        <v>0</v>
      </c>
      <c r="R87" s="132">
        <v>0</v>
      </c>
      <c r="S87" s="132">
        <v>0</v>
      </c>
      <c r="T87" s="132">
        <v>0</v>
      </c>
      <c r="U87" s="132">
        <v>0</v>
      </c>
      <c r="V87" s="132">
        <v>0</v>
      </c>
      <c r="W87" s="132">
        <v>0</v>
      </c>
      <c r="X87" s="132">
        <v>0</v>
      </c>
      <c r="Y87" s="132">
        <v>0</v>
      </c>
      <c r="Z87" s="128">
        <f t="shared" si="3"/>
        <v>1.4285714285714285E-2</v>
      </c>
    </row>
    <row r="88" spans="1:26" x14ac:dyDescent="0.2">
      <c r="A88" s="23" t="s">
        <v>103</v>
      </c>
      <c r="B88">
        <v>3</v>
      </c>
      <c r="C88" s="23" t="s">
        <v>111</v>
      </c>
      <c r="D88">
        <v>308</v>
      </c>
      <c r="E88" s="132">
        <v>0</v>
      </c>
      <c r="F88" s="132">
        <v>0</v>
      </c>
      <c r="G88" s="132">
        <v>0</v>
      </c>
      <c r="H88" s="132">
        <v>0</v>
      </c>
      <c r="I88" s="132">
        <v>0</v>
      </c>
      <c r="J88" s="132">
        <v>0</v>
      </c>
      <c r="K88" s="132">
        <v>0</v>
      </c>
      <c r="L88" s="132">
        <v>0</v>
      </c>
      <c r="M88" s="132">
        <v>0</v>
      </c>
      <c r="N88" s="132">
        <v>0</v>
      </c>
      <c r="O88" s="132">
        <v>0</v>
      </c>
      <c r="P88" s="132">
        <v>0</v>
      </c>
      <c r="Q88" s="132">
        <v>0</v>
      </c>
      <c r="R88" s="132">
        <v>0</v>
      </c>
      <c r="S88" s="132">
        <v>0</v>
      </c>
      <c r="T88" s="132">
        <v>0</v>
      </c>
      <c r="U88" s="132">
        <v>0</v>
      </c>
      <c r="V88" s="132">
        <v>0</v>
      </c>
      <c r="W88" s="132">
        <v>0</v>
      </c>
      <c r="X88" s="132">
        <v>0</v>
      </c>
      <c r="Y88" s="132">
        <v>0</v>
      </c>
      <c r="Z88" s="128">
        <f t="shared" si="3"/>
        <v>0</v>
      </c>
    </row>
    <row r="89" spans="1:26" x14ac:dyDescent="0.2">
      <c r="A89" s="23" t="s">
        <v>103</v>
      </c>
      <c r="B89">
        <v>3</v>
      </c>
      <c r="C89" s="23" t="s">
        <v>111</v>
      </c>
      <c r="D89">
        <v>309</v>
      </c>
      <c r="E89" s="132">
        <v>0</v>
      </c>
      <c r="F89" s="132">
        <v>0</v>
      </c>
      <c r="G89" s="132">
        <v>0</v>
      </c>
      <c r="H89" s="132">
        <v>0</v>
      </c>
      <c r="I89" s="132">
        <v>0</v>
      </c>
      <c r="J89" s="132">
        <v>0</v>
      </c>
      <c r="K89" s="132">
        <v>0</v>
      </c>
      <c r="L89" s="132">
        <v>0</v>
      </c>
      <c r="M89" s="132">
        <v>0</v>
      </c>
      <c r="N89" s="132">
        <v>0</v>
      </c>
      <c r="O89" s="132">
        <v>0</v>
      </c>
      <c r="P89" s="132">
        <v>0</v>
      </c>
      <c r="Q89" s="132">
        <v>0</v>
      </c>
      <c r="R89" s="132">
        <v>0</v>
      </c>
      <c r="S89" s="132">
        <v>0</v>
      </c>
      <c r="T89" s="132">
        <v>0</v>
      </c>
      <c r="U89" s="132">
        <v>0</v>
      </c>
      <c r="V89" s="132">
        <v>0</v>
      </c>
      <c r="W89" s="132">
        <v>0</v>
      </c>
      <c r="X89" s="132">
        <v>0</v>
      </c>
      <c r="Y89" s="132">
        <v>0</v>
      </c>
      <c r="Z89" s="128">
        <f t="shared" si="3"/>
        <v>0</v>
      </c>
    </row>
    <row r="90" spans="1:26" x14ac:dyDescent="0.2">
      <c r="A90" s="23" t="s">
        <v>103</v>
      </c>
      <c r="B90">
        <v>3</v>
      </c>
      <c r="C90" s="23" t="s">
        <v>111</v>
      </c>
      <c r="D90">
        <v>310</v>
      </c>
      <c r="E90" s="132">
        <v>0</v>
      </c>
      <c r="F90" s="132">
        <v>0</v>
      </c>
      <c r="G90" s="132">
        <v>0</v>
      </c>
      <c r="H90" s="132">
        <v>0</v>
      </c>
      <c r="I90" s="132">
        <v>0</v>
      </c>
      <c r="J90" s="132">
        <v>0</v>
      </c>
      <c r="K90" s="132">
        <v>0</v>
      </c>
      <c r="L90" s="132">
        <v>0</v>
      </c>
      <c r="M90" s="132">
        <v>0</v>
      </c>
      <c r="N90" s="132">
        <v>0</v>
      </c>
      <c r="O90" s="132">
        <v>0</v>
      </c>
      <c r="P90" s="132">
        <v>0</v>
      </c>
      <c r="Q90" s="132">
        <v>0</v>
      </c>
      <c r="R90" s="132">
        <v>0</v>
      </c>
      <c r="S90" s="132">
        <v>0</v>
      </c>
      <c r="T90" s="132">
        <v>0</v>
      </c>
      <c r="U90" s="132">
        <v>0</v>
      </c>
      <c r="V90" s="132">
        <v>0</v>
      </c>
      <c r="W90" s="132">
        <v>0</v>
      </c>
      <c r="X90" s="132">
        <v>0</v>
      </c>
      <c r="Y90" s="132">
        <v>0</v>
      </c>
      <c r="Z90" s="128">
        <f t="shared" si="3"/>
        <v>0</v>
      </c>
    </row>
    <row r="91" spans="1:26" x14ac:dyDescent="0.2">
      <c r="A91" s="23" t="s">
        <v>103</v>
      </c>
      <c r="B91">
        <v>3</v>
      </c>
      <c r="C91" s="23" t="s">
        <v>111</v>
      </c>
      <c r="D91">
        <v>311</v>
      </c>
      <c r="E91" s="132">
        <v>0</v>
      </c>
      <c r="F91" s="132">
        <v>0</v>
      </c>
      <c r="G91" s="132">
        <v>0</v>
      </c>
      <c r="H91" s="132">
        <v>0</v>
      </c>
      <c r="I91" s="132">
        <v>0</v>
      </c>
      <c r="J91" s="132">
        <v>0</v>
      </c>
      <c r="K91" s="132">
        <v>0</v>
      </c>
      <c r="L91" s="132">
        <v>0</v>
      </c>
      <c r="M91" s="132">
        <v>0</v>
      </c>
      <c r="N91" s="132">
        <v>0</v>
      </c>
      <c r="O91" s="132">
        <v>0</v>
      </c>
      <c r="P91" s="132">
        <v>0</v>
      </c>
      <c r="Q91" s="132">
        <v>0</v>
      </c>
      <c r="R91" s="132">
        <v>0</v>
      </c>
      <c r="S91" s="132">
        <v>0</v>
      </c>
      <c r="T91" s="132">
        <v>0</v>
      </c>
      <c r="U91" s="132">
        <v>0</v>
      </c>
      <c r="V91" s="132">
        <v>0</v>
      </c>
      <c r="W91" s="132">
        <v>0</v>
      </c>
      <c r="X91" s="132">
        <v>0</v>
      </c>
      <c r="Y91" s="132">
        <v>0</v>
      </c>
      <c r="Z91" s="128">
        <f t="shared" si="3"/>
        <v>0</v>
      </c>
    </row>
    <row r="92" spans="1:26" x14ac:dyDescent="0.2">
      <c r="A92" s="23" t="s">
        <v>103</v>
      </c>
      <c r="B92">
        <v>3</v>
      </c>
      <c r="C92" s="23" t="s">
        <v>111</v>
      </c>
      <c r="D92">
        <v>312</v>
      </c>
      <c r="E92" s="132">
        <v>0</v>
      </c>
      <c r="F92" s="132">
        <v>0</v>
      </c>
      <c r="G92" s="132">
        <v>0</v>
      </c>
      <c r="H92" s="132">
        <v>0</v>
      </c>
      <c r="I92" s="132">
        <v>0</v>
      </c>
      <c r="J92" s="132">
        <v>0</v>
      </c>
      <c r="K92" s="132">
        <v>0</v>
      </c>
      <c r="L92" s="132">
        <v>0</v>
      </c>
      <c r="M92" s="132">
        <v>0</v>
      </c>
      <c r="N92" s="132">
        <v>0</v>
      </c>
      <c r="O92" s="132">
        <v>0</v>
      </c>
      <c r="P92" s="132">
        <v>0</v>
      </c>
      <c r="Q92" s="132">
        <v>0</v>
      </c>
      <c r="R92" s="132">
        <v>0</v>
      </c>
      <c r="S92" s="132">
        <v>0</v>
      </c>
      <c r="T92" s="132">
        <v>0</v>
      </c>
      <c r="U92" s="132">
        <v>0</v>
      </c>
      <c r="V92" s="132">
        <v>0</v>
      </c>
      <c r="W92" s="132">
        <v>0</v>
      </c>
      <c r="X92" s="132">
        <v>0</v>
      </c>
      <c r="Y92" s="132">
        <v>0</v>
      </c>
      <c r="Z92" s="128">
        <f t="shared" si="3"/>
        <v>0</v>
      </c>
    </row>
    <row r="93" spans="1:26" x14ac:dyDescent="0.2">
      <c r="A93" s="23" t="s">
        <v>103</v>
      </c>
      <c r="B93">
        <v>3</v>
      </c>
      <c r="C93" s="23" t="s">
        <v>111</v>
      </c>
      <c r="D93">
        <v>313</v>
      </c>
      <c r="E93" s="132">
        <v>0</v>
      </c>
      <c r="F93" s="132">
        <v>0</v>
      </c>
      <c r="G93" s="132">
        <v>0</v>
      </c>
      <c r="H93" s="132">
        <v>0</v>
      </c>
      <c r="I93" s="132">
        <v>0</v>
      </c>
      <c r="J93" s="132">
        <v>0</v>
      </c>
      <c r="K93" s="132">
        <v>0</v>
      </c>
      <c r="L93" s="132">
        <v>0</v>
      </c>
      <c r="M93" s="132">
        <v>0</v>
      </c>
      <c r="N93" s="132">
        <v>0</v>
      </c>
      <c r="O93" s="132">
        <v>0</v>
      </c>
      <c r="P93" s="132">
        <v>0</v>
      </c>
      <c r="Q93" s="132">
        <v>0</v>
      </c>
      <c r="R93" s="132">
        <v>0</v>
      </c>
      <c r="S93" s="132">
        <v>0</v>
      </c>
      <c r="T93" s="132">
        <v>0</v>
      </c>
      <c r="U93" s="132">
        <v>0</v>
      </c>
      <c r="V93" s="132">
        <v>0</v>
      </c>
      <c r="W93" s="132">
        <v>0</v>
      </c>
      <c r="X93" s="132">
        <v>0</v>
      </c>
      <c r="Y93" s="132">
        <v>0</v>
      </c>
      <c r="Z93" s="128">
        <f t="shared" si="3"/>
        <v>0</v>
      </c>
    </row>
    <row r="94" spans="1:26" x14ac:dyDescent="0.2">
      <c r="A94" s="23" t="s">
        <v>103</v>
      </c>
      <c r="B94">
        <v>3</v>
      </c>
      <c r="C94" s="23" t="s">
        <v>111</v>
      </c>
      <c r="D94">
        <v>314</v>
      </c>
      <c r="E94" s="132">
        <v>0</v>
      </c>
      <c r="F94" s="132">
        <v>0</v>
      </c>
      <c r="G94" s="132">
        <v>0</v>
      </c>
      <c r="H94" s="132">
        <v>0</v>
      </c>
      <c r="I94" s="132">
        <v>0</v>
      </c>
      <c r="J94" s="132">
        <v>0</v>
      </c>
      <c r="K94" s="132">
        <v>0</v>
      </c>
      <c r="L94" s="132">
        <v>0</v>
      </c>
      <c r="M94" s="132">
        <v>0</v>
      </c>
      <c r="N94" s="132">
        <v>0</v>
      </c>
      <c r="O94" s="132">
        <v>0</v>
      </c>
      <c r="P94" s="132">
        <v>0</v>
      </c>
      <c r="Q94" s="132">
        <v>0</v>
      </c>
      <c r="R94" s="132">
        <v>0</v>
      </c>
      <c r="S94" s="132">
        <v>0</v>
      </c>
      <c r="T94" s="132">
        <v>0</v>
      </c>
      <c r="U94" s="132">
        <v>0</v>
      </c>
      <c r="V94" s="132">
        <v>0</v>
      </c>
      <c r="W94" s="132">
        <v>0</v>
      </c>
      <c r="X94" s="132">
        <v>0</v>
      </c>
      <c r="Y94" s="132">
        <v>0</v>
      </c>
      <c r="Z94" s="128">
        <f t="shared" si="3"/>
        <v>0</v>
      </c>
    </row>
    <row r="95" spans="1:26" x14ac:dyDescent="0.2">
      <c r="A95" s="23" t="s">
        <v>103</v>
      </c>
      <c r="B95">
        <v>3</v>
      </c>
      <c r="C95" s="23" t="s">
        <v>111</v>
      </c>
      <c r="D95">
        <v>315</v>
      </c>
      <c r="E95" s="132">
        <v>0</v>
      </c>
      <c r="F95" s="132">
        <v>0</v>
      </c>
      <c r="G95" s="132">
        <v>0</v>
      </c>
      <c r="H95" s="132">
        <v>0</v>
      </c>
      <c r="I95" s="132">
        <v>0</v>
      </c>
      <c r="J95" s="132">
        <v>0</v>
      </c>
      <c r="K95" s="132">
        <v>0</v>
      </c>
      <c r="L95" s="132">
        <v>0</v>
      </c>
      <c r="M95" s="132">
        <v>0</v>
      </c>
      <c r="N95" s="132">
        <v>0</v>
      </c>
      <c r="O95" s="132">
        <v>0</v>
      </c>
      <c r="P95" s="132">
        <v>0</v>
      </c>
      <c r="Q95" s="132">
        <v>0</v>
      </c>
      <c r="R95" s="132">
        <v>0</v>
      </c>
      <c r="S95" s="132">
        <v>0</v>
      </c>
      <c r="T95" s="132">
        <v>0</v>
      </c>
      <c r="U95" s="132">
        <v>0</v>
      </c>
      <c r="V95" s="132">
        <v>0</v>
      </c>
      <c r="W95" s="132">
        <v>0</v>
      </c>
      <c r="X95" s="132">
        <v>0</v>
      </c>
      <c r="Y95" s="132">
        <v>0</v>
      </c>
      <c r="Z95" s="128">
        <f t="shared" si="3"/>
        <v>0</v>
      </c>
    </row>
    <row r="96" spans="1:26" x14ac:dyDescent="0.2">
      <c r="A96" s="23" t="s">
        <v>103</v>
      </c>
      <c r="B96">
        <v>3</v>
      </c>
      <c r="C96" s="23" t="s">
        <v>111</v>
      </c>
      <c r="D96">
        <v>316</v>
      </c>
      <c r="E96" s="132">
        <v>0</v>
      </c>
      <c r="F96" s="132">
        <v>0</v>
      </c>
      <c r="G96" s="132">
        <v>0</v>
      </c>
      <c r="H96" s="132">
        <v>0</v>
      </c>
      <c r="I96" s="132">
        <v>0</v>
      </c>
      <c r="J96" s="132">
        <v>0</v>
      </c>
      <c r="K96" s="132">
        <v>0</v>
      </c>
      <c r="L96" s="132">
        <v>0</v>
      </c>
      <c r="M96" s="132">
        <v>0</v>
      </c>
      <c r="N96" s="132">
        <v>0</v>
      </c>
      <c r="O96" s="132">
        <v>0</v>
      </c>
      <c r="P96" s="132">
        <v>0</v>
      </c>
      <c r="Q96" s="132">
        <v>0</v>
      </c>
      <c r="R96" s="132">
        <v>0</v>
      </c>
      <c r="S96" s="132">
        <v>0</v>
      </c>
      <c r="T96" s="132">
        <v>0</v>
      </c>
      <c r="U96" s="132">
        <v>0</v>
      </c>
      <c r="V96" s="132">
        <v>0</v>
      </c>
      <c r="W96" s="132">
        <v>0</v>
      </c>
      <c r="X96" s="132">
        <v>0</v>
      </c>
      <c r="Y96" s="132">
        <v>0</v>
      </c>
      <c r="Z96" s="128">
        <f t="shared" si="3"/>
        <v>0</v>
      </c>
    </row>
    <row r="97" spans="1:26" x14ac:dyDescent="0.2">
      <c r="A97" s="23" t="s">
        <v>103</v>
      </c>
      <c r="B97">
        <v>3</v>
      </c>
      <c r="C97" s="23" t="s">
        <v>111</v>
      </c>
      <c r="D97">
        <v>317</v>
      </c>
      <c r="E97" s="132">
        <v>0</v>
      </c>
      <c r="F97" s="132">
        <v>0</v>
      </c>
      <c r="G97" s="132">
        <v>0</v>
      </c>
      <c r="H97" s="132">
        <v>0</v>
      </c>
      <c r="I97" s="132">
        <v>0</v>
      </c>
      <c r="J97" s="132">
        <v>0</v>
      </c>
      <c r="K97" s="132">
        <v>0</v>
      </c>
      <c r="L97" s="132">
        <v>0</v>
      </c>
      <c r="M97" s="132">
        <v>0</v>
      </c>
      <c r="N97" s="132">
        <v>0</v>
      </c>
      <c r="O97" s="132">
        <v>0</v>
      </c>
      <c r="P97" s="132">
        <v>0</v>
      </c>
      <c r="Q97" s="132">
        <v>0</v>
      </c>
      <c r="R97" s="132">
        <v>0</v>
      </c>
      <c r="S97" s="132">
        <v>0</v>
      </c>
      <c r="T97" s="132">
        <v>0</v>
      </c>
      <c r="U97" s="132">
        <v>0</v>
      </c>
      <c r="V97" s="132">
        <v>0</v>
      </c>
      <c r="W97" s="132">
        <v>0</v>
      </c>
      <c r="X97" s="132">
        <v>0</v>
      </c>
      <c r="Y97" s="132">
        <v>0</v>
      </c>
      <c r="Z97" s="128">
        <f t="shared" si="3"/>
        <v>0</v>
      </c>
    </row>
    <row r="98" spans="1:26" x14ac:dyDescent="0.2">
      <c r="A98" s="23" t="s">
        <v>103</v>
      </c>
      <c r="B98">
        <v>3</v>
      </c>
      <c r="C98" s="23" t="s">
        <v>111</v>
      </c>
      <c r="D98">
        <v>318</v>
      </c>
      <c r="E98" s="132">
        <v>0</v>
      </c>
      <c r="F98" s="132">
        <v>0</v>
      </c>
      <c r="G98" s="132">
        <v>0</v>
      </c>
      <c r="H98" s="132">
        <v>0</v>
      </c>
      <c r="I98" s="132">
        <v>0</v>
      </c>
      <c r="J98" s="132">
        <v>0</v>
      </c>
      <c r="K98" s="132">
        <v>0</v>
      </c>
      <c r="L98" s="132">
        <v>0</v>
      </c>
      <c r="M98" s="132">
        <v>0</v>
      </c>
      <c r="N98" s="132">
        <v>0</v>
      </c>
      <c r="O98" s="132">
        <v>0</v>
      </c>
      <c r="P98" s="132">
        <v>0</v>
      </c>
      <c r="Q98" s="132">
        <v>0</v>
      </c>
      <c r="R98" s="132">
        <v>0</v>
      </c>
      <c r="S98" s="132">
        <v>0</v>
      </c>
      <c r="T98" s="132">
        <v>0</v>
      </c>
      <c r="U98" s="132">
        <v>0</v>
      </c>
      <c r="V98" s="132">
        <v>0</v>
      </c>
      <c r="W98" s="132">
        <v>0</v>
      </c>
      <c r="X98" s="132">
        <v>0</v>
      </c>
      <c r="Y98" s="132">
        <v>0</v>
      </c>
      <c r="Z98" s="128">
        <f t="shared" si="3"/>
        <v>0</v>
      </c>
    </row>
    <row r="99" spans="1:26" x14ac:dyDescent="0.2">
      <c r="A99" s="23" t="s">
        <v>103</v>
      </c>
      <c r="B99">
        <v>3</v>
      </c>
      <c r="C99" s="23" t="s">
        <v>111</v>
      </c>
      <c r="D99">
        <v>319</v>
      </c>
      <c r="E99" s="132">
        <v>0</v>
      </c>
      <c r="F99" s="132">
        <v>0</v>
      </c>
      <c r="G99" s="132">
        <v>0</v>
      </c>
      <c r="H99" s="132">
        <v>0</v>
      </c>
      <c r="I99" s="132">
        <v>0</v>
      </c>
      <c r="J99" s="132">
        <v>0</v>
      </c>
      <c r="K99" s="132">
        <v>0</v>
      </c>
      <c r="L99" s="132">
        <v>0</v>
      </c>
      <c r="M99" s="132">
        <v>0</v>
      </c>
      <c r="N99" s="132">
        <v>0</v>
      </c>
      <c r="O99" s="132">
        <v>0</v>
      </c>
      <c r="P99" s="132">
        <v>0</v>
      </c>
      <c r="Q99" s="132">
        <v>0</v>
      </c>
      <c r="R99" s="132">
        <v>0</v>
      </c>
      <c r="S99" s="132">
        <v>0</v>
      </c>
      <c r="T99" s="132">
        <v>0</v>
      </c>
      <c r="U99" s="132">
        <v>0</v>
      </c>
      <c r="V99" s="132">
        <v>0</v>
      </c>
      <c r="W99" s="132">
        <v>0</v>
      </c>
      <c r="X99" s="132">
        <v>0</v>
      </c>
      <c r="Y99" s="132">
        <v>0</v>
      </c>
      <c r="Z99" s="128">
        <f t="shared" si="3"/>
        <v>0</v>
      </c>
    </row>
    <row r="100" spans="1:26" x14ac:dyDescent="0.2">
      <c r="A100" s="23" t="s">
        <v>103</v>
      </c>
      <c r="B100">
        <v>3</v>
      </c>
      <c r="C100" s="23" t="s">
        <v>111</v>
      </c>
      <c r="D100">
        <v>320</v>
      </c>
      <c r="E100" s="132">
        <v>0</v>
      </c>
      <c r="F100" s="132">
        <v>0</v>
      </c>
      <c r="G100" s="132">
        <v>0</v>
      </c>
      <c r="H100" s="132">
        <v>0</v>
      </c>
      <c r="I100" s="132">
        <v>0</v>
      </c>
      <c r="J100" s="132">
        <v>0</v>
      </c>
      <c r="K100" s="132">
        <v>0</v>
      </c>
      <c r="L100" s="132">
        <v>0</v>
      </c>
      <c r="M100" s="132">
        <v>0</v>
      </c>
      <c r="N100" s="132">
        <v>0</v>
      </c>
      <c r="O100" s="132">
        <v>0</v>
      </c>
      <c r="P100" s="132">
        <v>0</v>
      </c>
      <c r="Q100" s="132">
        <v>0</v>
      </c>
      <c r="R100" s="132">
        <v>0</v>
      </c>
      <c r="S100" s="132">
        <v>0</v>
      </c>
      <c r="T100" s="132">
        <v>0</v>
      </c>
      <c r="U100" s="132">
        <v>0</v>
      </c>
      <c r="V100" s="132">
        <v>0</v>
      </c>
      <c r="W100" s="132">
        <v>0</v>
      </c>
      <c r="X100" s="132">
        <v>0</v>
      </c>
      <c r="Y100" s="132">
        <v>0</v>
      </c>
      <c r="Z100" s="128">
        <f t="shared" si="3"/>
        <v>0</v>
      </c>
    </row>
    <row r="101" spans="1:26" x14ac:dyDescent="0.2">
      <c r="A101" s="23" t="s">
        <v>103</v>
      </c>
      <c r="B101">
        <v>3</v>
      </c>
      <c r="C101" s="23" t="s">
        <v>111</v>
      </c>
      <c r="D101">
        <v>321</v>
      </c>
      <c r="E101" s="132">
        <v>0</v>
      </c>
      <c r="F101" s="132">
        <v>0</v>
      </c>
      <c r="G101" s="132">
        <v>0</v>
      </c>
      <c r="H101" s="132">
        <v>0</v>
      </c>
      <c r="I101" s="132">
        <v>0</v>
      </c>
      <c r="J101" s="132">
        <v>0</v>
      </c>
      <c r="K101" s="132">
        <v>0</v>
      </c>
      <c r="L101" s="132">
        <v>0</v>
      </c>
      <c r="M101" s="132">
        <v>0</v>
      </c>
      <c r="N101" s="132">
        <v>0</v>
      </c>
      <c r="O101" s="132">
        <v>0</v>
      </c>
      <c r="P101" s="132">
        <v>0</v>
      </c>
      <c r="Q101" s="132">
        <v>0</v>
      </c>
      <c r="R101" s="132">
        <v>0</v>
      </c>
      <c r="S101" s="132">
        <v>0</v>
      </c>
      <c r="T101" s="132">
        <v>0</v>
      </c>
      <c r="U101" s="132">
        <v>0</v>
      </c>
      <c r="V101" s="132">
        <v>0</v>
      </c>
      <c r="W101" s="132">
        <v>0</v>
      </c>
      <c r="X101" s="132">
        <v>0</v>
      </c>
      <c r="Y101" s="132">
        <v>0</v>
      </c>
      <c r="Z101" s="128">
        <f t="shared" si="3"/>
        <v>0</v>
      </c>
    </row>
    <row r="102" spans="1:26" x14ac:dyDescent="0.2">
      <c r="A102" s="23"/>
      <c r="C102" s="23"/>
      <c r="D102" s="23"/>
      <c r="E102" s="132"/>
      <c r="F102" s="132">
        <f t="shared" ref="F102:Y102" si="4">AVERAGE(F58:F101)</f>
        <v>2.0454545454545454E-2</v>
      </c>
      <c r="G102" s="132">
        <f t="shared" si="4"/>
        <v>2.2727272727272728E-2</v>
      </c>
      <c r="H102" s="132">
        <f t="shared" si="4"/>
        <v>0</v>
      </c>
      <c r="I102" s="132">
        <f t="shared" si="4"/>
        <v>0</v>
      </c>
      <c r="J102" s="132">
        <f t="shared" si="4"/>
        <v>0</v>
      </c>
      <c r="K102" s="132">
        <f t="shared" si="4"/>
        <v>0</v>
      </c>
      <c r="L102" s="132">
        <f t="shared" si="4"/>
        <v>0</v>
      </c>
      <c r="M102" s="132">
        <f t="shared" si="4"/>
        <v>0</v>
      </c>
      <c r="N102" s="132">
        <f t="shared" si="4"/>
        <v>5.3409090909090899E-2</v>
      </c>
      <c r="O102" s="132">
        <f t="shared" si="4"/>
        <v>0</v>
      </c>
      <c r="P102" s="132">
        <f t="shared" si="4"/>
        <v>0</v>
      </c>
      <c r="Q102" s="132">
        <f t="shared" si="4"/>
        <v>0</v>
      </c>
      <c r="R102" s="132">
        <f t="shared" si="4"/>
        <v>0</v>
      </c>
      <c r="S102" s="132">
        <f t="shared" si="4"/>
        <v>0</v>
      </c>
      <c r="T102" s="132">
        <f t="shared" si="4"/>
        <v>4.5454545454545461E-3</v>
      </c>
      <c r="U102" s="132">
        <f t="shared" si="4"/>
        <v>0</v>
      </c>
      <c r="V102" s="132">
        <f t="shared" si="4"/>
        <v>0</v>
      </c>
      <c r="W102" s="132">
        <f t="shared" si="4"/>
        <v>0</v>
      </c>
      <c r="X102" s="132">
        <f t="shared" si="4"/>
        <v>0</v>
      </c>
      <c r="Y102" s="132">
        <f t="shared" si="4"/>
        <v>0</v>
      </c>
      <c r="Z102" s="128">
        <f t="shared" si="3"/>
        <v>5.0568181818181814E-3</v>
      </c>
    </row>
    <row r="103" spans="1:26" x14ac:dyDescent="0.2">
      <c r="A103" s="23" t="s">
        <v>103</v>
      </c>
      <c r="B103">
        <v>4</v>
      </c>
      <c r="C103" s="23" t="s">
        <v>112</v>
      </c>
      <c r="D103">
        <v>401</v>
      </c>
      <c r="E103" s="132">
        <v>0</v>
      </c>
      <c r="F103" s="132">
        <v>0</v>
      </c>
      <c r="G103" s="132">
        <v>0</v>
      </c>
      <c r="H103" s="132">
        <v>0</v>
      </c>
      <c r="I103" s="132">
        <v>0</v>
      </c>
      <c r="J103" s="132">
        <v>0</v>
      </c>
      <c r="K103" s="132">
        <v>0</v>
      </c>
      <c r="L103" s="132">
        <v>0</v>
      </c>
      <c r="M103" s="132">
        <v>0</v>
      </c>
      <c r="N103" s="132">
        <v>0</v>
      </c>
      <c r="O103" s="132">
        <v>0</v>
      </c>
      <c r="P103" s="132">
        <v>0</v>
      </c>
      <c r="Q103" s="132">
        <v>0</v>
      </c>
      <c r="R103" s="132">
        <v>0</v>
      </c>
      <c r="S103" s="132">
        <v>0</v>
      </c>
      <c r="T103" s="132">
        <v>0</v>
      </c>
      <c r="U103" s="132">
        <v>0</v>
      </c>
      <c r="V103" s="132">
        <v>0</v>
      </c>
      <c r="W103" s="132">
        <v>0</v>
      </c>
      <c r="X103" s="132">
        <v>0</v>
      </c>
      <c r="Y103" s="132">
        <v>0</v>
      </c>
      <c r="Z103" s="128">
        <f t="shared" si="3"/>
        <v>0</v>
      </c>
    </row>
    <row r="104" spans="1:26" x14ac:dyDescent="0.2">
      <c r="A104" s="23" t="s">
        <v>103</v>
      </c>
      <c r="B104">
        <v>4</v>
      </c>
      <c r="C104" s="23" t="s">
        <v>112</v>
      </c>
      <c r="D104">
        <v>402</v>
      </c>
      <c r="E104" s="132">
        <v>0</v>
      </c>
      <c r="F104" s="132">
        <v>0</v>
      </c>
      <c r="G104" s="132">
        <v>0</v>
      </c>
      <c r="H104" s="132">
        <v>0</v>
      </c>
      <c r="I104" s="132">
        <v>0</v>
      </c>
      <c r="J104" s="132">
        <v>0</v>
      </c>
      <c r="K104" s="132">
        <v>0</v>
      </c>
      <c r="L104" s="132">
        <v>0</v>
      </c>
      <c r="M104" s="132">
        <v>0</v>
      </c>
      <c r="N104" s="132">
        <v>0</v>
      </c>
      <c r="O104" s="132">
        <v>0</v>
      </c>
      <c r="P104" s="132">
        <v>0</v>
      </c>
      <c r="Q104" s="132">
        <v>0</v>
      </c>
      <c r="R104" s="132">
        <v>0</v>
      </c>
      <c r="S104" s="132">
        <v>0</v>
      </c>
      <c r="T104" s="132">
        <v>0</v>
      </c>
      <c r="U104" s="132">
        <v>0</v>
      </c>
      <c r="V104" s="132">
        <v>0</v>
      </c>
      <c r="W104" s="132">
        <v>0</v>
      </c>
      <c r="X104" s="132">
        <v>0</v>
      </c>
      <c r="Y104" s="132">
        <v>0</v>
      </c>
      <c r="Z104" s="128">
        <f t="shared" si="3"/>
        <v>0</v>
      </c>
    </row>
    <row r="105" spans="1:26" x14ac:dyDescent="0.2">
      <c r="A105" s="23" t="s">
        <v>103</v>
      </c>
      <c r="B105">
        <v>4</v>
      </c>
      <c r="C105" s="23" t="s">
        <v>112</v>
      </c>
      <c r="D105">
        <v>403</v>
      </c>
      <c r="E105" s="132">
        <v>0</v>
      </c>
      <c r="F105" s="132">
        <v>0</v>
      </c>
      <c r="G105" s="132">
        <v>0</v>
      </c>
      <c r="H105" s="132">
        <v>0</v>
      </c>
      <c r="I105" s="132">
        <v>0</v>
      </c>
      <c r="J105" s="132">
        <v>0</v>
      </c>
      <c r="K105" s="132">
        <v>0</v>
      </c>
      <c r="L105" s="132">
        <v>0</v>
      </c>
      <c r="M105" s="132">
        <v>0</v>
      </c>
      <c r="N105" s="132">
        <v>0</v>
      </c>
      <c r="O105" s="132">
        <v>0</v>
      </c>
      <c r="P105" s="132">
        <v>0</v>
      </c>
      <c r="Q105" s="132">
        <v>0</v>
      </c>
      <c r="R105" s="132">
        <v>0</v>
      </c>
      <c r="S105" s="132">
        <v>0</v>
      </c>
      <c r="T105" s="132">
        <v>0</v>
      </c>
      <c r="U105" s="132">
        <v>0</v>
      </c>
      <c r="V105" s="132">
        <v>0</v>
      </c>
      <c r="W105" s="132">
        <v>0</v>
      </c>
      <c r="X105" s="132">
        <v>0</v>
      </c>
      <c r="Y105" s="132">
        <v>0</v>
      </c>
      <c r="Z105" s="128">
        <f t="shared" si="3"/>
        <v>0</v>
      </c>
    </row>
    <row r="106" spans="1:26" x14ac:dyDescent="0.2">
      <c r="A106" s="23" t="s">
        <v>103</v>
      </c>
      <c r="B106">
        <v>4</v>
      </c>
      <c r="C106" s="23" t="s">
        <v>112</v>
      </c>
      <c r="D106">
        <v>404</v>
      </c>
      <c r="E106" s="132">
        <v>0</v>
      </c>
      <c r="F106" s="132">
        <v>0</v>
      </c>
      <c r="G106" s="132">
        <v>0</v>
      </c>
      <c r="H106" s="132">
        <v>0</v>
      </c>
      <c r="I106" s="132">
        <v>0</v>
      </c>
      <c r="J106" s="132">
        <v>0</v>
      </c>
      <c r="K106" s="132">
        <v>0</v>
      </c>
      <c r="L106" s="132">
        <v>0</v>
      </c>
      <c r="M106" s="132">
        <v>0</v>
      </c>
      <c r="N106" s="132">
        <v>0</v>
      </c>
      <c r="O106" s="132">
        <v>0</v>
      </c>
      <c r="P106" s="132">
        <v>0</v>
      </c>
      <c r="Q106" s="132">
        <v>0</v>
      </c>
      <c r="R106" s="132">
        <v>0</v>
      </c>
      <c r="S106" s="132">
        <v>0</v>
      </c>
      <c r="T106" s="132">
        <v>0</v>
      </c>
      <c r="U106" s="132">
        <v>0</v>
      </c>
      <c r="V106" s="132">
        <v>0</v>
      </c>
      <c r="W106" s="132">
        <v>0</v>
      </c>
      <c r="X106" s="132">
        <v>0</v>
      </c>
      <c r="Y106" s="132">
        <v>0</v>
      </c>
      <c r="Z106" s="128">
        <f t="shared" si="3"/>
        <v>0</v>
      </c>
    </row>
    <row r="107" spans="1:26" x14ac:dyDescent="0.2">
      <c r="A107" s="23" t="s">
        <v>103</v>
      </c>
      <c r="B107">
        <v>4</v>
      </c>
      <c r="C107" s="23" t="s">
        <v>112</v>
      </c>
      <c r="D107">
        <v>405</v>
      </c>
      <c r="E107" s="132">
        <v>0</v>
      </c>
      <c r="F107" s="132">
        <v>0</v>
      </c>
      <c r="G107" s="132">
        <v>0</v>
      </c>
      <c r="H107" s="132">
        <v>0</v>
      </c>
      <c r="I107" s="132">
        <v>0</v>
      </c>
      <c r="J107" s="132">
        <v>0</v>
      </c>
      <c r="K107" s="132">
        <v>0</v>
      </c>
      <c r="L107" s="132">
        <v>0</v>
      </c>
      <c r="M107" s="132">
        <v>0</v>
      </c>
      <c r="N107" s="132">
        <v>0</v>
      </c>
      <c r="O107" s="132">
        <v>0</v>
      </c>
      <c r="P107" s="132">
        <v>0</v>
      </c>
      <c r="Q107" s="132">
        <v>0</v>
      </c>
      <c r="R107" s="132">
        <v>0</v>
      </c>
      <c r="S107" s="132">
        <v>0</v>
      </c>
      <c r="T107" s="132">
        <v>0</v>
      </c>
      <c r="U107" s="132">
        <v>0</v>
      </c>
      <c r="V107" s="132">
        <v>0</v>
      </c>
      <c r="W107" s="132">
        <v>0</v>
      </c>
      <c r="X107" s="132">
        <v>0</v>
      </c>
      <c r="Y107" s="132">
        <v>0</v>
      </c>
      <c r="Z107" s="128">
        <f t="shared" si="3"/>
        <v>0</v>
      </c>
    </row>
    <row r="108" spans="1:26" x14ac:dyDescent="0.2">
      <c r="A108" s="23" t="s">
        <v>103</v>
      </c>
      <c r="B108">
        <v>4</v>
      </c>
      <c r="C108" s="23" t="s">
        <v>112</v>
      </c>
      <c r="D108">
        <v>406</v>
      </c>
      <c r="E108" s="132">
        <v>0</v>
      </c>
      <c r="F108" s="132">
        <v>0</v>
      </c>
      <c r="G108" s="132">
        <v>0</v>
      </c>
      <c r="H108" s="132">
        <v>0</v>
      </c>
      <c r="I108" s="132">
        <v>0</v>
      </c>
      <c r="J108" s="132">
        <v>0</v>
      </c>
      <c r="K108" s="132">
        <v>0</v>
      </c>
      <c r="L108" s="132">
        <v>0</v>
      </c>
      <c r="M108" s="132">
        <v>0</v>
      </c>
      <c r="N108" s="132">
        <v>0</v>
      </c>
      <c r="O108" s="132">
        <v>0</v>
      </c>
      <c r="P108" s="132">
        <v>0</v>
      </c>
      <c r="Q108" s="132">
        <v>0</v>
      </c>
      <c r="R108" s="132">
        <v>0</v>
      </c>
      <c r="S108" s="132">
        <v>0</v>
      </c>
      <c r="T108" s="132">
        <v>0</v>
      </c>
      <c r="U108" s="132">
        <v>0</v>
      </c>
      <c r="V108" s="132">
        <v>0</v>
      </c>
      <c r="W108" s="132">
        <v>0</v>
      </c>
      <c r="X108" s="132">
        <v>0</v>
      </c>
      <c r="Y108" s="132">
        <v>0</v>
      </c>
      <c r="Z108" s="128">
        <f t="shared" si="3"/>
        <v>0</v>
      </c>
    </row>
    <row r="109" spans="1:26" x14ac:dyDescent="0.2">
      <c r="A109" s="23" t="s">
        <v>103</v>
      </c>
      <c r="B109">
        <v>4</v>
      </c>
      <c r="C109" s="23" t="s">
        <v>112</v>
      </c>
      <c r="D109">
        <v>407</v>
      </c>
      <c r="E109" s="132">
        <v>0</v>
      </c>
      <c r="F109" s="132">
        <v>0</v>
      </c>
      <c r="G109" s="132">
        <v>0</v>
      </c>
      <c r="H109" s="132">
        <v>0</v>
      </c>
      <c r="I109" s="132">
        <v>0</v>
      </c>
      <c r="J109" s="132">
        <v>0</v>
      </c>
      <c r="K109" s="132">
        <v>0</v>
      </c>
      <c r="L109" s="132">
        <v>0</v>
      </c>
      <c r="M109" s="132">
        <v>0</v>
      </c>
      <c r="N109" s="132">
        <v>0</v>
      </c>
      <c r="O109" s="132">
        <v>0</v>
      </c>
      <c r="P109" s="132">
        <v>0</v>
      </c>
      <c r="Q109" s="132">
        <v>0</v>
      </c>
      <c r="R109" s="132">
        <v>0</v>
      </c>
      <c r="S109" s="132">
        <v>0</v>
      </c>
      <c r="T109" s="132">
        <v>0</v>
      </c>
      <c r="U109" s="132">
        <v>0</v>
      </c>
      <c r="V109" s="132">
        <v>0</v>
      </c>
      <c r="W109" s="132">
        <v>0</v>
      </c>
      <c r="X109" s="132">
        <v>0</v>
      </c>
      <c r="Y109" s="132">
        <v>0</v>
      </c>
      <c r="Z109" s="128">
        <f t="shared" si="3"/>
        <v>0</v>
      </c>
    </row>
    <row r="110" spans="1:26" x14ac:dyDescent="0.2">
      <c r="A110" s="23" t="s">
        <v>103</v>
      </c>
      <c r="B110">
        <v>4</v>
      </c>
      <c r="C110" s="23" t="s">
        <v>112</v>
      </c>
      <c r="D110">
        <v>408</v>
      </c>
      <c r="E110" s="132">
        <v>0</v>
      </c>
      <c r="F110" s="132">
        <v>0</v>
      </c>
      <c r="G110" s="132">
        <v>0</v>
      </c>
      <c r="H110" s="132">
        <v>0</v>
      </c>
      <c r="I110" s="132">
        <v>0</v>
      </c>
      <c r="J110" s="132">
        <v>0</v>
      </c>
      <c r="K110" s="132">
        <v>0</v>
      </c>
      <c r="L110" s="132">
        <v>0</v>
      </c>
      <c r="M110" s="132">
        <v>0</v>
      </c>
      <c r="N110" s="132">
        <v>0</v>
      </c>
      <c r="O110" s="132">
        <v>0</v>
      </c>
      <c r="P110" s="132">
        <v>0</v>
      </c>
      <c r="Q110" s="132">
        <v>0</v>
      </c>
      <c r="R110" s="132">
        <v>0</v>
      </c>
      <c r="S110" s="132">
        <v>0</v>
      </c>
      <c r="T110" s="132">
        <v>0</v>
      </c>
      <c r="U110" s="132">
        <v>0</v>
      </c>
      <c r="V110" s="132">
        <v>0</v>
      </c>
      <c r="W110" s="132">
        <v>0</v>
      </c>
      <c r="X110" s="132">
        <v>0</v>
      </c>
      <c r="Y110" s="132">
        <v>0</v>
      </c>
      <c r="Z110" s="128">
        <f t="shared" si="3"/>
        <v>0</v>
      </c>
    </row>
    <row r="111" spans="1:26" x14ac:dyDescent="0.2">
      <c r="A111" s="23" t="s">
        <v>103</v>
      </c>
      <c r="B111">
        <v>4</v>
      </c>
      <c r="C111" s="23" t="s">
        <v>112</v>
      </c>
      <c r="D111">
        <v>409</v>
      </c>
      <c r="E111" s="132">
        <v>0</v>
      </c>
      <c r="F111" s="132">
        <v>0</v>
      </c>
      <c r="G111" s="132">
        <v>0</v>
      </c>
      <c r="H111" s="132">
        <v>0</v>
      </c>
      <c r="I111" s="132">
        <v>0</v>
      </c>
      <c r="J111" s="132">
        <v>0</v>
      </c>
      <c r="K111" s="132">
        <v>0</v>
      </c>
      <c r="L111" s="132">
        <v>0</v>
      </c>
      <c r="M111" s="132">
        <v>0</v>
      </c>
      <c r="N111" s="132">
        <v>0</v>
      </c>
      <c r="O111" s="132">
        <v>0</v>
      </c>
      <c r="P111" s="132">
        <v>0</v>
      </c>
      <c r="Q111" s="132">
        <v>0</v>
      </c>
      <c r="R111" s="132">
        <v>0</v>
      </c>
      <c r="S111" s="132">
        <v>0</v>
      </c>
      <c r="T111" s="132">
        <v>0</v>
      </c>
      <c r="U111" s="132">
        <v>0</v>
      </c>
      <c r="V111" s="132">
        <v>0</v>
      </c>
      <c r="W111" s="132">
        <v>0</v>
      </c>
      <c r="X111" s="132">
        <v>0</v>
      </c>
      <c r="Y111" s="132">
        <v>0</v>
      </c>
      <c r="Z111" s="128">
        <f t="shared" si="3"/>
        <v>0</v>
      </c>
    </row>
    <row r="112" spans="1:26" x14ac:dyDescent="0.2">
      <c r="A112" s="23" t="s">
        <v>103</v>
      </c>
      <c r="B112">
        <v>4</v>
      </c>
      <c r="C112" s="23" t="s">
        <v>112</v>
      </c>
      <c r="D112">
        <v>410</v>
      </c>
      <c r="E112" s="132">
        <v>0</v>
      </c>
      <c r="F112" s="132">
        <v>0</v>
      </c>
      <c r="G112" s="132">
        <v>0</v>
      </c>
      <c r="H112" s="132">
        <v>0</v>
      </c>
      <c r="I112" s="132">
        <v>0</v>
      </c>
      <c r="J112" s="132">
        <v>0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>
        <v>0</v>
      </c>
      <c r="Q112" s="132">
        <v>0</v>
      </c>
      <c r="R112" s="132">
        <v>0</v>
      </c>
      <c r="S112" s="132">
        <v>0</v>
      </c>
      <c r="T112" s="132">
        <v>0</v>
      </c>
      <c r="U112" s="132">
        <v>0</v>
      </c>
      <c r="V112" s="132">
        <v>0</v>
      </c>
      <c r="W112" s="132">
        <v>0</v>
      </c>
      <c r="X112" s="132">
        <v>0</v>
      </c>
      <c r="Y112" s="132">
        <v>0</v>
      </c>
      <c r="Z112" s="128">
        <f t="shared" si="3"/>
        <v>0</v>
      </c>
    </row>
    <row r="113" spans="1:26" x14ac:dyDescent="0.2">
      <c r="A113" s="23" t="s">
        <v>103</v>
      </c>
      <c r="B113">
        <v>4</v>
      </c>
      <c r="C113" s="23" t="s">
        <v>112</v>
      </c>
      <c r="D113">
        <v>411</v>
      </c>
      <c r="E113" s="132">
        <v>0</v>
      </c>
      <c r="F113" s="132">
        <v>0</v>
      </c>
      <c r="G113" s="132">
        <v>0</v>
      </c>
      <c r="H113" s="132">
        <v>0</v>
      </c>
      <c r="I113" s="132">
        <v>0</v>
      </c>
      <c r="J113" s="132">
        <v>0</v>
      </c>
      <c r="K113" s="132">
        <v>0</v>
      </c>
      <c r="L113" s="132">
        <v>0</v>
      </c>
      <c r="M113" s="132">
        <v>0</v>
      </c>
      <c r="N113" s="132">
        <v>0</v>
      </c>
      <c r="O113" s="132">
        <v>0</v>
      </c>
      <c r="P113" s="132">
        <v>0</v>
      </c>
      <c r="Q113" s="132">
        <v>0</v>
      </c>
      <c r="R113" s="132">
        <v>0</v>
      </c>
      <c r="S113" s="132">
        <v>0</v>
      </c>
      <c r="T113" s="132">
        <v>0</v>
      </c>
      <c r="U113" s="132">
        <v>0</v>
      </c>
      <c r="V113" s="132">
        <v>0</v>
      </c>
      <c r="W113" s="132">
        <v>0</v>
      </c>
      <c r="X113" s="132">
        <v>0</v>
      </c>
      <c r="Y113" s="132">
        <v>0</v>
      </c>
      <c r="Z113" s="128">
        <f t="shared" si="3"/>
        <v>0</v>
      </c>
    </row>
    <row r="114" spans="1:26" x14ac:dyDescent="0.2">
      <c r="A114" s="23" t="s">
        <v>103</v>
      </c>
      <c r="B114">
        <v>4</v>
      </c>
      <c r="C114" s="23" t="s">
        <v>112</v>
      </c>
      <c r="D114">
        <v>412</v>
      </c>
      <c r="E114" s="132">
        <v>0</v>
      </c>
      <c r="F114" s="132">
        <v>0</v>
      </c>
      <c r="G114" s="132">
        <v>0</v>
      </c>
      <c r="H114" s="132">
        <v>0</v>
      </c>
      <c r="I114" s="132">
        <v>0</v>
      </c>
      <c r="J114" s="132">
        <v>0</v>
      </c>
      <c r="K114" s="132">
        <v>0</v>
      </c>
      <c r="L114" s="132">
        <v>0</v>
      </c>
      <c r="M114" s="132">
        <v>0</v>
      </c>
      <c r="N114" s="132">
        <v>0</v>
      </c>
      <c r="O114" s="132">
        <v>0</v>
      </c>
      <c r="P114" s="132">
        <v>0</v>
      </c>
      <c r="Q114" s="132">
        <v>0</v>
      </c>
      <c r="R114" s="132">
        <v>0</v>
      </c>
      <c r="S114" s="132">
        <v>0</v>
      </c>
      <c r="T114" s="132">
        <v>0</v>
      </c>
      <c r="U114" s="132">
        <v>0</v>
      </c>
      <c r="V114" s="132">
        <v>0</v>
      </c>
      <c r="W114" s="132">
        <v>0</v>
      </c>
      <c r="X114" s="132">
        <v>0</v>
      </c>
      <c r="Y114" s="132">
        <v>0</v>
      </c>
      <c r="Z114" s="128">
        <f t="shared" si="3"/>
        <v>0</v>
      </c>
    </row>
    <row r="115" spans="1:26" x14ac:dyDescent="0.2">
      <c r="A115" s="23" t="s">
        <v>103</v>
      </c>
      <c r="B115">
        <v>4</v>
      </c>
      <c r="C115" s="23" t="s">
        <v>112</v>
      </c>
      <c r="D115">
        <v>413</v>
      </c>
      <c r="E115" s="132">
        <v>0</v>
      </c>
      <c r="F115" s="132">
        <v>0</v>
      </c>
      <c r="G115" s="132">
        <v>0</v>
      </c>
      <c r="H115" s="132">
        <v>0</v>
      </c>
      <c r="I115" s="132">
        <v>0</v>
      </c>
      <c r="J115" s="132">
        <v>0</v>
      </c>
      <c r="K115" s="132">
        <v>0</v>
      </c>
      <c r="L115" s="132">
        <v>0</v>
      </c>
      <c r="M115" s="132">
        <v>0</v>
      </c>
      <c r="N115" s="132">
        <v>0</v>
      </c>
      <c r="O115" s="132">
        <v>0</v>
      </c>
      <c r="P115" s="132">
        <v>0</v>
      </c>
      <c r="Q115" s="132">
        <v>0</v>
      </c>
      <c r="R115" s="132">
        <v>0</v>
      </c>
      <c r="S115" s="132">
        <v>0</v>
      </c>
      <c r="T115" s="132">
        <v>0</v>
      </c>
      <c r="U115" s="132">
        <v>0</v>
      </c>
      <c r="V115" s="132">
        <v>0</v>
      </c>
      <c r="W115" s="132">
        <v>0</v>
      </c>
      <c r="X115" s="132">
        <v>0</v>
      </c>
      <c r="Y115" s="132">
        <v>0</v>
      </c>
      <c r="Z115" s="128">
        <f t="shared" si="3"/>
        <v>0</v>
      </c>
    </row>
    <row r="116" spans="1:26" x14ac:dyDescent="0.2">
      <c r="A116" s="23" t="s">
        <v>103</v>
      </c>
      <c r="B116">
        <v>4</v>
      </c>
      <c r="C116" s="23" t="s">
        <v>112</v>
      </c>
      <c r="D116">
        <v>414</v>
      </c>
      <c r="E116" s="132">
        <v>0</v>
      </c>
      <c r="F116" s="132">
        <v>0</v>
      </c>
      <c r="G116" s="132">
        <v>0</v>
      </c>
      <c r="H116" s="132">
        <v>0</v>
      </c>
      <c r="I116" s="132">
        <v>0</v>
      </c>
      <c r="J116" s="132">
        <v>0</v>
      </c>
      <c r="K116" s="132">
        <v>0</v>
      </c>
      <c r="L116" s="132">
        <v>0</v>
      </c>
      <c r="M116" s="132">
        <v>0</v>
      </c>
      <c r="N116" s="132">
        <v>0</v>
      </c>
      <c r="O116" s="132">
        <v>0</v>
      </c>
      <c r="P116" s="132">
        <v>0</v>
      </c>
      <c r="Q116" s="132">
        <v>0</v>
      </c>
      <c r="R116" s="132">
        <v>0</v>
      </c>
      <c r="S116" s="132">
        <v>0</v>
      </c>
      <c r="T116" s="132">
        <v>0</v>
      </c>
      <c r="U116" s="132">
        <v>0</v>
      </c>
      <c r="V116" s="132">
        <v>0</v>
      </c>
      <c r="W116" s="132">
        <v>0</v>
      </c>
      <c r="X116" s="132">
        <v>0</v>
      </c>
      <c r="Y116" s="132">
        <v>0</v>
      </c>
      <c r="Z116" s="128">
        <f t="shared" si="3"/>
        <v>0</v>
      </c>
    </row>
    <row r="117" spans="1:26" x14ac:dyDescent="0.2">
      <c r="A117" s="23" t="s">
        <v>103</v>
      </c>
      <c r="B117">
        <v>4</v>
      </c>
      <c r="C117" s="23" t="s">
        <v>112</v>
      </c>
      <c r="D117">
        <v>415</v>
      </c>
      <c r="E117" s="132">
        <v>0</v>
      </c>
      <c r="F117" s="132">
        <v>0</v>
      </c>
      <c r="G117" s="132">
        <v>0</v>
      </c>
      <c r="H117" s="132">
        <v>0</v>
      </c>
      <c r="I117" s="132">
        <v>0</v>
      </c>
      <c r="J117" s="132">
        <v>0</v>
      </c>
      <c r="K117" s="132">
        <v>0</v>
      </c>
      <c r="L117" s="132">
        <v>0</v>
      </c>
      <c r="M117" s="132">
        <v>0</v>
      </c>
      <c r="N117" s="132">
        <v>0</v>
      </c>
      <c r="O117" s="132">
        <v>0</v>
      </c>
      <c r="P117" s="132">
        <v>0</v>
      </c>
      <c r="Q117" s="132">
        <v>0</v>
      </c>
      <c r="R117" s="132">
        <v>0</v>
      </c>
      <c r="S117" s="132">
        <v>0</v>
      </c>
      <c r="T117" s="132">
        <v>0</v>
      </c>
      <c r="U117" s="132">
        <v>0</v>
      </c>
      <c r="V117" s="132">
        <v>0</v>
      </c>
      <c r="W117" s="132">
        <v>0</v>
      </c>
      <c r="X117" s="132">
        <v>0</v>
      </c>
      <c r="Y117" s="132">
        <v>0</v>
      </c>
      <c r="Z117" s="128">
        <f t="shared" si="3"/>
        <v>0</v>
      </c>
    </row>
    <row r="118" spans="1:26" x14ac:dyDescent="0.2">
      <c r="A118" s="23" t="s">
        <v>103</v>
      </c>
      <c r="B118">
        <v>4</v>
      </c>
      <c r="C118" s="23" t="s">
        <v>112</v>
      </c>
      <c r="D118">
        <v>416</v>
      </c>
      <c r="E118" s="132">
        <v>0</v>
      </c>
      <c r="F118" s="132">
        <v>0</v>
      </c>
      <c r="G118" s="132">
        <v>0</v>
      </c>
      <c r="H118" s="132">
        <v>0</v>
      </c>
      <c r="I118" s="132">
        <v>0</v>
      </c>
      <c r="J118" s="132">
        <v>0</v>
      </c>
      <c r="K118" s="132">
        <v>0</v>
      </c>
      <c r="L118" s="132">
        <v>0</v>
      </c>
      <c r="M118" s="132">
        <v>0</v>
      </c>
      <c r="N118" s="132">
        <v>0</v>
      </c>
      <c r="O118" s="132">
        <v>0</v>
      </c>
      <c r="P118" s="132">
        <v>0</v>
      </c>
      <c r="Q118" s="132">
        <v>0</v>
      </c>
      <c r="R118" s="132">
        <v>0</v>
      </c>
      <c r="S118" s="132">
        <v>0</v>
      </c>
      <c r="T118" s="132">
        <v>0</v>
      </c>
      <c r="U118" s="132">
        <v>0</v>
      </c>
      <c r="V118" s="132">
        <v>0</v>
      </c>
      <c r="W118" s="132">
        <v>0</v>
      </c>
      <c r="X118" s="132">
        <v>0</v>
      </c>
      <c r="Y118" s="132">
        <v>0</v>
      </c>
      <c r="Z118" s="128">
        <f t="shared" si="3"/>
        <v>0</v>
      </c>
    </row>
    <row r="119" spans="1:26" x14ac:dyDescent="0.2">
      <c r="A119" s="23" t="s">
        <v>103</v>
      </c>
      <c r="B119">
        <v>4</v>
      </c>
      <c r="C119" s="23" t="s">
        <v>112</v>
      </c>
      <c r="D119">
        <v>417</v>
      </c>
      <c r="E119" s="132">
        <v>0</v>
      </c>
      <c r="F119" s="132">
        <v>0</v>
      </c>
      <c r="G119" s="132">
        <v>0</v>
      </c>
      <c r="H119" s="132">
        <v>0</v>
      </c>
      <c r="I119" s="132">
        <v>0</v>
      </c>
      <c r="J119" s="132">
        <v>0</v>
      </c>
      <c r="K119" s="132">
        <v>0</v>
      </c>
      <c r="L119" s="132">
        <v>0</v>
      </c>
      <c r="M119" s="132">
        <v>0</v>
      </c>
      <c r="N119" s="132">
        <v>0</v>
      </c>
      <c r="O119" s="132">
        <v>0</v>
      </c>
      <c r="P119" s="132">
        <v>0</v>
      </c>
      <c r="Q119" s="132">
        <v>0</v>
      </c>
      <c r="R119" s="132">
        <v>0</v>
      </c>
      <c r="S119" s="132">
        <v>0</v>
      </c>
      <c r="T119" s="132">
        <v>0</v>
      </c>
      <c r="U119" s="132">
        <v>0</v>
      </c>
      <c r="V119" s="132">
        <v>0</v>
      </c>
      <c r="W119" s="132">
        <v>0</v>
      </c>
      <c r="X119" s="132">
        <v>0</v>
      </c>
      <c r="Y119" s="132">
        <v>0</v>
      </c>
      <c r="Z119" s="128">
        <f t="shared" si="3"/>
        <v>0</v>
      </c>
    </row>
    <row r="120" spans="1:26" x14ac:dyDescent="0.2">
      <c r="A120" s="23" t="s">
        <v>103</v>
      </c>
      <c r="B120">
        <v>4</v>
      </c>
      <c r="C120" s="23" t="s">
        <v>112</v>
      </c>
      <c r="D120">
        <v>418</v>
      </c>
      <c r="E120" s="132">
        <v>0</v>
      </c>
      <c r="F120" s="132">
        <v>0</v>
      </c>
      <c r="G120" s="132">
        <v>0</v>
      </c>
      <c r="H120" s="132">
        <v>0</v>
      </c>
      <c r="I120" s="132">
        <v>0</v>
      </c>
      <c r="J120" s="132">
        <v>0</v>
      </c>
      <c r="K120" s="132">
        <v>0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32">
        <v>0</v>
      </c>
      <c r="R120" s="132">
        <v>0</v>
      </c>
      <c r="S120" s="132">
        <v>0</v>
      </c>
      <c r="T120" s="132">
        <v>0</v>
      </c>
      <c r="U120" s="132">
        <v>0</v>
      </c>
      <c r="V120" s="132">
        <v>0</v>
      </c>
      <c r="W120" s="132">
        <v>0</v>
      </c>
      <c r="X120" s="132">
        <v>0</v>
      </c>
      <c r="Y120" s="132">
        <v>0</v>
      </c>
      <c r="Z120" s="128">
        <f t="shared" si="3"/>
        <v>0</v>
      </c>
    </row>
    <row r="121" spans="1:26" x14ac:dyDescent="0.2">
      <c r="A121" s="23" t="s">
        <v>103</v>
      </c>
      <c r="B121">
        <v>4</v>
      </c>
      <c r="C121" s="23" t="s">
        <v>112</v>
      </c>
      <c r="D121">
        <v>419</v>
      </c>
      <c r="E121" s="132">
        <v>0</v>
      </c>
      <c r="F121" s="132">
        <v>0</v>
      </c>
      <c r="G121" s="132">
        <v>0</v>
      </c>
      <c r="H121" s="132">
        <v>0</v>
      </c>
      <c r="I121" s="132">
        <v>0</v>
      </c>
      <c r="J121" s="132">
        <v>0</v>
      </c>
      <c r="K121" s="132">
        <v>0</v>
      </c>
      <c r="L121" s="132">
        <v>0</v>
      </c>
      <c r="M121" s="132">
        <v>0</v>
      </c>
      <c r="N121" s="132">
        <v>0</v>
      </c>
      <c r="O121" s="132">
        <v>0</v>
      </c>
      <c r="P121" s="132">
        <v>0</v>
      </c>
      <c r="Q121" s="132">
        <v>0</v>
      </c>
      <c r="R121" s="132">
        <v>0</v>
      </c>
      <c r="S121" s="132">
        <v>0</v>
      </c>
      <c r="T121" s="132">
        <v>0</v>
      </c>
      <c r="U121" s="132">
        <v>0</v>
      </c>
      <c r="V121" s="132">
        <v>0</v>
      </c>
      <c r="W121" s="132">
        <v>0</v>
      </c>
      <c r="X121" s="132">
        <v>0</v>
      </c>
      <c r="Y121" s="132">
        <v>0</v>
      </c>
      <c r="Z121" s="128">
        <f t="shared" si="3"/>
        <v>0</v>
      </c>
    </row>
    <row r="122" spans="1:26" x14ac:dyDescent="0.2">
      <c r="A122" s="23" t="s">
        <v>103</v>
      </c>
      <c r="B122">
        <v>4</v>
      </c>
      <c r="C122" s="23" t="s">
        <v>112</v>
      </c>
      <c r="D122">
        <v>420</v>
      </c>
      <c r="E122" s="132">
        <v>0</v>
      </c>
      <c r="F122" s="132">
        <v>0</v>
      </c>
      <c r="G122" s="132">
        <v>0</v>
      </c>
      <c r="H122" s="132">
        <v>0</v>
      </c>
      <c r="I122" s="132">
        <v>0</v>
      </c>
      <c r="J122" s="132">
        <v>0</v>
      </c>
      <c r="K122" s="132">
        <v>0</v>
      </c>
      <c r="L122" s="132">
        <v>0</v>
      </c>
      <c r="M122" s="132">
        <v>0</v>
      </c>
      <c r="N122" s="132">
        <v>0</v>
      </c>
      <c r="O122" s="132">
        <v>0</v>
      </c>
      <c r="P122" s="132">
        <v>0</v>
      </c>
      <c r="Q122" s="132">
        <v>0</v>
      </c>
      <c r="R122" s="132">
        <v>0</v>
      </c>
      <c r="S122" s="132">
        <v>0</v>
      </c>
      <c r="T122" s="132">
        <v>0</v>
      </c>
      <c r="U122" s="132">
        <v>0</v>
      </c>
      <c r="V122" s="132">
        <v>0</v>
      </c>
      <c r="W122" s="132">
        <v>0</v>
      </c>
      <c r="X122" s="132">
        <v>0</v>
      </c>
      <c r="Y122" s="132">
        <v>0</v>
      </c>
      <c r="Z122" s="128">
        <f t="shared" si="3"/>
        <v>0</v>
      </c>
    </row>
    <row r="123" spans="1:26" x14ac:dyDescent="0.2">
      <c r="A123" s="23" t="s">
        <v>103</v>
      </c>
      <c r="B123">
        <v>4</v>
      </c>
      <c r="C123" s="23" t="s">
        <v>112</v>
      </c>
      <c r="D123">
        <v>421</v>
      </c>
      <c r="E123" s="132">
        <v>0</v>
      </c>
      <c r="F123" s="132">
        <v>0</v>
      </c>
      <c r="G123" s="132">
        <v>0</v>
      </c>
      <c r="H123" s="132">
        <v>0</v>
      </c>
      <c r="I123" s="132">
        <v>0</v>
      </c>
      <c r="J123" s="132">
        <v>0</v>
      </c>
      <c r="K123" s="132">
        <v>0</v>
      </c>
      <c r="L123" s="132">
        <v>0</v>
      </c>
      <c r="M123" s="132">
        <v>0</v>
      </c>
      <c r="N123" s="132">
        <v>0</v>
      </c>
      <c r="O123" s="132">
        <v>0</v>
      </c>
      <c r="P123" s="132">
        <v>0</v>
      </c>
      <c r="Q123" s="132">
        <v>0</v>
      </c>
      <c r="R123" s="132">
        <v>0</v>
      </c>
      <c r="S123" s="132">
        <v>0</v>
      </c>
      <c r="T123" s="132">
        <v>0</v>
      </c>
      <c r="U123" s="132">
        <v>0</v>
      </c>
      <c r="V123" s="132">
        <v>0</v>
      </c>
      <c r="W123" s="132">
        <v>0</v>
      </c>
      <c r="X123" s="132">
        <v>0</v>
      </c>
      <c r="Y123" s="132">
        <v>0</v>
      </c>
      <c r="Z123" s="128">
        <f t="shared" si="3"/>
        <v>0</v>
      </c>
    </row>
    <row r="124" spans="1:26" x14ac:dyDescent="0.2">
      <c r="A124" s="23" t="s">
        <v>103</v>
      </c>
      <c r="B124">
        <v>4</v>
      </c>
      <c r="C124" s="23" t="s">
        <v>112</v>
      </c>
      <c r="D124">
        <v>422</v>
      </c>
      <c r="E124" s="132">
        <v>0</v>
      </c>
      <c r="F124" s="132">
        <v>0</v>
      </c>
      <c r="G124" s="132">
        <v>0</v>
      </c>
      <c r="H124" s="132">
        <v>0</v>
      </c>
      <c r="I124" s="132">
        <v>0</v>
      </c>
      <c r="J124" s="132">
        <v>0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0</v>
      </c>
      <c r="Q124" s="132">
        <v>0</v>
      </c>
      <c r="R124" s="132">
        <v>0</v>
      </c>
      <c r="S124" s="132">
        <v>0</v>
      </c>
      <c r="T124" s="132">
        <v>0</v>
      </c>
      <c r="U124" s="132">
        <v>0</v>
      </c>
      <c r="V124" s="132">
        <v>0</v>
      </c>
      <c r="W124" s="132">
        <v>0</v>
      </c>
      <c r="X124" s="132">
        <v>0</v>
      </c>
      <c r="Y124" s="132">
        <v>0</v>
      </c>
      <c r="Z124" s="128">
        <f t="shared" si="3"/>
        <v>0</v>
      </c>
    </row>
    <row r="125" spans="1:26" x14ac:dyDescent="0.2">
      <c r="A125" s="23" t="s">
        <v>103</v>
      </c>
      <c r="B125">
        <v>4</v>
      </c>
      <c r="C125" s="23" t="s">
        <v>112</v>
      </c>
      <c r="D125">
        <v>423</v>
      </c>
      <c r="E125" s="132">
        <v>0</v>
      </c>
      <c r="F125" s="132">
        <v>0</v>
      </c>
      <c r="G125" s="132">
        <v>0</v>
      </c>
      <c r="H125" s="132">
        <v>0</v>
      </c>
      <c r="I125" s="132">
        <v>0</v>
      </c>
      <c r="J125" s="132">
        <v>0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0</v>
      </c>
      <c r="Q125" s="132">
        <v>0</v>
      </c>
      <c r="R125" s="132">
        <v>0</v>
      </c>
      <c r="S125" s="132">
        <v>0</v>
      </c>
      <c r="T125" s="132">
        <v>0</v>
      </c>
      <c r="U125" s="132">
        <v>0</v>
      </c>
      <c r="V125" s="132">
        <v>0</v>
      </c>
      <c r="W125" s="132">
        <v>0</v>
      </c>
      <c r="X125" s="132">
        <v>0</v>
      </c>
      <c r="Y125" s="132">
        <v>0</v>
      </c>
      <c r="Z125" s="128">
        <f t="shared" si="3"/>
        <v>0</v>
      </c>
    </row>
    <row r="126" spans="1:26" x14ac:dyDescent="0.2">
      <c r="A126" s="23" t="s">
        <v>103</v>
      </c>
      <c r="B126">
        <v>4</v>
      </c>
      <c r="C126" s="23" t="s">
        <v>111</v>
      </c>
      <c r="D126">
        <v>401</v>
      </c>
      <c r="E126" s="132">
        <v>0</v>
      </c>
      <c r="F126" s="132">
        <v>0</v>
      </c>
      <c r="G126" s="132">
        <v>0</v>
      </c>
      <c r="H126" s="132">
        <v>0</v>
      </c>
      <c r="I126" s="132">
        <v>0</v>
      </c>
      <c r="J126" s="132">
        <v>0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32">
        <v>0</v>
      </c>
      <c r="R126" s="132">
        <v>0</v>
      </c>
      <c r="S126" s="132">
        <v>0</v>
      </c>
      <c r="T126" s="132">
        <v>0</v>
      </c>
      <c r="U126" s="132">
        <v>0</v>
      </c>
      <c r="V126" s="132">
        <v>0</v>
      </c>
      <c r="W126" s="132">
        <v>0</v>
      </c>
      <c r="X126" s="132">
        <v>0</v>
      </c>
      <c r="Y126" s="132">
        <v>0</v>
      </c>
      <c r="Z126" s="128">
        <f t="shared" si="3"/>
        <v>0</v>
      </c>
    </row>
    <row r="127" spans="1:26" x14ac:dyDescent="0.2">
      <c r="A127" s="23" t="s">
        <v>103</v>
      </c>
      <c r="B127">
        <v>4</v>
      </c>
      <c r="C127" s="23" t="s">
        <v>111</v>
      </c>
      <c r="D127">
        <v>402</v>
      </c>
      <c r="E127" s="132">
        <v>0</v>
      </c>
      <c r="F127" s="132">
        <v>0</v>
      </c>
      <c r="G127" s="132">
        <v>0</v>
      </c>
      <c r="H127" s="132">
        <v>0</v>
      </c>
      <c r="I127" s="132">
        <v>0</v>
      </c>
      <c r="J127" s="132">
        <v>0</v>
      </c>
      <c r="K127" s="132">
        <v>0</v>
      </c>
      <c r="L127" s="132">
        <v>0</v>
      </c>
      <c r="M127" s="132">
        <v>0</v>
      </c>
      <c r="N127" s="132">
        <v>0</v>
      </c>
      <c r="O127" s="132">
        <v>0</v>
      </c>
      <c r="P127" s="132">
        <v>0</v>
      </c>
      <c r="Q127" s="132">
        <v>0</v>
      </c>
      <c r="R127" s="132">
        <v>0</v>
      </c>
      <c r="S127" s="132">
        <v>0</v>
      </c>
      <c r="T127" s="132">
        <v>0</v>
      </c>
      <c r="U127" s="132">
        <v>0</v>
      </c>
      <c r="V127" s="132">
        <v>0</v>
      </c>
      <c r="W127" s="132">
        <v>0</v>
      </c>
      <c r="X127" s="132">
        <v>0</v>
      </c>
      <c r="Y127" s="132">
        <v>0</v>
      </c>
      <c r="Z127" s="128">
        <f t="shared" si="3"/>
        <v>0</v>
      </c>
    </row>
    <row r="128" spans="1:26" x14ac:dyDescent="0.2">
      <c r="A128" s="23" t="s">
        <v>103</v>
      </c>
      <c r="B128">
        <v>4</v>
      </c>
      <c r="C128" s="23" t="s">
        <v>111</v>
      </c>
      <c r="D128">
        <v>403</v>
      </c>
      <c r="E128" s="132">
        <v>0</v>
      </c>
      <c r="F128" s="132">
        <v>0</v>
      </c>
      <c r="G128" s="132">
        <v>0</v>
      </c>
      <c r="H128" s="132">
        <v>0</v>
      </c>
      <c r="I128" s="132">
        <v>0</v>
      </c>
      <c r="J128" s="132">
        <v>0</v>
      </c>
      <c r="K128" s="132">
        <v>0</v>
      </c>
      <c r="L128" s="132">
        <v>0</v>
      </c>
      <c r="M128" s="132">
        <v>0</v>
      </c>
      <c r="N128" s="132">
        <v>0</v>
      </c>
      <c r="O128" s="132">
        <v>0</v>
      </c>
      <c r="P128" s="132">
        <v>0</v>
      </c>
      <c r="Q128" s="132">
        <v>0</v>
      </c>
      <c r="R128" s="132">
        <v>0</v>
      </c>
      <c r="S128" s="132">
        <v>0</v>
      </c>
      <c r="T128" s="132">
        <v>0</v>
      </c>
      <c r="U128" s="132">
        <v>0</v>
      </c>
      <c r="V128" s="132">
        <v>0</v>
      </c>
      <c r="W128" s="132">
        <v>0</v>
      </c>
      <c r="X128" s="132">
        <v>0</v>
      </c>
      <c r="Y128" s="132">
        <v>0</v>
      </c>
      <c r="Z128" s="128">
        <f t="shared" si="3"/>
        <v>0</v>
      </c>
    </row>
    <row r="129" spans="1:26" x14ac:dyDescent="0.2">
      <c r="A129" s="23" t="s">
        <v>103</v>
      </c>
      <c r="B129">
        <v>4</v>
      </c>
      <c r="C129" s="23" t="s">
        <v>111</v>
      </c>
      <c r="D129">
        <v>404</v>
      </c>
      <c r="E129" s="132">
        <v>0</v>
      </c>
      <c r="F129" s="132">
        <v>0</v>
      </c>
      <c r="G129" s="132">
        <v>0</v>
      </c>
      <c r="H129" s="132">
        <v>0</v>
      </c>
      <c r="I129" s="132">
        <v>0</v>
      </c>
      <c r="J129" s="132">
        <v>0</v>
      </c>
      <c r="K129" s="132">
        <v>0</v>
      </c>
      <c r="L129" s="132">
        <v>0</v>
      </c>
      <c r="M129" s="132">
        <v>0</v>
      </c>
      <c r="N129" s="132">
        <v>0</v>
      </c>
      <c r="O129" s="132">
        <v>0</v>
      </c>
      <c r="P129" s="132">
        <v>0</v>
      </c>
      <c r="Q129" s="132">
        <v>0</v>
      </c>
      <c r="R129" s="132">
        <v>0</v>
      </c>
      <c r="S129" s="132">
        <v>0</v>
      </c>
      <c r="T129" s="132">
        <v>0</v>
      </c>
      <c r="U129" s="132">
        <v>0</v>
      </c>
      <c r="V129" s="132">
        <v>0</v>
      </c>
      <c r="W129" s="132">
        <v>0</v>
      </c>
      <c r="X129" s="132">
        <v>0</v>
      </c>
      <c r="Y129" s="132">
        <v>0</v>
      </c>
      <c r="Z129" s="128">
        <f t="shared" si="3"/>
        <v>0</v>
      </c>
    </row>
    <row r="130" spans="1:26" x14ac:dyDescent="0.2">
      <c r="A130" s="23" t="s">
        <v>103</v>
      </c>
      <c r="B130">
        <v>4</v>
      </c>
      <c r="C130" s="23" t="s">
        <v>111</v>
      </c>
      <c r="D130">
        <v>405</v>
      </c>
      <c r="E130" s="132">
        <v>0</v>
      </c>
      <c r="F130" s="132">
        <v>0</v>
      </c>
      <c r="G130" s="132">
        <v>0</v>
      </c>
      <c r="H130" s="132">
        <v>0</v>
      </c>
      <c r="I130" s="132">
        <v>0</v>
      </c>
      <c r="J130" s="132">
        <v>0</v>
      </c>
      <c r="K130" s="132">
        <v>0</v>
      </c>
      <c r="L130" s="132">
        <v>0</v>
      </c>
      <c r="M130" s="132">
        <v>0</v>
      </c>
      <c r="N130" s="132">
        <v>0</v>
      </c>
      <c r="O130" s="132">
        <v>0</v>
      </c>
      <c r="P130" s="132">
        <v>0</v>
      </c>
      <c r="Q130" s="132">
        <v>0</v>
      </c>
      <c r="R130" s="132">
        <v>0</v>
      </c>
      <c r="S130" s="132">
        <v>0</v>
      </c>
      <c r="T130" s="132">
        <v>0</v>
      </c>
      <c r="U130" s="132">
        <v>0</v>
      </c>
      <c r="V130" s="132">
        <v>0</v>
      </c>
      <c r="W130" s="132">
        <v>0</v>
      </c>
      <c r="X130" s="132">
        <v>0</v>
      </c>
      <c r="Y130" s="132">
        <v>0</v>
      </c>
      <c r="Z130" s="128">
        <f t="shared" ref="Z130:Z193" si="5">AVERAGE(E130:Y130)</f>
        <v>0</v>
      </c>
    </row>
    <row r="131" spans="1:26" x14ac:dyDescent="0.2">
      <c r="A131" s="23" t="s">
        <v>103</v>
      </c>
      <c r="B131">
        <v>4</v>
      </c>
      <c r="C131" s="23" t="s">
        <v>111</v>
      </c>
      <c r="D131">
        <v>406</v>
      </c>
      <c r="E131" s="132">
        <v>0</v>
      </c>
      <c r="F131" s="132">
        <v>0</v>
      </c>
      <c r="G131" s="132">
        <v>0</v>
      </c>
      <c r="H131" s="132">
        <v>0</v>
      </c>
      <c r="I131" s="132">
        <v>0</v>
      </c>
      <c r="J131" s="132">
        <v>0</v>
      </c>
      <c r="K131" s="132">
        <v>0</v>
      </c>
      <c r="L131" s="132">
        <v>0</v>
      </c>
      <c r="M131" s="132">
        <v>0</v>
      </c>
      <c r="N131" s="132">
        <v>0</v>
      </c>
      <c r="O131" s="132">
        <v>0</v>
      </c>
      <c r="P131" s="132">
        <v>0</v>
      </c>
      <c r="Q131" s="132">
        <v>0</v>
      </c>
      <c r="R131" s="132">
        <v>0</v>
      </c>
      <c r="S131" s="132">
        <v>0</v>
      </c>
      <c r="T131" s="132">
        <v>0</v>
      </c>
      <c r="U131" s="132">
        <v>0</v>
      </c>
      <c r="V131" s="132">
        <v>0</v>
      </c>
      <c r="W131" s="132">
        <v>0</v>
      </c>
      <c r="X131" s="132">
        <v>0</v>
      </c>
      <c r="Y131" s="132">
        <v>0</v>
      </c>
      <c r="Z131" s="128">
        <f t="shared" si="5"/>
        <v>0</v>
      </c>
    </row>
    <row r="132" spans="1:26" x14ac:dyDescent="0.2">
      <c r="A132" s="23" t="s">
        <v>103</v>
      </c>
      <c r="B132">
        <v>4</v>
      </c>
      <c r="C132" s="23" t="s">
        <v>111</v>
      </c>
      <c r="D132">
        <v>407</v>
      </c>
      <c r="E132" s="132">
        <v>0</v>
      </c>
      <c r="F132" s="132">
        <v>0</v>
      </c>
      <c r="G132" s="132">
        <v>0</v>
      </c>
      <c r="H132" s="132">
        <v>0</v>
      </c>
      <c r="I132" s="132">
        <v>0</v>
      </c>
      <c r="J132" s="132">
        <v>0</v>
      </c>
      <c r="K132" s="132">
        <v>0</v>
      </c>
      <c r="L132" s="132">
        <v>0</v>
      </c>
      <c r="M132" s="132">
        <v>0</v>
      </c>
      <c r="N132" s="132">
        <v>0</v>
      </c>
      <c r="O132" s="132">
        <v>0</v>
      </c>
      <c r="P132" s="132">
        <v>0</v>
      </c>
      <c r="Q132" s="132">
        <v>0</v>
      </c>
      <c r="R132" s="132">
        <v>0</v>
      </c>
      <c r="S132" s="132">
        <v>0</v>
      </c>
      <c r="T132" s="132">
        <v>0</v>
      </c>
      <c r="U132" s="132">
        <v>0</v>
      </c>
      <c r="V132" s="132">
        <v>0</v>
      </c>
      <c r="W132" s="132">
        <v>0</v>
      </c>
      <c r="X132" s="132">
        <v>0</v>
      </c>
      <c r="Y132" s="132">
        <v>0</v>
      </c>
      <c r="Z132" s="128">
        <f t="shared" si="5"/>
        <v>0</v>
      </c>
    </row>
    <row r="133" spans="1:26" x14ac:dyDescent="0.2">
      <c r="A133" s="23" t="s">
        <v>103</v>
      </c>
      <c r="B133">
        <v>4</v>
      </c>
      <c r="C133" s="23" t="s">
        <v>111</v>
      </c>
      <c r="D133">
        <v>408</v>
      </c>
      <c r="E133" s="132">
        <v>0</v>
      </c>
      <c r="F133" s="132">
        <v>0</v>
      </c>
      <c r="G133" s="132">
        <v>0</v>
      </c>
      <c r="H133" s="132">
        <v>0</v>
      </c>
      <c r="I133" s="132">
        <v>0</v>
      </c>
      <c r="J133" s="132">
        <v>0</v>
      </c>
      <c r="K133" s="132">
        <v>0</v>
      </c>
      <c r="L133" s="132">
        <v>0</v>
      </c>
      <c r="M133" s="132">
        <v>0</v>
      </c>
      <c r="N133" s="132">
        <v>0</v>
      </c>
      <c r="O133" s="132">
        <v>0</v>
      </c>
      <c r="P133" s="132">
        <v>0</v>
      </c>
      <c r="Q133" s="132">
        <v>0</v>
      </c>
      <c r="R133" s="132">
        <v>0</v>
      </c>
      <c r="S133" s="132">
        <v>0</v>
      </c>
      <c r="T133" s="132">
        <v>0</v>
      </c>
      <c r="U133" s="132">
        <v>0</v>
      </c>
      <c r="V133" s="132">
        <v>0</v>
      </c>
      <c r="W133" s="132">
        <v>0</v>
      </c>
      <c r="X133" s="132">
        <v>0</v>
      </c>
      <c r="Y133" s="132">
        <v>0</v>
      </c>
      <c r="Z133" s="128">
        <f t="shared" si="5"/>
        <v>0</v>
      </c>
    </row>
    <row r="134" spans="1:26" x14ac:dyDescent="0.2">
      <c r="A134" s="23" t="s">
        <v>103</v>
      </c>
      <c r="B134">
        <v>4</v>
      </c>
      <c r="C134" s="23" t="s">
        <v>111</v>
      </c>
      <c r="D134">
        <v>409</v>
      </c>
      <c r="E134" s="132">
        <v>0</v>
      </c>
      <c r="F134" s="132">
        <v>0</v>
      </c>
      <c r="G134" s="132">
        <v>0</v>
      </c>
      <c r="H134" s="132">
        <v>0</v>
      </c>
      <c r="I134" s="132">
        <v>0</v>
      </c>
      <c r="J134" s="132">
        <v>0</v>
      </c>
      <c r="K134" s="132">
        <v>0</v>
      </c>
      <c r="L134" s="132">
        <v>0</v>
      </c>
      <c r="M134" s="132">
        <v>0</v>
      </c>
      <c r="N134" s="132">
        <v>0</v>
      </c>
      <c r="O134" s="132">
        <v>0</v>
      </c>
      <c r="P134" s="132">
        <v>0</v>
      </c>
      <c r="Q134" s="132">
        <v>0</v>
      </c>
      <c r="R134" s="132">
        <v>0</v>
      </c>
      <c r="S134" s="132">
        <v>0</v>
      </c>
      <c r="T134" s="132">
        <v>0</v>
      </c>
      <c r="U134" s="132">
        <v>0</v>
      </c>
      <c r="V134" s="132">
        <v>0</v>
      </c>
      <c r="W134" s="132">
        <v>0</v>
      </c>
      <c r="X134" s="132">
        <v>0</v>
      </c>
      <c r="Y134" s="132">
        <v>0</v>
      </c>
      <c r="Z134" s="128">
        <f t="shared" si="5"/>
        <v>0</v>
      </c>
    </row>
    <row r="135" spans="1:26" x14ac:dyDescent="0.2">
      <c r="A135" s="23" t="s">
        <v>103</v>
      </c>
      <c r="B135">
        <v>4</v>
      </c>
      <c r="C135" s="23" t="s">
        <v>111</v>
      </c>
      <c r="D135">
        <v>410</v>
      </c>
      <c r="E135" s="132">
        <v>0</v>
      </c>
      <c r="F135" s="132">
        <v>0</v>
      </c>
      <c r="G135" s="132">
        <v>0</v>
      </c>
      <c r="H135" s="132">
        <v>0</v>
      </c>
      <c r="I135" s="132">
        <v>0</v>
      </c>
      <c r="J135" s="132">
        <v>0</v>
      </c>
      <c r="K135" s="132">
        <v>0</v>
      </c>
      <c r="L135" s="132">
        <v>0</v>
      </c>
      <c r="M135" s="132">
        <v>0</v>
      </c>
      <c r="N135" s="132">
        <v>0</v>
      </c>
      <c r="O135" s="132">
        <v>0</v>
      </c>
      <c r="P135" s="132">
        <v>0</v>
      </c>
      <c r="Q135" s="132">
        <v>0</v>
      </c>
      <c r="R135" s="132">
        <v>0</v>
      </c>
      <c r="S135" s="132">
        <v>0</v>
      </c>
      <c r="T135" s="132">
        <v>0</v>
      </c>
      <c r="U135" s="132">
        <v>0</v>
      </c>
      <c r="V135" s="132">
        <v>0</v>
      </c>
      <c r="W135" s="132">
        <v>0</v>
      </c>
      <c r="X135" s="132">
        <v>0</v>
      </c>
      <c r="Y135" s="132">
        <v>0</v>
      </c>
      <c r="Z135" s="128">
        <f t="shared" si="5"/>
        <v>0</v>
      </c>
    </row>
    <row r="136" spans="1:26" x14ac:dyDescent="0.2">
      <c r="A136" s="23" t="s">
        <v>103</v>
      </c>
      <c r="B136">
        <v>4</v>
      </c>
      <c r="C136" s="23" t="s">
        <v>111</v>
      </c>
      <c r="D136">
        <v>411</v>
      </c>
      <c r="E136" s="132">
        <v>0</v>
      </c>
      <c r="F136" s="132">
        <v>0</v>
      </c>
      <c r="G136" s="132">
        <v>0</v>
      </c>
      <c r="H136" s="132">
        <v>0</v>
      </c>
      <c r="I136" s="132">
        <v>0</v>
      </c>
      <c r="J136" s="132">
        <v>0</v>
      </c>
      <c r="K136" s="132">
        <v>0</v>
      </c>
      <c r="L136" s="132">
        <v>0</v>
      </c>
      <c r="M136" s="132">
        <v>0</v>
      </c>
      <c r="N136" s="132">
        <v>0</v>
      </c>
      <c r="O136" s="132">
        <v>0</v>
      </c>
      <c r="P136" s="132">
        <v>0</v>
      </c>
      <c r="Q136" s="132">
        <v>0</v>
      </c>
      <c r="R136" s="132">
        <v>0</v>
      </c>
      <c r="S136" s="132">
        <v>0</v>
      </c>
      <c r="T136" s="132">
        <v>0</v>
      </c>
      <c r="U136" s="132">
        <v>0</v>
      </c>
      <c r="V136" s="132">
        <v>0</v>
      </c>
      <c r="W136" s="132">
        <v>0</v>
      </c>
      <c r="X136" s="132">
        <v>0</v>
      </c>
      <c r="Y136" s="132">
        <v>0</v>
      </c>
      <c r="Z136" s="128">
        <f t="shared" si="5"/>
        <v>0</v>
      </c>
    </row>
    <row r="137" spans="1:26" x14ac:dyDescent="0.2">
      <c r="A137" s="23" t="s">
        <v>103</v>
      </c>
      <c r="B137">
        <v>4</v>
      </c>
      <c r="C137" s="23" t="s">
        <v>111</v>
      </c>
      <c r="D137">
        <v>412</v>
      </c>
      <c r="E137" s="132">
        <v>0</v>
      </c>
      <c r="F137" s="132">
        <v>0</v>
      </c>
      <c r="G137" s="132">
        <v>0</v>
      </c>
      <c r="H137" s="132">
        <v>0</v>
      </c>
      <c r="I137" s="132">
        <v>0</v>
      </c>
      <c r="J137" s="132">
        <v>0</v>
      </c>
      <c r="K137" s="132">
        <v>0</v>
      </c>
      <c r="L137" s="132">
        <v>0</v>
      </c>
      <c r="M137" s="132">
        <v>0</v>
      </c>
      <c r="N137" s="132">
        <v>0</v>
      </c>
      <c r="O137" s="132">
        <v>0</v>
      </c>
      <c r="P137" s="132">
        <v>0</v>
      </c>
      <c r="Q137" s="132">
        <v>0</v>
      </c>
      <c r="R137" s="132">
        <v>0</v>
      </c>
      <c r="S137" s="132">
        <v>0</v>
      </c>
      <c r="T137" s="132">
        <v>0</v>
      </c>
      <c r="U137" s="132">
        <v>0</v>
      </c>
      <c r="V137" s="132">
        <v>0</v>
      </c>
      <c r="W137" s="132">
        <v>0</v>
      </c>
      <c r="X137" s="132">
        <v>0</v>
      </c>
      <c r="Y137" s="132">
        <v>0</v>
      </c>
      <c r="Z137" s="128">
        <f t="shared" si="5"/>
        <v>0</v>
      </c>
    </row>
    <row r="138" spans="1:26" x14ac:dyDescent="0.2">
      <c r="A138" s="23" t="s">
        <v>103</v>
      </c>
      <c r="B138">
        <v>4</v>
      </c>
      <c r="C138" s="23" t="s">
        <v>111</v>
      </c>
      <c r="D138">
        <v>413</v>
      </c>
      <c r="E138" s="132">
        <v>0</v>
      </c>
      <c r="F138" s="132">
        <v>0</v>
      </c>
      <c r="G138" s="132">
        <v>0</v>
      </c>
      <c r="H138" s="132">
        <v>0</v>
      </c>
      <c r="I138" s="132">
        <v>0</v>
      </c>
      <c r="J138" s="132">
        <v>0</v>
      </c>
      <c r="K138" s="132">
        <v>0</v>
      </c>
      <c r="L138" s="132">
        <v>0</v>
      </c>
      <c r="M138" s="132">
        <v>0</v>
      </c>
      <c r="N138" s="132">
        <v>0</v>
      </c>
      <c r="O138" s="132">
        <v>0</v>
      </c>
      <c r="P138" s="132">
        <v>0</v>
      </c>
      <c r="Q138" s="132">
        <v>0</v>
      </c>
      <c r="R138" s="132">
        <v>0</v>
      </c>
      <c r="S138" s="132">
        <v>0</v>
      </c>
      <c r="T138" s="132">
        <v>0</v>
      </c>
      <c r="U138" s="132">
        <v>0</v>
      </c>
      <c r="V138" s="132">
        <v>0</v>
      </c>
      <c r="W138" s="132">
        <v>0</v>
      </c>
      <c r="X138" s="132">
        <v>0</v>
      </c>
      <c r="Y138" s="132">
        <v>0</v>
      </c>
      <c r="Z138" s="128">
        <f t="shared" si="5"/>
        <v>0</v>
      </c>
    </row>
    <row r="139" spans="1:26" x14ac:dyDescent="0.2">
      <c r="A139" s="23" t="s">
        <v>103</v>
      </c>
      <c r="B139">
        <v>4</v>
      </c>
      <c r="C139" s="23" t="s">
        <v>111</v>
      </c>
      <c r="D139">
        <v>414</v>
      </c>
      <c r="E139" s="132">
        <v>0</v>
      </c>
      <c r="F139" s="132">
        <v>0</v>
      </c>
      <c r="G139" s="132">
        <v>0</v>
      </c>
      <c r="H139" s="132">
        <v>0</v>
      </c>
      <c r="I139" s="132">
        <v>0</v>
      </c>
      <c r="J139" s="132">
        <v>0</v>
      </c>
      <c r="K139" s="132">
        <v>0</v>
      </c>
      <c r="L139" s="132">
        <v>0</v>
      </c>
      <c r="M139" s="132">
        <v>0</v>
      </c>
      <c r="N139" s="132">
        <v>0</v>
      </c>
      <c r="O139" s="132">
        <v>0</v>
      </c>
      <c r="P139" s="132">
        <v>0</v>
      </c>
      <c r="Q139" s="132">
        <v>0</v>
      </c>
      <c r="R139" s="132">
        <v>0</v>
      </c>
      <c r="S139" s="132">
        <v>0</v>
      </c>
      <c r="T139" s="132">
        <v>0</v>
      </c>
      <c r="U139" s="132">
        <v>0</v>
      </c>
      <c r="V139" s="132">
        <v>0</v>
      </c>
      <c r="W139" s="132">
        <v>0</v>
      </c>
      <c r="X139" s="132">
        <v>0</v>
      </c>
      <c r="Y139" s="132">
        <v>0</v>
      </c>
      <c r="Z139" s="128">
        <f t="shared" si="5"/>
        <v>0</v>
      </c>
    </row>
    <row r="140" spans="1:26" x14ac:dyDescent="0.2">
      <c r="A140" s="23" t="s">
        <v>103</v>
      </c>
      <c r="B140">
        <v>4</v>
      </c>
      <c r="C140" s="23" t="s">
        <v>111</v>
      </c>
      <c r="D140">
        <v>415</v>
      </c>
      <c r="E140" s="132">
        <v>0</v>
      </c>
      <c r="F140" s="132">
        <v>0</v>
      </c>
      <c r="G140" s="132">
        <v>0</v>
      </c>
      <c r="H140" s="132">
        <v>0</v>
      </c>
      <c r="I140" s="132">
        <v>0</v>
      </c>
      <c r="J140" s="132">
        <v>0</v>
      </c>
      <c r="K140" s="132">
        <v>0</v>
      </c>
      <c r="L140" s="132">
        <v>0</v>
      </c>
      <c r="M140" s="132">
        <v>0</v>
      </c>
      <c r="N140" s="132">
        <v>0</v>
      </c>
      <c r="O140" s="132">
        <v>0</v>
      </c>
      <c r="P140" s="132">
        <v>0</v>
      </c>
      <c r="Q140" s="132">
        <v>0</v>
      </c>
      <c r="R140" s="132">
        <v>0</v>
      </c>
      <c r="S140" s="132">
        <v>0</v>
      </c>
      <c r="T140" s="132">
        <v>0</v>
      </c>
      <c r="U140" s="132">
        <v>0</v>
      </c>
      <c r="V140" s="132">
        <v>0</v>
      </c>
      <c r="W140" s="132">
        <v>0</v>
      </c>
      <c r="X140" s="132">
        <v>0</v>
      </c>
      <c r="Y140" s="132">
        <v>0</v>
      </c>
      <c r="Z140" s="128">
        <f t="shared" si="5"/>
        <v>0</v>
      </c>
    </row>
    <row r="141" spans="1:26" x14ac:dyDescent="0.2">
      <c r="A141" s="23" t="s">
        <v>103</v>
      </c>
      <c r="B141">
        <v>4</v>
      </c>
      <c r="C141" s="23" t="s">
        <v>111</v>
      </c>
      <c r="D141">
        <v>416</v>
      </c>
      <c r="E141" s="132">
        <v>0</v>
      </c>
      <c r="F141" s="132">
        <v>0</v>
      </c>
      <c r="G141" s="132">
        <v>0</v>
      </c>
      <c r="H141" s="132">
        <v>0</v>
      </c>
      <c r="I141" s="132">
        <v>0</v>
      </c>
      <c r="J141" s="132">
        <v>0</v>
      </c>
      <c r="K141" s="132">
        <v>0</v>
      </c>
      <c r="L141" s="132">
        <v>0</v>
      </c>
      <c r="M141" s="132">
        <v>0</v>
      </c>
      <c r="N141" s="132">
        <v>0</v>
      </c>
      <c r="O141" s="132">
        <v>0</v>
      </c>
      <c r="P141" s="132">
        <v>0</v>
      </c>
      <c r="Q141" s="132">
        <v>0</v>
      </c>
      <c r="R141" s="132">
        <v>0</v>
      </c>
      <c r="S141" s="132">
        <v>0</v>
      </c>
      <c r="T141" s="132">
        <v>0</v>
      </c>
      <c r="U141" s="132">
        <v>0</v>
      </c>
      <c r="V141" s="132">
        <v>0</v>
      </c>
      <c r="W141" s="132">
        <v>0</v>
      </c>
      <c r="X141" s="132">
        <v>0</v>
      </c>
      <c r="Y141" s="132">
        <v>0</v>
      </c>
      <c r="Z141" s="128">
        <f t="shared" si="5"/>
        <v>0</v>
      </c>
    </row>
    <row r="142" spans="1:26" x14ac:dyDescent="0.2">
      <c r="A142" s="23" t="s">
        <v>103</v>
      </c>
      <c r="B142">
        <v>4</v>
      </c>
      <c r="C142" s="23" t="s">
        <v>111</v>
      </c>
      <c r="D142">
        <v>417</v>
      </c>
      <c r="E142" s="132">
        <v>0</v>
      </c>
      <c r="F142" s="132">
        <v>0</v>
      </c>
      <c r="G142" s="132">
        <v>0</v>
      </c>
      <c r="H142" s="132">
        <v>0</v>
      </c>
      <c r="I142" s="132">
        <v>0</v>
      </c>
      <c r="J142" s="132">
        <v>0</v>
      </c>
      <c r="K142" s="132">
        <v>0</v>
      </c>
      <c r="L142" s="132">
        <v>0</v>
      </c>
      <c r="M142" s="132">
        <v>0</v>
      </c>
      <c r="N142" s="132">
        <v>0</v>
      </c>
      <c r="O142" s="132">
        <v>0</v>
      </c>
      <c r="P142" s="132">
        <v>0</v>
      </c>
      <c r="Q142" s="132">
        <v>0</v>
      </c>
      <c r="R142" s="132">
        <v>0</v>
      </c>
      <c r="S142" s="132">
        <v>0</v>
      </c>
      <c r="T142" s="132">
        <v>0</v>
      </c>
      <c r="U142" s="132">
        <v>0</v>
      </c>
      <c r="V142" s="132">
        <v>0</v>
      </c>
      <c r="W142" s="132">
        <v>0</v>
      </c>
      <c r="X142" s="132">
        <v>0</v>
      </c>
      <c r="Y142" s="132">
        <v>0</v>
      </c>
      <c r="Z142" s="128">
        <f t="shared" si="5"/>
        <v>0</v>
      </c>
    </row>
    <row r="143" spans="1:26" x14ac:dyDescent="0.2">
      <c r="A143" s="23" t="s">
        <v>103</v>
      </c>
      <c r="B143">
        <v>4</v>
      </c>
      <c r="C143" s="23" t="s">
        <v>111</v>
      </c>
      <c r="D143">
        <v>418</v>
      </c>
      <c r="E143" s="132">
        <v>0</v>
      </c>
      <c r="F143" s="132">
        <v>0</v>
      </c>
      <c r="G143" s="132">
        <v>0</v>
      </c>
      <c r="H143" s="132">
        <v>0</v>
      </c>
      <c r="I143" s="132">
        <v>0</v>
      </c>
      <c r="J143" s="132">
        <v>0</v>
      </c>
      <c r="K143" s="132">
        <v>0</v>
      </c>
      <c r="L143" s="132">
        <v>0</v>
      </c>
      <c r="M143" s="132">
        <v>0</v>
      </c>
      <c r="N143" s="132">
        <v>0</v>
      </c>
      <c r="O143" s="132">
        <v>0</v>
      </c>
      <c r="P143" s="132">
        <v>0</v>
      </c>
      <c r="Q143" s="132">
        <v>0</v>
      </c>
      <c r="R143" s="132">
        <v>0</v>
      </c>
      <c r="S143" s="132">
        <v>0</v>
      </c>
      <c r="T143" s="132">
        <v>0</v>
      </c>
      <c r="U143" s="132">
        <v>0</v>
      </c>
      <c r="V143" s="132">
        <v>0</v>
      </c>
      <c r="W143" s="132">
        <v>0</v>
      </c>
      <c r="X143" s="132">
        <v>0</v>
      </c>
      <c r="Y143" s="132">
        <v>0</v>
      </c>
      <c r="Z143" s="128">
        <f t="shared" si="5"/>
        <v>0</v>
      </c>
    </row>
    <row r="144" spans="1:26" x14ac:dyDescent="0.2">
      <c r="A144" s="23" t="s">
        <v>103</v>
      </c>
      <c r="B144">
        <v>4</v>
      </c>
      <c r="C144" s="23" t="s">
        <v>111</v>
      </c>
      <c r="D144">
        <v>419</v>
      </c>
      <c r="E144" s="132">
        <v>0</v>
      </c>
      <c r="F144" s="132">
        <v>0</v>
      </c>
      <c r="G144" s="132">
        <v>0</v>
      </c>
      <c r="H144" s="132">
        <v>0</v>
      </c>
      <c r="I144" s="132">
        <v>0</v>
      </c>
      <c r="J144" s="132">
        <v>0</v>
      </c>
      <c r="K144" s="132">
        <v>0</v>
      </c>
      <c r="L144" s="132">
        <v>0</v>
      </c>
      <c r="M144" s="132">
        <v>0</v>
      </c>
      <c r="N144" s="132">
        <v>0</v>
      </c>
      <c r="O144" s="132">
        <v>0</v>
      </c>
      <c r="P144" s="132">
        <v>0</v>
      </c>
      <c r="Q144" s="132">
        <v>0</v>
      </c>
      <c r="R144" s="132">
        <v>0</v>
      </c>
      <c r="S144" s="132">
        <v>0</v>
      </c>
      <c r="T144" s="132">
        <v>0</v>
      </c>
      <c r="U144" s="132">
        <v>0</v>
      </c>
      <c r="V144" s="132">
        <v>0</v>
      </c>
      <c r="W144" s="132">
        <v>0</v>
      </c>
      <c r="X144" s="132">
        <v>0</v>
      </c>
      <c r="Y144" s="132">
        <v>0</v>
      </c>
      <c r="Z144" s="128">
        <f t="shared" si="5"/>
        <v>0</v>
      </c>
    </row>
    <row r="145" spans="1:26" x14ac:dyDescent="0.2">
      <c r="A145" s="23" t="s">
        <v>103</v>
      </c>
      <c r="B145">
        <v>4</v>
      </c>
      <c r="C145" s="23" t="s">
        <v>111</v>
      </c>
      <c r="D145">
        <v>420</v>
      </c>
      <c r="E145" s="132">
        <v>0</v>
      </c>
      <c r="F145" s="132">
        <v>0</v>
      </c>
      <c r="G145" s="132">
        <v>0</v>
      </c>
      <c r="H145" s="132">
        <v>0</v>
      </c>
      <c r="I145" s="132">
        <v>0</v>
      </c>
      <c r="J145" s="132">
        <v>0</v>
      </c>
      <c r="K145" s="132">
        <v>0</v>
      </c>
      <c r="L145" s="132">
        <v>0</v>
      </c>
      <c r="M145" s="132">
        <v>0</v>
      </c>
      <c r="N145" s="132">
        <v>0</v>
      </c>
      <c r="O145" s="132">
        <v>0</v>
      </c>
      <c r="P145" s="132">
        <v>0</v>
      </c>
      <c r="Q145" s="132">
        <v>0</v>
      </c>
      <c r="R145" s="132">
        <v>0</v>
      </c>
      <c r="S145" s="132">
        <v>0</v>
      </c>
      <c r="T145" s="132">
        <v>0</v>
      </c>
      <c r="U145" s="132">
        <v>0</v>
      </c>
      <c r="V145" s="132">
        <v>0</v>
      </c>
      <c r="W145" s="132">
        <v>0</v>
      </c>
      <c r="X145" s="132">
        <v>0</v>
      </c>
      <c r="Y145" s="132">
        <v>0</v>
      </c>
      <c r="Z145" s="128">
        <f t="shared" si="5"/>
        <v>0</v>
      </c>
    </row>
    <row r="146" spans="1:26" x14ac:dyDescent="0.2">
      <c r="A146" s="23" t="s">
        <v>103</v>
      </c>
      <c r="B146">
        <v>4</v>
      </c>
      <c r="C146" s="23" t="s">
        <v>111</v>
      </c>
      <c r="D146">
        <v>421</v>
      </c>
      <c r="E146" s="132">
        <v>0</v>
      </c>
      <c r="F146" s="132">
        <v>0</v>
      </c>
      <c r="G146" s="132">
        <v>0</v>
      </c>
      <c r="H146" s="132">
        <v>0</v>
      </c>
      <c r="I146" s="132">
        <v>0</v>
      </c>
      <c r="J146" s="132">
        <v>0</v>
      </c>
      <c r="K146" s="132">
        <v>0</v>
      </c>
      <c r="L146" s="132">
        <v>0</v>
      </c>
      <c r="M146" s="132">
        <v>0</v>
      </c>
      <c r="N146" s="132">
        <v>0</v>
      </c>
      <c r="O146" s="132">
        <v>0</v>
      </c>
      <c r="P146" s="132">
        <v>0</v>
      </c>
      <c r="Q146" s="132">
        <v>0</v>
      </c>
      <c r="R146" s="132">
        <v>0</v>
      </c>
      <c r="S146" s="132">
        <v>0</v>
      </c>
      <c r="T146" s="132">
        <v>0</v>
      </c>
      <c r="U146" s="132">
        <v>0</v>
      </c>
      <c r="V146" s="132">
        <v>0</v>
      </c>
      <c r="W146" s="132">
        <v>0</v>
      </c>
      <c r="X146" s="132">
        <v>0</v>
      </c>
      <c r="Y146" s="132">
        <v>0</v>
      </c>
      <c r="Z146" s="128">
        <f t="shared" si="5"/>
        <v>0</v>
      </c>
    </row>
    <row r="147" spans="1:26" x14ac:dyDescent="0.2">
      <c r="A147" s="23"/>
      <c r="C147" s="23"/>
      <c r="D147" s="23"/>
      <c r="E147" s="132"/>
      <c r="F147" s="132">
        <f t="shared" ref="F147:Y147" si="6">AVERAGE(F103:F146)</f>
        <v>0</v>
      </c>
      <c r="G147" s="132">
        <f t="shared" si="6"/>
        <v>0</v>
      </c>
      <c r="H147" s="132">
        <f t="shared" si="6"/>
        <v>0</v>
      </c>
      <c r="I147" s="132">
        <f t="shared" si="6"/>
        <v>0</v>
      </c>
      <c r="J147" s="132">
        <f t="shared" si="6"/>
        <v>0</v>
      </c>
      <c r="K147" s="132">
        <f t="shared" si="6"/>
        <v>0</v>
      </c>
      <c r="L147" s="132">
        <f t="shared" si="6"/>
        <v>0</v>
      </c>
      <c r="M147" s="132">
        <f t="shared" si="6"/>
        <v>0</v>
      </c>
      <c r="N147" s="132">
        <f t="shared" si="6"/>
        <v>0</v>
      </c>
      <c r="O147" s="132">
        <f t="shared" si="6"/>
        <v>0</v>
      </c>
      <c r="P147" s="132">
        <f t="shared" si="6"/>
        <v>0</v>
      </c>
      <c r="Q147" s="132">
        <f t="shared" si="6"/>
        <v>0</v>
      </c>
      <c r="R147" s="132">
        <f t="shared" si="6"/>
        <v>0</v>
      </c>
      <c r="S147" s="132">
        <f t="shared" si="6"/>
        <v>0</v>
      </c>
      <c r="T147" s="132">
        <f t="shared" si="6"/>
        <v>0</v>
      </c>
      <c r="U147" s="132">
        <f t="shared" si="6"/>
        <v>0</v>
      </c>
      <c r="V147" s="132">
        <f t="shared" si="6"/>
        <v>0</v>
      </c>
      <c r="W147" s="132">
        <f t="shared" si="6"/>
        <v>0</v>
      </c>
      <c r="X147" s="132">
        <f t="shared" si="6"/>
        <v>0</v>
      </c>
      <c r="Y147" s="132">
        <f t="shared" si="6"/>
        <v>0</v>
      </c>
      <c r="Z147" s="128">
        <f t="shared" si="5"/>
        <v>0</v>
      </c>
    </row>
    <row r="148" spans="1:26" x14ac:dyDescent="0.2">
      <c r="A148" s="23" t="s">
        <v>103</v>
      </c>
      <c r="B148">
        <v>5</v>
      </c>
      <c r="C148" s="23" t="s">
        <v>112</v>
      </c>
      <c r="D148">
        <v>501</v>
      </c>
      <c r="E148" s="132">
        <v>0</v>
      </c>
      <c r="F148" s="132">
        <v>0</v>
      </c>
      <c r="G148" s="132">
        <v>0</v>
      </c>
      <c r="H148" s="132">
        <v>0</v>
      </c>
      <c r="I148" s="132">
        <v>0</v>
      </c>
      <c r="J148" s="132">
        <v>0</v>
      </c>
      <c r="K148" s="132">
        <v>0</v>
      </c>
      <c r="L148" s="132">
        <v>0</v>
      </c>
      <c r="M148" s="132">
        <v>0</v>
      </c>
      <c r="N148" s="132">
        <v>0</v>
      </c>
      <c r="O148" s="132">
        <v>0</v>
      </c>
      <c r="P148" s="132">
        <v>0</v>
      </c>
      <c r="Q148" s="132">
        <v>0</v>
      </c>
      <c r="R148" s="132">
        <v>0</v>
      </c>
      <c r="S148" s="132">
        <v>0</v>
      </c>
      <c r="T148" s="132">
        <v>0</v>
      </c>
      <c r="U148" s="132">
        <v>0</v>
      </c>
      <c r="V148" s="132">
        <v>0</v>
      </c>
      <c r="W148" s="132">
        <v>0</v>
      </c>
      <c r="X148" s="132">
        <v>0</v>
      </c>
      <c r="Y148" s="132">
        <v>0</v>
      </c>
      <c r="Z148" s="128">
        <f t="shared" si="5"/>
        <v>0</v>
      </c>
    </row>
    <row r="149" spans="1:26" x14ac:dyDescent="0.2">
      <c r="A149" s="23" t="s">
        <v>103</v>
      </c>
      <c r="B149">
        <v>5</v>
      </c>
      <c r="C149" s="23" t="s">
        <v>112</v>
      </c>
      <c r="D149">
        <v>502</v>
      </c>
      <c r="E149" s="132">
        <v>0</v>
      </c>
      <c r="F149" s="132">
        <v>0</v>
      </c>
      <c r="G149" s="132">
        <v>0</v>
      </c>
      <c r="H149" s="132">
        <v>0</v>
      </c>
      <c r="I149" s="132">
        <v>0</v>
      </c>
      <c r="J149" s="132">
        <v>0</v>
      </c>
      <c r="K149" s="132">
        <v>0</v>
      </c>
      <c r="L149" s="132">
        <v>0</v>
      </c>
      <c r="M149" s="132">
        <v>0</v>
      </c>
      <c r="N149" s="132">
        <v>0</v>
      </c>
      <c r="O149" s="132">
        <v>0</v>
      </c>
      <c r="P149" s="132">
        <v>0</v>
      </c>
      <c r="Q149" s="132">
        <v>0</v>
      </c>
      <c r="R149" s="132">
        <v>0</v>
      </c>
      <c r="S149" s="132">
        <v>0</v>
      </c>
      <c r="T149" s="132">
        <v>0</v>
      </c>
      <c r="U149" s="132">
        <v>0</v>
      </c>
      <c r="V149" s="132">
        <v>0</v>
      </c>
      <c r="W149" s="132">
        <v>0</v>
      </c>
      <c r="X149" s="132">
        <v>0</v>
      </c>
      <c r="Y149" s="132">
        <v>0</v>
      </c>
      <c r="Z149" s="128">
        <f t="shared" si="5"/>
        <v>0</v>
      </c>
    </row>
    <row r="150" spans="1:26" x14ac:dyDescent="0.2">
      <c r="A150" s="23" t="s">
        <v>103</v>
      </c>
      <c r="B150">
        <v>5</v>
      </c>
      <c r="C150" s="23" t="s">
        <v>112</v>
      </c>
      <c r="D150">
        <v>503</v>
      </c>
      <c r="E150" s="132">
        <v>0</v>
      </c>
      <c r="F150" s="132">
        <v>0</v>
      </c>
      <c r="G150" s="132">
        <v>0</v>
      </c>
      <c r="H150" s="132">
        <v>0</v>
      </c>
      <c r="I150" s="132">
        <v>0</v>
      </c>
      <c r="J150" s="132">
        <v>0</v>
      </c>
      <c r="K150" s="132">
        <v>0</v>
      </c>
      <c r="L150" s="132">
        <v>0</v>
      </c>
      <c r="M150" s="132">
        <v>0</v>
      </c>
      <c r="N150" s="132">
        <v>0</v>
      </c>
      <c r="O150" s="132">
        <v>0</v>
      </c>
      <c r="P150" s="132">
        <v>0</v>
      </c>
      <c r="Q150" s="132">
        <v>0</v>
      </c>
      <c r="R150" s="132">
        <v>0</v>
      </c>
      <c r="S150" s="132">
        <v>0</v>
      </c>
      <c r="T150" s="132">
        <v>0</v>
      </c>
      <c r="U150" s="132">
        <v>0</v>
      </c>
      <c r="V150" s="132">
        <v>0</v>
      </c>
      <c r="W150" s="132">
        <v>0</v>
      </c>
      <c r="X150" s="132">
        <v>0</v>
      </c>
      <c r="Y150" s="132">
        <v>0</v>
      </c>
      <c r="Z150" s="128">
        <f t="shared" si="5"/>
        <v>0</v>
      </c>
    </row>
    <row r="151" spans="1:26" x14ac:dyDescent="0.2">
      <c r="A151" s="23" t="s">
        <v>103</v>
      </c>
      <c r="B151">
        <v>5</v>
      </c>
      <c r="C151" s="23" t="s">
        <v>112</v>
      </c>
      <c r="D151">
        <v>504</v>
      </c>
      <c r="E151" s="132">
        <v>0</v>
      </c>
      <c r="F151" s="132">
        <v>0</v>
      </c>
      <c r="G151" s="132">
        <v>0</v>
      </c>
      <c r="H151" s="132">
        <v>0</v>
      </c>
      <c r="I151" s="132">
        <v>0</v>
      </c>
      <c r="J151" s="132">
        <v>0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32">
        <v>0</v>
      </c>
      <c r="R151" s="132">
        <v>0</v>
      </c>
      <c r="S151" s="132">
        <v>0</v>
      </c>
      <c r="T151" s="132">
        <v>0</v>
      </c>
      <c r="U151" s="132">
        <v>0</v>
      </c>
      <c r="V151" s="132">
        <v>0</v>
      </c>
      <c r="W151" s="132">
        <v>0</v>
      </c>
      <c r="X151" s="132">
        <v>0</v>
      </c>
      <c r="Y151" s="132">
        <v>0</v>
      </c>
      <c r="Z151" s="128">
        <f t="shared" si="5"/>
        <v>0</v>
      </c>
    </row>
    <row r="152" spans="1:26" x14ac:dyDescent="0.2">
      <c r="A152" s="23" t="s">
        <v>103</v>
      </c>
      <c r="B152">
        <v>5</v>
      </c>
      <c r="C152" s="23" t="s">
        <v>112</v>
      </c>
      <c r="D152">
        <v>505</v>
      </c>
      <c r="E152" s="132">
        <v>0</v>
      </c>
      <c r="F152" s="132">
        <v>0</v>
      </c>
      <c r="G152" s="132">
        <v>0</v>
      </c>
      <c r="H152" s="132">
        <v>0</v>
      </c>
      <c r="I152" s="132">
        <v>0</v>
      </c>
      <c r="J152" s="132">
        <v>0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32">
        <v>0</v>
      </c>
      <c r="R152" s="132">
        <v>0</v>
      </c>
      <c r="S152" s="132">
        <v>0</v>
      </c>
      <c r="T152" s="132">
        <v>0</v>
      </c>
      <c r="U152" s="132">
        <v>0</v>
      </c>
      <c r="V152" s="132">
        <v>0</v>
      </c>
      <c r="W152" s="132">
        <v>0</v>
      </c>
      <c r="X152" s="132">
        <v>0</v>
      </c>
      <c r="Y152" s="132">
        <v>0</v>
      </c>
      <c r="Z152" s="128">
        <f t="shared" si="5"/>
        <v>0</v>
      </c>
    </row>
    <row r="153" spans="1:26" x14ac:dyDescent="0.2">
      <c r="A153" s="23" t="s">
        <v>103</v>
      </c>
      <c r="B153">
        <v>5</v>
      </c>
      <c r="C153" s="23" t="s">
        <v>112</v>
      </c>
      <c r="D153">
        <v>506</v>
      </c>
      <c r="E153" s="132">
        <v>0</v>
      </c>
      <c r="F153" s="132">
        <v>0</v>
      </c>
      <c r="G153" s="132">
        <v>0</v>
      </c>
      <c r="H153" s="132">
        <v>0</v>
      </c>
      <c r="I153" s="132">
        <v>0</v>
      </c>
      <c r="J153" s="132">
        <v>0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32">
        <v>0</v>
      </c>
      <c r="R153" s="132">
        <v>0</v>
      </c>
      <c r="S153" s="132">
        <v>0</v>
      </c>
      <c r="T153" s="132">
        <v>0</v>
      </c>
      <c r="U153" s="132">
        <v>0</v>
      </c>
      <c r="V153" s="132">
        <v>0</v>
      </c>
      <c r="W153" s="132">
        <v>0</v>
      </c>
      <c r="X153" s="132">
        <v>0</v>
      </c>
      <c r="Y153" s="132">
        <v>0</v>
      </c>
      <c r="Z153" s="128">
        <f t="shared" si="5"/>
        <v>0</v>
      </c>
    </row>
    <row r="154" spans="1:26" x14ac:dyDescent="0.2">
      <c r="A154" s="23" t="s">
        <v>103</v>
      </c>
      <c r="B154">
        <v>5</v>
      </c>
      <c r="C154" s="23" t="s">
        <v>112</v>
      </c>
      <c r="D154">
        <v>507</v>
      </c>
      <c r="E154" s="132">
        <v>0</v>
      </c>
      <c r="F154" s="132">
        <v>0</v>
      </c>
      <c r="G154" s="132">
        <v>0</v>
      </c>
      <c r="H154" s="132">
        <v>0</v>
      </c>
      <c r="I154" s="132">
        <v>0</v>
      </c>
      <c r="J154" s="132">
        <v>0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32">
        <v>0</v>
      </c>
      <c r="R154" s="132">
        <v>0</v>
      </c>
      <c r="S154" s="132">
        <v>0</v>
      </c>
      <c r="T154" s="132">
        <v>0</v>
      </c>
      <c r="U154" s="132">
        <v>0</v>
      </c>
      <c r="V154" s="132">
        <v>0</v>
      </c>
      <c r="W154" s="132">
        <v>0</v>
      </c>
      <c r="X154" s="132">
        <v>0</v>
      </c>
      <c r="Y154" s="132">
        <v>0</v>
      </c>
      <c r="Z154" s="128">
        <f t="shared" si="5"/>
        <v>0</v>
      </c>
    </row>
    <row r="155" spans="1:26" x14ac:dyDescent="0.2">
      <c r="A155" s="23" t="s">
        <v>103</v>
      </c>
      <c r="B155">
        <v>5</v>
      </c>
      <c r="C155" s="23" t="s">
        <v>112</v>
      </c>
      <c r="D155">
        <v>508</v>
      </c>
      <c r="E155" s="132">
        <v>0</v>
      </c>
      <c r="F155" s="132">
        <v>0</v>
      </c>
      <c r="G155" s="132">
        <v>0</v>
      </c>
      <c r="H155" s="132">
        <v>0</v>
      </c>
      <c r="I155" s="132">
        <v>0</v>
      </c>
      <c r="J155" s="132">
        <v>0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32">
        <v>0</v>
      </c>
      <c r="R155" s="132">
        <v>0</v>
      </c>
      <c r="S155" s="132">
        <v>0</v>
      </c>
      <c r="T155" s="132">
        <v>0</v>
      </c>
      <c r="U155" s="132">
        <v>0</v>
      </c>
      <c r="V155" s="132">
        <v>0</v>
      </c>
      <c r="W155" s="132">
        <v>0</v>
      </c>
      <c r="X155" s="132">
        <v>0</v>
      </c>
      <c r="Y155" s="132">
        <v>0</v>
      </c>
      <c r="Z155" s="128">
        <f t="shared" si="5"/>
        <v>0</v>
      </c>
    </row>
    <row r="156" spans="1:26" x14ac:dyDescent="0.2">
      <c r="A156" s="23" t="s">
        <v>103</v>
      </c>
      <c r="B156">
        <v>5</v>
      </c>
      <c r="C156" s="23" t="s">
        <v>112</v>
      </c>
      <c r="D156">
        <v>509</v>
      </c>
      <c r="E156" s="132">
        <v>0</v>
      </c>
      <c r="F156" s="132">
        <v>0</v>
      </c>
      <c r="G156" s="132">
        <v>0</v>
      </c>
      <c r="H156" s="132">
        <v>0</v>
      </c>
      <c r="I156" s="132">
        <v>0</v>
      </c>
      <c r="J156" s="132">
        <v>0</v>
      </c>
      <c r="K156" s="132">
        <v>0</v>
      </c>
      <c r="L156" s="132">
        <v>0</v>
      </c>
      <c r="M156" s="132">
        <v>0</v>
      </c>
      <c r="N156" s="132">
        <v>0</v>
      </c>
      <c r="O156" s="132">
        <v>0</v>
      </c>
      <c r="P156" s="132">
        <v>0</v>
      </c>
      <c r="Q156" s="132">
        <v>0</v>
      </c>
      <c r="R156" s="132">
        <v>0</v>
      </c>
      <c r="S156" s="132">
        <v>0</v>
      </c>
      <c r="T156" s="132">
        <v>0</v>
      </c>
      <c r="U156" s="132">
        <v>0</v>
      </c>
      <c r="V156" s="132">
        <v>0</v>
      </c>
      <c r="W156" s="132">
        <v>0</v>
      </c>
      <c r="X156" s="132">
        <v>0</v>
      </c>
      <c r="Y156" s="132">
        <v>0</v>
      </c>
      <c r="Z156" s="128">
        <f t="shared" si="5"/>
        <v>0</v>
      </c>
    </row>
    <row r="157" spans="1:26" x14ac:dyDescent="0.2">
      <c r="A157" s="23" t="s">
        <v>103</v>
      </c>
      <c r="B157">
        <v>5</v>
      </c>
      <c r="C157" s="23" t="s">
        <v>112</v>
      </c>
      <c r="D157">
        <v>510</v>
      </c>
      <c r="E157" s="132">
        <v>0</v>
      </c>
      <c r="F157" s="132">
        <v>0</v>
      </c>
      <c r="G157" s="132">
        <v>0</v>
      </c>
      <c r="H157" s="132">
        <v>0</v>
      </c>
      <c r="I157" s="132">
        <v>0</v>
      </c>
      <c r="J157" s="132">
        <v>0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32">
        <v>0</v>
      </c>
      <c r="R157" s="132">
        <v>0</v>
      </c>
      <c r="S157" s="132">
        <v>0</v>
      </c>
      <c r="T157" s="132">
        <v>0</v>
      </c>
      <c r="U157" s="132">
        <v>0</v>
      </c>
      <c r="V157" s="132">
        <v>0</v>
      </c>
      <c r="W157" s="132">
        <v>0</v>
      </c>
      <c r="X157" s="132">
        <v>0</v>
      </c>
      <c r="Y157" s="132">
        <v>0</v>
      </c>
      <c r="Z157" s="128">
        <f t="shared" si="5"/>
        <v>0</v>
      </c>
    </row>
    <row r="158" spans="1:26" x14ac:dyDescent="0.2">
      <c r="A158" s="23" t="s">
        <v>103</v>
      </c>
      <c r="B158">
        <v>5</v>
      </c>
      <c r="C158" s="23" t="s">
        <v>112</v>
      </c>
      <c r="D158">
        <v>511</v>
      </c>
      <c r="E158" s="132">
        <v>0</v>
      </c>
      <c r="F158" s="132">
        <v>0</v>
      </c>
      <c r="G158" s="132">
        <v>0</v>
      </c>
      <c r="H158" s="132">
        <v>0</v>
      </c>
      <c r="I158" s="132">
        <v>0</v>
      </c>
      <c r="J158" s="132">
        <v>0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32">
        <v>0</v>
      </c>
      <c r="R158" s="132">
        <v>0</v>
      </c>
      <c r="S158" s="132">
        <v>0</v>
      </c>
      <c r="T158" s="132">
        <v>0</v>
      </c>
      <c r="U158" s="132">
        <v>0</v>
      </c>
      <c r="V158" s="132">
        <v>0</v>
      </c>
      <c r="W158" s="132">
        <v>0</v>
      </c>
      <c r="X158" s="132">
        <v>0</v>
      </c>
      <c r="Y158" s="132">
        <v>0</v>
      </c>
      <c r="Z158" s="128">
        <f t="shared" si="5"/>
        <v>0</v>
      </c>
    </row>
    <row r="159" spans="1:26" x14ac:dyDescent="0.2">
      <c r="A159" s="23" t="s">
        <v>103</v>
      </c>
      <c r="B159">
        <v>5</v>
      </c>
      <c r="C159" s="23" t="s">
        <v>112</v>
      </c>
      <c r="D159">
        <v>512</v>
      </c>
      <c r="E159" s="132">
        <v>0</v>
      </c>
      <c r="F159" s="132">
        <v>0</v>
      </c>
      <c r="G159" s="132">
        <v>0</v>
      </c>
      <c r="H159" s="132">
        <v>0</v>
      </c>
      <c r="I159" s="132">
        <v>0</v>
      </c>
      <c r="J159" s="132">
        <v>0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32">
        <v>0</v>
      </c>
      <c r="R159" s="132">
        <v>0</v>
      </c>
      <c r="S159" s="132">
        <v>0</v>
      </c>
      <c r="T159" s="132">
        <v>0</v>
      </c>
      <c r="U159" s="132">
        <v>0</v>
      </c>
      <c r="V159" s="132">
        <v>0</v>
      </c>
      <c r="W159" s="132">
        <v>0</v>
      </c>
      <c r="X159" s="132">
        <v>0</v>
      </c>
      <c r="Y159" s="132">
        <v>0</v>
      </c>
      <c r="Z159" s="128">
        <f t="shared" si="5"/>
        <v>0</v>
      </c>
    </row>
    <row r="160" spans="1:26" x14ac:dyDescent="0.2">
      <c r="A160" s="23" t="s">
        <v>103</v>
      </c>
      <c r="B160">
        <v>5</v>
      </c>
      <c r="C160" s="23" t="s">
        <v>112</v>
      </c>
      <c r="D160">
        <v>513</v>
      </c>
      <c r="E160" s="132">
        <v>0</v>
      </c>
      <c r="F160" s="132">
        <v>0</v>
      </c>
      <c r="G160" s="132">
        <v>0</v>
      </c>
      <c r="H160" s="132">
        <v>0</v>
      </c>
      <c r="I160" s="132">
        <v>0</v>
      </c>
      <c r="J160" s="132">
        <v>0</v>
      </c>
      <c r="K160" s="132">
        <v>0</v>
      </c>
      <c r="L160" s="132">
        <v>0</v>
      </c>
      <c r="M160" s="132">
        <v>0</v>
      </c>
      <c r="N160" s="132">
        <v>0</v>
      </c>
      <c r="O160" s="132">
        <v>0</v>
      </c>
      <c r="P160" s="132">
        <v>0</v>
      </c>
      <c r="Q160" s="132">
        <v>0</v>
      </c>
      <c r="R160" s="132">
        <v>0</v>
      </c>
      <c r="S160" s="132">
        <v>0</v>
      </c>
      <c r="T160" s="132">
        <v>0</v>
      </c>
      <c r="U160" s="132">
        <v>0</v>
      </c>
      <c r="V160" s="132">
        <v>0</v>
      </c>
      <c r="W160" s="132">
        <v>0</v>
      </c>
      <c r="X160" s="132">
        <v>0</v>
      </c>
      <c r="Y160" s="132">
        <v>0</v>
      </c>
      <c r="Z160" s="128">
        <f t="shared" si="5"/>
        <v>0</v>
      </c>
    </row>
    <row r="161" spans="1:26" x14ac:dyDescent="0.2">
      <c r="A161" s="23" t="s">
        <v>103</v>
      </c>
      <c r="B161">
        <v>5</v>
      </c>
      <c r="C161" s="23" t="s">
        <v>112</v>
      </c>
      <c r="D161">
        <v>514</v>
      </c>
      <c r="E161" s="132">
        <v>0</v>
      </c>
      <c r="F161" s="132">
        <v>0</v>
      </c>
      <c r="G161" s="132">
        <v>0</v>
      </c>
      <c r="H161" s="132">
        <v>0</v>
      </c>
      <c r="I161" s="132">
        <v>0</v>
      </c>
      <c r="J161" s="132">
        <v>0</v>
      </c>
      <c r="K161" s="132">
        <v>0</v>
      </c>
      <c r="L161" s="132">
        <v>0</v>
      </c>
      <c r="M161" s="132">
        <v>0</v>
      </c>
      <c r="N161" s="132">
        <v>0</v>
      </c>
      <c r="O161" s="132">
        <v>0</v>
      </c>
      <c r="P161" s="132">
        <v>0</v>
      </c>
      <c r="Q161" s="132">
        <v>0</v>
      </c>
      <c r="R161" s="132">
        <v>0</v>
      </c>
      <c r="S161" s="132">
        <v>0</v>
      </c>
      <c r="T161" s="132">
        <v>0</v>
      </c>
      <c r="U161" s="132">
        <v>0</v>
      </c>
      <c r="V161" s="132">
        <v>0</v>
      </c>
      <c r="W161" s="132">
        <v>0</v>
      </c>
      <c r="X161" s="132">
        <v>0</v>
      </c>
      <c r="Y161" s="132">
        <v>0</v>
      </c>
      <c r="Z161" s="128">
        <f t="shared" si="5"/>
        <v>0</v>
      </c>
    </row>
    <row r="162" spans="1:26" x14ac:dyDescent="0.2">
      <c r="A162" s="23" t="s">
        <v>103</v>
      </c>
      <c r="B162">
        <v>5</v>
      </c>
      <c r="C162" s="23" t="s">
        <v>112</v>
      </c>
      <c r="D162">
        <v>515</v>
      </c>
      <c r="E162" s="132">
        <v>0</v>
      </c>
      <c r="F162" s="132">
        <v>0</v>
      </c>
      <c r="G162" s="132">
        <v>0</v>
      </c>
      <c r="H162" s="132">
        <v>0</v>
      </c>
      <c r="I162" s="132">
        <v>0</v>
      </c>
      <c r="J162" s="132">
        <v>0</v>
      </c>
      <c r="K162" s="132">
        <v>0</v>
      </c>
      <c r="L162" s="132">
        <v>0</v>
      </c>
      <c r="M162" s="132">
        <v>0</v>
      </c>
      <c r="N162" s="132">
        <v>0</v>
      </c>
      <c r="O162" s="132">
        <v>0</v>
      </c>
      <c r="P162" s="132">
        <v>0</v>
      </c>
      <c r="Q162" s="132">
        <v>0</v>
      </c>
      <c r="R162" s="132">
        <v>0</v>
      </c>
      <c r="S162" s="132">
        <v>0</v>
      </c>
      <c r="T162" s="132">
        <v>0</v>
      </c>
      <c r="U162" s="132">
        <v>0</v>
      </c>
      <c r="V162" s="132">
        <v>0</v>
      </c>
      <c r="W162" s="132">
        <v>0</v>
      </c>
      <c r="X162" s="132">
        <v>0</v>
      </c>
      <c r="Y162" s="132">
        <v>0</v>
      </c>
      <c r="Z162" s="128">
        <f t="shared" si="5"/>
        <v>0</v>
      </c>
    </row>
    <row r="163" spans="1:26" x14ac:dyDescent="0.2">
      <c r="A163" s="23" t="s">
        <v>103</v>
      </c>
      <c r="B163">
        <v>5</v>
      </c>
      <c r="C163" s="23" t="s">
        <v>112</v>
      </c>
      <c r="D163">
        <v>516</v>
      </c>
      <c r="E163" s="132">
        <v>0</v>
      </c>
      <c r="F163" s="132">
        <v>0</v>
      </c>
      <c r="G163" s="132">
        <v>0</v>
      </c>
      <c r="H163" s="132">
        <v>0</v>
      </c>
      <c r="I163" s="132">
        <v>0</v>
      </c>
      <c r="J163" s="132">
        <v>0</v>
      </c>
      <c r="K163" s="132">
        <v>0</v>
      </c>
      <c r="L163" s="132">
        <v>0</v>
      </c>
      <c r="M163" s="132">
        <v>0</v>
      </c>
      <c r="N163" s="132">
        <v>0</v>
      </c>
      <c r="O163" s="132">
        <v>0</v>
      </c>
      <c r="P163" s="132">
        <v>0</v>
      </c>
      <c r="Q163" s="132">
        <v>0</v>
      </c>
      <c r="R163" s="132">
        <v>0</v>
      </c>
      <c r="S163" s="132">
        <v>0</v>
      </c>
      <c r="T163" s="132">
        <v>0</v>
      </c>
      <c r="U163" s="132">
        <v>0</v>
      </c>
      <c r="V163" s="132">
        <v>0</v>
      </c>
      <c r="W163" s="132">
        <v>0</v>
      </c>
      <c r="X163" s="132">
        <v>0</v>
      </c>
      <c r="Y163" s="132">
        <v>0</v>
      </c>
      <c r="Z163" s="128">
        <f t="shared" si="5"/>
        <v>0</v>
      </c>
    </row>
    <row r="164" spans="1:26" x14ac:dyDescent="0.2">
      <c r="A164" s="23" t="s">
        <v>103</v>
      </c>
      <c r="B164">
        <v>5</v>
      </c>
      <c r="C164" s="23" t="s">
        <v>112</v>
      </c>
      <c r="D164">
        <v>517</v>
      </c>
      <c r="E164" s="132">
        <v>0</v>
      </c>
      <c r="F164" s="132">
        <v>0</v>
      </c>
      <c r="G164" s="132">
        <v>0</v>
      </c>
      <c r="H164" s="132">
        <v>0</v>
      </c>
      <c r="I164" s="132">
        <v>0</v>
      </c>
      <c r="J164" s="132">
        <v>0</v>
      </c>
      <c r="K164" s="132">
        <v>0</v>
      </c>
      <c r="L164" s="132">
        <v>0</v>
      </c>
      <c r="M164" s="132">
        <v>0</v>
      </c>
      <c r="N164" s="132">
        <v>0</v>
      </c>
      <c r="O164" s="132">
        <v>0</v>
      </c>
      <c r="P164" s="132">
        <v>0</v>
      </c>
      <c r="Q164" s="132">
        <v>0</v>
      </c>
      <c r="R164" s="132">
        <v>0</v>
      </c>
      <c r="S164" s="132">
        <v>0</v>
      </c>
      <c r="T164" s="132">
        <v>0</v>
      </c>
      <c r="U164" s="132">
        <v>0</v>
      </c>
      <c r="V164" s="132">
        <v>0</v>
      </c>
      <c r="W164" s="132">
        <v>0</v>
      </c>
      <c r="X164" s="132">
        <v>0</v>
      </c>
      <c r="Y164" s="132">
        <v>0</v>
      </c>
      <c r="Z164" s="128">
        <f t="shared" si="5"/>
        <v>0</v>
      </c>
    </row>
    <row r="165" spans="1:26" x14ac:dyDescent="0.2">
      <c r="A165" s="23" t="s">
        <v>103</v>
      </c>
      <c r="B165">
        <v>5</v>
      </c>
      <c r="C165" s="23" t="s">
        <v>112</v>
      </c>
      <c r="D165">
        <v>518</v>
      </c>
      <c r="E165" s="132">
        <v>0</v>
      </c>
      <c r="F165" s="132">
        <v>0</v>
      </c>
      <c r="G165" s="132">
        <v>0</v>
      </c>
      <c r="H165" s="132">
        <v>0</v>
      </c>
      <c r="I165" s="132">
        <v>0</v>
      </c>
      <c r="J165" s="132">
        <v>0</v>
      </c>
      <c r="K165" s="132">
        <v>0</v>
      </c>
      <c r="L165" s="132">
        <v>0</v>
      </c>
      <c r="M165" s="132">
        <v>0</v>
      </c>
      <c r="N165" s="132">
        <v>0</v>
      </c>
      <c r="O165" s="132">
        <v>0</v>
      </c>
      <c r="P165" s="132">
        <v>0</v>
      </c>
      <c r="Q165" s="132">
        <v>0</v>
      </c>
      <c r="R165" s="132">
        <v>0</v>
      </c>
      <c r="S165" s="132">
        <v>0</v>
      </c>
      <c r="T165" s="132">
        <v>0</v>
      </c>
      <c r="U165" s="132">
        <v>0</v>
      </c>
      <c r="V165" s="132">
        <v>0</v>
      </c>
      <c r="W165" s="132">
        <v>0</v>
      </c>
      <c r="X165" s="132">
        <v>0</v>
      </c>
      <c r="Y165" s="132">
        <v>0</v>
      </c>
      <c r="Z165" s="128">
        <f t="shared" si="5"/>
        <v>0</v>
      </c>
    </row>
    <row r="166" spans="1:26" x14ac:dyDescent="0.2">
      <c r="A166" s="23" t="s">
        <v>103</v>
      </c>
      <c r="B166">
        <v>5</v>
      </c>
      <c r="C166" s="23" t="s">
        <v>112</v>
      </c>
      <c r="D166">
        <v>519</v>
      </c>
      <c r="E166" s="132">
        <v>0</v>
      </c>
      <c r="F166" s="132">
        <v>0</v>
      </c>
      <c r="G166" s="132">
        <v>0</v>
      </c>
      <c r="H166" s="132">
        <v>0</v>
      </c>
      <c r="I166" s="132">
        <v>0</v>
      </c>
      <c r="J166" s="132">
        <v>0</v>
      </c>
      <c r="K166" s="132">
        <v>0</v>
      </c>
      <c r="L166" s="132">
        <v>0</v>
      </c>
      <c r="M166" s="132">
        <v>0</v>
      </c>
      <c r="N166" s="132">
        <v>0</v>
      </c>
      <c r="O166" s="132">
        <v>0</v>
      </c>
      <c r="P166" s="132">
        <v>0</v>
      </c>
      <c r="Q166" s="132">
        <v>0</v>
      </c>
      <c r="R166" s="132">
        <v>0</v>
      </c>
      <c r="S166" s="132">
        <v>0</v>
      </c>
      <c r="T166" s="132">
        <v>0</v>
      </c>
      <c r="U166" s="132">
        <v>0</v>
      </c>
      <c r="V166" s="132">
        <v>0</v>
      </c>
      <c r="W166" s="132">
        <v>0</v>
      </c>
      <c r="X166" s="132">
        <v>0</v>
      </c>
      <c r="Y166" s="132">
        <v>0</v>
      </c>
      <c r="Z166" s="128">
        <f t="shared" si="5"/>
        <v>0</v>
      </c>
    </row>
    <row r="167" spans="1:26" x14ac:dyDescent="0.2">
      <c r="A167" s="23" t="s">
        <v>103</v>
      </c>
      <c r="B167">
        <v>5</v>
      </c>
      <c r="C167" s="23" t="s">
        <v>112</v>
      </c>
      <c r="D167">
        <v>520</v>
      </c>
      <c r="E167" s="132">
        <v>0</v>
      </c>
      <c r="F167" s="132">
        <v>0</v>
      </c>
      <c r="G167" s="132">
        <v>0</v>
      </c>
      <c r="H167" s="132">
        <v>0</v>
      </c>
      <c r="I167" s="132">
        <v>0</v>
      </c>
      <c r="J167" s="132">
        <v>0</v>
      </c>
      <c r="K167" s="132">
        <v>0</v>
      </c>
      <c r="L167" s="132">
        <v>0</v>
      </c>
      <c r="M167" s="132">
        <v>0</v>
      </c>
      <c r="N167" s="132">
        <v>0</v>
      </c>
      <c r="O167" s="132">
        <v>0</v>
      </c>
      <c r="P167" s="132">
        <v>0</v>
      </c>
      <c r="Q167" s="132">
        <v>0</v>
      </c>
      <c r="R167" s="132">
        <v>0</v>
      </c>
      <c r="S167" s="132">
        <v>0</v>
      </c>
      <c r="T167" s="132">
        <v>0</v>
      </c>
      <c r="U167" s="132">
        <v>0</v>
      </c>
      <c r="V167" s="132">
        <v>0</v>
      </c>
      <c r="W167" s="132">
        <v>0</v>
      </c>
      <c r="X167" s="132">
        <v>0</v>
      </c>
      <c r="Y167" s="132">
        <v>0</v>
      </c>
      <c r="Z167" s="128">
        <f t="shared" si="5"/>
        <v>0</v>
      </c>
    </row>
    <row r="168" spans="1:26" x14ac:dyDescent="0.2">
      <c r="A168" s="23" t="s">
        <v>103</v>
      </c>
      <c r="B168">
        <v>5</v>
      </c>
      <c r="C168" s="23" t="s">
        <v>112</v>
      </c>
      <c r="D168">
        <v>521</v>
      </c>
      <c r="E168" s="132">
        <v>0</v>
      </c>
      <c r="F168" s="132">
        <v>0</v>
      </c>
      <c r="G168" s="132">
        <v>0</v>
      </c>
      <c r="H168" s="132">
        <v>0</v>
      </c>
      <c r="I168" s="132">
        <v>0</v>
      </c>
      <c r="J168" s="132">
        <v>0</v>
      </c>
      <c r="K168" s="132">
        <v>0</v>
      </c>
      <c r="L168" s="132">
        <v>0</v>
      </c>
      <c r="M168" s="132">
        <v>0</v>
      </c>
      <c r="N168" s="132">
        <v>0</v>
      </c>
      <c r="O168" s="132">
        <v>0</v>
      </c>
      <c r="P168" s="132">
        <v>0</v>
      </c>
      <c r="Q168" s="132">
        <v>0</v>
      </c>
      <c r="R168" s="132">
        <v>0</v>
      </c>
      <c r="S168" s="132">
        <v>0</v>
      </c>
      <c r="T168" s="132">
        <v>0</v>
      </c>
      <c r="U168" s="132">
        <v>0</v>
      </c>
      <c r="V168" s="132">
        <v>0</v>
      </c>
      <c r="W168" s="132">
        <v>0</v>
      </c>
      <c r="X168" s="132">
        <v>0</v>
      </c>
      <c r="Y168" s="132">
        <v>0</v>
      </c>
      <c r="Z168" s="128">
        <f t="shared" si="5"/>
        <v>0</v>
      </c>
    </row>
    <row r="169" spans="1:26" x14ac:dyDescent="0.2">
      <c r="A169" s="23" t="s">
        <v>103</v>
      </c>
      <c r="B169">
        <v>5</v>
      </c>
      <c r="C169" s="23" t="s">
        <v>112</v>
      </c>
      <c r="D169">
        <v>522</v>
      </c>
      <c r="E169" s="132">
        <v>0</v>
      </c>
      <c r="F169" s="132">
        <v>0</v>
      </c>
      <c r="G169" s="132">
        <v>0</v>
      </c>
      <c r="H169" s="132">
        <v>0</v>
      </c>
      <c r="I169" s="132">
        <v>0</v>
      </c>
      <c r="J169" s="132">
        <v>0</v>
      </c>
      <c r="K169" s="132">
        <v>0</v>
      </c>
      <c r="L169" s="132">
        <v>0</v>
      </c>
      <c r="M169" s="132">
        <v>0</v>
      </c>
      <c r="N169" s="132">
        <v>0</v>
      </c>
      <c r="O169" s="132">
        <v>0</v>
      </c>
      <c r="P169" s="132">
        <v>0</v>
      </c>
      <c r="Q169" s="132">
        <v>0</v>
      </c>
      <c r="R169" s="132">
        <v>0</v>
      </c>
      <c r="S169" s="132">
        <v>0</v>
      </c>
      <c r="T169" s="132">
        <v>0</v>
      </c>
      <c r="U169" s="132">
        <v>0</v>
      </c>
      <c r="V169" s="132">
        <v>0</v>
      </c>
      <c r="W169" s="132">
        <v>0</v>
      </c>
      <c r="X169" s="132">
        <v>0</v>
      </c>
      <c r="Y169" s="132">
        <v>0</v>
      </c>
      <c r="Z169" s="128">
        <f t="shared" si="5"/>
        <v>0</v>
      </c>
    </row>
    <row r="170" spans="1:26" x14ac:dyDescent="0.2">
      <c r="A170" s="23" t="s">
        <v>103</v>
      </c>
      <c r="B170">
        <v>5</v>
      </c>
      <c r="C170" s="23" t="s">
        <v>112</v>
      </c>
      <c r="D170">
        <v>523</v>
      </c>
      <c r="E170" s="132">
        <v>0</v>
      </c>
      <c r="F170" s="132">
        <v>0</v>
      </c>
      <c r="G170" s="132">
        <v>0</v>
      </c>
      <c r="H170" s="132">
        <v>0</v>
      </c>
      <c r="I170" s="132">
        <v>0</v>
      </c>
      <c r="J170" s="132">
        <v>0</v>
      </c>
      <c r="K170" s="132">
        <v>0</v>
      </c>
      <c r="L170" s="132">
        <v>0</v>
      </c>
      <c r="M170" s="132">
        <v>0</v>
      </c>
      <c r="N170" s="132">
        <v>0</v>
      </c>
      <c r="O170" s="132">
        <v>0</v>
      </c>
      <c r="P170" s="132">
        <v>0</v>
      </c>
      <c r="Q170" s="132">
        <v>0</v>
      </c>
      <c r="R170" s="132">
        <v>0</v>
      </c>
      <c r="S170" s="132">
        <v>0</v>
      </c>
      <c r="T170" s="132">
        <v>0</v>
      </c>
      <c r="U170" s="132">
        <v>0</v>
      </c>
      <c r="V170" s="132">
        <v>0</v>
      </c>
      <c r="W170" s="132">
        <v>0</v>
      </c>
      <c r="X170" s="132">
        <v>0</v>
      </c>
      <c r="Y170" s="132">
        <v>0</v>
      </c>
      <c r="Z170" s="128">
        <f t="shared" si="5"/>
        <v>0</v>
      </c>
    </row>
    <row r="171" spans="1:26" x14ac:dyDescent="0.2">
      <c r="A171" s="23" t="s">
        <v>103</v>
      </c>
      <c r="B171">
        <v>5</v>
      </c>
      <c r="C171" s="23" t="s">
        <v>111</v>
      </c>
      <c r="D171">
        <v>501</v>
      </c>
      <c r="E171" s="132">
        <v>0</v>
      </c>
      <c r="F171" s="132">
        <v>0</v>
      </c>
      <c r="G171" s="132">
        <v>0</v>
      </c>
      <c r="H171" s="132">
        <v>0</v>
      </c>
      <c r="I171" s="132">
        <v>0</v>
      </c>
      <c r="J171" s="132">
        <v>0</v>
      </c>
      <c r="K171" s="132">
        <v>0</v>
      </c>
      <c r="L171" s="132">
        <v>0</v>
      </c>
      <c r="M171" s="132">
        <v>0</v>
      </c>
      <c r="N171" s="132">
        <v>0</v>
      </c>
      <c r="O171" s="132">
        <v>0</v>
      </c>
      <c r="P171" s="132">
        <v>0</v>
      </c>
      <c r="Q171" s="132">
        <v>0</v>
      </c>
      <c r="R171" s="132">
        <v>0</v>
      </c>
      <c r="S171" s="132">
        <v>0</v>
      </c>
      <c r="T171" s="132">
        <v>0</v>
      </c>
      <c r="U171" s="132">
        <v>0</v>
      </c>
      <c r="V171" s="132">
        <v>0</v>
      </c>
      <c r="W171" s="132">
        <v>0</v>
      </c>
      <c r="X171" s="132">
        <v>0</v>
      </c>
      <c r="Y171" s="132">
        <v>0</v>
      </c>
      <c r="Z171" s="128">
        <f t="shared" si="5"/>
        <v>0</v>
      </c>
    </row>
    <row r="172" spans="1:26" x14ac:dyDescent="0.2">
      <c r="A172" s="23" t="s">
        <v>103</v>
      </c>
      <c r="B172">
        <v>5</v>
      </c>
      <c r="C172" s="23" t="s">
        <v>111</v>
      </c>
      <c r="D172">
        <v>502</v>
      </c>
      <c r="E172" s="132">
        <v>0</v>
      </c>
      <c r="F172" s="132">
        <v>0</v>
      </c>
      <c r="G172" s="132">
        <v>0</v>
      </c>
      <c r="H172" s="132">
        <v>0</v>
      </c>
      <c r="I172" s="132">
        <v>0</v>
      </c>
      <c r="J172" s="132">
        <v>0</v>
      </c>
      <c r="K172" s="132">
        <v>0</v>
      </c>
      <c r="L172" s="132">
        <v>0</v>
      </c>
      <c r="M172" s="132">
        <v>0</v>
      </c>
      <c r="N172" s="132">
        <v>0</v>
      </c>
      <c r="O172" s="132">
        <v>0</v>
      </c>
      <c r="P172" s="132">
        <v>0</v>
      </c>
      <c r="Q172" s="132">
        <v>0</v>
      </c>
      <c r="R172" s="132">
        <v>0</v>
      </c>
      <c r="S172" s="132">
        <v>0</v>
      </c>
      <c r="T172" s="132">
        <v>0</v>
      </c>
      <c r="U172" s="132">
        <v>0</v>
      </c>
      <c r="V172" s="132">
        <v>0</v>
      </c>
      <c r="W172" s="132">
        <v>0</v>
      </c>
      <c r="X172" s="132">
        <v>0</v>
      </c>
      <c r="Y172" s="132">
        <v>0</v>
      </c>
      <c r="Z172" s="128">
        <f t="shared" si="5"/>
        <v>0</v>
      </c>
    </row>
    <row r="173" spans="1:26" x14ac:dyDescent="0.2">
      <c r="A173" s="23" t="s">
        <v>103</v>
      </c>
      <c r="B173">
        <v>5</v>
      </c>
      <c r="C173" s="23" t="s">
        <v>111</v>
      </c>
      <c r="D173">
        <v>503</v>
      </c>
      <c r="E173" s="132">
        <v>0</v>
      </c>
      <c r="F173" s="132">
        <v>0</v>
      </c>
      <c r="G173" s="132">
        <v>0</v>
      </c>
      <c r="H173" s="132">
        <v>0</v>
      </c>
      <c r="I173" s="132">
        <v>0</v>
      </c>
      <c r="J173" s="132">
        <v>0</v>
      </c>
      <c r="K173" s="132">
        <v>0</v>
      </c>
      <c r="L173" s="132">
        <v>0</v>
      </c>
      <c r="M173" s="132">
        <v>0</v>
      </c>
      <c r="N173" s="132">
        <v>0</v>
      </c>
      <c r="O173" s="132">
        <v>0</v>
      </c>
      <c r="P173" s="132">
        <v>0</v>
      </c>
      <c r="Q173" s="132">
        <v>0</v>
      </c>
      <c r="R173" s="132">
        <v>0</v>
      </c>
      <c r="S173" s="132">
        <v>0</v>
      </c>
      <c r="T173" s="132">
        <v>0</v>
      </c>
      <c r="U173" s="132">
        <v>0</v>
      </c>
      <c r="V173" s="132">
        <v>0</v>
      </c>
      <c r="W173" s="132">
        <v>0</v>
      </c>
      <c r="X173" s="132">
        <v>0</v>
      </c>
      <c r="Y173" s="132">
        <v>0</v>
      </c>
      <c r="Z173" s="128">
        <f t="shared" si="5"/>
        <v>0</v>
      </c>
    </row>
    <row r="174" spans="1:26" x14ac:dyDescent="0.2">
      <c r="A174" s="23" t="s">
        <v>103</v>
      </c>
      <c r="B174">
        <v>5</v>
      </c>
      <c r="C174" s="23" t="s">
        <v>111</v>
      </c>
      <c r="D174">
        <v>504</v>
      </c>
      <c r="E174" s="132">
        <v>0</v>
      </c>
      <c r="F174" s="132">
        <v>0</v>
      </c>
      <c r="G174" s="132">
        <v>0</v>
      </c>
      <c r="H174" s="132">
        <v>0</v>
      </c>
      <c r="I174" s="132">
        <v>0</v>
      </c>
      <c r="J174" s="132">
        <v>0</v>
      </c>
      <c r="K174" s="132">
        <v>0</v>
      </c>
      <c r="L174" s="132">
        <v>0</v>
      </c>
      <c r="M174" s="132">
        <v>0</v>
      </c>
      <c r="N174" s="132">
        <v>0</v>
      </c>
      <c r="O174" s="132">
        <v>0</v>
      </c>
      <c r="P174" s="132">
        <v>0</v>
      </c>
      <c r="Q174" s="132">
        <v>0</v>
      </c>
      <c r="R174" s="132">
        <v>0</v>
      </c>
      <c r="S174" s="132">
        <v>0</v>
      </c>
      <c r="T174" s="132">
        <v>0</v>
      </c>
      <c r="U174" s="132">
        <v>0</v>
      </c>
      <c r="V174" s="132">
        <v>0</v>
      </c>
      <c r="W174" s="132">
        <v>0</v>
      </c>
      <c r="X174" s="132">
        <v>0</v>
      </c>
      <c r="Y174" s="132">
        <v>0</v>
      </c>
      <c r="Z174" s="128">
        <f t="shared" si="5"/>
        <v>0</v>
      </c>
    </row>
    <row r="175" spans="1:26" x14ac:dyDescent="0.2">
      <c r="A175" s="23" t="s">
        <v>103</v>
      </c>
      <c r="B175">
        <v>5</v>
      </c>
      <c r="C175" s="23" t="s">
        <v>111</v>
      </c>
      <c r="D175">
        <v>505</v>
      </c>
      <c r="E175" s="132">
        <v>0</v>
      </c>
      <c r="F175" s="132">
        <v>0</v>
      </c>
      <c r="G175" s="132">
        <v>0</v>
      </c>
      <c r="H175" s="132">
        <v>0</v>
      </c>
      <c r="I175" s="132">
        <v>0</v>
      </c>
      <c r="J175" s="132">
        <v>0</v>
      </c>
      <c r="K175" s="132">
        <v>0</v>
      </c>
      <c r="L175" s="132">
        <v>0</v>
      </c>
      <c r="M175" s="132">
        <v>0</v>
      </c>
      <c r="N175" s="132">
        <v>0</v>
      </c>
      <c r="O175" s="132">
        <v>0</v>
      </c>
      <c r="P175" s="132">
        <v>0</v>
      </c>
      <c r="Q175" s="132">
        <v>0</v>
      </c>
      <c r="R175" s="132">
        <v>0</v>
      </c>
      <c r="S175" s="132">
        <v>0</v>
      </c>
      <c r="T175" s="132">
        <v>0</v>
      </c>
      <c r="U175" s="132">
        <v>0</v>
      </c>
      <c r="V175" s="132">
        <v>0</v>
      </c>
      <c r="W175" s="132">
        <v>0</v>
      </c>
      <c r="X175" s="132">
        <v>0</v>
      </c>
      <c r="Y175" s="132">
        <v>0</v>
      </c>
      <c r="Z175" s="128">
        <f t="shared" si="5"/>
        <v>0</v>
      </c>
    </row>
    <row r="176" spans="1:26" x14ac:dyDescent="0.2">
      <c r="A176" s="23" t="s">
        <v>103</v>
      </c>
      <c r="B176">
        <v>5</v>
      </c>
      <c r="C176" s="23" t="s">
        <v>111</v>
      </c>
      <c r="D176">
        <v>506</v>
      </c>
      <c r="E176" s="132">
        <v>0</v>
      </c>
      <c r="F176" s="132">
        <v>0</v>
      </c>
      <c r="G176" s="132">
        <v>0</v>
      </c>
      <c r="H176" s="132">
        <v>0</v>
      </c>
      <c r="I176" s="132">
        <v>0</v>
      </c>
      <c r="J176" s="132">
        <v>0</v>
      </c>
      <c r="K176" s="132">
        <v>0</v>
      </c>
      <c r="L176" s="132">
        <v>0</v>
      </c>
      <c r="M176" s="132">
        <v>0</v>
      </c>
      <c r="N176" s="132">
        <v>0</v>
      </c>
      <c r="O176" s="132">
        <v>0</v>
      </c>
      <c r="P176" s="132">
        <v>0</v>
      </c>
      <c r="Q176" s="132">
        <v>0</v>
      </c>
      <c r="R176" s="132">
        <v>0</v>
      </c>
      <c r="S176" s="132">
        <v>0</v>
      </c>
      <c r="T176" s="132">
        <v>0</v>
      </c>
      <c r="U176" s="132">
        <v>0</v>
      </c>
      <c r="V176" s="132">
        <v>0</v>
      </c>
      <c r="W176" s="132">
        <v>0</v>
      </c>
      <c r="X176" s="132">
        <v>0</v>
      </c>
      <c r="Y176" s="132">
        <v>0</v>
      </c>
      <c r="Z176" s="128">
        <f t="shared" si="5"/>
        <v>0</v>
      </c>
    </row>
    <row r="177" spans="1:26" x14ac:dyDescent="0.2">
      <c r="A177" s="23" t="s">
        <v>103</v>
      </c>
      <c r="B177">
        <v>5</v>
      </c>
      <c r="C177" s="23" t="s">
        <v>111</v>
      </c>
      <c r="D177">
        <v>507</v>
      </c>
      <c r="E177" s="132">
        <v>0</v>
      </c>
      <c r="F177" s="132">
        <v>0</v>
      </c>
      <c r="G177" s="132">
        <v>0</v>
      </c>
      <c r="H177" s="132">
        <v>0</v>
      </c>
      <c r="I177" s="132">
        <v>0</v>
      </c>
      <c r="J177" s="132">
        <v>0</v>
      </c>
      <c r="K177" s="132">
        <v>0</v>
      </c>
      <c r="L177" s="132">
        <v>0</v>
      </c>
      <c r="M177" s="132">
        <v>0</v>
      </c>
      <c r="N177" s="132">
        <v>0</v>
      </c>
      <c r="O177" s="132">
        <v>0</v>
      </c>
      <c r="P177" s="132">
        <v>0</v>
      </c>
      <c r="Q177" s="132">
        <v>0</v>
      </c>
      <c r="R177" s="132">
        <v>0</v>
      </c>
      <c r="S177" s="132">
        <v>0</v>
      </c>
      <c r="T177" s="132">
        <v>0</v>
      </c>
      <c r="U177" s="132">
        <v>0</v>
      </c>
      <c r="V177" s="132">
        <v>0</v>
      </c>
      <c r="W177" s="132">
        <v>0</v>
      </c>
      <c r="X177" s="132">
        <v>0</v>
      </c>
      <c r="Y177" s="132">
        <v>0</v>
      </c>
      <c r="Z177" s="128">
        <f t="shared" si="5"/>
        <v>0</v>
      </c>
    </row>
    <row r="178" spans="1:26" x14ac:dyDescent="0.2">
      <c r="A178" s="23" t="s">
        <v>103</v>
      </c>
      <c r="B178">
        <v>5</v>
      </c>
      <c r="C178" s="23" t="s">
        <v>111</v>
      </c>
      <c r="D178">
        <v>508</v>
      </c>
      <c r="E178" s="132">
        <v>0</v>
      </c>
      <c r="F178" s="132">
        <v>0</v>
      </c>
      <c r="G178" s="132">
        <v>0</v>
      </c>
      <c r="H178" s="132">
        <v>0</v>
      </c>
      <c r="I178" s="132">
        <v>0</v>
      </c>
      <c r="J178" s="132">
        <v>0</v>
      </c>
      <c r="K178" s="132">
        <v>0</v>
      </c>
      <c r="L178" s="132">
        <v>0</v>
      </c>
      <c r="M178" s="132">
        <v>0</v>
      </c>
      <c r="N178" s="132">
        <v>0</v>
      </c>
      <c r="O178" s="132">
        <v>0</v>
      </c>
      <c r="P178" s="132">
        <v>0</v>
      </c>
      <c r="Q178" s="132">
        <v>0</v>
      </c>
      <c r="R178" s="132">
        <v>0</v>
      </c>
      <c r="S178" s="132">
        <v>0</v>
      </c>
      <c r="T178" s="132">
        <v>0</v>
      </c>
      <c r="U178" s="132">
        <v>0</v>
      </c>
      <c r="V178" s="132">
        <v>0</v>
      </c>
      <c r="W178" s="132">
        <v>0</v>
      </c>
      <c r="X178" s="132">
        <v>0</v>
      </c>
      <c r="Y178" s="132">
        <v>0</v>
      </c>
      <c r="Z178" s="128">
        <f t="shared" si="5"/>
        <v>0</v>
      </c>
    </row>
    <row r="179" spans="1:26" x14ac:dyDescent="0.2">
      <c r="A179" s="23" t="s">
        <v>103</v>
      </c>
      <c r="B179">
        <v>5</v>
      </c>
      <c r="C179" s="23" t="s">
        <v>111</v>
      </c>
      <c r="D179">
        <v>509</v>
      </c>
      <c r="E179" s="132">
        <v>0</v>
      </c>
      <c r="F179" s="132">
        <v>0</v>
      </c>
      <c r="G179" s="132">
        <v>0</v>
      </c>
      <c r="H179" s="132">
        <v>0</v>
      </c>
      <c r="I179" s="132">
        <v>0</v>
      </c>
      <c r="J179" s="132">
        <v>0</v>
      </c>
      <c r="K179" s="132">
        <v>0</v>
      </c>
      <c r="L179" s="132">
        <v>0</v>
      </c>
      <c r="M179" s="132">
        <v>0</v>
      </c>
      <c r="N179" s="132">
        <v>0</v>
      </c>
      <c r="O179" s="132">
        <v>0</v>
      </c>
      <c r="P179" s="132">
        <v>0</v>
      </c>
      <c r="Q179" s="132">
        <v>0</v>
      </c>
      <c r="R179" s="132">
        <v>0</v>
      </c>
      <c r="S179" s="132">
        <v>0</v>
      </c>
      <c r="T179" s="132">
        <v>0</v>
      </c>
      <c r="U179" s="132">
        <v>0</v>
      </c>
      <c r="V179" s="132">
        <v>0</v>
      </c>
      <c r="W179" s="132">
        <v>0</v>
      </c>
      <c r="X179" s="132">
        <v>0</v>
      </c>
      <c r="Y179" s="132">
        <v>0</v>
      </c>
      <c r="Z179" s="128">
        <f t="shared" si="5"/>
        <v>0</v>
      </c>
    </row>
    <row r="180" spans="1:26" x14ac:dyDescent="0.2">
      <c r="A180" s="23" t="s">
        <v>103</v>
      </c>
      <c r="B180">
        <v>5</v>
      </c>
      <c r="C180" s="23" t="s">
        <v>111</v>
      </c>
      <c r="D180">
        <v>510</v>
      </c>
      <c r="E180" s="132">
        <v>0</v>
      </c>
      <c r="F180" s="132">
        <v>0</v>
      </c>
      <c r="G180" s="132">
        <v>0</v>
      </c>
      <c r="H180" s="132">
        <v>0</v>
      </c>
      <c r="I180" s="132">
        <v>0</v>
      </c>
      <c r="J180" s="132">
        <v>0</v>
      </c>
      <c r="K180" s="132">
        <v>0</v>
      </c>
      <c r="L180" s="132">
        <v>0</v>
      </c>
      <c r="M180" s="132">
        <v>0</v>
      </c>
      <c r="N180" s="132">
        <v>0</v>
      </c>
      <c r="O180" s="132">
        <v>0</v>
      </c>
      <c r="P180" s="132">
        <v>0</v>
      </c>
      <c r="Q180" s="132">
        <v>0</v>
      </c>
      <c r="R180" s="132">
        <v>0</v>
      </c>
      <c r="S180" s="132">
        <v>0</v>
      </c>
      <c r="T180" s="132">
        <v>0</v>
      </c>
      <c r="U180" s="132">
        <v>0</v>
      </c>
      <c r="V180" s="132">
        <v>0</v>
      </c>
      <c r="W180" s="132">
        <v>0</v>
      </c>
      <c r="X180" s="132">
        <v>0</v>
      </c>
      <c r="Y180" s="132">
        <v>0</v>
      </c>
      <c r="Z180" s="128">
        <f t="shared" si="5"/>
        <v>0</v>
      </c>
    </row>
    <row r="181" spans="1:26" x14ac:dyDescent="0.2">
      <c r="A181" s="23" t="s">
        <v>103</v>
      </c>
      <c r="B181">
        <v>5</v>
      </c>
      <c r="C181" s="23" t="s">
        <v>111</v>
      </c>
      <c r="D181">
        <v>511</v>
      </c>
      <c r="E181" s="132">
        <v>0</v>
      </c>
      <c r="F181" s="132">
        <v>0</v>
      </c>
      <c r="G181" s="132">
        <v>0</v>
      </c>
      <c r="H181" s="132">
        <v>0</v>
      </c>
      <c r="I181" s="132">
        <v>0</v>
      </c>
      <c r="J181" s="132">
        <v>0</v>
      </c>
      <c r="K181" s="132">
        <v>0</v>
      </c>
      <c r="L181" s="132">
        <v>0</v>
      </c>
      <c r="M181" s="132">
        <v>0</v>
      </c>
      <c r="N181" s="132">
        <v>0</v>
      </c>
      <c r="O181" s="132">
        <v>0</v>
      </c>
      <c r="P181" s="132">
        <v>0</v>
      </c>
      <c r="Q181" s="132">
        <v>0</v>
      </c>
      <c r="R181" s="132">
        <v>0</v>
      </c>
      <c r="S181" s="132">
        <v>0</v>
      </c>
      <c r="T181" s="132">
        <v>0</v>
      </c>
      <c r="U181" s="132">
        <v>0</v>
      </c>
      <c r="V181" s="132">
        <v>0</v>
      </c>
      <c r="W181" s="132">
        <v>0</v>
      </c>
      <c r="X181" s="132">
        <v>0</v>
      </c>
      <c r="Y181" s="132">
        <v>0</v>
      </c>
      <c r="Z181" s="128">
        <f t="shared" si="5"/>
        <v>0</v>
      </c>
    </row>
    <row r="182" spans="1:26" x14ac:dyDescent="0.2">
      <c r="A182" s="23" t="s">
        <v>103</v>
      </c>
      <c r="B182">
        <v>5</v>
      </c>
      <c r="C182" s="23" t="s">
        <v>111</v>
      </c>
      <c r="D182">
        <v>512</v>
      </c>
      <c r="E182" s="132">
        <v>0</v>
      </c>
      <c r="F182" s="132">
        <v>0</v>
      </c>
      <c r="G182" s="132">
        <v>0</v>
      </c>
      <c r="H182" s="132">
        <v>0</v>
      </c>
      <c r="I182" s="132">
        <v>0</v>
      </c>
      <c r="J182" s="132">
        <v>0</v>
      </c>
      <c r="K182" s="132">
        <v>0</v>
      </c>
      <c r="L182" s="132">
        <v>0</v>
      </c>
      <c r="M182" s="132">
        <v>0</v>
      </c>
      <c r="N182" s="132">
        <v>0</v>
      </c>
      <c r="O182" s="132">
        <v>0</v>
      </c>
      <c r="P182" s="132">
        <v>0</v>
      </c>
      <c r="Q182" s="132">
        <v>0</v>
      </c>
      <c r="R182" s="132">
        <v>0</v>
      </c>
      <c r="S182" s="132">
        <v>0</v>
      </c>
      <c r="T182" s="132">
        <v>0</v>
      </c>
      <c r="U182" s="132">
        <v>0</v>
      </c>
      <c r="V182" s="132">
        <v>0</v>
      </c>
      <c r="W182" s="132">
        <v>0</v>
      </c>
      <c r="X182" s="132">
        <v>0</v>
      </c>
      <c r="Y182" s="132">
        <v>0</v>
      </c>
      <c r="Z182" s="128">
        <f t="shared" si="5"/>
        <v>0</v>
      </c>
    </row>
    <row r="183" spans="1:26" x14ac:dyDescent="0.2">
      <c r="A183" s="23" t="s">
        <v>103</v>
      </c>
      <c r="B183">
        <v>5</v>
      </c>
      <c r="C183" s="23" t="s">
        <v>111</v>
      </c>
      <c r="D183">
        <v>513</v>
      </c>
      <c r="E183" s="132">
        <v>0</v>
      </c>
      <c r="F183" s="132">
        <v>0</v>
      </c>
      <c r="G183" s="132">
        <v>0</v>
      </c>
      <c r="H183" s="132">
        <v>0</v>
      </c>
      <c r="I183" s="132">
        <v>0</v>
      </c>
      <c r="J183" s="132">
        <v>0</v>
      </c>
      <c r="K183" s="132">
        <v>0</v>
      </c>
      <c r="L183" s="132">
        <v>0</v>
      </c>
      <c r="M183" s="132">
        <v>0</v>
      </c>
      <c r="N183" s="132">
        <v>0</v>
      </c>
      <c r="O183" s="132">
        <v>0</v>
      </c>
      <c r="P183" s="132">
        <v>0</v>
      </c>
      <c r="Q183" s="132">
        <v>0</v>
      </c>
      <c r="R183" s="132">
        <v>0</v>
      </c>
      <c r="S183" s="132">
        <v>0</v>
      </c>
      <c r="T183" s="132">
        <v>0</v>
      </c>
      <c r="U183" s="132">
        <v>0</v>
      </c>
      <c r="V183" s="132">
        <v>0</v>
      </c>
      <c r="W183" s="132">
        <v>0</v>
      </c>
      <c r="X183" s="132">
        <v>0</v>
      </c>
      <c r="Y183" s="132">
        <v>0</v>
      </c>
      <c r="Z183" s="128">
        <f t="shared" si="5"/>
        <v>0</v>
      </c>
    </row>
    <row r="184" spans="1:26" x14ac:dyDescent="0.2">
      <c r="A184" s="23" t="s">
        <v>103</v>
      </c>
      <c r="B184">
        <v>5</v>
      </c>
      <c r="C184" s="23" t="s">
        <v>111</v>
      </c>
      <c r="D184">
        <v>514</v>
      </c>
      <c r="E184" s="132">
        <v>0</v>
      </c>
      <c r="F184" s="132">
        <v>0</v>
      </c>
      <c r="G184" s="132">
        <v>0</v>
      </c>
      <c r="H184" s="132">
        <v>0</v>
      </c>
      <c r="I184" s="132">
        <v>0</v>
      </c>
      <c r="J184" s="132">
        <v>0</v>
      </c>
      <c r="K184" s="132">
        <v>0</v>
      </c>
      <c r="L184" s="132">
        <v>0</v>
      </c>
      <c r="M184" s="132">
        <v>0</v>
      </c>
      <c r="N184" s="132">
        <v>0</v>
      </c>
      <c r="O184" s="132">
        <v>0</v>
      </c>
      <c r="P184" s="132">
        <v>0</v>
      </c>
      <c r="Q184" s="132">
        <v>0</v>
      </c>
      <c r="R184" s="132">
        <v>0</v>
      </c>
      <c r="S184" s="132">
        <v>0</v>
      </c>
      <c r="T184" s="132">
        <v>0</v>
      </c>
      <c r="U184" s="132">
        <v>0</v>
      </c>
      <c r="V184" s="132">
        <v>0</v>
      </c>
      <c r="W184" s="132">
        <v>0</v>
      </c>
      <c r="X184" s="132">
        <v>0</v>
      </c>
      <c r="Y184" s="132">
        <v>0</v>
      </c>
      <c r="Z184" s="128">
        <f t="shared" si="5"/>
        <v>0</v>
      </c>
    </row>
    <row r="185" spans="1:26" x14ac:dyDescent="0.2">
      <c r="A185" s="23" t="s">
        <v>103</v>
      </c>
      <c r="B185">
        <v>5</v>
      </c>
      <c r="C185" s="23" t="s">
        <v>111</v>
      </c>
      <c r="D185">
        <v>515</v>
      </c>
      <c r="E185" s="132">
        <v>0</v>
      </c>
      <c r="F185" s="132">
        <v>0</v>
      </c>
      <c r="G185" s="132">
        <v>0</v>
      </c>
      <c r="H185" s="132">
        <v>0</v>
      </c>
      <c r="I185" s="132">
        <v>0</v>
      </c>
      <c r="J185" s="132">
        <v>0</v>
      </c>
      <c r="K185" s="132">
        <v>0</v>
      </c>
      <c r="L185" s="132">
        <v>0</v>
      </c>
      <c r="M185" s="132">
        <v>0</v>
      </c>
      <c r="N185" s="132">
        <v>0</v>
      </c>
      <c r="O185" s="132">
        <v>0</v>
      </c>
      <c r="P185" s="132">
        <v>0</v>
      </c>
      <c r="Q185" s="132">
        <v>0</v>
      </c>
      <c r="R185" s="132">
        <v>0</v>
      </c>
      <c r="S185" s="132">
        <v>0</v>
      </c>
      <c r="T185" s="132">
        <v>0</v>
      </c>
      <c r="U185" s="132">
        <v>0</v>
      </c>
      <c r="V185" s="132">
        <v>0</v>
      </c>
      <c r="W185" s="132">
        <v>0</v>
      </c>
      <c r="X185" s="132">
        <v>0</v>
      </c>
      <c r="Y185" s="132">
        <v>0</v>
      </c>
      <c r="Z185" s="128">
        <f t="shared" si="5"/>
        <v>0</v>
      </c>
    </row>
    <row r="186" spans="1:26" x14ac:dyDescent="0.2">
      <c r="A186" s="23" t="s">
        <v>103</v>
      </c>
      <c r="B186">
        <v>5</v>
      </c>
      <c r="C186" s="23" t="s">
        <v>111</v>
      </c>
      <c r="D186">
        <v>516</v>
      </c>
      <c r="E186" s="132">
        <v>0</v>
      </c>
      <c r="F186" s="132">
        <v>0</v>
      </c>
      <c r="G186" s="132">
        <v>0</v>
      </c>
      <c r="H186" s="132">
        <v>0</v>
      </c>
      <c r="I186" s="132">
        <v>0</v>
      </c>
      <c r="J186" s="132">
        <v>0</v>
      </c>
      <c r="K186" s="132">
        <v>0</v>
      </c>
      <c r="L186" s="132">
        <v>0</v>
      </c>
      <c r="M186" s="132">
        <v>0</v>
      </c>
      <c r="N186" s="132">
        <v>0</v>
      </c>
      <c r="O186" s="132">
        <v>0</v>
      </c>
      <c r="P186" s="132">
        <v>0</v>
      </c>
      <c r="Q186" s="132">
        <v>0</v>
      </c>
      <c r="R186" s="132">
        <v>0</v>
      </c>
      <c r="S186" s="132">
        <v>0</v>
      </c>
      <c r="T186" s="132">
        <v>0</v>
      </c>
      <c r="U186" s="132">
        <v>0</v>
      </c>
      <c r="V186" s="132">
        <v>0</v>
      </c>
      <c r="W186" s="132">
        <v>0</v>
      </c>
      <c r="X186" s="132">
        <v>0</v>
      </c>
      <c r="Y186" s="132">
        <v>0</v>
      </c>
      <c r="Z186" s="128">
        <f t="shared" si="5"/>
        <v>0</v>
      </c>
    </row>
    <row r="187" spans="1:26" x14ac:dyDescent="0.2">
      <c r="A187" s="23" t="s">
        <v>103</v>
      </c>
      <c r="B187">
        <v>5</v>
      </c>
      <c r="C187" s="23" t="s">
        <v>111</v>
      </c>
      <c r="D187">
        <v>517</v>
      </c>
      <c r="E187" s="132">
        <v>0</v>
      </c>
      <c r="F187" s="132">
        <v>0</v>
      </c>
      <c r="G187" s="132">
        <v>0</v>
      </c>
      <c r="H187" s="132">
        <v>0</v>
      </c>
      <c r="I187" s="132">
        <v>0</v>
      </c>
      <c r="J187" s="132">
        <v>0</v>
      </c>
      <c r="K187" s="132">
        <v>0</v>
      </c>
      <c r="L187" s="132">
        <v>0</v>
      </c>
      <c r="M187" s="132">
        <v>0</v>
      </c>
      <c r="N187" s="132">
        <v>0</v>
      </c>
      <c r="O187" s="132">
        <v>0</v>
      </c>
      <c r="P187" s="132">
        <v>0</v>
      </c>
      <c r="Q187" s="132">
        <v>0</v>
      </c>
      <c r="R187" s="132">
        <v>0</v>
      </c>
      <c r="S187" s="132">
        <v>0</v>
      </c>
      <c r="T187" s="132">
        <v>0</v>
      </c>
      <c r="U187" s="132">
        <v>0</v>
      </c>
      <c r="V187" s="132">
        <v>0</v>
      </c>
      <c r="W187" s="132">
        <v>0</v>
      </c>
      <c r="X187" s="132">
        <v>0</v>
      </c>
      <c r="Y187" s="132">
        <v>0</v>
      </c>
      <c r="Z187" s="128">
        <f t="shared" si="5"/>
        <v>0</v>
      </c>
    </row>
    <row r="188" spans="1:26" x14ac:dyDescent="0.2">
      <c r="A188" s="23" t="s">
        <v>103</v>
      </c>
      <c r="B188">
        <v>5</v>
      </c>
      <c r="C188" s="23" t="s">
        <v>111</v>
      </c>
      <c r="D188">
        <v>518</v>
      </c>
      <c r="E188" s="132">
        <v>0</v>
      </c>
      <c r="F188" s="132">
        <v>0</v>
      </c>
      <c r="G188" s="132">
        <v>0</v>
      </c>
      <c r="H188" s="132">
        <v>0</v>
      </c>
      <c r="I188" s="132">
        <v>0</v>
      </c>
      <c r="J188" s="132">
        <v>0</v>
      </c>
      <c r="K188" s="132">
        <v>0</v>
      </c>
      <c r="L188" s="132">
        <v>0</v>
      </c>
      <c r="M188" s="132">
        <v>0</v>
      </c>
      <c r="N188" s="132">
        <v>0</v>
      </c>
      <c r="O188" s="132">
        <v>0</v>
      </c>
      <c r="P188" s="132">
        <v>0</v>
      </c>
      <c r="Q188" s="132">
        <v>0</v>
      </c>
      <c r="R188" s="132">
        <v>0</v>
      </c>
      <c r="S188" s="132">
        <v>0</v>
      </c>
      <c r="T188" s="132">
        <v>0</v>
      </c>
      <c r="U188" s="132">
        <v>0</v>
      </c>
      <c r="V188" s="132">
        <v>0</v>
      </c>
      <c r="W188" s="132">
        <v>0</v>
      </c>
      <c r="X188" s="132">
        <v>0</v>
      </c>
      <c r="Y188" s="132">
        <v>0</v>
      </c>
      <c r="Z188" s="128">
        <f t="shared" si="5"/>
        <v>0</v>
      </c>
    </row>
    <row r="189" spans="1:26" x14ac:dyDescent="0.2">
      <c r="A189" s="23" t="s">
        <v>103</v>
      </c>
      <c r="B189">
        <v>5</v>
      </c>
      <c r="C189" s="23" t="s">
        <v>111</v>
      </c>
      <c r="D189">
        <v>519</v>
      </c>
      <c r="E189" s="132">
        <v>0</v>
      </c>
      <c r="F189" s="132">
        <v>0</v>
      </c>
      <c r="G189" s="132">
        <v>0</v>
      </c>
      <c r="H189" s="132">
        <v>0</v>
      </c>
      <c r="I189" s="132">
        <v>0</v>
      </c>
      <c r="J189" s="132">
        <v>0</v>
      </c>
      <c r="K189" s="132">
        <v>0</v>
      </c>
      <c r="L189" s="132">
        <v>0</v>
      </c>
      <c r="M189" s="132">
        <v>0</v>
      </c>
      <c r="N189" s="132">
        <v>0</v>
      </c>
      <c r="O189" s="132">
        <v>0</v>
      </c>
      <c r="P189" s="132">
        <v>0</v>
      </c>
      <c r="Q189" s="132">
        <v>0</v>
      </c>
      <c r="R189" s="132">
        <v>0</v>
      </c>
      <c r="S189" s="132">
        <v>0</v>
      </c>
      <c r="T189" s="132">
        <v>0</v>
      </c>
      <c r="U189" s="132">
        <v>0</v>
      </c>
      <c r="V189" s="132">
        <v>0</v>
      </c>
      <c r="W189" s="132">
        <v>0</v>
      </c>
      <c r="X189" s="132">
        <v>0</v>
      </c>
      <c r="Y189" s="132">
        <v>0</v>
      </c>
      <c r="Z189" s="128">
        <f t="shared" si="5"/>
        <v>0</v>
      </c>
    </row>
    <row r="190" spans="1:26" x14ac:dyDescent="0.2">
      <c r="A190" s="23" t="s">
        <v>103</v>
      </c>
      <c r="B190">
        <v>5</v>
      </c>
      <c r="C190" s="23" t="s">
        <v>111</v>
      </c>
      <c r="D190">
        <v>520</v>
      </c>
      <c r="E190" s="132">
        <v>0</v>
      </c>
      <c r="F190" s="132">
        <v>0</v>
      </c>
      <c r="G190" s="132">
        <v>0</v>
      </c>
      <c r="H190" s="132">
        <v>0</v>
      </c>
      <c r="I190" s="132">
        <v>0</v>
      </c>
      <c r="J190" s="132">
        <v>0</v>
      </c>
      <c r="K190" s="132">
        <v>0</v>
      </c>
      <c r="L190" s="132">
        <v>0</v>
      </c>
      <c r="M190" s="132">
        <v>0</v>
      </c>
      <c r="N190" s="132">
        <v>0</v>
      </c>
      <c r="O190" s="132">
        <v>0</v>
      </c>
      <c r="P190" s="132">
        <v>0</v>
      </c>
      <c r="Q190" s="132">
        <v>0</v>
      </c>
      <c r="R190" s="132">
        <v>0</v>
      </c>
      <c r="S190" s="132">
        <v>0</v>
      </c>
      <c r="T190" s="132">
        <v>0</v>
      </c>
      <c r="U190" s="132">
        <v>0</v>
      </c>
      <c r="V190" s="132">
        <v>0</v>
      </c>
      <c r="W190" s="132">
        <v>0</v>
      </c>
      <c r="X190" s="132">
        <v>0</v>
      </c>
      <c r="Y190" s="132">
        <v>0</v>
      </c>
      <c r="Z190" s="128">
        <f t="shared" si="5"/>
        <v>0</v>
      </c>
    </row>
    <row r="191" spans="1:26" x14ac:dyDescent="0.2">
      <c r="A191" s="23" t="s">
        <v>103</v>
      </c>
      <c r="B191">
        <v>5</v>
      </c>
      <c r="C191" s="23" t="s">
        <v>111</v>
      </c>
      <c r="D191">
        <v>521</v>
      </c>
      <c r="E191" s="132">
        <v>0</v>
      </c>
      <c r="F191" s="132">
        <v>0</v>
      </c>
      <c r="G191" s="132">
        <v>0</v>
      </c>
      <c r="H191" s="132">
        <v>0</v>
      </c>
      <c r="I191" s="132">
        <v>0</v>
      </c>
      <c r="J191" s="132">
        <v>0</v>
      </c>
      <c r="K191" s="132">
        <v>0</v>
      </c>
      <c r="L191" s="132">
        <v>0</v>
      </c>
      <c r="M191" s="132">
        <v>0</v>
      </c>
      <c r="N191" s="132">
        <v>0</v>
      </c>
      <c r="O191" s="132">
        <v>0</v>
      </c>
      <c r="P191" s="132">
        <v>0</v>
      </c>
      <c r="Q191" s="132">
        <v>0</v>
      </c>
      <c r="R191" s="132">
        <v>0</v>
      </c>
      <c r="S191" s="132">
        <v>0</v>
      </c>
      <c r="T191" s="132">
        <v>0</v>
      </c>
      <c r="U191" s="132">
        <v>0</v>
      </c>
      <c r="V191" s="132">
        <v>0</v>
      </c>
      <c r="W191" s="132">
        <v>0</v>
      </c>
      <c r="X191" s="132">
        <v>0</v>
      </c>
      <c r="Y191" s="132">
        <v>0</v>
      </c>
      <c r="Z191" s="128">
        <f t="shared" si="5"/>
        <v>0</v>
      </c>
    </row>
    <row r="192" spans="1:26" x14ac:dyDescent="0.2">
      <c r="A192" s="23"/>
      <c r="C192" s="23"/>
      <c r="D192" s="23"/>
      <c r="E192" s="132"/>
      <c r="F192" s="132">
        <f t="shared" ref="F192:Y192" si="7">AVERAGE(F148:F191)</f>
        <v>0</v>
      </c>
      <c r="G192" s="132">
        <f t="shared" si="7"/>
        <v>0</v>
      </c>
      <c r="H192" s="132">
        <f t="shared" si="7"/>
        <v>0</v>
      </c>
      <c r="I192" s="132">
        <f t="shared" si="7"/>
        <v>0</v>
      </c>
      <c r="J192" s="132">
        <f t="shared" si="7"/>
        <v>0</v>
      </c>
      <c r="K192" s="132">
        <f t="shared" si="7"/>
        <v>0</v>
      </c>
      <c r="L192" s="132">
        <f t="shared" si="7"/>
        <v>0</v>
      </c>
      <c r="M192" s="132">
        <f t="shared" si="7"/>
        <v>0</v>
      </c>
      <c r="N192" s="132">
        <f t="shared" si="7"/>
        <v>0</v>
      </c>
      <c r="O192" s="132">
        <f t="shared" si="7"/>
        <v>0</v>
      </c>
      <c r="P192" s="132">
        <f t="shared" si="7"/>
        <v>0</v>
      </c>
      <c r="Q192" s="132">
        <f t="shared" si="7"/>
        <v>0</v>
      </c>
      <c r="R192" s="132">
        <f t="shared" si="7"/>
        <v>0</v>
      </c>
      <c r="S192" s="132">
        <f t="shared" si="7"/>
        <v>0</v>
      </c>
      <c r="T192" s="132">
        <f t="shared" si="7"/>
        <v>0</v>
      </c>
      <c r="U192" s="132">
        <f t="shared" si="7"/>
        <v>0</v>
      </c>
      <c r="V192" s="132">
        <f t="shared" si="7"/>
        <v>0</v>
      </c>
      <c r="W192" s="132">
        <f t="shared" si="7"/>
        <v>0</v>
      </c>
      <c r="X192" s="132">
        <f t="shared" si="7"/>
        <v>0</v>
      </c>
      <c r="Y192" s="132">
        <f t="shared" si="7"/>
        <v>0</v>
      </c>
      <c r="Z192" s="128">
        <f t="shared" si="5"/>
        <v>0</v>
      </c>
    </row>
    <row r="193" spans="1:26" x14ac:dyDescent="0.2">
      <c r="A193" s="23" t="s">
        <v>103</v>
      </c>
      <c r="B193">
        <v>6</v>
      </c>
      <c r="C193" s="23" t="s">
        <v>112</v>
      </c>
      <c r="D193">
        <v>601</v>
      </c>
      <c r="E193" s="132">
        <v>0</v>
      </c>
      <c r="F193" s="132">
        <v>0</v>
      </c>
      <c r="G193" s="132">
        <v>0</v>
      </c>
      <c r="H193" s="132">
        <v>0</v>
      </c>
      <c r="I193" s="132">
        <v>0</v>
      </c>
      <c r="J193" s="132">
        <v>0</v>
      </c>
      <c r="K193" s="132">
        <v>0</v>
      </c>
      <c r="L193" s="132">
        <v>0</v>
      </c>
      <c r="M193" s="132">
        <v>0</v>
      </c>
      <c r="N193" s="132">
        <v>0</v>
      </c>
      <c r="O193" s="132">
        <v>0</v>
      </c>
      <c r="P193" s="132">
        <v>0</v>
      </c>
      <c r="Q193" s="132">
        <v>0</v>
      </c>
      <c r="R193" s="132">
        <v>0</v>
      </c>
      <c r="S193" s="132">
        <v>0</v>
      </c>
      <c r="T193" s="132">
        <v>0</v>
      </c>
      <c r="U193" s="132">
        <v>0</v>
      </c>
      <c r="V193" s="132">
        <v>0</v>
      </c>
      <c r="W193" s="132">
        <v>0</v>
      </c>
      <c r="X193" s="132">
        <v>0</v>
      </c>
      <c r="Y193" s="132">
        <v>0</v>
      </c>
      <c r="Z193" s="128">
        <f t="shared" si="5"/>
        <v>0</v>
      </c>
    </row>
    <row r="194" spans="1:26" x14ac:dyDescent="0.2">
      <c r="A194" s="23" t="s">
        <v>103</v>
      </c>
      <c r="B194">
        <v>6</v>
      </c>
      <c r="C194" s="23" t="s">
        <v>112</v>
      </c>
      <c r="D194">
        <v>602</v>
      </c>
      <c r="E194" s="132">
        <v>0</v>
      </c>
      <c r="F194" s="132">
        <v>0</v>
      </c>
      <c r="G194" s="132">
        <v>0</v>
      </c>
      <c r="H194" s="132">
        <v>0</v>
      </c>
      <c r="I194" s="132">
        <v>0</v>
      </c>
      <c r="J194" s="132">
        <v>0</v>
      </c>
      <c r="K194" s="132">
        <v>0</v>
      </c>
      <c r="L194" s="132">
        <v>0</v>
      </c>
      <c r="M194" s="132">
        <v>0</v>
      </c>
      <c r="N194" s="132">
        <v>0</v>
      </c>
      <c r="O194" s="132">
        <v>0</v>
      </c>
      <c r="P194" s="132">
        <v>0</v>
      </c>
      <c r="Q194" s="132">
        <v>0</v>
      </c>
      <c r="R194" s="132">
        <v>0</v>
      </c>
      <c r="S194" s="132">
        <v>0</v>
      </c>
      <c r="T194" s="132">
        <v>0</v>
      </c>
      <c r="U194" s="132">
        <v>0</v>
      </c>
      <c r="V194" s="132">
        <v>0</v>
      </c>
      <c r="W194" s="132">
        <v>0</v>
      </c>
      <c r="X194" s="132">
        <v>0</v>
      </c>
      <c r="Y194" s="132">
        <v>0</v>
      </c>
      <c r="Z194" s="128">
        <f t="shared" ref="Z194:Z257" si="8">AVERAGE(E194:Y194)</f>
        <v>0</v>
      </c>
    </row>
    <row r="195" spans="1:26" x14ac:dyDescent="0.2">
      <c r="A195" s="23" t="s">
        <v>103</v>
      </c>
      <c r="B195">
        <v>6</v>
      </c>
      <c r="C195" s="23" t="s">
        <v>112</v>
      </c>
      <c r="D195">
        <v>603</v>
      </c>
      <c r="E195" s="132">
        <v>0</v>
      </c>
      <c r="F195" s="132">
        <v>0</v>
      </c>
      <c r="G195" s="132">
        <v>0</v>
      </c>
      <c r="H195" s="132">
        <v>0</v>
      </c>
      <c r="I195" s="132">
        <v>0</v>
      </c>
      <c r="J195" s="132">
        <v>0</v>
      </c>
      <c r="K195" s="132">
        <v>0</v>
      </c>
      <c r="L195" s="132">
        <v>0</v>
      </c>
      <c r="M195" s="132">
        <v>0</v>
      </c>
      <c r="N195" s="132">
        <v>0</v>
      </c>
      <c r="O195" s="132">
        <v>0</v>
      </c>
      <c r="P195" s="132">
        <v>0</v>
      </c>
      <c r="Q195" s="132">
        <v>0</v>
      </c>
      <c r="R195" s="132">
        <v>0</v>
      </c>
      <c r="S195" s="132">
        <v>0</v>
      </c>
      <c r="T195" s="132">
        <v>0</v>
      </c>
      <c r="U195" s="132">
        <v>0</v>
      </c>
      <c r="V195" s="132">
        <v>0</v>
      </c>
      <c r="W195" s="132">
        <v>0</v>
      </c>
      <c r="X195" s="132">
        <v>0</v>
      </c>
      <c r="Y195" s="132">
        <v>0</v>
      </c>
      <c r="Z195" s="128">
        <f t="shared" si="8"/>
        <v>0</v>
      </c>
    </row>
    <row r="196" spans="1:26" x14ac:dyDescent="0.2">
      <c r="A196" s="23" t="s">
        <v>103</v>
      </c>
      <c r="B196">
        <v>6</v>
      </c>
      <c r="C196" s="23" t="s">
        <v>112</v>
      </c>
      <c r="D196">
        <v>604</v>
      </c>
      <c r="E196" s="132">
        <v>0</v>
      </c>
      <c r="F196" s="132">
        <v>0</v>
      </c>
      <c r="G196" s="132">
        <v>0</v>
      </c>
      <c r="H196" s="132">
        <v>0</v>
      </c>
      <c r="I196" s="132">
        <v>0</v>
      </c>
      <c r="J196" s="132">
        <v>0</v>
      </c>
      <c r="K196" s="132">
        <v>0</v>
      </c>
      <c r="L196" s="132">
        <v>0</v>
      </c>
      <c r="M196" s="132">
        <v>0</v>
      </c>
      <c r="N196" s="132">
        <v>0</v>
      </c>
      <c r="O196" s="132">
        <v>0</v>
      </c>
      <c r="P196" s="132">
        <v>0</v>
      </c>
      <c r="Q196" s="132">
        <v>0</v>
      </c>
      <c r="R196" s="132">
        <v>0</v>
      </c>
      <c r="S196" s="132">
        <v>0</v>
      </c>
      <c r="T196" s="132">
        <v>0</v>
      </c>
      <c r="U196" s="132">
        <v>0</v>
      </c>
      <c r="V196" s="132">
        <v>0</v>
      </c>
      <c r="W196" s="132">
        <v>0</v>
      </c>
      <c r="X196" s="132">
        <v>0</v>
      </c>
      <c r="Y196" s="132">
        <v>0</v>
      </c>
      <c r="Z196" s="128">
        <f t="shared" si="8"/>
        <v>0</v>
      </c>
    </row>
    <row r="197" spans="1:26" x14ac:dyDescent="0.2">
      <c r="A197" s="23" t="s">
        <v>103</v>
      </c>
      <c r="B197">
        <v>6</v>
      </c>
      <c r="C197" s="23" t="s">
        <v>112</v>
      </c>
      <c r="D197">
        <v>605</v>
      </c>
      <c r="E197" s="132">
        <v>0</v>
      </c>
      <c r="F197" s="132">
        <v>0</v>
      </c>
      <c r="G197" s="132">
        <v>0</v>
      </c>
      <c r="H197" s="132">
        <v>0</v>
      </c>
      <c r="I197" s="132">
        <v>0</v>
      </c>
      <c r="J197" s="132">
        <v>0</v>
      </c>
      <c r="K197" s="132">
        <v>0</v>
      </c>
      <c r="L197" s="132">
        <v>0</v>
      </c>
      <c r="M197" s="132">
        <v>0</v>
      </c>
      <c r="N197" s="132">
        <v>0</v>
      </c>
      <c r="O197" s="132">
        <v>0</v>
      </c>
      <c r="P197" s="132">
        <v>0</v>
      </c>
      <c r="Q197" s="132">
        <v>0</v>
      </c>
      <c r="R197" s="132">
        <v>0</v>
      </c>
      <c r="S197" s="132">
        <v>0</v>
      </c>
      <c r="T197" s="132">
        <v>0</v>
      </c>
      <c r="U197" s="132">
        <v>0</v>
      </c>
      <c r="V197" s="132">
        <v>0</v>
      </c>
      <c r="W197" s="132">
        <v>0</v>
      </c>
      <c r="X197" s="132">
        <v>0</v>
      </c>
      <c r="Y197" s="132">
        <v>0</v>
      </c>
      <c r="Z197" s="128">
        <f t="shared" si="8"/>
        <v>0</v>
      </c>
    </row>
    <row r="198" spans="1:26" x14ac:dyDescent="0.2">
      <c r="A198" s="23" t="s">
        <v>103</v>
      </c>
      <c r="B198">
        <v>6</v>
      </c>
      <c r="C198" s="23" t="s">
        <v>112</v>
      </c>
      <c r="D198">
        <v>606</v>
      </c>
      <c r="E198" s="132">
        <v>0</v>
      </c>
      <c r="F198" s="132">
        <v>0</v>
      </c>
      <c r="G198" s="132">
        <v>0</v>
      </c>
      <c r="H198" s="132">
        <v>0</v>
      </c>
      <c r="I198" s="132">
        <v>0</v>
      </c>
      <c r="J198" s="132">
        <v>0</v>
      </c>
      <c r="K198" s="132">
        <v>0</v>
      </c>
      <c r="L198" s="132">
        <v>0</v>
      </c>
      <c r="M198" s="132">
        <v>0</v>
      </c>
      <c r="N198" s="132">
        <v>0</v>
      </c>
      <c r="O198" s="132">
        <v>0</v>
      </c>
      <c r="P198" s="132">
        <v>0</v>
      </c>
      <c r="Q198" s="132">
        <v>0</v>
      </c>
      <c r="R198" s="132">
        <v>0</v>
      </c>
      <c r="S198" s="132">
        <v>0</v>
      </c>
      <c r="T198" s="132">
        <v>0</v>
      </c>
      <c r="U198" s="132">
        <v>0</v>
      </c>
      <c r="V198" s="132">
        <v>0</v>
      </c>
      <c r="W198" s="132">
        <v>0</v>
      </c>
      <c r="X198" s="132">
        <v>0</v>
      </c>
      <c r="Y198" s="132">
        <v>0</v>
      </c>
      <c r="Z198" s="128">
        <f t="shared" si="8"/>
        <v>0</v>
      </c>
    </row>
    <row r="199" spans="1:26" x14ac:dyDescent="0.2">
      <c r="A199" s="23" t="s">
        <v>103</v>
      </c>
      <c r="B199">
        <v>6</v>
      </c>
      <c r="C199" s="23" t="s">
        <v>112</v>
      </c>
      <c r="D199">
        <v>607</v>
      </c>
      <c r="E199" s="132">
        <v>0</v>
      </c>
      <c r="F199" s="132">
        <v>0</v>
      </c>
      <c r="G199" s="132">
        <v>0</v>
      </c>
      <c r="H199" s="132">
        <v>0</v>
      </c>
      <c r="I199" s="132">
        <v>0</v>
      </c>
      <c r="J199" s="132">
        <v>0</v>
      </c>
      <c r="K199" s="132">
        <v>0</v>
      </c>
      <c r="L199" s="132">
        <v>0</v>
      </c>
      <c r="M199" s="132">
        <v>0</v>
      </c>
      <c r="N199" s="132">
        <v>0</v>
      </c>
      <c r="O199" s="132">
        <v>0</v>
      </c>
      <c r="P199" s="132">
        <v>0</v>
      </c>
      <c r="Q199" s="132">
        <v>0</v>
      </c>
      <c r="R199" s="132">
        <v>0</v>
      </c>
      <c r="S199" s="132">
        <v>0</v>
      </c>
      <c r="T199" s="132">
        <v>0</v>
      </c>
      <c r="U199" s="132">
        <v>0</v>
      </c>
      <c r="V199" s="132">
        <v>0</v>
      </c>
      <c r="W199" s="132">
        <v>0</v>
      </c>
      <c r="X199" s="132">
        <v>0</v>
      </c>
      <c r="Y199" s="132">
        <v>0</v>
      </c>
      <c r="Z199" s="128">
        <f t="shared" si="8"/>
        <v>0</v>
      </c>
    </row>
    <row r="200" spans="1:26" x14ac:dyDescent="0.2">
      <c r="A200" s="23" t="s">
        <v>103</v>
      </c>
      <c r="B200">
        <v>6</v>
      </c>
      <c r="C200" s="23" t="s">
        <v>112</v>
      </c>
      <c r="D200">
        <v>608</v>
      </c>
      <c r="E200" s="132">
        <v>0</v>
      </c>
      <c r="F200" s="132">
        <v>0</v>
      </c>
      <c r="G200" s="132">
        <v>0</v>
      </c>
      <c r="H200" s="132">
        <v>0</v>
      </c>
      <c r="I200" s="132">
        <v>0</v>
      </c>
      <c r="J200" s="132">
        <v>0</v>
      </c>
      <c r="K200" s="132">
        <v>0</v>
      </c>
      <c r="L200" s="132">
        <v>0</v>
      </c>
      <c r="M200" s="132">
        <v>0</v>
      </c>
      <c r="N200" s="132">
        <v>0</v>
      </c>
      <c r="O200" s="132">
        <v>0</v>
      </c>
      <c r="P200" s="132">
        <v>0</v>
      </c>
      <c r="Q200" s="132">
        <v>0</v>
      </c>
      <c r="R200" s="132">
        <v>0</v>
      </c>
      <c r="S200" s="132">
        <v>0</v>
      </c>
      <c r="T200" s="132">
        <v>0</v>
      </c>
      <c r="U200" s="132">
        <v>0</v>
      </c>
      <c r="V200" s="132">
        <v>0</v>
      </c>
      <c r="W200" s="132">
        <v>0</v>
      </c>
      <c r="X200" s="132">
        <v>0</v>
      </c>
      <c r="Y200" s="132">
        <v>0</v>
      </c>
      <c r="Z200" s="128">
        <f t="shared" si="8"/>
        <v>0</v>
      </c>
    </row>
    <row r="201" spans="1:26" x14ac:dyDescent="0.2">
      <c r="A201" s="23" t="s">
        <v>103</v>
      </c>
      <c r="B201">
        <v>6</v>
      </c>
      <c r="C201" s="23" t="s">
        <v>112</v>
      </c>
      <c r="D201">
        <v>609</v>
      </c>
      <c r="E201" s="132">
        <v>0</v>
      </c>
      <c r="F201" s="132">
        <v>0</v>
      </c>
      <c r="G201" s="132">
        <v>0</v>
      </c>
      <c r="H201" s="132">
        <v>0</v>
      </c>
      <c r="I201" s="132">
        <v>0</v>
      </c>
      <c r="J201" s="132">
        <v>0</v>
      </c>
      <c r="K201" s="132">
        <v>0</v>
      </c>
      <c r="L201" s="132">
        <v>0</v>
      </c>
      <c r="M201" s="132">
        <v>0</v>
      </c>
      <c r="N201" s="132">
        <v>0</v>
      </c>
      <c r="O201" s="132">
        <v>0</v>
      </c>
      <c r="P201" s="132">
        <v>0</v>
      </c>
      <c r="Q201" s="132">
        <v>0</v>
      </c>
      <c r="R201" s="132">
        <v>0</v>
      </c>
      <c r="S201" s="132">
        <v>0</v>
      </c>
      <c r="T201" s="132">
        <v>0</v>
      </c>
      <c r="U201" s="132">
        <v>0</v>
      </c>
      <c r="V201" s="132">
        <v>0</v>
      </c>
      <c r="W201" s="132">
        <v>0</v>
      </c>
      <c r="X201" s="132">
        <v>0</v>
      </c>
      <c r="Y201" s="132">
        <v>0</v>
      </c>
      <c r="Z201" s="128">
        <f t="shared" si="8"/>
        <v>0</v>
      </c>
    </row>
    <row r="202" spans="1:26" x14ac:dyDescent="0.2">
      <c r="A202" s="23" t="s">
        <v>103</v>
      </c>
      <c r="B202">
        <v>6</v>
      </c>
      <c r="C202" s="23" t="s">
        <v>112</v>
      </c>
      <c r="D202">
        <v>610</v>
      </c>
      <c r="E202" s="132">
        <v>0</v>
      </c>
      <c r="F202" s="132">
        <v>0</v>
      </c>
      <c r="G202" s="132">
        <v>0</v>
      </c>
      <c r="H202" s="132">
        <v>0</v>
      </c>
      <c r="I202" s="132">
        <v>0</v>
      </c>
      <c r="J202" s="132">
        <v>0</v>
      </c>
      <c r="K202" s="132">
        <v>0</v>
      </c>
      <c r="L202" s="132">
        <v>0</v>
      </c>
      <c r="M202" s="132">
        <v>0</v>
      </c>
      <c r="N202" s="132">
        <v>0</v>
      </c>
      <c r="O202" s="132">
        <v>0</v>
      </c>
      <c r="P202" s="132">
        <v>0</v>
      </c>
      <c r="Q202" s="132">
        <v>0</v>
      </c>
      <c r="R202" s="132">
        <v>0</v>
      </c>
      <c r="S202" s="132">
        <v>0</v>
      </c>
      <c r="T202" s="132">
        <v>0</v>
      </c>
      <c r="U202" s="132">
        <v>0</v>
      </c>
      <c r="V202" s="132">
        <v>0</v>
      </c>
      <c r="W202" s="132">
        <v>0</v>
      </c>
      <c r="X202" s="132">
        <v>0</v>
      </c>
      <c r="Y202" s="132">
        <v>0</v>
      </c>
      <c r="Z202" s="128">
        <f t="shared" si="8"/>
        <v>0</v>
      </c>
    </row>
    <row r="203" spans="1:26" x14ac:dyDescent="0.2">
      <c r="A203" s="23" t="s">
        <v>103</v>
      </c>
      <c r="B203">
        <v>6</v>
      </c>
      <c r="C203" s="23" t="s">
        <v>112</v>
      </c>
      <c r="D203">
        <v>611</v>
      </c>
      <c r="E203" s="132">
        <v>0</v>
      </c>
      <c r="F203" s="132">
        <v>0</v>
      </c>
      <c r="G203" s="132">
        <v>0</v>
      </c>
      <c r="H203" s="132">
        <v>0</v>
      </c>
      <c r="I203" s="132">
        <v>0</v>
      </c>
      <c r="J203" s="132">
        <v>0</v>
      </c>
      <c r="K203" s="132">
        <v>0</v>
      </c>
      <c r="L203" s="132">
        <v>0</v>
      </c>
      <c r="M203" s="132">
        <v>0</v>
      </c>
      <c r="N203" s="132">
        <v>0</v>
      </c>
      <c r="O203" s="132">
        <v>0</v>
      </c>
      <c r="P203" s="132">
        <v>0</v>
      </c>
      <c r="Q203" s="132">
        <v>0</v>
      </c>
      <c r="R203" s="132">
        <v>0</v>
      </c>
      <c r="S203" s="132">
        <v>0</v>
      </c>
      <c r="T203" s="132">
        <v>0</v>
      </c>
      <c r="U203" s="132">
        <v>0</v>
      </c>
      <c r="V203" s="132">
        <v>0</v>
      </c>
      <c r="W203" s="132">
        <v>0</v>
      </c>
      <c r="X203" s="132">
        <v>0</v>
      </c>
      <c r="Y203" s="132">
        <v>0</v>
      </c>
      <c r="Z203" s="128">
        <f t="shared" si="8"/>
        <v>0</v>
      </c>
    </row>
    <row r="204" spans="1:26" x14ac:dyDescent="0.2">
      <c r="A204" s="23" t="s">
        <v>103</v>
      </c>
      <c r="B204">
        <v>6</v>
      </c>
      <c r="C204" s="23" t="s">
        <v>112</v>
      </c>
      <c r="D204">
        <v>612</v>
      </c>
      <c r="E204" s="132">
        <v>0</v>
      </c>
      <c r="F204" s="132">
        <v>0</v>
      </c>
      <c r="G204" s="132">
        <v>0</v>
      </c>
      <c r="H204" s="132">
        <v>0</v>
      </c>
      <c r="I204" s="132">
        <v>0</v>
      </c>
      <c r="J204" s="132">
        <v>0</v>
      </c>
      <c r="K204" s="132">
        <v>0</v>
      </c>
      <c r="L204" s="132">
        <v>0</v>
      </c>
      <c r="M204" s="132">
        <v>0</v>
      </c>
      <c r="N204" s="132">
        <v>0</v>
      </c>
      <c r="O204" s="132">
        <v>0</v>
      </c>
      <c r="P204" s="132">
        <v>0</v>
      </c>
      <c r="Q204" s="132">
        <v>0</v>
      </c>
      <c r="R204" s="132">
        <v>0</v>
      </c>
      <c r="S204" s="132">
        <v>0</v>
      </c>
      <c r="T204" s="132">
        <v>0</v>
      </c>
      <c r="U204" s="132">
        <v>0</v>
      </c>
      <c r="V204" s="132">
        <v>0</v>
      </c>
      <c r="W204" s="132">
        <v>0</v>
      </c>
      <c r="X204" s="132">
        <v>0</v>
      </c>
      <c r="Y204" s="132">
        <v>0</v>
      </c>
      <c r="Z204" s="128">
        <f t="shared" si="8"/>
        <v>0</v>
      </c>
    </row>
    <row r="205" spans="1:26" x14ac:dyDescent="0.2">
      <c r="A205" s="23" t="s">
        <v>103</v>
      </c>
      <c r="B205">
        <v>6</v>
      </c>
      <c r="C205" s="23" t="s">
        <v>112</v>
      </c>
      <c r="D205">
        <v>613</v>
      </c>
      <c r="E205" s="132">
        <v>0</v>
      </c>
      <c r="F205" s="132">
        <v>0</v>
      </c>
      <c r="G205" s="132">
        <v>0</v>
      </c>
      <c r="H205" s="132">
        <v>0</v>
      </c>
      <c r="I205" s="132">
        <v>0</v>
      </c>
      <c r="J205" s="132">
        <v>0</v>
      </c>
      <c r="K205" s="132">
        <v>0</v>
      </c>
      <c r="L205" s="132">
        <v>0</v>
      </c>
      <c r="M205" s="132">
        <v>0</v>
      </c>
      <c r="N205" s="132">
        <v>0</v>
      </c>
      <c r="O205" s="132">
        <v>0</v>
      </c>
      <c r="P205" s="132">
        <v>0</v>
      </c>
      <c r="Q205" s="132">
        <v>0</v>
      </c>
      <c r="R205" s="132">
        <v>0</v>
      </c>
      <c r="S205" s="132">
        <v>0</v>
      </c>
      <c r="T205" s="132">
        <v>0</v>
      </c>
      <c r="U205" s="132">
        <v>0</v>
      </c>
      <c r="V205" s="132">
        <v>0</v>
      </c>
      <c r="W205" s="132">
        <v>0</v>
      </c>
      <c r="X205" s="132">
        <v>0</v>
      </c>
      <c r="Y205" s="132">
        <v>0</v>
      </c>
      <c r="Z205" s="128">
        <f t="shared" si="8"/>
        <v>0</v>
      </c>
    </row>
    <row r="206" spans="1:26" x14ac:dyDescent="0.2">
      <c r="A206" s="23" t="s">
        <v>103</v>
      </c>
      <c r="B206">
        <v>6</v>
      </c>
      <c r="C206" s="23" t="s">
        <v>112</v>
      </c>
      <c r="D206">
        <v>614</v>
      </c>
      <c r="E206" s="132">
        <v>0</v>
      </c>
      <c r="F206" s="132">
        <v>0</v>
      </c>
      <c r="G206" s="132">
        <v>0</v>
      </c>
      <c r="H206" s="132">
        <v>0</v>
      </c>
      <c r="I206" s="132">
        <v>0</v>
      </c>
      <c r="J206" s="132">
        <v>0</v>
      </c>
      <c r="K206" s="132">
        <v>0</v>
      </c>
      <c r="L206" s="132">
        <v>0</v>
      </c>
      <c r="M206" s="132">
        <v>0</v>
      </c>
      <c r="N206" s="132">
        <v>0</v>
      </c>
      <c r="O206" s="132">
        <v>0</v>
      </c>
      <c r="P206" s="132">
        <v>0</v>
      </c>
      <c r="Q206" s="132">
        <v>0</v>
      </c>
      <c r="R206" s="132">
        <v>0</v>
      </c>
      <c r="S206" s="132">
        <v>0</v>
      </c>
      <c r="T206" s="132">
        <v>0</v>
      </c>
      <c r="U206" s="132">
        <v>0</v>
      </c>
      <c r="V206" s="132">
        <v>0</v>
      </c>
      <c r="W206" s="132">
        <v>0</v>
      </c>
      <c r="X206" s="132">
        <v>0</v>
      </c>
      <c r="Y206" s="132">
        <v>0</v>
      </c>
      <c r="Z206" s="128">
        <f t="shared" si="8"/>
        <v>0</v>
      </c>
    </row>
    <row r="207" spans="1:26" x14ac:dyDescent="0.2">
      <c r="A207" s="23" t="s">
        <v>103</v>
      </c>
      <c r="B207">
        <v>6</v>
      </c>
      <c r="C207" s="23" t="s">
        <v>112</v>
      </c>
      <c r="D207">
        <v>615</v>
      </c>
      <c r="E207" s="132">
        <v>0</v>
      </c>
      <c r="F207" s="132">
        <v>0</v>
      </c>
      <c r="G207" s="132">
        <v>0</v>
      </c>
      <c r="H207" s="132">
        <v>0</v>
      </c>
      <c r="I207" s="132">
        <v>0</v>
      </c>
      <c r="J207" s="132">
        <v>0</v>
      </c>
      <c r="K207" s="132">
        <v>0</v>
      </c>
      <c r="L207" s="132">
        <v>0</v>
      </c>
      <c r="M207" s="132">
        <v>0</v>
      </c>
      <c r="N207" s="132">
        <v>0</v>
      </c>
      <c r="O207" s="132">
        <v>0</v>
      </c>
      <c r="P207" s="132">
        <v>0</v>
      </c>
      <c r="Q207" s="132">
        <v>0</v>
      </c>
      <c r="R207" s="132">
        <v>0</v>
      </c>
      <c r="S207" s="132">
        <v>0</v>
      </c>
      <c r="T207" s="132">
        <v>0</v>
      </c>
      <c r="U207" s="132">
        <v>0</v>
      </c>
      <c r="V207" s="132">
        <v>0</v>
      </c>
      <c r="W207" s="132">
        <v>0</v>
      </c>
      <c r="X207" s="132">
        <v>0</v>
      </c>
      <c r="Y207" s="132">
        <v>0</v>
      </c>
      <c r="Z207" s="128">
        <f t="shared" si="8"/>
        <v>0</v>
      </c>
    </row>
    <row r="208" spans="1:26" x14ac:dyDescent="0.2">
      <c r="A208" s="23" t="s">
        <v>103</v>
      </c>
      <c r="B208">
        <v>6</v>
      </c>
      <c r="C208" s="23" t="s">
        <v>112</v>
      </c>
      <c r="D208">
        <v>616</v>
      </c>
      <c r="E208" s="132">
        <v>0</v>
      </c>
      <c r="F208" s="132">
        <v>0</v>
      </c>
      <c r="G208" s="132">
        <v>0</v>
      </c>
      <c r="H208" s="132">
        <v>0</v>
      </c>
      <c r="I208" s="132">
        <v>0</v>
      </c>
      <c r="J208" s="132">
        <v>0</v>
      </c>
      <c r="K208" s="132">
        <v>0</v>
      </c>
      <c r="L208" s="132">
        <v>0</v>
      </c>
      <c r="M208" s="132">
        <v>0</v>
      </c>
      <c r="N208" s="132">
        <v>0</v>
      </c>
      <c r="O208" s="132">
        <v>0</v>
      </c>
      <c r="P208" s="132">
        <v>0</v>
      </c>
      <c r="Q208" s="132">
        <v>0</v>
      </c>
      <c r="R208" s="132">
        <v>0</v>
      </c>
      <c r="S208" s="132">
        <v>0</v>
      </c>
      <c r="T208" s="132">
        <v>0</v>
      </c>
      <c r="U208" s="132">
        <v>0</v>
      </c>
      <c r="V208" s="132">
        <v>0</v>
      </c>
      <c r="W208" s="132">
        <v>0</v>
      </c>
      <c r="X208" s="132">
        <v>0</v>
      </c>
      <c r="Y208" s="132">
        <v>0</v>
      </c>
      <c r="Z208" s="128">
        <f t="shared" si="8"/>
        <v>0</v>
      </c>
    </row>
    <row r="209" spans="1:26" x14ac:dyDescent="0.2">
      <c r="A209" s="23" t="s">
        <v>103</v>
      </c>
      <c r="B209">
        <v>6</v>
      </c>
      <c r="C209" s="23" t="s">
        <v>112</v>
      </c>
      <c r="D209">
        <v>617</v>
      </c>
      <c r="E209" s="132">
        <v>0</v>
      </c>
      <c r="F209" s="132">
        <v>0</v>
      </c>
      <c r="G209" s="132">
        <v>0</v>
      </c>
      <c r="H209" s="132">
        <v>0</v>
      </c>
      <c r="I209" s="132">
        <v>0</v>
      </c>
      <c r="J209" s="132">
        <v>0</v>
      </c>
      <c r="K209" s="132">
        <v>0</v>
      </c>
      <c r="L209" s="132">
        <v>0</v>
      </c>
      <c r="M209" s="132">
        <v>0</v>
      </c>
      <c r="N209" s="132">
        <v>0</v>
      </c>
      <c r="O209" s="132">
        <v>0</v>
      </c>
      <c r="P209" s="132">
        <v>0</v>
      </c>
      <c r="Q209" s="132">
        <v>0</v>
      </c>
      <c r="R209" s="132">
        <v>0</v>
      </c>
      <c r="S209" s="132">
        <v>0</v>
      </c>
      <c r="T209" s="132">
        <v>0</v>
      </c>
      <c r="U209" s="132">
        <v>0</v>
      </c>
      <c r="V209" s="132">
        <v>0</v>
      </c>
      <c r="W209" s="132">
        <v>0</v>
      </c>
      <c r="X209" s="132">
        <v>0</v>
      </c>
      <c r="Y209" s="132">
        <v>0</v>
      </c>
      <c r="Z209" s="128">
        <f t="shared" si="8"/>
        <v>0</v>
      </c>
    </row>
    <row r="210" spans="1:26" x14ac:dyDescent="0.2">
      <c r="A210" s="23" t="s">
        <v>103</v>
      </c>
      <c r="B210">
        <v>6</v>
      </c>
      <c r="C210" s="23" t="s">
        <v>112</v>
      </c>
      <c r="D210">
        <v>618</v>
      </c>
      <c r="E210" s="132">
        <v>0</v>
      </c>
      <c r="F210" s="132">
        <v>0</v>
      </c>
      <c r="G210" s="132">
        <v>0</v>
      </c>
      <c r="H210" s="132">
        <v>0</v>
      </c>
      <c r="I210" s="132">
        <v>0</v>
      </c>
      <c r="J210" s="132">
        <v>0</v>
      </c>
      <c r="K210" s="132">
        <v>0</v>
      </c>
      <c r="L210" s="132">
        <v>0</v>
      </c>
      <c r="M210" s="132">
        <v>0</v>
      </c>
      <c r="N210" s="132">
        <v>0</v>
      </c>
      <c r="O210" s="132">
        <v>0</v>
      </c>
      <c r="P210" s="132">
        <v>0</v>
      </c>
      <c r="Q210" s="132">
        <v>0</v>
      </c>
      <c r="R210" s="132">
        <v>0</v>
      </c>
      <c r="S210" s="132">
        <v>0</v>
      </c>
      <c r="T210" s="132">
        <v>0</v>
      </c>
      <c r="U210" s="132">
        <v>0</v>
      </c>
      <c r="V210" s="132">
        <v>0</v>
      </c>
      <c r="W210" s="132">
        <v>0</v>
      </c>
      <c r="X210" s="132">
        <v>0</v>
      </c>
      <c r="Y210" s="132">
        <v>0</v>
      </c>
      <c r="Z210" s="128">
        <f t="shared" si="8"/>
        <v>0</v>
      </c>
    </row>
    <row r="211" spans="1:26" x14ac:dyDescent="0.2">
      <c r="A211" s="23" t="s">
        <v>103</v>
      </c>
      <c r="B211">
        <v>6</v>
      </c>
      <c r="C211" s="23" t="s">
        <v>112</v>
      </c>
      <c r="D211">
        <v>619</v>
      </c>
      <c r="E211" s="132">
        <v>0</v>
      </c>
      <c r="F211" s="132">
        <v>0</v>
      </c>
      <c r="G211" s="132">
        <v>0</v>
      </c>
      <c r="H211" s="132">
        <v>0</v>
      </c>
      <c r="I211" s="132">
        <v>0</v>
      </c>
      <c r="J211" s="132">
        <v>0</v>
      </c>
      <c r="K211" s="132">
        <v>0</v>
      </c>
      <c r="L211" s="132">
        <v>0</v>
      </c>
      <c r="M211" s="132">
        <v>0</v>
      </c>
      <c r="N211" s="132">
        <v>0</v>
      </c>
      <c r="O211" s="132">
        <v>0</v>
      </c>
      <c r="P211" s="132">
        <v>0</v>
      </c>
      <c r="Q211" s="132">
        <v>0</v>
      </c>
      <c r="R211" s="132">
        <v>0</v>
      </c>
      <c r="S211" s="132">
        <v>0</v>
      </c>
      <c r="T211" s="132">
        <v>0</v>
      </c>
      <c r="U211" s="132">
        <v>0</v>
      </c>
      <c r="V211" s="132">
        <v>0</v>
      </c>
      <c r="W211" s="132">
        <v>0</v>
      </c>
      <c r="X211" s="132">
        <v>0</v>
      </c>
      <c r="Y211" s="132">
        <v>0</v>
      </c>
      <c r="Z211" s="128">
        <f t="shared" si="8"/>
        <v>0</v>
      </c>
    </row>
    <row r="212" spans="1:26" x14ac:dyDescent="0.2">
      <c r="A212" s="23" t="s">
        <v>103</v>
      </c>
      <c r="B212">
        <v>6</v>
      </c>
      <c r="C212" s="23" t="s">
        <v>112</v>
      </c>
      <c r="D212">
        <v>620</v>
      </c>
      <c r="E212" s="132">
        <v>0</v>
      </c>
      <c r="F212" s="132">
        <v>0</v>
      </c>
      <c r="G212" s="132">
        <v>0</v>
      </c>
      <c r="H212" s="132">
        <v>0</v>
      </c>
      <c r="I212" s="132">
        <v>0</v>
      </c>
      <c r="J212" s="132">
        <v>0</v>
      </c>
      <c r="K212" s="132">
        <v>0</v>
      </c>
      <c r="L212" s="132">
        <v>0</v>
      </c>
      <c r="M212" s="132">
        <v>0</v>
      </c>
      <c r="N212" s="132">
        <v>0</v>
      </c>
      <c r="O212" s="132">
        <v>0</v>
      </c>
      <c r="P212" s="132">
        <v>0</v>
      </c>
      <c r="Q212" s="132">
        <v>0</v>
      </c>
      <c r="R212" s="132">
        <v>0</v>
      </c>
      <c r="S212" s="132">
        <v>0</v>
      </c>
      <c r="T212" s="132">
        <v>0</v>
      </c>
      <c r="U212" s="132">
        <v>0</v>
      </c>
      <c r="V212" s="132">
        <v>0</v>
      </c>
      <c r="W212" s="132">
        <v>0</v>
      </c>
      <c r="X212" s="132">
        <v>0</v>
      </c>
      <c r="Y212" s="132">
        <v>0</v>
      </c>
      <c r="Z212" s="128">
        <f t="shared" si="8"/>
        <v>0</v>
      </c>
    </row>
    <row r="213" spans="1:26" x14ac:dyDescent="0.2">
      <c r="A213" s="23" t="s">
        <v>103</v>
      </c>
      <c r="B213">
        <v>6</v>
      </c>
      <c r="C213" s="23" t="s">
        <v>112</v>
      </c>
      <c r="D213">
        <v>621</v>
      </c>
      <c r="E213" s="132">
        <v>0</v>
      </c>
      <c r="F213" s="132">
        <v>0</v>
      </c>
      <c r="G213" s="132">
        <v>0</v>
      </c>
      <c r="H213" s="132">
        <v>0</v>
      </c>
      <c r="I213" s="132">
        <v>0</v>
      </c>
      <c r="J213" s="132">
        <v>0</v>
      </c>
      <c r="K213" s="132">
        <v>0</v>
      </c>
      <c r="L213" s="132">
        <v>0</v>
      </c>
      <c r="M213" s="132">
        <v>0</v>
      </c>
      <c r="N213" s="132">
        <v>0</v>
      </c>
      <c r="O213" s="132">
        <v>0</v>
      </c>
      <c r="P213" s="132">
        <v>0</v>
      </c>
      <c r="Q213" s="132">
        <v>0</v>
      </c>
      <c r="R213" s="132">
        <v>0</v>
      </c>
      <c r="S213" s="132">
        <v>0</v>
      </c>
      <c r="T213" s="132">
        <v>0</v>
      </c>
      <c r="U213" s="132">
        <v>0</v>
      </c>
      <c r="V213" s="132">
        <v>0</v>
      </c>
      <c r="W213" s="132">
        <v>0</v>
      </c>
      <c r="X213" s="132">
        <v>0</v>
      </c>
      <c r="Y213" s="132">
        <v>0</v>
      </c>
      <c r="Z213" s="128">
        <f t="shared" si="8"/>
        <v>0</v>
      </c>
    </row>
    <row r="214" spans="1:26" x14ac:dyDescent="0.2">
      <c r="A214" s="23" t="s">
        <v>103</v>
      </c>
      <c r="B214">
        <v>6</v>
      </c>
      <c r="C214" s="23" t="s">
        <v>112</v>
      </c>
      <c r="D214">
        <v>622</v>
      </c>
      <c r="E214" s="132">
        <v>0</v>
      </c>
      <c r="F214" s="132">
        <v>0</v>
      </c>
      <c r="G214" s="132">
        <v>0</v>
      </c>
      <c r="H214" s="132">
        <v>0</v>
      </c>
      <c r="I214" s="132">
        <v>0</v>
      </c>
      <c r="J214" s="132">
        <v>0</v>
      </c>
      <c r="K214" s="132">
        <v>0</v>
      </c>
      <c r="L214" s="132">
        <v>0</v>
      </c>
      <c r="M214" s="132">
        <v>0</v>
      </c>
      <c r="N214" s="132">
        <v>0</v>
      </c>
      <c r="O214" s="132">
        <v>0</v>
      </c>
      <c r="P214" s="132">
        <v>0</v>
      </c>
      <c r="Q214" s="132">
        <v>0</v>
      </c>
      <c r="R214" s="132">
        <v>0</v>
      </c>
      <c r="S214" s="132">
        <v>0</v>
      </c>
      <c r="T214" s="132">
        <v>0</v>
      </c>
      <c r="U214" s="132">
        <v>0</v>
      </c>
      <c r="V214" s="132">
        <v>0</v>
      </c>
      <c r="W214" s="132">
        <v>0</v>
      </c>
      <c r="X214" s="132">
        <v>0</v>
      </c>
      <c r="Y214" s="132">
        <v>0</v>
      </c>
      <c r="Z214" s="128">
        <f t="shared" si="8"/>
        <v>0</v>
      </c>
    </row>
    <row r="215" spans="1:26" x14ac:dyDescent="0.2">
      <c r="A215" s="23" t="s">
        <v>103</v>
      </c>
      <c r="B215">
        <v>6</v>
      </c>
      <c r="C215" s="23" t="s">
        <v>112</v>
      </c>
      <c r="D215">
        <v>623</v>
      </c>
      <c r="E215" s="132">
        <v>0</v>
      </c>
      <c r="F215" s="132">
        <v>0</v>
      </c>
      <c r="G215" s="132">
        <v>0</v>
      </c>
      <c r="H215" s="132">
        <v>0</v>
      </c>
      <c r="I215" s="132">
        <v>0</v>
      </c>
      <c r="J215" s="132">
        <v>0</v>
      </c>
      <c r="K215" s="132">
        <v>0</v>
      </c>
      <c r="L215" s="132">
        <v>0</v>
      </c>
      <c r="M215" s="132">
        <v>0</v>
      </c>
      <c r="N215" s="132">
        <v>0</v>
      </c>
      <c r="O215" s="132">
        <v>0</v>
      </c>
      <c r="P215" s="132">
        <v>0</v>
      </c>
      <c r="Q215" s="132">
        <v>0</v>
      </c>
      <c r="R215" s="132">
        <v>0</v>
      </c>
      <c r="S215" s="132">
        <v>0</v>
      </c>
      <c r="T215" s="132">
        <v>0</v>
      </c>
      <c r="U215" s="132">
        <v>0</v>
      </c>
      <c r="V215" s="132">
        <v>0</v>
      </c>
      <c r="W215" s="132">
        <v>0</v>
      </c>
      <c r="X215" s="132">
        <v>0</v>
      </c>
      <c r="Y215" s="132">
        <v>0</v>
      </c>
      <c r="Z215" s="128">
        <f t="shared" si="8"/>
        <v>0</v>
      </c>
    </row>
    <row r="216" spans="1:26" x14ac:dyDescent="0.2">
      <c r="A216" s="23" t="s">
        <v>103</v>
      </c>
      <c r="B216">
        <v>6</v>
      </c>
      <c r="C216" s="23" t="s">
        <v>111</v>
      </c>
      <c r="D216">
        <v>601</v>
      </c>
      <c r="E216" s="132">
        <v>0</v>
      </c>
      <c r="F216" s="132">
        <v>0</v>
      </c>
      <c r="G216" s="132">
        <v>0</v>
      </c>
      <c r="H216" s="132">
        <v>0</v>
      </c>
      <c r="I216" s="132">
        <v>0</v>
      </c>
      <c r="J216" s="132">
        <v>0</v>
      </c>
      <c r="K216" s="132">
        <v>0</v>
      </c>
      <c r="L216" s="132">
        <v>0</v>
      </c>
      <c r="M216" s="132">
        <v>0</v>
      </c>
      <c r="N216" s="132">
        <v>0</v>
      </c>
      <c r="O216" s="132">
        <v>0</v>
      </c>
      <c r="P216" s="132">
        <v>0</v>
      </c>
      <c r="Q216" s="132">
        <v>0</v>
      </c>
      <c r="R216" s="132">
        <v>0</v>
      </c>
      <c r="S216" s="132">
        <v>0</v>
      </c>
      <c r="T216" s="132">
        <v>0</v>
      </c>
      <c r="U216" s="132">
        <v>0</v>
      </c>
      <c r="V216" s="132">
        <v>0</v>
      </c>
      <c r="W216" s="132">
        <v>0</v>
      </c>
      <c r="X216" s="132">
        <v>0</v>
      </c>
      <c r="Y216" s="132">
        <v>0</v>
      </c>
      <c r="Z216" s="128">
        <f t="shared" si="8"/>
        <v>0</v>
      </c>
    </row>
    <row r="217" spans="1:26" x14ac:dyDescent="0.2">
      <c r="A217" s="23" t="s">
        <v>103</v>
      </c>
      <c r="B217">
        <v>6</v>
      </c>
      <c r="C217" s="23" t="s">
        <v>111</v>
      </c>
      <c r="D217">
        <v>602</v>
      </c>
      <c r="E217" s="132">
        <v>0</v>
      </c>
      <c r="F217" s="132">
        <v>0</v>
      </c>
      <c r="G217" s="132">
        <v>0</v>
      </c>
      <c r="H217" s="132">
        <v>0</v>
      </c>
      <c r="I217" s="132">
        <v>0</v>
      </c>
      <c r="J217" s="132">
        <v>0</v>
      </c>
      <c r="K217" s="132">
        <v>0</v>
      </c>
      <c r="L217" s="132">
        <v>0</v>
      </c>
      <c r="M217" s="132">
        <v>0</v>
      </c>
      <c r="N217" s="132">
        <v>0</v>
      </c>
      <c r="O217" s="132">
        <v>0</v>
      </c>
      <c r="P217" s="132">
        <v>0</v>
      </c>
      <c r="Q217" s="132">
        <v>0</v>
      </c>
      <c r="R217" s="132">
        <v>0</v>
      </c>
      <c r="S217" s="132">
        <v>0</v>
      </c>
      <c r="T217" s="132">
        <v>0</v>
      </c>
      <c r="U217" s="132">
        <v>0</v>
      </c>
      <c r="V217" s="132">
        <v>0</v>
      </c>
      <c r="W217" s="132">
        <v>0</v>
      </c>
      <c r="X217" s="132">
        <v>0</v>
      </c>
      <c r="Y217" s="132">
        <v>0</v>
      </c>
      <c r="Z217" s="128">
        <f t="shared" si="8"/>
        <v>0</v>
      </c>
    </row>
    <row r="218" spans="1:26" x14ac:dyDescent="0.2">
      <c r="A218" s="23" t="s">
        <v>103</v>
      </c>
      <c r="B218">
        <v>6</v>
      </c>
      <c r="C218" s="23" t="s">
        <v>111</v>
      </c>
      <c r="D218">
        <v>603</v>
      </c>
      <c r="E218" s="132">
        <v>0</v>
      </c>
      <c r="F218" s="132">
        <v>0</v>
      </c>
      <c r="G218" s="132">
        <v>0</v>
      </c>
      <c r="H218" s="132">
        <v>0</v>
      </c>
      <c r="I218" s="132">
        <v>0</v>
      </c>
      <c r="J218" s="132">
        <v>0</v>
      </c>
      <c r="K218" s="132">
        <v>0</v>
      </c>
      <c r="L218" s="132">
        <v>0</v>
      </c>
      <c r="M218" s="132">
        <v>0</v>
      </c>
      <c r="N218" s="132">
        <v>0</v>
      </c>
      <c r="O218" s="132">
        <v>0</v>
      </c>
      <c r="P218" s="132">
        <v>0</v>
      </c>
      <c r="Q218" s="132">
        <v>0</v>
      </c>
      <c r="R218" s="132">
        <v>0</v>
      </c>
      <c r="S218" s="132">
        <v>0</v>
      </c>
      <c r="T218" s="132">
        <v>0</v>
      </c>
      <c r="U218" s="132">
        <v>0</v>
      </c>
      <c r="V218" s="132">
        <v>0</v>
      </c>
      <c r="W218" s="132">
        <v>0</v>
      </c>
      <c r="X218" s="132">
        <v>0</v>
      </c>
      <c r="Y218" s="132">
        <v>0</v>
      </c>
      <c r="Z218" s="128">
        <f t="shared" si="8"/>
        <v>0</v>
      </c>
    </row>
    <row r="219" spans="1:26" x14ac:dyDescent="0.2">
      <c r="A219" s="23" t="s">
        <v>103</v>
      </c>
      <c r="B219">
        <v>6</v>
      </c>
      <c r="C219" s="23" t="s">
        <v>111</v>
      </c>
      <c r="D219">
        <v>604</v>
      </c>
      <c r="E219" s="132">
        <v>0</v>
      </c>
      <c r="F219" s="132">
        <v>0</v>
      </c>
      <c r="G219" s="132">
        <v>0</v>
      </c>
      <c r="H219" s="132">
        <v>0</v>
      </c>
      <c r="I219" s="132">
        <v>0</v>
      </c>
      <c r="J219" s="132">
        <v>0</v>
      </c>
      <c r="K219" s="132">
        <v>0</v>
      </c>
      <c r="L219" s="132">
        <v>0</v>
      </c>
      <c r="M219" s="132">
        <v>0</v>
      </c>
      <c r="N219" s="132">
        <v>0</v>
      </c>
      <c r="O219" s="132">
        <v>0</v>
      </c>
      <c r="P219" s="132">
        <v>0</v>
      </c>
      <c r="Q219" s="132">
        <v>0</v>
      </c>
      <c r="R219" s="132">
        <v>0</v>
      </c>
      <c r="S219" s="132">
        <v>0</v>
      </c>
      <c r="T219" s="132">
        <v>0</v>
      </c>
      <c r="U219" s="132">
        <v>0</v>
      </c>
      <c r="V219" s="132">
        <v>0</v>
      </c>
      <c r="W219" s="132">
        <v>0</v>
      </c>
      <c r="X219" s="132">
        <v>0</v>
      </c>
      <c r="Y219" s="132">
        <v>0</v>
      </c>
      <c r="Z219" s="128">
        <f t="shared" si="8"/>
        <v>0</v>
      </c>
    </row>
    <row r="220" spans="1:26" x14ac:dyDescent="0.2">
      <c r="A220" s="23" t="s">
        <v>103</v>
      </c>
      <c r="B220">
        <v>6</v>
      </c>
      <c r="C220" s="23" t="s">
        <v>111</v>
      </c>
      <c r="D220">
        <v>605</v>
      </c>
      <c r="E220" s="132">
        <v>0</v>
      </c>
      <c r="F220" s="132">
        <v>0</v>
      </c>
      <c r="G220" s="132">
        <v>0</v>
      </c>
      <c r="H220" s="132">
        <v>0</v>
      </c>
      <c r="I220" s="132">
        <v>0</v>
      </c>
      <c r="J220" s="132">
        <v>0</v>
      </c>
      <c r="K220" s="132">
        <v>0</v>
      </c>
      <c r="L220" s="132">
        <v>0</v>
      </c>
      <c r="M220" s="132">
        <v>0</v>
      </c>
      <c r="N220" s="132">
        <v>0</v>
      </c>
      <c r="O220" s="132">
        <v>0</v>
      </c>
      <c r="P220" s="132">
        <v>0</v>
      </c>
      <c r="Q220" s="132">
        <v>0</v>
      </c>
      <c r="R220" s="132">
        <v>0</v>
      </c>
      <c r="S220" s="132">
        <v>0</v>
      </c>
      <c r="T220" s="132">
        <v>0</v>
      </c>
      <c r="U220" s="132">
        <v>0</v>
      </c>
      <c r="V220" s="132">
        <v>0</v>
      </c>
      <c r="W220" s="132">
        <v>0</v>
      </c>
      <c r="X220" s="132">
        <v>0</v>
      </c>
      <c r="Y220" s="132">
        <v>0</v>
      </c>
      <c r="Z220" s="128">
        <f t="shared" si="8"/>
        <v>0</v>
      </c>
    </row>
    <row r="221" spans="1:26" x14ac:dyDescent="0.2">
      <c r="A221" s="23" t="s">
        <v>103</v>
      </c>
      <c r="B221">
        <v>6</v>
      </c>
      <c r="C221" s="23" t="s">
        <v>111</v>
      </c>
      <c r="D221">
        <v>606</v>
      </c>
      <c r="E221" s="132">
        <v>0</v>
      </c>
      <c r="F221" s="132">
        <v>0</v>
      </c>
      <c r="G221" s="132">
        <v>0</v>
      </c>
      <c r="H221" s="132">
        <v>0</v>
      </c>
      <c r="I221" s="132">
        <v>0</v>
      </c>
      <c r="J221" s="132">
        <v>0</v>
      </c>
      <c r="K221" s="132">
        <v>0</v>
      </c>
      <c r="L221" s="132">
        <v>0</v>
      </c>
      <c r="M221" s="132">
        <v>0</v>
      </c>
      <c r="N221" s="132">
        <v>0</v>
      </c>
      <c r="O221" s="132">
        <v>0</v>
      </c>
      <c r="P221" s="132">
        <v>0</v>
      </c>
      <c r="Q221" s="132">
        <v>0</v>
      </c>
      <c r="R221" s="132">
        <v>0</v>
      </c>
      <c r="S221" s="132">
        <v>0</v>
      </c>
      <c r="T221" s="132">
        <v>0</v>
      </c>
      <c r="U221" s="132">
        <v>0</v>
      </c>
      <c r="V221" s="132">
        <v>0</v>
      </c>
      <c r="W221" s="132">
        <v>0</v>
      </c>
      <c r="X221" s="132">
        <v>0</v>
      </c>
      <c r="Y221" s="132">
        <v>0</v>
      </c>
      <c r="Z221" s="128">
        <f t="shared" si="8"/>
        <v>0</v>
      </c>
    </row>
    <row r="222" spans="1:26" x14ac:dyDescent="0.2">
      <c r="A222" s="23" t="s">
        <v>103</v>
      </c>
      <c r="B222">
        <v>6</v>
      </c>
      <c r="C222" s="23" t="s">
        <v>111</v>
      </c>
      <c r="D222">
        <v>607</v>
      </c>
      <c r="E222" s="132">
        <v>0</v>
      </c>
      <c r="F222" s="132">
        <v>0</v>
      </c>
      <c r="G222" s="132">
        <v>0</v>
      </c>
      <c r="H222" s="132">
        <v>0</v>
      </c>
      <c r="I222" s="132">
        <v>0</v>
      </c>
      <c r="J222" s="132">
        <v>0</v>
      </c>
      <c r="K222" s="132">
        <v>0</v>
      </c>
      <c r="L222" s="132">
        <v>0</v>
      </c>
      <c r="M222" s="132">
        <v>0</v>
      </c>
      <c r="N222" s="132">
        <v>0</v>
      </c>
      <c r="O222" s="132">
        <v>0</v>
      </c>
      <c r="P222" s="132">
        <v>0</v>
      </c>
      <c r="Q222" s="132">
        <v>0</v>
      </c>
      <c r="R222" s="132">
        <v>0</v>
      </c>
      <c r="S222" s="132">
        <v>0</v>
      </c>
      <c r="T222" s="132">
        <v>0</v>
      </c>
      <c r="U222" s="132">
        <v>0</v>
      </c>
      <c r="V222" s="132">
        <v>0</v>
      </c>
      <c r="W222" s="132">
        <v>0</v>
      </c>
      <c r="X222" s="132">
        <v>0</v>
      </c>
      <c r="Y222" s="132">
        <v>0</v>
      </c>
      <c r="Z222" s="128">
        <f t="shared" si="8"/>
        <v>0</v>
      </c>
    </row>
    <row r="223" spans="1:26" x14ac:dyDescent="0.2">
      <c r="A223" s="23" t="s">
        <v>103</v>
      </c>
      <c r="B223">
        <v>6</v>
      </c>
      <c r="C223" s="23" t="s">
        <v>111</v>
      </c>
      <c r="D223">
        <v>608</v>
      </c>
      <c r="E223" s="132">
        <v>0</v>
      </c>
      <c r="F223" s="132">
        <v>0</v>
      </c>
      <c r="G223" s="132">
        <v>0</v>
      </c>
      <c r="H223" s="132">
        <v>0</v>
      </c>
      <c r="I223" s="132">
        <v>0</v>
      </c>
      <c r="J223" s="132">
        <v>0</v>
      </c>
      <c r="K223" s="132">
        <v>0</v>
      </c>
      <c r="L223" s="132">
        <v>0</v>
      </c>
      <c r="M223" s="132">
        <v>0</v>
      </c>
      <c r="N223" s="132">
        <v>0</v>
      </c>
      <c r="O223" s="132">
        <v>0</v>
      </c>
      <c r="P223" s="132">
        <v>0</v>
      </c>
      <c r="Q223" s="132">
        <v>0</v>
      </c>
      <c r="R223" s="132">
        <v>0</v>
      </c>
      <c r="S223" s="132">
        <v>0</v>
      </c>
      <c r="T223" s="132">
        <v>0</v>
      </c>
      <c r="U223" s="132">
        <v>0</v>
      </c>
      <c r="V223" s="132">
        <v>0</v>
      </c>
      <c r="W223" s="132">
        <v>0</v>
      </c>
      <c r="X223" s="132">
        <v>0</v>
      </c>
      <c r="Y223" s="132">
        <v>0</v>
      </c>
      <c r="Z223" s="128">
        <f t="shared" si="8"/>
        <v>0</v>
      </c>
    </row>
    <row r="224" spans="1:26" x14ac:dyDescent="0.2">
      <c r="A224" s="23" t="s">
        <v>103</v>
      </c>
      <c r="B224">
        <v>6</v>
      </c>
      <c r="C224" s="23" t="s">
        <v>111</v>
      </c>
      <c r="D224">
        <v>609</v>
      </c>
      <c r="E224" s="132">
        <v>0</v>
      </c>
      <c r="F224" s="132">
        <v>0</v>
      </c>
      <c r="G224" s="132">
        <v>0</v>
      </c>
      <c r="H224" s="132">
        <v>0</v>
      </c>
      <c r="I224" s="132">
        <v>0</v>
      </c>
      <c r="J224" s="132">
        <v>0</v>
      </c>
      <c r="K224" s="132">
        <v>0</v>
      </c>
      <c r="L224" s="132">
        <v>0</v>
      </c>
      <c r="M224" s="132">
        <v>0</v>
      </c>
      <c r="N224" s="132">
        <v>0</v>
      </c>
      <c r="O224" s="132">
        <v>0</v>
      </c>
      <c r="P224" s="132">
        <v>0</v>
      </c>
      <c r="Q224" s="132">
        <v>0</v>
      </c>
      <c r="R224" s="132">
        <v>0</v>
      </c>
      <c r="S224" s="132">
        <v>0</v>
      </c>
      <c r="T224" s="132">
        <v>0</v>
      </c>
      <c r="U224" s="132">
        <v>0</v>
      </c>
      <c r="V224" s="132">
        <v>0</v>
      </c>
      <c r="W224" s="132">
        <v>0</v>
      </c>
      <c r="X224" s="132">
        <v>0</v>
      </c>
      <c r="Y224" s="132">
        <v>0</v>
      </c>
      <c r="Z224" s="128">
        <f t="shared" si="8"/>
        <v>0</v>
      </c>
    </row>
    <row r="225" spans="1:26" x14ac:dyDescent="0.2">
      <c r="A225" s="23" t="s">
        <v>103</v>
      </c>
      <c r="B225">
        <v>6</v>
      </c>
      <c r="C225" s="23" t="s">
        <v>111</v>
      </c>
      <c r="D225">
        <v>610</v>
      </c>
      <c r="E225" s="132">
        <v>0</v>
      </c>
      <c r="F225" s="132">
        <v>0</v>
      </c>
      <c r="G225" s="132">
        <v>0</v>
      </c>
      <c r="H225" s="132">
        <v>0</v>
      </c>
      <c r="I225" s="132">
        <v>0</v>
      </c>
      <c r="J225" s="132">
        <v>0</v>
      </c>
      <c r="K225" s="132">
        <v>0</v>
      </c>
      <c r="L225" s="132">
        <v>0</v>
      </c>
      <c r="M225" s="132">
        <v>0</v>
      </c>
      <c r="N225" s="132">
        <v>0</v>
      </c>
      <c r="O225" s="132">
        <v>0</v>
      </c>
      <c r="P225" s="132">
        <v>0</v>
      </c>
      <c r="Q225" s="132">
        <v>0</v>
      </c>
      <c r="R225" s="132">
        <v>0</v>
      </c>
      <c r="S225" s="132">
        <v>0</v>
      </c>
      <c r="T225" s="132">
        <v>0</v>
      </c>
      <c r="U225" s="132">
        <v>0</v>
      </c>
      <c r="V225" s="132">
        <v>0</v>
      </c>
      <c r="W225" s="132">
        <v>0</v>
      </c>
      <c r="X225" s="132">
        <v>0</v>
      </c>
      <c r="Y225" s="132">
        <v>0</v>
      </c>
      <c r="Z225" s="128">
        <f t="shared" si="8"/>
        <v>0</v>
      </c>
    </row>
    <row r="226" spans="1:26" x14ac:dyDescent="0.2">
      <c r="A226" s="23" t="s">
        <v>103</v>
      </c>
      <c r="B226">
        <v>6</v>
      </c>
      <c r="C226" s="23" t="s">
        <v>111</v>
      </c>
      <c r="D226">
        <v>611</v>
      </c>
      <c r="E226" s="132">
        <v>0</v>
      </c>
      <c r="F226" s="132">
        <v>0</v>
      </c>
      <c r="G226" s="132">
        <v>0</v>
      </c>
      <c r="H226" s="132">
        <v>0</v>
      </c>
      <c r="I226" s="132">
        <v>0</v>
      </c>
      <c r="J226" s="132">
        <v>0</v>
      </c>
      <c r="K226" s="132">
        <v>0</v>
      </c>
      <c r="L226" s="132">
        <v>0</v>
      </c>
      <c r="M226" s="132">
        <v>0</v>
      </c>
      <c r="N226" s="132">
        <v>0</v>
      </c>
      <c r="O226" s="132">
        <v>0</v>
      </c>
      <c r="P226" s="132">
        <v>0</v>
      </c>
      <c r="Q226" s="132">
        <v>0</v>
      </c>
      <c r="R226" s="132">
        <v>0</v>
      </c>
      <c r="S226" s="132">
        <v>0</v>
      </c>
      <c r="T226" s="132">
        <v>0</v>
      </c>
      <c r="U226" s="132">
        <v>0</v>
      </c>
      <c r="V226" s="132">
        <v>0</v>
      </c>
      <c r="W226" s="132">
        <v>0</v>
      </c>
      <c r="X226" s="132">
        <v>0</v>
      </c>
      <c r="Y226" s="132">
        <v>0</v>
      </c>
      <c r="Z226" s="128">
        <f t="shared" si="8"/>
        <v>0</v>
      </c>
    </row>
    <row r="227" spans="1:26" x14ac:dyDescent="0.2">
      <c r="A227" s="23" t="s">
        <v>103</v>
      </c>
      <c r="B227">
        <v>6</v>
      </c>
      <c r="C227" s="23" t="s">
        <v>111</v>
      </c>
      <c r="D227">
        <v>612</v>
      </c>
      <c r="E227" s="132">
        <v>0</v>
      </c>
      <c r="F227" s="132">
        <v>0</v>
      </c>
      <c r="G227" s="132">
        <v>0</v>
      </c>
      <c r="H227" s="132">
        <v>0</v>
      </c>
      <c r="I227" s="132">
        <v>0</v>
      </c>
      <c r="J227" s="132">
        <v>0</v>
      </c>
      <c r="K227" s="132">
        <v>0</v>
      </c>
      <c r="L227" s="132">
        <v>0</v>
      </c>
      <c r="M227" s="132">
        <v>0</v>
      </c>
      <c r="N227" s="132">
        <v>0</v>
      </c>
      <c r="O227" s="132">
        <v>0</v>
      </c>
      <c r="P227" s="132">
        <v>0</v>
      </c>
      <c r="Q227" s="132">
        <v>0</v>
      </c>
      <c r="R227" s="132">
        <v>0</v>
      </c>
      <c r="S227" s="132">
        <v>0</v>
      </c>
      <c r="T227" s="132">
        <v>0</v>
      </c>
      <c r="U227" s="132">
        <v>0</v>
      </c>
      <c r="V227" s="132">
        <v>0</v>
      </c>
      <c r="W227" s="132">
        <v>0</v>
      </c>
      <c r="X227" s="132">
        <v>0</v>
      </c>
      <c r="Y227" s="132">
        <v>0</v>
      </c>
      <c r="Z227" s="128">
        <f t="shared" si="8"/>
        <v>0</v>
      </c>
    </row>
    <row r="228" spans="1:26" x14ac:dyDescent="0.2">
      <c r="A228" s="23" t="s">
        <v>103</v>
      </c>
      <c r="B228">
        <v>6</v>
      </c>
      <c r="C228" s="23" t="s">
        <v>111</v>
      </c>
      <c r="D228">
        <v>613</v>
      </c>
      <c r="E228" s="132">
        <v>0</v>
      </c>
      <c r="F228" s="132">
        <v>0</v>
      </c>
      <c r="G228" s="132">
        <v>0</v>
      </c>
      <c r="H228" s="132">
        <v>0</v>
      </c>
      <c r="I228" s="132">
        <v>0</v>
      </c>
      <c r="J228" s="132">
        <v>0</v>
      </c>
      <c r="K228" s="132">
        <v>0</v>
      </c>
      <c r="L228" s="132">
        <v>0</v>
      </c>
      <c r="M228" s="132">
        <v>0</v>
      </c>
      <c r="N228" s="132">
        <v>0</v>
      </c>
      <c r="O228" s="132">
        <v>0</v>
      </c>
      <c r="P228" s="132">
        <v>0</v>
      </c>
      <c r="Q228" s="132">
        <v>0</v>
      </c>
      <c r="R228" s="132">
        <v>0</v>
      </c>
      <c r="S228" s="132">
        <v>0</v>
      </c>
      <c r="T228" s="132">
        <v>0</v>
      </c>
      <c r="U228" s="132">
        <v>0</v>
      </c>
      <c r="V228" s="132">
        <v>0</v>
      </c>
      <c r="W228" s="132">
        <v>0</v>
      </c>
      <c r="X228" s="132">
        <v>0</v>
      </c>
      <c r="Y228" s="132">
        <v>0</v>
      </c>
      <c r="Z228" s="128">
        <f t="shared" si="8"/>
        <v>0</v>
      </c>
    </row>
    <row r="229" spans="1:26" x14ac:dyDescent="0.2">
      <c r="A229" s="23" t="s">
        <v>103</v>
      </c>
      <c r="B229">
        <v>6</v>
      </c>
      <c r="C229" s="23" t="s">
        <v>111</v>
      </c>
      <c r="D229">
        <v>614</v>
      </c>
      <c r="E229" s="132">
        <v>0</v>
      </c>
      <c r="F229" s="132">
        <v>0</v>
      </c>
      <c r="G229" s="132">
        <v>0</v>
      </c>
      <c r="H229" s="132">
        <v>0</v>
      </c>
      <c r="I229" s="132">
        <v>0</v>
      </c>
      <c r="J229" s="132">
        <v>0</v>
      </c>
      <c r="K229" s="132">
        <v>0</v>
      </c>
      <c r="L229" s="132">
        <v>0</v>
      </c>
      <c r="M229" s="132">
        <v>0</v>
      </c>
      <c r="N229" s="132">
        <v>0</v>
      </c>
      <c r="O229" s="132">
        <v>0</v>
      </c>
      <c r="P229" s="132">
        <v>0</v>
      </c>
      <c r="Q229" s="132">
        <v>0</v>
      </c>
      <c r="R229" s="132">
        <v>0</v>
      </c>
      <c r="S229" s="132">
        <v>0</v>
      </c>
      <c r="T229" s="132">
        <v>0</v>
      </c>
      <c r="U229" s="132">
        <v>0</v>
      </c>
      <c r="V229" s="132">
        <v>0</v>
      </c>
      <c r="W229" s="132">
        <v>0</v>
      </c>
      <c r="X229" s="132">
        <v>0</v>
      </c>
      <c r="Y229" s="132">
        <v>0</v>
      </c>
      <c r="Z229" s="128">
        <f t="shared" si="8"/>
        <v>0</v>
      </c>
    </row>
    <row r="230" spans="1:26" x14ac:dyDescent="0.2">
      <c r="A230" s="23" t="s">
        <v>103</v>
      </c>
      <c r="B230">
        <v>6</v>
      </c>
      <c r="C230" s="23" t="s">
        <v>111</v>
      </c>
      <c r="D230">
        <v>615</v>
      </c>
      <c r="E230" s="132">
        <v>0</v>
      </c>
      <c r="F230" s="132">
        <v>0</v>
      </c>
      <c r="G230" s="132">
        <v>0</v>
      </c>
      <c r="H230" s="132">
        <v>0</v>
      </c>
      <c r="I230" s="132">
        <v>0</v>
      </c>
      <c r="J230" s="132">
        <v>0</v>
      </c>
      <c r="K230" s="132">
        <v>0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32">
        <v>0</v>
      </c>
      <c r="R230" s="132">
        <v>0</v>
      </c>
      <c r="S230" s="132">
        <v>0</v>
      </c>
      <c r="T230" s="132">
        <v>0</v>
      </c>
      <c r="U230" s="132">
        <v>0</v>
      </c>
      <c r="V230" s="132">
        <v>0</v>
      </c>
      <c r="W230" s="132">
        <v>0</v>
      </c>
      <c r="X230" s="132">
        <v>0</v>
      </c>
      <c r="Y230" s="132">
        <v>0</v>
      </c>
      <c r="Z230" s="128">
        <f t="shared" si="8"/>
        <v>0</v>
      </c>
    </row>
    <row r="231" spans="1:26" x14ac:dyDescent="0.2">
      <c r="A231" s="23" t="s">
        <v>103</v>
      </c>
      <c r="B231">
        <v>6</v>
      </c>
      <c r="C231" s="23" t="s">
        <v>111</v>
      </c>
      <c r="D231">
        <v>616</v>
      </c>
      <c r="E231" s="132">
        <v>0</v>
      </c>
      <c r="F231" s="132">
        <v>0</v>
      </c>
      <c r="G231" s="132">
        <v>0</v>
      </c>
      <c r="H231" s="132">
        <v>0</v>
      </c>
      <c r="I231" s="132">
        <v>0</v>
      </c>
      <c r="J231" s="132">
        <v>0</v>
      </c>
      <c r="K231" s="132">
        <v>0</v>
      </c>
      <c r="L231" s="132">
        <v>0</v>
      </c>
      <c r="M231" s="132">
        <v>0</v>
      </c>
      <c r="N231" s="132">
        <v>0</v>
      </c>
      <c r="O231" s="132">
        <v>0</v>
      </c>
      <c r="P231" s="132">
        <v>0</v>
      </c>
      <c r="Q231" s="132">
        <v>0</v>
      </c>
      <c r="R231" s="132">
        <v>0</v>
      </c>
      <c r="S231" s="132">
        <v>0</v>
      </c>
      <c r="T231" s="132">
        <v>0</v>
      </c>
      <c r="U231" s="132">
        <v>0</v>
      </c>
      <c r="V231" s="132">
        <v>0</v>
      </c>
      <c r="W231" s="132">
        <v>0</v>
      </c>
      <c r="X231" s="132">
        <v>0</v>
      </c>
      <c r="Y231" s="132">
        <v>0</v>
      </c>
      <c r="Z231" s="128">
        <f t="shared" si="8"/>
        <v>0</v>
      </c>
    </row>
    <row r="232" spans="1:26" x14ac:dyDescent="0.2">
      <c r="A232" s="23" t="s">
        <v>103</v>
      </c>
      <c r="B232">
        <v>6</v>
      </c>
      <c r="C232" s="23" t="s">
        <v>111</v>
      </c>
      <c r="D232">
        <v>617</v>
      </c>
      <c r="E232" s="132">
        <v>0</v>
      </c>
      <c r="F232" s="132">
        <v>0</v>
      </c>
      <c r="G232" s="132">
        <v>0</v>
      </c>
      <c r="H232" s="132">
        <v>0</v>
      </c>
      <c r="I232" s="132">
        <v>0</v>
      </c>
      <c r="J232" s="132">
        <v>0</v>
      </c>
      <c r="K232" s="132">
        <v>0</v>
      </c>
      <c r="L232" s="132">
        <v>0</v>
      </c>
      <c r="M232" s="132">
        <v>0</v>
      </c>
      <c r="N232" s="132">
        <v>0</v>
      </c>
      <c r="O232" s="132">
        <v>0</v>
      </c>
      <c r="P232" s="132">
        <v>0</v>
      </c>
      <c r="Q232" s="132">
        <v>0</v>
      </c>
      <c r="R232" s="132">
        <v>0</v>
      </c>
      <c r="S232" s="132">
        <v>0</v>
      </c>
      <c r="T232" s="132">
        <v>0</v>
      </c>
      <c r="U232" s="132">
        <v>0</v>
      </c>
      <c r="V232" s="132">
        <v>0</v>
      </c>
      <c r="W232" s="132">
        <v>0</v>
      </c>
      <c r="X232" s="132">
        <v>0</v>
      </c>
      <c r="Y232" s="132">
        <v>0</v>
      </c>
      <c r="Z232" s="128">
        <f t="shared" si="8"/>
        <v>0</v>
      </c>
    </row>
    <row r="233" spans="1:26" x14ac:dyDescent="0.2">
      <c r="A233" s="23" t="s">
        <v>103</v>
      </c>
      <c r="B233">
        <v>6</v>
      </c>
      <c r="C233" s="23" t="s">
        <v>111</v>
      </c>
      <c r="D233">
        <v>618</v>
      </c>
      <c r="E233" s="132">
        <v>0</v>
      </c>
      <c r="F233" s="132">
        <v>0</v>
      </c>
      <c r="G233" s="132">
        <v>0</v>
      </c>
      <c r="H233" s="132">
        <v>0</v>
      </c>
      <c r="I233" s="132">
        <v>0</v>
      </c>
      <c r="J233" s="132">
        <v>0</v>
      </c>
      <c r="K233" s="132">
        <v>0</v>
      </c>
      <c r="L233" s="132">
        <v>0</v>
      </c>
      <c r="M233" s="132">
        <v>0</v>
      </c>
      <c r="N233" s="132">
        <v>0</v>
      </c>
      <c r="O233" s="132">
        <v>0</v>
      </c>
      <c r="P233" s="132">
        <v>0</v>
      </c>
      <c r="Q233" s="132">
        <v>0</v>
      </c>
      <c r="R233" s="132">
        <v>0</v>
      </c>
      <c r="S233" s="132">
        <v>0</v>
      </c>
      <c r="T233" s="132">
        <v>0</v>
      </c>
      <c r="U233" s="132">
        <v>0</v>
      </c>
      <c r="V233" s="132">
        <v>0</v>
      </c>
      <c r="W233" s="132">
        <v>0</v>
      </c>
      <c r="X233" s="132">
        <v>0</v>
      </c>
      <c r="Y233" s="132">
        <v>0</v>
      </c>
      <c r="Z233" s="128">
        <f t="shared" si="8"/>
        <v>0</v>
      </c>
    </row>
    <row r="234" spans="1:26" x14ac:dyDescent="0.2">
      <c r="A234" s="23" t="s">
        <v>103</v>
      </c>
      <c r="B234">
        <v>6</v>
      </c>
      <c r="C234" s="23" t="s">
        <v>111</v>
      </c>
      <c r="D234">
        <v>619</v>
      </c>
      <c r="E234" s="132">
        <v>0</v>
      </c>
      <c r="F234" s="132">
        <v>0</v>
      </c>
      <c r="G234" s="132">
        <v>0</v>
      </c>
      <c r="H234" s="132">
        <v>0</v>
      </c>
      <c r="I234" s="132">
        <v>0</v>
      </c>
      <c r="J234" s="132">
        <v>0</v>
      </c>
      <c r="K234" s="132">
        <v>0</v>
      </c>
      <c r="L234" s="132">
        <v>0</v>
      </c>
      <c r="M234" s="132">
        <v>0</v>
      </c>
      <c r="N234" s="132">
        <v>0</v>
      </c>
      <c r="O234" s="132">
        <v>0</v>
      </c>
      <c r="P234" s="132">
        <v>0</v>
      </c>
      <c r="Q234" s="132">
        <v>0</v>
      </c>
      <c r="R234" s="132">
        <v>0</v>
      </c>
      <c r="S234" s="132">
        <v>0</v>
      </c>
      <c r="T234" s="132">
        <v>0</v>
      </c>
      <c r="U234" s="132">
        <v>0</v>
      </c>
      <c r="V234" s="132">
        <v>0</v>
      </c>
      <c r="W234" s="132">
        <v>0</v>
      </c>
      <c r="X234" s="132">
        <v>0</v>
      </c>
      <c r="Y234" s="132">
        <v>0</v>
      </c>
      <c r="Z234" s="128">
        <f t="shared" si="8"/>
        <v>0</v>
      </c>
    </row>
    <row r="235" spans="1:26" x14ac:dyDescent="0.2">
      <c r="A235" s="23" t="s">
        <v>103</v>
      </c>
      <c r="B235">
        <v>6</v>
      </c>
      <c r="C235" s="23" t="s">
        <v>111</v>
      </c>
      <c r="D235">
        <v>620</v>
      </c>
      <c r="E235" s="132">
        <v>0</v>
      </c>
      <c r="F235" s="132">
        <v>0</v>
      </c>
      <c r="G235" s="132">
        <v>0</v>
      </c>
      <c r="H235" s="132">
        <v>0</v>
      </c>
      <c r="I235" s="132">
        <v>0</v>
      </c>
      <c r="J235" s="132">
        <v>0</v>
      </c>
      <c r="K235" s="132">
        <v>0</v>
      </c>
      <c r="L235" s="132">
        <v>0</v>
      </c>
      <c r="M235" s="132">
        <v>0</v>
      </c>
      <c r="N235" s="132">
        <v>0</v>
      </c>
      <c r="O235" s="132">
        <v>0</v>
      </c>
      <c r="P235" s="132">
        <v>0</v>
      </c>
      <c r="Q235" s="132">
        <v>0</v>
      </c>
      <c r="R235" s="132">
        <v>0</v>
      </c>
      <c r="S235" s="132">
        <v>0</v>
      </c>
      <c r="T235" s="132">
        <v>0</v>
      </c>
      <c r="U235" s="132">
        <v>0</v>
      </c>
      <c r="V235" s="132">
        <v>0</v>
      </c>
      <c r="W235" s="132">
        <v>0</v>
      </c>
      <c r="X235" s="132">
        <v>0</v>
      </c>
      <c r="Y235" s="132">
        <v>0</v>
      </c>
      <c r="Z235" s="128">
        <f t="shared" si="8"/>
        <v>0</v>
      </c>
    </row>
    <row r="236" spans="1:26" x14ac:dyDescent="0.2">
      <c r="A236" s="23" t="s">
        <v>103</v>
      </c>
      <c r="B236">
        <v>6</v>
      </c>
      <c r="C236" s="23" t="s">
        <v>111</v>
      </c>
      <c r="D236">
        <v>621</v>
      </c>
      <c r="E236" s="132">
        <v>0</v>
      </c>
      <c r="F236" s="132">
        <v>0</v>
      </c>
      <c r="G236" s="132">
        <v>0</v>
      </c>
      <c r="H236" s="132">
        <v>0</v>
      </c>
      <c r="I236" s="132">
        <v>0</v>
      </c>
      <c r="J236" s="132">
        <v>0</v>
      </c>
      <c r="K236" s="132">
        <v>0</v>
      </c>
      <c r="L236" s="132">
        <v>0</v>
      </c>
      <c r="M236" s="132">
        <v>0</v>
      </c>
      <c r="N236" s="132">
        <v>0</v>
      </c>
      <c r="O236" s="132">
        <v>0</v>
      </c>
      <c r="P236" s="132">
        <v>0</v>
      </c>
      <c r="Q236" s="132">
        <v>0</v>
      </c>
      <c r="R236" s="132">
        <v>0</v>
      </c>
      <c r="S236" s="132">
        <v>0</v>
      </c>
      <c r="T236" s="132">
        <v>0</v>
      </c>
      <c r="U236" s="132">
        <v>0</v>
      </c>
      <c r="V236" s="132">
        <v>0</v>
      </c>
      <c r="W236" s="132">
        <v>0</v>
      </c>
      <c r="X236" s="132">
        <v>0</v>
      </c>
      <c r="Y236" s="132">
        <v>0</v>
      </c>
      <c r="Z236" s="128">
        <f t="shared" si="8"/>
        <v>0</v>
      </c>
    </row>
    <row r="237" spans="1:26" x14ac:dyDescent="0.2">
      <c r="A237" s="23"/>
      <c r="C237" s="23"/>
      <c r="E237" s="132"/>
      <c r="F237" s="132">
        <f t="shared" ref="F237:Y237" si="9">AVERAGE(F193:F236)</f>
        <v>0</v>
      </c>
      <c r="G237" s="132">
        <f t="shared" si="9"/>
        <v>0</v>
      </c>
      <c r="H237" s="132">
        <f t="shared" si="9"/>
        <v>0</v>
      </c>
      <c r="I237" s="132">
        <f t="shared" si="9"/>
        <v>0</v>
      </c>
      <c r="J237" s="132">
        <f t="shared" si="9"/>
        <v>0</v>
      </c>
      <c r="K237" s="132">
        <f t="shared" si="9"/>
        <v>0</v>
      </c>
      <c r="L237" s="132">
        <f t="shared" si="9"/>
        <v>0</v>
      </c>
      <c r="M237" s="132">
        <f t="shared" si="9"/>
        <v>0</v>
      </c>
      <c r="N237" s="132">
        <f t="shared" si="9"/>
        <v>0</v>
      </c>
      <c r="O237" s="132">
        <f t="shared" si="9"/>
        <v>0</v>
      </c>
      <c r="P237" s="132">
        <f t="shared" si="9"/>
        <v>0</v>
      </c>
      <c r="Q237" s="132">
        <f t="shared" si="9"/>
        <v>0</v>
      </c>
      <c r="R237" s="132">
        <f t="shared" si="9"/>
        <v>0</v>
      </c>
      <c r="S237" s="132">
        <f t="shared" si="9"/>
        <v>0</v>
      </c>
      <c r="T237" s="132">
        <f t="shared" si="9"/>
        <v>0</v>
      </c>
      <c r="U237" s="132">
        <f t="shared" si="9"/>
        <v>0</v>
      </c>
      <c r="V237" s="132">
        <f t="shared" si="9"/>
        <v>0</v>
      </c>
      <c r="W237" s="132">
        <f t="shared" si="9"/>
        <v>0</v>
      </c>
      <c r="X237" s="132">
        <f t="shared" si="9"/>
        <v>0</v>
      </c>
      <c r="Y237" s="132">
        <f t="shared" si="9"/>
        <v>0</v>
      </c>
      <c r="Z237" s="128">
        <f t="shared" si="8"/>
        <v>0</v>
      </c>
    </row>
    <row r="238" spans="1:26" x14ac:dyDescent="0.2">
      <c r="A238" s="23" t="s">
        <v>103</v>
      </c>
      <c r="B238">
        <v>7</v>
      </c>
      <c r="C238" s="23" t="s">
        <v>112</v>
      </c>
      <c r="D238">
        <v>701</v>
      </c>
      <c r="E238" s="132">
        <v>0</v>
      </c>
      <c r="F238" s="132">
        <v>0</v>
      </c>
      <c r="G238" s="132">
        <v>0</v>
      </c>
      <c r="H238" s="132">
        <v>0</v>
      </c>
      <c r="I238" s="132">
        <v>0</v>
      </c>
      <c r="J238" s="132">
        <v>0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0</v>
      </c>
      <c r="Q238" s="132">
        <v>0</v>
      </c>
      <c r="R238" s="132">
        <v>0</v>
      </c>
      <c r="S238" s="132">
        <v>0</v>
      </c>
      <c r="T238" s="132">
        <v>0</v>
      </c>
      <c r="U238" s="132">
        <v>0</v>
      </c>
      <c r="V238" s="132">
        <v>0</v>
      </c>
      <c r="W238" s="132">
        <v>0</v>
      </c>
      <c r="X238" s="132">
        <v>0</v>
      </c>
      <c r="Y238" s="132">
        <v>0</v>
      </c>
      <c r="Z238" s="128">
        <f t="shared" si="8"/>
        <v>0</v>
      </c>
    </row>
    <row r="239" spans="1:26" x14ac:dyDescent="0.2">
      <c r="A239" s="23" t="s">
        <v>103</v>
      </c>
      <c r="B239">
        <v>7</v>
      </c>
      <c r="C239" s="23" t="s">
        <v>112</v>
      </c>
      <c r="D239">
        <v>702</v>
      </c>
      <c r="E239" s="132">
        <v>0</v>
      </c>
      <c r="F239" s="132">
        <v>0</v>
      </c>
      <c r="G239" s="132">
        <v>0</v>
      </c>
      <c r="H239" s="132">
        <v>0</v>
      </c>
      <c r="I239" s="132">
        <v>0</v>
      </c>
      <c r="J239" s="132">
        <v>0</v>
      </c>
      <c r="K239" s="132">
        <v>0</v>
      </c>
      <c r="L239" s="132">
        <v>0</v>
      </c>
      <c r="M239" s="132">
        <v>0</v>
      </c>
      <c r="N239" s="132">
        <v>0</v>
      </c>
      <c r="O239" s="132">
        <v>0</v>
      </c>
      <c r="P239" s="132">
        <v>0</v>
      </c>
      <c r="Q239" s="132">
        <v>0</v>
      </c>
      <c r="R239" s="132">
        <v>0</v>
      </c>
      <c r="S239" s="132">
        <v>0</v>
      </c>
      <c r="T239" s="132">
        <v>0</v>
      </c>
      <c r="U239" s="132">
        <v>0</v>
      </c>
      <c r="V239" s="132">
        <v>0</v>
      </c>
      <c r="W239" s="132">
        <v>0</v>
      </c>
      <c r="X239" s="132">
        <v>0</v>
      </c>
      <c r="Y239" s="132">
        <v>0</v>
      </c>
      <c r="Z239" s="128">
        <f t="shared" si="8"/>
        <v>0</v>
      </c>
    </row>
    <row r="240" spans="1:26" x14ac:dyDescent="0.2">
      <c r="A240" s="23" t="s">
        <v>103</v>
      </c>
      <c r="B240">
        <v>7</v>
      </c>
      <c r="C240" s="23" t="s">
        <v>112</v>
      </c>
      <c r="D240">
        <v>703</v>
      </c>
      <c r="E240" s="132">
        <v>0</v>
      </c>
      <c r="F240" s="132">
        <v>0</v>
      </c>
      <c r="G240" s="132">
        <v>0</v>
      </c>
      <c r="H240" s="132">
        <v>0</v>
      </c>
      <c r="I240" s="132">
        <v>0</v>
      </c>
      <c r="J240" s="132">
        <v>0</v>
      </c>
      <c r="K240" s="132">
        <v>0</v>
      </c>
      <c r="L240" s="132">
        <v>0</v>
      </c>
      <c r="M240" s="132">
        <v>0</v>
      </c>
      <c r="N240" s="132">
        <v>0</v>
      </c>
      <c r="O240" s="132">
        <v>0</v>
      </c>
      <c r="P240" s="132">
        <v>0</v>
      </c>
      <c r="Q240" s="132">
        <v>0</v>
      </c>
      <c r="R240" s="132">
        <v>0</v>
      </c>
      <c r="S240" s="132">
        <v>0</v>
      </c>
      <c r="T240" s="132">
        <v>0</v>
      </c>
      <c r="U240" s="132">
        <v>0</v>
      </c>
      <c r="V240" s="132">
        <v>0</v>
      </c>
      <c r="W240" s="132">
        <v>0</v>
      </c>
      <c r="X240" s="132">
        <v>0</v>
      </c>
      <c r="Y240" s="132">
        <v>0</v>
      </c>
      <c r="Z240" s="128">
        <f t="shared" si="8"/>
        <v>0</v>
      </c>
    </row>
    <row r="241" spans="1:26" x14ac:dyDescent="0.2">
      <c r="A241" s="23" t="s">
        <v>103</v>
      </c>
      <c r="B241">
        <v>7</v>
      </c>
      <c r="C241" s="23" t="s">
        <v>112</v>
      </c>
      <c r="D241">
        <v>704</v>
      </c>
      <c r="E241" s="132">
        <v>0</v>
      </c>
      <c r="F241" s="132">
        <v>0</v>
      </c>
      <c r="G241" s="132">
        <v>0</v>
      </c>
      <c r="H241" s="132">
        <v>0</v>
      </c>
      <c r="I241" s="132">
        <v>0</v>
      </c>
      <c r="J241" s="132">
        <v>0</v>
      </c>
      <c r="K241" s="132">
        <v>0</v>
      </c>
      <c r="L241" s="132">
        <v>0</v>
      </c>
      <c r="M241" s="132">
        <v>0</v>
      </c>
      <c r="N241" s="132">
        <v>0</v>
      </c>
      <c r="O241" s="132">
        <v>0</v>
      </c>
      <c r="P241" s="132">
        <v>0</v>
      </c>
      <c r="Q241" s="132">
        <v>0</v>
      </c>
      <c r="R241" s="132">
        <v>0</v>
      </c>
      <c r="S241" s="132">
        <v>0</v>
      </c>
      <c r="T241" s="132">
        <v>0</v>
      </c>
      <c r="U241" s="132">
        <v>0</v>
      </c>
      <c r="V241" s="132">
        <v>0</v>
      </c>
      <c r="W241" s="132">
        <v>0</v>
      </c>
      <c r="X241" s="132">
        <v>0</v>
      </c>
      <c r="Y241" s="132">
        <v>0</v>
      </c>
      <c r="Z241" s="128">
        <f t="shared" si="8"/>
        <v>0</v>
      </c>
    </row>
    <row r="242" spans="1:26" x14ac:dyDescent="0.2">
      <c r="A242" s="23" t="s">
        <v>103</v>
      </c>
      <c r="B242">
        <v>7</v>
      </c>
      <c r="C242" s="23" t="s">
        <v>112</v>
      </c>
      <c r="D242">
        <v>705</v>
      </c>
      <c r="E242" s="132">
        <v>0</v>
      </c>
      <c r="F242" s="132">
        <v>0</v>
      </c>
      <c r="G242" s="132">
        <v>0</v>
      </c>
      <c r="H242" s="132">
        <v>0</v>
      </c>
      <c r="I242" s="132">
        <v>0</v>
      </c>
      <c r="J242" s="132">
        <v>0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0</v>
      </c>
      <c r="Q242" s="132">
        <v>0</v>
      </c>
      <c r="R242" s="132">
        <v>0</v>
      </c>
      <c r="S242" s="132">
        <v>0</v>
      </c>
      <c r="T242" s="132">
        <v>0</v>
      </c>
      <c r="U242" s="132">
        <v>0</v>
      </c>
      <c r="V242" s="132">
        <v>0</v>
      </c>
      <c r="W242" s="132">
        <v>0</v>
      </c>
      <c r="X242" s="132">
        <v>0</v>
      </c>
      <c r="Y242" s="132">
        <v>0</v>
      </c>
      <c r="Z242" s="128">
        <f t="shared" si="8"/>
        <v>0</v>
      </c>
    </row>
    <row r="243" spans="1:26" x14ac:dyDescent="0.2">
      <c r="A243" s="23" t="s">
        <v>103</v>
      </c>
      <c r="B243">
        <v>7</v>
      </c>
      <c r="C243" s="23" t="s">
        <v>112</v>
      </c>
      <c r="D243">
        <v>706</v>
      </c>
      <c r="E243" s="132">
        <v>0</v>
      </c>
      <c r="F243" s="132">
        <v>0</v>
      </c>
      <c r="G243" s="132">
        <v>0</v>
      </c>
      <c r="H243" s="132">
        <v>0</v>
      </c>
      <c r="I243" s="132">
        <v>0</v>
      </c>
      <c r="J243" s="132">
        <v>0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0</v>
      </c>
      <c r="Q243" s="132">
        <v>0</v>
      </c>
      <c r="R243" s="132">
        <v>0</v>
      </c>
      <c r="S243" s="132">
        <v>0</v>
      </c>
      <c r="T243" s="132">
        <v>0</v>
      </c>
      <c r="U243" s="132">
        <v>0</v>
      </c>
      <c r="V243" s="132">
        <v>0</v>
      </c>
      <c r="W243" s="132">
        <v>0</v>
      </c>
      <c r="X243" s="132">
        <v>0</v>
      </c>
      <c r="Y243" s="132">
        <v>0</v>
      </c>
      <c r="Z243" s="128">
        <f t="shared" si="8"/>
        <v>0</v>
      </c>
    </row>
    <row r="244" spans="1:26" x14ac:dyDescent="0.2">
      <c r="A244" s="23" t="s">
        <v>103</v>
      </c>
      <c r="B244">
        <v>7</v>
      </c>
      <c r="C244" s="23" t="s">
        <v>112</v>
      </c>
      <c r="D244">
        <v>707</v>
      </c>
      <c r="E244" s="132">
        <v>0</v>
      </c>
      <c r="F244" s="132">
        <v>0</v>
      </c>
      <c r="G244" s="132">
        <v>0</v>
      </c>
      <c r="H244" s="132">
        <v>0</v>
      </c>
      <c r="I244" s="132">
        <v>0</v>
      </c>
      <c r="J244" s="132">
        <v>0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32">
        <v>0</v>
      </c>
      <c r="R244" s="132">
        <v>0</v>
      </c>
      <c r="S244" s="132">
        <v>0</v>
      </c>
      <c r="T244" s="132">
        <v>0</v>
      </c>
      <c r="U244" s="132">
        <v>0</v>
      </c>
      <c r="V244" s="132">
        <v>0</v>
      </c>
      <c r="W244" s="132">
        <v>0</v>
      </c>
      <c r="X244" s="132">
        <v>0</v>
      </c>
      <c r="Y244" s="132">
        <v>0</v>
      </c>
      <c r="Z244" s="128">
        <f t="shared" si="8"/>
        <v>0</v>
      </c>
    </row>
    <row r="245" spans="1:26" x14ac:dyDescent="0.2">
      <c r="A245" s="23" t="s">
        <v>103</v>
      </c>
      <c r="B245">
        <v>7</v>
      </c>
      <c r="C245" s="23" t="s">
        <v>112</v>
      </c>
      <c r="D245">
        <v>708</v>
      </c>
      <c r="E245" s="132">
        <v>0</v>
      </c>
      <c r="F245" s="132">
        <v>0</v>
      </c>
      <c r="G245" s="132">
        <v>0</v>
      </c>
      <c r="H245" s="132">
        <v>0</v>
      </c>
      <c r="I245" s="132">
        <v>0</v>
      </c>
      <c r="J245" s="132">
        <v>0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32">
        <v>0</v>
      </c>
      <c r="R245" s="132">
        <v>0</v>
      </c>
      <c r="S245" s="132">
        <v>0</v>
      </c>
      <c r="T245" s="132">
        <v>0</v>
      </c>
      <c r="U245" s="132">
        <v>0</v>
      </c>
      <c r="V245" s="132">
        <v>0</v>
      </c>
      <c r="W245" s="132">
        <v>0</v>
      </c>
      <c r="X245" s="132">
        <v>0</v>
      </c>
      <c r="Y245" s="132">
        <v>0</v>
      </c>
      <c r="Z245" s="128">
        <f t="shared" si="8"/>
        <v>0</v>
      </c>
    </row>
    <row r="246" spans="1:26" x14ac:dyDescent="0.2">
      <c r="A246" s="23" t="s">
        <v>103</v>
      </c>
      <c r="B246">
        <v>7</v>
      </c>
      <c r="C246" s="23" t="s">
        <v>112</v>
      </c>
      <c r="D246">
        <v>709</v>
      </c>
      <c r="E246" s="132">
        <v>0</v>
      </c>
      <c r="F246" s="132">
        <v>0</v>
      </c>
      <c r="G246" s="132">
        <v>0</v>
      </c>
      <c r="H246" s="132">
        <v>0</v>
      </c>
      <c r="I246" s="132">
        <v>0</v>
      </c>
      <c r="J246" s="132">
        <v>0</v>
      </c>
      <c r="K246" s="132">
        <v>0</v>
      </c>
      <c r="L246" s="132">
        <v>0</v>
      </c>
      <c r="M246" s="132">
        <v>0</v>
      </c>
      <c r="N246" s="132">
        <v>0</v>
      </c>
      <c r="O246" s="132">
        <v>0</v>
      </c>
      <c r="P246" s="132">
        <v>0</v>
      </c>
      <c r="Q246" s="132">
        <v>0</v>
      </c>
      <c r="R246" s="132">
        <v>0</v>
      </c>
      <c r="S246" s="132">
        <v>0</v>
      </c>
      <c r="T246" s="132">
        <v>0</v>
      </c>
      <c r="U246" s="132">
        <v>0</v>
      </c>
      <c r="V246" s="132">
        <v>0</v>
      </c>
      <c r="W246" s="132">
        <v>0</v>
      </c>
      <c r="X246" s="132">
        <v>0</v>
      </c>
      <c r="Y246" s="132">
        <v>0</v>
      </c>
      <c r="Z246" s="128">
        <f t="shared" si="8"/>
        <v>0</v>
      </c>
    </row>
    <row r="247" spans="1:26" x14ac:dyDescent="0.2">
      <c r="A247" s="23" t="s">
        <v>103</v>
      </c>
      <c r="B247">
        <v>7</v>
      </c>
      <c r="C247" s="23" t="s">
        <v>112</v>
      </c>
      <c r="D247">
        <v>710</v>
      </c>
      <c r="E247" s="132">
        <v>0</v>
      </c>
      <c r="F247" s="132">
        <v>0</v>
      </c>
      <c r="G247" s="132">
        <v>0</v>
      </c>
      <c r="H247" s="132">
        <v>0</v>
      </c>
      <c r="I247" s="132">
        <v>0</v>
      </c>
      <c r="J247" s="132">
        <v>0</v>
      </c>
      <c r="K247" s="132">
        <v>0</v>
      </c>
      <c r="L247" s="132">
        <v>0</v>
      </c>
      <c r="M247" s="132">
        <v>0</v>
      </c>
      <c r="N247" s="132">
        <v>0</v>
      </c>
      <c r="O247" s="132">
        <v>0</v>
      </c>
      <c r="P247" s="132">
        <v>0</v>
      </c>
      <c r="Q247" s="132">
        <v>0</v>
      </c>
      <c r="R247" s="132">
        <v>0</v>
      </c>
      <c r="S247" s="132">
        <v>0</v>
      </c>
      <c r="T247" s="132">
        <v>0</v>
      </c>
      <c r="U247" s="132">
        <v>0</v>
      </c>
      <c r="V247" s="132">
        <v>0</v>
      </c>
      <c r="W247" s="132">
        <v>0</v>
      </c>
      <c r="X247" s="132">
        <v>0</v>
      </c>
      <c r="Y247" s="132">
        <v>0</v>
      </c>
      <c r="Z247" s="128">
        <f t="shared" si="8"/>
        <v>0</v>
      </c>
    </row>
    <row r="248" spans="1:26" x14ac:dyDescent="0.2">
      <c r="A248" s="23" t="s">
        <v>103</v>
      </c>
      <c r="B248">
        <v>7</v>
      </c>
      <c r="C248" s="23" t="s">
        <v>112</v>
      </c>
      <c r="D248">
        <v>711</v>
      </c>
      <c r="E248" s="132">
        <v>0</v>
      </c>
      <c r="F248" s="132">
        <v>0</v>
      </c>
      <c r="G248" s="132">
        <v>0</v>
      </c>
      <c r="H248" s="132">
        <v>0</v>
      </c>
      <c r="I248" s="132">
        <v>0</v>
      </c>
      <c r="J248" s="132">
        <v>0</v>
      </c>
      <c r="K248" s="132">
        <v>0</v>
      </c>
      <c r="L248" s="132">
        <v>0</v>
      </c>
      <c r="M248" s="132">
        <v>0</v>
      </c>
      <c r="N248" s="132">
        <v>0</v>
      </c>
      <c r="O248" s="132">
        <v>0</v>
      </c>
      <c r="P248" s="132">
        <v>0</v>
      </c>
      <c r="Q248" s="132">
        <v>0</v>
      </c>
      <c r="R248" s="132">
        <v>0</v>
      </c>
      <c r="S248" s="132">
        <v>0</v>
      </c>
      <c r="T248" s="132">
        <v>0</v>
      </c>
      <c r="U248" s="132">
        <v>0</v>
      </c>
      <c r="V248" s="132">
        <v>0</v>
      </c>
      <c r="W248" s="132">
        <v>0</v>
      </c>
      <c r="X248" s="132">
        <v>0</v>
      </c>
      <c r="Y248" s="132">
        <v>0</v>
      </c>
      <c r="Z248" s="128">
        <f t="shared" si="8"/>
        <v>0</v>
      </c>
    </row>
    <row r="249" spans="1:26" x14ac:dyDescent="0.2">
      <c r="A249" s="23" t="s">
        <v>103</v>
      </c>
      <c r="B249">
        <v>7</v>
      </c>
      <c r="C249" s="23" t="s">
        <v>112</v>
      </c>
      <c r="D249">
        <v>712</v>
      </c>
      <c r="E249" s="132">
        <v>0</v>
      </c>
      <c r="F249" s="132">
        <v>0</v>
      </c>
      <c r="G249" s="132">
        <v>0</v>
      </c>
      <c r="H249" s="132">
        <v>0</v>
      </c>
      <c r="I249" s="132">
        <v>0</v>
      </c>
      <c r="J249" s="132">
        <v>0</v>
      </c>
      <c r="K249" s="132">
        <v>0</v>
      </c>
      <c r="L249" s="132">
        <v>0</v>
      </c>
      <c r="M249" s="132">
        <v>0</v>
      </c>
      <c r="N249" s="132">
        <v>0</v>
      </c>
      <c r="O249" s="132">
        <v>0</v>
      </c>
      <c r="P249" s="132">
        <v>0</v>
      </c>
      <c r="Q249" s="132">
        <v>0</v>
      </c>
      <c r="R249" s="132">
        <v>0</v>
      </c>
      <c r="S249" s="132">
        <v>0</v>
      </c>
      <c r="T249" s="132">
        <v>0</v>
      </c>
      <c r="U249" s="132">
        <v>0</v>
      </c>
      <c r="V249" s="132">
        <v>0</v>
      </c>
      <c r="W249" s="132">
        <v>0</v>
      </c>
      <c r="X249" s="132">
        <v>0</v>
      </c>
      <c r="Y249" s="132">
        <v>0</v>
      </c>
      <c r="Z249" s="128">
        <f t="shared" si="8"/>
        <v>0</v>
      </c>
    </row>
    <row r="250" spans="1:26" x14ac:dyDescent="0.2">
      <c r="A250" s="23" t="s">
        <v>103</v>
      </c>
      <c r="B250">
        <v>7</v>
      </c>
      <c r="C250" s="23" t="s">
        <v>112</v>
      </c>
      <c r="D250">
        <v>713</v>
      </c>
      <c r="E250" s="132">
        <v>0</v>
      </c>
      <c r="F250" s="132">
        <v>0</v>
      </c>
      <c r="G250" s="132">
        <v>0</v>
      </c>
      <c r="H250" s="132">
        <v>0</v>
      </c>
      <c r="I250" s="132">
        <v>0</v>
      </c>
      <c r="J250" s="132">
        <v>0</v>
      </c>
      <c r="K250" s="132">
        <v>0</v>
      </c>
      <c r="L250" s="132">
        <v>0</v>
      </c>
      <c r="M250" s="132">
        <v>0</v>
      </c>
      <c r="N250" s="132">
        <v>0</v>
      </c>
      <c r="O250" s="132">
        <v>0</v>
      </c>
      <c r="P250" s="132">
        <v>0</v>
      </c>
      <c r="Q250" s="132">
        <v>0</v>
      </c>
      <c r="R250" s="132">
        <v>0</v>
      </c>
      <c r="S250" s="132">
        <v>0</v>
      </c>
      <c r="T250" s="132">
        <v>0</v>
      </c>
      <c r="U250" s="132">
        <v>0</v>
      </c>
      <c r="V250" s="132">
        <v>0</v>
      </c>
      <c r="W250" s="132">
        <v>0</v>
      </c>
      <c r="X250" s="132">
        <v>0</v>
      </c>
      <c r="Y250" s="132">
        <v>0</v>
      </c>
      <c r="Z250" s="128">
        <f t="shared" si="8"/>
        <v>0</v>
      </c>
    </row>
    <row r="251" spans="1:26" x14ac:dyDescent="0.2">
      <c r="A251" s="23" t="s">
        <v>103</v>
      </c>
      <c r="B251">
        <v>7</v>
      </c>
      <c r="C251" s="23" t="s">
        <v>112</v>
      </c>
      <c r="D251">
        <v>714</v>
      </c>
      <c r="E251" s="132">
        <v>0</v>
      </c>
      <c r="F251" s="132">
        <v>0</v>
      </c>
      <c r="G251" s="132">
        <v>0</v>
      </c>
      <c r="H251" s="132">
        <v>0</v>
      </c>
      <c r="I251" s="132">
        <v>0</v>
      </c>
      <c r="J251" s="132">
        <v>0</v>
      </c>
      <c r="K251" s="132">
        <v>0</v>
      </c>
      <c r="L251" s="132">
        <v>0</v>
      </c>
      <c r="M251" s="132">
        <v>0</v>
      </c>
      <c r="N251" s="132">
        <v>0</v>
      </c>
      <c r="O251" s="132">
        <v>0</v>
      </c>
      <c r="P251" s="132">
        <v>0</v>
      </c>
      <c r="Q251" s="132">
        <v>0</v>
      </c>
      <c r="R251" s="132">
        <v>0</v>
      </c>
      <c r="S251" s="132">
        <v>0</v>
      </c>
      <c r="T251" s="132">
        <v>0</v>
      </c>
      <c r="U251" s="132">
        <v>0</v>
      </c>
      <c r="V251" s="132">
        <v>0</v>
      </c>
      <c r="W251" s="132">
        <v>0</v>
      </c>
      <c r="X251" s="132">
        <v>0</v>
      </c>
      <c r="Y251" s="132">
        <v>0</v>
      </c>
      <c r="Z251" s="128">
        <f t="shared" si="8"/>
        <v>0</v>
      </c>
    </row>
    <row r="252" spans="1:26" x14ac:dyDescent="0.2">
      <c r="A252" s="23" t="s">
        <v>103</v>
      </c>
      <c r="B252">
        <v>7</v>
      </c>
      <c r="C252" s="23" t="s">
        <v>112</v>
      </c>
      <c r="D252">
        <v>715</v>
      </c>
      <c r="E252" s="132">
        <v>0</v>
      </c>
      <c r="F252" s="132">
        <v>0</v>
      </c>
      <c r="G252" s="132">
        <v>0</v>
      </c>
      <c r="H252" s="132">
        <v>0</v>
      </c>
      <c r="I252" s="132">
        <v>0</v>
      </c>
      <c r="J252" s="132">
        <v>0</v>
      </c>
      <c r="K252" s="132">
        <v>0</v>
      </c>
      <c r="L252" s="132">
        <v>0</v>
      </c>
      <c r="M252" s="132">
        <v>0</v>
      </c>
      <c r="N252" s="132">
        <v>0</v>
      </c>
      <c r="O252" s="132">
        <v>0</v>
      </c>
      <c r="P252" s="132">
        <v>0</v>
      </c>
      <c r="Q252" s="132">
        <v>0</v>
      </c>
      <c r="R252" s="132">
        <v>0</v>
      </c>
      <c r="S252" s="132">
        <v>0</v>
      </c>
      <c r="T252" s="132">
        <v>0</v>
      </c>
      <c r="U252" s="132">
        <v>0</v>
      </c>
      <c r="V252" s="132">
        <v>0</v>
      </c>
      <c r="W252" s="132">
        <v>0</v>
      </c>
      <c r="X252" s="132">
        <v>0</v>
      </c>
      <c r="Y252" s="132">
        <v>0</v>
      </c>
      <c r="Z252" s="128">
        <f t="shared" si="8"/>
        <v>0</v>
      </c>
    </row>
    <row r="253" spans="1:26" x14ac:dyDescent="0.2">
      <c r="A253" s="23" t="s">
        <v>103</v>
      </c>
      <c r="B253">
        <v>7</v>
      </c>
      <c r="C253" s="23" t="s">
        <v>112</v>
      </c>
      <c r="D253">
        <v>716</v>
      </c>
      <c r="E253" s="132">
        <v>0</v>
      </c>
      <c r="F253" s="132">
        <v>0</v>
      </c>
      <c r="G253" s="132">
        <v>0</v>
      </c>
      <c r="H253" s="132">
        <v>0</v>
      </c>
      <c r="I253" s="132">
        <v>0</v>
      </c>
      <c r="J253" s="132">
        <v>0</v>
      </c>
      <c r="K253" s="132">
        <v>0</v>
      </c>
      <c r="L253" s="132">
        <v>0</v>
      </c>
      <c r="M253" s="132">
        <v>0</v>
      </c>
      <c r="N253" s="132">
        <v>0</v>
      </c>
      <c r="O253" s="132">
        <v>0</v>
      </c>
      <c r="P253" s="132">
        <v>0</v>
      </c>
      <c r="Q253" s="132">
        <v>0</v>
      </c>
      <c r="R253" s="132">
        <v>0</v>
      </c>
      <c r="S253" s="132">
        <v>0</v>
      </c>
      <c r="T253" s="132">
        <v>0</v>
      </c>
      <c r="U253" s="132">
        <v>0</v>
      </c>
      <c r="V253" s="132">
        <v>0</v>
      </c>
      <c r="W253" s="132">
        <v>0</v>
      </c>
      <c r="X253" s="132">
        <v>0</v>
      </c>
      <c r="Y253" s="132">
        <v>0</v>
      </c>
      <c r="Z253" s="128">
        <f t="shared" si="8"/>
        <v>0</v>
      </c>
    </row>
    <row r="254" spans="1:26" x14ac:dyDescent="0.2">
      <c r="A254" s="23" t="s">
        <v>103</v>
      </c>
      <c r="B254">
        <v>7</v>
      </c>
      <c r="C254" s="23" t="s">
        <v>112</v>
      </c>
      <c r="D254">
        <v>717</v>
      </c>
      <c r="E254" s="132">
        <v>0</v>
      </c>
      <c r="F254" s="132">
        <v>0</v>
      </c>
      <c r="G254" s="132">
        <v>0</v>
      </c>
      <c r="H254" s="132">
        <v>0</v>
      </c>
      <c r="I254" s="132">
        <v>0</v>
      </c>
      <c r="J254" s="132">
        <v>0</v>
      </c>
      <c r="K254" s="132">
        <v>0</v>
      </c>
      <c r="L254" s="132">
        <v>0</v>
      </c>
      <c r="M254" s="132">
        <v>0</v>
      </c>
      <c r="N254" s="132">
        <v>0</v>
      </c>
      <c r="O254" s="132">
        <v>0</v>
      </c>
      <c r="P254" s="132">
        <v>0</v>
      </c>
      <c r="Q254" s="132">
        <v>0</v>
      </c>
      <c r="R254" s="132">
        <v>0</v>
      </c>
      <c r="S254" s="132">
        <v>0</v>
      </c>
      <c r="T254" s="132">
        <v>0</v>
      </c>
      <c r="U254" s="132">
        <v>0</v>
      </c>
      <c r="V254" s="132">
        <v>0</v>
      </c>
      <c r="W254" s="132">
        <v>0</v>
      </c>
      <c r="X254" s="132">
        <v>0</v>
      </c>
      <c r="Y254" s="132">
        <v>0</v>
      </c>
      <c r="Z254" s="128">
        <f t="shared" si="8"/>
        <v>0</v>
      </c>
    </row>
    <row r="255" spans="1:26" x14ac:dyDescent="0.2">
      <c r="A255" s="23" t="s">
        <v>103</v>
      </c>
      <c r="B255">
        <v>7</v>
      </c>
      <c r="C255" s="23" t="s">
        <v>112</v>
      </c>
      <c r="D255">
        <v>718</v>
      </c>
      <c r="E255" s="132">
        <v>0</v>
      </c>
      <c r="F255" s="132">
        <v>0</v>
      </c>
      <c r="G255" s="132">
        <v>0</v>
      </c>
      <c r="H255" s="132">
        <v>0</v>
      </c>
      <c r="I255" s="132">
        <v>0</v>
      </c>
      <c r="J255" s="132">
        <v>0</v>
      </c>
      <c r="K255" s="132">
        <v>0</v>
      </c>
      <c r="L255" s="132">
        <v>0</v>
      </c>
      <c r="M255" s="132">
        <v>0</v>
      </c>
      <c r="N255" s="132">
        <v>0</v>
      </c>
      <c r="O255" s="132">
        <v>0</v>
      </c>
      <c r="P255" s="132">
        <v>0</v>
      </c>
      <c r="Q255" s="132">
        <v>0</v>
      </c>
      <c r="R255" s="132">
        <v>0</v>
      </c>
      <c r="S255" s="132">
        <v>0</v>
      </c>
      <c r="T255" s="132">
        <v>0</v>
      </c>
      <c r="U255" s="132">
        <v>0</v>
      </c>
      <c r="V255" s="132">
        <v>0</v>
      </c>
      <c r="W255" s="132">
        <v>0</v>
      </c>
      <c r="X255" s="132">
        <v>0</v>
      </c>
      <c r="Y255" s="132">
        <v>0</v>
      </c>
      <c r="Z255" s="128">
        <f t="shared" si="8"/>
        <v>0</v>
      </c>
    </row>
    <row r="256" spans="1:26" x14ac:dyDescent="0.2">
      <c r="A256" s="23" t="s">
        <v>103</v>
      </c>
      <c r="B256">
        <v>7</v>
      </c>
      <c r="C256" s="23" t="s">
        <v>112</v>
      </c>
      <c r="D256">
        <v>719</v>
      </c>
      <c r="E256" s="132">
        <v>0</v>
      </c>
      <c r="F256" s="132">
        <v>0</v>
      </c>
      <c r="G256" s="132">
        <v>0</v>
      </c>
      <c r="H256" s="132">
        <v>0</v>
      </c>
      <c r="I256" s="132">
        <v>0</v>
      </c>
      <c r="J256" s="132">
        <v>0</v>
      </c>
      <c r="K256" s="132">
        <v>0</v>
      </c>
      <c r="L256" s="132">
        <v>0</v>
      </c>
      <c r="M256" s="132">
        <v>0</v>
      </c>
      <c r="N256" s="132">
        <v>0</v>
      </c>
      <c r="O256" s="132">
        <v>0</v>
      </c>
      <c r="P256" s="132">
        <v>0</v>
      </c>
      <c r="Q256" s="132">
        <v>0</v>
      </c>
      <c r="R256" s="132">
        <v>0</v>
      </c>
      <c r="S256" s="132">
        <v>0</v>
      </c>
      <c r="T256" s="132">
        <v>0</v>
      </c>
      <c r="U256" s="132">
        <v>0</v>
      </c>
      <c r="V256" s="132">
        <v>0</v>
      </c>
      <c r="W256" s="132">
        <v>0</v>
      </c>
      <c r="X256" s="132">
        <v>0</v>
      </c>
      <c r="Y256" s="132">
        <v>0</v>
      </c>
      <c r="Z256" s="128">
        <f t="shared" si="8"/>
        <v>0</v>
      </c>
    </row>
    <row r="257" spans="1:26" x14ac:dyDescent="0.2">
      <c r="A257" s="23" t="s">
        <v>103</v>
      </c>
      <c r="B257">
        <v>7</v>
      </c>
      <c r="C257" s="23" t="s">
        <v>112</v>
      </c>
      <c r="D257">
        <v>720</v>
      </c>
      <c r="E257" s="132">
        <v>0</v>
      </c>
      <c r="F257" s="132">
        <v>0</v>
      </c>
      <c r="G257" s="132">
        <v>0</v>
      </c>
      <c r="H257" s="132">
        <v>0</v>
      </c>
      <c r="I257" s="132">
        <v>0</v>
      </c>
      <c r="J257" s="132">
        <v>0</v>
      </c>
      <c r="K257" s="132">
        <v>0</v>
      </c>
      <c r="L257" s="132">
        <v>0</v>
      </c>
      <c r="M257" s="132">
        <v>0</v>
      </c>
      <c r="N257" s="132">
        <v>0</v>
      </c>
      <c r="O257" s="132">
        <v>0</v>
      </c>
      <c r="P257" s="132">
        <v>0</v>
      </c>
      <c r="Q257" s="132">
        <v>0</v>
      </c>
      <c r="R257" s="132">
        <v>0</v>
      </c>
      <c r="S257" s="132">
        <v>0</v>
      </c>
      <c r="T257" s="132">
        <v>0</v>
      </c>
      <c r="U257" s="132">
        <v>0</v>
      </c>
      <c r="V257" s="132">
        <v>0</v>
      </c>
      <c r="W257" s="132">
        <v>0</v>
      </c>
      <c r="X257" s="132">
        <v>0</v>
      </c>
      <c r="Y257" s="132">
        <v>0</v>
      </c>
      <c r="Z257" s="128">
        <f t="shared" si="8"/>
        <v>0</v>
      </c>
    </row>
    <row r="258" spans="1:26" x14ac:dyDescent="0.2">
      <c r="A258" s="23" t="s">
        <v>103</v>
      </c>
      <c r="B258">
        <v>7</v>
      </c>
      <c r="C258" s="23" t="s">
        <v>112</v>
      </c>
      <c r="D258">
        <v>721</v>
      </c>
      <c r="E258" s="132">
        <v>0</v>
      </c>
      <c r="F258" s="132">
        <v>0</v>
      </c>
      <c r="G258" s="132">
        <v>0</v>
      </c>
      <c r="H258" s="132">
        <v>0</v>
      </c>
      <c r="I258" s="132">
        <v>0</v>
      </c>
      <c r="J258" s="132">
        <v>0</v>
      </c>
      <c r="K258" s="132">
        <v>0</v>
      </c>
      <c r="L258" s="132">
        <v>0</v>
      </c>
      <c r="M258" s="132">
        <v>0</v>
      </c>
      <c r="N258" s="132">
        <v>0</v>
      </c>
      <c r="O258" s="132">
        <v>0</v>
      </c>
      <c r="P258" s="132">
        <v>0</v>
      </c>
      <c r="Q258" s="132">
        <v>0</v>
      </c>
      <c r="R258" s="132">
        <v>0</v>
      </c>
      <c r="S258" s="132">
        <v>0</v>
      </c>
      <c r="T258" s="132">
        <v>0</v>
      </c>
      <c r="U258" s="132">
        <v>0</v>
      </c>
      <c r="V258" s="132">
        <v>0</v>
      </c>
      <c r="W258" s="132">
        <v>0</v>
      </c>
      <c r="X258" s="132">
        <v>0</v>
      </c>
      <c r="Y258" s="132">
        <v>0</v>
      </c>
      <c r="Z258" s="128">
        <f t="shared" ref="Z258:Z321" si="10">AVERAGE(E258:Y258)</f>
        <v>0</v>
      </c>
    </row>
    <row r="259" spans="1:26" x14ac:dyDescent="0.2">
      <c r="A259" s="23" t="s">
        <v>103</v>
      </c>
      <c r="B259">
        <v>7</v>
      </c>
      <c r="C259" s="23" t="s">
        <v>112</v>
      </c>
      <c r="D259">
        <v>722</v>
      </c>
      <c r="E259" s="132">
        <v>0</v>
      </c>
      <c r="F259" s="132">
        <v>0</v>
      </c>
      <c r="G259" s="132">
        <v>0</v>
      </c>
      <c r="H259" s="132">
        <v>0</v>
      </c>
      <c r="I259" s="132">
        <v>0</v>
      </c>
      <c r="J259" s="132">
        <v>0</v>
      </c>
      <c r="K259" s="132">
        <v>0</v>
      </c>
      <c r="L259" s="132">
        <v>0</v>
      </c>
      <c r="M259" s="132">
        <v>0</v>
      </c>
      <c r="N259" s="132">
        <v>0</v>
      </c>
      <c r="O259" s="132">
        <v>0</v>
      </c>
      <c r="P259" s="132">
        <v>0</v>
      </c>
      <c r="Q259" s="132">
        <v>0</v>
      </c>
      <c r="R259" s="132">
        <v>0</v>
      </c>
      <c r="S259" s="132">
        <v>0</v>
      </c>
      <c r="T259" s="132">
        <v>0</v>
      </c>
      <c r="U259" s="132">
        <v>0</v>
      </c>
      <c r="V259" s="132">
        <v>0</v>
      </c>
      <c r="W259" s="132">
        <v>0</v>
      </c>
      <c r="X259" s="132">
        <v>0</v>
      </c>
      <c r="Y259" s="132">
        <v>0</v>
      </c>
      <c r="Z259" s="128">
        <f t="shared" si="10"/>
        <v>0</v>
      </c>
    </row>
    <row r="260" spans="1:26" x14ac:dyDescent="0.2">
      <c r="A260" s="23" t="s">
        <v>103</v>
      </c>
      <c r="B260">
        <v>7</v>
      </c>
      <c r="C260" s="23" t="s">
        <v>112</v>
      </c>
      <c r="D260">
        <v>723</v>
      </c>
      <c r="E260" s="132">
        <v>0</v>
      </c>
      <c r="F260" s="132">
        <v>0</v>
      </c>
      <c r="G260" s="132">
        <v>0</v>
      </c>
      <c r="H260" s="132">
        <v>0</v>
      </c>
      <c r="I260" s="132">
        <v>0</v>
      </c>
      <c r="J260" s="132">
        <v>0</v>
      </c>
      <c r="K260" s="132">
        <v>0</v>
      </c>
      <c r="L260" s="132">
        <v>0</v>
      </c>
      <c r="M260" s="132">
        <v>0</v>
      </c>
      <c r="N260" s="132">
        <v>0</v>
      </c>
      <c r="O260" s="132">
        <v>0</v>
      </c>
      <c r="P260" s="132">
        <v>0</v>
      </c>
      <c r="Q260" s="132">
        <v>0</v>
      </c>
      <c r="R260" s="132">
        <v>0</v>
      </c>
      <c r="S260" s="132">
        <v>0</v>
      </c>
      <c r="T260" s="132">
        <v>0</v>
      </c>
      <c r="U260" s="132">
        <v>0</v>
      </c>
      <c r="V260" s="132">
        <v>0</v>
      </c>
      <c r="W260" s="132">
        <v>0</v>
      </c>
      <c r="X260" s="132">
        <v>0</v>
      </c>
      <c r="Y260" s="132">
        <v>0</v>
      </c>
      <c r="Z260" s="128">
        <f t="shared" si="10"/>
        <v>0</v>
      </c>
    </row>
    <row r="261" spans="1:26" x14ac:dyDescent="0.2">
      <c r="A261" s="23" t="s">
        <v>103</v>
      </c>
      <c r="B261">
        <v>7</v>
      </c>
      <c r="C261" s="23" t="s">
        <v>111</v>
      </c>
      <c r="D261">
        <v>701</v>
      </c>
      <c r="E261" s="132">
        <v>0</v>
      </c>
      <c r="F261" s="132">
        <v>0</v>
      </c>
      <c r="G261" s="132">
        <v>0</v>
      </c>
      <c r="H261" s="132">
        <v>0</v>
      </c>
      <c r="I261" s="132">
        <v>0</v>
      </c>
      <c r="J261" s="132">
        <v>0</v>
      </c>
      <c r="K261" s="132">
        <v>0</v>
      </c>
      <c r="L261" s="132">
        <v>0</v>
      </c>
      <c r="M261" s="132">
        <v>0</v>
      </c>
      <c r="N261" s="132">
        <v>0</v>
      </c>
      <c r="O261" s="132">
        <v>0</v>
      </c>
      <c r="P261" s="132">
        <v>0</v>
      </c>
      <c r="Q261" s="132">
        <v>0</v>
      </c>
      <c r="R261" s="132">
        <v>0</v>
      </c>
      <c r="S261" s="132">
        <v>0</v>
      </c>
      <c r="T261" s="132">
        <v>0</v>
      </c>
      <c r="U261" s="132">
        <v>0</v>
      </c>
      <c r="V261" s="132">
        <v>0</v>
      </c>
      <c r="W261" s="132">
        <v>0</v>
      </c>
      <c r="X261" s="132">
        <v>0</v>
      </c>
      <c r="Y261" s="132">
        <v>0</v>
      </c>
      <c r="Z261" s="128">
        <f t="shared" si="10"/>
        <v>0</v>
      </c>
    </row>
    <row r="262" spans="1:26" x14ac:dyDescent="0.2">
      <c r="A262" s="23" t="s">
        <v>103</v>
      </c>
      <c r="B262">
        <v>7</v>
      </c>
      <c r="C262" s="23" t="s">
        <v>111</v>
      </c>
      <c r="D262">
        <v>702</v>
      </c>
      <c r="E262" s="132">
        <v>0</v>
      </c>
      <c r="F262" s="132">
        <v>0</v>
      </c>
      <c r="G262" s="132">
        <v>0</v>
      </c>
      <c r="H262" s="132">
        <v>0</v>
      </c>
      <c r="I262" s="132">
        <v>0</v>
      </c>
      <c r="J262" s="132">
        <v>0</v>
      </c>
      <c r="K262" s="132">
        <v>0</v>
      </c>
      <c r="L262" s="132">
        <v>0</v>
      </c>
      <c r="M262" s="132">
        <v>0</v>
      </c>
      <c r="N262" s="132">
        <v>0</v>
      </c>
      <c r="O262" s="132">
        <v>0</v>
      </c>
      <c r="P262" s="132">
        <v>0</v>
      </c>
      <c r="Q262" s="132">
        <v>0</v>
      </c>
      <c r="R262" s="132">
        <v>0</v>
      </c>
      <c r="S262" s="132">
        <v>0</v>
      </c>
      <c r="T262" s="132">
        <v>0</v>
      </c>
      <c r="U262" s="132">
        <v>0</v>
      </c>
      <c r="V262" s="132">
        <v>0</v>
      </c>
      <c r="W262" s="132">
        <v>0</v>
      </c>
      <c r="X262" s="132">
        <v>0</v>
      </c>
      <c r="Y262" s="132">
        <v>0</v>
      </c>
      <c r="Z262" s="128">
        <f t="shared" si="10"/>
        <v>0</v>
      </c>
    </row>
    <row r="263" spans="1:26" x14ac:dyDescent="0.2">
      <c r="A263" s="23" t="s">
        <v>103</v>
      </c>
      <c r="B263">
        <v>7</v>
      </c>
      <c r="C263" s="23" t="s">
        <v>111</v>
      </c>
      <c r="D263">
        <v>703</v>
      </c>
      <c r="E263" s="132">
        <v>0</v>
      </c>
      <c r="F263" s="132">
        <v>0</v>
      </c>
      <c r="G263" s="132">
        <v>0</v>
      </c>
      <c r="H263" s="132">
        <v>0</v>
      </c>
      <c r="I263" s="132">
        <v>0</v>
      </c>
      <c r="J263" s="132">
        <v>0</v>
      </c>
      <c r="K263" s="132">
        <v>0</v>
      </c>
      <c r="L263" s="132">
        <v>0</v>
      </c>
      <c r="M263" s="132">
        <v>0</v>
      </c>
      <c r="N263" s="132">
        <v>0</v>
      </c>
      <c r="O263" s="132">
        <v>0</v>
      </c>
      <c r="P263" s="132">
        <v>0</v>
      </c>
      <c r="Q263" s="132">
        <v>0</v>
      </c>
      <c r="R263" s="132">
        <v>0</v>
      </c>
      <c r="S263" s="132">
        <v>0</v>
      </c>
      <c r="T263" s="132">
        <v>0</v>
      </c>
      <c r="U263" s="132">
        <v>0</v>
      </c>
      <c r="V263" s="132">
        <v>0</v>
      </c>
      <c r="W263" s="132">
        <v>0</v>
      </c>
      <c r="X263" s="132">
        <v>0</v>
      </c>
      <c r="Y263" s="132">
        <v>0</v>
      </c>
      <c r="Z263" s="128">
        <f t="shared" si="10"/>
        <v>0</v>
      </c>
    </row>
    <row r="264" spans="1:26" x14ac:dyDescent="0.2">
      <c r="A264" s="23" t="s">
        <v>103</v>
      </c>
      <c r="B264">
        <v>7</v>
      </c>
      <c r="C264" s="23" t="s">
        <v>111</v>
      </c>
      <c r="D264">
        <v>704</v>
      </c>
      <c r="E264" s="132">
        <v>0</v>
      </c>
      <c r="F264" s="132">
        <v>0</v>
      </c>
      <c r="G264" s="132">
        <v>0</v>
      </c>
      <c r="H264" s="132">
        <v>0</v>
      </c>
      <c r="I264" s="132">
        <v>0</v>
      </c>
      <c r="J264" s="132">
        <v>0</v>
      </c>
      <c r="K264" s="132">
        <v>0</v>
      </c>
      <c r="L264" s="132">
        <v>0</v>
      </c>
      <c r="M264" s="132">
        <v>0</v>
      </c>
      <c r="N264" s="132">
        <v>0</v>
      </c>
      <c r="O264" s="132">
        <v>0</v>
      </c>
      <c r="P264" s="132">
        <v>0</v>
      </c>
      <c r="Q264" s="132">
        <v>0</v>
      </c>
      <c r="R264" s="132">
        <v>0</v>
      </c>
      <c r="S264" s="132">
        <v>0</v>
      </c>
      <c r="T264" s="132">
        <v>0</v>
      </c>
      <c r="U264" s="132">
        <v>0</v>
      </c>
      <c r="V264" s="132">
        <v>0</v>
      </c>
      <c r="W264" s="132">
        <v>0</v>
      </c>
      <c r="X264" s="132">
        <v>0</v>
      </c>
      <c r="Y264" s="132">
        <v>0</v>
      </c>
      <c r="Z264" s="128">
        <f t="shared" si="10"/>
        <v>0</v>
      </c>
    </row>
    <row r="265" spans="1:26" x14ac:dyDescent="0.2">
      <c r="A265" s="23" t="s">
        <v>103</v>
      </c>
      <c r="B265">
        <v>7</v>
      </c>
      <c r="C265" s="23" t="s">
        <v>111</v>
      </c>
      <c r="D265">
        <v>705</v>
      </c>
      <c r="E265" s="132">
        <v>0</v>
      </c>
      <c r="F265" s="132">
        <v>0</v>
      </c>
      <c r="G265" s="132">
        <v>0</v>
      </c>
      <c r="H265" s="132">
        <v>0</v>
      </c>
      <c r="I265" s="132">
        <v>0</v>
      </c>
      <c r="J265" s="132">
        <v>0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32">
        <v>0</v>
      </c>
      <c r="R265" s="132">
        <v>0</v>
      </c>
      <c r="S265" s="132">
        <v>0</v>
      </c>
      <c r="T265" s="132">
        <v>0</v>
      </c>
      <c r="U265" s="132">
        <v>0</v>
      </c>
      <c r="V265" s="132">
        <v>0</v>
      </c>
      <c r="W265" s="132">
        <v>0</v>
      </c>
      <c r="X265" s="132">
        <v>0</v>
      </c>
      <c r="Y265" s="132">
        <v>0</v>
      </c>
      <c r="Z265" s="128">
        <f t="shared" si="10"/>
        <v>0</v>
      </c>
    </row>
    <row r="266" spans="1:26" x14ac:dyDescent="0.2">
      <c r="A266" s="23" t="s">
        <v>103</v>
      </c>
      <c r="B266">
        <v>7</v>
      </c>
      <c r="C266" s="23" t="s">
        <v>111</v>
      </c>
      <c r="D266">
        <v>706</v>
      </c>
      <c r="E266" s="132">
        <v>0</v>
      </c>
      <c r="F266" s="132">
        <v>0</v>
      </c>
      <c r="G266" s="132">
        <v>0</v>
      </c>
      <c r="H266" s="132">
        <v>0</v>
      </c>
      <c r="I266" s="132">
        <v>0</v>
      </c>
      <c r="J266" s="132">
        <v>0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32">
        <v>0</v>
      </c>
      <c r="R266" s="132">
        <v>0</v>
      </c>
      <c r="S266" s="132">
        <v>0</v>
      </c>
      <c r="T266" s="132">
        <v>0</v>
      </c>
      <c r="U266" s="132">
        <v>0</v>
      </c>
      <c r="V266" s="132">
        <v>0</v>
      </c>
      <c r="W266" s="132">
        <v>0</v>
      </c>
      <c r="X266" s="132">
        <v>0</v>
      </c>
      <c r="Y266" s="132">
        <v>0</v>
      </c>
      <c r="Z266" s="128">
        <f t="shared" si="10"/>
        <v>0</v>
      </c>
    </row>
    <row r="267" spans="1:26" x14ac:dyDescent="0.2">
      <c r="A267" s="23" t="s">
        <v>103</v>
      </c>
      <c r="B267">
        <v>7</v>
      </c>
      <c r="C267" s="23" t="s">
        <v>111</v>
      </c>
      <c r="D267">
        <v>707</v>
      </c>
      <c r="E267" s="132">
        <v>0</v>
      </c>
      <c r="F267" s="132">
        <v>0</v>
      </c>
      <c r="G267" s="132">
        <v>0</v>
      </c>
      <c r="H267" s="132">
        <v>0</v>
      </c>
      <c r="I267" s="132">
        <v>0</v>
      </c>
      <c r="J267" s="132">
        <v>0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32">
        <v>0</v>
      </c>
      <c r="R267" s="132">
        <v>0</v>
      </c>
      <c r="S267" s="132">
        <v>0</v>
      </c>
      <c r="T267" s="132">
        <v>0</v>
      </c>
      <c r="U267" s="132">
        <v>0</v>
      </c>
      <c r="V267" s="132">
        <v>0</v>
      </c>
      <c r="W267" s="132">
        <v>0</v>
      </c>
      <c r="X267" s="132">
        <v>0</v>
      </c>
      <c r="Y267" s="132">
        <v>0</v>
      </c>
      <c r="Z267" s="128">
        <f t="shared" si="10"/>
        <v>0</v>
      </c>
    </row>
    <row r="268" spans="1:26" x14ac:dyDescent="0.2">
      <c r="A268" s="23" t="s">
        <v>103</v>
      </c>
      <c r="B268">
        <v>7</v>
      </c>
      <c r="C268" s="23" t="s">
        <v>111</v>
      </c>
      <c r="D268">
        <v>708</v>
      </c>
      <c r="E268" s="132">
        <v>0</v>
      </c>
      <c r="F268" s="132">
        <v>0</v>
      </c>
      <c r="G268" s="132">
        <v>0</v>
      </c>
      <c r="H268" s="132">
        <v>0</v>
      </c>
      <c r="I268" s="132">
        <v>0</v>
      </c>
      <c r="J268" s="132">
        <v>0</v>
      </c>
      <c r="K268" s="132">
        <v>0</v>
      </c>
      <c r="L268" s="132">
        <v>0</v>
      </c>
      <c r="M268" s="132">
        <v>0</v>
      </c>
      <c r="N268" s="132">
        <v>0</v>
      </c>
      <c r="O268" s="132">
        <v>0</v>
      </c>
      <c r="P268" s="132">
        <v>0</v>
      </c>
      <c r="Q268" s="132">
        <v>0</v>
      </c>
      <c r="R268" s="132">
        <v>0</v>
      </c>
      <c r="S268" s="132">
        <v>0</v>
      </c>
      <c r="T268" s="132">
        <v>0</v>
      </c>
      <c r="U268" s="132">
        <v>0</v>
      </c>
      <c r="V268" s="132">
        <v>0</v>
      </c>
      <c r="W268" s="132">
        <v>0</v>
      </c>
      <c r="X268" s="132">
        <v>0</v>
      </c>
      <c r="Y268" s="132">
        <v>0</v>
      </c>
      <c r="Z268" s="128">
        <f t="shared" si="10"/>
        <v>0</v>
      </c>
    </row>
    <row r="269" spans="1:26" x14ac:dyDescent="0.2">
      <c r="A269" s="23" t="s">
        <v>103</v>
      </c>
      <c r="B269">
        <v>7</v>
      </c>
      <c r="C269" s="23" t="s">
        <v>111</v>
      </c>
      <c r="D269">
        <v>709</v>
      </c>
      <c r="E269" s="132">
        <v>0</v>
      </c>
      <c r="F269" s="132">
        <v>0</v>
      </c>
      <c r="G269" s="132">
        <v>0</v>
      </c>
      <c r="H269" s="132">
        <v>0</v>
      </c>
      <c r="I269" s="132">
        <v>0</v>
      </c>
      <c r="J269" s="132">
        <v>0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32">
        <v>0</v>
      </c>
      <c r="R269" s="132">
        <v>0</v>
      </c>
      <c r="S269" s="132">
        <v>0</v>
      </c>
      <c r="T269" s="132">
        <v>0</v>
      </c>
      <c r="U269" s="132">
        <v>0</v>
      </c>
      <c r="V269" s="132">
        <v>0</v>
      </c>
      <c r="W269" s="132">
        <v>0</v>
      </c>
      <c r="X269" s="132">
        <v>0</v>
      </c>
      <c r="Y269" s="132">
        <v>0</v>
      </c>
      <c r="Z269" s="128">
        <f t="shared" si="10"/>
        <v>0</v>
      </c>
    </row>
    <row r="270" spans="1:26" x14ac:dyDescent="0.2">
      <c r="A270" s="23" t="s">
        <v>103</v>
      </c>
      <c r="B270">
        <v>7</v>
      </c>
      <c r="C270" s="23" t="s">
        <v>111</v>
      </c>
      <c r="D270">
        <v>710</v>
      </c>
      <c r="E270" s="132">
        <v>0</v>
      </c>
      <c r="F270" s="132">
        <v>0</v>
      </c>
      <c r="G270" s="132">
        <v>0</v>
      </c>
      <c r="H270" s="132">
        <v>0</v>
      </c>
      <c r="I270" s="132">
        <v>0</v>
      </c>
      <c r="J270" s="132">
        <v>0</v>
      </c>
      <c r="K270" s="132">
        <v>0</v>
      </c>
      <c r="L270" s="132">
        <v>0</v>
      </c>
      <c r="M270" s="132">
        <v>0</v>
      </c>
      <c r="N270" s="132">
        <v>0</v>
      </c>
      <c r="O270" s="132">
        <v>0</v>
      </c>
      <c r="P270" s="132">
        <v>0</v>
      </c>
      <c r="Q270" s="132">
        <v>0</v>
      </c>
      <c r="R270" s="132">
        <v>0</v>
      </c>
      <c r="S270" s="132">
        <v>0</v>
      </c>
      <c r="T270" s="132">
        <v>0</v>
      </c>
      <c r="U270" s="132">
        <v>0</v>
      </c>
      <c r="V270" s="132">
        <v>0</v>
      </c>
      <c r="W270" s="132">
        <v>0</v>
      </c>
      <c r="X270" s="132">
        <v>0</v>
      </c>
      <c r="Y270" s="132">
        <v>0</v>
      </c>
      <c r="Z270" s="128">
        <f t="shared" si="10"/>
        <v>0</v>
      </c>
    </row>
    <row r="271" spans="1:26" x14ac:dyDescent="0.2">
      <c r="A271" s="23" t="s">
        <v>103</v>
      </c>
      <c r="B271">
        <v>7</v>
      </c>
      <c r="C271" s="23" t="s">
        <v>111</v>
      </c>
      <c r="D271">
        <v>711</v>
      </c>
      <c r="E271" s="132">
        <v>0</v>
      </c>
      <c r="F271" s="132">
        <v>0</v>
      </c>
      <c r="G271" s="132">
        <v>0</v>
      </c>
      <c r="H271" s="132">
        <v>0</v>
      </c>
      <c r="I271" s="132">
        <v>0</v>
      </c>
      <c r="J271" s="132">
        <v>0</v>
      </c>
      <c r="K271" s="132">
        <v>0</v>
      </c>
      <c r="L271" s="132">
        <v>0</v>
      </c>
      <c r="M271" s="132">
        <v>0</v>
      </c>
      <c r="N271" s="132">
        <v>0</v>
      </c>
      <c r="O271" s="132">
        <v>0</v>
      </c>
      <c r="P271" s="132">
        <v>0</v>
      </c>
      <c r="Q271" s="132">
        <v>0</v>
      </c>
      <c r="R271" s="132">
        <v>0</v>
      </c>
      <c r="S271" s="132">
        <v>0</v>
      </c>
      <c r="T271" s="132">
        <v>0</v>
      </c>
      <c r="U271" s="132">
        <v>0</v>
      </c>
      <c r="V271" s="132">
        <v>0</v>
      </c>
      <c r="W271" s="132">
        <v>0</v>
      </c>
      <c r="X271" s="132">
        <v>0</v>
      </c>
      <c r="Y271" s="132">
        <v>0</v>
      </c>
      <c r="Z271" s="128">
        <f t="shared" si="10"/>
        <v>0</v>
      </c>
    </row>
    <row r="272" spans="1:26" x14ac:dyDescent="0.2">
      <c r="A272" s="23" t="s">
        <v>103</v>
      </c>
      <c r="B272">
        <v>7</v>
      </c>
      <c r="C272" s="23" t="s">
        <v>111</v>
      </c>
      <c r="D272">
        <v>712</v>
      </c>
      <c r="E272" s="132">
        <v>0</v>
      </c>
      <c r="F272" s="132">
        <v>0</v>
      </c>
      <c r="G272" s="132">
        <v>0</v>
      </c>
      <c r="H272" s="132">
        <v>0</v>
      </c>
      <c r="I272" s="132">
        <v>0</v>
      </c>
      <c r="J272" s="132">
        <v>0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32">
        <v>0</v>
      </c>
      <c r="R272" s="132">
        <v>0</v>
      </c>
      <c r="S272" s="132">
        <v>0</v>
      </c>
      <c r="T272" s="132">
        <v>0</v>
      </c>
      <c r="U272" s="132">
        <v>0</v>
      </c>
      <c r="V272" s="132">
        <v>0</v>
      </c>
      <c r="W272" s="132">
        <v>0</v>
      </c>
      <c r="X272" s="132">
        <v>0</v>
      </c>
      <c r="Y272" s="132">
        <v>0</v>
      </c>
      <c r="Z272" s="128">
        <f t="shared" si="10"/>
        <v>0</v>
      </c>
    </row>
    <row r="273" spans="1:26" x14ac:dyDescent="0.2">
      <c r="A273" s="23" t="s">
        <v>103</v>
      </c>
      <c r="B273">
        <v>7</v>
      </c>
      <c r="C273" s="23" t="s">
        <v>111</v>
      </c>
      <c r="D273">
        <v>713</v>
      </c>
      <c r="E273" s="132">
        <v>0</v>
      </c>
      <c r="F273" s="132">
        <v>0</v>
      </c>
      <c r="G273" s="132">
        <v>0</v>
      </c>
      <c r="H273" s="132">
        <v>0</v>
      </c>
      <c r="I273" s="132">
        <v>0</v>
      </c>
      <c r="J273" s="132">
        <v>0</v>
      </c>
      <c r="K273" s="132">
        <v>0</v>
      </c>
      <c r="L273" s="132">
        <v>0</v>
      </c>
      <c r="M273" s="132">
        <v>0</v>
      </c>
      <c r="N273" s="132">
        <v>0</v>
      </c>
      <c r="O273" s="132">
        <v>0</v>
      </c>
      <c r="P273" s="132">
        <v>0</v>
      </c>
      <c r="Q273" s="132">
        <v>0</v>
      </c>
      <c r="R273" s="132">
        <v>0</v>
      </c>
      <c r="S273" s="132">
        <v>0</v>
      </c>
      <c r="T273" s="132">
        <v>0</v>
      </c>
      <c r="U273" s="132">
        <v>0</v>
      </c>
      <c r="V273" s="132">
        <v>0</v>
      </c>
      <c r="W273" s="132">
        <v>0</v>
      </c>
      <c r="X273" s="132">
        <v>0</v>
      </c>
      <c r="Y273" s="132">
        <v>0</v>
      </c>
      <c r="Z273" s="128">
        <f t="shared" si="10"/>
        <v>0</v>
      </c>
    </row>
    <row r="274" spans="1:26" x14ac:dyDescent="0.2">
      <c r="A274" s="23" t="s">
        <v>103</v>
      </c>
      <c r="B274">
        <v>7</v>
      </c>
      <c r="C274" s="23" t="s">
        <v>111</v>
      </c>
      <c r="D274">
        <v>714</v>
      </c>
      <c r="E274" s="132">
        <v>0</v>
      </c>
      <c r="F274" s="132">
        <v>0</v>
      </c>
      <c r="G274" s="132">
        <v>0</v>
      </c>
      <c r="H274" s="132">
        <v>0</v>
      </c>
      <c r="I274" s="132">
        <v>0</v>
      </c>
      <c r="J274" s="132">
        <v>0</v>
      </c>
      <c r="K274" s="132">
        <v>0</v>
      </c>
      <c r="L274" s="132">
        <v>0</v>
      </c>
      <c r="M274" s="132">
        <v>0</v>
      </c>
      <c r="N274" s="132">
        <v>0</v>
      </c>
      <c r="O274" s="132">
        <v>0</v>
      </c>
      <c r="P274" s="132">
        <v>0</v>
      </c>
      <c r="Q274" s="132">
        <v>0</v>
      </c>
      <c r="R274" s="132">
        <v>0</v>
      </c>
      <c r="S274" s="132">
        <v>0</v>
      </c>
      <c r="T274" s="132">
        <v>0</v>
      </c>
      <c r="U274" s="132">
        <v>0</v>
      </c>
      <c r="V274" s="132">
        <v>0</v>
      </c>
      <c r="W274" s="132">
        <v>0</v>
      </c>
      <c r="X274" s="132">
        <v>0</v>
      </c>
      <c r="Y274" s="132">
        <v>0</v>
      </c>
      <c r="Z274" s="128">
        <f t="shared" si="10"/>
        <v>0</v>
      </c>
    </row>
    <row r="275" spans="1:26" x14ac:dyDescent="0.2">
      <c r="A275" s="23" t="s">
        <v>103</v>
      </c>
      <c r="B275">
        <v>7</v>
      </c>
      <c r="C275" s="23" t="s">
        <v>111</v>
      </c>
      <c r="D275">
        <v>715</v>
      </c>
      <c r="E275" s="132">
        <v>0</v>
      </c>
      <c r="F275" s="132">
        <v>0</v>
      </c>
      <c r="G275" s="132">
        <v>0</v>
      </c>
      <c r="H275" s="132">
        <v>0</v>
      </c>
      <c r="I275" s="132">
        <v>0</v>
      </c>
      <c r="J275" s="132">
        <v>0</v>
      </c>
      <c r="K275" s="132">
        <v>0</v>
      </c>
      <c r="L275" s="132">
        <v>0</v>
      </c>
      <c r="M275" s="132">
        <v>0</v>
      </c>
      <c r="N275" s="132">
        <v>0</v>
      </c>
      <c r="O275" s="132">
        <v>0</v>
      </c>
      <c r="P275" s="132">
        <v>0</v>
      </c>
      <c r="Q275" s="132">
        <v>0</v>
      </c>
      <c r="R275" s="132">
        <v>0</v>
      </c>
      <c r="S275" s="132">
        <v>0</v>
      </c>
      <c r="T275" s="132">
        <v>0</v>
      </c>
      <c r="U275" s="132">
        <v>0</v>
      </c>
      <c r="V275" s="132">
        <v>0</v>
      </c>
      <c r="W275" s="132">
        <v>0</v>
      </c>
      <c r="X275" s="132">
        <v>0</v>
      </c>
      <c r="Y275" s="132">
        <v>0</v>
      </c>
      <c r="Z275" s="128">
        <f t="shared" si="10"/>
        <v>0</v>
      </c>
    </row>
    <row r="276" spans="1:26" x14ac:dyDescent="0.2">
      <c r="A276" s="23" t="s">
        <v>103</v>
      </c>
      <c r="B276">
        <v>7</v>
      </c>
      <c r="C276" s="23" t="s">
        <v>111</v>
      </c>
      <c r="D276">
        <v>716</v>
      </c>
      <c r="E276" s="132">
        <v>0</v>
      </c>
      <c r="F276" s="132">
        <v>0</v>
      </c>
      <c r="G276" s="132">
        <v>0</v>
      </c>
      <c r="H276" s="132">
        <v>0</v>
      </c>
      <c r="I276" s="132">
        <v>0</v>
      </c>
      <c r="J276" s="132">
        <v>0</v>
      </c>
      <c r="K276" s="132">
        <v>0</v>
      </c>
      <c r="L276" s="132">
        <v>0</v>
      </c>
      <c r="M276" s="132">
        <v>0</v>
      </c>
      <c r="N276" s="132">
        <v>0</v>
      </c>
      <c r="O276" s="132">
        <v>0</v>
      </c>
      <c r="P276" s="132">
        <v>0</v>
      </c>
      <c r="Q276" s="132">
        <v>0</v>
      </c>
      <c r="R276" s="132">
        <v>0</v>
      </c>
      <c r="S276" s="132">
        <v>0</v>
      </c>
      <c r="T276" s="132">
        <v>0</v>
      </c>
      <c r="U276" s="132">
        <v>0</v>
      </c>
      <c r="V276" s="132">
        <v>0</v>
      </c>
      <c r="W276" s="132">
        <v>0</v>
      </c>
      <c r="X276" s="132">
        <v>0</v>
      </c>
      <c r="Y276" s="132">
        <v>0</v>
      </c>
      <c r="Z276" s="128">
        <f t="shared" si="10"/>
        <v>0</v>
      </c>
    </row>
    <row r="277" spans="1:26" x14ac:dyDescent="0.2">
      <c r="A277" s="23" t="s">
        <v>103</v>
      </c>
      <c r="B277">
        <v>7</v>
      </c>
      <c r="C277" s="23" t="s">
        <v>111</v>
      </c>
      <c r="D277">
        <v>717</v>
      </c>
      <c r="E277" s="132">
        <v>0</v>
      </c>
      <c r="F277" s="132">
        <v>0</v>
      </c>
      <c r="G277" s="132">
        <v>0</v>
      </c>
      <c r="H277" s="132">
        <v>0</v>
      </c>
      <c r="I277" s="132">
        <v>0</v>
      </c>
      <c r="J277" s="132">
        <v>0</v>
      </c>
      <c r="K277" s="132">
        <v>0</v>
      </c>
      <c r="L277" s="132">
        <v>0</v>
      </c>
      <c r="M277" s="132">
        <v>0</v>
      </c>
      <c r="N277" s="132">
        <v>0</v>
      </c>
      <c r="O277" s="132">
        <v>0</v>
      </c>
      <c r="P277" s="132">
        <v>0</v>
      </c>
      <c r="Q277" s="132">
        <v>0</v>
      </c>
      <c r="R277" s="132">
        <v>0</v>
      </c>
      <c r="S277" s="132">
        <v>0</v>
      </c>
      <c r="T277" s="132">
        <v>0</v>
      </c>
      <c r="U277" s="132">
        <v>0</v>
      </c>
      <c r="V277" s="132">
        <v>0</v>
      </c>
      <c r="W277" s="132">
        <v>0</v>
      </c>
      <c r="X277" s="132">
        <v>0</v>
      </c>
      <c r="Y277" s="132">
        <v>0</v>
      </c>
      <c r="Z277" s="128">
        <f t="shared" si="10"/>
        <v>0</v>
      </c>
    </row>
    <row r="278" spans="1:26" x14ac:dyDescent="0.2">
      <c r="A278" s="23" t="s">
        <v>103</v>
      </c>
      <c r="B278">
        <v>7</v>
      </c>
      <c r="C278" s="23" t="s">
        <v>111</v>
      </c>
      <c r="D278">
        <v>718</v>
      </c>
      <c r="E278" s="132">
        <v>0</v>
      </c>
      <c r="F278" s="132">
        <v>0</v>
      </c>
      <c r="G278" s="132">
        <v>0</v>
      </c>
      <c r="H278" s="132">
        <v>0</v>
      </c>
      <c r="I278" s="132">
        <v>0</v>
      </c>
      <c r="J278" s="132">
        <v>0</v>
      </c>
      <c r="K278" s="132">
        <v>0</v>
      </c>
      <c r="L278" s="132">
        <v>0</v>
      </c>
      <c r="M278" s="132">
        <v>0</v>
      </c>
      <c r="N278" s="132">
        <v>0</v>
      </c>
      <c r="O278" s="132">
        <v>0</v>
      </c>
      <c r="P278" s="132">
        <v>0</v>
      </c>
      <c r="Q278" s="132">
        <v>0</v>
      </c>
      <c r="R278" s="132">
        <v>0</v>
      </c>
      <c r="S278" s="132">
        <v>0</v>
      </c>
      <c r="T278" s="132">
        <v>0</v>
      </c>
      <c r="U278" s="132">
        <v>0</v>
      </c>
      <c r="V278" s="132">
        <v>0</v>
      </c>
      <c r="W278" s="132">
        <v>0</v>
      </c>
      <c r="X278" s="132">
        <v>0</v>
      </c>
      <c r="Y278" s="132">
        <v>0</v>
      </c>
      <c r="Z278" s="128">
        <f t="shared" si="10"/>
        <v>0</v>
      </c>
    </row>
    <row r="279" spans="1:26" x14ac:dyDescent="0.2">
      <c r="A279" s="23" t="s">
        <v>103</v>
      </c>
      <c r="B279">
        <v>7</v>
      </c>
      <c r="C279" s="23" t="s">
        <v>111</v>
      </c>
      <c r="D279">
        <v>719</v>
      </c>
      <c r="E279" s="132">
        <v>0</v>
      </c>
      <c r="F279" s="132">
        <v>0</v>
      </c>
      <c r="G279" s="132">
        <v>0</v>
      </c>
      <c r="H279" s="132">
        <v>0</v>
      </c>
      <c r="I279" s="132">
        <v>0</v>
      </c>
      <c r="J279" s="132">
        <v>0</v>
      </c>
      <c r="K279" s="132">
        <v>0</v>
      </c>
      <c r="L279" s="132">
        <v>0</v>
      </c>
      <c r="M279" s="132">
        <v>0</v>
      </c>
      <c r="N279" s="132">
        <v>0</v>
      </c>
      <c r="O279" s="132">
        <v>0</v>
      </c>
      <c r="P279" s="132">
        <v>0</v>
      </c>
      <c r="Q279" s="132">
        <v>0</v>
      </c>
      <c r="R279" s="132">
        <v>0</v>
      </c>
      <c r="S279" s="132">
        <v>0</v>
      </c>
      <c r="T279" s="132">
        <v>0</v>
      </c>
      <c r="U279" s="132">
        <v>0</v>
      </c>
      <c r="V279" s="132">
        <v>0</v>
      </c>
      <c r="W279" s="132">
        <v>0</v>
      </c>
      <c r="X279" s="132">
        <v>0</v>
      </c>
      <c r="Y279" s="132">
        <v>0</v>
      </c>
      <c r="Z279" s="128">
        <f t="shared" si="10"/>
        <v>0</v>
      </c>
    </row>
    <row r="280" spans="1:26" x14ac:dyDescent="0.2">
      <c r="A280" s="23" t="s">
        <v>103</v>
      </c>
      <c r="B280">
        <v>7</v>
      </c>
      <c r="C280" s="23" t="s">
        <v>111</v>
      </c>
      <c r="D280">
        <v>720</v>
      </c>
      <c r="E280" s="132">
        <v>0</v>
      </c>
      <c r="F280" s="132">
        <v>0</v>
      </c>
      <c r="G280" s="132">
        <v>0</v>
      </c>
      <c r="H280" s="132">
        <v>0</v>
      </c>
      <c r="I280" s="132">
        <v>0</v>
      </c>
      <c r="J280" s="132">
        <v>0</v>
      </c>
      <c r="K280" s="132">
        <v>0</v>
      </c>
      <c r="L280" s="132">
        <v>0</v>
      </c>
      <c r="M280" s="132">
        <v>0</v>
      </c>
      <c r="N280" s="132">
        <v>0</v>
      </c>
      <c r="O280" s="132">
        <v>0</v>
      </c>
      <c r="P280" s="132">
        <v>0</v>
      </c>
      <c r="Q280" s="132">
        <v>0</v>
      </c>
      <c r="R280" s="132">
        <v>0</v>
      </c>
      <c r="S280" s="132">
        <v>0</v>
      </c>
      <c r="T280" s="132">
        <v>0</v>
      </c>
      <c r="U280" s="132">
        <v>0</v>
      </c>
      <c r="V280" s="132">
        <v>0</v>
      </c>
      <c r="W280" s="132">
        <v>0</v>
      </c>
      <c r="X280" s="132">
        <v>0</v>
      </c>
      <c r="Y280" s="132">
        <v>0</v>
      </c>
      <c r="Z280" s="128">
        <f t="shared" si="10"/>
        <v>0</v>
      </c>
    </row>
    <row r="281" spans="1:26" x14ac:dyDescent="0.2">
      <c r="A281" s="23" t="s">
        <v>103</v>
      </c>
      <c r="B281">
        <v>7</v>
      </c>
      <c r="C281" s="23" t="s">
        <v>111</v>
      </c>
      <c r="D281">
        <v>721</v>
      </c>
      <c r="E281" s="132">
        <v>0</v>
      </c>
      <c r="F281" s="132">
        <v>0</v>
      </c>
      <c r="G281" s="132">
        <v>0</v>
      </c>
      <c r="H281" s="132">
        <v>0</v>
      </c>
      <c r="I281" s="132">
        <v>0</v>
      </c>
      <c r="J281" s="132">
        <v>0</v>
      </c>
      <c r="K281" s="132">
        <v>0</v>
      </c>
      <c r="L281" s="132">
        <v>0</v>
      </c>
      <c r="M281" s="132">
        <v>0</v>
      </c>
      <c r="N281" s="132">
        <v>0</v>
      </c>
      <c r="O281" s="132">
        <v>0</v>
      </c>
      <c r="P281" s="132">
        <v>0</v>
      </c>
      <c r="Q281" s="132">
        <v>0</v>
      </c>
      <c r="R281" s="132">
        <v>0</v>
      </c>
      <c r="S281" s="132">
        <v>0</v>
      </c>
      <c r="T281" s="132">
        <v>0</v>
      </c>
      <c r="U281" s="132">
        <v>0</v>
      </c>
      <c r="V281" s="132">
        <v>0</v>
      </c>
      <c r="W281" s="132">
        <v>0</v>
      </c>
      <c r="X281" s="132">
        <v>0</v>
      </c>
      <c r="Y281" s="132">
        <v>0</v>
      </c>
      <c r="Z281" s="128">
        <f t="shared" si="10"/>
        <v>0</v>
      </c>
    </row>
    <row r="282" spans="1:26" x14ac:dyDescent="0.2">
      <c r="A282" s="23"/>
      <c r="C282" s="23"/>
      <c r="E282" s="132"/>
      <c r="F282" s="132">
        <f t="shared" ref="F282:Y282" si="11">AVERAGE(F238:F281)</f>
        <v>0</v>
      </c>
      <c r="G282" s="132">
        <f t="shared" si="11"/>
        <v>0</v>
      </c>
      <c r="H282" s="132">
        <f t="shared" si="11"/>
        <v>0</v>
      </c>
      <c r="I282" s="132">
        <f t="shared" si="11"/>
        <v>0</v>
      </c>
      <c r="J282" s="132">
        <f t="shared" si="11"/>
        <v>0</v>
      </c>
      <c r="K282" s="132">
        <f t="shared" si="11"/>
        <v>0</v>
      </c>
      <c r="L282" s="132">
        <f t="shared" si="11"/>
        <v>0</v>
      </c>
      <c r="M282" s="132">
        <f t="shared" si="11"/>
        <v>0</v>
      </c>
      <c r="N282" s="132">
        <f t="shared" si="11"/>
        <v>0</v>
      </c>
      <c r="O282" s="132">
        <f t="shared" si="11"/>
        <v>0</v>
      </c>
      <c r="P282" s="132">
        <f t="shared" si="11"/>
        <v>0</v>
      </c>
      <c r="Q282" s="132">
        <f t="shared" si="11"/>
        <v>0</v>
      </c>
      <c r="R282" s="132">
        <f t="shared" si="11"/>
        <v>0</v>
      </c>
      <c r="S282" s="132">
        <f t="shared" si="11"/>
        <v>0</v>
      </c>
      <c r="T282" s="132">
        <f t="shared" si="11"/>
        <v>0</v>
      </c>
      <c r="U282" s="132">
        <f t="shared" si="11"/>
        <v>0</v>
      </c>
      <c r="V282" s="132">
        <f t="shared" si="11"/>
        <v>0</v>
      </c>
      <c r="W282" s="132">
        <f t="shared" si="11"/>
        <v>0</v>
      </c>
      <c r="X282" s="132">
        <f t="shared" si="11"/>
        <v>0</v>
      </c>
      <c r="Y282" s="132">
        <f t="shared" si="11"/>
        <v>0</v>
      </c>
      <c r="Z282" s="128">
        <f t="shared" si="10"/>
        <v>0</v>
      </c>
    </row>
    <row r="283" spans="1:26" x14ac:dyDescent="0.2">
      <c r="A283" s="23" t="s">
        <v>103</v>
      </c>
      <c r="B283">
        <v>8</v>
      </c>
      <c r="C283" s="23" t="s">
        <v>112</v>
      </c>
      <c r="D283">
        <v>801</v>
      </c>
      <c r="E283" s="132">
        <v>0</v>
      </c>
      <c r="F283" s="132">
        <v>0</v>
      </c>
      <c r="G283" s="132">
        <v>0</v>
      </c>
      <c r="H283" s="132">
        <v>0</v>
      </c>
      <c r="I283" s="132">
        <v>0</v>
      </c>
      <c r="J283" s="132">
        <v>0</v>
      </c>
      <c r="K283" s="132">
        <v>0</v>
      </c>
      <c r="L283" s="132">
        <v>0</v>
      </c>
      <c r="M283" s="132">
        <v>0</v>
      </c>
      <c r="N283" s="132">
        <v>0</v>
      </c>
      <c r="O283" s="132">
        <v>0</v>
      </c>
      <c r="P283" s="132">
        <v>0</v>
      </c>
      <c r="Q283" s="132">
        <v>0</v>
      </c>
      <c r="R283" s="132">
        <v>0</v>
      </c>
      <c r="S283" s="132">
        <v>0</v>
      </c>
      <c r="T283" s="132">
        <v>0</v>
      </c>
      <c r="U283" s="132">
        <v>0</v>
      </c>
      <c r="V283" s="132">
        <v>0</v>
      </c>
      <c r="W283" s="132">
        <v>0</v>
      </c>
      <c r="X283" s="132">
        <v>0</v>
      </c>
      <c r="Y283" s="132">
        <v>0</v>
      </c>
      <c r="Z283" s="128">
        <f t="shared" si="10"/>
        <v>0</v>
      </c>
    </row>
    <row r="284" spans="1:26" x14ac:dyDescent="0.2">
      <c r="A284" s="23" t="s">
        <v>103</v>
      </c>
      <c r="B284">
        <v>8</v>
      </c>
      <c r="C284" s="23" t="s">
        <v>112</v>
      </c>
      <c r="D284">
        <v>802</v>
      </c>
      <c r="E284" s="132">
        <v>0</v>
      </c>
      <c r="F284" s="132">
        <v>0</v>
      </c>
      <c r="G284" s="132">
        <v>0</v>
      </c>
      <c r="H284" s="132">
        <v>0</v>
      </c>
      <c r="I284" s="132">
        <v>0</v>
      </c>
      <c r="J284" s="132">
        <v>0</v>
      </c>
      <c r="K284" s="132">
        <v>0</v>
      </c>
      <c r="L284" s="132">
        <v>0</v>
      </c>
      <c r="M284" s="132">
        <v>0</v>
      </c>
      <c r="N284" s="132">
        <v>0</v>
      </c>
      <c r="O284" s="132">
        <v>0</v>
      </c>
      <c r="P284" s="132">
        <v>0</v>
      </c>
      <c r="Q284" s="132">
        <v>0</v>
      </c>
      <c r="R284" s="132">
        <v>0</v>
      </c>
      <c r="S284" s="132">
        <v>0</v>
      </c>
      <c r="T284" s="132">
        <v>0</v>
      </c>
      <c r="U284" s="132">
        <v>0</v>
      </c>
      <c r="V284" s="132">
        <v>0</v>
      </c>
      <c r="W284" s="132">
        <v>0</v>
      </c>
      <c r="X284" s="132">
        <v>0</v>
      </c>
      <c r="Y284" s="132">
        <v>0</v>
      </c>
      <c r="Z284" s="128">
        <f t="shared" si="10"/>
        <v>0</v>
      </c>
    </row>
    <row r="285" spans="1:26" x14ac:dyDescent="0.2">
      <c r="A285" s="23" t="s">
        <v>103</v>
      </c>
      <c r="B285">
        <v>8</v>
      </c>
      <c r="C285" s="23" t="s">
        <v>112</v>
      </c>
      <c r="D285">
        <v>803</v>
      </c>
      <c r="E285" s="132">
        <v>0</v>
      </c>
      <c r="F285" s="132">
        <v>0</v>
      </c>
      <c r="G285" s="132">
        <v>0</v>
      </c>
      <c r="H285" s="132">
        <v>0</v>
      </c>
      <c r="I285" s="132">
        <v>0</v>
      </c>
      <c r="J285" s="132">
        <v>0</v>
      </c>
      <c r="K285" s="132">
        <v>0</v>
      </c>
      <c r="L285" s="132">
        <v>0</v>
      </c>
      <c r="M285" s="132">
        <v>0</v>
      </c>
      <c r="N285" s="132">
        <v>0</v>
      </c>
      <c r="O285" s="132">
        <v>0</v>
      </c>
      <c r="P285" s="132">
        <v>0</v>
      </c>
      <c r="Q285" s="132">
        <v>0</v>
      </c>
      <c r="R285" s="132">
        <v>0</v>
      </c>
      <c r="S285" s="132">
        <v>0</v>
      </c>
      <c r="T285" s="132">
        <v>0</v>
      </c>
      <c r="U285" s="132">
        <v>0</v>
      </c>
      <c r="V285" s="132">
        <v>0</v>
      </c>
      <c r="W285" s="132">
        <v>0</v>
      </c>
      <c r="X285" s="132">
        <v>0</v>
      </c>
      <c r="Y285" s="132">
        <v>0</v>
      </c>
      <c r="Z285" s="128">
        <f t="shared" si="10"/>
        <v>0</v>
      </c>
    </row>
    <row r="286" spans="1:26" x14ac:dyDescent="0.2">
      <c r="A286" s="23" t="s">
        <v>103</v>
      </c>
      <c r="B286">
        <v>8</v>
      </c>
      <c r="C286" s="23" t="s">
        <v>112</v>
      </c>
      <c r="D286">
        <v>804</v>
      </c>
      <c r="E286" s="132">
        <v>0</v>
      </c>
      <c r="F286" s="132">
        <v>0</v>
      </c>
      <c r="G286" s="132">
        <v>0</v>
      </c>
      <c r="H286" s="132">
        <v>0</v>
      </c>
      <c r="I286" s="132">
        <v>0</v>
      </c>
      <c r="J286" s="132">
        <v>0</v>
      </c>
      <c r="K286" s="132">
        <v>0</v>
      </c>
      <c r="L286" s="132">
        <v>0</v>
      </c>
      <c r="M286" s="132">
        <v>0</v>
      </c>
      <c r="N286" s="132">
        <v>0</v>
      </c>
      <c r="O286" s="132">
        <v>0</v>
      </c>
      <c r="P286" s="132">
        <v>0</v>
      </c>
      <c r="Q286" s="132">
        <v>0</v>
      </c>
      <c r="R286" s="132">
        <v>0</v>
      </c>
      <c r="S286" s="132">
        <v>0</v>
      </c>
      <c r="T286" s="132">
        <v>0</v>
      </c>
      <c r="U286" s="132">
        <v>0</v>
      </c>
      <c r="V286" s="132">
        <v>0</v>
      </c>
      <c r="W286" s="132">
        <v>0</v>
      </c>
      <c r="X286" s="132">
        <v>0</v>
      </c>
      <c r="Y286" s="132">
        <v>0</v>
      </c>
      <c r="Z286" s="128">
        <f t="shared" si="10"/>
        <v>0</v>
      </c>
    </row>
    <row r="287" spans="1:26" x14ac:dyDescent="0.2">
      <c r="A287" s="23" t="s">
        <v>103</v>
      </c>
      <c r="B287">
        <v>8</v>
      </c>
      <c r="C287" s="23" t="s">
        <v>112</v>
      </c>
      <c r="D287">
        <v>805</v>
      </c>
      <c r="E287" s="132">
        <v>0</v>
      </c>
      <c r="F287" s="132">
        <v>0</v>
      </c>
      <c r="G287" s="132">
        <v>0</v>
      </c>
      <c r="H287" s="132">
        <v>0</v>
      </c>
      <c r="I287" s="132">
        <v>0</v>
      </c>
      <c r="J287" s="132">
        <v>0</v>
      </c>
      <c r="K287" s="132">
        <v>0</v>
      </c>
      <c r="L287" s="132">
        <v>0</v>
      </c>
      <c r="M287" s="132">
        <v>0</v>
      </c>
      <c r="N287" s="132">
        <v>0</v>
      </c>
      <c r="O287" s="132">
        <v>0</v>
      </c>
      <c r="P287" s="132">
        <v>0</v>
      </c>
      <c r="Q287" s="132">
        <v>0</v>
      </c>
      <c r="R287" s="132">
        <v>0</v>
      </c>
      <c r="S287" s="132">
        <v>0</v>
      </c>
      <c r="T287" s="132">
        <v>0</v>
      </c>
      <c r="U287" s="132">
        <v>0</v>
      </c>
      <c r="V287" s="132">
        <v>0</v>
      </c>
      <c r="W287" s="132">
        <v>0</v>
      </c>
      <c r="X287" s="132">
        <v>0</v>
      </c>
      <c r="Y287" s="132">
        <v>0</v>
      </c>
      <c r="Z287" s="128">
        <f t="shared" si="10"/>
        <v>0</v>
      </c>
    </row>
    <row r="288" spans="1:26" x14ac:dyDescent="0.2">
      <c r="A288" s="23" t="s">
        <v>103</v>
      </c>
      <c r="B288">
        <v>8</v>
      </c>
      <c r="C288" s="23" t="s">
        <v>112</v>
      </c>
      <c r="D288">
        <v>806</v>
      </c>
      <c r="E288" s="132">
        <v>0</v>
      </c>
      <c r="F288" s="132">
        <v>0</v>
      </c>
      <c r="G288" s="132">
        <v>0</v>
      </c>
      <c r="H288" s="132">
        <v>0</v>
      </c>
      <c r="I288" s="132">
        <v>0</v>
      </c>
      <c r="J288" s="132">
        <v>0</v>
      </c>
      <c r="K288" s="132">
        <v>0</v>
      </c>
      <c r="L288" s="132">
        <v>0</v>
      </c>
      <c r="M288" s="132">
        <v>0</v>
      </c>
      <c r="N288" s="132">
        <v>0</v>
      </c>
      <c r="O288" s="132">
        <v>0</v>
      </c>
      <c r="P288" s="132">
        <v>0</v>
      </c>
      <c r="Q288" s="132">
        <v>0</v>
      </c>
      <c r="R288" s="132">
        <v>0</v>
      </c>
      <c r="S288" s="132">
        <v>0</v>
      </c>
      <c r="T288" s="132">
        <v>0</v>
      </c>
      <c r="U288" s="132">
        <v>0</v>
      </c>
      <c r="V288" s="132">
        <v>0</v>
      </c>
      <c r="W288" s="132">
        <v>0</v>
      </c>
      <c r="X288" s="132">
        <v>0</v>
      </c>
      <c r="Y288" s="132">
        <v>0</v>
      </c>
      <c r="Z288" s="128">
        <f t="shared" si="10"/>
        <v>0</v>
      </c>
    </row>
    <row r="289" spans="1:26" x14ac:dyDescent="0.2">
      <c r="A289" s="23" t="s">
        <v>103</v>
      </c>
      <c r="B289">
        <v>8</v>
      </c>
      <c r="C289" s="23" t="s">
        <v>112</v>
      </c>
      <c r="D289">
        <v>807</v>
      </c>
      <c r="E289" s="132">
        <v>0</v>
      </c>
      <c r="F289" s="132">
        <v>0</v>
      </c>
      <c r="G289" s="132">
        <v>0</v>
      </c>
      <c r="H289" s="132">
        <v>0</v>
      </c>
      <c r="I289" s="132">
        <v>0</v>
      </c>
      <c r="J289" s="132">
        <v>0</v>
      </c>
      <c r="K289" s="132">
        <v>0</v>
      </c>
      <c r="L289" s="132">
        <v>0</v>
      </c>
      <c r="M289" s="132">
        <v>0</v>
      </c>
      <c r="N289" s="132">
        <v>0</v>
      </c>
      <c r="O289" s="132">
        <v>0</v>
      </c>
      <c r="P289" s="132">
        <v>0</v>
      </c>
      <c r="Q289" s="132">
        <v>0</v>
      </c>
      <c r="R289" s="132">
        <v>0</v>
      </c>
      <c r="S289" s="132">
        <v>0</v>
      </c>
      <c r="T289" s="132">
        <v>0</v>
      </c>
      <c r="U289" s="132">
        <v>0</v>
      </c>
      <c r="V289" s="132">
        <v>0</v>
      </c>
      <c r="W289" s="132">
        <v>0</v>
      </c>
      <c r="X289" s="132">
        <v>0</v>
      </c>
      <c r="Y289" s="132">
        <v>0</v>
      </c>
      <c r="Z289" s="128">
        <f t="shared" si="10"/>
        <v>0</v>
      </c>
    </row>
    <row r="290" spans="1:26" x14ac:dyDescent="0.2">
      <c r="A290" s="23" t="s">
        <v>103</v>
      </c>
      <c r="B290">
        <v>8</v>
      </c>
      <c r="C290" s="23" t="s">
        <v>112</v>
      </c>
      <c r="D290">
        <v>808</v>
      </c>
      <c r="E290" s="132">
        <v>0</v>
      </c>
      <c r="F290" s="132">
        <v>0</v>
      </c>
      <c r="G290" s="132">
        <v>0</v>
      </c>
      <c r="H290" s="132">
        <v>0</v>
      </c>
      <c r="I290" s="132">
        <v>0</v>
      </c>
      <c r="J290" s="132">
        <v>0</v>
      </c>
      <c r="K290" s="132">
        <v>0</v>
      </c>
      <c r="L290" s="132">
        <v>0</v>
      </c>
      <c r="M290" s="132">
        <v>0</v>
      </c>
      <c r="N290" s="132">
        <v>0</v>
      </c>
      <c r="O290" s="132">
        <v>0</v>
      </c>
      <c r="P290" s="132">
        <v>0</v>
      </c>
      <c r="Q290" s="132">
        <v>0</v>
      </c>
      <c r="R290" s="132">
        <v>0</v>
      </c>
      <c r="S290" s="132">
        <v>0</v>
      </c>
      <c r="T290" s="132">
        <v>0</v>
      </c>
      <c r="U290" s="132">
        <v>0</v>
      </c>
      <c r="V290" s="132">
        <v>0</v>
      </c>
      <c r="W290" s="132">
        <v>0</v>
      </c>
      <c r="X290" s="132">
        <v>0</v>
      </c>
      <c r="Y290" s="132">
        <v>0</v>
      </c>
      <c r="Z290" s="128">
        <f t="shared" si="10"/>
        <v>0</v>
      </c>
    </row>
    <row r="291" spans="1:26" x14ac:dyDescent="0.2">
      <c r="A291" s="23" t="s">
        <v>103</v>
      </c>
      <c r="B291">
        <v>8</v>
      </c>
      <c r="C291" s="23" t="s">
        <v>112</v>
      </c>
      <c r="D291">
        <v>809</v>
      </c>
      <c r="E291" s="132">
        <v>0</v>
      </c>
      <c r="F291" s="132">
        <v>0</v>
      </c>
      <c r="G291" s="132">
        <v>0</v>
      </c>
      <c r="H291" s="132">
        <v>0</v>
      </c>
      <c r="I291" s="132">
        <v>0</v>
      </c>
      <c r="J291" s="132">
        <v>0</v>
      </c>
      <c r="K291" s="132">
        <v>0</v>
      </c>
      <c r="L291" s="132">
        <v>0</v>
      </c>
      <c r="M291" s="132">
        <v>0</v>
      </c>
      <c r="N291" s="132">
        <v>0</v>
      </c>
      <c r="O291" s="132">
        <v>0</v>
      </c>
      <c r="P291" s="132">
        <v>0</v>
      </c>
      <c r="Q291" s="132">
        <v>0</v>
      </c>
      <c r="R291" s="132">
        <v>0</v>
      </c>
      <c r="S291" s="132">
        <v>0</v>
      </c>
      <c r="T291" s="132">
        <v>0</v>
      </c>
      <c r="U291" s="132">
        <v>0</v>
      </c>
      <c r="V291" s="132">
        <v>0</v>
      </c>
      <c r="W291" s="132">
        <v>0</v>
      </c>
      <c r="X291" s="132">
        <v>0</v>
      </c>
      <c r="Y291" s="132">
        <v>0</v>
      </c>
      <c r="Z291" s="128">
        <f t="shared" si="10"/>
        <v>0</v>
      </c>
    </row>
    <row r="292" spans="1:26" x14ac:dyDescent="0.2">
      <c r="A292" s="23" t="s">
        <v>103</v>
      </c>
      <c r="B292">
        <v>8</v>
      </c>
      <c r="C292" s="23" t="s">
        <v>112</v>
      </c>
      <c r="D292">
        <v>810</v>
      </c>
      <c r="E292" s="132">
        <v>0</v>
      </c>
      <c r="F292" s="132">
        <v>0</v>
      </c>
      <c r="G292" s="132">
        <v>0</v>
      </c>
      <c r="H292" s="132">
        <v>0</v>
      </c>
      <c r="I292" s="132">
        <v>0</v>
      </c>
      <c r="J292" s="132">
        <v>0</v>
      </c>
      <c r="K292" s="132">
        <v>0</v>
      </c>
      <c r="L292" s="132">
        <v>0</v>
      </c>
      <c r="M292" s="132">
        <v>0</v>
      </c>
      <c r="N292" s="132">
        <v>0</v>
      </c>
      <c r="O292" s="132">
        <v>0</v>
      </c>
      <c r="P292" s="132">
        <v>0</v>
      </c>
      <c r="Q292" s="132">
        <v>0</v>
      </c>
      <c r="R292" s="132">
        <v>0</v>
      </c>
      <c r="S292" s="132">
        <v>0</v>
      </c>
      <c r="T292" s="132">
        <v>0</v>
      </c>
      <c r="U292" s="132">
        <v>0</v>
      </c>
      <c r="V292" s="132">
        <v>0</v>
      </c>
      <c r="W292" s="132">
        <v>0</v>
      </c>
      <c r="X292" s="132">
        <v>0</v>
      </c>
      <c r="Y292" s="132">
        <v>0</v>
      </c>
      <c r="Z292" s="128">
        <f t="shared" si="10"/>
        <v>0</v>
      </c>
    </row>
    <row r="293" spans="1:26" x14ac:dyDescent="0.2">
      <c r="A293" s="23" t="s">
        <v>103</v>
      </c>
      <c r="B293">
        <v>8</v>
      </c>
      <c r="C293" s="23" t="s">
        <v>112</v>
      </c>
      <c r="D293">
        <v>811</v>
      </c>
      <c r="E293" s="132">
        <v>0</v>
      </c>
      <c r="F293" s="132">
        <v>0</v>
      </c>
      <c r="G293" s="132">
        <v>0</v>
      </c>
      <c r="H293" s="132">
        <v>0</v>
      </c>
      <c r="I293" s="132">
        <v>0</v>
      </c>
      <c r="J293" s="132">
        <v>0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32">
        <v>0</v>
      </c>
      <c r="R293" s="132">
        <v>0</v>
      </c>
      <c r="S293" s="132">
        <v>0</v>
      </c>
      <c r="T293" s="132">
        <v>0</v>
      </c>
      <c r="U293" s="132">
        <v>0</v>
      </c>
      <c r="V293" s="132">
        <v>0</v>
      </c>
      <c r="W293" s="132">
        <v>0</v>
      </c>
      <c r="X293" s="132">
        <v>0</v>
      </c>
      <c r="Y293" s="132">
        <v>0</v>
      </c>
      <c r="Z293" s="128">
        <f t="shared" si="10"/>
        <v>0</v>
      </c>
    </row>
    <row r="294" spans="1:26" x14ac:dyDescent="0.2">
      <c r="A294" s="23" t="s">
        <v>103</v>
      </c>
      <c r="B294">
        <v>8</v>
      </c>
      <c r="C294" s="23" t="s">
        <v>112</v>
      </c>
      <c r="D294">
        <v>812</v>
      </c>
      <c r="E294" s="132">
        <v>0</v>
      </c>
      <c r="F294" s="132">
        <v>0</v>
      </c>
      <c r="G294" s="132">
        <v>0</v>
      </c>
      <c r="H294" s="132">
        <v>0</v>
      </c>
      <c r="I294" s="132">
        <v>0</v>
      </c>
      <c r="J294" s="132">
        <v>0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32">
        <v>0</v>
      </c>
      <c r="R294" s="132">
        <v>0</v>
      </c>
      <c r="S294" s="132">
        <v>0</v>
      </c>
      <c r="T294" s="132">
        <v>0</v>
      </c>
      <c r="U294" s="132">
        <v>0</v>
      </c>
      <c r="V294" s="132">
        <v>0</v>
      </c>
      <c r="W294" s="132">
        <v>0</v>
      </c>
      <c r="X294" s="132">
        <v>0</v>
      </c>
      <c r="Y294" s="132">
        <v>0</v>
      </c>
      <c r="Z294" s="128">
        <f t="shared" si="10"/>
        <v>0</v>
      </c>
    </row>
    <row r="295" spans="1:26" x14ac:dyDescent="0.2">
      <c r="A295" s="23" t="s">
        <v>103</v>
      </c>
      <c r="B295">
        <v>8</v>
      </c>
      <c r="C295" s="23" t="s">
        <v>112</v>
      </c>
      <c r="D295">
        <v>813</v>
      </c>
      <c r="E295" s="132">
        <v>0</v>
      </c>
      <c r="F295" s="132">
        <v>0</v>
      </c>
      <c r="G295" s="132">
        <v>0</v>
      </c>
      <c r="H295" s="132">
        <v>0</v>
      </c>
      <c r="I295" s="132">
        <v>0</v>
      </c>
      <c r="J295" s="132">
        <v>0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32">
        <v>0</v>
      </c>
      <c r="R295" s="132">
        <v>0</v>
      </c>
      <c r="S295" s="132">
        <v>0</v>
      </c>
      <c r="T295" s="132">
        <v>0</v>
      </c>
      <c r="U295" s="132">
        <v>0</v>
      </c>
      <c r="V295" s="132">
        <v>0</v>
      </c>
      <c r="W295" s="132">
        <v>0</v>
      </c>
      <c r="X295" s="132">
        <v>0</v>
      </c>
      <c r="Y295" s="132">
        <v>0</v>
      </c>
      <c r="Z295" s="128">
        <f t="shared" si="10"/>
        <v>0</v>
      </c>
    </row>
    <row r="296" spans="1:26" x14ac:dyDescent="0.2">
      <c r="A296" s="23" t="s">
        <v>103</v>
      </c>
      <c r="B296">
        <v>8</v>
      </c>
      <c r="C296" s="23" t="s">
        <v>112</v>
      </c>
      <c r="D296">
        <v>814</v>
      </c>
      <c r="E296" s="132">
        <v>0</v>
      </c>
      <c r="F296" s="132">
        <v>0</v>
      </c>
      <c r="G296" s="132">
        <v>0</v>
      </c>
      <c r="H296" s="132">
        <v>0</v>
      </c>
      <c r="I296" s="132">
        <v>0</v>
      </c>
      <c r="J296" s="132">
        <v>0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32">
        <v>0</v>
      </c>
      <c r="R296" s="132">
        <v>0</v>
      </c>
      <c r="S296" s="132">
        <v>0</v>
      </c>
      <c r="T296" s="132">
        <v>0</v>
      </c>
      <c r="U296" s="132">
        <v>0</v>
      </c>
      <c r="V296" s="132">
        <v>0</v>
      </c>
      <c r="W296" s="132">
        <v>0</v>
      </c>
      <c r="X296" s="132">
        <v>0</v>
      </c>
      <c r="Y296" s="132">
        <v>0</v>
      </c>
      <c r="Z296" s="128">
        <f t="shared" si="10"/>
        <v>0</v>
      </c>
    </row>
    <row r="297" spans="1:26" x14ac:dyDescent="0.2">
      <c r="A297" s="23" t="s">
        <v>103</v>
      </c>
      <c r="B297">
        <v>8</v>
      </c>
      <c r="C297" s="23" t="s">
        <v>112</v>
      </c>
      <c r="D297">
        <v>815</v>
      </c>
      <c r="E297" s="132">
        <v>0</v>
      </c>
      <c r="F297" s="132">
        <v>0</v>
      </c>
      <c r="G297" s="132">
        <v>0</v>
      </c>
      <c r="H297" s="132">
        <v>0</v>
      </c>
      <c r="I297" s="132">
        <v>0</v>
      </c>
      <c r="J297" s="132">
        <v>0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32">
        <v>0</v>
      </c>
      <c r="R297" s="132">
        <v>0</v>
      </c>
      <c r="S297" s="132">
        <v>0</v>
      </c>
      <c r="T297" s="132">
        <v>0</v>
      </c>
      <c r="U297" s="132">
        <v>0</v>
      </c>
      <c r="V297" s="132">
        <v>0</v>
      </c>
      <c r="W297" s="132">
        <v>0</v>
      </c>
      <c r="X297" s="132">
        <v>0</v>
      </c>
      <c r="Y297" s="132">
        <v>0</v>
      </c>
      <c r="Z297" s="128">
        <f t="shared" si="10"/>
        <v>0</v>
      </c>
    </row>
    <row r="298" spans="1:26" x14ac:dyDescent="0.2">
      <c r="A298" s="23" t="s">
        <v>103</v>
      </c>
      <c r="B298">
        <v>8</v>
      </c>
      <c r="C298" s="23" t="s">
        <v>112</v>
      </c>
      <c r="D298">
        <v>816</v>
      </c>
      <c r="E298" s="132">
        <v>0</v>
      </c>
      <c r="F298" s="132">
        <v>0</v>
      </c>
      <c r="G298" s="132">
        <v>0</v>
      </c>
      <c r="H298" s="132">
        <v>0</v>
      </c>
      <c r="I298" s="132">
        <v>0</v>
      </c>
      <c r="J298" s="132">
        <v>0</v>
      </c>
      <c r="K298" s="132">
        <v>0</v>
      </c>
      <c r="L298" s="132">
        <v>0</v>
      </c>
      <c r="M298" s="132">
        <v>0</v>
      </c>
      <c r="N298" s="132">
        <v>0</v>
      </c>
      <c r="O298" s="132">
        <v>0</v>
      </c>
      <c r="P298" s="132">
        <v>0</v>
      </c>
      <c r="Q298" s="132">
        <v>0</v>
      </c>
      <c r="R298" s="132">
        <v>0</v>
      </c>
      <c r="S298" s="132">
        <v>0</v>
      </c>
      <c r="T298" s="132">
        <v>0</v>
      </c>
      <c r="U298" s="132">
        <v>0</v>
      </c>
      <c r="V298" s="132">
        <v>0</v>
      </c>
      <c r="W298" s="132">
        <v>0</v>
      </c>
      <c r="X298" s="132">
        <v>0</v>
      </c>
      <c r="Y298" s="132">
        <v>0</v>
      </c>
      <c r="Z298" s="128">
        <f t="shared" si="10"/>
        <v>0</v>
      </c>
    </row>
    <row r="299" spans="1:26" x14ac:dyDescent="0.2">
      <c r="A299" s="23" t="s">
        <v>103</v>
      </c>
      <c r="B299">
        <v>8</v>
      </c>
      <c r="C299" s="23" t="s">
        <v>112</v>
      </c>
      <c r="D299">
        <v>817</v>
      </c>
      <c r="E299" s="132">
        <v>0</v>
      </c>
      <c r="F299" s="132">
        <v>0</v>
      </c>
      <c r="G299" s="132">
        <v>0</v>
      </c>
      <c r="H299" s="132">
        <v>0</v>
      </c>
      <c r="I299" s="132">
        <v>0</v>
      </c>
      <c r="J299" s="132">
        <v>0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32">
        <v>0</v>
      </c>
      <c r="R299" s="132">
        <v>0</v>
      </c>
      <c r="S299" s="132">
        <v>0</v>
      </c>
      <c r="T299" s="132">
        <v>0</v>
      </c>
      <c r="U299" s="132">
        <v>0</v>
      </c>
      <c r="V299" s="132">
        <v>0</v>
      </c>
      <c r="W299" s="132">
        <v>0</v>
      </c>
      <c r="X299" s="132">
        <v>0</v>
      </c>
      <c r="Y299" s="132">
        <v>0</v>
      </c>
      <c r="Z299" s="128">
        <f t="shared" si="10"/>
        <v>0</v>
      </c>
    </row>
    <row r="300" spans="1:26" x14ac:dyDescent="0.2">
      <c r="A300" s="23" t="s">
        <v>103</v>
      </c>
      <c r="B300">
        <v>8</v>
      </c>
      <c r="C300" s="23" t="s">
        <v>112</v>
      </c>
      <c r="D300">
        <v>818</v>
      </c>
      <c r="E300" s="132">
        <v>0</v>
      </c>
      <c r="F300" s="132">
        <v>0</v>
      </c>
      <c r="G300" s="132">
        <v>0</v>
      </c>
      <c r="H300" s="132">
        <v>0</v>
      </c>
      <c r="I300" s="132">
        <v>0</v>
      </c>
      <c r="J300" s="132">
        <v>0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32">
        <v>0</v>
      </c>
      <c r="R300" s="132">
        <v>0</v>
      </c>
      <c r="S300" s="132">
        <v>0</v>
      </c>
      <c r="T300" s="132">
        <v>0</v>
      </c>
      <c r="U300" s="132">
        <v>0</v>
      </c>
      <c r="V300" s="132">
        <v>0</v>
      </c>
      <c r="W300" s="132">
        <v>0</v>
      </c>
      <c r="X300" s="132">
        <v>0</v>
      </c>
      <c r="Y300" s="132">
        <v>0</v>
      </c>
      <c r="Z300" s="128">
        <f t="shared" si="10"/>
        <v>0</v>
      </c>
    </row>
    <row r="301" spans="1:26" x14ac:dyDescent="0.2">
      <c r="A301" s="23" t="s">
        <v>103</v>
      </c>
      <c r="B301">
        <v>8</v>
      </c>
      <c r="C301" s="23" t="s">
        <v>112</v>
      </c>
      <c r="D301">
        <v>819</v>
      </c>
      <c r="E301" s="132">
        <v>0</v>
      </c>
      <c r="F301" s="132">
        <v>0</v>
      </c>
      <c r="G301" s="132">
        <v>0</v>
      </c>
      <c r="H301" s="132">
        <v>0</v>
      </c>
      <c r="I301" s="132">
        <v>0</v>
      </c>
      <c r="J301" s="132">
        <v>0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32">
        <v>0</v>
      </c>
      <c r="R301" s="132">
        <v>0</v>
      </c>
      <c r="S301" s="132">
        <v>0</v>
      </c>
      <c r="T301" s="132">
        <v>0</v>
      </c>
      <c r="U301" s="132">
        <v>0</v>
      </c>
      <c r="V301" s="132">
        <v>0</v>
      </c>
      <c r="W301" s="132">
        <v>0</v>
      </c>
      <c r="X301" s="132">
        <v>0</v>
      </c>
      <c r="Y301" s="132">
        <v>0</v>
      </c>
      <c r="Z301" s="128">
        <f t="shared" si="10"/>
        <v>0</v>
      </c>
    </row>
    <row r="302" spans="1:26" x14ac:dyDescent="0.2">
      <c r="A302" s="23" t="s">
        <v>103</v>
      </c>
      <c r="B302">
        <v>8</v>
      </c>
      <c r="C302" s="23" t="s">
        <v>112</v>
      </c>
      <c r="D302">
        <v>820</v>
      </c>
      <c r="E302" s="132">
        <v>0</v>
      </c>
      <c r="F302" s="132">
        <v>0</v>
      </c>
      <c r="G302" s="132">
        <v>0</v>
      </c>
      <c r="H302" s="132">
        <v>0</v>
      </c>
      <c r="I302" s="132">
        <v>0</v>
      </c>
      <c r="J302" s="132">
        <v>0</v>
      </c>
      <c r="K302" s="132">
        <v>0</v>
      </c>
      <c r="L302" s="132">
        <v>0</v>
      </c>
      <c r="M302" s="132">
        <v>0</v>
      </c>
      <c r="N302" s="132">
        <v>0</v>
      </c>
      <c r="O302" s="132">
        <v>0</v>
      </c>
      <c r="P302" s="132">
        <v>0</v>
      </c>
      <c r="Q302" s="132">
        <v>0</v>
      </c>
      <c r="R302" s="132">
        <v>0</v>
      </c>
      <c r="S302" s="132">
        <v>0</v>
      </c>
      <c r="T302" s="132">
        <v>0</v>
      </c>
      <c r="U302" s="132">
        <v>0</v>
      </c>
      <c r="V302" s="132">
        <v>0</v>
      </c>
      <c r="W302" s="132">
        <v>0</v>
      </c>
      <c r="X302" s="132">
        <v>0</v>
      </c>
      <c r="Y302" s="132">
        <v>0</v>
      </c>
      <c r="Z302" s="128">
        <f t="shared" si="10"/>
        <v>0</v>
      </c>
    </row>
    <row r="303" spans="1:26" x14ac:dyDescent="0.2">
      <c r="A303" s="23" t="s">
        <v>103</v>
      </c>
      <c r="B303">
        <v>8</v>
      </c>
      <c r="C303" s="23" t="s">
        <v>112</v>
      </c>
      <c r="D303">
        <v>821</v>
      </c>
      <c r="E303" s="132">
        <v>0</v>
      </c>
      <c r="F303" s="132">
        <v>0</v>
      </c>
      <c r="G303" s="132">
        <v>0</v>
      </c>
      <c r="H303" s="132">
        <v>0</v>
      </c>
      <c r="I303" s="132">
        <v>0</v>
      </c>
      <c r="J303" s="132">
        <v>0</v>
      </c>
      <c r="K303" s="132">
        <v>0</v>
      </c>
      <c r="L303" s="132">
        <v>0</v>
      </c>
      <c r="M303" s="132">
        <v>0</v>
      </c>
      <c r="N303" s="132">
        <v>0</v>
      </c>
      <c r="O303" s="132">
        <v>0</v>
      </c>
      <c r="P303" s="132">
        <v>0</v>
      </c>
      <c r="Q303" s="132">
        <v>0</v>
      </c>
      <c r="R303" s="132">
        <v>0</v>
      </c>
      <c r="S303" s="132">
        <v>0</v>
      </c>
      <c r="T303" s="132">
        <v>0</v>
      </c>
      <c r="U303" s="132">
        <v>0</v>
      </c>
      <c r="V303" s="132">
        <v>0</v>
      </c>
      <c r="W303" s="132">
        <v>0</v>
      </c>
      <c r="X303" s="132">
        <v>0</v>
      </c>
      <c r="Y303" s="132">
        <v>0</v>
      </c>
      <c r="Z303" s="128">
        <f t="shared" si="10"/>
        <v>0</v>
      </c>
    </row>
    <row r="304" spans="1:26" x14ac:dyDescent="0.2">
      <c r="A304" s="23" t="s">
        <v>103</v>
      </c>
      <c r="B304">
        <v>8</v>
      </c>
      <c r="C304" s="23" t="s">
        <v>112</v>
      </c>
      <c r="D304">
        <v>822</v>
      </c>
      <c r="E304" s="132">
        <v>0</v>
      </c>
      <c r="F304" s="132">
        <v>0</v>
      </c>
      <c r="G304" s="132">
        <v>0</v>
      </c>
      <c r="H304" s="132">
        <v>0</v>
      </c>
      <c r="I304" s="132">
        <v>0</v>
      </c>
      <c r="J304" s="132">
        <v>0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32">
        <v>0</v>
      </c>
      <c r="R304" s="132">
        <v>0</v>
      </c>
      <c r="S304" s="132">
        <v>0</v>
      </c>
      <c r="T304" s="132">
        <v>0</v>
      </c>
      <c r="U304" s="132">
        <v>0</v>
      </c>
      <c r="V304" s="132">
        <v>0</v>
      </c>
      <c r="W304" s="132">
        <v>0</v>
      </c>
      <c r="X304" s="132">
        <v>0</v>
      </c>
      <c r="Y304" s="132">
        <v>0</v>
      </c>
      <c r="Z304" s="128">
        <f t="shared" si="10"/>
        <v>0</v>
      </c>
    </row>
    <row r="305" spans="1:26" x14ac:dyDescent="0.2">
      <c r="A305" s="23" t="s">
        <v>103</v>
      </c>
      <c r="B305">
        <v>8</v>
      </c>
      <c r="C305" s="23" t="s">
        <v>112</v>
      </c>
      <c r="D305">
        <v>823</v>
      </c>
      <c r="E305" s="132">
        <v>0</v>
      </c>
      <c r="F305" s="132">
        <v>0</v>
      </c>
      <c r="G305" s="132">
        <v>0</v>
      </c>
      <c r="H305" s="132">
        <v>0</v>
      </c>
      <c r="I305" s="132">
        <v>0</v>
      </c>
      <c r="J305" s="132">
        <v>0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32">
        <v>0</v>
      </c>
      <c r="R305" s="132">
        <v>0</v>
      </c>
      <c r="S305" s="132">
        <v>0</v>
      </c>
      <c r="T305" s="132">
        <v>0</v>
      </c>
      <c r="U305" s="132">
        <v>0</v>
      </c>
      <c r="V305" s="132">
        <v>0</v>
      </c>
      <c r="W305" s="132">
        <v>0</v>
      </c>
      <c r="X305" s="132">
        <v>0</v>
      </c>
      <c r="Y305" s="132">
        <v>0</v>
      </c>
      <c r="Z305" s="128">
        <f t="shared" si="10"/>
        <v>0</v>
      </c>
    </row>
    <row r="306" spans="1:26" x14ac:dyDescent="0.2">
      <c r="A306" s="23" t="s">
        <v>103</v>
      </c>
      <c r="B306">
        <v>8</v>
      </c>
      <c r="C306" s="23" t="s">
        <v>111</v>
      </c>
      <c r="D306">
        <v>801</v>
      </c>
      <c r="E306" s="132">
        <v>0</v>
      </c>
      <c r="F306" s="132">
        <v>0</v>
      </c>
      <c r="G306" s="132">
        <v>0</v>
      </c>
      <c r="H306" s="132">
        <v>0</v>
      </c>
      <c r="I306" s="132">
        <v>0</v>
      </c>
      <c r="J306" s="132">
        <v>0</v>
      </c>
      <c r="K306" s="132">
        <v>0</v>
      </c>
      <c r="L306" s="132">
        <v>0</v>
      </c>
      <c r="M306" s="132">
        <v>0</v>
      </c>
      <c r="N306" s="132">
        <v>0</v>
      </c>
      <c r="O306" s="132">
        <v>0</v>
      </c>
      <c r="P306" s="132">
        <v>0</v>
      </c>
      <c r="Q306" s="132">
        <v>0</v>
      </c>
      <c r="R306" s="132">
        <v>0</v>
      </c>
      <c r="S306" s="132">
        <v>0</v>
      </c>
      <c r="T306" s="132">
        <v>0</v>
      </c>
      <c r="U306" s="132">
        <v>0</v>
      </c>
      <c r="V306" s="132">
        <v>0</v>
      </c>
      <c r="W306" s="132">
        <v>0</v>
      </c>
      <c r="X306" s="132">
        <v>0</v>
      </c>
      <c r="Y306" s="132">
        <v>0</v>
      </c>
      <c r="Z306" s="128">
        <f t="shared" si="10"/>
        <v>0</v>
      </c>
    </row>
    <row r="307" spans="1:26" x14ac:dyDescent="0.2">
      <c r="A307" s="23" t="s">
        <v>103</v>
      </c>
      <c r="B307">
        <v>8</v>
      </c>
      <c r="C307" s="23" t="s">
        <v>111</v>
      </c>
      <c r="D307">
        <v>802</v>
      </c>
      <c r="E307" s="132">
        <v>0</v>
      </c>
      <c r="F307" s="132">
        <v>0</v>
      </c>
      <c r="G307" s="132">
        <v>0</v>
      </c>
      <c r="H307" s="132">
        <v>0</v>
      </c>
      <c r="I307" s="132">
        <v>0</v>
      </c>
      <c r="J307" s="132">
        <v>0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32">
        <v>0</v>
      </c>
      <c r="R307" s="132">
        <v>0</v>
      </c>
      <c r="S307" s="132">
        <v>0</v>
      </c>
      <c r="T307" s="132">
        <v>0</v>
      </c>
      <c r="U307" s="132">
        <v>0</v>
      </c>
      <c r="V307" s="132">
        <v>0</v>
      </c>
      <c r="W307" s="132">
        <v>0</v>
      </c>
      <c r="X307" s="132">
        <v>0</v>
      </c>
      <c r="Y307" s="132">
        <v>0</v>
      </c>
      <c r="Z307" s="128">
        <f t="shared" si="10"/>
        <v>0</v>
      </c>
    </row>
    <row r="308" spans="1:26" x14ac:dyDescent="0.2">
      <c r="A308" s="23" t="s">
        <v>103</v>
      </c>
      <c r="B308">
        <v>8</v>
      </c>
      <c r="C308" s="23" t="s">
        <v>111</v>
      </c>
      <c r="D308">
        <v>803</v>
      </c>
      <c r="E308" s="132">
        <v>0</v>
      </c>
      <c r="F308" s="132">
        <v>0</v>
      </c>
      <c r="G308" s="132">
        <v>0</v>
      </c>
      <c r="H308" s="132">
        <v>0</v>
      </c>
      <c r="I308" s="132">
        <v>0</v>
      </c>
      <c r="J308" s="132">
        <v>0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32">
        <v>0</v>
      </c>
      <c r="R308" s="132">
        <v>0</v>
      </c>
      <c r="S308" s="132">
        <v>0</v>
      </c>
      <c r="T308" s="132">
        <v>0</v>
      </c>
      <c r="U308" s="132">
        <v>0</v>
      </c>
      <c r="V308" s="132">
        <v>0</v>
      </c>
      <c r="W308" s="132">
        <v>0</v>
      </c>
      <c r="X308" s="132">
        <v>0</v>
      </c>
      <c r="Y308" s="132">
        <v>0</v>
      </c>
      <c r="Z308" s="128">
        <f t="shared" si="10"/>
        <v>0</v>
      </c>
    </row>
    <row r="309" spans="1:26" x14ac:dyDescent="0.2">
      <c r="A309" s="23" t="s">
        <v>103</v>
      </c>
      <c r="B309">
        <v>8</v>
      </c>
      <c r="C309" s="23" t="s">
        <v>111</v>
      </c>
      <c r="D309">
        <v>804</v>
      </c>
      <c r="E309" s="132">
        <v>0</v>
      </c>
      <c r="F309" s="132">
        <v>0</v>
      </c>
      <c r="G309" s="132">
        <v>0</v>
      </c>
      <c r="H309" s="132">
        <v>0</v>
      </c>
      <c r="I309" s="132">
        <v>0</v>
      </c>
      <c r="J309" s="132">
        <v>0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32">
        <v>0</v>
      </c>
      <c r="R309" s="132">
        <v>0</v>
      </c>
      <c r="S309" s="132">
        <v>0</v>
      </c>
      <c r="T309" s="132">
        <v>0</v>
      </c>
      <c r="U309" s="132">
        <v>0</v>
      </c>
      <c r="V309" s="132">
        <v>0</v>
      </c>
      <c r="W309" s="132">
        <v>0</v>
      </c>
      <c r="X309" s="132">
        <v>0</v>
      </c>
      <c r="Y309" s="132">
        <v>0</v>
      </c>
      <c r="Z309" s="128">
        <f t="shared" si="10"/>
        <v>0</v>
      </c>
    </row>
    <row r="310" spans="1:26" x14ac:dyDescent="0.2">
      <c r="A310" s="23" t="s">
        <v>103</v>
      </c>
      <c r="B310">
        <v>8</v>
      </c>
      <c r="C310" s="23" t="s">
        <v>111</v>
      </c>
      <c r="D310">
        <v>805</v>
      </c>
      <c r="E310" s="132">
        <v>0</v>
      </c>
      <c r="F310" s="132">
        <v>0</v>
      </c>
      <c r="G310" s="132">
        <v>0</v>
      </c>
      <c r="H310" s="132">
        <v>0</v>
      </c>
      <c r="I310" s="132">
        <v>0</v>
      </c>
      <c r="J310" s="132">
        <v>0</v>
      </c>
      <c r="K310" s="132">
        <v>0</v>
      </c>
      <c r="L310" s="132">
        <v>0</v>
      </c>
      <c r="M310" s="132">
        <v>0</v>
      </c>
      <c r="N310" s="132">
        <v>0</v>
      </c>
      <c r="O310" s="132">
        <v>0</v>
      </c>
      <c r="P310" s="132">
        <v>0</v>
      </c>
      <c r="Q310" s="132">
        <v>0</v>
      </c>
      <c r="R310" s="132">
        <v>0</v>
      </c>
      <c r="S310" s="132">
        <v>0</v>
      </c>
      <c r="T310" s="132">
        <v>0</v>
      </c>
      <c r="U310" s="132">
        <v>0</v>
      </c>
      <c r="V310" s="132">
        <v>0</v>
      </c>
      <c r="W310" s="132">
        <v>0</v>
      </c>
      <c r="X310" s="132">
        <v>0</v>
      </c>
      <c r="Y310" s="132">
        <v>0</v>
      </c>
      <c r="Z310" s="128">
        <f t="shared" si="10"/>
        <v>0</v>
      </c>
    </row>
    <row r="311" spans="1:26" x14ac:dyDescent="0.2">
      <c r="A311" s="23" t="s">
        <v>103</v>
      </c>
      <c r="B311">
        <v>8</v>
      </c>
      <c r="C311" s="23" t="s">
        <v>111</v>
      </c>
      <c r="D311">
        <v>806</v>
      </c>
      <c r="E311" s="132">
        <v>0</v>
      </c>
      <c r="F311" s="132">
        <v>0</v>
      </c>
      <c r="G311" s="132">
        <v>0</v>
      </c>
      <c r="H311" s="132">
        <v>0</v>
      </c>
      <c r="I311" s="132">
        <v>0</v>
      </c>
      <c r="J311" s="132">
        <v>0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32">
        <v>0</v>
      </c>
      <c r="R311" s="132">
        <v>0</v>
      </c>
      <c r="S311" s="132">
        <v>0</v>
      </c>
      <c r="T311" s="132">
        <v>0</v>
      </c>
      <c r="U311" s="132">
        <v>0</v>
      </c>
      <c r="V311" s="132">
        <v>0</v>
      </c>
      <c r="W311" s="132">
        <v>0</v>
      </c>
      <c r="X311" s="132">
        <v>0</v>
      </c>
      <c r="Y311" s="132">
        <v>0</v>
      </c>
      <c r="Z311" s="128">
        <f t="shared" si="10"/>
        <v>0</v>
      </c>
    </row>
    <row r="312" spans="1:26" x14ac:dyDescent="0.2">
      <c r="A312" s="23" t="s">
        <v>103</v>
      </c>
      <c r="B312">
        <v>8</v>
      </c>
      <c r="C312" s="23" t="s">
        <v>111</v>
      </c>
      <c r="D312">
        <v>807</v>
      </c>
      <c r="E312" s="132">
        <v>0</v>
      </c>
      <c r="F312" s="132">
        <v>0</v>
      </c>
      <c r="G312" s="132">
        <v>0</v>
      </c>
      <c r="H312" s="132">
        <v>0</v>
      </c>
      <c r="I312" s="132">
        <v>0</v>
      </c>
      <c r="J312" s="132">
        <v>0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32">
        <v>0</v>
      </c>
      <c r="R312" s="132">
        <v>0</v>
      </c>
      <c r="S312" s="132">
        <v>0</v>
      </c>
      <c r="T312" s="132">
        <v>0</v>
      </c>
      <c r="U312" s="132">
        <v>0</v>
      </c>
      <c r="V312" s="132">
        <v>0</v>
      </c>
      <c r="W312" s="132">
        <v>0</v>
      </c>
      <c r="X312" s="132">
        <v>0</v>
      </c>
      <c r="Y312" s="132">
        <v>0</v>
      </c>
      <c r="Z312" s="128">
        <f t="shared" si="10"/>
        <v>0</v>
      </c>
    </row>
    <row r="313" spans="1:26" x14ac:dyDescent="0.2">
      <c r="A313" s="23" t="s">
        <v>103</v>
      </c>
      <c r="B313">
        <v>8</v>
      </c>
      <c r="C313" s="23" t="s">
        <v>111</v>
      </c>
      <c r="D313">
        <v>808</v>
      </c>
      <c r="E313" s="132">
        <v>0</v>
      </c>
      <c r="F313" s="132">
        <v>0</v>
      </c>
      <c r="G313" s="132">
        <v>0</v>
      </c>
      <c r="H313" s="132">
        <v>0</v>
      </c>
      <c r="I313" s="132">
        <v>0</v>
      </c>
      <c r="J313" s="132">
        <v>0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32">
        <v>0</v>
      </c>
      <c r="R313" s="132">
        <v>0</v>
      </c>
      <c r="S313" s="132">
        <v>0</v>
      </c>
      <c r="T313" s="132">
        <v>0</v>
      </c>
      <c r="U313" s="132">
        <v>0</v>
      </c>
      <c r="V313" s="132">
        <v>0</v>
      </c>
      <c r="W313" s="132">
        <v>0</v>
      </c>
      <c r="X313" s="132">
        <v>0</v>
      </c>
      <c r="Y313" s="132">
        <v>0</v>
      </c>
      <c r="Z313" s="128">
        <f t="shared" si="10"/>
        <v>0</v>
      </c>
    </row>
    <row r="314" spans="1:26" x14ac:dyDescent="0.2">
      <c r="A314" s="23" t="s">
        <v>103</v>
      </c>
      <c r="B314">
        <v>8</v>
      </c>
      <c r="C314" s="23" t="s">
        <v>111</v>
      </c>
      <c r="D314">
        <v>809</v>
      </c>
      <c r="E314" s="132">
        <v>0</v>
      </c>
      <c r="F314" s="132">
        <v>0</v>
      </c>
      <c r="G314" s="132">
        <v>0</v>
      </c>
      <c r="H314" s="132">
        <v>0</v>
      </c>
      <c r="I314" s="132">
        <v>0</v>
      </c>
      <c r="J314" s="132">
        <v>0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32">
        <v>0</v>
      </c>
      <c r="R314" s="132">
        <v>0</v>
      </c>
      <c r="S314" s="132">
        <v>0</v>
      </c>
      <c r="T314" s="132">
        <v>0</v>
      </c>
      <c r="U314" s="132">
        <v>0</v>
      </c>
      <c r="V314" s="132">
        <v>0</v>
      </c>
      <c r="W314" s="132">
        <v>0</v>
      </c>
      <c r="X314" s="132">
        <v>0</v>
      </c>
      <c r="Y314" s="132">
        <v>0</v>
      </c>
      <c r="Z314" s="128">
        <f t="shared" si="10"/>
        <v>0</v>
      </c>
    </row>
    <row r="315" spans="1:26" x14ac:dyDescent="0.2">
      <c r="A315" s="23" t="s">
        <v>103</v>
      </c>
      <c r="B315">
        <v>8</v>
      </c>
      <c r="C315" s="23" t="s">
        <v>111</v>
      </c>
      <c r="D315">
        <v>810</v>
      </c>
      <c r="E315" s="132">
        <v>0</v>
      </c>
      <c r="F315" s="132">
        <v>0</v>
      </c>
      <c r="G315" s="132">
        <v>0</v>
      </c>
      <c r="H315" s="132">
        <v>0</v>
      </c>
      <c r="I315" s="132">
        <v>0</v>
      </c>
      <c r="J315" s="132">
        <v>0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32">
        <v>0</v>
      </c>
      <c r="R315" s="132">
        <v>0</v>
      </c>
      <c r="S315" s="132">
        <v>0</v>
      </c>
      <c r="T315" s="132">
        <v>0</v>
      </c>
      <c r="U315" s="132">
        <v>0</v>
      </c>
      <c r="V315" s="132">
        <v>0</v>
      </c>
      <c r="W315" s="132">
        <v>0</v>
      </c>
      <c r="X315" s="132">
        <v>0</v>
      </c>
      <c r="Y315" s="132">
        <v>0</v>
      </c>
      <c r="Z315" s="128">
        <f t="shared" si="10"/>
        <v>0</v>
      </c>
    </row>
    <row r="316" spans="1:26" x14ac:dyDescent="0.2">
      <c r="A316" s="23" t="s">
        <v>103</v>
      </c>
      <c r="B316">
        <v>8</v>
      </c>
      <c r="C316" s="23" t="s">
        <v>111</v>
      </c>
      <c r="D316">
        <v>811</v>
      </c>
      <c r="E316" s="132">
        <v>0</v>
      </c>
      <c r="F316" s="132">
        <v>0</v>
      </c>
      <c r="G316" s="132">
        <v>0</v>
      </c>
      <c r="H316" s="132">
        <v>0</v>
      </c>
      <c r="I316" s="132">
        <v>0</v>
      </c>
      <c r="J316" s="132">
        <v>0</v>
      </c>
      <c r="K316" s="132">
        <v>0</v>
      </c>
      <c r="L316" s="132">
        <v>0</v>
      </c>
      <c r="M316" s="132">
        <v>0</v>
      </c>
      <c r="N316" s="132">
        <v>0</v>
      </c>
      <c r="O316" s="132">
        <v>0</v>
      </c>
      <c r="P316" s="132">
        <v>0</v>
      </c>
      <c r="Q316" s="132">
        <v>0</v>
      </c>
      <c r="R316" s="132">
        <v>0</v>
      </c>
      <c r="S316" s="132">
        <v>0</v>
      </c>
      <c r="T316" s="132">
        <v>0</v>
      </c>
      <c r="U316" s="132">
        <v>0</v>
      </c>
      <c r="V316" s="132">
        <v>0</v>
      </c>
      <c r="W316" s="132">
        <v>0</v>
      </c>
      <c r="X316" s="132">
        <v>0</v>
      </c>
      <c r="Y316" s="132">
        <v>0</v>
      </c>
      <c r="Z316" s="128">
        <f t="shared" si="10"/>
        <v>0</v>
      </c>
    </row>
    <row r="317" spans="1:26" x14ac:dyDescent="0.2">
      <c r="A317" s="23" t="s">
        <v>103</v>
      </c>
      <c r="B317">
        <v>8</v>
      </c>
      <c r="C317" s="23" t="s">
        <v>111</v>
      </c>
      <c r="D317">
        <v>812</v>
      </c>
      <c r="E317" s="132">
        <v>0</v>
      </c>
      <c r="F317" s="132">
        <v>0</v>
      </c>
      <c r="G317" s="132">
        <v>0</v>
      </c>
      <c r="H317" s="132">
        <v>0</v>
      </c>
      <c r="I317" s="132">
        <v>0</v>
      </c>
      <c r="J317" s="132">
        <v>0</v>
      </c>
      <c r="K317" s="132">
        <v>0</v>
      </c>
      <c r="L317" s="132">
        <v>0</v>
      </c>
      <c r="M317" s="132">
        <v>0</v>
      </c>
      <c r="N317" s="132">
        <v>0</v>
      </c>
      <c r="O317" s="132">
        <v>0</v>
      </c>
      <c r="P317" s="132">
        <v>0</v>
      </c>
      <c r="Q317" s="132">
        <v>0</v>
      </c>
      <c r="R317" s="132">
        <v>0</v>
      </c>
      <c r="S317" s="132">
        <v>0</v>
      </c>
      <c r="T317" s="132">
        <v>0</v>
      </c>
      <c r="U317" s="132">
        <v>0</v>
      </c>
      <c r="V317" s="132">
        <v>0</v>
      </c>
      <c r="W317" s="132">
        <v>0</v>
      </c>
      <c r="X317" s="132">
        <v>0</v>
      </c>
      <c r="Y317" s="132">
        <v>0</v>
      </c>
      <c r="Z317" s="128">
        <f t="shared" si="10"/>
        <v>0</v>
      </c>
    </row>
    <row r="318" spans="1:26" x14ac:dyDescent="0.2">
      <c r="A318" s="23" t="s">
        <v>103</v>
      </c>
      <c r="B318">
        <v>8</v>
      </c>
      <c r="C318" s="23" t="s">
        <v>111</v>
      </c>
      <c r="D318">
        <v>813</v>
      </c>
      <c r="E318" s="132">
        <v>0</v>
      </c>
      <c r="F318" s="132">
        <v>0</v>
      </c>
      <c r="G318" s="132">
        <v>0</v>
      </c>
      <c r="H318" s="132">
        <v>0</v>
      </c>
      <c r="I318" s="132">
        <v>0</v>
      </c>
      <c r="J318" s="132">
        <v>0</v>
      </c>
      <c r="K318" s="132">
        <v>0</v>
      </c>
      <c r="L318" s="132">
        <v>0</v>
      </c>
      <c r="M318" s="132">
        <v>0</v>
      </c>
      <c r="N318" s="132">
        <v>0</v>
      </c>
      <c r="O318" s="132">
        <v>0</v>
      </c>
      <c r="P318" s="132">
        <v>0</v>
      </c>
      <c r="Q318" s="132">
        <v>0</v>
      </c>
      <c r="R318" s="132">
        <v>0</v>
      </c>
      <c r="S318" s="132">
        <v>0</v>
      </c>
      <c r="T318" s="132">
        <v>0</v>
      </c>
      <c r="U318" s="132">
        <v>0</v>
      </c>
      <c r="V318" s="132">
        <v>0</v>
      </c>
      <c r="W318" s="132">
        <v>0</v>
      </c>
      <c r="X318" s="132">
        <v>0</v>
      </c>
      <c r="Y318" s="132">
        <v>0</v>
      </c>
      <c r="Z318" s="128">
        <f t="shared" si="10"/>
        <v>0</v>
      </c>
    </row>
    <row r="319" spans="1:26" x14ac:dyDescent="0.2">
      <c r="A319" s="23" t="s">
        <v>103</v>
      </c>
      <c r="B319">
        <v>8</v>
      </c>
      <c r="C319" s="23" t="s">
        <v>111</v>
      </c>
      <c r="D319">
        <v>814</v>
      </c>
      <c r="E319" s="132">
        <v>0</v>
      </c>
      <c r="F319" s="132">
        <v>0</v>
      </c>
      <c r="G319" s="132">
        <v>0</v>
      </c>
      <c r="H319" s="132">
        <v>0</v>
      </c>
      <c r="I319" s="132">
        <v>0</v>
      </c>
      <c r="J319" s="132">
        <v>0</v>
      </c>
      <c r="K319" s="132">
        <v>0</v>
      </c>
      <c r="L319" s="132">
        <v>0</v>
      </c>
      <c r="M319" s="132">
        <v>0</v>
      </c>
      <c r="N319" s="132">
        <v>0</v>
      </c>
      <c r="O319" s="132">
        <v>0</v>
      </c>
      <c r="P319" s="132">
        <v>0</v>
      </c>
      <c r="Q319" s="132">
        <v>0</v>
      </c>
      <c r="R319" s="132">
        <v>0</v>
      </c>
      <c r="S319" s="132">
        <v>0</v>
      </c>
      <c r="T319" s="132">
        <v>0</v>
      </c>
      <c r="U319" s="132">
        <v>0</v>
      </c>
      <c r="V319" s="132">
        <v>0</v>
      </c>
      <c r="W319" s="132">
        <v>0</v>
      </c>
      <c r="X319" s="132">
        <v>0</v>
      </c>
      <c r="Y319" s="132">
        <v>0</v>
      </c>
      <c r="Z319" s="128">
        <f t="shared" si="10"/>
        <v>0</v>
      </c>
    </row>
    <row r="320" spans="1:26" x14ac:dyDescent="0.2">
      <c r="A320" s="23" t="s">
        <v>103</v>
      </c>
      <c r="B320">
        <v>8</v>
      </c>
      <c r="C320" s="23" t="s">
        <v>111</v>
      </c>
      <c r="D320">
        <v>815</v>
      </c>
      <c r="E320" s="132">
        <v>0</v>
      </c>
      <c r="F320" s="132">
        <v>0</v>
      </c>
      <c r="G320" s="132">
        <v>0</v>
      </c>
      <c r="H320" s="132">
        <v>0</v>
      </c>
      <c r="I320" s="132">
        <v>0</v>
      </c>
      <c r="J320" s="132">
        <v>0</v>
      </c>
      <c r="K320" s="132">
        <v>0</v>
      </c>
      <c r="L320" s="132">
        <v>0</v>
      </c>
      <c r="M320" s="132">
        <v>0</v>
      </c>
      <c r="N320" s="132">
        <v>0</v>
      </c>
      <c r="O320" s="132">
        <v>0</v>
      </c>
      <c r="P320" s="132">
        <v>0</v>
      </c>
      <c r="Q320" s="132">
        <v>0</v>
      </c>
      <c r="R320" s="132">
        <v>0</v>
      </c>
      <c r="S320" s="132">
        <v>0</v>
      </c>
      <c r="T320" s="132">
        <v>0</v>
      </c>
      <c r="U320" s="132">
        <v>0</v>
      </c>
      <c r="V320" s="132">
        <v>0</v>
      </c>
      <c r="W320" s="132">
        <v>0</v>
      </c>
      <c r="X320" s="132">
        <v>0</v>
      </c>
      <c r="Y320" s="132">
        <v>0</v>
      </c>
      <c r="Z320" s="128">
        <f t="shared" si="10"/>
        <v>0</v>
      </c>
    </row>
    <row r="321" spans="1:26" x14ac:dyDescent="0.2">
      <c r="A321" s="23" t="s">
        <v>103</v>
      </c>
      <c r="B321">
        <v>8</v>
      </c>
      <c r="C321" s="23" t="s">
        <v>111</v>
      </c>
      <c r="D321">
        <v>816</v>
      </c>
      <c r="E321" s="132">
        <v>0</v>
      </c>
      <c r="F321" s="132">
        <v>0</v>
      </c>
      <c r="G321" s="132">
        <v>0</v>
      </c>
      <c r="H321" s="132">
        <v>0</v>
      </c>
      <c r="I321" s="132">
        <v>0</v>
      </c>
      <c r="J321" s="132">
        <v>0</v>
      </c>
      <c r="K321" s="132">
        <v>0</v>
      </c>
      <c r="L321" s="132">
        <v>0</v>
      </c>
      <c r="M321" s="132">
        <v>0</v>
      </c>
      <c r="N321" s="132">
        <v>0</v>
      </c>
      <c r="O321" s="132">
        <v>0</v>
      </c>
      <c r="P321" s="132">
        <v>0</v>
      </c>
      <c r="Q321" s="132">
        <v>0</v>
      </c>
      <c r="R321" s="132">
        <v>0</v>
      </c>
      <c r="S321" s="132">
        <v>0</v>
      </c>
      <c r="T321" s="132">
        <v>0</v>
      </c>
      <c r="U321" s="132">
        <v>0</v>
      </c>
      <c r="V321" s="132">
        <v>0</v>
      </c>
      <c r="W321" s="132">
        <v>0</v>
      </c>
      <c r="X321" s="132">
        <v>0</v>
      </c>
      <c r="Y321" s="132">
        <v>0</v>
      </c>
      <c r="Z321" s="128">
        <f t="shared" si="10"/>
        <v>0</v>
      </c>
    </row>
    <row r="322" spans="1:26" x14ac:dyDescent="0.2">
      <c r="A322" s="23" t="s">
        <v>103</v>
      </c>
      <c r="B322">
        <v>8</v>
      </c>
      <c r="C322" s="23" t="s">
        <v>111</v>
      </c>
      <c r="D322">
        <v>817</v>
      </c>
      <c r="E322" s="132">
        <v>0</v>
      </c>
      <c r="F322" s="132">
        <v>0</v>
      </c>
      <c r="G322" s="132">
        <v>0</v>
      </c>
      <c r="H322" s="132">
        <v>0</v>
      </c>
      <c r="I322" s="132">
        <v>0</v>
      </c>
      <c r="J322" s="132">
        <v>0</v>
      </c>
      <c r="K322" s="132">
        <v>0</v>
      </c>
      <c r="L322" s="132">
        <v>0</v>
      </c>
      <c r="M322" s="132">
        <v>0</v>
      </c>
      <c r="N322" s="132">
        <v>0</v>
      </c>
      <c r="O322" s="132">
        <v>0</v>
      </c>
      <c r="P322" s="132">
        <v>0</v>
      </c>
      <c r="Q322" s="132">
        <v>0</v>
      </c>
      <c r="R322" s="132">
        <v>0</v>
      </c>
      <c r="S322" s="132">
        <v>0</v>
      </c>
      <c r="T322" s="132">
        <v>0</v>
      </c>
      <c r="U322" s="132">
        <v>0</v>
      </c>
      <c r="V322" s="132">
        <v>0</v>
      </c>
      <c r="W322" s="132">
        <v>0</v>
      </c>
      <c r="X322" s="132">
        <v>0</v>
      </c>
      <c r="Y322" s="132">
        <v>0</v>
      </c>
      <c r="Z322" s="128">
        <f t="shared" ref="Z322:Z385" si="12">AVERAGE(E322:Y322)</f>
        <v>0</v>
      </c>
    </row>
    <row r="323" spans="1:26" x14ac:dyDescent="0.2">
      <c r="A323" s="23" t="s">
        <v>103</v>
      </c>
      <c r="B323">
        <v>8</v>
      </c>
      <c r="C323" s="23" t="s">
        <v>111</v>
      </c>
      <c r="D323">
        <v>818</v>
      </c>
      <c r="E323" s="132">
        <v>0</v>
      </c>
      <c r="F323" s="132">
        <v>0</v>
      </c>
      <c r="G323" s="132">
        <v>0</v>
      </c>
      <c r="H323" s="132">
        <v>0</v>
      </c>
      <c r="I323" s="132">
        <v>0</v>
      </c>
      <c r="J323" s="132">
        <v>0</v>
      </c>
      <c r="K323" s="132">
        <v>0</v>
      </c>
      <c r="L323" s="132">
        <v>0</v>
      </c>
      <c r="M323" s="132">
        <v>0</v>
      </c>
      <c r="N323" s="132">
        <v>0</v>
      </c>
      <c r="O323" s="132">
        <v>0</v>
      </c>
      <c r="P323" s="132">
        <v>0</v>
      </c>
      <c r="Q323" s="132">
        <v>0</v>
      </c>
      <c r="R323" s="132">
        <v>0</v>
      </c>
      <c r="S323" s="132">
        <v>0</v>
      </c>
      <c r="T323" s="132">
        <v>0</v>
      </c>
      <c r="U323" s="132">
        <v>0</v>
      </c>
      <c r="V323" s="132">
        <v>0</v>
      </c>
      <c r="W323" s="132">
        <v>0</v>
      </c>
      <c r="X323" s="132">
        <v>0</v>
      </c>
      <c r="Y323" s="132">
        <v>0</v>
      </c>
      <c r="Z323" s="128">
        <f t="shared" si="12"/>
        <v>0</v>
      </c>
    </row>
    <row r="324" spans="1:26" x14ac:dyDescent="0.2">
      <c r="A324" s="23" t="s">
        <v>103</v>
      </c>
      <c r="B324">
        <v>8</v>
      </c>
      <c r="C324" s="23" t="s">
        <v>111</v>
      </c>
      <c r="D324">
        <v>819</v>
      </c>
      <c r="E324" s="132">
        <v>0</v>
      </c>
      <c r="F324" s="132">
        <v>0</v>
      </c>
      <c r="G324" s="132">
        <v>0</v>
      </c>
      <c r="H324" s="132">
        <v>0</v>
      </c>
      <c r="I324" s="132">
        <v>0</v>
      </c>
      <c r="J324" s="132">
        <v>0</v>
      </c>
      <c r="K324" s="132">
        <v>0</v>
      </c>
      <c r="L324" s="132">
        <v>0</v>
      </c>
      <c r="M324" s="132">
        <v>0</v>
      </c>
      <c r="N324" s="132">
        <v>0</v>
      </c>
      <c r="O324" s="132">
        <v>0</v>
      </c>
      <c r="P324" s="132">
        <v>0</v>
      </c>
      <c r="Q324" s="132">
        <v>0</v>
      </c>
      <c r="R324" s="132">
        <v>0</v>
      </c>
      <c r="S324" s="132">
        <v>0</v>
      </c>
      <c r="T324" s="132">
        <v>0</v>
      </c>
      <c r="U324" s="132">
        <v>0</v>
      </c>
      <c r="V324" s="132">
        <v>0</v>
      </c>
      <c r="W324" s="132">
        <v>0</v>
      </c>
      <c r="X324" s="132">
        <v>0</v>
      </c>
      <c r="Y324" s="132">
        <v>0</v>
      </c>
      <c r="Z324" s="128">
        <f t="shared" si="12"/>
        <v>0</v>
      </c>
    </row>
    <row r="325" spans="1:26" x14ac:dyDescent="0.2">
      <c r="A325" s="23" t="s">
        <v>103</v>
      </c>
      <c r="B325">
        <v>8</v>
      </c>
      <c r="C325" s="23" t="s">
        <v>111</v>
      </c>
      <c r="D325">
        <v>820</v>
      </c>
      <c r="E325" s="132">
        <v>0</v>
      </c>
      <c r="F325" s="132">
        <v>0</v>
      </c>
      <c r="G325" s="132">
        <v>0</v>
      </c>
      <c r="H325" s="132">
        <v>0</v>
      </c>
      <c r="I325" s="132">
        <v>0</v>
      </c>
      <c r="J325" s="132">
        <v>0</v>
      </c>
      <c r="K325" s="132">
        <v>0</v>
      </c>
      <c r="L325" s="132">
        <v>0</v>
      </c>
      <c r="M325" s="132">
        <v>0</v>
      </c>
      <c r="N325" s="132">
        <v>0</v>
      </c>
      <c r="O325" s="132">
        <v>0</v>
      </c>
      <c r="P325" s="132">
        <v>0</v>
      </c>
      <c r="Q325" s="132">
        <v>0</v>
      </c>
      <c r="R325" s="132">
        <v>0</v>
      </c>
      <c r="S325" s="132">
        <v>0</v>
      </c>
      <c r="T325" s="132">
        <v>0</v>
      </c>
      <c r="U325" s="132">
        <v>0</v>
      </c>
      <c r="V325" s="132">
        <v>0</v>
      </c>
      <c r="W325" s="132">
        <v>0</v>
      </c>
      <c r="X325" s="132">
        <v>0</v>
      </c>
      <c r="Y325" s="132">
        <v>0</v>
      </c>
      <c r="Z325" s="128">
        <f t="shared" si="12"/>
        <v>0</v>
      </c>
    </row>
    <row r="326" spans="1:26" x14ac:dyDescent="0.2">
      <c r="A326" s="23" t="s">
        <v>103</v>
      </c>
      <c r="B326">
        <v>8</v>
      </c>
      <c r="C326" s="23" t="s">
        <v>111</v>
      </c>
      <c r="D326">
        <v>821</v>
      </c>
      <c r="E326" s="132">
        <v>0</v>
      </c>
      <c r="F326" s="132">
        <v>0</v>
      </c>
      <c r="G326" s="132">
        <v>0</v>
      </c>
      <c r="H326" s="132">
        <v>0</v>
      </c>
      <c r="I326" s="132">
        <v>0</v>
      </c>
      <c r="J326" s="132">
        <v>0</v>
      </c>
      <c r="K326" s="132">
        <v>0</v>
      </c>
      <c r="L326" s="132">
        <v>0</v>
      </c>
      <c r="M326" s="132">
        <v>0</v>
      </c>
      <c r="N326" s="132">
        <v>0</v>
      </c>
      <c r="O326" s="132">
        <v>0</v>
      </c>
      <c r="P326" s="132">
        <v>0</v>
      </c>
      <c r="Q326" s="132">
        <v>0</v>
      </c>
      <c r="R326" s="132">
        <v>0</v>
      </c>
      <c r="S326" s="132">
        <v>0</v>
      </c>
      <c r="T326" s="132">
        <v>0</v>
      </c>
      <c r="U326" s="132">
        <v>0</v>
      </c>
      <c r="V326" s="132">
        <v>0</v>
      </c>
      <c r="W326" s="132">
        <v>0</v>
      </c>
      <c r="X326" s="132">
        <v>0</v>
      </c>
      <c r="Y326" s="132">
        <v>0</v>
      </c>
      <c r="Z326" s="128">
        <f t="shared" si="12"/>
        <v>0</v>
      </c>
    </row>
    <row r="327" spans="1:26" x14ac:dyDescent="0.2">
      <c r="A327" s="23"/>
      <c r="C327" s="23"/>
      <c r="E327" s="132"/>
      <c r="F327" s="132">
        <f t="shared" ref="F327:Y327" si="13">AVERAGE(F283:F326)</f>
        <v>0</v>
      </c>
      <c r="G327" s="132">
        <f t="shared" si="13"/>
        <v>0</v>
      </c>
      <c r="H327" s="132">
        <f t="shared" si="13"/>
        <v>0</v>
      </c>
      <c r="I327" s="132">
        <f t="shared" si="13"/>
        <v>0</v>
      </c>
      <c r="J327" s="132">
        <f t="shared" si="13"/>
        <v>0</v>
      </c>
      <c r="K327" s="132">
        <f t="shared" si="13"/>
        <v>0</v>
      </c>
      <c r="L327" s="132">
        <f t="shared" si="13"/>
        <v>0</v>
      </c>
      <c r="M327" s="132">
        <f t="shared" si="13"/>
        <v>0</v>
      </c>
      <c r="N327" s="132">
        <f t="shared" si="13"/>
        <v>0</v>
      </c>
      <c r="O327" s="132">
        <f t="shared" si="13"/>
        <v>0</v>
      </c>
      <c r="P327" s="132">
        <f t="shared" si="13"/>
        <v>0</v>
      </c>
      <c r="Q327" s="132">
        <f t="shared" si="13"/>
        <v>0</v>
      </c>
      <c r="R327" s="132">
        <f t="shared" si="13"/>
        <v>0</v>
      </c>
      <c r="S327" s="132">
        <f t="shared" si="13"/>
        <v>0</v>
      </c>
      <c r="T327" s="132">
        <f t="shared" si="13"/>
        <v>0</v>
      </c>
      <c r="U327" s="132">
        <f t="shared" si="13"/>
        <v>0</v>
      </c>
      <c r="V327" s="132">
        <f t="shared" si="13"/>
        <v>0</v>
      </c>
      <c r="W327" s="132">
        <f t="shared" si="13"/>
        <v>0</v>
      </c>
      <c r="X327" s="132">
        <f t="shared" si="13"/>
        <v>0</v>
      </c>
      <c r="Y327" s="132">
        <f t="shared" si="13"/>
        <v>0</v>
      </c>
      <c r="Z327" s="128">
        <f t="shared" si="12"/>
        <v>0</v>
      </c>
    </row>
    <row r="328" spans="1:26" x14ac:dyDescent="0.2">
      <c r="A328" s="23" t="s">
        <v>103</v>
      </c>
      <c r="B328">
        <v>9</v>
      </c>
      <c r="C328" s="23" t="s">
        <v>112</v>
      </c>
      <c r="D328">
        <v>901</v>
      </c>
      <c r="E328" s="132">
        <v>0</v>
      </c>
      <c r="F328" s="132">
        <v>0</v>
      </c>
      <c r="G328" s="132">
        <v>0</v>
      </c>
      <c r="H328" s="132">
        <v>0</v>
      </c>
      <c r="I328" s="132">
        <v>0</v>
      </c>
      <c r="J328" s="132">
        <v>0</v>
      </c>
      <c r="K328" s="132">
        <v>0</v>
      </c>
      <c r="L328" s="132">
        <v>0</v>
      </c>
      <c r="M328" s="132">
        <v>0</v>
      </c>
      <c r="N328" s="132">
        <v>0</v>
      </c>
      <c r="O328" s="132">
        <v>0</v>
      </c>
      <c r="P328" s="132">
        <v>0</v>
      </c>
      <c r="Q328" s="132">
        <v>0</v>
      </c>
      <c r="R328" s="132">
        <v>0</v>
      </c>
      <c r="S328" s="132">
        <v>0</v>
      </c>
      <c r="T328" s="132">
        <v>0</v>
      </c>
      <c r="U328" s="132">
        <v>0</v>
      </c>
      <c r="V328" s="132">
        <v>0</v>
      </c>
      <c r="W328" s="132">
        <v>0</v>
      </c>
      <c r="X328" s="132">
        <v>0</v>
      </c>
      <c r="Y328" s="132">
        <v>0</v>
      </c>
      <c r="Z328" s="128">
        <f t="shared" si="12"/>
        <v>0</v>
      </c>
    </row>
    <row r="329" spans="1:26" x14ac:dyDescent="0.2">
      <c r="A329" s="23" t="s">
        <v>103</v>
      </c>
      <c r="B329">
        <v>9</v>
      </c>
      <c r="C329" s="23" t="s">
        <v>112</v>
      </c>
      <c r="D329">
        <v>902</v>
      </c>
      <c r="E329" s="132">
        <v>0</v>
      </c>
      <c r="F329" s="132">
        <v>0</v>
      </c>
      <c r="G329" s="132">
        <v>0</v>
      </c>
      <c r="H329" s="132">
        <v>0</v>
      </c>
      <c r="I329" s="132">
        <v>0</v>
      </c>
      <c r="J329" s="132">
        <v>0</v>
      </c>
      <c r="K329" s="132">
        <v>0</v>
      </c>
      <c r="L329" s="132">
        <v>0</v>
      </c>
      <c r="M329" s="132">
        <v>0</v>
      </c>
      <c r="N329" s="132">
        <v>0</v>
      </c>
      <c r="O329" s="132">
        <v>0</v>
      </c>
      <c r="P329" s="132">
        <v>0</v>
      </c>
      <c r="Q329" s="132">
        <v>0</v>
      </c>
      <c r="R329" s="132">
        <v>0</v>
      </c>
      <c r="S329" s="132">
        <v>0</v>
      </c>
      <c r="T329" s="132">
        <v>0</v>
      </c>
      <c r="U329" s="132">
        <v>0</v>
      </c>
      <c r="V329" s="132">
        <v>0</v>
      </c>
      <c r="W329" s="132">
        <v>0</v>
      </c>
      <c r="X329" s="132">
        <v>0</v>
      </c>
      <c r="Y329" s="132">
        <v>0</v>
      </c>
      <c r="Z329" s="128">
        <f t="shared" si="12"/>
        <v>0</v>
      </c>
    </row>
    <row r="330" spans="1:26" x14ac:dyDescent="0.2">
      <c r="A330" s="23" t="s">
        <v>103</v>
      </c>
      <c r="B330">
        <v>9</v>
      </c>
      <c r="C330" s="23" t="s">
        <v>112</v>
      </c>
      <c r="D330">
        <v>903</v>
      </c>
      <c r="E330" s="132">
        <v>0</v>
      </c>
      <c r="F330" s="132">
        <v>0</v>
      </c>
      <c r="G330" s="132">
        <v>0</v>
      </c>
      <c r="H330" s="132">
        <v>0</v>
      </c>
      <c r="I330" s="132">
        <v>0</v>
      </c>
      <c r="J330" s="132">
        <v>0</v>
      </c>
      <c r="K330" s="132">
        <v>0</v>
      </c>
      <c r="L330" s="132">
        <v>0</v>
      </c>
      <c r="M330" s="132">
        <v>0</v>
      </c>
      <c r="N330" s="132">
        <v>0</v>
      </c>
      <c r="O330" s="132">
        <v>0</v>
      </c>
      <c r="P330" s="132">
        <v>0</v>
      </c>
      <c r="Q330" s="132">
        <v>0</v>
      </c>
      <c r="R330" s="132">
        <v>0</v>
      </c>
      <c r="S330" s="132">
        <v>0</v>
      </c>
      <c r="T330" s="132">
        <v>0</v>
      </c>
      <c r="U330" s="132">
        <v>0</v>
      </c>
      <c r="V330" s="132">
        <v>0</v>
      </c>
      <c r="W330" s="132">
        <v>0</v>
      </c>
      <c r="X330" s="132">
        <v>0</v>
      </c>
      <c r="Y330" s="132">
        <v>0</v>
      </c>
      <c r="Z330" s="128">
        <f t="shared" si="12"/>
        <v>0</v>
      </c>
    </row>
    <row r="331" spans="1:26" x14ac:dyDescent="0.2">
      <c r="A331" s="23" t="s">
        <v>103</v>
      </c>
      <c r="B331">
        <v>9</v>
      </c>
      <c r="C331" s="23" t="s">
        <v>112</v>
      </c>
      <c r="D331">
        <v>904</v>
      </c>
      <c r="E331" s="132">
        <v>0</v>
      </c>
      <c r="F331" s="132">
        <v>0</v>
      </c>
      <c r="G331" s="132">
        <v>0</v>
      </c>
      <c r="H331" s="132">
        <v>0</v>
      </c>
      <c r="I331" s="132">
        <v>0</v>
      </c>
      <c r="J331" s="132">
        <v>0</v>
      </c>
      <c r="K331" s="132">
        <v>0</v>
      </c>
      <c r="L331" s="132">
        <v>0</v>
      </c>
      <c r="M331" s="132">
        <v>0</v>
      </c>
      <c r="N331" s="132">
        <v>0</v>
      </c>
      <c r="O331" s="132">
        <v>0</v>
      </c>
      <c r="P331" s="132">
        <v>0</v>
      </c>
      <c r="Q331" s="132">
        <v>0</v>
      </c>
      <c r="R331" s="132">
        <v>0</v>
      </c>
      <c r="S331" s="132">
        <v>0</v>
      </c>
      <c r="T331" s="132">
        <v>0</v>
      </c>
      <c r="U331" s="132">
        <v>0</v>
      </c>
      <c r="V331" s="132">
        <v>0</v>
      </c>
      <c r="W331" s="132">
        <v>0</v>
      </c>
      <c r="X331" s="132">
        <v>0</v>
      </c>
      <c r="Y331" s="132">
        <v>0</v>
      </c>
      <c r="Z331" s="128">
        <f t="shared" si="12"/>
        <v>0</v>
      </c>
    </row>
    <row r="332" spans="1:26" x14ac:dyDescent="0.2">
      <c r="A332" s="23" t="s">
        <v>103</v>
      </c>
      <c r="B332">
        <v>9</v>
      </c>
      <c r="C332" s="23" t="s">
        <v>112</v>
      </c>
      <c r="D332">
        <v>905</v>
      </c>
      <c r="E332" s="132">
        <v>0</v>
      </c>
      <c r="F332" s="132">
        <v>0</v>
      </c>
      <c r="G332" s="132">
        <v>0</v>
      </c>
      <c r="H332" s="132">
        <v>0</v>
      </c>
      <c r="I332" s="132">
        <v>0</v>
      </c>
      <c r="J332" s="132">
        <v>0</v>
      </c>
      <c r="K332" s="132">
        <v>0</v>
      </c>
      <c r="L332" s="132">
        <v>0</v>
      </c>
      <c r="M332" s="132">
        <v>0</v>
      </c>
      <c r="N332" s="132">
        <v>0</v>
      </c>
      <c r="O332" s="132">
        <v>0</v>
      </c>
      <c r="P332" s="132">
        <v>0</v>
      </c>
      <c r="Q332" s="132">
        <v>0</v>
      </c>
      <c r="R332" s="132">
        <v>0</v>
      </c>
      <c r="S332" s="132">
        <v>0</v>
      </c>
      <c r="T332" s="132">
        <v>0</v>
      </c>
      <c r="U332" s="132">
        <v>0</v>
      </c>
      <c r="V332" s="132">
        <v>0</v>
      </c>
      <c r="W332" s="132">
        <v>0</v>
      </c>
      <c r="X332" s="132">
        <v>0</v>
      </c>
      <c r="Y332" s="132">
        <v>0</v>
      </c>
      <c r="Z332" s="128">
        <f t="shared" si="12"/>
        <v>0</v>
      </c>
    </row>
    <row r="333" spans="1:26" x14ac:dyDescent="0.2">
      <c r="A333" s="23" t="s">
        <v>103</v>
      </c>
      <c r="B333">
        <v>9</v>
      </c>
      <c r="C333" s="23" t="s">
        <v>112</v>
      </c>
      <c r="D333">
        <v>906</v>
      </c>
      <c r="E333" s="132">
        <v>0</v>
      </c>
      <c r="F333" s="132">
        <v>0</v>
      </c>
      <c r="G333" s="132">
        <v>0</v>
      </c>
      <c r="H333" s="132">
        <v>0</v>
      </c>
      <c r="I333" s="132">
        <v>0</v>
      </c>
      <c r="J333" s="132">
        <v>0</v>
      </c>
      <c r="K333" s="132">
        <v>0</v>
      </c>
      <c r="L333" s="132">
        <v>0</v>
      </c>
      <c r="M333" s="132">
        <v>0</v>
      </c>
      <c r="N333" s="132">
        <v>0</v>
      </c>
      <c r="O333" s="132">
        <v>0</v>
      </c>
      <c r="P333" s="132">
        <v>0</v>
      </c>
      <c r="Q333" s="132">
        <v>0</v>
      </c>
      <c r="R333" s="132">
        <v>0</v>
      </c>
      <c r="S333" s="132">
        <v>0</v>
      </c>
      <c r="T333" s="132">
        <v>0</v>
      </c>
      <c r="U333" s="132">
        <v>0</v>
      </c>
      <c r="V333" s="132">
        <v>0</v>
      </c>
      <c r="W333" s="132">
        <v>0</v>
      </c>
      <c r="X333" s="132">
        <v>0</v>
      </c>
      <c r="Y333" s="132">
        <v>0</v>
      </c>
      <c r="Z333" s="128">
        <f t="shared" si="12"/>
        <v>0</v>
      </c>
    </row>
    <row r="334" spans="1:26" x14ac:dyDescent="0.2">
      <c r="A334" s="23" t="s">
        <v>103</v>
      </c>
      <c r="B334">
        <v>9</v>
      </c>
      <c r="C334" s="23" t="s">
        <v>112</v>
      </c>
      <c r="D334">
        <v>907</v>
      </c>
      <c r="E334" s="132">
        <v>0</v>
      </c>
      <c r="F334" s="132">
        <v>0</v>
      </c>
      <c r="G334" s="132">
        <v>0</v>
      </c>
      <c r="H334" s="132">
        <v>0</v>
      </c>
      <c r="I334" s="132">
        <v>0</v>
      </c>
      <c r="J334" s="132">
        <v>0</v>
      </c>
      <c r="K334" s="132">
        <v>0</v>
      </c>
      <c r="L334" s="132">
        <v>0</v>
      </c>
      <c r="M334" s="132">
        <v>0</v>
      </c>
      <c r="N334" s="132">
        <v>0</v>
      </c>
      <c r="O334" s="132">
        <v>0</v>
      </c>
      <c r="P334" s="132">
        <v>0</v>
      </c>
      <c r="Q334" s="132">
        <v>0</v>
      </c>
      <c r="R334" s="132">
        <v>0</v>
      </c>
      <c r="S334" s="132">
        <v>0</v>
      </c>
      <c r="T334" s="132">
        <v>0</v>
      </c>
      <c r="U334" s="132">
        <v>0</v>
      </c>
      <c r="V334" s="132">
        <v>0</v>
      </c>
      <c r="W334" s="132">
        <v>0</v>
      </c>
      <c r="X334" s="132">
        <v>0</v>
      </c>
      <c r="Y334" s="132">
        <v>0</v>
      </c>
      <c r="Z334" s="128">
        <f t="shared" si="12"/>
        <v>0</v>
      </c>
    </row>
    <row r="335" spans="1:26" x14ac:dyDescent="0.2">
      <c r="A335" s="23" t="s">
        <v>103</v>
      </c>
      <c r="B335">
        <v>9</v>
      </c>
      <c r="C335" s="23" t="s">
        <v>112</v>
      </c>
      <c r="D335">
        <v>908</v>
      </c>
      <c r="E335" s="132">
        <v>0</v>
      </c>
      <c r="F335" s="132">
        <v>0</v>
      </c>
      <c r="G335" s="132">
        <v>0</v>
      </c>
      <c r="H335" s="132">
        <v>0</v>
      </c>
      <c r="I335" s="132">
        <v>0</v>
      </c>
      <c r="J335" s="132">
        <v>0</v>
      </c>
      <c r="K335" s="132">
        <v>0</v>
      </c>
      <c r="L335" s="132">
        <v>0</v>
      </c>
      <c r="M335" s="132">
        <v>0</v>
      </c>
      <c r="N335" s="132">
        <v>0</v>
      </c>
      <c r="O335" s="132">
        <v>0</v>
      </c>
      <c r="P335" s="132">
        <v>0</v>
      </c>
      <c r="Q335" s="132">
        <v>0</v>
      </c>
      <c r="R335" s="132">
        <v>0</v>
      </c>
      <c r="S335" s="132">
        <v>0</v>
      </c>
      <c r="T335" s="132">
        <v>0</v>
      </c>
      <c r="U335" s="132">
        <v>0</v>
      </c>
      <c r="V335" s="132">
        <v>0</v>
      </c>
      <c r="W335" s="132">
        <v>0</v>
      </c>
      <c r="X335" s="132">
        <v>0</v>
      </c>
      <c r="Y335" s="132">
        <v>0</v>
      </c>
      <c r="Z335" s="128">
        <f t="shared" si="12"/>
        <v>0</v>
      </c>
    </row>
    <row r="336" spans="1:26" x14ac:dyDescent="0.2">
      <c r="A336" s="23" t="s">
        <v>103</v>
      </c>
      <c r="B336">
        <v>9</v>
      </c>
      <c r="C336" s="23" t="s">
        <v>112</v>
      </c>
      <c r="D336">
        <v>909</v>
      </c>
      <c r="E336" s="132">
        <v>0</v>
      </c>
      <c r="F336" s="132">
        <v>0</v>
      </c>
      <c r="G336" s="132">
        <v>0</v>
      </c>
      <c r="H336" s="132">
        <v>0</v>
      </c>
      <c r="I336" s="132">
        <v>0</v>
      </c>
      <c r="J336" s="132">
        <v>0</v>
      </c>
      <c r="K336" s="132">
        <v>0</v>
      </c>
      <c r="L336" s="132">
        <v>0</v>
      </c>
      <c r="M336" s="132">
        <v>0</v>
      </c>
      <c r="N336" s="132">
        <v>0</v>
      </c>
      <c r="O336" s="132">
        <v>0</v>
      </c>
      <c r="P336" s="132">
        <v>0</v>
      </c>
      <c r="Q336" s="132">
        <v>0</v>
      </c>
      <c r="R336" s="132">
        <v>0</v>
      </c>
      <c r="S336" s="132">
        <v>0</v>
      </c>
      <c r="T336" s="132">
        <v>0</v>
      </c>
      <c r="U336" s="132">
        <v>0</v>
      </c>
      <c r="V336" s="132">
        <v>0</v>
      </c>
      <c r="W336" s="132">
        <v>0</v>
      </c>
      <c r="X336" s="132">
        <v>0</v>
      </c>
      <c r="Y336" s="132">
        <v>0</v>
      </c>
      <c r="Z336" s="128">
        <f t="shared" si="12"/>
        <v>0</v>
      </c>
    </row>
    <row r="337" spans="1:26" x14ac:dyDescent="0.2">
      <c r="A337" s="23" t="s">
        <v>103</v>
      </c>
      <c r="B337">
        <v>9</v>
      </c>
      <c r="C337" s="23" t="s">
        <v>112</v>
      </c>
      <c r="D337">
        <v>910</v>
      </c>
      <c r="E337" s="132">
        <v>0</v>
      </c>
      <c r="F337" s="132">
        <v>0</v>
      </c>
      <c r="G337" s="132">
        <v>0</v>
      </c>
      <c r="H337" s="132">
        <v>0</v>
      </c>
      <c r="I337" s="132">
        <v>0</v>
      </c>
      <c r="J337" s="132">
        <v>0</v>
      </c>
      <c r="K337" s="132">
        <v>0</v>
      </c>
      <c r="L337" s="132">
        <v>0</v>
      </c>
      <c r="M337" s="132">
        <v>0</v>
      </c>
      <c r="N337" s="132">
        <v>0</v>
      </c>
      <c r="O337" s="132">
        <v>0</v>
      </c>
      <c r="P337" s="132">
        <v>0</v>
      </c>
      <c r="Q337" s="132">
        <v>0</v>
      </c>
      <c r="R337" s="132">
        <v>0</v>
      </c>
      <c r="S337" s="132">
        <v>0</v>
      </c>
      <c r="T337" s="132">
        <v>0</v>
      </c>
      <c r="U337" s="132">
        <v>0</v>
      </c>
      <c r="V337" s="132">
        <v>0</v>
      </c>
      <c r="W337" s="132">
        <v>0</v>
      </c>
      <c r="X337" s="132">
        <v>0</v>
      </c>
      <c r="Y337" s="132">
        <v>0</v>
      </c>
      <c r="Z337" s="128">
        <f t="shared" si="12"/>
        <v>0</v>
      </c>
    </row>
    <row r="338" spans="1:26" x14ac:dyDescent="0.2">
      <c r="A338" s="23" t="s">
        <v>103</v>
      </c>
      <c r="B338">
        <v>9</v>
      </c>
      <c r="C338" s="23" t="s">
        <v>112</v>
      </c>
      <c r="D338">
        <v>911</v>
      </c>
      <c r="E338" s="132">
        <v>0</v>
      </c>
      <c r="F338" s="132">
        <v>0</v>
      </c>
      <c r="G338" s="132">
        <v>0</v>
      </c>
      <c r="H338" s="132">
        <v>0</v>
      </c>
      <c r="I338" s="132">
        <v>0</v>
      </c>
      <c r="J338" s="132">
        <v>0</v>
      </c>
      <c r="K338" s="132">
        <v>0</v>
      </c>
      <c r="L338" s="132">
        <v>0</v>
      </c>
      <c r="M338" s="132">
        <v>0</v>
      </c>
      <c r="N338" s="132">
        <v>0</v>
      </c>
      <c r="O338" s="132">
        <v>0</v>
      </c>
      <c r="P338" s="132">
        <v>0</v>
      </c>
      <c r="Q338" s="132">
        <v>0</v>
      </c>
      <c r="R338" s="132">
        <v>0</v>
      </c>
      <c r="S338" s="132">
        <v>0</v>
      </c>
      <c r="T338" s="132">
        <v>0</v>
      </c>
      <c r="U338" s="132">
        <v>0</v>
      </c>
      <c r="V338" s="132">
        <v>0</v>
      </c>
      <c r="W338" s="132">
        <v>0</v>
      </c>
      <c r="X338" s="132">
        <v>0</v>
      </c>
      <c r="Y338" s="132">
        <v>0</v>
      </c>
      <c r="Z338" s="128">
        <f t="shared" si="12"/>
        <v>0</v>
      </c>
    </row>
    <row r="339" spans="1:26" x14ac:dyDescent="0.2">
      <c r="A339" s="23" t="s">
        <v>103</v>
      </c>
      <c r="B339">
        <v>9</v>
      </c>
      <c r="C339" s="23" t="s">
        <v>112</v>
      </c>
      <c r="D339">
        <v>912</v>
      </c>
      <c r="E339" s="132">
        <v>0</v>
      </c>
      <c r="F339" s="132">
        <v>0</v>
      </c>
      <c r="G339" s="132">
        <v>0</v>
      </c>
      <c r="H339" s="132">
        <v>0</v>
      </c>
      <c r="I339" s="132">
        <v>0</v>
      </c>
      <c r="J339" s="132">
        <v>0</v>
      </c>
      <c r="K339" s="132">
        <v>0</v>
      </c>
      <c r="L339" s="132">
        <v>0</v>
      </c>
      <c r="M339" s="132">
        <v>0</v>
      </c>
      <c r="N339" s="132">
        <v>0</v>
      </c>
      <c r="O339" s="132">
        <v>0</v>
      </c>
      <c r="P339" s="132">
        <v>0</v>
      </c>
      <c r="Q339" s="132">
        <v>0</v>
      </c>
      <c r="R339" s="132">
        <v>0</v>
      </c>
      <c r="S339" s="132">
        <v>0</v>
      </c>
      <c r="T339" s="132">
        <v>0</v>
      </c>
      <c r="U339" s="132">
        <v>0</v>
      </c>
      <c r="V339" s="132">
        <v>0</v>
      </c>
      <c r="W339" s="132">
        <v>0</v>
      </c>
      <c r="X339" s="132">
        <v>0</v>
      </c>
      <c r="Y339" s="132">
        <v>0</v>
      </c>
      <c r="Z339" s="128">
        <f t="shared" si="12"/>
        <v>0</v>
      </c>
    </row>
    <row r="340" spans="1:26" x14ac:dyDescent="0.2">
      <c r="A340" s="23" t="s">
        <v>103</v>
      </c>
      <c r="B340">
        <v>9</v>
      </c>
      <c r="C340" s="23" t="s">
        <v>112</v>
      </c>
      <c r="D340">
        <v>913</v>
      </c>
      <c r="E340" s="132">
        <v>0</v>
      </c>
      <c r="F340" s="132">
        <v>0</v>
      </c>
      <c r="G340" s="132">
        <v>0</v>
      </c>
      <c r="H340" s="132">
        <v>0</v>
      </c>
      <c r="I340" s="132">
        <v>0</v>
      </c>
      <c r="J340" s="132">
        <v>0</v>
      </c>
      <c r="K340" s="132">
        <v>0</v>
      </c>
      <c r="L340" s="132">
        <v>0</v>
      </c>
      <c r="M340" s="132">
        <v>0</v>
      </c>
      <c r="N340" s="132">
        <v>0</v>
      </c>
      <c r="O340" s="132">
        <v>0</v>
      </c>
      <c r="P340" s="132">
        <v>0</v>
      </c>
      <c r="Q340" s="132">
        <v>0</v>
      </c>
      <c r="R340" s="132">
        <v>0</v>
      </c>
      <c r="S340" s="132">
        <v>0</v>
      </c>
      <c r="T340" s="132">
        <v>0</v>
      </c>
      <c r="U340" s="132">
        <v>0</v>
      </c>
      <c r="V340" s="132">
        <v>0</v>
      </c>
      <c r="W340" s="132">
        <v>0</v>
      </c>
      <c r="X340" s="132">
        <v>0</v>
      </c>
      <c r="Y340" s="132">
        <v>0</v>
      </c>
      <c r="Z340" s="128">
        <f t="shared" si="12"/>
        <v>0</v>
      </c>
    </row>
    <row r="341" spans="1:26" x14ac:dyDescent="0.2">
      <c r="A341" s="23" t="s">
        <v>103</v>
      </c>
      <c r="B341">
        <v>9</v>
      </c>
      <c r="C341" s="23" t="s">
        <v>112</v>
      </c>
      <c r="D341">
        <v>914</v>
      </c>
      <c r="E341" s="132">
        <v>0</v>
      </c>
      <c r="F341" s="132">
        <v>0</v>
      </c>
      <c r="G341" s="132">
        <v>0</v>
      </c>
      <c r="H341" s="132">
        <v>0</v>
      </c>
      <c r="I341" s="132">
        <v>0</v>
      </c>
      <c r="J341" s="132">
        <v>0</v>
      </c>
      <c r="K341" s="132">
        <v>0</v>
      </c>
      <c r="L341" s="132">
        <v>0</v>
      </c>
      <c r="M341" s="132">
        <v>0</v>
      </c>
      <c r="N341" s="132">
        <v>0</v>
      </c>
      <c r="O341" s="132">
        <v>0</v>
      </c>
      <c r="P341" s="132">
        <v>0</v>
      </c>
      <c r="Q341" s="132">
        <v>0</v>
      </c>
      <c r="R341" s="132">
        <v>0</v>
      </c>
      <c r="S341" s="132">
        <v>0</v>
      </c>
      <c r="T341" s="132">
        <v>0</v>
      </c>
      <c r="U341" s="132">
        <v>0</v>
      </c>
      <c r="V341" s="132">
        <v>0</v>
      </c>
      <c r="W341" s="132">
        <v>0</v>
      </c>
      <c r="X341" s="132">
        <v>0</v>
      </c>
      <c r="Y341" s="132">
        <v>0</v>
      </c>
      <c r="Z341" s="128">
        <f t="shared" si="12"/>
        <v>0</v>
      </c>
    </row>
    <row r="342" spans="1:26" x14ac:dyDescent="0.2">
      <c r="A342" s="23" t="s">
        <v>103</v>
      </c>
      <c r="B342">
        <v>9</v>
      </c>
      <c r="C342" s="23" t="s">
        <v>112</v>
      </c>
      <c r="D342">
        <v>915</v>
      </c>
      <c r="E342" s="132">
        <v>0</v>
      </c>
      <c r="F342" s="132">
        <v>0</v>
      </c>
      <c r="G342" s="132">
        <v>0</v>
      </c>
      <c r="H342" s="132">
        <v>0</v>
      </c>
      <c r="I342" s="132">
        <v>0</v>
      </c>
      <c r="J342" s="132">
        <v>0</v>
      </c>
      <c r="K342" s="132">
        <v>0</v>
      </c>
      <c r="L342" s="132">
        <v>0</v>
      </c>
      <c r="M342" s="132">
        <v>0</v>
      </c>
      <c r="N342" s="132">
        <v>0</v>
      </c>
      <c r="O342" s="132">
        <v>0</v>
      </c>
      <c r="P342" s="132">
        <v>0</v>
      </c>
      <c r="Q342" s="132">
        <v>0</v>
      </c>
      <c r="R342" s="132">
        <v>0</v>
      </c>
      <c r="S342" s="132">
        <v>0</v>
      </c>
      <c r="T342" s="132">
        <v>0</v>
      </c>
      <c r="U342" s="132">
        <v>0</v>
      </c>
      <c r="V342" s="132">
        <v>0</v>
      </c>
      <c r="W342" s="132">
        <v>0</v>
      </c>
      <c r="X342" s="132">
        <v>0</v>
      </c>
      <c r="Y342" s="132">
        <v>0</v>
      </c>
      <c r="Z342" s="128">
        <f t="shared" si="12"/>
        <v>0</v>
      </c>
    </row>
    <row r="343" spans="1:26" x14ac:dyDescent="0.2">
      <c r="A343" s="23" t="s">
        <v>103</v>
      </c>
      <c r="B343">
        <v>9</v>
      </c>
      <c r="C343" s="23" t="s">
        <v>112</v>
      </c>
      <c r="D343">
        <v>916</v>
      </c>
      <c r="E343" s="132">
        <v>0</v>
      </c>
      <c r="F343" s="132">
        <v>0</v>
      </c>
      <c r="G343" s="132">
        <v>0</v>
      </c>
      <c r="H343" s="132">
        <v>0</v>
      </c>
      <c r="I343" s="132">
        <v>0</v>
      </c>
      <c r="J343" s="132">
        <v>0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0</v>
      </c>
      <c r="Q343" s="132">
        <v>0</v>
      </c>
      <c r="R343" s="132">
        <v>0</v>
      </c>
      <c r="S343" s="132">
        <v>0</v>
      </c>
      <c r="T343" s="132">
        <v>0</v>
      </c>
      <c r="U343" s="132">
        <v>0</v>
      </c>
      <c r="V343" s="132">
        <v>0</v>
      </c>
      <c r="W343" s="132">
        <v>0</v>
      </c>
      <c r="X343" s="132">
        <v>0</v>
      </c>
      <c r="Y343" s="132">
        <v>0</v>
      </c>
      <c r="Z343" s="128">
        <f t="shared" si="12"/>
        <v>0</v>
      </c>
    </row>
    <row r="344" spans="1:26" x14ac:dyDescent="0.2">
      <c r="A344" s="23" t="s">
        <v>103</v>
      </c>
      <c r="B344">
        <v>9</v>
      </c>
      <c r="C344" s="23" t="s">
        <v>112</v>
      </c>
      <c r="D344">
        <v>917</v>
      </c>
      <c r="E344" s="132">
        <v>0</v>
      </c>
      <c r="F344" s="132">
        <v>0</v>
      </c>
      <c r="G344" s="132">
        <v>0</v>
      </c>
      <c r="H344" s="132">
        <v>0</v>
      </c>
      <c r="I344" s="132">
        <v>0</v>
      </c>
      <c r="J344" s="132">
        <v>0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0</v>
      </c>
      <c r="Q344" s="132">
        <v>0</v>
      </c>
      <c r="R344" s="132">
        <v>0</v>
      </c>
      <c r="S344" s="132">
        <v>0</v>
      </c>
      <c r="T344" s="132">
        <v>0</v>
      </c>
      <c r="U344" s="132">
        <v>0</v>
      </c>
      <c r="V344" s="132">
        <v>0</v>
      </c>
      <c r="W344" s="132">
        <v>0</v>
      </c>
      <c r="X344" s="132">
        <v>0</v>
      </c>
      <c r="Y344" s="132">
        <v>0</v>
      </c>
      <c r="Z344" s="128">
        <f t="shared" si="12"/>
        <v>0</v>
      </c>
    </row>
    <row r="345" spans="1:26" x14ac:dyDescent="0.2">
      <c r="A345" s="23" t="s">
        <v>103</v>
      </c>
      <c r="B345">
        <v>9</v>
      </c>
      <c r="C345" s="23" t="s">
        <v>112</v>
      </c>
      <c r="D345">
        <v>918</v>
      </c>
      <c r="E345" s="132">
        <v>0</v>
      </c>
      <c r="F345" s="132">
        <v>0</v>
      </c>
      <c r="G345" s="132">
        <v>0</v>
      </c>
      <c r="H345" s="132">
        <v>0</v>
      </c>
      <c r="I345" s="132">
        <v>0</v>
      </c>
      <c r="J345" s="132">
        <v>0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0</v>
      </c>
      <c r="Q345" s="132">
        <v>0</v>
      </c>
      <c r="R345" s="132">
        <v>0</v>
      </c>
      <c r="S345" s="132">
        <v>0</v>
      </c>
      <c r="T345" s="132">
        <v>0</v>
      </c>
      <c r="U345" s="132">
        <v>0</v>
      </c>
      <c r="V345" s="132">
        <v>0</v>
      </c>
      <c r="W345" s="132">
        <v>0</v>
      </c>
      <c r="X345" s="132">
        <v>0</v>
      </c>
      <c r="Y345" s="132">
        <v>0</v>
      </c>
      <c r="Z345" s="128">
        <f t="shared" si="12"/>
        <v>0</v>
      </c>
    </row>
    <row r="346" spans="1:26" x14ac:dyDescent="0.2">
      <c r="A346" s="23" t="s">
        <v>103</v>
      </c>
      <c r="B346">
        <v>9</v>
      </c>
      <c r="C346" s="23" t="s">
        <v>112</v>
      </c>
      <c r="D346">
        <v>919</v>
      </c>
      <c r="E346" s="132">
        <v>0</v>
      </c>
      <c r="F346" s="132">
        <v>0</v>
      </c>
      <c r="G346" s="132">
        <v>0</v>
      </c>
      <c r="H346" s="132">
        <v>0</v>
      </c>
      <c r="I346" s="132">
        <v>0</v>
      </c>
      <c r="J346" s="132">
        <v>0</v>
      </c>
      <c r="K346" s="132">
        <v>0</v>
      </c>
      <c r="L346" s="132">
        <v>0</v>
      </c>
      <c r="M346" s="132">
        <v>0</v>
      </c>
      <c r="N346" s="132">
        <v>0</v>
      </c>
      <c r="O346" s="132">
        <v>0</v>
      </c>
      <c r="P346" s="132">
        <v>0</v>
      </c>
      <c r="Q346" s="132">
        <v>0</v>
      </c>
      <c r="R346" s="132">
        <v>0</v>
      </c>
      <c r="S346" s="132">
        <v>0</v>
      </c>
      <c r="T346" s="132">
        <v>0</v>
      </c>
      <c r="U346" s="132">
        <v>0</v>
      </c>
      <c r="V346" s="132">
        <v>0</v>
      </c>
      <c r="W346" s="132">
        <v>0</v>
      </c>
      <c r="X346" s="132">
        <v>0</v>
      </c>
      <c r="Y346" s="132">
        <v>0</v>
      </c>
      <c r="Z346" s="128">
        <f t="shared" si="12"/>
        <v>0</v>
      </c>
    </row>
    <row r="347" spans="1:26" x14ac:dyDescent="0.2">
      <c r="A347" s="23" t="s">
        <v>103</v>
      </c>
      <c r="B347">
        <v>9</v>
      </c>
      <c r="C347" s="23" t="s">
        <v>112</v>
      </c>
      <c r="D347">
        <v>923</v>
      </c>
      <c r="E347" s="132">
        <v>0</v>
      </c>
      <c r="F347" s="132">
        <v>0</v>
      </c>
      <c r="G347" s="132">
        <v>0</v>
      </c>
      <c r="H347" s="132">
        <v>0</v>
      </c>
      <c r="I347" s="132">
        <v>0</v>
      </c>
      <c r="J347" s="132">
        <v>0</v>
      </c>
      <c r="K347" s="132">
        <v>0</v>
      </c>
      <c r="L347" s="132">
        <v>0</v>
      </c>
      <c r="M347" s="132">
        <v>0</v>
      </c>
      <c r="N347" s="132">
        <v>0</v>
      </c>
      <c r="O347" s="132">
        <v>0</v>
      </c>
      <c r="P347" s="132">
        <v>0</v>
      </c>
      <c r="Q347" s="132">
        <v>0</v>
      </c>
      <c r="R347" s="132">
        <v>0</v>
      </c>
      <c r="S347" s="132">
        <v>0</v>
      </c>
      <c r="T347" s="132">
        <v>0</v>
      </c>
      <c r="U347" s="132">
        <v>0</v>
      </c>
      <c r="V347" s="132">
        <v>0</v>
      </c>
      <c r="W347" s="132">
        <v>0</v>
      </c>
      <c r="X347" s="132">
        <v>0</v>
      </c>
      <c r="Y347" s="132">
        <v>0</v>
      </c>
      <c r="Z347" s="128">
        <f t="shared" si="12"/>
        <v>0</v>
      </c>
    </row>
    <row r="348" spans="1:26" x14ac:dyDescent="0.2">
      <c r="A348" s="23" t="s">
        <v>103</v>
      </c>
      <c r="B348">
        <v>9</v>
      </c>
      <c r="C348" s="23" t="s">
        <v>111</v>
      </c>
      <c r="D348">
        <v>901</v>
      </c>
      <c r="E348" s="132">
        <v>0</v>
      </c>
      <c r="F348" s="132">
        <v>0</v>
      </c>
      <c r="G348" s="132">
        <v>0</v>
      </c>
      <c r="H348" s="132">
        <v>0</v>
      </c>
      <c r="I348" s="132">
        <v>0</v>
      </c>
      <c r="J348" s="132">
        <v>0</v>
      </c>
      <c r="K348" s="132">
        <v>0</v>
      </c>
      <c r="L348" s="132">
        <v>0</v>
      </c>
      <c r="M348" s="132">
        <v>0</v>
      </c>
      <c r="N348" s="132">
        <v>0</v>
      </c>
      <c r="O348" s="132">
        <v>0</v>
      </c>
      <c r="P348" s="132">
        <v>0</v>
      </c>
      <c r="Q348" s="132">
        <v>0</v>
      </c>
      <c r="R348" s="132">
        <v>0</v>
      </c>
      <c r="S348" s="132">
        <v>0</v>
      </c>
      <c r="T348" s="132">
        <v>0</v>
      </c>
      <c r="U348" s="132">
        <v>0</v>
      </c>
      <c r="V348" s="132">
        <v>0</v>
      </c>
      <c r="W348" s="132">
        <v>0</v>
      </c>
      <c r="X348" s="132">
        <v>0</v>
      </c>
      <c r="Y348" s="132">
        <v>0</v>
      </c>
      <c r="Z348" s="128">
        <f t="shared" si="12"/>
        <v>0</v>
      </c>
    </row>
    <row r="349" spans="1:26" x14ac:dyDescent="0.2">
      <c r="A349" s="23" t="s">
        <v>103</v>
      </c>
      <c r="B349">
        <v>9</v>
      </c>
      <c r="C349" s="23" t="s">
        <v>111</v>
      </c>
      <c r="D349">
        <v>902</v>
      </c>
      <c r="E349" s="132">
        <v>0</v>
      </c>
      <c r="F349" s="132">
        <v>0</v>
      </c>
      <c r="G349" s="132">
        <v>0</v>
      </c>
      <c r="H349" s="132">
        <v>0</v>
      </c>
      <c r="I349" s="132">
        <v>0</v>
      </c>
      <c r="J349" s="132">
        <v>0</v>
      </c>
      <c r="K349" s="132">
        <v>0</v>
      </c>
      <c r="L349" s="132">
        <v>0</v>
      </c>
      <c r="M349" s="132">
        <v>0</v>
      </c>
      <c r="N349" s="132">
        <v>0</v>
      </c>
      <c r="O349" s="132">
        <v>0</v>
      </c>
      <c r="P349" s="132">
        <v>0</v>
      </c>
      <c r="Q349" s="132">
        <v>0</v>
      </c>
      <c r="R349" s="132">
        <v>0</v>
      </c>
      <c r="S349" s="132">
        <v>0</v>
      </c>
      <c r="T349" s="132">
        <v>0</v>
      </c>
      <c r="U349" s="132">
        <v>0</v>
      </c>
      <c r="V349" s="132">
        <v>0</v>
      </c>
      <c r="W349" s="132">
        <v>0</v>
      </c>
      <c r="X349" s="132">
        <v>0</v>
      </c>
      <c r="Y349" s="132">
        <v>0</v>
      </c>
      <c r="Z349" s="128">
        <f t="shared" si="12"/>
        <v>0</v>
      </c>
    </row>
    <row r="350" spans="1:26" x14ac:dyDescent="0.2">
      <c r="A350" s="23" t="s">
        <v>103</v>
      </c>
      <c r="B350">
        <v>9</v>
      </c>
      <c r="C350" s="23" t="s">
        <v>111</v>
      </c>
      <c r="D350">
        <v>903</v>
      </c>
      <c r="E350" s="132">
        <v>0</v>
      </c>
      <c r="F350" s="132">
        <v>0</v>
      </c>
      <c r="G350" s="132">
        <v>0</v>
      </c>
      <c r="H350" s="132">
        <v>0</v>
      </c>
      <c r="I350" s="132">
        <v>0</v>
      </c>
      <c r="J350" s="132">
        <v>0</v>
      </c>
      <c r="K350" s="132">
        <v>0</v>
      </c>
      <c r="L350" s="132">
        <v>0</v>
      </c>
      <c r="M350" s="132">
        <v>0</v>
      </c>
      <c r="N350" s="132">
        <v>0</v>
      </c>
      <c r="O350" s="132">
        <v>0</v>
      </c>
      <c r="P350" s="132">
        <v>0</v>
      </c>
      <c r="Q350" s="132">
        <v>0</v>
      </c>
      <c r="R350" s="132">
        <v>0</v>
      </c>
      <c r="S350" s="132">
        <v>0</v>
      </c>
      <c r="T350" s="132">
        <v>0</v>
      </c>
      <c r="U350" s="132">
        <v>0</v>
      </c>
      <c r="V350" s="132">
        <v>0</v>
      </c>
      <c r="W350" s="132">
        <v>0</v>
      </c>
      <c r="X350" s="132">
        <v>0</v>
      </c>
      <c r="Y350" s="132">
        <v>0</v>
      </c>
      <c r="Z350" s="128">
        <f t="shared" si="12"/>
        <v>0</v>
      </c>
    </row>
    <row r="351" spans="1:26" x14ac:dyDescent="0.2">
      <c r="A351" s="23" t="s">
        <v>103</v>
      </c>
      <c r="B351">
        <v>9</v>
      </c>
      <c r="C351" s="23" t="s">
        <v>111</v>
      </c>
      <c r="D351">
        <v>904</v>
      </c>
      <c r="E351" s="132">
        <v>0</v>
      </c>
      <c r="F351" s="132">
        <v>0</v>
      </c>
      <c r="G351" s="132">
        <v>0</v>
      </c>
      <c r="H351" s="132">
        <v>0</v>
      </c>
      <c r="I351" s="132">
        <v>0</v>
      </c>
      <c r="J351" s="132">
        <v>0</v>
      </c>
      <c r="K351" s="132">
        <v>0</v>
      </c>
      <c r="L351" s="132">
        <v>0</v>
      </c>
      <c r="M351" s="132">
        <v>0</v>
      </c>
      <c r="N351" s="132">
        <v>0</v>
      </c>
      <c r="O351" s="132">
        <v>0</v>
      </c>
      <c r="P351" s="132">
        <v>0</v>
      </c>
      <c r="Q351" s="132">
        <v>0</v>
      </c>
      <c r="R351" s="132">
        <v>0</v>
      </c>
      <c r="S351" s="132">
        <v>0</v>
      </c>
      <c r="T351" s="132">
        <v>0</v>
      </c>
      <c r="U351" s="132">
        <v>0</v>
      </c>
      <c r="V351" s="132">
        <v>0</v>
      </c>
      <c r="W351" s="132">
        <v>0</v>
      </c>
      <c r="X351" s="132">
        <v>0</v>
      </c>
      <c r="Y351" s="132">
        <v>0</v>
      </c>
      <c r="Z351" s="128">
        <f t="shared" si="12"/>
        <v>0</v>
      </c>
    </row>
    <row r="352" spans="1:26" x14ac:dyDescent="0.2">
      <c r="A352" s="23" t="s">
        <v>103</v>
      </c>
      <c r="B352">
        <v>9</v>
      </c>
      <c r="C352" s="23" t="s">
        <v>111</v>
      </c>
      <c r="D352">
        <v>905</v>
      </c>
      <c r="E352" s="132">
        <v>0</v>
      </c>
      <c r="F352" s="132">
        <v>0</v>
      </c>
      <c r="G352" s="132">
        <v>0</v>
      </c>
      <c r="H352" s="132">
        <v>0</v>
      </c>
      <c r="I352" s="132">
        <v>0</v>
      </c>
      <c r="J352" s="132">
        <v>0</v>
      </c>
      <c r="K352" s="132">
        <v>0</v>
      </c>
      <c r="L352" s="132">
        <v>0</v>
      </c>
      <c r="M352" s="132">
        <v>0</v>
      </c>
      <c r="N352" s="132">
        <v>0</v>
      </c>
      <c r="O352" s="132">
        <v>0</v>
      </c>
      <c r="P352" s="132">
        <v>0</v>
      </c>
      <c r="Q352" s="132">
        <v>0</v>
      </c>
      <c r="R352" s="132">
        <v>0</v>
      </c>
      <c r="S352" s="132">
        <v>0</v>
      </c>
      <c r="T352" s="132">
        <v>0</v>
      </c>
      <c r="U352" s="132">
        <v>0</v>
      </c>
      <c r="V352" s="132">
        <v>0</v>
      </c>
      <c r="W352" s="132">
        <v>0</v>
      </c>
      <c r="X352" s="132">
        <v>0</v>
      </c>
      <c r="Y352" s="132">
        <v>0</v>
      </c>
      <c r="Z352" s="128">
        <f t="shared" si="12"/>
        <v>0</v>
      </c>
    </row>
    <row r="353" spans="1:26" x14ac:dyDescent="0.2">
      <c r="A353" s="23" t="s">
        <v>103</v>
      </c>
      <c r="B353">
        <v>9</v>
      </c>
      <c r="C353" s="23" t="s">
        <v>111</v>
      </c>
      <c r="D353">
        <v>906</v>
      </c>
      <c r="E353" s="132">
        <v>0</v>
      </c>
      <c r="F353" s="132">
        <v>0</v>
      </c>
      <c r="G353" s="132">
        <v>0</v>
      </c>
      <c r="H353" s="132">
        <v>0</v>
      </c>
      <c r="I353" s="132">
        <v>0</v>
      </c>
      <c r="J353" s="132">
        <v>0</v>
      </c>
      <c r="K353" s="132">
        <v>0</v>
      </c>
      <c r="L353" s="132">
        <v>0</v>
      </c>
      <c r="M353" s="132">
        <v>0</v>
      </c>
      <c r="N353" s="132">
        <v>0</v>
      </c>
      <c r="O353" s="132">
        <v>0</v>
      </c>
      <c r="P353" s="132">
        <v>0</v>
      </c>
      <c r="Q353" s="132">
        <v>0</v>
      </c>
      <c r="R353" s="132">
        <v>0</v>
      </c>
      <c r="S353" s="132">
        <v>0</v>
      </c>
      <c r="T353" s="132">
        <v>0</v>
      </c>
      <c r="U353" s="132">
        <v>0</v>
      </c>
      <c r="V353" s="132">
        <v>0</v>
      </c>
      <c r="W353" s="132">
        <v>0</v>
      </c>
      <c r="X353" s="132">
        <v>0</v>
      </c>
      <c r="Y353" s="132">
        <v>0</v>
      </c>
      <c r="Z353" s="128">
        <f t="shared" si="12"/>
        <v>0</v>
      </c>
    </row>
    <row r="354" spans="1:26" x14ac:dyDescent="0.2">
      <c r="A354" s="23" t="s">
        <v>103</v>
      </c>
      <c r="B354">
        <v>9</v>
      </c>
      <c r="C354" s="23" t="s">
        <v>111</v>
      </c>
      <c r="D354">
        <v>907</v>
      </c>
      <c r="E354" s="132">
        <v>0</v>
      </c>
      <c r="F354" s="132">
        <v>0</v>
      </c>
      <c r="G354" s="132">
        <v>0</v>
      </c>
      <c r="H354" s="132">
        <v>0</v>
      </c>
      <c r="I354" s="132">
        <v>0</v>
      </c>
      <c r="J354" s="132">
        <v>0</v>
      </c>
      <c r="K354" s="132">
        <v>0</v>
      </c>
      <c r="L354" s="132">
        <v>0</v>
      </c>
      <c r="M354" s="132">
        <v>0</v>
      </c>
      <c r="N354" s="132">
        <v>0</v>
      </c>
      <c r="O354" s="132">
        <v>0</v>
      </c>
      <c r="P354" s="132">
        <v>0</v>
      </c>
      <c r="Q354" s="132">
        <v>0</v>
      </c>
      <c r="R354" s="132">
        <v>0</v>
      </c>
      <c r="S354" s="132">
        <v>0</v>
      </c>
      <c r="T354" s="132">
        <v>0</v>
      </c>
      <c r="U354" s="132">
        <v>0</v>
      </c>
      <c r="V354" s="132">
        <v>0</v>
      </c>
      <c r="W354" s="132">
        <v>0</v>
      </c>
      <c r="X354" s="132">
        <v>0</v>
      </c>
      <c r="Y354" s="132">
        <v>0</v>
      </c>
      <c r="Z354" s="128">
        <f t="shared" si="12"/>
        <v>0</v>
      </c>
    </row>
    <row r="355" spans="1:26" x14ac:dyDescent="0.2">
      <c r="A355" s="23" t="s">
        <v>103</v>
      </c>
      <c r="B355">
        <v>9</v>
      </c>
      <c r="C355" s="23" t="s">
        <v>111</v>
      </c>
      <c r="D355">
        <v>908</v>
      </c>
      <c r="E355" s="132">
        <v>0</v>
      </c>
      <c r="F355" s="132">
        <v>0</v>
      </c>
      <c r="G355" s="132">
        <v>0</v>
      </c>
      <c r="H355" s="132">
        <v>0</v>
      </c>
      <c r="I355" s="132">
        <v>0</v>
      </c>
      <c r="J355" s="132">
        <v>0</v>
      </c>
      <c r="K355" s="132">
        <v>0</v>
      </c>
      <c r="L355" s="132">
        <v>0</v>
      </c>
      <c r="M355" s="132">
        <v>0</v>
      </c>
      <c r="N355" s="132">
        <v>0</v>
      </c>
      <c r="O355" s="132">
        <v>0</v>
      </c>
      <c r="P355" s="132">
        <v>0</v>
      </c>
      <c r="Q355" s="132">
        <v>0</v>
      </c>
      <c r="R355" s="132">
        <v>0</v>
      </c>
      <c r="S355" s="132">
        <v>0</v>
      </c>
      <c r="T355" s="132">
        <v>0</v>
      </c>
      <c r="U355" s="132">
        <v>0</v>
      </c>
      <c r="V355" s="132">
        <v>0</v>
      </c>
      <c r="W355" s="132">
        <v>0</v>
      </c>
      <c r="X355" s="132">
        <v>0</v>
      </c>
      <c r="Y355" s="132">
        <v>0</v>
      </c>
      <c r="Z355" s="128">
        <f t="shared" si="12"/>
        <v>0</v>
      </c>
    </row>
    <row r="356" spans="1:26" x14ac:dyDescent="0.2">
      <c r="A356" s="23" t="s">
        <v>103</v>
      </c>
      <c r="B356">
        <v>9</v>
      </c>
      <c r="C356" s="23" t="s">
        <v>111</v>
      </c>
      <c r="D356">
        <v>909</v>
      </c>
      <c r="E356" s="132">
        <v>0</v>
      </c>
      <c r="F356" s="132">
        <v>0</v>
      </c>
      <c r="G356" s="132">
        <v>0</v>
      </c>
      <c r="H356" s="132">
        <v>0</v>
      </c>
      <c r="I356" s="132">
        <v>0</v>
      </c>
      <c r="J356" s="132">
        <v>0</v>
      </c>
      <c r="K356" s="132">
        <v>0</v>
      </c>
      <c r="L356" s="132">
        <v>0</v>
      </c>
      <c r="M356" s="132">
        <v>0</v>
      </c>
      <c r="N356" s="132">
        <v>0</v>
      </c>
      <c r="O356" s="132">
        <v>0</v>
      </c>
      <c r="P356" s="132">
        <v>0</v>
      </c>
      <c r="Q356" s="132">
        <v>0</v>
      </c>
      <c r="R356" s="132">
        <v>0</v>
      </c>
      <c r="S356" s="132">
        <v>0</v>
      </c>
      <c r="T356" s="132">
        <v>0</v>
      </c>
      <c r="U356" s="132">
        <v>0</v>
      </c>
      <c r="V356" s="132">
        <v>0</v>
      </c>
      <c r="W356" s="132">
        <v>0</v>
      </c>
      <c r="X356" s="132">
        <v>0</v>
      </c>
      <c r="Y356" s="132">
        <v>0</v>
      </c>
      <c r="Z356" s="128">
        <f t="shared" si="12"/>
        <v>0</v>
      </c>
    </row>
    <row r="357" spans="1:26" x14ac:dyDescent="0.2">
      <c r="A357" s="23" t="s">
        <v>103</v>
      </c>
      <c r="B357">
        <v>9</v>
      </c>
      <c r="C357" s="23" t="s">
        <v>111</v>
      </c>
      <c r="D357">
        <v>910</v>
      </c>
      <c r="E357" s="132">
        <v>0</v>
      </c>
      <c r="F357" s="132">
        <v>0</v>
      </c>
      <c r="G357" s="132">
        <v>0</v>
      </c>
      <c r="H357" s="132">
        <v>0</v>
      </c>
      <c r="I357" s="132">
        <v>0</v>
      </c>
      <c r="J357" s="132">
        <v>0</v>
      </c>
      <c r="K357" s="132">
        <v>0</v>
      </c>
      <c r="L357" s="132">
        <v>0</v>
      </c>
      <c r="M357" s="132">
        <v>0</v>
      </c>
      <c r="N357" s="132">
        <v>0</v>
      </c>
      <c r="O357" s="132">
        <v>0</v>
      </c>
      <c r="P357" s="132">
        <v>0</v>
      </c>
      <c r="Q357" s="132">
        <v>0</v>
      </c>
      <c r="R357" s="132">
        <v>0</v>
      </c>
      <c r="S357" s="132">
        <v>0</v>
      </c>
      <c r="T357" s="132">
        <v>0</v>
      </c>
      <c r="U357" s="132">
        <v>0</v>
      </c>
      <c r="V357" s="132">
        <v>0</v>
      </c>
      <c r="W357" s="132">
        <v>0</v>
      </c>
      <c r="X357" s="132">
        <v>0</v>
      </c>
      <c r="Y357" s="132">
        <v>0</v>
      </c>
      <c r="Z357" s="128">
        <f t="shared" si="12"/>
        <v>0</v>
      </c>
    </row>
    <row r="358" spans="1:26" x14ac:dyDescent="0.2">
      <c r="A358" s="23" t="s">
        <v>103</v>
      </c>
      <c r="B358">
        <v>9</v>
      </c>
      <c r="C358" s="23" t="s">
        <v>111</v>
      </c>
      <c r="D358">
        <v>911</v>
      </c>
      <c r="E358" s="132">
        <v>0</v>
      </c>
      <c r="F358" s="132">
        <v>0</v>
      </c>
      <c r="G358" s="132">
        <v>0</v>
      </c>
      <c r="H358" s="132">
        <v>0</v>
      </c>
      <c r="I358" s="132">
        <v>0</v>
      </c>
      <c r="J358" s="132">
        <v>0</v>
      </c>
      <c r="K358" s="132">
        <v>0</v>
      </c>
      <c r="L358" s="132">
        <v>0</v>
      </c>
      <c r="M358" s="132">
        <v>0</v>
      </c>
      <c r="N358" s="132">
        <v>0</v>
      </c>
      <c r="O358" s="132">
        <v>0</v>
      </c>
      <c r="P358" s="132">
        <v>0</v>
      </c>
      <c r="Q358" s="132">
        <v>0</v>
      </c>
      <c r="R358" s="132">
        <v>0</v>
      </c>
      <c r="S358" s="132">
        <v>0</v>
      </c>
      <c r="T358" s="132">
        <v>0</v>
      </c>
      <c r="U358" s="132">
        <v>0</v>
      </c>
      <c r="V358" s="132">
        <v>0</v>
      </c>
      <c r="W358" s="132">
        <v>0</v>
      </c>
      <c r="X358" s="132">
        <v>0</v>
      </c>
      <c r="Y358" s="132">
        <v>0</v>
      </c>
      <c r="Z358" s="128">
        <f t="shared" si="12"/>
        <v>0</v>
      </c>
    </row>
    <row r="359" spans="1:26" x14ac:dyDescent="0.2">
      <c r="A359" s="23" t="s">
        <v>103</v>
      </c>
      <c r="B359">
        <v>9</v>
      </c>
      <c r="C359" s="23" t="s">
        <v>111</v>
      </c>
      <c r="D359">
        <v>912</v>
      </c>
      <c r="E359" s="132">
        <v>0</v>
      </c>
      <c r="F359" s="132">
        <v>0</v>
      </c>
      <c r="G359" s="132">
        <v>0</v>
      </c>
      <c r="H359" s="132">
        <v>0</v>
      </c>
      <c r="I359" s="132">
        <v>0</v>
      </c>
      <c r="J359" s="132">
        <v>0</v>
      </c>
      <c r="K359" s="132">
        <v>0</v>
      </c>
      <c r="L359" s="132">
        <v>0</v>
      </c>
      <c r="M359" s="132">
        <v>0</v>
      </c>
      <c r="N359" s="132">
        <v>0</v>
      </c>
      <c r="O359" s="132">
        <v>0</v>
      </c>
      <c r="P359" s="132">
        <v>0</v>
      </c>
      <c r="Q359" s="132">
        <v>0</v>
      </c>
      <c r="R359" s="132">
        <v>0</v>
      </c>
      <c r="S359" s="132">
        <v>0</v>
      </c>
      <c r="T359" s="132">
        <v>0</v>
      </c>
      <c r="U359" s="132">
        <v>0</v>
      </c>
      <c r="V359" s="132">
        <v>0</v>
      </c>
      <c r="W359" s="132">
        <v>0</v>
      </c>
      <c r="X359" s="132">
        <v>0</v>
      </c>
      <c r="Y359" s="132">
        <v>0</v>
      </c>
      <c r="Z359" s="128">
        <f t="shared" si="12"/>
        <v>0</v>
      </c>
    </row>
    <row r="360" spans="1:26" x14ac:dyDescent="0.2">
      <c r="A360" s="23" t="s">
        <v>103</v>
      </c>
      <c r="B360">
        <v>9</v>
      </c>
      <c r="C360" s="23" t="s">
        <v>111</v>
      </c>
      <c r="D360">
        <v>913</v>
      </c>
      <c r="E360" s="132">
        <v>0</v>
      </c>
      <c r="F360" s="132">
        <v>0</v>
      </c>
      <c r="G360" s="132">
        <v>0</v>
      </c>
      <c r="H360" s="132">
        <v>0</v>
      </c>
      <c r="I360" s="132">
        <v>0</v>
      </c>
      <c r="J360" s="132">
        <v>0</v>
      </c>
      <c r="K360" s="132">
        <v>0</v>
      </c>
      <c r="L360" s="132">
        <v>0</v>
      </c>
      <c r="M360" s="132">
        <v>0</v>
      </c>
      <c r="N360" s="132">
        <v>0</v>
      </c>
      <c r="O360" s="132">
        <v>0</v>
      </c>
      <c r="P360" s="132">
        <v>0</v>
      </c>
      <c r="Q360" s="132">
        <v>0</v>
      </c>
      <c r="R360" s="132">
        <v>0</v>
      </c>
      <c r="S360" s="132">
        <v>0</v>
      </c>
      <c r="T360" s="132">
        <v>0</v>
      </c>
      <c r="U360" s="132">
        <v>0</v>
      </c>
      <c r="V360" s="132">
        <v>0</v>
      </c>
      <c r="W360" s="132">
        <v>0</v>
      </c>
      <c r="X360" s="132">
        <v>0</v>
      </c>
      <c r="Y360" s="132">
        <v>0</v>
      </c>
      <c r="Z360" s="128">
        <f t="shared" si="12"/>
        <v>0</v>
      </c>
    </row>
    <row r="361" spans="1:26" x14ac:dyDescent="0.2">
      <c r="A361" s="23" t="s">
        <v>103</v>
      </c>
      <c r="B361">
        <v>9</v>
      </c>
      <c r="C361" s="23" t="s">
        <v>111</v>
      </c>
      <c r="D361">
        <v>914</v>
      </c>
      <c r="E361" s="132">
        <v>0</v>
      </c>
      <c r="F361" s="132">
        <v>0</v>
      </c>
      <c r="G361" s="132">
        <v>0</v>
      </c>
      <c r="H361" s="132">
        <v>0</v>
      </c>
      <c r="I361" s="132">
        <v>0</v>
      </c>
      <c r="J361" s="132">
        <v>0</v>
      </c>
      <c r="K361" s="132">
        <v>0</v>
      </c>
      <c r="L361" s="132">
        <v>0</v>
      </c>
      <c r="M361" s="132">
        <v>0</v>
      </c>
      <c r="N361" s="132">
        <v>0</v>
      </c>
      <c r="O361" s="132">
        <v>0</v>
      </c>
      <c r="P361" s="132">
        <v>0</v>
      </c>
      <c r="Q361" s="132">
        <v>0</v>
      </c>
      <c r="R361" s="132">
        <v>0</v>
      </c>
      <c r="S361" s="132">
        <v>0</v>
      </c>
      <c r="T361" s="132">
        <v>0</v>
      </c>
      <c r="U361" s="132">
        <v>0</v>
      </c>
      <c r="V361" s="132">
        <v>0</v>
      </c>
      <c r="W361" s="132">
        <v>0</v>
      </c>
      <c r="X361" s="132">
        <v>0</v>
      </c>
      <c r="Y361" s="132">
        <v>0</v>
      </c>
      <c r="Z361" s="128">
        <f t="shared" si="12"/>
        <v>0</v>
      </c>
    </row>
    <row r="362" spans="1:26" x14ac:dyDescent="0.2">
      <c r="A362" s="23" t="s">
        <v>103</v>
      </c>
      <c r="B362">
        <v>9</v>
      </c>
      <c r="C362" s="23" t="s">
        <v>111</v>
      </c>
      <c r="D362">
        <v>915</v>
      </c>
      <c r="E362" s="132">
        <v>0</v>
      </c>
      <c r="F362" s="132">
        <v>0</v>
      </c>
      <c r="G362" s="132">
        <v>0</v>
      </c>
      <c r="H362" s="132">
        <v>0</v>
      </c>
      <c r="I362" s="132">
        <v>0</v>
      </c>
      <c r="J362" s="132">
        <v>0</v>
      </c>
      <c r="K362" s="132">
        <v>0</v>
      </c>
      <c r="L362" s="132">
        <v>0</v>
      </c>
      <c r="M362" s="132">
        <v>0</v>
      </c>
      <c r="N362" s="132">
        <v>0</v>
      </c>
      <c r="O362" s="132">
        <v>0</v>
      </c>
      <c r="P362" s="132">
        <v>0</v>
      </c>
      <c r="Q362" s="132">
        <v>0</v>
      </c>
      <c r="R362" s="132">
        <v>0</v>
      </c>
      <c r="S362" s="132">
        <v>0</v>
      </c>
      <c r="T362" s="132">
        <v>0</v>
      </c>
      <c r="U362" s="132">
        <v>0</v>
      </c>
      <c r="V362" s="132">
        <v>0</v>
      </c>
      <c r="W362" s="132">
        <v>0</v>
      </c>
      <c r="X362" s="132">
        <v>0</v>
      </c>
      <c r="Y362" s="132">
        <v>0</v>
      </c>
      <c r="Z362" s="128">
        <f t="shared" si="12"/>
        <v>0</v>
      </c>
    </row>
    <row r="363" spans="1:26" x14ac:dyDescent="0.2">
      <c r="A363" s="23" t="s">
        <v>103</v>
      </c>
      <c r="B363">
        <v>9</v>
      </c>
      <c r="C363" s="23" t="s">
        <v>111</v>
      </c>
      <c r="D363">
        <v>916</v>
      </c>
      <c r="E363" s="132">
        <v>0</v>
      </c>
      <c r="F363" s="132">
        <v>0</v>
      </c>
      <c r="G363" s="132">
        <v>0</v>
      </c>
      <c r="H363" s="132">
        <v>0</v>
      </c>
      <c r="I363" s="132">
        <v>0</v>
      </c>
      <c r="J363" s="132">
        <v>0</v>
      </c>
      <c r="K363" s="132">
        <v>0</v>
      </c>
      <c r="L363" s="132">
        <v>0</v>
      </c>
      <c r="M363" s="132">
        <v>0</v>
      </c>
      <c r="N363" s="132">
        <v>0</v>
      </c>
      <c r="O363" s="132">
        <v>0</v>
      </c>
      <c r="P363" s="132">
        <v>0</v>
      </c>
      <c r="Q363" s="132">
        <v>0</v>
      </c>
      <c r="R363" s="132">
        <v>0</v>
      </c>
      <c r="S363" s="132">
        <v>0</v>
      </c>
      <c r="T363" s="132">
        <v>0</v>
      </c>
      <c r="U363" s="132">
        <v>0</v>
      </c>
      <c r="V363" s="132">
        <v>0</v>
      </c>
      <c r="W363" s="132">
        <v>0</v>
      </c>
      <c r="X363" s="132">
        <v>0</v>
      </c>
      <c r="Y363" s="132">
        <v>0</v>
      </c>
      <c r="Z363" s="128">
        <f t="shared" si="12"/>
        <v>0</v>
      </c>
    </row>
    <row r="364" spans="1:26" x14ac:dyDescent="0.2">
      <c r="A364" s="23" t="s">
        <v>103</v>
      </c>
      <c r="B364">
        <v>9</v>
      </c>
      <c r="C364" s="23" t="s">
        <v>111</v>
      </c>
      <c r="D364">
        <v>917</v>
      </c>
      <c r="E364" s="132">
        <v>0</v>
      </c>
      <c r="F364" s="132">
        <v>0</v>
      </c>
      <c r="G364" s="132">
        <v>0</v>
      </c>
      <c r="H364" s="132">
        <v>0</v>
      </c>
      <c r="I364" s="132">
        <v>0</v>
      </c>
      <c r="J364" s="132">
        <v>0</v>
      </c>
      <c r="K364" s="132">
        <v>0</v>
      </c>
      <c r="L364" s="132">
        <v>0</v>
      </c>
      <c r="M364" s="132">
        <v>0</v>
      </c>
      <c r="N364" s="132">
        <v>0</v>
      </c>
      <c r="O364" s="132">
        <v>0</v>
      </c>
      <c r="P364" s="132">
        <v>0</v>
      </c>
      <c r="Q364" s="132">
        <v>0</v>
      </c>
      <c r="R364" s="132">
        <v>0</v>
      </c>
      <c r="S364" s="132">
        <v>0</v>
      </c>
      <c r="T364" s="132">
        <v>0</v>
      </c>
      <c r="U364" s="132">
        <v>0</v>
      </c>
      <c r="V364" s="132">
        <v>0</v>
      </c>
      <c r="W364" s="132">
        <v>0</v>
      </c>
      <c r="X364" s="132">
        <v>0</v>
      </c>
      <c r="Y364" s="132">
        <v>0</v>
      </c>
      <c r="Z364" s="128">
        <f t="shared" si="12"/>
        <v>0</v>
      </c>
    </row>
    <row r="365" spans="1:26" x14ac:dyDescent="0.2">
      <c r="A365" s="23" t="s">
        <v>103</v>
      </c>
      <c r="B365">
        <v>9</v>
      </c>
      <c r="C365" s="23" t="s">
        <v>111</v>
      </c>
      <c r="D365">
        <v>918</v>
      </c>
      <c r="E365" s="132">
        <v>0</v>
      </c>
      <c r="F365" s="132">
        <v>0</v>
      </c>
      <c r="G365" s="132">
        <v>0</v>
      </c>
      <c r="H365" s="132">
        <v>0</v>
      </c>
      <c r="I365" s="132">
        <v>0</v>
      </c>
      <c r="J365" s="132">
        <v>0</v>
      </c>
      <c r="K365" s="132">
        <v>0</v>
      </c>
      <c r="L365" s="132">
        <v>0</v>
      </c>
      <c r="M365" s="132">
        <v>0</v>
      </c>
      <c r="N365" s="132">
        <v>0</v>
      </c>
      <c r="O365" s="132">
        <v>0</v>
      </c>
      <c r="P365" s="132">
        <v>0</v>
      </c>
      <c r="Q365" s="132">
        <v>0</v>
      </c>
      <c r="R365" s="132">
        <v>0</v>
      </c>
      <c r="S365" s="132">
        <v>0</v>
      </c>
      <c r="T365" s="132">
        <v>0</v>
      </c>
      <c r="U365" s="132">
        <v>0</v>
      </c>
      <c r="V365" s="132">
        <v>0</v>
      </c>
      <c r="W365" s="132">
        <v>0</v>
      </c>
      <c r="X365" s="132">
        <v>0</v>
      </c>
      <c r="Y365" s="132">
        <v>0</v>
      </c>
      <c r="Z365" s="128">
        <f t="shared" si="12"/>
        <v>0</v>
      </c>
    </row>
    <row r="366" spans="1:26" x14ac:dyDescent="0.2">
      <c r="A366" s="23" t="s">
        <v>103</v>
      </c>
      <c r="B366">
        <v>9</v>
      </c>
      <c r="C366" s="23" t="s">
        <v>111</v>
      </c>
      <c r="D366">
        <v>919</v>
      </c>
      <c r="E366" s="132">
        <v>0</v>
      </c>
      <c r="F366" s="132">
        <v>0</v>
      </c>
      <c r="G366" s="132">
        <v>0</v>
      </c>
      <c r="H366" s="132">
        <v>0</v>
      </c>
      <c r="I366" s="132">
        <v>0</v>
      </c>
      <c r="J366" s="132">
        <v>0</v>
      </c>
      <c r="K366" s="132">
        <v>0</v>
      </c>
      <c r="L366" s="132">
        <v>0</v>
      </c>
      <c r="M366" s="132">
        <v>0</v>
      </c>
      <c r="N366" s="132">
        <v>0</v>
      </c>
      <c r="O366" s="132">
        <v>0</v>
      </c>
      <c r="P366" s="132">
        <v>0</v>
      </c>
      <c r="Q366" s="132">
        <v>0</v>
      </c>
      <c r="R366" s="132">
        <v>0</v>
      </c>
      <c r="S366" s="132">
        <v>0</v>
      </c>
      <c r="T366" s="132">
        <v>0</v>
      </c>
      <c r="U366" s="132">
        <v>0</v>
      </c>
      <c r="V366" s="132">
        <v>0</v>
      </c>
      <c r="W366" s="132">
        <v>0</v>
      </c>
      <c r="X366" s="132">
        <v>0</v>
      </c>
      <c r="Y366" s="132">
        <v>0</v>
      </c>
      <c r="Z366" s="128">
        <f t="shared" si="12"/>
        <v>0</v>
      </c>
    </row>
    <row r="367" spans="1:26" x14ac:dyDescent="0.2">
      <c r="A367" s="23" t="s">
        <v>103</v>
      </c>
      <c r="B367">
        <v>9</v>
      </c>
      <c r="C367" s="23" t="s">
        <v>111</v>
      </c>
      <c r="D367">
        <v>920</v>
      </c>
      <c r="E367" s="132">
        <v>0</v>
      </c>
      <c r="F367" s="132">
        <v>0</v>
      </c>
      <c r="G367" s="132">
        <v>0</v>
      </c>
      <c r="H367" s="132">
        <v>0</v>
      </c>
      <c r="I367" s="132">
        <v>0</v>
      </c>
      <c r="J367" s="132">
        <v>0</v>
      </c>
      <c r="K367" s="132">
        <v>0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32">
        <v>0</v>
      </c>
      <c r="R367" s="132">
        <v>0</v>
      </c>
      <c r="S367" s="132">
        <v>0</v>
      </c>
      <c r="T367" s="132">
        <v>0</v>
      </c>
      <c r="U367" s="132">
        <v>0</v>
      </c>
      <c r="V367" s="132">
        <v>0</v>
      </c>
      <c r="W367" s="132">
        <v>0</v>
      </c>
      <c r="X367" s="132">
        <v>0</v>
      </c>
      <c r="Y367" s="132">
        <v>0</v>
      </c>
      <c r="Z367" s="128">
        <f t="shared" si="12"/>
        <v>0</v>
      </c>
    </row>
    <row r="368" spans="1:26" x14ac:dyDescent="0.2">
      <c r="A368" s="23" t="s">
        <v>103</v>
      </c>
      <c r="B368">
        <v>9</v>
      </c>
      <c r="C368" s="23" t="s">
        <v>111</v>
      </c>
      <c r="D368">
        <v>921</v>
      </c>
      <c r="E368" s="132">
        <v>0</v>
      </c>
      <c r="F368" s="132">
        <v>0</v>
      </c>
      <c r="G368" s="132">
        <v>0</v>
      </c>
      <c r="H368" s="132">
        <v>0</v>
      </c>
      <c r="I368" s="132">
        <v>0</v>
      </c>
      <c r="J368" s="132">
        <v>0</v>
      </c>
      <c r="K368" s="132">
        <v>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32">
        <v>0</v>
      </c>
      <c r="R368" s="132">
        <v>0</v>
      </c>
      <c r="S368" s="132">
        <v>0</v>
      </c>
      <c r="T368" s="132">
        <v>0</v>
      </c>
      <c r="U368" s="132">
        <v>0</v>
      </c>
      <c r="V368" s="132">
        <v>0</v>
      </c>
      <c r="W368" s="132">
        <v>0</v>
      </c>
      <c r="X368" s="132">
        <v>0</v>
      </c>
      <c r="Y368" s="132">
        <v>0</v>
      </c>
      <c r="Z368" s="128">
        <f t="shared" si="12"/>
        <v>0</v>
      </c>
    </row>
    <row r="369" spans="1:26" x14ac:dyDescent="0.2">
      <c r="A369" s="23"/>
      <c r="C369" s="23"/>
      <c r="E369" s="132"/>
      <c r="F369" s="132">
        <f t="shared" ref="F369:Y369" si="14">AVERAGE(F328:F368)</f>
        <v>0</v>
      </c>
      <c r="G369" s="132">
        <f t="shared" si="14"/>
        <v>0</v>
      </c>
      <c r="H369" s="132">
        <f t="shared" si="14"/>
        <v>0</v>
      </c>
      <c r="I369" s="132">
        <f t="shared" si="14"/>
        <v>0</v>
      </c>
      <c r="J369" s="132">
        <f t="shared" si="14"/>
        <v>0</v>
      </c>
      <c r="K369" s="132">
        <f t="shared" si="14"/>
        <v>0</v>
      </c>
      <c r="L369" s="132">
        <f t="shared" si="14"/>
        <v>0</v>
      </c>
      <c r="M369" s="132">
        <f t="shared" si="14"/>
        <v>0</v>
      </c>
      <c r="N369" s="132">
        <f t="shared" si="14"/>
        <v>0</v>
      </c>
      <c r="O369" s="132">
        <f t="shared" si="14"/>
        <v>0</v>
      </c>
      <c r="P369" s="132">
        <f t="shared" si="14"/>
        <v>0</v>
      </c>
      <c r="Q369" s="132">
        <f t="shared" si="14"/>
        <v>0</v>
      </c>
      <c r="R369" s="132">
        <f t="shared" si="14"/>
        <v>0</v>
      </c>
      <c r="S369" s="132">
        <f t="shared" si="14"/>
        <v>0</v>
      </c>
      <c r="T369" s="132">
        <f t="shared" si="14"/>
        <v>0</v>
      </c>
      <c r="U369" s="132">
        <f t="shared" si="14"/>
        <v>0</v>
      </c>
      <c r="V369" s="132">
        <f t="shared" si="14"/>
        <v>0</v>
      </c>
      <c r="W369" s="132">
        <f t="shared" si="14"/>
        <v>0</v>
      </c>
      <c r="X369" s="132">
        <f t="shared" si="14"/>
        <v>0</v>
      </c>
      <c r="Y369" s="132">
        <f t="shared" si="14"/>
        <v>0</v>
      </c>
      <c r="Z369" s="128">
        <f t="shared" si="12"/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/>
  </sheetPr>
  <dimension ref="A1:Q369"/>
  <sheetViews>
    <sheetView workbookViewId="0"/>
  </sheetViews>
  <sheetFormatPr baseColWidth="10" defaultRowHeight="12.75" x14ac:dyDescent="0.2"/>
  <cols>
    <col min="4" max="4" width="12.28515625" customWidth="1"/>
    <col min="5" max="16" width="5.7109375" style="112" customWidth="1"/>
    <col min="17" max="17" width="11.42578125" style="101" customWidth="1"/>
  </cols>
  <sheetData>
    <row r="1" spans="1:17" ht="242.25" customHeight="1" x14ac:dyDescent="0.2">
      <c r="A1" s="23" t="s">
        <v>91</v>
      </c>
      <c r="B1" s="23" t="s">
        <v>107</v>
      </c>
      <c r="C1" s="23" t="s">
        <v>108</v>
      </c>
      <c r="D1" s="23" t="s">
        <v>109</v>
      </c>
      <c r="E1" s="112" t="s">
        <v>76</v>
      </c>
      <c r="F1" s="112" t="s">
        <v>77</v>
      </c>
      <c r="G1" s="112" t="s">
        <v>113</v>
      </c>
      <c r="H1" s="112" t="s">
        <v>80</v>
      </c>
      <c r="I1" s="112" t="s">
        <v>81</v>
      </c>
      <c r="J1" s="112" t="s">
        <v>82</v>
      </c>
      <c r="K1" s="112" t="s">
        <v>83</v>
      </c>
      <c r="L1" s="112" t="s">
        <v>84</v>
      </c>
      <c r="M1" s="112" t="s">
        <v>106</v>
      </c>
      <c r="N1" s="112" t="s">
        <v>86</v>
      </c>
      <c r="O1" s="112" t="s">
        <v>87</v>
      </c>
      <c r="P1" s="112" t="s">
        <v>88</v>
      </c>
      <c r="Q1" s="113" t="s">
        <v>110</v>
      </c>
    </row>
    <row r="2" spans="1:17" x14ac:dyDescent="0.2">
      <c r="A2" s="23" t="s">
        <v>104</v>
      </c>
      <c r="B2">
        <v>1</v>
      </c>
      <c r="C2" s="23" t="s">
        <v>111</v>
      </c>
      <c r="D2">
        <v>102</v>
      </c>
      <c r="E2" s="132">
        <v>0</v>
      </c>
      <c r="F2" s="132">
        <v>0</v>
      </c>
      <c r="G2" s="132">
        <v>0</v>
      </c>
      <c r="H2" s="132">
        <v>0</v>
      </c>
      <c r="I2" s="132">
        <v>0</v>
      </c>
      <c r="J2" s="132">
        <v>0</v>
      </c>
      <c r="K2" s="132">
        <v>0</v>
      </c>
      <c r="L2" s="132">
        <v>0</v>
      </c>
      <c r="M2" s="132">
        <v>0</v>
      </c>
      <c r="N2" s="132">
        <v>0</v>
      </c>
      <c r="O2" s="132">
        <v>0</v>
      </c>
      <c r="P2" s="132">
        <v>0</v>
      </c>
      <c r="Q2" s="128">
        <f t="shared" ref="Q2:Q65" si="0">AVERAGE(E2:P2)</f>
        <v>0</v>
      </c>
    </row>
    <row r="3" spans="1:17" x14ac:dyDescent="0.2">
      <c r="A3" s="23" t="s">
        <v>104</v>
      </c>
      <c r="B3">
        <v>1</v>
      </c>
      <c r="C3" s="23" t="s">
        <v>111</v>
      </c>
      <c r="D3">
        <v>103</v>
      </c>
      <c r="E3" s="132">
        <v>0</v>
      </c>
      <c r="F3" s="132">
        <v>0</v>
      </c>
      <c r="G3" s="132">
        <v>0</v>
      </c>
      <c r="H3" s="132">
        <v>0</v>
      </c>
      <c r="I3" s="132">
        <v>0</v>
      </c>
      <c r="J3" s="132">
        <v>0</v>
      </c>
      <c r="K3" s="132">
        <v>0</v>
      </c>
      <c r="L3" s="132">
        <v>0</v>
      </c>
      <c r="M3" s="132">
        <v>0</v>
      </c>
      <c r="N3" s="132">
        <v>0</v>
      </c>
      <c r="O3" s="132">
        <v>0</v>
      </c>
      <c r="P3" s="132">
        <v>0</v>
      </c>
      <c r="Q3" s="128">
        <f t="shared" si="0"/>
        <v>0</v>
      </c>
    </row>
    <row r="4" spans="1:17" x14ac:dyDescent="0.2">
      <c r="A4" s="23" t="s">
        <v>104</v>
      </c>
      <c r="B4">
        <v>1</v>
      </c>
      <c r="C4" s="23" t="s">
        <v>111</v>
      </c>
      <c r="D4">
        <v>104</v>
      </c>
      <c r="E4" s="132">
        <v>0</v>
      </c>
      <c r="F4" s="132">
        <v>0</v>
      </c>
      <c r="G4" s="132">
        <v>0</v>
      </c>
      <c r="H4" s="132">
        <v>0</v>
      </c>
      <c r="I4" s="132">
        <v>0</v>
      </c>
      <c r="J4" s="132">
        <v>0</v>
      </c>
      <c r="K4" s="132">
        <v>0</v>
      </c>
      <c r="L4" s="132">
        <v>0</v>
      </c>
      <c r="M4" s="132">
        <v>0</v>
      </c>
      <c r="N4" s="132">
        <v>0</v>
      </c>
      <c r="O4" s="132">
        <v>0</v>
      </c>
      <c r="P4" s="132">
        <v>0</v>
      </c>
      <c r="Q4" s="128">
        <f t="shared" si="0"/>
        <v>0</v>
      </c>
    </row>
    <row r="5" spans="1:17" x14ac:dyDescent="0.2">
      <c r="A5" s="23" t="s">
        <v>104</v>
      </c>
      <c r="B5">
        <v>1</v>
      </c>
      <c r="C5" s="23" t="s">
        <v>111</v>
      </c>
      <c r="D5">
        <v>105</v>
      </c>
      <c r="E5" s="132">
        <v>0</v>
      </c>
      <c r="F5" s="132">
        <v>0</v>
      </c>
      <c r="G5" s="132">
        <v>0</v>
      </c>
      <c r="H5" s="132">
        <v>0</v>
      </c>
      <c r="I5" s="132">
        <v>0</v>
      </c>
      <c r="J5" s="132">
        <v>0</v>
      </c>
      <c r="K5" s="132">
        <v>0</v>
      </c>
      <c r="L5" s="132">
        <v>0</v>
      </c>
      <c r="M5" s="132">
        <v>0</v>
      </c>
      <c r="N5" s="132">
        <v>0</v>
      </c>
      <c r="O5" s="132">
        <v>0</v>
      </c>
      <c r="P5" s="132">
        <v>0</v>
      </c>
      <c r="Q5" s="128">
        <f t="shared" si="0"/>
        <v>0</v>
      </c>
    </row>
    <row r="6" spans="1:17" x14ac:dyDescent="0.2">
      <c r="A6" s="23" t="s">
        <v>104</v>
      </c>
      <c r="B6">
        <v>1</v>
      </c>
      <c r="C6" s="23" t="s">
        <v>111</v>
      </c>
      <c r="D6">
        <v>106</v>
      </c>
      <c r="E6" s="132">
        <v>0</v>
      </c>
      <c r="F6" s="132">
        <v>0</v>
      </c>
      <c r="G6" s="132">
        <v>0</v>
      </c>
      <c r="H6" s="132">
        <v>0</v>
      </c>
      <c r="I6" s="132">
        <v>0</v>
      </c>
      <c r="J6" s="132">
        <v>0</v>
      </c>
      <c r="K6" s="132">
        <v>0</v>
      </c>
      <c r="L6" s="132">
        <v>0</v>
      </c>
      <c r="M6" s="132">
        <v>0</v>
      </c>
      <c r="N6" s="132">
        <v>0</v>
      </c>
      <c r="O6" s="132">
        <v>0</v>
      </c>
      <c r="P6" s="132">
        <v>0</v>
      </c>
      <c r="Q6" s="128">
        <f t="shared" si="0"/>
        <v>0</v>
      </c>
    </row>
    <row r="7" spans="1:17" x14ac:dyDescent="0.2">
      <c r="A7" s="23" t="s">
        <v>104</v>
      </c>
      <c r="B7">
        <v>1</v>
      </c>
      <c r="C7" s="23" t="s">
        <v>111</v>
      </c>
      <c r="D7">
        <v>107</v>
      </c>
      <c r="E7" s="132">
        <v>0</v>
      </c>
      <c r="F7" s="132">
        <v>0</v>
      </c>
      <c r="G7" s="132">
        <v>0</v>
      </c>
      <c r="H7" s="132">
        <v>0</v>
      </c>
      <c r="I7" s="132">
        <v>0</v>
      </c>
      <c r="J7" s="132">
        <v>0</v>
      </c>
      <c r="K7" s="132">
        <v>0</v>
      </c>
      <c r="L7" s="132">
        <v>0</v>
      </c>
      <c r="M7" s="132">
        <v>0</v>
      </c>
      <c r="N7" s="132">
        <v>0</v>
      </c>
      <c r="O7" s="132">
        <v>0</v>
      </c>
      <c r="P7" s="132">
        <v>0</v>
      </c>
      <c r="Q7" s="128">
        <f t="shared" si="0"/>
        <v>0</v>
      </c>
    </row>
    <row r="8" spans="1:17" x14ac:dyDescent="0.2">
      <c r="A8" s="23" t="s">
        <v>104</v>
      </c>
      <c r="B8">
        <v>1</v>
      </c>
      <c r="C8" s="23" t="s">
        <v>111</v>
      </c>
      <c r="D8">
        <v>108</v>
      </c>
      <c r="E8" s="132">
        <v>0</v>
      </c>
      <c r="F8" s="132">
        <v>0</v>
      </c>
      <c r="G8" s="132">
        <v>0</v>
      </c>
      <c r="H8" s="132">
        <v>0</v>
      </c>
      <c r="I8" s="132">
        <v>0</v>
      </c>
      <c r="J8" s="132">
        <v>0</v>
      </c>
      <c r="K8" s="132">
        <v>0</v>
      </c>
      <c r="L8" s="132">
        <v>0</v>
      </c>
      <c r="M8" s="132">
        <v>0</v>
      </c>
      <c r="N8" s="132">
        <v>0</v>
      </c>
      <c r="O8" s="132">
        <v>0</v>
      </c>
      <c r="P8" s="132">
        <v>0</v>
      </c>
      <c r="Q8" s="128">
        <f t="shared" si="0"/>
        <v>0</v>
      </c>
    </row>
    <row r="9" spans="1:17" x14ac:dyDescent="0.2">
      <c r="A9" s="23" t="s">
        <v>104</v>
      </c>
      <c r="B9">
        <v>1</v>
      </c>
      <c r="C9" s="23" t="s">
        <v>111</v>
      </c>
      <c r="D9">
        <v>118</v>
      </c>
      <c r="E9" s="132">
        <v>0</v>
      </c>
      <c r="F9" s="132">
        <v>0</v>
      </c>
      <c r="G9" s="132">
        <v>0</v>
      </c>
      <c r="H9" s="132">
        <v>0</v>
      </c>
      <c r="I9" s="132">
        <v>0</v>
      </c>
      <c r="J9" s="132">
        <v>0</v>
      </c>
      <c r="K9" s="132">
        <v>0</v>
      </c>
      <c r="L9" s="132">
        <v>0</v>
      </c>
      <c r="M9" s="132">
        <v>0</v>
      </c>
      <c r="N9" s="132">
        <v>0</v>
      </c>
      <c r="O9" s="132">
        <v>0</v>
      </c>
      <c r="P9" s="132">
        <v>0</v>
      </c>
      <c r="Q9" s="128">
        <f t="shared" si="0"/>
        <v>0</v>
      </c>
    </row>
    <row r="10" spans="1:17" x14ac:dyDescent="0.2">
      <c r="A10" s="23" t="s">
        <v>104</v>
      </c>
      <c r="B10">
        <v>1</v>
      </c>
      <c r="C10" s="23" t="s">
        <v>111</v>
      </c>
      <c r="D10">
        <v>119</v>
      </c>
      <c r="E10" s="132">
        <v>0</v>
      </c>
      <c r="F10" s="132">
        <v>0</v>
      </c>
      <c r="G10" s="132">
        <v>0</v>
      </c>
      <c r="H10" s="132">
        <v>0</v>
      </c>
      <c r="I10" s="132">
        <v>0</v>
      </c>
      <c r="J10" s="132">
        <v>0</v>
      </c>
      <c r="K10" s="132">
        <v>0</v>
      </c>
      <c r="L10" s="132">
        <v>0</v>
      </c>
      <c r="M10" s="132">
        <v>0</v>
      </c>
      <c r="N10" s="132">
        <v>0</v>
      </c>
      <c r="O10" s="132">
        <v>0</v>
      </c>
      <c r="P10" s="132">
        <v>0</v>
      </c>
      <c r="Q10" s="128">
        <f t="shared" si="0"/>
        <v>0</v>
      </c>
    </row>
    <row r="11" spans="1:17" x14ac:dyDescent="0.2">
      <c r="A11" s="23" t="s">
        <v>104</v>
      </c>
      <c r="B11">
        <v>1</v>
      </c>
      <c r="C11" s="23" t="s">
        <v>111</v>
      </c>
      <c r="D11">
        <v>120</v>
      </c>
      <c r="E11" s="132">
        <v>0</v>
      </c>
      <c r="F11" s="132">
        <v>0</v>
      </c>
      <c r="G11" s="132">
        <v>0</v>
      </c>
      <c r="H11" s="132">
        <v>0</v>
      </c>
      <c r="I11" s="132">
        <v>0</v>
      </c>
      <c r="J11" s="132">
        <v>0</v>
      </c>
      <c r="K11" s="132">
        <v>0</v>
      </c>
      <c r="L11" s="132">
        <v>0</v>
      </c>
      <c r="M11" s="132">
        <v>0</v>
      </c>
      <c r="N11" s="132">
        <v>0</v>
      </c>
      <c r="O11" s="132">
        <v>0</v>
      </c>
      <c r="P11" s="132">
        <v>0</v>
      </c>
      <c r="Q11" s="128">
        <f t="shared" si="0"/>
        <v>0</v>
      </c>
    </row>
    <row r="12" spans="1:17" x14ac:dyDescent="0.2">
      <c r="A12" s="23" t="s">
        <v>104</v>
      </c>
      <c r="B12">
        <v>1</v>
      </c>
      <c r="C12" s="23" t="s">
        <v>111</v>
      </c>
      <c r="D12">
        <v>121</v>
      </c>
      <c r="E12" s="132">
        <v>0</v>
      </c>
      <c r="F12" s="132">
        <v>0</v>
      </c>
      <c r="G12" s="132">
        <v>0</v>
      </c>
      <c r="H12" s="132">
        <v>0</v>
      </c>
      <c r="I12" s="132">
        <v>0</v>
      </c>
      <c r="J12" s="132">
        <v>0</v>
      </c>
      <c r="K12" s="132">
        <v>0</v>
      </c>
      <c r="L12" s="132">
        <v>0</v>
      </c>
      <c r="M12" s="132">
        <v>0</v>
      </c>
      <c r="N12" s="132">
        <v>0</v>
      </c>
      <c r="O12" s="132">
        <v>0</v>
      </c>
      <c r="P12" s="132">
        <v>0</v>
      </c>
      <c r="Q12" s="128">
        <f t="shared" si="0"/>
        <v>0</v>
      </c>
    </row>
    <row r="13" spans="1:17" x14ac:dyDescent="0.2">
      <c r="A13" s="23"/>
      <c r="C13" s="23"/>
      <c r="D13" s="23"/>
      <c r="E13" s="132"/>
      <c r="F13" s="132">
        <f t="shared" ref="F13:P13" si="1">AVERAGE(F2:F12)</f>
        <v>0</v>
      </c>
      <c r="G13" s="132">
        <f t="shared" si="1"/>
        <v>0</v>
      </c>
      <c r="H13" s="132">
        <f t="shared" si="1"/>
        <v>0</v>
      </c>
      <c r="I13" s="132">
        <f t="shared" si="1"/>
        <v>0</v>
      </c>
      <c r="J13" s="132">
        <f t="shared" si="1"/>
        <v>0</v>
      </c>
      <c r="K13" s="132">
        <f t="shared" si="1"/>
        <v>0</v>
      </c>
      <c r="L13" s="132">
        <f t="shared" si="1"/>
        <v>0</v>
      </c>
      <c r="M13" s="132">
        <f t="shared" si="1"/>
        <v>0</v>
      </c>
      <c r="N13" s="132">
        <f t="shared" si="1"/>
        <v>0</v>
      </c>
      <c r="O13" s="132">
        <f t="shared" si="1"/>
        <v>0</v>
      </c>
      <c r="P13" s="132">
        <f t="shared" si="1"/>
        <v>0</v>
      </c>
      <c r="Q13" s="128">
        <f t="shared" si="0"/>
        <v>0</v>
      </c>
    </row>
    <row r="14" spans="1:17" x14ac:dyDescent="0.2">
      <c r="A14" s="23" t="s">
        <v>104</v>
      </c>
      <c r="B14">
        <v>2</v>
      </c>
      <c r="C14" s="23" t="s">
        <v>112</v>
      </c>
      <c r="D14">
        <v>202</v>
      </c>
      <c r="E14" s="132">
        <v>0</v>
      </c>
      <c r="F14" s="132">
        <v>0</v>
      </c>
      <c r="G14" s="132">
        <v>0</v>
      </c>
      <c r="H14" s="132">
        <v>0</v>
      </c>
      <c r="I14" s="132">
        <v>0</v>
      </c>
      <c r="J14" s="132">
        <v>0</v>
      </c>
      <c r="K14" s="132">
        <v>0</v>
      </c>
      <c r="L14" s="132">
        <v>0</v>
      </c>
      <c r="M14" s="132">
        <v>0</v>
      </c>
      <c r="N14" s="132">
        <v>0</v>
      </c>
      <c r="O14" s="132">
        <v>0</v>
      </c>
      <c r="P14" s="132">
        <v>0</v>
      </c>
      <c r="Q14" s="128">
        <f t="shared" si="0"/>
        <v>0</v>
      </c>
    </row>
    <row r="15" spans="1:17" x14ac:dyDescent="0.2">
      <c r="A15" s="23" t="s">
        <v>104</v>
      </c>
      <c r="B15">
        <v>2</v>
      </c>
      <c r="C15" s="23" t="s">
        <v>112</v>
      </c>
      <c r="D15">
        <v>203</v>
      </c>
      <c r="E15" s="132">
        <v>0</v>
      </c>
      <c r="F15" s="132">
        <v>0</v>
      </c>
      <c r="G15" s="132">
        <v>0</v>
      </c>
      <c r="H15" s="132">
        <v>0</v>
      </c>
      <c r="I15" s="132">
        <v>0</v>
      </c>
      <c r="J15" s="132">
        <v>0</v>
      </c>
      <c r="K15" s="132">
        <v>0</v>
      </c>
      <c r="L15" s="132">
        <v>0</v>
      </c>
      <c r="M15" s="132">
        <v>0</v>
      </c>
      <c r="N15" s="132">
        <v>0</v>
      </c>
      <c r="O15" s="132">
        <v>0</v>
      </c>
      <c r="P15" s="132">
        <v>0</v>
      </c>
      <c r="Q15" s="128">
        <f t="shared" si="0"/>
        <v>0</v>
      </c>
    </row>
    <row r="16" spans="1:17" x14ac:dyDescent="0.2">
      <c r="A16" s="23" t="s">
        <v>104</v>
      </c>
      <c r="B16">
        <v>2</v>
      </c>
      <c r="C16" s="23" t="s">
        <v>112</v>
      </c>
      <c r="D16">
        <v>204</v>
      </c>
      <c r="E16" s="132">
        <v>0</v>
      </c>
      <c r="F16" s="132">
        <v>0</v>
      </c>
      <c r="G16" s="132">
        <v>0</v>
      </c>
      <c r="H16" s="132">
        <v>0</v>
      </c>
      <c r="I16" s="132">
        <v>0</v>
      </c>
      <c r="J16" s="132">
        <v>0</v>
      </c>
      <c r="K16" s="132">
        <v>0</v>
      </c>
      <c r="L16" s="132">
        <v>0</v>
      </c>
      <c r="M16" s="132">
        <v>0</v>
      </c>
      <c r="N16" s="132">
        <v>0</v>
      </c>
      <c r="O16" s="132">
        <v>0</v>
      </c>
      <c r="P16" s="132">
        <v>0</v>
      </c>
      <c r="Q16" s="128">
        <f t="shared" si="0"/>
        <v>0</v>
      </c>
    </row>
    <row r="17" spans="1:17" x14ac:dyDescent="0.2">
      <c r="A17" s="23" t="s">
        <v>104</v>
      </c>
      <c r="B17">
        <v>2</v>
      </c>
      <c r="C17" s="23" t="s">
        <v>112</v>
      </c>
      <c r="D17">
        <v>205</v>
      </c>
      <c r="E17" s="132">
        <v>0</v>
      </c>
      <c r="F17" s="132">
        <v>0</v>
      </c>
      <c r="G17" s="132">
        <v>0</v>
      </c>
      <c r="H17" s="132">
        <v>0</v>
      </c>
      <c r="I17" s="132">
        <v>0</v>
      </c>
      <c r="J17" s="132">
        <v>0</v>
      </c>
      <c r="K17" s="132">
        <v>0</v>
      </c>
      <c r="L17" s="132">
        <v>0</v>
      </c>
      <c r="M17" s="132">
        <v>0</v>
      </c>
      <c r="N17" s="132">
        <v>0</v>
      </c>
      <c r="O17" s="132">
        <v>0</v>
      </c>
      <c r="P17" s="132">
        <v>0</v>
      </c>
      <c r="Q17" s="128">
        <f t="shared" si="0"/>
        <v>0</v>
      </c>
    </row>
    <row r="18" spans="1:17" x14ac:dyDescent="0.2">
      <c r="A18" s="23" t="s">
        <v>104</v>
      </c>
      <c r="B18">
        <v>2</v>
      </c>
      <c r="C18" s="23" t="s">
        <v>112</v>
      </c>
      <c r="D18">
        <v>206</v>
      </c>
      <c r="E18" s="132">
        <v>0</v>
      </c>
      <c r="F18" s="132">
        <v>0</v>
      </c>
      <c r="G18" s="132">
        <v>0</v>
      </c>
      <c r="H18" s="132">
        <v>0</v>
      </c>
      <c r="I18" s="132">
        <v>0</v>
      </c>
      <c r="J18" s="132">
        <v>0</v>
      </c>
      <c r="K18" s="132">
        <v>0</v>
      </c>
      <c r="L18" s="132">
        <v>0</v>
      </c>
      <c r="M18" s="132">
        <v>0</v>
      </c>
      <c r="N18" s="132">
        <v>0</v>
      </c>
      <c r="O18" s="132">
        <v>0</v>
      </c>
      <c r="P18" s="132">
        <v>0</v>
      </c>
      <c r="Q18" s="128">
        <f t="shared" si="0"/>
        <v>0</v>
      </c>
    </row>
    <row r="19" spans="1:17" x14ac:dyDescent="0.2">
      <c r="A19" s="23" t="s">
        <v>104</v>
      </c>
      <c r="B19">
        <v>2</v>
      </c>
      <c r="C19" s="23" t="s">
        <v>112</v>
      </c>
      <c r="D19">
        <v>207</v>
      </c>
      <c r="E19" s="132">
        <v>0</v>
      </c>
      <c r="F19" s="132">
        <v>0</v>
      </c>
      <c r="G19" s="132">
        <v>0</v>
      </c>
      <c r="H19" s="132">
        <v>0</v>
      </c>
      <c r="I19" s="132">
        <v>0</v>
      </c>
      <c r="J19" s="132">
        <v>0</v>
      </c>
      <c r="K19" s="132">
        <v>0</v>
      </c>
      <c r="L19" s="132">
        <v>0</v>
      </c>
      <c r="M19" s="132">
        <v>0</v>
      </c>
      <c r="N19" s="132">
        <v>0</v>
      </c>
      <c r="O19" s="132">
        <v>0</v>
      </c>
      <c r="P19" s="132">
        <v>0</v>
      </c>
      <c r="Q19" s="128">
        <f t="shared" si="0"/>
        <v>0</v>
      </c>
    </row>
    <row r="20" spans="1:17" x14ac:dyDescent="0.2">
      <c r="A20" s="23" t="s">
        <v>104</v>
      </c>
      <c r="B20">
        <v>2</v>
      </c>
      <c r="C20" s="23" t="s">
        <v>112</v>
      </c>
      <c r="D20">
        <v>208</v>
      </c>
      <c r="E20" s="132">
        <v>0</v>
      </c>
      <c r="F20" s="132">
        <v>0</v>
      </c>
      <c r="G20" s="132">
        <v>0</v>
      </c>
      <c r="H20" s="132">
        <v>0</v>
      </c>
      <c r="I20" s="132">
        <v>0</v>
      </c>
      <c r="J20" s="132">
        <v>0</v>
      </c>
      <c r="K20" s="132">
        <v>0</v>
      </c>
      <c r="L20" s="132">
        <v>0</v>
      </c>
      <c r="M20" s="132">
        <v>0</v>
      </c>
      <c r="N20" s="132">
        <v>0</v>
      </c>
      <c r="O20" s="132">
        <v>0</v>
      </c>
      <c r="P20" s="132">
        <v>0</v>
      </c>
      <c r="Q20" s="128">
        <f t="shared" si="0"/>
        <v>0</v>
      </c>
    </row>
    <row r="21" spans="1:17" x14ac:dyDescent="0.2">
      <c r="A21" s="23" t="s">
        <v>104</v>
      </c>
      <c r="B21">
        <v>2</v>
      </c>
      <c r="C21" s="23" t="s">
        <v>112</v>
      </c>
      <c r="D21">
        <v>209</v>
      </c>
      <c r="E21" s="132">
        <v>0</v>
      </c>
      <c r="F21" s="132">
        <v>0</v>
      </c>
      <c r="G21" s="132">
        <v>0</v>
      </c>
      <c r="H21" s="132">
        <v>0</v>
      </c>
      <c r="I21" s="132">
        <v>0</v>
      </c>
      <c r="J21" s="132">
        <v>0</v>
      </c>
      <c r="K21" s="132">
        <v>0</v>
      </c>
      <c r="L21" s="132">
        <v>0</v>
      </c>
      <c r="M21" s="132">
        <v>0</v>
      </c>
      <c r="N21" s="132">
        <v>0</v>
      </c>
      <c r="O21" s="132">
        <v>0</v>
      </c>
      <c r="P21" s="132">
        <v>0</v>
      </c>
      <c r="Q21" s="128">
        <f t="shared" si="0"/>
        <v>0</v>
      </c>
    </row>
    <row r="22" spans="1:17" x14ac:dyDescent="0.2">
      <c r="A22" s="23" t="s">
        <v>104</v>
      </c>
      <c r="B22">
        <v>2</v>
      </c>
      <c r="C22" s="23" t="s">
        <v>112</v>
      </c>
      <c r="D22">
        <v>210</v>
      </c>
      <c r="E22" s="132">
        <v>0</v>
      </c>
      <c r="F22" s="132">
        <v>0</v>
      </c>
      <c r="G22" s="132">
        <v>0</v>
      </c>
      <c r="H22" s="132">
        <v>0</v>
      </c>
      <c r="I22" s="132">
        <v>0</v>
      </c>
      <c r="J22" s="132">
        <v>0</v>
      </c>
      <c r="K22" s="132">
        <v>0</v>
      </c>
      <c r="L22" s="132">
        <v>0</v>
      </c>
      <c r="M22" s="132">
        <v>0</v>
      </c>
      <c r="N22" s="132">
        <v>0</v>
      </c>
      <c r="O22" s="132">
        <v>0</v>
      </c>
      <c r="P22" s="132">
        <v>0</v>
      </c>
      <c r="Q22" s="128">
        <f t="shared" si="0"/>
        <v>0</v>
      </c>
    </row>
    <row r="23" spans="1:17" x14ac:dyDescent="0.2">
      <c r="A23" s="23" t="s">
        <v>104</v>
      </c>
      <c r="B23">
        <v>2</v>
      </c>
      <c r="C23" s="23" t="s">
        <v>112</v>
      </c>
      <c r="D23">
        <v>211</v>
      </c>
      <c r="E23" s="132">
        <v>0</v>
      </c>
      <c r="F23" s="132">
        <v>0</v>
      </c>
      <c r="G23" s="132">
        <v>0</v>
      </c>
      <c r="H23" s="132">
        <v>0</v>
      </c>
      <c r="I23" s="132">
        <v>0</v>
      </c>
      <c r="J23" s="132">
        <v>0</v>
      </c>
      <c r="K23" s="132">
        <v>0</v>
      </c>
      <c r="L23" s="132">
        <v>0</v>
      </c>
      <c r="M23" s="132">
        <v>0</v>
      </c>
      <c r="N23" s="132">
        <v>0</v>
      </c>
      <c r="O23" s="132">
        <v>0</v>
      </c>
      <c r="P23" s="132">
        <v>0</v>
      </c>
      <c r="Q23" s="128">
        <f t="shared" si="0"/>
        <v>0</v>
      </c>
    </row>
    <row r="24" spans="1:17" x14ac:dyDescent="0.2">
      <c r="A24" s="23" t="s">
        <v>104</v>
      </c>
      <c r="B24">
        <v>2</v>
      </c>
      <c r="C24" s="23" t="s">
        <v>112</v>
      </c>
      <c r="D24">
        <v>212</v>
      </c>
      <c r="E24" s="132">
        <v>0</v>
      </c>
      <c r="F24" s="132">
        <v>0</v>
      </c>
      <c r="G24" s="132">
        <v>0</v>
      </c>
      <c r="H24" s="132">
        <v>0</v>
      </c>
      <c r="I24" s="132">
        <v>0</v>
      </c>
      <c r="J24" s="132">
        <v>0</v>
      </c>
      <c r="K24" s="132">
        <v>0</v>
      </c>
      <c r="L24" s="132">
        <v>0</v>
      </c>
      <c r="M24" s="132">
        <v>0</v>
      </c>
      <c r="N24" s="132">
        <v>0</v>
      </c>
      <c r="O24" s="132">
        <v>0</v>
      </c>
      <c r="P24" s="132">
        <v>0</v>
      </c>
      <c r="Q24" s="128">
        <f t="shared" si="0"/>
        <v>0</v>
      </c>
    </row>
    <row r="25" spans="1:17" x14ac:dyDescent="0.2">
      <c r="A25" s="23" t="s">
        <v>104</v>
      </c>
      <c r="B25">
        <v>2</v>
      </c>
      <c r="C25" s="23" t="s">
        <v>112</v>
      </c>
      <c r="D25">
        <v>213</v>
      </c>
      <c r="E25" s="132">
        <v>0</v>
      </c>
      <c r="F25" s="132">
        <v>0</v>
      </c>
      <c r="G25" s="132">
        <v>0</v>
      </c>
      <c r="H25" s="132">
        <v>0</v>
      </c>
      <c r="I25" s="132">
        <v>0</v>
      </c>
      <c r="J25" s="132">
        <v>0</v>
      </c>
      <c r="K25" s="132">
        <v>0</v>
      </c>
      <c r="L25" s="132">
        <v>0</v>
      </c>
      <c r="M25" s="132">
        <v>0</v>
      </c>
      <c r="N25" s="132">
        <v>0</v>
      </c>
      <c r="O25" s="132">
        <v>0</v>
      </c>
      <c r="P25" s="132">
        <v>0</v>
      </c>
      <c r="Q25" s="128">
        <f t="shared" si="0"/>
        <v>0</v>
      </c>
    </row>
    <row r="26" spans="1:17" x14ac:dyDescent="0.2">
      <c r="A26" s="23" t="s">
        <v>104</v>
      </c>
      <c r="B26">
        <v>2</v>
      </c>
      <c r="C26" s="23" t="s">
        <v>112</v>
      </c>
      <c r="D26">
        <v>214</v>
      </c>
      <c r="E26" s="132">
        <v>0</v>
      </c>
      <c r="F26" s="132">
        <v>0</v>
      </c>
      <c r="G26" s="132">
        <v>0</v>
      </c>
      <c r="H26" s="132">
        <v>0</v>
      </c>
      <c r="I26" s="132">
        <v>0</v>
      </c>
      <c r="J26" s="132">
        <v>0</v>
      </c>
      <c r="K26" s="132">
        <v>0</v>
      </c>
      <c r="L26" s="132">
        <v>0</v>
      </c>
      <c r="M26" s="132">
        <v>0</v>
      </c>
      <c r="N26" s="132">
        <v>0</v>
      </c>
      <c r="O26" s="132">
        <v>0</v>
      </c>
      <c r="P26" s="132">
        <v>0</v>
      </c>
      <c r="Q26" s="128">
        <f t="shared" si="0"/>
        <v>0</v>
      </c>
    </row>
    <row r="27" spans="1:17" x14ac:dyDescent="0.2">
      <c r="A27" s="23" t="s">
        <v>104</v>
      </c>
      <c r="B27">
        <v>2</v>
      </c>
      <c r="C27" s="23" t="s">
        <v>112</v>
      </c>
      <c r="D27">
        <v>215</v>
      </c>
      <c r="E27" s="132">
        <v>0</v>
      </c>
      <c r="F27" s="132">
        <v>0</v>
      </c>
      <c r="G27" s="132">
        <v>0</v>
      </c>
      <c r="H27" s="132">
        <v>0</v>
      </c>
      <c r="I27" s="132">
        <v>0</v>
      </c>
      <c r="J27" s="132">
        <v>0</v>
      </c>
      <c r="K27" s="132">
        <v>0</v>
      </c>
      <c r="L27" s="132">
        <v>0</v>
      </c>
      <c r="M27" s="132">
        <v>0</v>
      </c>
      <c r="N27" s="132">
        <v>0</v>
      </c>
      <c r="O27" s="132">
        <v>0</v>
      </c>
      <c r="P27" s="132">
        <v>0</v>
      </c>
      <c r="Q27" s="128">
        <f t="shared" si="0"/>
        <v>0</v>
      </c>
    </row>
    <row r="28" spans="1:17" x14ac:dyDescent="0.2">
      <c r="A28" s="23" t="s">
        <v>104</v>
      </c>
      <c r="B28">
        <v>2</v>
      </c>
      <c r="C28" s="23" t="s">
        <v>112</v>
      </c>
      <c r="D28">
        <v>216</v>
      </c>
      <c r="E28" s="132">
        <v>0</v>
      </c>
      <c r="F28" s="132">
        <v>0</v>
      </c>
      <c r="G28" s="132">
        <v>0</v>
      </c>
      <c r="H28" s="132">
        <v>0</v>
      </c>
      <c r="I28" s="132">
        <v>0</v>
      </c>
      <c r="J28" s="132">
        <v>0</v>
      </c>
      <c r="K28" s="132">
        <v>0</v>
      </c>
      <c r="L28" s="132">
        <v>0</v>
      </c>
      <c r="M28" s="132">
        <v>0</v>
      </c>
      <c r="N28" s="132">
        <v>0</v>
      </c>
      <c r="O28" s="132">
        <v>0</v>
      </c>
      <c r="P28" s="132">
        <v>0</v>
      </c>
      <c r="Q28" s="128">
        <f t="shared" si="0"/>
        <v>0</v>
      </c>
    </row>
    <row r="29" spans="1:17" x14ac:dyDescent="0.2">
      <c r="A29" s="23" t="s">
        <v>104</v>
      </c>
      <c r="B29">
        <v>2</v>
      </c>
      <c r="C29" s="23" t="s">
        <v>112</v>
      </c>
      <c r="D29">
        <v>217</v>
      </c>
      <c r="E29" s="132">
        <v>0</v>
      </c>
      <c r="F29" s="132">
        <v>0</v>
      </c>
      <c r="G29" s="132">
        <v>0</v>
      </c>
      <c r="H29" s="132">
        <v>0</v>
      </c>
      <c r="I29" s="132">
        <v>0</v>
      </c>
      <c r="J29" s="132">
        <v>0</v>
      </c>
      <c r="K29" s="132">
        <v>0</v>
      </c>
      <c r="L29" s="132">
        <v>0</v>
      </c>
      <c r="M29" s="132">
        <v>0</v>
      </c>
      <c r="N29" s="132">
        <v>0</v>
      </c>
      <c r="O29" s="132">
        <v>0</v>
      </c>
      <c r="P29" s="132">
        <v>0</v>
      </c>
      <c r="Q29" s="128">
        <f t="shared" si="0"/>
        <v>0</v>
      </c>
    </row>
    <row r="30" spans="1:17" x14ac:dyDescent="0.2">
      <c r="A30" s="23" t="s">
        <v>104</v>
      </c>
      <c r="B30">
        <v>2</v>
      </c>
      <c r="C30" s="23" t="s">
        <v>112</v>
      </c>
      <c r="D30">
        <v>218</v>
      </c>
      <c r="E30" s="132">
        <v>0</v>
      </c>
      <c r="F30" s="132">
        <v>0</v>
      </c>
      <c r="G30" s="132">
        <v>0</v>
      </c>
      <c r="H30" s="132">
        <v>0</v>
      </c>
      <c r="I30" s="132">
        <v>0</v>
      </c>
      <c r="J30" s="132">
        <v>0</v>
      </c>
      <c r="K30" s="132">
        <v>0</v>
      </c>
      <c r="L30" s="132">
        <v>0</v>
      </c>
      <c r="M30" s="132">
        <v>0</v>
      </c>
      <c r="N30" s="132">
        <v>0</v>
      </c>
      <c r="O30" s="132">
        <v>0</v>
      </c>
      <c r="P30" s="132">
        <v>0</v>
      </c>
      <c r="Q30" s="128">
        <f t="shared" si="0"/>
        <v>0</v>
      </c>
    </row>
    <row r="31" spans="1:17" x14ac:dyDescent="0.2">
      <c r="A31" s="23" t="s">
        <v>104</v>
      </c>
      <c r="B31">
        <v>2</v>
      </c>
      <c r="C31" s="23" t="s">
        <v>112</v>
      </c>
      <c r="D31">
        <v>219</v>
      </c>
      <c r="E31" s="132">
        <v>0</v>
      </c>
      <c r="F31" s="132">
        <v>0</v>
      </c>
      <c r="G31" s="132">
        <v>0</v>
      </c>
      <c r="H31" s="132">
        <v>0</v>
      </c>
      <c r="I31" s="132">
        <v>0</v>
      </c>
      <c r="J31" s="132">
        <v>0</v>
      </c>
      <c r="K31" s="132">
        <v>0</v>
      </c>
      <c r="L31" s="132">
        <v>0</v>
      </c>
      <c r="M31" s="132">
        <v>0</v>
      </c>
      <c r="N31" s="132">
        <v>0</v>
      </c>
      <c r="O31" s="132">
        <v>0</v>
      </c>
      <c r="P31" s="132">
        <v>0</v>
      </c>
      <c r="Q31" s="128">
        <f t="shared" si="0"/>
        <v>0</v>
      </c>
    </row>
    <row r="32" spans="1:17" x14ac:dyDescent="0.2">
      <c r="A32" s="23" t="s">
        <v>104</v>
      </c>
      <c r="B32">
        <v>2</v>
      </c>
      <c r="C32" s="23" t="s">
        <v>112</v>
      </c>
      <c r="D32">
        <v>220</v>
      </c>
      <c r="E32" s="132">
        <v>0</v>
      </c>
      <c r="F32" s="132">
        <v>0</v>
      </c>
      <c r="G32" s="132">
        <v>0</v>
      </c>
      <c r="H32" s="132">
        <v>0</v>
      </c>
      <c r="I32" s="132">
        <v>0</v>
      </c>
      <c r="J32" s="132">
        <v>0</v>
      </c>
      <c r="K32" s="132">
        <v>0</v>
      </c>
      <c r="L32" s="132">
        <v>0</v>
      </c>
      <c r="M32" s="132">
        <v>0</v>
      </c>
      <c r="N32" s="132">
        <v>0</v>
      </c>
      <c r="O32" s="132">
        <v>0</v>
      </c>
      <c r="P32" s="132">
        <v>0</v>
      </c>
      <c r="Q32" s="128">
        <f t="shared" si="0"/>
        <v>0</v>
      </c>
    </row>
    <row r="33" spans="1:17" x14ac:dyDescent="0.2">
      <c r="A33" s="23" t="s">
        <v>104</v>
      </c>
      <c r="B33">
        <v>2</v>
      </c>
      <c r="C33" s="23" t="s">
        <v>112</v>
      </c>
      <c r="D33">
        <v>221</v>
      </c>
      <c r="E33" s="132">
        <v>0</v>
      </c>
      <c r="F33" s="132">
        <v>0</v>
      </c>
      <c r="G33" s="132">
        <v>0</v>
      </c>
      <c r="H33" s="132">
        <v>0</v>
      </c>
      <c r="I33" s="132">
        <v>0</v>
      </c>
      <c r="J33" s="132">
        <v>0</v>
      </c>
      <c r="K33" s="132">
        <v>0</v>
      </c>
      <c r="L33" s="132">
        <v>0</v>
      </c>
      <c r="M33" s="132">
        <v>0</v>
      </c>
      <c r="N33" s="132">
        <v>0</v>
      </c>
      <c r="O33" s="132">
        <v>0</v>
      </c>
      <c r="P33" s="132">
        <v>0</v>
      </c>
      <c r="Q33" s="128">
        <f t="shared" si="0"/>
        <v>0</v>
      </c>
    </row>
    <row r="34" spans="1:17" x14ac:dyDescent="0.2">
      <c r="A34" s="23" t="s">
        <v>104</v>
      </c>
      <c r="B34">
        <v>2</v>
      </c>
      <c r="C34" s="23" t="s">
        <v>112</v>
      </c>
      <c r="D34">
        <v>222</v>
      </c>
      <c r="E34" s="132">
        <v>0</v>
      </c>
      <c r="F34" s="132">
        <v>0</v>
      </c>
      <c r="G34" s="132">
        <v>0</v>
      </c>
      <c r="H34" s="132">
        <v>0</v>
      </c>
      <c r="I34" s="132">
        <v>0</v>
      </c>
      <c r="J34" s="132">
        <v>0</v>
      </c>
      <c r="K34" s="132">
        <v>0</v>
      </c>
      <c r="L34" s="132">
        <v>0</v>
      </c>
      <c r="M34" s="132">
        <v>0</v>
      </c>
      <c r="N34" s="132">
        <v>0</v>
      </c>
      <c r="O34" s="132">
        <v>0</v>
      </c>
      <c r="P34" s="132">
        <v>0</v>
      </c>
      <c r="Q34" s="128">
        <f t="shared" si="0"/>
        <v>0</v>
      </c>
    </row>
    <row r="35" spans="1:17" x14ac:dyDescent="0.2">
      <c r="A35" s="23" t="s">
        <v>104</v>
      </c>
      <c r="B35">
        <v>2</v>
      </c>
      <c r="C35" s="23" t="s">
        <v>112</v>
      </c>
      <c r="D35">
        <v>223</v>
      </c>
      <c r="E35" s="132">
        <v>0</v>
      </c>
      <c r="F35" s="132">
        <v>0</v>
      </c>
      <c r="G35" s="132">
        <v>0</v>
      </c>
      <c r="H35" s="132">
        <v>0</v>
      </c>
      <c r="I35" s="132">
        <v>0</v>
      </c>
      <c r="J35" s="132">
        <v>0</v>
      </c>
      <c r="K35" s="132">
        <v>0</v>
      </c>
      <c r="L35" s="132">
        <v>0</v>
      </c>
      <c r="M35" s="132">
        <v>0</v>
      </c>
      <c r="N35" s="132">
        <v>0</v>
      </c>
      <c r="O35" s="132">
        <v>0</v>
      </c>
      <c r="P35" s="132">
        <v>0</v>
      </c>
      <c r="Q35" s="128">
        <f t="shared" si="0"/>
        <v>0</v>
      </c>
    </row>
    <row r="36" spans="1:17" x14ac:dyDescent="0.2">
      <c r="A36" s="23" t="s">
        <v>104</v>
      </c>
      <c r="B36">
        <v>2</v>
      </c>
      <c r="C36" s="23" t="s">
        <v>111</v>
      </c>
      <c r="D36">
        <v>201</v>
      </c>
      <c r="E36" s="132">
        <v>0</v>
      </c>
      <c r="F36" s="132">
        <v>0</v>
      </c>
      <c r="G36" s="132">
        <v>0</v>
      </c>
      <c r="H36" s="132">
        <v>0</v>
      </c>
      <c r="I36" s="132">
        <v>0</v>
      </c>
      <c r="J36" s="132">
        <v>0</v>
      </c>
      <c r="K36" s="132">
        <v>0</v>
      </c>
      <c r="L36" s="132">
        <v>0</v>
      </c>
      <c r="M36" s="132">
        <v>0</v>
      </c>
      <c r="N36" s="132">
        <v>0</v>
      </c>
      <c r="O36" s="132">
        <v>0</v>
      </c>
      <c r="P36" s="132">
        <v>0</v>
      </c>
      <c r="Q36" s="128">
        <f t="shared" si="0"/>
        <v>0</v>
      </c>
    </row>
    <row r="37" spans="1:17" x14ac:dyDescent="0.2">
      <c r="A37" s="23" t="s">
        <v>104</v>
      </c>
      <c r="B37">
        <v>2</v>
      </c>
      <c r="C37" s="23" t="s">
        <v>111</v>
      </c>
      <c r="D37">
        <v>202</v>
      </c>
      <c r="E37" s="132">
        <v>0</v>
      </c>
      <c r="F37" s="132">
        <v>0</v>
      </c>
      <c r="G37" s="132">
        <v>0</v>
      </c>
      <c r="H37" s="132">
        <v>0</v>
      </c>
      <c r="I37" s="132">
        <v>0</v>
      </c>
      <c r="J37" s="132">
        <v>0</v>
      </c>
      <c r="K37" s="132">
        <v>0</v>
      </c>
      <c r="L37" s="132">
        <v>0</v>
      </c>
      <c r="M37" s="132">
        <v>0</v>
      </c>
      <c r="N37" s="132">
        <v>0</v>
      </c>
      <c r="O37" s="132">
        <v>0</v>
      </c>
      <c r="P37" s="132">
        <v>0</v>
      </c>
      <c r="Q37" s="128">
        <f t="shared" si="0"/>
        <v>0</v>
      </c>
    </row>
    <row r="38" spans="1:17" x14ac:dyDescent="0.2">
      <c r="A38" s="23" t="s">
        <v>104</v>
      </c>
      <c r="B38">
        <v>2</v>
      </c>
      <c r="C38" s="23" t="s">
        <v>111</v>
      </c>
      <c r="D38">
        <v>203</v>
      </c>
      <c r="E38" s="132">
        <v>0</v>
      </c>
      <c r="F38" s="132">
        <v>0</v>
      </c>
      <c r="G38" s="132">
        <v>0</v>
      </c>
      <c r="H38" s="132">
        <v>0</v>
      </c>
      <c r="I38" s="132">
        <v>0</v>
      </c>
      <c r="J38" s="132">
        <v>0</v>
      </c>
      <c r="K38" s="132">
        <v>0</v>
      </c>
      <c r="L38" s="132">
        <v>0</v>
      </c>
      <c r="M38" s="132">
        <v>0</v>
      </c>
      <c r="N38" s="132">
        <v>0</v>
      </c>
      <c r="O38" s="132">
        <v>0</v>
      </c>
      <c r="P38" s="132">
        <v>0</v>
      </c>
      <c r="Q38" s="128">
        <f t="shared" si="0"/>
        <v>0</v>
      </c>
    </row>
    <row r="39" spans="1:17" x14ac:dyDescent="0.2">
      <c r="A39" s="23" t="s">
        <v>104</v>
      </c>
      <c r="B39">
        <v>2</v>
      </c>
      <c r="C39" s="23" t="s">
        <v>111</v>
      </c>
      <c r="D39">
        <v>204</v>
      </c>
      <c r="E39" s="132">
        <v>0</v>
      </c>
      <c r="F39" s="132">
        <v>0</v>
      </c>
      <c r="G39" s="132">
        <v>0</v>
      </c>
      <c r="H39" s="132">
        <v>0</v>
      </c>
      <c r="I39" s="132">
        <v>0</v>
      </c>
      <c r="J39" s="132">
        <v>0</v>
      </c>
      <c r="K39" s="132">
        <v>0</v>
      </c>
      <c r="L39" s="132">
        <v>0</v>
      </c>
      <c r="M39" s="132">
        <v>0</v>
      </c>
      <c r="N39" s="132">
        <v>0</v>
      </c>
      <c r="O39" s="132">
        <v>0</v>
      </c>
      <c r="P39" s="132">
        <v>0</v>
      </c>
      <c r="Q39" s="128">
        <f t="shared" si="0"/>
        <v>0</v>
      </c>
    </row>
    <row r="40" spans="1:17" x14ac:dyDescent="0.2">
      <c r="A40" s="23" t="s">
        <v>104</v>
      </c>
      <c r="B40">
        <v>2</v>
      </c>
      <c r="C40" s="23" t="s">
        <v>111</v>
      </c>
      <c r="D40">
        <v>205</v>
      </c>
      <c r="E40" s="132">
        <v>0</v>
      </c>
      <c r="F40" s="132">
        <v>0</v>
      </c>
      <c r="G40" s="132">
        <v>0</v>
      </c>
      <c r="H40" s="132">
        <v>0</v>
      </c>
      <c r="I40" s="132">
        <v>0</v>
      </c>
      <c r="J40" s="132">
        <v>0</v>
      </c>
      <c r="K40" s="132">
        <v>0</v>
      </c>
      <c r="L40" s="132">
        <v>0</v>
      </c>
      <c r="M40" s="132">
        <v>0</v>
      </c>
      <c r="N40" s="132">
        <v>0</v>
      </c>
      <c r="O40" s="132">
        <v>0</v>
      </c>
      <c r="P40" s="132">
        <v>0</v>
      </c>
      <c r="Q40" s="128">
        <f t="shared" si="0"/>
        <v>0</v>
      </c>
    </row>
    <row r="41" spans="1:17" x14ac:dyDescent="0.2">
      <c r="A41" s="23" t="s">
        <v>104</v>
      </c>
      <c r="B41">
        <v>2</v>
      </c>
      <c r="C41" s="23" t="s">
        <v>111</v>
      </c>
      <c r="D41">
        <v>206</v>
      </c>
      <c r="E41" s="132">
        <v>0</v>
      </c>
      <c r="F41" s="132">
        <v>0</v>
      </c>
      <c r="G41" s="132">
        <v>0</v>
      </c>
      <c r="H41" s="132">
        <v>0</v>
      </c>
      <c r="I41" s="132">
        <v>0</v>
      </c>
      <c r="J41" s="132">
        <v>0</v>
      </c>
      <c r="K41" s="132">
        <v>0</v>
      </c>
      <c r="L41" s="132">
        <v>0</v>
      </c>
      <c r="M41" s="132">
        <v>0</v>
      </c>
      <c r="N41" s="132">
        <v>0</v>
      </c>
      <c r="O41" s="132">
        <v>0</v>
      </c>
      <c r="P41" s="132">
        <v>0</v>
      </c>
      <c r="Q41" s="128">
        <f t="shared" si="0"/>
        <v>0</v>
      </c>
    </row>
    <row r="42" spans="1:17" x14ac:dyDescent="0.2">
      <c r="A42" s="23" t="s">
        <v>104</v>
      </c>
      <c r="B42">
        <v>2</v>
      </c>
      <c r="C42" s="23" t="s">
        <v>111</v>
      </c>
      <c r="D42">
        <v>207</v>
      </c>
      <c r="E42" s="132">
        <v>0</v>
      </c>
      <c r="F42" s="132">
        <v>0</v>
      </c>
      <c r="G42" s="132">
        <v>0</v>
      </c>
      <c r="H42" s="132">
        <v>0</v>
      </c>
      <c r="I42" s="132">
        <v>0</v>
      </c>
      <c r="J42" s="132">
        <v>0</v>
      </c>
      <c r="K42" s="132">
        <v>0</v>
      </c>
      <c r="L42" s="132">
        <v>0</v>
      </c>
      <c r="M42" s="132">
        <v>0</v>
      </c>
      <c r="N42" s="132">
        <v>0</v>
      </c>
      <c r="O42" s="132">
        <v>0</v>
      </c>
      <c r="P42" s="132">
        <v>0</v>
      </c>
      <c r="Q42" s="128">
        <f t="shared" si="0"/>
        <v>0</v>
      </c>
    </row>
    <row r="43" spans="1:17" x14ac:dyDescent="0.2">
      <c r="A43" s="23" t="s">
        <v>104</v>
      </c>
      <c r="B43">
        <v>2</v>
      </c>
      <c r="C43" s="23" t="s">
        <v>111</v>
      </c>
      <c r="D43">
        <v>208</v>
      </c>
      <c r="E43" s="132">
        <v>0</v>
      </c>
      <c r="F43" s="132">
        <v>0</v>
      </c>
      <c r="G43" s="132">
        <v>0</v>
      </c>
      <c r="H43" s="132">
        <v>0</v>
      </c>
      <c r="I43" s="132">
        <v>0</v>
      </c>
      <c r="J43" s="132">
        <v>0</v>
      </c>
      <c r="K43" s="132">
        <v>0</v>
      </c>
      <c r="L43" s="132">
        <v>0</v>
      </c>
      <c r="M43" s="132">
        <v>0</v>
      </c>
      <c r="N43" s="132">
        <v>0</v>
      </c>
      <c r="O43" s="132">
        <v>0</v>
      </c>
      <c r="P43" s="132">
        <v>0</v>
      </c>
      <c r="Q43" s="128">
        <f t="shared" si="0"/>
        <v>0</v>
      </c>
    </row>
    <row r="44" spans="1:17" x14ac:dyDescent="0.2">
      <c r="A44" s="23" t="s">
        <v>104</v>
      </c>
      <c r="B44">
        <v>2</v>
      </c>
      <c r="C44" s="23" t="s">
        <v>111</v>
      </c>
      <c r="D44">
        <v>209</v>
      </c>
      <c r="E44" s="132">
        <v>0</v>
      </c>
      <c r="F44" s="132">
        <v>0</v>
      </c>
      <c r="G44" s="132">
        <v>0</v>
      </c>
      <c r="H44" s="132">
        <v>0</v>
      </c>
      <c r="I44" s="132">
        <v>0</v>
      </c>
      <c r="J44" s="132">
        <v>0</v>
      </c>
      <c r="K44" s="132">
        <v>0</v>
      </c>
      <c r="L44" s="132">
        <v>0</v>
      </c>
      <c r="M44" s="132">
        <v>0</v>
      </c>
      <c r="N44" s="132">
        <v>0</v>
      </c>
      <c r="O44" s="132">
        <v>0</v>
      </c>
      <c r="P44" s="132">
        <v>0</v>
      </c>
      <c r="Q44" s="128">
        <f t="shared" si="0"/>
        <v>0</v>
      </c>
    </row>
    <row r="45" spans="1:17" x14ac:dyDescent="0.2">
      <c r="A45" s="23" t="s">
        <v>104</v>
      </c>
      <c r="B45">
        <v>2</v>
      </c>
      <c r="C45" s="23" t="s">
        <v>111</v>
      </c>
      <c r="D45">
        <v>210</v>
      </c>
      <c r="E45" s="132">
        <v>0</v>
      </c>
      <c r="F45" s="132">
        <v>0</v>
      </c>
      <c r="G45" s="132">
        <v>0</v>
      </c>
      <c r="H45" s="132">
        <v>0</v>
      </c>
      <c r="I45" s="132">
        <v>0</v>
      </c>
      <c r="J45" s="132">
        <v>0</v>
      </c>
      <c r="K45" s="132">
        <v>0</v>
      </c>
      <c r="L45" s="132">
        <v>0</v>
      </c>
      <c r="M45" s="132">
        <v>0</v>
      </c>
      <c r="N45" s="132">
        <v>0</v>
      </c>
      <c r="O45" s="132">
        <v>0</v>
      </c>
      <c r="P45" s="132">
        <v>0</v>
      </c>
      <c r="Q45" s="128">
        <f t="shared" si="0"/>
        <v>0</v>
      </c>
    </row>
    <row r="46" spans="1:17" x14ac:dyDescent="0.2">
      <c r="A46" s="23" t="s">
        <v>104</v>
      </c>
      <c r="B46">
        <v>2</v>
      </c>
      <c r="C46" s="23" t="s">
        <v>111</v>
      </c>
      <c r="D46">
        <v>211</v>
      </c>
      <c r="E46" s="132">
        <v>0</v>
      </c>
      <c r="F46" s="132">
        <v>0</v>
      </c>
      <c r="G46" s="132">
        <v>0</v>
      </c>
      <c r="H46" s="132">
        <v>0</v>
      </c>
      <c r="I46" s="132">
        <v>0</v>
      </c>
      <c r="J46" s="132">
        <v>0</v>
      </c>
      <c r="K46" s="132">
        <v>0</v>
      </c>
      <c r="L46" s="132">
        <v>0</v>
      </c>
      <c r="M46" s="132">
        <v>0</v>
      </c>
      <c r="N46" s="132">
        <v>0</v>
      </c>
      <c r="O46" s="132">
        <v>0</v>
      </c>
      <c r="P46" s="132">
        <v>0</v>
      </c>
      <c r="Q46" s="128">
        <f t="shared" si="0"/>
        <v>0</v>
      </c>
    </row>
    <row r="47" spans="1:17" x14ac:dyDescent="0.2">
      <c r="A47" s="23" t="s">
        <v>104</v>
      </c>
      <c r="B47">
        <v>2</v>
      </c>
      <c r="C47" s="23" t="s">
        <v>111</v>
      </c>
      <c r="D47">
        <v>212</v>
      </c>
      <c r="E47" s="132">
        <v>0</v>
      </c>
      <c r="F47" s="132">
        <v>0</v>
      </c>
      <c r="G47" s="132">
        <v>0</v>
      </c>
      <c r="H47" s="132">
        <v>0</v>
      </c>
      <c r="I47" s="132">
        <v>0</v>
      </c>
      <c r="J47" s="132">
        <v>0</v>
      </c>
      <c r="K47" s="132">
        <v>0</v>
      </c>
      <c r="L47" s="132">
        <v>0</v>
      </c>
      <c r="M47" s="132">
        <v>0</v>
      </c>
      <c r="N47" s="132">
        <v>0</v>
      </c>
      <c r="O47" s="132">
        <v>0</v>
      </c>
      <c r="P47" s="132">
        <v>0</v>
      </c>
      <c r="Q47" s="128">
        <f t="shared" si="0"/>
        <v>0</v>
      </c>
    </row>
    <row r="48" spans="1:17" x14ac:dyDescent="0.2">
      <c r="A48" s="23" t="s">
        <v>104</v>
      </c>
      <c r="B48">
        <v>2</v>
      </c>
      <c r="C48" s="23" t="s">
        <v>111</v>
      </c>
      <c r="D48">
        <v>213</v>
      </c>
      <c r="E48" s="132">
        <v>0</v>
      </c>
      <c r="F48" s="132">
        <v>0</v>
      </c>
      <c r="G48" s="132">
        <v>0</v>
      </c>
      <c r="H48" s="132">
        <v>0</v>
      </c>
      <c r="I48" s="132">
        <v>0</v>
      </c>
      <c r="J48" s="132">
        <v>0</v>
      </c>
      <c r="K48" s="132">
        <v>0</v>
      </c>
      <c r="L48" s="132">
        <v>0</v>
      </c>
      <c r="M48" s="132">
        <v>0</v>
      </c>
      <c r="N48" s="132">
        <v>0</v>
      </c>
      <c r="O48" s="132">
        <v>0</v>
      </c>
      <c r="P48" s="132">
        <v>0</v>
      </c>
      <c r="Q48" s="128">
        <f t="shared" si="0"/>
        <v>0</v>
      </c>
    </row>
    <row r="49" spans="1:17" x14ac:dyDescent="0.2">
      <c r="A49" s="23" t="s">
        <v>104</v>
      </c>
      <c r="B49">
        <v>2</v>
      </c>
      <c r="C49" s="23" t="s">
        <v>111</v>
      </c>
      <c r="D49">
        <v>214</v>
      </c>
      <c r="E49" s="132">
        <v>0</v>
      </c>
      <c r="F49" s="132">
        <v>0</v>
      </c>
      <c r="G49" s="132">
        <v>0</v>
      </c>
      <c r="H49" s="132">
        <v>0</v>
      </c>
      <c r="I49" s="132">
        <v>0</v>
      </c>
      <c r="J49" s="132">
        <v>0</v>
      </c>
      <c r="K49" s="132">
        <v>0</v>
      </c>
      <c r="L49" s="132">
        <v>0</v>
      </c>
      <c r="M49" s="132">
        <v>0</v>
      </c>
      <c r="N49" s="132">
        <v>0</v>
      </c>
      <c r="O49" s="132">
        <v>0</v>
      </c>
      <c r="P49" s="132">
        <v>0</v>
      </c>
      <c r="Q49" s="128">
        <f t="shared" si="0"/>
        <v>0</v>
      </c>
    </row>
    <row r="50" spans="1:17" x14ac:dyDescent="0.2">
      <c r="A50" s="23" t="s">
        <v>104</v>
      </c>
      <c r="B50">
        <v>2</v>
      </c>
      <c r="C50" s="23" t="s">
        <v>111</v>
      </c>
      <c r="D50">
        <v>215</v>
      </c>
      <c r="E50" s="132">
        <v>0</v>
      </c>
      <c r="F50" s="132">
        <v>0</v>
      </c>
      <c r="G50" s="132">
        <v>0</v>
      </c>
      <c r="H50" s="132">
        <v>0</v>
      </c>
      <c r="I50" s="132">
        <v>0</v>
      </c>
      <c r="J50" s="132">
        <v>0</v>
      </c>
      <c r="K50" s="132">
        <v>0</v>
      </c>
      <c r="L50" s="132">
        <v>0</v>
      </c>
      <c r="M50" s="132">
        <v>0</v>
      </c>
      <c r="N50" s="132">
        <v>0</v>
      </c>
      <c r="O50" s="132">
        <v>0</v>
      </c>
      <c r="P50" s="132">
        <v>0</v>
      </c>
      <c r="Q50" s="128">
        <f t="shared" si="0"/>
        <v>0</v>
      </c>
    </row>
    <row r="51" spans="1:17" x14ac:dyDescent="0.2">
      <c r="A51" s="23" t="s">
        <v>104</v>
      </c>
      <c r="B51">
        <v>2</v>
      </c>
      <c r="C51" s="23" t="s">
        <v>111</v>
      </c>
      <c r="D51">
        <v>216</v>
      </c>
      <c r="E51" s="132">
        <v>0</v>
      </c>
      <c r="F51" s="132">
        <v>0</v>
      </c>
      <c r="G51" s="132">
        <v>0</v>
      </c>
      <c r="H51" s="132">
        <v>0</v>
      </c>
      <c r="I51" s="132">
        <v>0</v>
      </c>
      <c r="J51" s="132">
        <v>0</v>
      </c>
      <c r="K51" s="132">
        <v>0</v>
      </c>
      <c r="L51" s="132">
        <v>0</v>
      </c>
      <c r="M51" s="132">
        <v>0</v>
      </c>
      <c r="N51" s="132">
        <v>0</v>
      </c>
      <c r="O51" s="132">
        <v>0</v>
      </c>
      <c r="P51" s="132">
        <v>0</v>
      </c>
      <c r="Q51" s="128">
        <f t="shared" si="0"/>
        <v>0</v>
      </c>
    </row>
    <row r="52" spans="1:17" x14ac:dyDescent="0.2">
      <c r="A52" s="23" t="s">
        <v>104</v>
      </c>
      <c r="B52">
        <v>2</v>
      </c>
      <c r="C52" s="23" t="s">
        <v>111</v>
      </c>
      <c r="D52">
        <v>217</v>
      </c>
      <c r="E52" s="132">
        <v>0</v>
      </c>
      <c r="F52" s="132">
        <v>0</v>
      </c>
      <c r="G52" s="132">
        <v>0</v>
      </c>
      <c r="H52" s="132">
        <v>0</v>
      </c>
      <c r="I52" s="132">
        <v>0</v>
      </c>
      <c r="J52" s="132">
        <v>0</v>
      </c>
      <c r="K52" s="132">
        <v>0</v>
      </c>
      <c r="L52" s="132">
        <v>0</v>
      </c>
      <c r="M52" s="132">
        <v>0</v>
      </c>
      <c r="N52" s="132">
        <v>0</v>
      </c>
      <c r="O52" s="132">
        <v>0</v>
      </c>
      <c r="P52" s="132">
        <v>0</v>
      </c>
      <c r="Q52" s="128">
        <f t="shared" si="0"/>
        <v>0</v>
      </c>
    </row>
    <row r="53" spans="1:17" x14ac:dyDescent="0.2">
      <c r="A53" s="23" t="s">
        <v>104</v>
      </c>
      <c r="B53">
        <v>2</v>
      </c>
      <c r="C53" s="23" t="s">
        <v>111</v>
      </c>
      <c r="D53">
        <v>218</v>
      </c>
      <c r="E53" s="132">
        <v>0</v>
      </c>
      <c r="F53" s="132">
        <v>0</v>
      </c>
      <c r="G53" s="132">
        <v>0</v>
      </c>
      <c r="H53" s="132">
        <v>0</v>
      </c>
      <c r="I53" s="132">
        <v>0</v>
      </c>
      <c r="J53" s="132">
        <v>0</v>
      </c>
      <c r="K53" s="132">
        <v>0</v>
      </c>
      <c r="L53" s="132">
        <v>0</v>
      </c>
      <c r="M53" s="132">
        <v>0</v>
      </c>
      <c r="N53" s="132">
        <v>0</v>
      </c>
      <c r="O53" s="132">
        <v>0</v>
      </c>
      <c r="P53" s="132">
        <v>0</v>
      </c>
      <c r="Q53" s="128">
        <f t="shared" si="0"/>
        <v>0</v>
      </c>
    </row>
    <row r="54" spans="1:17" x14ac:dyDescent="0.2">
      <c r="A54" s="23" t="s">
        <v>104</v>
      </c>
      <c r="B54">
        <v>2</v>
      </c>
      <c r="C54" s="23" t="s">
        <v>111</v>
      </c>
      <c r="D54">
        <v>219</v>
      </c>
      <c r="E54" s="132">
        <v>0</v>
      </c>
      <c r="F54" s="132">
        <v>0</v>
      </c>
      <c r="G54" s="132">
        <v>0</v>
      </c>
      <c r="H54" s="132">
        <v>0</v>
      </c>
      <c r="I54" s="132">
        <v>0</v>
      </c>
      <c r="J54" s="132">
        <v>0</v>
      </c>
      <c r="K54" s="132">
        <v>0</v>
      </c>
      <c r="L54" s="132">
        <v>0</v>
      </c>
      <c r="M54" s="132">
        <v>0</v>
      </c>
      <c r="N54" s="132">
        <v>0</v>
      </c>
      <c r="O54" s="132">
        <v>0</v>
      </c>
      <c r="P54" s="132">
        <v>0</v>
      </c>
      <c r="Q54" s="128">
        <f t="shared" si="0"/>
        <v>0</v>
      </c>
    </row>
    <row r="55" spans="1:17" x14ac:dyDescent="0.2">
      <c r="A55" s="23" t="s">
        <v>104</v>
      </c>
      <c r="B55">
        <v>2</v>
      </c>
      <c r="C55" s="23" t="s">
        <v>111</v>
      </c>
      <c r="D55">
        <v>220</v>
      </c>
      <c r="E55" s="132">
        <v>0</v>
      </c>
      <c r="F55" s="132">
        <v>0</v>
      </c>
      <c r="G55" s="132">
        <v>0</v>
      </c>
      <c r="H55" s="132">
        <v>0</v>
      </c>
      <c r="I55" s="132">
        <v>0</v>
      </c>
      <c r="J55" s="132">
        <v>0</v>
      </c>
      <c r="K55" s="132">
        <v>0</v>
      </c>
      <c r="L55" s="132">
        <v>0</v>
      </c>
      <c r="M55" s="132">
        <v>0</v>
      </c>
      <c r="N55" s="132">
        <v>0</v>
      </c>
      <c r="O55" s="132">
        <v>0</v>
      </c>
      <c r="P55" s="132">
        <v>0</v>
      </c>
      <c r="Q55" s="128">
        <f t="shared" si="0"/>
        <v>0</v>
      </c>
    </row>
    <row r="56" spans="1:17" x14ac:dyDescent="0.2">
      <c r="A56" s="23" t="s">
        <v>104</v>
      </c>
      <c r="B56">
        <v>2</v>
      </c>
      <c r="C56" s="23" t="s">
        <v>111</v>
      </c>
      <c r="D56">
        <v>221</v>
      </c>
      <c r="E56" s="132">
        <v>0</v>
      </c>
      <c r="F56" s="132">
        <v>0</v>
      </c>
      <c r="G56" s="132">
        <v>0</v>
      </c>
      <c r="H56" s="132">
        <v>0</v>
      </c>
      <c r="I56" s="132">
        <v>0</v>
      </c>
      <c r="J56" s="132">
        <v>0</v>
      </c>
      <c r="K56" s="132">
        <v>0</v>
      </c>
      <c r="L56" s="132">
        <v>0</v>
      </c>
      <c r="M56" s="132">
        <v>0</v>
      </c>
      <c r="N56" s="132">
        <v>0</v>
      </c>
      <c r="O56" s="132">
        <v>0</v>
      </c>
      <c r="P56" s="132">
        <v>0</v>
      </c>
      <c r="Q56" s="128">
        <f t="shared" si="0"/>
        <v>0</v>
      </c>
    </row>
    <row r="57" spans="1:17" x14ac:dyDescent="0.2">
      <c r="A57" s="23"/>
      <c r="C57" s="23"/>
      <c r="D57" s="23"/>
      <c r="E57" s="132"/>
      <c r="F57" s="132">
        <f t="shared" ref="F57:P57" si="2">AVERAGE(F14:F56)</f>
        <v>0</v>
      </c>
      <c r="G57" s="132">
        <f t="shared" si="2"/>
        <v>0</v>
      </c>
      <c r="H57" s="132">
        <f t="shared" si="2"/>
        <v>0</v>
      </c>
      <c r="I57" s="132">
        <f t="shared" si="2"/>
        <v>0</v>
      </c>
      <c r="J57" s="132">
        <f t="shared" si="2"/>
        <v>0</v>
      </c>
      <c r="K57" s="132">
        <f t="shared" si="2"/>
        <v>0</v>
      </c>
      <c r="L57" s="132">
        <f t="shared" si="2"/>
        <v>0</v>
      </c>
      <c r="M57" s="132">
        <f t="shared" si="2"/>
        <v>0</v>
      </c>
      <c r="N57" s="132">
        <f t="shared" si="2"/>
        <v>0</v>
      </c>
      <c r="O57" s="132">
        <f t="shared" si="2"/>
        <v>0</v>
      </c>
      <c r="P57" s="132">
        <f t="shared" si="2"/>
        <v>0</v>
      </c>
      <c r="Q57" s="128">
        <f t="shared" si="0"/>
        <v>0</v>
      </c>
    </row>
    <row r="58" spans="1:17" x14ac:dyDescent="0.2">
      <c r="A58" s="23" t="s">
        <v>104</v>
      </c>
      <c r="B58">
        <v>3</v>
      </c>
      <c r="C58" s="23" t="s">
        <v>112</v>
      </c>
      <c r="D58">
        <v>301</v>
      </c>
      <c r="E58" s="132">
        <v>0</v>
      </c>
      <c r="F58" s="132">
        <v>0</v>
      </c>
      <c r="G58" s="132">
        <v>0</v>
      </c>
      <c r="H58" s="132">
        <v>0</v>
      </c>
      <c r="I58" s="132">
        <v>0</v>
      </c>
      <c r="J58" s="132">
        <v>0</v>
      </c>
      <c r="K58" s="132">
        <v>0</v>
      </c>
      <c r="L58" s="132">
        <v>0</v>
      </c>
      <c r="M58" s="132">
        <v>0</v>
      </c>
      <c r="N58" s="132">
        <v>0</v>
      </c>
      <c r="O58" s="132">
        <v>0</v>
      </c>
      <c r="P58" s="132">
        <v>0</v>
      </c>
      <c r="Q58" s="128">
        <f t="shared" si="0"/>
        <v>0</v>
      </c>
    </row>
    <row r="59" spans="1:17" x14ac:dyDescent="0.2">
      <c r="A59" s="23" t="s">
        <v>104</v>
      </c>
      <c r="B59">
        <v>3</v>
      </c>
      <c r="C59" s="23" t="s">
        <v>112</v>
      </c>
      <c r="D59">
        <v>302</v>
      </c>
      <c r="E59" s="132">
        <v>0</v>
      </c>
      <c r="F59" s="132">
        <v>0</v>
      </c>
      <c r="G59" s="132">
        <v>0</v>
      </c>
      <c r="H59" s="132">
        <v>0</v>
      </c>
      <c r="I59" s="132">
        <v>0</v>
      </c>
      <c r="J59" s="132">
        <v>0</v>
      </c>
      <c r="K59" s="132">
        <v>0</v>
      </c>
      <c r="L59" s="132">
        <v>0</v>
      </c>
      <c r="M59" s="132">
        <v>0</v>
      </c>
      <c r="N59" s="132">
        <v>0</v>
      </c>
      <c r="O59" s="132">
        <v>0</v>
      </c>
      <c r="P59" s="132">
        <v>0</v>
      </c>
      <c r="Q59" s="128">
        <f t="shared" si="0"/>
        <v>0</v>
      </c>
    </row>
    <row r="60" spans="1:17" x14ac:dyDescent="0.2">
      <c r="A60" s="23" t="s">
        <v>104</v>
      </c>
      <c r="B60">
        <v>3</v>
      </c>
      <c r="C60" s="23" t="s">
        <v>112</v>
      </c>
      <c r="D60">
        <v>303</v>
      </c>
      <c r="E60" s="132">
        <v>0</v>
      </c>
      <c r="F60" s="132">
        <v>0</v>
      </c>
      <c r="G60" s="132">
        <v>0</v>
      </c>
      <c r="H60" s="132">
        <v>0</v>
      </c>
      <c r="I60" s="132">
        <v>0</v>
      </c>
      <c r="J60" s="132">
        <v>0</v>
      </c>
      <c r="K60" s="132">
        <v>0</v>
      </c>
      <c r="L60" s="132">
        <v>0</v>
      </c>
      <c r="M60" s="132">
        <v>0</v>
      </c>
      <c r="N60" s="132">
        <v>0</v>
      </c>
      <c r="O60" s="132">
        <v>0</v>
      </c>
      <c r="P60" s="132">
        <v>0</v>
      </c>
      <c r="Q60" s="128">
        <f t="shared" si="0"/>
        <v>0</v>
      </c>
    </row>
    <row r="61" spans="1:17" x14ac:dyDescent="0.2">
      <c r="A61" s="23" t="s">
        <v>104</v>
      </c>
      <c r="B61">
        <v>3</v>
      </c>
      <c r="C61" s="23" t="s">
        <v>112</v>
      </c>
      <c r="D61">
        <v>304</v>
      </c>
      <c r="E61" s="132">
        <v>0</v>
      </c>
      <c r="F61" s="132">
        <v>0</v>
      </c>
      <c r="G61" s="132">
        <v>0</v>
      </c>
      <c r="H61" s="132">
        <v>0</v>
      </c>
      <c r="I61" s="132">
        <v>0</v>
      </c>
      <c r="J61" s="132">
        <v>0</v>
      </c>
      <c r="K61" s="132">
        <v>0</v>
      </c>
      <c r="L61" s="132">
        <v>0</v>
      </c>
      <c r="M61" s="132">
        <v>0</v>
      </c>
      <c r="N61" s="132">
        <v>0</v>
      </c>
      <c r="O61" s="132">
        <v>0</v>
      </c>
      <c r="P61" s="132">
        <v>0</v>
      </c>
      <c r="Q61" s="128">
        <f t="shared" si="0"/>
        <v>0</v>
      </c>
    </row>
    <row r="62" spans="1:17" x14ac:dyDescent="0.2">
      <c r="A62" s="23" t="s">
        <v>104</v>
      </c>
      <c r="B62">
        <v>3</v>
      </c>
      <c r="C62" s="23" t="s">
        <v>112</v>
      </c>
      <c r="D62">
        <v>305</v>
      </c>
      <c r="E62" s="132">
        <v>0</v>
      </c>
      <c r="F62" s="132">
        <v>0</v>
      </c>
      <c r="G62" s="132">
        <v>0</v>
      </c>
      <c r="H62" s="132">
        <v>0</v>
      </c>
      <c r="I62" s="132">
        <v>0</v>
      </c>
      <c r="J62" s="132">
        <v>0</v>
      </c>
      <c r="K62" s="132">
        <v>0</v>
      </c>
      <c r="L62" s="132">
        <v>0</v>
      </c>
      <c r="M62" s="132">
        <v>0</v>
      </c>
      <c r="N62" s="132">
        <v>0</v>
      </c>
      <c r="O62" s="132">
        <v>0</v>
      </c>
      <c r="P62" s="132">
        <v>0</v>
      </c>
      <c r="Q62" s="128">
        <f t="shared" si="0"/>
        <v>0</v>
      </c>
    </row>
    <row r="63" spans="1:17" x14ac:dyDescent="0.2">
      <c r="A63" s="23" t="s">
        <v>104</v>
      </c>
      <c r="B63">
        <v>3</v>
      </c>
      <c r="C63" s="23" t="s">
        <v>112</v>
      </c>
      <c r="D63">
        <v>306</v>
      </c>
      <c r="E63" s="132">
        <v>0</v>
      </c>
      <c r="F63" s="132">
        <v>0</v>
      </c>
      <c r="G63" s="132">
        <v>0</v>
      </c>
      <c r="H63" s="132">
        <v>0</v>
      </c>
      <c r="I63" s="132">
        <v>0</v>
      </c>
      <c r="J63" s="132">
        <v>0</v>
      </c>
      <c r="K63" s="132">
        <v>0</v>
      </c>
      <c r="L63" s="132">
        <v>0</v>
      </c>
      <c r="M63" s="132">
        <v>0</v>
      </c>
      <c r="N63" s="132">
        <v>0</v>
      </c>
      <c r="O63" s="132">
        <v>0</v>
      </c>
      <c r="P63" s="132">
        <v>0</v>
      </c>
      <c r="Q63" s="128">
        <f t="shared" si="0"/>
        <v>0</v>
      </c>
    </row>
    <row r="64" spans="1:17" x14ac:dyDescent="0.2">
      <c r="A64" s="23" t="s">
        <v>104</v>
      </c>
      <c r="B64">
        <v>3</v>
      </c>
      <c r="C64" s="23" t="s">
        <v>112</v>
      </c>
      <c r="D64">
        <v>307</v>
      </c>
      <c r="E64" s="132">
        <v>0</v>
      </c>
      <c r="F64" s="132">
        <v>0</v>
      </c>
      <c r="G64" s="132">
        <v>0</v>
      </c>
      <c r="H64" s="132">
        <v>0</v>
      </c>
      <c r="I64" s="132">
        <v>0</v>
      </c>
      <c r="J64" s="132">
        <v>0</v>
      </c>
      <c r="K64" s="132">
        <v>0</v>
      </c>
      <c r="L64" s="132">
        <v>0</v>
      </c>
      <c r="M64" s="132">
        <v>0</v>
      </c>
      <c r="N64" s="132">
        <v>0</v>
      </c>
      <c r="O64" s="132">
        <v>0</v>
      </c>
      <c r="P64" s="132">
        <v>0</v>
      </c>
      <c r="Q64" s="128">
        <f t="shared" si="0"/>
        <v>0</v>
      </c>
    </row>
    <row r="65" spans="1:17" x14ac:dyDescent="0.2">
      <c r="A65" s="23" t="s">
        <v>104</v>
      </c>
      <c r="B65">
        <v>3</v>
      </c>
      <c r="C65" s="23" t="s">
        <v>112</v>
      </c>
      <c r="D65">
        <v>308</v>
      </c>
      <c r="E65" s="132">
        <v>0</v>
      </c>
      <c r="F65" s="132">
        <v>0</v>
      </c>
      <c r="G65" s="132">
        <v>0</v>
      </c>
      <c r="H65" s="132">
        <v>0</v>
      </c>
      <c r="I65" s="132">
        <v>0</v>
      </c>
      <c r="J65" s="132">
        <v>0</v>
      </c>
      <c r="K65" s="132">
        <v>0</v>
      </c>
      <c r="L65" s="132">
        <v>0</v>
      </c>
      <c r="M65" s="132">
        <v>0</v>
      </c>
      <c r="N65" s="132">
        <v>0</v>
      </c>
      <c r="O65" s="132">
        <v>0</v>
      </c>
      <c r="P65" s="132">
        <v>0</v>
      </c>
      <c r="Q65" s="128">
        <f t="shared" si="0"/>
        <v>0</v>
      </c>
    </row>
    <row r="66" spans="1:17" x14ac:dyDescent="0.2">
      <c r="A66" s="23" t="s">
        <v>104</v>
      </c>
      <c r="B66">
        <v>3</v>
      </c>
      <c r="C66" s="23" t="s">
        <v>112</v>
      </c>
      <c r="D66">
        <v>309</v>
      </c>
      <c r="E66" s="132">
        <v>0</v>
      </c>
      <c r="F66" s="132">
        <v>0</v>
      </c>
      <c r="G66" s="132">
        <v>0</v>
      </c>
      <c r="H66" s="132">
        <v>0</v>
      </c>
      <c r="I66" s="132">
        <v>0</v>
      </c>
      <c r="J66" s="132">
        <v>0</v>
      </c>
      <c r="K66" s="132">
        <v>0</v>
      </c>
      <c r="L66" s="132">
        <v>0</v>
      </c>
      <c r="M66" s="132">
        <v>0</v>
      </c>
      <c r="N66" s="132">
        <v>0</v>
      </c>
      <c r="O66" s="132">
        <v>0</v>
      </c>
      <c r="P66" s="132">
        <v>0</v>
      </c>
      <c r="Q66" s="128">
        <f t="shared" ref="Q66:Q129" si="3">AVERAGE(E66:P66)</f>
        <v>0</v>
      </c>
    </row>
    <row r="67" spans="1:17" x14ac:dyDescent="0.2">
      <c r="A67" s="23" t="s">
        <v>104</v>
      </c>
      <c r="B67">
        <v>3</v>
      </c>
      <c r="C67" s="23" t="s">
        <v>112</v>
      </c>
      <c r="D67">
        <v>310</v>
      </c>
      <c r="E67" s="132">
        <v>0</v>
      </c>
      <c r="F67" s="132">
        <v>0</v>
      </c>
      <c r="G67" s="132">
        <v>0</v>
      </c>
      <c r="H67" s="132">
        <v>0</v>
      </c>
      <c r="I67" s="132">
        <v>0</v>
      </c>
      <c r="J67" s="132">
        <v>0</v>
      </c>
      <c r="K67" s="132">
        <v>0</v>
      </c>
      <c r="L67" s="132">
        <v>0</v>
      </c>
      <c r="M67" s="132">
        <v>0</v>
      </c>
      <c r="N67" s="132">
        <v>0</v>
      </c>
      <c r="O67" s="132">
        <v>0</v>
      </c>
      <c r="P67" s="132">
        <v>0</v>
      </c>
      <c r="Q67" s="128">
        <f t="shared" si="3"/>
        <v>0</v>
      </c>
    </row>
    <row r="68" spans="1:17" x14ac:dyDescent="0.2">
      <c r="A68" s="23" t="s">
        <v>104</v>
      </c>
      <c r="B68">
        <v>3</v>
      </c>
      <c r="C68" s="23" t="s">
        <v>112</v>
      </c>
      <c r="D68">
        <v>311</v>
      </c>
      <c r="E68" s="132">
        <v>0</v>
      </c>
      <c r="F68" s="132">
        <v>0</v>
      </c>
      <c r="G68" s="132">
        <v>0</v>
      </c>
      <c r="H68" s="132">
        <v>0</v>
      </c>
      <c r="I68" s="132">
        <v>0</v>
      </c>
      <c r="J68" s="132">
        <v>0</v>
      </c>
      <c r="K68" s="132">
        <v>0</v>
      </c>
      <c r="L68" s="132">
        <v>0</v>
      </c>
      <c r="M68" s="132">
        <v>0</v>
      </c>
      <c r="N68" s="132">
        <v>0</v>
      </c>
      <c r="O68" s="132">
        <v>0</v>
      </c>
      <c r="P68" s="132">
        <v>0</v>
      </c>
      <c r="Q68" s="128">
        <f t="shared" si="3"/>
        <v>0</v>
      </c>
    </row>
    <row r="69" spans="1:17" x14ac:dyDescent="0.2">
      <c r="A69" s="23" t="s">
        <v>104</v>
      </c>
      <c r="B69">
        <v>3</v>
      </c>
      <c r="C69" s="23" t="s">
        <v>112</v>
      </c>
      <c r="D69">
        <v>312</v>
      </c>
      <c r="E69" s="132">
        <v>0</v>
      </c>
      <c r="F69" s="132">
        <v>0</v>
      </c>
      <c r="G69" s="132">
        <v>0</v>
      </c>
      <c r="H69" s="132">
        <v>0</v>
      </c>
      <c r="I69" s="132">
        <v>0</v>
      </c>
      <c r="J69" s="132">
        <v>0</v>
      </c>
      <c r="K69" s="132">
        <v>0</v>
      </c>
      <c r="L69" s="132">
        <v>0</v>
      </c>
      <c r="M69" s="132">
        <v>0</v>
      </c>
      <c r="N69" s="132">
        <v>0</v>
      </c>
      <c r="O69" s="132">
        <v>0</v>
      </c>
      <c r="P69" s="132">
        <v>0</v>
      </c>
      <c r="Q69" s="128">
        <f t="shared" si="3"/>
        <v>0</v>
      </c>
    </row>
    <row r="70" spans="1:17" x14ac:dyDescent="0.2">
      <c r="A70" s="23" t="s">
        <v>104</v>
      </c>
      <c r="B70">
        <v>3</v>
      </c>
      <c r="C70" s="23" t="s">
        <v>112</v>
      </c>
      <c r="D70">
        <v>313</v>
      </c>
      <c r="E70" s="132">
        <v>0</v>
      </c>
      <c r="F70" s="132">
        <v>0</v>
      </c>
      <c r="G70" s="132">
        <v>0</v>
      </c>
      <c r="H70" s="132">
        <v>0</v>
      </c>
      <c r="I70" s="132">
        <v>0</v>
      </c>
      <c r="J70" s="132">
        <v>0</v>
      </c>
      <c r="K70" s="132">
        <v>0</v>
      </c>
      <c r="L70" s="132">
        <v>0</v>
      </c>
      <c r="M70" s="132">
        <v>0</v>
      </c>
      <c r="N70" s="132">
        <v>0</v>
      </c>
      <c r="O70" s="132">
        <v>0</v>
      </c>
      <c r="P70" s="132">
        <v>0</v>
      </c>
      <c r="Q70" s="128">
        <f t="shared" si="3"/>
        <v>0</v>
      </c>
    </row>
    <row r="71" spans="1:17" x14ac:dyDescent="0.2">
      <c r="A71" s="23" t="s">
        <v>104</v>
      </c>
      <c r="B71">
        <v>3</v>
      </c>
      <c r="C71" s="23" t="s">
        <v>112</v>
      </c>
      <c r="D71">
        <v>314</v>
      </c>
      <c r="E71" s="132">
        <v>0</v>
      </c>
      <c r="F71" s="132">
        <v>0</v>
      </c>
      <c r="G71" s="132">
        <v>0</v>
      </c>
      <c r="H71" s="132">
        <v>0</v>
      </c>
      <c r="I71" s="132">
        <v>0</v>
      </c>
      <c r="J71" s="132">
        <v>0</v>
      </c>
      <c r="K71" s="132">
        <v>0</v>
      </c>
      <c r="L71" s="132">
        <v>0</v>
      </c>
      <c r="M71" s="132">
        <v>0</v>
      </c>
      <c r="N71" s="132">
        <v>0</v>
      </c>
      <c r="O71" s="132">
        <v>0</v>
      </c>
      <c r="P71" s="132">
        <v>0</v>
      </c>
      <c r="Q71" s="128">
        <f t="shared" si="3"/>
        <v>0</v>
      </c>
    </row>
    <row r="72" spans="1:17" x14ac:dyDescent="0.2">
      <c r="A72" s="23" t="s">
        <v>104</v>
      </c>
      <c r="B72">
        <v>3</v>
      </c>
      <c r="C72" s="23" t="s">
        <v>112</v>
      </c>
      <c r="D72">
        <v>315</v>
      </c>
      <c r="E72" s="132">
        <v>0</v>
      </c>
      <c r="F72" s="132">
        <v>0</v>
      </c>
      <c r="G72" s="132">
        <v>0</v>
      </c>
      <c r="H72" s="132">
        <v>0</v>
      </c>
      <c r="I72" s="132">
        <v>0</v>
      </c>
      <c r="J72" s="132">
        <v>0</v>
      </c>
      <c r="K72" s="132">
        <v>0</v>
      </c>
      <c r="L72" s="132">
        <v>0</v>
      </c>
      <c r="M72" s="132">
        <v>0</v>
      </c>
      <c r="N72" s="132">
        <v>0</v>
      </c>
      <c r="O72" s="132">
        <v>0</v>
      </c>
      <c r="P72" s="132">
        <v>0</v>
      </c>
      <c r="Q72" s="128">
        <f t="shared" si="3"/>
        <v>0</v>
      </c>
    </row>
    <row r="73" spans="1:17" x14ac:dyDescent="0.2">
      <c r="A73" s="23" t="s">
        <v>104</v>
      </c>
      <c r="B73">
        <v>3</v>
      </c>
      <c r="C73" s="23" t="s">
        <v>112</v>
      </c>
      <c r="D73">
        <v>316</v>
      </c>
      <c r="E73" s="132">
        <v>0</v>
      </c>
      <c r="F73" s="132">
        <v>0</v>
      </c>
      <c r="G73" s="132">
        <v>0</v>
      </c>
      <c r="H73" s="132">
        <v>0</v>
      </c>
      <c r="I73" s="132">
        <v>0</v>
      </c>
      <c r="J73" s="132">
        <v>0</v>
      </c>
      <c r="K73" s="132">
        <v>0</v>
      </c>
      <c r="L73" s="132">
        <v>0</v>
      </c>
      <c r="M73" s="132">
        <v>0</v>
      </c>
      <c r="N73" s="132">
        <v>0</v>
      </c>
      <c r="O73" s="132">
        <v>0</v>
      </c>
      <c r="P73" s="132">
        <v>0</v>
      </c>
      <c r="Q73" s="128">
        <f t="shared" si="3"/>
        <v>0</v>
      </c>
    </row>
    <row r="74" spans="1:17" x14ac:dyDescent="0.2">
      <c r="A74" s="23" t="s">
        <v>104</v>
      </c>
      <c r="B74">
        <v>3</v>
      </c>
      <c r="C74" s="23" t="s">
        <v>112</v>
      </c>
      <c r="D74">
        <v>317</v>
      </c>
      <c r="E74" s="132">
        <v>0</v>
      </c>
      <c r="F74" s="132">
        <v>0</v>
      </c>
      <c r="G74" s="132">
        <v>0</v>
      </c>
      <c r="H74" s="132">
        <v>0</v>
      </c>
      <c r="I74" s="132">
        <v>0</v>
      </c>
      <c r="J74" s="132">
        <v>0</v>
      </c>
      <c r="K74" s="132">
        <v>0</v>
      </c>
      <c r="L74" s="132">
        <v>0</v>
      </c>
      <c r="M74" s="132">
        <v>0</v>
      </c>
      <c r="N74" s="132">
        <v>0</v>
      </c>
      <c r="O74" s="132">
        <v>0</v>
      </c>
      <c r="P74" s="132">
        <v>0</v>
      </c>
      <c r="Q74" s="128">
        <f t="shared" si="3"/>
        <v>0</v>
      </c>
    </row>
    <row r="75" spans="1:17" x14ac:dyDescent="0.2">
      <c r="A75" s="23" t="s">
        <v>104</v>
      </c>
      <c r="B75">
        <v>3</v>
      </c>
      <c r="C75" s="23" t="s">
        <v>112</v>
      </c>
      <c r="D75">
        <v>318</v>
      </c>
      <c r="E75" s="132">
        <v>0</v>
      </c>
      <c r="F75" s="132">
        <v>0</v>
      </c>
      <c r="G75" s="132">
        <v>0</v>
      </c>
      <c r="H75" s="132">
        <v>0</v>
      </c>
      <c r="I75" s="132">
        <v>0</v>
      </c>
      <c r="J75" s="132">
        <v>0</v>
      </c>
      <c r="K75" s="132">
        <v>0</v>
      </c>
      <c r="L75" s="132">
        <v>0</v>
      </c>
      <c r="M75" s="132">
        <v>0</v>
      </c>
      <c r="N75" s="132">
        <v>0</v>
      </c>
      <c r="O75" s="132">
        <v>0</v>
      </c>
      <c r="P75" s="132">
        <v>0</v>
      </c>
      <c r="Q75" s="128">
        <f t="shared" si="3"/>
        <v>0</v>
      </c>
    </row>
    <row r="76" spans="1:17" x14ac:dyDescent="0.2">
      <c r="A76" s="23" t="s">
        <v>104</v>
      </c>
      <c r="B76">
        <v>3</v>
      </c>
      <c r="C76" s="23" t="s">
        <v>112</v>
      </c>
      <c r="D76">
        <v>319</v>
      </c>
      <c r="E76" s="132">
        <v>0</v>
      </c>
      <c r="F76" s="132">
        <v>0</v>
      </c>
      <c r="G76" s="132">
        <v>0</v>
      </c>
      <c r="H76" s="132">
        <v>0</v>
      </c>
      <c r="I76" s="132">
        <v>0</v>
      </c>
      <c r="J76" s="132">
        <v>0</v>
      </c>
      <c r="K76" s="132">
        <v>0</v>
      </c>
      <c r="L76" s="132">
        <v>0</v>
      </c>
      <c r="M76" s="132">
        <v>0</v>
      </c>
      <c r="N76" s="132">
        <v>0</v>
      </c>
      <c r="O76" s="132">
        <v>0</v>
      </c>
      <c r="P76" s="132">
        <v>0</v>
      </c>
      <c r="Q76" s="128">
        <f t="shared" si="3"/>
        <v>0</v>
      </c>
    </row>
    <row r="77" spans="1:17" x14ac:dyDescent="0.2">
      <c r="A77" s="23" t="s">
        <v>104</v>
      </c>
      <c r="B77">
        <v>3</v>
      </c>
      <c r="C77" s="23" t="s">
        <v>112</v>
      </c>
      <c r="D77">
        <v>320</v>
      </c>
      <c r="E77" s="132">
        <v>0</v>
      </c>
      <c r="F77" s="132">
        <v>0</v>
      </c>
      <c r="G77" s="132">
        <v>0</v>
      </c>
      <c r="H77" s="132">
        <v>0</v>
      </c>
      <c r="I77" s="132">
        <v>0</v>
      </c>
      <c r="J77" s="132">
        <v>0</v>
      </c>
      <c r="K77" s="132">
        <v>0</v>
      </c>
      <c r="L77" s="132">
        <v>0</v>
      </c>
      <c r="M77" s="132">
        <v>0</v>
      </c>
      <c r="N77" s="132">
        <v>0</v>
      </c>
      <c r="O77" s="132">
        <v>0</v>
      </c>
      <c r="P77" s="132">
        <v>0</v>
      </c>
      <c r="Q77" s="128">
        <f t="shared" si="3"/>
        <v>0</v>
      </c>
    </row>
    <row r="78" spans="1:17" x14ac:dyDescent="0.2">
      <c r="A78" s="23" t="s">
        <v>104</v>
      </c>
      <c r="B78">
        <v>3</v>
      </c>
      <c r="C78" s="23" t="s">
        <v>112</v>
      </c>
      <c r="D78">
        <v>321</v>
      </c>
      <c r="E78" s="132">
        <v>0</v>
      </c>
      <c r="F78" s="132">
        <v>0</v>
      </c>
      <c r="G78" s="132">
        <v>0</v>
      </c>
      <c r="H78" s="132">
        <v>0</v>
      </c>
      <c r="I78" s="132">
        <v>0</v>
      </c>
      <c r="J78" s="132">
        <v>0</v>
      </c>
      <c r="K78" s="132">
        <v>0</v>
      </c>
      <c r="L78" s="132">
        <v>0</v>
      </c>
      <c r="M78" s="132">
        <v>0</v>
      </c>
      <c r="N78" s="132">
        <v>0</v>
      </c>
      <c r="O78" s="132">
        <v>0</v>
      </c>
      <c r="P78" s="132">
        <v>0</v>
      </c>
      <c r="Q78" s="128">
        <f t="shared" si="3"/>
        <v>0</v>
      </c>
    </row>
    <row r="79" spans="1:17" x14ac:dyDescent="0.2">
      <c r="A79" s="23" t="s">
        <v>104</v>
      </c>
      <c r="B79">
        <v>3</v>
      </c>
      <c r="C79" s="23" t="s">
        <v>112</v>
      </c>
      <c r="D79">
        <v>322</v>
      </c>
      <c r="E79" s="132">
        <v>0</v>
      </c>
      <c r="F79" s="132">
        <v>0</v>
      </c>
      <c r="G79" s="132">
        <v>0</v>
      </c>
      <c r="H79" s="132">
        <v>0</v>
      </c>
      <c r="I79" s="132">
        <v>0</v>
      </c>
      <c r="J79" s="132">
        <v>0</v>
      </c>
      <c r="K79" s="132">
        <v>0</v>
      </c>
      <c r="L79" s="132">
        <v>0</v>
      </c>
      <c r="M79" s="132">
        <v>0</v>
      </c>
      <c r="N79" s="132">
        <v>0</v>
      </c>
      <c r="O79" s="132">
        <v>0</v>
      </c>
      <c r="P79" s="132">
        <v>0</v>
      </c>
      <c r="Q79" s="128">
        <f t="shared" si="3"/>
        <v>0</v>
      </c>
    </row>
    <row r="80" spans="1:17" x14ac:dyDescent="0.2">
      <c r="A80" s="23" t="s">
        <v>104</v>
      </c>
      <c r="B80">
        <v>3</v>
      </c>
      <c r="C80" s="23" t="s">
        <v>112</v>
      </c>
      <c r="D80">
        <v>323</v>
      </c>
      <c r="E80" s="132">
        <v>0</v>
      </c>
      <c r="F80" s="132">
        <v>0</v>
      </c>
      <c r="G80" s="132">
        <v>0</v>
      </c>
      <c r="H80" s="132">
        <v>0</v>
      </c>
      <c r="I80" s="132">
        <v>0</v>
      </c>
      <c r="J80" s="132">
        <v>0</v>
      </c>
      <c r="K80" s="132">
        <v>0</v>
      </c>
      <c r="L80" s="132">
        <v>0</v>
      </c>
      <c r="M80" s="132">
        <v>0</v>
      </c>
      <c r="N80" s="132">
        <v>0</v>
      </c>
      <c r="O80" s="132">
        <v>0</v>
      </c>
      <c r="P80" s="132">
        <v>0</v>
      </c>
      <c r="Q80" s="128">
        <f t="shared" si="3"/>
        <v>0</v>
      </c>
    </row>
    <row r="81" spans="1:17" x14ac:dyDescent="0.2">
      <c r="A81" s="23" t="s">
        <v>104</v>
      </c>
      <c r="B81">
        <v>3</v>
      </c>
      <c r="C81" s="23" t="s">
        <v>111</v>
      </c>
      <c r="D81">
        <v>301</v>
      </c>
      <c r="E81" s="132">
        <v>0</v>
      </c>
      <c r="F81" s="132">
        <v>0</v>
      </c>
      <c r="G81" s="132">
        <v>0</v>
      </c>
      <c r="H81" s="132">
        <v>0</v>
      </c>
      <c r="I81" s="132">
        <v>0</v>
      </c>
      <c r="J81" s="132">
        <v>0</v>
      </c>
      <c r="K81" s="132">
        <v>0</v>
      </c>
      <c r="L81" s="132">
        <v>0</v>
      </c>
      <c r="M81" s="132">
        <v>0</v>
      </c>
      <c r="N81" s="132">
        <v>0</v>
      </c>
      <c r="O81" s="132">
        <v>0</v>
      </c>
      <c r="P81" s="132">
        <v>0</v>
      </c>
      <c r="Q81" s="128">
        <f t="shared" si="3"/>
        <v>0</v>
      </c>
    </row>
    <row r="82" spans="1:17" x14ac:dyDescent="0.2">
      <c r="A82" s="23" t="s">
        <v>104</v>
      </c>
      <c r="B82">
        <v>3</v>
      </c>
      <c r="C82" s="23" t="s">
        <v>111</v>
      </c>
      <c r="D82">
        <v>302</v>
      </c>
      <c r="E82" s="132">
        <v>0</v>
      </c>
      <c r="F82" s="132">
        <v>0</v>
      </c>
      <c r="G82" s="132">
        <v>0</v>
      </c>
      <c r="H82" s="132">
        <v>0</v>
      </c>
      <c r="I82" s="132">
        <v>0</v>
      </c>
      <c r="J82" s="132">
        <v>0</v>
      </c>
      <c r="K82" s="132">
        <v>0</v>
      </c>
      <c r="L82" s="132">
        <v>0</v>
      </c>
      <c r="M82" s="132">
        <v>0</v>
      </c>
      <c r="N82" s="132">
        <v>0</v>
      </c>
      <c r="O82" s="132">
        <v>0</v>
      </c>
      <c r="P82" s="132">
        <v>0</v>
      </c>
      <c r="Q82" s="128">
        <f t="shared" si="3"/>
        <v>0</v>
      </c>
    </row>
    <row r="83" spans="1:17" x14ac:dyDescent="0.2">
      <c r="A83" s="23" t="s">
        <v>104</v>
      </c>
      <c r="B83">
        <v>3</v>
      </c>
      <c r="C83" s="23" t="s">
        <v>111</v>
      </c>
      <c r="D83">
        <v>303</v>
      </c>
      <c r="E83" s="132">
        <v>0</v>
      </c>
      <c r="F83" s="132">
        <v>0</v>
      </c>
      <c r="G83" s="132">
        <v>0</v>
      </c>
      <c r="H83" s="132">
        <v>0</v>
      </c>
      <c r="I83" s="132">
        <v>0</v>
      </c>
      <c r="J83" s="132">
        <v>0</v>
      </c>
      <c r="K83" s="132">
        <v>0</v>
      </c>
      <c r="L83" s="132">
        <v>0</v>
      </c>
      <c r="M83" s="132">
        <v>0</v>
      </c>
      <c r="N83" s="132">
        <v>0</v>
      </c>
      <c r="O83" s="132">
        <v>0</v>
      </c>
      <c r="P83" s="132">
        <v>0</v>
      </c>
      <c r="Q83" s="128">
        <f t="shared" si="3"/>
        <v>0</v>
      </c>
    </row>
    <row r="84" spans="1:17" x14ac:dyDescent="0.2">
      <c r="A84" s="23" t="s">
        <v>104</v>
      </c>
      <c r="B84">
        <v>3</v>
      </c>
      <c r="C84" s="23" t="s">
        <v>111</v>
      </c>
      <c r="D84">
        <v>304</v>
      </c>
      <c r="E84" s="132">
        <v>0</v>
      </c>
      <c r="F84" s="132">
        <v>0</v>
      </c>
      <c r="G84" s="132">
        <v>0</v>
      </c>
      <c r="H84" s="132">
        <v>0</v>
      </c>
      <c r="I84" s="132">
        <v>0</v>
      </c>
      <c r="J84" s="132">
        <v>0</v>
      </c>
      <c r="K84" s="132">
        <v>0</v>
      </c>
      <c r="L84" s="132">
        <v>0</v>
      </c>
      <c r="M84" s="132">
        <v>0</v>
      </c>
      <c r="N84" s="132">
        <v>0</v>
      </c>
      <c r="O84" s="132">
        <v>0</v>
      </c>
      <c r="P84" s="132">
        <v>0</v>
      </c>
      <c r="Q84" s="128">
        <f t="shared" si="3"/>
        <v>0</v>
      </c>
    </row>
    <row r="85" spans="1:17" x14ac:dyDescent="0.2">
      <c r="A85" s="23" t="s">
        <v>104</v>
      </c>
      <c r="B85">
        <v>3</v>
      </c>
      <c r="C85" s="23" t="s">
        <v>111</v>
      </c>
      <c r="D85">
        <v>305</v>
      </c>
      <c r="E85" s="132">
        <v>0</v>
      </c>
      <c r="F85" s="132">
        <v>0</v>
      </c>
      <c r="G85" s="132">
        <v>0</v>
      </c>
      <c r="H85" s="132">
        <v>0</v>
      </c>
      <c r="I85" s="132">
        <v>0</v>
      </c>
      <c r="J85" s="132">
        <v>0</v>
      </c>
      <c r="K85" s="132">
        <v>0</v>
      </c>
      <c r="L85" s="132">
        <v>0</v>
      </c>
      <c r="M85" s="132">
        <v>0</v>
      </c>
      <c r="N85" s="132">
        <v>0</v>
      </c>
      <c r="O85" s="132">
        <v>0</v>
      </c>
      <c r="P85" s="132">
        <v>0</v>
      </c>
      <c r="Q85" s="128">
        <f t="shared" si="3"/>
        <v>0</v>
      </c>
    </row>
    <row r="86" spans="1:17" x14ac:dyDescent="0.2">
      <c r="A86" s="23" t="s">
        <v>104</v>
      </c>
      <c r="B86">
        <v>3</v>
      </c>
      <c r="C86" s="23" t="s">
        <v>111</v>
      </c>
      <c r="D86">
        <v>306</v>
      </c>
      <c r="E86" s="132">
        <v>0</v>
      </c>
      <c r="F86" s="132">
        <v>0</v>
      </c>
      <c r="G86" s="132">
        <v>0</v>
      </c>
      <c r="H86" s="132">
        <v>0</v>
      </c>
      <c r="I86" s="132">
        <v>0</v>
      </c>
      <c r="J86" s="132">
        <v>0</v>
      </c>
      <c r="K86" s="132">
        <v>0</v>
      </c>
      <c r="L86" s="132">
        <v>0</v>
      </c>
      <c r="M86" s="132">
        <v>0</v>
      </c>
      <c r="N86" s="132">
        <v>0</v>
      </c>
      <c r="O86" s="132">
        <v>0</v>
      </c>
      <c r="P86" s="132">
        <v>0</v>
      </c>
      <c r="Q86" s="128">
        <f t="shared" si="3"/>
        <v>0</v>
      </c>
    </row>
    <row r="87" spans="1:17" x14ac:dyDescent="0.2">
      <c r="A87" s="23" t="s">
        <v>104</v>
      </c>
      <c r="B87">
        <v>3</v>
      </c>
      <c r="C87" s="23" t="s">
        <v>111</v>
      </c>
      <c r="D87">
        <v>307</v>
      </c>
      <c r="E87" s="132">
        <v>0</v>
      </c>
      <c r="F87" s="132">
        <v>0</v>
      </c>
      <c r="G87" s="132">
        <v>0</v>
      </c>
      <c r="H87" s="132">
        <v>0</v>
      </c>
      <c r="I87" s="132">
        <v>0</v>
      </c>
      <c r="J87" s="132">
        <v>0</v>
      </c>
      <c r="K87" s="132">
        <v>0</v>
      </c>
      <c r="L87" s="132">
        <v>0</v>
      </c>
      <c r="M87" s="132">
        <v>0</v>
      </c>
      <c r="N87" s="132">
        <v>0</v>
      </c>
      <c r="O87" s="132">
        <v>0</v>
      </c>
      <c r="P87" s="132">
        <v>0</v>
      </c>
      <c r="Q87" s="128">
        <f t="shared" si="3"/>
        <v>0</v>
      </c>
    </row>
    <row r="88" spans="1:17" x14ac:dyDescent="0.2">
      <c r="A88" s="23" t="s">
        <v>104</v>
      </c>
      <c r="B88">
        <v>3</v>
      </c>
      <c r="C88" s="23" t="s">
        <v>111</v>
      </c>
      <c r="D88">
        <v>308</v>
      </c>
      <c r="E88" s="132">
        <v>0</v>
      </c>
      <c r="F88" s="132">
        <v>0</v>
      </c>
      <c r="G88" s="132">
        <v>0</v>
      </c>
      <c r="H88" s="132">
        <v>0</v>
      </c>
      <c r="I88" s="132">
        <v>0</v>
      </c>
      <c r="J88" s="132">
        <v>0</v>
      </c>
      <c r="K88" s="132">
        <v>0</v>
      </c>
      <c r="L88" s="132">
        <v>0</v>
      </c>
      <c r="M88" s="132">
        <v>0</v>
      </c>
      <c r="N88" s="132">
        <v>0</v>
      </c>
      <c r="O88" s="132">
        <v>0</v>
      </c>
      <c r="P88" s="132">
        <v>0</v>
      </c>
      <c r="Q88" s="128">
        <f t="shared" si="3"/>
        <v>0</v>
      </c>
    </row>
    <row r="89" spans="1:17" x14ac:dyDescent="0.2">
      <c r="A89" s="23" t="s">
        <v>104</v>
      </c>
      <c r="B89">
        <v>3</v>
      </c>
      <c r="C89" s="23" t="s">
        <v>111</v>
      </c>
      <c r="D89">
        <v>309</v>
      </c>
      <c r="E89" s="132">
        <v>0</v>
      </c>
      <c r="F89" s="132">
        <v>0</v>
      </c>
      <c r="G89" s="132">
        <v>0</v>
      </c>
      <c r="H89" s="132">
        <v>0</v>
      </c>
      <c r="I89" s="132">
        <v>0</v>
      </c>
      <c r="J89" s="132">
        <v>0</v>
      </c>
      <c r="K89" s="132">
        <v>0</v>
      </c>
      <c r="L89" s="132">
        <v>0</v>
      </c>
      <c r="M89" s="132">
        <v>0</v>
      </c>
      <c r="N89" s="132">
        <v>0</v>
      </c>
      <c r="O89" s="132">
        <v>0</v>
      </c>
      <c r="P89" s="132">
        <v>0</v>
      </c>
      <c r="Q89" s="128">
        <f t="shared" si="3"/>
        <v>0</v>
      </c>
    </row>
    <row r="90" spans="1:17" x14ac:dyDescent="0.2">
      <c r="A90" s="23" t="s">
        <v>104</v>
      </c>
      <c r="B90">
        <v>3</v>
      </c>
      <c r="C90" s="23" t="s">
        <v>111</v>
      </c>
      <c r="D90">
        <v>310</v>
      </c>
      <c r="E90" s="132">
        <v>0</v>
      </c>
      <c r="F90" s="132">
        <v>0</v>
      </c>
      <c r="G90" s="132">
        <v>0</v>
      </c>
      <c r="H90" s="132">
        <v>0</v>
      </c>
      <c r="I90" s="132">
        <v>0</v>
      </c>
      <c r="J90" s="132">
        <v>0</v>
      </c>
      <c r="K90" s="132">
        <v>0</v>
      </c>
      <c r="L90" s="132">
        <v>0</v>
      </c>
      <c r="M90" s="132">
        <v>0</v>
      </c>
      <c r="N90" s="132">
        <v>0</v>
      </c>
      <c r="O90" s="132">
        <v>0</v>
      </c>
      <c r="P90" s="132">
        <v>0</v>
      </c>
      <c r="Q90" s="128">
        <f t="shared" si="3"/>
        <v>0</v>
      </c>
    </row>
    <row r="91" spans="1:17" x14ac:dyDescent="0.2">
      <c r="A91" s="23" t="s">
        <v>104</v>
      </c>
      <c r="B91">
        <v>3</v>
      </c>
      <c r="C91" s="23" t="s">
        <v>111</v>
      </c>
      <c r="D91">
        <v>311</v>
      </c>
      <c r="E91" s="132">
        <v>0</v>
      </c>
      <c r="F91" s="132">
        <v>0</v>
      </c>
      <c r="G91" s="132">
        <v>0</v>
      </c>
      <c r="H91" s="132">
        <v>0</v>
      </c>
      <c r="I91" s="132">
        <v>0</v>
      </c>
      <c r="J91" s="132">
        <v>0</v>
      </c>
      <c r="K91" s="132">
        <v>0</v>
      </c>
      <c r="L91" s="132">
        <v>0</v>
      </c>
      <c r="M91" s="132">
        <v>0</v>
      </c>
      <c r="N91" s="132">
        <v>0</v>
      </c>
      <c r="O91" s="132">
        <v>0</v>
      </c>
      <c r="P91" s="132">
        <v>0</v>
      </c>
      <c r="Q91" s="128">
        <f t="shared" si="3"/>
        <v>0</v>
      </c>
    </row>
    <row r="92" spans="1:17" x14ac:dyDescent="0.2">
      <c r="A92" s="23" t="s">
        <v>104</v>
      </c>
      <c r="B92">
        <v>3</v>
      </c>
      <c r="C92" s="23" t="s">
        <v>111</v>
      </c>
      <c r="D92">
        <v>312</v>
      </c>
      <c r="E92" s="132">
        <v>0</v>
      </c>
      <c r="F92" s="132">
        <v>0</v>
      </c>
      <c r="G92" s="132">
        <v>0</v>
      </c>
      <c r="H92" s="132">
        <v>0</v>
      </c>
      <c r="I92" s="132">
        <v>0</v>
      </c>
      <c r="J92" s="132">
        <v>0</v>
      </c>
      <c r="K92" s="132">
        <v>0</v>
      </c>
      <c r="L92" s="132">
        <v>0</v>
      </c>
      <c r="M92" s="132">
        <v>0</v>
      </c>
      <c r="N92" s="132">
        <v>0</v>
      </c>
      <c r="O92" s="132">
        <v>0</v>
      </c>
      <c r="P92" s="132">
        <v>0</v>
      </c>
      <c r="Q92" s="128">
        <f t="shared" si="3"/>
        <v>0</v>
      </c>
    </row>
    <row r="93" spans="1:17" x14ac:dyDescent="0.2">
      <c r="A93" s="23" t="s">
        <v>104</v>
      </c>
      <c r="B93">
        <v>3</v>
      </c>
      <c r="C93" s="23" t="s">
        <v>111</v>
      </c>
      <c r="D93">
        <v>313</v>
      </c>
      <c r="E93" s="132">
        <v>0</v>
      </c>
      <c r="F93" s="132">
        <v>0</v>
      </c>
      <c r="G93" s="132">
        <v>0</v>
      </c>
      <c r="H93" s="132">
        <v>0</v>
      </c>
      <c r="I93" s="132">
        <v>0</v>
      </c>
      <c r="J93" s="132">
        <v>0</v>
      </c>
      <c r="K93" s="132">
        <v>0</v>
      </c>
      <c r="L93" s="132">
        <v>0</v>
      </c>
      <c r="M93" s="132">
        <v>0</v>
      </c>
      <c r="N93" s="132">
        <v>0</v>
      </c>
      <c r="O93" s="132">
        <v>0</v>
      </c>
      <c r="P93" s="132">
        <v>0</v>
      </c>
      <c r="Q93" s="128">
        <f t="shared" si="3"/>
        <v>0</v>
      </c>
    </row>
    <row r="94" spans="1:17" x14ac:dyDescent="0.2">
      <c r="A94" s="23" t="s">
        <v>104</v>
      </c>
      <c r="B94">
        <v>3</v>
      </c>
      <c r="C94" s="23" t="s">
        <v>111</v>
      </c>
      <c r="D94">
        <v>314</v>
      </c>
      <c r="E94" s="132">
        <v>0</v>
      </c>
      <c r="F94" s="132">
        <v>0</v>
      </c>
      <c r="G94" s="132">
        <v>0</v>
      </c>
      <c r="H94" s="132">
        <v>0</v>
      </c>
      <c r="I94" s="132">
        <v>0</v>
      </c>
      <c r="J94" s="132">
        <v>0</v>
      </c>
      <c r="K94" s="132">
        <v>0</v>
      </c>
      <c r="L94" s="132">
        <v>0</v>
      </c>
      <c r="M94" s="132">
        <v>0</v>
      </c>
      <c r="N94" s="132">
        <v>0</v>
      </c>
      <c r="O94" s="132">
        <v>0</v>
      </c>
      <c r="P94" s="132">
        <v>0</v>
      </c>
      <c r="Q94" s="128">
        <f t="shared" si="3"/>
        <v>0</v>
      </c>
    </row>
    <row r="95" spans="1:17" x14ac:dyDescent="0.2">
      <c r="A95" s="23" t="s">
        <v>104</v>
      </c>
      <c r="B95">
        <v>3</v>
      </c>
      <c r="C95" s="23" t="s">
        <v>111</v>
      </c>
      <c r="D95">
        <v>315</v>
      </c>
      <c r="E95" s="132">
        <v>0</v>
      </c>
      <c r="F95" s="132">
        <v>0</v>
      </c>
      <c r="G95" s="132">
        <v>0</v>
      </c>
      <c r="H95" s="132">
        <v>0</v>
      </c>
      <c r="I95" s="132">
        <v>0</v>
      </c>
      <c r="J95" s="132">
        <v>0</v>
      </c>
      <c r="K95" s="132">
        <v>0</v>
      </c>
      <c r="L95" s="132">
        <v>0</v>
      </c>
      <c r="M95" s="132">
        <v>0</v>
      </c>
      <c r="N95" s="132">
        <v>0</v>
      </c>
      <c r="O95" s="132">
        <v>0</v>
      </c>
      <c r="P95" s="132">
        <v>0</v>
      </c>
      <c r="Q95" s="128">
        <f t="shared" si="3"/>
        <v>0</v>
      </c>
    </row>
    <row r="96" spans="1:17" x14ac:dyDescent="0.2">
      <c r="A96" s="23" t="s">
        <v>104</v>
      </c>
      <c r="B96">
        <v>3</v>
      </c>
      <c r="C96" s="23" t="s">
        <v>111</v>
      </c>
      <c r="D96">
        <v>316</v>
      </c>
      <c r="E96" s="132">
        <v>0</v>
      </c>
      <c r="F96" s="132">
        <v>0</v>
      </c>
      <c r="G96" s="132">
        <v>0</v>
      </c>
      <c r="H96" s="132">
        <v>0</v>
      </c>
      <c r="I96" s="132">
        <v>0</v>
      </c>
      <c r="J96" s="132">
        <v>0</v>
      </c>
      <c r="K96" s="132">
        <v>0</v>
      </c>
      <c r="L96" s="132">
        <v>0</v>
      </c>
      <c r="M96" s="132">
        <v>0</v>
      </c>
      <c r="N96" s="132">
        <v>0</v>
      </c>
      <c r="O96" s="132">
        <v>0</v>
      </c>
      <c r="P96" s="132">
        <v>0</v>
      </c>
      <c r="Q96" s="128">
        <f t="shared" si="3"/>
        <v>0</v>
      </c>
    </row>
    <row r="97" spans="1:17" x14ac:dyDescent="0.2">
      <c r="A97" s="23" t="s">
        <v>104</v>
      </c>
      <c r="B97">
        <v>3</v>
      </c>
      <c r="C97" s="23" t="s">
        <v>111</v>
      </c>
      <c r="D97">
        <v>317</v>
      </c>
      <c r="E97" s="132">
        <v>0</v>
      </c>
      <c r="F97" s="132">
        <v>0</v>
      </c>
      <c r="G97" s="132">
        <v>0</v>
      </c>
      <c r="H97" s="132">
        <v>0</v>
      </c>
      <c r="I97" s="132">
        <v>0</v>
      </c>
      <c r="J97" s="132">
        <v>0</v>
      </c>
      <c r="K97" s="132">
        <v>0</v>
      </c>
      <c r="L97" s="132">
        <v>0</v>
      </c>
      <c r="M97" s="132">
        <v>0</v>
      </c>
      <c r="N97" s="132">
        <v>0</v>
      </c>
      <c r="O97" s="132">
        <v>0</v>
      </c>
      <c r="P97" s="132">
        <v>0</v>
      </c>
      <c r="Q97" s="128">
        <f t="shared" si="3"/>
        <v>0</v>
      </c>
    </row>
    <row r="98" spans="1:17" x14ac:dyDescent="0.2">
      <c r="A98" s="23" t="s">
        <v>104</v>
      </c>
      <c r="B98">
        <v>3</v>
      </c>
      <c r="C98" s="23" t="s">
        <v>111</v>
      </c>
      <c r="D98">
        <v>318</v>
      </c>
      <c r="E98" s="132">
        <v>0</v>
      </c>
      <c r="F98" s="132">
        <v>0</v>
      </c>
      <c r="G98" s="132">
        <v>0</v>
      </c>
      <c r="H98" s="132">
        <v>0</v>
      </c>
      <c r="I98" s="132">
        <v>0</v>
      </c>
      <c r="J98" s="132">
        <v>0</v>
      </c>
      <c r="K98" s="132">
        <v>0</v>
      </c>
      <c r="L98" s="132">
        <v>0</v>
      </c>
      <c r="M98" s="132">
        <v>0</v>
      </c>
      <c r="N98" s="132">
        <v>0</v>
      </c>
      <c r="O98" s="132">
        <v>0</v>
      </c>
      <c r="P98" s="132">
        <v>0</v>
      </c>
      <c r="Q98" s="128">
        <f t="shared" si="3"/>
        <v>0</v>
      </c>
    </row>
    <row r="99" spans="1:17" x14ac:dyDescent="0.2">
      <c r="A99" s="23" t="s">
        <v>104</v>
      </c>
      <c r="B99">
        <v>3</v>
      </c>
      <c r="C99" s="23" t="s">
        <v>111</v>
      </c>
      <c r="D99">
        <v>319</v>
      </c>
      <c r="E99" s="132">
        <v>0</v>
      </c>
      <c r="F99" s="132">
        <v>0</v>
      </c>
      <c r="G99" s="132">
        <v>0</v>
      </c>
      <c r="H99" s="132">
        <v>0</v>
      </c>
      <c r="I99" s="132">
        <v>0</v>
      </c>
      <c r="J99" s="132">
        <v>0</v>
      </c>
      <c r="K99" s="132">
        <v>0</v>
      </c>
      <c r="L99" s="132">
        <v>0</v>
      </c>
      <c r="M99" s="132">
        <v>0</v>
      </c>
      <c r="N99" s="132">
        <v>0</v>
      </c>
      <c r="O99" s="132">
        <v>0</v>
      </c>
      <c r="P99" s="132">
        <v>0</v>
      </c>
      <c r="Q99" s="128">
        <f t="shared" si="3"/>
        <v>0</v>
      </c>
    </row>
    <row r="100" spans="1:17" x14ac:dyDescent="0.2">
      <c r="A100" s="23" t="s">
        <v>104</v>
      </c>
      <c r="B100">
        <v>3</v>
      </c>
      <c r="C100" s="23" t="s">
        <v>111</v>
      </c>
      <c r="D100">
        <v>320</v>
      </c>
      <c r="E100" s="132">
        <v>0</v>
      </c>
      <c r="F100" s="132">
        <v>0</v>
      </c>
      <c r="G100" s="132">
        <v>0</v>
      </c>
      <c r="H100" s="132">
        <v>0</v>
      </c>
      <c r="I100" s="132">
        <v>0</v>
      </c>
      <c r="J100" s="132">
        <v>0</v>
      </c>
      <c r="K100" s="132">
        <v>0</v>
      </c>
      <c r="L100" s="132">
        <v>0</v>
      </c>
      <c r="M100" s="132">
        <v>0</v>
      </c>
      <c r="N100" s="132">
        <v>0</v>
      </c>
      <c r="O100" s="132">
        <v>0</v>
      </c>
      <c r="P100" s="132">
        <v>0</v>
      </c>
      <c r="Q100" s="128">
        <f t="shared" si="3"/>
        <v>0</v>
      </c>
    </row>
    <row r="101" spans="1:17" x14ac:dyDescent="0.2">
      <c r="A101" s="23" t="s">
        <v>104</v>
      </c>
      <c r="B101">
        <v>3</v>
      </c>
      <c r="C101" s="23" t="s">
        <v>111</v>
      </c>
      <c r="D101">
        <v>321</v>
      </c>
      <c r="E101" s="132">
        <v>0</v>
      </c>
      <c r="F101" s="132">
        <v>0</v>
      </c>
      <c r="G101" s="132">
        <v>0</v>
      </c>
      <c r="H101" s="132">
        <v>0</v>
      </c>
      <c r="I101" s="132">
        <v>0</v>
      </c>
      <c r="J101" s="132">
        <v>0</v>
      </c>
      <c r="K101" s="132">
        <v>0</v>
      </c>
      <c r="L101" s="132">
        <v>0</v>
      </c>
      <c r="M101" s="132">
        <v>0</v>
      </c>
      <c r="N101" s="132">
        <v>0</v>
      </c>
      <c r="O101" s="132">
        <v>0</v>
      </c>
      <c r="P101" s="132">
        <v>0</v>
      </c>
      <c r="Q101" s="128">
        <f t="shared" si="3"/>
        <v>0</v>
      </c>
    </row>
    <row r="102" spans="1:17" x14ac:dyDescent="0.2">
      <c r="A102" s="23"/>
      <c r="C102" s="23"/>
      <c r="D102" s="23"/>
      <c r="E102" s="132"/>
      <c r="F102" s="132">
        <f t="shared" ref="F102:P102" si="4">AVERAGE(F58:F101)</f>
        <v>0</v>
      </c>
      <c r="G102" s="132">
        <f t="shared" si="4"/>
        <v>0</v>
      </c>
      <c r="H102" s="132">
        <f t="shared" si="4"/>
        <v>0</v>
      </c>
      <c r="I102" s="132">
        <f t="shared" si="4"/>
        <v>0</v>
      </c>
      <c r="J102" s="132">
        <f t="shared" si="4"/>
        <v>0</v>
      </c>
      <c r="K102" s="132">
        <f t="shared" si="4"/>
        <v>0</v>
      </c>
      <c r="L102" s="132">
        <f t="shared" si="4"/>
        <v>0</v>
      </c>
      <c r="M102" s="132">
        <f t="shared" si="4"/>
        <v>0</v>
      </c>
      <c r="N102" s="132">
        <f t="shared" si="4"/>
        <v>0</v>
      </c>
      <c r="O102" s="132">
        <f t="shared" si="4"/>
        <v>0</v>
      </c>
      <c r="P102" s="132">
        <f t="shared" si="4"/>
        <v>0</v>
      </c>
      <c r="Q102" s="128">
        <f t="shared" si="3"/>
        <v>0</v>
      </c>
    </row>
    <row r="103" spans="1:17" x14ac:dyDescent="0.2">
      <c r="A103" s="23" t="s">
        <v>104</v>
      </c>
      <c r="B103">
        <v>4</v>
      </c>
      <c r="C103" s="23" t="s">
        <v>112</v>
      </c>
      <c r="D103">
        <v>401</v>
      </c>
      <c r="E103" s="132">
        <v>0</v>
      </c>
      <c r="F103" s="132">
        <v>0</v>
      </c>
      <c r="G103" s="132">
        <v>0</v>
      </c>
      <c r="H103" s="132">
        <v>0</v>
      </c>
      <c r="I103" s="132">
        <v>0</v>
      </c>
      <c r="J103" s="132">
        <v>0</v>
      </c>
      <c r="K103" s="132">
        <v>0</v>
      </c>
      <c r="L103" s="132">
        <v>0</v>
      </c>
      <c r="M103" s="132">
        <v>0</v>
      </c>
      <c r="N103" s="132">
        <v>0</v>
      </c>
      <c r="O103" s="132">
        <v>0</v>
      </c>
      <c r="P103" s="132">
        <v>0</v>
      </c>
      <c r="Q103" s="128">
        <f t="shared" si="3"/>
        <v>0</v>
      </c>
    </row>
    <row r="104" spans="1:17" x14ac:dyDescent="0.2">
      <c r="A104" s="23" t="s">
        <v>104</v>
      </c>
      <c r="B104">
        <v>4</v>
      </c>
      <c r="C104" s="23" t="s">
        <v>112</v>
      </c>
      <c r="D104">
        <v>402</v>
      </c>
      <c r="E104" s="132">
        <v>0</v>
      </c>
      <c r="F104" s="132">
        <v>0</v>
      </c>
      <c r="G104" s="132">
        <v>0</v>
      </c>
      <c r="H104" s="132">
        <v>0</v>
      </c>
      <c r="I104" s="132">
        <v>0</v>
      </c>
      <c r="J104" s="132">
        <v>0</v>
      </c>
      <c r="K104" s="132">
        <v>0</v>
      </c>
      <c r="L104" s="132">
        <v>0</v>
      </c>
      <c r="M104" s="132">
        <v>0</v>
      </c>
      <c r="N104" s="132">
        <v>0</v>
      </c>
      <c r="O104" s="132">
        <v>0</v>
      </c>
      <c r="P104" s="132">
        <v>0</v>
      </c>
      <c r="Q104" s="128">
        <f t="shared" si="3"/>
        <v>0</v>
      </c>
    </row>
    <row r="105" spans="1:17" x14ac:dyDescent="0.2">
      <c r="A105" s="23" t="s">
        <v>104</v>
      </c>
      <c r="B105">
        <v>4</v>
      </c>
      <c r="C105" s="23" t="s">
        <v>112</v>
      </c>
      <c r="D105">
        <v>403</v>
      </c>
      <c r="E105" s="132">
        <v>0</v>
      </c>
      <c r="F105" s="132">
        <v>0</v>
      </c>
      <c r="G105" s="132">
        <v>0</v>
      </c>
      <c r="H105" s="132">
        <v>0</v>
      </c>
      <c r="I105" s="132">
        <v>0</v>
      </c>
      <c r="J105" s="132">
        <v>0</v>
      </c>
      <c r="K105" s="132">
        <v>0</v>
      </c>
      <c r="L105" s="132">
        <v>0</v>
      </c>
      <c r="M105" s="132">
        <v>0</v>
      </c>
      <c r="N105" s="132">
        <v>0</v>
      </c>
      <c r="O105" s="132">
        <v>0</v>
      </c>
      <c r="P105" s="132">
        <v>0</v>
      </c>
      <c r="Q105" s="128">
        <f t="shared" si="3"/>
        <v>0</v>
      </c>
    </row>
    <row r="106" spans="1:17" x14ac:dyDescent="0.2">
      <c r="A106" s="23" t="s">
        <v>104</v>
      </c>
      <c r="B106">
        <v>4</v>
      </c>
      <c r="C106" s="23" t="s">
        <v>112</v>
      </c>
      <c r="D106">
        <v>404</v>
      </c>
      <c r="E106" s="132">
        <v>0</v>
      </c>
      <c r="F106" s="132">
        <v>0</v>
      </c>
      <c r="G106" s="132">
        <v>0</v>
      </c>
      <c r="H106" s="132">
        <v>0</v>
      </c>
      <c r="I106" s="132">
        <v>0</v>
      </c>
      <c r="J106" s="132">
        <v>0</v>
      </c>
      <c r="K106" s="132">
        <v>0</v>
      </c>
      <c r="L106" s="132">
        <v>0</v>
      </c>
      <c r="M106" s="132">
        <v>0</v>
      </c>
      <c r="N106" s="132">
        <v>0</v>
      </c>
      <c r="O106" s="132">
        <v>0</v>
      </c>
      <c r="P106" s="132">
        <v>0</v>
      </c>
      <c r="Q106" s="128">
        <f t="shared" si="3"/>
        <v>0</v>
      </c>
    </row>
    <row r="107" spans="1:17" x14ac:dyDescent="0.2">
      <c r="A107" s="23" t="s">
        <v>104</v>
      </c>
      <c r="B107">
        <v>4</v>
      </c>
      <c r="C107" s="23" t="s">
        <v>112</v>
      </c>
      <c r="D107">
        <v>405</v>
      </c>
      <c r="E107" s="132">
        <v>0</v>
      </c>
      <c r="F107" s="132">
        <v>0</v>
      </c>
      <c r="G107" s="132">
        <v>0</v>
      </c>
      <c r="H107" s="132">
        <v>0</v>
      </c>
      <c r="I107" s="132">
        <v>0</v>
      </c>
      <c r="J107" s="132">
        <v>0</v>
      </c>
      <c r="K107" s="132">
        <v>0</v>
      </c>
      <c r="L107" s="132">
        <v>0</v>
      </c>
      <c r="M107" s="132">
        <v>0</v>
      </c>
      <c r="N107" s="132">
        <v>0</v>
      </c>
      <c r="O107" s="132">
        <v>0</v>
      </c>
      <c r="P107" s="132">
        <v>0</v>
      </c>
      <c r="Q107" s="128">
        <f t="shared" si="3"/>
        <v>0</v>
      </c>
    </row>
    <row r="108" spans="1:17" x14ac:dyDescent="0.2">
      <c r="A108" s="23" t="s">
        <v>104</v>
      </c>
      <c r="B108">
        <v>4</v>
      </c>
      <c r="C108" s="23" t="s">
        <v>112</v>
      </c>
      <c r="D108">
        <v>406</v>
      </c>
      <c r="E108" s="132">
        <v>0</v>
      </c>
      <c r="F108" s="132">
        <v>0</v>
      </c>
      <c r="G108" s="132">
        <v>0</v>
      </c>
      <c r="H108" s="132">
        <v>0</v>
      </c>
      <c r="I108" s="132">
        <v>0</v>
      </c>
      <c r="J108" s="132">
        <v>0</v>
      </c>
      <c r="K108" s="132">
        <v>0</v>
      </c>
      <c r="L108" s="132">
        <v>0</v>
      </c>
      <c r="M108" s="132">
        <v>0</v>
      </c>
      <c r="N108" s="132">
        <v>0</v>
      </c>
      <c r="O108" s="132">
        <v>0</v>
      </c>
      <c r="P108" s="132">
        <v>0</v>
      </c>
      <c r="Q108" s="128">
        <f t="shared" si="3"/>
        <v>0</v>
      </c>
    </row>
    <row r="109" spans="1:17" x14ac:dyDescent="0.2">
      <c r="A109" s="23" t="s">
        <v>104</v>
      </c>
      <c r="B109">
        <v>4</v>
      </c>
      <c r="C109" s="23" t="s">
        <v>112</v>
      </c>
      <c r="D109">
        <v>407</v>
      </c>
      <c r="E109" s="132">
        <v>0</v>
      </c>
      <c r="F109" s="132">
        <v>0</v>
      </c>
      <c r="G109" s="132">
        <v>0</v>
      </c>
      <c r="H109" s="132">
        <v>0</v>
      </c>
      <c r="I109" s="132">
        <v>0</v>
      </c>
      <c r="J109" s="132">
        <v>0</v>
      </c>
      <c r="K109" s="132">
        <v>0</v>
      </c>
      <c r="L109" s="132">
        <v>0</v>
      </c>
      <c r="M109" s="132">
        <v>0</v>
      </c>
      <c r="N109" s="132">
        <v>0</v>
      </c>
      <c r="O109" s="132">
        <v>0</v>
      </c>
      <c r="P109" s="132">
        <v>0</v>
      </c>
      <c r="Q109" s="128">
        <f t="shared" si="3"/>
        <v>0</v>
      </c>
    </row>
    <row r="110" spans="1:17" x14ac:dyDescent="0.2">
      <c r="A110" s="23" t="s">
        <v>104</v>
      </c>
      <c r="B110">
        <v>4</v>
      </c>
      <c r="C110" s="23" t="s">
        <v>112</v>
      </c>
      <c r="D110">
        <v>408</v>
      </c>
      <c r="E110" s="132">
        <v>0</v>
      </c>
      <c r="F110" s="132">
        <v>0</v>
      </c>
      <c r="G110" s="132">
        <v>0</v>
      </c>
      <c r="H110" s="132">
        <v>0</v>
      </c>
      <c r="I110" s="132">
        <v>0</v>
      </c>
      <c r="J110" s="132">
        <v>0</v>
      </c>
      <c r="K110" s="132">
        <v>0</v>
      </c>
      <c r="L110" s="132">
        <v>0</v>
      </c>
      <c r="M110" s="132">
        <v>0</v>
      </c>
      <c r="N110" s="132">
        <v>0</v>
      </c>
      <c r="O110" s="132">
        <v>0</v>
      </c>
      <c r="P110" s="132">
        <v>0</v>
      </c>
      <c r="Q110" s="128">
        <f t="shared" si="3"/>
        <v>0</v>
      </c>
    </row>
    <row r="111" spans="1:17" x14ac:dyDescent="0.2">
      <c r="A111" s="23" t="s">
        <v>104</v>
      </c>
      <c r="B111">
        <v>4</v>
      </c>
      <c r="C111" s="23" t="s">
        <v>112</v>
      </c>
      <c r="D111">
        <v>409</v>
      </c>
      <c r="E111" s="132">
        <v>0</v>
      </c>
      <c r="F111" s="132">
        <v>0</v>
      </c>
      <c r="G111" s="132">
        <v>0</v>
      </c>
      <c r="H111" s="132">
        <v>0</v>
      </c>
      <c r="I111" s="132">
        <v>0</v>
      </c>
      <c r="J111" s="132">
        <v>0</v>
      </c>
      <c r="K111" s="132">
        <v>0</v>
      </c>
      <c r="L111" s="132">
        <v>0</v>
      </c>
      <c r="M111" s="132">
        <v>0</v>
      </c>
      <c r="N111" s="132">
        <v>0</v>
      </c>
      <c r="O111" s="132">
        <v>0</v>
      </c>
      <c r="P111" s="132">
        <v>0</v>
      </c>
      <c r="Q111" s="128">
        <f t="shared" si="3"/>
        <v>0</v>
      </c>
    </row>
    <row r="112" spans="1:17" x14ac:dyDescent="0.2">
      <c r="A112" s="23" t="s">
        <v>104</v>
      </c>
      <c r="B112">
        <v>4</v>
      </c>
      <c r="C112" s="23" t="s">
        <v>112</v>
      </c>
      <c r="D112">
        <v>410</v>
      </c>
      <c r="E112" s="132">
        <v>0</v>
      </c>
      <c r="F112" s="132">
        <v>0</v>
      </c>
      <c r="G112" s="132">
        <v>0</v>
      </c>
      <c r="H112" s="132">
        <v>0</v>
      </c>
      <c r="I112" s="132">
        <v>0</v>
      </c>
      <c r="J112" s="132">
        <v>0</v>
      </c>
      <c r="K112" s="132">
        <v>0</v>
      </c>
      <c r="L112" s="132">
        <v>0</v>
      </c>
      <c r="M112" s="132">
        <v>0</v>
      </c>
      <c r="N112" s="132">
        <v>0</v>
      </c>
      <c r="O112" s="132">
        <v>0</v>
      </c>
      <c r="P112" s="132">
        <v>0</v>
      </c>
      <c r="Q112" s="128">
        <f t="shared" si="3"/>
        <v>0</v>
      </c>
    </row>
    <row r="113" spans="1:17" x14ac:dyDescent="0.2">
      <c r="A113" s="23" t="s">
        <v>104</v>
      </c>
      <c r="B113">
        <v>4</v>
      </c>
      <c r="C113" s="23" t="s">
        <v>112</v>
      </c>
      <c r="D113">
        <v>411</v>
      </c>
      <c r="E113" s="132">
        <v>0</v>
      </c>
      <c r="F113" s="132">
        <v>0</v>
      </c>
      <c r="G113" s="132">
        <v>0</v>
      </c>
      <c r="H113" s="132">
        <v>0</v>
      </c>
      <c r="I113" s="132">
        <v>0</v>
      </c>
      <c r="J113" s="132">
        <v>0</v>
      </c>
      <c r="K113" s="132">
        <v>0</v>
      </c>
      <c r="L113" s="132">
        <v>0</v>
      </c>
      <c r="M113" s="132">
        <v>0</v>
      </c>
      <c r="N113" s="132">
        <v>0</v>
      </c>
      <c r="O113" s="132">
        <v>0</v>
      </c>
      <c r="P113" s="132">
        <v>0</v>
      </c>
      <c r="Q113" s="128">
        <f t="shared" si="3"/>
        <v>0</v>
      </c>
    </row>
    <row r="114" spans="1:17" x14ac:dyDescent="0.2">
      <c r="A114" s="23" t="s">
        <v>104</v>
      </c>
      <c r="B114">
        <v>4</v>
      </c>
      <c r="C114" s="23" t="s">
        <v>112</v>
      </c>
      <c r="D114">
        <v>412</v>
      </c>
      <c r="E114" s="132">
        <v>0</v>
      </c>
      <c r="F114" s="132">
        <v>0</v>
      </c>
      <c r="G114" s="132">
        <v>0</v>
      </c>
      <c r="H114" s="132">
        <v>0</v>
      </c>
      <c r="I114" s="132">
        <v>0</v>
      </c>
      <c r="J114" s="132">
        <v>0</v>
      </c>
      <c r="K114" s="132">
        <v>0</v>
      </c>
      <c r="L114" s="132">
        <v>0</v>
      </c>
      <c r="M114" s="132">
        <v>0</v>
      </c>
      <c r="N114" s="132">
        <v>0</v>
      </c>
      <c r="O114" s="132">
        <v>0</v>
      </c>
      <c r="P114" s="132">
        <v>0</v>
      </c>
      <c r="Q114" s="128">
        <f t="shared" si="3"/>
        <v>0</v>
      </c>
    </row>
    <row r="115" spans="1:17" x14ac:dyDescent="0.2">
      <c r="A115" s="23" t="s">
        <v>104</v>
      </c>
      <c r="B115">
        <v>4</v>
      </c>
      <c r="C115" s="23" t="s">
        <v>112</v>
      </c>
      <c r="D115">
        <v>413</v>
      </c>
      <c r="E115" s="132">
        <v>0</v>
      </c>
      <c r="F115" s="132">
        <v>0</v>
      </c>
      <c r="G115" s="132">
        <v>0</v>
      </c>
      <c r="H115" s="132">
        <v>0</v>
      </c>
      <c r="I115" s="132">
        <v>0</v>
      </c>
      <c r="J115" s="132">
        <v>0</v>
      </c>
      <c r="K115" s="132">
        <v>0</v>
      </c>
      <c r="L115" s="132">
        <v>0</v>
      </c>
      <c r="M115" s="132">
        <v>0</v>
      </c>
      <c r="N115" s="132">
        <v>0</v>
      </c>
      <c r="O115" s="132">
        <v>0</v>
      </c>
      <c r="P115" s="132">
        <v>0</v>
      </c>
      <c r="Q115" s="128">
        <f t="shared" si="3"/>
        <v>0</v>
      </c>
    </row>
    <row r="116" spans="1:17" x14ac:dyDescent="0.2">
      <c r="A116" s="23" t="s">
        <v>104</v>
      </c>
      <c r="B116">
        <v>4</v>
      </c>
      <c r="C116" s="23" t="s">
        <v>112</v>
      </c>
      <c r="D116">
        <v>414</v>
      </c>
      <c r="E116" s="132">
        <v>0</v>
      </c>
      <c r="F116" s="132">
        <v>0</v>
      </c>
      <c r="G116" s="132">
        <v>0</v>
      </c>
      <c r="H116" s="132">
        <v>0</v>
      </c>
      <c r="I116" s="132">
        <v>0</v>
      </c>
      <c r="J116" s="132">
        <v>0</v>
      </c>
      <c r="K116" s="132">
        <v>0</v>
      </c>
      <c r="L116" s="132">
        <v>0</v>
      </c>
      <c r="M116" s="132">
        <v>0</v>
      </c>
      <c r="N116" s="132">
        <v>0</v>
      </c>
      <c r="O116" s="132">
        <v>0</v>
      </c>
      <c r="P116" s="132">
        <v>0</v>
      </c>
      <c r="Q116" s="128">
        <f t="shared" si="3"/>
        <v>0</v>
      </c>
    </row>
    <row r="117" spans="1:17" x14ac:dyDescent="0.2">
      <c r="A117" s="23" t="s">
        <v>104</v>
      </c>
      <c r="B117">
        <v>4</v>
      </c>
      <c r="C117" s="23" t="s">
        <v>112</v>
      </c>
      <c r="D117">
        <v>415</v>
      </c>
      <c r="E117" s="132">
        <v>0</v>
      </c>
      <c r="F117" s="132">
        <v>0</v>
      </c>
      <c r="G117" s="132">
        <v>0</v>
      </c>
      <c r="H117" s="132">
        <v>0</v>
      </c>
      <c r="I117" s="132">
        <v>0</v>
      </c>
      <c r="J117" s="132">
        <v>0</v>
      </c>
      <c r="K117" s="132">
        <v>0</v>
      </c>
      <c r="L117" s="132">
        <v>0</v>
      </c>
      <c r="M117" s="132">
        <v>0</v>
      </c>
      <c r="N117" s="132">
        <v>0</v>
      </c>
      <c r="O117" s="132">
        <v>0</v>
      </c>
      <c r="P117" s="132">
        <v>0</v>
      </c>
      <c r="Q117" s="128">
        <f t="shared" si="3"/>
        <v>0</v>
      </c>
    </row>
    <row r="118" spans="1:17" x14ac:dyDescent="0.2">
      <c r="A118" s="23" t="s">
        <v>104</v>
      </c>
      <c r="B118">
        <v>4</v>
      </c>
      <c r="C118" s="23" t="s">
        <v>112</v>
      </c>
      <c r="D118">
        <v>416</v>
      </c>
      <c r="E118" s="132">
        <v>0</v>
      </c>
      <c r="F118" s="132">
        <v>0</v>
      </c>
      <c r="G118" s="132">
        <v>0</v>
      </c>
      <c r="H118" s="132">
        <v>0</v>
      </c>
      <c r="I118" s="132">
        <v>0</v>
      </c>
      <c r="J118" s="132">
        <v>0</v>
      </c>
      <c r="K118" s="132">
        <v>0</v>
      </c>
      <c r="L118" s="132">
        <v>0</v>
      </c>
      <c r="M118" s="132">
        <v>0</v>
      </c>
      <c r="N118" s="132">
        <v>0</v>
      </c>
      <c r="O118" s="132">
        <v>0</v>
      </c>
      <c r="P118" s="132">
        <v>0</v>
      </c>
      <c r="Q118" s="128">
        <f t="shared" si="3"/>
        <v>0</v>
      </c>
    </row>
    <row r="119" spans="1:17" x14ac:dyDescent="0.2">
      <c r="A119" s="23" t="s">
        <v>104</v>
      </c>
      <c r="B119">
        <v>4</v>
      </c>
      <c r="C119" s="23" t="s">
        <v>112</v>
      </c>
      <c r="D119">
        <v>417</v>
      </c>
      <c r="E119" s="132">
        <v>0</v>
      </c>
      <c r="F119" s="132">
        <v>0</v>
      </c>
      <c r="G119" s="132">
        <v>0</v>
      </c>
      <c r="H119" s="132">
        <v>0</v>
      </c>
      <c r="I119" s="132">
        <v>0</v>
      </c>
      <c r="J119" s="132">
        <v>0</v>
      </c>
      <c r="K119" s="132">
        <v>0</v>
      </c>
      <c r="L119" s="132">
        <v>0</v>
      </c>
      <c r="M119" s="132">
        <v>0</v>
      </c>
      <c r="N119" s="132">
        <v>0</v>
      </c>
      <c r="O119" s="132">
        <v>0</v>
      </c>
      <c r="P119" s="132">
        <v>0</v>
      </c>
      <c r="Q119" s="128">
        <f t="shared" si="3"/>
        <v>0</v>
      </c>
    </row>
    <row r="120" spans="1:17" x14ac:dyDescent="0.2">
      <c r="A120" s="23" t="s">
        <v>104</v>
      </c>
      <c r="B120">
        <v>4</v>
      </c>
      <c r="C120" s="23" t="s">
        <v>112</v>
      </c>
      <c r="D120">
        <v>418</v>
      </c>
      <c r="E120" s="132">
        <v>0</v>
      </c>
      <c r="F120" s="132">
        <v>0</v>
      </c>
      <c r="G120" s="132">
        <v>0</v>
      </c>
      <c r="H120" s="132">
        <v>0</v>
      </c>
      <c r="I120" s="132">
        <v>0</v>
      </c>
      <c r="J120" s="132">
        <v>0</v>
      </c>
      <c r="K120" s="132">
        <v>0</v>
      </c>
      <c r="L120" s="132">
        <v>0</v>
      </c>
      <c r="M120" s="132">
        <v>0</v>
      </c>
      <c r="N120" s="132">
        <v>0</v>
      </c>
      <c r="O120" s="132">
        <v>0</v>
      </c>
      <c r="P120" s="132">
        <v>0</v>
      </c>
      <c r="Q120" s="128">
        <f t="shared" si="3"/>
        <v>0</v>
      </c>
    </row>
    <row r="121" spans="1:17" x14ac:dyDescent="0.2">
      <c r="A121" s="23" t="s">
        <v>104</v>
      </c>
      <c r="B121">
        <v>4</v>
      </c>
      <c r="C121" s="23" t="s">
        <v>112</v>
      </c>
      <c r="D121">
        <v>419</v>
      </c>
      <c r="E121" s="132">
        <v>0</v>
      </c>
      <c r="F121" s="132">
        <v>0</v>
      </c>
      <c r="G121" s="132">
        <v>0</v>
      </c>
      <c r="H121" s="132">
        <v>0</v>
      </c>
      <c r="I121" s="132">
        <v>0</v>
      </c>
      <c r="J121" s="132">
        <v>0</v>
      </c>
      <c r="K121" s="132">
        <v>0</v>
      </c>
      <c r="L121" s="132">
        <v>0</v>
      </c>
      <c r="M121" s="132">
        <v>0</v>
      </c>
      <c r="N121" s="132">
        <v>0</v>
      </c>
      <c r="O121" s="132">
        <v>0</v>
      </c>
      <c r="P121" s="132">
        <v>0</v>
      </c>
      <c r="Q121" s="128">
        <f t="shared" si="3"/>
        <v>0</v>
      </c>
    </row>
    <row r="122" spans="1:17" x14ac:dyDescent="0.2">
      <c r="A122" s="23" t="s">
        <v>104</v>
      </c>
      <c r="B122">
        <v>4</v>
      </c>
      <c r="C122" s="23" t="s">
        <v>112</v>
      </c>
      <c r="D122">
        <v>420</v>
      </c>
      <c r="E122" s="132">
        <v>0</v>
      </c>
      <c r="F122" s="132">
        <v>0</v>
      </c>
      <c r="G122" s="132">
        <v>0</v>
      </c>
      <c r="H122" s="132">
        <v>0</v>
      </c>
      <c r="I122" s="132">
        <v>0</v>
      </c>
      <c r="J122" s="132">
        <v>0</v>
      </c>
      <c r="K122" s="132">
        <v>0</v>
      </c>
      <c r="L122" s="132">
        <v>0</v>
      </c>
      <c r="M122" s="132">
        <v>0</v>
      </c>
      <c r="N122" s="132">
        <v>0</v>
      </c>
      <c r="O122" s="132">
        <v>0</v>
      </c>
      <c r="P122" s="132">
        <v>0</v>
      </c>
      <c r="Q122" s="128">
        <f t="shared" si="3"/>
        <v>0</v>
      </c>
    </row>
    <row r="123" spans="1:17" x14ac:dyDescent="0.2">
      <c r="A123" s="23" t="s">
        <v>104</v>
      </c>
      <c r="B123">
        <v>4</v>
      </c>
      <c r="C123" s="23" t="s">
        <v>112</v>
      </c>
      <c r="D123">
        <v>421</v>
      </c>
      <c r="E123" s="132">
        <v>0</v>
      </c>
      <c r="F123" s="132">
        <v>0</v>
      </c>
      <c r="G123" s="132">
        <v>0</v>
      </c>
      <c r="H123" s="132">
        <v>0</v>
      </c>
      <c r="I123" s="132">
        <v>0</v>
      </c>
      <c r="J123" s="132">
        <v>0</v>
      </c>
      <c r="K123" s="132">
        <v>0</v>
      </c>
      <c r="L123" s="132">
        <v>0</v>
      </c>
      <c r="M123" s="132">
        <v>0</v>
      </c>
      <c r="N123" s="132">
        <v>0</v>
      </c>
      <c r="O123" s="132">
        <v>0</v>
      </c>
      <c r="P123" s="132">
        <v>0</v>
      </c>
      <c r="Q123" s="128">
        <f t="shared" si="3"/>
        <v>0</v>
      </c>
    </row>
    <row r="124" spans="1:17" x14ac:dyDescent="0.2">
      <c r="A124" s="23" t="s">
        <v>104</v>
      </c>
      <c r="B124">
        <v>4</v>
      </c>
      <c r="C124" s="23" t="s">
        <v>112</v>
      </c>
      <c r="D124">
        <v>422</v>
      </c>
      <c r="E124" s="132">
        <v>0</v>
      </c>
      <c r="F124" s="132">
        <v>0</v>
      </c>
      <c r="G124" s="132">
        <v>0</v>
      </c>
      <c r="H124" s="132">
        <v>0</v>
      </c>
      <c r="I124" s="132">
        <v>0</v>
      </c>
      <c r="J124" s="132">
        <v>0</v>
      </c>
      <c r="K124" s="132">
        <v>0</v>
      </c>
      <c r="L124" s="132">
        <v>0</v>
      </c>
      <c r="M124" s="132">
        <v>0</v>
      </c>
      <c r="N124" s="132">
        <v>0</v>
      </c>
      <c r="O124" s="132">
        <v>0</v>
      </c>
      <c r="P124" s="132">
        <v>0</v>
      </c>
      <c r="Q124" s="128">
        <f t="shared" si="3"/>
        <v>0</v>
      </c>
    </row>
    <row r="125" spans="1:17" x14ac:dyDescent="0.2">
      <c r="A125" s="23" t="s">
        <v>104</v>
      </c>
      <c r="B125">
        <v>4</v>
      </c>
      <c r="C125" s="23" t="s">
        <v>112</v>
      </c>
      <c r="D125">
        <v>423</v>
      </c>
      <c r="E125" s="132">
        <v>0</v>
      </c>
      <c r="F125" s="132">
        <v>0</v>
      </c>
      <c r="G125" s="132">
        <v>0</v>
      </c>
      <c r="H125" s="132">
        <v>0</v>
      </c>
      <c r="I125" s="132">
        <v>0</v>
      </c>
      <c r="J125" s="132">
        <v>0</v>
      </c>
      <c r="K125" s="132">
        <v>0</v>
      </c>
      <c r="L125" s="132">
        <v>0</v>
      </c>
      <c r="M125" s="132">
        <v>0</v>
      </c>
      <c r="N125" s="132">
        <v>0</v>
      </c>
      <c r="O125" s="132">
        <v>0</v>
      </c>
      <c r="P125" s="132">
        <v>0</v>
      </c>
      <c r="Q125" s="128">
        <f t="shared" si="3"/>
        <v>0</v>
      </c>
    </row>
    <row r="126" spans="1:17" x14ac:dyDescent="0.2">
      <c r="A126" s="23" t="s">
        <v>104</v>
      </c>
      <c r="B126">
        <v>4</v>
      </c>
      <c r="C126" s="23" t="s">
        <v>111</v>
      </c>
      <c r="D126">
        <v>401</v>
      </c>
      <c r="E126" s="132">
        <v>0</v>
      </c>
      <c r="F126" s="132">
        <v>0</v>
      </c>
      <c r="G126" s="132">
        <v>0</v>
      </c>
      <c r="H126" s="132">
        <v>0</v>
      </c>
      <c r="I126" s="132">
        <v>0</v>
      </c>
      <c r="J126" s="132">
        <v>0</v>
      </c>
      <c r="K126" s="132">
        <v>0</v>
      </c>
      <c r="L126" s="132">
        <v>0</v>
      </c>
      <c r="M126" s="132">
        <v>0</v>
      </c>
      <c r="N126" s="132">
        <v>0</v>
      </c>
      <c r="O126" s="132">
        <v>0</v>
      </c>
      <c r="P126" s="132">
        <v>0</v>
      </c>
      <c r="Q126" s="128">
        <f t="shared" si="3"/>
        <v>0</v>
      </c>
    </row>
    <row r="127" spans="1:17" x14ac:dyDescent="0.2">
      <c r="A127" s="23" t="s">
        <v>104</v>
      </c>
      <c r="B127">
        <v>4</v>
      </c>
      <c r="C127" s="23" t="s">
        <v>111</v>
      </c>
      <c r="D127">
        <v>402</v>
      </c>
      <c r="E127" s="132">
        <v>0</v>
      </c>
      <c r="F127" s="132">
        <v>0</v>
      </c>
      <c r="G127" s="132">
        <v>0</v>
      </c>
      <c r="H127" s="132">
        <v>0</v>
      </c>
      <c r="I127" s="132">
        <v>0</v>
      </c>
      <c r="J127" s="132">
        <v>0</v>
      </c>
      <c r="K127" s="132">
        <v>0</v>
      </c>
      <c r="L127" s="132">
        <v>0</v>
      </c>
      <c r="M127" s="132">
        <v>0</v>
      </c>
      <c r="N127" s="132">
        <v>0</v>
      </c>
      <c r="O127" s="132">
        <v>0</v>
      </c>
      <c r="P127" s="132">
        <v>0</v>
      </c>
      <c r="Q127" s="128">
        <f t="shared" si="3"/>
        <v>0</v>
      </c>
    </row>
    <row r="128" spans="1:17" x14ac:dyDescent="0.2">
      <c r="A128" s="23" t="s">
        <v>104</v>
      </c>
      <c r="B128">
        <v>4</v>
      </c>
      <c r="C128" s="23" t="s">
        <v>111</v>
      </c>
      <c r="D128">
        <v>403</v>
      </c>
      <c r="E128" s="132">
        <v>0</v>
      </c>
      <c r="F128" s="132">
        <v>0</v>
      </c>
      <c r="G128" s="132">
        <v>0</v>
      </c>
      <c r="H128" s="132">
        <v>0</v>
      </c>
      <c r="I128" s="132">
        <v>0</v>
      </c>
      <c r="J128" s="132">
        <v>0</v>
      </c>
      <c r="K128" s="132">
        <v>0</v>
      </c>
      <c r="L128" s="132">
        <v>0</v>
      </c>
      <c r="M128" s="132">
        <v>0</v>
      </c>
      <c r="N128" s="132">
        <v>0</v>
      </c>
      <c r="O128" s="132">
        <v>0</v>
      </c>
      <c r="P128" s="132">
        <v>0</v>
      </c>
      <c r="Q128" s="128">
        <f t="shared" si="3"/>
        <v>0</v>
      </c>
    </row>
    <row r="129" spans="1:17" x14ac:dyDescent="0.2">
      <c r="A129" s="23" t="s">
        <v>104</v>
      </c>
      <c r="B129">
        <v>4</v>
      </c>
      <c r="C129" s="23" t="s">
        <v>111</v>
      </c>
      <c r="D129">
        <v>404</v>
      </c>
      <c r="E129" s="132">
        <v>0</v>
      </c>
      <c r="F129" s="132">
        <v>0</v>
      </c>
      <c r="G129" s="132">
        <v>0</v>
      </c>
      <c r="H129" s="132">
        <v>0</v>
      </c>
      <c r="I129" s="132">
        <v>0</v>
      </c>
      <c r="J129" s="132">
        <v>0</v>
      </c>
      <c r="K129" s="132">
        <v>0</v>
      </c>
      <c r="L129" s="132">
        <v>0</v>
      </c>
      <c r="M129" s="132">
        <v>0</v>
      </c>
      <c r="N129" s="132">
        <v>0</v>
      </c>
      <c r="O129" s="132">
        <v>0</v>
      </c>
      <c r="P129" s="132">
        <v>0</v>
      </c>
      <c r="Q129" s="128">
        <f t="shared" si="3"/>
        <v>0</v>
      </c>
    </row>
    <row r="130" spans="1:17" x14ac:dyDescent="0.2">
      <c r="A130" s="23" t="s">
        <v>104</v>
      </c>
      <c r="B130">
        <v>4</v>
      </c>
      <c r="C130" s="23" t="s">
        <v>111</v>
      </c>
      <c r="D130">
        <v>405</v>
      </c>
      <c r="E130" s="132">
        <v>0</v>
      </c>
      <c r="F130" s="132">
        <v>0</v>
      </c>
      <c r="G130" s="132">
        <v>0</v>
      </c>
      <c r="H130" s="132">
        <v>0</v>
      </c>
      <c r="I130" s="132">
        <v>0</v>
      </c>
      <c r="J130" s="132">
        <v>0</v>
      </c>
      <c r="K130" s="132">
        <v>0</v>
      </c>
      <c r="L130" s="132">
        <v>0</v>
      </c>
      <c r="M130" s="132">
        <v>0</v>
      </c>
      <c r="N130" s="132">
        <v>0</v>
      </c>
      <c r="O130" s="132">
        <v>0</v>
      </c>
      <c r="P130" s="132">
        <v>0</v>
      </c>
      <c r="Q130" s="128">
        <f t="shared" ref="Q130:Q193" si="5">AVERAGE(E130:P130)</f>
        <v>0</v>
      </c>
    </row>
    <row r="131" spans="1:17" x14ac:dyDescent="0.2">
      <c r="A131" s="23" t="s">
        <v>104</v>
      </c>
      <c r="B131">
        <v>4</v>
      </c>
      <c r="C131" s="23" t="s">
        <v>111</v>
      </c>
      <c r="D131">
        <v>406</v>
      </c>
      <c r="E131" s="132">
        <v>0</v>
      </c>
      <c r="F131" s="132">
        <v>0</v>
      </c>
      <c r="G131" s="132">
        <v>0</v>
      </c>
      <c r="H131" s="132">
        <v>0</v>
      </c>
      <c r="I131" s="132">
        <v>0</v>
      </c>
      <c r="J131" s="132">
        <v>0</v>
      </c>
      <c r="K131" s="132">
        <v>0</v>
      </c>
      <c r="L131" s="132">
        <v>0</v>
      </c>
      <c r="M131" s="132">
        <v>0</v>
      </c>
      <c r="N131" s="132">
        <v>0</v>
      </c>
      <c r="O131" s="132">
        <v>0</v>
      </c>
      <c r="P131" s="132">
        <v>0</v>
      </c>
      <c r="Q131" s="128">
        <f t="shared" si="5"/>
        <v>0</v>
      </c>
    </row>
    <row r="132" spans="1:17" x14ac:dyDescent="0.2">
      <c r="A132" s="23" t="s">
        <v>104</v>
      </c>
      <c r="B132">
        <v>4</v>
      </c>
      <c r="C132" s="23" t="s">
        <v>111</v>
      </c>
      <c r="D132">
        <v>407</v>
      </c>
      <c r="E132" s="132">
        <v>0</v>
      </c>
      <c r="F132" s="132">
        <v>0</v>
      </c>
      <c r="G132" s="132">
        <v>0</v>
      </c>
      <c r="H132" s="132">
        <v>0</v>
      </c>
      <c r="I132" s="132">
        <v>0</v>
      </c>
      <c r="J132" s="132">
        <v>0</v>
      </c>
      <c r="K132" s="132">
        <v>0</v>
      </c>
      <c r="L132" s="132">
        <v>0</v>
      </c>
      <c r="M132" s="132">
        <v>0</v>
      </c>
      <c r="N132" s="132">
        <v>0</v>
      </c>
      <c r="O132" s="132">
        <v>0</v>
      </c>
      <c r="P132" s="132">
        <v>0</v>
      </c>
      <c r="Q132" s="128">
        <f t="shared" si="5"/>
        <v>0</v>
      </c>
    </row>
    <row r="133" spans="1:17" x14ac:dyDescent="0.2">
      <c r="A133" s="23" t="s">
        <v>104</v>
      </c>
      <c r="B133">
        <v>4</v>
      </c>
      <c r="C133" s="23" t="s">
        <v>111</v>
      </c>
      <c r="D133">
        <v>408</v>
      </c>
      <c r="E133" s="132">
        <v>0</v>
      </c>
      <c r="F133" s="132">
        <v>0</v>
      </c>
      <c r="G133" s="132">
        <v>0</v>
      </c>
      <c r="H133" s="132">
        <v>0</v>
      </c>
      <c r="I133" s="132">
        <v>0</v>
      </c>
      <c r="J133" s="132">
        <v>0</v>
      </c>
      <c r="K133" s="132">
        <v>0</v>
      </c>
      <c r="L133" s="132">
        <v>0</v>
      </c>
      <c r="M133" s="132">
        <v>0</v>
      </c>
      <c r="N133" s="132">
        <v>0</v>
      </c>
      <c r="O133" s="132">
        <v>0</v>
      </c>
      <c r="P133" s="132">
        <v>0</v>
      </c>
      <c r="Q133" s="128">
        <f t="shared" si="5"/>
        <v>0</v>
      </c>
    </row>
    <row r="134" spans="1:17" x14ac:dyDescent="0.2">
      <c r="A134" s="23" t="s">
        <v>104</v>
      </c>
      <c r="B134">
        <v>4</v>
      </c>
      <c r="C134" s="23" t="s">
        <v>111</v>
      </c>
      <c r="D134">
        <v>409</v>
      </c>
      <c r="E134" s="132">
        <v>0</v>
      </c>
      <c r="F134" s="132">
        <v>0</v>
      </c>
      <c r="G134" s="132">
        <v>0</v>
      </c>
      <c r="H134" s="132">
        <v>0</v>
      </c>
      <c r="I134" s="132">
        <v>0</v>
      </c>
      <c r="J134" s="132">
        <v>0</v>
      </c>
      <c r="K134" s="132">
        <v>0</v>
      </c>
      <c r="L134" s="132">
        <v>0</v>
      </c>
      <c r="M134" s="132">
        <v>0</v>
      </c>
      <c r="N134" s="132">
        <v>0</v>
      </c>
      <c r="O134" s="132">
        <v>0</v>
      </c>
      <c r="P134" s="132">
        <v>0</v>
      </c>
      <c r="Q134" s="128">
        <f t="shared" si="5"/>
        <v>0</v>
      </c>
    </row>
    <row r="135" spans="1:17" x14ac:dyDescent="0.2">
      <c r="A135" s="23" t="s">
        <v>104</v>
      </c>
      <c r="B135">
        <v>4</v>
      </c>
      <c r="C135" s="23" t="s">
        <v>111</v>
      </c>
      <c r="D135">
        <v>410</v>
      </c>
      <c r="E135" s="132">
        <v>0</v>
      </c>
      <c r="F135" s="132">
        <v>0</v>
      </c>
      <c r="G135" s="132">
        <v>0</v>
      </c>
      <c r="H135" s="132">
        <v>0</v>
      </c>
      <c r="I135" s="132">
        <v>0</v>
      </c>
      <c r="J135" s="132">
        <v>0</v>
      </c>
      <c r="K135" s="132">
        <v>0</v>
      </c>
      <c r="L135" s="132">
        <v>0</v>
      </c>
      <c r="M135" s="132">
        <v>0</v>
      </c>
      <c r="N135" s="132">
        <v>0</v>
      </c>
      <c r="O135" s="132">
        <v>0</v>
      </c>
      <c r="P135" s="132">
        <v>0</v>
      </c>
      <c r="Q135" s="128">
        <f t="shared" si="5"/>
        <v>0</v>
      </c>
    </row>
    <row r="136" spans="1:17" x14ac:dyDescent="0.2">
      <c r="A136" s="23" t="s">
        <v>104</v>
      </c>
      <c r="B136">
        <v>4</v>
      </c>
      <c r="C136" s="23" t="s">
        <v>111</v>
      </c>
      <c r="D136">
        <v>411</v>
      </c>
      <c r="E136" s="132">
        <v>0</v>
      </c>
      <c r="F136" s="132">
        <v>0</v>
      </c>
      <c r="G136" s="132">
        <v>0</v>
      </c>
      <c r="H136" s="132">
        <v>0</v>
      </c>
      <c r="I136" s="132">
        <v>0</v>
      </c>
      <c r="J136" s="132">
        <v>0</v>
      </c>
      <c r="K136" s="132">
        <v>0</v>
      </c>
      <c r="L136" s="132">
        <v>0</v>
      </c>
      <c r="M136" s="132">
        <v>0</v>
      </c>
      <c r="N136" s="132">
        <v>0</v>
      </c>
      <c r="O136" s="132">
        <v>0</v>
      </c>
      <c r="P136" s="132">
        <v>0</v>
      </c>
      <c r="Q136" s="128">
        <f t="shared" si="5"/>
        <v>0</v>
      </c>
    </row>
    <row r="137" spans="1:17" x14ac:dyDescent="0.2">
      <c r="A137" s="23" t="s">
        <v>104</v>
      </c>
      <c r="B137">
        <v>4</v>
      </c>
      <c r="C137" s="23" t="s">
        <v>111</v>
      </c>
      <c r="D137">
        <v>412</v>
      </c>
      <c r="E137" s="132">
        <v>0</v>
      </c>
      <c r="F137" s="132">
        <v>0</v>
      </c>
      <c r="G137" s="132">
        <v>0</v>
      </c>
      <c r="H137" s="132">
        <v>0</v>
      </c>
      <c r="I137" s="132">
        <v>0</v>
      </c>
      <c r="J137" s="132">
        <v>0</v>
      </c>
      <c r="K137" s="132">
        <v>0</v>
      </c>
      <c r="L137" s="132">
        <v>0</v>
      </c>
      <c r="M137" s="132">
        <v>0</v>
      </c>
      <c r="N137" s="132">
        <v>0</v>
      </c>
      <c r="O137" s="132">
        <v>0</v>
      </c>
      <c r="P137" s="132">
        <v>0</v>
      </c>
      <c r="Q137" s="128">
        <f t="shared" si="5"/>
        <v>0</v>
      </c>
    </row>
    <row r="138" spans="1:17" x14ac:dyDescent="0.2">
      <c r="A138" s="23" t="s">
        <v>104</v>
      </c>
      <c r="B138">
        <v>4</v>
      </c>
      <c r="C138" s="23" t="s">
        <v>111</v>
      </c>
      <c r="D138">
        <v>413</v>
      </c>
      <c r="E138" s="132">
        <v>0</v>
      </c>
      <c r="F138" s="132">
        <v>0</v>
      </c>
      <c r="G138" s="132">
        <v>0</v>
      </c>
      <c r="H138" s="132">
        <v>0</v>
      </c>
      <c r="I138" s="132">
        <v>0</v>
      </c>
      <c r="J138" s="132">
        <v>0</v>
      </c>
      <c r="K138" s="132">
        <v>0</v>
      </c>
      <c r="L138" s="132">
        <v>0</v>
      </c>
      <c r="M138" s="132">
        <v>0</v>
      </c>
      <c r="N138" s="132">
        <v>0</v>
      </c>
      <c r="O138" s="132">
        <v>0</v>
      </c>
      <c r="P138" s="132">
        <v>0</v>
      </c>
      <c r="Q138" s="128">
        <f t="shared" si="5"/>
        <v>0</v>
      </c>
    </row>
    <row r="139" spans="1:17" x14ac:dyDescent="0.2">
      <c r="A139" s="23" t="s">
        <v>104</v>
      </c>
      <c r="B139">
        <v>4</v>
      </c>
      <c r="C139" s="23" t="s">
        <v>111</v>
      </c>
      <c r="D139">
        <v>414</v>
      </c>
      <c r="E139" s="132">
        <v>0</v>
      </c>
      <c r="F139" s="132">
        <v>0</v>
      </c>
      <c r="G139" s="132">
        <v>0</v>
      </c>
      <c r="H139" s="132">
        <v>0</v>
      </c>
      <c r="I139" s="132">
        <v>0</v>
      </c>
      <c r="J139" s="132">
        <v>0</v>
      </c>
      <c r="K139" s="132">
        <v>0</v>
      </c>
      <c r="L139" s="132">
        <v>0</v>
      </c>
      <c r="M139" s="132">
        <v>0</v>
      </c>
      <c r="N139" s="132">
        <v>0</v>
      </c>
      <c r="O139" s="132">
        <v>0</v>
      </c>
      <c r="P139" s="132">
        <v>0</v>
      </c>
      <c r="Q139" s="128">
        <f t="shared" si="5"/>
        <v>0</v>
      </c>
    </row>
    <row r="140" spans="1:17" x14ac:dyDescent="0.2">
      <c r="A140" s="23" t="s">
        <v>104</v>
      </c>
      <c r="B140">
        <v>4</v>
      </c>
      <c r="C140" s="23" t="s">
        <v>111</v>
      </c>
      <c r="D140">
        <v>415</v>
      </c>
      <c r="E140" s="132">
        <v>0</v>
      </c>
      <c r="F140" s="132">
        <v>0</v>
      </c>
      <c r="G140" s="132">
        <v>0</v>
      </c>
      <c r="H140" s="132">
        <v>0</v>
      </c>
      <c r="I140" s="132">
        <v>0</v>
      </c>
      <c r="J140" s="132">
        <v>0</v>
      </c>
      <c r="K140" s="132">
        <v>0</v>
      </c>
      <c r="L140" s="132">
        <v>0</v>
      </c>
      <c r="M140" s="132">
        <v>0</v>
      </c>
      <c r="N140" s="132">
        <v>0</v>
      </c>
      <c r="O140" s="132">
        <v>0</v>
      </c>
      <c r="P140" s="132">
        <v>0</v>
      </c>
      <c r="Q140" s="128">
        <f t="shared" si="5"/>
        <v>0</v>
      </c>
    </row>
    <row r="141" spans="1:17" x14ac:dyDescent="0.2">
      <c r="A141" s="23" t="s">
        <v>104</v>
      </c>
      <c r="B141">
        <v>4</v>
      </c>
      <c r="C141" s="23" t="s">
        <v>111</v>
      </c>
      <c r="D141">
        <v>416</v>
      </c>
      <c r="E141" s="132">
        <v>0</v>
      </c>
      <c r="F141" s="132">
        <v>0</v>
      </c>
      <c r="G141" s="132">
        <v>0</v>
      </c>
      <c r="H141" s="132">
        <v>0</v>
      </c>
      <c r="I141" s="132">
        <v>0</v>
      </c>
      <c r="J141" s="132">
        <v>0</v>
      </c>
      <c r="K141" s="132">
        <v>0</v>
      </c>
      <c r="L141" s="132">
        <v>0</v>
      </c>
      <c r="M141" s="132">
        <v>0</v>
      </c>
      <c r="N141" s="132">
        <v>0</v>
      </c>
      <c r="O141" s="132">
        <v>0</v>
      </c>
      <c r="P141" s="132">
        <v>0</v>
      </c>
      <c r="Q141" s="128">
        <f t="shared" si="5"/>
        <v>0</v>
      </c>
    </row>
    <row r="142" spans="1:17" x14ac:dyDescent="0.2">
      <c r="A142" s="23" t="s">
        <v>104</v>
      </c>
      <c r="B142">
        <v>4</v>
      </c>
      <c r="C142" s="23" t="s">
        <v>111</v>
      </c>
      <c r="D142">
        <v>417</v>
      </c>
      <c r="E142" s="132">
        <v>0</v>
      </c>
      <c r="F142" s="132">
        <v>0</v>
      </c>
      <c r="G142" s="132">
        <v>0</v>
      </c>
      <c r="H142" s="132">
        <v>0</v>
      </c>
      <c r="I142" s="132">
        <v>0</v>
      </c>
      <c r="J142" s="132">
        <v>0</v>
      </c>
      <c r="K142" s="132">
        <v>0</v>
      </c>
      <c r="L142" s="132">
        <v>0</v>
      </c>
      <c r="M142" s="132">
        <v>0</v>
      </c>
      <c r="N142" s="132">
        <v>0</v>
      </c>
      <c r="O142" s="132">
        <v>0</v>
      </c>
      <c r="P142" s="132">
        <v>0</v>
      </c>
      <c r="Q142" s="128">
        <f t="shared" si="5"/>
        <v>0</v>
      </c>
    </row>
    <row r="143" spans="1:17" x14ac:dyDescent="0.2">
      <c r="A143" s="23" t="s">
        <v>104</v>
      </c>
      <c r="B143">
        <v>4</v>
      </c>
      <c r="C143" s="23" t="s">
        <v>111</v>
      </c>
      <c r="D143">
        <v>418</v>
      </c>
      <c r="E143" s="132">
        <v>0</v>
      </c>
      <c r="F143" s="132">
        <v>0</v>
      </c>
      <c r="G143" s="132">
        <v>0</v>
      </c>
      <c r="H143" s="132">
        <v>0</v>
      </c>
      <c r="I143" s="132">
        <v>0</v>
      </c>
      <c r="J143" s="132">
        <v>0</v>
      </c>
      <c r="K143" s="132">
        <v>0</v>
      </c>
      <c r="L143" s="132">
        <v>0</v>
      </c>
      <c r="M143" s="132">
        <v>0</v>
      </c>
      <c r="N143" s="132">
        <v>0</v>
      </c>
      <c r="O143" s="132">
        <v>0</v>
      </c>
      <c r="P143" s="132">
        <v>0</v>
      </c>
      <c r="Q143" s="128">
        <f t="shared" si="5"/>
        <v>0</v>
      </c>
    </row>
    <row r="144" spans="1:17" x14ac:dyDescent="0.2">
      <c r="A144" s="23" t="s">
        <v>104</v>
      </c>
      <c r="B144">
        <v>4</v>
      </c>
      <c r="C144" s="23" t="s">
        <v>111</v>
      </c>
      <c r="D144">
        <v>419</v>
      </c>
      <c r="E144" s="132">
        <v>0</v>
      </c>
      <c r="F144" s="132">
        <v>0</v>
      </c>
      <c r="G144" s="132">
        <v>0</v>
      </c>
      <c r="H144" s="132">
        <v>0</v>
      </c>
      <c r="I144" s="132">
        <v>0</v>
      </c>
      <c r="J144" s="132">
        <v>0</v>
      </c>
      <c r="K144" s="132">
        <v>0</v>
      </c>
      <c r="L144" s="132">
        <v>0</v>
      </c>
      <c r="M144" s="132">
        <v>0</v>
      </c>
      <c r="N144" s="132">
        <v>0</v>
      </c>
      <c r="O144" s="132">
        <v>0</v>
      </c>
      <c r="P144" s="132">
        <v>0</v>
      </c>
      <c r="Q144" s="128">
        <f t="shared" si="5"/>
        <v>0</v>
      </c>
    </row>
    <row r="145" spans="1:17" x14ac:dyDescent="0.2">
      <c r="A145" s="23" t="s">
        <v>104</v>
      </c>
      <c r="B145">
        <v>4</v>
      </c>
      <c r="C145" s="23" t="s">
        <v>111</v>
      </c>
      <c r="D145">
        <v>420</v>
      </c>
      <c r="E145" s="132">
        <v>0</v>
      </c>
      <c r="F145" s="132">
        <v>0</v>
      </c>
      <c r="G145" s="132">
        <v>0</v>
      </c>
      <c r="H145" s="132">
        <v>0</v>
      </c>
      <c r="I145" s="132">
        <v>0</v>
      </c>
      <c r="J145" s="132">
        <v>0</v>
      </c>
      <c r="K145" s="132">
        <v>0</v>
      </c>
      <c r="L145" s="132">
        <v>0</v>
      </c>
      <c r="M145" s="132">
        <v>0</v>
      </c>
      <c r="N145" s="132">
        <v>0</v>
      </c>
      <c r="O145" s="132">
        <v>0</v>
      </c>
      <c r="P145" s="132">
        <v>0</v>
      </c>
      <c r="Q145" s="128">
        <f t="shared" si="5"/>
        <v>0</v>
      </c>
    </row>
    <row r="146" spans="1:17" x14ac:dyDescent="0.2">
      <c r="A146" s="23" t="s">
        <v>104</v>
      </c>
      <c r="B146">
        <v>4</v>
      </c>
      <c r="C146" s="23" t="s">
        <v>111</v>
      </c>
      <c r="D146">
        <v>421</v>
      </c>
      <c r="E146" s="132">
        <v>0</v>
      </c>
      <c r="F146" s="132">
        <v>0</v>
      </c>
      <c r="G146" s="132">
        <v>0</v>
      </c>
      <c r="H146" s="132">
        <v>0</v>
      </c>
      <c r="I146" s="132">
        <v>0</v>
      </c>
      <c r="J146" s="132">
        <v>0</v>
      </c>
      <c r="K146" s="132">
        <v>0</v>
      </c>
      <c r="L146" s="132">
        <v>0</v>
      </c>
      <c r="M146" s="132">
        <v>0</v>
      </c>
      <c r="N146" s="132">
        <v>0</v>
      </c>
      <c r="O146" s="132">
        <v>0</v>
      </c>
      <c r="P146" s="132">
        <v>0</v>
      </c>
      <c r="Q146" s="128">
        <f t="shared" si="5"/>
        <v>0</v>
      </c>
    </row>
    <row r="147" spans="1:17" x14ac:dyDescent="0.2">
      <c r="A147" s="23"/>
      <c r="C147" s="23"/>
      <c r="D147" s="23"/>
      <c r="E147" s="132"/>
      <c r="F147" s="132">
        <f t="shared" ref="F147:P147" si="6">AVERAGE(F103:F146)</f>
        <v>0</v>
      </c>
      <c r="G147" s="132">
        <f t="shared" si="6"/>
        <v>0</v>
      </c>
      <c r="H147" s="132">
        <f t="shared" si="6"/>
        <v>0</v>
      </c>
      <c r="I147" s="132">
        <f t="shared" si="6"/>
        <v>0</v>
      </c>
      <c r="J147" s="132">
        <f t="shared" si="6"/>
        <v>0</v>
      </c>
      <c r="K147" s="132">
        <f t="shared" si="6"/>
        <v>0</v>
      </c>
      <c r="L147" s="132">
        <f t="shared" si="6"/>
        <v>0</v>
      </c>
      <c r="M147" s="132">
        <f t="shared" si="6"/>
        <v>0</v>
      </c>
      <c r="N147" s="132">
        <f t="shared" si="6"/>
        <v>0</v>
      </c>
      <c r="O147" s="132">
        <f t="shared" si="6"/>
        <v>0</v>
      </c>
      <c r="P147" s="132">
        <f t="shared" si="6"/>
        <v>0</v>
      </c>
      <c r="Q147" s="128">
        <f t="shared" si="5"/>
        <v>0</v>
      </c>
    </row>
    <row r="148" spans="1:17" x14ac:dyDescent="0.2">
      <c r="A148" s="23" t="s">
        <v>104</v>
      </c>
      <c r="B148">
        <v>5</v>
      </c>
      <c r="C148" s="23" t="s">
        <v>112</v>
      </c>
      <c r="D148">
        <v>501</v>
      </c>
      <c r="E148" s="132">
        <v>0</v>
      </c>
      <c r="F148" s="132">
        <v>0</v>
      </c>
      <c r="G148" s="132">
        <v>0</v>
      </c>
      <c r="H148" s="132">
        <v>0</v>
      </c>
      <c r="I148" s="132">
        <v>0</v>
      </c>
      <c r="J148" s="132">
        <v>0</v>
      </c>
      <c r="K148" s="132">
        <v>0</v>
      </c>
      <c r="L148" s="132">
        <v>0</v>
      </c>
      <c r="M148" s="132">
        <v>0</v>
      </c>
      <c r="N148" s="132">
        <v>0</v>
      </c>
      <c r="O148" s="132">
        <v>0</v>
      </c>
      <c r="P148" s="132">
        <v>0</v>
      </c>
      <c r="Q148" s="128">
        <f t="shared" si="5"/>
        <v>0</v>
      </c>
    </row>
    <row r="149" spans="1:17" x14ac:dyDescent="0.2">
      <c r="A149" s="23" t="s">
        <v>104</v>
      </c>
      <c r="B149">
        <v>5</v>
      </c>
      <c r="C149" s="23" t="s">
        <v>112</v>
      </c>
      <c r="D149">
        <v>502</v>
      </c>
      <c r="E149" s="132">
        <v>0</v>
      </c>
      <c r="F149" s="132">
        <v>0</v>
      </c>
      <c r="G149" s="132">
        <v>0</v>
      </c>
      <c r="H149" s="132">
        <v>0</v>
      </c>
      <c r="I149" s="132">
        <v>0</v>
      </c>
      <c r="J149" s="132">
        <v>0</v>
      </c>
      <c r="K149" s="132">
        <v>0</v>
      </c>
      <c r="L149" s="132">
        <v>0</v>
      </c>
      <c r="M149" s="132">
        <v>0</v>
      </c>
      <c r="N149" s="132">
        <v>0</v>
      </c>
      <c r="O149" s="132">
        <v>0</v>
      </c>
      <c r="P149" s="132">
        <v>0</v>
      </c>
      <c r="Q149" s="128">
        <f t="shared" si="5"/>
        <v>0</v>
      </c>
    </row>
    <row r="150" spans="1:17" x14ac:dyDescent="0.2">
      <c r="A150" s="23" t="s">
        <v>104</v>
      </c>
      <c r="B150">
        <v>5</v>
      </c>
      <c r="C150" s="23" t="s">
        <v>112</v>
      </c>
      <c r="D150">
        <v>503</v>
      </c>
      <c r="E150" s="132">
        <v>0</v>
      </c>
      <c r="F150" s="132">
        <v>0</v>
      </c>
      <c r="G150" s="132">
        <v>0</v>
      </c>
      <c r="H150" s="132">
        <v>0</v>
      </c>
      <c r="I150" s="132">
        <v>0</v>
      </c>
      <c r="J150" s="132">
        <v>0</v>
      </c>
      <c r="K150" s="132">
        <v>0</v>
      </c>
      <c r="L150" s="132">
        <v>0</v>
      </c>
      <c r="M150" s="132">
        <v>0</v>
      </c>
      <c r="N150" s="132">
        <v>0</v>
      </c>
      <c r="O150" s="132">
        <v>0</v>
      </c>
      <c r="P150" s="132">
        <v>0</v>
      </c>
      <c r="Q150" s="128">
        <f t="shared" si="5"/>
        <v>0</v>
      </c>
    </row>
    <row r="151" spans="1:17" x14ac:dyDescent="0.2">
      <c r="A151" s="23" t="s">
        <v>104</v>
      </c>
      <c r="B151">
        <v>5</v>
      </c>
      <c r="C151" s="23" t="s">
        <v>112</v>
      </c>
      <c r="D151">
        <v>504</v>
      </c>
      <c r="E151" s="132">
        <v>0</v>
      </c>
      <c r="F151" s="132">
        <v>0</v>
      </c>
      <c r="G151" s="132">
        <v>0</v>
      </c>
      <c r="H151" s="132">
        <v>0</v>
      </c>
      <c r="I151" s="132">
        <v>0</v>
      </c>
      <c r="J151" s="132">
        <v>0</v>
      </c>
      <c r="K151" s="132">
        <v>0</v>
      </c>
      <c r="L151" s="132">
        <v>0</v>
      </c>
      <c r="M151" s="132">
        <v>0</v>
      </c>
      <c r="N151" s="132">
        <v>0</v>
      </c>
      <c r="O151" s="132">
        <v>0</v>
      </c>
      <c r="P151" s="132">
        <v>0</v>
      </c>
      <c r="Q151" s="128">
        <f t="shared" si="5"/>
        <v>0</v>
      </c>
    </row>
    <row r="152" spans="1:17" x14ac:dyDescent="0.2">
      <c r="A152" s="23" t="s">
        <v>104</v>
      </c>
      <c r="B152">
        <v>5</v>
      </c>
      <c r="C152" s="23" t="s">
        <v>112</v>
      </c>
      <c r="D152">
        <v>505</v>
      </c>
      <c r="E152" s="132">
        <v>0</v>
      </c>
      <c r="F152" s="132">
        <v>0</v>
      </c>
      <c r="G152" s="132">
        <v>0</v>
      </c>
      <c r="H152" s="132">
        <v>0</v>
      </c>
      <c r="I152" s="132">
        <v>0</v>
      </c>
      <c r="J152" s="132">
        <v>0</v>
      </c>
      <c r="K152" s="132">
        <v>0</v>
      </c>
      <c r="L152" s="132">
        <v>0</v>
      </c>
      <c r="M152" s="132">
        <v>0</v>
      </c>
      <c r="N152" s="132">
        <v>0</v>
      </c>
      <c r="O152" s="132">
        <v>0</v>
      </c>
      <c r="P152" s="132">
        <v>0</v>
      </c>
      <c r="Q152" s="128">
        <f t="shared" si="5"/>
        <v>0</v>
      </c>
    </row>
    <row r="153" spans="1:17" x14ac:dyDescent="0.2">
      <c r="A153" s="23" t="s">
        <v>104</v>
      </c>
      <c r="B153">
        <v>5</v>
      </c>
      <c r="C153" s="23" t="s">
        <v>112</v>
      </c>
      <c r="D153">
        <v>506</v>
      </c>
      <c r="E153" s="132">
        <v>0</v>
      </c>
      <c r="F153" s="132">
        <v>0</v>
      </c>
      <c r="G153" s="132">
        <v>0</v>
      </c>
      <c r="H153" s="132">
        <v>0</v>
      </c>
      <c r="I153" s="132">
        <v>0</v>
      </c>
      <c r="J153" s="132">
        <v>0</v>
      </c>
      <c r="K153" s="132">
        <v>0</v>
      </c>
      <c r="L153" s="132">
        <v>0</v>
      </c>
      <c r="M153" s="132">
        <v>0</v>
      </c>
      <c r="N153" s="132">
        <v>0</v>
      </c>
      <c r="O153" s="132">
        <v>0</v>
      </c>
      <c r="P153" s="132">
        <v>0</v>
      </c>
      <c r="Q153" s="128">
        <f t="shared" si="5"/>
        <v>0</v>
      </c>
    </row>
    <row r="154" spans="1:17" x14ac:dyDescent="0.2">
      <c r="A154" s="23" t="s">
        <v>104</v>
      </c>
      <c r="B154">
        <v>5</v>
      </c>
      <c r="C154" s="23" t="s">
        <v>112</v>
      </c>
      <c r="D154">
        <v>507</v>
      </c>
      <c r="E154" s="132">
        <v>0</v>
      </c>
      <c r="F154" s="132">
        <v>0</v>
      </c>
      <c r="G154" s="132">
        <v>0</v>
      </c>
      <c r="H154" s="132">
        <v>0</v>
      </c>
      <c r="I154" s="132">
        <v>0</v>
      </c>
      <c r="J154" s="132">
        <v>0</v>
      </c>
      <c r="K154" s="132">
        <v>0</v>
      </c>
      <c r="L154" s="132">
        <v>0</v>
      </c>
      <c r="M154" s="132">
        <v>0</v>
      </c>
      <c r="N154" s="132">
        <v>0</v>
      </c>
      <c r="O154" s="132">
        <v>0</v>
      </c>
      <c r="P154" s="132">
        <v>0</v>
      </c>
      <c r="Q154" s="128">
        <f t="shared" si="5"/>
        <v>0</v>
      </c>
    </row>
    <row r="155" spans="1:17" x14ac:dyDescent="0.2">
      <c r="A155" s="23" t="s">
        <v>104</v>
      </c>
      <c r="B155">
        <v>5</v>
      </c>
      <c r="C155" s="23" t="s">
        <v>112</v>
      </c>
      <c r="D155">
        <v>508</v>
      </c>
      <c r="E155" s="132">
        <v>0</v>
      </c>
      <c r="F155" s="132">
        <v>0</v>
      </c>
      <c r="G155" s="132">
        <v>0</v>
      </c>
      <c r="H155" s="132">
        <v>0</v>
      </c>
      <c r="I155" s="132">
        <v>0</v>
      </c>
      <c r="J155" s="132">
        <v>0</v>
      </c>
      <c r="K155" s="132">
        <v>0</v>
      </c>
      <c r="L155" s="132">
        <v>0</v>
      </c>
      <c r="M155" s="132">
        <v>0</v>
      </c>
      <c r="N155" s="132">
        <v>0</v>
      </c>
      <c r="O155" s="132">
        <v>0</v>
      </c>
      <c r="P155" s="132">
        <v>0</v>
      </c>
      <c r="Q155" s="128">
        <f t="shared" si="5"/>
        <v>0</v>
      </c>
    </row>
    <row r="156" spans="1:17" x14ac:dyDescent="0.2">
      <c r="A156" s="23" t="s">
        <v>104</v>
      </c>
      <c r="B156">
        <v>5</v>
      </c>
      <c r="C156" s="23" t="s">
        <v>112</v>
      </c>
      <c r="D156">
        <v>509</v>
      </c>
      <c r="E156" s="132">
        <v>0</v>
      </c>
      <c r="F156" s="132">
        <v>0</v>
      </c>
      <c r="G156" s="132">
        <v>0</v>
      </c>
      <c r="H156" s="132">
        <v>0</v>
      </c>
      <c r="I156" s="132">
        <v>0</v>
      </c>
      <c r="J156" s="132">
        <v>0</v>
      </c>
      <c r="K156" s="132">
        <v>0</v>
      </c>
      <c r="L156" s="132">
        <v>0</v>
      </c>
      <c r="M156" s="132">
        <v>0</v>
      </c>
      <c r="N156" s="132">
        <v>0</v>
      </c>
      <c r="O156" s="132">
        <v>0</v>
      </c>
      <c r="P156" s="132">
        <v>0</v>
      </c>
      <c r="Q156" s="128">
        <f t="shared" si="5"/>
        <v>0</v>
      </c>
    </row>
    <row r="157" spans="1:17" x14ac:dyDescent="0.2">
      <c r="A157" s="23" t="s">
        <v>104</v>
      </c>
      <c r="B157">
        <v>5</v>
      </c>
      <c r="C157" s="23" t="s">
        <v>112</v>
      </c>
      <c r="D157">
        <v>510</v>
      </c>
      <c r="E157" s="132">
        <v>0</v>
      </c>
      <c r="F157" s="132">
        <v>0</v>
      </c>
      <c r="G157" s="132">
        <v>0</v>
      </c>
      <c r="H157" s="132">
        <v>0</v>
      </c>
      <c r="I157" s="132">
        <v>0</v>
      </c>
      <c r="J157" s="132">
        <v>0</v>
      </c>
      <c r="K157" s="132">
        <v>0</v>
      </c>
      <c r="L157" s="132">
        <v>0</v>
      </c>
      <c r="M157" s="132">
        <v>0</v>
      </c>
      <c r="N157" s="132">
        <v>0</v>
      </c>
      <c r="O157" s="132">
        <v>0</v>
      </c>
      <c r="P157" s="132">
        <v>0</v>
      </c>
      <c r="Q157" s="128">
        <f t="shared" si="5"/>
        <v>0</v>
      </c>
    </row>
    <row r="158" spans="1:17" x14ac:dyDescent="0.2">
      <c r="A158" s="23" t="s">
        <v>104</v>
      </c>
      <c r="B158">
        <v>5</v>
      </c>
      <c r="C158" s="23" t="s">
        <v>112</v>
      </c>
      <c r="D158">
        <v>511</v>
      </c>
      <c r="E158" s="132">
        <v>0</v>
      </c>
      <c r="F158" s="132">
        <v>0</v>
      </c>
      <c r="G158" s="132">
        <v>0</v>
      </c>
      <c r="H158" s="132">
        <v>0</v>
      </c>
      <c r="I158" s="132">
        <v>0</v>
      </c>
      <c r="J158" s="132">
        <v>0</v>
      </c>
      <c r="K158" s="132">
        <v>0</v>
      </c>
      <c r="L158" s="132">
        <v>0</v>
      </c>
      <c r="M158" s="132">
        <v>0</v>
      </c>
      <c r="N158" s="132">
        <v>0</v>
      </c>
      <c r="O158" s="132">
        <v>0</v>
      </c>
      <c r="P158" s="132">
        <v>0</v>
      </c>
      <c r="Q158" s="128">
        <f t="shared" si="5"/>
        <v>0</v>
      </c>
    </row>
    <row r="159" spans="1:17" x14ac:dyDescent="0.2">
      <c r="A159" s="23" t="s">
        <v>104</v>
      </c>
      <c r="B159">
        <v>5</v>
      </c>
      <c r="C159" s="23" t="s">
        <v>112</v>
      </c>
      <c r="D159">
        <v>512</v>
      </c>
      <c r="E159" s="132">
        <v>0</v>
      </c>
      <c r="F159" s="132">
        <v>0</v>
      </c>
      <c r="G159" s="132">
        <v>0</v>
      </c>
      <c r="H159" s="132">
        <v>0</v>
      </c>
      <c r="I159" s="132">
        <v>0</v>
      </c>
      <c r="J159" s="132">
        <v>0</v>
      </c>
      <c r="K159" s="132">
        <v>0</v>
      </c>
      <c r="L159" s="132">
        <v>0</v>
      </c>
      <c r="M159" s="132">
        <v>0</v>
      </c>
      <c r="N159" s="132">
        <v>0</v>
      </c>
      <c r="O159" s="132">
        <v>0</v>
      </c>
      <c r="P159" s="132">
        <v>0</v>
      </c>
      <c r="Q159" s="128">
        <f t="shared" si="5"/>
        <v>0</v>
      </c>
    </row>
    <row r="160" spans="1:17" x14ac:dyDescent="0.2">
      <c r="A160" s="23" t="s">
        <v>104</v>
      </c>
      <c r="B160">
        <v>5</v>
      </c>
      <c r="C160" s="23" t="s">
        <v>112</v>
      </c>
      <c r="D160">
        <v>513</v>
      </c>
      <c r="E160" s="132">
        <v>0</v>
      </c>
      <c r="F160" s="132">
        <v>0</v>
      </c>
      <c r="G160" s="132">
        <v>0</v>
      </c>
      <c r="H160" s="132">
        <v>0</v>
      </c>
      <c r="I160" s="132">
        <v>0</v>
      </c>
      <c r="J160" s="132">
        <v>0</v>
      </c>
      <c r="K160" s="132">
        <v>0</v>
      </c>
      <c r="L160" s="132">
        <v>0</v>
      </c>
      <c r="M160" s="132">
        <v>0</v>
      </c>
      <c r="N160" s="132">
        <v>0</v>
      </c>
      <c r="O160" s="132">
        <v>0</v>
      </c>
      <c r="P160" s="132">
        <v>0</v>
      </c>
      <c r="Q160" s="128">
        <f t="shared" si="5"/>
        <v>0</v>
      </c>
    </row>
    <row r="161" spans="1:17" x14ac:dyDescent="0.2">
      <c r="A161" s="23" t="s">
        <v>104</v>
      </c>
      <c r="B161">
        <v>5</v>
      </c>
      <c r="C161" s="23" t="s">
        <v>112</v>
      </c>
      <c r="D161">
        <v>514</v>
      </c>
      <c r="E161" s="132">
        <v>0</v>
      </c>
      <c r="F161" s="132">
        <v>0</v>
      </c>
      <c r="G161" s="132">
        <v>0</v>
      </c>
      <c r="H161" s="132">
        <v>0</v>
      </c>
      <c r="I161" s="132">
        <v>0</v>
      </c>
      <c r="J161" s="132">
        <v>0</v>
      </c>
      <c r="K161" s="132">
        <v>0</v>
      </c>
      <c r="L161" s="132">
        <v>0</v>
      </c>
      <c r="M161" s="132">
        <v>0</v>
      </c>
      <c r="N161" s="132">
        <v>0</v>
      </c>
      <c r="O161" s="132">
        <v>0</v>
      </c>
      <c r="P161" s="132">
        <v>0</v>
      </c>
      <c r="Q161" s="128">
        <f t="shared" si="5"/>
        <v>0</v>
      </c>
    </row>
    <row r="162" spans="1:17" x14ac:dyDescent="0.2">
      <c r="A162" s="23" t="s">
        <v>104</v>
      </c>
      <c r="B162">
        <v>5</v>
      </c>
      <c r="C162" s="23" t="s">
        <v>112</v>
      </c>
      <c r="D162">
        <v>515</v>
      </c>
      <c r="E162" s="132">
        <v>0</v>
      </c>
      <c r="F162" s="132">
        <v>0</v>
      </c>
      <c r="G162" s="132">
        <v>0</v>
      </c>
      <c r="H162" s="132">
        <v>0</v>
      </c>
      <c r="I162" s="132">
        <v>0</v>
      </c>
      <c r="J162" s="132">
        <v>0</v>
      </c>
      <c r="K162" s="132">
        <v>0</v>
      </c>
      <c r="L162" s="132">
        <v>0</v>
      </c>
      <c r="M162" s="132">
        <v>0</v>
      </c>
      <c r="N162" s="132">
        <v>0</v>
      </c>
      <c r="O162" s="132">
        <v>0</v>
      </c>
      <c r="P162" s="132">
        <v>0</v>
      </c>
      <c r="Q162" s="128">
        <f t="shared" si="5"/>
        <v>0</v>
      </c>
    </row>
    <row r="163" spans="1:17" x14ac:dyDescent="0.2">
      <c r="A163" s="23" t="s">
        <v>104</v>
      </c>
      <c r="B163">
        <v>5</v>
      </c>
      <c r="C163" s="23" t="s">
        <v>112</v>
      </c>
      <c r="D163">
        <v>516</v>
      </c>
      <c r="E163" s="132">
        <v>0</v>
      </c>
      <c r="F163" s="132">
        <v>0</v>
      </c>
      <c r="G163" s="132">
        <v>0</v>
      </c>
      <c r="H163" s="132">
        <v>0</v>
      </c>
      <c r="I163" s="132">
        <v>0</v>
      </c>
      <c r="J163" s="132">
        <v>0</v>
      </c>
      <c r="K163" s="132">
        <v>0</v>
      </c>
      <c r="L163" s="132">
        <v>0</v>
      </c>
      <c r="M163" s="132">
        <v>0</v>
      </c>
      <c r="N163" s="132">
        <v>0</v>
      </c>
      <c r="O163" s="132">
        <v>0</v>
      </c>
      <c r="P163" s="132">
        <v>0</v>
      </c>
      <c r="Q163" s="128">
        <f t="shared" si="5"/>
        <v>0</v>
      </c>
    </row>
    <row r="164" spans="1:17" x14ac:dyDescent="0.2">
      <c r="A164" s="23" t="s">
        <v>104</v>
      </c>
      <c r="B164">
        <v>5</v>
      </c>
      <c r="C164" s="23" t="s">
        <v>112</v>
      </c>
      <c r="D164">
        <v>517</v>
      </c>
      <c r="E164" s="132">
        <v>0</v>
      </c>
      <c r="F164" s="132">
        <v>0</v>
      </c>
      <c r="G164" s="132">
        <v>0</v>
      </c>
      <c r="H164" s="132">
        <v>0</v>
      </c>
      <c r="I164" s="132">
        <v>0</v>
      </c>
      <c r="J164" s="132">
        <v>0</v>
      </c>
      <c r="K164" s="132">
        <v>0</v>
      </c>
      <c r="L164" s="132">
        <v>0</v>
      </c>
      <c r="M164" s="132">
        <v>0</v>
      </c>
      <c r="N164" s="132">
        <v>0</v>
      </c>
      <c r="O164" s="132">
        <v>0</v>
      </c>
      <c r="P164" s="132">
        <v>0</v>
      </c>
      <c r="Q164" s="128">
        <f t="shared" si="5"/>
        <v>0</v>
      </c>
    </row>
    <row r="165" spans="1:17" x14ac:dyDescent="0.2">
      <c r="A165" s="23" t="s">
        <v>104</v>
      </c>
      <c r="B165">
        <v>5</v>
      </c>
      <c r="C165" s="23" t="s">
        <v>112</v>
      </c>
      <c r="D165">
        <v>518</v>
      </c>
      <c r="E165" s="132">
        <v>0</v>
      </c>
      <c r="F165" s="132">
        <v>0</v>
      </c>
      <c r="G165" s="132">
        <v>0</v>
      </c>
      <c r="H165" s="132">
        <v>0</v>
      </c>
      <c r="I165" s="132">
        <v>0</v>
      </c>
      <c r="J165" s="132">
        <v>0</v>
      </c>
      <c r="K165" s="132">
        <v>0</v>
      </c>
      <c r="L165" s="132">
        <v>0</v>
      </c>
      <c r="M165" s="132">
        <v>0</v>
      </c>
      <c r="N165" s="132">
        <v>0</v>
      </c>
      <c r="O165" s="132">
        <v>0</v>
      </c>
      <c r="P165" s="132">
        <v>0</v>
      </c>
      <c r="Q165" s="128">
        <f t="shared" si="5"/>
        <v>0</v>
      </c>
    </row>
    <row r="166" spans="1:17" x14ac:dyDescent="0.2">
      <c r="A166" s="23" t="s">
        <v>104</v>
      </c>
      <c r="B166">
        <v>5</v>
      </c>
      <c r="C166" s="23" t="s">
        <v>112</v>
      </c>
      <c r="D166">
        <v>519</v>
      </c>
      <c r="E166" s="132">
        <v>0</v>
      </c>
      <c r="F166" s="132">
        <v>0</v>
      </c>
      <c r="G166" s="132">
        <v>0</v>
      </c>
      <c r="H166" s="132">
        <v>0</v>
      </c>
      <c r="I166" s="132">
        <v>0</v>
      </c>
      <c r="J166" s="132">
        <v>0</v>
      </c>
      <c r="K166" s="132">
        <v>0</v>
      </c>
      <c r="L166" s="132">
        <v>0</v>
      </c>
      <c r="M166" s="132">
        <v>0</v>
      </c>
      <c r="N166" s="132">
        <v>0</v>
      </c>
      <c r="O166" s="132">
        <v>0</v>
      </c>
      <c r="P166" s="132">
        <v>0</v>
      </c>
      <c r="Q166" s="128">
        <f t="shared" si="5"/>
        <v>0</v>
      </c>
    </row>
    <row r="167" spans="1:17" x14ac:dyDescent="0.2">
      <c r="A167" s="23" t="s">
        <v>104</v>
      </c>
      <c r="B167">
        <v>5</v>
      </c>
      <c r="C167" s="23" t="s">
        <v>112</v>
      </c>
      <c r="D167">
        <v>520</v>
      </c>
      <c r="E167" s="132">
        <v>0</v>
      </c>
      <c r="F167" s="132">
        <v>0</v>
      </c>
      <c r="G167" s="132">
        <v>0</v>
      </c>
      <c r="H167" s="132">
        <v>0</v>
      </c>
      <c r="I167" s="132">
        <v>0</v>
      </c>
      <c r="J167" s="132">
        <v>0</v>
      </c>
      <c r="K167" s="132">
        <v>0</v>
      </c>
      <c r="L167" s="132">
        <v>0</v>
      </c>
      <c r="M167" s="132">
        <v>0</v>
      </c>
      <c r="N167" s="132">
        <v>0</v>
      </c>
      <c r="O167" s="132">
        <v>0</v>
      </c>
      <c r="P167" s="132">
        <v>0</v>
      </c>
      <c r="Q167" s="128">
        <f t="shared" si="5"/>
        <v>0</v>
      </c>
    </row>
    <row r="168" spans="1:17" x14ac:dyDescent="0.2">
      <c r="A168" s="23" t="s">
        <v>104</v>
      </c>
      <c r="B168">
        <v>5</v>
      </c>
      <c r="C168" s="23" t="s">
        <v>112</v>
      </c>
      <c r="D168">
        <v>521</v>
      </c>
      <c r="E168" s="132">
        <v>0</v>
      </c>
      <c r="F168" s="132">
        <v>0</v>
      </c>
      <c r="G168" s="132">
        <v>0</v>
      </c>
      <c r="H168" s="132">
        <v>0</v>
      </c>
      <c r="I168" s="132">
        <v>0</v>
      </c>
      <c r="J168" s="132">
        <v>0</v>
      </c>
      <c r="K168" s="132">
        <v>0</v>
      </c>
      <c r="L168" s="132">
        <v>0</v>
      </c>
      <c r="M168" s="132">
        <v>0</v>
      </c>
      <c r="N168" s="132">
        <v>0</v>
      </c>
      <c r="O168" s="132">
        <v>0</v>
      </c>
      <c r="P168" s="132">
        <v>0</v>
      </c>
      <c r="Q168" s="128">
        <f t="shared" si="5"/>
        <v>0</v>
      </c>
    </row>
    <row r="169" spans="1:17" x14ac:dyDescent="0.2">
      <c r="A169" s="23" t="s">
        <v>104</v>
      </c>
      <c r="B169">
        <v>5</v>
      </c>
      <c r="C169" s="23" t="s">
        <v>112</v>
      </c>
      <c r="D169">
        <v>522</v>
      </c>
      <c r="E169" s="132">
        <v>0</v>
      </c>
      <c r="F169" s="132">
        <v>0</v>
      </c>
      <c r="G169" s="132">
        <v>0</v>
      </c>
      <c r="H169" s="132">
        <v>0</v>
      </c>
      <c r="I169" s="132">
        <v>0</v>
      </c>
      <c r="J169" s="132">
        <v>0</v>
      </c>
      <c r="K169" s="132">
        <v>0</v>
      </c>
      <c r="L169" s="132">
        <v>0</v>
      </c>
      <c r="M169" s="132">
        <v>0</v>
      </c>
      <c r="N169" s="132">
        <v>0</v>
      </c>
      <c r="O169" s="132">
        <v>0</v>
      </c>
      <c r="P169" s="132">
        <v>0</v>
      </c>
      <c r="Q169" s="128">
        <f t="shared" si="5"/>
        <v>0</v>
      </c>
    </row>
    <row r="170" spans="1:17" x14ac:dyDescent="0.2">
      <c r="A170" s="23" t="s">
        <v>104</v>
      </c>
      <c r="B170">
        <v>5</v>
      </c>
      <c r="C170" s="23" t="s">
        <v>112</v>
      </c>
      <c r="D170">
        <v>523</v>
      </c>
      <c r="E170" s="132">
        <v>0</v>
      </c>
      <c r="F170" s="132">
        <v>0</v>
      </c>
      <c r="G170" s="132">
        <v>0</v>
      </c>
      <c r="H170" s="132">
        <v>0</v>
      </c>
      <c r="I170" s="132">
        <v>0</v>
      </c>
      <c r="J170" s="132">
        <v>0</v>
      </c>
      <c r="K170" s="132">
        <v>0</v>
      </c>
      <c r="L170" s="132">
        <v>0</v>
      </c>
      <c r="M170" s="132">
        <v>0</v>
      </c>
      <c r="N170" s="132">
        <v>0</v>
      </c>
      <c r="O170" s="132">
        <v>0</v>
      </c>
      <c r="P170" s="132">
        <v>0</v>
      </c>
      <c r="Q170" s="128">
        <f t="shared" si="5"/>
        <v>0</v>
      </c>
    </row>
    <row r="171" spans="1:17" x14ac:dyDescent="0.2">
      <c r="A171" s="23" t="s">
        <v>104</v>
      </c>
      <c r="B171">
        <v>5</v>
      </c>
      <c r="C171" s="23" t="s">
        <v>111</v>
      </c>
      <c r="D171">
        <v>501</v>
      </c>
      <c r="E171" s="132">
        <v>0</v>
      </c>
      <c r="F171" s="132">
        <v>0</v>
      </c>
      <c r="G171" s="132">
        <v>0</v>
      </c>
      <c r="H171" s="132">
        <v>0</v>
      </c>
      <c r="I171" s="132">
        <v>0</v>
      </c>
      <c r="J171" s="132">
        <v>0</v>
      </c>
      <c r="K171" s="132">
        <v>0</v>
      </c>
      <c r="L171" s="132">
        <v>0</v>
      </c>
      <c r="M171" s="132">
        <v>0</v>
      </c>
      <c r="N171" s="132">
        <v>0</v>
      </c>
      <c r="O171" s="132">
        <v>0</v>
      </c>
      <c r="P171" s="132">
        <v>0</v>
      </c>
      <c r="Q171" s="128">
        <f t="shared" si="5"/>
        <v>0</v>
      </c>
    </row>
    <row r="172" spans="1:17" x14ac:dyDescent="0.2">
      <c r="A172" s="23" t="s">
        <v>104</v>
      </c>
      <c r="B172">
        <v>5</v>
      </c>
      <c r="C172" s="23" t="s">
        <v>111</v>
      </c>
      <c r="D172">
        <v>502</v>
      </c>
      <c r="E172" s="132">
        <v>0</v>
      </c>
      <c r="F172" s="132">
        <v>0</v>
      </c>
      <c r="G172" s="132">
        <v>0</v>
      </c>
      <c r="H172" s="132">
        <v>0</v>
      </c>
      <c r="I172" s="132">
        <v>0</v>
      </c>
      <c r="J172" s="132">
        <v>0</v>
      </c>
      <c r="K172" s="132">
        <v>0</v>
      </c>
      <c r="L172" s="132">
        <v>0</v>
      </c>
      <c r="M172" s="132">
        <v>0</v>
      </c>
      <c r="N172" s="132">
        <v>0</v>
      </c>
      <c r="O172" s="132">
        <v>0</v>
      </c>
      <c r="P172" s="132">
        <v>0</v>
      </c>
      <c r="Q172" s="128">
        <f t="shared" si="5"/>
        <v>0</v>
      </c>
    </row>
    <row r="173" spans="1:17" x14ac:dyDescent="0.2">
      <c r="A173" s="23" t="s">
        <v>104</v>
      </c>
      <c r="B173">
        <v>5</v>
      </c>
      <c r="C173" s="23" t="s">
        <v>111</v>
      </c>
      <c r="D173">
        <v>503</v>
      </c>
      <c r="E173" s="132">
        <v>0</v>
      </c>
      <c r="F173" s="132">
        <v>0</v>
      </c>
      <c r="G173" s="132">
        <v>0</v>
      </c>
      <c r="H173" s="132">
        <v>0</v>
      </c>
      <c r="I173" s="132">
        <v>0</v>
      </c>
      <c r="J173" s="132">
        <v>0</v>
      </c>
      <c r="K173" s="132">
        <v>0</v>
      </c>
      <c r="L173" s="132">
        <v>0</v>
      </c>
      <c r="M173" s="132">
        <v>0</v>
      </c>
      <c r="N173" s="132">
        <v>0</v>
      </c>
      <c r="O173" s="132">
        <v>0</v>
      </c>
      <c r="P173" s="132">
        <v>0</v>
      </c>
      <c r="Q173" s="128">
        <f t="shared" si="5"/>
        <v>0</v>
      </c>
    </row>
    <row r="174" spans="1:17" x14ac:dyDescent="0.2">
      <c r="A174" s="23" t="s">
        <v>104</v>
      </c>
      <c r="B174">
        <v>5</v>
      </c>
      <c r="C174" s="23" t="s">
        <v>111</v>
      </c>
      <c r="D174">
        <v>504</v>
      </c>
      <c r="E174" s="132">
        <v>0</v>
      </c>
      <c r="F174" s="132">
        <v>0</v>
      </c>
      <c r="G174" s="132">
        <v>0</v>
      </c>
      <c r="H174" s="132">
        <v>0</v>
      </c>
      <c r="I174" s="132">
        <v>0</v>
      </c>
      <c r="J174" s="132">
        <v>0</v>
      </c>
      <c r="K174" s="132">
        <v>0</v>
      </c>
      <c r="L174" s="132">
        <v>0</v>
      </c>
      <c r="M174" s="132">
        <v>0</v>
      </c>
      <c r="N174" s="132">
        <v>0</v>
      </c>
      <c r="O174" s="132">
        <v>0</v>
      </c>
      <c r="P174" s="132">
        <v>0</v>
      </c>
      <c r="Q174" s="128">
        <f t="shared" si="5"/>
        <v>0</v>
      </c>
    </row>
    <row r="175" spans="1:17" x14ac:dyDescent="0.2">
      <c r="A175" s="23" t="s">
        <v>104</v>
      </c>
      <c r="B175">
        <v>5</v>
      </c>
      <c r="C175" s="23" t="s">
        <v>111</v>
      </c>
      <c r="D175">
        <v>505</v>
      </c>
      <c r="E175" s="132">
        <v>0</v>
      </c>
      <c r="F175" s="132">
        <v>0</v>
      </c>
      <c r="G175" s="132">
        <v>0</v>
      </c>
      <c r="H175" s="132">
        <v>0</v>
      </c>
      <c r="I175" s="132">
        <v>0</v>
      </c>
      <c r="J175" s="132">
        <v>0</v>
      </c>
      <c r="K175" s="132">
        <v>0</v>
      </c>
      <c r="L175" s="132">
        <v>0</v>
      </c>
      <c r="M175" s="132">
        <v>0</v>
      </c>
      <c r="N175" s="132">
        <v>0</v>
      </c>
      <c r="O175" s="132">
        <v>0</v>
      </c>
      <c r="P175" s="132">
        <v>0</v>
      </c>
      <c r="Q175" s="128">
        <f t="shared" si="5"/>
        <v>0</v>
      </c>
    </row>
    <row r="176" spans="1:17" x14ac:dyDescent="0.2">
      <c r="A176" s="23" t="s">
        <v>104</v>
      </c>
      <c r="B176">
        <v>5</v>
      </c>
      <c r="C176" s="23" t="s">
        <v>111</v>
      </c>
      <c r="D176">
        <v>506</v>
      </c>
      <c r="E176" s="132">
        <v>0</v>
      </c>
      <c r="F176" s="132">
        <v>0</v>
      </c>
      <c r="G176" s="132">
        <v>0</v>
      </c>
      <c r="H176" s="132">
        <v>0</v>
      </c>
      <c r="I176" s="132">
        <v>0</v>
      </c>
      <c r="J176" s="132">
        <v>0</v>
      </c>
      <c r="K176" s="132">
        <v>0</v>
      </c>
      <c r="L176" s="132">
        <v>0</v>
      </c>
      <c r="M176" s="132">
        <v>0</v>
      </c>
      <c r="N176" s="132">
        <v>0</v>
      </c>
      <c r="O176" s="132">
        <v>0</v>
      </c>
      <c r="P176" s="132">
        <v>0</v>
      </c>
      <c r="Q176" s="128">
        <f t="shared" si="5"/>
        <v>0</v>
      </c>
    </row>
    <row r="177" spans="1:17" x14ac:dyDescent="0.2">
      <c r="A177" s="23" t="s">
        <v>104</v>
      </c>
      <c r="B177">
        <v>5</v>
      </c>
      <c r="C177" s="23" t="s">
        <v>111</v>
      </c>
      <c r="D177">
        <v>507</v>
      </c>
      <c r="E177" s="132">
        <v>0</v>
      </c>
      <c r="F177" s="132">
        <v>0</v>
      </c>
      <c r="G177" s="132">
        <v>0</v>
      </c>
      <c r="H177" s="132">
        <v>0</v>
      </c>
      <c r="I177" s="132">
        <v>0</v>
      </c>
      <c r="J177" s="132">
        <v>0</v>
      </c>
      <c r="K177" s="132">
        <v>0</v>
      </c>
      <c r="L177" s="132">
        <v>0</v>
      </c>
      <c r="M177" s="132">
        <v>0</v>
      </c>
      <c r="N177" s="132">
        <v>0</v>
      </c>
      <c r="O177" s="132">
        <v>0</v>
      </c>
      <c r="P177" s="132">
        <v>0</v>
      </c>
      <c r="Q177" s="128">
        <f t="shared" si="5"/>
        <v>0</v>
      </c>
    </row>
    <row r="178" spans="1:17" x14ac:dyDescent="0.2">
      <c r="A178" s="23" t="s">
        <v>104</v>
      </c>
      <c r="B178">
        <v>5</v>
      </c>
      <c r="C178" s="23" t="s">
        <v>111</v>
      </c>
      <c r="D178">
        <v>508</v>
      </c>
      <c r="E178" s="132">
        <v>0</v>
      </c>
      <c r="F178" s="132">
        <v>0</v>
      </c>
      <c r="G178" s="132">
        <v>0</v>
      </c>
      <c r="H178" s="132">
        <v>0</v>
      </c>
      <c r="I178" s="132">
        <v>0</v>
      </c>
      <c r="J178" s="132">
        <v>0</v>
      </c>
      <c r="K178" s="132">
        <v>0</v>
      </c>
      <c r="L178" s="132">
        <v>0</v>
      </c>
      <c r="M178" s="132">
        <v>0</v>
      </c>
      <c r="N178" s="132">
        <v>0</v>
      </c>
      <c r="O178" s="132">
        <v>0</v>
      </c>
      <c r="P178" s="132">
        <v>0</v>
      </c>
      <c r="Q178" s="128">
        <f t="shared" si="5"/>
        <v>0</v>
      </c>
    </row>
    <row r="179" spans="1:17" x14ac:dyDescent="0.2">
      <c r="A179" s="23" t="s">
        <v>104</v>
      </c>
      <c r="B179">
        <v>5</v>
      </c>
      <c r="C179" s="23" t="s">
        <v>111</v>
      </c>
      <c r="D179">
        <v>509</v>
      </c>
      <c r="E179" s="132">
        <v>0</v>
      </c>
      <c r="F179" s="132">
        <v>0</v>
      </c>
      <c r="G179" s="132">
        <v>0</v>
      </c>
      <c r="H179" s="132">
        <v>0</v>
      </c>
      <c r="I179" s="132">
        <v>0</v>
      </c>
      <c r="J179" s="132">
        <v>0</v>
      </c>
      <c r="K179" s="132">
        <v>0</v>
      </c>
      <c r="L179" s="132">
        <v>0</v>
      </c>
      <c r="M179" s="132">
        <v>0</v>
      </c>
      <c r="N179" s="132">
        <v>0</v>
      </c>
      <c r="O179" s="132">
        <v>0</v>
      </c>
      <c r="P179" s="132">
        <v>0</v>
      </c>
      <c r="Q179" s="128">
        <f t="shared" si="5"/>
        <v>0</v>
      </c>
    </row>
    <row r="180" spans="1:17" x14ac:dyDescent="0.2">
      <c r="A180" s="23" t="s">
        <v>104</v>
      </c>
      <c r="B180">
        <v>5</v>
      </c>
      <c r="C180" s="23" t="s">
        <v>111</v>
      </c>
      <c r="D180">
        <v>510</v>
      </c>
      <c r="E180" s="132">
        <v>0</v>
      </c>
      <c r="F180" s="132">
        <v>0</v>
      </c>
      <c r="G180" s="132">
        <v>0</v>
      </c>
      <c r="H180" s="132">
        <v>0</v>
      </c>
      <c r="I180" s="132">
        <v>0</v>
      </c>
      <c r="J180" s="132">
        <v>0</v>
      </c>
      <c r="K180" s="132">
        <v>0</v>
      </c>
      <c r="L180" s="132">
        <v>0</v>
      </c>
      <c r="M180" s="132">
        <v>0</v>
      </c>
      <c r="N180" s="132">
        <v>0</v>
      </c>
      <c r="O180" s="132">
        <v>0</v>
      </c>
      <c r="P180" s="132">
        <v>0</v>
      </c>
      <c r="Q180" s="128">
        <f t="shared" si="5"/>
        <v>0</v>
      </c>
    </row>
    <row r="181" spans="1:17" x14ac:dyDescent="0.2">
      <c r="A181" s="23" t="s">
        <v>104</v>
      </c>
      <c r="B181">
        <v>5</v>
      </c>
      <c r="C181" s="23" t="s">
        <v>111</v>
      </c>
      <c r="D181">
        <v>511</v>
      </c>
      <c r="E181" s="132">
        <v>0</v>
      </c>
      <c r="F181" s="132">
        <v>0</v>
      </c>
      <c r="G181" s="132">
        <v>0</v>
      </c>
      <c r="H181" s="132">
        <v>0</v>
      </c>
      <c r="I181" s="132">
        <v>0</v>
      </c>
      <c r="J181" s="132">
        <v>0</v>
      </c>
      <c r="K181" s="132">
        <v>0</v>
      </c>
      <c r="L181" s="132">
        <v>0</v>
      </c>
      <c r="M181" s="132">
        <v>0</v>
      </c>
      <c r="N181" s="132">
        <v>0</v>
      </c>
      <c r="O181" s="132">
        <v>0</v>
      </c>
      <c r="P181" s="132">
        <v>0</v>
      </c>
      <c r="Q181" s="128">
        <f t="shared" si="5"/>
        <v>0</v>
      </c>
    </row>
    <row r="182" spans="1:17" x14ac:dyDescent="0.2">
      <c r="A182" s="23" t="s">
        <v>104</v>
      </c>
      <c r="B182">
        <v>5</v>
      </c>
      <c r="C182" s="23" t="s">
        <v>111</v>
      </c>
      <c r="D182">
        <v>512</v>
      </c>
      <c r="E182" s="132">
        <v>0</v>
      </c>
      <c r="F182" s="132">
        <v>0</v>
      </c>
      <c r="G182" s="132">
        <v>0</v>
      </c>
      <c r="H182" s="132">
        <v>0</v>
      </c>
      <c r="I182" s="132">
        <v>0</v>
      </c>
      <c r="J182" s="132">
        <v>0</v>
      </c>
      <c r="K182" s="132">
        <v>0</v>
      </c>
      <c r="L182" s="132">
        <v>0</v>
      </c>
      <c r="M182" s="132">
        <v>0</v>
      </c>
      <c r="N182" s="132">
        <v>0</v>
      </c>
      <c r="O182" s="132">
        <v>0</v>
      </c>
      <c r="P182" s="132">
        <v>0</v>
      </c>
      <c r="Q182" s="128">
        <f t="shared" si="5"/>
        <v>0</v>
      </c>
    </row>
    <row r="183" spans="1:17" x14ac:dyDescent="0.2">
      <c r="A183" s="23" t="s">
        <v>104</v>
      </c>
      <c r="B183">
        <v>5</v>
      </c>
      <c r="C183" s="23" t="s">
        <v>111</v>
      </c>
      <c r="D183">
        <v>513</v>
      </c>
      <c r="E183" s="132">
        <v>0</v>
      </c>
      <c r="F183" s="132">
        <v>0</v>
      </c>
      <c r="G183" s="132">
        <v>0</v>
      </c>
      <c r="H183" s="132">
        <v>0</v>
      </c>
      <c r="I183" s="132">
        <v>0</v>
      </c>
      <c r="J183" s="132">
        <v>0</v>
      </c>
      <c r="K183" s="132">
        <v>0</v>
      </c>
      <c r="L183" s="132">
        <v>0</v>
      </c>
      <c r="M183" s="132">
        <v>0</v>
      </c>
      <c r="N183" s="132">
        <v>0</v>
      </c>
      <c r="O183" s="132">
        <v>0</v>
      </c>
      <c r="P183" s="132">
        <v>0</v>
      </c>
      <c r="Q183" s="128">
        <f t="shared" si="5"/>
        <v>0</v>
      </c>
    </row>
    <row r="184" spans="1:17" x14ac:dyDescent="0.2">
      <c r="A184" s="23" t="s">
        <v>104</v>
      </c>
      <c r="B184">
        <v>5</v>
      </c>
      <c r="C184" s="23" t="s">
        <v>111</v>
      </c>
      <c r="D184">
        <v>514</v>
      </c>
      <c r="E184" s="132">
        <v>0</v>
      </c>
      <c r="F184" s="132">
        <v>0</v>
      </c>
      <c r="G184" s="132">
        <v>0</v>
      </c>
      <c r="H184" s="132">
        <v>0</v>
      </c>
      <c r="I184" s="132">
        <v>0</v>
      </c>
      <c r="J184" s="132">
        <v>0</v>
      </c>
      <c r="K184" s="132">
        <v>0</v>
      </c>
      <c r="L184" s="132">
        <v>0</v>
      </c>
      <c r="M184" s="132">
        <v>0</v>
      </c>
      <c r="N184" s="132">
        <v>0</v>
      </c>
      <c r="O184" s="132">
        <v>0</v>
      </c>
      <c r="P184" s="132">
        <v>0</v>
      </c>
      <c r="Q184" s="128">
        <f t="shared" si="5"/>
        <v>0</v>
      </c>
    </row>
    <row r="185" spans="1:17" x14ac:dyDescent="0.2">
      <c r="A185" s="23" t="s">
        <v>104</v>
      </c>
      <c r="B185">
        <v>5</v>
      </c>
      <c r="C185" s="23" t="s">
        <v>111</v>
      </c>
      <c r="D185">
        <v>515</v>
      </c>
      <c r="E185" s="132">
        <v>0</v>
      </c>
      <c r="F185" s="132">
        <v>0</v>
      </c>
      <c r="G185" s="132">
        <v>0</v>
      </c>
      <c r="H185" s="132">
        <v>0</v>
      </c>
      <c r="I185" s="132">
        <v>0</v>
      </c>
      <c r="J185" s="132">
        <v>0</v>
      </c>
      <c r="K185" s="132">
        <v>0</v>
      </c>
      <c r="L185" s="132">
        <v>0</v>
      </c>
      <c r="M185" s="132">
        <v>0</v>
      </c>
      <c r="N185" s="132">
        <v>0</v>
      </c>
      <c r="O185" s="132">
        <v>0</v>
      </c>
      <c r="P185" s="132">
        <v>0</v>
      </c>
      <c r="Q185" s="128">
        <f t="shared" si="5"/>
        <v>0</v>
      </c>
    </row>
    <row r="186" spans="1:17" x14ac:dyDescent="0.2">
      <c r="A186" s="23" t="s">
        <v>104</v>
      </c>
      <c r="B186">
        <v>5</v>
      </c>
      <c r="C186" s="23" t="s">
        <v>111</v>
      </c>
      <c r="D186">
        <v>516</v>
      </c>
      <c r="E186" s="132">
        <v>0</v>
      </c>
      <c r="F186" s="132">
        <v>0</v>
      </c>
      <c r="G186" s="132">
        <v>0</v>
      </c>
      <c r="H186" s="132">
        <v>0</v>
      </c>
      <c r="I186" s="132">
        <v>0</v>
      </c>
      <c r="J186" s="132">
        <v>0</v>
      </c>
      <c r="K186" s="132">
        <v>0</v>
      </c>
      <c r="L186" s="132">
        <v>0</v>
      </c>
      <c r="M186" s="132">
        <v>0</v>
      </c>
      <c r="N186" s="132">
        <v>0</v>
      </c>
      <c r="O186" s="132">
        <v>0</v>
      </c>
      <c r="P186" s="132">
        <v>0</v>
      </c>
      <c r="Q186" s="128">
        <f t="shared" si="5"/>
        <v>0</v>
      </c>
    </row>
    <row r="187" spans="1:17" x14ac:dyDescent="0.2">
      <c r="A187" s="23" t="s">
        <v>104</v>
      </c>
      <c r="B187">
        <v>5</v>
      </c>
      <c r="C187" s="23" t="s">
        <v>111</v>
      </c>
      <c r="D187">
        <v>517</v>
      </c>
      <c r="E187" s="132">
        <v>0</v>
      </c>
      <c r="F187" s="132">
        <v>0</v>
      </c>
      <c r="G187" s="132">
        <v>0</v>
      </c>
      <c r="H187" s="132">
        <v>0</v>
      </c>
      <c r="I187" s="132">
        <v>0</v>
      </c>
      <c r="J187" s="132">
        <v>0</v>
      </c>
      <c r="K187" s="132">
        <v>0</v>
      </c>
      <c r="L187" s="132">
        <v>0</v>
      </c>
      <c r="M187" s="132">
        <v>0</v>
      </c>
      <c r="N187" s="132">
        <v>0</v>
      </c>
      <c r="O187" s="132">
        <v>0</v>
      </c>
      <c r="P187" s="132">
        <v>0</v>
      </c>
      <c r="Q187" s="128">
        <f t="shared" si="5"/>
        <v>0</v>
      </c>
    </row>
    <row r="188" spans="1:17" x14ac:dyDescent="0.2">
      <c r="A188" s="23" t="s">
        <v>104</v>
      </c>
      <c r="B188">
        <v>5</v>
      </c>
      <c r="C188" s="23" t="s">
        <v>111</v>
      </c>
      <c r="D188">
        <v>518</v>
      </c>
      <c r="E188" s="132">
        <v>0</v>
      </c>
      <c r="F188" s="132">
        <v>0</v>
      </c>
      <c r="G188" s="132">
        <v>0</v>
      </c>
      <c r="H188" s="132">
        <v>0</v>
      </c>
      <c r="I188" s="132">
        <v>0</v>
      </c>
      <c r="J188" s="132">
        <v>0</v>
      </c>
      <c r="K188" s="132">
        <v>0</v>
      </c>
      <c r="L188" s="132">
        <v>0</v>
      </c>
      <c r="M188" s="132">
        <v>0</v>
      </c>
      <c r="N188" s="132">
        <v>0</v>
      </c>
      <c r="O188" s="132">
        <v>0</v>
      </c>
      <c r="P188" s="132">
        <v>0</v>
      </c>
      <c r="Q188" s="128">
        <f t="shared" si="5"/>
        <v>0</v>
      </c>
    </row>
    <row r="189" spans="1:17" x14ac:dyDescent="0.2">
      <c r="A189" s="23" t="s">
        <v>104</v>
      </c>
      <c r="B189">
        <v>5</v>
      </c>
      <c r="C189" s="23" t="s">
        <v>111</v>
      </c>
      <c r="D189">
        <v>519</v>
      </c>
      <c r="E189" s="132">
        <v>0</v>
      </c>
      <c r="F189" s="132">
        <v>0</v>
      </c>
      <c r="G189" s="132">
        <v>0</v>
      </c>
      <c r="H189" s="132">
        <v>0</v>
      </c>
      <c r="I189" s="132">
        <v>0</v>
      </c>
      <c r="J189" s="132">
        <v>0</v>
      </c>
      <c r="K189" s="132">
        <v>0</v>
      </c>
      <c r="L189" s="132">
        <v>0</v>
      </c>
      <c r="M189" s="132">
        <v>0</v>
      </c>
      <c r="N189" s="132">
        <v>0</v>
      </c>
      <c r="O189" s="132">
        <v>0</v>
      </c>
      <c r="P189" s="132">
        <v>0</v>
      </c>
      <c r="Q189" s="128">
        <f t="shared" si="5"/>
        <v>0</v>
      </c>
    </row>
    <row r="190" spans="1:17" x14ac:dyDescent="0.2">
      <c r="A190" s="23" t="s">
        <v>104</v>
      </c>
      <c r="B190">
        <v>5</v>
      </c>
      <c r="C190" s="23" t="s">
        <v>111</v>
      </c>
      <c r="D190">
        <v>520</v>
      </c>
      <c r="E190" s="132">
        <v>0</v>
      </c>
      <c r="F190" s="132">
        <v>0</v>
      </c>
      <c r="G190" s="132">
        <v>0</v>
      </c>
      <c r="H190" s="132">
        <v>0</v>
      </c>
      <c r="I190" s="132">
        <v>0</v>
      </c>
      <c r="J190" s="132">
        <v>0</v>
      </c>
      <c r="K190" s="132">
        <v>0</v>
      </c>
      <c r="L190" s="132">
        <v>0</v>
      </c>
      <c r="M190" s="132">
        <v>0</v>
      </c>
      <c r="N190" s="132">
        <v>0</v>
      </c>
      <c r="O190" s="132">
        <v>0</v>
      </c>
      <c r="P190" s="132">
        <v>0</v>
      </c>
      <c r="Q190" s="128">
        <f t="shared" si="5"/>
        <v>0</v>
      </c>
    </row>
    <row r="191" spans="1:17" x14ac:dyDescent="0.2">
      <c r="A191" s="23" t="s">
        <v>104</v>
      </c>
      <c r="B191">
        <v>5</v>
      </c>
      <c r="C191" s="23" t="s">
        <v>111</v>
      </c>
      <c r="D191">
        <v>521</v>
      </c>
      <c r="E191" s="132">
        <v>0</v>
      </c>
      <c r="F191" s="132">
        <v>0</v>
      </c>
      <c r="G191" s="132">
        <v>0</v>
      </c>
      <c r="H191" s="132">
        <v>0</v>
      </c>
      <c r="I191" s="132">
        <v>0</v>
      </c>
      <c r="J191" s="132">
        <v>0</v>
      </c>
      <c r="K191" s="132">
        <v>0</v>
      </c>
      <c r="L191" s="132">
        <v>0</v>
      </c>
      <c r="M191" s="132">
        <v>0</v>
      </c>
      <c r="N191" s="132">
        <v>0</v>
      </c>
      <c r="O191" s="132">
        <v>0</v>
      </c>
      <c r="P191" s="132">
        <v>0</v>
      </c>
      <c r="Q191" s="128">
        <f t="shared" si="5"/>
        <v>0</v>
      </c>
    </row>
    <row r="192" spans="1:17" x14ac:dyDescent="0.2">
      <c r="A192" s="23"/>
      <c r="C192" s="23"/>
      <c r="D192" s="23"/>
      <c r="E192" s="132"/>
      <c r="F192" s="132">
        <f t="shared" ref="F192:P192" si="7">AVERAGE(F148:F191)</f>
        <v>0</v>
      </c>
      <c r="G192" s="132">
        <f t="shared" si="7"/>
        <v>0</v>
      </c>
      <c r="H192" s="132">
        <f t="shared" si="7"/>
        <v>0</v>
      </c>
      <c r="I192" s="132">
        <f t="shared" si="7"/>
        <v>0</v>
      </c>
      <c r="J192" s="132">
        <f t="shared" si="7"/>
        <v>0</v>
      </c>
      <c r="K192" s="132">
        <f t="shared" si="7"/>
        <v>0</v>
      </c>
      <c r="L192" s="132">
        <f t="shared" si="7"/>
        <v>0</v>
      </c>
      <c r="M192" s="132">
        <f t="shared" si="7"/>
        <v>0</v>
      </c>
      <c r="N192" s="132">
        <f t="shared" si="7"/>
        <v>0</v>
      </c>
      <c r="O192" s="132">
        <f t="shared" si="7"/>
        <v>0</v>
      </c>
      <c r="P192" s="132">
        <f t="shared" si="7"/>
        <v>0</v>
      </c>
      <c r="Q192" s="128">
        <f t="shared" si="5"/>
        <v>0</v>
      </c>
    </row>
    <row r="193" spans="1:17" x14ac:dyDescent="0.2">
      <c r="A193" s="23" t="s">
        <v>104</v>
      </c>
      <c r="B193">
        <v>6</v>
      </c>
      <c r="C193" s="23" t="s">
        <v>112</v>
      </c>
      <c r="D193">
        <v>601</v>
      </c>
      <c r="E193" s="132">
        <v>0</v>
      </c>
      <c r="F193" s="132">
        <v>0</v>
      </c>
      <c r="G193" s="132">
        <v>0</v>
      </c>
      <c r="H193" s="132">
        <v>0</v>
      </c>
      <c r="I193" s="132">
        <v>0</v>
      </c>
      <c r="J193" s="132">
        <v>0</v>
      </c>
      <c r="K193" s="132">
        <v>0</v>
      </c>
      <c r="L193" s="132">
        <v>0</v>
      </c>
      <c r="M193" s="132">
        <v>0</v>
      </c>
      <c r="N193" s="132">
        <v>0</v>
      </c>
      <c r="O193" s="132">
        <v>0</v>
      </c>
      <c r="P193" s="132">
        <v>0</v>
      </c>
      <c r="Q193" s="128">
        <f t="shared" si="5"/>
        <v>0</v>
      </c>
    </row>
    <row r="194" spans="1:17" x14ac:dyDescent="0.2">
      <c r="A194" s="23" t="s">
        <v>104</v>
      </c>
      <c r="B194">
        <v>6</v>
      </c>
      <c r="C194" s="23" t="s">
        <v>112</v>
      </c>
      <c r="D194">
        <v>602</v>
      </c>
      <c r="E194" s="132">
        <v>0</v>
      </c>
      <c r="F194" s="132">
        <v>0</v>
      </c>
      <c r="G194" s="132">
        <v>0</v>
      </c>
      <c r="H194" s="132">
        <v>0</v>
      </c>
      <c r="I194" s="132">
        <v>0</v>
      </c>
      <c r="J194" s="132">
        <v>0</v>
      </c>
      <c r="K194" s="132">
        <v>0</v>
      </c>
      <c r="L194" s="132">
        <v>0</v>
      </c>
      <c r="M194" s="132">
        <v>0</v>
      </c>
      <c r="N194" s="132">
        <v>0</v>
      </c>
      <c r="O194" s="132">
        <v>0</v>
      </c>
      <c r="P194" s="132">
        <v>0</v>
      </c>
      <c r="Q194" s="128">
        <f t="shared" ref="Q194:Q257" si="8">AVERAGE(E194:P194)</f>
        <v>0</v>
      </c>
    </row>
    <row r="195" spans="1:17" x14ac:dyDescent="0.2">
      <c r="A195" s="23" t="s">
        <v>104</v>
      </c>
      <c r="B195">
        <v>6</v>
      </c>
      <c r="C195" s="23" t="s">
        <v>112</v>
      </c>
      <c r="D195">
        <v>603</v>
      </c>
      <c r="E195" s="132">
        <v>0</v>
      </c>
      <c r="F195" s="132">
        <v>0</v>
      </c>
      <c r="G195" s="132">
        <v>0</v>
      </c>
      <c r="H195" s="132">
        <v>0</v>
      </c>
      <c r="I195" s="132">
        <v>0</v>
      </c>
      <c r="J195" s="132">
        <v>0</v>
      </c>
      <c r="K195" s="132">
        <v>0</v>
      </c>
      <c r="L195" s="132">
        <v>0</v>
      </c>
      <c r="M195" s="132">
        <v>0</v>
      </c>
      <c r="N195" s="132">
        <v>0</v>
      </c>
      <c r="O195" s="132">
        <v>0</v>
      </c>
      <c r="P195" s="132">
        <v>0</v>
      </c>
      <c r="Q195" s="128">
        <f t="shared" si="8"/>
        <v>0</v>
      </c>
    </row>
    <row r="196" spans="1:17" x14ac:dyDescent="0.2">
      <c r="A196" s="23" t="s">
        <v>104</v>
      </c>
      <c r="B196">
        <v>6</v>
      </c>
      <c r="C196" s="23" t="s">
        <v>112</v>
      </c>
      <c r="D196">
        <v>604</v>
      </c>
      <c r="E196" s="132">
        <v>0</v>
      </c>
      <c r="F196" s="132">
        <v>0</v>
      </c>
      <c r="G196" s="132">
        <v>0</v>
      </c>
      <c r="H196" s="132">
        <v>0</v>
      </c>
      <c r="I196" s="132">
        <v>0</v>
      </c>
      <c r="J196" s="132">
        <v>0</v>
      </c>
      <c r="K196" s="132">
        <v>0</v>
      </c>
      <c r="L196" s="132">
        <v>0</v>
      </c>
      <c r="M196" s="132">
        <v>0</v>
      </c>
      <c r="N196" s="132">
        <v>0</v>
      </c>
      <c r="O196" s="132">
        <v>0</v>
      </c>
      <c r="P196" s="132">
        <v>0</v>
      </c>
      <c r="Q196" s="128">
        <f t="shared" si="8"/>
        <v>0</v>
      </c>
    </row>
    <row r="197" spans="1:17" x14ac:dyDescent="0.2">
      <c r="A197" s="23" t="s">
        <v>104</v>
      </c>
      <c r="B197">
        <v>6</v>
      </c>
      <c r="C197" s="23" t="s">
        <v>112</v>
      </c>
      <c r="D197">
        <v>605</v>
      </c>
      <c r="E197" s="132">
        <v>0</v>
      </c>
      <c r="F197" s="132">
        <v>0</v>
      </c>
      <c r="G197" s="132">
        <v>0</v>
      </c>
      <c r="H197" s="132">
        <v>0</v>
      </c>
      <c r="I197" s="132">
        <v>0</v>
      </c>
      <c r="J197" s="132">
        <v>0</v>
      </c>
      <c r="K197" s="132">
        <v>0</v>
      </c>
      <c r="L197" s="132">
        <v>0</v>
      </c>
      <c r="M197" s="132">
        <v>0</v>
      </c>
      <c r="N197" s="132">
        <v>0</v>
      </c>
      <c r="O197" s="132">
        <v>0</v>
      </c>
      <c r="P197" s="132">
        <v>0</v>
      </c>
      <c r="Q197" s="128">
        <f t="shared" si="8"/>
        <v>0</v>
      </c>
    </row>
    <row r="198" spans="1:17" x14ac:dyDescent="0.2">
      <c r="A198" s="23" t="s">
        <v>104</v>
      </c>
      <c r="B198">
        <v>6</v>
      </c>
      <c r="C198" s="23" t="s">
        <v>112</v>
      </c>
      <c r="D198">
        <v>606</v>
      </c>
      <c r="E198" s="132">
        <v>0</v>
      </c>
      <c r="F198" s="132">
        <v>0</v>
      </c>
      <c r="G198" s="132">
        <v>0</v>
      </c>
      <c r="H198" s="132">
        <v>0</v>
      </c>
      <c r="I198" s="132">
        <v>0</v>
      </c>
      <c r="J198" s="132">
        <v>0</v>
      </c>
      <c r="K198" s="132">
        <v>0</v>
      </c>
      <c r="L198" s="132">
        <v>0</v>
      </c>
      <c r="M198" s="132">
        <v>0</v>
      </c>
      <c r="N198" s="132">
        <v>0</v>
      </c>
      <c r="O198" s="132">
        <v>0</v>
      </c>
      <c r="P198" s="132">
        <v>0</v>
      </c>
      <c r="Q198" s="128">
        <f t="shared" si="8"/>
        <v>0</v>
      </c>
    </row>
    <row r="199" spans="1:17" x14ac:dyDescent="0.2">
      <c r="A199" s="23" t="s">
        <v>104</v>
      </c>
      <c r="B199">
        <v>6</v>
      </c>
      <c r="C199" s="23" t="s">
        <v>112</v>
      </c>
      <c r="D199">
        <v>607</v>
      </c>
      <c r="E199" s="132">
        <v>0</v>
      </c>
      <c r="F199" s="132">
        <v>0</v>
      </c>
      <c r="G199" s="132">
        <v>0</v>
      </c>
      <c r="H199" s="132">
        <v>0</v>
      </c>
      <c r="I199" s="132">
        <v>0</v>
      </c>
      <c r="J199" s="132">
        <v>0</v>
      </c>
      <c r="K199" s="132">
        <v>0</v>
      </c>
      <c r="L199" s="132">
        <v>0</v>
      </c>
      <c r="M199" s="132">
        <v>0</v>
      </c>
      <c r="N199" s="132">
        <v>0</v>
      </c>
      <c r="O199" s="132">
        <v>0</v>
      </c>
      <c r="P199" s="132">
        <v>0</v>
      </c>
      <c r="Q199" s="128">
        <f t="shared" si="8"/>
        <v>0</v>
      </c>
    </row>
    <row r="200" spans="1:17" x14ac:dyDescent="0.2">
      <c r="A200" s="23" t="s">
        <v>104</v>
      </c>
      <c r="B200">
        <v>6</v>
      </c>
      <c r="C200" s="23" t="s">
        <v>112</v>
      </c>
      <c r="D200">
        <v>608</v>
      </c>
      <c r="E200" s="132">
        <v>0</v>
      </c>
      <c r="F200" s="132">
        <v>0</v>
      </c>
      <c r="G200" s="132">
        <v>0</v>
      </c>
      <c r="H200" s="132">
        <v>0</v>
      </c>
      <c r="I200" s="132">
        <v>0</v>
      </c>
      <c r="J200" s="132">
        <v>0</v>
      </c>
      <c r="K200" s="132">
        <v>0</v>
      </c>
      <c r="L200" s="132">
        <v>0</v>
      </c>
      <c r="M200" s="132">
        <v>0</v>
      </c>
      <c r="N200" s="132">
        <v>0</v>
      </c>
      <c r="O200" s="132">
        <v>0</v>
      </c>
      <c r="P200" s="132">
        <v>0</v>
      </c>
      <c r="Q200" s="128">
        <f t="shared" si="8"/>
        <v>0</v>
      </c>
    </row>
    <row r="201" spans="1:17" x14ac:dyDescent="0.2">
      <c r="A201" s="23" t="s">
        <v>104</v>
      </c>
      <c r="B201">
        <v>6</v>
      </c>
      <c r="C201" s="23" t="s">
        <v>112</v>
      </c>
      <c r="D201">
        <v>609</v>
      </c>
      <c r="E201" s="132">
        <v>0</v>
      </c>
      <c r="F201" s="132">
        <v>0</v>
      </c>
      <c r="G201" s="132">
        <v>0</v>
      </c>
      <c r="H201" s="132">
        <v>0</v>
      </c>
      <c r="I201" s="132">
        <v>0</v>
      </c>
      <c r="J201" s="132">
        <v>0</v>
      </c>
      <c r="K201" s="132">
        <v>0</v>
      </c>
      <c r="L201" s="132">
        <v>0</v>
      </c>
      <c r="M201" s="132">
        <v>0</v>
      </c>
      <c r="N201" s="132">
        <v>0</v>
      </c>
      <c r="O201" s="132">
        <v>0</v>
      </c>
      <c r="P201" s="132">
        <v>0</v>
      </c>
      <c r="Q201" s="128">
        <f t="shared" si="8"/>
        <v>0</v>
      </c>
    </row>
    <row r="202" spans="1:17" x14ac:dyDescent="0.2">
      <c r="A202" s="23" t="s">
        <v>104</v>
      </c>
      <c r="B202">
        <v>6</v>
      </c>
      <c r="C202" s="23" t="s">
        <v>112</v>
      </c>
      <c r="D202">
        <v>610</v>
      </c>
      <c r="E202" s="132">
        <v>0</v>
      </c>
      <c r="F202" s="132">
        <v>0</v>
      </c>
      <c r="G202" s="132">
        <v>0</v>
      </c>
      <c r="H202" s="132">
        <v>0</v>
      </c>
      <c r="I202" s="132">
        <v>0</v>
      </c>
      <c r="J202" s="132">
        <v>0</v>
      </c>
      <c r="K202" s="132">
        <v>0</v>
      </c>
      <c r="L202" s="132">
        <v>0</v>
      </c>
      <c r="M202" s="132">
        <v>0</v>
      </c>
      <c r="N202" s="132">
        <v>0</v>
      </c>
      <c r="O202" s="132">
        <v>0</v>
      </c>
      <c r="P202" s="132">
        <v>0</v>
      </c>
      <c r="Q202" s="128">
        <f t="shared" si="8"/>
        <v>0</v>
      </c>
    </row>
    <row r="203" spans="1:17" x14ac:dyDescent="0.2">
      <c r="A203" s="23" t="s">
        <v>104</v>
      </c>
      <c r="B203">
        <v>6</v>
      </c>
      <c r="C203" s="23" t="s">
        <v>112</v>
      </c>
      <c r="D203">
        <v>611</v>
      </c>
      <c r="E203" s="132">
        <v>0</v>
      </c>
      <c r="F203" s="132">
        <v>0</v>
      </c>
      <c r="G203" s="132">
        <v>0</v>
      </c>
      <c r="H203" s="132">
        <v>0</v>
      </c>
      <c r="I203" s="132">
        <v>0</v>
      </c>
      <c r="J203" s="132">
        <v>0</v>
      </c>
      <c r="K203" s="132">
        <v>0</v>
      </c>
      <c r="L203" s="132">
        <v>0</v>
      </c>
      <c r="M203" s="132">
        <v>0</v>
      </c>
      <c r="N203" s="132">
        <v>0</v>
      </c>
      <c r="O203" s="132">
        <v>0</v>
      </c>
      <c r="P203" s="132">
        <v>0</v>
      </c>
      <c r="Q203" s="128">
        <f t="shared" si="8"/>
        <v>0</v>
      </c>
    </row>
    <row r="204" spans="1:17" x14ac:dyDescent="0.2">
      <c r="A204" s="23" t="s">
        <v>104</v>
      </c>
      <c r="B204">
        <v>6</v>
      </c>
      <c r="C204" s="23" t="s">
        <v>112</v>
      </c>
      <c r="D204">
        <v>612</v>
      </c>
      <c r="E204" s="132">
        <v>0</v>
      </c>
      <c r="F204" s="132">
        <v>0</v>
      </c>
      <c r="G204" s="132">
        <v>0</v>
      </c>
      <c r="H204" s="132">
        <v>0</v>
      </c>
      <c r="I204" s="132">
        <v>0</v>
      </c>
      <c r="J204" s="132">
        <v>0</v>
      </c>
      <c r="K204" s="132">
        <v>0</v>
      </c>
      <c r="L204" s="132">
        <v>0</v>
      </c>
      <c r="M204" s="132">
        <v>0</v>
      </c>
      <c r="N204" s="132">
        <v>0</v>
      </c>
      <c r="O204" s="132">
        <v>0</v>
      </c>
      <c r="P204" s="132">
        <v>0</v>
      </c>
      <c r="Q204" s="128">
        <f t="shared" si="8"/>
        <v>0</v>
      </c>
    </row>
    <row r="205" spans="1:17" x14ac:dyDescent="0.2">
      <c r="A205" s="23" t="s">
        <v>104</v>
      </c>
      <c r="B205">
        <v>6</v>
      </c>
      <c r="C205" s="23" t="s">
        <v>112</v>
      </c>
      <c r="D205">
        <v>613</v>
      </c>
      <c r="E205" s="132">
        <v>0</v>
      </c>
      <c r="F205" s="132">
        <v>0</v>
      </c>
      <c r="G205" s="132">
        <v>0</v>
      </c>
      <c r="H205" s="132">
        <v>0</v>
      </c>
      <c r="I205" s="132">
        <v>0</v>
      </c>
      <c r="J205" s="132">
        <v>0</v>
      </c>
      <c r="K205" s="132">
        <v>0</v>
      </c>
      <c r="L205" s="132">
        <v>0</v>
      </c>
      <c r="M205" s="132">
        <v>0</v>
      </c>
      <c r="N205" s="132">
        <v>0</v>
      </c>
      <c r="O205" s="132">
        <v>0</v>
      </c>
      <c r="P205" s="132">
        <v>0</v>
      </c>
      <c r="Q205" s="128">
        <f t="shared" si="8"/>
        <v>0</v>
      </c>
    </row>
    <row r="206" spans="1:17" x14ac:dyDescent="0.2">
      <c r="A206" s="23" t="s">
        <v>104</v>
      </c>
      <c r="B206">
        <v>6</v>
      </c>
      <c r="C206" s="23" t="s">
        <v>112</v>
      </c>
      <c r="D206">
        <v>614</v>
      </c>
      <c r="E206" s="132">
        <v>0</v>
      </c>
      <c r="F206" s="132">
        <v>0</v>
      </c>
      <c r="G206" s="132">
        <v>0</v>
      </c>
      <c r="H206" s="132">
        <v>0</v>
      </c>
      <c r="I206" s="132">
        <v>0</v>
      </c>
      <c r="J206" s="132">
        <v>0</v>
      </c>
      <c r="K206" s="132">
        <v>0</v>
      </c>
      <c r="L206" s="132">
        <v>0</v>
      </c>
      <c r="M206" s="132">
        <v>0</v>
      </c>
      <c r="N206" s="132">
        <v>0</v>
      </c>
      <c r="O206" s="132">
        <v>0</v>
      </c>
      <c r="P206" s="132">
        <v>0</v>
      </c>
      <c r="Q206" s="128">
        <f t="shared" si="8"/>
        <v>0</v>
      </c>
    </row>
    <row r="207" spans="1:17" x14ac:dyDescent="0.2">
      <c r="A207" s="23" t="s">
        <v>104</v>
      </c>
      <c r="B207">
        <v>6</v>
      </c>
      <c r="C207" s="23" t="s">
        <v>112</v>
      </c>
      <c r="D207">
        <v>615</v>
      </c>
      <c r="E207" s="132">
        <v>0</v>
      </c>
      <c r="F207" s="132">
        <v>0</v>
      </c>
      <c r="G207" s="132">
        <v>0</v>
      </c>
      <c r="H207" s="132">
        <v>0</v>
      </c>
      <c r="I207" s="132">
        <v>0</v>
      </c>
      <c r="J207" s="132">
        <v>0</v>
      </c>
      <c r="K207" s="132">
        <v>0</v>
      </c>
      <c r="L207" s="132">
        <v>0</v>
      </c>
      <c r="M207" s="132">
        <v>0</v>
      </c>
      <c r="N207" s="132">
        <v>0</v>
      </c>
      <c r="O207" s="132">
        <v>0</v>
      </c>
      <c r="P207" s="132">
        <v>0</v>
      </c>
      <c r="Q207" s="128">
        <f t="shared" si="8"/>
        <v>0</v>
      </c>
    </row>
    <row r="208" spans="1:17" x14ac:dyDescent="0.2">
      <c r="A208" s="23" t="s">
        <v>104</v>
      </c>
      <c r="B208">
        <v>6</v>
      </c>
      <c r="C208" s="23" t="s">
        <v>112</v>
      </c>
      <c r="D208">
        <v>616</v>
      </c>
      <c r="E208" s="132">
        <v>0</v>
      </c>
      <c r="F208" s="132">
        <v>0</v>
      </c>
      <c r="G208" s="132">
        <v>0</v>
      </c>
      <c r="H208" s="132">
        <v>0</v>
      </c>
      <c r="I208" s="132">
        <v>0</v>
      </c>
      <c r="J208" s="132">
        <v>0</v>
      </c>
      <c r="K208" s="132">
        <v>0</v>
      </c>
      <c r="L208" s="132">
        <v>0</v>
      </c>
      <c r="M208" s="132">
        <v>0</v>
      </c>
      <c r="N208" s="132">
        <v>0</v>
      </c>
      <c r="O208" s="132">
        <v>0</v>
      </c>
      <c r="P208" s="132">
        <v>0</v>
      </c>
      <c r="Q208" s="128">
        <f t="shared" si="8"/>
        <v>0</v>
      </c>
    </row>
    <row r="209" spans="1:17" x14ac:dyDescent="0.2">
      <c r="A209" s="23" t="s">
        <v>104</v>
      </c>
      <c r="B209">
        <v>6</v>
      </c>
      <c r="C209" s="23" t="s">
        <v>112</v>
      </c>
      <c r="D209">
        <v>617</v>
      </c>
      <c r="E209" s="132">
        <v>0</v>
      </c>
      <c r="F209" s="132">
        <v>0</v>
      </c>
      <c r="G209" s="132">
        <v>0</v>
      </c>
      <c r="H209" s="132">
        <v>0</v>
      </c>
      <c r="I209" s="132">
        <v>0</v>
      </c>
      <c r="J209" s="132">
        <v>0</v>
      </c>
      <c r="K209" s="132">
        <v>0</v>
      </c>
      <c r="L209" s="132">
        <v>0</v>
      </c>
      <c r="M209" s="132">
        <v>0</v>
      </c>
      <c r="N209" s="132">
        <v>0</v>
      </c>
      <c r="O209" s="132">
        <v>0</v>
      </c>
      <c r="P209" s="132">
        <v>0</v>
      </c>
      <c r="Q209" s="128">
        <f t="shared" si="8"/>
        <v>0</v>
      </c>
    </row>
    <row r="210" spans="1:17" x14ac:dyDescent="0.2">
      <c r="A210" s="23" t="s">
        <v>104</v>
      </c>
      <c r="B210">
        <v>6</v>
      </c>
      <c r="C210" s="23" t="s">
        <v>112</v>
      </c>
      <c r="D210">
        <v>618</v>
      </c>
      <c r="E210" s="132">
        <v>0</v>
      </c>
      <c r="F210" s="132">
        <v>0</v>
      </c>
      <c r="G210" s="132">
        <v>0</v>
      </c>
      <c r="H210" s="132">
        <v>0</v>
      </c>
      <c r="I210" s="132">
        <v>0</v>
      </c>
      <c r="J210" s="132">
        <v>0</v>
      </c>
      <c r="K210" s="132">
        <v>0</v>
      </c>
      <c r="L210" s="132">
        <v>0</v>
      </c>
      <c r="M210" s="132">
        <v>0</v>
      </c>
      <c r="N210" s="132">
        <v>0</v>
      </c>
      <c r="O210" s="132">
        <v>0</v>
      </c>
      <c r="P210" s="132">
        <v>0</v>
      </c>
      <c r="Q210" s="128">
        <f t="shared" si="8"/>
        <v>0</v>
      </c>
    </row>
    <row r="211" spans="1:17" x14ac:dyDescent="0.2">
      <c r="A211" s="23" t="s">
        <v>104</v>
      </c>
      <c r="B211">
        <v>6</v>
      </c>
      <c r="C211" s="23" t="s">
        <v>112</v>
      </c>
      <c r="D211">
        <v>619</v>
      </c>
      <c r="E211" s="132">
        <v>0</v>
      </c>
      <c r="F211" s="132">
        <v>0</v>
      </c>
      <c r="G211" s="132">
        <v>0</v>
      </c>
      <c r="H211" s="132">
        <v>0</v>
      </c>
      <c r="I211" s="132">
        <v>0</v>
      </c>
      <c r="J211" s="132">
        <v>0</v>
      </c>
      <c r="K211" s="132">
        <v>0</v>
      </c>
      <c r="L211" s="132">
        <v>0</v>
      </c>
      <c r="M211" s="132">
        <v>0</v>
      </c>
      <c r="N211" s="132">
        <v>0</v>
      </c>
      <c r="O211" s="132">
        <v>0</v>
      </c>
      <c r="P211" s="132">
        <v>0</v>
      </c>
      <c r="Q211" s="128">
        <f t="shared" si="8"/>
        <v>0</v>
      </c>
    </row>
    <row r="212" spans="1:17" x14ac:dyDescent="0.2">
      <c r="A212" s="23" t="s">
        <v>104</v>
      </c>
      <c r="B212">
        <v>6</v>
      </c>
      <c r="C212" s="23" t="s">
        <v>112</v>
      </c>
      <c r="D212">
        <v>620</v>
      </c>
      <c r="E212" s="132">
        <v>0</v>
      </c>
      <c r="F212" s="132">
        <v>0</v>
      </c>
      <c r="G212" s="132">
        <v>0</v>
      </c>
      <c r="H212" s="132">
        <v>0</v>
      </c>
      <c r="I212" s="132">
        <v>0</v>
      </c>
      <c r="J212" s="132">
        <v>0</v>
      </c>
      <c r="K212" s="132">
        <v>0</v>
      </c>
      <c r="L212" s="132">
        <v>0</v>
      </c>
      <c r="M212" s="132">
        <v>0</v>
      </c>
      <c r="N212" s="132">
        <v>0</v>
      </c>
      <c r="O212" s="132">
        <v>0</v>
      </c>
      <c r="P212" s="132">
        <v>0</v>
      </c>
      <c r="Q212" s="128">
        <f t="shared" si="8"/>
        <v>0</v>
      </c>
    </row>
    <row r="213" spans="1:17" x14ac:dyDescent="0.2">
      <c r="A213" s="23" t="s">
        <v>104</v>
      </c>
      <c r="B213">
        <v>6</v>
      </c>
      <c r="C213" s="23" t="s">
        <v>112</v>
      </c>
      <c r="D213">
        <v>621</v>
      </c>
      <c r="E213" s="132">
        <v>0</v>
      </c>
      <c r="F213" s="132">
        <v>0</v>
      </c>
      <c r="G213" s="132">
        <v>0</v>
      </c>
      <c r="H213" s="132">
        <v>0</v>
      </c>
      <c r="I213" s="132">
        <v>0</v>
      </c>
      <c r="J213" s="132">
        <v>0</v>
      </c>
      <c r="K213" s="132">
        <v>0</v>
      </c>
      <c r="L213" s="132">
        <v>0</v>
      </c>
      <c r="M213" s="132">
        <v>0</v>
      </c>
      <c r="N213" s="132">
        <v>0</v>
      </c>
      <c r="O213" s="132">
        <v>0</v>
      </c>
      <c r="P213" s="132">
        <v>0</v>
      </c>
      <c r="Q213" s="128">
        <f t="shared" si="8"/>
        <v>0</v>
      </c>
    </row>
    <row r="214" spans="1:17" x14ac:dyDescent="0.2">
      <c r="A214" s="23" t="s">
        <v>104</v>
      </c>
      <c r="B214">
        <v>6</v>
      </c>
      <c r="C214" s="23" t="s">
        <v>112</v>
      </c>
      <c r="D214">
        <v>622</v>
      </c>
      <c r="E214" s="132">
        <v>0</v>
      </c>
      <c r="F214" s="132">
        <v>0</v>
      </c>
      <c r="G214" s="132">
        <v>0</v>
      </c>
      <c r="H214" s="132">
        <v>0</v>
      </c>
      <c r="I214" s="132">
        <v>0</v>
      </c>
      <c r="J214" s="132">
        <v>0</v>
      </c>
      <c r="K214" s="132">
        <v>0</v>
      </c>
      <c r="L214" s="132">
        <v>0</v>
      </c>
      <c r="M214" s="132">
        <v>0</v>
      </c>
      <c r="N214" s="132">
        <v>0</v>
      </c>
      <c r="O214" s="132">
        <v>0</v>
      </c>
      <c r="P214" s="132">
        <v>0</v>
      </c>
      <c r="Q214" s="128">
        <f t="shared" si="8"/>
        <v>0</v>
      </c>
    </row>
    <row r="215" spans="1:17" x14ac:dyDescent="0.2">
      <c r="A215" s="23" t="s">
        <v>104</v>
      </c>
      <c r="B215">
        <v>6</v>
      </c>
      <c r="C215" s="23" t="s">
        <v>112</v>
      </c>
      <c r="D215">
        <v>623</v>
      </c>
      <c r="E215" s="132">
        <v>0</v>
      </c>
      <c r="F215" s="132">
        <v>0</v>
      </c>
      <c r="G215" s="132">
        <v>0</v>
      </c>
      <c r="H215" s="132">
        <v>0</v>
      </c>
      <c r="I215" s="132">
        <v>0</v>
      </c>
      <c r="J215" s="132">
        <v>0</v>
      </c>
      <c r="K215" s="132">
        <v>0</v>
      </c>
      <c r="L215" s="132">
        <v>0</v>
      </c>
      <c r="M215" s="132">
        <v>0</v>
      </c>
      <c r="N215" s="132">
        <v>0</v>
      </c>
      <c r="O215" s="132">
        <v>0</v>
      </c>
      <c r="P215" s="132">
        <v>0</v>
      </c>
      <c r="Q215" s="128">
        <f t="shared" si="8"/>
        <v>0</v>
      </c>
    </row>
    <row r="216" spans="1:17" x14ac:dyDescent="0.2">
      <c r="A216" s="23" t="s">
        <v>104</v>
      </c>
      <c r="B216">
        <v>6</v>
      </c>
      <c r="C216" s="23" t="s">
        <v>111</v>
      </c>
      <c r="D216">
        <v>601</v>
      </c>
      <c r="E216" s="132">
        <v>0</v>
      </c>
      <c r="F216" s="132">
        <v>0</v>
      </c>
      <c r="G216" s="132">
        <v>0</v>
      </c>
      <c r="H216" s="132">
        <v>0</v>
      </c>
      <c r="I216" s="132">
        <v>0</v>
      </c>
      <c r="J216" s="132">
        <v>0</v>
      </c>
      <c r="K216" s="132">
        <v>0</v>
      </c>
      <c r="L216" s="132">
        <v>0</v>
      </c>
      <c r="M216" s="132">
        <v>0</v>
      </c>
      <c r="N216" s="132">
        <v>0</v>
      </c>
      <c r="O216" s="132">
        <v>0</v>
      </c>
      <c r="P216" s="132">
        <v>0</v>
      </c>
      <c r="Q216" s="128">
        <f t="shared" si="8"/>
        <v>0</v>
      </c>
    </row>
    <row r="217" spans="1:17" x14ac:dyDescent="0.2">
      <c r="A217" s="23" t="s">
        <v>104</v>
      </c>
      <c r="B217">
        <v>6</v>
      </c>
      <c r="C217" s="23" t="s">
        <v>111</v>
      </c>
      <c r="D217">
        <v>602</v>
      </c>
      <c r="E217" s="132">
        <v>0</v>
      </c>
      <c r="F217" s="132">
        <v>0</v>
      </c>
      <c r="G217" s="132">
        <v>0</v>
      </c>
      <c r="H217" s="132">
        <v>0</v>
      </c>
      <c r="I217" s="132">
        <v>0</v>
      </c>
      <c r="J217" s="132">
        <v>0</v>
      </c>
      <c r="K217" s="132">
        <v>0</v>
      </c>
      <c r="L217" s="132">
        <v>0</v>
      </c>
      <c r="M217" s="132">
        <v>0</v>
      </c>
      <c r="N217" s="132">
        <v>0</v>
      </c>
      <c r="O217" s="132">
        <v>0</v>
      </c>
      <c r="P217" s="132">
        <v>0</v>
      </c>
      <c r="Q217" s="128">
        <f t="shared" si="8"/>
        <v>0</v>
      </c>
    </row>
    <row r="218" spans="1:17" x14ac:dyDescent="0.2">
      <c r="A218" s="23" t="s">
        <v>104</v>
      </c>
      <c r="B218">
        <v>6</v>
      </c>
      <c r="C218" s="23" t="s">
        <v>111</v>
      </c>
      <c r="D218">
        <v>603</v>
      </c>
      <c r="E218" s="132">
        <v>0</v>
      </c>
      <c r="F218" s="132">
        <v>0</v>
      </c>
      <c r="G218" s="132">
        <v>0</v>
      </c>
      <c r="H218" s="132">
        <v>0</v>
      </c>
      <c r="I218" s="132">
        <v>0</v>
      </c>
      <c r="J218" s="132">
        <v>0</v>
      </c>
      <c r="K218" s="132">
        <v>0</v>
      </c>
      <c r="L218" s="132">
        <v>0</v>
      </c>
      <c r="M218" s="132">
        <v>0</v>
      </c>
      <c r="N218" s="132">
        <v>0</v>
      </c>
      <c r="O218" s="132">
        <v>0</v>
      </c>
      <c r="P218" s="132">
        <v>0</v>
      </c>
      <c r="Q218" s="128">
        <f t="shared" si="8"/>
        <v>0</v>
      </c>
    </row>
    <row r="219" spans="1:17" x14ac:dyDescent="0.2">
      <c r="A219" s="23" t="s">
        <v>104</v>
      </c>
      <c r="B219">
        <v>6</v>
      </c>
      <c r="C219" s="23" t="s">
        <v>111</v>
      </c>
      <c r="D219">
        <v>604</v>
      </c>
      <c r="E219" s="132">
        <v>0</v>
      </c>
      <c r="F219" s="132">
        <v>0</v>
      </c>
      <c r="G219" s="132">
        <v>0</v>
      </c>
      <c r="H219" s="132">
        <v>0</v>
      </c>
      <c r="I219" s="132">
        <v>0</v>
      </c>
      <c r="J219" s="132">
        <v>0</v>
      </c>
      <c r="K219" s="132">
        <v>0</v>
      </c>
      <c r="L219" s="132">
        <v>0</v>
      </c>
      <c r="M219" s="132">
        <v>0</v>
      </c>
      <c r="N219" s="132">
        <v>0</v>
      </c>
      <c r="O219" s="132">
        <v>0</v>
      </c>
      <c r="P219" s="132">
        <v>0</v>
      </c>
      <c r="Q219" s="128">
        <f t="shared" si="8"/>
        <v>0</v>
      </c>
    </row>
    <row r="220" spans="1:17" x14ac:dyDescent="0.2">
      <c r="A220" s="23" t="s">
        <v>104</v>
      </c>
      <c r="B220">
        <v>6</v>
      </c>
      <c r="C220" s="23" t="s">
        <v>111</v>
      </c>
      <c r="D220">
        <v>605</v>
      </c>
      <c r="E220" s="132">
        <v>0</v>
      </c>
      <c r="F220" s="132">
        <v>0</v>
      </c>
      <c r="G220" s="132">
        <v>0</v>
      </c>
      <c r="H220" s="132">
        <v>0</v>
      </c>
      <c r="I220" s="132">
        <v>0</v>
      </c>
      <c r="J220" s="132">
        <v>0</v>
      </c>
      <c r="K220" s="132">
        <v>0</v>
      </c>
      <c r="L220" s="132">
        <v>0</v>
      </c>
      <c r="M220" s="132">
        <v>0</v>
      </c>
      <c r="N220" s="132">
        <v>0</v>
      </c>
      <c r="O220" s="132">
        <v>0</v>
      </c>
      <c r="P220" s="132">
        <v>0</v>
      </c>
      <c r="Q220" s="128">
        <f t="shared" si="8"/>
        <v>0</v>
      </c>
    </row>
    <row r="221" spans="1:17" x14ac:dyDescent="0.2">
      <c r="A221" s="23" t="s">
        <v>104</v>
      </c>
      <c r="B221">
        <v>6</v>
      </c>
      <c r="C221" s="23" t="s">
        <v>111</v>
      </c>
      <c r="D221">
        <v>606</v>
      </c>
      <c r="E221" s="132">
        <v>0</v>
      </c>
      <c r="F221" s="132">
        <v>0</v>
      </c>
      <c r="G221" s="132">
        <v>0</v>
      </c>
      <c r="H221" s="132">
        <v>0</v>
      </c>
      <c r="I221" s="132">
        <v>0</v>
      </c>
      <c r="J221" s="132">
        <v>0</v>
      </c>
      <c r="K221" s="132">
        <v>0</v>
      </c>
      <c r="L221" s="132">
        <v>0</v>
      </c>
      <c r="M221" s="132">
        <v>0</v>
      </c>
      <c r="N221" s="132">
        <v>0</v>
      </c>
      <c r="O221" s="132">
        <v>0</v>
      </c>
      <c r="P221" s="132">
        <v>0</v>
      </c>
      <c r="Q221" s="128">
        <f t="shared" si="8"/>
        <v>0</v>
      </c>
    </row>
    <row r="222" spans="1:17" x14ac:dyDescent="0.2">
      <c r="A222" s="23" t="s">
        <v>104</v>
      </c>
      <c r="B222">
        <v>6</v>
      </c>
      <c r="C222" s="23" t="s">
        <v>111</v>
      </c>
      <c r="D222">
        <v>607</v>
      </c>
      <c r="E222" s="132">
        <v>0</v>
      </c>
      <c r="F222" s="132">
        <v>0</v>
      </c>
      <c r="G222" s="132">
        <v>0</v>
      </c>
      <c r="H222" s="132">
        <v>0</v>
      </c>
      <c r="I222" s="132">
        <v>0</v>
      </c>
      <c r="J222" s="132">
        <v>0</v>
      </c>
      <c r="K222" s="132">
        <v>0</v>
      </c>
      <c r="L222" s="132">
        <v>0</v>
      </c>
      <c r="M222" s="132">
        <v>0</v>
      </c>
      <c r="N222" s="132">
        <v>0</v>
      </c>
      <c r="O222" s="132">
        <v>0</v>
      </c>
      <c r="P222" s="132">
        <v>0</v>
      </c>
      <c r="Q222" s="128">
        <f t="shared" si="8"/>
        <v>0</v>
      </c>
    </row>
    <row r="223" spans="1:17" x14ac:dyDescent="0.2">
      <c r="A223" s="23" t="s">
        <v>104</v>
      </c>
      <c r="B223">
        <v>6</v>
      </c>
      <c r="C223" s="23" t="s">
        <v>111</v>
      </c>
      <c r="D223">
        <v>608</v>
      </c>
      <c r="E223" s="132">
        <v>0</v>
      </c>
      <c r="F223" s="132">
        <v>0</v>
      </c>
      <c r="G223" s="132">
        <v>0</v>
      </c>
      <c r="H223" s="132">
        <v>0</v>
      </c>
      <c r="I223" s="132">
        <v>0</v>
      </c>
      <c r="J223" s="132">
        <v>0</v>
      </c>
      <c r="K223" s="132">
        <v>0</v>
      </c>
      <c r="L223" s="132">
        <v>0</v>
      </c>
      <c r="M223" s="132">
        <v>0</v>
      </c>
      <c r="N223" s="132">
        <v>0</v>
      </c>
      <c r="O223" s="132">
        <v>0</v>
      </c>
      <c r="P223" s="132">
        <v>0</v>
      </c>
      <c r="Q223" s="128">
        <f t="shared" si="8"/>
        <v>0</v>
      </c>
    </row>
    <row r="224" spans="1:17" x14ac:dyDescent="0.2">
      <c r="A224" s="23" t="s">
        <v>104</v>
      </c>
      <c r="B224">
        <v>6</v>
      </c>
      <c r="C224" s="23" t="s">
        <v>111</v>
      </c>
      <c r="D224">
        <v>609</v>
      </c>
      <c r="E224" s="132">
        <v>0</v>
      </c>
      <c r="F224" s="132">
        <v>0</v>
      </c>
      <c r="G224" s="132">
        <v>0</v>
      </c>
      <c r="H224" s="132">
        <v>0</v>
      </c>
      <c r="I224" s="132">
        <v>0</v>
      </c>
      <c r="J224" s="132">
        <v>0</v>
      </c>
      <c r="K224" s="132">
        <v>0</v>
      </c>
      <c r="L224" s="132">
        <v>0</v>
      </c>
      <c r="M224" s="132">
        <v>0</v>
      </c>
      <c r="N224" s="132">
        <v>0</v>
      </c>
      <c r="O224" s="132">
        <v>0</v>
      </c>
      <c r="P224" s="132">
        <v>0</v>
      </c>
      <c r="Q224" s="128">
        <f t="shared" si="8"/>
        <v>0</v>
      </c>
    </row>
    <row r="225" spans="1:17" x14ac:dyDescent="0.2">
      <c r="A225" s="23" t="s">
        <v>104</v>
      </c>
      <c r="B225">
        <v>6</v>
      </c>
      <c r="C225" s="23" t="s">
        <v>111</v>
      </c>
      <c r="D225">
        <v>610</v>
      </c>
      <c r="E225" s="132">
        <v>0</v>
      </c>
      <c r="F225" s="132">
        <v>0</v>
      </c>
      <c r="G225" s="132">
        <v>0</v>
      </c>
      <c r="H225" s="132">
        <v>0</v>
      </c>
      <c r="I225" s="132">
        <v>0</v>
      </c>
      <c r="J225" s="132">
        <v>0</v>
      </c>
      <c r="K225" s="132">
        <v>0</v>
      </c>
      <c r="L225" s="132">
        <v>0</v>
      </c>
      <c r="M225" s="132">
        <v>0</v>
      </c>
      <c r="N225" s="132">
        <v>0</v>
      </c>
      <c r="O225" s="132">
        <v>0</v>
      </c>
      <c r="P225" s="132">
        <v>0</v>
      </c>
      <c r="Q225" s="128">
        <f t="shared" si="8"/>
        <v>0</v>
      </c>
    </row>
    <row r="226" spans="1:17" x14ac:dyDescent="0.2">
      <c r="A226" s="23" t="s">
        <v>104</v>
      </c>
      <c r="B226">
        <v>6</v>
      </c>
      <c r="C226" s="23" t="s">
        <v>111</v>
      </c>
      <c r="D226">
        <v>611</v>
      </c>
      <c r="E226" s="132">
        <v>0</v>
      </c>
      <c r="F226" s="132">
        <v>0</v>
      </c>
      <c r="G226" s="132">
        <v>0</v>
      </c>
      <c r="H226" s="132">
        <v>0</v>
      </c>
      <c r="I226" s="132">
        <v>0</v>
      </c>
      <c r="J226" s="132">
        <v>0</v>
      </c>
      <c r="K226" s="132">
        <v>0</v>
      </c>
      <c r="L226" s="132">
        <v>0</v>
      </c>
      <c r="M226" s="132">
        <v>0</v>
      </c>
      <c r="N226" s="132">
        <v>0</v>
      </c>
      <c r="O226" s="132">
        <v>0</v>
      </c>
      <c r="P226" s="132">
        <v>0</v>
      </c>
      <c r="Q226" s="128">
        <f t="shared" si="8"/>
        <v>0</v>
      </c>
    </row>
    <row r="227" spans="1:17" x14ac:dyDescent="0.2">
      <c r="A227" s="23" t="s">
        <v>104</v>
      </c>
      <c r="B227">
        <v>6</v>
      </c>
      <c r="C227" s="23" t="s">
        <v>111</v>
      </c>
      <c r="D227">
        <v>612</v>
      </c>
      <c r="E227" s="132">
        <v>0</v>
      </c>
      <c r="F227" s="132">
        <v>0</v>
      </c>
      <c r="G227" s="132">
        <v>0</v>
      </c>
      <c r="H227" s="132">
        <v>0</v>
      </c>
      <c r="I227" s="132">
        <v>0</v>
      </c>
      <c r="J227" s="132">
        <v>0</v>
      </c>
      <c r="K227" s="132">
        <v>0</v>
      </c>
      <c r="L227" s="132">
        <v>0</v>
      </c>
      <c r="M227" s="132">
        <v>0</v>
      </c>
      <c r="N227" s="132">
        <v>0</v>
      </c>
      <c r="O227" s="132">
        <v>0</v>
      </c>
      <c r="P227" s="132">
        <v>0</v>
      </c>
      <c r="Q227" s="128">
        <f t="shared" si="8"/>
        <v>0</v>
      </c>
    </row>
    <row r="228" spans="1:17" x14ac:dyDescent="0.2">
      <c r="A228" s="23" t="s">
        <v>104</v>
      </c>
      <c r="B228">
        <v>6</v>
      </c>
      <c r="C228" s="23" t="s">
        <v>111</v>
      </c>
      <c r="D228">
        <v>613</v>
      </c>
      <c r="E228" s="132">
        <v>0</v>
      </c>
      <c r="F228" s="132">
        <v>0</v>
      </c>
      <c r="G228" s="132">
        <v>0</v>
      </c>
      <c r="H228" s="132">
        <v>0</v>
      </c>
      <c r="I228" s="132">
        <v>0</v>
      </c>
      <c r="J228" s="132">
        <v>0</v>
      </c>
      <c r="K228" s="132">
        <v>0</v>
      </c>
      <c r="L228" s="132">
        <v>0</v>
      </c>
      <c r="M228" s="132">
        <v>0</v>
      </c>
      <c r="N228" s="132">
        <v>0</v>
      </c>
      <c r="O228" s="132">
        <v>0</v>
      </c>
      <c r="P228" s="132">
        <v>0</v>
      </c>
      <c r="Q228" s="128">
        <f t="shared" si="8"/>
        <v>0</v>
      </c>
    </row>
    <row r="229" spans="1:17" x14ac:dyDescent="0.2">
      <c r="A229" s="23" t="s">
        <v>104</v>
      </c>
      <c r="B229">
        <v>6</v>
      </c>
      <c r="C229" s="23" t="s">
        <v>111</v>
      </c>
      <c r="D229">
        <v>614</v>
      </c>
      <c r="E229" s="132">
        <v>0</v>
      </c>
      <c r="F229" s="132">
        <v>0</v>
      </c>
      <c r="G229" s="132">
        <v>0</v>
      </c>
      <c r="H229" s="132">
        <v>0</v>
      </c>
      <c r="I229" s="132">
        <v>0</v>
      </c>
      <c r="J229" s="132">
        <v>0</v>
      </c>
      <c r="K229" s="132">
        <v>0</v>
      </c>
      <c r="L229" s="132">
        <v>0</v>
      </c>
      <c r="M229" s="132">
        <v>0</v>
      </c>
      <c r="N229" s="132">
        <v>0</v>
      </c>
      <c r="O229" s="132">
        <v>0</v>
      </c>
      <c r="P229" s="132">
        <v>0</v>
      </c>
      <c r="Q229" s="128">
        <f t="shared" si="8"/>
        <v>0</v>
      </c>
    </row>
    <row r="230" spans="1:17" x14ac:dyDescent="0.2">
      <c r="A230" s="23" t="s">
        <v>104</v>
      </c>
      <c r="B230">
        <v>6</v>
      </c>
      <c r="C230" s="23" t="s">
        <v>111</v>
      </c>
      <c r="D230">
        <v>615</v>
      </c>
      <c r="E230" s="132">
        <v>0</v>
      </c>
      <c r="F230" s="132">
        <v>0</v>
      </c>
      <c r="G230" s="132">
        <v>0</v>
      </c>
      <c r="H230" s="132">
        <v>0</v>
      </c>
      <c r="I230" s="132">
        <v>0</v>
      </c>
      <c r="J230" s="132">
        <v>0</v>
      </c>
      <c r="K230" s="132">
        <v>0</v>
      </c>
      <c r="L230" s="132">
        <v>0</v>
      </c>
      <c r="M230" s="132">
        <v>0</v>
      </c>
      <c r="N230" s="132">
        <v>0</v>
      </c>
      <c r="O230" s="132">
        <v>0</v>
      </c>
      <c r="P230" s="132">
        <v>0</v>
      </c>
      <c r="Q230" s="128">
        <f t="shared" si="8"/>
        <v>0</v>
      </c>
    </row>
    <row r="231" spans="1:17" x14ac:dyDescent="0.2">
      <c r="A231" s="23" t="s">
        <v>104</v>
      </c>
      <c r="B231">
        <v>6</v>
      </c>
      <c r="C231" s="23" t="s">
        <v>111</v>
      </c>
      <c r="D231">
        <v>616</v>
      </c>
      <c r="E231" s="132">
        <v>0</v>
      </c>
      <c r="F231" s="132">
        <v>0</v>
      </c>
      <c r="G231" s="132">
        <v>0</v>
      </c>
      <c r="H231" s="132">
        <v>0</v>
      </c>
      <c r="I231" s="132">
        <v>0</v>
      </c>
      <c r="J231" s="132">
        <v>0</v>
      </c>
      <c r="K231" s="132">
        <v>0</v>
      </c>
      <c r="L231" s="132">
        <v>0</v>
      </c>
      <c r="M231" s="132">
        <v>0</v>
      </c>
      <c r="N231" s="132">
        <v>0</v>
      </c>
      <c r="O231" s="132">
        <v>0</v>
      </c>
      <c r="P231" s="132">
        <v>0</v>
      </c>
      <c r="Q231" s="128">
        <f t="shared" si="8"/>
        <v>0</v>
      </c>
    </row>
    <row r="232" spans="1:17" x14ac:dyDescent="0.2">
      <c r="A232" s="23" t="s">
        <v>104</v>
      </c>
      <c r="B232">
        <v>6</v>
      </c>
      <c r="C232" s="23" t="s">
        <v>111</v>
      </c>
      <c r="D232">
        <v>617</v>
      </c>
      <c r="E232" s="132">
        <v>0</v>
      </c>
      <c r="F232" s="132">
        <v>0</v>
      </c>
      <c r="G232" s="132">
        <v>0</v>
      </c>
      <c r="H232" s="132">
        <v>0</v>
      </c>
      <c r="I232" s="132">
        <v>0</v>
      </c>
      <c r="J232" s="132">
        <v>0</v>
      </c>
      <c r="K232" s="132">
        <v>0</v>
      </c>
      <c r="L232" s="132">
        <v>0</v>
      </c>
      <c r="M232" s="132">
        <v>0</v>
      </c>
      <c r="N232" s="132">
        <v>0</v>
      </c>
      <c r="O232" s="132">
        <v>0</v>
      </c>
      <c r="P232" s="132">
        <v>0</v>
      </c>
      <c r="Q232" s="128">
        <f t="shared" si="8"/>
        <v>0</v>
      </c>
    </row>
    <row r="233" spans="1:17" x14ac:dyDescent="0.2">
      <c r="A233" s="23" t="s">
        <v>104</v>
      </c>
      <c r="B233">
        <v>6</v>
      </c>
      <c r="C233" s="23" t="s">
        <v>111</v>
      </c>
      <c r="D233">
        <v>618</v>
      </c>
      <c r="E233" s="132">
        <v>0</v>
      </c>
      <c r="F233" s="132">
        <v>0</v>
      </c>
      <c r="G233" s="132">
        <v>0</v>
      </c>
      <c r="H233" s="132">
        <v>0</v>
      </c>
      <c r="I233" s="132">
        <v>0</v>
      </c>
      <c r="J233" s="132">
        <v>0</v>
      </c>
      <c r="K233" s="132">
        <v>0</v>
      </c>
      <c r="L233" s="132">
        <v>0</v>
      </c>
      <c r="M233" s="132">
        <v>0</v>
      </c>
      <c r="N233" s="132">
        <v>0</v>
      </c>
      <c r="O233" s="132">
        <v>0</v>
      </c>
      <c r="P233" s="132">
        <v>0</v>
      </c>
      <c r="Q233" s="128">
        <f t="shared" si="8"/>
        <v>0</v>
      </c>
    </row>
    <row r="234" spans="1:17" x14ac:dyDescent="0.2">
      <c r="A234" s="23" t="s">
        <v>104</v>
      </c>
      <c r="B234">
        <v>6</v>
      </c>
      <c r="C234" s="23" t="s">
        <v>111</v>
      </c>
      <c r="D234">
        <v>619</v>
      </c>
      <c r="E234" s="132">
        <v>0</v>
      </c>
      <c r="F234" s="132">
        <v>0</v>
      </c>
      <c r="G234" s="132">
        <v>0</v>
      </c>
      <c r="H234" s="132">
        <v>0</v>
      </c>
      <c r="I234" s="132">
        <v>0</v>
      </c>
      <c r="J234" s="132">
        <v>0</v>
      </c>
      <c r="K234" s="132">
        <v>0</v>
      </c>
      <c r="L234" s="132">
        <v>0</v>
      </c>
      <c r="M234" s="132">
        <v>0</v>
      </c>
      <c r="N234" s="132">
        <v>0</v>
      </c>
      <c r="O234" s="132">
        <v>0</v>
      </c>
      <c r="P234" s="132">
        <v>0</v>
      </c>
      <c r="Q234" s="128">
        <f t="shared" si="8"/>
        <v>0</v>
      </c>
    </row>
    <row r="235" spans="1:17" x14ac:dyDescent="0.2">
      <c r="A235" s="23" t="s">
        <v>104</v>
      </c>
      <c r="B235">
        <v>6</v>
      </c>
      <c r="C235" s="23" t="s">
        <v>111</v>
      </c>
      <c r="D235">
        <v>620</v>
      </c>
      <c r="E235" s="132">
        <v>0</v>
      </c>
      <c r="F235" s="132">
        <v>0</v>
      </c>
      <c r="G235" s="132">
        <v>0</v>
      </c>
      <c r="H235" s="132">
        <v>0</v>
      </c>
      <c r="I235" s="132">
        <v>0</v>
      </c>
      <c r="J235" s="132">
        <v>0</v>
      </c>
      <c r="K235" s="132">
        <v>0</v>
      </c>
      <c r="L235" s="132">
        <v>0</v>
      </c>
      <c r="M235" s="132">
        <v>0</v>
      </c>
      <c r="N235" s="132">
        <v>0</v>
      </c>
      <c r="O235" s="132">
        <v>0</v>
      </c>
      <c r="P235" s="132">
        <v>0</v>
      </c>
      <c r="Q235" s="128">
        <f t="shared" si="8"/>
        <v>0</v>
      </c>
    </row>
    <row r="236" spans="1:17" x14ac:dyDescent="0.2">
      <c r="A236" s="23" t="s">
        <v>104</v>
      </c>
      <c r="B236">
        <v>6</v>
      </c>
      <c r="C236" s="23" t="s">
        <v>111</v>
      </c>
      <c r="D236">
        <v>621</v>
      </c>
      <c r="E236" s="132">
        <v>0</v>
      </c>
      <c r="F236" s="132">
        <v>0</v>
      </c>
      <c r="G236" s="132">
        <v>0</v>
      </c>
      <c r="H236" s="132">
        <v>0</v>
      </c>
      <c r="I236" s="132">
        <v>0</v>
      </c>
      <c r="J236" s="132">
        <v>0</v>
      </c>
      <c r="K236" s="132">
        <v>0</v>
      </c>
      <c r="L236" s="132">
        <v>0</v>
      </c>
      <c r="M236" s="132">
        <v>0</v>
      </c>
      <c r="N236" s="132">
        <v>0</v>
      </c>
      <c r="O236" s="132">
        <v>0</v>
      </c>
      <c r="P236" s="132">
        <v>0</v>
      </c>
      <c r="Q236" s="128">
        <f t="shared" si="8"/>
        <v>0</v>
      </c>
    </row>
    <row r="237" spans="1:17" x14ac:dyDescent="0.2">
      <c r="A237" s="23"/>
      <c r="C237" s="23"/>
      <c r="E237" s="132"/>
      <c r="F237" s="132">
        <f t="shared" ref="F237:P237" si="9">AVERAGE(F193:F236)</f>
        <v>0</v>
      </c>
      <c r="G237" s="132">
        <f t="shared" si="9"/>
        <v>0</v>
      </c>
      <c r="H237" s="132">
        <f t="shared" si="9"/>
        <v>0</v>
      </c>
      <c r="I237" s="132">
        <f t="shared" si="9"/>
        <v>0</v>
      </c>
      <c r="J237" s="132">
        <f t="shared" si="9"/>
        <v>0</v>
      </c>
      <c r="K237" s="132">
        <f t="shared" si="9"/>
        <v>0</v>
      </c>
      <c r="L237" s="132">
        <f t="shared" si="9"/>
        <v>0</v>
      </c>
      <c r="M237" s="132">
        <f t="shared" si="9"/>
        <v>0</v>
      </c>
      <c r="N237" s="132">
        <f t="shared" si="9"/>
        <v>0</v>
      </c>
      <c r="O237" s="132">
        <f t="shared" si="9"/>
        <v>0</v>
      </c>
      <c r="P237" s="132">
        <f t="shared" si="9"/>
        <v>0</v>
      </c>
      <c r="Q237" s="128">
        <f t="shared" si="8"/>
        <v>0</v>
      </c>
    </row>
    <row r="238" spans="1:17" x14ac:dyDescent="0.2">
      <c r="A238" s="23" t="s">
        <v>104</v>
      </c>
      <c r="B238">
        <v>7</v>
      </c>
      <c r="C238" s="23" t="s">
        <v>112</v>
      </c>
      <c r="D238">
        <v>701</v>
      </c>
      <c r="E238" s="132">
        <v>0</v>
      </c>
      <c r="F238" s="132">
        <v>0</v>
      </c>
      <c r="G238" s="132">
        <v>0</v>
      </c>
      <c r="H238" s="132">
        <v>0</v>
      </c>
      <c r="I238" s="132">
        <v>0</v>
      </c>
      <c r="J238" s="132">
        <v>0</v>
      </c>
      <c r="K238" s="132">
        <v>0</v>
      </c>
      <c r="L238" s="132">
        <v>0</v>
      </c>
      <c r="M238" s="132">
        <v>0</v>
      </c>
      <c r="N238" s="132">
        <v>0</v>
      </c>
      <c r="O238" s="132">
        <v>0</v>
      </c>
      <c r="P238" s="132">
        <v>0</v>
      </c>
      <c r="Q238" s="128">
        <f t="shared" si="8"/>
        <v>0</v>
      </c>
    </row>
    <row r="239" spans="1:17" x14ac:dyDescent="0.2">
      <c r="A239" s="23" t="s">
        <v>104</v>
      </c>
      <c r="B239">
        <v>7</v>
      </c>
      <c r="C239" s="23" t="s">
        <v>112</v>
      </c>
      <c r="D239">
        <v>702</v>
      </c>
      <c r="E239" s="132">
        <v>0</v>
      </c>
      <c r="F239" s="132">
        <v>0</v>
      </c>
      <c r="G239" s="132">
        <v>0</v>
      </c>
      <c r="H239" s="132">
        <v>0</v>
      </c>
      <c r="I239" s="132">
        <v>0</v>
      </c>
      <c r="J239" s="132">
        <v>0</v>
      </c>
      <c r="K239" s="132">
        <v>0</v>
      </c>
      <c r="L239" s="132">
        <v>0</v>
      </c>
      <c r="M239" s="132">
        <v>0</v>
      </c>
      <c r="N239" s="132">
        <v>0</v>
      </c>
      <c r="O239" s="132">
        <v>0</v>
      </c>
      <c r="P239" s="132">
        <v>0</v>
      </c>
      <c r="Q239" s="128">
        <f t="shared" si="8"/>
        <v>0</v>
      </c>
    </row>
    <row r="240" spans="1:17" x14ac:dyDescent="0.2">
      <c r="A240" s="23" t="s">
        <v>104</v>
      </c>
      <c r="B240">
        <v>7</v>
      </c>
      <c r="C240" s="23" t="s">
        <v>112</v>
      </c>
      <c r="D240">
        <v>703</v>
      </c>
      <c r="E240" s="132">
        <v>0</v>
      </c>
      <c r="F240" s="132">
        <v>0</v>
      </c>
      <c r="G240" s="132">
        <v>0</v>
      </c>
      <c r="H240" s="132">
        <v>0</v>
      </c>
      <c r="I240" s="132">
        <v>0</v>
      </c>
      <c r="J240" s="132">
        <v>0</v>
      </c>
      <c r="K240" s="132">
        <v>0</v>
      </c>
      <c r="L240" s="132">
        <v>0</v>
      </c>
      <c r="M240" s="132">
        <v>0</v>
      </c>
      <c r="N240" s="132">
        <v>0</v>
      </c>
      <c r="O240" s="132">
        <v>0</v>
      </c>
      <c r="P240" s="132">
        <v>0</v>
      </c>
      <c r="Q240" s="128">
        <f t="shared" si="8"/>
        <v>0</v>
      </c>
    </row>
    <row r="241" spans="1:17" x14ac:dyDescent="0.2">
      <c r="A241" s="23" t="s">
        <v>104</v>
      </c>
      <c r="B241">
        <v>7</v>
      </c>
      <c r="C241" s="23" t="s">
        <v>112</v>
      </c>
      <c r="D241">
        <v>704</v>
      </c>
      <c r="E241" s="132">
        <v>0</v>
      </c>
      <c r="F241" s="132">
        <v>0</v>
      </c>
      <c r="G241" s="132">
        <v>0</v>
      </c>
      <c r="H241" s="132">
        <v>0</v>
      </c>
      <c r="I241" s="132">
        <v>0</v>
      </c>
      <c r="J241" s="132">
        <v>0</v>
      </c>
      <c r="K241" s="132">
        <v>0</v>
      </c>
      <c r="L241" s="132">
        <v>0</v>
      </c>
      <c r="M241" s="132">
        <v>0</v>
      </c>
      <c r="N241" s="132">
        <v>0</v>
      </c>
      <c r="O241" s="132">
        <v>0</v>
      </c>
      <c r="P241" s="132">
        <v>0</v>
      </c>
      <c r="Q241" s="128">
        <f t="shared" si="8"/>
        <v>0</v>
      </c>
    </row>
    <row r="242" spans="1:17" x14ac:dyDescent="0.2">
      <c r="A242" s="23" t="s">
        <v>104</v>
      </c>
      <c r="B242">
        <v>7</v>
      </c>
      <c r="C242" s="23" t="s">
        <v>112</v>
      </c>
      <c r="D242">
        <v>705</v>
      </c>
      <c r="E242" s="132">
        <v>0</v>
      </c>
      <c r="F242" s="132">
        <v>0</v>
      </c>
      <c r="G242" s="132">
        <v>0</v>
      </c>
      <c r="H242" s="132">
        <v>0</v>
      </c>
      <c r="I242" s="132">
        <v>0</v>
      </c>
      <c r="J242" s="132">
        <v>0</v>
      </c>
      <c r="K242" s="132">
        <v>0</v>
      </c>
      <c r="L242" s="132">
        <v>0</v>
      </c>
      <c r="M242" s="132">
        <v>0</v>
      </c>
      <c r="N242" s="132">
        <v>0</v>
      </c>
      <c r="O242" s="132">
        <v>0</v>
      </c>
      <c r="P242" s="132">
        <v>0</v>
      </c>
      <c r="Q242" s="128">
        <f t="shared" si="8"/>
        <v>0</v>
      </c>
    </row>
    <row r="243" spans="1:17" x14ac:dyDescent="0.2">
      <c r="A243" s="23" t="s">
        <v>104</v>
      </c>
      <c r="B243">
        <v>7</v>
      </c>
      <c r="C243" s="23" t="s">
        <v>112</v>
      </c>
      <c r="D243">
        <v>706</v>
      </c>
      <c r="E243" s="132">
        <v>0</v>
      </c>
      <c r="F243" s="132">
        <v>0</v>
      </c>
      <c r="G243" s="132">
        <v>0</v>
      </c>
      <c r="H243" s="132">
        <v>0</v>
      </c>
      <c r="I243" s="132">
        <v>0</v>
      </c>
      <c r="J243" s="132">
        <v>0</v>
      </c>
      <c r="K243" s="132">
        <v>0</v>
      </c>
      <c r="L243" s="132">
        <v>0</v>
      </c>
      <c r="M243" s="132">
        <v>0</v>
      </c>
      <c r="N243" s="132">
        <v>0</v>
      </c>
      <c r="O243" s="132">
        <v>0</v>
      </c>
      <c r="P243" s="132">
        <v>0</v>
      </c>
      <c r="Q243" s="128">
        <f t="shared" si="8"/>
        <v>0</v>
      </c>
    </row>
    <row r="244" spans="1:17" x14ac:dyDescent="0.2">
      <c r="A244" s="23" t="s">
        <v>104</v>
      </c>
      <c r="B244">
        <v>7</v>
      </c>
      <c r="C244" s="23" t="s">
        <v>112</v>
      </c>
      <c r="D244">
        <v>707</v>
      </c>
      <c r="E244" s="132">
        <v>0</v>
      </c>
      <c r="F244" s="132">
        <v>0</v>
      </c>
      <c r="G244" s="132">
        <v>0</v>
      </c>
      <c r="H244" s="132">
        <v>0</v>
      </c>
      <c r="I244" s="132">
        <v>0</v>
      </c>
      <c r="J244" s="132">
        <v>0</v>
      </c>
      <c r="K244" s="132">
        <v>0</v>
      </c>
      <c r="L244" s="132">
        <v>0</v>
      </c>
      <c r="M244" s="132">
        <v>0</v>
      </c>
      <c r="N244" s="132">
        <v>0</v>
      </c>
      <c r="O244" s="132">
        <v>0</v>
      </c>
      <c r="P244" s="132">
        <v>0</v>
      </c>
      <c r="Q244" s="128">
        <f t="shared" si="8"/>
        <v>0</v>
      </c>
    </row>
    <row r="245" spans="1:17" x14ac:dyDescent="0.2">
      <c r="A245" s="23" t="s">
        <v>104</v>
      </c>
      <c r="B245">
        <v>7</v>
      </c>
      <c r="C245" s="23" t="s">
        <v>112</v>
      </c>
      <c r="D245">
        <v>708</v>
      </c>
      <c r="E245" s="132">
        <v>0</v>
      </c>
      <c r="F245" s="132">
        <v>0</v>
      </c>
      <c r="G245" s="132">
        <v>0</v>
      </c>
      <c r="H245" s="132">
        <v>0</v>
      </c>
      <c r="I245" s="132">
        <v>0</v>
      </c>
      <c r="J245" s="132">
        <v>0</v>
      </c>
      <c r="K245" s="132">
        <v>0</v>
      </c>
      <c r="L245" s="132">
        <v>0</v>
      </c>
      <c r="M245" s="132">
        <v>0</v>
      </c>
      <c r="N245" s="132">
        <v>0</v>
      </c>
      <c r="O245" s="132">
        <v>0</v>
      </c>
      <c r="P245" s="132">
        <v>0</v>
      </c>
      <c r="Q245" s="128">
        <f t="shared" si="8"/>
        <v>0</v>
      </c>
    </row>
    <row r="246" spans="1:17" x14ac:dyDescent="0.2">
      <c r="A246" s="23" t="s">
        <v>104</v>
      </c>
      <c r="B246">
        <v>7</v>
      </c>
      <c r="C246" s="23" t="s">
        <v>112</v>
      </c>
      <c r="D246">
        <v>709</v>
      </c>
      <c r="E246" s="132">
        <v>0</v>
      </c>
      <c r="F246" s="132">
        <v>0</v>
      </c>
      <c r="G246" s="132">
        <v>0</v>
      </c>
      <c r="H246" s="132">
        <v>0</v>
      </c>
      <c r="I246" s="132">
        <v>0</v>
      </c>
      <c r="J246" s="132">
        <v>0</v>
      </c>
      <c r="K246" s="132">
        <v>0</v>
      </c>
      <c r="L246" s="132">
        <v>0</v>
      </c>
      <c r="M246" s="132">
        <v>0</v>
      </c>
      <c r="N246" s="132">
        <v>0</v>
      </c>
      <c r="O246" s="132">
        <v>0</v>
      </c>
      <c r="P246" s="132">
        <v>0</v>
      </c>
      <c r="Q246" s="128">
        <f t="shared" si="8"/>
        <v>0</v>
      </c>
    </row>
    <row r="247" spans="1:17" x14ac:dyDescent="0.2">
      <c r="A247" s="23" t="s">
        <v>104</v>
      </c>
      <c r="B247">
        <v>7</v>
      </c>
      <c r="C247" s="23" t="s">
        <v>112</v>
      </c>
      <c r="D247">
        <v>710</v>
      </c>
      <c r="E247" s="132">
        <v>0</v>
      </c>
      <c r="F247" s="132">
        <v>0</v>
      </c>
      <c r="G247" s="132">
        <v>0</v>
      </c>
      <c r="H247" s="132">
        <v>0</v>
      </c>
      <c r="I247" s="132">
        <v>0</v>
      </c>
      <c r="J247" s="132">
        <v>0</v>
      </c>
      <c r="K247" s="132">
        <v>0</v>
      </c>
      <c r="L247" s="132">
        <v>0</v>
      </c>
      <c r="M247" s="132">
        <v>0</v>
      </c>
      <c r="N247" s="132">
        <v>0</v>
      </c>
      <c r="O247" s="132">
        <v>0</v>
      </c>
      <c r="P247" s="132">
        <v>0</v>
      </c>
      <c r="Q247" s="128">
        <f t="shared" si="8"/>
        <v>0</v>
      </c>
    </row>
    <row r="248" spans="1:17" x14ac:dyDescent="0.2">
      <c r="A248" s="23" t="s">
        <v>104</v>
      </c>
      <c r="B248">
        <v>7</v>
      </c>
      <c r="C248" s="23" t="s">
        <v>112</v>
      </c>
      <c r="D248">
        <v>711</v>
      </c>
      <c r="E248" s="132">
        <v>0</v>
      </c>
      <c r="F248" s="132">
        <v>0</v>
      </c>
      <c r="G248" s="132">
        <v>0</v>
      </c>
      <c r="H248" s="132">
        <v>0</v>
      </c>
      <c r="I248" s="132">
        <v>0</v>
      </c>
      <c r="J248" s="132">
        <v>0</v>
      </c>
      <c r="K248" s="132">
        <v>0</v>
      </c>
      <c r="L248" s="132">
        <v>0</v>
      </c>
      <c r="M248" s="132">
        <v>0</v>
      </c>
      <c r="N248" s="132">
        <v>0</v>
      </c>
      <c r="O248" s="132">
        <v>0</v>
      </c>
      <c r="P248" s="132">
        <v>0</v>
      </c>
      <c r="Q248" s="128">
        <f t="shared" si="8"/>
        <v>0</v>
      </c>
    </row>
    <row r="249" spans="1:17" x14ac:dyDescent="0.2">
      <c r="A249" s="23" t="s">
        <v>104</v>
      </c>
      <c r="B249">
        <v>7</v>
      </c>
      <c r="C249" s="23" t="s">
        <v>112</v>
      </c>
      <c r="D249">
        <v>712</v>
      </c>
      <c r="E249" s="132">
        <v>0</v>
      </c>
      <c r="F249" s="132">
        <v>0</v>
      </c>
      <c r="G249" s="132">
        <v>0</v>
      </c>
      <c r="H249" s="132">
        <v>0</v>
      </c>
      <c r="I249" s="132">
        <v>0</v>
      </c>
      <c r="J249" s="132">
        <v>0</v>
      </c>
      <c r="K249" s="132">
        <v>0</v>
      </c>
      <c r="L249" s="132">
        <v>0</v>
      </c>
      <c r="M249" s="132">
        <v>0</v>
      </c>
      <c r="N249" s="132">
        <v>0</v>
      </c>
      <c r="O249" s="132">
        <v>0</v>
      </c>
      <c r="P249" s="132">
        <v>0</v>
      </c>
      <c r="Q249" s="128">
        <f t="shared" si="8"/>
        <v>0</v>
      </c>
    </row>
    <row r="250" spans="1:17" x14ac:dyDescent="0.2">
      <c r="A250" s="23" t="s">
        <v>104</v>
      </c>
      <c r="B250">
        <v>7</v>
      </c>
      <c r="C250" s="23" t="s">
        <v>112</v>
      </c>
      <c r="D250">
        <v>713</v>
      </c>
      <c r="E250" s="132">
        <v>0</v>
      </c>
      <c r="F250" s="132">
        <v>0</v>
      </c>
      <c r="G250" s="132">
        <v>0</v>
      </c>
      <c r="H250" s="132">
        <v>0</v>
      </c>
      <c r="I250" s="132">
        <v>0</v>
      </c>
      <c r="J250" s="132">
        <v>0</v>
      </c>
      <c r="K250" s="132">
        <v>0</v>
      </c>
      <c r="L250" s="132">
        <v>0</v>
      </c>
      <c r="M250" s="132">
        <v>0</v>
      </c>
      <c r="N250" s="132">
        <v>0</v>
      </c>
      <c r="O250" s="132">
        <v>0</v>
      </c>
      <c r="P250" s="132">
        <v>0</v>
      </c>
      <c r="Q250" s="128">
        <f t="shared" si="8"/>
        <v>0</v>
      </c>
    </row>
    <row r="251" spans="1:17" x14ac:dyDescent="0.2">
      <c r="A251" s="23" t="s">
        <v>104</v>
      </c>
      <c r="B251">
        <v>7</v>
      </c>
      <c r="C251" s="23" t="s">
        <v>112</v>
      </c>
      <c r="D251">
        <v>714</v>
      </c>
      <c r="E251" s="132">
        <v>0</v>
      </c>
      <c r="F251" s="132">
        <v>0</v>
      </c>
      <c r="G251" s="132">
        <v>0</v>
      </c>
      <c r="H251" s="132">
        <v>0</v>
      </c>
      <c r="I251" s="132">
        <v>0</v>
      </c>
      <c r="J251" s="132">
        <v>0</v>
      </c>
      <c r="K251" s="132">
        <v>0</v>
      </c>
      <c r="L251" s="132">
        <v>0</v>
      </c>
      <c r="M251" s="132">
        <v>0</v>
      </c>
      <c r="N251" s="132">
        <v>0</v>
      </c>
      <c r="O251" s="132">
        <v>0</v>
      </c>
      <c r="P251" s="132">
        <v>0</v>
      </c>
      <c r="Q251" s="128">
        <f t="shared" si="8"/>
        <v>0</v>
      </c>
    </row>
    <row r="252" spans="1:17" x14ac:dyDescent="0.2">
      <c r="A252" s="23" t="s">
        <v>104</v>
      </c>
      <c r="B252">
        <v>7</v>
      </c>
      <c r="C252" s="23" t="s">
        <v>112</v>
      </c>
      <c r="D252">
        <v>715</v>
      </c>
      <c r="E252" s="132">
        <v>0</v>
      </c>
      <c r="F252" s="132">
        <v>0</v>
      </c>
      <c r="G252" s="132">
        <v>0</v>
      </c>
      <c r="H252" s="132">
        <v>0</v>
      </c>
      <c r="I252" s="132">
        <v>0</v>
      </c>
      <c r="J252" s="132">
        <v>0</v>
      </c>
      <c r="K252" s="132">
        <v>0</v>
      </c>
      <c r="L252" s="132">
        <v>0</v>
      </c>
      <c r="M252" s="132">
        <v>0</v>
      </c>
      <c r="N252" s="132">
        <v>0</v>
      </c>
      <c r="O252" s="132">
        <v>0</v>
      </c>
      <c r="P252" s="132">
        <v>0</v>
      </c>
      <c r="Q252" s="128">
        <f t="shared" si="8"/>
        <v>0</v>
      </c>
    </row>
    <row r="253" spans="1:17" x14ac:dyDescent="0.2">
      <c r="A253" s="23" t="s">
        <v>104</v>
      </c>
      <c r="B253">
        <v>7</v>
      </c>
      <c r="C253" s="23" t="s">
        <v>112</v>
      </c>
      <c r="D253">
        <v>716</v>
      </c>
      <c r="E253" s="132">
        <v>0</v>
      </c>
      <c r="F253" s="132">
        <v>0</v>
      </c>
      <c r="G253" s="132">
        <v>0</v>
      </c>
      <c r="H253" s="132">
        <v>0</v>
      </c>
      <c r="I253" s="132">
        <v>0</v>
      </c>
      <c r="J253" s="132">
        <v>0</v>
      </c>
      <c r="K253" s="132">
        <v>0</v>
      </c>
      <c r="L253" s="132">
        <v>0</v>
      </c>
      <c r="M253" s="132">
        <v>0</v>
      </c>
      <c r="N253" s="132">
        <v>0</v>
      </c>
      <c r="O253" s="132">
        <v>0</v>
      </c>
      <c r="P253" s="132">
        <v>0</v>
      </c>
      <c r="Q253" s="128">
        <f t="shared" si="8"/>
        <v>0</v>
      </c>
    </row>
    <row r="254" spans="1:17" x14ac:dyDescent="0.2">
      <c r="A254" s="23" t="s">
        <v>104</v>
      </c>
      <c r="B254">
        <v>7</v>
      </c>
      <c r="C254" s="23" t="s">
        <v>112</v>
      </c>
      <c r="D254">
        <v>717</v>
      </c>
      <c r="E254" s="132">
        <v>0</v>
      </c>
      <c r="F254" s="132">
        <v>0</v>
      </c>
      <c r="G254" s="132">
        <v>0</v>
      </c>
      <c r="H254" s="132">
        <v>0</v>
      </c>
      <c r="I254" s="132">
        <v>0</v>
      </c>
      <c r="J254" s="132">
        <v>0</v>
      </c>
      <c r="K254" s="132">
        <v>0</v>
      </c>
      <c r="L254" s="132">
        <v>0</v>
      </c>
      <c r="M254" s="132">
        <v>0</v>
      </c>
      <c r="N254" s="132">
        <v>0</v>
      </c>
      <c r="O254" s="132">
        <v>0</v>
      </c>
      <c r="P254" s="132">
        <v>0</v>
      </c>
      <c r="Q254" s="128">
        <f t="shared" si="8"/>
        <v>0</v>
      </c>
    </row>
    <row r="255" spans="1:17" x14ac:dyDescent="0.2">
      <c r="A255" s="23" t="s">
        <v>104</v>
      </c>
      <c r="B255">
        <v>7</v>
      </c>
      <c r="C255" s="23" t="s">
        <v>112</v>
      </c>
      <c r="D255">
        <v>718</v>
      </c>
      <c r="E255" s="132">
        <v>0</v>
      </c>
      <c r="F255" s="132">
        <v>0</v>
      </c>
      <c r="G255" s="132">
        <v>0</v>
      </c>
      <c r="H255" s="132">
        <v>0</v>
      </c>
      <c r="I255" s="132">
        <v>0</v>
      </c>
      <c r="J255" s="132">
        <v>0</v>
      </c>
      <c r="K255" s="132">
        <v>0</v>
      </c>
      <c r="L255" s="132">
        <v>0</v>
      </c>
      <c r="M255" s="132">
        <v>0</v>
      </c>
      <c r="N255" s="132">
        <v>0</v>
      </c>
      <c r="O255" s="132">
        <v>0</v>
      </c>
      <c r="P255" s="132">
        <v>0</v>
      </c>
      <c r="Q255" s="128">
        <f t="shared" si="8"/>
        <v>0</v>
      </c>
    </row>
    <row r="256" spans="1:17" x14ac:dyDescent="0.2">
      <c r="A256" s="23" t="s">
        <v>104</v>
      </c>
      <c r="B256">
        <v>7</v>
      </c>
      <c r="C256" s="23" t="s">
        <v>112</v>
      </c>
      <c r="D256">
        <v>719</v>
      </c>
      <c r="E256" s="132">
        <v>0</v>
      </c>
      <c r="F256" s="132">
        <v>0</v>
      </c>
      <c r="G256" s="132">
        <v>0</v>
      </c>
      <c r="H256" s="132">
        <v>0</v>
      </c>
      <c r="I256" s="132">
        <v>0</v>
      </c>
      <c r="J256" s="132">
        <v>0</v>
      </c>
      <c r="K256" s="132">
        <v>0</v>
      </c>
      <c r="L256" s="132">
        <v>0</v>
      </c>
      <c r="M256" s="132">
        <v>0</v>
      </c>
      <c r="N256" s="132">
        <v>0</v>
      </c>
      <c r="O256" s="132">
        <v>0</v>
      </c>
      <c r="P256" s="132">
        <v>0</v>
      </c>
      <c r="Q256" s="128">
        <f t="shared" si="8"/>
        <v>0</v>
      </c>
    </row>
    <row r="257" spans="1:17" x14ac:dyDescent="0.2">
      <c r="A257" s="23" t="s">
        <v>104</v>
      </c>
      <c r="B257">
        <v>7</v>
      </c>
      <c r="C257" s="23" t="s">
        <v>112</v>
      </c>
      <c r="D257">
        <v>720</v>
      </c>
      <c r="E257" s="132">
        <v>0</v>
      </c>
      <c r="F257" s="132">
        <v>0</v>
      </c>
      <c r="G257" s="132">
        <v>0</v>
      </c>
      <c r="H257" s="132">
        <v>0</v>
      </c>
      <c r="I257" s="132">
        <v>0</v>
      </c>
      <c r="J257" s="132">
        <v>0</v>
      </c>
      <c r="K257" s="132">
        <v>0</v>
      </c>
      <c r="L257" s="132">
        <v>0</v>
      </c>
      <c r="M257" s="132">
        <v>0</v>
      </c>
      <c r="N257" s="132">
        <v>0</v>
      </c>
      <c r="O257" s="132">
        <v>0</v>
      </c>
      <c r="P257" s="132">
        <v>0</v>
      </c>
      <c r="Q257" s="128">
        <f t="shared" si="8"/>
        <v>0</v>
      </c>
    </row>
    <row r="258" spans="1:17" x14ac:dyDescent="0.2">
      <c r="A258" s="23" t="s">
        <v>104</v>
      </c>
      <c r="B258">
        <v>7</v>
      </c>
      <c r="C258" s="23" t="s">
        <v>112</v>
      </c>
      <c r="D258">
        <v>721</v>
      </c>
      <c r="E258" s="132">
        <v>0</v>
      </c>
      <c r="F258" s="132">
        <v>0</v>
      </c>
      <c r="G258" s="132">
        <v>0</v>
      </c>
      <c r="H258" s="132">
        <v>0</v>
      </c>
      <c r="I258" s="132">
        <v>0</v>
      </c>
      <c r="J258" s="132">
        <v>0</v>
      </c>
      <c r="K258" s="132">
        <v>0</v>
      </c>
      <c r="L258" s="132">
        <v>0</v>
      </c>
      <c r="M258" s="132">
        <v>0</v>
      </c>
      <c r="N258" s="132">
        <v>0</v>
      </c>
      <c r="O258" s="132">
        <v>0</v>
      </c>
      <c r="P258" s="132">
        <v>0</v>
      </c>
      <c r="Q258" s="128">
        <f t="shared" ref="Q258:Q321" si="10">AVERAGE(E258:P258)</f>
        <v>0</v>
      </c>
    </row>
    <row r="259" spans="1:17" x14ac:dyDescent="0.2">
      <c r="A259" s="23" t="s">
        <v>104</v>
      </c>
      <c r="B259">
        <v>7</v>
      </c>
      <c r="C259" s="23" t="s">
        <v>112</v>
      </c>
      <c r="D259">
        <v>722</v>
      </c>
      <c r="E259" s="132">
        <v>0</v>
      </c>
      <c r="F259" s="132">
        <v>0</v>
      </c>
      <c r="G259" s="132">
        <v>0</v>
      </c>
      <c r="H259" s="132">
        <v>0</v>
      </c>
      <c r="I259" s="132">
        <v>0</v>
      </c>
      <c r="J259" s="132">
        <v>0</v>
      </c>
      <c r="K259" s="132">
        <v>0</v>
      </c>
      <c r="L259" s="132">
        <v>0</v>
      </c>
      <c r="M259" s="132">
        <v>0</v>
      </c>
      <c r="N259" s="132">
        <v>0</v>
      </c>
      <c r="O259" s="132">
        <v>0</v>
      </c>
      <c r="P259" s="132">
        <v>0</v>
      </c>
      <c r="Q259" s="128">
        <f t="shared" si="10"/>
        <v>0</v>
      </c>
    </row>
    <row r="260" spans="1:17" x14ac:dyDescent="0.2">
      <c r="A260" s="23" t="s">
        <v>104</v>
      </c>
      <c r="B260">
        <v>7</v>
      </c>
      <c r="C260" s="23" t="s">
        <v>112</v>
      </c>
      <c r="D260">
        <v>723</v>
      </c>
      <c r="E260" s="132">
        <v>0</v>
      </c>
      <c r="F260" s="132">
        <v>0</v>
      </c>
      <c r="G260" s="132">
        <v>0</v>
      </c>
      <c r="H260" s="132">
        <v>0</v>
      </c>
      <c r="I260" s="132">
        <v>0</v>
      </c>
      <c r="J260" s="132">
        <v>0</v>
      </c>
      <c r="K260" s="132">
        <v>0</v>
      </c>
      <c r="L260" s="132">
        <v>0</v>
      </c>
      <c r="M260" s="132">
        <v>0</v>
      </c>
      <c r="N260" s="132">
        <v>0</v>
      </c>
      <c r="O260" s="132">
        <v>0</v>
      </c>
      <c r="P260" s="132">
        <v>0</v>
      </c>
      <c r="Q260" s="128">
        <f t="shared" si="10"/>
        <v>0</v>
      </c>
    </row>
    <row r="261" spans="1:17" x14ac:dyDescent="0.2">
      <c r="A261" s="23" t="s">
        <v>104</v>
      </c>
      <c r="B261">
        <v>7</v>
      </c>
      <c r="C261" s="23" t="s">
        <v>111</v>
      </c>
      <c r="D261">
        <v>701</v>
      </c>
      <c r="E261" s="132">
        <v>0</v>
      </c>
      <c r="F261" s="132">
        <v>0</v>
      </c>
      <c r="G261" s="132">
        <v>0</v>
      </c>
      <c r="H261" s="132">
        <v>0</v>
      </c>
      <c r="I261" s="132">
        <v>0</v>
      </c>
      <c r="J261" s="132">
        <v>0</v>
      </c>
      <c r="K261" s="132">
        <v>0</v>
      </c>
      <c r="L261" s="132">
        <v>0</v>
      </c>
      <c r="M261" s="132">
        <v>0</v>
      </c>
      <c r="N261" s="132">
        <v>0</v>
      </c>
      <c r="O261" s="132">
        <v>0</v>
      </c>
      <c r="P261" s="132">
        <v>0</v>
      </c>
      <c r="Q261" s="128">
        <f t="shared" si="10"/>
        <v>0</v>
      </c>
    </row>
    <row r="262" spans="1:17" x14ac:dyDescent="0.2">
      <c r="A262" s="23" t="s">
        <v>104</v>
      </c>
      <c r="B262">
        <v>7</v>
      </c>
      <c r="C262" s="23" t="s">
        <v>111</v>
      </c>
      <c r="D262">
        <v>702</v>
      </c>
      <c r="E262" s="132">
        <v>0</v>
      </c>
      <c r="F262" s="132">
        <v>0</v>
      </c>
      <c r="G262" s="132">
        <v>0</v>
      </c>
      <c r="H262" s="132">
        <v>0</v>
      </c>
      <c r="I262" s="132">
        <v>0</v>
      </c>
      <c r="J262" s="132">
        <v>0</v>
      </c>
      <c r="K262" s="132">
        <v>0</v>
      </c>
      <c r="L262" s="132">
        <v>0</v>
      </c>
      <c r="M262" s="132">
        <v>0</v>
      </c>
      <c r="N262" s="132">
        <v>0</v>
      </c>
      <c r="O262" s="132">
        <v>0</v>
      </c>
      <c r="P262" s="132">
        <v>0</v>
      </c>
      <c r="Q262" s="128">
        <f t="shared" si="10"/>
        <v>0</v>
      </c>
    </row>
    <row r="263" spans="1:17" x14ac:dyDescent="0.2">
      <c r="A263" s="23" t="s">
        <v>104</v>
      </c>
      <c r="B263">
        <v>7</v>
      </c>
      <c r="C263" s="23" t="s">
        <v>111</v>
      </c>
      <c r="D263">
        <v>703</v>
      </c>
      <c r="E263" s="132">
        <v>0</v>
      </c>
      <c r="F263" s="132">
        <v>0</v>
      </c>
      <c r="G263" s="132">
        <v>0</v>
      </c>
      <c r="H263" s="132">
        <v>0</v>
      </c>
      <c r="I263" s="132">
        <v>0</v>
      </c>
      <c r="J263" s="132">
        <v>0</v>
      </c>
      <c r="K263" s="132">
        <v>0</v>
      </c>
      <c r="L263" s="132">
        <v>0</v>
      </c>
      <c r="M263" s="132">
        <v>0</v>
      </c>
      <c r="N263" s="132">
        <v>0</v>
      </c>
      <c r="O263" s="132">
        <v>0</v>
      </c>
      <c r="P263" s="132">
        <v>0</v>
      </c>
      <c r="Q263" s="128">
        <f t="shared" si="10"/>
        <v>0</v>
      </c>
    </row>
    <row r="264" spans="1:17" x14ac:dyDescent="0.2">
      <c r="A264" s="23" t="s">
        <v>104</v>
      </c>
      <c r="B264">
        <v>7</v>
      </c>
      <c r="C264" s="23" t="s">
        <v>111</v>
      </c>
      <c r="D264">
        <v>704</v>
      </c>
      <c r="E264" s="132">
        <v>0</v>
      </c>
      <c r="F264" s="132">
        <v>0</v>
      </c>
      <c r="G264" s="132">
        <v>0</v>
      </c>
      <c r="H264" s="132">
        <v>0</v>
      </c>
      <c r="I264" s="132">
        <v>0</v>
      </c>
      <c r="J264" s="132">
        <v>0</v>
      </c>
      <c r="K264" s="132">
        <v>0</v>
      </c>
      <c r="L264" s="132">
        <v>0</v>
      </c>
      <c r="M264" s="132">
        <v>0</v>
      </c>
      <c r="N264" s="132">
        <v>0</v>
      </c>
      <c r="O264" s="132">
        <v>0</v>
      </c>
      <c r="P264" s="132">
        <v>0</v>
      </c>
      <c r="Q264" s="128">
        <f t="shared" si="10"/>
        <v>0</v>
      </c>
    </row>
    <row r="265" spans="1:17" x14ac:dyDescent="0.2">
      <c r="A265" s="23" t="s">
        <v>104</v>
      </c>
      <c r="B265">
        <v>7</v>
      </c>
      <c r="C265" s="23" t="s">
        <v>111</v>
      </c>
      <c r="D265">
        <v>705</v>
      </c>
      <c r="E265" s="132">
        <v>0</v>
      </c>
      <c r="F265" s="132">
        <v>0</v>
      </c>
      <c r="G265" s="132">
        <v>0</v>
      </c>
      <c r="H265" s="132">
        <v>0</v>
      </c>
      <c r="I265" s="132">
        <v>0</v>
      </c>
      <c r="J265" s="132">
        <v>0</v>
      </c>
      <c r="K265" s="132">
        <v>0</v>
      </c>
      <c r="L265" s="132">
        <v>0</v>
      </c>
      <c r="M265" s="132">
        <v>0</v>
      </c>
      <c r="N265" s="132">
        <v>0</v>
      </c>
      <c r="O265" s="132">
        <v>0</v>
      </c>
      <c r="P265" s="132">
        <v>0</v>
      </c>
      <c r="Q265" s="128">
        <f t="shared" si="10"/>
        <v>0</v>
      </c>
    </row>
    <row r="266" spans="1:17" x14ac:dyDescent="0.2">
      <c r="A266" s="23" t="s">
        <v>104</v>
      </c>
      <c r="B266">
        <v>7</v>
      </c>
      <c r="C266" s="23" t="s">
        <v>111</v>
      </c>
      <c r="D266">
        <v>706</v>
      </c>
      <c r="E266" s="132">
        <v>0</v>
      </c>
      <c r="F266" s="132">
        <v>0</v>
      </c>
      <c r="G266" s="132">
        <v>0</v>
      </c>
      <c r="H266" s="132">
        <v>0</v>
      </c>
      <c r="I266" s="132">
        <v>0</v>
      </c>
      <c r="J266" s="132">
        <v>0</v>
      </c>
      <c r="K266" s="132">
        <v>0</v>
      </c>
      <c r="L266" s="132">
        <v>0</v>
      </c>
      <c r="M266" s="132">
        <v>0</v>
      </c>
      <c r="N266" s="132">
        <v>0</v>
      </c>
      <c r="O266" s="132">
        <v>0</v>
      </c>
      <c r="P266" s="132">
        <v>0</v>
      </c>
      <c r="Q266" s="128">
        <f t="shared" si="10"/>
        <v>0</v>
      </c>
    </row>
    <row r="267" spans="1:17" x14ac:dyDescent="0.2">
      <c r="A267" s="23" t="s">
        <v>104</v>
      </c>
      <c r="B267">
        <v>7</v>
      </c>
      <c r="C267" s="23" t="s">
        <v>111</v>
      </c>
      <c r="D267">
        <v>707</v>
      </c>
      <c r="E267" s="132">
        <v>0</v>
      </c>
      <c r="F267" s="132">
        <v>0</v>
      </c>
      <c r="G267" s="132">
        <v>0</v>
      </c>
      <c r="H267" s="132">
        <v>0</v>
      </c>
      <c r="I267" s="132">
        <v>0</v>
      </c>
      <c r="J267" s="132">
        <v>0</v>
      </c>
      <c r="K267" s="132">
        <v>0</v>
      </c>
      <c r="L267" s="132">
        <v>0</v>
      </c>
      <c r="M267" s="132">
        <v>0</v>
      </c>
      <c r="N267" s="132">
        <v>0</v>
      </c>
      <c r="O267" s="132">
        <v>0</v>
      </c>
      <c r="P267" s="132">
        <v>0</v>
      </c>
      <c r="Q267" s="128">
        <f t="shared" si="10"/>
        <v>0</v>
      </c>
    </row>
    <row r="268" spans="1:17" x14ac:dyDescent="0.2">
      <c r="A268" s="23" t="s">
        <v>104</v>
      </c>
      <c r="B268">
        <v>7</v>
      </c>
      <c r="C268" s="23" t="s">
        <v>111</v>
      </c>
      <c r="D268">
        <v>708</v>
      </c>
      <c r="E268" s="132">
        <v>0</v>
      </c>
      <c r="F268" s="132">
        <v>0</v>
      </c>
      <c r="G268" s="132">
        <v>0</v>
      </c>
      <c r="H268" s="132">
        <v>0</v>
      </c>
      <c r="I268" s="132">
        <v>0</v>
      </c>
      <c r="J268" s="132">
        <v>0</v>
      </c>
      <c r="K268" s="132">
        <v>0</v>
      </c>
      <c r="L268" s="132">
        <v>0</v>
      </c>
      <c r="M268" s="132">
        <v>0</v>
      </c>
      <c r="N268" s="132">
        <v>0</v>
      </c>
      <c r="O268" s="132">
        <v>0</v>
      </c>
      <c r="P268" s="132">
        <v>0</v>
      </c>
      <c r="Q268" s="128">
        <f t="shared" si="10"/>
        <v>0</v>
      </c>
    </row>
    <row r="269" spans="1:17" x14ac:dyDescent="0.2">
      <c r="A269" s="23" t="s">
        <v>104</v>
      </c>
      <c r="B269">
        <v>7</v>
      </c>
      <c r="C269" s="23" t="s">
        <v>111</v>
      </c>
      <c r="D269">
        <v>709</v>
      </c>
      <c r="E269" s="132">
        <v>0</v>
      </c>
      <c r="F269" s="132">
        <v>0</v>
      </c>
      <c r="G269" s="132">
        <v>0</v>
      </c>
      <c r="H269" s="132">
        <v>0</v>
      </c>
      <c r="I269" s="132">
        <v>0</v>
      </c>
      <c r="J269" s="132">
        <v>0</v>
      </c>
      <c r="K269" s="132">
        <v>0</v>
      </c>
      <c r="L269" s="132">
        <v>0</v>
      </c>
      <c r="M269" s="132">
        <v>0</v>
      </c>
      <c r="N269" s="132">
        <v>0</v>
      </c>
      <c r="O269" s="132">
        <v>0</v>
      </c>
      <c r="P269" s="132">
        <v>0</v>
      </c>
      <c r="Q269" s="128">
        <f t="shared" si="10"/>
        <v>0</v>
      </c>
    </row>
    <row r="270" spans="1:17" x14ac:dyDescent="0.2">
      <c r="A270" s="23" t="s">
        <v>104</v>
      </c>
      <c r="B270">
        <v>7</v>
      </c>
      <c r="C270" s="23" t="s">
        <v>111</v>
      </c>
      <c r="D270">
        <v>710</v>
      </c>
      <c r="E270" s="132">
        <v>0</v>
      </c>
      <c r="F270" s="132">
        <v>0</v>
      </c>
      <c r="G270" s="132">
        <v>0</v>
      </c>
      <c r="H270" s="132">
        <v>0</v>
      </c>
      <c r="I270" s="132">
        <v>0</v>
      </c>
      <c r="J270" s="132">
        <v>0</v>
      </c>
      <c r="K270" s="132">
        <v>0</v>
      </c>
      <c r="L270" s="132">
        <v>0</v>
      </c>
      <c r="M270" s="132">
        <v>0</v>
      </c>
      <c r="N270" s="132">
        <v>0</v>
      </c>
      <c r="O270" s="132">
        <v>0</v>
      </c>
      <c r="P270" s="132">
        <v>0</v>
      </c>
      <c r="Q270" s="128">
        <f t="shared" si="10"/>
        <v>0</v>
      </c>
    </row>
    <row r="271" spans="1:17" x14ac:dyDescent="0.2">
      <c r="A271" s="23" t="s">
        <v>104</v>
      </c>
      <c r="B271">
        <v>7</v>
      </c>
      <c r="C271" s="23" t="s">
        <v>111</v>
      </c>
      <c r="D271">
        <v>711</v>
      </c>
      <c r="E271" s="132">
        <v>0</v>
      </c>
      <c r="F271" s="132">
        <v>0</v>
      </c>
      <c r="G271" s="132">
        <v>0</v>
      </c>
      <c r="H271" s="132">
        <v>0</v>
      </c>
      <c r="I271" s="132">
        <v>0</v>
      </c>
      <c r="J271" s="132">
        <v>0</v>
      </c>
      <c r="K271" s="132">
        <v>0</v>
      </c>
      <c r="L271" s="132">
        <v>0</v>
      </c>
      <c r="M271" s="132">
        <v>0</v>
      </c>
      <c r="N271" s="132">
        <v>0</v>
      </c>
      <c r="O271" s="132">
        <v>0</v>
      </c>
      <c r="P271" s="132">
        <v>0</v>
      </c>
      <c r="Q271" s="128">
        <f t="shared" si="10"/>
        <v>0</v>
      </c>
    </row>
    <row r="272" spans="1:17" x14ac:dyDescent="0.2">
      <c r="A272" s="23" t="s">
        <v>104</v>
      </c>
      <c r="B272">
        <v>7</v>
      </c>
      <c r="C272" s="23" t="s">
        <v>111</v>
      </c>
      <c r="D272">
        <v>712</v>
      </c>
      <c r="E272" s="132">
        <v>0</v>
      </c>
      <c r="F272" s="132">
        <v>0</v>
      </c>
      <c r="G272" s="132">
        <v>0</v>
      </c>
      <c r="H272" s="132">
        <v>0</v>
      </c>
      <c r="I272" s="132">
        <v>0</v>
      </c>
      <c r="J272" s="132">
        <v>0</v>
      </c>
      <c r="K272" s="132">
        <v>0</v>
      </c>
      <c r="L272" s="132">
        <v>0</v>
      </c>
      <c r="M272" s="132">
        <v>0</v>
      </c>
      <c r="N272" s="132">
        <v>0</v>
      </c>
      <c r="O272" s="132">
        <v>0</v>
      </c>
      <c r="P272" s="132">
        <v>0</v>
      </c>
      <c r="Q272" s="128">
        <f t="shared" si="10"/>
        <v>0</v>
      </c>
    </row>
    <row r="273" spans="1:17" x14ac:dyDescent="0.2">
      <c r="A273" s="23" t="s">
        <v>104</v>
      </c>
      <c r="B273">
        <v>7</v>
      </c>
      <c r="C273" s="23" t="s">
        <v>111</v>
      </c>
      <c r="D273">
        <v>713</v>
      </c>
      <c r="E273" s="132">
        <v>0</v>
      </c>
      <c r="F273" s="132">
        <v>0</v>
      </c>
      <c r="G273" s="132">
        <v>0</v>
      </c>
      <c r="H273" s="132">
        <v>0</v>
      </c>
      <c r="I273" s="132">
        <v>0</v>
      </c>
      <c r="J273" s="132">
        <v>0</v>
      </c>
      <c r="K273" s="132">
        <v>0</v>
      </c>
      <c r="L273" s="132">
        <v>0</v>
      </c>
      <c r="M273" s="132">
        <v>0</v>
      </c>
      <c r="N273" s="132">
        <v>0</v>
      </c>
      <c r="O273" s="132">
        <v>0</v>
      </c>
      <c r="P273" s="132">
        <v>0</v>
      </c>
      <c r="Q273" s="128">
        <f t="shared" si="10"/>
        <v>0</v>
      </c>
    </row>
    <row r="274" spans="1:17" x14ac:dyDescent="0.2">
      <c r="A274" s="23" t="s">
        <v>104</v>
      </c>
      <c r="B274">
        <v>7</v>
      </c>
      <c r="C274" s="23" t="s">
        <v>111</v>
      </c>
      <c r="D274">
        <v>714</v>
      </c>
      <c r="E274" s="132">
        <v>0</v>
      </c>
      <c r="F274" s="132">
        <v>0</v>
      </c>
      <c r="G274" s="132">
        <v>0</v>
      </c>
      <c r="H274" s="132">
        <v>0</v>
      </c>
      <c r="I274" s="132">
        <v>0</v>
      </c>
      <c r="J274" s="132">
        <v>0</v>
      </c>
      <c r="K274" s="132">
        <v>0</v>
      </c>
      <c r="L274" s="132">
        <v>0</v>
      </c>
      <c r="M274" s="132">
        <v>0</v>
      </c>
      <c r="N274" s="132">
        <v>0</v>
      </c>
      <c r="O274" s="132">
        <v>0</v>
      </c>
      <c r="P274" s="132">
        <v>0</v>
      </c>
      <c r="Q274" s="128">
        <f t="shared" si="10"/>
        <v>0</v>
      </c>
    </row>
    <row r="275" spans="1:17" x14ac:dyDescent="0.2">
      <c r="A275" s="23" t="s">
        <v>104</v>
      </c>
      <c r="B275">
        <v>7</v>
      </c>
      <c r="C275" s="23" t="s">
        <v>111</v>
      </c>
      <c r="D275">
        <v>715</v>
      </c>
      <c r="E275" s="132">
        <v>0</v>
      </c>
      <c r="F275" s="132">
        <v>0</v>
      </c>
      <c r="G275" s="132">
        <v>0</v>
      </c>
      <c r="H275" s="132">
        <v>0</v>
      </c>
      <c r="I275" s="132">
        <v>0</v>
      </c>
      <c r="J275" s="132">
        <v>0</v>
      </c>
      <c r="K275" s="132">
        <v>0</v>
      </c>
      <c r="L275" s="132">
        <v>0</v>
      </c>
      <c r="M275" s="132">
        <v>0</v>
      </c>
      <c r="N275" s="132">
        <v>0</v>
      </c>
      <c r="O275" s="132">
        <v>0</v>
      </c>
      <c r="P275" s="132">
        <v>0</v>
      </c>
      <c r="Q275" s="128">
        <f t="shared" si="10"/>
        <v>0</v>
      </c>
    </row>
    <row r="276" spans="1:17" x14ac:dyDescent="0.2">
      <c r="A276" s="23" t="s">
        <v>104</v>
      </c>
      <c r="B276">
        <v>7</v>
      </c>
      <c r="C276" s="23" t="s">
        <v>111</v>
      </c>
      <c r="D276">
        <v>716</v>
      </c>
      <c r="E276" s="132">
        <v>0</v>
      </c>
      <c r="F276" s="132">
        <v>0</v>
      </c>
      <c r="G276" s="132">
        <v>0</v>
      </c>
      <c r="H276" s="132">
        <v>0</v>
      </c>
      <c r="I276" s="132">
        <v>0</v>
      </c>
      <c r="J276" s="132">
        <v>0</v>
      </c>
      <c r="K276" s="132">
        <v>0</v>
      </c>
      <c r="L276" s="132">
        <v>0</v>
      </c>
      <c r="M276" s="132">
        <v>0</v>
      </c>
      <c r="N276" s="132">
        <v>0</v>
      </c>
      <c r="O276" s="132">
        <v>0</v>
      </c>
      <c r="P276" s="132">
        <v>0</v>
      </c>
      <c r="Q276" s="128">
        <f t="shared" si="10"/>
        <v>0</v>
      </c>
    </row>
    <row r="277" spans="1:17" x14ac:dyDescent="0.2">
      <c r="A277" s="23" t="s">
        <v>104</v>
      </c>
      <c r="B277">
        <v>7</v>
      </c>
      <c r="C277" s="23" t="s">
        <v>111</v>
      </c>
      <c r="D277">
        <v>717</v>
      </c>
      <c r="E277" s="132">
        <v>0</v>
      </c>
      <c r="F277" s="132">
        <v>0</v>
      </c>
      <c r="G277" s="132">
        <v>0</v>
      </c>
      <c r="H277" s="132">
        <v>0</v>
      </c>
      <c r="I277" s="132">
        <v>0</v>
      </c>
      <c r="J277" s="132">
        <v>0</v>
      </c>
      <c r="K277" s="132">
        <v>0</v>
      </c>
      <c r="L277" s="132">
        <v>0</v>
      </c>
      <c r="M277" s="132">
        <v>0</v>
      </c>
      <c r="N277" s="132">
        <v>0</v>
      </c>
      <c r="O277" s="132">
        <v>0</v>
      </c>
      <c r="P277" s="132">
        <v>0</v>
      </c>
      <c r="Q277" s="128">
        <f t="shared" si="10"/>
        <v>0</v>
      </c>
    </row>
    <row r="278" spans="1:17" x14ac:dyDescent="0.2">
      <c r="A278" s="23" t="s">
        <v>104</v>
      </c>
      <c r="B278">
        <v>7</v>
      </c>
      <c r="C278" s="23" t="s">
        <v>111</v>
      </c>
      <c r="D278">
        <v>718</v>
      </c>
      <c r="E278" s="132">
        <v>0</v>
      </c>
      <c r="F278" s="132">
        <v>0</v>
      </c>
      <c r="G278" s="132">
        <v>0</v>
      </c>
      <c r="H278" s="132">
        <v>0</v>
      </c>
      <c r="I278" s="132">
        <v>0</v>
      </c>
      <c r="J278" s="132">
        <v>0</v>
      </c>
      <c r="K278" s="132">
        <v>0</v>
      </c>
      <c r="L278" s="132">
        <v>0</v>
      </c>
      <c r="M278" s="132">
        <v>0</v>
      </c>
      <c r="N278" s="132">
        <v>0</v>
      </c>
      <c r="O278" s="132">
        <v>0</v>
      </c>
      <c r="P278" s="132">
        <v>0</v>
      </c>
      <c r="Q278" s="128">
        <f t="shared" si="10"/>
        <v>0</v>
      </c>
    </row>
    <row r="279" spans="1:17" x14ac:dyDescent="0.2">
      <c r="A279" s="23" t="s">
        <v>104</v>
      </c>
      <c r="B279">
        <v>7</v>
      </c>
      <c r="C279" s="23" t="s">
        <v>111</v>
      </c>
      <c r="D279">
        <v>719</v>
      </c>
      <c r="E279" s="132">
        <v>0</v>
      </c>
      <c r="F279" s="132">
        <v>0</v>
      </c>
      <c r="G279" s="132">
        <v>0</v>
      </c>
      <c r="H279" s="132">
        <v>0</v>
      </c>
      <c r="I279" s="132">
        <v>0</v>
      </c>
      <c r="J279" s="132">
        <v>0</v>
      </c>
      <c r="K279" s="132">
        <v>0</v>
      </c>
      <c r="L279" s="132">
        <v>0</v>
      </c>
      <c r="M279" s="132">
        <v>0</v>
      </c>
      <c r="N279" s="132">
        <v>0</v>
      </c>
      <c r="O279" s="132">
        <v>0</v>
      </c>
      <c r="P279" s="132">
        <v>0</v>
      </c>
      <c r="Q279" s="128">
        <f t="shared" si="10"/>
        <v>0</v>
      </c>
    </row>
    <row r="280" spans="1:17" x14ac:dyDescent="0.2">
      <c r="A280" s="23" t="s">
        <v>104</v>
      </c>
      <c r="B280">
        <v>7</v>
      </c>
      <c r="C280" s="23" t="s">
        <v>111</v>
      </c>
      <c r="D280">
        <v>720</v>
      </c>
      <c r="E280" s="132">
        <v>0</v>
      </c>
      <c r="F280" s="132">
        <v>0</v>
      </c>
      <c r="G280" s="132">
        <v>0</v>
      </c>
      <c r="H280" s="132">
        <v>0</v>
      </c>
      <c r="I280" s="132">
        <v>0</v>
      </c>
      <c r="J280" s="132">
        <v>0</v>
      </c>
      <c r="K280" s="132">
        <v>0</v>
      </c>
      <c r="L280" s="132">
        <v>0</v>
      </c>
      <c r="M280" s="132">
        <v>0</v>
      </c>
      <c r="N280" s="132">
        <v>0</v>
      </c>
      <c r="O280" s="132">
        <v>0</v>
      </c>
      <c r="P280" s="132">
        <v>0</v>
      </c>
      <c r="Q280" s="128">
        <f t="shared" si="10"/>
        <v>0</v>
      </c>
    </row>
    <row r="281" spans="1:17" x14ac:dyDescent="0.2">
      <c r="A281" s="23" t="s">
        <v>104</v>
      </c>
      <c r="B281">
        <v>7</v>
      </c>
      <c r="C281" s="23" t="s">
        <v>111</v>
      </c>
      <c r="D281">
        <v>721</v>
      </c>
      <c r="E281" s="132">
        <v>0</v>
      </c>
      <c r="F281" s="132">
        <v>0</v>
      </c>
      <c r="G281" s="132">
        <v>0</v>
      </c>
      <c r="H281" s="132">
        <v>0</v>
      </c>
      <c r="I281" s="132">
        <v>0</v>
      </c>
      <c r="J281" s="132">
        <v>0</v>
      </c>
      <c r="K281" s="132">
        <v>0</v>
      </c>
      <c r="L281" s="132">
        <v>0</v>
      </c>
      <c r="M281" s="132">
        <v>0</v>
      </c>
      <c r="N281" s="132">
        <v>0</v>
      </c>
      <c r="O281" s="132">
        <v>0</v>
      </c>
      <c r="P281" s="132">
        <v>0</v>
      </c>
      <c r="Q281" s="128">
        <f t="shared" si="10"/>
        <v>0</v>
      </c>
    </row>
    <row r="282" spans="1:17" x14ac:dyDescent="0.2">
      <c r="A282" s="23"/>
      <c r="C282" s="23"/>
      <c r="E282" s="132"/>
      <c r="F282" s="132">
        <f t="shared" ref="F282:P282" si="11">AVERAGE(F238:F281)</f>
        <v>0</v>
      </c>
      <c r="G282" s="132">
        <f t="shared" si="11"/>
        <v>0</v>
      </c>
      <c r="H282" s="132">
        <f t="shared" si="11"/>
        <v>0</v>
      </c>
      <c r="I282" s="132">
        <f t="shared" si="11"/>
        <v>0</v>
      </c>
      <c r="J282" s="132">
        <f t="shared" si="11"/>
        <v>0</v>
      </c>
      <c r="K282" s="132">
        <f t="shared" si="11"/>
        <v>0</v>
      </c>
      <c r="L282" s="132">
        <f t="shared" si="11"/>
        <v>0</v>
      </c>
      <c r="M282" s="132">
        <f t="shared" si="11"/>
        <v>0</v>
      </c>
      <c r="N282" s="132">
        <f t="shared" si="11"/>
        <v>0</v>
      </c>
      <c r="O282" s="132">
        <f t="shared" si="11"/>
        <v>0</v>
      </c>
      <c r="P282" s="132">
        <f t="shared" si="11"/>
        <v>0</v>
      </c>
      <c r="Q282" s="128">
        <f t="shared" si="10"/>
        <v>0</v>
      </c>
    </row>
    <row r="283" spans="1:17" x14ac:dyDescent="0.2">
      <c r="A283" s="23" t="s">
        <v>104</v>
      </c>
      <c r="B283">
        <v>8</v>
      </c>
      <c r="C283" s="23" t="s">
        <v>112</v>
      </c>
      <c r="D283">
        <v>801</v>
      </c>
      <c r="E283" s="132">
        <v>0</v>
      </c>
      <c r="F283" s="132">
        <v>0</v>
      </c>
      <c r="G283" s="132">
        <v>0</v>
      </c>
      <c r="H283" s="132">
        <v>0</v>
      </c>
      <c r="I283" s="132">
        <v>0</v>
      </c>
      <c r="J283" s="132">
        <v>0</v>
      </c>
      <c r="K283" s="132">
        <v>0</v>
      </c>
      <c r="L283" s="132">
        <v>0</v>
      </c>
      <c r="M283" s="132">
        <v>0</v>
      </c>
      <c r="N283" s="132">
        <v>0</v>
      </c>
      <c r="O283" s="132">
        <v>0</v>
      </c>
      <c r="P283" s="132">
        <v>0</v>
      </c>
      <c r="Q283" s="128">
        <f t="shared" si="10"/>
        <v>0</v>
      </c>
    </row>
    <row r="284" spans="1:17" x14ac:dyDescent="0.2">
      <c r="A284" s="23" t="s">
        <v>104</v>
      </c>
      <c r="B284">
        <v>8</v>
      </c>
      <c r="C284" s="23" t="s">
        <v>112</v>
      </c>
      <c r="D284">
        <v>802</v>
      </c>
      <c r="E284" s="132">
        <v>0</v>
      </c>
      <c r="F284" s="132">
        <v>0</v>
      </c>
      <c r="G284" s="132">
        <v>0</v>
      </c>
      <c r="H284" s="132">
        <v>0</v>
      </c>
      <c r="I284" s="132">
        <v>0</v>
      </c>
      <c r="J284" s="132">
        <v>0</v>
      </c>
      <c r="K284" s="132">
        <v>0</v>
      </c>
      <c r="L284" s="132">
        <v>0</v>
      </c>
      <c r="M284" s="132">
        <v>0</v>
      </c>
      <c r="N284" s="132">
        <v>0</v>
      </c>
      <c r="O284" s="132">
        <v>0</v>
      </c>
      <c r="P284" s="132">
        <v>0</v>
      </c>
      <c r="Q284" s="128">
        <f t="shared" si="10"/>
        <v>0</v>
      </c>
    </row>
    <row r="285" spans="1:17" x14ac:dyDescent="0.2">
      <c r="A285" s="23" t="s">
        <v>104</v>
      </c>
      <c r="B285">
        <v>8</v>
      </c>
      <c r="C285" s="23" t="s">
        <v>112</v>
      </c>
      <c r="D285">
        <v>803</v>
      </c>
      <c r="E285" s="132">
        <v>0</v>
      </c>
      <c r="F285" s="132">
        <v>0</v>
      </c>
      <c r="G285" s="132">
        <v>0</v>
      </c>
      <c r="H285" s="132">
        <v>0</v>
      </c>
      <c r="I285" s="132">
        <v>0</v>
      </c>
      <c r="J285" s="132">
        <v>0</v>
      </c>
      <c r="K285" s="132">
        <v>0</v>
      </c>
      <c r="L285" s="132">
        <v>0</v>
      </c>
      <c r="M285" s="132">
        <v>0</v>
      </c>
      <c r="N285" s="132">
        <v>0</v>
      </c>
      <c r="O285" s="132">
        <v>0</v>
      </c>
      <c r="P285" s="132">
        <v>0</v>
      </c>
      <c r="Q285" s="128">
        <f t="shared" si="10"/>
        <v>0</v>
      </c>
    </row>
    <row r="286" spans="1:17" x14ac:dyDescent="0.2">
      <c r="A286" s="23" t="s">
        <v>104</v>
      </c>
      <c r="B286">
        <v>8</v>
      </c>
      <c r="C286" s="23" t="s">
        <v>112</v>
      </c>
      <c r="D286">
        <v>804</v>
      </c>
      <c r="E286" s="132">
        <v>0</v>
      </c>
      <c r="F286" s="132">
        <v>0</v>
      </c>
      <c r="G286" s="132">
        <v>0</v>
      </c>
      <c r="H286" s="132">
        <v>0</v>
      </c>
      <c r="I286" s="132">
        <v>0</v>
      </c>
      <c r="J286" s="132">
        <v>0</v>
      </c>
      <c r="K286" s="132">
        <v>0</v>
      </c>
      <c r="L286" s="132">
        <v>0</v>
      </c>
      <c r="M286" s="132">
        <v>0</v>
      </c>
      <c r="N286" s="132">
        <v>0</v>
      </c>
      <c r="O286" s="132">
        <v>0</v>
      </c>
      <c r="P286" s="132">
        <v>0</v>
      </c>
      <c r="Q286" s="128">
        <f t="shared" si="10"/>
        <v>0</v>
      </c>
    </row>
    <row r="287" spans="1:17" x14ac:dyDescent="0.2">
      <c r="A287" s="23" t="s">
        <v>104</v>
      </c>
      <c r="B287">
        <v>8</v>
      </c>
      <c r="C287" s="23" t="s">
        <v>112</v>
      </c>
      <c r="D287">
        <v>805</v>
      </c>
      <c r="E287" s="132">
        <v>0</v>
      </c>
      <c r="F287" s="132">
        <v>0</v>
      </c>
      <c r="G287" s="132">
        <v>0</v>
      </c>
      <c r="H287" s="132">
        <v>0</v>
      </c>
      <c r="I287" s="132">
        <v>0</v>
      </c>
      <c r="J287" s="132">
        <v>0</v>
      </c>
      <c r="K287" s="132">
        <v>0</v>
      </c>
      <c r="L287" s="132">
        <v>0</v>
      </c>
      <c r="M287" s="132">
        <v>0</v>
      </c>
      <c r="N287" s="132">
        <v>0</v>
      </c>
      <c r="O287" s="132">
        <v>0</v>
      </c>
      <c r="P287" s="132">
        <v>0</v>
      </c>
      <c r="Q287" s="128">
        <f t="shared" si="10"/>
        <v>0</v>
      </c>
    </row>
    <row r="288" spans="1:17" x14ac:dyDescent="0.2">
      <c r="A288" s="23" t="s">
        <v>104</v>
      </c>
      <c r="B288">
        <v>8</v>
      </c>
      <c r="C288" s="23" t="s">
        <v>112</v>
      </c>
      <c r="D288">
        <v>806</v>
      </c>
      <c r="E288" s="132">
        <v>0</v>
      </c>
      <c r="F288" s="132">
        <v>0</v>
      </c>
      <c r="G288" s="132">
        <v>0</v>
      </c>
      <c r="H288" s="132">
        <v>0</v>
      </c>
      <c r="I288" s="132">
        <v>0</v>
      </c>
      <c r="J288" s="132">
        <v>0</v>
      </c>
      <c r="K288" s="132">
        <v>0</v>
      </c>
      <c r="L288" s="132">
        <v>0</v>
      </c>
      <c r="M288" s="132">
        <v>0</v>
      </c>
      <c r="N288" s="132">
        <v>0</v>
      </c>
      <c r="O288" s="132">
        <v>0</v>
      </c>
      <c r="P288" s="132">
        <v>0</v>
      </c>
      <c r="Q288" s="128">
        <f t="shared" si="10"/>
        <v>0</v>
      </c>
    </row>
    <row r="289" spans="1:17" x14ac:dyDescent="0.2">
      <c r="A289" s="23" t="s">
        <v>104</v>
      </c>
      <c r="B289">
        <v>8</v>
      </c>
      <c r="C289" s="23" t="s">
        <v>112</v>
      </c>
      <c r="D289">
        <v>807</v>
      </c>
      <c r="E289" s="132">
        <v>0</v>
      </c>
      <c r="F289" s="132">
        <v>0</v>
      </c>
      <c r="G289" s="132">
        <v>0</v>
      </c>
      <c r="H289" s="132">
        <v>0</v>
      </c>
      <c r="I289" s="132">
        <v>0</v>
      </c>
      <c r="J289" s="132">
        <v>0</v>
      </c>
      <c r="K289" s="132">
        <v>0</v>
      </c>
      <c r="L289" s="132">
        <v>0</v>
      </c>
      <c r="M289" s="132">
        <v>0</v>
      </c>
      <c r="N289" s="132">
        <v>0</v>
      </c>
      <c r="O289" s="132">
        <v>0</v>
      </c>
      <c r="P289" s="132">
        <v>0</v>
      </c>
      <c r="Q289" s="128">
        <f t="shared" si="10"/>
        <v>0</v>
      </c>
    </row>
    <row r="290" spans="1:17" x14ac:dyDescent="0.2">
      <c r="A290" s="23" t="s">
        <v>104</v>
      </c>
      <c r="B290">
        <v>8</v>
      </c>
      <c r="C290" s="23" t="s">
        <v>112</v>
      </c>
      <c r="D290">
        <v>808</v>
      </c>
      <c r="E290" s="132">
        <v>0</v>
      </c>
      <c r="F290" s="132">
        <v>0</v>
      </c>
      <c r="G290" s="132">
        <v>0</v>
      </c>
      <c r="H290" s="132">
        <v>0</v>
      </c>
      <c r="I290" s="132">
        <v>0</v>
      </c>
      <c r="J290" s="132">
        <v>0</v>
      </c>
      <c r="K290" s="132">
        <v>0</v>
      </c>
      <c r="L290" s="132">
        <v>0</v>
      </c>
      <c r="M290" s="132">
        <v>0</v>
      </c>
      <c r="N290" s="132">
        <v>0</v>
      </c>
      <c r="O290" s="132">
        <v>0</v>
      </c>
      <c r="P290" s="132">
        <v>0</v>
      </c>
      <c r="Q290" s="128">
        <f t="shared" si="10"/>
        <v>0</v>
      </c>
    </row>
    <row r="291" spans="1:17" x14ac:dyDescent="0.2">
      <c r="A291" s="23" t="s">
        <v>104</v>
      </c>
      <c r="B291">
        <v>8</v>
      </c>
      <c r="C291" s="23" t="s">
        <v>112</v>
      </c>
      <c r="D291">
        <v>809</v>
      </c>
      <c r="E291" s="132">
        <v>0</v>
      </c>
      <c r="F291" s="132">
        <v>0</v>
      </c>
      <c r="G291" s="132">
        <v>0</v>
      </c>
      <c r="H291" s="132">
        <v>0</v>
      </c>
      <c r="I291" s="132">
        <v>0</v>
      </c>
      <c r="J291" s="132">
        <v>0</v>
      </c>
      <c r="K291" s="132">
        <v>0</v>
      </c>
      <c r="L291" s="132">
        <v>0</v>
      </c>
      <c r="M291" s="132">
        <v>0</v>
      </c>
      <c r="N291" s="132">
        <v>0</v>
      </c>
      <c r="O291" s="132">
        <v>0</v>
      </c>
      <c r="P291" s="132">
        <v>0</v>
      </c>
      <c r="Q291" s="128">
        <f t="shared" si="10"/>
        <v>0</v>
      </c>
    </row>
    <row r="292" spans="1:17" x14ac:dyDescent="0.2">
      <c r="A292" s="23" t="s">
        <v>104</v>
      </c>
      <c r="B292">
        <v>8</v>
      </c>
      <c r="C292" s="23" t="s">
        <v>112</v>
      </c>
      <c r="D292">
        <v>810</v>
      </c>
      <c r="E292" s="132">
        <v>0</v>
      </c>
      <c r="F292" s="132">
        <v>0</v>
      </c>
      <c r="G292" s="132">
        <v>0</v>
      </c>
      <c r="H292" s="132">
        <v>0</v>
      </c>
      <c r="I292" s="132">
        <v>0</v>
      </c>
      <c r="J292" s="132">
        <v>0</v>
      </c>
      <c r="K292" s="132">
        <v>0</v>
      </c>
      <c r="L292" s="132">
        <v>0</v>
      </c>
      <c r="M292" s="132">
        <v>0</v>
      </c>
      <c r="N292" s="132">
        <v>0</v>
      </c>
      <c r="O292" s="132">
        <v>0</v>
      </c>
      <c r="P292" s="132">
        <v>0</v>
      </c>
      <c r="Q292" s="128">
        <f t="shared" si="10"/>
        <v>0</v>
      </c>
    </row>
    <row r="293" spans="1:17" x14ac:dyDescent="0.2">
      <c r="A293" s="23" t="s">
        <v>104</v>
      </c>
      <c r="B293">
        <v>8</v>
      </c>
      <c r="C293" s="23" t="s">
        <v>112</v>
      </c>
      <c r="D293">
        <v>811</v>
      </c>
      <c r="E293" s="132">
        <v>0</v>
      </c>
      <c r="F293" s="132">
        <v>0</v>
      </c>
      <c r="G293" s="132">
        <v>0</v>
      </c>
      <c r="H293" s="132">
        <v>0</v>
      </c>
      <c r="I293" s="132">
        <v>0</v>
      </c>
      <c r="J293" s="132">
        <v>0</v>
      </c>
      <c r="K293" s="132">
        <v>0</v>
      </c>
      <c r="L293" s="132">
        <v>0</v>
      </c>
      <c r="M293" s="132">
        <v>0</v>
      </c>
      <c r="N293" s="132">
        <v>0</v>
      </c>
      <c r="O293" s="132">
        <v>0</v>
      </c>
      <c r="P293" s="132">
        <v>0</v>
      </c>
      <c r="Q293" s="128">
        <f t="shared" si="10"/>
        <v>0</v>
      </c>
    </row>
    <row r="294" spans="1:17" x14ac:dyDescent="0.2">
      <c r="A294" s="23" t="s">
        <v>104</v>
      </c>
      <c r="B294">
        <v>8</v>
      </c>
      <c r="C294" s="23" t="s">
        <v>112</v>
      </c>
      <c r="D294">
        <v>812</v>
      </c>
      <c r="E294" s="132">
        <v>0</v>
      </c>
      <c r="F294" s="132">
        <v>0</v>
      </c>
      <c r="G294" s="132">
        <v>0</v>
      </c>
      <c r="H294" s="132">
        <v>0</v>
      </c>
      <c r="I294" s="132">
        <v>0</v>
      </c>
      <c r="J294" s="132">
        <v>0</v>
      </c>
      <c r="K294" s="132">
        <v>0</v>
      </c>
      <c r="L294" s="132">
        <v>0</v>
      </c>
      <c r="M294" s="132">
        <v>0</v>
      </c>
      <c r="N294" s="132">
        <v>0</v>
      </c>
      <c r="O294" s="132">
        <v>0</v>
      </c>
      <c r="P294" s="132">
        <v>0</v>
      </c>
      <c r="Q294" s="128">
        <f t="shared" si="10"/>
        <v>0</v>
      </c>
    </row>
    <row r="295" spans="1:17" x14ac:dyDescent="0.2">
      <c r="A295" s="23" t="s">
        <v>104</v>
      </c>
      <c r="B295">
        <v>8</v>
      </c>
      <c r="C295" s="23" t="s">
        <v>112</v>
      </c>
      <c r="D295">
        <v>813</v>
      </c>
      <c r="E295" s="132">
        <v>0</v>
      </c>
      <c r="F295" s="132">
        <v>0</v>
      </c>
      <c r="G295" s="132">
        <v>0</v>
      </c>
      <c r="H295" s="132">
        <v>0</v>
      </c>
      <c r="I295" s="132">
        <v>0</v>
      </c>
      <c r="J295" s="132">
        <v>0</v>
      </c>
      <c r="K295" s="132">
        <v>0</v>
      </c>
      <c r="L295" s="132">
        <v>0</v>
      </c>
      <c r="M295" s="132">
        <v>0</v>
      </c>
      <c r="N295" s="132">
        <v>0</v>
      </c>
      <c r="O295" s="132">
        <v>0</v>
      </c>
      <c r="P295" s="132">
        <v>0</v>
      </c>
      <c r="Q295" s="128">
        <f t="shared" si="10"/>
        <v>0</v>
      </c>
    </row>
    <row r="296" spans="1:17" x14ac:dyDescent="0.2">
      <c r="A296" s="23" t="s">
        <v>104</v>
      </c>
      <c r="B296">
        <v>8</v>
      </c>
      <c r="C296" s="23" t="s">
        <v>112</v>
      </c>
      <c r="D296">
        <v>814</v>
      </c>
      <c r="E296" s="132">
        <v>0</v>
      </c>
      <c r="F296" s="132">
        <v>0</v>
      </c>
      <c r="G296" s="132">
        <v>0</v>
      </c>
      <c r="H296" s="132">
        <v>0</v>
      </c>
      <c r="I296" s="132">
        <v>0</v>
      </c>
      <c r="J296" s="132">
        <v>0</v>
      </c>
      <c r="K296" s="132">
        <v>0</v>
      </c>
      <c r="L296" s="132">
        <v>0</v>
      </c>
      <c r="M296" s="132">
        <v>0</v>
      </c>
      <c r="N296" s="132">
        <v>0</v>
      </c>
      <c r="O296" s="132">
        <v>0</v>
      </c>
      <c r="P296" s="132">
        <v>0</v>
      </c>
      <c r="Q296" s="128">
        <f t="shared" si="10"/>
        <v>0</v>
      </c>
    </row>
    <row r="297" spans="1:17" x14ac:dyDescent="0.2">
      <c r="A297" s="23" t="s">
        <v>104</v>
      </c>
      <c r="B297">
        <v>8</v>
      </c>
      <c r="C297" s="23" t="s">
        <v>112</v>
      </c>
      <c r="D297">
        <v>815</v>
      </c>
      <c r="E297" s="132">
        <v>0</v>
      </c>
      <c r="F297" s="132">
        <v>0</v>
      </c>
      <c r="G297" s="132">
        <v>0</v>
      </c>
      <c r="H297" s="132">
        <v>0</v>
      </c>
      <c r="I297" s="132">
        <v>0</v>
      </c>
      <c r="J297" s="132">
        <v>0</v>
      </c>
      <c r="K297" s="132">
        <v>0</v>
      </c>
      <c r="L297" s="132">
        <v>0</v>
      </c>
      <c r="M297" s="132">
        <v>0</v>
      </c>
      <c r="N297" s="132">
        <v>0</v>
      </c>
      <c r="O297" s="132">
        <v>0</v>
      </c>
      <c r="P297" s="132">
        <v>0</v>
      </c>
      <c r="Q297" s="128">
        <f t="shared" si="10"/>
        <v>0</v>
      </c>
    </row>
    <row r="298" spans="1:17" x14ac:dyDescent="0.2">
      <c r="A298" s="23" t="s">
        <v>104</v>
      </c>
      <c r="B298">
        <v>8</v>
      </c>
      <c r="C298" s="23" t="s">
        <v>112</v>
      </c>
      <c r="D298">
        <v>816</v>
      </c>
      <c r="E298" s="132">
        <v>0</v>
      </c>
      <c r="F298" s="132">
        <v>0</v>
      </c>
      <c r="G298" s="132">
        <v>0</v>
      </c>
      <c r="H298" s="132">
        <v>0</v>
      </c>
      <c r="I298" s="132">
        <v>0</v>
      </c>
      <c r="J298" s="132">
        <v>0</v>
      </c>
      <c r="K298" s="132">
        <v>0</v>
      </c>
      <c r="L298" s="132">
        <v>0</v>
      </c>
      <c r="M298" s="132">
        <v>0</v>
      </c>
      <c r="N298" s="132">
        <v>0</v>
      </c>
      <c r="O298" s="132">
        <v>0</v>
      </c>
      <c r="P298" s="132">
        <v>0</v>
      </c>
      <c r="Q298" s="128">
        <f t="shared" si="10"/>
        <v>0</v>
      </c>
    </row>
    <row r="299" spans="1:17" x14ac:dyDescent="0.2">
      <c r="A299" s="23" t="s">
        <v>104</v>
      </c>
      <c r="B299">
        <v>8</v>
      </c>
      <c r="C299" s="23" t="s">
        <v>112</v>
      </c>
      <c r="D299">
        <v>817</v>
      </c>
      <c r="E299" s="132">
        <v>0</v>
      </c>
      <c r="F299" s="132">
        <v>0</v>
      </c>
      <c r="G299" s="132">
        <v>0</v>
      </c>
      <c r="H299" s="132">
        <v>0</v>
      </c>
      <c r="I299" s="132">
        <v>0</v>
      </c>
      <c r="J299" s="132">
        <v>0</v>
      </c>
      <c r="K299" s="132">
        <v>0</v>
      </c>
      <c r="L299" s="132">
        <v>0</v>
      </c>
      <c r="M299" s="132">
        <v>0</v>
      </c>
      <c r="N299" s="132">
        <v>0</v>
      </c>
      <c r="O299" s="132">
        <v>0</v>
      </c>
      <c r="P299" s="132">
        <v>0</v>
      </c>
      <c r="Q299" s="128">
        <f t="shared" si="10"/>
        <v>0</v>
      </c>
    </row>
    <row r="300" spans="1:17" x14ac:dyDescent="0.2">
      <c r="A300" s="23" t="s">
        <v>104</v>
      </c>
      <c r="B300">
        <v>8</v>
      </c>
      <c r="C300" s="23" t="s">
        <v>112</v>
      </c>
      <c r="D300">
        <v>818</v>
      </c>
      <c r="E300" s="132">
        <v>0</v>
      </c>
      <c r="F300" s="132">
        <v>0</v>
      </c>
      <c r="G300" s="132">
        <v>0</v>
      </c>
      <c r="H300" s="132">
        <v>0</v>
      </c>
      <c r="I300" s="132">
        <v>0</v>
      </c>
      <c r="J300" s="132">
        <v>0</v>
      </c>
      <c r="K300" s="132">
        <v>0</v>
      </c>
      <c r="L300" s="132">
        <v>0</v>
      </c>
      <c r="M300" s="132">
        <v>0</v>
      </c>
      <c r="N300" s="132">
        <v>0</v>
      </c>
      <c r="O300" s="132">
        <v>0</v>
      </c>
      <c r="P300" s="132">
        <v>0</v>
      </c>
      <c r="Q300" s="128">
        <f t="shared" si="10"/>
        <v>0</v>
      </c>
    </row>
    <row r="301" spans="1:17" x14ac:dyDescent="0.2">
      <c r="A301" s="23" t="s">
        <v>104</v>
      </c>
      <c r="B301">
        <v>8</v>
      </c>
      <c r="C301" s="23" t="s">
        <v>112</v>
      </c>
      <c r="D301">
        <v>819</v>
      </c>
      <c r="E301" s="132">
        <v>0</v>
      </c>
      <c r="F301" s="132">
        <v>0</v>
      </c>
      <c r="G301" s="132">
        <v>0</v>
      </c>
      <c r="H301" s="132">
        <v>0</v>
      </c>
      <c r="I301" s="132">
        <v>0</v>
      </c>
      <c r="J301" s="132">
        <v>0</v>
      </c>
      <c r="K301" s="132">
        <v>0</v>
      </c>
      <c r="L301" s="132">
        <v>0</v>
      </c>
      <c r="M301" s="132">
        <v>0</v>
      </c>
      <c r="N301" s="132">
        <v>0</v>
      </c>
      <c r="O301" s="132">
        <v>0</v>
      </c>
      <c r="P301" s="132">
        <v>0</v>
      </c>
      <c r="Q301" s="128">
        <f t="shared" si="10"/>
        <v>0</v>
      </c>
    </row>
    <row r="302" spans="1:17" x14ac:dyDescent="0.2">
      <c r="A302" s="23" t="s">
        <v>104</v>
      </c>
      <c r="B302">
        <v>8</v>
      </c>
      <c r="C302" s="23" t="s">
        <v>112</v>
      </c>
      <c r="D302">
        <v>820</v>
      </c>
      <c r="E302" s="132">
        <v>0</v>
      </c>
      <c r="F302" s="132">
        <v>0</v>
      </c>
      <c r="G302" s="132">
        <v>0</v>
      </c>
      <c r="H302" s="132">
        <v>0</v>
      </c>
      <c r="I302" s="132">
        <v>0</v>
      </c>
      <c r="J302" s="132">
        <v>0</v>
      </c>
      <c r="K302" s="132">
        <v>0</v>
      </c>
      <c r="L302" s="132">
        <v>0</v>
      </c>
      <c r="M302" s="132">
        <v>0</v>
      </c>
      <c r="N302" s="132">
        <v>0</v>
      </c>
      <c r="O302" s="132">
        <v>0</v>
      </c>
      <c r="P302" s="132">
        <v>0</v>
      </c>
      <c r="Q302" s="128">
        <f t="shared" si="10"/>
        <v>0</v>
      </c>
    </row>
    <row r="303" spans="1:17" x14ac:dyDescent="0.2">
      <c r="A303" s="23" t="s">
        <v>104</v>
      </c>
      <c r="B303">
        <v>8</v>
      </c>
      <c r="C303" s="23" t="s">
        <v>112</v>
      </c>
      <c r="D303">
        <v>821</v>
      </c>
      <c r="E303" s="132">
        <v>0</v>
      </c>
      <c r="F303" s="132">
        <v>0</v>
      </c>
      <c r="G303" s="132">
        <v>0</v>
      </c>
      <c r="H303" s="132">
        <v>0</v>
      </c>
      <c r="I303" s="132">
        <v>0</v>
      </c>
      <c r="J303" s="132">
        <v>0</v>
      </c>
      <c r="K303" s="132">
        <v>0</v>
      </c>
      <c r="L303" s="132">
        <v>0</v>
      </c>
      <c r="M303" s="132">
        <v>0</v>
      </c>
      <c r="N303" s="132">
        <v>0</v>
      </c>
      <c r="O303" s="132">
        <v>0</v>
      </c>
      <c r="P303" s="132">
        <v>0</v>
      </c>
      <c r="Q303" s="128">
        <f t="shared" si="10"/>
        <v>0</v>
      </c>
    </row>
    <row r="304" spans="1:17" x14ac:dyDescent="0.2">
      <c r="A304" s="23" t="s">
        <v>104</v>
      </c>
      <c r="B304">
        <v>8</v>
      </c>
      <c r="C304" s="23" t="s">
        <v>112</v>
      </c>
      <c r="D304">
        <v>822</v>
      </c>
      <c r="E304" s="132">
        <v>0</v>
      </c>
      <c r="F304" s="132">
        <v>0</v>
      </c>
      <c r="G304" s="132">
        <v>0</v>
      </c>
      <c r="H304" s="132">
        <v>0</v>
      </c>
      <c r="I304" s="132">
        <v>0</v>
      </c>
      <c r="J304" s="132">
        <v>0</v>
      </c>
      <c r="K304" s="132">
        <v>0</v>
      </c>
      <c r="L304" s="132">
        <v>0</v>
      </c>
      <c r="M304" s="132">
        <v>0</v>
      </c>
      <c r="N304" s="132">
        <v>0</v>
      </c>
      <c r="O304" s="132">
        <v>0</v>
      </c>
      <c r="P304" s="132">
        <v>0</v>
      </c>
      <c r="Q304" s="128">
        <f t="shared" si="10"/>
        <v>0</v>
      </c>
    </row>
    <row r="305" spans="1:17" x14ac:dyDescent="0.2">
      <c r="A305" s="23" t="s">
        <v>104</v>
      </c>
      <c r="B305">
        <v>8</v>
      </c>
      <c r="C305" s="23" t="s">
        <v>112</v>
      </c>
      <c r="D305">
        <v>823</v>
      </c>
      <c r="E305" s="132">
        <v>0</v>
      </c>
      <c r="F305" s="132">
        <v>0</v>
      </c>
      <c r="G305" s="132">
        <v>0</v>
      </c>
      <c r="H305" s="132">
        <v>0</v>
      </c>
      <c r="I305" s="132">
        <v>0</v>
      </c>
      <c r="J305" s="132">
        <v>0</v>
      </c>
      <c r="K305" s="132">
        <v>0</v>
      </c>
      <c r="L305" s="132">
        <v>0</v>
      </c>
      <c r="M305" s="132">
        <v>0</v>
      </c>
      <c r="N305" s="132">
        <v>0</v>
      </c>
      <c r="O305" s="132">
        <v>0</v>
      </c>
      <c r="P305" s="132">
        <v>0</v>
      </c>
      <c r="Q305" s="128">
        <f t="shared" si="10"/>
        <v>0</v>
      </c>
    </row>
    <row r="306" spans="1:17" x14ac:dyDescent="0.2">
      <c r="A306" s="23" t="s">
        <v>104</v>
      </c>
      <c r="B306">
        <v>8</v>
      </c>
      <c r="C306" s="23" t="s">
        <v>111</v>
      </c>
      <c r="D306">
        <v>801</v>
      </c>
      <c r="E306" s="132">
        <v>0</v>
      </c>
      <c r="F306" s="132">
        <v>0</v>
      </c>
      <c r="G306" s="132">
        <v>0</v>
      </c>
      <c r="H306" s="132">
        <v>0</v>
      </c>
      <c r="I306" s="132">
        <v>0</v>
      </c>
      <c r="J306" s="132">
        <v>0</v>
      </c>
      <c r="K306" s="132">
        <v>0</v>
      </c>
      <c r="L306" s="132">
        <v>0</v>
      </c>
      <c r="M306" s="132">
        <v>0</v>
      </c>
      <c r="N306" s="132">
        <v>0</v>
      </c>
      <c r="O306" s="132">
        <v>0</v>
      </c>
      <c r="P306" s="132">
        <v>0</v>
      </c>
      <c r="Q306" s="128">
        <f t="shared" si="10"/>
        <v>0</v>
      </c>
    </row>
    <row r="307" spans="1:17" x14ac:dyDescent="0.2">
      <c r="A307" s="23" t="s">
        <v>104</v>
      </c>
      <c r="B307">
        <v>8</v>
      </c>
      <c r="C307" s="23" t="s">
        <v>111</v>
      </c>
      <c r="D307">
        <v>802</v>
      </c>
      <c r="E307" s="132">
        <v>0</v>
      </c>
      <c r="F307" s="132">
        <v>0</v>
      </c>
      <c r="G307" s="132">
        <v>0</v>
      </c>
      <c r="H307" s="132">
        <v>0</v>
      </c>
      <c r="I307" s="132">
        <v>0</v>
      </c>
      <c r="J307" s="132">
        <v>0</v>
      </c>
      <c r="K307" s="132">
        <v>0</v>
      </c>
      <c r="L307" s="132">
        <v>0</v>
      </c>
      <c r="M307" s="132">
        <v>0</v>
      </c>
      <c r="N307" s="132">
        <v>0</v>
      </c>
      <c r="O307" s="132">
        <v>0</v>
      </c>
      <c r="P307" s="132">
        <v>0</v>
      </c>
      <c r="Q307" s="128">
        <f t="shared" si="10"/>
        <v>0</v>
      </c>
    </row>
    <row r="308" spans="1:17" x14ac:dyDescent="0.2">
      <c r="A308" s="23" t="s">
        <v>104</v>
      </c>
      <c r="B308">
        <v>8</v>
      </c>
      <c r="C308" s="23" t="s">
        <v>111</v>
      </c>
      <c r="D308">
        <v>803</v>
      </c>
      <c r="E308" s="132">
        <v>0</v>
      </c>
      <c r="F308" s="132">
        <v>0</v>
      </c>
      <c r="G308" s="132">
        <v>0</v>
      </c>
      <c r="H308" s="132">
        <v>0</v>
      </c>
      <c r="I308" s="132">
        <v>0</v>
      </c>
      <c r="J308" s="132">
        <v>0</v>
      </c>
      <c r="K308" s="132">
        <v>0</v>
      </c>
      <c r="L308" s="132">
        <v>0</v>
      </c>
      <c r="M308" s="132">
        <v>0</v>
      </c>
      <c r="N308" s="132">
        <v>0</v>
      </c>
      <c r="O308" s="132">
        <v>0</v>
      </c>
      <c r="P308" s="132">
        <v>0</v>
      </c>
      <c r="Q308" s="128">
        <f t="shared" si="10"/>
        <v>0</v>
      </c>
    </row>
    <row r="309" spans="1:17" x14ac:dyDescent="0.2">
      <c r="A309" s="23" t="s">
        <v>104</v>
      </c>
      <c r="B309">
        <v>8</v>
      </c>
      <c r="C309" s="23" t="s">
        <v>111</v>
      </c>
      <c r="D309">
        <v>804</v>
      </c>
      <c r="E309" s="132">
        <v>0</v>
      </c>
      <c r="F309" s="132">
        <v>0</v>
      </c>
      <c r="G309" s="132">
        <v>0</v>
      </c>
      <c r="H309" s="132">
        <v>0</v>
      </c>
      <c r="I309" s="132">
        <v>0</v>
      </c>
      <c r="J309" s="132">
        <v>0</v>
      </c>
      <c r="K309" s="132">
        <v>0</v>
      </c>
      <c r="L309" s="132">
        <v>0</v>
      </c>
      <c r="M309" s="132">
        <v>0</v>
      </c>
      <c r="N309" s="132">
        <v>0</v>
      </c>
      <c r="O309" s="132">
        <v>0</v>
      </c>
      <c r="P309" s="132">
        <v>0</v>
      </c>
      <c r="Q309" s="128">
        <f t="shared" si="10"/>
        <v>0</v>
      </c>
    </row>
    <row r="310" spans="1:17" x14ac:dyDescent="0.2">
      <c r="A310" s="23" t="s">
        <v>104</v>
      </c>
      <c r="B310">
        <v>8</v>
      </c>
      <c r="C310" s="23" t="s">
        <v>111</v>
      </c>
      <c r="D310">
        <v>805</v>
      </c>
      <c r="E310" s="132">
        <v>0</v>
      </c>
      <c r="F310" s="132">
        <v>0</v>
      </c>
      <c r="G310" s="132">
        <v>0</v>
      </c>
      <c r="H310" s="132">
        <v>0</v>
      </c>
      <c r="I310" s="132">
        <v>0</v>
      </c>
      <c r="J310" s="132">
        <v>0</v>
      </c>
      <c r="K310" s="132">
        <v>0</v>
      </c>
      <c r="L310" s="132">
        <v>0</v>
      </c>
      <c r="M310" s="132">
        <v>0</v>
      </c>
      <c r="N310" s="132">
        <v>0</v>
      </c>
      <c r="O310" s="132">
        <v>0</v>
      </c>
      <c r="P310" s="132">
        <v>0</v>
      </c>
      <c r="Q310" s="128">
        <f t="shared" si="10"/>
        <v>0</v>
      </c>
    </row>
    <row r="311" spans="1:17" x14ac:dyDescent="0.2">
      <c r="A311" s="23" t="s">
        <v>104</v>
      </c>
      <c r="B311">
        <v>8</v>
      </c>
      <c r="C311" s="23" t="s">
        <v>111</v>
      </c>
      <c r="D311">
        <v>806</v>
      </c>
      <c r="E311" s="132">
        <v>0</v>
      </c>
      <c r="F311" s="132">
        <v>0</v>
      </c>
      <c r="G311" s="132">
        <v>0</v>
      </c>
      <c r="H311" s="132">
        <v>0</v>
      </c>
      <c r="I311" s="132">
        <v>0</v>
      </c>
      <c r="J311" s="132">
        <v>0</v>
      </c>
      <c r="K311" s="132">
        <v>0</v>
      </c>
      <c r="L311" s="132">
        <v>0</v>
      </c>
      <c r="M311" s="132">
        <v>0</v>
      </c>
      <c r="N311" s="132">
        <v>0</v>
      </c>
      <c r="O311" s="132">
        <v>0</v>
      </c>
      <c r="P311" s="132">
        <v>0</v>
      </c>
      <c r="Q311" s="128">
        <f t="shared" si="10"/>
        <v>0</v>
      </c>
    </row>
    <row r="312" spans="1:17" x14ac:dyDescent="0.2">
      <c r="A312" s="23" t="s">
        <v>104</v>
      </c>
      <c r="B312">
        <v>8</v>
      </c>
      <c r="C312" s="23" t="s">
        <v>111</v>
      </c>
      <c r="D312">
        <v>807</v>
      </c>
      <c r="E312" s="132">
        <v>0</v>
      </c>
      <c r="F312" s="132">
        <v>0</v>
      </c>
      <c r="G312" s="132">
        <v>0</v>
      </c>
      <c r="H312" s="132">
        <v>0</v>
      </c>
      <c r="I312" s="132">
        <v>0</v>
      </c>
      <c r="J312" s="132">
        <v>0</v>
      </c>
      <c r="K312" s="132">
        <v>0</v>
      </c>
      <c r="L312" s="132">
        <v>0</v>
      </c>
      <c r="M312" s="132">
        <v>0</v>
      </c>
      <c r="N312" s="132">
        <v>0</v>
      </c>
      <c r="O312" s="132">
        <v>0</v>
      </c>
      <c r="P312" s="132">
        <v>0</v>
      </c>
      <c r="Q312" s="128">
        <f t="shared" si="10"/>
        <v>0</v>
      </c>
    </row>
    <row r="313" spans="1:17" x14ac:dyDescent="0.2">
      <c r="A313" s="23" t="s">
        <v>104</v>
      </c>
      <c r="B313">
        <v>8</v>
      </c>
      <c r="C313" s="23" t="s">
        <v>111</v>
      </c>
      <c r="D313">
        <v>808</v>
      </c>
      <c r="E313" s="132">
        <v>0</v>
      </c>
      <c r="F313" s="132">
        <v>0</v>
      </c>
      <c r="G313" s="132">
        <v>0</v>
      </c>
      <c r="H313" s="132">
        <v>0</v>
      </c>
      <c r="I313" s="132">
        <v>0</v>
      </c>
      <c r="J313" s="132">
        <v>0</v>
      </c>
      <c r="K313" s="132">
        <v>0</v>
      </c>
      <c r="L313" s="132">
        <v>0</v>
      </c>
      <c r="M313" s="132">
        <v>0</v>
      </c>
      <c r="N313" s="132">
        <v>0</v>
      </c>
      <c r="O313" s="132">
        <v>0</v>
      </c>
      <c r="P313" s="132">
        <v>0</v>
      </c>
      <c r="Q313" s="128">
        <f t="shared" si="10"/>
        <v>0</v>
      </c>
    </row>
    <row r="314" spans="1:17" x14ac:dyDescent="0.2">
      <c r="A314" s="23" t="s">
        <v>104</v>
      </c>
      <c r="B314">
        <v>8</v>
      </c>
      <c r="C314" s="23" t="s">
        <v>111</v>
      </c>
      <c r="D314">
        <v>809</v>
      </c>
      <c r="E314" s="132">
        <v>0</v>
      </c>
      <c r="F314" s="132">
        <v>0</v>
      </c>
      <c r="G314" s="132">
        <v>0</v>
      </c>
      <c r="H314" s="132">
        <v>0</v>
      </c>
      <c r="I314" s="132">
        <v>0</v>
      </c>
      <c r="J314" s="132">
        <v>0</v>
      </c>
      <c r="K314" s="132">
        <v>0</v>
      </c>
      <c r="L314" s="132">
        <v>0</v>
      </c>
      <c r="M314" s="132">
        <v>0</v>
      </c>
      <c r="N314" s="132">
        <v>0</v>
      </c>
      <c r="O314" s="132">
        <v>0</v>
      </c>
      <c r="P314" s="132">
        <v>0</v>
      </c>
      <c r="Q314" s="128">
        <f t="shared" si="10"/>
        <v>0</v>
      </c>
    </row>
    <row r="315" spans="1:17" x14ac:dyDescent="0.2">
      <c r="A315" s="23" t="s">
        <v>104</v>
      </c>
      <c r="B315">
        <v>8</v>
      </c>
      <c r="C315" s="23" t="s">
        <v>111</v>
      </c>
      <c r="D315">
        <v>810</v>
      </c>
      <c r="E315" s="132">
        <v>0</v>
      </c>
      <c r="F315" s="132">
        <v>0</v>
      </c>
      <c r="G315" s="132">
        <v>0</v>
      </c>
      <c r="H315" s="132">
        <v>0</v>
      </c>
      <c r="I315" s="132">
        <v>0</v>
      </c>
      <c r="J315" s="132">
        <v>0</v>
      </c>
      <c r="K315" s="132">
        <v>0</v>
      </c>
      <c r="L315" s="132">
        <v>0</v>
      </c>
      <c r="M315" s="132">
        <v>0</v>
      </c>
      <c r="N315" s="132">
        <v>0</v>
      </c>
      <c r="O315" s="132">
        <v>0</v>
      </c>
      <c r="P315" s="132">
        <v>0</v>
      </c>
      <c r="Q315" s="128">
        <f t="shared" si="10"/>
        <v>0</v>
      </c>
    </row>
    <row r="316" spans="1:17" x14ac:dyDescent="0.2">
      <c r="A316" s="23" t="s">
        <v>104</v>
      </c>
      <c r="B316">
        <v>8</v>
      </c>
      <c r="C316" s="23" t="s">
        <v>111</v>
      </c>
      <c r="D316">
        <v>811</v>
      </c>
      <c r="E316" s="132">
        <v>0</v>
      </c>
      <c r="F316" s="132">
        <v>0</v>
      </c>
      <c r="G316" s="132">
        <v>0</v>
      </c>
      <c r="H316" s="132">
        <v>0</v>
      </c>
      <c r="I316" s="132">
        <v>0</v>
      </c>
      <c r="J316" s="132">
        <v>0</v>
      </c>
      <c r="K316" s="132">
        <v>0</v>
      </c>
      <c r="L316" s="132">
        <v>0</v>
      </c>
      <c r="M316" s="132">
        <v>0</v>
      </c>
      <c r="N316" s="132">
        <v>0</v>
      </c>
      <c r="O316" s="132">
        <v>0</v>
      </c>
      <c r="P316" s="132">
        <v>0</v>
      </c>
      <c r="Q316" s="128">
        <f t="shared" si="10"/>
        <v>0</v>
      </c>
    </row>
    <row r="317" spans="1:17" x14ac:dyDescent="0.2">
      <c r="A317" s="23" t="s">
        <v>104</v>
      </c>
      <c r="B317">
        <v>8</v>
      </c>
      <c r="C317" s="23" t="s">
        <v>111</v>
      </c>
      <c r="D317">
        <v>812</v>
      </c>
      <c r="E317" s="132">
        <v>0</v>
      </c>
      <c r="F317" s="132">
        <v>0</v>
      </c>
      <c r="G317" s="132">
        <v>0</v>
      </c>
      <c r="H317" s="132">
        <v>0</v>
      </c>
      <c r="I317" s="132">
        <v>0</v>
      </c>
      <c r="J317" s="132">
        <v>0</v>
      </c>
      <c r="K317" s="132">
        <v>0</v>
      </c>
      <c r="L317" s="132">
        <v>0</v>
      </c>
      <c r="M317" s="132">
        <v>0</v>
      </c>
      <c r="N317" s="132">
        <v>0</v>
      </c>
      <c r="O317" s="132">
        <v>0</v>
      </c>
      <c r="P317" s="132">
        <v>0</v>
      </c>
      <c r="Q317" s="128">
        <f t="shared" si="10"/>
        <v>0</v>
      </c>
    </row>
    <row r="318" spans="1:17" x14ac:dyDescent="0.2">
      <c r="A318" s="23" t="s">
        <v>104</v>
      </c>
      <c r="B318">
        <v>8</v>
      </c>
      <c r="C318" s="23" t="s">
        <v>111</v>
      </c>
      <c r="D318">
        <v>813</v>
      </c>
      <c r="E318" s="132">
        <v>0</v>
      </c>
      <c r="F318" s="132">
        <v>0</v>
      </c>
      <c r="G318" s="132">
        <v>0</v>
      </c>
      <c r="H318" s="132">
        <v>0</v>
      </c>
      <c r="I318" s="132">
        <v>0</v>
      </c>
      <c r="J318" s="132">
        <v>0</v>
      </c>
      <c r="K318" s="132">
        <v>0</v>
      </c>
      <c r="L318" s="132">
        <v>0</v>
      </c>
      <c r="M318" s="132">
        <v>0</v>
      </c>
      <c r="N318" s="132">
        <v>0</v>
      </c>
      <c r="O318" s="132">
        <v>0</v>
      </c>
      <c r="P318" s="132">
        <v>0</v>
      </c>
      <c r="Q318" s="128">
        <f t="shared" si="10"/>
        <v>0</v>
      </c>
    </row>
    <row r="319" spans="1:17" x14ac:dyDescent="0.2">
      <c r="A319" s="23" t="s">
        <v>104</v>
      </c>
      <c r="B319">
        <v>8</v>
      </c>
      <c r="C319" s="23" t="s">
        <v>111</v>
      </c>
      <c r="D319">
        <v>814</v>
      </c>
      <c r="E319" s="132">
        <v>0</v>
      </c>
      <c r="F319" s="132">
        <v>0</v>
      </c>
      <c r="G319" s="132">
        <v>0</v>
      </c>
      <c r="H319" s="132">
        <v>0</v>
      </c>
      <c r="I319" s="132">
        <v>0</v>
      </c>
      <c r="J319" s="132">
        <v>0</v>
      </c>
      <c r="K319" s="132">
        <v>0</v>
      </c>
      <c r="L319" s="132">
        <v>0</v>
      </c>
      <c r="M319" s="132">
        <v>0</v>
      </c>
      <c r="N319" s="132">
        <v>0</v>
      </c>
      <c r="O319" s="132">
        <v>0</v>
      </c>
      <c r="P319" s="132">
        <v>0</v>
      </c>
      <c r="Q319" s="128">
        <f t="shared" si="10"/>
        <v>0</v>
      </c>
    </row>
    <row r="320" spans="1:17" x14ac:dyDescent="0.2">
      <c r="A320" s="23" t="s">
        <v>104</v>
      </c>
      <c r="B320">
        <v>8</v>
      </c>
      <c r="C320" s="23" t="s">
        <v>111</v>
      </c>
      <c r="D320">
        <v>815</v>
      </c>
      <c r="E320" s="132">
        <v>0</v>
      </c>
      <c r="F320" s="132">
        <v>0</v>
      </c>
      <c r="G320" s="132">
        <v>0</v>
      </c>
      <c r="H320" s="132">
        <v>0</v>
      </c>
      <c r="I320" s="132">
        <v>0</v>
      </c>
      <c r="J320" s="132">
        <v>0</v>
      </c>
      <c r="K320" s="132">
        <v>0</v>
      </c>
      <c r="L320" s="132">
        <v>0</v>
      </c>
      <c r="M320" s="132">
        <v>0</v>
      </c>
      <c r="N320" s="132">
        <v>0</v>
      </c>
      <c r="O320" s="132">
        <v>0</v>
      </c>
      <c r="P320" s="132">
        <v>0</v>
      </c>
      <c r="Q320" s="128">
        <f t="shared" si="10"/>
        <v>0</v>
      </c>
    </row>
    <row r="321" spans="1:17" x14ac:dyDescent="0.2">
      <c r="A321" s="23" t="s">
        <v>104</v>
      </c>
      <c r="B321">
        <v>8</v>
      </c>
      <c r="C321" s="23" t="s">
        <v>111</v>
      </c>
      <c r="D321">
        <v>816</v>
      </c>
      <c r="E321" s="132">
        <v>0</v>
      </c>
      <c r="F321" s="132">
        <v>0</v>
      </c>
      <c r="G321" s="132">
        <v>0</v>
      </c>
      <c r="H321" s="132">
        <v>0</v>
      </c>
      <c r="I321" s="132">
        <v>0</v>
      </c>
      <c r="J321" s="132">
        <v>0</v>
      </c>
      <c r="K321" s="132">
        <v>0</v>
      </c>
      <c r="L321" s="132">
        <v>0</v>
      </c>
      <c r="M321" s="132">
        <v>0</v>
      </c>
      <c r="N321" s="132">
        <v>0</v>
      </c>
      <c r="O321" s="132">
        <v>0</v>
      </c>
      <c r="P321" s="132">
        <v>0</v>
      </c>
      <c r="Q321" s="128">
        <f t="shared" si="10"/>
        <v>0</v>
      </c>
    </row>
    <row r="322" spans="1:17" x14ac:dyDescent="0.2">
      <c r="A322" s="23" t="s">
        <v>104</v>
      </c>
      <c r="B322">
        <v>8</v>
      </c>
      <c r="C322" s="23" t="s">
        <v>111</v>
      </c>
      <c r="D322">
        <v>817</v>
      </c>
      <c r="E322" s="132">
        <v>0</v>
      </c>
      <c r="F322" s="132">
        <v>0</v>
      </c>
      <c r="G322" s="132">
        <v>0</v>
      </c>
      <c r="H322" s="132">
        <v>0</v>
      </c>
      <c r="I322" s="132">
        <v>0</v>
      </c>
      <c r="J322" s="132">
        <v>0</v>
      </c>
      <c r="K322" s="132">
        <v>0</v>
      </c>
      <c r="L322" s="132">
        <v>0</v>
      </c>
      <c r="M322" s="132">
        <v>0</v>
      </c>
      <c r="N322" s="132">
        <v>0</v>
      </c>
      <c r="O322" s="132">
        <v>0</v>
      </c>
      <c r="P322" s="132">
        <v>0</v>
      </c>
      <c r="Q322" s="128">
        <f t="shared" ref="Q322:Q385" si="12">AVERAGE(E322:P322)</f>
        <v>0</v>
      </c>
    </row>
    <row r="323" spans="1:17" x14ac:dyDescent="0.2">
      <c r="A323" s="23" t="s">
        <v>104</v>
      </c>
      <c r="B323">
        <v>8</v>
      </c>
      <c r="C323" s="23" t="s">
        <v>111</v>
      </c>
      <c r="D323">
        <v>818</v>
      </c>
      <c r="E323" s="132">
        <v>0</v>
      </c>
      <c r="F323" s="132">
        <v>0</v>
      </c>
      <c r="G323" s="132">
        <v>0</v>
      </c>
      <c r="H323" s="132">
        <v>0</v>
      </c>
      <c r="I323" s="132">
        <v>0</v>
      </c>
      <c r="J323" s="132">
        <v>0</v>
      </c>
      <c r="K323" s="132">
        <v>0</v>
      </c>
      <c r="L323" s="132">
        <v>0</v>
      </c>
      <c r="M323" s="132">
        <v>0</v>
      </c>
      <c r="N323" s="132">
        <v>0</v>
      </c>
      <c r="O323" s="132">
        <v>0</v>
      </c>
      <c r="P323" s="132">
        <v>0</v>
      </c>
      <c r="Q323" s="128">
        <f t="shared" si="12"/>
        <v>0</v>
      </c>
    </row>
    <row r="324" spans="1:17" x14ac:dyDescent="0.2">
      <c r="A324" s="23" t="s">
        <v>104</v>
      </c>
      <c r="B324">
        <v>8</v>
      </c>
      <c r="C324" s="23" t="s">
        <v>111</v>
      </c>
      <c r="D324">
        <v>819</v>
      </c>
      <c r="E324" s="132">
        <v>0</v>
      </c>
      <c r="F324" s="132">
        <v>0</v>
      </c>
      <c r="G324" s="132">
        <v>0</v>
      </c>
      <c r="H324" s="132">
        <v>0</v>
      </c>
      <c r="I324" s="132">
        <v>0</v>
      </c>
      <c r="J324" s="132">
        <v>0</v>
      </c>
      <c r="K324" s="132">
        <v>0</v>
      </c>
      <c r="L324" s="132">
        <v>0</v>
      </c>
      <c r="M324" s="132">
        <v>0</v>
      </c>
      <c r="N324" s="132">
        <v>0</v>
      </c>
      <c r="O324" s="132">
        <v>0</v>
      </c>
      <c r="P324" s="132">
        <v>0</v>
      </c>
      <c r="Q324" s="128">
        <f t="shared" si="12"/>
        <v>0</v>
      </c>
    </row>
    <row r="325" spans="1:17" x14ac:dyDescent="0.2">
      <c r="A325" s="23" t="s">
        <v>104</v>
      </c>
      <c r="B325">
        <v>8</v>
      </c>
      <c r="C325" s="23" t="s">
        <v>111</v>
      </c>
      <c r="D325">
        <v>820</v>
      </c>
      <c r="E325" s="132">
        <v>0</v>
      </c>
      <c r="F325" s="132">
        <v>0</v>
      </c>
      <c r="G325" s="132">
        <v>0</v>
      </c>
      <c r="H325" s="132">
        <v>0</v>
      </c>
      <c r="I325" s="132">
        <v>0</v>
      </c>
      <c r="J325" s="132">
        <v>0</v>
      </c>
      <c r="K325" s="132">
        <v>0</v>
      </c>
      <c r="L325" s="132">
        <v>0</v>
      </c>
      <c r="M325" s="132">
        <v>0</v>
      </c>
      <c r="N325" s="132">
        <v>0</v>
      </c>
      <c r="O325" s="132">
        <v>0</v>
      </c>
      <c r="P325" s="132">
        <v>0</v>
      </c>
      <c r="Q325" s="128">
        <f t="shared" si="12"/>
        <v>0</v>
      </c>
    </row>
    <row r="326" spans="1:17" x14ac:dyDescent="0.2">
      <c r="A326" s="23" t="s">
        <v>104</v>
      </c>
      <c r="B326">
        <v>8</v>
      </c>
      <c r="C326" s="23" t="s">
        <v>111</v>
      </c>
      <c r="D326">
        <v>821</v>
      </c>
      <c r="E326" s="132">
        <v>0</v>
      </c>
      <c r="F326" s="132">
        <v>0</v>
      </c>
      <c r="G326" s="132">
        <v>0</v>
      </c>
      <c r="H326" s="132">
        <v>0</v>
      </c>
      <c r="I326" s="132">
        <v>0</v>
      </c>
      <c r="J326" s="132">
        <v>0</v>
      </c>
      <c r="K326" s="132">
        <v>0</v>
      </c>
      <c r="L326" s="132">
        <v>0</v>
      </c>
      <c r="M326" s="132">
        <v>0</v>
      </c>
      <c r="N326" s="132">
        <v>0</v>
      </c>
      <c r="O326" s="132">
        <v>0</v>
      </c>
      <c r="P326" s="132">
        <v>0</v>
      </c>
      <c r="Q326" s="128">
        <f t="shared" si="12"/>
        <v>0</v>
      </c>
    </row>
    <row r="327" spans="1:17" x14ac:dyDescent="0.2">
      <c r="A327" s="23"/>
      <c r="C327" s="23"/>
      <c r="E327" s="132"/>
      <c r="F327" s="132">
        <f t="shared" ref="F327:P327" si="13">AVERAGE(F283:F326)</f>
        <v>0</v>
      </c>
      <c r="G327" s="132">
        <f t="shared" si="13"/>
        <v>0</v>
      </c>
      <c r="H327" s="132">
        <f t="shared" si="13"/>
        <v>0</v>
      </c>
      <c r="I327" s="132">
        <f t="shared" si="13"/>
        <v>0</v>
      </c>
      <c r="J327" s="132">
        <f t="shared" si="13"/>
        <v>0</v>
      </c>
      <c r="K327" s="132">
        <f t="shared" si="13"/>
        <v>0</v>
      </c>
      <c r="L327" s="132">
        <f t="shared" si="13"/>
        <v>0</v>
      </c>
      <c r="M327" s="132">
        <f t="shared" si="13"/>
        <v>0</v>
      </c>
      <c r="N327" s="132">
        <f t="shared" si="13"/>
        <v>0</v>
      </c>
      <c r="O327" s="132">
        <f t="shared" si="13"/>
        <v>0</v>
      </c>
      <c r="P327" s="132">
        <f t="shared" si="13"/>
        <v>0</v>
      </c>
      <c r="Q327" s="128">
        <f t="shared" si="12"/>
        <v>0</v>
      </c>
    </row>
    <row r="328" spans="1:17" x14ac:dyDescent="0.2">
      <c r="A328" s="23" t="s">
        <v>104</v>
      </c>
      <c r="B328">
        <v>9</v>
      </c>
      <c r="C328" s="23" t="s">
        <v>112</v>
      </c>
      <c r="D328">
        <v>901</v>
      </c>
      <c r="E328" s="132">
        <v>0</v>
      </c>
      <c r="F328" s="132">
        <v>0</v>
      </c>
      <c r="G328" s="132">
        <v>0</v>
      </c>
      <c r="H328" s="132">
        <v>0</v>
      </c>
      <c r="I328" s="132">
        <v>0</v>
      </c>
      <c r="J328" s="132">
        <v>0</v>
      </c>
      <c r="K328" s="132">
        <v>0</v>
      </c>
      <c r="L328" s="132">
        <v>0</v>
      </c>
      <c r="M328" s="132">
        <v>0</v>
      </c>
      <c r="N328" s="132">
        <v>0</v>
      </c>
      <c r="O328" s="132">
        <v>0</v>
      </c>
      <c r="P328" s="132">
        <v>0</v>
      </c>
      <c r="Q328" s="128">
        <f t="shared" si="12"/>
        <v>0</v>
      </c>
    </row>
    <row r="329" spans="1:17" x14ac:dyDescent="0.2">
      <c r="A329" s="23" t="s">
        <v>104</v>
      </c>
      <c r="B329">
        <v>9</v>
      </c>
      <c r="C329" s="23" t="s">
        <v>112</v>
      </c>
      <c r="D329">
        <v>902</v>
      </c>
      <c r="E329" s="132">
        <v>0</v>
      </c>
      <c r="F329" s="132">
        <v>0</v>
      </c>
      <c r="G329" s="132">
        <v>0</v>
      </c>
      <c r="H329" s="132">
        <v>0</v>
      </c>
      <c r="I329" s="132">
        <v>0</v>
      </c>
      <c r="J329" s="132">
        <v>0</v>
      </c>
      <c r="K329" s="132">
        <v>0</v>
      </c>
      <c r="L329" s="132">
        <v>0</v>
      </c>
      <c r="M329" s="132">
        <v>0</v>
      </c>
      <c r="N329" s="132">
        <v>0</v>
      </c>
      <c r="O329" s="132">
        <v>0</v>
      </c>
      <c r="P329" s="132">
        <v>0</v>
      </c>
      <c r="Q329" s="128">
        <f t="shared" si="12"/>
        <v>0</v>
      </c>
    </row>
    <row r="330" spans="1:17" x14ac:dyDescent="0.2">
      <c r="A330" s="23" t="s">
        <v>104</v>
      </c>
      <c r="B330">
        <v>9</v>
      </c>
      <c r="C330" s="23" t="s">
        <v>112</v>
      </c>
      <c r="D330">
        <v>903</v>
      </c>
      <c r="E330" s="132">
        <v>0</v>
      </c>
      <c r="F330" s="132">
        <v>0</v>
      </c>
      <c r="G330" s="132">
        <v>0</v>
      </c>
      <c r="H330" s="132">
        <v>0</v>
      </c>
      <c r="I330" s="132">
        <v>0</v>
      </c>
      <c r="J330" s="132">
        <v>0</v>
      </c>
      <c r="K330" s="132">
        <v>0</v>
      </c>
      <c r="L330" s="132">
        <v>0</v>
      </c>
      <c r="M330" s="132">
        <v>0</v>
      </c>
      <c r="N330" s="132">
        <v>0</v>
      </c>
      <c r="O330" s="132">
        <v>0</v>
      </c>
      <c r="P330" s="132">
        <v>0</v>
      </c>
      <c r="Q330" s="128">
        <f t="shared" si="12"/>
        <v>0</v>
      </c>
    </row>
    <row r="331" spans="1:17" x14ac:dyDescent="0.2">
      <c r="A331" s="23" t="s">
        <v>104</v>
      </c>
      <c r="B331">
        <v>9</v>
      </c>
      <c r="C331" s="23" t="s">
        <v>112</v>
      </c>
      <c r="D331">
        <v>904</v>
      </c>
      <c r="E331" s="132">
        <v>0</v>
      </c>
      <c r="F331" s="132">
        <v>0</v>
      </c>
      <c r="G331" s="132">
        <v>0</v>
      </c>
      <c r="H331" s="132">
        <v>0</v>
      </c>
      <c r="I331" s="132">
        <v>0</v>
      </c>
      <c r="J331" s="132">
        <v>0</v>
      </c>
      <c r="K331" s="132">
        <v>0</v>
      </c>
      <c r="L331" s="132">
        <v>0</v>
      </c>
      <c r="M331" s="132">
        <v>0</v>
      </c>
      <c r="N331" s="132">
        <v>0</v>
      </c>
      <c r="O331" s="132">
        <v>0</v>
      </c>
      <c r="P331" s="132">
        <v>0</v>
      </c>
      <c r="Q331" s="128">
        <f t="shared" si="12"/>
        <v>0</v>
      </c>
    </row>
    <row r="332" spans="1:17" x14ac:dyDescent="0.2">
      <c r="A332" s="23" t="s">
        <v>104</v>
      </c>
      <c r="B332">
        <v>9</v>
      </c>
      <c r="C332" s="23" t="s">
        <v>112</v>
      </c>
      <c r="D332">
        <v>905</v>
      </c>
      <c r="E332" s="132">
        <v>0</v>
      </c>
      <c r="F332" s="132">
        <v>0</v>
      </c>
      <c r="G332" s="132">
        <v>0</v>
      </c>
      <c r="H332" s="132">
        <v>0</v>
      </c>
      <c r="I332" s="132">
        <v>0</v>
      </c>
      <c r="J332" s="132">
        <v>0</v>
      </c>
      <c r="K332" s="132">
        <v>0</v>
      </c>
      <c r="L332" s="132">
        <v>0</v>
      </c>
      <c r="M332" s="132">
        <v>0</v>
      </c>
      <c r="N332" s="132">
        <v>0</v>
      </c>
      <c r="O332" s="132">
        <v>0</v>
      </c>
      <c r="P332" s="132">
        <v>0</v>
      </c>
      <c r="Q332" s="128">
        <f t="shared" si="12"/>
        <v>0</v>
      </c>
    </row>
    <row r="333" spans="1:17" x14ac:dyDescent="0.2">
      <c r="A333" s="23" t="s">
        <v>104</v>
      </c>
      <c r="B333">
        <v>9</v>
      </c>
      <c r="C333" s="23" t="s">
        <v>112</v>
      </c>
      <c r="D333">
        <v>906</v>
      </c>
      <c r="E333" s="132">
        <v>0</v>
      </c>
      <c r="F333" s="132">
        <v>0</v>
      </c>
      <c r="G333" s="132">
        <v>0</v>
      </c>
      <c r="H333" s="132">
        <v>0</v>
      </c>
      <c r="I333" s="132">
        <v>0</v>
      </c>
      <c r="J333" s="132">
        <v>0</v>
      </c>
      <c r="K333" s="132">
        <v>0</v>
      </c>
      <c r="L333" s="132">
        <v>0</v>
      </c>
      <c r="M333" s="132">
        <v>0</v>
      </c>
      <c r="N333" s="132">
        <v>0</v>
      </c>
      <c r="O333" s="132">
        <v>0</v>
      </c>
      <c r="P333" s="132">
        <v>0</v>
      </c>
      <c r="Q333" s="128">
        <f t="shared" si="12"/>
        <v>0</v>
      </c>
    </row>
    <row r="334" spans="1:17" x14ac:dyDescent="0.2">
      <c r="A334" s="23" t="s">
        <v>104</v>
      </c>
      <c r="B334">
        <v>9</v>
      </c>
      <c r="C334" s="23" t="s">
        <v>112</v>
      </c>
      <c r="D334">
        <v>907</v>
      </c>
      <c r="E334" s="132">
        <v>0</v>
      </c>
      <c r="F334" s="132">
        <v>0</v>
      </c>
      <c r="G334" s="132">
        <v>0</v>
      </c>
      <c r="H334" s="132">
        <v>0</v>
      </c>
      <c r="I334" s="132">
        <v>0</v>
      </c>
      <c r="J334" s="132">
        <v>0</v>
      </c>
      <c r="K334" s="132">
        <v>0</v>
      </c>
      <c r="L334" s="132">
        <v>0</v>
      </c>
      <c r="M334" s="132">
        <v>0</v>
      </c>
      <c r="N334" s="132">
        <v>0</v>
      </c>
      <c r="O334" s="132">
        <v>0</v>
      </c>
      <c r="P334" s="132">
        <v>0</v>
      </c>
      <c r="Q334" s="128">
        <f t="shared" si="12"/>
        <v>0</v>
      </c>
    </row>
    <row r="335" spans="1:17" x14ac:dyDescent="0.2">
      <c r="A335" s="23" t="s">
        <v>104</v>
      </c>
      <c r="B335">
        <v>9</v>
      </c>
      <c r="C335" s="23" t="s">
        <v>112</v>
      </c>
      <c r="D335">
        <v>908</v>
      </c>
      <c r="E335" s="132">
        <v>0</v>
      </c>
      <c r="F335" s="132">
        <v>0</v>
      </c>
      <c r="G335" s="132">
        <v>0</v>
      </c>
      <c r="H335" s="132">
        <v>0</v>
      </c>
      <c r="I335" s="132">
        <v>0</v>
      </c>
      <c r="J335" s="132">
        <v>0</v>
      </c>
      <c r="K335" s="132">
        <v>0</v>
      </c>
      <c r="L335" s="132">
        <v>0</v>
      </c>
      <c r="M335" s="132">
        <v>0</v>
      </c>
      <c r="N335" s="132">
        <v>0</v>
      </c>
      <c r="O335" s="132">
        <v>0</v>
      </c>
      <c r="P335" s="132">
        <v>0</v>
      </c>
      <c r="Q335" s="128">
        <f t="shared" si="12"/>
        <v>0</v>
      </c>
    </row>
    <row r="336" spans="1:17" x14ac:dyDescent="0.2">
      <c r="A336" s="23" t="s">
        <v>104</v>
      </c>
      <c r="B336">
        <v>9</v>
      </c>
      <c r="C336" s="23" t="s">
        <v>112</v>
      </c>
      <c r="D336">
        <v>909</v>
      </c>
      <c r="E336" s="132">
        <v>0</v>
      </c>
      <c r="F336" s="132">
        <v>0</v>
      </c>
      <c r="G336" s="132">
        <v>0</v>
      </c>
      <c r="H336" s="132">
        <v>0</v>
      </c>
      <c r="I336" s="132">
        <v>0</v>
      </c>
      <c r="J336" s="132">
        <v>0</v>
      </c>
      <c r="K336" s="132">
        <v>0</v>
      </c>
      <c r="L336" s="132">
        <v>0</v>
      </c>
      <c r="M336" s="132">
        <v>0</v>
      </c>
      <c r="N336" s="132">
        <v>0</v>
      </c>
      <c r="O336" s="132">
        <v>0</v>
      </c>
      <c r="P336" s="132">
        <v>0</v>
      </c>
      <c r="Q336" s="128">
        <f t="shared" si="12"/>
        <v>0</v>
      </c>
    </row>
    <row r="337" spans="1:17" x14ac:dyDescent="0.2">
      <c r="A337" s="23" t="s">
        <v>104</v>
      </c>
      <c r="B337">
        <v>9</v>
      </c>
      <c r="C337" s="23" t="s">
        <v>112</v>
      </c>
      <c r="D337">
        <v>910</v>
      </c>
      <c r="E337" s="132">
        <v>0</v>
      </c>
      <c r="F337" s="132">
        <v>0</v>
      </c>
      <c r="G337" s="132">
        <v>0</v>
      </c>
      <c r="H337" s="132">
        <v>0</v>
      </c>
      <c r="I337" s="132">
        <v>0</v>
      </c>
      <c r="J337" s="132">
        <v>0</v>
      </c>
      <c r="K337" s="132">
        <v>0</v>
      </c>
      <c r="L337" s="132">
        <v>0</v>
      </c>
      <c r="M337" s="132">
        <v>0</v>
      </c>
      <c r="N337" s="132">
        <v>0</v>
      </c>
      <c r="O337" s="132">
        <v>0</v>
      </c>
      <c r="P337" s="132">
        <v>0</v>
      </c>
      <c r="Q337" s="128">
        <f t="shared" si="12"/>
        <v>0</v>
      </c>
    </row>
    <row r="338" spans="1:17" x14ac:dyDescent="0.2">
      <c r="A338" s="23" t="s">
        <v>104</v>
      </c>
      <c r="B338">
        <v>9</v>
      </c>
      <c r="C338" s="23" t="s">
        <v>112</v>
      </c>
      <c r="D338">
        <v>911</v>
      </c>
      <c r="E338" s="132">
        <v>0</v>
      </c>
      <c r="F338" s="132">
        <v>0</v>
      </c>
      <c r="G338" s="132">
        <v>0</v>
      </c>
      <c r="H338" s="132">
        <v>0</v>
      </c>
      <c r="I338" s="132">
        <v>0</v>
      </c>
      <c r="J338" s="132">
        <v>0</v>
      </c>
      <c r="K338" s="132">
        <v>0</v>
      </c>
      <c r="L338" s="132">
        <v>0</v>
      </c>
      <c r="M338" s="132">
        <v>0</v>
      </c>
      <c r="N338" s="132">
        <v>0</v>
      </c>
      <c r="O338" s="132">
        <v>0</v>
      </c>
      <c r="P338" s="132">
        <v>0</v>
      </c>
      <c r="Q338" s="128">
        <f t="shared" si="12"/>
        <v>0</v>
      </c>
    </row>
    <row r="339" spans="1:17" x14ac:dyDescent="0.2">
      <c r="A339" s="23" t="s">
        <v>104</v>
      </c>
      <c r="B339">
        <v>9</v>
      </c>
      <c r="C339" s="23" t="s">
        <v>112</v>
      </c>
      <c r="D339">
        <v>912</v>
      </c>
      <c r="E339" s="132">
        <v>0</v>
      </c>
      <c r="F339" s="132">
        <v>0</v>
      </c>
      <c r="G339" s="132">
        <v>0</v>
      </c>
      <c r="H339" s="132">
        <v>0</v>
      </c>
      <c r="I339" s="132">
        <v>0</v>
      </c>
      <c r="J339" s="132">
        <v>0</v>
      </c>
      <c r="K339" s="132">
        <v>0</v>
      </c>
      <c r="L339" s="132">
        <v>0</v>
      </c>
      <c r="M339" s="132">
        <v>0</v>
      </c>
      <c r="N339" s="132">
        <v>0</v>
      </c>
      <c r="O339" s="132">
        <v>0</v>
      </c>
      <c r="P339" s="132">
        <v>0</v>
      </c>
      <c r="Q339" s="128">
        <f t="shared" si="12"/>
        <v>0</v>
      </c>
    </row>
    <row r="340" spans="1:17" x14ac:dyDescent="0.2">
      <c r="A340" s="23" t="s">
        <v>104</v>
      </c>
      <c r="B340">
        <v>9</v>
      </c>
      <c r="C340" s="23" t="s">
        <v>112</v>
      </c>
      <c r="D340">
        <v>913</v>
      </c>
      <c r="E340" s="132">
        <v>0</v>
      </c>
      <c r="F340" s="132">
        <v>0</v>
      </c>
      <c r="G340" s="132">
        <v>0</v>
      </c>
      <c r="H340" s="132">
        <v>0</v>
      </c>
      <c r="I340" s="132">
        <v>0</v>
      </c>
      <c r="J340" s="132">
        <v>0</v>
      </c>
      <c r="K340" s="132">
        <v>0</v>
      </c>
      <c r="L340" s="132">
        <v>0</v>
      </c>
      <c r="M340" s="132">
        <v>0</v>
      </c>
      <c r="N340" s="132">
        <v>0</v>
      </c>
      <c r="O340" s="132">
        <v>0</v>
      </c>
      <c r="P340" s="132">
        <v>0</v>
      </c>
      <c r="Q340" s="128">
        <f t="shared" si="12"/>
        <v>0</v>
      </c>
    </row>
    <row r="341" spans="1:17" x14ac:dyDescent="0.2">
      <c r="A341" s="23" t="s">
        <v>104</v>
      </c>
      <c r="B341">
        <v>9</v>
      </c>
      <c r="C341" s="23" t="s">
        <v>112</v>
      </c>
      <c r="D341">
        <v>914</v>
      </c>
      <c r="E341" s="132">
        <v>0</v>
      </c>
      <c r="F341" s="132">
        <v>0</v>
      </c>
      <c r="G341" s="132">
        <v>0</v>
      </c>
      <c r="H341" s="132">
        <v>0</v>
      </c>
      <c r="I341" s="132">
        <v>0</v>
      </c>
      <c r="J341" s="132">
        <v>0</v>
      </c>
      <c r="K341" s="132">
        <v>0</v>
      </c>
      <c r="L341" s="132">
        <v>0</v>
      </c>
      <c r="M341" s="132">
        <v>0</v>
      </c>
      <c r="N341" s="132">
        <v>0</v>
      </c>
      <c r="O341" s="132">
        <v>0</v>
      </c>
      <c r="P341" s="132">
        <v>0</v>
      </c>
      <c r="Q341" s="128">
        <f t="shared" si="12"/>
        <v>0</v>
      </c>
    </row>
    <row r="342" spans="1:17" x14ac:dyDescent="0.2">
      <c r="A342" s="23" t="s">
        <v>104</v>
      </c>
      <c r="B342">
        <v>9</v>
      </c>
      <c r="C342" s="23" t="s">
        <v>112</v>
      </c>
      <c r="D342">
        <v>915</v>
      </c>
      <c r="E342" s="132">
        <v>0</v>
      </c>
      <c r="F342" s="132">
        <v>0</v>
      </c>
      <c r="G342" s="132">
        <v>0</v>
      </c>
      <c r="H342" s="132">
        <v>0</v>
      </c>
      <c r="I342" s="132">
        <v>0</v>
      </c>
      <c r="J342" s="132">
        <v>0</v>
      </c>
      <c r="K342" s="132">
        <v>0</v>
      </c>
      <c r="L342" s="132">
        <v>0</v>
      </c>
      <c r="M342" s="132">
        <v>0</v>
      </c>
      <c r="N342" s="132">
        <v>0</v>
      </c>
      <c r="O342" s="132">
        <v>0</v>
      </c>
      <c r="P342" s="132">
        <v>0</v>
      </c>
      <c r="Q342" s="128">
        <f t="shared" si="12"/>
        <v>0</v>
      </c>
    </row>
    <row r="343" spans="1:17" x14ac:dyDescent="0.2">
      <c r="A343" s="23" t="s">
        <v>104</v>
      </c>
      <c r="B343">
        <v>9</v>
      </c>
      <c r="C343" s="23" t="s">
        <v>112</v>
      </c>
      <c r="D343">
        <v>916</v>
      </c>
      <c r="E343" s="132">
        <v>0</v>
      </c>
      <c r="F343" s="132">
        <v>0</v>
      </c>
      <c r="G343" s="132">
        <v>0</v>
      </c>
      <c r="H343" s="132">
        <v>0</v>
      </c>
      <c r="I343" s="132">
        <v>0</v>
      </c>
      <c r="J343" s="132">
        <v>0</v>
      </c>
      <c r="K343" s="132">
        <v>0</v>
      </c>
      <c r="L343" s="132">
        <v>0</v>
      </c>
      <c r="M343" s="132">
        <v>0</v>
      </c>
      <c r="N343" s="132">
        <v>0</v>
      </c>
      <c r="O343" s="132">
        <v>0</v>
      </c>
      <c r="P343" s="132">
        <v>0</v>
      </c>
      <c r="Q343" s="128">
        <f t="shared" si="12"/>
        <v>0</v>
      </c>
    </row>
    <row r="344" spans="1:17" x14ac:dyDescent="0.2">
      <c r="A344" s="23" t="s">
        <v>104</v>
      </c>
      <c r="B344">
        <v>9</v>
      </c>
      <c r="C344" s="23" t="s">
        <v>112</v>
      </c>
      <c r="D344">
        <v>917</v>
      </c>
      <c r="E344" s="132">
        <v>0</v>
      </c>
      <c r="F344" s="132">
        <v>0</v>
      </c>
      <c r="G344" s="132">
        <v>0</v>
      </c>
      <c r="H344" s="132">
        <v>0</v>
      </c>
      <c r="I344" s="132">
        <v>0</v>
      </c>
      <c r="J344" s="132">
        <v>0</v>
      </c>
      <c r="K344" s="132">
        <v>0</v>
      </c>
      <c r="L344" s="132">
        <v>0</v>
      </c>
      <c r="M344" s="132">
        <v>0</v>
      </c>
      <c r="N344" s="132">
        <v>0</v>
      </c>
      <c r="O344" s="132">
        <v>0</v>
      </c>
      <c r="P344" s="132">
        <v>0</v>
      </c>
      <c r="Q344" s="128">
        <f t="shared" si="12"/>
        <v>0</v>
      </c>
    </row>
    <row r="345" spans="1:17" x14ac:dyDescent="0.2">
      <c r="A345" s="23" t="s">
        <v>104</v>
      </c>
      <c r="B345">
        <v>9</v>
      </c>
      <c r="C345" s="23" t="s">
        <v>112</v>
      </c>
      <c r="D345">
        <v>918</v>
      </c>
      <c r="E345" s="132">
        <v>0</v>
      </c>
      <c r="F345" s="132">
        <v>0</v>
      </c>
      <c r="G345" s="132">
        <v>0</v>
      </c>
      <c r="H345" s="132">
        <v>0</v>
      </c>
      <c r="I345" s="132">
        <v>0</v>
      </c>
      <c r="J345" s="132">
        <v>0</v>
      </c>
      <c r="K345" s="132">
        <v>0</v>
      </c>
      <c r="L345" s="132">
        <v>0</v>
      </c>
      <c r="M345" s="132">
        <v>0</v>
      </c>
      <c r="N345" s="132">
        <v>0</v>
      </c>
      <c r="O345" s="132">
        <v>0</v>
      </c>
      <c r="P345" s="132">
        <v>0</v>
      </c>
      <c r="Q345" s="128">
        <f t="shared" si="12"/>
        <v>0</v>
      </c>
    </row>
    <row r="346" spans="1:17" x14ac:dyDescent="0.2">
      <c r="A346" s="23" t="s">
        <v>104</v>
      </c>
      <c r="B346">
        <v>9</v>
      </c>
      <c r="C346" s="23" t="s">
        <v>112</v>
      </c>
      <c r="D346">
        <v>919</v>
      </c>
      <c r="E346" s="132">
        <v>0</v>
      </c>
      <c r="F346" s="132">
        <v>0</v>
      </c>
      <c r="G346" s="132">
        <v>0</v>
      </c>
      <c r="H346" s="132">
        <v>0</v>
      </c>
      <c r="I346" s="132">
        <v>0</v>
      </c>
      <c r="J346" s="132">
        <v>0</v>
      </c>
      <c r="K346" s="132">
        <v>0</v>
      </c>
      <c r="L346" s="132">
        <v>0</v>
      </c>
      <c r="M346" s="132">
        <v>0</v>
      </c>
      <c r="N346" s="132">
        <v>0</v>
      </c>
      <c r="O346" s="132">
        <v>0</v>
      </c>
      <c r="P346" s="132">
        <v>0</v>
      </c>
      <c r="Q346" s="128">
        <f t="shared" si="12"/>
        <v>0</v>
      </c>
    </row>
    <row r="347" spans="1:17" x14ac:dyDescent="0.2">
      <c r="A347" s="23" t="s">
        <v>104</v>
      </c>
      <c r="B347">
        <v>9</v>
      </c>
      <c r="C347" s="23" t="s">
        <v>112</v>
      </c>
      <c r="D347">
        <v>923</v>
      </c>
      <c r="E347" s="132">
        <v>0</v>
      </c>
      <c r="F347" s="132">
        <v>0</v>
      </c>
      <c r="G347" s="132">
        <v>0</v>
      </c>
      <c r="H347" s="132">
        <v>0</v>
      </c>
      <c r="I347" s="132">
        <v>0</v>
      </c>
      <c r="J347" s="132">
        <v>0</v>
      </c>
      <c r="K347" s="132">
        <v>0</v>
      </c>
      <c r="L347" s="132">
        <v>0</v>
      </c>
      <c r="M347" s="132">
        <v>0</v>
      </c>
      <c r="N347" s="132">
        <v>0</v>
      </c>
      <c r="O347" s="132">
        <v>0</v>
      </c>
      <c r="P347" s="132">
        <v>0</v>
      </c>
      <c r="Q347" s="128">
        <f t="shared" si="12"/>
        <v>0</v>
      </c>
    </row>
    <row r="348" spans="1:17" x14ac:dyDescent="0.2">
      <c r="A348" s="23" t="s">
        <v>104</v>
      </c>
      <c r="B348">
        <v>9</v>
      </c>
      <c r="C348" s="23" t="s">
        <v>111</v>
      </c>
      <c r="D348">
        <v>901</v>
      </c>
      <c r="E348" s="132">
        <v>0</v>
      </c>
      <c r="F348" s="132">
        <v>0</v>
      </c>
      <c r="G348" s="132">
        <v>0</v>
      </c>
      <c r="H348" s="132">
        <v>0</v>
      </c>
      <c r="I348" s="132">
        <v>0</v>
      </c>
      <c r="J348" s="132">
        <v>0</v>
      </c>
      <c r="K348" s="132">
        <v>0</v>
      </c>
      <c r="L348" s="132">
        <v>0</v>
      </c>
      <c r="M348" s="132">
        <v>0</v>
      </c>
      <c r="N348" s="132">
        <v>0</v>
      </c>
      <c r="O348" s="132">
        <v>0</v>
      </c>
      <c r="P348" s="132">
        <v>0</v>
      </c>
      <c r="Q348" s="128">
        <f t="shared" si="12"/>
        <v>0</v>
      </c>
    </row>
    <row r="349" spans="1:17" x14ac:dyDescent="0.2">
      <c r="A349" s="23" t="s">
        <v>104</v>
      </c>
      <c r="B349">
        <v>9</v>
      </c>
      <c r="C349" s="23" t="s">
        <v>111</v>
      </c>
      <c r="D349">
        <v>902</v>
      </c>
      <c r="E349" s="132">
        <v>0</v>
      </c>
      <c r="F349" s="132">
        <v>0</v>
      </c>
      <c r="G349" s="132">
        <v>0</v>
      </c>
      <c r="H349" s="132">
        <v>0</v>
      </c>
      <c r="I349" s="132">
        <v>0</v>
      </c>
      <c r="J349" s="132">
        <v>0</v>
      </c>
      <c r="K349" s="132">
        <v>0</v>
      </c>
      <c r="L349" s="132">
        <v>0</v>
      </c>
      <c r="M349" s="132">
        <v>0</v>
      </c>
      <c r="N349" s="132">
        <v>0</v>
      </c>
      <c r="O349" s="132">
        <v>0</v>
      </c>
      <c r="P349" s="132">
        <v>0</v>
      </c>
      <c r="Q349" s="128">
        <f t="shared" si="12"/>
        <v>0</v>
      </c>
    </row>
    <row r="350" spans="1:17" x14ac:dyDescent="0.2">
      <c r="A350" s="23" t="s">
        <v>104</v>
      </c>
      <c r="B350">
        <v>9</v>
      </c>
      <c r="C350" s="23" t="s">
        <v>111</v>
      </c>
      <c r="D350">
        <v>903</v>
      </c>
      <c r="E350" s="132">
        <v>0</v>
      </c>
      <c r="F350" s="132">
        <v>0</v>
      </c>
      <c r="G350" s="132">
        <v>0</v>
      </c>
      <c r="H350" s="132">
        <v>0</v>
      </c>
      <c r="I350" s="132">
        <v>0</v>
      </c>
      <c r="J350" s="132">
        <v>0</v>
      </c>
      <c r="K350" s="132">
        <v>0</v>
      </c>
      <c r="L350" s="132">
        <v>0</v>
      </c>
      <c r="M350" s="132">
        <v>0</v>
      </c>
      <c r="N350" s="132">
        <v>0</v>
      </c>
      <c r="O350" s="132">
        <v>0</v>
      </c>
      <c r="P350" s="132">
        <v>0</v>
      </c>
      <c r="Q350" s="128">
        <f t="shared" si="12"/>
        <v>0</v>
      </c>
    </row>
    <row r="351" spans="1:17" x14ac:dyDescent="0.2">
      <c r="A351" s="23" t="s">
        <v>104</v>
      </c>
      <c r="B351">
        <v>9</v>
      </c>
      <c r="C351" s="23" t="s">
        <v>111</v>
      </c>
      <c r="D351">
        <v>904</v>
      </c>
      <c r="E351" s="132">
        <v>0</v>
      </c>
      <c r="F351" s="132">
        <v>0</v>
      </c>
      <c r="G351" s="132">
        <v>0</v>
      </c>
      <c r="H351" s="132">
        <v>0</v>
      </c>
      <c r="I351" s="132">
        <v>0</v>
      </c>
      <c r="J351" s="132">
        <v>0</v>
      </c>
      <c r="K351" s="132">
        <v>0</v>
      </c>
      <c r="L351" s="132">
        <v>0</v>
      </c>
      <c r="M351" s="132">
        <v>0</v>
      </c>
      <c r="N351" s="132">
        <v>0</v>
      </c>
      <c r="O351" s="132">
        <v>0</v>
      </c>
      <c r="P351" s="132">
        <v>0</v>
      </c>
      <c r="Q351" s="128">
        <f t="shared" si="12"/>
        <v>0</v>
      </c>
    </row>
    <row r="352" spans="1:17" x14ac:dyDescent="0.2">
      <c r="A352" s="23" t="s">
        <v>104</v>
      </c>
      <c r="B352">
        <v>9</v>
      </c>
      <c r="C352" s="23" t="s">
        <v>111</v>
      </c>
      <c r="D352">
        <v>905</v>
      </c>
      <c r="E352" s="132">
        <v>0</v>
      </c>
      <c r="F352" s="132">
        <v>0</v>
      </c>
      <c r="G352" s="132">
        <v>0</v>
      </c>
      <c r="H352" s="132">
        <v>0</v>
      </c>
      <c r="I352" s="132">
        <v>0</v>
      </c>
      <c r="J352" s="132">
        <v>0</v>
      </c>
      <c r="K352" s="132">
        <v>0</v>
      </c>
      <c r="L352" s="132">
        <v>0</v>
      </c>
      <c r="M352" s="132">
        <v>0</v>
      </c>
      <c r="N352" s="132">
        <v>0</v>
      </c>
      <c r="O352" s="132">
        <v>0</v>
      </c>
      <c r="P352" s="132">
        <v>0</v>
      </c>
      <c r="Q352" s="128">
        <f t="shared" si="12"/>
        <v>0</v>
      </c>
    </row>
    <row r="353" spans="1:17" x14ac:dyDescent="0.2">
      <c r="A353" s="23" t="s">
        <v>104</v>
      </c>
      <c r="B353">
        <v>9</v>
      </c>
      <c r="C353" s="23" t="s">
        <v>111</v>
      </c>
      <c r="D353">
        <v>906</v>
      </c>
      <c r="E353" s="132">
        <v>0</v>
      </c>
      <c r="F353" s="132">
        <v>0</v>
      </c>
      <c r="G353" s="132">
        <v>0</v>
      </c>
      <c r="H353" s="132">
        <v>0</v>
      </c>
      <c r="I353" s="132">
        <v>0</v>
      </c>
      <c r="J353" s="132">
        <v>0</v>
      </c>
      <c r="K353" s="132">
        <v>0</v>
      </c>
      <c r="L353" s="132">
        <v>0</v>
      </c>
      <c r="M353" s="132">
        <v>0</v>
      </c>
      <c r="N353" s="132">
        <v>0</v>
      </c>
      <c r="O353" s="132">
        <v>0</v>
      </c>
      <c r="P353" s="132">
        <v>0</v>
      </c>
      <c r="Q353" s="128">
        <f t="shared" si="12"/>
        <v>0</v>
      </c>
    </row>
    <row r="354" spans="1:17" x14ac:dyDescent="0.2">
      <c r="A354" s="23" t="s">
        <v>104</v>
      </c>
      <c r="B354">
        <v>9</v>
      </c>
      <c r="C354" s="23" t="s">
        <v>111</v>
      </c>
      <c r="D354">
        <v>907</v>
      </c>
      <c r="E354" s="132">
        <v>0</v>
      </c>
      <c r="F354" s="132">
        <v>0</v>
      </c>
      <c r="G354" s="132">
        <v>0</v>
      </c>
      <c r="H354" s="132">
        <v>0</v>
      </c>
      <c r="I354" s="132">
        <v>0</v>
      </c>
      <c r="J354" s="132">
        <v>0</v>
      </c>
      <c r="K354" s="132">
        <v>0</v>
      </c>
      <c r="L354" s="132">
        <v>0</v>
      </c>
      <c r="M354" s="132">
        <v>0</v>
      </c>
      <c r="N354" s="132">
        <v>0</v>
      </c>
      <c r="O354" s="132">
        <v>0</v>
      </c>
      <c r="P354" s="132">
        <v>0</v>
      </c>
      <c r="Q354" s="128">
        <f t="shared" si="12"/>
        <v>0</v>
      </c>
    </row>
    <row r="355" spans="1:17" x14ac:dyDescent="0.2">
      <c r="A355" s="23" t="s">
        <v>104</v>
      </c>
      <c r="B355">
        <v>9</v>
      </c>
      <c r="C355" s="23" t="s">
        <v>111</v>
      </c>
      <c r="D355">
        <v>908</v>
      </c>
      <c r="E355" s="132">
        <v>0</v>
      </c>
      <c r="F355" s="132">
        <v>0</v>
      </c>
      <c r="G355" s="132">
        <v>0</v>
      </c>
      <c r="H355" s="132">
        <v>0</v>
      </c>
      <c r="I355" s="132">
        <v>0</v>
      </c>
      <c r="J355" s="132">
        <v>0</v>
      </c>
      <c r="K355" s="132">
        <v>0</v>
      </c>
      <c r="L355" s="132">
        <v>0</v>
      </c>
      <c r="M355" s="132">
        <v>0</v>
      </c>
      <c r="N355" s="132">
        <v>0</v>
      </c>
      <c r="O355" s="132">
        <v>0</v>
      </c>
      <c r="P355" s="132">
        <v>0</v>
      </c>
      <c r="Q355" s="128">
        <f t="shared" si="12"/>
        <v>0</v>
      </c>
    </row>
    <row r="356" spans="1:17" x14ac:dyDescent="0.2">
      <c r="A356" s="23" t="s">
        <v>104</v>
      </c>
      <c r="B356">
        <v>9</v>
      </c>
      <c r="C356" s="23" t="s">
        <v>111</v>
      </c>
      <c r="D356">
        <v>909</v>
      </c>
      <c r="E356" s="132">
        <v>0</v>
      </c>
      <c r="F356" s="132">
        <v>0</v>
      </c>
      <c r="G356" s="132">
        <v>0</v>
      </c>
      <c r="H356" s="132">
        <v>0</v>
      </c>
      <c r="I356" s="132">
        <v>0</v>
      </c>
      <c r="J356" s="132">
        <v>0</v>
      </c>
      <c r="K356" s="132">
        <v>0</v>
      </c>
      <c r="L356" s="132">
        <v>0</v>
      </c>
      <c r="M356" s="132">
        <v>0</v>
      </c>
      <c r="N356" s="132">
        <v>0</v>
      </c>
      <c r="O356" s="132">
        <v>0</v>
      </c>
      <c r="P356" s="132">
        <v>0</v>
      </c>
      <c r="Q356" s="128">
        <f t="shared" si="12"/>
        <v>0</v>
      </c>
    </row>
    <row r="357" spans="1:17" x14ac:dyDescent="0.2">
      <c r="A357" s="23" t="s">
        <v>104</v>
      </c>
      <c r="B357">
        <v>9</v>
      </c>
      <c r="C357" s="23" t="s">
        <v>111</v>
      </c>
      <c r="D357">
        <v>910</v>
      </c>
      <c r="E357" s="132">
        <v>0</v>
      </c>
      <c r="F357" s="132">
        <v>0</v>
      </c>
      <c r="G357" s="132">
        <v>0</v>
      </c>
      <c r="H357" s="132">
        <v>0</v>
      </c>
      <c r="I357" s="132">
        <v>0</v>
      </c>
      <c r="J357" s="132">
        <v>0</v>
      </c>
      <c r="K357" s="132">
        <v>0</v>
      </c>
      <c r="L357" s="132">
        <v>0</v>
      </c>
      <c r="M357" s="132">
        <v>0</v>
      </c>
      <c r="N357" s="132">
        <v>0</v>
      </c>
      <c r="O357" s="132">
        <v>0</v>
      </c>
      <c r="P357" s="132">
        <v>0</v>
      </c>
      <c r="Q357" s="128">
        <f t="shared" si="12"/>
        <v>0</v>
      </c>
    </row>
    <row r="358" spans="1:17" x14ac:dyDescent="0.2">
      <c r="A358" s="23" t="s">
        <v>104</v>
      </c>
      <c r="B358">
        <v>9</v>
      </c>
      <c r="C358" s="23" t="s">
        <v>111</v>
      </c>
      <c r="D358">
        <v>911</v>
      </c>
      <c r="E358" s="132">
        <v>0</v>
      </c>
      <c r="F358" s="132">
        <v>0</v>
      </c>
      <c r="G358" s="132">
        <v>0</v>
      </c>
      <c r="H358" s="132">
        <v>0</v>
      </c>
      <c r="I358" s="132">
        <v>0</v>
      </c>
      <c r="J358" s="132">
        <v>0</v>
      </c>
      <c r="K358" s="132">
        <v>0</v>
      </c>
      <c r="L358" s="132">
        <v>0</v>
      </c>
      <c r="M358" s="132">
        <v>0</v>
      </c>
      <c r="N358" s="132">
        <v>0</v>
      </c>
      <c r="O358" s="132">
        <v>0</v>
      </c>
      <c r="P358" s="132">
        <v>0</v>
      </c>
      <c r="Q358" s="128">
        <f t="shared" si="12"/>
        <v>0</v>
      </c>
    </row>
    <row r="359" spans="1:17" x14ac:dyDescent="0.2">
      <c r="A359" s="23" t="s">
        <v>104</v>
      </c>
      <c r="B359">
        <v>9</v>
      </c>
      <c r="C359" s="23" t="s">
        <v>111</v>
      </c>
      <c r="D359">
        <v>912</v>
      </c>
      <c r="E359" s="132">
        <v>0</v>
      </c>
      <c r="F359" s="132">
        <v>0</v>
      </c>
      <c r="G359" s="132">
        <v>0</v>
      </c>
      <c r="H359" s="132">
        <v>0</v>
      </c>
      <c r="I359" s="132">
        <v>0</v>
      </c>
      <c r="J359" s="132">
        <v>0</v>
      </c>
      <c r="K359" s="132">
        <v>0</v>
      </c>
      <c r="L359" s="132">
        <v>0</v>
      </c>
      <c r="M359" s="132">
        <v>0</v>
      </c>
      <c r="N359" s="132">
        <v>0</v>
      </c>
      <c r="O359" s="132">
        <v>0</v>
      </c>
      <c r="P359" s="132">
        <v>0</v>
      </c>
      <c r="Q359" s="128">
        <f t="shared" si="12"/>
        <v>0</v>
      </c>
    </row>
    <row r="360" spans="1:17" x14ac:dyDescent="0.2">
      <c r="A360" s="23" t="s">
        <v>104</v>
      </c>
      <c r="B360">
        <v>9</v>
      </c>
      <c r="C360" s="23" t="s">
        <v>111</v>
      </c>
      <c r="D360">
        <v>913</v>
      </c>
      <c r="E360" s="132">
        <v>0</v>
      </c>
      <c r="F360" s="132">
        <v>0</v>
      </c>
      <c r="G360" s="132">
        <v>0</v>
      </c>
      <c r="H360" s="132">
        <v>0</v>
      </c>
      <c r="I360" s="132">
        <v>0</v>
      </c>
      <c r="J360" s="132">
        <v>0</v>
      </c>
      <c r="K360" s="132">
        <v>0</v>
      </c>
      <c r="L360" s="132">
        <v>0</v>
      </c>
      <c r="M360" s="132">
        <v>0</v>
      </c>
      <c r="N360" s="132">
        <v>0</v>
      </c>
      <c r="O360" s="132">
        <v>0</v>
      </c>
      <c r="P360" s="132">
        <v>0</v>
      </c>
      <c r="Q360" s="128">
        <f t="shared" si="12"/>
        <v>0</v>
      </c>
    </row>
    <row r="361" spans="1:17" x14ac:dyDescent="0.2">
      <c r="A361" s="23" t="s">
        <v>104</v>
      </c>
      <c r="B361">
        <v>9</v>
      </c>
      <c r="C361" s="23" t="s">
        <v>111</v>
      </c>
      <c r="D361">
        <v>914</v>
      </c>
      <c r="E361" s="132">
        <v>0</v>
      </c>
      <c r="F361" s="132">
        <v>0</v>
      </c>
      <c r="G361" s="132">
        <v>0</v>
      </c>
      <c r="H361" s="132">
        <v>0</v>
      </c>
      <c r="I361" s="132">
        <v>0</v>
      </c>
      <c r="J361" s="132">
        <v>0</v>
      </c>
      <c r="K361" s="132">
        <v>0</v>
      </c>
      <c r="L361" s="132">
        <v>0</v>
      </c>
      <c r="M361" s="132">
        <v>0</v>
      </c>
      <c r="N361" s="132">
        <v>0</v>
      </c>
      <c r="O361" s="132">
        <v>0</v>
      </c>
      <c r="P361" s="132">
        <v>0</v>
      </c>
      <c r="Q361" s="128">
        <f t="shared" si="12"/>
        <v>0</v>
      </c>
    </row>
    <row r="362" spans="1:17" x14ac:dyDescent="0.2">
      <c r="A362" s="23" t="s">
        <v>104</v>
      </c>
      <c r="B362">
        <v>9</v>
      </c>
      <c r="C362" s="23" t="s">
        <v>111</v>
      </c>
      <c r="D362">
        <v>915</v>
      </c>
      <c r="E362" s="132">
        <v>0</v>
      </c>
      <c r="F362" s="132">
        <v>0</v>
      </c>
      <c r="G362" s="132">
        <v>0</v>
      </c>
      <c r="H362" s="132">
        <v>0</v>
      </c>
      <c r="I362" s="132">
        <v>0</v>
      </c>
      <c r="J362" s="132">
        <v>0</v>
      </c>
      <c r="K362" s="132">
        <v>0</v>
      </c>
      <c r="L362" s="132">
        <v>0</v>
      </c>
      <c r="M362" s="132">
        <v>0</v>
      </c>
      <c r="N362" s="132">
        <v>0</v>
      </c>
      <c r="O362" s="132">
        <v>0</v>
      </c>
      <c r="P362" s="132">
        <v>0</v>
      </c>
      <c r="Q362" s="128">
        <f t="shared" si="12"/>
        <v>0</v>
      </c>
    </row>
    <row r="363" spans="1:17" x14ac:dyDescent="0.2">
      <c r="A363" s="23" t="s">
        <v>104</v>
      </c>
      <c r="B363">
        <v>9</v>
      </c>
      <c r="C363" s="23" t="s">
        <v>111</v>
      </c>
      <c r="D363">
        <v>916</v>
      </c>
      <c r="E363" s="132">
        <v>0</v>
      </c>
      <c r="F363" s="132">
        <v>0</v>
      </c>
      <c r="G363" s="132">
        <v>0</v>
      </c>
      <c r="H363" s="132">
        <v>0</v>
      </c>
      <c r="I363" s="132">
        <v>0</v>
      </c>
      <c r="J363" s="132">
        <v>0</v>
      </c>
      <c r="K363" s="132">
        <v>0</v>
      </c>
      <c r="L363" s="132">
        <v>0</v>
      </c>
      <c r="M363" s="132">
        <v>0</v>
      </c>
      <c r="N363" s="132">
        <v>0</v>
      </c>
      <c r="O363" s="132">
        <v>0</v>
      </c>
      <c r="P363" s="132">
        <v>0</v>
      </c>
      <c r="Q363" s="128">
        <f t="shared" si="12"/>
        <v>0</v>
      </c>
    </row>
    <row r="364" spans="1:17" x14ac:dyDescent="0.2">
      <c r="A364" s="23" t="s">
        <v>104</v>
      </c>
      <c r="B364">
        <v>9</v>
      </c>
      <c r="C364" s="23" t="s">
        <v>111</v>
      </c>
      <c r="D364">
        <v>917</v>
      </c>
      <c r="E364" s="132">
        <v>0</v>
      </c>
      <c r="F364" s="132">
        <v>0</v>
      </c>
      <c r="G364" s="132">
        <v>0</v>
      </c>
      <c r="H364" s="132">
        <v>0</v>
      </c>
      <c r="I364" s="132">
        <v>0</v>
      </c>
      <c r="J364" s="132">
        <v>0</v>
      </c>
      <c r="K364" s="132">
        <v>0</v>
      </c>
      <c r="L364" s="132">
        <v>0</v>
      </c>
      <c r="M364" s="132">
        <v>0</v>
      </c>
      <c r="N364" s="132">
        <v>0</v>
      </c>
      <c r="O364" s="132">
        <v>0</v>
      </c>
      <c r="P364" s="132">
        <v>0</v>
      </c>
      <c r="Q364" s="128">
        <f t="shared" si="12"/>
        <v>0</v>
      </c>
    </row>
    <row r="365" spans="1:17" x14ac:dyDescent="0.2">
      <c r="A365" s="23" t="s">
        <v>104</v>
      </c>
      <c r="B365">
        <v>9</v>
      </c>
      <c r="C365" s="23" t="s">
        <v>111</v>
      </c>
      <c r="D365">
        <v>918</v>
      </c>
      <c r="E365" s="132">
        <v>0</v>
      </c>
      <c r="F365" s="132">
        <v>0</v>
      </c>
      <c r="G365" s="132">
        <v>0</v>
      </c>
      <c r="H365" s="132">
        <v>0</v>
      </c>
      <c r="I365" s="132">
        <v>0</v>
      </c>
      <c r="J365" s="132">
        <v>0</v>
      </c>
      <c r="K365" s="132">
        <v>0</v>
      </c>
      <c r="L365" s="132">
        <v>0</v>
      </c>
      <c r="M365" s="132">
        <v>0</v>
      </c>
      <c r="N365" s="132">
        <v>0</v>
      </c>
      <c r="O365" s="132">
        <v>0</v>
      </c>
      <c r="P365" s="132">
        <v>0</v>
      </c>
      <c r="Q365" s="128">
        <f t="shared" si="12"/>
        <v>0</v>
      </c>
    </row>
    <row r="366" spans="1:17" x14ac:dyDescent="0.2">
      <c r="A366" s="23" t="s">
        <v>104</v>
      </c>
      <c r="B366">
        <v>9</v>
      </c>
      <c r="C366" s="23" t="s">
        <v>111</v>
      </c>
      <c r="D366">
        <v>919</v>
      </c>
      <c r="E366" s="132">
        <v>0</v>
      </c>
      <c r="F366" s="132">
        <v>0</v>
      </c>
      <c r="G366" s="132">
        <v>0</v>
      </c>
      <c r="H366" s="132">
        <v>0</v>
      </c>
      <c r="I366" s="132">
        <v>0</v>
      </c>
      <c r="J366" s="132">
        <v>0</v>
      </c>
      <c r="K366" s="132">
        <v>0</v>
      </c>
      <c r="L366" s="132">
        <v>0</v>
      </c>
      <c r="M366" s="132">
        <v>0</v>
      </c>
      <c r="N366" s="132">
        <v>0</v>
      </c>
      <c r="O366" s="132">
        <v>0</v>
      </c>
      <c r="P366" s="132">
        <v>0</v>
      </c>
      <c r="Q366" s="128">
        <f t="shared" si="12"/>
        <v>0</v>
      </c>
    </row>
    <row r="367" spans="1:17" x14ac:dyDescent="0.2">
      <c r="A367" s="23" t="s">
        <v>104</v>
      </c>
      <c r="B367">
        <v>9</v>
      </c>
      <c r="C367" s="23" t="s">
        <v>111</v>
      </c>
      <c r="D367">
        <v>920</v>
      </c>
      <c r="E367" s="132">
        <v>0</v>
      </c>
      <c r="F367" s="132">
        <v>0</v>
      </c>
      <c r="G367" s="132">
        <v>0</v>
      </c>
      <c r="H367" s="132">
        <v>0</v>
      </c>
      <c r="I367" s="132">
        <v>0</v>
      </c>
      <c r="J367" s="132">
        <v>0</v>
      </c>
      <c r="K367" s="132">
        <v>0</v>
      </c>
      <c r="L367" s="132">
        <v>0</v>
      </c>
      <c r="M367" s="132">
        <v>0</v>
      </c>
      <c r="N367" s="132">
        <v>0</v>
      </c>
      <c r="O367" s="132">
        <v>0</v>
      </c>
      <c r="P367" s="132">
        <v>0</v>
      </c>
      <c r="Q367" s="128">
        <f t="shared" si="12"/>
        <v>0</v>
      </c>
    </row>
    <row r="368" spans="1:17" x14ac:dyDescent="0.2">
      <c r="A368" s="23" t="s">
        <v>104</v>
      </c>
      <c r="B368">
        <v>9</v>
      </c>
      <c r="C368" s="23" t="s">
        <v>111</v>
      </c>
      <c r="D368">
        <v>921</v>
      </c>
      <c r="E368" s="132">
        <v>0</v>
      </c>
      <c r="F368" s="132">
        <v>0</v>
      </c>
      <c r="G368" s="132">
        <v>0</v>
      </c>
      <c r="H368" s="132">
        <v>0</v>
      </c>
      <c r="I368" s="132">
        <v>0</v>
      </c>
      <c r="J368" s="132">
        <v>0</v>
      </c>
      <c r="K368" s="132">
        <v>0</v>
      </c>
      <c r="L368" s="132">
        <v>0</v>
      </c>
      <c r="M368" s="132">
        <v>0</v>
      </c>
      <c r="N368" s="132">
        <v>0</v>
      </c>
      <c r="O368" s="132">
        <v>0</v>
      </c>
      <c r="P368" s="132">
        <v>0</v>
      </c>
      <c r="Q368" s="128">
        <f t="shared" si="12"/>
        <v>0</v>
      </c>
    </row>
    <row r="369" spans="1:17" x14ac:dyDescent="0.2">
      <c r="A369" s="23"/>
      <c r="C369" s="23"/>
      <c r="E369" s="132"/>
      <c r="F369" s="132">
        <f t="shared" ref="F369:P369" si="14">AVERAGE(F328:F368)</f>
        <v>0</v>
      </c>
      <c r="G369" s="132">
        <f t="shared" si="14"/>
        <v>0</v>
      </c>
      <c r="H369" s="132">
        <f t="shared" si="14"/>
        <v>0</v>
      </c>
      <c r="I369" s="132">
        <f t="shared" si="14"/>
        <v>0</v>
      </c>
      <c r="J369" s="132">
        <f t="shared" si="14"/>
        <v>0</v>
      </c>
      <c r="K369" s="132">
        <f t="shared" si="14"/>
        <v>0</v>
      </c>
      <c r="L369" s="132">
        <f t="shared" si="14"/>
        <v>0</v>
      </c>
      <c r="M369" s="132">
        <f t="shared" si="14"/>
        <v>0</v>
      </c>
      <c r="N369" s="132">
        <f t="shared" si="14"/>
        <v>0</v>
      </c>
      <c r="O369" s="132">
        <f t="shared" si="14"/>
        <v>0</v>
      </c>
      <c r="P369" s="132">
        <f t="shared" si="14"/>
        <v>0</v>
      </c>
      <c r="Q369" s="128">
        <f t="shared" si="12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/>
  </sheetPr>
  <dimension ref="B1:Y383"/>
  <sheetViews>
    <sheetView workbookViewId="0"/>
  </sheetViews>
  <sheetFormatPr baseColWidth="10" defaultColWidth="10.7109375" defaultRowHeight="15" x14ac:dyDescent="0.2"/>
  <cols>
    <col min="4" max="4" width="9.7109375" style="96" customWidth="1"/>
  </cols>
  <sheetData>
    <row r="1" spans="2:25" s="95" customFormat="1" ht="231" customHeight="1" x14ac:dyDescent="0.2">
      <c r="B1" s="109" t="s">
        <v>107</v>
      </c>
      <c r="C1" s="109" t="s">
        <v>108</v>
      </c>
      <c r="D1" s="109" t="s">
        <v>109</v>
      </c>
      <c r="E1" s="106" t="s">
        <v>114</v>
      </c>
      <c r="F1" s="106" t="s">
        <v>24</v>
      </c>
      <c r="G1" s="106" t="s">
        <v>23</v>
      </c>
      <c r="H1" s="106" t="s">
        <v>29</v>
      </c>
      <c r="I1" s="106" t="s">
        <v>115</v>
      </c>
      <c r="J1" s="106" t="s">
        <v>116</v>
      </c>
      <c r="K1" s="106" t="s">
        <v>117</v>
      </c>
      <c r="L1" s="106" t="s">
        <v>118</v>
      </c>
      <c r="M1" s="106" t="s">
        <v>119</v>
      </c>
      <c r="N1" s="106" t="s">
        <v>120</v>
      </c>
      <c r="O1" s="106" t="s">
        <v>121</v>
      </c>
      <c r="P1" s="106" t="s">
        <v>122</v>
      </c>
      <c r="Q1" s="106" t="s">
        <v>123</v>
      </c>
      <c r="R1" s="106" t="s">
        <v>124</v>
      </c>
      <c r="S1" s="106" t="s">
        <v>125</v>
      </c>
      <c r="T1" s="106" t="s">
        <v>126</v>
      </c>
      <c r="U1" s="106" t="s">
        <v>127</v>
      </c>
      <c r="V1" s="106" t="s">
        <v>128</v>
      </c>
      <c r="W1" s="106" t="s">
        <v>129</v>
      </c>
      <c r="X1" s="106" t="s">
        <v>130</v>
      </c>
      <c r="Y1" s="94"/>
    </row>
    <row r="2" spans="2:25" ht="15.75" customHeight="1" x14ac:dyDescent="0.25">
      <c r="B2">
        <v>1</v>
      </c>
      <c r="C2" t="s">
        <v>111</v>
      </c>
      <c r="D2" s="97">
        <v>102</v>
      </c>
      <c r="E2" s="110">
        <f>FASE1!G2</f>
        <v>100</v>
      </c>
      <c r="F2" s="110">
        <f>FASE1!M2</f>
        <v>100</v>
      </c>
      <c r="G2" s="110">
        <f>FASE1!L2</f>
        <v>100</v>
      </c>
      <c r="H2" s="110">
        <f>FASE1!R2</f>
        <v>95</v>
      </c>
      <c r="I2" s="110">
        <f>FASE1!U2</f>
        <v>90</v>
      </c>
      <c r="J2" s="110">
        <f>FASE1!U2</f>
        <v>90</v>
      </c>
      <c r="K2" s="110">
        <f>FASE1!P2</f>
        <v>50</v>
      </c>
      <c r="L2" s="110">
        <f>FASE1!V2</f>
        <v>95</v>
      </c>
      <c r="M2" s="110">
        <f>AVERAGE(FASE2!F2:G2)</f>
        <v>0</v>
      </c>
      <c r="N2" s="110">
        <f>AVERAGE(FASE2!O2:P2,FASE2!S2)</f>
        <v>0.73333333333333339</v>
      </c>
      <c r="O2" s="110">
        <f>FASE4!K2</f>
        <v>0</v>
      </c>
      <c r="P2" s="110">
        <f>FASE2!N2</f>
        <v>0.95</v>
      </c>
      <c r="Q2" s="110">
        <f>FASE3!P2</f>
        <v>0</v>
      </c>
      <c r="R2" s="110">
        <f>FASE3!N2</f>
        <v>0.8</v>
      </c>
      <c r="S2" s="110">
        <f>AVERAGE(FASE3!Q2,FASE3!R2,FASE3!T2,FASE3!S2)</f>
        <v>0.1125</v>
      </c>
      <c r="T2" s="110">
        <f>AVERAGE(FASE3!U2,FASE3!V2,FASE3!W2)</f>
        <v>0</v>
      </c>
      <c r="U2" s="110">
        <f>FASE3!Y2</f>
        <v>0</v>
      </c>
      <c r="V2" s="110">
        <f>FASE3!X2</f>
        <v>0</v>
      </c>
      <c r="W2" s="110">
        <f>FASE4!M2</f>
        <v>0</v>
      </c>
      <c r="X2" s="110">
        <f t="shared" ref="X2:X65" si="0">AVERAGE(E2:V2)</f>
        <v>40.14421296296296</v>
      </c>
    </row>
    <row r="3" spans="2:25" ht="15.75" customHeight="1" x14ac:dyDescent="0.25">
      <c r="B3">
        <v>1</v>
      </c>
      <c r="C3" t="s">
        <v>111</v>
      </c>
      <c r="D3" s="97">
        <v>103</v>
      </c>
      <c r="E3" s="110">
        <f>FASE1!G3</f>
        <v>100</v>
      </c>
      <c r="F3" s="110">
        <f>FASE1!M3</f>
        <v>100</v>
      </c>
      <c r="G3" s="110">
        <f>FASE1!L3</f>
        <v>100</v>
      </c>
      <c r="H3" s="110">
        <f>FASE1!R3</f>
        <v>95</v>
      </c>
      <c r="I3" s="110">
        <f>FASE1!U3</f>
        <v>90</v>
      </c>
      <c r="J3" s="110">
        <f>FASE1!U3</f>
        <v>90</v>
      </c>
      <c r="K3" s="110">
        <f>FASE1!P3</f>
        <v>100</v>
      </c>
      <c r="L3" s="110">
        <f>FASE1!V3</f>
        <v>95</v>
      </c>
      <c r="M3" s="110">
        <f>AVERAGE(FASE2!F3:G3)</f>
        <v>0</v>
      </c>
      <c r="N3" s="110">
        <f>AVERAGE(FASE2!O3:P3,FASE2!S3)</f>
        <v>0.96666666666666667</v>
      </c>
      <c r="O3" s="110">
        <f>FASE4!K3</f>
        <v>0</v>
      </c>
      <c r="P3" s="110">
        <f>FASE2!N3</f>
        <v>0.95</v>
      </c>
      <c r="Q3" s="110">
        <f>FASE3!P3</f>
        <v>0</v>
      </c>
      <c r="R3" s="110">
        <f>FASE3!N3</f>
        <v>0.9</v>
      </c>
      <c r="S3" s="110">
        <f>AVERAGE(FASE3!Q3,FASE3!R3,FASE3!T3,FASE3!S3)</f>
        <v>7.4999999999999997E-2</v>
      </c>
      <c r="T3" s="110">
        <f>AVERAGE(FASE3!U3,FASE3!V3,FASE3!W3)</f>
        <v>0</v>
      </c>
      <c r="U3" s="110">
        <f>FASE3!Y3</f>
        <v>0</v>
      </c>
      <c r="V3" s="110">
        <f>FASE3!X3</f>
        <v>0</v>
      </c>
      <c r="W3" s="110">
        <f>FASE4!M3</f>
        <v>0</v>
      </c>
      <c r="X3" s="110">
        <f t="shared" si="0"/>
        <v>42.938425925925934</v>
      </c>
    </row>
    <row r="4" spans="2:25" ht="15.75" customHeight="1" x14ac:dyDescent="0.25">
      <c r="B4">
        <v>1</v>
      </c>
      <c r="C4" t="s">
        <v>111</v>
      </c>
      <c r="D4" s="97">
        <v>104</v>
      </c>
      <c r="E4" s="110">
        <f>FASE1!G4</f>
        <v>100</v>
      </c>
      <c r="F4" s="110">
        <f>FASE1!M4</f>
        <v>100</v>
      </c>
      <c r="G4" s="110">
        <f>FASE1!L4</f>
        <v>100</v>
      </c>
      <c r="H4" s="110">
        <f>FASE1!R4</f>
        <v>90</v>
      </c>
      <c r="I4" s="110">
        <f>FASE1!U4</f>
        <v>90</v>
      </c>
      <c r="J4" s="110">
        <f>FASE1!U4</f>
        <v>90</v>
      </c>
      <c r="K4" s="110">
        <f>FASE1!P4</f>
        <v>50</v>
      </c>
      <c r="L4" s="110">
        <f>FASE1!V4</f>
        <v>95</v>
      </c>
      <c r="M4" s="110">
        <f>AVERAGE(FASE2!F4:G4)</f>
        <v>0</v>
      </c>
      <c r="N4" s="110">
        <f>AVERAGE(FASE2!O4:P4,FASE2!S4)</f>
        <v>0.96666666666666667</v>
      </c>
      <c r="O4" s="110">
        <f>FASE4!K4</f>
        <v>0</v>
      </c>
      <c r="P4" s="110">
        <f>FASE2!N4</f>
        <v>0.95</v>
      </c>
      <c r="Q4" s="110">
        <f>FASE3!P4</f>
        <v>0</v>
      </c>
      <c r="R4" s="110">
        <f>FASE3!N4</f>
        <v>0.9</v>
      </c>
      <c r="S4" s="110">
        <f>AVERAGE(FASE3!Q4,FASE3!R4,FASE3!T4,FASE3!S4)</f>
        <v>7.4999999999999997E-2</v>
      </c>
      <c r="T4" s="110">
        <f>AVERAGE(FASE3!U4,FASE3!V4,FASE3!W4)</f>
        <v>0</v>
      </c>
      <c r="U4" s="110">
        <f>FASE3!Y4</f>
        <v>0</v>
      </c>
      <c r="V4" s="110">
        <f>FASE3!X4</f>
        <v>0</v>
      </c>
      <c r="W4" s="110">
        <f>FASE4!M4</f>
        <v>0</v>
      </c>
      <c r="X4" s="110">
        <f t="shared" si="0"/>
        <v>39.882870370370377</v>
      </c>
    </row>
    <row r="5" spans="2:25" ht="15.75" customHeight="1" x14ac:dyDescent="0.25">
      <c r="B5">
        <v>1</v>
      </c>
      <c r="C5" t="s">
        <v>111</v>
      </c>
      <c r="D5" s="97">
        <v>105</v>
      </c>
      <c r="E5" s="110">
        <f>FASE1!G5</f>
        <v>100</v>
      </c>
      <c r="F5" s="110">
        <f>FASE1!M5</f>
        <v>100</v>
      </c>
      <c r="G5" s="110">
        <f>FASE1!L5</f>
        <v>100</v>
      </c>
      <c r="H5" s="110">
        <f>FASE1!R5</f>
        <v>95</v>
      </c>
      <c r="I5" s="110">
        <f>FASE1!U5</f>
        <v>90</v>
      </c>
      <c r="J5" s="110">
        <f>FASE1!U5</f>
        <v>90</v>
      </c>
      <c r="K5" s="110">
        <f>FASE1!P5</f>
        <v>90</v>
      </c>
      <c r="L5" s="110">
        <f>FASE1!V5</f>
        <v>95</v>
      </c>
      <c r="M5" s="110">
        <f>AVERAGE(FASE2!F5:G5)</f>
        <v>0</v>
      </c>
      <c r="N5" s="110">
        <f>AVERAGE(FASE2!O5:P5,FASE2!S5)</f>
        <v>0.94999999999999984</v>
      </c>
      <c r="O5" s="110">
        <f>FASE4!K5</f>
        <v>0</v>
      </c>
      <c r="P5" s="110">
        <f>FASE2!N5</f>
        <v>0.95</v>
      </c>
      <c r="Q5" s="110">
        <f>FASE3!P5</f>
        <v>0</v>
      </c>
      <c r="R5" s="110">
        <f>FASE3!N5</f>
        <v>0.9</v>
      </c>
      <c r="S5" s="110">
        <f>AVERAGE(FASE3!Q5,FASE3!R5,FASE3!T5,FASE3!S5)</f>
        <v>7.4999999999999997E-2</v>
      </c>
      <c r="T5" s="110">
        <f>AVERAGE(FASE3!U5,FASE3!V5,FASE3!W5)</f>
        <v>0</v>
      </c>
      <c r="U5" s="110">
        <f>FASE3!Y5</f>
        <v>0</v>
      </c>
      <c r="V5" s="110">
        <f>FASE3!X5</f>
        <v>0</v>
      </c>
      <c r="W5" s="110">
        <f>FASE4!M5</f>
        <v>0</v>
      </c>
      <c r="X5" s="110">
        <f t="shared" si="0"/>
        <v>42.38194444444445</v>
      </c>
    </row>
    <row r="6" spans="2:25" ht="15.75" customHeight="1" x14ac:dyDescent="0.25">
      <c r="B6">
        <v>1</v>
      </c>
      <c r="C6" t="s">
        <v>111</v>
      </c>
      <c r="D6" s="97">
        <v>106</v>
      </c>
      <c r="E6" s="110">
        <f>FASE1!G6</f>
        <v>100</v>
      </c>
      <c r="F6" s="110">
        <f>FASE1!M6</f>
        <v>100</v>
      </c>
      <c r="G6" s="110">
        <f>FASE1!L6</f>
        <v>100</v>
      </c>
      <c r="H6" s="110">
        <f>FASE1!R6</f>
        <v>95</v>
      </c>
      <c r="I6" s="110">
        <f>FASE1!U6</f>
        <v>95</v>
      </c>
      <c r="J6" s="110">
        <f>FASE1!U6</f>
        <v>95</v>
      </c>
      <c r="K6" s="110">
        <f>FASE1!P6</f>
        <v>90</v>
      </c>
      <c r="L6" s="110">
        <f>FASE1!V6</f>
        <v>95</v>
      </c>
      <c r="M6" s="110">
        <f>AVERAGE(FASE2!F6:G6)</f>
        <v>0</v>
      </c>
      <c r="N6" s="110">
        <f>AVERAGE(FASE2!O6:P6,FASE2!S6)</f>
        <v>0.94999999999999984</v>
      </c>
      <c r="O6" s="110">
        <f>FASE4!K6</f>
        <v>0</v>
      </c>
      <c r="P6" s="110">
        <f>FASE2!N6</f>
        <v>0.95</v>
      </c>
      <c r="Q6" s="110">
        <f>FASE3!P6</f>
        <v>0</v>
      </c>
      <c r="R6" s="110">
        <f>FASE3!N6</f>
        <v>0.9</v>
      </c>
      <c r="S6" s="110">
        <f>AVERAGE(FASE3!Q6,FASE3!R6,FASE3!T6,FASE3!S6)</f>
        <v>7.4999999999999997E-2</v>
      </c>
      <c r="T6" s="110">
        <f>AVERAGE(FASE3!U6,FASE3!V6,FASE3!W6)</f>
        <v>0</v>
      </c>
      <c r="U6" s="110">
        <f>FASE3!Y6</f>
        <v>0</v>
      </c>
      <c r="V6" s="110">
        <f>FASE3!X6</f>
        <v>0</v>
      </c>
      <c r="W6" s="110">
        <f>FASE4!M6</f>
        <v>0</v>
      </c>
      <c r="X6" s="110">
        <f t="shared" si="0"/>
        <v>42.937500000000007</v>
      </c>
    </row>
    <row r="7" spans="2:25" ht="15.75" customHeight="1" x14ac:dyDescent="0.25">
      <c r="B7">
        <v>1</v>
      </c>
      <c r="C7" t="s">
        <v>111</v>
      </c>
      <c r="D7" s="97">
        <v>107</v>
      </c>
      <c r="E7" s="110">
        <f>FASE1!G7</f>
        <v>100</v>
      </c>
      <c r="F7" s="110">
        <f>FASE1!M7</f>
        <v>100</v>
      </c>
      <c r="G7" s="110">
        <f>FASE1!L7</f>
        <v>100</v>
      </c>
      <c r="H7" s="110">
        <f>FASE1!R7</f>
        <v>95</v>
      </c>
      <c r="I7" s="110">
        <f>FASE1!U7</f>
        <v>95</v>
      </c>
      <c r="J7" s="110">
        <f>FASE1!U7</f>
        <v>95</v>
      </c>
      <c r="K7" s="110">
        <f>FASE1!P7</f>
        <v>90</v>
      </c>
      <c r="L7" s="110">
        <f>FASE1!V7</f>
        <v>95</v>
      </c>
      <c r="M7" s="110">
        <f>AVERAGE(FASE2!F7:G7)</f>
        <v>0</v>
      </c>
      <c r="N7" s="110">
        <f>AVERAGE(FASE2!O7:P7,FASE2!S7)</f>
        <v>0.94999999999999984</v>
      </c>
      <c r="O7" s="110">
        <f>FASE4!K7</f>
        <v>0</v>
      </c>
      <c r="P7" s="110">
        <f>FASE2!N7</f>
        <v>0.95</v>
      </c>
      <c r="Q7" s="110">
        <f>FASE3!P7</f>
        <v>0</v>
      </c>
      <c r="R7" s="110">
        <f>FASE3!N7</f>
        <v>0.8</v>
      </c>
      <c r="S7" s="110">
        <f>AVERAGE(FASE3!Q7,FASE3!R7,FASE3!T7,FASE3!S7)</f>
        <v>7.4999999999999997E-2</v>
      </c>
      <c r="T7" s="110">
        <f>AVERAGE(FASE3!U7,FASE3!V7,FASE3!W7)</f>
        <v>0</v>
      </c>
      <c r="U7" s="110">
        <f>FASE3!Y7</f>
        <v>0</v>
      </c>
      <c r="V7" s="110">
        <f>FASE3!X7</f>
        <v>0</v>
      </c>
      <c r="W7" s="110">
        <f>FASE4!M7</f>
        <v>0</v>
      </c>
      <c r="X7" s="110">
        <f t="shared" si="0"/>
        <v>42.931944444444447</v>
      </c>
    </row>
    <row r="8" spans="2:25" ht="15.75" customHeight="1" x14ac:dyDescent="0.25">
      <c r="B8">
        <v>1</v>
      </c>
      <c r="C8" t="s">
        <v>111</v>
      </c>
      <c r="D8" s="97">
        <v>108</v>
      </c>
      <c r="E8" s="110">
        <f>FASE1!G8</f>
        <v>100</v>
      </c>
      <c r="F8" s="110">
        <f>FASE1!M8</f>
        <v>100</v>
      </c>
      <c r="G8" s="110">
        <f>FASE1!L8</f>
        <v>100</v>
      </c>
      <c r="H8" s="110">
        <f>FASE1!R8</f>
        <v>90</v>
      </c>
      <c r="I8" s="110">
        <f>FASE1!U8</f>
        <v>90</v>
      </c>
      <c r="J8" s="110">
        <f>FASE1!U8</f>
        <v>90</v>
      </c>
      <c r="K8" s="110">
        <f>FASE1!P8</f>
        <v>95</v>
      </c>
      <c r="L8" s="110">
        <f>FASE1!V8</f>
        <v>55</v>
      </c>
      <c r="M8" s="110">
        <f>AVERAGE(FASE2!F8:G8)</f>
        <v>0</v>
      </c>
      <c r="N8" s="110">
        <f>AVERAGE(FASE2!O8:P8,FASE2!S8)</f>
        <v>0.58333333333333337</v>
      </c>
      <c r="O8" s="110">
        <f>FASE4!K8</f>
        <v>0</v>
      </c>
      <c r="P8" s="110">
        <f>FASE2!N8</f>
        <v>0.95</v>
      </c>
      <c r="Q8" s="110">
        <f>FASE3!P8</f>
        <v>0</v>
      </c>
      <c r="R8" s="110">
        <f>FASE3!N8</f>
        <v>0.8</v>
      </c>
      <c r="S8" s="110">
        <f>AVERAGE(FASE3!Q8,FASE3!R8,FASE3!T8,FASE3!S8)</f>
        <v>7.4999999999999997E-2</v>
      </c>
      <c r="T8" s="110">
        <f>AVERAGE(FASE3!U8,FASE3!V8,FASE3!W8)</f>
        <v>0</v>
      </c>
      <c r="U8" s="110">
        <f>FASE3!Y8</f>
        <v>0</v>
      </c>
      <c r="V8" s="110">
        <f>FASE3!X8</f>
        <v>0</v>
      </c>
      <c r="W8" s="110">
        <f>FASE4!M8</f>
        <v>0</v>
      </c>
      <c r="X8" s="110">
        <f t="shared" si="0"/>
        <v>40.133796296296303</v>
      </c>
    </row>
    <row r="9" spans="2:25" ht="15.75" customHeight="1" x14ac:dyDescent="0.25">
      <c r="B9">
        <v>1</v>
      </c>
      <c r="C9" t="s">
        <v>111</v>
      </c>
      <c r="D9" s="97">
        <v>118</v>
      </c>
      <c r="E9" s="110">
        <f>FASE1!G9</f>
        <v>100</v>
      </c>
      <c r="F9" s="110">
        <f>FASE1!M9</f>
        <v>100</v>
      </c>
      <c r="G9" s="110">
        <f>FASE1!L9</f>
        <v>100</v>
      </c>
      <c r="H9" s="110">
        <f>FASE1!R9</f>
        <v>95</v>
      </c>
      <c r="I9" s="110">
        <f>FASE1!U9</f>
        <v>90</v>
      </c>
      <c r="J9" s="110">
        <f>FASE1!U9</f>
        <v>90</v>
      </c>
      <c r="K9" s="110">
        <f>FASE1!P9</f>
        <v>90</v>
      </c>
      <c r="L9" s="110">
        <f>FASE1!V9</f>
        <v>90</v>
      </c>
      <c r="M9" s="110">
        <f>AVERAGE(FASE2!F9:G9)</f>
        <v>0</v>
      </c>
      <c r="N9" s="110">
        <f>AVERAGE(FASE2!O9:P9,FASE2!S9)</f>
        <v>3.3333333333333333E-2</v>
      </c>
      <c r="O9" s="110">
        <f>FASE4!K9</f>
        <v>0</v>
      </c>
      <c r="P9" s="110">
        <f>FASE2!N9</f>
        <v>0.95</v>
      </c>
      <c r="Q9" s="110">
        <f>FASE3!P9</f>
        <v>0</v>
      </c>
      <c r="R9" s="110">
        <f>FASE3!N9</f>
        <v>0.8</v>
      </c>
      <c r="S9" s="110">
        <f>AVERAGE(FASE3!Q9,FASE3!R9,FASE3!T9,FASE3!S9)</f>
        <v>0</v>
      </c>
      <c r="T9" s="110">
        <f>AVERAGE(FASE3!U9,FASE3!V9,FASE3!W9)</f>
        <v>0</v>
      </c>
      <c r="U9" s="110">
        <f>FASE3!Y9</f>
        <v>0</v>
      </c>
      <c r="V9" s="110">
        <f>FASE3!X9</f>
        <v>0</v>
      </c>
      <c r="W9" s="110">
        <f>FASE4!M9</f>
        <v>0</v>
      </c>
      <c r="X9" s="110">
        <f t="shared" si="0"/>
        <v>42.043518518518518</v>
      </c>
    </row>
    <row r="10" spans="2:25" ht="15.75" customHeight="1" x14ac:dyDescent="0.25">
      <c r="B10">
        <v>1</v>
      </c>
      <c r="C10" t="s">
        <v>111</v>
      </c>
      <c r="D10" s="97">
        <v>119</v>
      </c>
      <c r="E10" s="110">
        <f>FASE1!G10</f>
        <v>100</v>
      </c>
      <c r="F10" s="110">
        <f>FASE1!M10</f>
        <v>100</v>
      </c>
      <c r="G10" s="110">
        <f>FASE1!L10</f>
        <v>100</v>
      </c>
      <c r="H10" s="110">
        <f>FASE1!R10</f>
        <v>95</v>
      </c>
      <c r="I10" s="110">
        <f>FASE1!U10</f>
        <v>90</v>
      </c>
      <c r="J10" s="110">
        <f>FASE1!U10</f>
        <v>90</v>
      </c>
      <c r="K10" s="110">
        <f>FASE1!P10</f>
        <v>90</v>
      </c>
      <c r="L10" s="110">
        <f>FASE1!V10</f>
        <v>90</v>
      </c>
      <c r="M10" s="110">
        <f>AVERAGE(FASE2!F10:G10)</f>
        <v>0</v>
      </c>
      <c r="N10" s="110">
        <f>AVERAGE(FASE2!O10:P10,FASE2!S10)</f>
        <v>3.3333333333333333E-2</v>
      </c>
      <c r="O10" s="110">
        <f>FASE4!K10</f>
        <v>0</v>
      </c>
      <c r="P10" s="110">
        <f>FASE2!N10</f>
        <v>0.95</v>
      </c>
      <c r="Q10" s="110">
        <f>FASE3!P10</f>
        <v>0</v>
      </c>
      <c r="R10" s="110">
        <f>FASE3!N10</f>
        <v>0.8</v>
      </c>
      <c r="S10" s="110">
        <f>AVERAGE(FASE3!Q10,FASE3!R10,FASE3!T10,FASE3!S10)</f>
        <v>0</v>
      </c>
      <c r="T10" s="110">
        <f>AVERAGE(FASE3!U10,FASE3!V10,FASE3!W10)</f>
        <v>0</v>
      </c>
      <c r="U10" s="110">
        <f>FASE3!Y10</f>
        <v>0</v>
      </c>
      <c r="V10" s="110">
        <f>FASE3!X10</f>
        <v>0</v>
      </c>
      <c r="W10" s="110">
        <f>FASE4!M10</f>
        <v>0</v>
      </c>
      <c r="X10" s="110">
        <f t="shared" si="0"/>
        <v>42.043518518518518</v>
      </c>
    </row>
    <row r="11" spans="2:25" ht="15.75" customHeight="1" x14ac:dyDescent="0.25">
      <c r="B11">
        <v>1</v>
      </c>
      <c r="C11" t="s">
        <v>111</v>
      </c>
      <c r="D11" s="97">
        <v>120</v>
      </c>
      <c r="E11" s="110">
        <f>FASE1!G11</f>
        <v>100</v>
      </c>
      <c r="F11" s="110">
        <f>FASE1!M11</f>
        <v>100</v>
      </c>
      <c r="G11" s="110">
        <f>FASE1!L11</f>
        <v>100</v>
      </c>
      <c r="H11" s="110">
        <f>FASE1!R11</f>
        <v>100</v>
      </c>
      <c r="I11" s="110">
        <f>FASE1!U11</f>
        <v>100</v>
      </c>
      <c r="J11" s="110">
        <f>FASE1!U11</f>
        <v>100</v>
      </c>
      <c r="K11" s="110">
        <f>FASE1!P11</f>
        <v>100</v>
      </c>
      <c r="L11" s="110">
        <f>FASE1!V11</f>
        <v>100</v>
      </c>
      <c r="M11" s="110">
        <f>AVERAGE(FASE2!F11:G11)</f>
        <v>1</v>
      </c>
      <c r="N11" s="110">
        <f>AVERAGE(FASE2!O11:P11,FASE2!S11)</f>
        <v>1</v>
      </c>
      <c r="O11" s="110">
        <f>FASE4!K11</f>
        <v>0</v>
      </c>
      <c r="P11" s="110">
        <f>FASE2!N11</f>
        <v>1</v>
      </c>
      <c r="Q11" s="110">
        <f>FASE3!P11</f>
        <v>1</v>
      </c>
      <c r="R11" s="110">
        <f>FASE3!N11</f>
        <v>1</v>
      </c>
      <c r="S11" s="110">
        <f>AVERAGE(FASE3!Q11,FASE3!R11,FASE3!T11,FASE3!S11)</f>
        <v>1</v>
      </c>
      <c r="T11" s="110">
        <f>AVERAGE(FASE3!U11,FASE3!V11,FASE3!W11)</f>
        <v>1</v>
      </c>
      <c r="U11" s="110">
        <f>FASE3!Y11</f>
        <v>0</v>
      </c>
      <c r="V11" s="110">
        <f>FASE3!X11</f>
        <v>1</v>
      </c>
      <c r="W11" s="110">
        <f>FASE4!M11</f>
        <v>0</v>
      </c>
      <c r="X11" s="110">
        <f t="shared" si="0"/>
        <v>44.888888888888886</v>
      </c>
    </row>
    <row r="12" spans="2:25" ht="15.75" customHeight="1" x14ac:dyDescent="0.25">
      <c r="B12">
        <v>1</v>
      </c>
      <c r="C12" t="s">
        <v>111</v>
      </c>
      <c r="D12" s="97">
        <v>121</v>
      </c>
      <c r="E12" s="110">
        <f>FASE1!G12</f>
        <v>100</v>
      </c>
      <c r="F12" s="110">
        <f>FASE1!M12</f>
        <v>100</v>
      </c>
      <c r="G12" s="110">
        <f>FASE1!L12</f>
        <v>100</v>
      </c>
      <c r="H12" s="110">
        <f>FASE1!R12</f>
        <v>100</v>
      </c>
      <c r="I12" s="110">
        <f>FASE1!U12</f>
        <v>100</v>
      </c>
      <c r="J12" s="110">
        <f>FASE1!U12</f>
        <v>100</v>
      </c>
      <c r="K12" s="110">
        <f>FASE1!P12</f>
        <v>100</v>
      </c>
      <c r="L12" s="110">
        <f>FASE1!V12</f>
        <v>100</v>
      </c>
      <c r="M12" s="110">
        <f>AVERAGE(FASE2!F12:G12)</f>
        <v>1</v>
      </c>
      <c r="N12" s="110">
        <f>AVERAGE(FASE2!O12:P12,FASE2!S12)</f>
        <v>1</v>
      </c>
      <c r="O12" s="110">
        <f>FASE4!K12</f>
        <v>0</v>
      </c>
      <c r="P12" s="110">
        <f>FASE2!N12</f>
        <v>1</v>
      </c>
      <c r="Q12" s="110">
        <f>FASE3!P12</f>
        <v>1</v>
      </c>
      <c r="R12" s="110">
        <f>FASE3!N12</f>
        <v>1</v>
      </c>
      <c r="S12" s="110">
        <f>AVERAGE(FASE3!Q12,FASE3!R12,FASE3!T12,FASE3!S12)</f>
        <v>1</v>
      </c>
      <c r="T12" s="110">
        <f>AVERAGE(FASE3!U12,FASE3!V12,FASE3!W12)</f>
        <v>1</v>
      </c>
      <c r="U12" s="110">
        <f>FASE3!Y12</f>
        <v>0</v>
      </c>
      <c r="V12" s="110">
        <f>FASE3!X12</f>
        <v>1</v>
      </c>
      <c r="W12" s="110">
        <f>FASE4!M12</f>
        <v>0</v>
      </c>
      <c r="X12" s="110">
        <f t="shared" si="0"/>
        <v>44.888888888888886</v>
      </c>
    </row>
    <row r="13" spans="2:25" ht="15.75" customHeight="1" x14ac:dyDescent="0.25">
      <c r="B13">
        <v>1</v>
      </c>
      <c r="C13" t="s">
        <v>131</v>
      </c>
      <c r="D13" s="97" t="s">
        <v>132</v>
      </c>
      <c r="E13" s="110">
        <f>FASE1!G13</f>
        <v>100</v>
      </c>
      <c r="F13" s="110">
        <f>FASE1!M13</f>
        <v>100</v>
      </c>
      <c r="G13" s="110">
        <f>FASE1!L13</f>
        <v>100</v>
      </c>
      <c r="H13" s="110">
        <f>FASE1!R13</f>
        <v>95</v>
      </c>
      <c r="I13" s="110">
        <f>FASE1!U13</f>
        <v>92.727272727272734</v>
      </c>
      <c r="J13" s="110">
        <f>FASE1!U13</f>
        <v>92.727272727272734</v>
      </c>
      <c r="K13" s="110">
        <f>FASE1!P13</f>
        <v>85.909090909090907</v>
      </c>
      <c r="L13" s="110">
        <f>FASE1!V13</f>
        <v>91.36363636363636</v>
      </c>
      <c r="M13" s="110">
        <f>AVERAGE(FASE2!F13:G13)</f>
        <v>0.18181818181818182</v>
      </c>
      <c r="N13" s="110">
        <f>IFERROR(AVERAGE(FASE2!O13:P13,FASE2!S13),0)</f>
        <v>0.74242424242424254</v>
      </c>
      <c r="O13" s="110">
        <f>FASE4!K13</f>
        <v>0</v>
      </c>
      <c r="P13" s="110">
        <f>FASE2!N13</f>
        <v>0.95909090909090911</v>
      </c>
      <c r="Q13" s="110">
        <f>FASE3!P13</f>
        <v>0.18181818181818182</v>
      </c>
      <c r="R13" s="110">
        <f>FASE3!N13</f>
        <v>0.87272727272727268</v>
      </c>
      <c r="S13" s="110">
        <f>AVERAGE(FASE3!Q13,FASE3!R13,FASE3!T13,FASE3!S13)</f>
        <v>0.23295454545454547</v>
      </c>
      <c r="T13" s="110">
        <f>AVERAGE(FASE3!U13,FASE3!V13,FASE3!W13)</f>
        <v>0.1818181818181818</v>
      </c>
      <c r="U13" s="110">
        <f>FASE3!Y13</f>
        <v>0</v>
      </c>
      <c r="V13" s="110">
        <f>FASE3!X13</f>
        <v>0.18181818181818182</v>
      </c>
      <c r="W13" s="110">
        <f>FASE4!M13</f>
        <v>0</v>
      </c>
      <c r="X13" s="110">
        <f t="shared" si="0"/>
        <v>42.292319023569014</v>
      </c>
    </row>
    <row r="14" spans="2:25" ht="15.75" customHeight="1" x14ac:dyDescent="0.25">
      <c r="B14">
        <v>2</v>
      </c>
      <c r="C14" t="s">
        <v>112</v>
      </c>
      <c r="D14" s="97">
        <v>202</v>
      </c>
      <c r="E14" s="110">
        <f>FASE1!G14</f>
        <v>100</v>
      </c>
      <c r="F14" s="110">
        <f>FASE1!M14</f>
        <v>95</v>
      </c>
      <c r="G14" s="110">
        <f>FASE1!L14</f>
        <v>100</v>
      </c>
      <c r="H14" s="110">
        <f>FASE1!R14</f>
        <v>85</v>
      </c>
      <c r="I14" s="110">
        <f>FASE1!U14</f>
        <v>0</v>
      </c>
      <c r="J14" s="110">
        <f>FASE1!U14</f>
        <v>0</v>
      </c>
      <c r="K14" s="110">
        <f>FASE1!P14</f>
        <v>100</v>
      </c>
      <c r="L14" s="110">
        <f>FASE1!V14</f>
        <v>0</v>
      </c>
      <c r="M14" s="110">
        <f>AVERAGE(FASE2!F14:G14)</f>
        <v>0</v>
      </c>
      <c r="N14" s="110">
        <f>AVERAGE(FASE2!O14:P14,FASE2!S14)</f>
        <v>0</v>
      </c>
      <c r="O14" s="110">
        <f>FASE4!K14</f>
        <v>0</v>
      </c>
      <c r="P14" s="110">
        <f>FASE2!N14</f>
        <v>0.1</v>
      </c>
      <c r="Q14" s="110">
        <f>FASE3!P14</f>
        <v>0</v>
      </c>
      <c r="R14" s="110">
        <f>FASE3!N14</f>
        <v>0.3</v>
      </c>
      <c r="S14" s="110">
        <f>AVERAGE(FASE3!Q14,FASE3!R14,FASE3!T14,FASE3!S14)</f>
        <v>0</v>
      </c>
      <c r="T14" s="110">
        <f>AVERAGE(FASE3!U14,FASE3!V14,FASE3!W14)</f>
        <v>0</v>
      </c>
      <c r="U14" s="110">
        <f>FASE3!Y14</f>
        <v>0</v>
      </c>
      <c r="V14" s="110">
        <f>FASE3!X14</f>
        <v>0</v>
      </c>
      <c r="W14" s="110">
        <f>FASE4!M14</f>
        <v>0</v>
      </c>
      <c r="X14" s="110">
        <f t="shared" si="0"/>
        <v>26.68888888888889</v>
      </c>
    </row>
    <row r="15" spans="2:25" ht="15.75" customHeight="1" x14ac:dyDescent="0.25">
      <c r="B15">
        <v>2</v>
      </c>
      <c r="C15" t="s">
        <v>112</v>
      </c>
      <c r="D15" s="97">
        <v>203</v>
      </c>
      <c r="E15" s="110">
        <f>FASE1!G15</f>
        <v>100</v>
      </c>
      <c r="F15" s="110">
        <f>FASE1!M15</f>
        <v>95</v>
      </c>
      <c r="G15" s="110">
        <f>FASE1!L15</f>
        <v>100</v>
      </c>
      <c r="H15" s="110">
        <f>FASE1!R15</f>
        <v>95</v>
      </c>
      <c r="I15" s="110">
        <f>FASE1!U15</f>
        <v>0</v>
      </c>
      <c r="J15" s="110">
        <f>FASE1!U15</f>
        <v>0</v>
      </c>
      <c r="K15" s="110">
        <f>FASE1!P15</f>
        <v>0</v>
      </c>
      <c r="L15" s="110">
        <f>FASE1!V15</f>
        <v>0</v>
      </c>
      <c r="M15" s="110">
        <f>AVERAGE(FASE2!F15:G15)</f>
        <v>0</v>
      </c>
      <c r="N15" s="110">
        <f>AVERAGE(FASE2!O15:P15,FASE2!S15)</f>
        <v>0</v>
      </c>
      <c r="O15" s="110">
        <f>FASE4!K15</f>
        <v>0</v>
      </c>
      <c r="P15" s="110">
        <f>FASE2!N15</f>
        <v>0.1</v>
      </c>
      <c r="Q15" s="110">
        <f>FASE3!P15</f>
        <v>0</v>
      </c>
      <c r="R15" s="110">
        <f>FASE3!N15</f>
        <v>0.3</v>
      </c>
      <c r="S15" s="110">
        <f>AVERAGE(FASE3!Q15,FASE3!R15,FASE3!T15,FASE3!S15)</f>
        <v>0</v>
      </c>
      <c r="T15" s="110">
        <f>AVERAGE(FASE3!U15,FASE3!V15,FASE3!W15)</f>
        <v>0</v>
      </c>
      <c r="U15" s="110">
        <f>FASE3!Y15</f>
        <v>0</v>
      </c>
      <c r="V15" s="110">
        <f>FASE3!X15</f>
        <v>0</v>
      </c>
      <c r="W15" s="110">
        <f>FASE4!M15</f>
        <v>0</v>
      </c>
      <c r="X15" s="110">
        <f t="shared" si="0"/>
        <v>21.68888888888889</v>
      </c>
    </row>
    <row r="16" spans="2:25" ht="15.75" customHeight="1" x14ac:dyDescent="0.25">
      <c r="B16">
        <v>2</v>
      </c>
      <c r="C16" t="s">
        <v>112</v>
      </c>
      <c r="D16" s="97">
        <v>204</v>
      </c>
      <c r="E16" s="110">
        <f>FASE1!G16</f>
        <v>100</v>
      </c>
      <c r="F16" s="110">
        <f>FASE1!M16</f>
        <v>95</v>
      </c>
      <c r="G16" s="110">
        <f>FASE1!L16</f>
        <v>95</v>
      </c>
      <c r="H16" s="110">
        <f>FASE1!R16</f>
        <v>95</v>
      </c>
      <c r="I16" s="110">
        <f>FASE1!U16</f>
        <v>0</v>
      </c>
      <c r="J16" s="110">
        <f>FASE1!U16</f>
        <v>0</v>
      </c>
      <c r="K16" s="110">
        <f>FASE1!P16</f>
        <v>0</v>
      </c>
      <c r="L16" s="110">
        <f>FASE1!V16</f>
        <v>0</v>
      </c>
      <c r="M16" s="110">
        <f>AVERAGE(FASE2!F16:G16)</f>
        <v>0</v>
      </c>
      <c r="N16" s="110">
        <f>AVERAGE(FASE2!O16:P16,FASE2!S16)</f>
        <v>0</v>
      </c>
      <c r="O16" s="110">
        <f>FASE4!K16</f>
        <v>0</v>
      </c>
      <c r="P16" s="110">
        <f>FASE2!N16</f>
        <v>0.1</v>
      </c>
      <c r="Q16" s="110">
        <f>FASE3!P16</f>
        <v>0</v>
      </c>
      <c r="R16" s="110">
        <f>FASE3!N16</f>
        <v>0.3</v>
      </c>
      <c r="S16" s="110">
        <f>AVERAGE(FASE3!Q16,FASE3!R16,FASE3!T16,FASE3!S16)</f>
        <v>0</v>
      </c>
      <c r="T16" s="110">
        <f>AVERAGE(FASE3!U16,FASE3!V16,FASE3!W16)</f>
        <v>0</v>
      </c>
      <c r="U16" s="110">
        <f>FASE3!Y16</f>
        <v>0</v>
      </c>
      <c r="V16" s="110">
        <f>FASE3!X16</f>
        <v>0</v>
      </c>
      <c r="W16" s="110">
        <f>FASE4!M16</f>
        <v>0</v>
      </c>
      <c r="X16" s="110">
        <f t="shared" si="0"/>
        <v>21.411111111111111</v>
      </c>
    </row>
    <row r="17" spans="2:25" ht="15.75" customHeight="1" x14ac:dyDescent="0.25">
      <c r="B17">
        <v>2</v>
      </c>
      <c r="C17" t="s">
        <v>112</v>
      </c>
      <c r="D17" s="97">
        <v>205</v>
      </c>
      <c r="E17" s="110">
        <f>FASE1!G17</f>
        <v>100</v>
      </c>
      <c r="F17" s="110">
        <f>FASE1!M17</f>
        <v>95</v>
      </c>
      <c r="G17" s="110">
        <f>FASE1!L17</f>
        <v>95</v>
      </c>
      <c r="H17" s="110">
        <f>FASE1!R17</f>
        <v>95</v>
      </c>
      <c r="I17" s="110">
        <f>FASE1!U17</f>
        <v>95</v>
      </c>
      <c r="J17" s="110">
        <f>FASE1!U17</f>
        <v>95</v>
      </c>
      <c r="K17" s="110">
        <f>FASE1!P17</f>
        <v>55</v>
      </c>
      <c r="L17" s="110">
        <f>FASE1!V17</f>
        <v>0</v>
      </c>
      <c r="M17" s="110">
        <f>AVERAGE(FASE2!F17:G17)</f>
        <v>0</v>
      </c>
      <c r="N17" s="110">
        <f>AVERAGE(FASE2!O17:P17,FASE2!S17)</f>
        <v>0</v>
      </c>
      <c r="O17" s="110">
        <f>FASE4!K17</f>
        <v>0</v>
      </c>
      <c r="P17" s="110">
        <f>FASE2!N17</f>
        <v>0.1</v>
      </c>
      <c r="Q17" s="110">
        <f>FASE3!P17</f>
        <v>0</v>
      </c>
      <c r="R17" s="110">
        <f>FASE3!N17</f>
        <v>0.3</v>
      </c>
      <c r="S17" s="110">
        <f>AVERAGE(FASE3!Q17,FASE3!R17,FASE3!T17,FASE3!S17)</f>
        <v>0</v>
      </c>
      <c r="T17" s="110">
        <f>AVERAGE(FASE3!U17,FASE3!V17,FASE3!W17)</f>
        <v>0</v>
      </c>
      <c r="U17" s="110">
        <f>FASE3!Y17</f>
        <v>0</v>
      </c>
      <c r="V17" s="110">
        <f>FASE3!X17</f>
        <v>0</v>
      </c>
      <c r="W17" s="110">
        <f>FASE4!M17</f>
        <v>0</v>
      </c>
      <c r="X17" s="110">
        <f t="shared" si="0"/>
        <v>35.022222222222219</v>
      </c>
    </row>
    <row r="18" spans="2:25" ht="15.75" customHeight="1" x14ac:dyDescent="0.25">
      <c r="B18">
        <v>2</v>
      </c>
      <c r="C18" t="s">
        <v>112</v>
      </c>
      <c r="D18" s="97">
        <v>206</v>
      </c>
      <c r="E18" s="110">
        <f>FASE1!G18</f>
        <v>100</v>
      </c>
      <c r="F18" s="110">
        <f>FASE1!M18</f>
        <v>95</v>
      </c>
      <c r="G18" s="110">
        <f>FASE1!L18</f>
        <v>95</v>
      </c>
      <c r="H18" s="110">
        <f>FASE1!R18</f>
        <v>95</v>
      </c>
      <c r="I18" s="110">
        <f>FASE1!U18</f>
        <v>95</v>
      </c>
      <c r="J18" s="110">
        <f>FASE1!U18</f>
        <v>95</v>
      </c>
      <c r="K18" s="110">
        <f>FASE1!P18</f>
        <v>0</v>
      </c>
      <c r="L18" s="110">
        <f>FASE1!V18</f>
        <v>0</v>
      </c>
      <c r="M18" s="110">
        <f>AVERAGE(FASE2!F18:G18)</f>
        <v>0</v>
      </c>
      <c r="N18" s="110">
        <f>AVERAGE(FASE2!O18:P18,FASE2!S18)</f>
        <v>0</v>
      </c>
      <c r="O18" s="110">
        <f>FASE4!K18</f>
        <v>0</v>
      </c>
      <c r="P18" s="110">
        <f>FASE2!N18</f>
        <v>0.1</v>
      </c>
      <c r="Q18" s="110">
        <f>FASE3!P18</f>
        <v>0</v>
      </c>
      <c r="R18" s="110">
        <f>FASE3!N18</f>
        <v>0.3</v>
      </c>
      <c r="S18" s="110">
        <f>AVERAGE(FASE3!Q18,FASE3!R18,FASE3!T18,FASE3!S18)</f>
        <v>0</v>
      </c>
      <c r="T18" s="110">
        <f>AVERAGE(FASE3!U18,FASE3!V18,FASE3!W18)</f>
        <v>0</v>
      </c>
      <c r="U18" s="110">
        <f>FASE3!Y18</f>
        <v>0</v>
      </c>
      <c r="V18" s="110">
        <f>FASE3!X18</f>
        <v>0</v>
      </c>
      <c r="W18" s="110">
        <f>FASE4!M18</f>
        <v>0</v>
      </c>
      <c r="X18" s="110">
        <f t="shared" si="0"/>
        <v>31.966666666666665</v>
      </c>
    </row>
    <row r="19" spans="2:25" ht="15.75" customHeight="1" x14ac:dyDescent="0.25">
      <c r="B19">
        <v>2</v>
      </c>
      <c r="C19" t="s">
        <v>112</v>
      </c>
      <c r="D19" s="97">
        <v>207</v>
      </c>
      <c r="E19" s="110">
        <f>FASE1!G19</f>
        <v>100</v>
      </c>
      <c r="F19" s="110">
        <f>FASE1!M19</f>
        <v>95</v>
      </c>
      <c r="G19" s="110">
        <f>FASE1!L19</f>
        <v>100</v>
      </c>
      <c r="H19" s="110">
        <f>FASE1!R19</f>
        <v>95</v>
      </c>
      <c r="I19" s="110">
        <f>FASE1!U19</f>
        <v>95</v>
      </c>
      <c r="J19" s="110">
        <f>FASE1!U19</f>
        <v>95</v>
      </c>
      <c r="K19" s="110">
        <f>FASE1!P19</f>
        <v>0</v>
      </c>
      <c r="L19" s="110">
        <f>FASE1!V19</f>
        <v>0</v>
      </c>
      <c r="M19" s="110">
        <f>AVERAGE(FASE2!F19:G19)</f>
        <v>0</v>
      </c>
      <c r="N19" s="110">
        <f>AVERAGE(FASE2!O19:P19,FASE2!S19)</f>
        <v>0</v>
      </c>
      <c r="O19" s="110">
        <f>FASE4!K19</f>
        <v>0</v>
      </c>
      <c r="P19" s="110">
        <f>FASE2!N19</f>
        <v>0.1</v>
      </c>
      <c r="Q19" s="110">
        <f>FASE3!P19</f>
        <v>0</v>
      </c>
      <c r="R19" s="110">
        <f>FASE3!N19</f>
        <v>0.3</v>
      </c>
      <c r="S19" s="110">
        <f>AVERAGE(FASE3!Q19,FASE3!R19,FASE3!T19,FASE3!S19)</f>
        <v>0</v>
      </c>
      <c r="T19" s="110">
        <f>AVERAGE(FASE3!U19,FASE3!V19,FASE3!W19)</f>
        <v>0</v>
      </c>
      <c r="U19" s="110">
        <f>FASE3!Y19</f>
        <v>0</v>
      </c>
      <c r="V19" s="110">
        <f>FASE3!X19</f>
        <v>0</v>
      </c>
      <c r="W19" s="110">
        <f>FASE4!M19</f>
        <v>0</v>
      </c>
      <c r="X19" s="110">
        <f t="shared" si="0"/>
        <v>32.24444444444444</v>
      </c>
      <c r="Y19" s="2"/>
    </row>
    <row r="20" spans="2:25" ht="15.75" customHeight="1" x14ac:dyDescent="0.25">
      <c r="B20">
        <v>2</v>
      </c>
      <c r="C20" t="s">
        <v>112</v>
      </c>
      <c r="D20" s="97">
        <v>208</v>
      </c>
      <c r="E20" s="110">
        <f>FASE1!G20</f>
        <v>100</v>
      </c>
      <c r="F20" s="110">
        <f>FASE1!M20</f>
        <v>95</v>
      </c>
      <c r="G20" s="110">
        <f>FASE1!L20</f>
        <v>100</v>
      </c>
      <c r="H20" s="110">
        <f>FASE1!R20</f>
        <v>85</v>
      </c>
      <c r="I20" s="110">
        <f>FASE1!U20</f>
        <v>0</v>
      </c>
      <c r="J20" s="110">
        <f>FASE1!U20</f>
        <v>0</v>
      </c>
      <c r="K20" s="110">
        <f>FASE1!P20</f>
        <v>0</v>
      </c>
      <c r="L20" s="110">
        <f>FASE1!V20</f>
        <v>0</v>
      </c>
      <c r="M20" s="110">
        <f>AVERAGE(FASE2!F20:G20)</f>
        <v>0</v>
      </c>
      <c r="N20" s="110">
        <f>AVERAGE(FASE2!O20:P20,FASE2!S20)</f>
        <v>0</v>
      </c>
      <c r="O20" s="110">
        <f>FASE4!K20</f>
        <v>0</v>
      </c>
      <c r="P20" s="110">
        <f>FASE2!N20</f>
        <v>0.1</v>
      </c>
      <c r="Q20" s="110">
        <f>FASE3!P20</f>
        <v>0</v>
      </c>
      <c r="R20" s="110">
        <f>FASE3!N20</f>
        <v>0.3</v>
      </c>
      <c r="S20" s="110">
        <f>AVERAGE(FASE3!Q20,FASE3!R20,FASE3!T20,FASE3!S20)</f>
        <v>0</v>
      </c>
      <c r="T20" s="110">
        <f>AVERAGE(FASE3!U20,FASE3!V20,FASE3!W20)</f>
        <v>0</v>
      </c>
      <c r="U20" s="110">
        <f>FASE3!Y20</f>
        <v>0</v>
      </c>
      <c r="V20" s="110">
        <f>FASE3!X20</f>
        <v>0</v>
      </c>
      <c r="W20" s="110">
        <f>FASE4!M20</f>
        <v>0</v>
      </c>
      <c r="X20" s="110">
        <f t="shared" si="0"/>
        <v>21.133333333333336</v>
      </c>
    </row>
    <row r="21" spans="2:25" ht="15.75" customHeight="1" x14ac:dyDescent="0.25">
      <c r="B21">
        <v>2</v>
      </c>
      <c r="C21" t="s">
        <v>112</v>
      </c>
      <c r="D21" s="97">
        <v>209</v>
      </c>
      <c r="E21" s="110">
        <f>FASE1!G21</f>
        <v>100</v>
      </c>
      <c r="F21" s="110">
        <f>FASE1!M21</f>
        <v>95</v>
      </c>
      <c r="G21" s="110">
        <f>FASE1!L21</f>
        <v>95</v>
      </c>
      <c r="H21" s="110">
        <f>FASE1!R21</f>
        <v>95</v>
      </c>
      <c r="I21" s="110">
        <f>FASE1!U21</f>
        <v>95</v>
      </c>
      <c r="J21" s="110">
        <f>FASE1!U21</f>
        <v>95</v>
      </c>
      <c r="K21" s="110">
        <f>FASE1!P21</f>
        <v>0</v>
      </c>
      <c r="L21" s="110">
        <f>FASE1!V21</f>
        <v>0</v>
      </c>
      <c r="M21" s="110">
        <f>AVERAGE(FASE2!F21:G21)</f>
        <v>0</v>
      </c>
      <c r="N21" s="110">
        <f>AVERAGE(FASE2!O21:P21,FASE2!S21)</f>
        <v>0</v>
      </c>
      <c r="O21" s="110">
        <f>FASE4!K21</f>
        <v>0</v>
      </c>
      <c r="P21" s="110">
        <f>FASE2!N21</f>
        <v>0.1</v>
      </c>
      <c r="Q21" s="110">
        <f>FASE3!P21</f>
        <v>0</v>
      </c>
      <c r="R21" s="110">
        <f>FASE3!N21</f>
        <v>0.3</v>
      </c>
      <c r="S21" s="110">
        <f>AVERAGE(FASE3!Q21,FASE3!R21,FASE3!T21,FASE3!S21)</f>
        <v>0</v>
      </c>
      <c r="T21" s="110">
        <f>AVERAGE(FASE3!U21,FASE3!V21,FASE3!W21)</f>
        <v>0</v>
      </c>
      <c r="U21" s="110">
        <f>FASE3!Y21</f>
        <v>0</v>
      </c>
      <c r="V21" s="110">
        <f>FASE3!X21</f>
        <v>0</v>
      </c>
      <c r="W21" s="110">
        <f>FASE4!M21</f>
        <v>0</v>
      </c>
      <c r="X21" s="110">
        <f t="shared" si="0"/>
        <v>31.966666666666665</v>
      </c>
    </row>
    <row r="22" spans="2:25" ht="15.75" customHeight="1" x14ac:dyDescent="0.25">
      <c r="B22">
        <v>2</v>
      </c>
      <c r="C22" t="s">
        <v>112</v>
      </c>
      <c r="D22" s="97">
        <v>210</v>
      </c>
      <c r="E22" s="110">
        <f>FASE1!G22</f>
        <v>100</v>
      </c>
      <c r="F22" s="110">
        <f>FASE1!M22</f>
        <v>95</v>
      </c>
      <c r="G22" s="110">
        <f>FASE1!L22</f>
        <v>95</v>
      </c>
      <c r="H22" s="110">
        <f>FASE1!R22</f>
        <v>95</v>
      </c>
      <c r="I22" s="110">
        <f>FASE1!U22</f>
        <v>0</v>
      </c>
      <c r="J22" s="110">
        <f>FASE1!U22</f>
        <v>0</v>
      </c>
      <c r="K22" s="110">
        <f>FASE1!P22</f>
        <v>0</v>
      </c>
      <c r="L22" s="110">
        <f>FASE1!V22</f>
        <v>0</v>
      </c>
      <c r="M22" s="110">
        <f>AVERAGE(FASE2!F22:G22)</f>
        <v>0</v>
      </c>
      <c r="N22" s="110">
        <f>AVERAGE(FASE2!O22:P22,FASE2!S22)</f>
        <v>0</v>
      </c>
      <c r="O22" s="110">
        <f>FASE4!K22</f>
        <v>0</v>
      </c>
      <c r="P22" s="110">
        <f>FASE2!N22</f>
        <v>0.1</v>
      </c>
      <c r="Q22" s="110">
        <f>FASE3!P22</f>
        <v>0</v>
      </c>
      <c r="R22" s="110">
        <f>FASE3!N22</f>
        <v>0.3</v>
      </c>
      <c r="S22" s="110">
        <f>AVERAGE(FASE3!Q22,FASE3!R22,FASE3!T22,FASE3!S22)</f>
        <v>0</v>
      </c>
      <c r="T22" s="110">
        <f>AVERAGE(FASE3!U22,FASE3!V22,FASE3!W22)</f>
        <v>0</v>
      </c>
      <c r="U22" s="110">
        <f>FASE3!Y22</f>
        <v>0</v>
      </c>
      <c r="V22" s="110">
        <f>FASE3!X22</f>
        <v>0</v>
      </c>
      <c r="W22" s="110">
        <f>FASE4!M22</f>
        <v>0</v>
      </c>
      <c r="X22" s="110">
        <f t="shared" si="0"/>
        <v>21.411111111111111</v>
      </c>
    </row>
    <row r="23" spans="2:25" ht="15.75" customHeight="1" x14ac:dyDescent="0.25">
      <c r="B23">
        <v>2</v>
      </c>
      <c r="C23" t="s">
        <v>112</v>
      </c>
      <c r="D23" s="97">
        <v>211</v>
      </c>
      <c r="E23" s="110">
        <f>FASE1!G23</f>
        <v>100</v>
      </c>
      <c r="F23" s="110">
        <f>FASE1!M23</f>
        <v>100</v>
      </c>
      <c r="G23" s="110">
        <f>FASE1!L23</f>
        <v>95</v>
      </c>
      <c r="H23" s="110">
        <f>FASE1!R23</f>
        <v>95</v>
      </c>
      <c r="I23" s="110">
        <f>FASE1!U23</f>
        <v>95</v>
      </c>
      <c r="J23" s="110">
        <f>FASE1!U23</f>
        <v>95</v>
      </c>
      <c r="K23" s="110">
        <f>FASE1!P23</f>
        <v>0</v>
      </c>
      <c r="L23" s="110">
        <f>FASE1!V23</f>
        <v>0</v>
      </c>
      <c r="M23" s="110">
        <f>AVERAGE(FASE2!F23:G23)</f>
        <v>0</v>
      </c>
      <c r="N23" s="110">
        <f>AVERAGE(FASE2!O23:P23,FASE2!S23)</f>
        <v>0</v>
      </c>
      <c r="O23" s="110">
        <f>FASE4!K23</f>
        <v>0</v>
      </c>
      <c r="P23" s="110">
        <f>FASE2!N23</f>
        <v>0.1</v>
      </c>
      <c r="Q23" s="110">
        <f>FASE3!P23</f>
        <v>0</v>
      </c>
      <c r="R23" s="110">
        <f>FASE3!N23</f>
        <v>0.3</v>
      </c>
      <c r="S23" s="110">
        <f>AVERAGE(FASE3!Q23,FASE3!R23,FASE3!T23,FASE3!S23)</f>
        <v>0</v>
      </c>
      <c r="T23" s="110">
        <f>AVERAGE(FASE3!U23,FASE3!V23,FASE3!W23)</f>
        <v>0</v>
      </c>
      <c r="U23" s="110">
        <f>FASE3!Y23</f>
        <v>0</v>
      </c>
      <c r="V23" s="110">
        <f>FASE3!X23</f>
        <v>0</v>
      </c>
      <c r="W23" s="110">
        <f>FASE4!M23</f>
        <v>0</v>
      </c>
      <c r="X23" s="110">
        <f t="shared" si="0"/>
        <v>32.24444444444444</v>
      </c>
    </row>
    <row r="24" spans="2:25" ht="15.75" customHeight="1" x14ac:dyDescent="0.25">
      <c r="B24">
        <v>2</v>
      </c>
      <c r="C24" t="s">
        <v>112</v>
      </c>
      <c r="D24" s="97">
        <v>212</v>
      </c>
      <c r="E24" s="110">
        <f>FASE1!G24</f>
        <v>100</v>
      </c>
      <c r="F24" s="110">
        <f>FASE1!M24</f>
        <v>95</v>
      </c>
      <c r="G24" s="110">
        <f>FASE1!L24</f>
        <v>95</v>
      </c>
      <c r="H24" s="110">
        <f>FASE1!R24</f>
        <v>95</v>
      </c>
      <c r="I24" s="110">
        <f>FASE1!U24</f>
        <v>95</v>
      </c>
      <c r="J24" s="110">
        <f>FASE1!U24</f>
        <v>95</v>
      </c>
      <c r="K24" s="110">
        <f>FASE1!P24</f>
        <v>0</v>
      </c>
      <c r="L24" s="110">
        <f>FASE1!V24</f>
        <v>0</v>
      </c>
      <c r="M24" s="110">
        <f>AVERAGE(FASE2!F24:G24)</f>
        <v>0</v>
      </c>
      <c r="N24" s="110">
        <f>AVERAGE(FASE2!O24:P24,FASE2!S24)</f>
        <v>0</v>
      </c>
      <c r="O24" s="110">
        <f>FASE4!K24</f>
        <v>0</v>
      </c>
      <c r="P24" s="110">
        <f>FASE2!N24</f>
        <v>0.1</v>
      </c>
      <c r="Q24" s="110">
        <f>FASE3!P24</f>
        <v>0</v>
      </c>
      <c r="R24" s="110">
        <f>FASE3!N24</f>
        <v>0.3</v>
      </c>
      <c r="S24" s="110">
        <f>AVERAGE(FASE3!Q24,FASE3!R24,FASE3!T24,FASE3!S24)</f>
        <v>0</v>
      </c>
      <c r="T24" s="110">
        <f>AVERAGE(FASE3!U24,FASE3!V24,FASE3!W24)</f>
        <v>0</v>
      </c>
      <c r="U24" s="110">
        <f>FASE3!Y24</f>
        <v>0</v>
      </c>
      <c r="V24" s="110">
        <f>FASE3!X24</f>
        <v>0</v>
      </c>
      <c r="W24" s="110">
        <f>FASE4!M24</f>
        <v>0</v>
      </c>
      <c r="X24" s="110">
        <f t="shared" si="0"/>
        <v>31.966666666666665</v>
      </c>
    </row>
    <row r="25" spans="2:25" ht="15.75" customHeight="1" x14ac:dyDescent="0.25">
      <c r="B25">
        <v>2</v>
      </c>
      <c r="C25" t="s">
        <v>112</v>
      </c>
      <c r="D25" s="97">
        <v>213</v>
      </c>
      <c r="E25" s="110">
        <f>FASE1!G25</f>
        <v>100</v>
      </c>
      <c r="F25" s="110">
        <f>FASE1!M25</f>
        <v>100</v>
      </c>
      <c r="G25" s="110">
        <f>FASE1!L25</f>
        <v>95</v>
      </c>
      <c r="H25" s="110">
        <f>FASE1!R25</f>
        <v>95</v>
      </c>
      <c r="I25" s="110">
        <f>FASE1!U25</f>
        <v>0</v>
      </c>
      <c r="J25" s="110">
        <f>FASE1!U25</f>
        <v>0</v>
      </c>
      <c r="K25" s="110">
        <f>FASE1!P25</f>
        <v>0</v>
      </c>
      <c r="L25" s="110">
        <f>FASE1!V25</f>
        <v>0</v>
      </c>
      <c r="M25" s="110">
        <f>AVERAGE(FASE2!F25:G25)</f>
        <v>0</v>
      </c>
      <c r="N25" s="110">
        <f>AVERAGE(FASE2!O25:P25,FASE2!S25)</f>
        <v>0</v>
      </c>
      <c r="O25" s="110">
        <f>FASE4!K25</f>
        <v>0</v>
      </c>
      <c r="P25" s="110">
        <f>FASE2!N25</f>
        <v>0.1</v>
      </c>
      <c r="Q25" s="110">
        <f>FASE3!P25</f>
        <v>0</v>
      </c>
      <c r="R25" s="110">
        <f>FASE3!N25</f>
        <v>0.3</v>
      </c>
      <c r="S25" s="110">
        <f>AVERAGE(FASE3!Q25,FASE3!R25,FASE3!T25,FASE3!S25)</f>
        <v>0</v>
      </c>
      <c r="T25" s="110">
        <f>AVERAGE(FASE3!U25,FASE3!V25,FASE3!W25)</f>
        <v>0</v>
      </c>
      <c r="U25" s="110">
        <f>FASE3!Y25</f>
        <v>0</v>
      </c>
      <c r="V25" s="110">
        <f>FASE3!X25</f>
        <v>0</v>
      </c>
      <c r="W25" s="110">
        <f>FASE4!M25</f>
        <v>0</v>
      </c>
      <c r="X25" s="110">
        <f t="shared" si="0"/>
        <v>21.68888888888889</v>
      </c>
    </row>
    <row r="26" spans="2:25" ht="15.75" customHeight="1" x14ac:dyDescent="0.25">
      <c r="B26">
        <v>2</v>
      </c>
      <c r="C26" t="s">
        <v>112</v>
      </c>
      <c r="D26" s="97">
        <v>214</v>
      </c>
      <c r="E26" s="110">
        <f>FASE1!G26</f>
        <v>50</v>
      </c>
      <c r="F26" s="110">
        <f>FASE1!M26</f>
        <v>95</v>
      </c>
      <c r="G26" s="110">
        <f>FASE1!L26</f>
        <v>95</v>
      </c>
      <c r="H26" s="110">
        <f>FASE1!R26</f>
        <v>95</v>
      </c>
      <c r="I26" s="110">
        <f>FASE1!U26</f>
        <v>0</v>
      </c>
      <c r="J26" s="110">
        <f>FASE1!U26</f>
        <v>0</v>
      </c>
      <c r="K26" s="110">
        <f>FASE1!P26</f>
        <v>0</v>
      </c>
      <c r="L26" s="110">
        <f>FASE1!V26</f>
        <v>0</v>
      </c>
      <c r="M26" s="110">
        <f>AVERAGE(FASE2!F26:G26)</f>
        <v>0</v>
      </c>
      <c r="N26" s="110">
        <f>AVERAGE(FASE2!O26:P26,FASE2!S26)</f>
        <v>0</v>
      </c>
      <c r="O26" s="110">
        <f>FASE4!K26</f>
        <v>0</v>
      </c>
      <c r="P26" s="110">
        <f>FASE2!N26</f>
        <v>0.1</v>
      </c>
      <c r="Q26" s="110">
        <f>FASE3!P26</f>
        <v>0</v>
      </c>
      <c r="R26" s="110">
        <f>FASE3!N26</f>
        <v>0.3</v>
      </c>
      <c r="S26" s="110">
        <f>AVERAGE(FASE3!Q26,FASE3!R26,FASE3!T26,FASE3!S26)</f>
        <v>0</v>
      </c>
      <c r="T26" s="110">
        <f>AVERAGE(FASE3!U26,FASE3!V26,FASE3!W26)</f>
        <v>0</v>
      </c>
      <c r="U26" s="110">
        <f>FASE3!Y26</f>
        <v>0</v>
      </c>
      <c r="V26" s="110">
        <f>FASE3!X26</f>
        <v>0</v>
      </c>
      <c r="W26" s="110">
        <f>FASE4!M26</f>
        <v>0</v>
      </c>
      <c r="X26" s="110">
        <f t="shared" si="0"/>
        <v>18.633333333333336</v>
      </c>
    </row>
    <row r="27" spans="2:25" ht="15.75" customHeight="1" x14ac:dyDescent="0.25">
      <c r="B27">
        <v>2</v>
      </c>
      <c r="C27" t="s">
        <v>112</v>
      </c>
      <c r="D27" s="97">
        <v>215</v>
      </c>
      <c r="E27" s="110">
        <f>FASE1!G27</f>
        <v>0</v>
      </c>
      <c r="F27" s="110">
        <f>FASE1!M27</f>
        <v>0</v>
      </c>
      <c r="G27" s="110">
        <f>FASE1!L27</f>
        <v>0</v>
      </c>
      <c r="H27" s="110">
        <f>FASE1!R27</f>
        <v>0</v>
      </c>
      <c r="I27" s="110">
        <f>FASE1!U27</f>
        <v>0</v>
      </c>
      <c r="J27" s="110">
        <f>FASE1!U27</f>
        <v>0</v>
      </c>
      <c r="K27" s="110">
        <f>FASE1!P27</f>
        <v>0</v>
      </c>
      <c r="L27" s="110">
        <f>FASE1!V27</f>
        <v>0</v>
      </c>
      <c r="M27" s="110">
        <f>AVERAGE(FASE2!F27:G27)</f>
        <v>0</v>
      </c>
      <c r="N27" s="110">
        <f>AVERAGE(FASE2!O27:P27,FASE2!S27)</f>
        <v>0</v>
      </c>
      <c r="O27" s="110">
        <f>FASE4!K27</f>
        <v>0</v>
      </c>
      <c r="P27" s="110">
        <f>FASE2!N27</f>
        <v>0.1</v>
      </c>
      <c r="Q27" s="110">
        <f>FASE3!P27</f>
        <v>0</v>
      </c>
      <c r="R27" s="110">
        <f>FASE3!N27</f>
        <v>0</v>
      </c>
      <c r="S27" s="110">
        <f>AVERAGE(FASE3!Q27,FASE3!R27,FASE3!T27,FASE3!S27)</f>
        <v>0</v>
      </c>
      <c r="T27" s="110">
        <f>AVERAGE(FASE3!U27,FASE3!V27,FASE3!W27)</f>
        <v>0</v>
      </c>
      <c r="U27" s="110">
        <f>FASE3!Y27</f>
        <v>0</v>
      </c>
      <c r="V27" s="110">
        <f>FASE3!X27</f>
        <v>0</v>
      </c>
      <c r="W27" s="110">
        <f>FASE4!M27</f>
        <v>0</v>
      </c>
      <c r="X27" s="110">
        <f t="shared" si="0"/>
        <v>5.5555555555555558E-3</v>
      </c>
    </row>
    <row r="28" spans="2:25" ht="15.75" customHeight="1" x14ac:dyDescent="0.25">
      <c r="B28">
        <v>2</v>
      </c>
      <c r="C28" t="s">
        <v>112</v>
      </c>
      <c r="D28" s="97">
        <v>216</v>
      </c>
      <c r="E28" s="110">
        <f>FASE1!G28</f>
        <v>0</v>
      </c>
      <c r="F28" s="110">
        <f>FASE1!M28</f>
        <v>0</v>
      </c>
      <c r="G28" s="110">
        <f>FASE1!L28</f>
        <v>0</v>
      </c>
      <c r="H28" s="110">
        <f>FASE1!R28</f>
        <v>0</v>
      </c>
      <c r="I28" s="110">
        <f>FASE1!U28</f>
        <v>0</v>
      </c>
      <c r="J28" s="110">
        <f>FASE1!U28</f>
        <v>0</v>
      </c>
      <c r="K28" s="110">
        <f>FASE1!P28</f>
        <v>0</v>
      </c>
      <c r="L28" s="110">
        <f>FASE1!V28</f>
        <v>0</v>
      </c>
      <c r="M28" s="110">
        <f>AVERAGE(FASE2!F28:G28)</f>
        <v>0</v>
      </c>
      <c r="N28" s="110">
        <f>AVERAGE(FASE2!O28:P28,FASE2!S28)</f>
        <v>0</v>
      </c>
      <c r="O28" s="110">
        <f>FASE4!K28</f>
        <v>0</v>
      </c>
      <c r="P28" s="110">
        <f>FASE2!N28</f>
        <v>0</v>
      </c>
      <c r="Q28" s="110">
        <f>FASE3!P28</f>
        <v>0</v>
      </c>
      <c r="R28" s="110">
        <f>FASE3!N28</f>
        <v>0</v>
      </c>
      <c r="S28" s="110">
        <f>AVERAGE(FASE3!Q28,FASE3!R28,FASE3!T28,FASE3!S28)</f>
        <v>0</v>
      </c>
      <c r="T28" s="110">
        <f>AVERAGE(FASE3!U28,FASE3!V28,FASE3!W28)</f>
        <v>0</v>
      </c>
      <c r="U28" s="110">
        <f>FASE3!Y28</f>
        <v>0</v>
      </c>
      <c r="V28" s="110">
        <f>FASE3!X28</f>
        <v>0</v>
      </c>
      <c r="W28" s="110">
        <f>FASE4!M28</f>
        <v>0</v>
      </c>
      <c r="X28" s="110">
        <f t="shared" si="0"/>
        <v>0</v>
      </c>
    </row>
    <row r="29" spans="2:25" ht="15.75" customHeight="1" x14ac:dyDescent="0.25">
      <c r="B29">
        <v>2</v>
      </c>
      <c r="C29" t="s">
        <v>112</v>
      </c>
      <c r="D29" s="97">
        <v>217</v>
      </c>
      <c r="E29" s="110">
        <f>FASE1!G29</f>
        <v>0</v>
      </c>
      <c r="F29" s="110">
        <f>FASE1!M29</f>
        <v>0</v>
      </c>
      <c r="G29" s="110">
        <f>FASE1!L29</f>
        <v>0</v>
      </c>
      <c r="H29" s="110">
        <f>FASE1!R29</f>
        <v>0</v>
      </c>
      <c r="I29" s="110">
        <f>FASE1!U29</f>
        <v>0</v>
      </c>
      <c r="J29" s="110">
        <f>FASE1!U29</f>
        <v>0</v>
      </c>
      <c r="K29" s="110">
        <f>FASE1!P29</f>
        <v>0</v>
      </c>
      <c r="L29" s="110">
        <f>FASE1!V29</f>
        <v>0</v>
      </c>
      <c r="M29" s="110">
        <f>AVERAGE(FASE2!F29:G29)</f>
        <v>0</v>
      </c>
      <c r="N29" s="110">
        <f>AVERAGE(FASE2!O29:P29,FASE2!S29)</f>
        <v>0</v>
      </c>
      <c r="O29" s="110">
        <f>FASE4!K29</f>
        <v>0</v>
      </c>
      <c r="P29" s="110">
        <f>FASE2!N29</f>
        <v>0</v>
      </c>
      <c r="Q29" s="110">
        <f>FASE3!P29</f>
        <v>0</v>
      </c>
      <c r="R29" s="110">
        <f>FASE3!N29</f>
        <v>0</v>
      </c>
      <c r="S29" s="110">
        <f>AVERAGE(FASE3!Q29,FASE3!R29,FASE3!T29,FASE3!S29)</f>
        <v>0</v>
      </c>
      <c r="T29" s="110">
        <f>AVERAGE(FASE3!U29,FASE3!V29,FASE3!W29)</f>
        <v>0</v>
      </c>
      <c r="U29" s="110">
        <f>FASE3!Y29</f>
        <v>0</v>
      </c>
      <c r="V29" s="110">
        <f>FASE3!X29</f>
        <v>0</v>
      </c>
      <c r="W29" s="110">
        <f>FASE4!M29</f>
        <v>0</v>
      </c>
      <c r="X29" s="110">
        <f t="shared" si="0"/>
        <v>0</v>
      </c>
    </row>
    <row r="30" spans="2:25" ht="15.75" customHeight="1" x14ac:dyDescent="0.25">
      <c r="B30">
        <v>2</v>
      </c>
      <c r="C30" t="s">
        <v>112</v>
      </c>
      <c r="D30" s="97">
        <v>218</v>
      </c>
      <c r="E30" s="110">
        <f>FASE1!G30</f>
        <v>0</v>
      </c>
      <c r="F30" s="110">
        <f>FASE1!M30</f>
        <v>0</v>
      </c>
      <c r="G30" s="110">
        <f>FASE1!L30</f>
        <v>0</v>
      </c>
      <c r="H30" s="110">
        <f>FASE1!R30</f>
        <v>0</v>
      </c>
      <c r="I30" s="110">
        <f>FASE1!U30</f>
        <v>0</v>
      </c>
      <c r="J30" s="110">
        <f>FASE1!U30</f>
        <v>0</v>
      </c>
      <c r="K30" s="110">
        <f>FASE1!P30</f>
        <v>0</v>
      </c>
      <c r="L30" s="110">
        <f>FASE1!V30</f>
        <v>0</v>
      </c>
      <c r="M30" s="110">
        <f>AVERAGE(FASE2!F30:G30)</f>
        <v>0</v>
      </c>
      <c r="N30" s="110">
        <f>AVERAGE(FASE2!O30:P30,FASE2!S30)</f>
        <v>0</v>
      </c>
      <c r="O30" s="110">
        <f>FASE4!K30</f>
        <v>0</v>
      </c>
      <c r="P30" s="110">
        <f>FASE2!N30</f>
        <v>0</v>
      </c>
      <c r="Q30" s="110">
        <f>FASE3!P30</f>
        <v>0</v>
      </c>
      <c r="R30" s="110">
        <f>FASE3!N30</f>
        <v>0</v>
      </c>
      <c r="S30" s="110">
        <f>AVERAGE(FASE3!Q30,FASE3!R30,FASE3!T30,FASE3!S30)</f>
        <v>0</v>
      </c>
      <c r="T30" s="110">
        <f>AVERAGE(FASE3!U30,FASE3!V30,FASE3!W30)</f>
        <v>0</v>
      </c>
      <c r="U30" s="110">
        <f>FASE3!Y30</f>
        <v>0</v>
      </c>
      <c r="V30" s="110">
        <f>FASE3!X30</f>
        <v>0</v>
      </c>
      <c r="W30" s="110">
        <f>FASE4!M30</f>
        <v>0</v>
      </c>
      <c r="X30" s="110">
        <f t="shared" si="0"/>
        <v>0</v>
      </c>
    </row>
    <row r="31" spans="2:25" ht="15.75" customHeight="1" x14ac:dyDescent="0.25">
      <c r="B31">
        <v>2</v>
      </c>
      <c r="C31" t="s">
        <v>112</v>
      </c>
      <c r="D31" s="97">
        <v>219</v>
      </c>
      <c r="E31" s="110">
        <f>FASE1!G31</f>
        <v>0</v>
      </c>
      <c r="F31" s="110">
        <f>FASE1!M31</f>
        <v>0</v>
      </c>
      <c r="G31" s="110">
        <f>FASE1!L31</f>
        <v>0</v>
      </c>
      <c r="H31" s="110">
        <f>FASE1!R31</f>
        <v>0</v>
      </c>
      <c r="I31" s="110">
        <f>FASE1!U31</f>
        <v>0</v>
      </c>
      <c r="J31" s="110">
        <f>FASE1!U31</f>
        <v>0</v>
      </c>
      <c r="K31" s="110">
        <f>FASE1!P31</f>
        <v>0</v>
      </c>
      <c r="L31" s="110">
        <f>FASE1!V31</f>
        <v>0</v>
      </c>
      <c r="M31" s="110">
        <f>AVERAGE(FASE2!F31:G31)</f>
        <v>0</v>
      </c>
      <c r="N31" s="110">
        <f>AVERAGE(FASE2!O31:P31,FASE2!S31)</f>
        <v>0</v>
      </c>
      <c r="O31" s="110">
        <f>FASE4!K31</f>
        <v>0</v>
      </c>
      <c r="P31" s="110">
        <f>FASE2!N31</f>
        <v>0</v>
      </c>
      <c r="Q31" s="110">
        <f>FASE3!P31</f>
        <v>0</v>
      </c>
      <c r="R31" s="110">
        <f>FASE3!N31</f>
        <v>0</v>
      </c>
      <c r="S31" s="110">
        <f>AVERAGE(FASE3!Q31,FASE3!R31,FASE3!T31,FASE3!S31)</f>
        <v>0</v>
      </c>
      <c r="T31" s="110">
        <f>AVERAGE(FASE3!U31,FASE3!V31,FASE3!W31)</f>
        <v>0</v>
      </c>
      <c r="U31" s="110">
        <f>FASE3!Y31</f>
        <v>0</v>
      </c>
      <c r="V31" s="110">
        <f>FASE3!X31</f>
        <v>0</v>
      </c>
      <c r="W31" s="110">
        <f>FASE4!M31</f>
        <v>0</v>
      </c>
      <c r="X31" s="110">
        <f t="shared" si="0"/>
        <v>0</v>
      </c>
    </row>
    <row r="32" spans="2:25" ht="15.75" customHeight="1" x14ac:dyDescent="0.25">
      <c r="B32">
        <v>2</v>
      </c>
      <c r="C32" t="s">
        <v>112</v>
      </c>
      <c r="D32" s="97">
        <v>220</v>
      </c>
      <c r="E32" s="110">
        <f>FASE1!G32</f>
        <v>0</v>
      </c>
      <c r="F32" s="110">
        <f>FASE1!M32</f>
        <v>0</v>
      </c>
      <c r="G32" s="110">
        <f>FASE1!L32</f>
        <v>0</v>
      </c>
      <c r="H32" s="110">
        <f>FASE1!R32</f>
        <v>0</v>
      </c>
      <c r="I32" s="110">
        <f>FASE1!U32</f>
        <v>0</v>
      </c>
      <c r="J32" s="110">
        <f>FASE1!U32</f>
        <v>0</v>
      </c>
      <c r="K32" s="110">
        <f>FASE1!P32</f>
        <v>0</v>
      </c>
      <c r="L32" s="110">
        <f>FASE1!V32</f>
        <v>0</v>
      </c>
      <c r="M32" s="110">
        <f>AVERAGE(FASE2!F32:G32)</f>
        <v>0</v>
      </c>
      <c r="N32" s="110">
        <f>AVERAGE(FASE2!O32:P32,FASE2!S32)</f>
        <v>0</v>
      </c>
      <c r="O32" s="110">
        <f>FASE4!K32</f>
        <v>0</v>
      </c>
      <c r="P32" s="110">
        <f>FASE2!N32</f>
        <v>0</v>
      </c>
      <c r="Q32" s="110">
        <f>FASE3!P32</f>
        <v>0</v>
      </c>
      <c r="R32" s="110">
        <f>FASE3!N32</f>
        <v>0</v>
      </c>
      <c r="S32" s="110">
        <f>AVERAGE(FASE3!Q32,FASE3!R32,FASE3!T32,FASE3!S32)</f>
        <v>0</v>
      </c>
      <c r="T32" s="110">
        <f>AVERAGE(FASE3!U32,FASE3!V32,FASE3!W32)</f>
        <v>0</v>
      </c>
      <c r="U32" s="110">
        <f>FASE3!Y32</f>
        <v>0</v>
      </c>
      <c r="V32" s="110">
        <f>FASE3!X32</f>
        <v>0</v>
      </c>
      <c r="W32" s="110">
        <f>FASE4!M32</f>
        <v>0</v>
      </c>
      <c r="X32" s="110">
        <f t="shared" si="0"/>
        <v>0</v>
      </c>
    </row>
    <row r="33" spans="2:25" ht="15.75" customHeight="1" x14ac:dyDescent="0.25">
      <c r="B33">
        <v>2</v>
      </c>
      <c r="C33" t="s">
        <v>112</v>
      </c>
      <c r="D33" s="97">
        <v>221</v>
      </c>
      <c r="E33" s="110">
        <f>FASE1!G33</f>
        <v>0</v>
      </c>
      <c r="F33" s="110">
        <f>FASE1!M33</f>
        <v>0</v>
      </c>
      <c r="G33" s="110">
        <f>FASE1!L33</f>
        <v>0</v>
      </c>
      <c r="H33" s="110">
        <f>FASE1!R33</f>
        <v>0</v>
      </c>
      <c r="I33" s="110">
        <f>FASE1!U33</f>
        <v>0</v>
      </c>
      <c r="J33" s="110">
        <f>FASE1!U33</f>
        <v>0</v>
      </c>
      <c r="K33" s="110">
        <f>FASE1!P33</f>
        <v>0</v>
      </c>
      <c r="L33" s="110">
        <f>FASE1!V33</f>
        <v>0</v>
      </c>
      <c r="M33" s="110">
        <f>AVERAGE(FASE2!F33:G33)</f>
        <v>0</v>
      </c>
      <c r="N33" s="110">
        <f>AVERAGE(FASE2!O33:P33,FASE2!S33)</f>
        <v>0</v>
      </c>
      <c r="O33" s="110">
        <f>FASE4!K33</f>
        <v>0</v>
      </c>
      <c r="P33" s="110">
        <f>FASE2!N33</f>
        <v>0</v>
      </c>
      <c r="Q33" s="110">
        <f>FASE3!P33</f>
        <v>0</v>
      </c>
      <c r="R33" s="110">
        <f>FASE3!N33</f>
        <v>0</v>
      </c>
      <c r="S33" s="110">
        <f>AVERAGE(FASE3!Q33,FASE3!R33,FASE3!T33,FASE3!S33)</f>
        <v>0</v>
      </c>
      <c r="T33" s="110">
        <f>AVERAGE(FASE3!U33,FASE3!V33,FASE3!W33)</f>
        <v>0</v>
      </c>
      <c r="U33" s="110">
        <f>FASE3!Y33</f>
        <v>0</v>
      </c>
      <c r="V33" s="110">
        <f>FASE3!X33</f>
        <v>0</v>
      </c>
      <c r="W33" s="110">
        <f>FASE4!M33</f>
        <v>0</v>
      </c>
      <c r="X33" s="110">
        <f t="shared" si="0"/>
        <v>0</v>
      </c>
    </row>
    <row r="34" spans="2:25" ht="15.75" customHeight="1" x14ac:dyDescent="0.25">
      <c r="B34">
        <v>2</v>
      </c>
      <c r="C34" t="s">
        <v>112</v>
      </c>
      <c r="D34" s="97">
        <v>222</v>
      </c>
      <c r="E34" s="110">
        <f>FASE1!G34</f>
        <v>0</v>
      </c>
      <c r="F34" s="110">
        <f>FASE1!M34</f>
        <v>0</v>
      </c>
      <c r="G34" s="110">
        <f>FASE1!L34</f>
        <v>0</v>
      </c>
      <c r="H34" s="110">
        <f>FASE1!R34</f>
        <v>0</v>
      </c>
      <c r="I34" s="110">
        <f>FASE1!U34</f>
        <v>0</v>
      </c>
      <c r="J34" s="110">
        <f>FASE1!U34</f>
        <v>0</v>
      </c>
      <c r="K34" s="110">
        <f>FASE1!P34</f>
        <v>0</v>
      </c>
      <c r="L34" s="110">
        <f>FASE1!V34</f>
        <v>0</v>
      </c>
      <c r="M34" s="110">
        <f>AVERAGE(FASE2!F34:G34)</f>
        <v>0</v>
      </c>
      <c r="N34" s="110">
        <f>AVERAGE(FASE2!O34:P34,FASE2!S34)</f>
        <v>0</v>
      </c>
      <c r="O34" s="110">
        <f>FASE4!K34</f>
        <v>0</v>
      </c>
      <c r="P34" s="110">
        <f>FASE2!N34</f>
        <v>0</v>
      </c>
      <c r="Q34" s="110">
        <f>FASE3!P34</f>
        <v>0</v>
      </c>
      <c r="R34" s="110">
        <f>FASE3!N34</f>
        <v>0</v>
      </c>
      <c r="S34" s="110">
        <f>AVERAGE(FASE3!Q34,FASE3!R34,FASE3!T34,FASE3!S34)</f>
        <v>0</v>
      </c>
      <c r="T34" s="110">
        <f>AVERAGE(FASE3!U34,FASE3!V34,FASE3!W34)</f>
        <v>0</v>
      </c>
      <c r="U34" s="110">
        <f>FASE3!Y34</f>
        <v>0</v>
      </c>
      <c r="V34" s="110">
        <f>FASE3!X34</f>
        <v>0</v>
      </c>
      <c r="W34" s="110">
        <f>FASE4!M34</f>
        <v>0</v>
      </c>
      <c r="X34" s="110">
        <f t="shared" si="0"/>
        <v>0</v>
      </c>
    </row>
    <row r="35" spans="2:25" ht="15.75" customHeight="1" x14ac:dyDescent="0.25">
      <c r="B35">
        <v>2</v>
      </c>
      <c r="C35" t="s">
        <v>112</v>
      </c>
      <c r="D35" s="97">
        <v>223</v>
      </c>
      <c r="E35" s="110">
        <f>FASE1!G35</f>
        <v>0</v>
      </c>
      <c r="F35" s="110">
        <f>FASE1!M35</f>
        <v>0</v>
      </c>
      <c r="G35" s="110">
        <f>FASE1!L35</f>
        <v>0</v>
      </c>
      <c r="H35" s="110">
        <f>FASE1!R35</f>
        <v>0</v>
      </c>
      <c r="I35" s="110">
        <f>FASE1!U35</f>
        <v>0</v>
      </c>
      <c r="J35" s="110">
        <f>FASE1!U35</f>
        <v>0</v>
      </c>
      <c r="K35" s="110">
        <f>FASE1!P35</f>
        <v>0</v>
      </c>
      <c r="L35" s="110">
        <f>FASE1!V35</f>
        <v>0</v>
      </c>
      <c r="M35" s="110">
        <f>AVERAGE(FASE2!F35:G35)</f>
        <v>0</v>
      </c>
      <c r="N35" s="110">
        <f>AVERAGE(FASE2!O35:P35,FASE2!S35)</f>
        <v>0</v>
      </c>
      <c r="O35" s="110">
        <f>FASE4!K35</f>
        <v>0</v>
      </c>
      <c r="P35" s="110">
        <f>FASE2!N35</f>
        <v>0</v>
      </c>
      <c r="Q35" s="110">
        <f>FASE3!P35</f>
        <v>0</v>
      </c>
      <c r="R35" s="110">
        <f>FASE3!N35</f>
        <v>0</v>
      </c>
      <c r="S35" s="110">
        <f>AVERAGE(FASE3!Q35,FASE3!R35,FASE3!T35,FASE3!S35)</f>
        <v>0</v>
      </c>
      <c r="T35" s="110">
        <f>AVERAGE(FASE3!U35,FASE3!V35,FASE3!W35)</f>
        <v>0</v>
      </c>
      <c r="U35" s="110">
        <f>FASE3!Y35</f>
        <v>0</v>
      </c>
      <c r="V35" s="110">
        <f>FASE3!X35</f>
        <v>0</v>
      </c>
      <c r="W35" s="110">
        <f>FASE4!M35</f>
        <v>0</v>
      </c>
      <c r="X35" s="110">
        <f t="shared" si="0"/>
        <v>0</v>
      </c>
    </row>
    <row r="36" spans="2:25" ht="15.75" customHeight="1" x14ac:dyDescent="0.25">
      <c r="B36">
        <v>2</v>
      </c>
      <c r="C36" t="s">
        <v>111</v>
      </c>
      <c r="D36" s="97">
        <v>201</v>
      </c>
      <c r="E36" s="110">
        <f>FASE1!G36</f>
        <v>100</v>
      </c>
      <c r="F36" s="110">
        <f>FASE1!M36</f>
        <v>100</v>
      </c>
      <c r="G36" s="110">
        <f>FASE1!L36</f>
        <v>100</v>
      </c>
      <c r="H36" s="110">
        <f>FASE1!R36</f>
        <v>95</v>
      </c>
      <c r="I36" s="110">
        <f>FASE1!U36</f>
        <v>95</v>
      </c>
      <c r="J36" s="110">
        <f>FASE1!U36</f>
        <v>95</v>
      </c>
      <c r="K36" s="110">
        <f>FASE1!P36</f>
        <v>85</v>
      </c>
      <c r="L36" s="110">
        <f>FASE1!V36</f>
        <v>95</v>
      </c>
      <c r="M36" s="110">
        <f>AVERAGE(FASE2!F36:G36)</f>
        <v>0</v>
      </c>
      <c r="N36" s="110">
        <f>AVERAGE(FASE2!O36:P36,FASE2!S36)</f>
        <v>0</v>
      </c>
      <c r="O36" s="110">
        <f>FASE4!K36</f>
        <v>0</v>
      </c>
      <c r="P36" s="110">
        <f>FASE2!N36</f>
        <v>0.95</v>
      </c>
      <c r="Q36" s="110">
        <f>FASE3!P36</f>
        <v>0</v>
      </c>
      <c r="R36" s="110">
        <f>FASE3!N36</f>
        <v>0.5</v>
      </c>
      <c r="S36" s="110">
        <f>AVERAGE(FASE3!Q36,FASE3!R36,FASE3!T36,FASE3!S36)</f>
        <v>0</v>
      </c>
      <c r="T36" s="110">
        <f>AVERAGE(FASE3!U36,FASE3!V36,FASE3!W36)</f>
        <v>0</v>
      </c>
      <c r="U36" s="110">
        <f>FASE3!Y36</f>
        <v>0</v>
      </c>
      <c r="V36" s="110">
        <f>FASE3!X36</f>
        <v>0</v>
      </c>
      <c r="W36" s="110">
        <f>FASE4!M36</f>
        <v>0</v>
      </c>
      <c r="X36" s="110">
        <f t="shared" si="0"/>
        <v>42.580555555555556</v>
      </c>
    </row>
    <row r="37" spans="2:25" ht="15.75" customHeight="1" x14ac:dyDescent="0.25">
      <c r="B37">
        <v>2</v>
      </c>
      <c r="C37" t="s">
        <v>111</v>
      </c>
      <c r="D37" s="97">
        <v>202</v>
      </c>
      <c r="E37" s="110">
        <f>FASE1!G37</f>
        <v>100</v>
      </c>
      <c r="F37" s="110">
        <f>FASE1!M37</f>
        <v>100</v>
      </c>
      <c r="G37" s="110">
        <f>FASE1!L37</f>
        <v>100</v>
      </c>
      <c r="H37" s="110">
        <f>FASE1!R37</f>
        <v>95</v>
      </c>
      <c r="I37" s="110">
        <f>FASE1!U37</f>
        <v>95</v>
      </c>
      <c r="J37" s="110">
        <f>FASE1!U37</f>
        <v>95</v>
      </c>
      <c r="K37" s="110">
        <f>FASE1!P37</f>
        <v>100</v>
      </c>
      <c r="L37" s="110">
        <f>FASE1!V37</f>
        <v>95</v>
      </c>
      <c r="M37" s="110">
        <f>AVERAGE(FASE2!F37:G37)</f>
        <v>0</v>
      </c>
      <c r="N37" s="110">
        <f>AVERAGE(FASE2!O37:P37,FASE2!S37)</f>
        <v>0</v>
      </c>
      <c r="O37" s="110">
        <f>FASE4!K37</f>
        <v>0</v>
      </c>
      <c r="P37" s="110">
        <f>FASE2!N37</f>
        <v>0.95</v>
      </c>
      <c r="Q37" s="110">
        <f>FASE3!P37</f>
        <v>0</v>
      </c>
      <c r="R37" s="110">
        <f>FASE3!N37</f>
        <v>0.5</v>
      </c>
      <c r="S37" s="110">
        <f>AVERAGE(FASE3!Q37,FASE3!R37,FASE3!T37,FASE3!S37)</f>
        <v>0</v>
      </c>
      <c r="T37" s="110">
        <f>AVERAGE(FASE3!U37,FASE3!V37,FASE3!W37)</f>
        <v>0</v>
      </c>
      <c r="U37" s="110">
        <f>FASE3!Y37</f>
        <v>0</v>
      </c>
      <c r="V37" s="110">
        <f>FASE3!X37</f>
        <v>0</v>
      </c>
      <c r="W37" s="110">
        <f>FASE4!M37</f>
        <v>0</v>
      </c>
      <c r="X37" s="110">
        <f t="shared" si="0"/>
        <v>43.413888888888891</v>
      </c>
      <c r="Y37" s="2"/>
    </row>
    <row r="38" spans="2:25" ht="15.75" customHeight="1" x14ac:dyDescent="0.25">
      <c r="B38">
        <v>2</v>
      </c>
      <c r="C38" t="s">
        <v>111</v>
      </c>
      <c r="D38" s="97">
        <v>203</v>
      </c>
      <c r="E38" s="110">
        <f>FASE1!G38</f>
        <v>100</v>
      </c>
      <c r="F38" s="110">
        <f>FASE1!M38</f>
        <v>100</v>
      </c>
      <c r="G38" s="110">
        <f>FASE1!L38</f>
        <v>100</v>
      </c>
      <c r="H38" s="110">
        <f>FASE1!R38</f>
        <v>95</v>
      </c>
      <c r="I38" s="110">
        <f>FASE1!U38</f>
        <v>85</v>
      </c>
      <c r="J38" s="110">
        <f>FASE1!U38</f>
        <v>85</v>
      </c>
      <c r="K38" s="110">
        <f>FASE1!P38</f>
        <v>90</v>
      </c>
      <c r="L38" s="110">
        <f>FASE1!V38</f>
        <v>95</v>
      </c>
      <c r="M38" s="110">
        <f>AVERAGE(FASE2!F38:G38)</f>
        <v>0</v>
      </c>
      <c r="N38" s="110">
        <f>AVERAGE(FASE2!O38:P38,FASE2!S38)</f>
        <v>6.6666666666666666E-2</v>
      </c>
      <c r="O38" s="110">
        <f>FASE4!K38</f>
        <v>0</v>
      </c>
      <c r="P38" s="110">
        <f>FASE2!N38</f>
        <v>0.95</v>
      </c>
      <c r="Q38" s="110">
        <f>FASE3!P38</f>
        <v>0</v>
      </c>
      <c r="R38" s="110">
        <f>FASE3!N38</f>
        <v>0.5</v>
      </c>
      <c r="S38" s="110">
        <f>AVERAGE(FASE3!Q38,FASE3!R38,FASE3!T38,FASE3!S38)</f>
        <v>0</v>
      </c>
      <c r="T38" s="110">
        <f>AVERAGE(FASE3!U38,FASE3!V38,FASE3!W38)</f>
        <v>0</v>
      </c>
      <c r="U38" s="110">
        <f>FASE3!Y38</f>
        <v>0</v>
      </c>
      <c r="V38" s="110">
        <f>FASE3!X38</f>
        <v>0</v>
      </c>
      <c r="W38" s="110">
        <f>FASE4!M38</f>
        <v>0</v>
      </c>
      <c r="X38" s="110">
        <f t="shared" si="0"/>
        <v>41.750925925925934</v>
      </c>
    </row>
    <row r="39" spans="2:25" ht="15.75" customHeight="1" x14ac:dyDescent="0.25">
      <c r="B39">
        <v>2</v>
      </c>
      <c r="C39" t="s">
        <v>111</v>
      </c>
      <c r="D39" s="97">
        <v>204</v>
      </c>
      <c r="E39" s="110">
        <f>FASE1!G39</f>
        <v>100</v>
      </c>
      <c r="F39" s="110">
        <f>FASE1!M39</f>
        <v>100</v>
      </c>
      <c r="G39" s="110">
        <f>FASE1!L39</f>
        <v>100</v>
      </c>
      <c r="H39" s="110">
        <f>FASE1!R39</f>
        <v>95</v>
      </c>
      <c r="I39" s="110">
        <f>FASE1!U39</f>
        <v>95</v>
      </c>
      <c r="J39" s="110">
        <f>FASE1!U39</f>
        <v>95</v>
      </c>
      <c r="K39" s="110">
        <f>FASE1!P39</f>
        <v>90</v>
      </c>
      <c r="L39" s="110">
        <f>FASE1!V39</f>
        <v>95</v>
      </c>
      <c r="M39" s="110">
        <f>AVERAGE(FASE2!F39:G39)</f>
        <v>0</v>
      </c>
      <c r="N39" s="110">
        <f>AVERAGE(FASE2!O39:P39,FASE2!S39)</f>
        <v>0.10000000000000002</v>
      </c>
      <c r="O39" s="110">
        <f>FASE4!K39</f>
        <v>0</v>
      </c>
      <c r="P39" s="110">
        <f>FASE2!N39</f>
        <v>0.95</v>
      </c>
      <c r="Q39" s="110">
        <f>FASE3!P39</f>
        <v>0</v>
      </c>
      <c r="R39" s="110">
        <f>FASE3!N39</f>
        <v>0.5</v>
      </c>
      <c r="S39" s="110">
        <f>AVERAGE(FASE3!Q39,FASE3!R39,FASE3!T39,FASE3!S39)</f>
        <v>0</v>
      </c>
      <c r="T39" s="110">
        <f>AVERAGE(FASE3!U39,FASE3!V39,FASE3!W39)</f>
        <v>0</v>
      </c>
      <c r="U39" s="110">
        <f>FASE3!Y39</f>
        <v>0</v>
      </c>
      <c r="V39" s="110">
        <f>FASE3!X39</f>
        <v>0</v>
      </c>
      <c r="W39" s="110">
        <f>FASE4!M39</f>
        <v>0</v>
      </c>
      <c r="X39" s="110">
        <f t="shared" si="0"/>
        <v>42.863888888888894</v>
      </c>
    </row>
    <row r="40" spans="2:25" ht="15.75" customHeight="1" x14ac:dyDescent="0.25">
      <c r="B40">
        <v>2</v>
      </c>
      <c r="C40" t="s">
        <v>111</v>
      </c>
      <c r="D40" s="97">
        <v>205</v>
      </c>
      <c r="E40" s="110">
        <f>FASE1!G40</f>
        <v>100</v>
      </c>
      <c r="F40" s="110">
        <f>FASE1!M40</f>
        <v>100</v>
      </c>
      <c r="G40" s="110">
        <f>FASE1!L40</f>
        <v>100</v>
      </c>
      <c r="H40" s="110">
        <f>FASE1!R40</f>
        <v>95</v>
      </c>
      <c r="I40" s="110">
        <f>FASE1!U40</f>
        <v>95</v>
      </c>
      <c r="J40" s="110">
        <f>FASE1!U40</f>
        <v>95</v>
      </c>
      <c r="K40" s="110">
        <f>FASE1!P40</f>
        <v>95</v>
      </c>
      <c r="L40" s="110">
        <f>FASE1!V40</f>
        <v>95</v>
      </c>
      <c r="M40" s="110">
        <f>AVERAGE(FASE2!F40:G40)</f>
        <v>0</v>
      </c>
      <c r="N40" s="110">
        <f>AVERAGE(FASE2!O40:P40,FASE2!S40)</f>
        <v>6.6833333333333342E-2</v>
      </c>
      <c r="O40" s="110">
        <f>FASE4!K40</f>
        <v>0</v>
      </c>
      <c r="P40" s="110">
        <f>FASE2!N40</f>
        <v>0.95</v>
      </c>
      <c r="Q40" s="110">
        <f>FASE3!P40</f>
        <v>0</v>
      </c>
      <c r="R40" s="110">
        <f>FASE3!N40</f>
        <v>0.5</v>
      </c>
      <c r="S40" s="110">
        <f>AVERAGE(FASE3!Q40,FASE3!R40,FASE3!T40,FASE3!S40)</f>
        <v>0</v>
      </c>
      <c r="T40" s="110">
        <f>AVERAGE(FASE3!U40,FASE3!V40,FASE3!W40)</f>
        <v>0</v>
      </c>
      <c r="U40" s="110">
        <f>FASE3!Y40</f>
        <v>0</v>
      </c>
      <c r="V40" s="110">
        <f>FASE3!X40</f>
        <v>0</v>
      </c>
      <c r="W40" s="110">
        <f>FASE4!M40</f>
        <v>0</v>
      </c>
      <c r="X40" s="110">
        <f t="shared" si="0"/>
        <v>43.139824074074077</v>
      </c>
    </row>
    <row r="41" spans="2:25" ht="15.75" customHeight="1" x14ac:dyDescent="0.25">
      <c r="B41">
        <v>2</v>
      </c>
      <c r="C41" t="s">
        <v>111</v>
      </c>
      <c r="D41" s="97">
        <v>206</v>
      </c>
      <c r="E41" s="110">
        <f>FASE1!G41</f>
        <v>100</v>
      </c>
      <c r="F41" s="110">
        <f>FASE1!M41</f>
        <v>100</v>
      </c>
      <c r="G41" s="110">
        <f>FASE1!L41</f>
        <v>100</v>
      </c>
      <c r="H41" s="110">
        <f>FASE1!R41</f>
        <v>95</v>
      </c>
      <c r="I41" s="110">
        <f>FASE1!U41</f>
        <v>95</v>
      </c>
      <c r="J41" s="110">
        <f>FASE1!U41</f>
        <v>95</v>
      </c>
      <c r="K41" s="110">
        <f>FASE1!P41</f>
        <v>90</v>
      </c>
      <c r="L41" s="110">
        <f>FASE1!V41</f>
        <v>95</v>
      </c>
      <c r="M41" s="110">
        <f>AVERAGE(FASE2!F41:G41)</f>
        <v>0</v>
      </c>
      <c r="N41" s="110">
        <f>AVERAGE(FASE2!O41:P41,FASE2!S41)</f>
        <v>0.10000000000000002</v>
      </c>
      <c r="O41" s="110">
        <f>FASE4!K41</f>
        <v>0</v>
      </c>
      <c r="P41" s="110">
        <f>FASE2!N41</f>
        <v>0.95</v>
      </c>
      <c r="Q41" s="110">
        <f>FASE3!P41</f>
        <v>0</v>
      </c>
      <c r="R41" s="110">
        <f>FASE3!N41</f>
        <v>0.5</v>
      </c>
      <c r="S41" s="110">
        <f>AVERAGE(FASE3!Q41,FASE3!R41,FASE3!T41,FASE3!S41)</f>
        <v>0</v>
      </c>
      <c r="T41" s="110">
        <f>AVERAGE(FASE3!U41,FASE3!V41,FASE3!W41)</f>
        <v>0</v>
      </c>
      <c r="U41" s="110">
        <f>FASE3!Y41</f>
        <v>0</v>
      </c>
      <c r="V41" s="110">
        <f>FASE3!X41</f>
        <v>0</v>
      </c>
      <c r="W41" s="110">
        <f>FASE4!M41</f>
        <v>0</v>
      </c>
      <c r="X41" s="110">
        <f t="shared" si="0"/>
        <v>42.863888888888894</v>
      </c>
    </row>
    <row r="42" spans="2:25" ht="15.75" customHeight="1" x14ac:dyDescent="0.25">
      <c r="B42">
        <v>2</v>
      </c>
      <c r="C42" t="s">
        <v>111</v>
      </c>
      <c r="D42" s="97">
        <v>207</v>
      </c>
      <c r="E42" s="110">
        <f>FASE1!G42</f>
        <v>100</v>
      </c>
      <c r="F42" s="110">
        <f>FASE1!M42</f>
        <v>100</v>
      </c>
      <c r="G42" s="110">
        <f>FASE1!L42</f>
        <v>100</v>
      </c>
      <c r="H42" s="110">
        <f>FASE1!R42</f>
        <v>95</v>
      </c>
      <c r="I42" s="110">
        <f>FASE1!U42</f>
        <v>95</v>
      </c>
      <c r="J42" s="110">
        <f>FASE1!U42</f>
        <v>95</v>
      </c>
      <c r="K42" s="110">
        <f>FASE1!P42</f>
        <v>100</v>
      </c>
      <c r="L42" s="110">
        <f>FASE1!V42</f>
        <v>95</v>
      </c>
      <c r="M42" s="110">
        <f>AVERAGE(FASE2!F42:G42)</f>
        <v>0</v>
      </c>
      <c r="N42" s="110">
        <f>AVERAGE(FASE2!O42:P42,FASE2!S42)</f>
        <v>0</v>
      </c>
      <c r="O42" s="110">
        <f>FASE4!K42</f>
        <v>0</v>
      </c>
      <c r="P42" s="110">
        <f>FASE2!N42</f>
        <v>0.95</v>
      </c>
      <c r="Q42" s="110">
        <f>FASE3!P42</f>
        <v>0</v>
      </c>
      <c r="R42" s="110">
        <f>FASE3!N42</f>
        <v>0.5</v>
      </c>
      <c r="S42" s="110">
        <f>AVERAGE(FASE3!Q42,FASE3!R42,FASE3!T42,FASE3!S42)</f>
        <v>0</v>
      </c>
      <c r="T42" s="110">
        <f>AVERAGE(FASE3!U42,FASE3!V42,FASE3!W42)</f>
        <v>0</v>
      </c>
      <c r="U42" s="110">
        <f>FASE3!Y42</f>
        <v>0</v>
      </c>
      <c r="V42" s="110">
        <f>FASE3!X42</f>
        <v>0</v>
      </c>
      <c r="W42" s="110">
        <f>FASE4!M42</f>
        <v>0</v>
      </c>
      <c r="X42" s="110">
        <f t="shared" si="0"/>
        <v>43.413888888888891</v>
      </c>
    </row>
    <row r="43" spans="2:25" ht="15.75" customHeight="1" x14ac:dyDescent="0.25">
      <c r="B43">
        <v>2</v>
      </c>
      <c r="C43" t="s">
        <v>111</v>
      </c>
      <c r="D43" s="97">
        <v>208</v>
      </c>
      <c r="E43" s="110">
        <f>FASE1!G43</f>
        <v>100</v>
      </c>
      <c r="F43" s="110">
        <f>FASE1!M43</f>
        <v>100</v>
      </c>
      <c r="G43" s="110">
        <f>FASE1!L43</f>
        <v>100</v>
      </c>
      <c r="H43" s="110">
        <f>FASE1!R43</f>
        <v>95</v>
      </c>
      <c r="I43" s="110">
        <f>FASE1!U43</f>
        <v>95</v>
      </c>
      <c r="J43" s="110">
        <f>FASE1!U43</f>
        <v>95</v>
      </c>
      <c r="K43" s="110">
        <f>FASE1!P43</f>
        <v>95</v>
      </c>
      <c r="L43" s="110">
        <f>FASE1!V43</f>
        <v>95</v>
      </c>
      <c r="M43" s="110">
        <f>AVERAGE(FASE2!F43:G43)</f>
        <v>0</v>
      </c>
      <c r="N43" s="110">
        <f>AVERAGE(FASE2!O43:P43,FASE2!S43)</f>
        <v>6.6666666666666666E-2</v>
      </c>
      <c r="O43" s="110">
        <f>FASE4!K43</f>
        <v>0</v>
      </c>
      <c r="P43" s="110">
        <f>FASE2!N43</f>
        <v>0.95</v>
      </c>
      <c r="Q43" s="110">
        <f>FASE3!P43</f>
        <v>0</v>
      </c>
      <c r="R43" s="110">
        <f>FASE3!N43</f>
        <v>0.5</v>
      </c>
      <c r="S43" s="110">
        <f>AVERAGE(FASE3!Q43,FASE3!R43,FASE3!T43,FASE3!S43)</f>
        <v>0</v>
      </c>
      <c r="T43" s="110">
        <f>AVERAGE(FASE3!U43,FASE3!V43,FASE3!W43)</f>
        <v>0</v>
      </c>
      <c r="U43" s="110">
        <f>FASE3!Y43</f>
        <v>0</v>
      </c>
      <c r="V43" s="110">
        <f>FASE3!X43</f>
        <v>0</v>
      </c>
      <c r="W43" s="110">
        <f>FASE4!M43</f>
        <v>0</v>
      </c>
      <c r="X43" s="110">
        <f t="shared" si="0"/>
        <v>43.139814814814819</v>
      </c>
    </row>
    <row r="44" spans="2:25" ht="15.75" customHeight="1" x14ac:dyDescent="0.25">
      <c r="B44">
        <v>2</v>
      </c>
      <c r="C44" t="s">
        <v>111</v>
      </c>
      <c r="D44" s="97">
        <v>209</v>
      </c>
      <c r="E44" s="110">
        <f>FASE1!G44</f>
        <v>100</v>
      </c>
      <c r="F44" s="110">
        <f>FASE1!M44</f>
        <v>100</v>
      </c>
      <c r="G44" s="110">
        <f>FASE1!L44</f>
        <v>100</v>
      </c>
      <c r="H44" s="110">
        <f>FASE1!R44</f>
        <v>95</v>
      </c>
      <c r="I44" s="110">
        <f>FASE1!U44</f>
        <v>80</v>
      </c>
      <c r="J44" s="110">
        <f>FASE1!U44</f>
        <v>80</v>
      </c>
      <c r="K44" s="110">
        <f>FASE1!P44</f>
        <v>90</v>
      </c>
      <c r="L44" s="110">
        <f>FASE1!V44</f>
        <v>85</v>
      </c>
      <c r="M44" s="110">
        <f>AVERAGE(FASE2!F44:G44)</f>
        <v>0</v>
      </c>
      <c r="N44" s="110">
        <f>AVERAGE(FASE2!O44:P44,FASE2!S44)</f>
        <v>0</v>
      </c>
      <c r="O44" s="110">
        <f>FASE4!K44</f>
        <v>0</v>
      </c>
      <c r="P44" s="110">
        <f>FASE2!N44</f>
        <v>0.1</v>
      </c>
      <c r="Q44" s="110">
        <f>FASE3!P44</f>
        <v>0</v>
      </c>
      <c r="R44" s="110">
        <f>FASE3!N44</f>
        <v>0.35</v>
      </c>
      <c r="S44" s="110">
        <f>AVERAGE(FASE3!Q44,FASE3!R44,FASE3!T44,FASE3!S44)</f>
        <v>0</v>
      </c>
      <c r="T44" s="110">
        <f>AVERAGE(FASE3!U44,FASE3!V44,FASE3!W44)</f>
        <v>0</v>
      </c>
      <c r="U44" s="110">
        <f>FASE3!Y44</f>
        <v>0</v>
      </c>
      <c r="V44" s="110">
        <f>FASE3!X44</f>
        <v>0</v>
      </c>
      <c r="W44" s="110">
        <f>FASE4!M44</f>
        <v>0</v>
      </c>
      <c r="X44" s="110">
        <f t="shared" si="0"/>
        <v>40.580555555555556</v>
      </c>
    </row>
    <row r="45" spans="2:25" ht="15.75" customHeight="1" x14ac:dyDescent="0.25">
      <c r="B45">
        <v>2</v>
      </c>
      <c r="C45" t="s">
        <v>111</v>
      </c>
      <c r="D45" s="97">
        <v>210</v>
      </c>
      <c r="E45" s="110">
        <f>FASE1!G45</f>
        <v>100</v>
      </c>
      <c r="F45" s="110">
        <f>FASE1!M45</f>
        <v>100</v>
      </c>
      <c r="G45" s="110">
        <f>FASE1!L45</f>
        <v>100</v>
      </c>
      <c r="H45" s="110">
        <f>FASE1!R45</f>
        <v>95</v>
      </c>
      <c r="I45" s="110">
        <f>FASE1!U45</f>
        <v>95</v>
      </c>
      <c r="J45" s="110">
        <f>FASE1!U45</f>
        <v>95</v>
      </c>
      <c r="K45" s="110">
        <f>FASE1!P45</f>
        <v>95</v>
      </c>
      <c r="L45" s="110">
        <f>FASE1!V45</f>
        <v>80</v>
      </c>
      <c r="M45" s="110">
        <f>AVERAGE(FASE2!F45:G45)</f>
        <v>0</v>
      </c>
      <c r="N45" s="110">
        <f>AVERAGE(FASE2!O45:P45,FASE2!S45)</f>
        <v>0</v>
      </c>
      <c r="O45" s="110">
        <f>FASE4!K45</f>
        <v>0</v>
      </c>
      <c r="P45" s="110">
        <f>FASE2!N45</f>
        <v>0.1</v>
      </c>
      <c r="Q45" s="110">
        <f>FASE3!P45</f>
        <v>0</v>
      </c>
      <c r="R45" s="110">
        <f>FASE3!N45</f>
        <v>0.4</v>
      </c>
      <c r="S45" s="110">
        <f>AVERAGE(FASE3!Q45,FASE3!R45,FASE3!T45,FASE3!S45)</f>
        <v>0</v>
      </c>
      <c r="T45" s="110">
        <f>AVERAGE(FASE3!U45,FASE3!V45,FASE3!W45)</f>
        <v>0</v>
      </c>
      <c r="U45" s="110">
        <f>FASE3!Y45</f>
        <v>0</v>
      </c>
      <c r="V45" s="110">
        <f>FASE3!X45</f>
        <v>0</v>
      </c>
      <c r="W45" s="110">
        <f>FASE4!M45</f>
        <v>0</v>
      </c>
      <c r="X45" s="110">
        <f t="shared" si="0"/>
        <v>42.25</v>
      </c>
    </row>
    <row r="46" spans="2:25" ht="15.75" customHeight="1" x14ac:dyDescent="0.25">
      <c r="B46">
        <v>2</v>
      </c>
      <c r="C46" t="s">
        <v>111</v>
      </c>
      <c r="D46" s="97">
        <v>211</v>
      </c>
      <c r="E46" s="110">
        <f>FASE1!G46</f>
        <v>100</v>
      </c>
      <c r="F46" s="110">
        <f>FASE1!M46</f>
        <v>95</v>
      </c>
      <c r="G46" s="110">
        <f>FASE1!L46</f>
        <v>100</v>
      </c>
      <c r="H46" s="110">
        <f>FASE1!R46</f>
        <v>95</v>
      </c>
      <c r="I46" s="110">
        <f>FASE1!U46</f>
        <v>75</v>
      </c>
      <c r="J46" s="110">
        <f>FASE1!U46</f>
        <v>75</v>
      </c>
      <c r="K46" s="110">
        <f>FASE1!P46</f>
        <v>70</v>
      </c>
      <c r="L46" s="110">
        <f>FASE1!V46</f>
        <v>80</v>
      </c>
      <c r="M46" s="110">
        <f>AVERAGE(FASE2!F46:G46)</f>
        <v>0</v>
      </c>
      <c r="N46" s="110">
        <f>AVERAGE(FASE2!O46:P46,FASE2!S46)</f>
        <v>0</v>
      </c>
      <c r="O46" s="110">
        <f>FASE4!K46</f>
        <v>0</v>
      </c>
      <c r="P46" s="110">
        <f>FASE2!N46</f>
        <v>0.1</v>
      </c>
      <c r="Q46" s="110">
        <f>FASE3!P46</f>
        <v>0</v>
      </c>
      <c r="R46" s="110">
        <f>FASE3!N46</f>
        <v>0.3</v>
      </c>
      <c r="S46" s="110">
        <f>AVERAGE(FASE3!Q46,FASE3!R46,FASE3!T46,FASE3!S46)</f>
        <v>0</v>
      </c>
      <c r="T46" s="110">
        <f>AVERAGE(FASE3!U46,FASE3!V46,FASE3!W46)</f>
        <v>0</v>
      </c>
      <c r="U46" s="110">
        <f>FASE3!Y46</f>
        <v>0</v>
      </c>
      <c r="V46" s="110">
        <f>FASE3!X46</f>
        <v>0</v>
      </c>
      <c r="W46" s="110">
        <f>FASE4!M46</f>
        <v>0</v>
      </c>
      <c r="X46" s="110">
        <f t="shared" si="0"/>
        <v>38.355555555555554</v>
      </c>
    </row>
    <row r="47" spans="2:25" ht="15.75" customHeight="1" x14ac:dyDescent="0.25">
      <c r="B47">
        <v>2</v>
      </c>
      <c r="C47" t="s">
        <v>111</v>
      </c>
      <c r="D47" s="97">
        <v>212</v>
      </c>
      <c r="E47" s="110">
        <f>FASE1!G47</f>
        <v>100</v>
      </c>
      <c r="F47" s="110">
        <f>FASE1!M47</f>
        <v>95</v>
      </c>
      <c r="G47" s="110">
        <f>FASE1!L47</f>
        <v>100</v>
      </c>
      <c r="H47" s="110">
        <f>FASE1!R47</f>
        <v>95</v>
      </c>
      <c r="I47" s="110">
        <f>FASE1!U47</f>
        <v>0</v>
      </c>
      <c r="J47" s="110">
        <f>FASE1!U47</f>
        <v>0</v>
      </c>
      <c r="K47" s="110">
        <f>FASE1!P47</f>
        <v>70</v>
      </c>
      <c r="L47" s="110">
        <f>FASE1!V47</f>
        <v>0</v>
      </c>
      <c r="M47" s="110">
        <f>AVERAGE(FASE2!F47:G47)</f>
        <v>0</v>
      </c>
      <c r="N47" s="110">
        <f>AVERAGE(FASE2!O47:P47,FASE2!S47)</f>
        <v>0</v>
      </c>
      <c r="O47" s="110">
        <f>FASE4!K47</f>
        <v>0</v>
      </c>
      <c r="P47" s="110">
        <f>FASE2!N47</f>
        <v>0.1</v>
      </c>
      <c r="Q47" s="110">
        <f>FASE3!P47</f>
        <v>0</v>
      </c>
      <c r="R47" s="110">
        <f>FASE3!N47</f>
        <v>0.35</v>
      </c>
      <c r="S47" s="110">
        <f>AVERAGE(FASE3!Q47,FASE3!R47,FASE3!T47,FASE3!S47)</f>
        <v>0</v>
      </c>
      <c r="T47" s="110">
        <f>AVERAGE(FASE3!U47,FASE3!V47,FASE3!W47)</f>
        <v>0</v>
      </c>
      <c r="U47" s="110">
        <f>FASE3!Y47</f>
        <v>0</v>
      </c>
      <c r="V47" s="110">
        <f>FASE3!X47</f>
        <v>0</v>
      </c>
      <c r="W47" s="110">
        <f>FASE4!M47</f>
        <v>0</v>
      </c>
      <c r="X47" s="110">
        <f t="shared" si="0"/>
        <v>25.580555555555559</v>
      </c>
    </row>
    <row r="48" spans="2:25" ht="15.75" customHeight="1" x14ac:dyDescent="0.25">
      <c r="B48">
        <v>2</v>
      </c>
      <c r="C48" t="s">
        <v>111</v>
      </c>
      <c r="D48" s="97">
        <v>213</v>
      </c>
      <c r="E48" s="110">
        <f>FASE1!G48</f>
        <v>100</v>
      </c>
      <c r="F48" s="110">
        <f>FASE1!M48</f>
        <v>100</v>
      </c>
      <c r="G48" s="110">
        <f>FASE1!L48</f>
        <v>100</v>
      </c>
      <c r="H48" s="110">
        <f>FASE1!R48</f>
        <v>95</v>
      </c>
      <c r="I48" s="110">
        <f>FASE1!U48</f>
        <v>0</v>
      </c>
      <c r="J48" s="110">
        <f>FASE1!U48</f>
        <v>0</v>
      </c>
      <c r="K48" s="110">
        <f>FASE1!P48</f>
        <v>100</v>
      </c>
      <c r="L48" s="110">
        <f>FASE1!V48</f>
        <v>0</v>
      </c>
      <c r="M48" s="110">
        <f>AVERAGE(FASE2!F48:G48)</f>
        <v>0</v>
      </c>
      <c r="N48" s="110">
        <f>AVERAGE(FASE2!O48:P48,FASE2!S48)</f>
        <v>0</v>
      </c>
      <c r="O48" s="110">
        <f>FASE4!K48</f>
        <v>0</v>
      </c>
      <c r="P48" s="110">
        <f>FASE2!N48</f>
        <v>0.1</v>
      </c>
      <c r="Q48" s="110">
        <f>FASE3!P48</f>
        <v>0</v>
      </c>
      <c r="R48" s="110">
        <f>FASE3!N48</f>
        <v>0.3</v>
      </c>
      <c r="S48" s="110">
        <f>AVERAGE(FASE3!Q48,FASE3!R48,FASE3!T48,FASE3!S48)</f>
        <v>0</v>
      </c>
      <c r="T48" s="110">
        <f>AVERAGE(FASE3!U48,FASE3!V48,FASE3!W48)</f>
        <v>0</v>
      </c>
      <c r="U48" s="110">
        <f>FASE3!Y48</f>
        <v>0</v>
      </c>
      <c r="V48" s="110">
        <f>FASE3!X48</f>
        <v>0</v>
      </c>
      <c r="W48" s="110">
        <f>FASE4!M48</f>
        <v>0</v>
      </c>
      <c r="X48" s="110">
        <f t="shared" si="0"/>
        <v>27.522222222222226</v>
      </c>
    </row>
    <row r="49" spans="2:25" ht="15.75" customHeight="1" x14ac:dyDescent="0.25">
      <c r="B49">
        <v>2</v>
      </c>
      <c r="C49" t="s">
        <v>111</v>
      </c>
      <c r="D49" s="97">
        <v>214</v>
      </c>
      <c r="E49" s="110">
        <f>FASE1!G49</f>
        <v>100</v>
      </c>
      <c r="F49" s="110">
        <f>FASE1!M49</f>
        <v>95</v>
      </c>
      <c r="G49" s="110">
        <f>FASE1!L49</f>
        <v>100</v>
      </c>
      <c r="H49" s="110">
        <f>FASE1!R49</f>
        <v>95</v>
      </c>
      <c r="I49" s="110">
        <f>FASE1!U49</f>
        <v>0</v>
      </c>
      <c r="J49" s="110">
        <f>FASE1!U49</f>
        <v>0</v>
      </c>
      <c r="K49" s="110">
        <f>FASE1!P49</f>
        <v>100</v>
      </c>
      <c r="L49" s="110">
        <f>FASE1!V49</f>
        <v>0</v>
      </c>
      <c r="M49" s="110">
        <f>AVERAGE(FASE2!F49:G49)</f>
        <v>0</v>
      </c>
      <c r="N49" s="110">
        <f>AVERAGE(FASE2!O49:P49,FASE2!S49)</f>
        <v>0</v>
      </c>
      <c r="O49" s="110">
        <f>FASE4!K49</f>
        <v>0</v>
      </c>
      <c r="P49" s="110">
        <f>FASE2!N49</f>
        <v>0.1</v>
      </c>
      <c r="Q49" s="110">
        <f>FASE3!P49</f>
        <v>0</v>
      </c>
      <c r="R49" s="110">
        <f>FASE3!N49</f>
        <v>0.35</v>
      </c>
      <c r="S49" s="110">
        <f>AVERAGE(FASE3!Q49,FASE3!R49,FASE3!T49,FASE3!S49)</f>
        <v>7.4999999999999997E-2</v>
      </c>
      <c r="T49" s="110">
        <f>AVERAGE(FASE3!U49,FASE3!V49,FASE3!W49)</f>
        <v>0</v>
      </c>
      <c r="U49" s="110">
        <f>FASE3!Y49</f>
        <v>0</v>
      </c>
      <c r="V49" s="110">
        <f>FASE3!X49</f>
        <v>0</v>
      </c>
      <c r="W49" s="110">
        <f>FASE4!M49</f>
        <v>0</v>
      </c>
      <c r="X49" s="110">
        <f t="shared" si="0"/>
        <v>27.25138888888889</v>
      </c>
    </row>
    <row r="50" spans="2:25" ht="15.75" customHeight="1" x14ac:dyDescent="0.25">
      <c r="B50">
        <v>2</v>
      </c>
      <c r="C50" t="s">
        <v>111</v>
      </c>
      <c r="D50" s="97">
        <v>215</v>
      </c>
      <c r="E50" s="110">
        <f>FASE1!G50</f>
        <v>100</v>
      </c>
      <c r="F50" s="110">
        <f>FASE1!M50</f>
        <v>95</v>
      </c>
      <c r="G50" s="110">
        <f>FASE1!L50</f>
        <v>100</v>
      </c>
      <c r="H50" s="110">
        <f>FASE1!R50</f>
        <v>95</v>
      </c>
      <c r="I50" s="110">
        <f>FASE1!U50</f>
        <v>0</v>
      </c>
      <c r="J50" s="110">
        <f>FASE1!U50</f>
        <v>0</v>
      </c>
      <c r="K50" s="110">
        <f>FASE1!P50</f>
        <v>100</v>
      </c>
      <c r="L50" s="110">
        <f>FASE1!V50</f>
        <v>0</v>
      </c>
      <c r="M50" s="110">
        <f>AVERAGE(FASE2!F50:G50)</f>
        <v>0</v>
      </c>
      <c r="N50" s="110">
        <f>AVERAGE(FASE2!O50:P50,FASE2!S50)</f>
        <v>0</v>
      </c>
      <c r="O50" s="110">
        <f>FASE4!K50</f>
        <v>0</v>
      </c>
      <c r="P50" s="110">
        <f>FASE2!N50</f>
        <v>0.1</v>
      </c>
      <c r="Q50" s="110">
        <f>FASE3!P50</f>
        <v>0</v>
      </c>
      <c r="R50" s="110">
        <f>FASE3!N50</f>
        <v>0.3</v>
      </c>
      <c r="S50" s="110">
        <f>AVERAGE(FASE3!Q50,FASE3!R50,FASE3!T50,FASE3!S50)</f>
        <v>0</v>
      </c>
      <c r="T50" s="110">
        <f>AVERAGE(FASE3!U50,FASE3!V50,FASE3!W50)</f>
        <v>0</v>
      </c>
      <c r="U50" s="110">
        <f>FASE3!Y50</f>
        <v>0</v>
      </c>
      <c r="V50" s="110">
        <f>FASE3!X50</f>
        <v>0</v>
      </c>
      <c r="W50" s="110">
        <f>FASE4!M50</f>
        <v>0</v>
      </c>
      <c r="X50" s="110">
        <f t="shared" si="0"/>
        <v>27.244444444444447</v>
      </c>
    </row>
    <row r="51" spans="2:25" ht="15.75" customHeight="1" x14ac:dyDescent="0.25">
      <c r="B51">
        <v>2</v>
      </c>
      <c r="C51" t="s">
        <v>111</v>
      </c>
      <c r="D51" s="97">
        <v>216</v>
      </c>
      <c r="E51" s="110">
        <f>FASE1!G51</f>
        <v>100</v>
      </c>
      <c r="F51" s="110">
        <f>FASE1!M51</f>
        <v>95</v>
      </c>
      <c r="G51" s="110">
        <f>FASE1!L51</f>
        <v>100</v>
      </c>
      <c r="H51" s="110">
        <f>FASE1!R51</f>
        <v>95</v>
      </c>
      <c r="I51" s="110">
        <f>FASE1!U51</f>
        <v>0</v>
      </c>
      <c r="J51" s="110">
        <f>FASE1!U51</f>
        <v>0</v>
      </c>
      <c r="K51" s="110">
        <f>FASE1!P51</f>
        <v>80</v>
      </c>
      <c r="L51" s="110">
        <f>FASE1!V51</f>
        <v>0</v>
      </c>
      <c r="M51" s="110">
        <f>AVERAGE(FASE2!F51:G51)</f>
        <v>0</v>
      </c>
      <c r="N51" s="110">
        <f>AVERAGE(FASE2!O51:P51,FASE2!S51)</f>
        <v>0</v>
      </c>
      <c r="O51" s="110">
        <f>FASE4!K51</f>
        <v>0</v>
      </c>
      <c r="P51" s="110">
        <f>FASE2!N51</f>
        <v>0.1</v>
      </c>
      <c r="Q51" s="110">
        <f>FASE3!P51</f>
        <v>0</v>
      </c>
      <c r="R51" s="110">
        <f>FASE3!N51</f>
        <v>0.35</v>
      </c>
      <c r="S51" s="110">
        <f>AVERAGE(FASE3!Q51,FASE3!R51,FASE3!T51,FASE3!S51)</f>
        <v>0</v>
      </c>
      <c r="T51" s="110">
        <f>AVERAGE(FASE3!U51,FASE3!V51,FASE3!W51)</f>
        <v>0</v>
      </c>
      <c r="U51" s="110">
        <f>FASE3!Y51</f>
        <v>0</v>
      </c>
      <c r="V51" s="110">
        <f>FASE3!X51</f>
        <v>0</v>
      </c>
      <c r="W51" s="110">
        <f>FASE4!M51</f>
        <v>0</v>
      </c>
      <c r="X51" s="110">
        <f t="shared" si="0"/>
        <v>26.136111111111113</v>
      </c>
    </row>
    <row r="52" spans="2:25" ht="15.75" customHeight="1" x14ac:dyDescent="0.25">
      <c r="B52">
        <v>2</v>
      </c>
      <c r="C52" t="s">
        <v>111</v>
      </c>
      <c r="D52" s="97">
        <v>217</v>
      </c>
      <c r="E52" s="110">
        <f>FASE1!G52</f>
        <v>100</v>
      </c>
      <c r="F52" s="110">
        <f>FASE1!M52</f>
        <v>95</v>
      </c>
      <c r="G52" s="110">
        <f>FASE1!L52</f>
        <v>100</v>
      </c>
      <c r="H52" s="110">
        <f>FASE1!R52</f>
        <v>95</v>
      </c>
      <c r="I52" s="110">
        <f>FASE1!U52</f>
        <v>0</v>
      </c>
      <c r="J52" s="110">
        <f>FASE1!U52</f>
        <v>0</v>
      </c>
      <c r="K52" s="110">
        <f>FASE1!P52</f>
        <v>100</v>
      </c>
      <c r="L52" s="110">
        <f>FASE1!V52</f>
        <v>0</v>
      </c>
      <c r="M52" s="110">
        <f>AVERAGE(FASE2!F52:G52)</f>
        <v>0</v>
      </c>
      <c r="N52" s="110">
        <f>AVERAGE(FASE2!O52:P52,FASE2!S52)</f>
        <v>0</v>
      </c>
      <c r="O52" s="110">
        <f>FASE4!K52</f>
        <v>0</v>
      </c>
      <c r="P52" s="110">
        <f>FASE2!N52</f>
        <v>0.1</v>
      </c>
      <c r="Q52" s="110">
        <f>FASE3!P52</f>
        <v>0</v>
      </c>
      <c r="R52" s="110">
        <f>FASE3!N52</f>
        <v>0.35</v>
      </c>
      <c r="S52" s="110">
        <f>AVERAGE(FASE3!Q52,FASE3!R52,FASE3!T52,FASE3!S52)</f>
        <v>7.4999999999999997E-2</v>
      </c>
      <c r="T52" s="110">
        <f>AVERAGE(FASE3!U52,FASE3!V52,FASE3!W52)</f>
        <v>0</v>
      </c>
      <c r="U52" s="110">
        <f>FASE3!Y52</f>
        <v>0</v>
      </c>
      <c r="V52" s="110">
        <f>FASE3!X52</f>
        <v>0</v>
      </c>
      <c r="W52" s="110">
        <f>FASE4!M52</f>
        <v>0</v>
      </c>
      <c r="X52" s="110">
        <f t="shared" si="0"/>
        <v>27.25138888888889</v>
      </c>
    </row>
    <row r="53" spans="2:25" ht="15.75" customHeight="1" x14ac:dyDescent="0.25">
      <c r="B53">
        <v>2</v>
      </c>
      <c r="C53" t="s">
        <v>111</v>
      </c>
      <c r="D53" s="97">
        <v>218</v>
      </c>
      <c r="E53" s="110">
        <f>FASE1!G53</f>
        <v>100</v>
      </c>
      <c r="F53" s="110">
        <f>FASE1!M53</f>
        <v>95</v>
      </c>
      <c r="G53" s="110">
        <f>FASE1!L53</f>
        <v>100</v>
      </c>
      <c r="H53" s="110">
        <f>FASE1!R53</f>
        <v>95</v>
      </c>
      <c r="I53" s="110">
        <f>FASE1!U53</f>
        <v>0</v>
      </c>
      <c r="J53" s="110">
        <f>FASE1!U53</f>
        <v>0</v>
      </c>
      <c r="K53" s="110">
        <f>FASE1!P53</f>
        <v>100</v>
      </c>
      <c r="L53" s="110">
        <f>FASE1!V53</f>
        <v>0</v>
      </c>
      <c r="M53" s="110">
        <f>AVERAGE(FASE2!F53:G53)</f>
        <v>0</v>
      </c>
      <c r="N53" s="110">
        <f>AVERAGE(FASE2!O53:P53,FASE2!S53)</f>
        <v>0</v>
      </c>
      <c r="O53" s="110">
        <f>FASE4!K53</f>
        <v>0</v>
      </c>
      <c r="P53" s="110">
        <f>FASE2!N53</f>
        <v>0.1</v>
      </c>
      <c r="Q53" s="110">
        <f>FASE3!P53</f>
        <v>0</v>
      </c>
      <c r="R53" s="110">
        <f>FASE3!N53</f>
        <v>0.4</v>
      </c>
      <c r="S53" s="110">
        <f>AVERAGE(FASE3!Q53,FASE3!R53,FASE3!T53,FASE3!S53)</f>
        <v>0</v>
      </c>
      <c r="T53" s="110">
        <f>AVERAGE(FASE3!U53,FASE3!V53,FASE3!W53)</f>
        <v>0</v>
      </c>
      <c r="U53" s="110">
        <f>FASE3!Y53</f>
        <v>0</v>
      </c>
      <c r="V53" s="110">
        <f>FASE3!X53</f>
        <v>0</v>
      </c>
      <c r="W53" s="110">
        <f>FASE4!M53</f>
        <v>0</v>
      </c>
      <c r="X53" s="110">
        <f t="shared" si="0"/>
        <v>27.25</v>
      </c>
    </row>
    <row r="54" spans="2:25" ht="15.75" customHeight="1" x14ac:dyDescent="0.25">
      <c r="B54">
        <v>2</v>
      </c>
      <c r="C54" t="s">
        <v>111</v>
      </c>
      <c r="D54" s="97">
        <v>219</v>
      </c>
      <c r="E54" s="110">
        <f>FASE1!G54</f>
        <v>100</v>
      </c>
      <c r="F54" s="110">
        <f>FASE1!M54</f>
        <v>0</v>
      </c>
      <c r="G54" s="110">
        <f>FASE1!L54</f>
        <v>100</v>
      </c>
      <c r="H54" s="110">
        <f>FASE1!R54</f>
        <v>0</v>
      </c>
      <c r="I54" s="110">
        <f>FASE1!U54</f>
        <v>0</v>
      </c>
      <c r="J54" s="110">
        <f>FASE1!U54</f>
        <v>0</v>
      </c>
      <c r="K54" s="110">
        <f>FASE1!P54</f>
        <v>100</v>
      </c>
      <c r="L54" s="110">
        <f>FASE1!V54</f>
        <v>0</v>
      </c>
      <c r="M54" s="110">
        <f>AVERAGE(FASE2!F54:G54)</f>
        <v>0</v>
      </c>
      <c r="N54" s="110">
        <f>AVERAGE(FASE2!O54:P54,FASE2!S54)</f>
        <v>0</v>
      </c>
      <c r="O54" s="110">
        <f>FASE4!K54</f>
        <v>0</v>
      </c>
      <c r="P54" s="110">
        <f>FASE2!N54</f>
        <v>0.1</v>
      </c>
      <c r="Q54" s="110">
        <f>FASE3!P54</f>
        <v>0</v>
      </c>
      <c r="R54" s="110">
        <f>FASE3!N54</f>
        <v>0</v>
      </c>
      <c r="S54" s="110">
        <f>AVERAGE(FASE3!Q54,FASE3!R54,FASE3!T54,FASE3!S54)</f>
        <v>0</v>
      </c>
      <c r="T54" s="110">
        <f>AVERAGE(FASE3!U54,FASE3!V54,FASE3!W54)</f>
        <v>0</v>
      </c>
      <c r="U54" s="110">
        <f>FASE3!Y54</f>
        <v>0</v>
      </c>
      <c r="V54" s="110">
        <f>FASE3!X54</f>
        <v>0</v>
      </c>
      <c r="W54" s="110">
        <f>FASE4!M54</f>
        <v>0</v>
      </c>
      <c r="X54" s="110">
        <f t="shared" si="0"/>
        <v>16.672222222222224</v>
      </c>
    </row>
    <row r="55" spans="2:25" ht="15.75" customHeight="1" x14ac:dyDescent="0.25">
      <c r="B55">
        <v>2</v>
      </c>
      <c r="C55" t="s">
        <v>111</v>
      </c>
      <c r="D55" s="97">
        <v>220</v>
      </c>
      <c r="E55" s="110">
        <f>FASE1!G55</f>
        <v>100</v>
      </c>
      <c r="F55" s="110">
        <f>FASE1!M55</f>
        <v>95</v>
      </c>
      <c r="G55" s="110">
        <f>FASE1!L55</f>
        <v>100</v>
      </c>
      <c r="H55" s="110">
        <f>FASE1!R55</f>
        <v>95</v>
      </c>
      <c r="I55" s="110">
        <f>FASE1!U55</f>
        <v>0</v>
      </c>
      <c r="J55" s="110">
        <f>FASE1!U55</f>
        <v>0</v>
      </c>
      <c r="K55" s="110">
        <f>FASE1!P55</f>
        <v>100</v>
      </c>
      <c r="L55" s="110">
        <f>FASE1!V55</f>
        <v>0</v>
      </c>
      <c r="M55" s="110">
        <f>AVERAGE(FASE2!F55:G55)</f>
        <v>0</v>
      </c>
      <c r="N55" s="110">
        <f>AVERAGE(FASE2!O55:P55,FASE2!S55)</f>
        <v>0</v>
      </c>
      <c r="O55" s="110">
        <f>FASE4!K55</f>
        <v>0</v>
      </c>
      <c r="P55" s="110">
        <f>FASE2!N55</f>
        <v>0.1</v>
      </c>
      <c r="Q55" s="110">
        <f>FASE3!P55</f>
        <v>0</v>
      </c>
      <c r="R55" s="110">
        <f>FASE3!N55</f>
        <v>0.4</v>
      </c>
      <c r="S55" s="110">
        <f>AVERAGE(FASE3!Q55,FASE3!R55,FASE3!T55,FASE3!S55)</f>
        <v>7.4999999999999997E-2</v>
      </c>
      <c r="T55" s="110">
        <f>AVERAGE(FASE3!U55,FASE3!V55,FASE3!W55)</f>
        <v>0</v>
      </c>
      <c r="U55" s="110">
        <f>FASE3!Y55</f>
        <v>0</v>
      </c>
      <c r="V55" s="110">
        <f>FASE3!X55</f>
        <v>0</v>
      </c>
      <c r="W55" s="110">
        <f>FASE4!M55</f>
        <v>0</v>
      </c>
      <c r="X55" s="110">
        <f t="shared" si="0"/>
        <v>27.254166666666666</v>
      </c>
      <c r="Y55" s="2"/>
    </row>
    <row r="56" spans="2:25" ht="15.75" customHeight="1" x14ac:dyDescent="0.25">
      <c r="B56">
        <v>2</v>
      </c>
      <c r="C56" t="s">
        <v>111</v>
      </c>
      <c r="D56" s="97">
        <v>221</v>
      </c>
      <c r="E56" s="110">
        <f>FASE1!G56</f>
        <v>100</v>
      </c>
      <c r="F56" s="110">
        <f>FASE1!M56</f>
        <v>95</v>
      </c>
      <c r="G56" s="110">
        <f>FASE1!L56</f>
        <v>100</v>
      </c>
      <c r="H56" s="110">
        <f>FASE1!R56</f>
        <v>95</v>
      </c>
      <c r="I56" s="110">
        <f>FASE1!U56</f>
        <v>0</v>
      </c>
      <c r="J56" s="110">
        <f>FASE1!U56</f>
        <v>0</v>
      </c>
      <c r="K56" s="110">
        <f>FASE1!P56</f>
        <v>100</v>
      </c>
      <c r="L56" s="110">
        <f>FASE1!V56</f>
        <v>80</v>
      </c>
      <c r="M56" s="110">
        <f>AVERAGE(FASE2!F56:G56)</f>
        <v>0</v>
      </c>
      <c r="N56" s="110">
        <f>AVERAGE(FASE2!O56:P56,FASE2!S56)</f>
        <v>0</v>
      </c>
      <c r="O56" s="110">
        <f>FASE4!K56</f>
        <v>0</v>
      </c>
      <c r="P56" s="110">
        <f>FASE2!N56</f>
        <v>0.1</v>
      </c>
      <c r="Q56" s="110">
        <f>FASE3!P56</f>
        <v>0</v>
      </c>
      <c r="R56" s="110">
        <f>FASE3!N56</f>
        <v>0.4</v>
      </c>
      <c r="S56" s="110">
        <f>AVERAGE(FASE3!Q56,FASE3!R56,FASE3!T56,FASE3!S56)</f>
        <v>0</v>
      </c>
      <c r="T56" s="110">
        <f>AVERAGE(FASE3!U56,FASE3!V56,FASE3!W56)</f>
        <v>0</v>
      </c>
      <c r="U56" s="110">
        <f>FASE3!Y56</f>
        <v>0</v>
      </c>
      <c r="V56" s="110">
        <f>FASE3!X56</f>
        <v>0</v>
      </c>
      <c r="W56" s="110">
        <f>FASE4!M56</f>
        <v>0</v>
      </c>
      <c r="X56" s="110">
        <f t="shared" si="0"/>
        <v>31.694444444444443</v>
      </c>
    </row>
    <row r="57" spans="2:25" ht="15.75" customHeight="1" x14ac:dyDescent="0.25">
      <c r="B57">
        <v>2</v>
      </c>
      <c r="C57" t="s">
        <v>131</v>
      </c>
      <c r="D57" s="97" t="s">
        <v>132</v>
      </c>
      <c r="E57" s="110">
        <f>FASE1!G57</f>
        <v>77.906976744186053</v>
      </c>
      <c r="F57" s="110">
        <f>FASE1!M57</f>
        <v>74.418604651162795</v>
      </c>
      <c r="G57" s="110">
        <f>FASE1!L57</f>
        <v>78.023255813953483</v>
      </c>
      <c r="H57" s="110">
        <f>FASE1!R57</f>
        <v>72.441860465116278</v>
      </c>
      <c r="I57" s="110">
        <f>FASE1!U57</f>
        <v>36.511627906976742</v>
      </c>
      <c r="J57" s="110">
        <f>FASE1!U57</f>
        <v>36.511627906976742</v>
      </c>
      <c r="K57" s="110">
        <f>FASE1!P57</f>
        <v>48.953488372093027</v>
      </c>
      <c r="L57" s="110">
        <f>FASE1!V57</f>
        <v>25.232558139534884</v>
      </c>
      <c r="M57" s="110">
        <f>AVERAGE(FASE2!F57:G57)</f>
        <v>0</v>
      </c>
      <c r="N57" s="110">
        <f>IFERROR(AVERAGE(FASE2!O57:P57,FASE2!S57),0)</f>
        <v>9.3062015503875967E-3</v>
      </c>
      <c r="O57" s="110">
        <f>FASE4!K57</f>
        <v>0</v>
      </c>
      <c r="P57" s="110">
        <f>FASE2!N57</f>
        <v>0.23953488372093013</v>
      </c>
      <c r="Q57" s="110">
        <f>FASE3!P57</f>
        <v>0</v>
      </c>
      <c r="R57" s="110">
        <f>FASE3!N57</f>
        <v>0.28255813953488373</v>
      </c>
      <c r="S57" s="110">
        <f>AVERAGE(FASE3!Q57,FASE3!R57,FASE3!T57,FASE3!S57)</f>
        <v>5.2325581395348828E-3</v>
      </c>
      <c r="T57" s="110">
        <f>AVERAGE(FASE3!U57,FASE3!V57,FASE3!W57)</f>
        <v>0</v>
      </c>
      <c r="U57" s="110">
        <f>FASE3!Y57</f>
        <v>0</v>
      </c>
      <c r="V57" s="110">
        <f>FASE3!X57</f>
        <v>0</v>
      </c>
      <c r="W57" s="110">
        <f>FASE4!M57</f>
        <v>0</v>
      </c>
      <c r="X57" s="110">
        <f t="shared" si="0"/>
        <v>25.02981287683032</v>
      </c>
    </row>
    <row r="58" spans="2:25" ht="15.75" customHeight="1" x14ac:dyDescent="0.25">
      <c r="B58">
        <v>3</v>
      </c>
      <c r="C58" t="s">
        <v>112</v>
      </c>
      <c r="D58" s="97">
        <v>301</v>
      </c>
      <c r="E58" s="110">
        <f>FASE1!G58</f>
        <v>50</v>
      </c>
      <c r="F58" s="110">
        <f>FASE1!M58</f>
        <v>0</v>
      </c>
      <c r="G58" s="110">
        <f>FASE1!L58</f>
        <v>95</v>
      </c>
      <c r="H58" s="110">
        <f>FASE1!R58</f>
        <v>0</v>
      </c>
      <c r="I58" s="110">
        <f>FASE1!U58</f>
        <v>0</v>
      </c>
      <c r="J58" s="110">
        <f>FASE1!U58</f>
        <v>0</v>
      </c>
      <c r="K58" s="110">
        <f>FASE1!P58</f>
        <v>0</v>
      </c>
      <c r="L58" s="110">
        <f>FASE1!V58</f>
        <v>0</v>
      </c>
      <c r="M58" s="110">
        <f>AVERAGE(FASE2!F58:G58)</f>
        <v>0</v>
      </c>
      <c r="N58" s="110">
        <f>AVERAGE(FASE2!O58:P58,FASE2!S58)</f>
        <v>0</v>
      </c>
      <c r="O58" s="110">
        <f>FASE4!K58</f>
        <v>0</v>
      </c>
      <c r="P58" s="110">
        <f>FASE2!N58</f>
        <v>0</v>
      </c>
      <c r="Q58" s="110">
        <f>FASE3!P58</f>
        <v>0</v>
      </c>
      <c r="R58" s="110">
        <f>FASE3!N58</f>
        <v>0</v>
      </c>
      <c r="S58" s="110">
        <f>AVERAGE(FASE3!Q58,FASE3!R58,FASE3!T58,FASE3!S58)</f>
        <v>0</v>
      </c>
      <c r="T58" s="110">
        <f>AVERAGE(FASE3!U58,FASE3!V58,FASE3!W58)</f>
        <v>0</v>
      </c>
      <c r="U58" s="110">
        <f>FASE3!Y58</f>
        <v>0</v>
      </c>
      <c r="V58" s="110">
        <f>FASE3!X58</f>
        <v>0</v>
      </c>
      <c r="W58" s="110">
        <f>FASE4!M58</f>
        <v>0</v>
      </c>
      <c r="X58" s="110">
        <f t="shared" si="0"/>
        <v>8.0555555555555554</v>
      </c>
    </row>
    <row r="59" spans="2:25" ht="15.75" customHeight="1" x14ac:dyDescent="0.25">
      <c r="B59">
        <v>3</v>
      </c>
      <c r="C59" t="s">
        <v>112</v>
      </c>
      <c r="D59" s="97">
        <v>302</v>
      </c>
      <c r="E59" s="110">
        <f>FASE1!G59</f>
        <v>50</v>
      </c>
      <c r="F59" s="110">
        <f>FASE1!M59</f>
        <v>0</v>
      </c>
      <c r="G59" s="110">
        <f>FASE1!L59</f>
        <v>95</v>
      </c>
      <c r="H59" s="110">
        <f>FASE1!R59</f>
        <v>0</v>
      </c>
      <c r="I59" s="110">
        <f>FASE1!U59</f>
        <v>0</v>
      </c>
      <c r="J59" s="110">
        <f>FASE1!U59</f>
        <v>0</v>
      </c>
      <c r="K59" s="110">
        <f>FASE1!P59</f>
        <v>0</v>
      </c>
      <c r="L59" s="110">
        <f>FASE1!V59</f>
        <v>0</v>
      </c>
      <c r="M59" s="110">
        <f>AVERAGE(FASE2!F59:G59)</f>
        <v>0</v>
      </c>
      <c r="N59" s="110">
        <f>AVERAGE(FASE2!O59:P59,FASE2!S59)</f>
        <v>0</v>
      </c>
      <c r="O59" s="110">
        <f>FASE4!K59</f>
        <v>0</v>
      </c>
      <c r="P59" s="110">
        <f>FASE2!N59</f>
        <v>0</v>
      </c>
      <c r="Q59" s="110">
        <f>FASE3!P59</f>
        <v>0</v>
      </c>
      <c r="R59" s="110">
        <f>FASE3!N59</f>
        <v>0</v>
      </c>
      <c r="S59" s="110">
        <f>AVERAGE(FASE3!Q59,FASE3!R59,FASE3!T59,FASE3!S59)</f>
        <v>0</v>
      </c>
      <c r="T59" s="110">
        <f>AVERAGE(FASE3!U59,FASE3!V59,FASE3!W59)</f>
        <v>0</v>
      </c>
      <c r="U59" s="110">
        <f>FASE3!Y59</f>
        <v>0</v>
      </c>
      <c r="V59" s="110">
        <f>FASE3!X59</f>
        <v>0</v>
      </c>
      <c r="W59" s="110">
        <f>FASE4!M59</f>
        <v>0</v>
      </c>
      <c r="X59" s="110">
        <f t="shared" si="0"/>
        <v>8.0555555555555554</v>
      </c>
    </row>
    <row r="60" spans="2:25" ht="15.75" customHeight="1" x14ac:dyDescent="0.25">
      <c r="B60">
        <v>3</v>
      </c>
      <c r="C60" t="s">
        <v>112</v>
      </c>
      <c r="D60" s="97">
        <v>303</v>
      </c>
      <c r="E60" s="110">
        <f>FASE1!G60</f>
        <v>50</v>
      </c>
      <c r="F60" s="110">
        <f>FASE1!M60</f>
        <v>0</v>
      </c>
      <c r="G60" s="110">
        <f>FASE1!L60</f>
        <v>95</v>
      </c>
      <c r="H60" s="110">
        <f>FASE1!R60</f>
        <v>0</v>
      </c>
      <c r="I60" s="110">
        <f>FASE1!U60</f>
        <v>0</v>
      </c>
      <c r="J60" s="110">
        <f>FASE1!U60</f>
        <v>0</v>
      </c>
      <c r="K60" s="110">
        <f>FASE1!P60</f>
        <v>0</v>
      </c>
      <c r="L60" s="110">
        <f>FASE1!V60</f>
        <v>0</v>
      </c>
      <c r="M60" s="110">
        <f>AVERAGE(FASE2!F60:G60)</f>
        <v>0</v>
      </c>
      <c r="N60" s="110">
        <f>AVERAGE(FASE2!O60:P60,FASE2!S60)</f>
        <v>0</v>
      </c>
      <c r="O60" s="110">
        <f>FASE4!K60</f>
        <v>0</v>
      </c>
      <c r="P60" s="110">
        <f>FASE2!N60</f>
        <v>0</v>
      </c>
      <c r="Q60" s="110">
        <f>FASE3!P60</f>
        <v>0</v>
      </c>
      <c r="R60" s="110">
        <f>FASE3!N60</f>
        <v>0</v>
      </c>
      <c r="S60" s="110">
        <f>AVERAGE(FASE3!Q60,FASE3!R60,FASE3!T60,FASE3!S60)</f>
        <v>0</v>
      </c>
      <c r="T60" s="110">
        <f>AVERAGE(FASE3!U60,FASE3!V60,FASE3!W60)</f>
        <v>0</v>
      </c>
      <c r="U60" s="110">
        <f>FASE3!Y60</f>
        <v>0</v>
      </c>
      <c r="V60" s="110">
        <f>FASE3!X60</f>
        <v>0</v>
      </c>
      <c r="W60" s="110">
        <f>FASE4!M60</f>
        <v>0</v>
      </c>
      <c r="X60" s="110">
        <f t="shared" si="0"/>
        <v>8.0555555555555554</v>
      </c>
    </row>
    <row r="61" spans="2:25" ht="15.75" customHeight="1" x14ac:dyDescent="0.25">
      <c r="B61">
        <v>3</v>
      </c>
      <c r="C61" t="s">
        <v>112</v>
      </c>
      <c r="D61" s="97">
        <v>304</v>
      </c>
      <c r="E61" s="110">
        <f>FASE1!G61</f>
        <v>50</v>
      </c>
      <c r="F61" s="110">
        <f>FASE1!M61</f>
        <v>0</v>
      </c>
      <c r="G61" s="110">
        <f>FASE1!L61</f>
        <v>95</v>
      </c>
      <c r="H61" s="110">
        <f>FASE1!R61</f>
        <v>0</v>
      </c>
      <c r="I61" s="110">
        <f>FASE1!U61</f>
        <v>0</v>
      </c>
      <c r="J61" s="110">
        <f>FASE1!U61</f>
        <v>0</v>
      </c>
      <c r="K61" s="110">
        <f>FASE1!P61</f>
        <v>85</v>
      </c>
      <c r="L61" s="110">
        <f>FASE1!V61</f>
        <v>0</v>
      </c>
      <c r="M61" s="110">
        <f>AVERAGE(FASE2!F61:G61)</f>
        <v>0</v>
      </c>
      <c r="N61" s="110">
        <f>AVERAGE(FASE2!O61:P61,FASE2!S61)</f>
        <v>0</v>
      </c>
      <c r="O61" s="110">
        <f>FASE4!K61</f>
        <v>0</v>
      </c>
      <c r="P61" s="110">
        <f>FASE2!N61</f>
        <v>0</v>
      </c>
      <c r="Q61" s="110">
        <f>FASE3!P61</f>
        <v>0</v>
      </c>
      <c r="R61" s="110">
        <f>FASE3!N61</f>
        <v>0.25</v>
      </c>
      <c r="S61" s="110">
        <f>AVERAGE(FASE3!Q61,FASE3!R61,FASE3!T61,FASE3!S61)</f>
        <v>0</v>
      </c>
      <c r="T61" s="110">
        <f>AVERAGE(FASE3!U61,FASE3!V61,FASE3!W61)</f>
        <v>0</v>
      </c>
      <c r="U61" s="110">
        <f>FASE3!Y61</f>
        <v>0</v>
      </c>
      <c r="V61" s="110">
        <f>FASE3!X61</f>
        <v>0</v>
      </c>
      <c r="W61" s="110">
        <f>FASE4!M61</f>
        <v>0</v>
      </c>
      <c r="X61" s="110">
        <f t="shared" si="0"/>
        <v>12.791666666666666</v>
      </c>
    </row>
    <row r="62" spans="2:25" ht="15.75" customHeight="1" x14ac:dyDescent="0.25">
      <c r="B62">
        <v>3</v>
      </c>
      <c r="C62" t="s">
        <v>112</v>
      </c>
      <c r="D62" s="97">
        <v>305</v>
      </c>
      <c r="E62" s="110">
        <f>FASE1!G62</f>
        <v>100</v>
      </c>
      <c r="F62" s="110">
        <f>FASE1!M62</f>
        <v>100</v>
      </c>
      <c r="G62" s="110">
        <f>FASE1!L62</f>
        <v>100</v>
      </c>
      <c r="H62" s="110">
        <f>FASE1!R62</f>
        <v>80</v>
      </c>
      <c r="I62" s="110">
        <f>FASE1!U62</f>
        <v>100</v>
      </c>
      <c r="J62" s="110">
        <f>FASE1!U62</f>
        <v>100</v>
      </c>
      <c r="K62" s="110">
        <f>FASE1!P62</f>
        <v>50</v>
      </c>
      <c r="L62" s="110">
        <f>FASE1!V62</f>
        <v>100</v>
      </c>
      <c r="M62" s="110">
        <f>AVERAGE(FASE2!F62:G62)</f>
        <v>0</v>
      </c>
      <c r="N62" s="110">
        <f>AVERAGE(FASE2!O62:P62,FASE2!S62)</f>
        <v>0.94999999999999984</v>
      </c>
      <c r="O62" s="110">
        <f>FASE4!K62</f>
        <v>0</v>
      </c>
      <c r="P62" s="110">
        <f>FASE2!N62</f>
        <v>0.9</v>
      </c>
      <c r="Q62" s="110">
        <f>FASE3!P62</f>
        <v>0</v>
      </c>
      <c r="R62" s="110">
        <f>FASE3!N62</f>
        <v>0.9</v>
      </c>
      <c r="S62" s="110">
        <f>AVERAGE(FASE3!Q62,FASE3!R62,FASE3!T62,FASE3!S62)</f>
        <v>0.05</v>
      </c>
      <c r="T62" s="110">
        <f>AVERAGE(FASE3!U62,FASE3!V62,FASE3!W62)</f>
        <v>0</v>
      </c>
      <c r="U62" s="110">
        <f>FASE3!Y62</f>
        <v>0</v>
      </c>
      <c r="V62" s="110">
        <f>FASE3!X62</f>
        <v>0</v>
      </c>
      <c r="W62" s="110">
        <f>FASE4!M62</f>
        <v>0</v>
      </c>
      <c r="X62" s="110">
        <f t="shared" si="0"/>
        <v>40.711111111111109</v>
      </c>
    </row>
    <row r="63" spans="2:25" ht="15.75" customHeight="1" x14ac:dyDescent="0.25">
      <c r="B63">
        <v>3</v>
      </c>
      <c r="C63" t="s">
        <v>112</v>
      </c>
      <c r="D63" s="97">
        <v>306</v>
      </c>
      <c r="E63" s="110">
        <f>FASE1!G63</f>
        <v>50</v>
      </c>
      <c r="F63" s="110">
        <f>FASE1!M63</f>
        <v>0</v>
      </c>
      <c r="G63" s="110">
        <f>FASE1!L63</f>
        <v>100</v>
      </c>
      <c r="H63" s="110">
        <f>FASE1!R63</f>
        <v>0</v>
      </c>
      <c r="I63" s="110">
        <f>FASE1!U63</f>
        <v>0</v>
      </c>
      <c r="J63" s="110">
        <f>FASE1!U63</f>
        <v>0</v>
      </c>
      <c r="K63" s="110">
        <f>FASE1!P63</f>
        <v>85</v>
      </c>
      <c r="L63" s="110">
        <f>FASE1!V63</f>
        <v>0</v>
      </c>
      <c r="M63" s="110">
        <f>AVERAGE(FASE2!F63:G63)</f>
        <v>0</v>
      </c>
      <c r="N63" s="110">
        <f>AVERAGE(FASE2!O63:P63,FASE2!S63)</f>
        <v>0</v>
      </c>
      <c r="O63" s="110">
        <f>FASE4!K63</f>
        <v>0</v>
      </c>
      <c r="P63" s="110">
        <f>FASE2!N63</f>
        <v>0</v>
      </c>
      <c r="Q63" s="110">
        <f>FASE3!P63</f>
        <v>0</v>
      </c>
      <c r="R63" s="110">
        <f>FASE3!N63</f>
        <v>0</v>
      </c>
      <c r="S63" s="110">
        <f>AVERAGE(FASE3!Q63,FASE3!R63,FASE3!T63,FASE3!S63)</f>
        <v>0</v>
      </c>
      <c r="T63" s="110">
        <f>AVERAGE(FASE3!U63,FASE3!V63,FASE3!W63)</f>
        <v>0</v>
      </c>
      <c r="U63" s="110">
        <f>FASE3!Y63</f>
        <v>0</v>
      </c>
      <c r="V63" s="110">
        <f>FASE3!X63</f>
        <v>0</v>
      </c>
      <c r="W63" s="110">
        <f>FASE4!M63</f>
        <v>0</v>
      </c>
      <c r="X63" s="110">
        <f t="shared" si="0"/>
        <v>13.055555555555555</v>
      </c>
    </row>
    <row r="64" spans="2:25" ht="15.75" customHeight="1" x14ac:dyDescent="0.25">
      <c r="B64">
        <v>3</v>
      </c>
      <c r="C64" t="s">
        <v>112</v>
      </c>
      <c r="D64" s="97">
        <v>307</v>
      </c>
      <c r="E64" s="110">
        <f>FASE1!G64</f>
        <v>50</v>
      </c>
      <c r="F64" s="110">
        <f>FASE1!M64</f>
        <v>0</v>
      </c>
      <c r="G64" s="110">
        <f>FASE1!L64</f>
        <v>100</v>
      </c>
      <c r="H64" s="110">
        <f>FASE1!R64</f>
        <v>0</v>
      </c>
      <c r="I64" s="110">
        <f>FASE1!U64</f>
        <v>0</v>
      </c>
      <c r="J64" s="110">
        <f>FASE1!U64</f>
        <v>0</v>
      </c>
      <c r="K64" s="110">
        <f>FASE1!P64</f>
        <v>90</v>
      </c>
      <c r="L64" s="110">
        <f>FASE1!V64</f>
        <v>0</v>
      </c>
      <c r="M64" s="110">
        <f>AVERAGE(FASE2!F64:G64)</f>
        <v>0</v>
      </c>
      <c r="N64" s="110">
        <f>AVERAGE(FASE2!O64:P64,FASE2!S64)</f>
        <v>0</v>
      </c>
      <c r="O64" s="110">
        <f>FASE4!K64</f>
        <v>0</v>
      </c>
      <c r="P64" s="110">
        <f>FASE2!N64</f>
        <v>0</v>
      </c>
      <c r="Q64" s="110">
        <f>FASE3!P64</f>
        <v>0</v>
      </c>
      <c r="R64" s="110">
        <f>FASE3!N64</f>
        <v>0</v>
      </c>
      <c r="S64" s="110">
        <f>AVERAGE(FASE3!Q64,FASE3!R64,FASE3!T64,FASE3!S64)</f>
        <v>0</v>
      </c>
      <c r="T64" s="110">
        <f>AVERAGE(FASE3!U64,FASE3!V64,FASE3!W64)</f>
        <v>0</v>
      </c>
      <c r="U64" s="110">
        <f>FASE3!Y64</f>
        <v>0</v>
      </c>
      <c r="V64" s="110">
        <f>FASE3!X64</f>
        <v>0</v>
      </c>
      <c r="W64" s="110">
        <f>FASE4!M64</f>
        <v>0</v>
      </c>
      <c r="X64" s="110">
        <f t="shared" si="0"/>
        <v>13.333333333333334</v>
      </c>
    </row>
    <row r="65" spans="2:25" ht="15.75" customHeight="1" x14ac:dyDescent="0.25">
      <c r="B65">
        <v>3</v>
      </c>
      <c r="C65" t="s">
        <v>112</v>
      </c>
      <c r="D65" s="97">
        <v>308</v>
      </c>
      <c r="E65" s="110">
        <f>FASE1!G65</f>
        <v>50</v>
      </c>
      <c r="F65" s="110">
        <f>FASE1!M65</f>
        <v>0</v>
      </c>
      <c r="G65" s="110">
        <f>FASE1!L65</f>
        <v>95</v>
      </c>
      <c r="H65" s="110">
        <f>FASE1!R65</f>
        <v>0</v>
      </c>
      <c r="I65" s="110">
        <f>FASE1!U65</f>
        <v>0</v>
      </c>
      <c r="J65" s="110">
        <f>FASE1!U65</f>
        <v>0</v>
      </c>
      <c r="K65" s="110">
        <f>FASE1!P65</f>
        <v>40</v>
      </c>
      <c r="L65" s="110">
        <f>FASE1!V65</f>
        <v>0</v>
      </c>
      <c r="M65" s="110">
        <f>AVERAGE(FASE2!F65:G65)</f>
        <v>0</v>
      </c>
      <c r="N65" s="110">
        <f>AVERAGE(FASE2!O65:P65,FASE2!S65)</f>
        <v>0</v>
      </c>
      <c r="O65" s="110">
        <f>FASE4!K65</f>
        <v>0</v>
      </c>
      <c r="P65" s="110">
        <f>FASE2!N65</f>
        <v>0</v>
      </c>
      <c r="Q65" s="110">
        <f>FASE3!P65</f>
        <v>0</v>
      </c>
      <c r="R65" s="110">
        <f>FASE3!N65</f>
        <v>0</v>
      </c>
      <c r="S65" s="110">
        <f>AVERAGE(FASE3!Q65,FASE3!R65,FASE3!T65,FASE3!S65)</f>
        <v>0</v>
      </c>
      <c r="T65" s="110">
        <f>AVERAGE(FASE3!U65,FASE3!V65,FASE3!W65)</f>
        <v>0</v>
      </c>
      <c r="U65" s="110">
        <f>FASE3!Y65</f>
        <v>0</v>
      </c>
      <c r="V65" s="110">
        <f>FASE3!X65</f>
        <v>0</v>
      </c>
      <c r="W65" s="110">
        <f>FASE4!M65</f>
        <v>0</v>
      </c>
      <c r="X65" s="110">
        <f t="shared" si="0"/>
        <v>10.277777777777779</v>
      </c>
    </row>
    <row r="66" spans="2:25" ht="15.75" customHeight="1" x14ac:dyDescent="0.25">
      <c r="B66">
        <v>3</v>
      </c>
      <c r="C66" t="s">
        <v>112</v>
      </c>
      <c r="D66" s="97">
        <v>309</v>
      </c>
      <c r="E66" s="110">
        <f>FASE1!G66</f>
        <v>50</v>
      </c>
      <c r="F66" s="110">
        <f>FASE1!M66</f>
        <v>0</v>
      </c>
      <c r="G66" s="110">
        <f>FASE1!L66</f>
        <v>95</v>
      </c>
      <c r="H66" s="110">
        <f>FASE1!R66</f>
        <v>0</v>
      </c>
      <c r="I66" s="110">
        <f>FASE1!U66</f>
        <v>0</v>
      </c>
      <c r="J66" s="110">
        <f>FASE1!U66</f>
        <v>0</v>
      </c>
      <c r="K66" s="110">
        <f>FASE1!P66</f>
        <v>45</v>
      </c>
      <c r="L66" s="110">
        <f>FASE1!V66</f>
        <v>0</v>
      </c>
      <c r="M66" s="110">
        <f>AVERAGE(FASE2!F66:G66)</f>
        <v>0</v>
      </c>
      <c r="N66" s="110">
        <f>AVERAGE(FASE2!O66:P66,FASE2!S66)</f>
        <v>0</v>
      </c>
      <c r="O66" s="110">
        <f>FASE4!K66</f>
        <v>0</v>
      </c>
      <c r="P66" s="110">
        <f>FASE2!N66</f>
        <v>0</v>
      </c>
      <c r="Q66" s="110">
        <f>FASE3!P66</f>
        <v>0</v>
      </c>
      <c r="R66" s="110">
        <f>FASE3!N66</f>
        <v>0</v>
      </c>
      <c r="S66" s="110">
        <f>AVERAGE(FASE3!Q66,FASE3!R66,FASE3!T66,FASE3!S66)</f>
        <v>0</v>
      </c>
      <c r="T66" s="110">
        <f>AVERAGE(FASE3!U66,FASE3!V66,FASE3!W66)</f>
        <v>0</v>
      </c>
      <c r="U66" s="110">
        <f>FASE3!Y66</f>
        <v>0</v>
      </c>
      <c r="V66" s="110">
        <f>FASE3!X66</f>
        <v>0</v>
      </c>
      <c r="W66" s="110">
        <f>FASE4!M66</f>
        <v>0</v>
      </c>
      <c r="X66" s="110">
        <f t="shared" ref="X66:X129" si="1">AVERAGE(E66:V66)</f>
        <v>10.555555555555555</v>
      </c>
    </row>
    <row r="67" spans="2:25" ht="15.75" customHeight="1" x14ac:dyDescent="0.25">
      <c r="B67">
        <v>3</v>
      </c>
      <c r="C67" t="s">
        <v>112</v>
      </c>
      <c r="D67" s="97">
        <v>310</v>
      </c>
      <c r="E67" s="110">
        <f>FASE1!G67</f>
        <v>50</v>
      </c>
      <c r="F67" s="110">
        <f>FASE1!M67</f>
        <v>0</v>
      </c>
      <c r="G67" s="110">
        <f>FASE1!L67</f>
        <v>95</v>
      </c>
      <c r="H67" s="110">
        <f>FASE1!R67</f>
        <v>0</v>
      </c>
      <c r="I67" s="110">
        <f>FASE1!U67</f>
        <v>0</v>
      </c>
      <c r="J67" s="110">
        <f>FASE1!U67</f>
        <v>0</v>
      </c>
      <c r="K67" s="110">
        <f>FASE1!P67</f>
        <v>85</v>
      </c>
      <c r="L67" s="110">
        <f>FASE1!V67</f>
        <v>0</v>
      </c>
      <c r="M67" s="110">
        <f>AVERAGE(FASE2!F67:G67)</f>
        <v>0</v>
      </c>
      <c r="N67" s="110">
        <f>AVERAGE(FASE2!O67:P67,FASE2!S67)</f>
        <v>0</v>
      </c>
      <c r="O67" s="110">
        <f>FASE4!K67</f>
        <v>0</v>
      </c>
      <c r="P67" s="110">
        <f>FASE2!N67</f>
        <v>0</v>
      </c>
      <c r="Q67" s="110">
        <f>FASE3!P67</f>
        <v>0</v>
      </c>
      <c r="R67" s="110">
        <f>FASE3!N67</f>
        <v>0</v>
      </c>
      <c r="S67" s="110">
        <f>AVERAGE(FASE3!Q67,FASE3!R67,FASE3!T67,FASE3!S67)</f>
        <v>0</v>
      </c>
      <c r="T67" s="110">
        <f>AVERAGE(FASE3!U67,FASE3!V67,FASE3!W67)</f>
        <v>0</v>
      </c>
      <c r="U67" s="110">
        <f>FASE3!Y67</f>
        <v>0</v>
      </c>
      <c r="V67" s="110">
        <f>FASE3!X67</f>
        <v>0</v>
      </c>
      <c r="W67" s="110">
        <f>FASE4!M67</f>
        <v>0</v>
      </c>
      <c r="X67" s="110">
        <f t="shared" si="1"/>
        <v>12.777777777777779</v>
      </c>
    </row>
    <row r="68" spans="2:25" ht="15.75" customHeight="1" x14ac:dyDescent="0.25">
      <c r="B68">
        <v>3</v>
      </c>
      <c r="C68" t="s">
        <v>112</v>
      </c>
      <c r="D68" s="97">
        <v>311</v>
      </c>
      <c r="E68" s="110">
        <f>FASE1!G68</f>
        <v>50</v>
      </c>
      <c r="F68" s="110">
        <f>FASE1!M68</f>
        <v>0</v>
      </c>
      <c r="G68" s="110">
        <f>FASE1!L68</f>
        <v>95</v>
      </c>
      <c r="H68" s="110">
        <f>FASE1!R68</f>
        <v>0</v>
      </c>
      <c r="I68" s="110">
        <f>FASE1!U68</f>
        <v>0</v>
      </c>
      <c r="J68" s="110">
        <f>FASE1!U68</f>
        <v>0</v>
      </c>
      <c r="K68" s="110">
        <f>FASE1!P68</f>
        <v>0</v>
      </c>
      <c r="L68" s="110">
        <f>FASE1!V68</f>
        <v>0</v>
      </c>
      <c r="M68" s="110">
        <f>AVERAGE(FASE2!F68:G68)</f>
        <v>0</v>
      </c>
      <c r="N68" s="110">
        <f>AVERAGE(FASE2!O68:P68,FASE2!S68)</f>
        <v>0</v>
      </c>
      <c r="O68" s="110">
        <f>FASE4!K68</f>
        <v>0</v>
      </c>
      <c r="P68" s="110">
        <f>FASE2!N68</f>
        <v>0</v>
      </c>
      <c r="Q68" s="110">
        <f>FASE3!P68</f>
        <v>0</v>
      </c>
      <c r="R68" s="110">
        <f>FASE3!N68</f>
        <v>0</v>
      </c>
      <c r="S68" s="110">
        <f>AVERAGE(FASE3!Q68,FASE3!R68,FASE3!T68,FASE3!S68)</f>
        <v>0</v>
      </c>
      <c r="T68" s="110">
        <f>AVERAGE(FASE3!U68,FASE3!V68,FASE3!W68)</f>
        <v>0</v>
      </c>
      <c r="U68" s="110">
        <f>FASE3!Y68</f>
        <v>0</v>
      </c>
      <c r="V68" s="110">
        <f>FASE3!X68</f>
        <v>0</v>
      </c>
      <c r="W68" s="110">
        <f>FASE4!M68</f>
        <v>0</v>
      </c>
      <c r="X68" s="110">
        <f t="shared" si="1"/>
        <v>8.0555555555555554</v>
      </c>
    </row>
    <row r="69" spans="2:25" ht="15.75" customHeight="1" x14ac:dyDescent="0.25">
      <c r="B69">
        <v>3</v>
      </c>
      <c r="C69" t="s">
        <v>112</v>
      </c>
      <c r="D69" s="97">
        <v>312</v>
      </c>
      <c r="E69" s="110">
        <f>FASE1!G69</f>
        <v>50</v>
      </c>
      <c r="F69" s="110">
        <f>FASE1!M69</f>
        <v>0</v>
      </c>
      <c r="G69" s="110">
        <f>FASE1!L69</f>
        <v>95</v>
      </c>
      <c r="H69" s="110">
        <f>FASE1!R69</f>
        <v>0</v>
      </c>
      <c r="I69" s="110">
        <f>FASE1!U69</f>
        <v>0</v>
      </c>
      <c r="J69" s="110">
        <f>FASE1!U69</f>
        <v>0</v>
      </c>
      <c r="K69" s="110">
        <f>FASE1!P69</f>
        <v>80</v>
      </c>
      <c r="L69" s="110">
        <f>FASE1!V69</f>
        <v>0</v>
      </c>
      <c r="M69" s="110">
        <f>AVERAGE(FASE2!F69:G69)</f>
        <v>0</v>
      </c>
      <c r="N69" s="110">
        <f>AVERAGE(FASE2!O69:P69,FASE2!S69)</f>
        <v>0</v>
      </c>
      <c r="O69" s="110">
        <f>FASE4!K69</f>
        <v>0</v>
      </c>
      <c r="P69" s="110">
        <f>FASE2!N69</f>
        <v>0</v>
      </c>
      <c r="Q69" s="110">
        <f>FASE3!P69</f>
        <v>0</v>
      </c>
      <c r="R69" s="110">
        <f>FASE3!N69</f>
        <v>0</v>
      </c>
      <c r="S69" s="110">
        <f>AVERAGE(FASE3!Q69,FASE3!R69,FASE3!T69,FASE3!S69)</f>
        <v>0</v>
      </c>
      <c r="T69" s="110">
        <f>AVERAGE(FASE3!U69,FASE3!V69,FASE3!W69)</f>
        <v>0</v>
      </c>
      <c r="U69" s="110">
        <f>FASE3!Y69</f>
        <v>0</v>
      </c>
      <c r="V69" s="110">
        <f>FASE3!X69</f>
        <v>0</v>
      </c>
      <c r="W69" s="110">
        <f>FASE4!M69</f>
        <v>0</v>
      </c>
      <c r="X69" s="110">
        <f t="shared" si="1"/>
        <v>12.5</v>
      </c>
    </row>
    <row r="70" spans="2:25" ht="15.75" customHeight="1" x14ac:dyDescent="0.25">
      <c r="B70">
        <v>3</v>
      </c>
      <c r="C70" t="s">
        <v>112</v>
      </c>
      <c r="D70" s="97">
        <v>313</v>
      </c>
      <c r="E70" s="110">
        <f>FASE1!G70</f>
        <v>50</v>
      </c>
      <c r="F70" s="110">
        <f>FASE1!M70</f>
        <v>0</v>
      </c>
      <c r="G70" s="110">
        <f>FASE1!L70</f>
        <v>95</v>
      </c>
      <c r="H70" s="110">
        <f>FASE1!R70</f>
        <v>0</v>
      </c>
      <c r="I70" s="110">
        <f>FASE1!U70</f>
        <v>0</v>
      </c>
      <c r="J70" s="110">
        <f>FASE1!U70</f>
        <v>0</v>
      </c>
      <c r="K70" s="110">
        <f>FASE1!P70</f>
        <v>0</v>
      </c>
      <c r="L70" s="110">
        <f>FASE1!V70</f>
        <v>0</v>
      </c>
      <c r="M70" s="110">
        <f>AVERAGE(FASE2!F70:G70)</f>
        <v>0</v>
      </c>
      <c r="N70" s="110">
        <f>AVERAGE(FASE2!O70:P70,FASE2!S70)</f>
        <v>0</v>
      </c>
      <c r="O70" s="110">
        <f>FASE4!K70</f>
        <v>0</v>
      </c>
      <c r="P70" s="110">
        <f>FASE2!N70</f>
        <v>0</v>
      </c>
      <c r="Q70" s="110">
        <f>FASE3!P70</f>
        <v>0</v>
      </c>
      <c r="R70" s="110">
        <f>FASE3!N70</f>
        <v>0</v>
      </c>
      <c r="S70" s="110">
        <f>AVERAGE(FASE3!Q70,FASE3!R70,FASE3!T70,FASE3!S70)</f>
        <v>0</v>
      </c>
      <c r="T70" s="110">
        <f>AVERAGE(FASE3!U70,FASE3!V70,FASE3!W70)</f>
        <v>0</v>
      </c>
      <c r="U70" s="110">
        <f>FASE3!Y70</f>
        <v>0</v>
      </c>
      <c r="V70" s="110">
        <f>FASE3!X70</f>
        <v>0</v>
      </c>
      <c r="W70" s="110">
        <f>FASE4!M70</f>
        <v>0</v>
      </c>
      <c r="X70" s="110">
        <f t="shared" si="1"/>
        <v>8.0555555555555554</v>
      </c>
    </row>
    <row r="71" spans="2:25" ht="15.75" customHeight="1" x14ac:dyDescent="0.25">
      <c r="B71">
        <v>3</v>
      </c>
      <c r="C71" t="s">
        <v>112</v>
      </c>
      <c r="D71" s="97">
        <v>314</v>
      </c>
      <c r="E71" s="110">
        <f>FASE1!G71</f>
        <v>50</v>
      </c>
      <c r="F71" s="110">
        <f>FASE1!M71</f>
        <v>0</v>
      </c>
      <c r="G71" s="110">
        <f>FASE1!L71</f>
        <v>95</v>
      </c>
      <c r="H71" s="110">
        <f>FASE1!R71</f>
        <v>0</v>
      </c>
      <c r="I71" s="110">
        <f>FASE1!U71</f>
        <v>0</v>
      </c>
      <c r="J71" s="110">
        <f>FASE1!U71</f>
        <v>0</v>
      </c>
      <c r="K71" s="110">
        <f>FASE1!P71</f>
        <v>0</v>
      </c>
      <c r="L71" s="110">
        <f>FASE1!V71</f>
        <v>0</v>
      </c>
      <c r="M71" s="110">
        <f>AVERAGE(FASE2!F71:G71)</f>
        <v>0</v>
      </c>
      <c r="N71" s="110">
        <f>AVERAGE(FASE2!O71:P71,FASE2!S71)</f>
        <v>0</v>
      </c>
      <c r="O71" s="110">
        <f>FASE4!K71</f>
        <v>0</v>
      </c>
      <c r="P71" s="110">
        <f>FASE2!N71</f>
        <v>0</v>
      </c>
      <c r="Q71" s="110">
        <f>FASE3!P71</f>
        <v>0</v>
      </c>
      <c r="R71" s="110">
        <f>FASE3!N71</f>
        <v>0</v>
      </c>
      <c r="S71" s="110">
        <f>AVERAGE(FASE3!Q71,FASE3!R71,FASE3!T71,FASE3!S71)</f>
        <v>0</v>
      </c>
      <c r="T71" s="110">
        <f>AVERAGE(FASE3!U71,FASE3!V71,FASE3!W71)</f>
        <v>0</v>
      </c>
      <c r="U71" s="110">
        <f>FASE3!Y71</f>
        <v>0</v>
      </c>
      <c r="V71" s="110">
        <f>FASE3!X71</f>
        <v>0</v>
      </c>
      <c r="W71" s="110">
        <f>FASE4!M71</f>
        <v>0</v>
      </c>
      <c r="X71" s="110">
        <f t="shared" si="1"/>
        <v>8.0555555555555554</v>
      </c>
    </row>
    <row r="72" spans="2:25" ht="15.75" customHeight="1" x14ac:dyDescent="0.25">
      <c r="B72">
        <v>3</v>
      </c>
      <c r="C72" t="s">
        <v>112</v>
      </c>
      <c r="D72" s="97">
        <v>315</v>
      </c>
      <c r="E72" s="110">
        <f>FASE1!G72</f>
        <v>0</v>
      </c>
      <c r="F72" s="110">
        <f>FASE1!M72</f>
        <v>0</v>
      </c>
      <c r="G72" s="110">
        <f>FASE1!L72</f>
        <v>0</v>
      </c>
      <c r="H72" s="110">
        <f>FASE1!R72</f>
        <v>0</v>
      </c>
      <c r="I72" s="110">
        <f>FASE1!U72</f>
        <v>0</v>
      </c>
      <c r="J72" s="110">
        <f>FASE1!U72</f>
        <v>0</v>
      </c>
      <c r="K72" s="110">
        <f>FASE1!P72</f>
        <v>0</v>
      </c>
      <c r="L72" s="110">
        <f>FASE1!V72</f>
        <v>0</v>
      </c>
      <c r="M72" s="110">
        <f>AVERAGE(FASE2!F72:G72)</f>
        <v>0</v>
      </c>
      <c r="N72" s="110">
        <f>AVERAGE(FASE2!O72:P72,FASE2!S72)</f>
        <v>0</v>
      </c>
      <c r="O72" s="110">
        <f>FASE4!K72</f>
        <v>0</v>
      </c>
      <c r="P72" s="110">
        <f>FASE2!N72</f>
        <v>0</v>
      </c>
      <c r="Q72" s="110">
        <f>FASE3!P72</f>
        <v>0</v>
      </c>
      <c r="R72" s="110">
        <f>FASE3!N72</f>
        <v>0</v>
      </c>
      <c r="S72" s="110">
        <f>AVERAGE(FASE3!Q72,FASE3!R72,FASE3!T72,FASE3!S72)</f>
        <v>0</v>
      </c>
      <c r="T72" s="110">
        <f>AVERAGE(FASE3!U72,FASE3!V72,FASE3!W72)</f>
        <v>0</v>
      </c>
      <c r="U72" s="110">
        <f>FASE3!Y72</f>
        <v>0</v>
      </c>
      <c r="V72" s="110">
        <f>FASE3!X72</f>
        <v>0</v>
      </c>
      <c r="W72" s="110">
        <f>FASE4!M72</f>
        <v>0</v>
      </c>
      <c r="X72" s="110">
        <f t="shared" si="1"/>
        <v>0</v>
      </c>
    </row>
    <row r="73" spans="2:25" ht="15.75" customHeight="1" x14ac:dyDescent="0.25">
      <c r="B73">
        <v>3</v>
      </c>
      <c r="C73" t="s">
        <v>112</v>
      </c>
      <c r="D73" s="97">
        <v>316</v>
      </c>
      <c r="E73" s="110">
        <f>FASE1!G73</f>
        <v>0</v>
      </c>
      <c r="F73" s="110">
        <f>FASE1!M73</f>
        <v>0</v>
      </c>
      <c r="G73" s="110">
        <f>FASE1!L73</f>
        <v>0</v>
      </c>
      <c r="H73" s="110">
        <f>FASE1!R73</f>
        <v>0</v>
      </c>
      <c r="I73" s="110">
        <f>FASE1!U73</f>
        <v>0</v>
      </c>
      <c r="J73" s="110">
        <f>FASE1!U73</f>
        <v>0</v>
      </c>
      <c r="K73" s="110">
        <f>FASE1!P73</f>
        <v>0</v>
      </c>
      <c r="L73" s="110">
        <f>FASE1!V73</f>
        <v>0</v>
      </c>
      <c r="M73" s="110">
        <f>AVERAGE(FASE2!F73:G73)</f>
        <v>0</v>
      </c>
      <c r="N73" s="110">
        <f>AVERAGE(FASE2!O73:P73,FASE2!S73)</f>
        <v>0</v>
      </c>
      <c r="O73" s="110">
        <f>FASE4!K73</f>
        <v>0</v>
      </c>
      <c r="P73" s="110">
        <f>FASE2!N73</f>
        <v>0</v>
      </c>
      <c r="Q73" s="110">
        <f>FASE3!P73</f>
        <v>0</v>
      </c>
      <c r="R73" s="110">
        <f>FASE3!N73</f>
        <v>0</v>
      </c>
      <c r="S73" s="110">
        <f>AVERAGE(FASE3!Q73,FASE3!R73,FASE3!T73,FASE3!S73)</f>
        <v>0</v>
      </c>
      <c r="T73" s="110">
        <f>AVERAGE(FASE3!U73,FASE3!V73,FASE3!W73)</f>
        <v>0</v>
      </c>
      <c r="U73" s="110">
        <f>FASE3!Y73</f>
        <v>0</v>
      </c>
      <c r="V73" s="110">
        <f>FASE3!X73</f>
        <v>0</v>
      </c>
      <c r="W73" s="110">
        <f>FASE4!M73</f>
        <v>0</v>
      </c>
      <c r="X73" s="110">
        <f t="shared" si="1"/>
        <v>0</v>
      </c>
      <c r="Y73" s="2"/>
    </row>
    <row r="74" spans="2:25" ht="15.75" customHeight="1" x14ac:dyDescent="0.25">
      <c r="B74">
        <v>3</v>
      </c>
      <c r="C74" t="s">
        <v>112</v>
      </c>
      <c r="D74" s="97">
        <v>317</v>
      </c>
      <c r="E74" s="110">
        <f>FASE1!G74</f>
        <v>0</v>
      </c>
      <c r="F74" s="110">
        <f>FASE1!M74</f>
        <v>0</v>
      </c>
      <c r="G74" s="110">
        <f>FASE1!L74</f>
        <v>0</v>
      </c>
      <c r="H74" s="110">
        <f>FASE1!R74</f>
        <v>0</v>
      </c>
      <c r="I74" s="110">
        <f>FASE1!U74</f>
        <v>0</v>
      </c>
      <c r="J74" s="110">
        <f>FASE1!U74</f>
        <v>0</v>
      </c>
      <c r="K74" s="110">
        <f>FASE1!P74</f>
        <v>0</v>
      </c>
      <c r="L74" s="110">
        <f>FASE1!V74</f>
        <v>0</v>
      </c>
      <c r="M74" s="110">
        <f>AVERAGE(FASE2!F74:G74)</f>
        <v>0</v>
      </c>
      <c r="N74" s="110">
        <f>AVERAGE(FASE2!O74:P74,FASE2!S74)</f>
        <v>0</v>
      </c>
      <c r="O74" s="110">
        <f>FASE4!K74</f>
        <v>0</v>
      </c>
      <c r="P74" s="110">
        <f>FASE2!N74</f>
        <v>0</v>
      </c>
      <c r="Q74" s="110">
        <f>FASE3!P74</f>
        <v>0</v>
      </c>
      <c r="R74" s="110">
        <f>FASE3!N74</f>
        <v>0</v>
      </c>
      <c r="S74" s="110">
        <f>AVERAGE(FASE3!Q74,FASE3!R74,FASE3!T74,FASE3!S74)</f>
        <v>0</v>
      </c>
      <c r="T74" s="110">
        <f>AVERAGE(FASE3!U74,FASE3!V74,FASE3!W74)</f>
        <v>0</v>
      </c>
      <c r="U74" s="110">
        <f>FASE3!Y74</f>
        <v>0</v>
      </c>
      <c r="V74" s="110">
        <f>FASE3!X74</f>
        <v>0</v>
      </c>
      <c r="W74" s="110">
        <f>FASE4!M74</f>
        <v>0</v>
      </c>
      <c r="X74" s="110">
        <f t="shared" si="1"/>
        <v>0</v>
      </c>
    </row>
    <row r="75" spans="2:25" ht="15.75" customHeight="1" x14ac:dyDescent="0.25">
      <c r="B75">
        <v>3</v>
      </c>
      <c r="C75" t="s">
        <v>112</v>
      </c>
      <c r="D75" s="97">
        <v>318</v>
      </c>
      <c r="E75" s="110">
        <f>FASE1!G75</f>
        <v>0</v>
      </c>
      <c r="F75" s="110">
        <f>FASE1!M75</f>
        <v>0</v>
      </c>
      <c r="G75" s="110">
        <f>FASE1!L75</f>
        <v>0</v>
      </c>
      <c r="H75" s="110">
        <f>FASE1!R75</f>
        <v>0</v>
      </c>
      <c r="I75" s="110">
        <f>FASE1!U75</f>
        <v>0</v>
      </c>
      <c r="J75" s="110">
        <f>FASE1!U75</f>
        <v>0</v>
      </c>
      <c r="K75" s="110">
        <f>FASE1!P75</f>
        <v>0</v>
      </c>
      <c r="L75" s="110">
        <f>FASE1!V75</f>
        <v>0</v>
      </c>
      <c r="M75" s="110">
        <f>AVERAGE(FASE2!F75:G75)</f>
        <v>0</v>
      </c>
      <c r="N75" s="110">
        <f>AVERAGE(FASE2!O75:P75,FASE2!S75)</f>
        <v>0</v>
      </c>
      <c r="O75" s="110">
        <f>FASE4!K75</f>
        <v>0</v>
      </c>
      <c r="P75" s="110">
        <f>FASE2!N75</f>
        <v>0</v>
      </c>
      <c r="Q75" s="110">
        <f>FASE3!P75</f>
        <v>0</v>
      </c>
      <c r="R75" s="110">
        <f>FASE3!N75</f>
        <v>0</v>
      </c>
      <c r="S75" s="110">
        <f>AVERAGE(FASE3!Q75,FASE3!R75,FASE3!T75,FASE3!S75)</f>
        <v>0</v>
      </c>
      <c r="T75" s="110">
        <f>AVERAGE(FASE3!U75,FASE3!V75,FASE3!W75)</f>
        <v>0</v>
      </c>
      <c r="U75" s="110">
        <f>FASE3!Y75</f>
        <v>0</v>
      </c>
      <c r="V75" s="110">
        <f>FASE3!X75</f>
        <v>0</v>
      </c>
      <c r="W75" s="110">
        <f>FASE4!M75</f>
        <v>0</v>
      </c>
      <c r="X75" s="110">
        <f t="shared" si="1"/>
        <v>0</v>
      </c>
    </row>
    <row r="76" spans="2:25" ht="15.75" customHeight="1" x14ac:dyDescent="0.25">
      <c r="B76">
        <v>3</v>
      </c>
      <c r="C76" t="s">
        <v>112</v>
      </c>
      <c r="D76" s="97">
        <v>319</v>
      </c>
      <c r="E76" s="110">
        <f>FASE1!G76</f>
        <v>0</v>
      </c>
      <c r="F76" s="110">
        <f>FASE1!M76</f>
        <v>0</v>
      </c>
      <c r="G76" s="110">
        <f>FASE1!L76</f>
        <v>0</v>
      </c>
      <c r="H76" s="110">
        <f>FASE1!R76</f>
        <v>0</v>
      </c>
      <c r="I76" s="110">
        <f>FASE1!U76</f>
        <v>0</v>
      </c>
      <c r="J76" s="110">
        <f>FASE1!U76</f>
        <v>0</v>
      </c>
      <c r="K76" s="110">
        <f>FASE1!P76</f>
        <v>0</v>
      </c>
      <c r="L76" s="110">
        <f>FASE1!V76</f>
        <v>0</v>
      </c>
      <c r="M76" s="110">
        <f>AVERAGE(FASE2!F76:G76)</f>
        <v>0</v>
      </c>
      <c r="N76" s="110">
        <f>AVERAGE(FASE2!O76:P76,FASE2!S76)</f>
        <v>0</v>
      </c>
      <c r="O76" s="110">
        <f>FASE4!K76</f>
        <v>0</v>
      </c>
      <c r="P76" s="110">
        <f>FASE2!N76</f>
        <v>0</v>
      </c>
      <c r="Q76" s="110">
        <f>FASE3!P76</f>
        <v>0</v>
      </c>
      <c r="R76" s="110">
        <f>FASE3!N76</f>
        <v>0</v>
      </c>
      <c r="S76" s="110">
        <f>AVERAGE(FASE3!Q76,FASE3!R76,FASE3!T76,FASE3!S76)</f>
        <v>0</v>
      </c>
      <c r="T76" s="110">
        <f>AVERAGE(FASE3!U76,FASE3!V76,FASE3!W76)</f>
        <v>0</v>
      </c>
      <c r="U76" s="110">
        <f>FASE3!Y76</f>
        <v>0</v>
      </c>
      <c r="V76" s="110">
        <f>FASE3!X76</f>
        <v>0</v>
      </c>
      <c r="W76" s="110">
        <f>FASE4!M76</f>
        <v>0</v>
      </c>
      <c r="X76" s="110">
        <f t="shared" si="1"/>
        <v>0</v>
      </c>
    </row>
    <row r="77" spans="2:25" ht="15.75" customHeight="1" x14ac:dyDescent="0.25">
      <c r="B77">
        <v>3</v>
      </c>
      <c r="C77" t="s">
        <v>112</v>
      </c>
      <c r="D77" s="97">
        <v>320</v>
      </c>
      <c r="E77" s="110">
        <f>FASE1!G77</f>
        <v>0</v>
      </c>
      <c r="F77" s="110">
        <f>FASE1!M77</f>
        <v>0</v>
      </c>
      <c r="G77" s="110">
        <f>FASE1!L77</f>
        <v>0</v>
      </c>
      <c r="H77" s="110">
        <f>FASE1!R77</f>
        <v>0</v>
      </c>
      <c r="I77" s="110">
        <f>FASE1!U77</f>
        <v>0</v>
      </c>
      <c r="J77" s="110">
        <f>FASE1!U77</f>
        <v>0</v>
      </c>
      <c r="K77" s="110">
        <f>FASE1!P77</f>
        <v>0</v>
      </c>
      <c r="L77" s="110">
        <f>FASE1!V77</f>
        <v>0</v>
      </c>
      <c r="M77" s="110">
        <f>AVERAGE(FASE2!F77:G77)</f>
        <v>0</v>
      </c>
      <c r="N77" s="110">
        <f>AVERAGE(FASE2!O77:P77,FASE2!S77)</f>
        <v>0</v>
      </c>
      <c r="O77" s="110">
        <f>FASE4!K77</f>
        <v>0</v>
      </c>
      <c r="P77" s="110">
        <f>FASE2!N77</f>
        <v>0</v>
      </c>
      <c r="Q77" s="110">
        <f>FASE3!P77</f>
        <v>0</v>
      </c>
      <c r="R77" s="110">
        <f>FASE3!N77</f>
        <v>0</v>
      </c>
      <c r="S77" s="110">
        <f>AVERAGE(FASE3!Q77,FASE3!R77,FASE3!T77,FASE3!S77)</f>
        <v>0</v>
      </c>
      <c r="T77" s="110">
        <f>AVERAGE(FASE3!U77,FASE3!V77,FASE3!W77)</f>
        <v>0</v>
      </c>
      <c r="U77" s="110">
        <f>FASE3!Y77</f>
        <v>0</v>
      </c>
      <c r="V77" s="110">
        <f>FASE3!X77</f>
        <v>0</v>
      </c>
      <c r="W77" s="110">
        <f>FASE4!M77</f>
        <v>0</v>
      </c>
      <c r="X77" s="110">
        <f t="shared" si="1"/>
        <v>0</v>
      </c>
    </row>
    <row r="78" spans="2:25" ht="15.75" customHeight="1" x14ac:dyDescent="0.25">
      <c r="B78">
        <v>3</v>
      </c>
      <c r="C78" t="s">
        <v>112</v>
      </c>
      <c r="D78" s="97">
        <v>321</v>
      </c>
      <c r="E78" s="110">
        <f>FASE1!G78</f>
        <v>0</v>
      </c>
      <c r="F78" s="110">
        <f>FASE1!M78</f>
        <v>0</v>
      </c>
      <c r="G78" s="110">
        <f>FASE1!L78</f>
        <v>0</v>
      </c>
      <c r="H78" s="110">
        <f>FASE1!R78</f>
        <v>0</v>
      </c>
      <c r="I78" s="110">
        <f>FASE1!U78</f>
        <v>0</v>
      </c>
      <c r="J78" s="110">
        <f>FASE1!U78</f>
        <v>0</v>
      </c>
      <c r="K78" s="110">
        <f>FASE1!P78</f>
        <v>0</v>
      </c>
      <c r="L78" s="110">
        <f>FASE1!V78</f>
        <v>0</v>
      </c>
      <c r="M78" s="110">
        <f>AVERAGE(FASE2!F78:G78)</f>
        <v>0</v>
      </c>
      <c r="N78" s="110">
        <f>AVERAGE(FASE2!O78:P78,FASE2!S78)</f>
        <v>0</v>
      </c>
      <c r="O78" s="110">
        <f>FASE4!K78</f>
        <v>0</v>
      </c>
      <c r="P78" s="110">
        <f>FASE2!N78</f>
        <v>0</v>
      </c>
      <c r="Q78" s="110">
        <f>FASE3!P78</f>
        <v>0</v>
      </c>
      <c r="R78" s="110">
        <f>FASE3!N78</f>
        <v>0</v>
      </c>
      <c r="S78" s="110">
        <f>AVERAGE(FASE3!Q78,FASE3!R78,FASE3!T78,FASE3!S78)</f>
        <v>0</v>
      </c>
      <c r="T78" s="110">
        <f>AVERAGE(FASE3!U78,FASE3!V78,FASE3!W78)</f>
        <v>0</v>
      </c>
      <c r="U78" s="110">
        <f>FASE3!Y78</f>
        <v>0</v>
      </c>
      <c r="V78" s="110">
        <f>FASE3!X78</f>
        <v>0</v>
      </c>
      <c r="W78" s="110">
        <f>FASE4!M78</f>
        <v>0</v>
      </c>
      <c r="X78" s="110">
        <f t="shared" si="1"/>
        <v>0</v>
      </c>
    </row>
    <row r="79" spans="2:25" ht="15.75" customHeight="1" x14ac:dyDescent="0.25">
      <c r="B79">
        <v>3</v>
      </c>
      <c r="C79" t="s">
        <v>112</v>
      </c>
      <c r="D79" s="97">
        <v>322</v>
      </c>
      <c r="E79" s="110">
        <f>FASE1!G79</f>
        <v>0</v>
      </c>
      <c r="F79" s="110">
        <f>FASE1!M79</f>
        <v>0</v>
      </c>
      <c r="G79" s="110">
        <f>FASE1!L79</f>
        <v>0</v>
      </c>
      <c r="H79" s="110">
        <f>FASE1!R79</f>
        <v>0</v>
      </c>
      <c r="I79" s="110">
        <f>FASE1!U79</f>
        <v>0</v>
      </c>
      <c r="J79" s="110">
        <f>FASE1!U79</f>
        <v>0</v>
      </c>
      <c r="K79" s="110">
        <f>FASE1!P79</f>
        <v>0</v>
      </c>
      <c r="L79" s="110">
        <f>FASE1!V79</f>
        <v>0</v>
      </c>
      <c r="M79" s="110">
        <f>AVERAGE(FASE2!F79:G79)</f>
        <v>0</v>
      </c>
      <c r="N79" s="110">
        <f>AVERAGE(FASE2!O79:P79,FASE2!S79)</f>
        <v>0</v>
      </c>
      <c r="O79" s="110">
        <f>FASE4!K79</f>
        <v>0</v>
      </c>
      <c r="P79" s="110">
        <f>FASE2!N79</f>
        <v>0</v>
      </c>
      <c r="Q79" s="110">
        <f>FASE3!P79</f>
        <v>0</v>
      </c>
      <c r="R79" s="110">
        <f>FASE3!N79</f>
        <v>0</v>
      </c>
      <c r="S79" s="110">
        <f>AVERAGE(FASE3!Q79,FASE3!R79,FASE3!T79,FASE3!S79)</f>
        <v>0</v>
      </c>
      <c r="T79" s="110">
        <f>AVERAGE(FASE3!U79,FASE3!V79,FASE3!W79)</f>
        <v>0</v>
      </c>
      <c r="U79" s="110">
        <f>FASE3!Y79</f>
        <v>0</v>
      </c>
      <c r="V79" s="110">
        <f>FASE3!X79</f>
        <v>0</v>
      </c>
      <c r="W79" s="110">
        <f>FASE4!M79</f>
        <v>0</v>
      </c>
      <c r="X79" s="110">
        <f t="shared" si="1"/>
        <v>0</v>
      </c>
    </row>
    <row r="80" spans="2:25" ht="15.75" customHeight="1" x14ac:dyDescent="0.25">
      <c r="B80">
        <v>3</v>
      </c>
      <c r="C80" t="s">
        <v>112</v>
      </c>
      <c r="D80" s="97">
        <v>323</v>
      </c>
      <c r="E80" s="110">
        <f>FASE1!G80</f>
        <v>0</v>
      </c>
      <c r="F80" s="110">
        <f>FASE1!M80</f>
        <v>0</v>
      </c>
      <c r="G80" s="110">
        <f>FASE1!L80</f>
        <v>0</v>
      </c>
      <c r="H80" s="110">
        <f>FASE1!R80</f>
        <v>0</v>
      </c>
      <c r="I80" s="110">
        <f>FASE1!U80</f>
        <v>0</v>
      </c>
      <c r="J80" s="110">
        <f>FASE1!U80</f>
        <v>0</v>
      </c>
      <c r="K80" s="110">
        <f>FASE1!P80</f>
        <v>0</v>
      </c>
      <c r="L80" s="110">
        <f>FASE1!V80</f>
        <v>0</v>
      </c>
      <c r="M80" s="110">
        <f>AVERAGE(FASE2!F80:G80)</f>
        <v>0</v>
      </c>
      <c r="N80" s="110">
        <f>AVERAGE(FASE2!O80:P80,FASE2!S80)</f>
        <v>0</v>
      </c>
      <c r="O80" s="110">
        <f>FASE4!K80</f>
        <v>0</v>
      </c>
      <c r="P80" s="110">
        <f>FASE2!N80</f>
        <v>0</v>
      </c>
      <c r="Q80" s="110">
        <f>FASE3!P80</f>
        <v>0</v>
      </c>
      <c r="R80" s="110">
        <f>FASE3!N80</f>
        <v>0</v>
      </c>
      <c r="S80" s="110">
        <f>AVERAGE(FASE3!Q80,FASE3!R80,FASE3!T80,FASE3!S80)</f>
        <v>0</v>
      </c>
      <c r="T80" s="110">
        <f>AVERAGE(FASE3!U80,FASE3!V80,FASE3!W80)</f>
        <v>0</v>
      </c>
      <c r="U80" s="110">
        <f>FASE3!Y80</f>
        <v>0</v>
      </c>
      <c r="V80" s="110">
        <f>FASE3!X80</f>
        <v>0</v>
      </c>
      <c r="W80" s="110">
        <f>FASE4!M80</f>
        <v>0</v>
      </c>
      <c r="X80" s="110">
        <f t="shared" si="1"/>
        <v>0</v>
      </c>
    </row>
    <row r="81" spans="2:25" ht="15.75" customHeight="1" x14ac:dyDescent="0.25">
      <c r="B81">
        <v>3</v>
      </c>
      <c r="C81" t="s">
        <v>111</v>
      </c>
      <c r="D81" s="97">
        <v>301</v>
      </c>
      <c r="E81" s="110">
        <f>FASE1!G81</f>
        <v>100</v>
      </c>
      <c r="F81" s="110">
        <f>FASE1!M81</f>
        <v>100</v>
      </c>
      <c r="G81" s="110">
        <f>FASE1!L81</f>
        <v>100</v>
      </c>
      <c r="H81" s="110">
        <f>FASE1!R81</f>
        <v>0</v>
      </c>
      <c r="I81" s="110">
        <f>FASE1!U81</f>
        <v>0</v>
      </c>
      <c r="J81" s="110">
        <f>FASE1!U81</f>
        <v>0</v>
      </c>
      <c r="K81" s="110">
        <f>FASE1!P81</f>
        <v>100</v>
      </c>
      <c r="L81" s="110">
        <f>FASE1!V81</f>
        <v>0</v>
      </c>
      <c r="M81" s="110">
        <f>AVERAGE(FASE2!F81:G81)</f>
        <v>0</v>
      </c>
      <c r="N81" s="110">
        <f>AVERAGE(FASE2!O81:P81,FASE2!S81)</f>
        <v>0</v>
      </c>
      <c r="O81" s="110">
        <f>FASE4!K81</f>
        <v>0</v>
      </c>
      <c r="P81" s="110">
        <f>FASE2!N81</f>
        <v>0</v>
      </c>
      <c r="Q81" s="110">
        <f>FASE3!P81</f>
        <v>0</v>
      </c>
      <c r="R81" s="110">
        <f>FASE3!N81</f>
        <v>0</v>
      </c>
      <c r="S81" s="110">
        <f>AVERAGE(FASE3!Q81,FASE3!R81,FASE3!T81,FASE3!S81)</f>
        <v>0</v>
      </c>
      <c r="T81" s="110">
        <f>AVERAGE(FASE3!U81,FASE3!V81,FASE3!W81)</f>
        <v>0</v>
      </c>
      <c r="U81" s="110">
        <f>FASE3!Y81</f>
        <v>0</v>
      </c>
      <c r="V81" s="110">
        <f>FASE3!X81</f>
        <v>0</v>
      </c>
      <c r="W81" s="110">
        <f>FASE4!M81</f>
        <v>0</v>
      </c>
      <c r="X81" s="110">
        <f t="shared" si="1"/>
        <v>22.222222222222221</v>
      </c>
    </row>
    <row r="82" spans="2:25" ht="15.75" customHeight="1" x14ac:dyDescent="0.25">
      <c r="B82">
        <v>3</v>
      </c>
      <c r="C82" t="s">
        <v>111</v>
      </c>
      <c r="D82" s="97">
        <v>302</v>
      </c>
      <c r="E82" s="110">
        <f>FASE1!G82</f>
        <v>100</v>
      </c>
      <c r="F82" s="110">
        <f>FASE1!M82</f>
        <v>95</v>
      </c>
      <c r="G82" s="110">
        <f>FASE1!L82</f>
        <v>100</v>
      </c>
      <c r="H82" s="110">
        <f>FASE1!R82</f>
        <v>0</v>
      </c>
      <c r="I82" s="110">
        <f>FASE1!U82</f>
        <v>0</v>
      </c>
      <c r="J82" s="110">
        <f>FASE1!U82</f>
        <v>0</v>
      </c>
      <c r="K82" s="110">
        <f>FASE1!P82</f>
        <v>0</v>
      </c>
      <c r="L82" s="110">
        <f>FASE1!V82</f>
        <v>0</v>
      </c>
      <c r="M82" s="110">
        <f>AVERAGE(FASE2!F82:G82)</f>
        <v>0</v>
      </c>
      <c r="N82" s="110">
        <f>AVERAGE(FASE2!O82:P82,FASE2!S82)</f>
        <v>0</v>
      </c>
      <c r="O82" s="110">
        <f>FASE4!K82</f>
        <v>0</v>
      </c>
      <c r="P82" s="110">
        <f>FASE2!N82</f>
        <v>0</v>
      </c>
      <c r="Q82" s="110">
        <f>FASE3!P82</f>
        <v>0</v>
      </c>
      <c r="R82" s="110">
        <f>FASE3!N82</f>
        <v>0</v>
      </c>
      <c r="S82" s="110">
        <f>AVERAGE(FASE3!Q82,FASE3!R82,FASE3!T82,FASE3!S82)</f>
        <v>0</v>
      </c>
      <c r="T82" s="110">
        <f>AVERAGE(FASE3!U82,FASE3!V82,FASE3!W82)</f>
        <v>0</v>
      </c>
      <c r="U82" s="110">
        <f>FASE3!Y82</f>
        <v>0</v>
      </c>
      <c r="V82" s="110">
        <f>FASE3!X82</f>
        <v>0</v>
      </c>
      <c r="W82" s="110">
        <f>FASE4!M82</f>
        <v>0</v>
      </c>
      <c r="X82" s="110">
        <f t="shared" si="1"/>
        <v>16.388888888888889</v>
      </c>
    </row>
    <row r="83" spans="2:25" ht="15.75" customHeight="1" x14ac:dyDescent="0.25">
      <c r="B83">
        <v>3</v>
      </c>
      <c r="C83" t="s">
        <v>111</v>
      </c>
      <c r="D83" s="97">
        <v>303</v>
      </c>
      <c r="E83" s="110">
        <f>FASE1!G83</f>
        <v>100</v>
      </c>
      <c r="F83" s="110">
        <f>FASE1!M83</f>
        <v>95</v>
      </c>
      <c r="G83" s="110">
        <f>FASE1!L83</f>
        <v>100</v>
      </c>
      <c r="H83" s="110">
        <f>FASE1!R83</f>
        <v>0</v>
      </c>
      <c r="I83" s="110">
        <f>FASE1!U83</f>
        <v>0</v>
      </c>
      <c r="J83" s="110">
        <f>FASE1!U83</f>
        <v>0</v>
      </c>
      <c r="K83" s="110">
        <f>FASE1!P83</f>
        <v>0</v>
      </c>
      <c r="L83" s="110">
        <f>FASE1!V83</f>
        <v>0</v>
      </c>
      <c r="M83" s="110">
        <f>AVERAGE(FASE2!F83:G83)</f>
        <v>0</v>
      </c>
      <c r="N83" s="110">
        <f>AVERAGE(FASE2!O83:P83,FASE2!S83)</f>
        <v>0</v>
      </c>
      <c r="O83" s="110">
        <f>FASE4!K83</f>
        <v>0</v>
      </c>
      <c r="P83" s="110">
        <f>FASE2!N83</f>
        <v>0</v>
      </c>
      <c r="Q83" s="110">
        <f>FASE3!P83</f>
        <v>0</v>
      </c>
      <c r="R83" s="110">
        <f>FASE3!N83</f>
        <v>0</v>
      </c>
      <c r="S83" s="110">
        <f>AVERAGE(FASE3!Q83,FASE3!R83,FASE3!T83,FASE3!S83)</f>
        <v>0</v>
      </c>
      <c r="T83" s="110">
        <f>AVERAGE(FASE3!U83,FASE3!V83,FASE3!W83)</f>
        <v>0</v>
      </c>
      <c r="U83" s="110">
        <f>FASE3!Y83</f>
        <v>0</v>
      </c>
      <c r="V83" s="110">
        <f>FASE3!X83</f>
        <v>0</v>
      </c>
      <c r="W83" s="110">
        <f>FASE4!M83</f>
        <v>0</v>
      </c>
      <c r="X83" s="110">
        <f t="shared" si="1"/>
        <v>16.388888888888889</v>
      </c>
    </row>
    <row r="84" spans="2:25" ht="15.75" customHeight="1" x14ac:dyDescent="0.25">
      <c r="B84">
        <v>3</v>
      </c>
      <c r="C84" t="s">
        <v>111</v>
      </c>
      <c r="D84" s="97">
        <v>304</v>
      </c>
      <c r="E84" s="110">
        <f>FASE1!G84</f>
        <v>100</v>
      </c>
      <c r="F84" s="110">
        <f>FASE1!M84</f>
        <v>95</v>
      </c>
      <c r="G84" s="110">
        <f>FASE1!L84</f>
        <v>100</v>
      </c>
      <c r="H84" s="110">
        <f>FASE1!R84</f>
        <v>0</v>
      </c>
      <c r="I84" s="110">
        <f>FASE1!U84</f>
        <v>0</v>
      </c>
      <c r="J84" s="110">
        <f>FASE1!U84</f>
        <v>0</v>
      </c>
      <c r="K84" s="110">
        <f>FASE1!P84</f>
        <v>0</v>
      </c>
      <c r="L84" s="110">
        <f>FASE1!V84</f>
        <v>0</v>
      </c>
      <c r="M84" s="110">
        <f>AVERAGE(FASE2!F84:G84)</f>
        <v>0</v>
      </c>
      <c r="N84" s="110">
        <f>AVERAGE(FASE2!O84:P84,FASE2!S84)</f>
        <v>0</v>
      </c>
      <c r="O84" s="110">
        <f>FASE4!K84</f>
        <v>0</v>
      </c>
      <c r="P84" s="110">
        <f>FASE2!N84</f>
        <v>0</v>
      </c>
      <c r="Q84" s="110">
        <f>FASE3!P84</f>
        <v>0</v>
      </c>
      <c r="R84" s="110">
        <f>FASE3!N84</f>
        <v>0.3</v>
      </c>
      <c r="S84" s="110">
        <f>AVERAGE(FASE3!Q84,FASE3!R84,FASE3!T84,FASE3!S84)</f>
        <v>0</v>
      </c>
      <c r="T84" s="110">
        <f>AVERAGE(FASE3!U84,FASE3!V84,FASE3!W84)</f>
        <v>0</v>
      </c>
      <c r="U84" s="110">
        <f>FASE3!Y84</f>
        <v>0</v>
      </c>
      <c r="V84" s="110">
        <f>FASE3!X84</f>
        <v>0</v>
      </c>
      <c r="W84" s="110">
        <f>FASE4!M84</f>
        <v>0</v>
      </c>
      <c r="X84" s="110">
        <f t="shared" si="1"/>
        <v>16.405555555555555</v>
      </c>
    </row>
    <row r="85" spans="2:25" ht="15.75" customHeight="1" x14ac:dyDescent="0.25">
      <c r="B85">
        <v>3</v>
      </c>
      <c r="C85" t="s">
        <v>111</v>
      </c>
      <c r="D85" s="97">
        <v>305</v>
      </c>
      <c r="E85" s="110">
        <f>FASE1!G85</f>
        <v>100</v>
      </c>
      <c r="F85" s="110">
        <f>FASE1!M85</f>
        <v>95</v>
      </c>
      <c r="G85" s="110">
        <f>FASE1!L85</f>
        <v>100</v>
      </c>
      <c r="H85" s="110">
        <f>FASE1!R85</f>
        <v>0</v>
      </c>
      <c r="I85" s="110">
        <f>FASE1!U85</f>
        <v>0</v>
      </c>
      <c r="J85" s="110">
        <f>FASE1!U85</f>
        <v>0</v>
      </c>
      <c r="K85" s="110">
        <f>FASE1!P85</f>
        <v>0</v>
      </c>
      <c r="L85" s="110">
        <f>FASE1!V85</f>
        <v>0</v>
      </c>
      <c r="M85" s="110">
        <f>AVERAGE(FASE2!F85:G85)</f>
        <v>0</v>
      </c>
      <c r="N85" s="110">
        <f>AVERAGE(FASE2!O85:P85,FASE2!S85)</f>
        <v>0</v>
      </c>
      <c r="O85" s="110">
        <f>FASE4!K85</f>
        <v>0</v>
      </c>
      <c r="P85" s="110">
        <f>FASE2!N85</f>
        <v>0</v>
      </c>
      <c r="Q85" s="110">
        <f>FASE3!P85</f>
        <v>0</v>
      </c>
      <c r="R85" s="110">
        <f>FASE3!N85</f>
        <v>0.3</v>
      </c>
      <c r="S85" s="110">
        <f>AVERAGE(FASE3!Q85,FASE3!R85,FASE3!T85,FASE3!S85)</f>
        <v>0</v>
      </c>
      <c r="T85" s="110">
        <f>AVERAGE(FASE3!U85,FASE3!V85,FASE3!W85)</f>
        <v>0</v>
      </c>
      <c r="U85" s="110">
        <f>FASE3!Y85</f>
        <v>0</v>
      </c>
      <c r="V85" s="110">
        <f>FASE3!X85</f>
        <v>0</v>
      </c>
      <c r="W85" s="110">
        <f>FASE4!M85</f>
        <v>0</v>
      </c>
      <c r="X85" s="110">
        <f t="shared" si="1"/>
        <v>16.405555555555555</v>
      </c>
    </row>
    <row r="86" spans="2:25" ht="15.75" customHeight="1" x14ac:dyDescent="0.25">
      <c r="B86">
        <v>3</v>
      </c>
      <c r="C86" t="s">
        <v>111</v>
      </c>
      <c r="D86" s="97">
        <v>306</v>
      </c>
      <c r="E86" s="110">
        <f>FASE1!G86</f>
        <v>100</v>
      </c>
      <c r="F86" s="110">
        <f>FASE1!M86</f>
        <v>95</v>
      </c>
      <c r="G86" s="110">
        <f>FASE1!L86</f>
        <v>100</v>
      </c>
      <c r="H86" s="110">
        <f>FASE1!R86</f>
        <v>0</v>
      </c>
      <c r="I86" s="110">
        <f>FASE1!U86</f>
        <v>0</v>
      </c>
      <c r="J86" s="110">
        <f>FASE1!U86</f>
        <v>0</v>
      </c>
      <c r="K86" s="110">
        <f>FASE1!P86</f>
        <v>100</v>
      </c>
      <c r="L86" s="110">
        <f>FASE1!V86</f>
        <v>0</v>
      </c>
      <c r="M86" s="110">
        <f>AVERAGE(FASE2!F86:G86)</f>
        <v>0</v>
      </c>
      <c r="N86" s="110">
        <f>AVERAGE(FASE2!O86:P86,FASE2!S86)</f>
        <v>0</v>
      </c>
      <c r="O86" s="110">
        <f>FASE4!K86</f>
        <v>0</v>
      </c>
      <c r="P86" s="110">
        <f>FASE2!N86</f>
        <v>0</v>
      </c>
      <c r="Q86" s="110">
        <f>FASE3!P86</f>
        <v>0</v>
      </c>
      <c r="R86" s="110">
        <f>FASE3!N86</f>
        <v>0.3</v>
      </c>
      <c r="S86" s="110">
        <f>AVERAGE(FASE3!Q86,FASE3!R86,FASE3!T86,FASE3!S86)</f>
        <v>0</v>
      </c>
      <c r="T86" s="110">
        <f>AVERAGE(FASE3!U86,FASE3!V86,FASE3!W86)</f>
        <v>0</v>
      </c>
      <c r="U86" s="110">
        <f>FASE3!Y86</f>
        <v>0</v>
      </c>
      <c r="V86" s="110">
        <f>FASE3!X86</f>
        <v>0</v>
      </c>
      <c r="W86" s="110">
        <f>FASE4!M86</f>
        <v>0</v>
      </c>
      <c r="X86" s="110">
        <f t="shared" si="1"/>
        <v>21.961111111111112</v>
      </c>
    </row>
    <row r="87" spans="2:25" ht="15.75" customHeight="1" x14ac:dyDescent="0.25">
      <c r="B87">
        <v>3</v>
      </c>
      <c r="C87" t="s">
        <v>111</v>
      </c>
      <c r="D87" s="97">
        <v>307</v>
      </c>
      <c r="E87" s="110">
        <f>FASE1!G87</f>
        <v>100</v>
      </c>
      <c r="F87" s="110">
        <f>FASE1!M87</f>
        <v>95</v>
      </c>
      <c r="G87" s="110">
        <f>FASE1!L87</f>
        <v>100</v>
      </c>
      <c r="H87" s="110">
        <f>FASE1!R87</f>
        <v>0</v>
      </c>
      <c r="I87" s="110">
        <f>FASE1!U87</f>
        <v>0</v>
      </c>
      <c r="J87" s="110">
        <f>FASE1!U87</f>
        <v>0</v>
      </c>
      <c r="K87" s="110">
        <f>FASE1!P87</f>
        <v>100</v>
      </c>
      <c r="L87" s="110">
        <f>FASE1!V87</f>
        <v>0</v>
      </c>
      <c r="M87" s="110">
        <f>AVERAGE(FASE2!F87:G87)</f>
        <v>0</v>
      </c>
      <c r="N87" s="110">
        <f>AVERAGE(FASE2!O87:P87,FASE2!S87)</f>
        <v>0</v>
      </c>
      <c r="O87" s="110">
        <f>FASE4!K87</f>
        <v>0</v>
      </c>
      <c r="P87" s="110">
        <f>FASE2!N87</f>
        <v>0</v>
      </c>
      <c r="Q87" s="110">
        <f>FASE3!P87</f>
        <v>0</v>
      </c>
      <c r="R87" s="110">
        <f>FASE3!N87</f>
        <v>0.3</v>
      </c>
      <c r="S87" s="110">
        <f>AVERAGE(FASE3!Q87,FASE3!R87,FASE3!T87,FASE3!S87)</f>
        <v>0</v>
      </c>
      <c r="T87" s="110">
        <f>AVERAGE(FASE3!U87,FASE3!V87,FASE3!W87)</f>
        <v>0</v>
      </c>
      <c r="U87" s="110">
        <f>FASE3!Y87</f>
        <v>0</v>
      </c>
      <c r="V87" s="110">
        <f>FASE3!X87</f>
        <v>0</v>
      </c>
      <c r="W87" s="110">
        <f>FASE4!M87</f>
        <v>0</v>
      </c>
      <c r="X87" s="110">
        <f t="shared" si="1"/>
        <v>21.961111111111112</v>
      </c>
    </row>
    <row r="88" spans="2:25" ht="15.75" customHeight="1" x14ac:dyDescent="0.25">
      <c r="B88">
        <v>3</v>
      </c>
      <c r="C88" t="s">
        <v>111</v>
      </c>
      <c r="D88" s="97">
        <v>308</v>
      </c>
      <c r="E88" s="110">
        <f>FASE1!G88</f>
        <v>100</v>
      </c>
      <c r="F88" s="110">
        <f>FASE1!M88</f>
        <v>95</v>
      </c>
      <c r="G88" s="110">
        <f>FASE1!L88</f>
        <v>100</v>
      </c>
      <c r="H88" s="110">
        <f>FASE1!R88</f>
        <v>0</v>
      </c>
      <c r="I88" s="110">
        <f>FASE1!U88</f>
        <v>0</v>
      </c>
      <c r="J88" s="110">
        <f>FASE1!U88</f>
        <v>0</v>
      </c>
      <c r="K88" s="110">
        <f>FASE1!P88</f>
        <v>0</v>
      </c>
      <c r="L88" s="110">
        <f>FASE1!V88</f>
        <v>0</v>
      </c>
      <c r="M88" s="110">
        <f>AVERAGE(FASE2!F88:G88)</f>
        <v>0</v>
      </c>
      <c r="N88" s="110">
        <f>AVERAGE(FASE2!O88:P88,FASE2!S88)</f>
        <v>0</v>
      </c>
      <c r="O88" s="110">
        <f>FASE4!K88</f>
        <v>0</v>
      </c>
      <c r="P88" s="110">
        <f>FASE2!N88</f>
        <v>0</v>
      </c>
      <c r="Q88" s="110">
        <f>FASE3!P88</f>
        <v>0</v>
      </c>
      <c r="R88" s="110">
        <f>FASE3!N88</f>
        <v>0</v>
      </c>
      <c r="S88" s="110">
        <f>AVERAGE(FASE3!Q88,FASE3!R88,FASE3!T88,FASE3!S88)</f>
        <v>0</v>
      </c>
      <c r="T88" s="110">
        <f>AVERAGE(FASE3!U88,FASE3!V88,FASE3!W88)</f>
        <v>0</v>
      </c>
      <c r="U88" s="110">
        <f>FASE3!Y88</f>
        <v>0</v>
      </c>
      <c r="V88" s="110">
        <f>FASE3!X88</f>
        <v>0</v>
      </c>
      <c r="W88" s="110">
        <f>FASE4!M88</f>
        <v>0</v>
      </c>
      <c r="X88" s="110">
        <f t="shared" si="1"/>
        <v>16.388888888888889</v>
      </c>
    </row>
    <row r="89" spans="2:25" ht="15.75" customHeight="1" x14ac:dyDescent="0.25">
      <c r="B89">
        <v>3</v>
      </c>
      <c r="C89" t="s">
        <v>111</v>
      </c>
      <c r="D89" s="97">
        <v>309</v>
      </c>
      <c r="E89" s="110">
        <f>FASE1!G89</f>
        <v>50</v>
      </c>
      <c r="F89" s="110">
        <f>FASE1!M89</f>
        <v>100</v>
      </c>
      <c r="G89" s="110">
        <f>FASE1!L89</f>
        <v>95</v>
      </c>
      <c r="H89" s="110">
        <f>FASE1!R89</f>
        <v>0</v>
      </c>
      <c r="I89" s="110">
        <f>FASE1!U89</f>
        <v>0</v>
      </c>
      <c r="J89" s="110">
        <f>FASE1!U89</f>
        <v>0</v>
      </c>
      <c r="K89" s="110">
        <f>FASE1!P89</f>
        <v>100</v>
      </c>
      <c r="L89" s="110">
        <f>FASE1!V89</f>
        <v>0</v>
      </c>
      <c r="M89" s="110">
        <f>AVERAGE(FASE2!F89:G89)</f>
        <v>0</v>
      </c>
      <c r="N89" s="110">
        <f>AVERAGE(FASE2!O89:P89,FASE2!S89)</f>
        <v>0</v>
      </c>
      <c r="O89" s="110">
        <f>FASE4!K89</f>
        <v>0</v>
      </c>
      <c r="P89" s="110">
        <f>FASE2!N89</f>
        <v>0</v>
      </c>
      <c r="Q89" s="110">
        <f>FASE3!P89</f>
        <v>0</v>
      </c>
      <c r="R89" s="110">
        <f>FASE3!N89</f>
        <v>0</v>
      </c>
      <c r="S89" s="110">
        <f>AVERAGE(FASE3!Q89,FASE3!R89,FASE3!T89,FASE3!S89)</f>
        <v>0</v>
      </c>
      <c r="T89" s="110">
        <f>AVERAGE(FASE3!U89,FASE3!V89,FASE3!W89)</f>
        <v>0</v>
      </c>
      <c r="U89" s="110">
        <f>FASE3!Y89</f>
        <v>0</v>
      </c>
      <c r="V89" s="110">
        <f>FASE3!X89</f>
        <v>0</v>
      </c>
      <c r="W89" s="110">
        <f>FASE4!M89</f>
        <v>0</v>
      </c>
      <c r="X89" s="110">
        <f t="shared" si="1"/>
        <v>19.166666666666668</v>
      </c>
    </row>
    <row r="90" spans="2:25" ht="15.75" customHeight="1" x14ac:dyDescent="0.25">
      <c r="B90">
        <v>3</v>
      </c>
      <c r="C90" t="s">
        <v>111</v>
      </c>
      <c r="D90" s="97">
        <v>310</v>
      </c>
      <c r="E90" s="110">
        <f>FASE1!G90</f>
        <v>50</v>
      </c>
      <c r="F90" s="110">
        <f>FASE1!M90</f>
        <v>95</v>
      </c>
      <c r="G90" s="110">
        <f>FASE1!L90</f>
        <v>95</v>
      </c>
      <c r="H90" s="110">
        <f>FASE1!R90</f>
        <v>0</v>
      </c>
      <c r="I90" s="110">
        <f>FASE1!U90</f>
        <v>0</v>
      </c>
      <c r="J90" s="110">
        <f>FASE1!U90</f>
        <v>0</v>
      </c>
      <c r="K90" s="110">
        <f>FASE1!P90</f>
        <v>100</v>
      </c>
      <c r="L90" s="110">
        <f>FASE1!V90</f>
        <v>0</v>
      </c>
      <c r="M90" s="110">
        <f>AVERAGE(FASE2!F90:G90)</f>
        <v>0</v>
      </c>
      <c r="N90" s="110">
        <f>AVERAGE(FASE2!O90:P90,FASE2!S90)</f>
        <v>0</v>
      </c>
      <c r="O90" s="110">
        <f>FASE4!K90</f>
        <v>0</v>
      </c>
      <c r="P90" s="110">
        <f>FASE2!N90</f>
        <v>0</v>
      </c>
      <c r="Q90" s="110">
        <f>FASE3!P90</f>
        <v>0</v>
      </c>
      <c r="R90" s="110">
        <f>FASE3!N90</f>
        <v>0</v>
      </c>
      <c r="S90" s="110">
        <f>AVERAGE(FASE3!Q90,FASE3!R90,FASE3!T90,FASE3!S90)</f>
        <v>0</v>
      </c>
      <c r="T90" s="110">
        <f>AVERAGE(FASE3!U90,FASE3!V90,FASE3!W90)</f>
        <v>0</v>
      </c>
      <c r="U90" s="110">
        <f>FASE3!Y90</f>
        <v>0</v>
      </c>
      <c r="V90" s="110">
        <f>FASE3!X90</f>
        <v>0</v>
      </c>
      <c r="W90" s="110">
        <f>FASE4!M90</f>
        <v>0</v>
      </c>
      <c r="X90" s="110">
        <f t="shared" si="1"/>
        <v>18.888888888888889</v>
      </c>
    </row>
    <row r="91" spans="2:25" ht="15.75" customHeight="1" x14ac:dyDescent="0.25">
      <c r="B91">
        <v>3</v>
      </c>
      <c r="C91" t="s">
        <v>111</v>
      </c>
      <c r="D91" s="97">
        <v>311</v>
      </c>
      <c r="E91" s="110">
        <f>FASE1!G91</f>
        <v>65</v>
      </c>
      <c r="F91" s="110">
        <f>FASE1!M91</f>
        <v>95</v>
      </c>
      <c r="G91" s="110">
        <f>FASE1!L91</f>
        <v>95</v>
      </c>
      <c r="H91" s="110">
        <f>FASE1!R91</f>
        <v>0</v>
      </c>
      <c r="I91" s="110">
        <f>FASE1!U91</f>
        <v>0</v>
      </c>
      <c r="J91" s="110">
        <f>FASE1!U91</f>
        <v>0</v>
      </c>
      <c r="K91" s="110">
        <f>FASE1!P91</f>
        <v>100</v>
      </c>
      <c r="L91" s="110">
        <f>FASE1!V91</f>
        <v>0</v>
      </c>
      <c r="M91" s="110">
        <f>AVERAGE(FASE2!F91:G91)</f>
        <v>0</v>
      </c>
      <c r="N91" s="110">
        <f>AVERAGE(FASE2!O91:P91,FASE2!S91)</f>
        <v>0</v>
      </c>
      <c r="O91" s="110">
        <f>FASE4!K91</f>
        <v>0</v>
      </c>
      <c r="P91" s="110">
        <f>FASE2!N91</f>
        <v>0</v>
      </c>
      <c r="Q91" s="110">
        <f>FASE3!P91</f>
        <v>0</v>
      </c>
      <c r="R91" s="110">
        <f>FASE3!N91</f>
        <v>0</v>
      </c>
      <c r="S91" s="110">
        <f>AVERAGE(FASE3!Q91,FASE3!R91,FASE3!T91,FASE3!S91)</f>
        <v>0</v>
      </c>
      <c r="T91" s="110">
        <f>AVERAGE(FASE3!U91,FASE3!V91,FASE3!W91)</f>
        <v>0</v>
      </c>
      <c r="U91" s="110">
        <f>FASE3!Y91</f>
        <v>0</v>
      </c>
      <c r="V91" s="110">
        <f>FASE3!X91</f>
        <v>0</v>
      </c>
      <c r="W91" s="110">
        <f>FASE4!M91</f>
        <v>0</v>
      </c>
      <c r="X91" s="110">
        <f t="shared" si="1"/>
        <v>19.722222222222221</v>
      </c>
      <c r="Y91" s="2"/>
    </row>
    <row r="92" spans="2:25" ht="15.75" customHeight="1" x14ac:dyDescent="0.25">
      <c r="B92">
        <v>3</v>
      </c>
      <c r="C92" t="s">
        <v>111</v>
      </c>
      <c r="D92" s="97">
        <v>312</v>
      </c>
      <c r="E92" s="110">
        <f>FASE1!G92</f>
        <v>50</v>
      </c>
      <c r="F92" s="110">
        <f>FASE1!M92</f>
        <v>95</v>
      </c>
      <c r="G92" s="110">
        <f>FASE1!L92</f>
        <v>95</v>
      </c>
      <c r="H92" s="110">
        <f>FASE1!R92</f>
        <v>0</v>
      </c>
      <c r="I92" s="110">
        <f>FASE1!U92</f>
        <v>0</v>
      </c>
      <c r="J92" s="110">
        <f>FASE1!U92</f>
        <v>0</v>
      </c>
      <c r="K92" s="110">
        <f>FASE1!P92</f>
        <v>100</v>
      </c>
      <c r="L92" s="110">
        <f>FASE1!V92</f>
        <v>0</v>
      </c>
      <c r="M92" s="110">
        <f>AVERAGE(FASE2!F92:G92)</f>
        <v>0</v>
      </c>
      <c r="N92" s="110">
        <f>AVERAGE(FASE2!O92:P92,FASE2!S92)</f>
        <v>0</v>
      </c>
      <c r="O92" s="110">
        <f>FASE4!K92</f>
        <v>0</v>
      </c>
      <c r="P92" s="110">
        <f>FASE2!N92</f>
        <v>0</v>
      </c>
      <c r="Q92" s="110">
        <f>FASE3!P92</f>
        <v>0</v>
      </c>
      <c r="R92" s="110">
        <f>FASE3!N92</f>
        <v>0</v>
      </c>
      <c r="S92" s="110">
        <f>AVERAGE(FASE3!Q92,FASE3!R92,FASE3!T92,FASE3!S92)</f>
        <v>0</v>
      </c>
      <c r="T92" s="110">
        <f>AVERAGE(FASE3!U92,FASE3!V92,FASE3!W92)</f>
        <v>0</v>
      </c>
      <c r="U92" s="110">
        <f>FASE3!Y92</f>
        <v>0</v>
      </c>
      <c r="V92" s="110">
        <f>FASE3!X92</f>
        <v>0</v>
      </c>
      <c r="W92" s="110">
        <f>FASE4!M92</f>
        <v>0</v>
      </c>
      <c r="X92" s="110">
        <f t="shared" si="1"/>
        <v>18.888888888888889</v>
      </c>
    </row>
    <row r="93" spans="2:25" ht="15.75" customHeight="1" x14ac:dyDescent="0.25">
      <c r="B93">
        <v>3</v>
      </c>
      <c r="C93" t="s">
        <v>111</v>
      </c>
      <c r="D93" s="97">
        <v>313</v>
      </c>
      <c r="E93" s="110">
        <f>FASE1!G93</f>
        <v>50</v>
      </c>
      <c r="F93" s="110">
        <f>FASE1!M93</f>
        <v>95</v>
      </c>
      <c r="G93" s="110">
        <f>FASE1!L93</f>
        <v>95</v>
      </c>
      <c r="H93" s="110">
        <f>FASE1!R93</f>
        <v>0</v>
      </c>
      <c r="I93" s="110">
        <f>FASE1!U93</f>
        <v>0</v>
      </c>
      <c r="J93" s="110">
        <f>FASE1!U93</f>
        <v>0</v>
      </c>
      <c r="K93" s="110">
        <f>FASE1!P93</f>
        <v>100</v>
      </c>
      <c r="L93" s="110">
        <f>FASE1!V93</f>
        <v>0</v>
      </c>
      <c r="M93" s="110">
        <f>AVERAGE(FASE2!F93:G93)</f>
        <v>0</v>
      </c>
      <c r="N93" s="110">
        <f>AVERAGE(FASE2!O93:P93,FASE2!S93)</f>
        <v>0</v>
      </c>
      <c r="O93" s="110">
        <f>FASE4!K93</f>
        <v>0</v>
      </c>
      <c r="P93" s="110">
        <f>FASE2!N93</f>
        <v>0</v>
      </c>
      <c r="Q93" s="110">
        <f>FASE3!P93</f>
        <v>0</v>
      </c>
      <c r="R93" s="110">
        <f>FASE3!N93</f>
        <v>0</v>
      </c>
      <c r="S93" s="110">
        <f>AVERAGE(FASE3!Q93,FASE3!R93,FASE3!T93,FASE3!S93)</f>
        <v>0</v>
      </c>
      <c r="T93" s="110">
        <f>AVERAGE(FASE3!U93,FASE3!V93,FASE3!W93)</f>
        <v>0</v>
      </c>
      <c r="U93" s="110">
        <f>FASE3!Y93</f>
        <v>0</v>
      </c>
      <c r="V93" s="110">
        <f>FASE3!X93</f>
        <v>0</v>
      </c>
      <c r="W93" s="110">
        <f>FASE4!M93</f>
        <v>0</v>
      </c>
      <c r="X93" s="110">
        <f t="shared" si="1"/>
        <v>18.888888888888889</v>
      </c>
    </row>
    <row r="94" spans="2:25" ht="15.75" customHeight="1" x14ac:dyDescent="0.25">
      <c r="B94">
        <v>3</v>
      </c>
      <c r="C94" t="s">
        <v>111</v>
      </c>
      <c r="D94" s="97">
        <v>314</v>
      </c>
      <c r="E94" s="110">
        <f>FASE1!G94</f>
        <v>50</v>
      </c>
      <c r="F94" s="110">
        <f>FASE1!M94</f>
        <v>0</v>
      </c>
      <c r="G94" s="110">
        <f>FASE1!L94</f>
        <v>100</v>
      </c>
      <c r="H94" s="110">
        <f>FASE1!R94</f>
        <v>0</v>
      </c>
      <c r="I94" s="110">
        <f>FASE1!U94</f>
        <v>0</v>
      </c>
      <c r="J94" s="110">
        <f>FASE1!U94</f>
        <v>0</v>
      </c>
      <c r="K94" s="110">
        <f>FASE1!P94</f>
        <v>100</v>
      </c>
      <c r="L94" s="110">
        <f>FASE1!V94</f>
        <v>0</v>
      </c>
      <c r="M94" s="110">
        <f>AVERAGE(FASE2!F94:G94)</f>
        <v>0</v>
      </c>
      <c r="N94" s="110">
        <f>AVERAGE(FASE2!O94:P94,FASE2!S94)</f>
        <v>0</v>
      </c>
      <c r="O94" s="110">
        <f>FASE4!K94</f>
        <v>0</v>
      </c>
      <c r="P94" s="110">
        <f>FASE2!N94</f>
        <v>0</v>
      </c>
      <c r="Q94" s="110">
        <f>FASE3!P94</f>
        <v>0</v>
      </c>
      <c r="R94" s="110">
        <f>FASE3!N94</f>
        <v>0</v>
      </c>
      <c r="S94" s="110">
        <f>AVERAGE(FASE3!Q94,FASE3!R94,FASE3!T94,FASE3!S94)</f>
        <v>0</v>
      </c>
      <c r="T94" s="110">
        <f>AVERAGE(FASE3!U94,FASE3!V94,FASE3!W94)</f>
        <v>0</v>
      </c>
      <c r="U94" s="110">
        <f>FASE3!Y94</f>
        <v>0</v>
      </c>
      <c r="V94" s="110">
        <f>FASE3!X94</f>
        <v>0</v>
      </c>
      <c r="W94" s="110">
        <f>FASE4!M94</f>
        <v>0</v>
      </c>
      <c r="X94" s="110">
        <f t="shared" si="1"/>
        <v>13.888888888888889</v>
      </c>
    </row>
    <row r="95" spans="2:25" ht="15.75" customHeight="1" x14ac:dyDescent="0.25">
      <c r="B95">
        <v>3</v>
      </c>
      <c r="C95" t="s">
        <v>111</v>
      </c>
      <c r="D95" s="97">
        <v>315</v>
      </c>
      <c r="E95" s="110">
        <f>FASE1!G95</f>
        <v>50</v>
      </c>
      <c r="F95" s="110">
        <f>FASE1!M95</f>
        <v>0</v>
      </c>
      <c r="G95" s="110">
        <f>FASE1!L95</f>
        <v>95</v>
      </c>
      <c r="H95" s="110">
        <f>FASE1!R95</f>
        <v>0</v>
      </c>
      <c r="I95" s="110">
        <f>FASE1!U95</f>
        <v>0</v>
      </c>
      <c r="J95" s="110">
        <f>FASE1!U95</f>
        <v>0</v>
      </c>
      <c r="K95" s="110">
        <f>FASE1!P95</f>
        <v>100</v>
      </c>
      <c r="L95" s="110">
        <f>FASE1!V95</f>
        <v>0</v>
      </c>
      <c r="M95" s="110">
        <f>AVERAGE(FASE2!F95:G95)</f>
        <v>0</v>
      </c>
      <c r="N95" s="110">
        <f>AVERAGE(FASE2!O95:P95,FASE2!S95)</f>
        <v>0</v>
      </c>
      <c r="O95" s="110">
        <f>FASE4!K95</f>
        <v>0</v>
      </c>
      <c r="P95" s="110">
        <f>FASE2!N95</f>
        <v>0</v>
      </c>
      <c r="Q95" s="110">
        <f>FASE3!P95</f>
        <v>0</v>
      </c>
      <c r="R95" s="110">
        <f>FASE3!N95</f>
        <v>0</v>
      </c>
      <c r="S95" s="110">
        <f>AVERAGE(FASE3!Q95,FASE3!R95,FASE3!T95,FASE3!S95)</f>
        <v>0</v>
      </c>
      <c r="T95" s="110">
        <f>AVERAGE(FASE3!U95,FASE3!V95,FASE3!W95)</f>
        <v>0</v>
      </c>
      <c r="U95" s="110">
        <f>FASE3!Y95</f>
        <v>0</v>
      </c>
      <c r="V95" s="110">
        <f>FASE3!X95</f>
        <v>0</v>
      </c>
      <c r="W95" s="110">
        <f>FASE4!M95</f>
        <v>0</v>
      </c>
      <c r="X95" s="110">
        <f t="shared" si="1"/>
        <v>13.611111111111111</v>
      </c>
    </row>
    <row r="96" spans="2:25" ht="15.75" customHeight="1" x14ac:dyDescent="0.25">
      <c r="B96">
        <v>3</v>
      </c>
      <c r="C96" t="s">
        <v>111</v>
      </c>
      <c r="D96" s="97">
        <v>316</v>
      </c>
      <c r="E96" s="110">
        <f>FASE1!G96</f>
        <v>50</v>
      </c>
      <c r="F96" s="110">
        <f>FASE1!M96</f>
        <v>0</v>
      </c>
      <c r="G96" s="110">
        <f>FASE1!L96</f>
        <v>95</v>
      </c>
      <c r="H96" s="110">
        <f>FASE1!R96</f>
        <v>0</v>
      </c>
      <c r="I96" s="110">
        <f>FASE1!U96</f>
        <v>0</v>
      </c>
      <c r="J96" s="110">
        <f>FASE1!U96</f>
        <v>0</v>
      </c>
      <c r="K96" s="110">
        <f>FASE1!P96</f>
        <v>0</v>
      </c>
      <c r="L96" s="110">
        <f>FASE1!V96</f>
        <v>0</v>
      </c>
      <c r="M96" s="110">
        <f>AVERAGE(FASE2!F96:G96)</f>
        <v>0</v>
      </c>
      <c r="N96" s="110">
        <f>AVERAGE(FASE2!O96:P96,FASE2!S96)</f>
        <v>0</v>
      </c>
      <c r="O96" s="110">
        <f>FASE4!K96</f>
        <v>0</v>
      </c>
      <c r="P96" s="110">
        <f>FASE2!N96</f>
        <v>0</v>
      </c>
      <c r="Q96" s="110">
        <f>FASE3!P96</f>
        <v>0</v>
      </c>
      <c r="R96" s="110">
        <f>FASE3!N96</f>
        <v>0</v>
      </c>
      <c r="S96" s="110">
        <f>AVERAGE(FASE3!Q96,FASE3!R96,FASE3!T96,FASE3!S96)</f>
        <v>0</v>
      </c>
      <c r="T96" s="110">
        <f>AVERAGE(FASE3!U96,FASE3!V96,FASE3!W96)</f>
        <v>0</v>
      </c>
      <c r="U96" s="110">
        <f>FASE3!Y96</f>
        <v>0</v>
      </c>
      <c r="V96" s="110">
        <f>FASE3!X96</f>
        <v>0</v>
      </c>
      <c r="W96" s="110">
        <f>FASE4!M96</f>
        <v>0</v>
      </c>
      <c r="X96" s="110">
        <f t="shared" si="1"/>
        <v>8.0555555555555554</v>
      </c>
    </row>
    <row r="97" spans="2:25" ht="15.75" customHeight="1" x14ac:dyDescent="0.25">
      <c r="B97">
        <v>3</v>
      </c>
      <c r="C97" t="s">
        <v>111</v>
      </c>
      <c r="D97" s="97">
        <v>317</v>
      </c>
      <c r="E97" s="110">
        <f>FASE1!G97</f>
        <v>50</v>
      </c>
      <c r="F97" s="110">
        <f>FASE1!M97</f>
        <v>0</v>
      </c>
      <c r="G97" s="110">
        <f>FASE1!L97</f>
        <v>95</v>
      </c>
      <c r="H97" s="110">
        <f>FASE1!R97</f>
        <v>0</v>
      </c>
      <c r="I97" s="110">
        <f>FASE1!U97</f>
        <v>0</v>
      </c>
      <c r="J97" s="110">
        <f>FASE1!U97</f>
        <v>0</v>
      </c>
      <c r="K97" s="110">
        <f>FASE1!P97</f>
        <v>100</v>
      </c>
      <c r="L97" s="110">
        <f>FASE1!V97</f>
        <v>0</v>
      </c>
      <c r="M97" s="110">
        <f>AVERAGE(FASE2!F97:G97)</f>
        <v>0</v>
      </c>
      <c r="N97" s="110">
        <f>AVERAGE(FASE2!O97:P97,FASE2!S97)</f>
        <v>0</v>
      </c>
      <c r="O97" s="110">
        <f>FASE4!K97</f>
        <v>0</v>
      </c>
      <c r="P97" s="110">
        <f>FASE2!N97</f>
        <v>0</v>
      </c>
      <c r="Q97" s="110">
        <f>FASE3!P97</f>
        <v>0</v>
      </c>
      <c r="R97" s="110">
        <f>FASE3!N97</f>
        <v>0</v>
      </c>
      <c r="S97" s="110">
        <f>AVERAGE(FASE3!Q97,FASE3!R97,FASE3!T97,FASE3!S97)</f>
        <v>0</v>
      </c>
      <c r="T97" s="110">
        <f>AVERAGE(FASE3!U97,FASE3!V97,FASE3!W97)</f>
        <v>0</v>
      </c>
      <c r="U97" s="110">
        <f>FASE3!Y97</f>
        <v>0</v>
      </c>
      <c r="V97" s="110">
        <f>FASE3!X97</f>
        <v>0</v>
      </c>
      <c r="W97" s="110">
        <f>FASE4!M97</f>
        <v>0</v>
      </c>
      <c r="X97" s="110">
        <f t="shared" si="1"/>
        <v>13.611111111111111</v>
      </c>
    </row>
    <row r="98" spans="2:25" ht="15.75" customHeight="1" x14ac:dyDescent="0.25">
      <c r="B98">
        <v>3</v>
      </c>
      <c r="C98" t="s">
        <v>111</v>
      </c>
      <c r="D98" s="97">
        <v>318</v>
      </c>
      <c r="E98" s="110">
        <f>FASE1!G98</f>
        <v>50</v>
      </c>
      <c r="F98" s="110">
        <f>FASE1!M98</f>
        <v>0</v>
      </c>
      <c r="G98" s="110">
        <f>FASE1!L98</f>
        <v>95</v>
      </c>
      <c r="H98" s="110">
        <f>FASE1!R98</f>
        <v>0</v>
      </c>
      <c r="I98" s="110">
        <f>FASE1!U98</f>
        <v>0</v>
      </c>
      <c r="J98" s="110">
        <f>FASE1!U98</f>
        <v>0</v>
      </c>
      <c r="K98" s="110">
        <f>FASE1!P98</f>
        <v>0</v>
      </c>
      <c r="L98" s="110">
        <f>FASE1!V98</f>
        <v>0</v>
      </c>
      <c r="M98" s="110">
        <f>AVERAGE(FASE2!F98:G98)</f>
        <v>0</v>
      </c>
      <c r="N98" s="110">
        <f>AVERAGE(FASE2!O98:P98,FASE2!S98)</f>
        <v>0</v>
      </c>
      <c r="O98" s="110">
        <f>FASE4!K98</f>
        <v>0</v>
      </c>
      <c r="P98" s="110">
        <f>FASE2!N98</f>
        <v>0</v>
      </c>
      <c r="Q98" s="110">
        <f>FASE3!P98</f>
        <v>0</v>
      </c>
      <c r="R98" s="110">
        <f>FASE3!N98</f>
        <v>0</v>
      </c>
      <c r="S98" s="110">
        <f>AVERAGE(FASE3!Q98,FASE3!R98,FASE3!T98,FASE3!S98)</f>
        <v>0</v>
      </c>
      <c r="T98" s="110">
        <f>AVERAGE(FASE3!U98,FASE3!V98,FASE3!W98)</f>
        <v>0</v>
      </c>
      <c r="U98" s="110">
        <f>FASE3!Y98</f>
        <v>0</v>
      </c>
      <c r="V98" s="110">
        <f>FASE3!X98</f>
        <v>0</v>
      </c>
      <c r="W98" s="110">
        <f>FASE4!M98</f>
        <v>0</v>
      </c>
      <c r="X98" s="110">
        <f t="shared" si="1"/>
        <v>8.0555555555555554</v>
      </c>
    </row>
    <row r="99" spans="2:25" ht="15.75" customHeight="1" x14ac:dyDescent="0.25">
      <c r="B99">
        <v>3</v>
      </c>
      <c r="C99" t="s">
        <v>111</v>
      </c>
      <c r="D99" s="97">
        <v>319</v>
      </c>
      <c r="E99" s="110">
        <f>FASE1!G99</f>
        <v>50</v>
      </c>
      <c r="F99" s="110">
        <f>FASE1!M99</f>
        <v>0</v>
      </c>
      <c r="G99" s="110">
        <f>FASE1!L99</f>
        <v>95</v>
      </c>
      <c r="H99" s="110">
        <f>FASE1!R99</f>
        <v>0</v>
      </c>
      <c r="I99" s="110">
        <f>FASE1!U99</f>
        <v>0</v>
      </c>
      <c r="J99" s="110">
        <f>FASE1!U99</f>
        <v>0</v>
      </c>
      <c r="K99" s="110">
        <f>FASE1!P99</f>
        <v>0</v>
      </c>
      <c r="L99" s="110">
        <f>FASE1!V99</f>
        <v>0</v>
      </c>
      <c r="M99" s="110">
        <f>AVERAGE(FASE2!F99:G99)</f>
        <v>0</v>
      </c>
      <c r="N99" s="110">
        <f>AVERAGE(FASE2!O99:P99,FASE2!S99)</f>
        <v>0</v>
      </c>
      <c r="O99" s="110">
        <f>FASE4!K99</f>
        <v>0</v>
      </c>
      <c r="P99" s="110">
        <f>FASE2!N99</f>
        <v>0</v>
      </c>
      <c r="Q99" s="110">
        <f>FASE3!P99</f>
        <v>0</v>
      </c>
      <c r="R99" s="110">
        <f>FASE3!N99</f>
        <v>0</v>
      </c>
      <c r="S99" s="110">
        <f>AVERAGE(FASE3!Q99,FASE3!R99,FASE3!T99,FASE3!S99)</f>
        <v>0</v>
      </c>
      <c r="T99" s="110">
        <f>AVERAGE(FASE3!U99,FASE3!V99,FASE3!W99)</f>
        <v>0</v>
      </c>
      <c r="U99" s="110">
        <f>FASE3!Y99</f>
        <v>0</v>
      </c>
      <c r="V99" s="110">
        <f>FASE3!X99</f>
        <v>0</v>
      </c>
      <c r="W99" s="110">
        <f>FASE4!M99</f>
        <v>0</v>
      </c>
      <c r="X99" s="110">
        <f t="shared" si="1"/>
        <v>8.0555555555555554</v>
      </c>
    </row>
    <row r="100" spans="2:25" ht="15.75" customHeight="1" x14ac:dyDescent="0.25">
      <c r="B100">
        <v>3</v>
      </c>
      <c r="C100" t="s">
        <v>111</v>
      </c>
      <c r="D100" s="97">
        <v>320</v>
      </c>
      <c r="E100" s="110">
        <f>FASE1!G100</f>
        <v>50</v>
      </c>
      <c r="F100" s="110">
        <f>FASE1!M100</f>
        <v>0</v>
      </c>
      <c r="G100" s="110">
        <f>FASE1!L100</f>
        <v>95</v>
      </c>
      <c r="H100" s="110">
        <f>FASE1!R100</f>
        <v>0</v>
      </c>
      <c r="I100" s="110">
        <f>FASE1!U100</f>
        <v>0</v>
      </c>
      <c r="J100" s="110">
        <f>FASE1!U100</f>
        <v>0</v>
      </c>
      <c r="K100" s="110">
        <f>FASE1!P100</f>
        <v>0</v>
      </c>
      <c r="L100" s="110">
        <f>FASE1!V100</f>
        <v>0</v>
      </c>
      <c r="M100" s="110">
        <f>AVERAGE(FASE2!F100:G100)</f>
        <v>0</v>
      </c>
      <c r="N100" s="110">
        <f>AVERAGE(FASE2!O100:P100,FASE2!S100)</f>
        <v>0</v>
      </c>
      <c r="O100" s="110">
        <f>FASE4!K100</f>
        <v>0</v>
      </c>
      <c r="P100" s="110">
        <f>FASE2!N100</f>
        <v>0</v>
      </c>
      <c r="Q100" s="110">
        <f>FASE3!P100</f>
        <v>0</v>
      </c>
      <c r="R100" s="110">
        <f>FASE3!N100</f>
        <v>0</v>
      </c>
      <c r="S100" s="110">
        <f>AVERAGE(FASE3!Q100,FASE3!R100,FASE3!T100,FASE3!S100)</f>
        <v>0</v>
      </c>
      <c r="T100" s="110">
        <f>AVERAGE(FASE3!U100,FASE3!V100,FASE3!W100)</f>
        <v>0</v>
      </c>
      <c r="U100" s="110">
        <f>FASE3!Y100</f>
        <v>0</v>
      </c>
      <c r="V100" s="110">
        <f>FASE3!X100</f>
        <v>0</v>
      </c>
      <c r="W100" s="110">
        <f>FASE4!M100</f>
        <v>0</v>
      </c>
      <c r="X100" s="110">
        <f t="shared" si="1"/>
        <v>8.0555555555555554</v>
      </c>
    </row>
    <row r="101" spans="2:25" ht="15.75" customHeight="1" x14ac:dyDescent="0.25">
      <c r="B101">
        <v>3</v>
      </c>
      <c r="C101" t="s">
        <v>111</v>
      </c>
      <c r="D101" s="97">
        <v>321</v>
      </c>
      <c r="E101" s="110">
        <f>FASE1!G101</f>
        <v>50</v>
      </c>
      <c r="F101" s="110">
        <f>FASE1!M101</f>
        <v>95</v>
      </c>
      <c r="G101" s="110">
        <f>FASE1!L101</f>
        <v>95</v>
      </c>
      <c r="H101" s="110">
        <f>FASE1!R101</f>
        <v>0</v>
      </c>
      <c r="I101" s="110">
        <f>FASE1!U101</f>
        <v>0</v>
      </c>
      <c r="J101" s="110">
        <f>FASE1!U101</f>
        <v>0</v>
      </c>
      <c r="K101" s="110">
        <f>FASE1!P101</f>
        <v>0</v>
      </c>
      <c r="L101" s="110">
        <f>FASE1!V101</f>
        <v>0</v>
      </c>
      <c r="M101" s="110">
        <f>AVERAGE(FASE2!F101:G101)</f>
        <v>0</v>
      </c>
      <c r="N101" s="110">
        <f>AVERAGE(FASE2!O101:P101,FASE2!S101)</f>
        <v>0</v>
      </c>
      <c r="O101" s="110">
        <f>FASE4!K101</f>
        <v>0</v>
      </c>
      <c r="P101" s="110">
        <f>FASE2!N101</f>
        <v>0</v>
      </c>
      <c r="Q101" s="110">
        <f>FASE3!P101</f>
        <v>0</v>
      </c>
      <c r="R101" s="110">
        <f>FASE3!N101</f>
        <v>0</v>
      </c>
      <c r="S101" s="110">
        <f>AVERAGE(FASE3!Q101,FASE3!R101,FASE3!T101,FASE3!S101)</f>
        <v>0</v>
      </c>
      <c r="T101" s="110">
        <f>AVERAGE(FASE3!U101,FASE3!V101,FASE3!W101)</f>
        <v>0</v>
      </c>
      <c r="U101" s="110">
        <f>FASE3!Y101</f>
        <v>0</v>
      </c>
      <c r="V101" s="110">
        <f>FASE3!X101</f>
        <v>0</v>
      </c>
      <c r="W101" s="110">
        <f>FASE4!M101</f>
        <v>0</v>
      </c>
      <c r="X101" s="110">
        <f t="shared" si="1"/>
        <v>13.333333333333334</v>
      </c>
    </row>
    <row r="102" spans="2:25" ht="15.75" customHeight="1" x14ac:dyDescent="0.25">
      <c r="B102">
        <v>3</v>
      </c>
      <c r="C102" t="s">
        <v>131</v>
      </c>
      <c r="D102" s="97" t="s">
        <v>132</v>
      </c>
      <c r="E102" s="110">
        <f>FASE1!G102</f>
        <v>50.340909090909093</v>
      </c>
      <c r="F102" s="110">
        <f>FASE1!M102</f>
        <v>32.727272727272727</v>
      </c>
      <c r="G102" s="110">
        <f>FASE1!L102</f>
        <v>76.931818181818187</v>
      </c>
      <c r="H102" s="110">
        <f>FASE1!R102</f>
        <v>1.8181818181818181</v>
      </c>
      <c r="I102" s="110">
        <f>FASE1!U102</f>
        <v>2.2727272727272729</v>
      </c>
      <c r="J102" s="110">
        <f>FASE1!U102</f>
        <v>2.2727272727272729</v>
      </c>
      <c r="K102" s="110">
        <f>FASE1!P102</f>
        <v>37.727272727272727</v>
      </c>
      <c r="L102" s="110">
        <f>FASE1!V102</f>
        <v>2.2727272727272729</v>
      </c>
      <c r="M102" s="110">
        <f>AVERAGE(FASE2!F102:G102)</f>
        <v>0</v>
      </c>
      <c r="N102" s="110">
        <f>IFERROR(AVERAGE(FASE2!O102:P102,FASE2!S102),0)</f>
        <v>2.1590909090909091E-2</v>
      </c>
      <c r="O102" s="110">
        <f>FASE4!K102</f>
        <v>0</v>
      </c>
      <c r="P102" s="110">
        <f>FASE2!N102</f>
        <v>2.0454545454545454E-2</v>
      </c>
      <c r="Q102" s="110">
        <f>FASE3!P102</f>
        <v>0</v>
      </c>
      <c r="R102" s="110">
        <f>FASE3!N102</f>
        <v>5.3409090909090899E-2</v>
      </c>
      <c r="S102" s="110">
        <f>AVERAGE(FASE3!Q102,FASE3!R102,FASE3!T102,FASE3!S102)</f>
        <v>1.1363636363636365E-3</v>
      </c>
      <c r="T102" s="110">
        <f>AVERAGE(FASE3!U102,FASE3!V102,FASE3!W102)</f>
        <v>0</v>
      </c>
      <c r="U102" s="110">
        <f>FASE3!Y102</f>
        <v>0</v>
      </c>
      <c r="V102" s="110">
        <f>FASE3!X102</f>
        <v>0</v>
      </c>
      <c r="W102" s="110">
        <f>FASE4!M102</f>
        <v>0</v>
      </c>
      <c r="X102" s="110">
        <f t="shared" si="1"/>
        <v>11.470012626262628</v>
      </c>
    </row>
    <row r="103" spans="2:25" ht="15.75" customHeight="1" x14ac:dyDescent="0.25">
      <c r="B103">
        <v>4</v>
      </c>
      <c r="C103" t="s">
        <v>112</v>
      </c>
      <c r="D103" s="97">
        <v>401</v>
      </c>
      <c r="E103" s="110">
        <f>FASE1!G103</f>
        <v>0</v>
      </c>
      <c r="F103" s="110">
        <f>FASE1!M103</f>
        <v>0</v>
      </c>
      <c r="G103" s="110">
        <f>FASE1!L103</f>
        <v>0</v>
      </c>
      <c r="H103" s="110">
        <f>FASE1!R103</f>
        <v>0</v>
      </c>
      <c r="I103" s="110">
        <f>FASE1!U103</f>
        <v>0</v>
      </c>
      <c r="J103" s="110">
        <f>FASE1!U103</f>
        <v>0</v>
      </c>
      <c r="K103" s="110">
        <f>FASE1!P103</f>
        <v>0</v>
      </c>
      <c r="L103" s="110">
        <f>FASE1!V103</f>
        <v>0</v>
      </c>
      <c r="M103" s="110">
        <f>AVERAGE(FASE2!F103:G103)</f>
        <v>0</v>
      </c>
      <c r="N103" s="110">
        <f>AVERAGE(FASE2!O103:P103,FASE2!S103)</f>
        <v>0</v>
      </c>
      <c r="O103" s="110">
        <f>FASE4!K103</f>
        <v>0</v>
      </c>
      <c r="P103" s="110">
        <f>FASE2!N103</f>
        <v>0</v>
      </c>
      <c r="Q103" s="110">
        <f>FASE3!P103</f>
        <v>0</v>
      </c>
      <c r="R103" s="110">
        <f>FASE3!N103</f>
        <v>0</v>
      </c>
      <c r="S103" s="110">
        <f>AVERAGE(FASE3!Q103,FASE3!R103,FASE3!T103,FASE3!S103)</f>
        <v>0</v>
      </c>
      <c r="T103" s="110">
        <f>AVERAGE(FASE3!U103,FASE3!V103,FASE3!W103)</f>
        <v>0</v>
      </c>
      <c r="U103" s="110">
        <f>FASE3!Y103</f>
        <v>0</v>
      </c>
      <c r="V103" s="110">
        <f>FASE3!X103</f>
        <v>0</v>
      </c>
      <c r="W103" s="110">
        <f>FASE4!M103</f>
        <v>0</v>
      </c>
      <c r="X103" s="110">
        <f t="shared" si="1"/>
        <v>0</v>
      </c>
    </row>
    <row r="104" spans="2:25" ht="15.75" customHeight="1" x14ac:dyDescent="0.25">
      <c r="B104">
        <v>4</v>
      </c>
      <c r="C104" t="s">
        <v>112</v>
      </c>
      <c r="D104" s="97">
        <v>402</v>
      </c>
      <c r="E104" s="110">
        <f>FASE1!G104</f>
        <v>0</v>
      </c>
      <c r="F104" s="110">
        <f>FASE1!M104</f>
        <v>0</v>
      </c>
      <c r="G104" s="110">
        <f>FASE1!L104</f>
        <v>0</v>
      </c>
      <c r="H104" s="110">
        <f>FASE1!R104</f>
        <v>0</v>
      </c>
      <c r="I104" s="110">
        <f>FASE1!U104</f>
        <v>0</v>
      </c>
      <c r="J104" s="110">
        <f>FASE1!U104</f>
        <v>0</v>
      </c>
      <c r="K104" s="110">
        <f>FASE1!P104</f>
        <v>0</v>
      </c>
      <c r="L104" s="110">
        <f>FASE1!V104</f>
        <v>0</v>
      </c>
      <c r="M104" s="110">
        <f>AVERAGE(FASE2!F104:G104)</f>
        <v>0</v>
      </c>
      <c r="N104" s="110">
        <f>AVERAGE(FASE2!O104:P104,FASE2!S104)</f>
        <v>0</v>
      </c>
      <c r="O104" s="110">
        <f>FASE4!K104</f>
        <v>0</v>
      </c>
      <c r="P104" s="110">
        <f>FASE2!N104</f>
        <v>0</v>
      </c>
      <c r="Q104" s="110">
        <f>FASE3!P104</f>
        <v>0</v>
      </c>
      <c r="R104" s="110">
        <f>FASE3!N104</f>
        <v>0</v>
      </c>
      <c r="S104" s="110">
        <f>AVERAGE(FASE3!Q104,FASE3!R104,FASE3!T104,FASE3!S104)</f>
        <v>0</v>
      </c>
      <c r="T104" s="110">
        <f>AVERAGE(FASE3!U104,FASE3!V104,FASE3!W104)</f>
        <v>0</v>
      </c>
      <c r="U104" s="110">
        <f>FASE3!Y104</f>
        <v>0</v>
      </c>
      <c r="V104" s="110">
        <f>FASE3!X104</f>
        <v>0</v>
      </c>
      <c r="W104" s="110">
        <f>FASE4!M104</f>
        <v>0</v>
      </c>
      <c r="X104" s="110">
        <f t="shared" si="1"/>
        <v>0</v>
      </c>
    </row>
    <row r="105" spans="2:25" ht="15.75" customHeight="1" x14ac:dyDescent="0.25">
      <c r="B105">
        <v>4</v>
      </c>
      <c r="C105" t="s">
        <v>112</v>
      </c>
      <c r="D105" s="97">
        <v>403</v>
      </c>
      <c r="E105" s="110">
        <f>FASE1!G105</f>
        <v>0</v>
      </c>
      <c r="F105" s="110">
        <f>FASE1!M105</f>
        <v>0</v>
      </c>
      <c r="G105" s="110">
        <f>FASE1!L105</f>
        <v>0</v>
      </c>
      <c r="H105" s="110">
        <f>FASE1!R105</f>
        <v>0</v>
      </c>
      <c r="I105" s="110">
        <f>FASE1!U105</f>
        <v>0</v>
      </c>
      <c r="J105" s="110">
        <f>FASE1!U105</f>
        <v>0</v>
      </c>
      <c r="K105" s="110">
        <f>FASE1!P105</f>
        <v>0</v>
      </c>
      <c r="L105" s="110">
        <f>FASE1!V105</f>
        <v>0</v>
      </c>
      <c r="M105" s="110">
        <f>AVERAGE(FASE2!F105:G105)</f>
        <v>0</v>
      </c>
      <c r="N105" s="110">
        <f>AVERAGE(FASE2!O105:P105,FASE2!S105)</f>
        <v>0</v>
      </c>
      <c r="O105" s="110">
        <f>FASE4!K105</f>
        <v>0</v>
      </c>
      <c r="P105" s="110">
        <f>FASE2!N105</f>
        <v>0</v>
      </c>
      <c r="Q105" s="110">
        <f>FASE3!P105</f>
        <v>0</v>
      </c>
      <c r="R105" s="110">
        <f>FASE3!N105</f>
        <v>0</v>
      </c>
      <c r="S105" s="110">
        <f>AVERAGE(FASE3!Q105,FASE3!R105,FASE3!T105,FASE3!S105)</f>
        <v>0</v>
      </c>
      <c r="T105" s="110">
        <f>AVERAGE(FASE3!U105,FASE3!V105,FASE3!W105)</f>
        <v>0</v>
      </c>
      <c r="U105" s="110">
        <f>FASE3!Y105</f>
        <v>0</v>
      </c>
      <c r="V105" s="110">
        <f>FASE3!X105</f>
        <v>0</v>
      </c>
      <c r="W105" s="110">
        <f>FASE4!M105</f>
        <v>0</v>
      </c>
      <c r="X105" s="110">
        <f t="shared" si="1"/>
        <v>0</v>
      </c>
    </row>
    <row r="106" spans="2:25" ht="15.75" customHeight="1" x14ac:dyDescent="0.25">
      <c r="B106">
        <v>4</v>
      </c>
      <c r="C106" t="s">
        <v>112</v>
      </c>
      <c r="D106" s="97">
        <v>404</v>
      </c>
      <c r="E106" s="110">
        <f>FASE1!G106</f>
        <v>0</v>
      </c>
      <c r="F106" s="110">
        <f>FASE1!M106</f>
        <v>0</v>
      </c>
      <c r="G106" s="110">
        <f>FASE1!L106</f>
        <v>0</v>
      </c>
      <c r="H106" s="110">
        <f>FASE1!R106</f>
        <v>0</v>
      </c>
      <c r="I106" s="110">
        <f>FASE1!U106</f>
        <v>0</v>
      </c>
      <c r="J106" s="110">
        <f>FASE1!U106</f>
        <v>0</v>
      </c>
      <c r="K106" s="110">
        <f>FASE1!P106</f>
        <v>0</v>
      </c>
      <c r="L106" s="110">
        <f>FASE1!V106</f>
        <v>0</v>
      </c>
      <c r="M106" s="110">
        <f>AVERAGE(FASE2!F106:G106)</f>
        <v>0</v>
      </c>
      <c r="N106" s="110">
        <f>AVERAGE(FASE2!O106:P106,FASE2!S106)</f>
        <v>0</v>
      </c>
      <c r="O106" s="110">
        <f>FASE4!K106</f>
        <v>0</v>
      </c>
      <c r="P106" s="110">
        <f>FASE2!N106</f>
        <v>0</v>
      </c>
      <c r="Q106" s="110">
        <f>FASE3!P106</f>
        <v>0</v>
      </c>
      <c r="R106" s="110">
        <f>FASE3!N106</f>
        <v>0</v>
      </c>
      <c r="S106" s="110">
        <f>AVERAGE(FASE3!Q106,FASE3!R106,FASE3!T106,FASE3!S106)</f>
        <v>0</v>
      </c>
      <c r="T106" s="110">
        <f>AVERAGE(FASE3!U106,FASE3!V106,FASE3!W106)</f>
        <v>0</v>
      </c>
      <c r="U106" s="110">
        <f>FASE3!Y106</f>
        <v>0</v>
      </c>
      <c r="V106" s="110">
        <f>FASE3!X106</f>
        <v>0</v>
      </c>
      <c r="W106" s="110">
        <f>FASE4!M106</f>
        <v>0</v>
      </c>
      <c r="X106" s="110">
        <f t="shared" si="1"/>
        <v>0</v>
      </c>
    </row>
    <row r="107" spans="2:25" ht="15.75" customHeight="1" x14ac:dyDescent="0.25">
      <c r="B107">
        <v>4</v>
      </c>
      <c r="C107" t="s">
        <v>112</v>
      </c>
      <c r="D107" s="97">
        <v>405</v>
      </c>
      <c r="E107" s="110">
        <f>FASE1!G107</f>
        <v>0</v>
      </c>
      <c r="F107" s="110">
        <f>FASE1!M107</f>
        <v>0</v>
      </c>
      <c r="G107" s="110">
        <f>FASE1!L107</f>
        <v>0</v>
      </c>
      <c r="H107" s="110">
        <f>FASE1!R107</f>
        <v>0</v>
      </c>
      <c r="I107" s="110">
        <f>FASE1!U107</f>
        <v>0</v>
      </c>
      <c r="J107" s="110">
        <f>FASE1!U107</f>
        <v>0</v>
      </c>
      <c r="K107" s="110">
        <f>FASE1!P107</f>
        <v>0</v>
      </c>
      <c r="L107" s="110">
        <f>FASE1!V107</f>
        <v>0</v>
      </c>
      <c r="M107" s="110">
        <f>AVERAGE(FASE2!F107:G107)</f>
        <v>0</v>
      </c>
      <c r="N107" s="110">
        <f>AVERAGE(FASE2!O107:P107,FASE2!S107)</f>
        <v>0</v>
      </c>
      <c r="O107" s="110">
        <f>FASE4!K107</f>
        <v>0</v>
      </c>
      <c r="P107" s="110">
        <f>FASE2!N107</f>
        <v>0</v>
      </c>
      <c r="Q107" s="110">
        <f>FASE3!P107</f>
        <v>0</v>
      </c>
      <c r="R107" s="110">
        <f>FASE3!N107</f>
        <v>0</v>
      </c>
      <c r="S107" s="110">
        <f>AVERAGE(FASE3!Q107,FASE3!R107,FASE3!T107,FASE3!S107)</f>
        <v>0</v>
      </c>
      <c r="T107" s="110">
        <f>AVERAGE(FASE3!U107,FASE3!V107,FASE3!W107)</f>
        <v>0</v>
      </c>
      <c r="U107" s="110">
        <f>FASE3!Y107</f>
        <v>0</v>
      </c>
      <c r="V107" s="110">
        <f>FASE3!X107</f>
        <v>0</v>
      </c>
      <c r="W107" s="110">
        <f>FASE4!M107</f>
        <v>0</v>
      </c>
      <c r="X107" s="110">
        <f t="shared" si="1"/>
        <v>0</v>
      </c>
    </row>
    <row r="108" spans="2:25" ht="15.75" customHeight="1" x14ac:dyDescent="0.25">
      <c r="B108">
        <v>4</v>
      </c>
      <c r="C108" t="s">
        <v>112</v>
      </c>
      <c r="D108" s="97">
        <v>406</v>
      </c>
      <c r="E108" s="110">
        <f>FASE1!G108</f>
        <v>0</v>
      </c>
      <c r="F108" s="110">
        <f>FASE1!M108</f>
        <v>0</v>
      </c>
      <c r="G108" s="110">
        <f>FASE1!L108</f>
        <v>0</v>
      </c>
      <c r="H108" s="110">
        <f>FASE1!R108</f>
        <v>0</v>
      </c>
      <c r="I108" s="110">
        <f>FASE1!U108</f>
        <v>0</v>
      </c>
      <c r="J108" s="110">
        <f>FASE1!U108</f>
        <v>0</v>
      </c>
      <c r="K108" s="110">
        <f>FASE1!P108</f>
        <v>0</v>
      </c>
      <c r="L108" s="110">
        <f>FASE1!V108</f>
        <v>0</v>
      </c>
      <c r="M108" s="110">
        <f>AVERAGE(FASE2!F108:G108)</f>
        <v>0</v>
      </c>
      <c r="N108" s="110">
        <f>AVERAGE(FASE2!O108:P108,FASE2!S108)</f>
        <v>0</v>
      </c>
      <c r="O108" s="110">
        <f>FASE4!K108</f>
        <v>0</v>
      </c>
      <c r="P108" s="110">
        <f>FASE2!N108</f>
        <v>0</v>
      </c>
      <c r="Q108" s="110">
        <f>FASE3!P108</f>
        <v>0</v>
      </c>
      <c r="R108" s="110">
        <f>FASE3!N108</f>
        <v>0</v>
      </c>
      <c r="S108" s="110">
        <f>AVERAGE(FASE3!Q108,FASE3!R108,FASE3!T108,FASE3!S108)</f>
        <v>0</v>
      </c>
      <c r="T108" s="110">
        <f>AVERAGE(FASE3!U108,FASE3!V108,FASE3!W108)</f>
        <v>0</v>
      </c>
      <c r="U108" s="110">
        <f>FASE3!Y108</f>
        <v>0</v>
      </c>
      <c r="V108" s="110">
        <f>FASE3!X108</f>
        <v>0</v>
      </c>
      <c r="W108" s="110">
        <f>FASE4!M108</f>
        <v>0</v>
      </c>
      <c r="X108" s="110">
        <f t="shared" si="1"/>
        <v>0</v>
      </c>
    </row>
    <row r="109" spans="2:25" ht="15.75" customHeight="1" x14ac:dyDescent="0.25">
      <c r="B109">
        <v>4</v>
      </c>
      <c r="C109" t="s">
        <v>112</v>
      </c>
      <c r="D109" s="97">
        <v>407</v>
      </c>
      <c r="E109" s="110">
        <f>FASE1!G109</f>
        <v>0</v>
      </c>
      <c r="F109" s="110">
        <f>FASE1!M109</f>
        <v>0</v>
      </c>
      <c r="G109" s="110">
        <f>FASE1!L109</f>
        <v>0</v>
      </c>
      <c r="H109" s="110">
        <f>FASE1!R109</f>
        <v>0</v>
      </c>
      <c r="I109" s="110">
        <f>FASE1!U109</f>
        <v>0</v>
      </c>
      <c r="J109" s="110">
        <f>FASE1!U109</f>
        <v>0</v>
      </c>
      <c r="K109" s="110">
        <f>FASE1!P109</f>
        <v>0</v>
      </c>
      <c r="L109" s="110">
        <f>FASE1!V109</f>
        <v>0</v>
      </c>
      <c r="M109" s="110">
        <f>AVERAGE(FASE2!F109:G109)</f>
        <v>0</v>
      </c>
      <c r="N109" s="110">
        <f>AVERAGE(FASE2!O109:P109,FASE2!S109)</f>
        <v>0</v>
      </c>
      <c r="O109" s="110">
        <f>FASE4!K109</f>
        <v>0</v>
      </c>
      <c r="P109" s="110">
        <f>FASE2!N109</f>
        <v>0</v>
      </c>
      <c r="Q109" s="110">
        <f>FASE3!P109</f>
        <v>0</v>
      </c>
      <c r="R109" s="110">
        <f>FASE3!N109</f>
        <v>0</v>
      </c>
      <c r="S109" s="110">
        <f>AVERAGE(FASE3!Q109,FASE3!R109,FASE3!T109,FASE3!S109)</f>
        <v>0</v>
      </c>
      <c r="T109" s="110">
        <f>AVERAGE(FASE3!U109,FASE3!V109,FASE3!W109)</f>
        <v>0</v>
      </c>
      <c r="U109" s="110">
        <f>FASE3!Y109</f>
        <v>0</v>
      </c>
      <c r="V109" s="110">
        <f>FASE3!X109</f>
        <v>0</v>
      </c>
      <c r="W109" s="110">
        <f>FASE4!M109</f>
        <v>0</v>
      </c>
      <c r="X109" s="110">
        <f t="shared" si="1"/>
        <v>0</v>
      </c>
      <c r="Y109" s="2"/>
    </row>
    <row r="110" spans="2:25" ht="15.75" customHeight="1" x14ac:dyDescent="0.25">
      <c r="B110">
        <v>4</v>
      </c>
      <c r="C110" t="s">
        <v>112</v>
      </c>
      <c r="D110" s="97">
        <v>408</v>
      </c>
      <c r="E110" s="110">
        <f>FASE1!G110</f>
        <v>0</v>
      </c>
      <c r="F110" s="110">
        <f>FASE1!M110</f>
        <v>0</v>
      </c>
      <c r="G110" s="110">
        <f>FASE1!L110</f>
        <v>0</v>
      </c>
      <c r="H110" s="110">
        <f>FASE1!R110</f>
        <v>0</v>
      </c>
      <c r="I110" s="110">
        <f>FASE1!U110</f>
        <v>0</v>
      </c>
      <c r="J110" s="110">
        <f>FASE1!U110</f>
        <v>0</v>
      </c>
      <c r="K110" s="110">
        <f>FASE1!P110</f>
        <v>0</v>
      </c>
      <c r="L110" s="110">
        <f>FASE1!V110</f>
        <v>0</v>
      </c>
      <c r="M110" s="110">
        <f>AVERAGE(FASE2!F110:G110)</f>
        <v>0</v>
      </c>
      <c r="N110" s="110">
        <f>AVERAGE(FASE2!O110:P110,FASE2!S110)</f>
        <v>0</v>
      </c>
      <c r="O110" s="110">
        <f>FASE4!K110</f>
        <v>0</v>
      </c>
      <c r="P110" s="110">
        <f>FASE2!N110</f>
        <v>0</v>
      </c>
      <c r="Q110" s="110">
        <f>FASE3!P110</f>
        <v>0</v>
      </c>
      <c r="R110" s="110">
        <f>FASE3!N110</f>
        <v>0</v>
      </c>
      <c r="S110" s="110">
        <f>AVERAGE(FASE3!Q110,FASE3!R110,FASE3!T110,FASE3!S110)</f>
        <v>0</v>
      </c>
      <c r="T110" s="110">
        <f>AVERAGE(FASE3!U110,FASE3!V110,FASE3!W110)</f>
        <v>0</v>
      </c>
      <c r="U110" s="110">
        <f>FASE3!Y110</f>
        <v>0</v>
      </c>
      <c r="V110" s="110">
        <f>FASE3!X110</f>
        <v>0</v>
      </c>
      <c r="W110" s="110">
        <f>FASE4!M110</f>
        <v>0</v>
      </c>
      <c r="X110" s="110">
        <f t="shared" si="1"/>
        <v>0</v>
      </c>
    </row>
    <row r="111" spans="2:25" ht="15.75" customHeight="1" x14ac:dyDescent="0.25">
      <c r="B111">
        <v>4</v>
      </c>
      <c r="C111" t="s">
        <v>112</v>
      </c>
      <c r="D111" s="97">
        <v>409</v>
      </c>
      <c r="E111" s="110">
        <f>FASE1!G111</f>
        <v>0</v>
      </c>
      <c r="F111" s="110">
        <f>FASE1!M111</f>
        <v>0</v>
      </c>
      <c r="G111" s="110">
        <f>FASE1!L111</f>
        <v>0</v>
      </c>
      <c r="H111" s="110">
        <f>FASE1!R111</f>
        <v>0</v>
      </c>
      <c r="I111" s="110">
        <f>FASE1!U111</f>
        <v>0</v>
      </c>
      <c r="J111" s="110">
        <f>FASE1!U111</f>
        <v>0</v>
      </c>
      <c r="K111" s="110">
        <f>FASE1!P111</f>
        <v>0</v>
      </c>
      <c r="L111" s="110">
        <f>FASE1!V111</f>
        <v>0</v>
      </c>
      <c r="M111" s="110">
        <f>AVERAGE(FASE2!F111:G111)</f>
        <v>0</v>
      </c>
      <c r="N111" s="110">
        <f>AVERAGE(FASE2!O111:P111,FASE2!S111)</f>
        <v>0</v>
      </c>
      <c r="O111" s="110">
        <f>FASE4!K111</f>
        <v>0</v>
      </c>
      <c r="P111" s="110">
        <f>FASE2!N111</f>
        <v>0</v>
      </c>
      <c r="Q111" s="110">
        <f>FASE3!P111</f>
        <v>0</v>
      </c>
      <c r="R111" s="110">
        <f>FASE3!N111</f>
        <v>0</v>
      </c>
      <c r="S111" s="110">
        <f>AVERAGE(FASE3!Q111,FASE3!R111,FASE3!T111,FASE3!S111)</f>
        <v>0</v>
      </c>
      <c r="T111" s="110">
        <f>AVERAGE(FASE3!U111,FASE3!V111,FASE3!W111)</f>
        <v>0</v>
      </c>
      <c r="U111" s="110">
        <f>FASE3!Y111</f>
        <v>0</v>
      </c>
      <c r="V111" s="110">
        <f>FASE3!X111</f>
        <v>0</v>
      </c>
      <c r="W111" s="110">
        <f>FASE4!M111</f>
        <v>0</v>
      </c>
      <c r="X111" s="110">
        <f t="shared" si="1"/>
        <v>0</v>
      </c>
    </row>
    <row r="112" spans="2:25" ht="15.75" customHeight="1" x14ac:dyDescent="0.25">
      <c r="B112">
        <v>4</v>
      </c>
      <c r="C112" t="s">
        <v>112</v>
      </c>
      <c r="D112" s="97">
        <v>410</v>
      </c>
      <c r="E112" s="110">
        <f>FASE1!G112</f>
        <v>0</v>
      </c>
      <c r="F112" s="110">
        <f>FASE1!M112</f>
        <v>0</v>
      </c>
      <c r="G112" s="110">
        <f>FASE1!L112</f>
        <v>0</v>
      </c>
      <c r="H112" s="110">
        <f>FASE1!R112</f>
        <v>0</v>
      </c>
      <c r="I112" s="110">
        <f>FASE1!U112</f>
        <v>0</v>
      </c>
      <c r="J112" s="110">
        <f>FASE1!U112</f>
        <v>0</v>
      </c>
      <c r="K112" s="110">
        <f>FASE1!P112</f>
        <v>0</v>
      </c>
      <c r="L112" s="110">
        <f>FASE1!V112</f>
        <v>0</v>
      </c>
      <c r="M112" s="110">
        <f>AVERAGE(FASE2!F112:G112)</f>
        <v>0</v>
      </c>
      <c r="N112" s="110">
        <f>AVERAGE(FASE2!O112:P112,FASE2!S112)</f>
        <v>0</v>
      </c>
      <c r="O112" s="110">
        <f>FASE4!K112</f>
        <v>0</v>
      </c>
      <c r="P112" s="110">
        <f>FASE2!N112</f>
        <v>0</v>
      </c>
      <c r="Q112" s="110">
        <f>FASE3!P112</f>
        <v>0</v>
      </c>
      <c r="R112" s="110">
        <f>FASE3!N112</f>
        <v>0</v>
      </c>
      <c r="S112" s="110">
        <f>AVERAGE(FASE3!Q112,FASE3!R112,FASE3!T112,FASE3!S112)</f>
        <v>0</v>
      </c>
      <c r="T112" s="110">
        <f>AVERAGE(FASE3!U112,FASE3!V112,FASE3!W112)</f>
        <v>0</v>
      </c>
      <c r="U112" s="110">
        <f>FASE3!Y112</f>
        <v>0</v>
      </c>
      <c r="V112" s="110">
        <f>FASE3!X112</f>
        <v>0</v>
      </c>
      <c r="W112" s="110">
        <f>FASE4!M112</f>
        <v>0</v>
      </c>
      <c r="X112" s="110">
        <f t="shared" si="1"/>
        <v>0</v>
      </c>
    </row>
    <row r="113" spans="2:25" ht="15.75" customHeight="1" x14ac:dyDescent="0.25">
      <c r="B113">
        <v>4</v>
      </c>
      <c r="C113" t="s">
        <v>112</v>
      </c>
      <c r="D113" s="97">
        <v>411</v>
      </c>
      <c r="E113" s="110">
        <f>FASE1!G113</f>
        <v>0</v>
      </c>
      <c r="F113" s="110">
        <f>FASE1!M113</f>
        <v>0</v>
      </c>
      <c r="G113" s="110">
        <f>FASE1!L113</f>
        <v>0</v>
      </c>
      <c r="H113" s="110">
        <f>FASE1!R113</f>
        <v>0</v>
      </c>
      <c r="I113" s="110">
        <f>FASE1!U113</f>
        <v>0</v>
      </c>
      <c r="J113" s="110">
        <f>FASE1!U113</f>
        <v>0</v>
      </c>
      <c r="K113" s="110">
        <f>FASE1!P113</f>
        <v>0</v>
      </c>
      <c r="L113" s="110">
        <f>FASE1!V113</f>
        <v>0</v>
      </c>
      <c r="M113" s="110">
        <f>AVERAGE(FASE2!F113:G113)</f>
        <v>0</v>
      </c>
      <c r="N113" s="110">
        <f>AVERAGE(FASE2!O113:P113,FASE2!S113)</f>
        <v>0</v>
      </c>
      <c r="O113" s="110">
        <f>FASE4!K113</f>
        <v>0</v>
      </c>
      <c r="P113" s="110">
        <f>FASE2!N113</f>
        <v>0</v>
      </c>
      <c r="Q113" s="110">
        <f>FASE3!P113</f>
        <v>0</v>
      </c>
      <c r="R113" s="110">
        <f>FASE3!N113</f>
        <v>0</v>
      </c>
      <c r="S113" s="110">
        <f>AVERAGE(FASE3!Q113,FASE3!R113,FASE3!T113,FASE3!S113)</f>
        <v>0</v>
      </c>
      <c r="T113" s="110">
        <f>AVERAGE(FASE3!U113,FASE3!V113,FASE3!W113)</f>
        <v>0</v>
      </c>
      <c r="U113" s="110">
        <f>FASE3!Y113</f>
        <v>0</v>
      </c>
      <c r="V113" s="110">
        <f>FASE3!X113</f>
        <v>0</v>
      </c>
      <c r="W113" s="110">
        <f>FASE4!M113</f>
        <v>0</v>
      </c>
      <c r="X113" s="110">
        <f t="shared" si="1"/>
        <v>0</v>
      </c>
    </row>
    <row r="114" spans="2:25" ht="15.75" customHeight="1" x14ac:dyDescent="0.25">
      <c r="B114">
        <v>4</v>
      </c>
      <c r="C114" t="s">
        <v>112</v>
      </c>
      <c r="D114" s="97">
        <v>412</v>
      </c>
      <c r="E114" s="110">
        <f>FASE1!G114</f>
        <v>0</v>
      </c>
      <c r="F114" s="110">
        <f>FASE1!M114</f>
        <v>0</v>
      </c>
      <c r="G114" s="110">
        <f>FASE1!L114</f>
        <v>0</v>
      </c>
      <c r="H114" s="110">
        <f>FASE1!R114</f>
        <v>0</v>
      </c>
      <c r="I114" s="110">
        <f>FASE1!U114</f>
        <v>0</v>
      </c>
      <c r="J114" s="110">
        <f>FASE1!U114</f>
        <v>0</v>
      </c>
      <c r="K114" s="110">
        <f>FASE1!P114</f>
        <v>0</v>
      </c>
      <c r="L114" s="110">
        <f>FASE1!V114</f>
        <v>0</v>
      </c>
      <c r="M114" s="110">
        <f>AVERAGE(FASE2!F114:G114)</f>
        <v>0</v>
      </c>
      <c r="N114" s="110">
        <f>AVERAGE(FASE2!O114:P114,FASE2!S114)</f>
        <v>0</v>
      </c>
      <c r="O114" s="110">
        <f>FASE4!K114</f>
        <v>0</v>
      </c>
      <c r="P114" s="110">
        <f>FASE2!N114</f>
        <v>0</v>
      </c>
      <c r="Q114" s="110">
        <f>FASE3!P114</f>
        <v>0</v>
      </c>
      <c r="R114" s="110">
        <f>FASE3!N114</f>
        <v>0</v>
      </c>
      <c r="S114" s="110">
        <f>AVERAGE(FASE3!Q114,FASE3!R114,FASE3!T114,FASE3!S114)</f>
        <v>0</v>
      </c>
      <c r="T114" s="110">
        <f>AVERAGE(FASE3!U114,FASE3!V114,FASE3!W114)</f>
        <v>0</v>
      </c>
      <c r="U114" s="110">
        <f>FASE3!Y114</f>
        <v>0</v>
      </c>
      <c r="V114" s="110">
        <f>FASE3!X114</f>
        <v>0</v>
      </c>
      <c r="W114" s="110">
        <f>FASE4!M114</f>
        <v>0</v>
      </c>
      <c r="X114" s="110">
        <f t="shared" si="1"/>
        <v>0</v>
      </c>
    </row>
    <row r="115" spans="2:25" ht="15.75" customHeight="1" x14ac:dyDescent="0.25">
      <c r="B115">
        <v>4</v>
      </c>
      <c r="C115" t="s">
        <v>112</v>
      </c>
      <c r="D115" s="97">
        <v>413</v>
      </c>
      <c r="E115" s="110">
        <f>FASE1!G115</f>
        <v>0</v>
      </c>
      <c r="F115" s="110">
        <f>FASE1!M115</f>
        <v>0</v>
      </c>
      <c r="G115" s="110">
        <f>FASE1!L115</f>
        <v>0</v>
      </c>
      <c r="H115" s="110">
        <f>FASE1!R115</f>
        <v>0</v>
      </c>
      <c r="I115" s="110">
        <f>FASE1!U115</f>
        <v>0</v>
      </c>
      <c r="J115" s="110">
        <f>FASE1!U115</f>
        <v>0</v>
      </c>
      <c r="K115" s="110">
        <f>FASE1!P115</f>
        <v>0</v>
      </c>
      <c r="L115" s="110">
        <f>FASE1!V115</f>
        <v>0</v>
      </c>
      <c r="M115" s="110">
        <f>AVERAGE(FASE2!F115:G115)</f>
        <v>0</v>
      </c>
      <c r="N115" s="110">
        <f>AVERAGE(FASE2!O115:P115,FASE2!S115)</f>
        <v>0</v>
      </c>
      <c r="O115" s="110">
        <f>FASE4!K115</f>
        <v>0</v>
      </c>
      <c r="P115" s="110">
        <f>FASE2!N115</f>
        <v>0</v>
      </c>
      <c r="Q115" s="110">
        <f>FASE3!P115</f>
        <v>0</v>
      </c>
      <c r="R115" s="110">
        <f>FASE3!N115</f>
        <v>0</v>
      </c>
      <c r="S115" s="110">
        <f>AVERAGE(FASE3!Q115,FASE3!R115,FASE3!T115,FASE3!S115)</f>
        <v>0</v>
      </c>
      <c r="T115" s="110">
        <f>AVERAGE(FASE3!U115,FASE3!V115,FASE3!W115)</f>
        <v>0</v>
      </c>
      <c r="U115" s="110">
        <f>FASE3!Y115</f>
        <v>0</v>
      </c>
      <c r="V115" s="110">
        <f>FASE3!X115</f>
        <v>0</v>
      </c>
      <c r="W115" s="110">
        <f>FASE4!M115</f>
        <v>0</v>
      </c>
      <c r="X115" s="110">
        <f t="shared" si="1"/>
        <v>0</v>
      </c>
    </row>
    <row r="116" spans="2:25" ht="15.75" customHeight="1" x14ac:dyDescent="0.25">
      <c r="B116">
        <v>4</v>
      </c>
      <c r="C116" t="s">
        <v>112</v>
      </c>
      <c r="D116" s="97">
        <v>414</v>
      </c>
      <c r="E116" s="110">
        <f>FASE1!G116</f>
        <v>0</v>
      </c>
      <c r="F116" s="110">
        <f>FASE1!M116</f>
        <v>0</v>
      </c>
      <c r="G116" s="110">
        <f>FASE1!L116</f>
        <v>0</v>
      </c>
      <c r="H116" s="110">
        <f>FASE1!R116</f>
        <v>0</v>
      </c>
      <c r="I116" s="110">
        <f>FASE1!U116</f>
        <v>0</v>
      </c>
      <c r="J116" s="110">
        <f>FASE1!U116</f>
        <v>0</v>
      </c>
      <c r="K116" s="110">
        <f>FASE1!P116</f>
        <v>0</v>
      </c>
      <c r="L116" s="110">
        <f>FASE1!V116</f>
        <v>0</v>
      </c>
      <c r="M116" s="110">
        <f>AVERAGE(FASE2!F116:G116)</f>
        <v>0</v>
      </c>
      <c r="N116" s="110">
        <f>AVERAGE(FASE2!O116:P116,FASE2!S116)</f>
        <v>0</v>
      </c>
      <c r="O116" s="110">
        <f>FASE4!K116</f>
        <v>0</v>
      </c>
      <c r="P116" s="110">
        <f>FASE2!N116</f>
        <v>0</v>
      </c>
      <c r="Q116" s="110">
        <f>FASE3!P116</f>
        <v>0</v>
      </c>
      <c r="R116" s="110">
        <f>FASE3!N116</f>
        <v>0</v>
      </c>
      <c r="S116" s="110">
        <f>AVERAGE(FASE3!Q116,FASE3!R116,FASE3!T116,FASE3!S116)</f>
        <v>0</v>
      </c>
      <c r="T116" s="110">
        <f>AVERAGE(FASE3!U116,FASE3!V116,FASE3!W116)</f>
        <v>0</v>
      </c>
      <c r="U116" s="110">
        <f>FASE3!Y116</f>
        <v>0</v>
      </c>
      <c r="V116" s="110">
        <f>FASE3!X116</f>
        <v>0</v>
      </c>
      <c r="W116" s="110">
        <f>FASE4!M116</f>
        <v>0</v>
      </c>
      <c r="X116" s="110">
        <f t="shared" si="1"/>
        <v>0</v>
      </c>
    </row>
    <row r="117" spans="2:25" ht="15.75" customHeight="1" x14ac:dyDescent="0.25">
      <c r="B117">
        <v>4</v>
      </c>
      <c r="C117" t="s">
        <v>112</v>
      </c>
      <c r="D117" s="97">
        <v>415</v>
      </c>
      <c r="E117" s="110">
        <f>FASE1!G117</f>
        <v>0</v>
      </c>
      <c r="F117" s="110">
        <f>FASE1!M117</f>
        <v>0</v>
      </c>
      <c r="G117" s="110">
        <f>FASE1!L117</f>
        <v>0</v>
      </c>
      <c r="H117" s="110">
        <f>FASE1!R117</f>
        <v>0</v>
      </c>
      <c r="I117" s="110">
        <f>FASE1!U117</f>
        <v>0</v>
      </c>
      <c r="J117" s="110">
        <f>FASE1!U117</f>
        <v>0</v>
      </c>
      <c r="K117" s="110">
        <f>FASE1!P117</f>
        <v>0</v>
      </c>
      <c r="L117" s="110">
        <f>FASE1!V117</f>
        <v>0</v>
      </c>
      <c r="M117" s="110">
        <f>AVERAGE(FASE2!F117:G117)</f>
        <v>0</v>
      </c>
      <c r="N117" s="110">
        <f>AVERAGE(FASE2!O117:P117,FASE2!S117)</f>
        <v>0</v>
      </c>
      <c r="O117" s="110">
        <f>FASE4!K117</f>
        <v>0</v>
      </c>
      <c r="P117" s="110">
        <f>FASE2!N117</f>
        <v>0</v>
      </c>
      <c r="Q117" s="110">
        <f>FASE3!P117</f>
        <v>0</v>
      </c>
      <c r="R117" s="110">
        <f>FASE3!N117</f>
        <v>0</v>
      </c>
      <c r="S117" s="110">
        <f>AVERAGE(FASE3!Q117,FASE3!R117,FASE3!T117,FASE3!S117)</f>
        <v>0</v>
      </c>
      <c r="T117" s="110">
        <f>AVERAGE(FASE3!U117,FASE3!V117,FASE3!W117)</f>
        <v>0</v>
      </c>
      <c r="U117" s="110">
        <f>FASE3!Y117</f>
        <v>0</v>
      </c>
      <c r="V117" s="110">
        <f>FASE3!X117</f>
        <v>0</v>
      </c>
      <c r="W117" s="110">
        <f>FASE4!M117</f>
        <v>0</v>
      </c>
      <c r="X117" s="110">
        <f t="shared" si="1"/>
        <v>0</v>
      </c>
    </row>
    <row r="118" spans="2:25" ht="15.75" customHeight="1" x14ac:dyDescent="0.25">
      <c r="B118">
        <v>4</v>
      </c>
      <c r="C118" t="s">
        <v>112</v>
      </c>
      <c r="D118" s="97">
        <v>416</v>
      </c>
      <c r="E118" s="110">
        <f>FASE1!G118</f>
        <v>0</v>
      </c>
      <c r="F118" s="110">
        <f>FASE1!M118</f>
        <v>0</v>
      </c>
      <c r="G118" s="110">
        <f>FASE1!L118</f>
        <v>0</v>
      </c>
      <c r="H118" s="110">
        <f>FASE1!R118</f>
        <v>0</v>
      </c>
      <c r="I118" s="110">
        <f>FASE1!U118</f>
        <v>0</v>
      </c>
      <c r="J118" s="110">
        <f>FASE1!U118</f>
        <v>0</v>
      </c>
      <c r="K118" s="110">
        <f>FASE1!P118</f>
        <v>0</v>
      </c>
      <c r="L118" s="110">
        <f>FASE1!V118</f>
        <v>0</v>
      </c>
      <c r="M118" s="110">
        <f>AVERAGE(FASE2!F118:G118)</f>
        <v>0</v>
      </c>
      <c r="N118" s="110">
        <f>AVERAGE(FASE2!O118:P118,FASE2!S118)</f>
        <v>0</v>
      </c>
      <c r="O118" s="110">
        <f>FASE4!K118</f>
        <v>0</v>
      </c>
      <c r="P118" s="110">
        <f>FASE2!N118</f>
        <v>0</v>
      </c>
      <c r="Q118" s="110">
        <f>FASE3!P118</f>
        <v>0</v>
      </c>
      <c r="R118" s="110">
        <f>FASE3!N118</f>
        <v>0</v>
      </c>
      <c r="S118" s="110">
        <f>AVERAGE(FASE3!Q118,FASE3!R118,FASE3!T118,FASE3!S118)</f>
        <v>0</v>
      </c>
      <c r="T118" s="110">
        <f>AVERAGE(FASE3!U118,FASE3!V118,FASE3!W118)</f>
        <v>0</v>
      </c>
      <c r="U118" s="110">
        <f>FASE3!Y118</f>
        <v>0</v>
      </c>
      <c r="V118" s="110">
        <f>FASE3!X118</f>
        <v>0</v>
      </c>
      <c r="W118" s="110">
        <f>FASE4!M118</f>
        <v>0</v>
      </c>
      <c r="X118" s="110">
        <f t="shared" si="1"/>
        <v>0</v>
      </c>
    </row>
    <row r="119" spans="2:25" ht="15.75" customHeight="1" x14ac:dyDescent="0.25">
      <c r="B119">
        <v>4</v>
      </c>
      <c r="C119" t="s">
        <v>112</v>
      </c>
      <c r="D119" s="97">
        <v>417</v>
      </c>
      <c r="E119" s="110">
        <f>FASE1!G119</f>
        <v>0</v>
      </c>
      <c r="F119" s="110">
        <f>FASE1!M119</f>
        <v>0</v>
      </c>
      <c r="G119" s="110">
        <f>FASE1!L119</f>
        <v>0</v>
      </c>
      <c r="H119" s="110">
        <f>FASE1!R119</f>
        <v>0</v>
      </c>
      <c r="I119" s="110">
        <f>FASE1!U119</f>
        <v>0</v>
      </c>
      <c r="J119" s="110">
        <f>FASE1!U119</f>
        <v>0</v>
      </c>
      <c r="K119" s="110">
        <f>FASE1!P119</f>
        <v>0</v>
      </c>
      <c r="L119" s="110">
        <f>FASE1!V119</f>
        <v>0</v>
      </c>
      <c r="M119" s="110">
        <f>AVERAGE(FASE2!F119:G119)</f>
        <v>0</v>
      </c>
      <c r="N119" s="110">
        <f>AVERAGE(FASE2!O119:P119,FASE2!S119)</f>
        <v>0</v>
      </c>
      <c r="O119" s="110">
        <f>FASE4!K119</f>
        <v>0</v>
      </c>
      <c r="P119" s="110">
        <f>FASE2!N119</f>
        <v>0</v>
      </c>
      <c r="Q119" s="110">
        <f>FASE3!P119</f>
        <v>0</v>
      </c>
      <c r="R119" s="110">
        <f>FASE3!N119</f>
        <v>0</v>
      </c>
      <c r="S119" s="110">
        <f>AVERAGE(FASE3!Q119,FASE3!R119,FASE3!T119,FASE3!S119)</f>
        <v>0</v>
      </c>
      <c r="T119" s="110">
        <f>AVERAGE(FASE3!U119,FASE3!V119,FASE3!W119)</f>
        <v>0</v>
      </c>
      <c r="U119" s="110">
        <f>FASE3!Y119</f>
        <v>0</v>
      </c>
      <c r="V119" s="110">
        <f>FASE3!X119</f>
        <v>0</v>
      </c>
      <c r="W119" s="110">
        <f>FASE4!M119</f>
        <v>0</v>
      </c>
      <c r="X119" s="110">
        <f t="shared" si="1"/>
        <v>0</v>
      </c>
    </row>
    <row r="120" spans="2:25" ht="15.75" customHeight="1" x14ac:dyDescent="0.25">
      <c r="B120">
        <v>4</v>
      </c>
      <c r="C120" t="s">
        <v>112</v>
      </c>
      <c r="D120" s="97">
        <v>418</v>
      </c>
      <c r="E120" s="110">
        <f>FASE1!G120</f>
        <v>0</v>
      </c>
      <c r="F120" s="110">
        <f>FASE1!M120</f>
        <v>0</v>
      </c>
      <c r="G120" s="110">
        <f>FASE1!L120</f>
        <v>0</v>
      </c>
      <c r="H120" s="110">
        <f>FASE1!R120</f>
        <v>0</v>
      </c>
      <c r="I120" s="110">
        <f>FASE1!U120</f>
        <v>0</v>
      </c>
      <c r="J120" s="110">
        <f>FASE1!U120</f>
        <v>0</v>
      </c>
      <c r="K120" s="110">
        <f>FASE1!P120</f>
        <v>0</v>
      </c>
      <c r="L120" s="110">
        <f>FASE1!V120</f>
        <v>0</v>
      </c>
      <c r="M120" s="110">
        <f>AVERAGE(FASE2!F120:G120)</f>
        <v>0</v>
      </c>
      <c r="N120" s="110">
        <f>AVERAGE(FASE2!O120:P120,FASE2!S120)</f>
        <v>0</v>
      </c>
      <c r="O120" s="110">
        <f>FASE4!K120</f>
        <v>0</v>
      </c>
      <c r="P120" s="110">
        <f>FASE2!N120</f>
        <v>0</v>
      </c>
      <c r="Q120" s="110">
        <f>FASE3!P120</f>
        <v>0</v>
      </c>
      <c r="R120" s="110">
        <f>FASE3!N120</f>
        <v>0</v>
      </c>
      <c r="S120" s="110">
        <f>AVERAGE(FASE3!Q120,FASE3!R120,FASE3!T120,FASE3!S120)</f>
        <v>0</v>
      </c>
      <c r="T120" s="110">
        <f>AVERAGE(FASE3!U120,FASE3!V120,FASE3!W120)</f>
        <v>0</v>
      </c>
      <c r="U120" s="110">
        <f>FASE3!Y120</f>
        <v>0</v>
      </c>
      <c r="V120" s="110">
        <f>FASE3!X120</f>
        <v>0</v>
      </c>
      <c r="W120" s="110">
        <f>FASE4!M120</f>
        <v>0</v>
      </c>
      <c r="X120" s="110">
        <f t="shared" si="1"/>
        <v>0</v>
      </c>
    </row>
    <row r="121" spans="2:25" ht="15.75" customHeight="1" x14ac:dyDescent="0.25">
      <c r="B121">
        <v>4</v>
      </c>
      <c r="C121" t="s">
        <v>112</v>
      </c>
      <c r="D121" s="97">
        <v>419</v>
      </c>
      <c r="E121" s="110">
        <f>FASE1!G121</f>
        <v>0</v>
      </c>
      <c r="F121" s="110">
        <f>FASE1!M121</f>
        <v>0</v>
      </c>
      <c r="G121" s="110">
        <f>FASE1!L121</f>
        <v>0</v>
      </c>
      <c r="H121" s="110">
        <f>FASE1!R121</f>
        <v>0</v>
      </c>
      <c r="I121" s="110">
        <f>FASE1!U121</f>
        <v>0</v>
      </c>
      <c r="J121" s="110">
        <f>FASE1!U121</f>
        <v>0</v>
      </c>
      <c r="K121" s="110">
        <f>FASE1!P121</f>
        <v>0</v>
      </c>
      <c r="L121" s="110">
        <f>FASE1!V121</f>
        <v>0</v>
      </c>
      <c r="M121" s="110">
        <f>AVERAGE(FASE2!F121:G121)</f>
        <v>0</v>
      </c>
      <c r="N121" s="110">
        <f>AVERAGE(FASE2!O121:P121,FASE2!S121)</f>
        <v>0</v>
      </c>
      <c r="O121" s="110">
        <f>FASE4!K121</f>
        <v>0</v>
      </c>
      <c r="P121" s="110">
        <f>FASE2!N121</f>
        <v>0</v>
      </c>
      <c r="Q121" s="110">
        <f>FASE3!P121</f>
        <v>0</v>
      </c>
      <c r="R121" s="110">
        <f>FASE3!N121</f>
        <v>0</v>
      </c>
      <c r="S121" s="110">
        <f>AVERAGE(FASE3!Q121,FASE3!R121,FASE3!T121,FASE3!S121)</f>
        <v>0</v>
      </c>
      <c r="T121" s="110">
        <f>AVERAGE(FASE3!U121,FASE3!V121,FASE3!W121)</f>
        <v>0</v>
      </c>
      <c r="U121" s="110">
        <f>FASE3!Y121</f>
        <v>0</v>
      </c>
      <c r="V121" s="110">
        <f>FASE3!X121</f>
        <v>0</v>
      </c>
      <c r="W121" s="110">
        <f>FASE4!M121</f>
        <v>0</v>
      </c>
      <c r="X121" s="110">
        <f t="shared" si="1"/>
        <v>0</v>
      </c>
    </row>
    <row r="122" spans="2:25" ht="15.75" customHeight="1" x14ac:dyDescent="0.25">
      <c r="B122">
        <v>4</v>
      </c>
      <c r="C122" t="s">
        <v>112</v>
      </c>
      <c r="D122" s="97">
        <v>420</v>
      </c>
      <c r="E122" s="110">
        <f>FASE1!G122</f>
        <v>0</v>
      </c>
      <c r="F122" s="110">
        <f>FASE1!M122</f>
        <v>0</v>
      </c>
      <c r="G122" s="110">
        <f>FASE1!L122</f>
        <v>0</v>
      </c>
      <c r="H122" s="110">
        <f>FASE1!R122</f>
        <v>0</v>
      </c>
      <c r="I122" s="110">
        <f>FASE1!U122</f>
        <v>0</v>
      </c>
      <c r="J122" s="110">
        <f>FASE1!U122</f>
        <v>0</v>
      </c>
      <c r="K122" s="110">
        <f>FASE1!P122</f>
        <v>0</v>
      </c>
      <c r="L122" s="110">
        <f>FASE1!V122</f>
        <v>0</v>
      </c>
      <c r="M122" s="110">
        <f>AVERAGE(FASE2!F122:G122)</f>
        <v>0</v>
      </c>
      <c r="N122" s="110">
        <f>AVERAGE(FASE2!O122:P122,FASE2!S122)</f>
        <v>0</v>
      </c>
      <c r="O122" s="110">
        <f>FASE4!K122</f>
        <v>0</v>
      </c>
      <c r="P122" s="110">
        <f>FASE2!N122</f>
        <v>0</v>
      </c>
      <c r="Q122" s="110">
        <f>FASE3!P122</f>
        <v>0</v>
      </c>
      <c r="R122" s="110">
        <f>FASE3!N122</f>
        <v>0</v>
      </c>
      <c r="S122" s="110">
        <f>AVERAGE(FASE3!Q122,FASE3!R122,FASE3!T122,FASE3!S122)</f>
        <v>0</v>
      </c>
      <c r="T122" s="110">
        <f>AVERAGE(FASE3!U122,FASE3!V122,FASE3!W122)</f>
        <v>0</v>
      </c>
      <c r="U122" s="110">
        <f>FASE3!Y122</f>
        <v>0</v>
      </c>
      <c r="V122" s="110">
        <f>FASE3!X122</f>
        <v>0</v>
      </c>
      <c r="W122" s="110">
        <f>FASE4!M122</f>
        <v>0</v>
      </c>
      <c r="X122" s="110">
        <f t="shared" si="1"/>
        <v>0</v>
      </c>
    </row>
    <row r="123" spans="2:25" ht="15.75" customHeight="1" x14ac:dyDescent="0.25">
      <c r="B123">
        <v>4</v>
      </c>
      <c r="C123" t="s">
        <v>112</v>
      </c>
      <c r="D123" s="97">
        <v>421</v>
      </c>
      <c r="E123" s="110">
        <f>FASE1!G123</f>
        <v>0</v>
      </c>
      <c r="F123" s="110">
        <f>FASE1!M123</f>
        <v>0</v>
      </c>
      <c r="G123" s="110">
        <f>FASE1!L123</f>
        <v>0</v>
      </c>
      <c r="H123" s="110">
        <f>FASE1!R123</f>
        <v>0</v>
      </c>
      <c r="I123" s="110">
        <f>FASE1!U123</f>
        <v>0</v>
      </c>
      <c r="J123" s="110">
        <f>FASE1!U123</f>
        <v>0</v>
      </c>
      <c r="K123" s="110">
        <f>FASE1!P123</f>
        <v>0</v>
      </c>
      <c r="L123" s="110">
        <f>FASE1!V123</f>
        <v>0</v>
      </c>
      <c r="M123" s="110">
        <f>AVERAGE(FASE2!F123:G123)</f>
        <v>0</v>
      </c>
      <c r="N123" s="110">
        <f>AVERAGE(FASE2!O123:P123,FASE2!S123)</f>
        <v>0</v>
      </c>
      <c r="O123" s="110">
        <f>FASE4!K123</f>
        <v>0</v>
      </c>
      <c r="P123" s="110">
        <f>FASE2!N123</f>
        <v>0</v>
      </c>
      <c r="Q123" s="110">
        <f>FASE3!P123</f>
        <v>0</v>
      </c>
      <c r="R123" s="110">
        <f>FASE3!N123</f>
        <v>0</v>
      </c>
      <c r="S123" s="110">
        <f>AVERAGE(FASE3!Q123,FASE3!R123,FASE3!T123,FASE3!S123)</f>
        <v>0</v>
      </c>
      <c r="T123" s="110">
        <f>AVERAGE(FASE3!U123,FASE3!V123,FASE3!W123)</f>
        <v>0</v>
      </c>
      <c r="U123" s="110">
        <f>FASE3!Y123</f>
        <v>0</v>
      </c>
      <c r="V123" s="110">
        <f>FASE3!X123</f>
        <v>0</v>
      </c>
      <c r="W123" s="110">
        <f>FASE4!M123</f>
        <v>0</v>
      </c>
      <c r="X123" s="110">
        <f t="shared" si="1"/>
        <v>0</v>
      </c>
    </row>
    <row r="124" spans="2:25" ht="15.75" customHeight="1" x14ac:dyDescent="0.25">
      <c r="B124">
        <v>4</v>
      </c>
      <c r="C124" t="s">
        <v>112</v>
      </c>
      <c r="D124" s="97">
        <v>422</v>
      </c>
      <c r="E124" s="110">
        <f>FASE1!G124</f>
        <v>0</v>
      </c>
      <c r="F124" s="110">
        <f>FASE1!M124</f>
        <v>0</v>
      </c>
      <c r="G124" s="110">
        <f>FASE1!L124</f>
        <v>0</v>
      </c>
      <c r="H124" s="110">
        <f>FASE1!R124</f>
        <v>0</v>
      </c>
      <c r="I124" s="110">
        <f>FASE1!U124</f>
        <v>0</v>
      </c>
      <c r="J124" s="110">
        <f>FASE1!U124</f>
        <v>0</v>
      </c>
      <c r="K124" s="110">
        <f>FASE1!P124</f>
        <v>0</v>
      </c>
      <c r="L124" s="110">
        <f>FASE1!V124</f>
        <v>0</v>
      </c>
      <c r="M124" s="110">
        <f>AVERAGE(FASE2!F124:G124)</f>
        <v>0</v>
      </c>
      <c r="N124" s="110">
        <f>AVERAGE(FASE2!O124:P124,FASE2!S124)</f>
        <v>0</v>
      </c>
      <c r="O124" s="110">
        <f>FASE4!K124</f>
        <v>0</v>
      </c>
      <c r="P124" s="110">
        <f>FASE2!N124</f>
        <v>0</v>
      </c>
      <c r="Q124" s="110">
        <f>FASE3!P124</f>
        <v>0</v>
      </c>
      <c r="R124" s="110">
        <f>FASE3!N124</f>
        <v>0</v>
      </c>
      <c r="S124" s="110">
        <f>AVERAGE(FASE3!Q124,FASE3!R124,FASE3!T124,FASE3!S124)</f>
        <v>0</v>
      </c>
      <c r="T124" s="110">
        <f>AVERAGE(FASE3!U124,FASE3!V124,FASE3!W124)</f>
        <v>0</v>
      </c>
      <c r="U124" s="110">
        <f>FASE3!Y124</f>
        <v>0</v>
      </c>
      <c r="V124" s="110">
        <f>FASE3!X124</f>
        <v>0</v>
      </c>
      <c r="W124" s="110">
        <f>FASE4!M124</f>
        <v>0</v>
      </c>
      <c r="X124" s="110">
        <f t="shared" si="1"/>
        <v>0</v>
      </c>
    </row>
    <row r="125" spans="2:25" ht="15.75" customHeight="1" x14ac:dyDescent="0.25">
      <c r="B125">
        <v>4</v>
      </c>
      <c r="C125" t="s">
        <v>112</v>
      </c>
      <c r="D125" s="97">
        <v>423</v>
      </c>
      <c r="E125" s="110">
        <f>FASE1!G125</f>
        <v>0</v>
      </c>
      <c r="F125" s="110">
        <f>FASE1!M125</f>
        <v>0</v>
      </c>
      <c r="G125" s="110">
        <f>FASE1!L125</f>
        <v>0</v>
      </c>
      <c r="H125" s="110">
        <f>FASE1!R125</f>
        <v>0</v>
      </c>
      <c r="I125" s="110">
        <f>FASE1!U125</f>
        <v>0</v>
      </c>
      <c r="J125" s="110">
        <f>FASE1!U125</f>
        <v>0</v>
      </c>
      <c r="K125" s="110">
        <f>FASE1!P125</f>
        <v>0</v>
      </c>
      <c r="L125" s="110">
        <f>FASE1!V125</f>
        <v>0</v>
      </c>
      <c r="M125" s="110">
        <f>AVERAGE(FASE2!F125:G125)</f>
        <v>0</v>
      </c>
      <c r="N125" s="110">
        <f>AVERAGE(FASE2!O125:P125,FASE2!S125)</f>
        <v>0</v>
      </c>
      <c r="O125" s="110">
        <f>FASE4!K125</f>
        <v>0</v>
      </c>
      <c r="P125" s="110">
        <f>FASE2!N125</f>
        <v>0</v>
      </c>
      <c r="Q125" s="110">
        <f>FASE3!P125</f>
        <v>0</v>
      </c>
      <c r="R125" s="110">
        <f>FASE3!N125</f>
        <v>0</v>
      </c>
      <c r="S125" s="110">
        <f>AVERAGE(FASE3!Q125,FASE3!R125,FASE3!T125,FASE3!S125)</f>
        <v>0</v>
      </c>
      <c r="T125" s="110">
        <f>AVERAGE(FASE3!U125,FASE3!V125,FASE3!W125)</f>
        <v>0</v>
      </c>
      <c r="U125" s="110">
        <f>FASE3!Y125</f>
        <v>0</v>
      </c>
      <c r="V125" s="110">
        <f>FASE3!X125</f>
        <v>0</v>
      </c>
      <c r="W125" s="110">
        <f>FASE4!M125</f>
        <v>0</v>
      </c>
      <c r="X125" s="110">
        <f t="shared" si="1"/>
        <v>0</v>
      </c>
    </row>
    <row r="126" spans="2:25" ht="15.75" customHeight="1" x14ac:dyDescent="0.25">
      <c r="B126">
        <v>4</v>
      </c>
      <c r="C126" t="s">
        <v>111</v>
      </c>
      <c r="D126" s="97">
        <v>401</v>
      </c>
      <c r="E126" s="110">
        <f>FASE1!G126</f>
        <v>0</v>
      </c>
      <c r="F126" s="110">
        <f>FASE1!M126</f>
        <v>0</v>
      </c>
      <c r="G126" s="110">
        <f>FASE1!L126</f>
        <v>0</v>
      </c>
      <c r="H126" s="110">
        <f>FASE1!R126</f>
        <v>0</v>
      </c>
      <c r="I126" s="110">
        <f>FASE1!U126</f>
        <v>0</v>
      </c>
      <c r="J126" s="110">
        <f>FASE1!U126</f>
        <v>0</v>
      </c>
      <c r="K126" s="110">
        <f>FASE1!P126</f>
        <v>0</v>
      </c>
      <c r="L126" s="110">
        <f>FASE1!V126</f>
        <v>0</v>
      </c>
      <c r="M126" s="110">
        <f>AVERAGE(FASE2!F126:G126)</f>
        <v>0</v>
      </c>
      <c r="N126" s="110">
        <f>AVERAGE(FASE2!O126:P126,FASE2!S126)</f>
        <v>0</v>
      </c>
      <c r="O126" s="110">
        <f>FASE4!K126</f>
        <v>0</v>
      </c>
      <c r="P126" s="110">
        <f>FASE2!N126</f>
        <v>0</v>
      </c>
      <c r="Q126" s="110">
        <f>FASE3!P126</f>
        <v>0</v>
      </c>
      <c r="R126" s="110">
        <f>FASE3!N126</f>
        <v>0</v>
      </c>
      <c r="S126" s="110">
        <f>AVERAGE(FASE3!Q126,FASE3!R126,FASE3!T126,FASE3!S126)</f>
        <v>0</v>
      </c>
      <c r="T126" s="110">
        <f>AVERAGE(FASE3!U126,FASE3!V126,FASE3!W126)</f>
        <v>0</v>
      </c>
      <c r="U126" s="110">
        <f>FASE3!Y126</f>
        <v>0</v>
      </c>
      <c r="V126" s="110">
        <f>FASE3!X126</f>
        <v>0</v>
      </c>
      <c r="W126" s="110">
        <f>FASE4!M126</f>
        <v>0</v>
      </c>
      <c r="X126" s="110">
        <f t="shared" si="1"/>
        <v>0</v>
      </c>
    </row>
    <row r="127" spans="2:25" ht="15.75" customHeight="1" x14ac:dyDescent="0.25">
      <c r="B127">
        <v>4</v>
      </c>
      <c r="C127" t="s">
        <v>111</v>
      </c>
      <c r="D127" s="97">
        <v>402</v>
      </c>
      <c r="E127" s="110">
        <f>FASE1!G127</f>
        <v>15</v>
      </c>
      <c r="F127" s="110">
        <f>FASE1!M127</f>
        <v>0</v>
      </c>
      <c r="G127" s="110">
        <f>FASE1!L127</f>
        <v>0</v>
      </c>
      <c r="H127" s="110">
        <f>FASE1!R127</f>
        <v>0</v>
      </c>
      <c r="I127" s="110">
        <f>FASE1!U127</f>
        <v>0</v>
      </c>
      <c r="J127" s="110">
        <f>FASE1!U127</f>
        <v>0</v>
      </c>
      <c r="K127" s="110">
        <f>FASE1!P127</f>
        <v>0</v>
      </c>
      <c r="L127" s="110">
        <f>FASE1!V127</f>
        <v>0</v>
      </c>
      <c r="M127" s="110">
        <f>AVERAGE(FASE2!F127:G127)</f>
        <v>0</v>
      </c>
      <c r="N127" s="110">
        <f>AVERAGE(FASE2!O127:P127,FASE2!S127)</f>
        <v>0</v>
      </c>
      <c r="O127" s="110">
        <f>FASE4!K127</f>
        <v>0</v>
      </c>
      <c r="P127" s="110">
        <f>FASE2!N127</f>
        <v>0</v>
      </c>
      <c r="Q127" s="110">
        <f>FASE3!P127</f>
        <v>0</v>
      </c>
      <c r="R127" s="110">
        <f>FASE3!N127</f>
        <v>0</v>
      </c>
      <c r="S127" s="110">
        <f>AVERAGE(FASE3!Q127,FASE3!R127,FASE3!T127,FASE3!S127)</f>
        <v>0</v>
      </c>
      <c r="T127" s="110">
        <f>AVERAGE(FASE3!U127,FASE3!V127,FASE3!W127)</f>
        <v>0</v>
      </c>
      <c r="U127" s="110">
        <f>FASE3!Y127</f>
        <v>0</v>
      </c>
      <c r="V127" s="110">
        <f>FASE3!X127</f>
        <v>0</v>
      </c>
      <c r="W127" s="110">
        <f>FASE4!M127</f>
        <v>0</v>
      </c>
      <c r="X127" s="110">
        <f t="shared" si="1"/>
        <v>0.83333333333333337</v>
      </c>
      <c r="Y127" s="2"/>
    </row>
    <row r="128" spans="2:25" ht="15.75" customHeight="1" x14ac:dyDescent="0.25">
      <c r="B128">
        <v>4</v>
      </c>
      <c r="C128" t="s">
        <v>111</v>
      </c>
      <c r="D128" s="97">
        <v>403</v>
      </c>
      <c r="E128" s="110">
        <f>FASE1!G128</f>
        <v>15</v>
      </c>
      <c r="F128" s="110">
        <f>FASE1!M128</f>
        <v>0</v>
      </c>
      <c r="G128" s="110">
        <f>FASE1!L128</f>
        <v>0</v>
      </c>
      <c r="H128" s="110">
        <f>FASE1!R128</f>
        <v>0</v>
      </c>
      <c r="I128" s="110">
        <f>FASE1!U128</f>
        <v>0</v>
      </c>
      <c r="J128" s="110">
        <f>FASE1!U128</f>
        <v>0</v>
      </c>
      <c r="K128" s="110">
        <f>FASE1!P128</f>
        <v>0</v>
      </c>
      <c r="L128" s="110">
        <f>FASE1!V128</f>
        <v>0</v>
      </c>
      <c r="M128" s="110">
        <f>AVERAGE(FASE2!F128:G128)</f>
        <v>0</v>
      </c>
      <c r="N128" s="110">
        <f>AVERAGE(FASE2!O128:P128,FASE2!S128)</f>
        <v>0</v>
      </c>
      <c r="O128" s="110">
        <f>FASE4!K128</f>
        <v>0</v>
      </c>
      <c r="P128" s="110">
        <f>FASE2!N128</f>
        <v>0</v>
      </c>
      <c r="Q128" s="110">
        <f>FASE3!P128</f>
        <v>0</v>
      </c>
      <c r="R128" s="110">
        <f>FASE3!N128</f>
        <v>0</v>
      </c>
      <c r="S128" s="110">
        <f>AVERAGE(FASE3!Q128,FASE3!R128,FASE3!T128,FASE3!S128)</f>
        <v>0</v>
      </c>
      <c r="T128" s="110">
        <f>AVERAGE(FASE3!U128,FASE3!V128,FASE3!W128)</f>
        <v>0</v>
      </c>
      <c r="U128" s="110">
        <f>FASE3!Y128</f>
        <v>0</v>
      </c>
      <c r="V128" s="110">
        <f>FASE3!X128</f>
        <v>0</v>
      </c>
      <c r="W128" s="110">
        <f>FASE4!M128</f>
        <v>0</v>
      </c>
      <c r="X128" s="110">
        <f t="shared" si="1"/>
        <v>0.83333333333333337</v>
      </c>
    </row>
    <row r="129" spans="2:24" ht="15.75" customHeight="1" x14ac:dyDescent="0.25">
      <c r="B129">
        <v>4</v>
      </c>
      <c r="C129" t="s">
        <v>111</v>
      </c>
      <c r="D129" s="97">
        <v>404</v>
      </c>
      <c r="E129" s="110">
        <f>FASE1!G129</f>
        <v>15</v>
      </c>
      <c r="F129" s="110">
        <f>FASE1!M129</f>
        <v>0</v>
      </c>
      <c r="G129" s="110">
        <f>FASE1!L129</f>
        <v>0</v>
      </c>
      <c r="H129" s="110">
        <f>FASE1!R129</f>
        <v>0</v>
      </c>
      <c r="I129" s="110">
        <f>FASE1!U129</f>
        <v>0</v>
      </c>
      <c r="J129" s="110">
        <f>FASE1!U129</f>
        <v>0</v>
      </c>
      <c r="K129" s="110">
        <f>FASE1!P129</f>
        <v>0</v>
      </c>
      <c r="L129" s="110">
        <f>FASE1!V129</f>
        <v>0</v>
      </c>
      <c r="M129" s="110">
        <f>AVERAGE(FASE2!F129:G129)</f>
        <v>0</v>
      </c>
      <c r="N129" s="110">
        <f>AVERAGE(FASE2!O129:P129,FASE2!S129)</f>
        <v>0</v>
      </c>
      <c r="O129" s="110">
        <f>FASE4!K129</f>
        <v>0</v>
      </c>
      <c r="P129" s="110">
        <f>FASE2!N129</f>
        <v>0</v>
      </c>
      <c r="Q129" s="110">
        <f>FASE3!P129</f>
        <v>0</v>
      </c>
      <c r="R129" s="110">
        <f>FASE3!N129</f>
        <v>0</v>
      </c>
      <c r="S129" s="110">
        <f>AVERAGE(FASE3!Q129,FASE3!R129,FASE3!T129,FASE3!S129)</f>
        <v>0</v>
      </c>
      <c r="T129" s="110">
        <f>AVERAGE(FASE3!U129,FASE3!V129,FASE3!W129)</f>
        <v>0</v>
      </c>
      <c r="U129" s="110">
        <f>FASE3!Y129</f>
        <v>0</v>
      </c>
      <c r="V129" s="110">
        <f>FASE3!X129</f>
        <v>0</v>
      </c>
      <c r="W129" s="110">
        <f>FASE4!M129</f>
        <v>0</v>
      </c>
      <c r="X129" s="110">
        <f t="shared" si="1"/>
        <v>0.83333333333333337</v>
      </c>
    </row>
    <row r="130" spans="2:24" ht="15.75" customHeight="1" x14ac:dyDescent="0.25">
      <c r="B130">
        <v>4</v>
      </c>
      <c r="C130" t="s">
        <v>111</v>
      </c>
      <c r="D130" s="97">
        <v>405</v>
      </c>
      <c r="E130" s="110">
        <f>FASE1!G130</f>
        <v>15</v>
      </c>
      <c r="F130" s="110">
        <f>FASE1!M130</f>
        <v>0</v>
      </c>
      <c r="G130" s="110">
        <f>FASE1!L130</f>
        <v>0</v>
      </c>
      <c r="H130" s="110">
        <f>FASE1!R130</f>
        <v>0</v>
      </c>
      <c r="I130" s="110">
        <f>FASE1!U130</f>
        <v>0</v>
      </c>
      <c r="J130" s="110">
        <f>FASE1!U130</f>
        <v>0</v>
      </c>
      <c r="K130" s="110">
        <f>FASE1!P130</f>
        <v>0</v>
      </c>
      <c r="L130" s="110">
        <f>FASE1!V130</f>
        <v>0</v>
      </c>
      <c r="M130" s="110">
        <f>AVERAGE(FASE2!F130:G130)</f>
        <v>0</v>
      </c>
      <c r="N130" s="110">
        <f>AVERAGE(FASE2!O130:P130,FASE2!S130)</f>
        <v>0</v>
      </c>
      <c r="O130" s="110">
        <f>FASE4!K130</f>
        <v>0</v>
      </c>
      <c r="P130" s="110">
        <f>FASE2!N130</f>
        <v>0</v>
      </c>
      <c r="Q130" s="110">
        <f>FASE3!P130</f>
        <v>0</v>
      </c>
      <c r="R130" s="110">
        <f>FASE3!N130</f>
        <v>0</v>
      </c>
      <c r="S130" s="110">
        <f>AVERAGE(FASE3!Q130,FASE3!R130,FASE3!T130,FASE3!S130)</f>
        <v>0</v>
      </c>
      <c r="T130" s="110">
        <f>AVERAGE(FASE3!U130,FASE3!V130,FASE3!W130)</f>
        <v>0</v>
      </c>
      <c r="U130" s="110">
        <f>FASE3!Y130</f>
        <v>0</v>
      </c>
      <c r="V130" s="110">
        <f>FASE3!X130</f>
        <v>0</v>
      </c>
      <c r="W130" s="110">
        <f>FASE4!M130</f>
        <v>0</v>
      </c>
      <c r="X130" s="110">
        <f t="shared" ref="X130:X193" si="2">AVERAGE(E130:V130)</f>
        <v>0.83333333333333337</v>
      </c>
    </row>
    <row r="131" spans="2:24" ht="15.75" customHeight="1" x14ac:dyDescent="0.25">
      <c r="B131">
        <v>4</v>
      </c>
      <c r="C131" t="s">
        <v>111</v>
      </c>
      <c r="D131" s="97">
        <v>406</v>
      </c>
      <c r="E131" s="110">
        <f>FASE1!G131</f>
        <v>0</v>
      </c>
      <c r="F131" s="110">
        <f>FASE1!M131</f>
        <v>0</v>
      </c>
      <c r="G131" s="110">
        <f>FASE1!L131</f>
        <v>0</v>
      </c>
      <c r="H131" s="110">
        <f>FASE1!R131</f>
        <v>0</v>
      </c>
      <c r="I131" s="110">
        <f>FASE1!U131</f>
        <v>0</v>
      </c>
      <c r="J131" s="110">
        <f>FASE1!U131</f>
        <v>0</v>
      </c>
      <c r="K131" s="110">
        <f>FASE1!P131</f>
        <v>0</v>
      </c>
      <c r="L131" s="110">
        <f>FASE1!V131</f>
        <v>0</v>
      </c>
      <c r="M131" s="110">
        <f>AVERAGE(FASE2!F131:G131)</f>
        <v>0</v>
      </c>
      <c r="N131" s="110">
        <f>AVERAGE(FASE2!O131:P131,FASE2!S131)</f>
        <v>0</v>
      </c>
      <c r="O131" s="110">
        <f>FASE4!K131</f>
        <v>0</v>
      </c>
      <c r="P131" s="110">
        <f>FASE2!N131</f>
        <v>0</v>
      </c>
      <c r="Q131" s="110">
        <f>FASE3!P131</f>
        <v>0</v>
      </c>
      <c r="R131" s="110">
        <f>FASE3!N131</f>
        <v>0</v>
      </c>
      <c r="S131" s="110">
        <f>AVERAGE(FASE3!Q131,FASE3!R131,FASE3!T131,FASE3!S131)</f>
        <v>0</v>
      </c>
      <c r="T131" s="110">
        <f>AVERAGE(FASE3!U131,FASE3!V131,FASE3!W131)</f>
        <v>0</v>
      </c>
      <c r="U131" s="110">
        <f>FASE3!Y131</f>
        <v>0</v>
      </c>
      <c r="V131" s="110">
        <f>FASE3!X131</f>
        <v>0</v>
      </c>
      <c r="W131" s="110">
        <f>FASE4!M131</f>
        <v>0</v>
      </c>
      <c r="X131" s="110">
        <f t="shared" si="2"/>
        <v>0</v>
      </c>
    </row>
    <row r="132" spans="2:24" ht="15.75" customHeight="1" x14ac:dyDescent="0.25">
      <c r="B132">
        <v>4</v>
      </c>
      <c r="C132" t="s">
        <v>111</v>
      </c>
      <c r="D132" s="97">
        <v>407</v>
      </c>
      <c r="E132" s="110">
        <f>FASE1!G132</f>
        <v>0</v>
      </c>
      <c r="F132" s="110">
        <f>FASE1!M132</f>
        <v>0</v>
      </c>
      <c r="G132" s="110">
        <f>FASE1!L132</f>
        <v>0</v>
      </c>
      <c r="H132" s="110">
        <f>FASE1!R132</f>
        <v>0</v>
      </c>
      <c r="I132" s="110">
        <f>FASE1!U132</f>
        <v>0</v>
      </c>
      <c r="J132" s="110">
        <f>FASE1!U132</f>
        <v>0</v>
      </c>
      <c r="K132" s="110">
        <f>FASE1!P132</f>
        <v>0</v>
      </c>
      <c r="L132" s="110">
        <f>FASE1!V132</f>
        <v>0</v>
      </c>
      <c r="M132" s="110">
        <f>AVERAGE(FASE2!F132:G132)</f>
        <v>0</v>
      </c>
      <c r="N132" s="110">
        <f>AVERAGE(FASE2!O132:P132,FASE2!S132)</f>
        <v>0</v>
      </c>
      <c r="O132" s="110">
        <f>FASE4!K132</f>
        <v>0</v>
      </c>
      <c r="P132" s="110">
        <f>FASE2!N132</f>
        <v>0</v>
      </c>
      <c r="Q132" s="110">
        <f>FASE3!P132</f>
        <v>0</v>
      </c>
      <c r="R132" s="110">
        <f>FASE3!N132</f>
        <v>0</v>
      </c>
      <c r="S132" s="110">
        <f>AVERAGE(FASE3!Q132,FASE3!R132,FASE3!T132,FASE3!S132)</f>
        <v>0</v>
      </c>
      <c r="T132" s="110">
        <f>AVERAGE(FASE3!U132,FASE3!V132,FASE3!W132)</f>
        <v>0</v>
      </c>
      <c r="U132" s="110">
        <f>FASE3!Y132</f>
        <v>0</v>
      </c>
      <c r="V132" s="110">
        <f>FASE3!X132</f>
        <v>0</v>
      </c>
      <c r="W132" s="110">
        <f>FASE4!M132</f>
        <v>0</v>
      </c>
      <c r="X132" s="110">
        <f t="shared" si="2"/>
        <v>0</v>
      </c>
    </row>
    <row r="133" spans="2:24" ht="15.75" customHeight="1" x14ac:dyDescent="0.25">
      <c r="B133">
        <v>4</v>
      </c>
      <c r="C133" t="s">
        <v>111</v>
      </c>
      <c r="D133" s="97">
        <v>408</v>
      </c>
      <c r="E133" s="110">
        <f>FASE1!G133</f>
        <v>0</v>
      </c>
      <c r="F133" s="110">
        <f>FASE1!M133</f>
        <v>0</v>
      </c>
      <c r="G133" s="110">
        <f>FASE1!L133</f>
        <v>0</v>
      </c>
      <c r="H133" s="110">
        <f>FASE1!R133</f>
        <v>0</v>
      </c>
      <c r="I133" s="110">
        <f>FASE1!U133</f>
        <v>0</v>
      </c>
      <c r="J133" s="110">
        <f>FASE1!U133</f>
        <v>0</v>
      </c>
      <c r="K133" s="110">
        <f>FASE1!P133</f>
        <v>0</v>
      </c>
      <c r="L133" s="110">
        <f>FASE1!V133</f>
        <v>0</v>
      </c>
      <c r="M133" s="110">
        <f>AVERAGE(FASE2!F133:G133)</f>
        <v>0</v>
      </c>
      <c r="N133" s="110">
        <f>AVERAGE(FASE2!O133:P133,FASE2!S133)</f>
        <v>0</v>
      </c>
      <c r="O133" s="110">
        <f>FASE4!K133</f>
        <v>0</v>
      </c>
      <c r="P133" s="110">
        <f>FASE2!N133</f>
        <v>0</v>
      </c>
      <c r="Q133" s="110">
        <f>FASE3!P133</f>
        <v>0</v>
      </c>
      <c r="R133" s="110">
        <f>FASE3!N133</f>
        <v>0</v>
      </c>
      <c r="S133" s="110">
        <f>AVERAGE(FASE3!Q133,FASE3!R133,FASE3!T133,FASE3!S133)</f>
        <v>0</v>
      </c>
      <c r="T133" s="110">
        <f>AVERAGE(FASE3!U133,FASE3!V133,FASE3!W133)</f>
        <v>0</v>
      </c>
      <c r="U133" s="110">
        <f>FASE3!Y133</f>
        <v>0</v>
      </c>
      <c r="V133" s="110">
        <f>FASE3!X133</f>
        <v>0</v>
      </c>
      <c r="W133" s="110">
        <f>FASE4!M133</f>
        <v>0</v>
      </c>
      <c r="X133" s="110">
        <f t="shared" si="2"/>
        <v>0</v>
      </c>
    </row>
    <row r="134" spans="2:24" ht="15.75" customHeight="1" x14ac:dyDescent="0.25">
      <c r="B134">
        <v>4</v>
      </c>
      <c r="C134" t="s">
        <v>111</v>
      </c>
      <c r="D134" s="97">
        <v>409</v>
      </c>
      <c r="E134" s="110">
        <f>FASE1!G134</f>
        <v>0</v>
      </c>
      <c r="F134" s="110">
        <f>FASE1!M134</f>
        <v>0</v>
      </c>
      <c r="G134" s="110">
        <f>FASE1!L134</f>
        <v>0</v>
      </c>
      <c r="H134" s="110">
        <f>FASE1!R134</f>
        <v>0</v>
      </c>
      <c r="I134" s="110">
        <f>FASE1!U134</f>
        <v>0</v>
      </c>
      <c r="J134" s="110">
        <f>FASE1!U134</f>
        <v>0</v>
      </c>
      <c r="K134" s="110">
        <f>FASE1!P134</f>
        <v>0</v>
      </c>
      <c r="L134" s="110">
        <f>FASE1!V134</f>
        <v>0</v>
      </c>
      <c r="M134" s="110">
        <f>AVERAGE(FASE2!F134:G134)</f>
        <v>0</v>
      </c>
      <c r="N134" s="110">
        <f>AVERAGE(FASE2!O134:P134,FASE2!S134)</f>
        <v>0</v>
      </c>
      <c r="O134" s="110">
        <f>FASE4!K134</f>
        <v>0</v>
      </c>
      <c r="P134" s="110">
        <f>FASE2!N134</f>
        <v>0</v>
      </c>
      <c r="Q134" s="110">
        <f>FASE3!P134</f>
        <v>0</v>
      </c>
      <c r="R134" s="110">
        <f>FASE3!N134</f>
        <v>0</v>
      </c>
      <c r="S134" s="110">
        <f>AVERAGE(FASE3!Q134,FASE3!R134,FASE3!T134,FASE3!S134)</f>
        <v>0</v>
      </c>
      <c r="T134" s="110">
        <f>AVERAGE(FASE3!U134,FASE3!V134,FASE3!W134)</f>
        <v>0</v>
      </c>
      <c r="U134" s="110">
        <f>FASE3!Y134</f>
        <v>0</v>
      </c>
      <c r="V134" s="110">
        <f>FASE3!X134</f>
        <v>0</v>
      </c>
      <c r="W134" s="110">
        <f>FASE4!M134</f>
        <v>0</v>
      </c>
      <c r="X134" s="110">
        <f t="shared" si="2"/>
        <v>0</v>
      </c>
    </row>
    <row r="135" spans="2:24" ht="15.75" customHeight="1" x14ac:dyDescent="0.25">
      <c r="B135">
        <v>4</v>
      </c>
      <c r="C135" t="s">
        <v>111</v>
      </c>
      <c r="D135" s="97">
        <v>410</v>
      </c>
      <c r="E135" s="110">
        <f>FASE1!G135</f>
        <v>0</v>
      </c>
      <c r="F135" s="110">
        <f>FASE1!M135</f>
        <v>0</v>
      </c>
      <c r="G135" s="110">
        <f>FASE1!L135</f>
        <v>0</v>
      </c>
      <c r="H135" s="110">
        <f>FASE1!R135</f>
        <v>0</v>
      </c>
      <c r="I135" s="110">
        <f>FASE1!U135</f>
        <v>0</v>
      </c>
      <c r="J135" s="110">
        <f>FASE1!U135</f>
        <v>0</v>
      </c>
      <c r="K135" s="110">
        <f>FASE1!P135</f>
        <v>0</v>
      </c>
      <c r="L135" s="110">
        <f>FASE1!V135</f>
        <v>0</v>
      </c>
      <c r="M135" s="110">
        <f>AVERAGE(FASE2!F135:G135)</f>
        <v>0</v>
      </c>
      <c r="N135" s="110">
        <f>AVERAGE(FASE2!O135:P135,FASE2!S135)</f>
        <v>0</v>
      </c>
      <c r="O135" s="110">
        <f>FASE4!K135</f>
        <v>0</v>
      </c>
      <c r="P135" s="110">
        <f>FASE2!N135</f>
        <v>0</v>
      </c>
      <c r="Q135" s="110">
        <f>FASE3!P135</f>
        <v>0</v>
      </c>
      <c r="R135" s="110">
        <f>FASE3!N135</f>
        <v>0</v>
      </c>
      <c r="S135" s="110">
        <f>AVERAGE(FASE3!Q135,FASE3!R135,FASE3!T135,FASE3!S135)</f>
        <v>0</v>
      </c>
      <c r="T135" s="110">
        <f>AVERAGE(FASE3!U135,FASE3!V135,FASE3!W135)</f>
        <v>0</v>
      </c>
      <c r="U135" s="110">
        <f>FASE3!Y135</f>
        <v>0</v>
      </c>
      <c r="V135" s="110">
        <f>FASE3!X135</f>
        <v>0</v>
      </c>
      <c r="W135" s="110">
        <f>FASE4!M135</f>
        <v>0</v>
      </c>
      <c r="X135" s="110">
        <f t="shared" si="2"/>
        <v>0</v>
      </c>
    </row>
    <row r="136" spans="2:24" ht="15.75" customHeight="1" x14ac:dyDescent="0.25">
      <c r="B136">
        <v>4</v>
      </c>
      <c r="C136" t="s">
        <v>111</v>
      </c>
      <c r="D136" s="97">
        <v>411</v>
      </c>
      <c r="E136" s="110">
        <f>FASE1!G136</f>
        <v>0</v>
      </c>
      <c r="F136" s="110">
        <f>FASE1!M136</f>
        <v>0</v>
      </c>
      <c r="G136" s="110">
        <f>FASE1!L136</f>
        <v>0</v>
      </c>
      <c r="H136" s="110">
        <f>FASE1!R136</f>
        <v>0</v>
      </c>
      <c r="I136" s="110">
        <f>FASE1!U136</f>
        <v>0</v>
      </c>
      <c r="J136" s="110">
        <f>FASE1!U136</f>
        <v>0</v>
      </c>
      <c r="K136" s="110">
        <f>FASE1!P136</f>
        <v>0</v>
      </c>
      <c r="L136" s="110">
        <f>FASE1!V136</f>
        <v>0</v>
      </c>
      <c r="M136" s="110">
        <f>AVERAGE(FASE2!F136:G136)</f>
        <v>0</v>
      </c>
      <c r="N136" s="110">
        <f>AVERAGE(FASE2!O136:P136,FASE2!S136)</f>
        <v>0</v>
      </c>
      <c r="O136" s="110">
        <f>FASE4!K136</f>
        <v>0</v>
      </c>
      <c r="P136" s="110">
        <f>FASE2!N136</f>
        <v>0</v>
      </c>
      <c r="Q136" s="110">
        <f>FASE3!P136</f>
        <v>0</v>
      </c>
      <c r="R136" s="110">
        <f>FASE3!N136</f>
        <v>0</v>
      </c>
      <c r="S136" s="110">
        <f>AVERAGE(FASE3!Q136,FASE3!R136,FASE3!T136,FASE3!S136)</f>
        <v>0</v>
      </c>
      <c r="T136" s="110">
        <f>AVERAGE(FASE3!U136,FASE3!V136,FASE3!W136)</f>
        <v>0</v>
      </c>
      <c r="U136" s="110">
        <f>FASE3!Y136</f>
        <v>0</v>
      </c>
      <c r="V136" s="110">
        <f>FASE3!X136</f>
        <v>0</v>
      </c>
      <c r="W136" s="110">
        <f>FASE4!M136</f>
        <v>0</v>
      </c>
      <c r="X136" s="110">
        <f t="shared" si="2"/>
        <v>0</v>
      </c>
    </row>
    <row r="137" spans="2:24" ht="15.75" customHeight="1" x14ac:dyDescent="0.25">
      <c r="B137">
        <v>4</v>
      </c>
      <c r="C137" t="s">
        <v>111</v>
      </c>
      <c r="D137" s="97">
        <v>412</v>
      </c>
      <c r="E137" s="110">
        <f>FASE1!G137</f>
        <v>0</v>
      </c>
      <c r="F137" s="110">
        <f>FASE1!M137</f>
        <v>0</v>
      </c>
      <c r="G137" s="110">
        <f>FASE1!L137</f>
        <v>0</v>
      </c>
      <c r="H137" s="110">
        <f>FASE1!R137</f>
        <v>0</v>
      </c>
      <c r="I137" s="110">
        <f>FASE1!U137</f>
        <v>0</v>
      </c>
      <c r="J137" s="110">
        <f>FASE1!U137</f>
        <v>0</v>
      </c>
      <c r="K137" s="110">
        <f>FASE1!P137</f>
        <v>0</v>
      </c>
      <c r="L137" s="110">
        <f>FASE1!V137</f>
        <v>0</v>
      </c>
      <c r="M137" s="110">
        <f>AVERAGE(FASE2!F137:G137)</f>
        <v>0</v>
      </c>
      <c r="N137" s="110">
        <f>AVERAGE(FASE2!O137:P137,FASE2!S137)</f>
        <v>0</v>
      </c>
      <c r="O137" s="110">
        <f>FASE4!K137</f>
        <v>0</v>
      </c>
      <c r="P137" s="110">
        <f>FASE2!N137</f>
        <v>0</v>
      </c>
      <c r="Q137" s="110">
        <f>FASE3!P137</f>
        <v>0</v>
      </c>
      <c r="R137" s="110">
        <f>FASE3!N137</f>
        <v>0</v>
      </c>
      <c r="S137" s="110">
        <f>AVERAGE(FASE3!Q137,FASE3!R137,FASE3!T137,FASE3!S137)</f>
        <v>0</v>
      </c>
      <c r="T137" s="110">
        <f>AVERAGE(FASE3!U137,FASE3!V137,FASE3!W137)</f>
        <v>0</v>
      </c>
      <c r="U137" s="110">
        <f>FASE3!Y137</f>
        <v>0</v>
      </c>
      <c r="V137" s="110">
        <f>FASE3!X137</f>
        <v>0</v>
      </c>
      <c r="W137" s="110">
        <f>FASE4!M137</f>
        <v>0</v>
      </c>
      <c r="X137" s="110">
        <f t="shared" si="2"/>
        <v>0</v>
      </c>
    </row>
    <row r="138" spans="2:24" ht="15.75" customHeight="1" x14ac:dyDescent="0.25">
      <c r="B138">
        <v>4</v>
      </c>
      <c r="C138" t="s">
        <v>111</v>
      </c>
      <c r="D138" s="97">
        <v>413</v>
      </c>
      <c r="E138" s="110">
        <f>FASE1!G138</f>
        <v>0</v>
      </c>
      <c r="F138" s="110">
        <f>FASE1!M138</f>
        <v>0</v>
      </c>
      <c r="G138" s="110">
        <f>FASE1!L138</f>
        <v>0</v>
      </c>
      <c r="H138" s="110">
        <f>FASE1!R138</f>
        <v>0</v>
      </c>
      <c r="I138" s="110">
        <f>FASE1!U138</f>
        <v>0</v>
      </c>
      <c r="J138" s="110">
        <f>FASE1!U138</f>
        <v>0</v>
      </c>
      <c r="K138" s="110">
        <f>FASE1!P138</f>
        <v>0</v>
      </c>
      <c r="L138" s="110">
        <f>FASE1!V138</f>
        <v>0</v>
      </c>
      <c r="M138" s="110">
        <f>AVERAGE(FASE2!F138:G138)</f>
        <v>0</v>
      </c>
      <c r="N138" s="110">
        <f>AVERAGE(FASE2!O138:P138,FASE2!S138)</f>
        <v>0</v>
      </c>
      <c r="O138" s="110">
        <f>FASE4!K138</f>
        <v>0</v>
      </c>
      <c r="P138" s="110">
        <f>FASE2!N138</f>
        <v>0</v>
      </c>
      <c r="Q138" s="110">
        <f>FASE3!P138</f>
        <v>0</v>
      </c>
      <c r="R138" s="110">
        <f>FASE3!N138</f>
        <v>0</v>
      </c>
      <c r="S138" s="110">
        <f>AVERAGE(FASE3!Q138,FASE3!R138,FASE3!T138,FASE3!S138)</f>
        <v>0</v>
      </c>
      <c r="T138" s="110">
        <f>AVERAGE(FASE3!U138,FASE3!V138,FASE3!W138)</f>
        <v>0</v>
      </c>
      <c r="U138" s="110">
        <f>FASE3!Y138</f>
        <v>0</v>
      </c>
      <c r="V138" s="110">
        <f>FASE3!X138</f>
        <v>0</v>
      </c>
      <c r="W138" s="110">
        <f>FASE4!M138</f>
        <v>0</v>
      </c>
      <c r="X138" s="110">
        <f t="shared" si="2"/>
        <v>0</v>
      </c>
    </row>
    <row r="139" spans="2:24" ht="15.75" customHeight="1" x14ac:dyDescent="0.25">
      <c r="B139">
        <v>4</v>
      </c>
      <c r="C139" t="s">
        <v>111</v>
      </c>
      <c r="D139" s="97">
        <v>414</v>
      </c>
      <c r="E139" s="110">
        <f>FASE1!G139</f>
        <v>0</v>
      </c>
      <c r="F139" s="110">
        <f>FASE1!M139</f>
        <v>0</v>
      </c>
      <c r="G139" s="110">
        <f>FASE1!L139</f>
        <v>0</v>
      </c>
      <c r="H139" s="110">
        <f>FASE1!R139</f>
        <v>0</v>
      </c>
      <c r="I139" s="110">
        <f>FASE1!U139</f>
        <v>0</v>
      </c>
      <c r="J139" s="110">
        <f>FASE1!U139</f>
        <v>0</v>
      </c>
      <c r="K139" s="110">
        <f>FASE1!P139</f>
        <v>0</v>
      </c>
      <c r="L139" s="110">
        <f>FASE1!V139</f>
        <v>0</v>
      </c>
      <c r="M139" s="110">
        <f>AVERAGE(FASE2!F139:G139)</f>
        <v>0</v>
      </c>
      <c r="N139" s="110">
        <f>AVERAGE(FASE2!O139:P139,FASE2!S139)</f>
        <v>0</v>
      </c>
      <c r="O139" s="110">
        <f>FASE4!K139</f>
        <v>0</v>
      </c>
      <c r="P139" s="110">
        <f>FASE2!N139</f>
        <v>0</v>
      </c>
      <c r="Q139" s="110">
        <f>FASE3!P139</f>
        <v>0</v>
      </c>
      <c r="R139" s="110">
        <f>FASE3!N139</f>
        <v>0</v>
      </c>
      <c r="S139" s="110">
        <f>AVERAGE(FASE3!Q139,FASE3!R139,FASE3!T139,FASE3!S139)</f>
        <v>0</v>
      </c>
      <c r="T139" s="110">
        <f>AVERAGE(FASE3!U139,FASE3!V139,FASE3!W139)</f>
        <v>0</v>
      </c>
      <c r="U139" s="110">
        <f>FASE3!Y139</f>
        <v>0</v>
      </c>
      <c r="V139" s="110">
        <f>FASE3!X139</f>
        <v>0</v>
      </c>
      <c r="W139" s="110">
        <f>FASE4!M139</f>
        <v>0</v>
      </c>
      <c r="X139" s="110">
        <f t="shared" si="2"/>
        <v>0</v>
      </c>
    </row>
    <row r="140" spans="2:24" ht="15.75" customHeight="1" x14ac:dyDescent="0.25">
      <c r="B140">
        <v>4</v>
      </c>
      <c r="C140" t="s">
        <v>111</v>
      </c>
      <c r="D140" s="97">
        <v>415</v>
      </c>
      <c r="E140" s="110">
        <f>FASE1!G140</f>
        <v>0</v>
      </c>
      <c r="F140" s="110">
        <f>FASE1!M140</f>
        <v>0</v>
      </c>
      <c r="G140" s="110">
        <f>FASE1!L140</f>
        <v>0</v>
      </c>
      <c r="H140" s="110">
        <f>FASE1!R140</f>
        <v>0</v>
      </c>
      <c r="I140" s="110">
        <f>FASE1!U140</f>
        <v>0</v>
      </c>
      <c r="J140" s="110">
        <f>FASE1!U140</f>
        <v>0</v>
      </c>
      <c r="K140" s="110">
        <f>FASE1!P140</f>
        <v>0</v>
      </c>
      <c r="L140" s="110">
        <f>FASE1!V140</f>
        <v>0</v>
      </c>
      <c r="M140" s="110">
        <f>AVERAGE(FASE2!F140:G140)</f>
        <v>0</v>
      </c>
      <c r="N140" s="110">
        <f>AVERAGE(FASE2!O140:P140,FASE2!S140)</f>
        <v>0</v>
      </c>
      <c r="O140" s="110">
        <f>FASE4!K140</f>
        <v>0</v>
      </c>
      <c r="P140" s="110">
        <f>FASE2!N140</f>
        <v>0</v>
      </c>
      <c r="Q140" s="110">
        <f>FASE3!P140</f>
        <v>0</v>
      </c>
      <c r="R140" s="110">
        <f>FASE3!N140</f>
        <v>0</v>
      </c>
      <c r="S140" s="110">
        <f>AVERAGE(FASE3!Q140,FASE3!R140,FASE3!T140,FASE3!S140)</f>
        <v>0</v>
      </c>
      <c r="T140" s="110">
        <f>AVERAGE(FASE3!U140,FASE3!V140,FASE3!W140)</f>
        <v>0</v>
      </c>
      <c r="U140" s="110">
        <f>FASE3!Y140</f>
        <v>0</v>
      </c>
      <c r="V140" s="110">
        <f>FASE3!X140</f>
        <v>0</v>
      </c>
      <c r="W140" s="110">
        <f>FASE4!M140</f>
        <v>0</v>
      </c>
      <c r="X140" s="110">
        <f t="shared" si="2"/>
        <v>0</v>
      </c>
    </row>
    <row r="141" spans="2:24" ht="15.75" customHeight="1" x14ac:dyDescent="0.25">
      <c r="B141">
        <v>4</v>
      </c>
      <c r="C141" t="s">
        <v>111</v>
      </c>
      <c r="D141" s="97">
        <v>416</v>
      </c>
      <c r="E141" s="110">
        <f>FASE1!G141</f>
        <v>0</v>
      </c>
      <c r="F141" s="110">
        <f>FASE1!M141</f>
        <v>0</v>
      </c>
      <c r="G141" s="110">
        <f>FASE1!L141</f>
        <v>0</v>
      </c>
      <c r="H141" s="110">
        <f>FASE1!R141</f>
        <v>0</v>
      </c>
      <c r="I141" s="110">
        <f>FASE1!U141</f>
        <v>0</v>
      </c>
      <c r="J141" s="110">
        <f>FASE1!U141</f>
        <v>0</v>
      </c>
      <c r="K141" s="110">
        <f>FASE1!P141</f>
        <v>0</v>
      </c>
      <c r="L141" s="110">
        <f>FASE1!V141</f>
        <v>0</v>
      </c>
      <c r="M141" s="110">
        <f>AVERAGE(FASE2!F141:G141)</f>
        <v>0</v>
      </c>
      <c r="N141" s="110">
        <f>AVERAGE(FASE2!O141:P141,FASE2!S141)</f>
        <v>0</v>
      </c>
      <c r="O141" s="110">
        <f>FASE4!K141</f>
        <v>0</v>
      </c>
      <c r="P141" s="110">
        <f>FASE2!N141</f>
        <v>0</v>
      </c>
      <c r="Q141" s="110">
        <f>FASE3!P141</f>
        <v>0</v>
      </c>
      <c r="R141" s="110">
        <f>FASE3!N141</f>
        <v>0</v>
      </c>
      <c r="S141" s="110">
        <f>AVERAGE(FASE3!Q141,FASE3!R141,FASE3!T141,FASE3!S141)</f>
        <v>0</v>
      </c>
      <c r="T141" s="110">
        <f>AVERAGE(FASE3!U141,FASE3!V141,FASE3!W141)</f>
        <v>0</v>
      </c>
      <c r="U141" s="110">
        <f>FASE3!Y141</f>
        <v>0</v>
      </c>
      <c r="V141" s="110">
        <f>FASE3!X141</f>
        <v>0</v>
      </c>
      <c r="W141" s="110">
        <f>FASE4!M141</f>
        <v>0</v>
      </c>
      <c r="X141" s="110">
        <f t="shared" si="2"/>
        <v>0</v>
      </c>
    </row>
    <row r="142" spans="2:24" ht="15.75" customHeight="1" x14ac:dyDescent="0.25">
      <c r="B142">
        <v>4</v>
      </c>
      <c r="C142" t="s">
        <v>111</v>
      </c>
      <c r="D142" s="97">
        <v>417</v>
      </c>
      <c r="E142" s="110">
        <f>FASE1!G142</f>
        <v>0</v>
      </c>
      <c r="F142" s="110">
        <f>FASE1!M142</f>
        <v>0</v>
      </c>
      <c r="G142" s="110">
        <f>FASE1!L142</f>
        <v>0</v>
      </c>
      <c r="H142" s="110">
        <f>FASE1!R142</f>
        <v>0</v>
      </c>
      <c r="I142" s="110">
        <f>FASE1!U142</f>
        <v>0</v>
      </c>
      <c r="J142" s="110">
        <f>FASE1!U142</f>
        <v>0</v>
      </c>
      <c r="K142" s="110">
        <f>FASE1!P142</f>
        <v>0</v>
      </c>
      <c r="L142" s="110">
        <f>FASE1!V142</f>
        <v>0</v>
      </c>
      <c r="M142" s="110">
        <f>AVERAGE(FASE2!F142:G142)</f>
        <v>0</v>
      </c>
      <c r="N142" s="110">
        <f>AVERAGE(FASE2!O142:P142,FASE2!S142)</f>
        <v>0</v>
      </c>
      <c r="O142" s="110">
        <f>FASE4!K142</f>
        <v>0</v>
      </c>
      <c r="P142" s="110">
        <f>FASE2!N142</f>
        <v>0</v>
      </c>
      <c r="Q142" s="110">
        <f>FASE3!P142</f>
        <v>0</v>
      </c>
      <c r="R142" s="110">
        <f>FASE3!N142</f>
        <v>0</v>
      </c>
      <c r="S142" s="110">
        <f>AVERAGE(FASE3!Q142,FASE3!R142,FASE3!T142,FASE3!S142)</f>
        <v>0</v>
      </c>
      <c r="T142" s="110">
        <f>AVERAGE(FASE3!U142,FASE3!V142,FASE3!W142)</f>
        <v>0</v>
      </c>
      <c r="U142" s="110">
        <f>FASE3!Y142</f>
        <v>0</v>
      </c>
      <c r="V142" s="110">
        <f>FASE3!X142</f>
        <v>0</v>
      </c>
      <c r="W142" s="110">
        <f>FASE4!M142</f>
        <v>0</v>
      </c>
      <c r="X142" s="110">
        <f t="shared" si="2"/>
        <v>0</v>
      </c>
    </row>
    <row r="143" spans="2:24" ht="15.75" customHeight="1" x14ac:dyDescent="0.25">
      <c r="B143">
        <v>4</v>
      </c>
      <c r="C143" t="s">
        <v>111</v>
      </c>
      <c r="D143" s="97">
        <v>418</v>
      </c>
      <c r="E143" s="110">
        <f>FASE1!G143</f>
        <v>0</v>
      </c>
      <c r="F143" s="110">
        <f>FASE1!M143</f>
        <v>0</v>
      </c>
      <c r="G143" s="110">
        <f>FASE1!L143</f>
        <v>0</v>
      </c>
      <c r="H143" s="110">
        <f>FASE1!R143</f>
        <v>0</v>
      </c>
      <c r="I143" s="110">
        <f>FASE1!U143</f>
        <v>0</v>
      </c>
      <c r="J143" s="110">
        <f>FASE1!U143</f>
        <v>0</v>
      </c>
      <c r="K143" s="110">
        <f>FASE1!P143</f>
        <v>0</v>
      </c>
      <c r="L143" s="110">
        <f>FASE1!V143</f>
        <v>0</v>
      </c>
      <c r="M143" s="110">
        <f>AVERAGE(FASE2!F143:G143)</f>
        <v>0</v>
      </c>
      <c r="N143" s="110">
        <f>AVERAGE(FASE2!O143:P143,FASE2!S143)</f>
        <v>0</v>
      </c>
      <c r="O143" s="110">
        <f>FASE4!K143</f>
        <v>0</v>
      </c>
      <c r="P143" s="110">
        <f>FASE2!N143</f>
        <v>0</v>
      </c>
      <c r="Q143" s="110">
        <f>FASE3!P143</f>
        <v>0</v>
      </c>
      <c r="R143" s="110">
        <f>FASE3!N143</f>
        <v>0</v>
      </c>
      <c r="S143" s="110">
        <f>AVERAGE(FASE3!Q143,FASE3!R143,FASE3!T143,FASE3!S143)</f>
        <v>0</v>
      </c>
      <c r="T143" s="110">
        <f>AVERAGE(FASE3!U143,FASE3!V143,FASE3!W143)</f>
        <v>0</v>
      </c>
      <c r="U143" s="110">
        <f>FASE3!Y143</f>
        <v>0</v>
      </c>
      <c r="V143" s="110">
        <f>FASE3!X143</f>
        <v>0</v>
      </c>
      <c r="W143" s="110">
        <f>FASE4!M143</f>
        <v>0</v>
      </c>
      <c r="X143" s="110">
        <f t="shared" si="2"/>
        <v>0</v>
      </c>
    </row>
    <row r="144" spans="2:24" ht="15.75" customHeight="1" x14ac:dyDescent="0.25">
      <c r="B144">
        <v>4</v>
      </c>
      <c r="C144" t="s">
        <v>111</v>
      </c>
      <c r="D144" s="97">
        <v>419</v>
      </c>
      <c r="E144" s="110">
        <f>FASE1!G144</f>
        <v>0</v>
      </c>
      <c r="F144" s="110">
        <f>FASE1!M144</f>
        <v>0</v>
      </c>
      <c r="G144" s="110">
        <f>FASE1!L144</f>
        <v>0</v>
      </c>
      <c r="H144" s="110">
        <f>FASE1!R144</f>
        <v>0</v>
      </c>
      <c r="I144" s="110">
        <f>FASE1!U144</f>
        <v>0</v>
      </c>
      <c r="J144" s="110">
        <f>FASE1!U144</f>
        <v>0</v>
      </c>
      <c r="K144" s="110">
        <f>FASE1!P144</f>
        <v>0</v>
      </c>
      <c r="L144" s="110">
        <f>FASE1!V144</f>
        <v>0</v>
      </c>
      <c r="M144" s="110">
        <f>AVERAGE(FASE2!F144:G144)</f>
        <v>0</v>
      </c>
      <c r="N144" s="110">
        <f>AVERAGE(FASE2!O144:P144,FASE2!S144)</f>
        <v>0</v>
      </c>
      <c r="O144" s="110">
        <f>FASE4!K144</f>
        <v>0</v>
      </c>
      <c r="P144" s="110">
        <f>FASE2!N144</f>
        <v>0</v>
      </c>
      <c r="Q144" s="110">
        <f>FASE3!P144</f>
        <v>0</v>
      </c>
      <c r="R144" s="110">
        <f>FASE3!N144</f>
        <v>0</v>
      </c>
      <c r="S144" s="110">
        <f>AVERAGE(FASE3!Q144,FASE3!R144,FASE3!T144,FASE3!S144)</f>
        <v>0</v>
      </c>
      <c r="T144" s="110">
        <f>AVERAGE(FASE3!U144,FASE3!V144,FASE3!W144)</f>
        <v>0</v>
      </c>
      <c r="U144" s="110">
        <f>FASE3!Y144</f>
        <v>0</v>
      </c>
      <c r="V144" s="110">
        <f>FASE3!X144</f>
        <v>0</v>
      </c>
      <c r="W144" s="110">
        <f>FASE4!M144</f>
        <v>0</v>
      </c>
      <c r="X144" s="110">
        <f t="shared" si="2"/>
        <v>0</v>
      </c>
    </row>
    <row r="145" spans="2:25" ht="15.75" customHeight="1" x14ac:dyDescent="0.25">
      <c r="B145">
        <v>4</v>
      </c>
      <c r="C145" t="s">
        <v>111</v>
      </c>
      <c r="D145" s="97">
        <v>420</v>
      </c>
      <c r="E145" s="110">
        <f>FASE1!G145</f>
        <v>0</v>
      </c>
      <c r="F145" s="110">
        <f>FASE1!M145</f>
        <v>0</v>
      </c>
      <c r="G145" s="110">
        <f>FASE1!L145</f>
        <v>0</v>
      </c>
      <c r="H145" s="110">
        <f>FASE1!R145</f>
        <v>0</v>
      </c>
      <c r="I145" s="110">
        <f>FASE1!U145</f>
        <v>0</v>
      </c>
      <c r="J145" s="110">
        <f>FASE1!U145</f>
        <v>0</v>
      </c>
      <c r="K145" s="110">
        <f>FASE1!P145</f>
        <v>0</v>
      </c>
      <c r="L145" s="110">
        <f>FASE1!V145</f>
        <v>0</v>
      </c>
      <c r="M145" s="110">
        <f>AVERAGE(FASE2!F145:G145)</f>
        <v>0</v>
      </c>
      <c r="N145" s="110">
        <f>AVERAGE(FASE2!O145:P145,FASE2!S145)</f>
        <v>0</v>
      </c>
      <c r="O145" s="110">
        <f>FASE4!K145</f>
        <v>0</v>
      </c>
      <c r="P145" s="110">
        <f>FASE2!N145</f>
        <v>0</v>
      </c>
      <c r="Q145" s="110">
        <f>FASE3!P145</f>
        <v>0</v>
      </c>
      <c r="R145" s="110">
        <f>FASE3!N145</f>
        <v>0</v>
      </c>
      <c r="S145" s="110">
        <f>AVERAGE(FASE3!Q145,FASE3!R145,FASE3!T145,FASE3!S145)</f>
        <v>0</v>
      </c>
      <c r="T145" s="110">
        <f>AVERAGE(FASE3!U145,FASE3!V145,FASE3!W145)</f>
        <v>0</v>
      </c>
      <c r="U145" s="110">
        <f>FASE3!Y145</f>
        <v>0</v>
      </c>
      <c r="V145" s="110">
        <f>FASE3!X145</f>
        <v>0</v>
      </c>
      <c r="W145" s="110">
        <f>FASE4!M145</f>
        <v>0</v>
      </c>
      <c r="X145" s="110">
        <f t="shared" si="2"/>
        <v>0</v>
      </c>
      <c r="Y145" s="2"/>
    </row>
    <row r="146" spans="2:25" ht="15.75" customHeight="1" x14ac:dyDescent="0.25">
      <c r="B146">
        <v>4</v>
      </c>
      <c r="C146" t="s">
        <v>111</v>
      </c>
      <c r="D146" s="97">
        <v>421</v>
      </c>
      <c r="E146" s="110">
        <f>FASE1!G146</f>
        <v>0</v>
      </c>
      <c r="F146" s="110">
        <f>FASE1!M146</f>
        <v>0</v>
      </c>
      <c r="G146" s="110">
        <f>FASE1!L146</f>
        <v>0</v>
      </c>
      <c r="H146" s="110">
        <f>FASE1!R146</f>
        <v>0</v>
      </c>
      <c r="I146" s="110">
        <f>FASE1!U146</f>
        <v>0</v>
      </c>
      <c r="J146" s="110">
        <f>FASE1!U146</f>
        <v>0</v>
      </c>
      <c r="K146" s="110">
        <f>FASE1!P146</f>
        <v>0</v>
      </c>
      <c r="L146" s="110">
        <f>FASE1!V146</f>
        <v>0</v>
      </c>
      <c r="M146" s="110">
        <f>AVERAGE(FASE2!F146:G146)</f>
        <v>0</v>
      </c>
      <c r="N146" s="110">
        <f>AVERAGE(FASE2!O146:P146,FASE2!S146)</f>
        <v>0</v>
      </c>
      <c r="O146" s="110">
        <f>FASE4!K146</f>
        <v>0</v>
      </c>
      <c r="P146" s="110">
        <f>FASE2!N146</f>
        <v>0</v>
      </c>
      <c r="Q146" s="110">
        <f>FASE3!P146</f>
        <v>0</v>
      </c>
      <c r="R146" s="110">
        <f>FASE3!N146</f>
        <v>0</v>
      </c>
      <c r="S146" s="110">
        <f>AVERAGE(FASE3!Q146,FASE3!R146,FASE3!T146,FASE3!S146)</f>
        <v>0</v>
      </c>
      <c r="T146" s="110">
        <f>AVERAGE(FASE3!U146,FASE3!V146,FASE3!W146)</f>
        <v>0</v>
      </c>
      <c r="U146" s="110">
        <f>FASE3!Y146</f>
        <v>0</v>
      </c>
      <c r="V146" s="110">
        <f>FASE3!X146</f>
        <v>0</v>
      </c>
      <c r="W146" s="110">
        <f>FASE4!M146</f>
        <v>0</v>
      </c>
      <c r="X146" s="110">
        <f t="shared" si="2"/>
        <v>0</v>
      </c>
    </row>
    <row r="147" spans="2:25" ht="15.75" customHeight="1" x14ac:dyDescent="0.25">
      <c r="B147">
        <v>4</v>
      </c>
      <c r="C147" t="s">
        <v>131</v>
      </c>
      <c r="D147" s="97" t="s">
        <v>132</v>
      </c>
      <c r="E147" s="110">
        <f>FASE1!G147</f>
        <v>1.3636363636363635</v>
      </c>
      <c r="F147" s="110">
        <f>FASE1!M147</f>
        <v>0</v>
      </c>
      <c r="G147" s="110">
        <f>FASE1!L147</f>
        <v>0</v>
      </c>
      <c r="H147" s="110">
        <f>FASE1!R147</f>
        <v>0</v>
      </c>
      <c r="I147" s="110">
        <f>FASE1!U147</f>
        <v>0</v>
      </c>
      <c r="J147" s="110">
        <f>FASE1!U147</f>
        <v>0</v>
      </c>
      <c r="K147" s="110">
        <f>FASE1!P147</f>
        <v>0</v>
      </c>
      <c r="L147" s="110">
        <f>FASE1!V147</f>
        <v>0</v>
      </c>
      <c r="M147" s="110">
        <f>AVERAGE(FASE2!F147:G147)</f>
        <v>0</v>
      </c>
      <c r="N147" s="110">
        <f>IFERROR(AVERAGE(FASE2!O147:P147,FASE2!S147),0)</f>
        <v>0</v>
      </c>
      <c r="O147" s="110">
        <f>FASE4!K147</f>
        <v>0</v>
      </c>
      <c r="P147" s="110">
        <f>FASE2!N147</f>
        <v>0</v>
      </c>
      <c r="Q147" s="110">
        <f>FASE3!P147</f>
        <v>0</v>
      </c>
      <c r="R147" s="110">
        <f>FASE3!N147</f>
        <v>0</v>
      </c>
      <c r="S147" s="110">
        <f>AVERAGE(FASE3!Q147,FASE3!R147,FASE3!T147,FASE3!S147)</f>
        <v>0</v>
      </c>
      <c r="T147" s="110">
        <f>AVERAGE(FASE3!U147,FASE3!V147,FASE3!W147)</f>
        <v>0</v>
      </c>
      <c r="U147" s="110">
        <f>FASE3!Y147</f>
        <v>0</v>
      </c>
      <c r="V147" s="110">
        <f>FASE3!X147</f>
        <v>0</v>
      </c>
      <c r="W147" s="110">
        <f>FASE4!M147</f>
        <v>0</v>
      </c>
      <c r="X147" s="110">
        <f t="shared" si="2"/>
        <v>7.5757575757575746E-2</v>
      </c>
    </row>
    <row r="148" spans="2:25" ht="15.75" customHeight="1" x14ac:dyDescent="0.25">
      <c r="B148">
        <v>5</v>
      </c>
      <c r="C148" t="s">
        <v>112</v>
      </c>
      <c r="D148" s="97">
        <v>501</v>
      </c>
      <c r="E148" s="110">
        <f>FASE1!G148</f>
        <v>0</v>
      </c>
      <c r="F148" s="110">
        <f>FASE1!M148</f>
        <v>0</v>
      </c>
      <c r="G148" s="110">
        <f>FASE1!L148</f>
        <v>0</v>
      </c>
      <c r="H148" s="110">
        <f>FASE1!R148</f>
        <v>0</v>
      </c>
      <c r="I148" s="110">
        <f>FASE1!U148</f>
        <v>0</v>
      </c>
      <c r="J148" s="110">
        <f>FASE1!U148</f>
        <v>0</v>
      </c>
      <c r="K148" s="110">
        <f>FASE1!P148</f>
        <v>0</v>
      </c>
      <c r="L148" s="110">
        <f>FASE1!V148</f>
        <v>0</v>
      </c>
      <c r="M148" s="110">
        <f>AVERAGE(FASE2!F148:G148)</f>
        <v>0</v>
      </c>
      <c r="N148" s="110">
        <f>AVERAGE(FASE2!O148:P148,FASE2!S148)</f>
        <v>0</v>
      </c>
      <c r="O148" s="110">
        <f>FASE4!K148</f>
        <v>0</v>
      </c>
      <c r="P148" s="110">
        <f>FASE2!N148</f>
        <v>0</v>
      </c>
      <c r="Q148" s="110">
        <f>FASE3!P148</f>
        <v>0</v>
      </c>
      <c r="R148" s="110">
        <f>FASE3!N148</f>
        <v>0</v>
      </c>
      <c r="S148" s="110">
        <f>AVERAGE(FASE3!Q148,FASE3!R148,FASE3!T148,FASE3!S148)</f>
        <v>0</v>
      </c>
      <c r="T148" s="110">
        <f>AVERAGE(FASE3!U148,FASE3!V148,FASE3!W148)</f>
        <v>0</v>
      </c>
      <c r="U148" s="110">
        <f>FASE3!Y148</f>
        <v>0</v>
      </c>
      <c r="V148" s="110">
        <f>FASE3!X148</f>
        <v>0</v>
      </c>
      <c r="W148" s="110">
        <f>FASE4!M148</f>
        <v>0</v>
      </c>
      <c r="X148" s="110">
        <f t="shared" si="2"/>
        <v>0</v>
      </c>
    </row>
    <row r="149" spans="2:25" ht="15.75" customHeight="1" x14ac:dyDescent="0.25">
      <c r="B149">
        <v>5</v>
      </c>
      <c r="C149" t="s">
        <v>112</v>
      </c>
      <c r="D149" s="97">
        <v>502</v>
      </c>
      <c r="E149" s="110">
        <f>FASE1!G149</f>
        <v>0</v>
      </c>
      <c r="F149" s="110">
        <f>FASE1!M149</f>
        <v>0</v>
      </c>
      <c r="G149" s="110">
        <f>FASE1!L149</f>
        <v>0</v>
      </c>
      <c r="H149" s="110">
        <f>FASE1!R149</f>
        <v>0</v>
      </c>
      <c r="I149" s="110">
        <f>FASE1!U149</f>
        <v>0</v>
      </c>
      <c r="J149" s="110">
        <f>FASE1!U149</f>
        <v>0</v>
      </c>
      <c r="K149" s="110">
        <f>FASE1!P149</f>
        <v>0</v>
      </c>
      <c r="L149" s="110">
        <f>FASE1!V149</f>
        <v>0</v>
      </c>
      <c r="M149" s="110">
        <f>AVERAGE(FASE2!F149:G149)</f>
        <v>0</v>
      </c>
      <c r="N149" s="110">
        <f>AVERAGE(FASE2!O149:P149,FASE2!S149)</f>
        <v>0</v>
      </c>
      <c r="O149" s="110">
        <f>FASE4!K149</f>
        <v>0</v>
      </c>
      <c r="P149" s="110">
        <f>FASE2!N149</f>
        <v>0</v>
      </c>
      <c r="Q149" s="110">
        <f>FASE3!P149</f>
        <v>0</v>
      </c>
      <c r="R149" s="110">
        <f>FASE3!N149</f>
        <v>0</v>
      </c>
      <c r="S149" s="110">
        <f>AVERAGE(FASE3!Q149,FASE3!R149,FASE3!T149,FASE3!S149)</f>
        <v>0</v>
      </c>
      <c r="T149" s="110">
        <f>AVERAGE(FASE3!U149,FASE3!V149,FASE3!W149)</f>
        <v>0</v>
      </c>
      <c r="U149" s="110">
        <f>FASE3!Y149</f>
        <v>0</v>
      </c>
      <c r="V149" s="110">
        <f>FASE3!X149</f>
        <v>0</v>
      </c>
      <c r="W149" s="110">
        <f>FASE4!M149</f>
        <v>0</v>
      </c>
      <c r="X149" s="110">
        <f t="shared" si="2"/>
        <v>0</v>
      </c>
    </row>
    <row r="150" spans="2:25" ht="15.75" customHeight="1" x14ac:dyDescent="0.25">
      <c r="B150">
        <v>5</v>
      </c>
      <c r="C150" t="s">
        <v>112</v>
      </c>
      <c r="D150" s="97">
        <v>503</v>
      </c>
      <c r="E150" s="110">
        <f>FASE1!G150</f>
        <v>0</v>
      </c>
      <c r="F150" s="110">
        <f>FASE1!M150</f>
        <v>0</v>
      </c>
      <c r="G150" s="110">
        <f>FASE1!L150</f>
        <v>0</v>
      </c>
      <c r="H150" s="110">
        <f>FASE1!R150</f>
        <v>0</v>
      </c>
      <c r="I150" s="110">
        <f>FASE1!U150</f>
        <v>0</v>
      </c>
      <c r="J150" s="110">
        <f>FASE1!U150</f>
        <v>0</v>
      </c>
      <c r="K150" s="110">
        <f>FASE1!P150</f>
        <v>0</v>
      </c>
      <c r="L150" s="110">
        <f>FASE1!V150</f>
        <v>0</v>
      </c>
      <c r="M150" s="110">
        <f>AVERAGE(FASE2!F150:G150)</f>
        <v>0</v>
      </c>
      <c r="N150" s="110">
        <f>AVERAGE(FASE2!O150:P150,FASE2!S150)</f>
        <v>0</v>
      </c>
      <c r="O150" s="110">
        <f>FASE4!K150</f>
        <v>0</v>
      </c>
      <c r="P150" s="110">
        <f>FASE2!N150</f>
        <v>0</v>
      </c>
      <c r="Q150" s="110">
        <f>FASE3!P150</f>
        <v>0</v>
      </c>
      <c r="R150" s="110">
        <f>FASE3!N150</f>
        <v>0</v>
      </c>
      <c r="S150" s="110">
        <f>AVERAGE(FASE3!Q150,FASE3!R150,FASE3!T150,FASE3!S150)</f>
        <v>0</v>
      </c>
      <c r="T150" s="110">
        <f>AVERAGE(FASE3!U150,FASE3!V150,FASE3!W150)</f>
        <v>0</v>
      </c>
      <c r="U150" s="110">
        <f>FASE3!Y150</f>
        <v>0</v>
      </c>
      <c r="V150" s="110">
        <f>FASE3!X150</f>
        <v>0</v>
      </c>
      <c r="W150" s="110">
        <f>FASE4!M150</f>
        <v>0</v>
      </c>
      <c r="X150" s="110">
        <f t="shared" si="2"/>
        <v>0</v>
      </c>
    </row>
    <row r="151" spans="2:25" ht="15.75" customHeight="1" x14ac:dyDescent="0.25">
      <c r="B151">
        <v>5</v>
      </c>
      <c r="C151" t="s">
        <v>112</v>
      </c>
      <c r="D151" s="97">
        <v>504</v>
      </c>
      <c r="E151" s="110">
        <f>FASE1!G151</f>
        <v>0</v>
      </c>
      <c r="F151" s="110">
        <f>FASE1!M151</f>
        <v>0</v>
      </c>
      <c r="G151" s="110">
        <f>FASE1!L151</f>
        <v>0</v>
      </c>
      <c r="H151" s="110">
        <f>FASE1!R151</f>
        <v>0</v>
      </c>
      <c r="I151" s="110">
        <f>FASE1!U151</f>
        <v>0</v>
      </c>
      <c r="J151" s="110">
        <f>FASE1!U151</f>
        <v>0</v>
      </c>
      <c r="K151" s="110">
        <f>FASE1!P151</f>
        <v>0</v>
      </c>
      <c r="L151" s="110">
        <f>FASE1!V151</f>
        <v>0</v>
      </c>
      <c r="M151" s="110">
        <f>AVERAGE(FASE2!F151:G151)</f>
        <v>0</v>
      </c>
      <c r="N151" s="110">
        <f>AVERAGE(FASE2!O151:P151,FASE2!S151)</f>
        <v>0</v>
      </c>
      <c r="O151" s="110">
        <f>FASE4!K151</f>
        <v>0</v>
      </c>
      <c r="P151" s="110">
        <f>FASE2!N151</f>
        <v>0</v>
      </c>
      <c r="Q151" s="110">
        <f>FASE3!P151</f>
        <v>0</v>
      </c>
      <c r="R151" s="110">
        <f>FASE3!N151</f>
        <v>0</v>
      </c>
      <c r="S151" s="110">
        <f>AVERAGE(FASE3!Q151,FASE3!R151,FASE3!T151,FASE3!S151)</f>
        <v>0</v>
      </c>
      <c r="T151" s="110">
        <f>AVERAGE(FASE3!U151,FASE3!V151,FASE3!W151)</f>
        <v>0</v>
      </c>
      <c r="U151" s="110">
        <f>FASE3!Y151</f>
        <v>0</v>
      </c>
      <c r="V151" s="110">
        <f>FASE3!X151</f>
        <v>0</v>
      </c>
      <c r="W151" s="110">
        <f>FASE4!M151</f>
        <v>0</v>
      </c>
      <c r="X151" s="110">
        <f t="shared" si="2"/>
        <v>0</v>
      </c>
    </row>
    <row r="152" spans="2:25" ht="15.75" customHeight="1" x14ac:dyDescent="0.25">
      <c r="B152">
        <v>5</v>
      </c>
      <c r="C152" t="s">
        <v>112</v>
      </c>
      <c r="D152" s="97">
        <v>505</v>
      </c>
      <c r="E152" s="110">
        <f>FASE1!G152</f>
        <v>0</v>
      </c>
      <c r="F152" s="110">
        <f>FASE1!M152</f>
        <v>0</v>
      </c>
      <c r="G152" s="110">
        <f>FASE1!L152</f>
        <v>0</v>
      </c>
      <c r="H152" s="110">
        <f>FASE1!R152</f>
        <v>0</v>
      </c>
      <c r="I152" s="110">
        <f>FASE1!U152</f>
        <v>0</v>
      </c>
      <c r="J152" s="110">
        <f>FASE1!U152</f>
        <v>0</v>
      </c>
      <c r="K152" s="110">
        <f>FASE1!P152</f>
        <v>0</v>
      </c>
      <c r="L152" s="110">
        <f>FASE1!V152</f>
        <v>0</v>
      </c>
      <c r="M152" s="110">
        <f>AVERAGE(FASE2!F152:G152)</f>
        <v>0</v>
      </c>
      <c r="N152" s="110">
        <f>AVERAGE(FASE2!O152:P152,FASE2!S152)</f>
        <v>0</v>
      </c>
      <c r="O152" s="110">
        <f>FASE4!K152</f>
        <v>0</v>
      </c>
      <c r="P152" s="110">
        <f>FASE2!N152</f>
        <v>0</v>
      </c>
      <c r="Q152" s="110">
        <f>FASE3!P152</f>
        <v>0</v>
      </c>
      <c r="R152" s="110">
        <f>FASE3!N152</f>
        <v>0</v>
      </c>
      <c r="S152" s="110">
        <f>AVERAGE(FASE3!Q152,FASE3!R152,FASE3!T152,FASE3!S152)</f>
        <v>0</v>
      </c>
      <c r="T152" s="110">
        <f>AVERAGE(FASE3!U152,FASE3!V152,FASE3!W152)</f>
        <v>0</v>
      </c>
      <c r="U152" s="110">
        <f>FASE3!Y152</f>
        <v>0</v>
      </c>
      <c r="V152" s="110">
        <f>FASE3!X152</f>
        <v>0</v>
      </c>
      <c r="W152" s="110">
        <f>FASE4!M152</f>
        <v>0</v>
      </c>
      <c r="X152" s="110">
        <f t="shared" si="2"/>
        <v>0</v>
      </c>
    </row>
    <row r="153" spans="2:25" ht="15.75" customHeight="1" x14ac:dyDescent="0.25">
      <c r="B153">
        <v>5</v>
      </c>
      <c r="C153" t="s">
        <v>112</v>
      </c>
      <c r="D153" s="97">
        <v>506</v>
      </c>
      <c r="E153" s="110">
        <f>FASE1!G153</f>
        <v>0</v>
      </c>
      <c r="F153" s="110">
        <f>FASE1!M153</f>
        <v>0</v>
      </c>
      <c r="G153" s="110">
        <f>FASE1!L153</f>
        <v>0</v>
      </c>
      <c r="H153" s="110">
        <f>FASE1!R153</f>
        <v>0</v>
      </c>
      <c r="I153" s="110">
        <f>FASE1!U153</f>
        <v>0</v>
      </c>
      <c r="J153" s="110">
        <f>FASE1!U153</f>
        <v>0</v>
      </c>
      <c r="K153" s="110">
        <f>FASE1!P153</f>
        <v>0</v>
      </c>
      <c r="L153" s="110">
        <f>FASE1!V153</f>
        <v>0</v>
      </c>
      <c r="M153" s="110">
        <f>AVERAGE(FASE2!F153:G153)</f>
        <v>0</v>
      </c>
      <c r="N153" s="110">
        <f>AVERAGE(FASE2!O153:P153,FASE2!S153)</f>
        <v>0</v>
      </c>
      <c r="O153" s="110">
        <f>FASE4!K153</f>
        <v>0</v>
      </c>
      <c r="P153" s="110">
        <f>FASE2!N153</f>
        <v>0</v>
      </c>
      <c r="Q153" s="110">
        <f>FASE3!P153</f>
        <v>0</v>
      </c>
      <c r="R153" s="110">
        <f>FASE3!N153</f>
        <v>0</v>
      </c>
      <c r="S153" s="110">
        <f>AVERAGE(FASE3!Q153,FASE3!R153,FASE3!T153,FASE3!S153)</f>
        <v>0</v>
      </c>
      <c r="T153" s="110">
        <f>AVERAGE(FASE3!U153,FASE3!V153,FASE3!W153)</f>
        <v>0</v>
      </c>
      <c r="U153" s="110">
        <f>FASE3!Y153</f>
        <v>0</v>
      </c>
      <c r="V153" s="110">
        <f>FASE3!X153</f>
        <v>0</v>
      </c>
      <c r="W153" s="110">
        <f>FASE4!M153</f>
        <v>0</v>
      </c>
      <c r="X153" s="110">
        <f t="shared" si="2"/>
        <v>0</v>
      </c>
    </row>
    <row r="154" spans="2:25" ht="15.75" customHeight="1" x14ac:dyDescent="0.25">
      <c r="B154">
        <v>5</v>
      </c>
      <c r="C154" t="s">
        <v>112</v>
      </c>
      <c r="D154" s="97">
        <v>507</v>
      </c>
      <c r="E154" s="110">
        <f>FASE1!G154</f>
        <v>0</v>
      </c>
      <c r="F154" s="110">
        <f>FASE1!M154</f>
        <v>0</v>
      </c>
      <c r="G154" s="110">
        <f>FASE1!L154</f>
        <v>0</v>
      </c>
      <c r="H154" s="110">
        <f>FASE1!R154</f>
        <v>0</v>
      </c>
      <c r="I154" s="110">
        <f>FASE1!U154</f>
        <v>0</v>
      </c>
      <c r="J154" s="110">
        <f>FASE1!U154</f>
        <v>0</v>
      </c>
      <c r="K154" s="110">
        <f>FASE1!P154</f>
        <v>0</v>
      </c>
      <c r="L154" s="110">
        <f>FASE1!V154</f>
        <v>0</v>
      </c>
      <c r="M154" s="110">
        <f>AVERAGE(FASE2!F154:G154)</f>
        <v>0</v>
      </c>
      <c r="N154" s="110">
        <f>AVERAGE(FASE2!O154:P154,FASE2!S154)</f>
        <v>0</v>
      </c>
      <c r="O154" s="110">
        <f>FASE4!K154</f>
        <v>0</v>
      </c>
      <c r="P154" s="110">
        <f>FASE2!N154</f>
        <v>0</v>
      </c>
      <c r="Q154" s="110">
        <f>FASE3!P154</f>
        <v>0</v>
      </c>
      <c r="R154" s="110">
        <f>FASE3!N154</f>
        <v>0</v>
      </c>
      <c r="S154" s="110">
        <f>AVERAGE(FASE3!Q154,FASE3!R154,FASE3!T154,FASE3!S154)</f>
        <v>0</v>
      </c>
      <c r="T154" s="110">
        <f>AVERAGE(FASE3!U154,FASE3!V154,FASE3!W154)</f>
        <v>0</v>
      </c>
      <c r="U154" s="110">
        <f>FASE3!Y154</f>
        <v>0</v>
      </c>
      <c r="V154" s="110">
        <f>FASE3!X154</f>
        <v>0</v>
      </c>
      <c r="W154" s="110">
        <f>FASE4!M154</f>
        <v>0</v>
      </c>
      <c r="X154" s="110">
        <f t="shared" si="2"/>
        <v>0</v>
      </c>
    </row>
    <row r="155" spans="2:25" ht="15.75" customHeight="1" x14ac:dyDescent="0.25">
      <c r="B155">
        <v>5</v>
      </c>
      <c r="C155" t="s">
        <v>112</v>
      </c>
      <c r="D155" s="97">
        <v>508</v>
      </c>
      <c r="E155" s="110">
        <f>FASE1!G155</f>
        <v>0</v>
      </c>
      <c r="F155" s="110">
        <f>FASE1!M155</f>
        <v>0</v>
      </c>
      <c r="G155" s="110">
        <f>FASE1!L155</f>
        <v>0</v>
      </c>
      <c r="H155" s="110">
        <f>FASE1!R155</f>
        <v>0</v>
      </c>
      <c r="I155" s="110">
        <f>FASE1!U155</f>
        <v>0</v>
      </c>
      <c r="J155" s="110">
        <f>FASE1!U155</f>
        <v>0</v>
      </c>
      <c r="K155" s="110">
        <f>FASE1!P155</f>
        <v>0</v>
      </c>
      <c r="L155" s="110">
        <f>FASE1!V155</f>
        <v>0</v>
      </c>
      <c r="M155" s="110">
        <f>AVERAGE(FASE2!F155:G155)</f>
        <v>0</v>
      </c>
      <c r="N155" s="110">
        <f>AVERAGE(FASE2!O155:P155,FASE2!S155)</f>
        <v>0</v>
      </c>
      <c r="O155" s="110">
        <f>FASE4!K155</f>
        <v>0</v>
      </c>
      <c r="P155" s="110">
        <f>FASE2!N155</f>
        <v>0</v>
      </c>
      <c r="Q155" s="110">
        <f>FASE3!P155</f>
        <v>0</v>
      </c>
      <c r="R155" s="110">
        <f>FASE3!N155</f>
        <v>0</v>
      </c>
      <c r="S155" s="110">
        <f>AVERAGE(FASE3!Q155,FASE3!R155,FASE3!T155,FASE3!S155)</f>
        <v>0</v>
      </c>
      <c r="T155" s="110">
        <f>AVERAGE(FASE3!U155,FASE3!V155,FASE3!W155)</f>
        <v>0</v>
      </c>
      <c r="U155" s="110">
        <f>FASE3!Y155</f>
        <v>0</v>
      </c>
      <c r="V155" s="110">
        <f>FASE3!X155</f>
        <v>0</v>
      </c>
      <c r="W155" s="110">
        <f>FASE4!M155</f>
        <v>0</v>
      </c>
      <c r="X155" s="110">
        <f t="shared" si="2"/>
        <v>0</v>
      </c>
    </row>
    <row r="156" spans="2:25" ht="15.75" customHeight="1" x14ac:dyDescent="0.25">
      <c r="B156">
        <v>5</v>
      </c>
      <c r="C156" t="s">
        <v>112</v>
      </c>
      <c r="D156" s="97">
        <v>509</v>
      </c>
      <c r="E156" s="110">
        <f>FASE1!G156</f>
        <v>0</v>
      </c>
      <c r="F156" s="110">
        <f>FASE1!M156</f>
        <v>0</v>
      </c>
      <c r="G156" s="110">
        <f>FASE1!L156</f>
        <v>0</v>
      </c>
      <c r="H156" s="110">
        <f>FASE1!R156</f>
        <v>0</v>
      </c>
      <c r="I156" s="110">
        <f>FASE1!U156</f>
        <v>0</v>
      </c>
      <c r="J156" s="110">
        <f>FASE1!U156</f>
        <v>0</v>
      </c>
      <c r="K156" s="110">
        <f>FASE1!P156</f>
        <v>0</v>
      </c>
      <c r="L156" s="110">
        <f>FASE1!V156</f>
        <v>0</v>
      </c>
      <c r="M156" s="110">
        <f>AVERAGE(FASE2!F156:G156)</f>
        <v>0</v>
      </c>
      <c r="N156" s="110">
        <f>AVERAGE(FASE2!O156:P156,FASE2!S156)</f>
        <v>0</v>
      </c>
      <c r="O156" s="110">
        <f>FASE4!K156</f>
        <v>0</v>
      </c>
      <c r="P156" s="110">
        <f>FASE2!N156</f>
        <v>0</v>
      </c>
      <c r="Q156" s="110">
        <f>FASE3!P156</f>
        <v>0</v>
      </c>
      <c r="R156" s="110">
        <f>FASE3!N156</f>
        <v>0</v>
      </c>
      <c r="S156" s="110">
        <f>AVERAGE(FASE3!Q156,FASE3!R156,FASE3!T156,FASE3!S156)</f>
        <v>0</v>
      </c>
      <c r="T156" s="110">
        <f>AVERAGE(FASE3!U156,FASE3!V156,FASE3!W156)</f>
        <v>0</v>
      </c>
      <c r="U156" s="110">
        <f>FASE3!Y156</f>
        <v>0</v>
      </c>
      <c r="V156" s="110">
        <f>FASE3!X156</f>
        <v>0</v>
      </c>
      <c r="W156" s="110">
        <f>FASE4!M156</f>
        <v>0</v>
      </c>
      <c r="X156" s="110">
        <f t="shared" si="2"/>
        <v>0</v>
      </c>
    </row>
    <row r="157" spans="2:25" ht="15.75" customHeight="1" x14ac:dyDescent="0.25">
      <c r="B157">
        <v>5</v>
      </c>
      <c r="C157" t="s">
        <v>112</v>
      </c>
      <c r="D157" s="97">
        <v>510</v>
      </c>
      <c r="E157" s="110">
        <f>FASE1!G157</f>
        <v>0</v>
      </c>
      <c r="F157" s="110">
        <f>FASE1!M157</f>
        <v>0</v>
      </c>
      <c r="G157" s="110">
        <f>FASE1!L157</f>
        <v>0</v>
      </c>
      <c r="H157" s="110">
        <f>FASE1!R157</f>
        <v>0</v>
      </c>
      <c r="I157" s="110">
        <f>FASE1!U157</f>
        <v>0</v>
      </c>
      <c r="J157" s="110">
        <f>FASE1!U157</f>
        <v>0</v>
      </c>
      <c r="K157" s="110">
        <f>FASE1!P157</f>
        <v>0</v>
      </c>
      <c r="L157" s="110">
        <f>FASE1!V157</f>
        <v>0</v>
      </c>
      <c r="M157" s="110">
        <f>AVERAGE(FASE2!F157:G157)</f>
        <v>0</v>
      </c>
      <c r="N157" s="110">
        <f>AVERAGE(FASE2!O157:P157,FASE2!S157)</f>
        <v>0</v>
      </c>
      <c r="O157" s="110">
        <f>FASE4!K157</f>
        <v>0</v>
      </c>
      <c r="P157" s="110">
        <f>FASE2!N157</f>
        <v>0</v>
      </c>
      <c r="Q157" s="110">
        <f>FASE3!P157</f>
        <v>0</v>
      </c>
      <c r="R157" s="110">
        <f>FASE3!N157</f>
        <v>0</v>
      </c>
      <c r="S157" s="110">
        <f>AVERAGE(FASE3!Q157,FASE3!R157,FASE3!T157,FASE3!S157)</f>
        <v>0</v>
      </c>
      <c r="T157" s="110">
        <f>AVERAGE(FASE3!U157,FASE3!V157,FASE3!W157)</f>
        <v>0</v>
      </c>
      <c r="U157" s="110">
        <f>FASE3!Y157</f>
        <v>0</v>
      </c>
      <c r="V157" s="110">
        <f>FASE3!X157</f>
        <v>0</v>
      </c>
      <c r="W157" s="110">
        <f>FASE4!M157</f>
        <v>0</v>
      </c>
      <c r="X157" s="110">
        <f t="shared" si="2"/>
        <v>0</v>
      </c>
    </row>
    <row r="158" spans="2:25" ht="15.75" customHeight="1" x14ac:dyDescent="0.25">
      <c r="B158">
        <v>5</v>
      </c>
      <c r="C158" t="s">
        <v>112</v>
      </c>
      <c r="D158" s="97">
        <v>511</v>
      </c>
      <c r="E158" s="110">
        <f>FASE1!G158</f>
        <v>0</v>
      </c>
      <c r="F158" s="110">
        <f>FASE1!M158</f>
        <v>0</v>
      </c>
      <c r="G158" s="110">
        <f>FASE1!L158</f>
        <v>0</v>
      </c>
      <c r="H158" s="110">
        <f>FASE1!R158</f>
        <v>0</v>
      </c>
      <c r="I158" s="110">
        <f>FASE1!U158</f>
        <v>0</v>
      </c>
      <c r="J158" s="110">
        <f>FASE1!U158</f>
        <v>0</v>
      </c>
      <c r="K158" s="110">
        <f>FASE1!P158</f>
        <v>0</v>
      </c>
      <c r="L158" s="110">
        <f>FASE1!V158</f>
        <v>0</v>
      </c>
      <c r="M158" s="110">
        <f>AVERAGE(FASE2!F158:G158)</f>
        <v>0</v>
      </c>
      <c r="N158" s="110">
        <f>AVERAGE(FASE2!O158:P158,FASE2!S158)</f>
        <v>0</v>
      </c>
      <c r="O158" s="110">
        <f>FASE4!K158</f>
        <v>0</v>
      </c>
      <c r="P158" s="110">
        <f>FASE2!N158</f>
        <v>0</v>
      </c>
      <c r="Q158" s="110">
        <f>FASE3!P158</f>
        <v>0</v>
      </c>
      <c r="R158" s="110">
        <f>FASE3!N158</f>
        <v>0</v>
      </c>
      <c r="S158" s="110">
        <f>AVERAGE(FASE3!Q158,FASE3!R158,FASE3!T158,FASE3!S158)</f>
        <v>0</v>
      </c>
      <c r="T158" s="110">
        <f>AVERAGE(FASE3!U158,FASE3!V158,FASE3!W158)</f>
        <v>0</v>
      </c>
      <c r="U158" s="110">
        <f>FASE3!Y158</f>
        <v>0</v>
      </c>
      <c r="V158" s="110">
        <f>FASE3!X158</f>
        <v>0</v>
      </c>
      <c r="W158" s="110">
        <f>FASE4!M158</f>
        <v>0</v>
      </c>
      <c r="X158" s="110">
        <f t="shared" si="2"/>
        <v>0</v>
      </c>
    </row>
    <row r="159" spans="2:25" ht="15.75" customHeight="1" x14ac:dyDescent="0.25">
      <c r="B159">
        <v>5</v>
      </c>
      <c r="C159" t="s">
        <v>112</v>
      </c>
      <c r="D159" s="97">
        <v>512</v>
      </c>
      <c r="E159" s="110">
        <f>FASE1!G159</f>
        <v>0</v>
      </c>
      <c r="F159" s="110">
        <f>FASE1!M159</f>
        <v>0</v>
      </c>
      <c r="G159" s="110">
        <f>FASE1!L159</f>
        <v>0</v>
      </c>
      <c r="H159" s="110">
        <f>FASE1!R159</f>
        <v>0</v>
      </c>
      <c r="I159" s="110">
        <f>FASE1!U159</f>
        <v>0</v>
      </c>
      <c r="J159" s="110">
        <f>FASE1!U159</f>
        <v>0</v>
      </c>
      <c r="K159" s="110">
        <f>FASE1!P159</f>
        <v>0</v>
      </c>
      <c r="L159" s="110">
        <f>FASE1!V159</f>
        <v>0</v>
      </c>
      <c r="M159" s="110">
        <f>AVERAGE(FASE2!F159:G159)</f>
        <v>0</v>
      </c>
      <c r="N159" s="110">
        <f>AVERAGE(FASE2!O159:P159,FASE2!S159)</f>
        <v>0</v>
      </c>
      <c r="O159" s="110">
        <f>FASE4!K159</f>
        <v>0</v>
      </c>
      <c r="P159" s="110">
        <f>FASE2!N159</f>
        <v>0</v>
      </c>
      <c r="Q159" s="110">
        <f>FASE3!P159</f>
        <v>0</v>
      </c>
      <c r="R159" s="110">
        <f>FASE3!N159</f>
        <v>0</v>
      </c>
      <c r="S159" s="110">
        <f>AVERAGE(FASE3!Q159,FASE3!R159,FASE3!T159,FASE3!S159)</f>
        <v>0</v>
      </c>
      <c r="T159" s="110">
        <f>AVERAGE(FASE3!U159,FASE3!V159,FASE3!W159)</f>
        <v>0</v>
      </c>
      <c r="U159" s="110">
        <f>FASE3!Y159</f>
        <v>0</v>
      </c>
      <c r="V159" s="110">
        <f>FASE3!X159</f>
        <v>0</v>
      </c>
      <c r="W159" s="110">
        <f>FASE4!M159</f>
        <v>0</v>
      </c>
      <c r="X159" s="110">
        <f t="shared" si="2"/>
        <v>0</v>
      </c>
    </row>
    <row r="160" spans="2:25" ht="15.75" customHeight="1" x14ac:dyDescent="0.25">
      <c r="B160">
        <v>5</v>
      </c>
      <c r="C160" t="s">
        <v>112</v>
      </c>
      <c r="D160" s="97">
        <v>513</v>
      </c>
      <c r="E160" s="110">
        <f>FASE1!G160</f>
        <v>0</v>
      </c>
      <c r="F160" s="110">
        <f>FASE1!M160</f>
        <v>0</v>
      </c>
      <c r="G160" s="110">
        <f>FASE1!L160</f>
        <v>0</v>
      </c>
      <c r="H160" s="110">
        <f>FASE1!R160</f>
        <v>0</v>
      </c>
      <c r="I160" s="110">
        <f>FASE1!U160</f>
        <v>0</v>
      </c>
      <c r="J160" s="110">
        <f>FASE1!U160</f>
        <v>0</v>
      </c>
      <c r="K160" s="110">
        <f>FASE1!P160</f>
        <v>0</v>
      </c>
      <c r="L160" s="110">
        <f>FASE1!V160</f>
        <v>0</v>
      </c>
      <c r="M160" s="110">
        <f>AVERAGE(FASE2!F160:G160)</f>
        <v>0</v>
      </c>
      <c r="N160" s="110">
        <f>AVERAGE(FASE2!O160:P160,FASE2!S160)</f>
        <v>0</v>
      </c>
      <c r="O160" s="110">
        <f>FASE4!K160</f>
        <v>0</v>
      </c>
      <c r="P160" s="110">
        <f>FASE2!N160</f>
        <v>0</v>
      </c>
      <c r="Q160" s="110">
        <f>FASE3!P160</f>
        <v>0</v>
      </c>
      <c r="R160" s="110">
        <f>FASE3!N160</f>
        <v>0</v>
      </c>
      <c r="S160" s="110">
        <f>AVERAGE(FASE3!Q160,FASE3!R160,FASE3!T160,FASE3!S160)</f>
        <v>0</v>
      </c>
      <c r="T160" s="110">
        <f>AVERAGE(FASE3!U160,FASE3!V160,FASE3!W160)</f>
        <v>0</v>
      </c>
      <c r="U160" s="110">
        <f>FASE3!Y160</f>
        <v>0</v>
      </c>
      <c r="V160" s="110">
        <f>FASE3!X160</f>
        <v>0</v>
      </c>
      <c r="W160" s="110">
        <f>FASE4!M160</f>
        <v>0</v>
      </c>
      <c r="X160" s="110">
        <f t="shared" si="2"/>
        <v>0</v>
      </c>
    </row>
    <row r="161" spans="2:25" ht="15.75" customHeight="1" x14ac:dyDescent="0.25">
      <c r="B161">
        <v>5</v>
      </c>
      <c r="C161" t="s">
        <v>112</v>
      </c>
      <c r="D161" s="97">
        <v>514</v>
      </c>
      <c r="E161" s="110">
        <f>FASE1!G161</f>
        <v>0</v>
      </c>
      <c r="F161" s="110">
        <f>FASE1!M161</f>
        <v>0</v>
      </c>
      <c r="G161" s="110">
        <f>FASE1!L161</f>
        <v>0</v>
      </c>
      <c r="H161" s="110">
        <f>FASE1!R161</f>
        <v>0</v>
      </c>
      <c r="I161" s="110">
        <f>FASE1!U161</f>
        <v>0</v>
      </c>
      <c r="J161" s="110">
        <f>FASE1!U161</f>
        <v>0</v>
      </c>
      <c r="K161" s="110">
        <f>FASE1!P161</f>
        <v>0</v>
      </c>
      <c r="L161" s="110">
        <f>FASE1!V161</f>
        <v>0</v>
      </c>
      <c r="M161" s="110">
        <f>AVERAGE(FASE2!F161:G161)</f>
        <v>0</v>
      </c>
      <c r="N161" s="110">
        <f>AVERAGE(FASE2!O161:P161,FASE2!S161)</f>
        <v>0</v>
      </c>
      <c r="O161" s="110">
        <f>FASE4!K161</f>
        <v>0</v>
      </c>
      <c r="P161" s="110">
        <f>FASE2!N161</f>
        <v>0</v>
      </c>
      <c r="Q161" s="110">
        <f>FASE3!P161</f>
        <v>0</v>
      </c>
      <c r="R161" s="110">
        <f>FASE3!N161</f>
        <v>0</v>
      </c>
      <c r="S161" s="110">
        <f>AVERAGE(FASE3!Q161,FASE3!R161,FASE3!T161,FASE3!S161)</f>
        <v>0</v>
      </c>
      <c r="T161" s="110">
        <f>AVERAGE(FASE3!U161,FASE3!V161,FASE3!W161)</f>
        <v>0</v>
      </c>
      <c r="U161" s="110">
        <f>FASE3!Y161</f>
        <v>0</v>
      </c>
      <c r="V161" s="110">
        <f>FASE3!X161</f>
        <v>0</v>
      </c>
      <c r="W161" s="110">
        <f>FASE4!M161</f>
        <v>0</v>
      </c>
      <c r="X161" s="110">
        <f t="shared" si="2"/>
        <v>0</v>
      </c>
    </row>
    <row r="162" spans="2:25" ht="15.75" customHeight="1" x14ac:dyDescent="0.25">
      <c r="B162">
        <v>5</v>
      </c>
      <c r="C162" t="s">
        <v>112</v>
      </c>
      <c r="D162" s="97">
        <v>515</v>
      </c>
      <c r="E162" s="110">
        <f>FASE1!G162</f>
        <v>0</v>
      </c>
      <c r="F162" s="110">
        <f>FASE1!M162</f>
        <v>0</v>
      </c>
      <c r="G162" s="110">
        <f>FASE1!L162</f>
        <v>0</v>
      </c>
      <c r="H162" s="110">
        <f>FASE1!R162</f>
        <v>0</v>
      </c>
      <c r="I162" s="110">
        <f>FASE1!U162</f>
        <v>0</v>
      </c>
      <c r="J162" s="110">
        <f>FASE1!U162</f>
        <v>0</v>
      </c>
      <c r="K162" s="110">
        <f>FASE1!P162</f>
        <v>0</v>
      </c>
      <c r="L162" s="110">
        <f>FASE1!V162</f>
        <v>0</v>
      </c>
      <c r="M162" s="110">
        <f>AVERAGE(FASE2!F162:G162)</f>
        <v>0</v>
      </c>
      <c r="N162" s="110">
        <f>AVERAGE(FASE2!O162:P162,FASE2!S162)</f>
        <v>0</v>
      </c>
      <c r="O162" s="110">
        <f>FASE4!K162</f>
        <v>0</v>
      </c>
      <c r="P162" s="110">
        <f>FASE2!N162</f>
        <v>0</v>
      </c>
      <c r="Q162" s="110">
        <f>FASE3!P162</f>
        <v>0</v>
      </c>
      <c r="R162" s="110">
        <f>FASE3!N162</f>
        <v>0</v>
      </c>
      <c r="S162" s="110">
        <f>AVERAGE(FASE3!Q162,FASE3!R162,FASE3!T162,FASE3!S162)</f>
        <v>0</v>
      </c>
      <c r="T162" s="110">
        <f>AVERAGE(FASE3!U162,FASE3!V162,FASE3!W162)</f>
        <v>0</v>
      </c>
      <c r="U162" s="110">
        <f>FASE3!Y162</f>
        <v>0</v>
      </c>
      <c r="V162" s="110">
        <f>FASE3!X162</f>
        <v>0</v>
      </c>
      <c r="W162" s="110">
        <f>FASE4!M162</f>
        <v>0</v>
      </c>
      <c r="X162" s="110">
        <f t="shared" si="2"/>
        <v>0</v>
      </c>
    </row>
    <row r="163" spans="2:25" ht="15.75" customHeight="1" x14ac:dyDescent="0.25">
      <c r="B163">
        <v>5</v>
      </c>
      <c r="C163" t="s">
        <v>112</v>
      </c>
      <c r="D163" s="97">
        <v>516</v>
      </c>
      <c r="E163" s="110">
        <f>FASE1!G163</f>
        <v>0</v>
      </c>
      <c r="F163" s="110">
        <f>FASE1!M163</f>
        <v>0</v>
      </c>
      <c r="G163" s="110">
        <f>FASE1!L163</f>
        <v>0</v>
      </c>
      <c r="H163" s="110">
        <f>FASE1!R163</f>
        <v>0</v>
      </c>
      <c r="I163" s="110">
        <f>FASE1!U163</f>
        <v>0</v>
      </c>
      <c r="J163" s="110">
        <f>FASE1!U163</f>
        <v>0</v>
      </c>
      <c r="K163" s="110">
        <f>FASE1!P163</f>
        <v>0</v>
      </c>
      <c r="L163" s="110">
        <f>FASE1!V163</f>
        <v>0</v>
      </c>
      <c r="M163" s="110">
        <f>AVERAGE(FASE2!F163:G163)</f>
        <v>0</v>
      </c>
      <c r="N163" s="110">
        <f>AVERAGE(FASE2!O163:P163,FASE2!S163)</f>
        <v>0</v>
      </c>
      <c r="O163" s="110">
        <f>FASE4!K163</f>
        <v>0</v>
      </c>
      <c r="P163" s="110">
        <f>FASE2!N163</f>
        <v>0</v>
      </c>
      <c r="Q163" s="110">
        <f>FASE3!P163</f>
        <v>0</v>
      </c>
      <c r="R163" s="110">
        <f>FASE3!N163</f>
        <v>0</v>
      </c>
      <c r="S163" s="110">
        <f>AVERAGE(FASE3!Q163,FASE3!R163,FASE3!T163,FASE3!S163)</f>
        <v>0</v>
      </c>
      <c r="T163" s="110">
        <f>AVERAGE(FASE3!U163,FASE3!V163,FASE3!W163)</f>
        <v>0</v>
      </c>
      <c r="U163" s="110">
        <f>FASE3!Y163</f>
        <v>0</v>
      </c>
      <c r="V163" s="110">
        <f>FASE3!X163</f>
        <v>0</v>
      </c>
      <c r="W163" s="110">
        <f>FASE4!M163</f>
        <v>0</v>
      </c>
      <c r="X163" s="110">
        <f t="shared" si="2"/>
        <v>0</v>
      </c>
      <c r="Y163" s="2"/>
    </row>
    <row r="164" spans="2:25" ht="15.75" customHeight="1" x14ac:dyDescent="0.25">
      <c r="B164">
        <v>5</v>
      </c>
      <c r="C164" t="s">
        <v>112</v>
      </c>
      <c r="D164" s="97">
        <v>517</v>
      </c>
      <c r="E164" s="110">
        <f>FASE1!G164</f>
        <v>0</v>
      </c>
      <c r="F164" s="110">
        <f>FASE1!M164</f>
        <v>0</v>
      </c>
      <c r="G164" s="110">
        <f>FASE1!L164</f>
        <v>0</v>
      </c>
      <c r="H164" s="110">
        <f>FASE1!R164</f>
        <v>0</v>
      </c>
      <c r="I164" s="110">
        <f>FASE1!U164</f>
        <v>0</v>
      </c>
      <c r="J164" s="110">
        <f>FASE1!U164</f>
        <v>0</v>
      </c>
      <c r="K164" s="110">
        <f>FASE1!P164</f>
        <v>0</v>
      </c>
      <c r="L164" s="110">
        <f>FASE1!V164</f>
        <v>0</v>
      </c>
      <c r="M164" s="110">
        <f>AVERAGE(FASE2!F164:G164)</f>
        <v>0</v>
      </c>
      <c r="N164" s="110">
        <f>AVERAGE(FASE2!O164:P164,FASE2!S164)</f>
        <v>0</v>
      </c>
      <c r="O164" s="110">
        <f>FASE4!K164</f>
        <v>0</v>
      </c>
      <c r="P164" s="110">
        <f>FASE2!N164</f>
        <v>0</v>
      </c>
      <c r="Q164" s="110">
        <f>FASE3!P164</f>
        <v>0</v>
      </c>
      <c r="R164" s="110">
        <f>FASE3!N164</f>
        <v>0</v>
      </c>
      <c r="S164" s="110">
        <f>AVERAGE(FASE3!Q164,FASE3!R164,FASE3!T164,FASE3!S164)</f>
        <v>0</v>
      </c>
      <c r="T164" s="110">
        <f>AVERAGE(FASE3!U164,FASE3!V164,FASE3!W164)</f>
        <v>0</v>
      </c>
      <c r="U164" s="110">
        <f>FASE3!Y164</f>
        <v>0</v>
      </c>
      <c r="V164" s="110">
        <f>FASE3!X164</f>
        <v>0</v>
      </c>
      <c r="W164" s="110">
        <f>FASE4!M164</f>
        <v>0</v>
      </c>
      <c r="X164" s="110">
        <f t="shared" si="2"/>
        <v>0</v>
      </c>
    </row>
    <row r="165" spans="2:25" ht="15.75" customHeight="1" x14ac:dyDescent="0.25">
      <c r="B165">
        <v>5</v>
      </c>
      <c r="C165" t="s">
        <v>112</v>
      </c>
      <c r="D165" s="97">
        <v>518</v>
      </c>
      <c r="E165" s="110">
        <f>FASE1!G165</f>
        <v>0</v>
      </c>
      <c r="F165" s="110">
        <f>FASE1!M165</f>
        <v>0</v>
      </c>
      <c r="G165" s="110">
        <f>FASE1!L165</f>
        <v>0</v>
      </c>
      <c r="H165" s="110">
        <f>FASE1!R165</f>
        <v>0</v>
      </c>
      <c r="I165" s="110">
        <f>FASE1!U165</f>
        <v>0</v>
      </c>
      <c r="J165" s="110">
        <f>FASE1!U165</f>
        <v>0</v>
      </c>
      <c r="K165" s="110">
        <f>FASE1!P165</f>
        <v>0</v>
      </c>
      <c r="L165" s="110">
        <f>FASE1!V165</f>
        <v>0</v>
      </c>
      <c r="M165" s="110">
        <f>AVERAGE(FASE2!F165:G165)</f>
        <v>0</v>
      </c>
      <c r="N165" s="110">
        <f>AVERAGE(FASE2!O165:P165,FASE2!S165)</f>
        <v>0</v>
      </c>
      <c r="O165" s="110">
        <f>FASE4!K165</f>
        <v>0</v>
      </c>
      <c r="P165" s="110">
        <f>FASE2!N165</f>
        <v>0</v>
      </c>
      <c r="Q165" s="110">
        <f>FASE3!P165</f>
        <v>0</v>
      </c>
      <c r="R165" s="110">
        <f>FASE3!N165</f>
        <v>0</v>
      </c>
      <c r="S165" s="110">
        <f>AVERAGE(FASE3!Q165,FASE3!R165,FASE3!T165,FASE3!S165)</f>
        <v>0</v>
      </c>
      <c r="T165" s="110">
        <f>AVERAGE(FASE3!U165,FASE3!V165,FASE3!W165)</f>
        <v>0</v>
      </c>
      <c r="U165" s="110">
        <f>FASE3!Y165</f>
        <v>0</v>
      </c>
      <c r="V165" s="110">
        <f>FASE3!X165</f>
        <v>0</v>
      </c>
      <c r="W165" s="110">
        <f>FASE4!M165</f>
        <v>0</v>
      </c>
      <c r="X165" s="110">
        <f t="shared" si="2"/>
        <v>0</v>
      </c>
    </row>
    <row r="166" spans="2:25" ht="15.75" customHeight="1" x14ac:dyDescent="0.25">
      <c r="B166">
        <v>5</v>
      </c>
      <c r="C166" t="s">
        <v>112</v>
      </c>
      <c r="D166" s="97">
        <v>519</v>
      </c>
      <c r="E166" s="110">
        <f>FASE1!G166</f>
        <v>0</v>
      </c>
      <c r="F166" s="110">
        <f>FASE1!M166</f>
        <v>0</v>
      </c>
      <c r="G166" s="110">
        <f>FASE1!L166</f>
        <v>0</v>
      </c>
      <c r="H166" s="110">
        <f>FASE1!R166</f>
        <v>0</v>
      </c>
      <c r="I166" s="110">
        <f>FASE1!U166</f>
        <v>0</v>
      </c>
      <c r="J166" s="110">
        <f>FASE1!U166</f>
        <v>0</v>
      </c>
      <c r="K166" s="110">
        <f>FASE1!P166</f>
        <v>0</v>
      </c>
      <c r="L166" s="110">
        <f>FASE1!V166</f>
        <v>0</v>
      </c>
      <c r="M166" s="110">
        <f>AVERAGE(FASE2!F166:G166)</f>
        <v>0</v>
      </c>
      <c r="N166" s="110">
        <f>AVERAGE(FASE2!O166:P166,FASE2!S166)</f>
        <v>0</v>
      </c>
      <c r="O166" s="110">
        <f>FASE4!K166</f>
        <v>0</v>
      </c>
      <c r="P166" s="110">
        <f>FASE2!N166</f>
        <v>0</v>
      </c>
      <c r="Q166" s="110">
        <f>FASE3!P166</f>
        <v>0</v>
      </c>
      <c r="R166" s="110">
        <f>FASE3!N166</f>
        <v>0</v>
      </c>
      <c r="S166" s="110">
        <f>AVERAGE(FASE3!Q166,FASE3!R166,FASE3!T166,FASE3!S166)</f>
        <v>0</v>
      </c>
      <c r="T166" s="110">
        <f>AVERAGE(FASE3!U166,FASE3!V166,FASE3!W166)</f>
        <v>0</v>
      </c>
      <c r="U166" s="110">
        <f>FASE3!Y166</f>
        <v>0</v>
      </c>
      <c r="V166" s="110">
        <f>FASE3!X166</f>
        <v>0</v>
      </c>
      <c r="W166" s="110">
        <f>FASE4!M166</f>
        <v>0</v>
      </c>
      <c r="X166" s="110">
        <f t="shared" si="2"/>
        <v>0</v>
      </c>
    </row>
    <row r="167" spans="2:25" ht="15.75" customHeight="1" x14ac:dyDescent="0.25">
      <c r="B167">
        <v>5</v>
      </c>
      <c r="C167" t="s">
        <v>112</v>
      </c>
      <c r="D167" s="97">
        <v>520</v>
      </c>
      <c r="E167" s="110">
        <f>FASE1!G167</f>
        <v>0</v>
      </c>
      <c r="F167" s="110">
        <f>FASE1!M167</f>
        <v>0</v>
      </c>
      <c r="G167" s="110">
        <f>FASE1!L167</f>
        <v>0</v>
      </c>
      <c r="H167" s="110">
        <f>FASE1!R167</f>
        <v>0</v>
      </c>
      <c r="I167" s="110">
        <f>FASE1!U167</f>
        <v>0</v>
      </c>
      <c r="J167" s="110">
        <f>FASE1!U167</f>
        <v>0</v>
      </c>
      <c r="K167" s="110">
        <f>FASE1!P167</f>
        <v>0</v>
      </c>
      <c r="L167" s="110">
        <f>FASE1!V167</f>
        <v>0</v>
      </c>
      <c r="M167" s="110">
        <f>AVERAGE(FASE2!F167:G167)</f>
        <v>0</v>
      </c>
      <c r="N167" s="110">
        <f>AVERAGE(FASE2!O167:P167,FASE2!S167)</f>
        <v>0</v>
      </c>
      <c r="O167" s="110">
        <f>FASE4!K167</f>
        <v>0</v>
      </c>
      <c r="P167" s="110">
        <f>FASE2!N167</f>
        <v>0</v>
      </c>
      <c r="Q167" s="110">
        <f>FASE3!P167</f>
        <v>0</v>
      </c>
      <c r="R167" s="110">
        <f>FASE3!N167</f>
        <v>0</v>
      </c>
      <c r="S167" s="110">
        <f>AVERAGE(FASE3!Q167,FASE3!R167,FASE3!T167,FASE3!S167)</f>
        <v>0</v>
      </c>
      <c r="T167" s="110">
        <f>AVERAGE(FASE3!U167,FASE3!V167,FASE3!W167)</f>
        <v>0</v>
      </c>
      <c r="U167" s="110">
        <f>FASE3!Y167</f>
        <v>0</v>
      </c>
      <c r="V167" s="110">
        <f>FASE3!X167</f>
        <v>0</v>
      </c>
      <c r="W167" s="110">
        <f>FASE4!M167</f>
        <v>0</v>
      </c>
      <c r="X167" s="110">
        <f t="shared" si="2"/>
        <v>0</v>
      </c>
    </row>
    <row r="168" spans="2:25" ht="15.75" customHeight="1" x14ac:dyDescent="0.25">
      <c r="B168">
        <v>5</v>
      </c>
      <c r="C168" t="s">
        <v>112</v>
      </c>
      <c r="D168" s="97">
        <v>521</v>
      </c>
      <c r="E168" s="110">
        <f>FASE1!G168</f>
        <v>0</v>
      </c>
      <c r="F168" s="110">
        <f>FASE1!M168</f>
        <v>0</v>
      </c>
      <c r="G168" s="110">
        <f>FASE1!L168</f>
        <v>0</v>
      </c>
      <c r="H168" s="110">
        <f>FASE1!R168</f>
        <v>0</v>
      </c>
      <c r="I168" s="110">
        <f>FASE1!U168</f>
        <v>0</v>
      </c>
      <c r="J168" s="110">
        <f>FASE1!U168</f>
        <v>0</v>
      </c>
      <c r="K168" s="110">
        <f>FASE1!P168</f>
        <v>0</v>
      </c>
      <c r="L168" s="110">
        <f>FASE1!V168</f>
        <v>0</v>
      </c>
      <c r="M168" s="110">
        <f>AVERAGE(FASE2!F168:G168)</f>
        <v>0</v>
      </c>
      <c r="N168" s="110">
        <f>AVERAGE(FASE2!O168:P168,FASE2!S168)</f>
        <v>0</v>
      </c>
      <c r="O168" s="110">
        <f>FASE4!K168</f>
        <v>0</v>
      </c>
      <c r="P168" s="110">
        <f>FASE2!N168</f>
        <v>0</v>
      </c>
      <c r="Q168" s="110">
        <f>FASE3!P168</f>
        <v>0</v>
      </c>
      <c r="R168" s="110">
        <f>FASE3!N168</f>
        <v>0</v>
      </c>
      <c r="S168" s="110">
        <f>AVERAGE(FASE3!Q168,FASE3!R168,FASE3!T168,FASE3!S168)</f>
        <v>0</v>
      </c>
      <c r="T168" s="110">
        <f>AVERAGE(FASE3!U168,FASE3!V168,FASE3!W168)</f>
        <v>0</v>
      </c>
      <c r="U168" s="110">
        <f>FASE3!Y168</f>
        <v>0</v>
      </c>
      <c r="V168" s="110">
        <f>FASE3!X168</f>
        <v>0</v>
      </c>
      <c r="W168" s="110">
        <f>FASE4!M168</f>
        <v>0</v>
      </c>
      <c r="X168" s="110">
        <f t="shared" si="2"/>
        <v>0</v>
      </c>
    </row>
    <row r="169" spans="2:25" ht="15.75" customHeight="1" x14ac:dyDescent="0.25">
      <c r="B169">
        <v>5</v>
      </c>
      <c r="C169" t="s">
        <v>112</v>
      </c>
      <c r="D169" s="97">
        <v>522</v>
      </c>
      <c r="E169" s="110">
        <f>FASE1!G169</f>
        <v>0</v>
      </c>
      <c r="F169" s="110">
        <f>FASE1!M169</f>
        <v>0</v>
      </c>
      <c r="G169" s="110">
        <f>FASE1!L169</f>
        <v>0</v>
      </c>
      <c r="H169" s="110">
        <f>FASE1!R169</f>
        <v>0</v>
      </c>
      <c r="I169" s="110">
        <f>FASE1!U169</f>
        <v>0</v>
      </c>
      <c r="J169" s="110">
        <f>FASE1!U169</f>
        <v>0</v>
      </c>
      <c r="K169" s="110">
        <f>FASE1!P169</f>
        <v>0</v>
      </c>
      <c r="L169" s="110">
        <f>FASE1!V169</f>
        <v>0</v>
      </c>
      <c r="M169" s="110">
        <f>AVERAGE(FASE2!F169:G169)</f>
        <v>0</v>
      </c>
      <c r="N169" s="110">
        <f>AVERAGE(FASE2!O169:P169,FASE2!S169)</f>
        <v>0</v>
      </c>
      <c r="O169" s="110">
        <f>FASE4!K169</f>
        <v>0</v>
      </c>
      <c r="P169" s="110">
        <f>FASE2!N169</f>
        <v>0</v>
      </c>
      <c r="Q169" s="110">
        <f>FASE3!P169</f>
        <v>0</v>
      </c>
      <c r="R169" s="110">
        <f>FASE3!N169</f>
        <v>0</v>
      </c>
      <c r="S169" s="110">
        <f>AVERAGE(FASE3!Q169,FASE3!R169,FASE3!T169,FASE3!S169)</f>
        <v>0</v>
      </c>
      <c r="T169" s="110">
        <f>AVERAGE(FASE3!U169,FASE3!V169,FASE3!W169)</f>
        <v>0</v>
      </c>
      <c r="U169" s="110">
        <f>FASE3!Y169</f>
        <v>0</v>
      </c>
      <c r="V169" s="110">
        <f>FASE3!X169</f>
        <v>0</v>
      </c>
      <c r="W169" s="110">
        <f>FASE4!M169</f>
        <v>0</v>
      </c>
      <c r="X169" s="110">
        <f t="shared" si="2"/>
        <v>0</v>
      </c>
    </row>
    <row r="170" spans="2:25" ht="15.75" customHeight="1" x14ac:dyDescent="0.25">
      <c r="B170">
        <v>5</v>
      </c>
      <c r="C170" t="s">
        <v>112</v>
      </c>
      <c r="D170" s="97">
        <v>523</v>
      </c>
      <c r="E170" s="110">
        <f>FASE1!G170</f>
        <v>0</v>
      </c>
      <c r="F170" s="110">
        <f>FASE1!M170</f>
        <v>0</v>
      </c>
      <c r="G170" s="110">
        <f>FASE1!L170</f>
        <v>0</v>
      </c>
      <c r="H170" s="110">
        <f>FASE1!R170</f>
        <v>0</v>
      </c>
      <c r="I170" s="110">
        <f>FASE1!U170</f>
        <v>0</v>
      </c>
      <c r="J170" s="110">
        <f>FASE1!U170</f>
        <v>0</v>
      </c>
      <c r="K170" s="110">
        <f>FASE1!P170</f>
        <v>0</v>
      </c>
      <c r="L170" s="110">
        <f>FASE1!V170</f>
        <v>0</v>
      </c>
      <c r="M170" s="110">
        <f>AVERAGE(FASE2!F170:G170)</f>
        <v>0</v>
      </c>
      <c r="N170" s="110">
        <f>AVERAGE(FASE2!O170:P170,FASE2!S170)</f>
        <v>0</v>
      </c>
      <c r="O170" s="110">
        <f>FASE4!K170</f>
        <v>0</v>
      </c>
      <c r="P170" s="110">
        <f>FASE2!N170</f>
        <v>0</v>
      </c>
      <c r="Q170" s="110">
        <f>FASE3!P170</f>
        <v>0</v>
      </c>
      <c r="R170" s="110">
        <f>FASE3!N170</f>
        <v>0</v>
      </c>
      <c r="S170" s="110">
        <f>AVERAGE(FASE3!Q170,FASE3!R170,FASE3!T170,FASE3!S170)</f>
        <v>0</v>
      </c>
      <c r="T170" s="110">
        <f>AVERAGE(FASE3!U170,FASE3!V170,FASE3!W170)</f>
        <v>0</v>
      </c>
      <c r="U170" s="110">
        <f>FASE3!Y170</f>
        <v>0</v>
      </c>
      <c r="V170" s="110">
        <f>FASE3!X170</f>
        <v>0</v>
      </c>
      <c r="W170" s="110">
        <f>FASE4!M170</f>
        <v>0</v>
      </c>
      <c r="X170" s="110">
        <f t="shared" si="2"/>
        <v>0</v>
      </c>
    </row>
    <row r="171" spans="2:25" ht="15.75" customHeight="1" x14ac:dyDescent="0.25">
      <c r="B171">
        <v>5</v>
      </c>
      <c r="C171" t="s">
        <v>111</v>
      </c>
      <c r="D171" s="97">
        <v>501</v>
      </c>
      <c r="E171" s="110">
        <f>FASE1!G171</f>
        <v>0</v>
      </c>
      <c r="F171" s="110">
        <f>FASE1!M171</f>
        <v>0</v>
      </c>
      <c r="G171" s="110">
        <f>FASE1!L171</f>
        <v>0</v>
      </c>
      <c r="H171" s="110">
        <f>FASE1!R171</f>
        <v>0</v>
      </c>
      <c r="I171" s="110">
        <f>FASE1!U171</f>
        <v>0</v>
      </c>
      <c r="J171" s="110">
        <f>FASE1!U171</f>
        <v>0</v>
      </c>
      <c r="K171" s="110">
        <f>FASE1!P171</f>
        <v>0</v>
      </c>
      <c r="L171" s="110">
        <f>FASE1!V171</f>
        <v>0</v>
      </c>
      <c r="M171" s="110">
        <f>AVERAGE(FASE2!F171:G171)</f>
        <v>0</v>
      </c>
      <c r="N171" s="110">
        <f>AVERAGE(FASE2!O171:P171,FASE2!S171)</f>
        <v>0</v>
      </c>
      <c r="O171" s="110">
        <f>FASE4!K171</f>
        <v>0</v>
      </c>
      <c r="P171" s="110">
        <f>FASE2!N171</f>
        <v>0</v>
      </c>
      <c r="Q171" s="110">
        <f>FASE3!P171</f>
        <v>0</v>
      </c>
      <c r="R171" s="110">
        <f>FASE3!N171</f>
        <v>0</v>
      </c>
      <c r="S171" s="110">
        <f>AVERAGE(FASE3!Q171,FASE3!R171,FASE3!T171,FASE3!S171)</f>
        <v>0</v>
      </c>
      <c r="T171" s="110">
        <f>AVERAGE(FASE3!U171,FASE3!V171,FASE3!W171)</f>
        <v>0</v>
      </c>
      <c r="U171" s="110">
        <f>FASE3!Y171</f>
        <v>0</v>
      </c>
      <c r="V171" s="110">
        <f>FASE3!X171</f>
        <v>0</v>
      </c>
      <c r="W171" s="110">
        <f>FASE4!M171</f>
        <v>0</v>
      </c>
      <c r="X171" s="110">
        <f t="shared" si="2"/>
        <v>0</v>
      </c>
    </row>
    <row r="172" spans="2:25" ht="15.75" customHeight="1" x14ac:dyDescent="0.25">
      <c r="B172">
        <v>5</v>
      </c>
      <c r="C172" t="s">
        <v>111</v>
      </c>
      <c r="D172" s="97">
        <v>502</v>
      </c>
      <c r="E172" s="110">
        <f>FASE1!G172</f>
        <v>0</v>
      </c>
      <c r="F172" s="110">
        <f>FASE1!M172</f>
        <v>0</v>
      </c>
      <c r="G172" s="110">
        <f>FASE1!L172</f>
        <v>0</v>
      </c>
      <c r="H172" s="110">
        <f>FASE1!R172</f>
        <v>0</v>
      </c>
      <c r="I172" s="110">
        <f>FASE1!U172</f>
        <v>0</v>
      </c>
      <c r="J172" s="110">
        <f>FASE1!U172</f>
        <v>0</v>
      </c>
      <c r="K172" s="110">
        <f>FASE1!P172</f>
        <v>0</v>
      </c>
      <c r="L172" s="110">
        <f>FASE1!V172</f>
        <v>0</v>
      </c>
      <c r="M172" s="110">
        <f>AVERAGE(FASE2!F172:G172)</f>
        <v>0</v>
      </c>
      <c r="N172" s="110">
        <f>AVERAGE(FASE2!O172:P172,FASE2!S172)</f>
        <v>0</v>
      </c>
      <c r="O172" s="110">
        <f>FASE4!K172</f>
        <v>0</v>
      </c>
      <c r="P172" s="110">
        <f>FASE2!N172</f>
        <v>0</v>
      </c>
      <c r="Q172" s="110">
        <f>FASE3!P172</f>
        <v>0</v>
      </c>
      <c r="R172" s="110">
        <f>FASE3!N172</f>
        <v>0</v>
      </c>
      <c r="S172" s="110">
        <f>AVERAGE(FASE3!Q172,FASE3!R172,FASE3!T172,FASE3!S172)</f>
        <v>0</v>
      </c>
      <c r="T172" s="110">
        <f>AVERAGE(FASE3!U172,FASE3!V172,FASE3!W172)</f>
        <v>0</v>
      </c>
      <c r="U172" s="110">
        <f>FASE3!Y172</f>
        <v>0</v>
      </c>
      <c r="V172" s="110">
        <f>FASE3!X172</f>
        <v>0</v>
      </c>
      <c r="W172" s="110">
        <f>FASE4!M172</f>
        <v>0</v>
      </c>
      <c r="X172" s="110">
        <f t="shared" si="2"/>
        <v>0</v>
      </c>
    </row>
    <row r="173" spans="2:25" ht="15.75" customHeight="1" x14ac:dyDescent="0.25">
      <c r="B173">
        <v>5</v>
      </c>
      <c r="C173" t="s">
        <v>111</v>
      </c>
      <c r="D173" s="97">
        <v>503</v>
      </c>
      <c r="E173" s="110">
        <f>FASE1!G173</f>
        <v>0</v>
      </c>
      <c r="F173" s="110">
        <f>FASE1!M173</f>
        <v>0</v>
      </c>
      <c r="G173" s="110">
        <f>FASE1!L173</f>
        <v>0</v>
      </c>
      <c r="H173" s="110">
        <f>FASE1!R173</f>
        <v>0</v>
      </c>
      <c r="I173" s="110">
        <f>FASE1!U173</f>
        <v>0</v>
      </c>
      <c r="J173" s="110">
        <f>FASE1!U173</f>
        <v>0</v>
      </c>
      <c r="K173" s="110">
        <f>FASE1!P173</f>
        <v>0</v>
      </c>
      <c r="L173" s="110">
        <f>FASE1!V173</f>
        <v>0</v>
      </c>
      <c r="M173" s="110">
        <f>AVERAGE(FASE2!F173:G173)</f>
        <v>0</v>
      </c>
      <c r="N173" s="110">
        <f>AVERAGE(FASE2!O173:P173,FASE2!S173)</f>
        <v>0</v>
      </c>
      <c r="O173" s="110">
        <f>FASE4!K173</f>
        <v>0</v>
      </c>
      <c r="P173" s="110">
        <f>FASE2!N173</f>
        <v>0</v>
      </c>
      <c r="Q173" s="110">
        <f>FASE3!P173</f>
        <v>0</v>
      </c>
      <c r="R173" s="110">
        <f>FASE3!N173</f>
        <v>0</v>
      </c>
      <c r="S173" s="110">
        <f>AVERAGE(FASE3!Q173,FASE3!R173,FASE3!T173,FASE3!S173)</f>
        <v>0</v>
      </c>
      <c r="T173" s="110">
        <f>AVERAGE(FASE3!U173,FASE3!V173,FASE3!W173)</f>
        <v>0</v>
      </c>
      <c r="U173" s="110">
        <f>FASE3!Y173</f>
        <v>0</v>
      </c>
      <c r="V173" s="110">
        <f>FASE3!X173</f>
        <v>0</v>
      </c>
      <c r="W173" s="110">
        <f>FASE4!M173</f>
        <v>0</v>
      </c>
      <c r="X173" s="110">
        <f t="shared" si="2"/>
        <v>0</v>
      </c>
    </row>
    <row r="174" spans="2:25" ht="15.75" customHeight="1" x14ac:dyDescent="0.25">
      <c r="B174">
        <v>5</v>
      </c>
      <c r="C174" t="s">
        <v>111</v>
      </c>
      <c r="D174" s="97">
        <v>504</v>
      </c>
      <c r="E174" s="110">
        <f>FASE1!G174</f>
        <v>0</v>
      </c>
      <c r="F174" s="110">
        <f>FASE1!M174</f>
        <v>0</v>
      </c>
      <c r="G174" s="110">
        <f>FASE1!L174</f>
        <v>0</v>
      </c>
      <c r="H174" s="110">
        <f>FASE1!R174</f>
        <v>0</v>
      </c>
      <c r="I174" s="110">
        <f>FASE1!U174</f>
        <v>0</v>
      </c>
      <c r="J174" s="110">
        <f>FASE1!U174</f>
        <v>0</v>
      </c>
      <c r="K174" s="110">
        <f>FASE1!P174</f>
        <v>0</v>
      </c>
      <c r="L174" s="110">
        <f>FASE1!V174</f>
        <v>0</v>
      </c>
      <c r="M174" s="110">
        <f>AVERAGE(FASE2!F174:G174)</f>
        <v>0</v>
      </c>
      <c r="N174" s="110">
        <f>AVERAGE(FASE2!O174:P174,FASE2!S174)</f>
        <v>0</v>
      </c>
      <c r="O174" s="110">
        <f>FASE4!K174</f>
        <v>0</v>
      </c>
      <c r="P174" s="110">
        <f>FASE2!N174</f>
        <v>0</v>
      </c>
      <c r="Q174" s="110">
        <f>FASE3!P174</f>
        <v>0</v>
      </c>
      <c r="R174" s="110">
        <f>FASE3!N174</f>
        <v>0</v>
      </c>
      <c r="S174" s="110">
        <f>AVERAGE(FASE3!Q174,FASE3!R174,FASE3!T174,FASE3!S174)</f>
        <v>0</v>
      </c>
      <c r="T174" s="110">
        <f>AVERAGE(FASE3!U174,FASE3!V174,FASE3!W174)</f>
        <v>0</v>
      </c>
      <c r="U174" s="110">
        <f>FASE3!Y174</f>
        <v>0</v>
      </c>
      <c r="V174" s="110">
        <f>FASE3!X174</f>
        <v>0</v>
      </c>
      <c r="W174" s="110">
        <f>FASE4!M174</f>
        <v>0</v>
      </c>
      <c r="X174" s="110">
        <f t="shared" si="2"/>
        <v>0</v>
      </c>
    </row>
    <row r="175" spans="2:25" ht="15.75" customHeight="1" x14ac:dyDescent="0.25">
      <c r="B175">
        <v>5</v>
      </c>
      <c r="C175" t="s">
        <v>111</v>
      </c>
      <c r="D175" s="97">
        <v>505</v>
      </c>
      <c r="E175" s="110">
        <f>FASE1!G175</f>
        <v>0</v>
      </c>
      <c r="F175" s="110">
        <f>FASE1!M175</f>
        <v>0</v>
      </c>
      <c r="G175" s="110">
        <f>FASE1!L175</f>
        <v>0</v>
      </c>
      <c r="H175" s="110">
        <f>FASE1!R175</f>
        <v>0</v>
      </c>
      <c r="I175" s="110">
        <f>FASE1!U175</f>
        <v>0</v>
      </c>
      <c r="J175" s="110">
        <f>FASE1!U175</f>
        <v>0</v>
      </c>
      <c r="K175" s="110">
        <f>FASE1!P175</f>
        <v>0</v>
      </c>
      <c r="L175" s="110">
        <f>FASE1!V175</f>
        <v>0</v>
      </c>
      <c r="M175" s="110">
        <f>AVERAGE(FASE2!F175:G175)</f>
        <v>0</v>
      </c>
      <c r="N175" s="110">
        <f>AVERAGE(FASE2!O175:P175,FASE2!S175)</f>
        <v>0</v>
      </c>
      <c r="O175" s="110">
        <f>FASE4!K175</f>
        <v>0</v>
      </c>
      <c r="P175" s="110">
        <f>FASE2!N175</f>
        <v>0</v>
      </c>
      <c r="Q175" s="110">
        <f>FASE3!P175</f>
        <v>0</v>
      </c>
      <c r="R175" s="110">
        <f>FASE3!N175</f>
        <v>0</v>
      </c>
      <c r="S175" s="110">
        <f>AVERAGE(FASE3!Q175,FASE3!R175,FASE3!T175,FASE3!S175)</f>
        <v>0</v>
      </c>
      <c r="T175" s="110">
        <f>AVERAGE(FASE3!U175,FASE3!V175,FASE3!W175)</f>
        <v>0</v>
      </c>
      <c r="U175" s="110">
        <f>FASE3!Y175</f>
        <v>0</v>
      </c>
      <c r="V175" s="110">
        <f>FASE3!X175</f>
        <v>0</v>
      </c>
      <c r="W175" s="110">
        <f>FASE4!M175</f>
        <v>0</v>
      </c>
      <c r="X175" s="110">
        <f t="shared" si="2"/>
        <v>0</v>
      </c>
    </row>
    <row r="176" spans="2:25" ht="15.75" customHeight="1" x14ac:dyDescent="0.25">
      <c r="B176">
        <v>5</v>
      </c>
      <c r="C176" t="s">
        <v>111</v>
      </c>
      <c r="D176" s="97">
        <v>506</v>
      </c>
      <c r="E176" s="110">
        <f>FASE1!G176</f>
        <v>0</v>
      </c>
      <c r="F176" s="110">
        <f>FASE1!M176</f>
        <v>0</v>
      </c>
      <c r="G176" s="110">
        <f>FASE1!L176</f>
        <v>0</v>
      </c>
      <c r="H176" s="110">
        <f>FASE1!R176</f>
        <v>0</v>
      </c>
      <c r="I176" s="110">
        <f>FASE1!U176</f>
        <v>0</v>
      </c>
      <c r="J176" s="110">
        <f>FASE1!U176</f>
        <v>0</v>
      </c>
      <c r="K176" s="110">
        <f>FASE1!P176</f>
        <v>0</v>
      </c>
      <c r="L176" s="110">
        <f>FASE1!V176</f>
        <v>0</v>
      </c>
      <c r="M176" s="110">
        <f>AVERAGE(FASE2!F176:G176)</f>
        <v>0</v>
      </c>
      <c r="N176" s="110">
        <f>AVERAGE(FASE2!O176:P176,FASE2!S176)</f>
        <v>0</v>
      </c>
      <c r="O176" s="110">
        <f>FASE4!K176</f>
        <v>0</v>
      </c>
      <c r="P176" s="110">
        <f>FASE2!N176</f>
        <v>0</v>
      </c>
      <c r="Q176" s="110">
        <f>FASE3!P176</f>
        <v>0</v>
      </c>
      <c r="R176" s="110">
        <f>FASE3!N176</f>
        <v>0</v>
      </c>
      <c r="S176" s="110">
        <f>AVERAGE(FASE3!Q176,FASE3!R176,FASE3!T176,FASE3!S176)</f>
        <v>0</v>
      </c>
      <c r="T176" s="110">
        <f>AVERAGE(FASE3!U176,FASE3!V176,FASE3!W176)</f>
        <v>0</v>
      </c>
      <c r="U176" s="110">
        <f>FASE3!Y176</f>
        <v>0</v>
      </c>
      <c r="V176" s="110">
        <f>FASE3!X176</f>
        <v>0</v>
      </c>
      <c r="W176" s="110">
        <f>FASE4!M176</f>
        <v>0</v>
      </c>
      <c r="X176" s="110">
        <f t="shared" si="2"/>
        <v>0</v>
      </c>
    </row>
    <row r="177" spans="2:25" ht="15.75" customHeight="1" x14ac:dyDescent="0.25">
      <c r="B177">
        <v>5</v>
      </c>
      <c r="C177" t="s">
        <v>111</v>
      </c>
      <c r="D177" s="97">
        <v>507</v>
      </c>
      <c r="E177" s="110">
        <f>FASE1!G177</f>
        <v>0</v>
      </c>
      <c r="F177" s="110">
        <f>FASE1!M177</f>
        <v>0</v>
      </c>
      <c r="G177" s="110">
        <f>FASE1!L177</f>
        <v>0</v>
      </c>
      <c r="H177" s="110">
        <f>FASE1!R177</f>
        <v>0</v>
      </c>
      <c r="I177" s="110">
        <f>FASE1!U177</f>
        <v>0</v>
      </c>
      <c r="J177" s="110">
        <f>FASE1!U177</f>
        <v>0</v>
      </c>
      <c r="K177" s="110">
        <f>FASE1!P177</f>
        <v>0</v>
      </c>
      <c r="L177" s="110">
        <f>FASE1!V177</f>
        <v>0</v>
      </c>
      <c r="M177" s="110">
        <f>AVERAGE(FASE2!F177:G177)</f>
        <v>0</v>
      </c>
      <c r="N177" s="110">
        <f>AVERAGE(FASE2!O177:P177,FASE2!S177)</f>
        <v>0</v>
      </c>
      <c r="O177" s="110">
        <f>FASE4!K177</f>
        <v>0</v>
      </c>
      <c r="P177" s="110">
        <f>FASE2!N177</f>
        <v>0</v>
      </c>
      <c r="Q177" s="110">
        <f>FASE3!P177</f>
        <v>0</v>
      </c>
      <c r="R177" s="110">
        <f>FASE3!N177</f>
        <v>0</v>
      </c>
      <c r="S177" s="110">
        <f>AVERAGE(FASE3!Q177,FASE3!R177,FASE3!T177,FASE3!S177)</f>
        <v>0</v>
      </c>
      <c r="T177" s="110">
        <f>AVERAGE(FASE3!U177,FASE3!V177,FASE3!W177)</f>
        <v>0</v>
      </c>
      <c r="U177" s="110">
        <f>FASE3!Y177</f>
        <v>0</v>
      </c>
      <c r="V177" s="110">
        <f>FASE3!X177</f>
        <v>0</v>
      </c>
      <c r="W177" s="110">
        <f>FASE4!M177</f>
        <v>0</v>
      </c>
      <c r="X177" s="110">
        <f t="shared" si="2"/>
        <v>0</v>
      </c>
    </row>
    <row r="178" spans="2:25" ht="15.75" customHeight="1" x14ac:dyDescent="0.25">
      <c r="B178">
        <v>5</v>
      </c>
      <c r="C178" t="s">
        <v>111</v>
      </c>
      <c r="D178" s="97">
        <v>508</v>
      </c>
      <c r="E178" s="110">
        <f>FASE1!G178</f>
        <v>0</v>
      </c>
      <c r="F178" s="110">
        <f>FASE1!M178</f>
        <v>0</v>
      </c>
      <c r="G178" s="110">
        <f>FASE1!L178</f>
        <v>0</v>
      </c>
      <c r="H178" s="110">
        <f>FASE1!R178</f>
        <v>0</v>
      </c>
      <c r="I178" s="110">
        <f>FASE1!U178</f>
        <v>0</v>
      </c>
      <c r="J178" s="110">
        <f>FASE1!U178</f>
        <v>0</v>
      </c>
      <c r="K178" s="110">
        <f>FASE1!P178</f>
        <v>0</v>
      </c>
      <c r="L178" s="110">
        <f>FASE1!V178</f>
        <v>0</v>
      </c>
      <c r="M178" s="110">
        <f>AVERAGE(FASE2!F178:G178)</f>
        <v>0</v>
      </c>
      <c r="N178" s="110">
        <f>AVERAGE(FASE2!O178:P178,FASE2!S178)</f>
        <v>0</v>
      </c>
      <c r="O178" s="110">
        <f>FASE4!K178</f>
        <v>0</v>
      </c>
      <c r="P178" s="110">
        <f>FASE2!N178</f>
        <v>0</v>
      </c>
      <c r="Q178" s="110">
        <f>FASE3!P178</f>
        <v>0</v>
      </c>
      <c r="R178" s="110">
        <f>FASE3!N178</f>
        <v>0</v>
      </c>
      <c r="S178" s="110">
        <f>AVERAGE(FASE3!Q178,FASE3!R178,FASE3!T178,FASE3!S178)</f>
        <v>0</v>
      </c>
      <c r="T178" s="110">
        <f>AVERAGE(FASE3!U178,FASE3!V178,FASE3!W178)</f>
        <v>0</v>
      </c>
      <c r="U178" s="110">
        <f>FASE3!Y178</f>
        <v>0</v>
      </c>
      <c r="V178" s="110">
        <f>FASE3!X178</f>
        <v>0</v>
      </c>
      <c r="W178" s="110">
        <f>FASE4!M178</f>
        <v>0</v>
      </c>
      <c r="X178" s="110">
        <f t="shared" si="2"/>
        <v>0</v>
      </c>
    </row>
    <row r="179" spans="2:25" ht="15.75" customHeight="1" x14ac:dyDescent="0.25">
      <c r="B179">
        <v>5</v>
      </c>
      <c r="C179" t="s">
        <v>111</v>
      </c>
      <c r="D179" s="97">
        <v>509</v>
      </c>
      <c r="E179" s="110">
        <f>FASE1!G179</f>
        <v>0</v>
      </c>
      <c r="F179" s="110">
        <f>FASE1!M179</f>
        <v>0</v>
      </c>
      <c r="G179" s="110">
        <f>FASE1!L179</f>
        <v>0</v>
      </c>
      <c r="H179" s="110">
        <f>FASE1!R179</f>
        <v>0</v>
      </c>
      <c r="I179" s="110">
        <f>FASE1!U179</f>
        <v>0</v>
      </c>
      <c r="J179" s="110">
        <f>FASE1!U179</f>
        <v>0</v>
      </c>
      <c r="K179" s="110">
        <f>FASE1!P179</f>
        <v>0</v>
      </c>
      <c r="L179" s="110">
        <f>FASE1!V179</f>
        <v>0</v>
      </c>
      <c r="M179" s="110">
        <f>AVERAGE(FASE2!F179:G179)</f>
        <v>0</v>
      </c>
      <c r="N179" s="110">
        <f>AVERAGE(FASE2!O179:P179,FASE2!S179)</f>
        <v>0</v>
      </c>
      <c r="O179" s="110">
        <f>FASE4!K179</f>
        <v>0</v>
      </c>
      <c r="P179" s="110">
        <f>FASE2!N179</f>
        <v>0</v>
      </c>
      <c r="Q179" s="110">
        <f>FASE3!P179</f>
        <v>0</v>
      </c>
      <c r="R179" s="110">
        <f>FASE3!N179</f>
        <v>0</v>
      </c>
      <c r="S179" s="110">
        <f>AVERAGE(FASE3!Q179,FASE3!R179,FASE3!T179,FASE3!S179)</f>
        <v>0</v>
      </c>
      <c r="T179" s="110">
        <f>AVERAGE(FASE3!U179,FASE3!V179,FASE3!W179)</f>
        <v>0</v>
      </c>
      <c r="U179" s="110">
        <f>FASE3!Y179</f>
        <v>0</v>
      </c>
      <c r="V179" s="110">
        <f>FASE3!X179</f>
        <v>0</v>
      </c>
      <c r="W179" s="110">
        <f>FASE4!M179</f>
        <v>0</v>
      </c>
      <c r="X179" s="110">
        <f t="shared" si="2"/>
        <v>0</v>
      </c>
    </row>
    <row r="180" spans="2:25" ht="15.75" customHeight="1" x14ac:dyDescent="0.25">
      <c r="B180">
        <v>5</v>
      </c>
      <c r="C180" t="s">
        <v>111</v>
      </c>
      <c r="D180" s="97">
        <v>510</v>
      </c>
      <c r="E180" s="110">
        <f>FASE1!G180</f>
        <v>0</v>
      </c>
      <c r="F180" s="110">
        <f>FASE1!M180</f>
        <v>0</v>
      </c>
      <c r="G180" s="110">
        <f>FASE1!L180</f>
        <v>0</v>
      </c>
      <c r="H180" s="110">
        <f>FASE1!R180</f>
        <v>0</v>
      </c>
      <c r="I180" s="110">
        <f>FASE1!U180</f>
        <v>0</v>
      </c>
      <c r="J180" s="110">
        <f>FASE1!U180</f>
        <v>0</v>
      </c>
      <c r="K180" s="110">
        <f>FASE1!P180</f>
        <v>0</v>
      </c>
      <c r="L180" s="110">
        <f>FASE1!V180</f>
        <v>0</v>
      </c>
      <c r="M180" s="110">
        <f>AVERAGE(FASE2!F180:G180)</f>
        <v>0</v>
      </c>
      <c r="N180" s="110">
        <f>AVERAGE(FASE2!O180:P180,FASE2!S180)</f>
        <v>0</v>
      </c>
      <c r="O180" s="110">
        <f>FASE4!K180</f>
        <v>0</v>
      </c>
      <c r="P180" s="110">
        <f>FASE2!N180</f>
        <v>0</v>
      </c>
      <c r="Q180" s="110">
        <f>FASE3!P180</f>
        <v>0</v>
      </c>
      <c r="R180" s="110">
        <f>FASE3!N180</f>
        <v>0</v>
      </c>
      <c r="S180" s="110">
        <f>AVERAGE(FASE3!Q180,FASE3!R180,FASE3!T180,FASE3!S180)</f>
        <v>0</v>
      </c>
      <c r="T180" s="110">
        <f>AVERAGE(FASE3!U180,FASE3!V180,FASE3!W180)</f>
        <v>0</v>
      </c>
      <c r="U180" s="110">
        <f>FASE3!Y180</f>
        <v>0</v>
      </c>
      <c r="V180" s="110">
        <f>FASE3!X180</f>
        <v>0</v>
      </c>
      <c r="W180" s="110">
        <f>FASE4!M180</f>
        <v>0</v>
      </c>
      <c r="X180" s="110">
        <f t="shared" si="2"/>
        <v>0</v>
      </c>
    </row>
    <row r="181" spans="2:25" ht="15.75" customHeight="1" x14ac:dyDescent="0.25">
      <c r="B181">
        <v>5</v>
      </c>
      <c r="C181" t="s">
        <v>111</v>
      </c>
      <c r="D181" s="97">
        <v>511</v>
      </c>
      <c r="E181" s="110">
        <f>FASE1!G181</f>
        <v>0</v>
      </c>
      <c r="F181" s="110">
        <f>FASE1!M181</f>
        <v>0</v>
      </c>
      <c r="G181" s="110">
        <f>FASE1!L181</f>
        <v>0</v>
      </c>
      <c r="H181" s="110">
        <f>FASE1!R181</f>
        <v>0</v>
      </c>
      <c r="I181" s="110">
        <f>FASE1!U181</f>
        <v>0</v>
      </c>
      <c r="J181" s="110">
        <f>FASE1!U181</f>
        <v>0</v>
      </c>
      <c r="K181" s="110">
        <f>FASE1!P181</f>
        <v>0</v>
      </c>
      <c r="L181" s="110">
        <f>FASE1!V181</f>
        <v>0</v>
      </c>
      <c r="M181" s="110">
        <f>AVERAGE(FASE2!F181:G181)</f>
        <v>0</v>
      </c>
      <c r="N181" s="110">
        <f>AVERAGE(FASE2!O181:P181,FASE2!S181)</f>
        <v>0</v>
      </c>
      <c r="O181" s="110">
        <f>FASE4!K181</f>
        <v>0</v>
      </c>
      <c r="P181" s="110">
        <f>FASE2!N181</f>
        <v>0</v>
      </c>
      <c r="Q181" s="110">
        <f>FASE3!P181</f>
        <v>0</v>
      </c>
      <c r="R181" s="110">
        <f>FASE3!N181</f>
        <v>0</v>
      </c>
      <c r="S181" s="110">
        <f>AVERAGE(FASE3!Q181,FASE3!R181,FASE3!T181,FASE3!S181)</f>
        <v>0</v>
      </c>
      <c r="T181" s="110">
        <f>AVERAGE(FASE3!U181,FASE3!V181,FASE3!W181)</f>
        <v>0</v>
      </c>
      <c r="U181" s="110">
        <f>FASE3!Y181</f>
        <v>0</v>
      </c>
      <c r="V181" s="110">
        <f>FASE3!X181</f>
        <v>0</v>
      </c>
      <c r="W181" s="110">
        <f>FASE4!M181</f>
        <v>0</v>
      </c>
      <c r="X181" s="110">
        <f t="shared" si="2"/>
        <v>0</v>
      </c>
      <c r="Y181" s="2"/>
    </row>
    <row r="182" spans="2:25" ht="15.75" customHeight="1" x14ac:dyDescent="0.25">
      <c r="B182">
        <v>5</v>
      </c>
      <c r="C182" t="s">
        <v>111</v>
      </c>
      <c r="D182" s="97">
        <v>512</v>
      </c>
      <c r="E182" s="110">
        <f>FASE1!G182</f>
        <v>0</v>
      </c>
      <c r="F182" s="110">
        <f>FASE1!M182</f>
        <v>0</v>
      </c>
      <c r="G182" s="110">
        <f>FASE1!L182</f>
        <v>0</v>
      </c>
      <c r="H182" s="110">
        <f>FASE1!R182</f>
        <v>0</v>
      </c>
      <c r="I182" s="110">
        <f>FASE1!U182</f>
        <v>0</v>
      </c>
      <c r="J182" s="110">
        <f>FASE1!U182</f>
        <v>0</v>
      </c>
      <c r="K182" s="110">
        <f>FASE1!P182</f>
        <v>0</v>
      </c>
      <c r="L182" s="110">
        <f>FASE1!V182</f>
        <v>0</v>
      </c>
      <c r="M182" s="110">
        <f>AVERAGE(FASE2!F182:G182)</f>
        <v>0</v>
      </c>
      <c r="N182" s="110">
        <f>AVERAGE(FASE2!O182:P182,FASE2!S182)</f>
        <v>0</v>
      </c>
      <c r="O182" s="110">
        <f>FASE4!K182</f>
        <v>0</v>
      </c>
      <c r="P182" s="110">
        <f>FASE2!N182</f>
        <v>0</v>
      </c>
      <c r="Q182" s="110">
        <f>FASE3!P182</f>
        <v>0</v>
      </c>
      <c r="R182" s="110">
        <f>FASE3!N182</f>
        <v>0</v>
      </c>
      <c r="S182" s="110">
        <f>AVERAGE(FASE3!Q182,FASE3!R182,FASE3!T182,FASE3!S182)</f>
        <v>0</v>
      </c>
      <c r="T182" s="110">
        <f>AVERAGE(FASE3!U182,FASE3!V182,FASE3!W182)</f>
        <v>0</v>
      </c>
      <c r="U182" s="110">
        <f>FASE3!Y182</f>
        <v>0</v>
      </c>
      <c r="V182" s="110">
        <f>FASE3!X182</f>
        <v>0</v>
      </c>
      <c r="W182" s="110">
        <f>FASE4!M182</f>
        <v>0</v>
      </c>
      <c r="X182" s="110">
        <f t="shared" si="2"/>
        <v>0</v>
      </c>
    </row>
    <row r="183" spans="2:25" ht="15.75" customHeight="1" x14ac:dyDescent="0.25">
      <c r="B183">
        <v>5</v>
      </c>
      <c r="C183" t="s">
        <v>111</v>
      </c>
      <c r="D183" s="97">
        <v>513</v>
      </c>
      <c r="E183" s="110">
        <f>FASE1!G183</f>
        <v>0</v>
      </c>
      <c r="F183" s="110">
        <f>FASE1!M183</f>
        <v>0</v>
      </c>
      <c r="G183" s="110">
        <f>FASE1!L183</f>
        <v>0</v>
      </c>
      <c r="H183" s="110">
        <f>FASE1!R183</f>
        <v>0</v>
      </c>
      <c r="I183" s="110">
        <f>FASE1!U183</f>
        <v>0</v>
      </c>
      <c r="J183" s="110">
        <f>FASE1!U183</f>
        <v>0</v>
      </c>
      <c r="K183" s="110">
        <f>FASE1!P183</f>
        <v>0</v>
      </c>
      <c r="L183" s="110">
        <f>FASE1!V183</f>
        <v>0</v>
      </c>
      <c r="M183" s="110">
        <f>AVERAGE(FASE2!F183:G183)</f>
        <v>0</v>
      </c>
      <c r="N183" s="110">
        <f>AVERAGE(FASE2!O183:P183,FASE2!S183)</f>
        <v>0</v>
      </c>
      <c r="O183" s="110">
        <f>FASE4!K183</f>
        <v>0</v>
      </c>
      <c r="P183" s="110">
        <f>FASE2!N183</f>
        <v>0</v>
      </c>
      <c r="Q183" s="110">
        <f>FASE3!P183</f>
        <v>0</v>
      </c>
      <c r="R183" s="110">
        <f>FASE3!N183</f>
        <v>0</v>
      </c>
      <c r="S183" s="110">
        <f>AVERAGE(FASE3!Q183,FASE3!R183,FASE3!T183,FASE3!S183)</f>
        <v>0</v>
      </c>
      <c r="T183" s="110">
        <f>AVERAGE(FASE3!U183,FASE3!V183,FASE3!W183)</f>
        <v>0</v>
      </c>
      <c r="U183" s="110">
        <f>FASE3!Y183</f>
        <v>0</v>
      </c>
      <c r="V183" s="110">
        <f>FASE3!X183</f>
        <v>0</v>
      </c>
      <c r="W183" s="110">
        <f>FASE4!M183</f>
        <v>0</v>
      </c>
      <c r="X183" s="110">
        <f t="shared" si="2"/>
        <v>0</v>
      </c>
    </row>
    <row r="184" spans="2:25" ht="15.75" customHeight="1" x14ac:dyDescent="0.25">
      <c r="B184">
        <v>5</v>
      </c>
      <c r="C184" t="s">
        <v>111</v>
      </c>
      <c r="D184" s="97">
        <v>514</v>
      </c>
      <c r="E184" s="110">
        <f>FASE1!G184</f>
        <v>0</v>
      </c>
      <c r="F184" s="110">
        <f>FASE1!M184</f>
        <v>0</v>
      </c>
      <c r="G184" s="110">
        <f>FASE1!L184</f>
        <v>0</v>
      </c>
      <c r="H184" s="110">
        <f>FASE1!R184</f>
        <v>0</v>
      </c>
      <c r="I184" s="110">
        <f>FASE1!U184</f>
        <v>0</v>
      </c>
      <c r="J184" s="110">
        <f>FASE1!U184</f>
        <v>0</v>
      </c>
      <c r="K184" s="110">
        <f>FASE1!P184</f>
        <v>0</v>
      </c>
      <c r="L184" s="110">
        <f>FASE1!V184</f>
        <v>0</v>
      </c>
      <c r="M184" s="110">
        <f>AVERAGE(FASE2!F184:G184)</f>
        <v>0</v>
      </c>
      <c r="N184" s="110">
        <f>AVERAGE(FASE2!O184:P184,FASE2!S184)</f>
        <v>0</v>
      </c>
      <c r="O184" s="110">
        <f>FASE4!K184</f>
        <v>0</v>
      </c>
      <c r="P184" s="110">
        <f>FASE2!N184</f>
        <v>0</v>
      </c>
      <c r="Q184" s="110">
        <f>FASE3!P184</f>
        <v>0</v>
      </c>
      <c r="R184" s="110">
        <f>FASE3!N184</f>
        <v>0</v>
      </c>
      <c r="S184" s="110">
        <f>AVERAGE(FASE3!Q184,FASE3!R184,FASE3!T184,FASE3!S184)</f>
        <v>0</v>
      </c>
      <c r="T184" s="110">
        <f>AVERAGE(FASE3!U184,FASE3!V184,FASE3!W184)</f>
        <v>0</v>
      </c>
      <c r="U184" s="110">
        <f>FASE3!Y184</f>
        <v>0</v>
      </c>
      <c r="V184" s="110">
        <f>FASE3!X184</f>
        <v>0</v>
      </c>
      <c r="W184" s="110">
        <f>FASE4!M184</f>
        <v>0</v>
      </c>
      <c r="X184" s="110">
        <f t="shared" si="2"/>
        <v>0</v>
      </c>
    </row>
    <row r="185" spans="2:25" ht="15.75" customHeight="1" x14ac:dyDescent="0.25">
      <c r="B185">
        <v>5</v>
      </c>
      <c r="C185" t="s">
        <v>111</v>
      </c>
      <c r="D185" s="97">
        <v>515</v>
      </c>
      <c r="E185" s="110">
        <f>FASE1!G185</f>
        <v>0</v>
      </c>
      <c r="F185" s="110">
        <f>FASE1!M185</f>
        <v>0</v>
      </c>
      <c r="G185" s="110">
        <f>FASE1!L185</f>
        <v>0</v>
      </c>
      <c r="H185" s="110">
        <f>FASE1!R185</f>
        <v>0</v>
      </c>
      <c r="I185" s="110">
        <f>FASE1!U185</f>
        <v>0</v>
      </c>
      <c r="J185" s="110">
        <f>FASE1!U185</f>
        <v>0</v>
      </c>
      <c r="K185" s="110">
        <f>FASE1!P185</f>
        <v>0</v>
      </c>
      <c r="L185" s="110">
        <f>FASE1!V185</f>
        <v>0</v>
      </c>
      <c r="M185" s="110">
        <f>AVERAGE(FASE2!F185:G185)</f>
        <v>0</v>
      </c>
      <c r="N185" s="110">
        <f>AVERAGE(FASE2!O185:P185,FASE2!S185)</f>
        <v>0</v>
      </c>
      <c r="O185" s="110">
        <f>FASE4!K185</f>
        <v>0</v>
      </c>
      <c r="P185" s="110">
        <f>FASE2!N185</f>
        <v>0</v>
      </c>
      <c r="Q185" s="110">
        <f>FASE3!P185</f>
        <v>0</v>
      </c>
      <c r="R185" s="110">
        <f>FASE3!N185</f>
        <v>0</v>
      </c>
      <c r="S185" s="110">
        <f>AVERAGE(FASE3!Q185,FASE3!R185,FASE3!T185,FASE3!S185)</f>
        <v>0</v>
      </c>
      <c r="T185" s="110">
        <f>AVERAGE(FASE3!U185,FASE3!V185,FASE3!W185)</f>
        <v>0</v>
      </c>
      <c r="U185" s="110">
        <f>FASE3!Y185</f>
        <v>0</v>
      </c>
      <c r="V185" s="110">
        <f>FASE3!X185</f>
        <v>0</v>
      </c>
      <c r="W185" s="110">
        <f>FASE4!M185</f>
        <v>0</v>
      </c>
      <c r="X185" s="110">
        <f t="shared" si="2"/>
        <v>0</v>
      </c>
    </row>
    <row r="186" spans="2:25" ht="15.75" customHeight="1" x14ac:dyDescent="0.25">
      <c r="B186">
        <v>5</v>
      </c>
      <c r="C186" t="s">
        <v>111</v>
      </c>
      <c r="D186" s="97">
        <v>516</v>
      </c>
      <c r="E186" s="110">
        <f>FASE1!G186</f>
        <v>0</v>
      </c>
      <c r="F186" s="110">
        <f>FASE1!M186</f>
        <v>0</v>
      </c>
      <c r="G186" s="110">
        <f>FASE1!L186</f>
        <v>0</v>
      </c>
      <c r="H186" s="110">
        <f>FASE1!R186</f>
        <v>0</v>
      </c>
      <c r="I186" s="110">
        <f>FASE1!U186</f>
        <v>0</v>
      </c>
      <c r="J186" s="110">
        <f>FASE1!U186</f>
        <v>0</v>
      </c>
      <c r="K186" s="110">
        <f>FASE1!P186</f>
        <v>0</v>
      </c>
      <c r="L186" s="110">
        <f>FASE1!V186</f>
        <v>0</v>
      </c>
      <c r="M186" s="110">
        <f>AVERAGE(FASE2!F186:G186)</f>
        <v>0</v>
      </c>
      <c r="N186" s="110">
        <f>AVERAGE(FASE2!O186:P186,FASE2!S186)</f>
        <v>0</v>
      </c>
      <c r="O186" s="110">
        <f>FASE4!K186</f>
        <v>0</v>
      </c>
      <c r="P186" s="110">
        <f>FASE2!N186</f>
        <v>0</v>
      </c>
      <c r="Q186" s="110">
        <f>FASE3!P186</f>
        <v>0</v>
      </c>
      <c r="R186" s="110">
        <f>FASE3!N186</f>
        <v>0</v>
      </c>
      <c r="S186" s="110">
        <f>AVERAGE(FASE3!Q186,FASE3!R186,FASE3!T186,FASE3!S186)</f>
        <v>0</v>
      </c>
      <c r="T186" s="110">
        <f>AVERAGE(FASE3!U186,FASE3!V186,FASE3!W186)</f>
        <v>0</v>
      </c>
      <c r="U186" s="110">
        <f>FASE3!Y186</f>
        <v>0</v>
      </c>
      <c r="V186" s="110">
        <f>FASE3!X186</f>
        <v>0</v>
      </c>
      <c r="W186" s="110">
        <f>FASE4!M186</f>
        <v>0</v>
      </c>
      <c r="X186" s="110">
        <f t="shared" si="2"/>
        <v>0</v>
      </c>
    </row>
    <row r="187" spans="2:25" ht="15.75" customHeight="1" x14ac:dyDescent="0.25">
      <c r="B187">
        <v>5</v>
      </c>
      <c r="C187" t="s">
        <v>111</v>
      </c>
      <c r="D187" s="97">
        <v>517</v>
      </c>
      <c r="E187" s="110">
        <f>FASE1!G187</f>
        <v>0</v>
      </c>
      <c r="F187" s="110">
        <f>FASE1!M187</f>
        <v>0</v>
      </c>
      <c r="G187" s="110">
        <f>FASE1!L187</f>
        <v>0</v>
      </c>
      <c r="H187" s="110">
        <f>FASE1!R187</f>
        <v>0</v>
      </c>
      <c r="I187" s="110">
        <f>FASE1!U187</f>
        <v>0</v>
      </c>
      <c r="J187" s="110">
        <f>FASE1!U187</f>
        <v>0</v>
      </c>
      <c r="K187" s="110">
        <f>FASE1!P187</f>
        <v>0</v>
      </c>
      <c r="L187" s="110">
        <f>FASE1!V187</f>
        <v>0</v>
      </c>
      <c r="M187" s="110">
        <f>AVERAGE(FASE2!F187:G187)</f>
        <v>0</v>
      </c>
      <c r="N187" s="110">
        <f>AVERAGE(FASE2!O187:P187,FASE2!S187)</f>
        <v>0</v>
      </c>
      <c r="O187" s="110">
        <f>FASE4!K187</f>
        <v>0</v>
      </c>
      <c r="P187" s="110">
        <f>FASE2!N187</f>
        <v>0</v>
      </c>
      <c r="Q187" s="110">
        <f>FASE3!P187</f>
        <v>0</v>
      </c>
      <c r="R187" s="110">
        <f>FASE3!N187</f>
        <v>0</v>
      </c>
      <c r="S187" s="110">
        <f>AVERAGE(FASE3!Q187,FASE3!R187,FASE3!T187,FASE3!S187)</f>
        <v>0</v>
      </c>
      <c r="T187" s="110">
        <f>AVERAGE(FASE3!U187,FASE3!V187,FASE3!W187)</f>
        <v>0</v>
      </c>
      <c r="U187" s="110">
        <f>FASE3!Y187</f>
        <v>0</v>
      </c>
      <c r="V187" s="110">
        <f>FASE3!X187</f>
        <v>0</v>
      </c>
      <c r="W187" s="110">
        <f>FASE4!M187</f>
        <v>0</v>
      </c>
      <c r="X187" s="110">
        <f t="shared" si="2"/>
        <v>0</v>
      </c>
    </row>
    <row r="188" spans="2:25" ht="15.75" customHeight="1" x14ac:dyDescent="0.25">
      <c r="B188">
        <v>5</v>
      </c>
      <c r="C188" t="s">
        <v>111</v>
      </c>
      <c r="D188" s="97">
        <v>518</v>
      </c>
      <c r="E188" s="110">
        <f>FASE1!G188</f>
        <v>0</v>
      </c>
      <c r="F188" s="110">
        <f>FASE1!M188</f>
        <v>0</v>
      </c>
      <c r="G188" s="110">
        <f>FASE1!L188</f>
        <v>0</v>
      </c>
      <c r="H188" s="110">
        <f>FASE1!R188</f>
        <v>0</v>
      </c>
      <c r="I188" s="110">
        <f>FASE1!U188</f>
        <v>0</v>
      </c>
      <c r="J188" s="110">
        <f>FASE1!U188</f>
        <v>0</v>
      </c>
      <c r="K188" s="110">
        <f>FASE1!P188</f>
        <v>0</v>
      </c>
      <c r="L188" s="110">
        <f>FASE1!V188</f>
        <v>0</v>
      </c>
      <c r="M188" s="110">
        <f>AVERAGE(FASE2!F188:G188)</f>
        <v>0</v>
      </c>
      <c r="N188" s="110">
        <f>AVERAGE(FASE2!O188:P188,FASE2!S188)</f>
        <v>0</v>
      </c>
      <c r="O188" s="110">
        <f>FASE4!K188</f>
        <v>0</v>
      </c>
      <c r="P188" s="110">
        <f>FASE2!N188</f>
        <v>0</v>
      </c>
      <c r="Q188" s="110">
        <f>FASE3!P188</f>
        <v>0</v>
      </c>
      <c r="R188" s="110">
        <f>FASE3!N188</f>
        <v>0</v>
      </c>
      <c r="S188" s="110">
        <f>AVERAGE(FASE3!Q188,FASE3!R188,FASE3!T188,FASE3!S188)</f>
        <v>0</v>
      </c>
      <c r="T188" s="110">
        <f>AVERAGE(FASE3!U188,FASE3!V188,FASE3!W188)</f>
        <v>0</v>
      </c>
      <c r="U188" s="110">
        <f>FASE3!Y188</f>
        <v>0</v>
      </c>
      <c r="V188" s="110">
        <f>FASE3!X188</f>
        <v>0</v>
      </c>
      <c r="W188" s="110">
        <f>FASE4!M188</f>
        <v>0</v>
      </c>
      <c r="X188" s="110">
        <f t="shared" si="2"/>
        <v>0</v>
      </c>
    </row>
    <row r="189" spans="2:25" ht="15.75" customHeight="1" x14ac:dyDescent="0.25">
      <c r="B189">
        <v>5</v>
      </c>
      <c r="C189" t="s">
        <v>111</v>
      </c>
      <c r="D189" s="97">
        <v>519</v>
      </c>
      <c r="E189" s="110">
        <f>FASE1!G189</f>
        <v>0</v>
      </c>
      <c r="F189" s="110">
        <f>FASE1!M189</f>
        <v>0</v>
      </c>
      <c r="G189" s="110">
        <f>FASE1!L189</f>
        <v>0</v>
      </c>
      <c r="H189" s="110">
        <f>FASE1!R189</f>
        <v>0</v>
      </c>
      <c r="I189" s="110">
        <f>FASE1!U189</f>
        <v>0</v>
      </c>
      <c r="J189" s="110">
        <f>FASE1!U189</f>
        <v>0</v>
      </c>
      <c r="K189" s="110">
        <f>FASE1!P189</f>
        <v>0</v>
      </c>
      <c r="L189" s="110">
        <f>FASE1!V189</f>
        <v>0</v>
      </c>
      <c r="M189" s="110">
        <f>AVERAGE(FASE2!F189:G189)</f>
        <v>0</v>
      </c>
      <c r="N189" s="110">
        <f>AVERAGE(FASE2!O189:P189,FASE2!S189)</f>
        <v>0</v>
      </c>
      <c r="O189" s="110">
        <f>FASE4!K189</f>
        <v>0</v>
      </c>
      <c r="P189" s="110">
        <f>FASE2!N189</f>
        <v>0</v>
      </c>
      <c r="Q189" s="110">
        <f>FASE3!P189</f>
        <v>0</v>
      </c>
      <c r="R189" s="110">
        <f>FASE3!N189</f>
        <v>0</v>
      </c>
      <c r="S189" s="110">
        <f>AVERAGE(FASE3!Q189,FASE3!R189,FASE3!T189,FASE3!S189)</f>
        <v>0</v>
      </c>
      <c r="T189" s="110">
        <f>AVERAGE(FASE3!U189,FASE3!V189,FASE3!W189)</f>
        <v>0</v>
      </c>
      <c r="U189" s="110">
        <f>FASE3!Y189</f>
        <v>0</v>
      </c>
      <c r="V189" s="110">
        <f>FASE3!X189</f>
        <v>0</v>
      </c>
      <c r="W189" s="110">
        <f>FASE4!M189</f>
        <v>0</v>
      </c>
      <c r="X189" s="110">
        <f t="shared" si="2"/>
        <v>0</v>
      </c>
    </row>
    <row r="190" spans="2:25" ht="15.75" customHeight="1" x14ac:dyDescent="0.25">
      <c r="B190">
        <v>5</v>
      </c>
      <c r="C190" t="s">
        <v>111</v>
      </c>
      <c r="D190" s="97">
        <v>520</v>
      </c>
      <c r="E190" s="110">
        <f>FASE1!G190</f>
        <v>0</v>
      </c>
      <c r="F190" s="110">
        <f>FASE1!M190</f>
        <v>0</v>
      </c>
      <c r="G190" s="110">
        <f>FASE1!L190</f>
        <v>0</v>
      </c>
      <c r="H190" s="110">
        <f>FASE1!R190</f>
        <v>0</v>
      </c>
      <c r="I190" s="110">
        <f>FASE1!U190</f>
        <v>0</v>
      </c>
      <c r="J190" s="110">
        <f>FASE1!U190</f>
        <v>0</v>
      </c>
      <c r="K190" s="110">
        <f>FASE1!P190</f>
        <v>0</v>
      </c>
      <c r="L190" s="110">
        <f>FASE1!V190</f>
        <v>0</v>
      </c>
      <c r="M190" s="110">
        <f>AVERAGE(FASE2!F190:G190)</f>
        <v>0</v>
      </c>
      <c r="N190" s="110">
        <f>AVERAGE(FASE2!O190:P190,FASE2!S190)</f>
        <v>0</v>
      </c>
      <c r="O190" s="110">
        <f>FASE4!K190</f>
        <v>0</v>
      </c>
      <c r="P190" s="110">
        <f>FASE2!N190</f>
        <v>0</v>
      </c>
      <c r="Q190" s="110">
        <f>FASE3!P190</f>
        <v>0</v>
      </c>
      <c r="R190" s="110">
        <f>FASE3!N190</f>
        <v>0</v>
      </c>
      <c r="S190" s="110">
        <f>AVERAGE(FASE3!Q190,FASE3!R190,FASE3!T190,FASE3!S190)</f>
        <v>0</v>
      </c>
      <c r="T190" s="110">
        <f>AVERAGE(FASE3!U190,FASE3!V190,FASE3!W190)</f>
        <v>0</v>
      </c>
      <c r="U190" s="110">
        <f>FASE3!Y190</f>
        <v>0</v>
      </c>
      <c r="V190" s="110">
        <f>FASE3!X190</f>
        <v>0</v>
      </c>
      <c r="W190" s="110">
        <f>FASE4!M190</f>
        <v>0</v>
      </c>
      <c r="X190" s="110">
        <f t="shared" si="2"/>
        <v>0</v>
      </c>
    </row>
    <row r="191" spans="2:25" ht="15.75" customHeight="1" x14ac:dyDescent="0.25">
      <c r="B191">
        <v>5</v>
      </c>
      <c r="C191" t="s">
        <v>111</v>
      </c>
      <c r="D191" s="97">
        <v>521</v>
      </c>
      <c r="E191" s="110">
        <f>FASE1!G191</f>
        <v>0</v>
      </c>
      <c r="F191" s="110">
        <f>FASE1!M191</f>
        <v>0</v>
      </c>
      <c r="G191" s="110">
        <f>FASE1!L191</f>
        <v>0</v>
      </c>
      <c r="H191" s="110">
        <f>FASE1!R191</f>
        <v>0</v>
      </c>
      <c r="I191" s="110">
        <f>FASE1!U191</f>
        <v>0</v>
      </c>
      <c r="J191" s="110">
        <f>FASE1!U191</f>
        <v>0</v>
      </c>
      <c r="K191" s="110">
        <f>FASE1!P191</f>
        <v>0</v>
      </c>
      <c r="L191" s="110">
        <f>FASE1!V191</f>
        <v>0</v>
      </c>
      <c r="M191" s="110">
        <f>AVERAGE(FASE2!F191:G191)</f>
        <v>0</v>
      </c>
      <c r="N191" s="110">
        <f>AVERAGE(FASE2!O191:P191,FASE2!S191)</f>
        <v>0</v>
      </c>
      <c r="O191" s="110">
        <f>FASE4!K191</f>
        <v>0</v>
      </c>
      <c r="P191" s="110">
        <f>FASE2!N191</f>
        <v>0</v>
      </c>
      <c r="Q191" s="110">
        <f>FASE3!P191</f>
        <v>0</v>
      </c>
      <c r="R191" s="110">
        <f>FASE3!N191</f>
        <v>0</v>
      </c>
      <c r="S191" s="110">
        <f>AVERAGE(FASE3!Q191,FASE3!R191,FASE3!T191,FASE3!S191)</f>
        <v>0</v>
      </c>
      <c r="T191" s="110">
        <f>AVERAGE(FASE3!U191,FASE3!V191,FASE3!W191)</f>
        <v>0</v>
      </c>
      <c r="U191" s="110">
        <f>FASE3!Y191</f>
        <v>0</v>
      </c>
      <c r="V191" s="110">
        <f>FASE3!X191</f>
        <v>0</v>
      </c>
      <c r="W191" s="110">
        <f>FASE4!M191</f>
        <v>0</v>
      </c>
      <c r="X191" s="110">
        <f t="shared" si="2"/>
        <v>0</v>
      </c>
    </row>
    <row r="192" spans="2:25" ht="15.75" customHeight="1" x14ac:dyDescent="0.25">
      <c r="B192">
        <v>5</v>
      </c>
      <c r="C192" t="s">
        <v>131</v>
      </c>
      <c r="D192" s="97" t="s">
        <v>132</v>
      </c>
      <c r="E192" s="110">
        <f>FASE1!G192</f>
        <v>0</v>
      </c>
      <c r="F192" s="110">
        <f>FASE1!M192</f>
        <v>0</v>
      </c>
      <c r="G192" s="110">
        <f>FASE1!L192</f>
        <v>0</v>
      </c>
      <c r="H192" s="110">
        <f>FASE1!R192</f>
        <v>0</v>
      </c>
      <c r="I192" s="110">
        <f>FASE1!U192</f>
        <v>0</v>
      </c>
      <c r="J192" s="110">
        <f>FASE1!U192</f>
        <v>0</v>
      </c>
      <c r="K192" s="110">
        <f>FASE1!P192</f>
        <v>0</v>
      </c>
      <c r="L192" s="110">
        <f>FASE1!V192</f>
        <v>0</v>
      </c>
      <c r="M192" s="110">
        <f>AVERAGE(FASE2!F192:G192)</f>
        <v>0</v>
      </c>
      <c r="N192" s="110">
        <f>IFERROR(AVERAGE(FASE2!O192:P192,FASE2!S192),0)</f>
        <v>0</v>
      </c>
      <c r="O192" s="110">
        <f>FASE4!K192</f>
        <v>0</v>
      </c>
      <c r="P192" s="110">
        <f>FASE2!N192</f>
        <v>0</v>
      </c>
      <c r="Q192" s="110">
        <f>FASE3!P192</f>
        <v>0</v>
      </c>
      <c r="R192" s="110">
        <f>FASE3!N192</f>
        <v>0</v>
      </c>
      <c r="S192" s="110">
        <f>AVERAGE(FASE3!Q192,FASE3!R192,FASE3!T192,FASE3!S192)</f>
        <v>0</v>
      </c>
      <c r="T192" s="110">
        <f>AVERAGE(FASE3!U192,FASE3!V192,FASE3!W192)</f>
        <v>0</v>
      </c>
      <c r="U192" s="110">
        <f>FASE3!Y192</f>
        <v>0</v>
      </c>
      <c r="V192" s="110">
        <f>FASE3!X192</f>
        <v>0</v>
      </c>
      <c r="W192" s="110">
        <f>FASE4!M192</f>
        <v>0</v>
      </c>
      <c r="X192" s="110">
        <f t="shared" si="2"/>
        <v>0</v>
      </c>
    </row>
    <row r="193" spans="2:25" ht="15.75" customHeight="1" x14ac:dyDescent="0.25">
      <c r="B193">
        <v>6</v>
      </c>
      <c r="C193" t="s">
        <v>112</v>
      </c>
      <c r="D193" s="97">
        <v>601</v>
      </c>
      <c r="E193" s="110">
        <f>FASE1!G193</f>
        <v>0</v>
      </c>
      <c r="F193" s="110">
        <f>FASE1!M193</f>
        <v>0</v>
      </c>
      <c r="G193" s="110">
        <f>FASE1!L193</f>
        <v>0</v>
      </c>
      <c r="H193" s="110">
        <f>FASE1!R193</f>
        <v>0</v>
      </c>
      <c r="I193" s="110">
        <f>FASE1!U193</f>
        <v>0</v>
      </c>
      <c r="J193" s="110">
        <f>FASE1!U193</f>
        <v>0</v>
      </c>
      <c r="K193" s="110">
        <f>FASE1!P193</f>
        <v>0</v>
      </c>
      <c r="L193" s="110">
        <f>FASE1!V193</f>
        <v>0</v>
      </c>
      <c r="M193" s="110">
        <f>AVERAGE(FASE2!F193:G193)</f>
        <v>0</v>
      </c>
      <c r="N193" s="110">
        <f>AVERAGE(FASE2!O193:P193,FASE2!S193)</f>
        <v>0</v>
      </c>
      <c r="O193" s="110">
        <f>FASE4!K193</f>
        <v>0</v>
      </c>
      <c r="P193" s="110">
        <f>FASE2!N193</f>
        <v>0</v>
      </c>
      <c r="Q193" s="110">
        <f>FASE3!P193</f>
        <v>0</v>
      </c>
      <c r="R193" s="110">
        <f>FASE3!N193</f>
        <v>0</v>
      </c>
      <c r="S193" s="110">
        <f>AVERAGE(FASE3!Q193,FASE3!R193,FASE3!T193,FASE3!S193)</f>
        <v>0</v>
      </c>
      <c r="T193" s="110">
        <f>AVERAGE(FASE3!U193,FASE3!V193,FASE3!W193)</f>
        <v>0</v>
      </c>
      <c r="U193" s="110">
        <f>FASE3!Y193</f>
        <v>0</v>
      </c>
      <c r="V193" s="110">
        <f>FASE3!X193</f>
        <v>0</v>
      </c>
      <c r="W193" s="110">
        <f>FASE4!M193</f>
        <v>0</v>
      </c>
      <c r="X193" s="110">
        <f t="shared" si="2"/>
        <v>0</v>
      </c>
    </row>
    <row r="194" spans="2:25" ht="15.75" customHeight="1" x14ac:dyDescent="0.25">
      <c r="B194">
        <v>6</v>
      </c>
      <c r="C194" t="s">
        <v>112</v>
      </c>
      <c r="D194" s="97">
        <v>602</v>
      </c>
      <c r="E194" s="110">
        <f>FASE1!G194</f>
        <v>0</v>
      </c>
      <c r="F194" s="110">
        <f>FASE1!M194</f>
        <v>0</v>
      </c>
      <c r="G194" s="110">
        <f>FASE1!L194</f>
        <v>0</v>
      </c>
      <c r="H194" s="110">
        <f>FASE1!R194</f>
        <v>0</v>
      </c>
      <c r="I194" s="110">
        <f>FASE1!U194</f>
        <v>0</v>
      </c>
      <c r="J194" s="110">
        <f>FASE1!U194</f>
        <v>0</v>
      </c>
      <c r="K194" s="110">
        <f>FASE1!P194</f>
        <v>0</v>
      </c>
      <c r="L194" s="110">
        <f>FASE1!V194</f>
        <v>0</v>
      </c>
      <c r="M194" s="110">
        <f>AVERAGE(FASE2!F194:G194)</f>
        <v>0</v>
      </c>
      <c r="N194" s="110">
        <f>AVERAGE(FASE2!O194:P194,FASE2!S194)</f>
        <v>0</v>
      </c>
      <c r="O194" s="110">
        <f>FASE4!K194</f>
        <v>0</v>
      </c>
      <c r="P194" s="110">
        <f>FASE2!N194</f>
        <v>0</v>
      </c>
      <c r="Q194" s="110">
        <f>FASE3!P194</f>
        <v>0</v>
      </c>
      <c r="R194" s="110">
        <f>FASE3!N194</f>
        <v>0</v>
      </c>
      <c r="S194" s="110">
        <f>AVERAGE(FASE3!Q194,FASE3!R194,FASE3!T194,FASE3!S194)</f>
        <v>0</v>
      </c>
      <c r="T194" s="110">
        <f>AVERAGE(FASE3!U194,FASE3!V194,FASE3!W194)</f>
        <v>0</v>
      </c>
      <c r="U194" s="110">
        <f>FASE3!Y194</f>
        <v>0</v>
      </c>
      <c r="V194" s="110">
        <f>FASE3!X194</f>
        <v>0</v>
      </c>
      <c r="W194" s="110">
        <f>FASE4!M194</f>
        <v>0</v>
      </c>
      <c r="X194" s="110">
        <f t="shared" ref="X194:X257" si="3">AVERAGE(E194:V194)</f>
        <v>0</v>
      </c>
    </row>
    <row r="195" spans="2:25" ht="15.75" customHeight="1" x14ac:dyDescent="0.25">
      <c r="B195">
        <v>6</v>
      </c>
      <c r="C195" t="s">
        <v>112</v>
      </c>
      <c r="D195" s="97">
        <v>603</v>
      </c>
      <c r="E195" s="110">
        <f>FASE1!G195</f>
        <v>0</v>
      </c>
      <c r="F195" s="110">
        <f>FASE1!M195</f>
        <v>0</v>
      </c>
      <c r="G195" s="110">
        <f>FASE1!L195</f>
        <v>0</v>
      </c>
      <c r="H195" s="110">
        <f>FASE1!R195</f>
        <v>0</v>
      </c>
      <c r="I195" s="110">
        <f>FASE1!U195</f>
        <v>0</v>
      </c>
      <c r="J195" s="110">
        <f>FASE1!U195</f>
        <v>0</v>
      </c>
      <c r="K195" s="110">
        <f>FASE1!P195</f>
        <v>0</v>
      </c>
      <c r="L195" s="110">
        <f>FASE1!V195</f>
        <v>0</v>
      </c>
      <c r="M195" s="110">
        <f>AVERAGE(FASE2!F195:G195)</f>
        <v>0</v>
      </c>
      <c r="N195" s="110">
        <f>AVERAGE(FASE2!O195:P195,FASE2!S195)</f>
        <v>0</v>
      </c>
      <c r="O195" s="110">
        <f>FASE4!K195</f>
        <v>0</v>
      </c>
      <c r="P195" s="110">
        <f>FASE2!N195</f>
        <v>0</v>
      </c>
      <c r="Q195" s="110">
        <f>FASE3!P195</f>
        <v>0</v>
      </c>
      <c r="R195" s="110">
        <f>FASE3!N195</f>
        <v>0</v>
      </c>
      <c r="S195" s="110">
        <f>AVERAGE(FASE3!Q195,FASE3!R195,FASE3!T195,FASE3!S195)</f>
        <v>0</v>
      </c>
      <c r="T195" s="110">
        <f>AVERAGE(FASE3!U195,FASE3!V195,FASE3!W195)</f>
        <v>0</v>
      </c>
      <c r="U195" s="110">
        <f>FASE3!Y195</f>
        <v>0</v>
      </c>
      <c r="V195" s="110">
        <f>FASE3!X195</f>
        <v>0</v>
      </c>
      <c r="W195" s="110">
        <f>FASE4!M195</f>
        <v>0</v>
      </c>
      <c r="X195" s="110">
        <f t="shared" si="3"/>
        <v>0</v>
      </c>
    </row>
    <row r="196" spans="2:25" ht="15.75" customHeight="1" x14ac:dyDescent="0.25">
      <c r="B196">
        <v>6</v>
      </c>
      <c r="C196" t="s">
        <v>112</v>
      </c>
      <c r="D196" s="97">
        <v>604</v>
      </c>
      <c r="E196" s="110">
        <f>FASE1!G196</f>
        <v>0</v>
      </c>
      <c r="F196" s="110">
        <f>FASE1!M196</f>
        <v>0</v>
      </c>
      <c r="G196" s="110">
        <f>FASE1!L196</f>
        <v>0</v>
      </c>
      <c r="H196" s="110">
        <f>FASE1!R196</f>
        <v>0</v>
      </c>
      <c r="I196" s="110">
        <f>FASE1!U196</f>
        <v>0</v>
      </c>
      <c r="J196" s="110">
        <f>FASE1!U196</f>
        <v>0</v>
      </c>
      <c r="K196" s="110">
        <f>FASE1!P196</f>
        <v>0</v>
      </c>
      <c r="L196" s="110">
        <f>FASE1!V196</f>
        <v>0</v>
      </c>
      <c r="M196" s="110">
        <f>AVERAGE(FASE2!F196:G196)</f>
        <v>0</v>
      </c>
      <c r="N196" s="110">
        <f>AVERAGE(FASE2!O196:P196,FASE2!S196)</f>
        <v>0</v>
      </c>
      <c r="O196" s="110">
        <f>FASE4!K196</f>
        <v>0</v>
      </c>
      <c r="P196" s="110">
        <f>FASE2!N196</f>
        <v>0</v>
      </c>
      <c r="Q196" s="110">
        <f>FASE3!P196</f>
        <v>0</v>
      </c>
      <c r="R196" s="110">
        <f>FASE3!N196</f>
        <v>0</v>
      </c>
      <c r="S196" s="110">
        <f>AVERAGE(FASE3!Q196,FASE3!R196,FASE3!T196,FASE3!S196)</f>
        <v>0</v>
      </c>
      <c r="T196" s="110">
        <f>AVERAGE(FASE3!U196,FASE3!V196,FASE3!W196)</f>
        <v>0</v>
      </c>
      <c r="U196" s="110">
        <f>FASE3!Y196</f>
        <v>0</v>
      </c>
      <c r="V196" s="110">
        <f>FASE3!X196</f>
        <v>0</v>
      </c>
      <c r="W196" s="110">
        <f>FASE4!M196</f>
        <v>0</v>
      </c>
      <c r="X196" s="110">
        <f t="shared" si="3"/>
        <v>0</v>
      </c>
    </row>
    <row r="197" spans="2:25" ht="15.75" customHeight="1" x14ac:dyDescent="0.25">
      <c r="B197">
        <v>6</v>
      </c>
      <c r="C197" t="s">
        <v>112</v>
      </c>
      <c r="D197" s="97">
        <v>605</v>
      </c>
      <c r="E197" s="110">
        <f>FASE1!G197</f>
        <v>0</v>
      </c>
      <c r="F197" s="110">
        <f>FASE1!M197</f>
        <v>0</v>
      </c>
      <c r="G197" s="110">
        <f>FASE1!L197</f>
        <v>0</v>
      </c>
      <c r="H197" s="110">
        <f>FASE1!R197</f>
        <v>0</v>
      </c>
      <c r="I197" s="110">
        <f>FASE1!U197</f>
        <v>0</v>
      </c>
      <c r="J197" s="110">
        <f>FASE1!U197</f>
        <v>0</v>
      </c>
      <c r="K197" s="110">
        <f>FASE1!P197</f>
        <v>0</v>
      </c>
      <c r="L197" s="110">
        <f>FASE1!V197</f>
        <v>0</v>
      </c>
      <c r="M197" s="110">
        <f>AVERAGE(FASE2!F197:G197)</f>
        <v>0</v>
      </c>
      <c r="N197" s="110">
        <f>AVERAGE(FASE2!O197:P197,FASE2!S197)</f>
        <v>0</v>
      </c>
      <c r="O197" s="110">
        <f>FASE4!K197</f>
        <v>0</v>
      </c>
      <c r="P197" s="110">
        <f>FASE2!N197</f>
        <v>0</v>
      </c>
      <c r="Q197" s="110">
        <f>FASE3!P197</f>
        <v>0</v>
      </c>
      <c r="R197" s="110">
        <f>FASE3!N197</f>
        <v>0</v>
      </c>
      <c r="S197" s="110">
        <f>AVERAGE(FASE3!Q197,FASE3!R197,FASE3!T197,FASE3!S197)</f>
        <v>0</v>
      </c>
      <c r="T197" s="110">
        <f>AVERAGE(FASE3!U197,FASE3!V197,FASE3!W197)</f>
        <v>0</v>
      </c>
      <c r="U197" s="110">
        <f>FASE3!Y197</f>
        <v>0</v>
      </c>
      <c r="V197" s="110">
        <f>FASE3!X197</f>
        <v>0</v>
      </c>
      <c r="W197" s="110">
        <f>FASE4!M197</f>
        <v>0</v>
      </c>
      <c r="X197" s="110">
        <f t="shared" si="3"/>
        <v>0</v>
      </c>
    </row>
    <row r="198" spans="2:25" ht="15.75" customHeight="1" x14ac:dyDescent="0.25">
      <c r="B198">
        <v>6</v>
      </c>
      <c r="C198" t="s">
        <v>112</v>
      </c>
      <c r="D198" s="97">
        <v>606</v>
      </c>
      <c r="E198" s="110">
        <f>FASE1!G198</f>
        <v>0</v>
      </c>
      <c r="F198" s="110">
        <f>FASE1!M198</f>
        <v>0</v>
      </c>
      <c r="G198" s="110">
        <f>FASE1!L198</f>
        <v>0</v>
      </c>
      <c r="H198" s="110">
        <f>FASE1!R198</f>
        <v>0</v>
      </c>
      <c r="I198" s="110">
        <f>FASE1!U198</f>
        <v>0</v>
      </c>
      <c r="J198" s="110">
        <f>FASE1!U198</f>
        <v>0</v>
      </c>
      <c r="K198" s="110">
        <f>FASE1!P198</f>
        <v>0</v>
      </c>
      <c r="L198" s="110">
        <f>FASE1!V198</f>
        <v>0</v>
      </c>
      <c r="M198" s="110">
        <f>AVERAGE(FASE2!F198:G198)</f>
        <v>0</v>
      </c>
      <c r="N198" s="110">
        <f>AVERAGE(FASE2!O198:P198,FASE2!S198)</f>
        <v>0</v>
      </c>
      <c r="O198" s="110">
        <f>FASE4!K198</f>
        <v>0</v>
      </c>
      <c r="P198" s="110">
        <f>FASE2!N198</f>
        <v>0</v>
      </c>
      <c r="Q198" s="110">
        <f>FASE3!P198</f>
        <v>0</v>
      </c>
      <c r="R198" s="110">
        <f>FASE3!N198</f>
        <v>0</v>
      </c>
      <c r="S198" s="110">
        <f>AVERAGE(FASE3!Q198,FASE3!R198,FASE3!T198,FASE3!S198)</f>
        <v>0</v>
      </c>
      <c r="T198" s="110">
        <f>AVERAGE(FASE3!U198,FASE3!V198,FASE3!W198)</f>
        <v>0</v>
      </c>
      <c r="U198" s="110">
        <f>FASE3!Y198</f>
        <v>0</v>
      </c>
      <c r="V198" s="110">
        <f>FASE3!X198</f>
        <v>0</v>
      </c>
      <c r="W198" s="110">
        <f>FASE4!M198</f>
        <v>0</v>
      </c>
      <c r="X198" s="110">
        <f t="shared" si="3"/>
        <v>0</v>
      </c>
      <c r="Y198" s="2"/>
    </row>
    <row r="199" spans="2:25" ht="15.75" customHeight="1" x14ac:dyDescent="0.25">
      <c r="B199">
        <v>6</v>
      </c>
      <c r="C199" t="s">
        <v>112</v>
      </c>
      <c r="D199" s="97">
        <v>607</v>
      </c>
      <c r="E199" s="110">
        <f>FASE1!G199</f>
        <v>0</v>
      </c>
      <c r="F199" s="110">
        <f>FASE1!M199</f>
        <v>0</v>
      </c>
      <c r="G199" s="110">
        <f>FASE1!L199</f>
        <v>0</v>
      </c>
      <c r="H199" s="110">
        <f>FASE1!R199</f>
        <v>0</v>
      </c>
      <c r="I199" s="110">
        <f>FASE1!U199</f>
        <v>0</v>
      </c>
      <c r="J199" s="110">
        <f>FASE1!U199</f>
        <v>0</v>
      </c>
      <c r="K199" s="110">
        <f>FASE1!P199</f>
        <v>0</v>
      </c>
      <c r="L199" s="110">
        <f>FASE1!V199</f>
        <v>0</v>
      </c>
      <c r="M199" s="110">
        <f>AVERAGE(FASE2!F199:G199)</f>
        <v>0</v>
      </c>
      <c r="N199" s="110">
        <f>AVERAGE(FASE2!O199:P199,FASE2!S199)</f>
        <v>0</v>
      </c>
      <c r="O199" s="110">
        <f>FASE4!K199</f>
        <v>0</v>
      </c>
      <c r="P199" s="110">
        <f>FASE2!N199</f>
        <v>0</v>
      </c>
      <c r="Q199" s="110">
        <f>FASE3!P199</f>
        <v>0</v>
      </c>
      <c r="R199" s="110">
        <f>FASE3!N199</f>
        <v>0</v>
      </c>
      <c r="S199" s="110">
        <f>AVERAGE(FASE3!Q199,FASE3!R199,FASE3!T199,FASE3!S199)</f>
        <v>0</v>
      </c>
      <c r="T199" s="110">
        <f>AVERAGE(FASE3!U199,FASE3!V199,FASE3!W199)</f>
        <v>0</v>
      </c>
      <c r="U199" s="110">
        <f>FASE3!Y199</f>
        <v>0</v>
      </c>
      <c r="V199" s="110">
        <f>FASE3!X199</f>
        <v>0</v>
      </c>
      <c r="W199" s="110">
        <f>FASE4!M199</f>
        <v>0</v>
      </c>
      <c r="X199" s="110">
        <f t="shared" si="3"/>
        <v>0</v>
      </c>
      <c r="Y199" s="2"/>
    </row>
    <row r="200" spans="2:25" ht="15.75" customHeight="1" x14ac:dyDescent="0.25">
      <c r="B200">
        <v>6</v>
      </c>
      <c r="C200" t="s">
        <v>112</v>
      </c>
      <c r="D200" s="97">
        <v>608</v>
      </c>
      <c r="E200" s="110">
        <f>FASE1!G200</f>
        <v>0</v>
      </c>
      <c r="F200" s="110">
        <f>FASE1!M200</f>
        <v>0</v>
      </c>
      <c r="G200" s="110">
        <f>FASE1!L200</f>
        <v>0</v>
      </c>
      <c r="H200" s="110">
        <f>FASE1!R200</f>
        <v>0</v>
      </c>
      <c r="I200" s="110">
        <f>FASE1!U200</f>
        <v>0</v>
      </c>
      <c r="J200" s="110">
        <f>FASE1!U200</f>
        <v>0</v>
      </c>
      <c r="K200" s="110">
        <f>FASE1!P200</f>
        <v>0</v>
      </c>
      <c r="L200" s="110">
        <f>FASE1!V200</f>
        <v>0</v>
      </c>
      <c r="M200" s="110">
        <f>AVERAGE(FASE2!F200:G200)</f>
        <v>0</v>
      </c>
      <c r="N200" s="110">
        <f>AVERAGE(FASE2!O200:P200,FASE2!S200)</f>
        <v>0</v>
      </c>
      <c r="O200" s="110">
        <f>FASE4!K200</f>
        <v>0</v>
      </c>
      <c r="P200" s="110">
        <f>FASE2!N200</f>
        <v>0</v>
      </c>
      <c r="Q200" s="110">
        <f>FASE3!P200</f>
        <v>0</v>
      </c>
      <c r="R200" s="110">
        <f>FASE3!N200</f>
        <v>0</v>
      </c>
      <c r="S200" s="110">
        <f>AVERAGE(FASE3!Q200,FASE3!R200,FASE3!T200,FASE3!S200)</f>
        <v>0</v>
      </c>
      <c r="T200" s="110">
        <f>AVERAGE(FASE3!U200,FASE3!V200,FASE3!W200)</f>
        <v>0</v>
      </c>
      <c r="U200" s="110">
        <f>FASE3!Y200</f>
        <v>0</v>
      </c>
      <c r="V200" s="110">
        <f>FASE3!X200</f>
        <v>0</v>
      </c>
      <c r="W200" s="110">
        <f>FASE4!M200</f>
        <v>0</v>
      </c>
      <c r="X200" s="110">
        <f t="shared" si="3"/>
        <v>0</v>
      </c>
      <c r="Y200" s="2"/>
    </row>
    <row r="201" spans="2:25" ht="15.75" customHeight="1" x14ac:dyDescent="0.25">
      <c r="B201">
        <v>6</v>
      </c>
      <c r="C201" t="s">
        <v>112</v>
      </c>
      <c r="D201" s="97">
        <v>609</v>
      </c>
      <c r="E201" s="110">
        <f>FASE1!G201</f>
        <v>0</v>
      </c>
      <c r="F201" s="110">
        <f>FASE1!M201</f>
        <v>0</v>
      </c>
      <c r="G201" s="110">
        <f>FASE1!L201</f>
        <v>0</v>
      </c>
      <c r="H201" s="110">
        <f>FASE1!R201</f>
        <v>0</v>
      </c>
      <c r="I201" s="110">
        <f>FASE1!U201</f>
        <v>0</v>
      </c>
      <c r="J201" s="110">
        <f>FASE1!U201</f>
        <v>0</v>
      </c>
      <c r="K201" s="110">
        <f>FASE1!P201</f>
        <v>0</v>
      </c>
      <c r="L201" s="110">
        <f>FASE1!V201</f>
        <v>0</v>
      </c>
      <c r="M201" s="110">
        <f>AVERAGE(FASE2!F201:G201)</f>
        <v>0</v>
      </c>
      <c r="N201" s="110">
        <f>AVERAGE(FASE2!O201:P201,FASE2!S201)</f>
        <v>0</v>
      </c>
      <c r="O201" s="110">
        <f>FASE4!K201</f>
        <v>0</v>
      </c>
      <c r="P201" s="110">
        <f>FASE2!N201</f>
        <v>0</v>
      </c>
      <c r="Q201" s="110">
        <f>FASE3!P201</f>
        <v>0</v>
      </c>
      <c r="R201" s="110">
        <f>FASE3!N201</f>
        <v>0</v>
      </c>
      <c r="S201" s="110">
        <f>AVERAGE(FASE3!Q201,FASE3!R201,FASE3!T201,FASE3!S201)</f>
        <v>0</v>
      </c>
      <c r="T201" s="110">
        <f>AVERAGE(FASE3!U201,FASE3!V201,FASE3!W201)</f>
        <v>0</v>
      </c>
      <c r="U201" s="110">
        <f>FASE3!Y201</f>
        <v>0</v>
      </c>
      <c r="V201" s="110">
        <f>FASE3!X201</f>
        <v>0</v>
      </c>
      <c r="W201" s="110">
        <f>FASE4!M201</f>
        <v>0</v>
      </c>
      <c r="X201" s="110">
        <f t="shared" si="3"/>
        <v>0</v>
      </c>
      <c r="Y201" s="2"/>
    </row>
    <row r="202" spans="2:25" ht="15.75" customHeight="1" x14ac:dyDescent="0.25">
      <c r="B202">
        <v>6</v>
      </c>
      <c r="C202" t="s">
        <v>112</v>
      </c>
      <c r="D202" s="97">
        <v>610</v>
      </c>
      <c r="E202" s="110">
        <f>FASE1!G202</f>
        <v>0</v>
      </c>
      <c r="F202" s="110">
        <f>FASE1!M202</f>
        <v>0</v>
      </c>
      <c r="G202" s="110">
        <f>FASE1!L202</f>
        <v>0</v>
      </c>
      <c r="H202" s="110">
        <f>FASE1!R202</f>
        <v>0</v>
      </c>
      <c r="I202" s="110">
        <f>FASE1!U202</f>
        <v>0</v>
      </c>
      <c r="J202" s="110">
        <f>FASE1!U202</f>
        <v>0</v>
      </c>
      <c r="K202" s="110">
        <f>FASE1!P202</f>
        <v>0</v>
      </c>
      <c r="L202" s="110">
        <f>FASE1!V202</f>
        <v>0</v>
      </c>
      <c r="M202" s="110">
        <f>AVERAGE(FASE2!F202:G202)</f>
        <v>0</v>
      </c>
      <c r="N202" s="110">
        <f>AVERAGE(FASE2!O202:P202,FASE2!S202)</f>
        <v>0</v>
      </c>
      <c r="O202" s="110">
        <f>FASE4!K202</f>
        <v>0</v>
      </c>
      <c r="P202" s="110">
        <f>FASE2!N202</f>
        <v>0</v>
      </c>
      <c r="Q202" s="110">
        <f>FASE3!P202</f>
        <v>0</v>
      </c>
      <c r="R202" s="110">
        <f>FASE3!N202</f>
        <v>0</v>
      </c>
      <c r="S202" s="110">
        <f>AVERAGE(FASE3!Q202,FASE3!R202,FASE3!T202,FASE3!S202)</f>
        <v>0</v>
      </c>
      <c r="T202" s="110">
        <f>AVERAGE(FASE3!U202,FASE3!V202,FASE3!W202)</f>
        <v>0</v>
      </c>
      <c r="U202" s="110">
        <f>FASE3!Y202</f>
        <v>0</v>
      </c>
      <c r="V202" s="110">
        <f>FASE3!X202</f>
        <v>0</v>
      </c>
      <c r="W202" s="110">
        <f>FASE4!M202</f>
        <v>0</v>
      </c>
      <c r="X202" s="110">
        <f t="shared" si="3"/>
        <v>0</v>
      </c>
      <c r="Y202" s="2"/>
    </row>
    <row r="203" spans="2:25" ht="15.75" customHeight="1" x14ac:dyDescent="0.25">
      <c r="B203">
        <v>6</v>
      </c>
      <c r="C203" t="s">
        <v>112</v>
      </c>
      <c r="D203" s="97">
        <v>611</v>
      </c>
      <c r="E203" s="110">
        <f>FASE1!G203</f>
        <v>0</v>
      </c>
      <c r="F203" s="110">
        <f>FASE1!M203</f>
        <v>0</v>
      </c>
      <c r="G203" s="110">
        <f>FASE1!L203</f>
        <v>0</v>
      </c>
      <c r="H203" s="110">
        <f>FASE1!R203</f>
        <v>0</v>
      </c>
      <c r="I203" s="110">
        <f>FASE1!U203</f>
        <v>0</v>
      </c>
      <c r="J203" s="110">
        <f>FASE1!U203</f>
        <v>0</v>
      </c>
      <c r="K203" s="110">
        <f>FASE1!P203</f>
        <v>0</v>
      </c>
      <c r="L203" s="110">
        <f>FASE1!V203</f>
        <v>0</v>
      </c>
      <c r="M203" s="110">
        <f>AVERAGE(FASE2!F203:G203)</f>
        <v>0</v>
      </c>
      <c r="N203" s="110">
        <f>AVERAGE(FASE2!O203:P203,FASE2!S203)</f>
        <v>0</v>
      </c>
      <c r="O203" s="110">
        <f>FASE4!K203</f>
        <v>0</v>
      </c>
      <c r="P203" s="110">
        <f>FASE2!N203</f>
        <v>0</v>
      </c>
      <c r="Q203" s="110">
        <f>FASE3!P203</f>
        <v>0</v>
      </c>
      <c r="R203" s="110">
        <f>FASE3!N203</f>
        <v>0</v>
      </c>
      <c r="S203" s="110">
        <f>AVERAGE(FASE3!Q203,FASE3!R203,FASE3!T203,FASE3!S203)</f>
        <v>0</v>
      </c>
      <c r="T203" s="110">
        <f>AVERAGE(FASE3!U203,FASE3!V203,FASE3!W203)</f>
        <v>0</v>
      </c>
      <c r="U203" s="110">
        <f>FASE3!Y203</f>
        <v>0</v>
      </c>
      <c r="V203" s="110">
        <f>FASE3!X203</f>
        <v>0</v>
      </c>
      <c r="W203" s="110">
        <f>FASE4!M203</f>
        <v>0</v>
      </c>
      <c r="X203" s="110">
        <f t="shared" si="3"/>
        <v>0</v>
      </c>
      <c r="Y203" s="2"/>
    </row>
    <row r="204" spans="2:25" ht="15.75" customHeight="1" x14ac:dyDescent="0.25">
      <c r="B204">
        <v>6</v>
      </c>
      <c r="C204" t="s">
        <v>112</v>
      </c>
      <c r="D204" s="97">
        <v>612</v>
      </c>
      <c r="E204" s="110">
        <f>FASE1!G204</f>
        <v>0</v>
      </c>
      <c r="F204" s="110">
        <f>FASE1!M204</f>
        <v>0</v>
      </c>
      <c r="G204" s="110">
        <f>FASE1!L204</f>
        <v>0</v>
      </c>
      <c r="H204" s="110">
        <f>FASE1!R204</f>
        <v>0</v>
      </c>
      <c r="I204" s="110">
        <f>FASE1!U204</f>
        <v>0</v>
      </c>
      <c r="J204" s="110">
        <f>FASE1!U204</f>
        <v>0</v>
      </c>
      <c r="K204" s="110">
        <f>FASE1!P204</f>
        <v>0</v>
      </c>
      <c r="L204" s="110">
        <f>FASE1!V204</f>
        <v>0</v>
      </c>
      <c r="M204" s="110">
        <f>AVERAGE(FASE2!F204:G204)</f>
        <v>0</v>
      </c>
      <c r="N204" s="110">
        <f>AVERAGE(FASE2!O204:P204,FASE2!S204)</f>
        <v>0</v>
      </c>
      <c r="O204" s="110">
        <f>FASE4!K204</f>
        <v>0</v>
      </c>
      <c r="P204" s="110">
        <f>FASE2!N204</f>
        <v>0</v>
      </c>
      <c r="Q204" s="110">
        <f>FASE3!P204</f>
        <v>0</v>
      </c>
      <c r="R204" s="110">
        <f>FASE3!N204</f>
        <v>0</v>
      </c>
      <c r="S204" s="110">
        <f>AVERAGE(FASE3!Q204,FASE3!R204,FASE3!T204,FASE3!S204)</f>
        <v>0</v>
      </c>
      <c r="T204" s="110">
        <f>AVERAGE(FASE3!U204,FASE3!V204,FASE3!W204)</f>
        <v>0</v>
      </c>
      <c r="U204" s="110">
        <f>FASE3!Y204</f>
        <v>0</v>
      </c>
      <c r="V204" s="110">
        <f>FASE3!X204</f>
        <v>0</v>
      </c>
      <c r="W204" s="110">
        <f>FASE4!M204</f>
        <v>0</v>
      </c>
      <c r="X204" s="110">
        <f t="shared" si="3"/>
        <v>0</v>
      </c>
      <c r="Y204" s="2"/>
    </row>
    <row r="205" spans="2:25" ht="15.75" customHeight="1" x14ac:dyDescent="0.25">
      <c r="B205">
        <v>6</v>
      </c>
      <c r="C205" t="s">
        <v>112</v>
      </c>
      <c r="D205" s="97">
        <v>613</v>
      </c>
      <c r="E205" s="110">
        <f>FASE1!G205</f>
        <v>0</v>
      </c>
      <c r="F205" s="110">
        <f>FASE1!M205</f>
        <v>0</v>
      </c>
      <c r="G205" s="110">
        <f>FASE1!L205</f>
        <v>0</v>
      </c>
      <c r="H205" s="110">
        <f>FASE1!R205</f>
        <v>0</v>
      </c>
      <c r="I205" s="110">
        <f>FASE1!U205</f>
        <v>0</v>
      </c>
      <c r="J205" s="110">
        <f>FASE1!U205</f>
        <v>0</v>
      </c>
      <c r="K205" s="110">
        <f>FASE1!P205</f>
        <v>0</v>
      </c>
      <c r="L205" s="110">
        <f>FASE1!V205</f>
        <v>0</v>
      </c>
      <c r="M205" s="110">
        <f>AVERAGE(FASE2!F205:G205)</f>
        <v>0</v>
      </c>
      <c r="N205" s="110">
        <f>AVERAGE(FASE2!O205:P205,FASE2!S205)</f>
        <v>0</v>
      </c>
      <c r="O205" s="110">
        <f>FASE4!K205</f>
        <v>0</v>
      </c>
      <c r="P205" s="110">
        <f>FASE2!N205</f>
        <v>0</v>
      </c>
      <c r="Q205" s="110">
        <f>FASE3!P205</f>
        <v>0</v>
      </c>
      <c r="R205" s="110">
        <f>FASE3!N205</f>
        <v>0</v>
      </c>
      <c r="S205" s="110">
        <f>AVERAGE(FASE3!Q205,FASE3!R205,FASE3!T205,FASE3!S205)</f>
        <v>0</v>
      </c>
      <c r="T205" s="110">
        <f>AVERAGE(FASE3!U205,FASE3!V205,FASE3!W205)</f>
        <v>0</v>
      </c>
      <c r="U205" s="110">
        <f>FASE3!Y205</f>
        <v>0</v>
      </c>
      <c r="V205" s="110">
        <f>FASE3!X205</f>
        <v>0</v>
      </c>
      <c r="W205" s="110">
        <f>FASE4!M205</f>
        <v>0</v>
      </c>
      <c r="X205" s="110">
        <f t="shared" si="3"/>
        <v>0</v>
      </c>
      <c r="Y205" s="2"/>
    </row>
    <row r="206" spans="2:25" ht="15.75" customHeight="1" x14ac:dyDescent="0.25">
      <c r="B206">
        <v>6</v>
      </c>
      <c r="C206" t="s">
        <v>112</v>
      </c>
      <c r="D206" s="97">
        <v>614</v>
      </c>
      <c r="E206" s="110">
        <f>FASE1!G206</f>
        <v>0</v>
      </c>
      <c r="F206" s="110">
        <f>FASE1!M206</f>
        <v>0</v>
      </c>
      <c r="G206" s="110">
        <f>FASE1!L206</f>
        <v>0</v>
      </c>
      <c r="H206" s="110">
        <f>FASE1!R206</f>
        <v>0</v>
      </c>
      <c r="I206" s="110">
        <f>FASE1!U206</f>
        <v>0</v>
      </c>
      <c r="J206" s="110">
        <f>FASE1!U206</f>
        <v>0</v>
      </c>
      <c r="K206" s="110">
        <f>FASE1!P206</f>
        <v>0</v>
      </c>
      <c r="L206" s="110">
        <f>FASE1!V206</f>
        <v>0</v>
      </c>
      <c r="M206" s="110">
        <f>AVERAGE(FASE2!F206:G206)</f>
        <v>0</v>
      </c>
      <c r="N206" s="110">
        <f>AVERAGE(FASE2!O206:P206,FASE2!S206)</f>
        <v>0</v>
      </c>
      <c r="O206" s="110">
        <f>FASE4!K206</f>
        <v>0</v>
      </c>
      <c r="P206" s="110">
        <f>FASE2!N206</f>
        <v>0</v>
      </c>
      <c r="Q206" s="110">
        <f>FASE3!P206</f>
        <v>0</v>
      </c>
      <c r="R206" s="110">
        <f>FASE3!N206</f>
        <v>0</v>
      </c>
      <c r="S206" s="110">
        <f>AVERAGE(FASE3!Q206,FASE3!R206,FASE3!T206,FASE3!S206)</f>
        <v>0</v>
      </c>
      <c r="T206" s="110">
        <f>AVERAGE(FASE3!U206,FASE3!V206,FASE3!W206)</f>
        <v>0</v>
      </c>
      <c r="U206" s="110">
        <f>FASE3!Y206</f>
        <v>0</v>
      </c>
      <c r="V206" s="110">
        <f>FASE3!X206</f>
        <v>0</v>
      </c>
      <c r="W206" s="110">
        <f>FASE4!M206</f>
        <v>0</v>
      </c>
      <c r="X206" s="110">
        <f t="shared" si="3"/>
        <v>0</v>
      </c>
      <c r="Y206" s="2"/>
    </row>
    <row r="207" spans="2:25" ht="15.75" customHeight="1" x14ac:dyDescent="0.25">
      <c r="B207">
        <v>6</v>
      </c>
      <c r="C207" t="s">
        <v>112</v>
      </c>
      <c r="D207" s="97">
        <v>615</v>
      </c>
      <c r="E207" s="110">
        <f>FASE1!G207</f>
        <v>0</v>
      </c>
      <c r="F207" s="110">
        <f>FASE1!M207</f>
        <v>0</v>
      </c>
      <c r="G207" s="110">
        <f>FASE1!L207</f>
        <v>0</v>
      </c>
      <c r="H207" s="110">
        <f>FASE1!R207</f>
        <v>0</v>
      </c>
      <c r="I207" s="110">
        <f>FASE1!U207</f>
        <v>0</v>
      </c>
      <c r="J207" s="110">
        <f>FASE1!U207</f>
        <v>0</v>
      </c>
      <c r="K207" s="110">
        <f>FASE1!P207</f>
        <v>0</v>
      </c>
      <c r="L207" s="110">
        <f>FASE1!V207</f>
        <v>0</v>
      </c>
      <c r="M207" s="110">
        <f>AVERAGE(FASE2!F207:G207)</f>
        <v>0</v>
      </c>
      <c r="N207" s="110">
        <f>AVERAGE(FASE2!O207:P207,FASE2!S207)</f>
        <v>0</v>
      </c>
      <c r="O207" s="110">
        <f>FASE4!K207</f>
        <v>0</v>
      </c>
      <c r="P207" s="110">
        <f>FASE2!N207</f>
        <v>0</v>
      </c>
      <c r="Q207" s="110">
        <f>FASE3!P207</f>
        <v>0</v>
      </c>
      <c r="R207" s="110">
        <f>FASE3!N207</f>
        <v>0</v>
      </c>
      <c r="S207" s="110">
        <f>AVERAGE(FASE3!Q207,FASE3!R207,FASE3!T207,FASE3!S207)</f>
        <v>0</v>
      </c>
      <c r="T207" s="110">
        <f>AVERAGE(FASE3!U207,FASE3!V207,FASE3!W207)</f>
        <v>0</v>
      </c>
      <c r="U207" s="110">
        <f>FASE3!Y207</f>
        <v>0</v>
      </c>
      <c r="V207" s="110">
        <f>FASE3!X207</f>
        <v>0</v>
      </c>
      <c r="W207" s="110">
        <f>FASE4!M207</f>
        <v>0</v>
      </c>
      <c r="X207" s="110">
        <f t="shared" si="3"/>
        <v>0</v>
      </c>
      <c r="Y207" s="2"/>
    </row>
    <row r="208" spans="2:25" ht="15.75" customHeight="1" x14ac:dyDescent="0.25">
      <c r="B208">
        <v>6</v>
      </c>
      <c r="C208" t="s">
        <v>112</v>
      </c>
      <c r="D208" s="97">
        <v>616</v>
      </c>
      <c r="E208" s="110">
        <f>FASE1!G208</f>
        <v>0</v>
      </c>
      <c r="F208" s="110">
        <f>FASE1!M208</f>
        <v>0</v>
      </c>
      <c r="G208" s="110">
        <f>FASE1!L208</f>
        <v>0</v>
      </c>
      <c r="H208" s="110">
        <f>FASE1!R208</f>
        <v>0</v>
      </c>
      <c r="I208" s="110">
        <f>FASE1!U208</f>
        <v>0</v>
      </c>
      <c r="J208" s="110">
        <f>FASE1!U208</f>
        <v>0</v>
      </c>
      <c r="K208" s="110">
        <f>FASE1!P208</f>
        <v>0</v>
      </c>
      <c r="L208" s="110">
        <f>FASE1!V208</f>
        <v>0</v>
      </c>
      <c r="M208" s="110">
        <f>AVERAGE(FASE2!F208:G208)</f>
        <v>0</v>
      </c>
      <c r="N208" s="110">
        <f>AVERAGE(FASE2!O208:P208,FASE2!S208)</f>
        <v>0</v>
      </c>
      <c r="O208" s="110">
        <f>FASE4!K208</f>
        <v>0</v>
      </c>
      <c r="P208" s="110">
        <f>FASE2!N208</f>
        <v>0</v>
      </c>
      <c r="Q208" s="110">
        <f>FASE3!P208</f>
        <v>0</v>
      </c>
      <c r="R208" s="110">
        <f>FASE3!N208</f>
        <v>0</v>
      </c>
      <c r="S208" s="110">
        <f>AVERAGE(FASE3!Q208,FASE3!R208,FASE3!T208,FASE3!S208)</f>
        <v>0</v>
      </c>
      <c r="T208" s="110">
        <f>AVERAGE(FASE3!U208,FASE3!V208,FASE3!W208)</f>
        <v>0</v>
      </c>
      <c r="U208" s="110">
        <f>FASE3!Y208</f>
        <v>0</v>
      </c>
      <c r="V208" s="110">
        <f>FASE3!X208</f>
        <v>0</v>
      </c>
      <c r="W208" s="110">
        <f>FASE4!M208</f>
        <v>0</v>
      </c>
      <c r="X208" s="110">
        <f t="shared" si="3"/>
        <v>0</v>
      </c>
      <c r="Y208" s="2"/>
    </row>
    <row r="209" spans="2:25" ht="15.75" customHeight="1" x14ac:dyDescent="0.25">
      <c r="B209">
        <v>6</v>
      </c>
      <c r="C209" t="s">
        <v>112</v>
      </c>
      <c r="D209" s="97">
        <v>617</v>
      </c>
      <c r="E209" s="110">
        <f>FASE1!G209</f>
        <v>0</v>
      </c>
      <c r="F209" s="110">
        <f>FASE1!M209</f>
        <v>0</v>
      </c>
      <c r="G209" s="110">
        <f>FASE1!L209</f>
        <v>0</v>
      </c>
      <c r="H209" s="110">
        <f>FASE1!R209</f>
        <v>0</v>
      </c>
      <c r="I209" s="110">
        <f>FASE1!U209</f>
        <v>0</v>
      </c>
      <c r="J209" s="110">
        <f>FASE1!U209</f>
        <v>0</v>
      </c>
      <c r="K209" s="110">
        <f>FASE1!P209</f>
        <v>0</v>
      </c>
      <c r="L209" s="110">
        <f>FASE1!V209</f>
        <v>0</v>
      </c>
      <c r="M209" s="110">
        <f>AVERAGE(FASE2!F209:G209)</f>
        <v>0</v>
      </c>
      <c r="N209" s="110">
        <f>AVERAGE(FASE2!O209:P209,FASE2!S209)</f>
        <v>0</v>
      </c>
      <c r="O209" s="110">
        <f>FASE4!K209</f>
        <v>0</v>
      </c>
      <c r="P209" s="110">
        <f>FASE2!N209</f>
        <v>0</v>
      </c>
      <c r="Q209" s="110">
        <f>FASE3!P209</f>
        <v>0</v>
      </c>
      <c r="R209" s="110">
        <f>FASE3!N209</f>
        <v>0</v>
      </c>
      <c r="S209" s="110">
        <f>AVERAGE(FASE3!Q209,FASE3!R209,FASE3!T209,FASE3!S209)</f>
        <v>0</v>
      </c>
      <c r="T209" s="110">
        <f>AVERAGE(FASE3!U209,FASE3!V209,FASE3!W209)</f>
        <v>0</v>
      </c>
      <c r="U209" s="110">
        <f>FASE3!Y209</f>
        <v>0</v>
      </c>
      <c r="V209" s="110">
        <f>FASE3!X209</f>
        <v>0</v>
      </c>
      <c r="W209" s="110">
        <f>FASE4!M209</f>
        <v>0</v>
      </c>
      <c r="X209" s="110">
        <f t="shared" si="3"/>
        <v>0</v>
      </c>
      <c r="Y209" s="2"/>
    </row>
    <row r="210" spans="2:25" ht="15.75" customHeight="1" x14ac:dyDescent="0.25">
      <c r="B210">
        <v>6</v>
      </c>
      <c r="C210" t="s">
        <v>112</v>
      </c>
      <c r="D210" s="97">
        <v>618</v>
      </c>
      <c r="E210" s="110">
        <f>FASE1!G210</f>
        <v>0</v>
      </c>
      <c r="F210" s="110">
        <f>FASE1!M210</f>
        <v>0</v>
      </c>
      <c r="G210" s="110">
        <f>FASE1!L210</f>
        <v>0</v>
      </c>
      <c r="H210" s="110">
        <f>FASE1!R210</f>
        <v>0</v>
      </c>
      <c r="I210" s="110">
        <f>FASE1!U210</f>
        <v>0</v>
      </c>
      <c r="J210" s="110">
        <f>FASE1!U210</f>
        <v>0</v>
      </c>
      <c r="K210" s="110">
        <f>FASE1!P210</f>
        <v>0</v>
      </c>
      <c r="L210" s="110">
        <f>FASE1!V210</f>
        <v>0</v>
      </c>
      <c r="M210" s="110">
        <f>AVERAGE(FASE2!F210:G210)</f>
        <v>0</v>
      </c>
      <c r="N210" s="110">
        <f>AVERAGE(FASE2!O210:P210,FASE2!S210)</f>
        <v>0</v>
      </c>
      <c r="O210" s="110">
        <f>FASE4!K210</f>
        <v>0</v>
      </c>
      <c r="P210" s="110">
        <f>FASE2!N210</f>
        <v>0</v>
      </c>
      <c r="Q210" s="110">
        <f>FASE3!P210</f>
        <v>0</v>
      </c>
      <c r="R210" s="110">
        <f>FASE3!N210</f>
        <v>0</v>
      </c>
      <c r="S210" s="110">
        <f>AVERAGE(FASE3!Q210,FASE3!R210,FASE3!T210,FASE3!S210)</f>
        <v>0</v>
      </c>
      <c r="T210" s="110">
        <f>AVERAGE(FASE3!U210,FASE3!V210,FASE3!W210)</f>
        <v>0</v>
      </c>
      <c r="U210" s="110">
        <f>FASE3!Y210</f>
        <v>0</v>
      </c>
      <c r="V210" s="110">
        <f>FASE3!X210</f>
        <v>0</v>
      </c>
      <c r="W210" s="110">
        <f>FASE4!M210</f>
        <v>0</v>
      </c>
      <c r="X210" s="110">
        <f t="shared" si="3"/>
        <v>0</v>
      </c>
      <c r="Y210" s="2"/>
    </row>
    <row r="211" spans="2:25" ht="15.75" customHeight="1" x14ac:dyDescent="0.25">
      <c r="B211">
        <v>6</v>
      </c>
      <c r="C211" t="s">
        <v>112</v>
      </c>
      <c r="D211" s="97">
        <v>619</v>
      </c>
      <c r="E211" s="110">
        <f>FASE1!G211</f>
        <v>0</v>
      </c>
      <c r="F211" s="110">
        <f>FASE1!M211</f>
        <v>0</v>
      </c>
      <c r="G211" s="110">
        <f>FASE1!L211</f>
        <v>0</v>
      </c>
      <c r="H211" s="110">
        <f>FASE1!R211</f>
        <v>0</v>
      </c>
      <c r="I211" s="110">
        <f>FASE1!U211</f>
        <v>0</v>
      </c>
      <c r="J211" s="110">
        <f>FASE1!U211</f>
        <v>0</v>
      </c>
      <c r="K211" s="110">
        <f>FASE1!P211</f>
        <v>0</v>
      </c>
      <c r="L211" s="110">
        <f>FASE1!V211</f>
        <v>0</v>
      </c>
      <c r="M211" s="110">
        <f>AVERAGE(FASE2!F211:G211)</f>
        <v>0</v>
      </c>
      <c r="N211" s="110">
        <f>AVERAGE(FASE2!O211:P211,FASE2!S211)</f>
        <v>0</v>
      </c>
      <c r="O211" s="110">
        <f>FASE4!K211</f>
        <v>0</v>
      </c>
      <c r="P211" s="110">
        <f>FASE2!N211</f>
        <v>0</v>
      </c>
      <c r="Q211" s="110">
        <f>FASE3!P211</f>
        <v>0</v>
      </c>
      <c r="R211" s="110">
        <f>FASE3!N211</f>
        <v>0</v>
      </c>
      <c r="S211" s="110">
        <f>AVERAGE(FASE3!Q211,FASE3!R211,FASE3!T211,FASE3!S211)</f>
        <v>0</v>
      </c>
      <c r="T211" s="110">
        <f>AVERAGE(FASE3!U211,FASE3!V211,FASE3!W211)</f>
        <v>0</v>
      </c>
      <c r="U211" s="110">
        <f>FASE3!Y211</f>
        <v>0</v>
      </c>
      <c r="V211" s="110">
        <f>FASE3!X211</f>
        <v>0</v>
      </c>
      <c r="W211" s="110">
        <f>FASE4!M211</f>
        <v>0</v>
      </c>
      <c r="X211" s="110">
        <f t="shared" si="3"/>
        <v>0</v>
      </c>
      <c r="Y211" s="2"/>
    </row>
    <row r="212" spans="2:25" ht="15.75" customHeight="1" x14ac:dyDescent="0.25">
      <c r="B212">
        <v>6</v>
      </c>
      <c r="C212" t="s">
        <v>112</v>
      </c>
      <c r="D212" s="97">
        <v>620</v>
      </c>
      <c r="E212" s="110">
        <f>FASE1!G212</f>
        <v>0</v>
      </c>
      <c r="F212" s="110">
        <f>FASE1!M212</f>
        <v>0</v>
      </c>
      <c r="G212" s="110">
        <f>FASE1!L212</f>
        <v>0</v>
      </c>
      <c r="H212" s="110">
        <f>FASE1!R212</f>
        <v>0</v>
      </c>
      <c r="I212" s="110">
        <f>FASE1!U212</f>
        <v>0</v>
      </c>
      <c r="J212" s="110">
        <f>FASE1!U212</f>
        <v>0</v>
      </c>
      <c r="K212" s="110">
        <f>FASE1!P212</f>
        <v>0</v>
      </c>
      <c r="L212" s="110">
        <f>FASE1!V212</f>
        <v>0</v>
      </c>
      <c r="M212" s="110">
        <f>AVERAGE(FASE2!F212:G212)</f>
        <v>0</v>
      </c>
      <c r="N212" s="110">
        <f>AVERAGE(FASE2!O212:P212,FASE2!S212)</f>
        <v>0</v>
      </c>
      <c r="O212" s="110">
        <f>FASE4!K212</f>
        <v>0</v>
      </c>
      <c r="P212" s="110">
        <f>FASE2!N212</f>
        <v>0</v>
      </c>
      <c r="Q212" s="110">
        <f>FASE3!P212</f>
        <v>0</v>
      </c>
      <c r="R212" s="110">
        <f>FASE3!N212</f>
        <v>0</v>
      </c>
      <c r="S212" s="110">
        <f>AVERAGE(FASE3!Q212,FASE3!R212,FASE3!T212,FASE3!S212)</f>
        <v>0</v>
      </c>
      <c r="T212" s="110">
        <f>AVERAGE(FASE3!U212,FASE3!V212,FASE3!W212)</f>
        <v>0</v>
      </c>
      <c r="U212" s="110">
        <f>FASE3!Y212</f>
        <v>0</v>
      </c>
      <c r="V212" s="110">
        <f>FASE3!X212</f>
        <v>0</v>
      </c>
      <c r="W212" s="110">
        <f>FASE4!M212</f>
        <v>0</v>
      </c>
      <c r="X212" s="110">
        <f t="shared" si="3"/>
        <v>0</v>
      </c>
      <c r="Y212" s="2"/>
    </row>
    <row r="213" spans="2:25" ht="15.75" customHeight="1" x14ac:dyDescent="0.25">
      <c r="B213">
        <v>6</v>
      </c>
      <c r="C213" t="s">
        <v>112</v>
      </c>
      <c r="D213" s="97">
        <v>621</v>
      </c>
      <c r="E213" s="110">
        <f>FASE1!G213</f>
        <v>0</v>
      </c>
      <c r="F213" s="110">
        <f>FASE1!M213</f>
        <v>0</v>
      </c>
      <c r="G213" s="110">
        <f>FASE1!L213</f>
        <v>0</v>
      </c>
      <c r="H213" s="110">
        <f>FASE1!R213</f>
        <v>0</v>
      </c>
      <c r="I213" s="110">
        <f>FASE1!U213</f>
        <v>0</v>
      </c>
      <c r="J213" s="110">
        <f>FASE1!U213</f>
        <v>0</v>
      </c>
      <c r="K213" s="110">
        <f>FASE1!P213</f>
        <v>0</v>
      </c>
      <c r="L213" s="110">
        <f>FASE1!V213</f>
        <v>0</v>
      </c>
      <c r="M213" s="110">
        <f>AVERAGE(FASE2!F213:G213)</f>
        <v>0</v>
      </c>
      <c r="N213" s="110">
        <f>AVERAGE(FASE2!O213:P213,FASE2!S213)</f>
        <v>0</v>
      </c>
      <c r="O213" s="110">
        <f>FASE4!K213</f>
        <v>0</v>
      </c>
      <c r="P213" s="110">
        <f>FASE2!N213</f>
        <v>0</v>
      </c>
      <c r="Q213" s="110">
        <f>FASE3!P213</f>
        <v>0</v>
      </c>
      <c r="R213" s="110">
        <f>FASE3!N213</f>
        <v>0</v>
      </c>
      <c r="S213" s="110">
        <f>AVERAGE(FASE3!Q213,FASE3!R213,FASE3!T213,FASE3!S213)</f>
        <v>0</v>
      </c>
      <c r="T213" s="110">
        <f>AVERAGE(FASE3!U213,FASE3!V213,FASE3!W213)</f>
        <v>0</v>
      </c>
      <c r="U213" s="110">
        <f>FASE3!Y213</f>
        <v>0</v>
      </c>
      <c r="V213" s="110">
        <f>FASE3!X213</f>
        <v>0</v>
      </c>
      <c r="W213" s="110">
        <f>FASE4!M213</f>
        <v>0</v>
      </c>
      <c r="X213" s="110">
        <f t="shared" si="3"/>
        <v>0</v>
      </c>
      <c r="Y213" s="2"/>
    </row>
    <row r="214" spans="2:25" ht="15.75" customHeight="1" x14ac:dyDescent="0.25">
      <c r="B214">
        <v>6</v>
      </c>
      <c r="C214" t="s">
        <v>112</v>
      </c>
      <c r="D214" s="97">
        <v>622</v>
      </c>
      <c r="E214" s="110">
        <f>FASE1!G214</f>
        <v>0</v>
      </c>
      <c r="F214" s="110">
        <f>FASE1!M214</f>
        <v>0</v>
      </c>
      <c r="G214" s="110">
        <f>FASE1!L214</f>
        <v>0</v>
      </c>
      <c r="H214" s="110">
        <f>FASE1!R214</f>
        <v>0</v>
      </c>
      <c r="I214" s="110">
        <f>FASE1!U214</f>
        <v>0</v>
      </c>
      <c r="J214" s="110">
        <f>FASE1!U214</f>
        <v>0</v>
      </c>
      <c r="K214" s="110">
        <f>FASE1!P214</f>
        <v>0</v>
      </c>
      <c r="L214" s="110">
        <f>FASE1!V214</f>
        <v>0</v>
      </c>
      <c r="M214" s="110">
        <f>AVERAGE(FASE2!F214:G214)</f>
        <v>0</v>
      </c>
      <c r="N214" s="110">
        <f>AVERAGE(FASE2!O214:P214,FASE2!S214)</f>
        <v>0</v>
      </c>
      <c r="O214" s="110">
        <f>FASE4!K214</f>
        <v>0</v>
      </c>
      <c r="P214" s="110">
        <f>FASE2!N214</f>
        <v>0</v>
      </c>
      <c r="Q214" s="110">
        <f>FASE3!P214</f>
        <v>0</v>
      </c>
      <c r="R214" s="110">
        <f>FASE3!N214</f>
        <v>0</v>
      </c>
      <c r="S214" s="110">
        <f>AVERAGE(FASE3!Q214,FASE3!R214,FASE3!T214,FASE3!S214)</f>
        <v>0</v>
      </c>
      <c r="T214" s="110">
        <f>AVERAGE(FASE3!U214,FASE3!V214,FASE3!W214)</f>
        <v>0</v>
      </c>
      <c r="U214" s="110">
        <f>FASE3!Y214</f>
        <v>0</v>
      </c>
      <c r="V214" s="110">
        <f>FASE3!X214</f>
        <v>0</v>
      </c>
      <c r="W214" s="110">
        <f>FASE4!M214</f>
        <v>0</v>
      </c>
      <c r="X214" s="110">
        <f t="shared" si="3"/>
        <v>0</v>
      </c>
      <c r="Y214" s="2"/>
    </row>
    <row r="215" spans="2:25" ht="15.75" customHeight="1" x14ac:dyDescent="0.25">
      <c r="B215">
        <v>6</v>
      </c>
      <c r="C215" t="s">
        <v>112</v>
      </c>
      <c r="D215" s="97">
        <v>623</v>
      </c>
      <c r="E215" s="110">
        <f>FASE1!G215</f>
        <v>0</v>
      </c>
      <c r="F215" s="110">
        <f>FASE1!M215</f>
        <v>0</v>
      </c>
      <c r="G215" s="110">
        <f>FASE1!L215</f>
        <v>0</v>
      </c>
      <c r="H215" s="110">
        <f>FASE1!R215</f>
        <v>0</v>
      </c>
      <c r="I215" s="110">
        <f>FASE1!U215</f>
        <v>0</v>
      </c>
      <c r="J215" s="110">
        <f>FASE1!U215</f>
        <v>0</v>
      </c>
      <c r="K215" s="110">
        <f>FASE1!P215</f>
        <v>0</v>
      </c>
      <c r="L215" s="110">
        <f>FASE1!V215</f>
        <v>0</v>
      </c>
      <c r="M215" s="110">
        <f>AVERAGE(FASE2!F215:G215)</f>
        <v>0</v>
      </c>
      <c r="N215" s="110">
        <f>AVERAGE(FASE2!O215:P215,FASE2!S215)</f>
        <v>0</v>
      </c>
      <c r="O215" s="110">
        <f>FASE4!K215</f>
        <v>0</v>
      </c>
      <c r="P215" s="110">
        <f>FASE2!N215</f>
        <v>0</v>
      </c>
      <c r="Q215" s="110">
        <f>FASE3!P215</f>
        <v>0</v>
      </c>
      <c r="R215" s="110">
        <f>FASE3!N215</f>
        <v>0</v>
      </c>
      <c r="S215" s="110">
        <f>AVERAGE(FASE3!Q215,FASE3!R215,FASE3!T215,FASE3!S215)</f>
        <v>0</v>
      </c>
      <c r="T215" s="110">
        <f>AVERAGE(FASE3!U215,FASE3!V215,FASE3!W215)</f>
        <v>0</v>
      </c>
      <c r="U215" s="110">
        <f>FASE3!Y215</f>
        <v>0</v>
      </c>
      <c r="V215" s="110">
        <f>FASE3!X215</f>
        <v>0</v>
      </c>
      <c r="W215" s="110">
        <f>FASE4!M215</f>
        <v>0</v>
      </c>
      <c r="X215" s="110">
        <f t="shared" si="3"/>
        <v>0</v>
      </c>
      <c r="Y215" s="2"/>
    </row>
    <row r="216" spans="2:25" ht="15.75" customHeight="1" x14ac:dyDescent="0.25">
      <c r="B216">
        <v>6</v>
      </c>
      <c r="C216" t="s">
        <v>111</v>
      </c>
      <c r="D216" s="97">
        <v>601</v>
      </c>
      <c r="E216" s="110">
        <f>FASE1!G216</f>
        <v>0</v>
      </c>
      <c r="F216" s="110">
        <f>FASE1!M216</f>
        <v>0</v>
      </c>
      <c r="G216" s="110">
        <f>FASE1!L216</f>
        <v>0</v>
      </c>
      <c r="H216" s="110">
        <f>FASE1!R216</f>
        <v>0</v>
      </c>
      <c r="I216" s="110">
        <f>FASE1!U216</f>
        <v>0</v>
      </c>
      <c r="J216" s="110">
        <f>FASE1!U216</f>
        <v>0</v>
      </c>
      <c r="K216" s="110">
        <f>FASE1!P216</f>
        <v>0</v>
      </c>
      <c r="L216" s="110">
        <f>FASE1!V216</f>
        <v>0</v>
      </c>
      <c r="M216" s="110">
        <f>AVERAGE(FASE2!F216:G216)</f>
        <v>0</v>
      </c>
      <c r="N216" s="110">
        <f>AVERAGE(FASE2!O216:P216,FASE2!S216)</f>
        <v>0</v>
      </c>
      <c r="O216" s="110">
        <f>FASE4!K216</f>
        <v>0</v>
      </c>
      <c r="P216" s="110">
        <f>FASE2!N216</f>
        <v>0</v>
      </c>
      <c r="Q216" s="110">
        <f>FASE3!P216</f>
        <v>0</v>
      </c>
      <c r="R216" s="110">
        <f>FASE3!N216</f>
        <v>0</v>
      </c>
      <c r="S216" s="110">
        <f>AVERAGE(FASE3!Q216,FASE3!R216,FASE3!T216,FASE3!S216)</f>
        <v>0</v>
      </c>
      <c r="T216" s="110">
        <f>AVERAGE(FASE3!U216,FASE3!V216,FASE3!W216)</f>
        <v>0</v>
      </c>
      <c r="U216" s="110">
        <f>FASE3!Y216</f>
        <v>0</v>
      </c>
      <c r="V216" s="110">
        <f>FASE3!X216</f>
        <v>0</v>
      </c>
      <c r="W216" s="110">
        <f>FASE4!M216</f>
        <v>0</v>
      </c>
      <c r="X216" s="110">
        <f t="shared" si="3"/>
        <v>0</v>
      </c>
      <c r="Y216" s="2"/>
    </row>
    <row r="217" spans="2:25" ht="15.75" customHeight="1" x14ac:dyDescent="0.25">
      <c r="B217">
        <v>6</v>
      </c>
      <c r="C217" t="s">
        <v>111</v>
      </c>
      <c r="D217" s="97">
        <v>602</v>
      </c>
      <c r="E217" s="110">
        <f>FASE1!G217</f>
        <v>0</v>
      </c>
      <c r="F217" s="110">
        <f>FASE1!M217</f>
        <v>0</v>
      </c>
      <c r="G217" s="110">
        <f>FASE1!L217</f>
        <v>0</v>
      </c>
      <c r="H217" s="110">
        <f>FASE1!R217</f>
        <v>0</v>
      </c>
      <c r="I217" s="110">
        <f>FASE1!U217</f>
        <v>0</v>
      </c>
      <c r="J217" s="110">
        <f>FASE1!U217</f>
        <v>0</v>
      </c>
      <c r="K217" s="110">
        <f>FASE1!P217</f>
        <v>0</v>
      </c>
      <c r="L217" s="110">
        <f>FASE1!V217</f>
        <v>0</v>
      </c>
      <c r="M217" s="110">
        <f>AVERAGE(FASE2!F217:G217)</f>
        <v>0</v>
      </c>
      <c r="N217" s="110">
        <f>AVERAGE(FASE2!O217:P217,FASE2!S217)</f>
        <v>0</v>
      </c>
      <c r="O217" s="110">
        <f>FASE4!K217</f>
        <v>0</v>
      </c>
      <c r="P217" s="110">
        <f>FASE2!N217</f>
        <v>0</v>
      </c>
      <c r="Q217" s="110">
        <f>FASE3!P217</f>
        <v>0</v>
      </c>
      <c r="R217" s="110">
        <f>FASE3!N217</f>
        <v>0</v>
      </c>
      <c r="S217" s="110">
        <f>AVERAGE(FASE3!Q217,FASE3!R217,FASE3!T217,FASE3!S217)</f>
        <v>0</v>
      </c>
      <c r="T217" s="110">
        <f>AVERAGE(FASE3!U217,FASE3!V217,FASE3!W217)</f>
        <v>0</v>
      </c>
      <c r="U217" s="110">
        <f>FASE3!Y217</f>
        <v>0</v>
      </c>
      <c r="V217" s="110">
        <f>FASE3!X217</f>
        <v>0</v>
      </c>
      <c r="W217" s="110">
        <f>FASE4!M217</f>
        <v>0</v>
      </c>
      <c r="X217" s="110">
        <f t="shared" si="3"/>
        <v>0</v>
      </c>
      <c r="Y217" s="2"/>
    </row>
    <row r="218" spans="2:25" ht="15.75" customHeight="1" x14ac:dyDescent="0.25">
      <c r="B218">
        <v>6</v>
      </c>
      <c r="C218" t="s">
        <v>111</v>
      </c>
      <c r="D218" s="97">
        <v>603</v>
      </c>
      <c r="E218" s="110">
        <f>FASE1!G218</f>
        <v>0</v>
      </c>
      <c r="F218" s="110">
        <f>FASE1!M218</f>
        <v>0</v>
      </c>
      <c r="G218" s="110">
        <f>FASE1!L218</f>
        <v>0</v>
      </c>
      <c r="H218" s="110">
        <f>FASE1!R218</f>
        <v>0</v>
      </c>
      <c r="I218" s="110">
        <f>FASE1!U218</f>
        <v>0</v>
      </c>
      <c r="J218" s="110">
        <f>FASE1!U218</f>
        <v>0</v>
      </c>
      <c r="K218" s="110">
        <f>FASE1!P218</f>
        <v>0</v>
      </c>
      <c r="L218" s="110">
        <f>FASE1!V218</f>
        <v>0</v>
      </c>
      <c r="M218" s="110">
        <f>AVERAGE(FASE2!F218:G218)</f>
        <v>0</v>
      </c>
      <c r="N218" s="110">
        <f>AVERAGE(FASE2!O218:P218,FASE2!S218)</f>
        <v>0</v>
      </c>
      <c r="O218" s="110">
        <f>FASE4!K218</f>
        <v>0</v>
      </c>
      <c r="P218" s="110">
        <f>FASE2!N218</f>
        <v>0</v>
      </c>
      <c r="Q218" s="110">
        <f>FASE3!P218</f>
        <v>0</v>
      </c>
      <c r="R218" s="110">
        <f>FASE3!N218</f>
        <v>0</v>
      </c>
      <c r="S218" s="110">
        <f>AVERAGE(FASE3!Q218,FASE3!R218,FASE3!T218,FASE3!S218)</f>
        <v>0</v>
      </c>
      <c r="T218" s="110">
        <f>AVERAGE(FASE3!U218,FASE3!V218,FASE3!W218)</f>
        <v>0</v>
      </c>
      <c r="U218" s="110">
        <f>FASE3!Y218</f>
        <v>0</v>
      </c>
      <c r="V218" s="110">
        <f>FASE3!X218</f>
        <v>0</v>
      </c>
      <c r="W218" s="110">
        <f>FASE4!M218</f>
        <v>0</v>
      </c>
      <c r="X218" s="110">
        <f t="shared" si="3"/>
        <v>0</v>
      </c>
      <c r="Y218" s="2"/>
    </row>
    <row r="219" spans="2:25" ht="15.75" customHeight="1" x14ac:dyDescent="0.25">
      <c r="B219">
        <v>6</v>
      </c>
      <c r="C219" t="s">
        <v>111</v>
      </c>
      <c r="D219" s="97">
        <v>604</v>
      </c>
      <c r="E219" s="110">
        <f>FASE1!G219</f>
        <v>0</v>
      </c>
      <c r="F219" s="110">
        <f>FASE1!M219</f>
        <v>0</v>
      </c>
      <c r="G219" s="110">
        <f>FASE1!L219</f>
        <v>0</v>
      </c>
      <c r="H219" s="110">
        <f>FASE1!R219</f>
        <v>0</v>
      </c>
      <c r="I219" s="110">
        <f>FASE1!U219</f>
        <v>0</v>
      </c>
      <c r="J219" s="110">
        <f>FASE1!U219</f>
        <v>0</v>
      </c>
      <c r="K219" s="110">
        <f>FASE1!P219</f>
        <v>0</v>
      </c>
      <c r="L219" s="110">
        <f>FASE1!V219</f>
        <v>0</v>
      </c>
      <c r="M219" s="110">
        <f>AVERAGE(FASE2!F219:G219)</f>
        <v>0</v>
      </c>
      <c r="N219" s="110">
        <f>AVERAGE(FASE2!O219:P219,FASE2!S219)</f>
        <v>0</v>
      </c>
      <c r="O219" s="110">
        <f>FASE4!K219</f>
        <v>0</v>
      </c>
      <c r="P219" s="110">
        <f>FASE2!N219</f>
        <v>0</v>
      </c>
      <c r="Q219" s="110">
        <f>FASE3!P219</f>
        <v>0</v>
      </c>
      <c r="R219" s="110">
        <f>FASE3!N219</f>
        <v>0</v>
      </c>
      <c r="S219" s="110">
        <f>AVERAGE(FASE3!Q219,FASE3!R219,FASE3!T219,FASE3!S219)</f>
        <v>0</v>
      </c>
      <c r="T219" s="110">
        <f>AVERAGE(FASE3!U219,FASE3!V219,FASE3!W219)</f>
        <v>0</v>
      </c>
      <c r="U219" s="110">
        <f>FASE3!Y219</f>
        <v>0</v>
      </c>
      <c r="V219" s="110">
        <f>FASE3!X219</f>
        <v>0</v>
      </c>
      <c r="W219" s="110">
        <f>FASE4!M219</f>
        <v>0</v>
      </c>
      <c r="X219" s="110">
        <f t="shared" si="3"/>
        <v>0</v>
      </c>
      <c r="Y219" s="2"/>
    </row>
    <row r="220" spans="2:25" ht="15.75" customHeight="1" x14ac:dyDescent="0.25">
      <c r="B220">
        <v>6</v>
      </c>
      <c r="C220" t="s">
        <v>111</v>
      </c>
      <c r="D220" s="97">
        <v>605</v>
      </c>
      <c r="E220" s="110">
        <f>FASE1!G220</f>
        <v>0</v>
      </c>
      <c r="F220" s="110">
        <f>FASE1!M220</f>
        <v>0</v>
      </c>
      <c r="G220" s="110">
        <f>FASE1!L220</f>
        <v>0</v>
      </c>
      <c r="H220" s="110">
        <f>FASE1!R220</f>
        <v>0</v>
      </c>
      <c r="I220" s="110">
        <f>FASE1!U220</f>
        <v>0</v>
      </c>
      <c r="J220" s="110">
        <f>FASE1!U220</f>
        <v>0</v>
      </c>
      <c r="K220" s="110">
        <f>FASE1!P220</f>
        <v>0</v>
      </c>
      <c r="L220" s="110">
        <f>FASE1!V220</f>
        <v>0</v>
      </c>
      <c r="M220" s="110">
        <f>AVERAGE(FASE2!F220:G220)</f>
        <v>0</v>
      </c>
      <c r="N220" s="110">
        <f>AVERAGE(FASE2!O220:P220,FASE2!S220)</f>
        <v>0</v>
      </c>
      <c r="O220" s="110">
        <f>FASE4!K220</f>
        <v>0</v>
      </c>
      <c r="P220" s="110">
        <f>FASE2!N220</f>
        <v>0</v>
      </c>
      <c r="Q220" s="110">
        <f>FASE3!P220</f>
        <v>0</v>
      </c>
      <c r="R220" s="110">
        <f>FASE3!N220</f>
        <v>0</v>
      </c>
      <c r="S220" s="110">
        <f>AVERAGE(FASE3!Q220,FASE3!R220,FASE3!T220,FASE3!S220)</f>
        <v>0</v>
      </c>
      <c r="T220" s="110">
        <f>AVERAGE(FASE3!U220,FASE3!V220,FASE3!W220)</f>
        <v>0</v>
      </c>
      <c r="U220" s="110">
        <f>FASE3!Y220</f>
        <v>0</v>
      </c>
      <c r="V220" s="110">
        <f>FASE3!X220</f>
        <v>0</v>
      </c>
      <c r="W220" s="110">
        <f>FASE4!M220</f>
        <v>0</v>
      </c>
      <c r="X220" s="110">
        <f t="shared" si="3"/>
        <v>0</v>
      </c>
      <c r="Y220" s="2"/>
    </row>
    <row r="221" spans="2:25" ht="15.75" customHeight="1" x14ac:dyDescent="0.25">
      <c r="B221">
        <v>6</v>
      </c>
      <c r="C221" t="s">
        <v>111</v>
      </c>
      <c r="D221" s="97">
        <v>606</v>
      </c>
      <c r="E221" s="110">
        <f>FASE1!G221</f>
        <v>0</v>
      </c>
      <c r="F221" s="110">
        <f>FASE1!M221</f>
        <v>0</v>
      </c>
      <c r="G221" s="110">
        <f>FASE1!L221</f>
        <v>0</v>
      </c>
      <c r="H221" s="110">
        <f>FASE1!R221</f>
        <v>0</v>
      </c>
      <c r="I221" s="110">
        <f>FASE1!U221</f>
        <v>0</v>
      </c>
      <c r="J221" s="110">
        <f>FASE1!U221</f>
        <v>0</v>
      </c>
      <c r="K221" s="110">
        <f>FASE1!P221</f>
        <v>0</v>
      </c>
      <c r="L221" s="110">
        <f>FASE1!V221</f>
        <v>0</v>
      </c>
      <c r="M221" s="110">
        <f>AVERAGE(FASE2!F221:G221)</f>
        <v>0</v>
      </c>
      <c r="N221" s="110">
        <f>AVERAGE(FASE2!O221:P221,FASE2!S221)</f>
        <v>0</v>
      </c>
      <c r="O221" s="110">
        <f>FASE4!K221</f>
        <v>0</v>
      </c>
      <c r="P221" s="110">
        <f>FASE2!N221</f>
        <v>0</v>
      </c>
      <c r="Q221" s="110">
        <f>FASE3!P221</f>
        <v>0</v>
      </c>
      <c r="R221" s="110">
        <f>FASE3!N221</f>
        <v>0</v>
      </c>
      <c r="S221" s="110">
        <f>AVERAGE(FASE3!Q221,FASE3!R221,FASE3!T221,FASE3!S221)</f>
        <v>0</v>
      </c>
      <c r="T221" s="110">
        <f>AVERAGE(FASE3!U221,FASE3!V221,FASE3!W221)</f>
        <v>0</v>
      </c>
      <c r="U221" s="110">
        <f>FASE3!Y221</f>
        <v>0</v>
      </c>
      <c r="V221" s="110">
        <f>FASE3!X221</f>
        <v>0</v>
      </c>
      <c r="W221" s="110">
        <f>FASE4!M221</f>
        <v>0</v>
      </c>
      <c r="X221" s="110">
        <f t="shared" si="3"/>
        <v>0</v>
      </c>
      <c r="Y221" s="2"/>
    </row>
    <row r="222" spans="2:25" ht="15.75" customHeight="1" x14ac:dyDescent="0.25">
      <c r="B222">
        <v>6</v>
      </c>
      <c r="C222" t="s">
        <v>111</v>
      </c>
      <c r="D222" s="97">
        <v>607</v>
      </c>
      <c r="E222" s="110">
        <f>FASE1!G222</f>
        <v>0</v>
      </c>
      <c r="F222" s="110">
        <f>FASE1!M222</f>
        <v>0</v>
      </c>
      <c r="G222" s="110">
        <f>FASE1!L222</f>
        <v>0</v>
      </c>
      <c r="H222" s="110">
        <f>FASE1!R222</f>
        <v>0</v>
      </c>
      <c r="I222" s="110">
        <f>FASE1!U222</f>
        <v>0</v>
      </c>
      <c r="J222" s="110">
        <f>FASE1!U222</f>
        <v>0</v>
      </c>
      <c r="K222" s="110">
        <f>FASE1!P222</f>
        <v>0</v>
      </c>
      <c r="L222" s="110">
        <f>FASE1!V222</f>
        <v>0</v>
      </c>
      <c r="M222" s="110">
        <f>AVERAGE(FASE2!F222:G222)</f>
        <v>0</v>
      </c>
      <c r="N222" s="110">
        <f>AVERAGE(FASE2!O222:P222,FASE2!S222)</f>
        <v>0</v>
      </c>
      <c r="O222" s="110">
        <f>FASE4!K222</f>
        <v>0</v>
      </c>
      <c r="P222" s="110">
        <f>FASE2!N222</f>
        <v>0</v>
      </c>
      <c r="Q222" s="110">
        <f>FASE3!P222</f>
        <v>0</v>
      </c>
      <c r="R222" s="110">
        <f>FASE3!N222</f>
        <v>0</v>
      </c>
      <c r="S222" s="110">
        <f>AVERAGE(FASE3!Q222,FASE3!R222,FASE3!T222,FASE3!S222)</f>
        <v>0</v>
      </c>
      <c r="T222" s="110">
        <f>AVERAGE(FASE3!U222,FASE3!V222,FASE3!W222)</f>
        <v>0</v>
      </c>
      <c r="U222" s="110">
        <f>FASE3!Y222</f>
        <v>0</v>
      </c>
      <c r="V222" s="110">
        <f>FASE3!X222</f>
        <v>0</v>
      </c>
      <c r="W222" s="110">
        <f>FASE4!M222</f>
        <v>0</v>
      </c>
      <c r="X222" s="110">
        <f t="shared" si="3"/>
        <v>0</v>
      </c>
      <c r="Y222" s="2"/>
    </row>
    <row r="223" spans="2:25" ht="15.75" customHeight="1" x14ac:dyDescent="0.25">
      <c r="B223">
        <v>6</v>
      </c>
      <c r="C223" t="s">
        <v>111</v>
      </c>
      <c r="D223" s="97">
        <v>608</v>
      </c>
      <c r="E223" s="110">
        <f>FASE1!G223</f>
        <v>0</v>
      </c>
      <c r="F223" s="110">
        <f>FASE1!M223</f>
        <v>0</v>
      </c>
      <c r="G223" s="110">
        <f>FASE1!L223</f>
        <v>0</v>
      </c>
      <c r="H223" s="110">
        <f>FASE1!R223</f>
        <v>0</v>
      </c>
      <c r="I223" s="110">
        <f>FASE1!U223</f>
        <v>0</v>
      </c>
      <c r="J223" s="110">
        <f>FASE1!U223</f>
        <v>0</v>
      </c>
      <c r="K223" s="110">
        <f>FASE1!P223</f>
        <v>0</v>
      </c>
      <c r="L223" s="110">
        <f>FASE1!V223</f>
        <v>0</v>
      </c>
      <c r="M223" s="110">
        <f>AVERAGE(FASE2!F223:G223)</f>
        <v>0</v>
      </c>
      <c r="N223" s="110">
        <f>AVERAGE(FASE2!O223:P223,FASE2!S223)</f>
        <v>0</v>
      </c>
      <c r="O223" s="110">
        <f>FASE4!K223</f>
        <v>0</v>
      </c>
      <c r="P223" s="110">
        <f>FASE2!N223</f>
        <v>0</v>
      </c>
      <c r="Q223" s="110">
        <f>FASE3!P223</f>
        <v>0</v>
      </c>
      <c r="R223" s="110">
        <f>FASE3!N223</f>
        <v>0</v>
      </c>
      <c r="S223" s="110">
        <f>AVERAGE(FASE3!Q223,FASE3!R223,FASE3!T223,FASE3!S223)</f>
        <v>0</v>
      </c>
      <c r="T223" s="110">
        <f>AVERAGE(FASE3!U223,FASE3!V223,FASE3!W223)</f>
        <v>0</v>
      </c>
      <c r="U223" s="110">
        <f>FASE3!Y223</f>
        <v>0</v>
      </c>
      <c r="V223" s="110">
        <f>FASE3!X223</f>
        <v>0</v>
      </c>
      <c r="W223" s="110">
        <f>FASE4!M223</f>
        <v>0</v>
      </c>
      <c r="X223" s="110">
        <f t="shared" si="3"/>
        <v>0</v>
      </c>
      <c r="Y223" s="2"/>
    </row>
    <row r="224" spans="2:25" ht="15.75" customHeight="1" x14ac:dyDescent="0.25">
      <c r="B224">
        <v>6</v>
      </c>
      <c r="C224" t="s">
        <v>111</v>
      </c>
      <c r="D224" s="97">
        <v>609</v>
      </c>
      <c r="E224" s="110">
        <f>FASE1!G224</f>
        <v>0</v>
      </c>
      <c r="F224" s="110">
        <f>FASE1!M224</f>
        <v>0</v>
      </c>
      <c r="G224" s="110">
        <f>FASE1!L224</f>
        <v>0</v>
      </c>
      <c r="H224" s="110">
        <f>FASE1!R224</f>
        <v>0</v>
      </c>
      <c r="I224" s="110">
        <f>FASE1!U224</f>
        <v>0</v>
      </c>
      <c r="J224" s="110">
        <f>FASE1!U224</f>
        <v>0</v>
      </c>
      <c r="K224" s="110">
        <f>FASE1!P224</f>
        <v>0</v>
      </c>
      <c r="L224" s="110">
        <f>FASE1!V224</f>
        <v>0</v>
      </c>
      <c r="M224" s="110">
        <f>AVERAGE(FASE2!F224:G224)</f>
        <v>0</v>
      </c>
      <c r="N224" s="110">
        <f>AVERAGE(FASE2!O224:P224,FASE2!S224)</f>
        <v>0</v>
      </c>
      <c r="O224" s="110">
        <f>FASE4!K224</f>
        <v>0</v>
      </c>
      <c r="P224" s="110">
        <f>FASE2!N224</f>
        <v>0</v>
      </c>
      <c r="Q224" s="110">
        <f>FASE3!P224</f>
        <v>0</v>
      </c>
      <c r="R224" s="110">
        <f>FASE3!N224</f>
        <v>0</v>
      </c>
      <c r="S224" s="110">
        <f>AVERAGE(FASE3!Q224,FASE3!R224,FASE3!T224,FASE3!S224)</f>
        <v>0</v>
      </c>
      <c r="T224" s="110">
        <f>AVERAGE(FASE3!U224,FASE3!V224,FASE3!W224)</f>
        <v>0</v>
      </c>
      <c r="U224" s="110">
        <f>FASE3!Y224</f>
        <v>0</v>
      </c>
      <c r="V224" s="110">
        <f>FASE3!X224</f>
        <v>0</v>
      </c>
      <c r="W224" s="110">
        <f>FASE4!M224</f>
        <v>0</v>
      </c>
      <c r="X224" s="110">
        <f t="shared" si="3"/>
        <v>0</v>
      </c>
      <c r="Y224" s="2"/>
    </row>
    <row r="225" spans="2:25" ht="15.75" customHeight="1" x14ac:dyDescent="0.25">
      <c r="B225">
        <v>6</v>
      </c>
      <c r="C225" t="s">
        <v>111</v>
      </c>
      <c r="D225" s="97">
        <v>610</v>
      </c>
      <c r="E225" s="110">
        <f>FASE1!G225</f>
        <v>0</v>
      </c>
      <c r="F225" s="110">
        <f>FASE1!M225</f>
        <v>0</v>
      </c>
      <c r="G225" s="110">
        <f>FASE1!L225</f>
        <v>0</v>
      </c>
      <c r="H225" s="110">
        <f>FASE1!R225</f>
        <v>0</v>
      </c>
      <c r="I225" s="110">
        <f>FASE1!U225</f>
        <v>0</v>
      </c>
      <c r="J225" s="110">
        <f>FASE1!U225</f>
        <v>0</v>
      </c>
      <c r="K225" s="110">
        <f>FASE1!P225</f>
        <v>0</v>
      </c>
      <c r="L225" s="110">
        <f>FASE1!V225</f>
        <v>0</v>
      </c>
      <c r="M225" s="110">
        <f>AVERAGE(FASE2!F225:G225)</f>
        <v>0</v>
      </c>
      <c r="N225" s="110">
        <f>AVERAGE(FASE2!O225:P225,FASE2!S225)</f>
        <v>0</v>
      </c>
      <c r="O225" s="110">
        <f>FASE4!K225</f>
        <v>0</v>
      </c>
      <c r="P225" s="110">
        <f>FASE2!N225</f>
        <v>0</v>
      </c>
      <c r="Q225" s="110">
        <f>FASE3!P225</f>
        <v>0</v>
      </c>
      <c r="R225" s="110">
        <f>FASE3!N225</f>
        <v>0</v>
      </c>
      <c r="S225" s="110">
        <f>AVERAGE(FASE3!Q225,FASE3!R225,FASE3!T225,FASE3!S225)</f>
        <v>0</v>
      </c>
      <c r="T225" s="110">
        <f>AVERAGE(FASE3!U225,FASE3!V225,FASE3!W225)</f>
        <v>0</v>
      </c>
      <c r="U225" s="110">
        <f>FASE3!Y225</f>
        <v>0</v>
      </c>
      <c r="V225" s="110">
        <f>FASE3!X225</f>
        <v>0</v>
      </c>
      <c r="W225" s="110">
        <f>FASE4!M225</f>
        <v>0</v>
      </c>
      <c r="X225" s="110">
        <f t="shared" si="3"/>
        <v>0</v>
      </c>
      <c r="Y225" s="2"/>
    </row>
    <row r="226" spans="2:25" ht="15.75" customHeight="1" x14ac:dyDescent="0.25">
      <c r="B226">
        <v>6</v>
      </c>
      <c r="C226" t="s">
        <v>111</v>
      </c>
      <c r="D226" s="97">
        <v>611</v>
      </c>
      <c r="E226" s="110">
        <f>FASE1!G226</f>
        <v>0</v>
      </c>
      <c r="F226" s="110">
        <f>FASE1!M226</f>
        <v>0</v>
      </c>
      <c r="G226" s="110">
        <f>FASE1!L226</f>
        <v>0</v>
      </c>
      <c r="H226" s="110">
        <f>FASE1!R226</f>
        <v>0</v>
      </c>
      <c r="I226" s="110">
        <f>FASE1!U226</f>
        <v>0</v>
      </c>
      <c r="J226" s="110">
        <f>FASE1!U226</f>
        <v>0</v>
      </c>
      <c r="K226" s="110">
        <f>FASE1!P226</f>
        <v>0</v>
      </c>
      <c r="L226" s="110">
        <f>FASE1!V226</f>
        <v>0</v>
      </c>
      <c r="M226" s="110">
        <f>AVERAGE(FASE2!F226:G226)</f>
        <v>0</v>
      </c>
      <c r="N226" s="110">
        <f>AVERAGE(FASE2!O226:P226,FASE2!S226)</f>
        <v>0</v>
      </c>
      <c r="O226" s="110">
        <f>FASE4!K226</f>
        <v>0</v>
      </c>
      <c r="P226" s="110">
        <f>FASE2!N226</f>
        <v>0</v>
      </c>
      <c r="Q226" s="110">
        <f>FASE3!P226</f>
        <v>0</v>
      </c>
      <c r="R226" s="110">
        <f>FASE3!N226</f>
        <v>0</v>
      </c>
      <c r="S226" s="110">
        <f>AVERAGE(FASE3!Q226,FASE3!R226,FASE3!T226,FASE3!S226)</f>
        <v>0</v>
      </c>
      <c r="T226" s="110">
        <f>AVERAGE(FASE3!U226,FASE3!V226,FASE3!W226)</f>
        <v>0</v>
      </c>
      <c r="U226" s="110">
        <f>FASE3!Y226</f>
        <v>0</v>
      </c>
      <c r="V226" s="110">
        <f>FASE3!X226</f>
        <v>0</v>
      </c>
      <c r="W226" s="110">
        <f>FASE4!M226</f>
        <v>0</v>
      </c>
      <c r="X226" s="110">
        <f t="shared" si="3"/>
        <v>0</v>
      </c>
      <c r="Y226" s="2"/>
    </row>
    <row r="227" spans="2:25" ht="15.75" customHeight="1" x14ac:dyDescent="0.25">
      <c r="B227">
        <v>6</v>
      </c>
      <c r="C227" t="s">
        <v>111</v>
      </c>
      <c r="D227" s="97">
        <v>612</v>
      </c>
      <c r="E227" s="110">
        <f>FASE1!G227</f>
        <v>0</v>
      </c>
      <c r="F227" s="110">
        <f>FASE1!M227</f>
        <v>0</v>
      </c>
      <c r="G227" s="110">
        <f>FASE1!L227</f>
        <v>0</v>
      </c>
      <c r="H227" s="110">
        <f>FASE1!R227</f>
        <v>0</v>
      </c>
      <c r="I227" s="110">
        <f>FASE1!U227</f>
        <v>0</v>
      </c>
      <c r="J227" s="110">
        <f>FASE1!U227</f>
        <v>0</v>
      </c>
      <c r="K227" s="110">
        <f>FASE1!P227</f>
        <v>0</v>
      </c>
      <c r="L227" s="110">
        <f>FASE1!V227</f>
        <v>0</v>
      </c>
      <c r="M227" s="110">
        <f>AVERAGE(FASE2!F227:G227)</f>
        <v>0</v>
      </c>
      <c r="N227" s="110">
        <f>AVERAGE(FASE2!O227:P227,FASE2!S227)</f>
        <v>0</v>
      </c>
      <c r="O227" s="110">
        <f>FASE4!K227</f>
        <v>0</v>
      </c>
      <c r="P227" s="110">
        <f>FASE2!N227</f>
        <v>0</v>
      </c>
      <c r="Q227" s="110">
        <f>FASE3!P227</f>
        <v>0</v>
      </c>
      <c r="R227" s="110">
        <f>FASE3!N227</f>
        <v>0</v>
      </c>
      <c r="S227" s="110">
        <f>AVERAGE(FASE3!Q227,FASE3!R227,FASE3!T227,FASE3!S227)</f>
        <v>0</v>
      </c>
      <c r="T227" s="110">
        <f>AVERAGE(FASE3!U227,FASE3!V227,FASE3!W227)</f>
        <v>0</v>
      </c>
      <c r="U227" s="110">
        <f>FASE3!Y227</f>
        <v>0</v>
      </c>
      <c r="V227" s="110">
        <f>FASE3!X227</f>
        <v>0</v>
      </c>
      <c r="W227" s="110">
        <f>FASE4!M227</f>
        <v>0</v>
      </c>
      <c r="X227" s="110">
        <f t="shared" si="3"/>
        <v>0</v>
      </c>
      <c r="Y227" s="2"/>
    </row>
    <row r="228" spans="2:25" ht="15.75" customHeight="1" x14ac:dyDescent="0.25">
      <c r="B228">
        <v>6</v>
      </c>
      <c r="C228" t="s">
        <v>111</v>
      </c>
      <c r="D228" s="97">
        <v>613</v>
      </c>
      <c r="E228" s="110">
        <f>FASE1!G228</f>
        <v>0</v>
      </c>
      <c r="F228" s="110">
        <f>FASE1!M228</f>
        <v>0</v>
      </c>
      <c r="G228" s="110">
        <f>FASE1!L228</f>
        <v>0</v>
      </c>
      <c r="H228" s="110">
        <f>FASE1!R228</f>
        <v>0</v>
      </c>
      <c r="I228" s="110">
        <f>FASE1!U228</f>
        <v>0</v>
      </c>
      <c r="J228" s="110">
        <f>FASE1!U228</f>
        <v>0</v>
      </c>
      <c r="K228" s="110">
        <f>FASE1!P228</f>
        <v>0</v>
      </c>
      <c r="L228" s="110">
        <f>FASE1!V228</f>
        <v>0</v>
      </c>
      <c r="M228" s="110">
        <f>AVERAGE(FASE2!F228:G228)</f>
        <v>0</v>
      </c>
      <c r="N228" s="110">
        <f>AVERAGE(FASE2!O228:P228,FASE2!S228)</f>
        <v>0</v>
      </c>
      <c r="O228" s="110">
        <f>FASE4!K228</f>
        <v>0</v>
      </c>
      <c r="P228" s="110">
        <f>FASE2!N228</f>
        <v>0</v>
      </c>
      <c r="Q228" s="110">
        <f>FASE3!P228</f>
        <v>0</v>
      </c>
      <c r="R228" s="110">
        <f>FASE3!N228</f>
        <v>0</v>
      </c>
      <c r="S228" s="110">
        <f>AVERAGE(FASE3!Q228,FASE3!R228,FASE3!T228,FASE3!S228)</f>
        <v>0</v>
      </c>
      <c r="T228" s="110">
        <f>AVERAGE(FASE3!U228,FASE3!V228,FASE3!W228)</f>
        <v>0</v>
      </c>
      <c r="U228" s="110">
        <f>FASE3!Y228</f>
        <v>0</v>
      </c>
      <c r="V228" s="110">
        <f>FASE3!X228</f>
        <v>0</v>
      </c>
      <c r="W228" s="110">
        <f>FASE4!M228</f>
        <v>0</v>
      </c>
      <c r="X228" s="110">
        <f t="shared" si="3"/>
        <v>0</v>
      </c>
      <c r="Y228" s="2"/>
    </row>
    <row r="229" spans="2:25" ht="15.75" customHeight="1" x14ac:dyDescent="0.25">
      <c r="B229">
        <v>6</v>
      </c>
      <c r="C229" t="s">
        <v>111</v>
      </c>
      <c r="D229" s="97">
        <v>614</v>
      </c>
      <c r="E229" s="110">
        <f>FASE1!G229</f>
        <v>0</v>
      </c>
      <c r="F229" s="110">
        <f>FASE1!M229</f>
        <v>0</v>
      </c>
      <c r="G229" s="110">
        <f>FASE1!L229</f>
        <v>0</v>
      </c>
      <c r="H229" s="110">
        <f>FASE1!R229</f>
        <v>0</v>
      </c>
      <c r="I229" s="110">
        <f>FASE1!U229</f>
        <v>0</v>
      </c>
      <c r="J229" s="110">
        <f>FASE1!U229</f>
        <v>0</v>
      </c>
      <c r="K229" s="110">
        <f>FASE1!P229</f>
        <v>0</v>
      </c>
      <c r="L229" s="110">
        <f>FASE1!V229</f>
        <v>0</v>
      </c>
      <c r="M229" s="110">
        <f>AVERAGE(FASE2!F229:G229)</f>
        <v>0</v>
      </c>
      <c r="N229" s="110">
        <f>AVERAGE(FASE2!O229:P229,FASE2!S229)</f>
        <v>0</v>
      </c>
      <c r="O229" s="110">
        <f>FASE4!K229</f>
        <v>0</v>
      </c>
      <c r="P229" s="110">
        <f>FASE2!N229</f>
        <v>0</v>
      </c>
      <c r="Q229" s="110">
        <f>FASE3!P229</f>
        <v>0</v>
      </c>
      <c r="R229" s="110">
        <f>FASE3!N229</f>
        <v>0</v>
      </c>
      <c r="S229" s="110">
        <f>AVERAGE(FASE3!Q229,FASE3!R229,FASE3!T229,FASE3!S229)</f>
        <v>0</v>
      </c>
      <c r="T229" s="110">
        <f>AVERAGE(FASE3!U229,FASE3!V229,FASE3!W229)</f>
        <v>0</v>
      </c>
      <c r="U229" s="110">
        <f>FASE3!Y229</f>
        <v>0</v>
      </c>
      <c r="V229" s="110">
        <f>FASE3!X229</f>
        <v>0</v>
      </c>
      <c r="W229" s="110">
        <f>FASE4!M229</f>
        <v>0</v>
      </c>
      <c r="X229" s="110">
        <f t="shared" si="3"/>
        <v>0</v>
      </c>
      <c r="Y229" s="2"/>
    </row>
    <row r="230" spans="2:25" ht="15.75" customHeight="1" x14ac:dyDescent="0.25">
      <c r="B230">
        <v>6</v>
      </c>
      <c r="C230" t="s">
        <v>111</v>
      </c>
      <c r="D230" s="97">
        <v>615</v>
      </c>
      <c r="E230" s="110">
        <f>FASE1!G230</f>
        <v>0</v>
      </c>
      <c r="F230" s="110">
        <f>FASE1!M230</f>
        <v>0</v>
      </c>
      <c r="G230" s="110">
        <f>FASE1!L230</f>
        <v>0</v>
      </c>
      <c r="H230" s="110">
        <f>FASE1!R230</f>
        <v>0</v>
      </c>
      <c r="I230" s="110">
        <f>FASE1!U230</f>
        <v>0</v>
      </c>
      <c r="J230" s="110">
        <f>FASE1!U230</f>
        <v>0</v>
      </c>
      <c r="K230" s="110">
        <f>FASE1!P230</f>
        <v>0</v>
      </c>
      <c r="L230" s="110">
        <f>FASE1!V230</f>
        <v>0</v>
      </c>
      <c r="M230" s="110">
        <f>AVERAGE(FASE2!F230:G230)</f>
        <v>0</v>
      </c>
      <c r="N230" s="110">
        <f>AVERAGE(FASE2!O230:P230,FASE2!S230)</f>
        <v>0</v>
      </c>
      <c r="O230" s="110">
        <f>FASE4!K230</f>
        <v>0</v>
      </c>
      <c r="P230" s="110">
        <f>FASE2!N230</f>
        <v>0</v>
      </c>
      <c r="Q230" s="110">
        <f>FASE3!P230</f>
        <v>0</v>
      </c>
      <c r="R230" s="110">
        <f>FASE3!N230</f>
        <v>0</v>
      </c>
      <c r="S230" s="110">
        <f>AVERAGE(FASE3!Q230,FASE3!R230,FASE3!T230,FASE3!S230)</f>
        <v>0</v>
      </c>
      <c r="T230" s="110">
        <f>AVERAGE(FASE3!U230,FASE3!V230,FASE3!W230)</f>
        <v>0</v>
      </c>
      <c r="U230" s="110">
        <f>FASE3!Y230</f>
        <v>0</v>
      </c>
      <c r="V230" s="110">
        <f>FASE3!X230</f>
        <v>0</v>
      </c>
      <c r="W230" s="110">
        <f>FASE4!M230</f>
        <v>0</v>
      </c>
      <c r="X230" s="110">
        <f t="shared" si="3"/>
        <v>0</v>
      </c>
      <c r="Y230" s="2"/>
    </row>
    <row r="231" spans="2:25" ht="15.75" customHeight="1" x14ac:dyDescent="0.25">
      <c r="B231">
        <v>6</v>
      </c>
      <c r="C231" t="s">
        <v>111</v>
      </c>
      <c r="D231" s="97">
        <v>616</v>
      </c>
      <c r="E231" s="110">
        <f>FASE1!G231</f>
        <v>0</v>
      </c>
      <c r="F231" s="110">
        <f>FASE1!M231</f>
        <v>0</v>
      </c>
      <c r="G231" s="110">
        <f>FASE1!L231</f>
        <v>0</v>
      </c>
      <c r="H231" s="110">
        <f>FASE1!R231</f>
        <v>0</v>
      </c>
      <c r="I231" s="110">
        <f>FASE1!U231</f>
        <v>0</v>
      </c>
      <c r="J231" s="110">
        <f>FASE1!U231</f>
        <v>0</v>
      </c>
      <c r="K231" s="110">
        <f>FASE1!P231</f>
        <v>0</v>
      </c>
      <c r="L231" s="110">
        <f>FASE1!V231</f>
        <v>0</v>
      </c>
      <c r="M231" s="110">
        <f>AVERAGE(FASE2!F231:G231)</f>
        <v>0</v>
      </c>
      <c r="N231" s="110">
        <f>AVERAGE(FASE2!O231:P231,FASE2!S231)</f>
        <v>0</v>
      </c>
      <c r="O231" s="110">
        <f>FASE4!K231</f>
        <v>0</v>
      </c>
      <c r="P231" s="110">
        <f>FASE2!N231</f>
        <v>0</v>
      </c>
      <c r="Q231" s="110">
        <f>FASE3!P231</f>
        <v>0</v>
      </c>
      <c r="R231" s="110">
        <f>FASE3!N231</f>
        <v>0</v>
      </c>
      <c r="S231" s="110">
        <f>AVERAGE(FASE3!Q231,FASE3!R231,FASE3!T231,FASE3!S231)</f>
        <v>0</v>
      </c>
      <c r="T231" s="110">
        <f>AVERAGE(FASE3!U231,FASE3!V231,FASE3!W231)</f>
        <v>0</v>
      </c>
      <c r="U231" s="110">
        <f>FASE3!Y231</f>
        <v>0</v>
      </c>
      <c r="V231" s="110">
        <f>FASE3!X231</f>
        <v>0</v>
      </c>
      <c r="W231" s="110">
        <f>FASE4!M231</f>
        <v>0</v>
      </c>
      <c r="X231" s="110">
        <f t="shared" si="3"/>
        <v>0</v>
      </c>
      <c r="Y231" s="2"/>
    </row>
    <row r="232" spans="2:25" ht="15.75" customHeight="1" x14ac:dyDescent="0.25">
      <c r="B232">
        <v>6</v>
      </c>
      <c r="C232" t="s">
        <v>111</v>
      </c>
      <c r="D232" s="97">
        <v>617</v>
      </c>
      <c r="E232" s="110">
        <f>FASE1!G232</f>
        <v>0</v>
      </c>
      <c r="F232" s="110">
        <f>FASE1!M232</f>
        <v>0</v>
      </c>
      <c r="G232" s="110">
        <f>FASE1!L232</f>
        <v>0</v>
      </c>
      <c r="H232" s="110">
        <f>FASE1!R232</f>
        <v>0</v>
      </c>
      <c r="I232" s="110">
        <f>FASE1!U232</f>
        <v>0</v>
      </c>
      <c r="J232" s="110">
        <f>FASE1!U232</f>
        <v>0</v>
      </c>
      <c r="K232" s="110">
        <f>FASE1!P232</f>
        <v>0</v>
      </c>
      <c r="L232" s="110">
        <f>FASE1!V232</f>
        <v>0</v>
      </c>
      <c r="M232" s="110">
        <f>AVERAGE(FASE2!F232:G232)</f>
        <v>0</v>
      </c>
      <c r="N232" s="110">
        <f>AVERAGE(FASE2!O232:P232,FASE2!S232)</f>
        <v>0</v>
      </c>
      <c r="O232" s="110">
        <f>FASE4!K232</f>
        <v>0</v>
      </c>
      <c r="P232" s="110">
        <f>FASE2!N232</f>
        <v>0</v>
      </c>
      <c r="Q232" s="110">
        <f>FASE3!P232</f>
        <v>0</v>
      </c>
      <c r="R232" s="110">
        <f>FASE3!N232</f>
        <v>0</v>
      </c>
      <c r="S232" s="110">
        <f>AVERAGE(FASE3!Q232,FASE3!R232,FASE3!T232,FASE3!S232)</f>
        <v>0</v>
      </c>
      <c r="T232" s="110">
        <f>AVERAGE(FASE3!U232,FASE3!V232,FASE3!W232)</f>
        <v>0</v>
      </c>
      <c r="U232" s="110">
        <f>FASE3!Y232</f>
        <v>0</v>
      </c>
      <c r="V232" s="110">
        <f>FASE3!X232</f>
        <v>0</v>
      </c>
      <c r="W232" s="110">
        <f>FASE4!M232</f>
        <v>0</v>
      </c>
      <c r="X232" s="110">
        <f t="shared" si="3"/>
        <v>0</v>
      </c>
      <c r="Y232" s="2"/>
    </row>
    <row r="233" spans="2:25" ht="15.75" customHeight="1" x14ac:dyDescent="0.25">
      <c r="B233">
        <v>6</v>
      </c>
      <c r="C233" t="s">
        <v>111</v>
      </c>
      <c r="D233" s="97">
        <v>618</v>
      </c>
      <c r="E233" s="110">
        <f>FASE1!G233</f>
        <v>0</v>
      </c>
      <c r="F233" s="110">
        <f>FASE1!M233</f>
        <v>0</v>
      </c>
      <c r="G233" s="110">
        <f>FASE1!L233</f>
        <v>0</v>
      </c>
      <c r="H233" s="110">
        <f>FASE1!R233</f>
        <v>0</v>
      </c>
      <c r="I233" s="110">
        <f>FASE1!U233</f>
        <v>0</v>
      </c>
      <c r="J233" s="110">
        <f>FASE1!U233</f>
        <v>0</v>
      </c>
      <c r="K233" s="110">
        <f>FASE1!P233</f>
        <v>0</v>
      </c>
      <c r="L233" s="110">
        <f>FASE1!V233</f>
        <v>0</v>
      </c>
      <c r="M233" s="110">
        <f>AVERAGE(FASE2!F233:G233)</f>
        <v>0</v>
      </c>
      <c r="N233" s="110">
        <f>AVERAGE(FASE2!O233:P233,FASE2!S233)</f>
        <v>0</v>
      </c>
      <c r="O233" s="110">
        <f>FASE4!K233</f>
        <v>0</v>
      </c>
      <c r="P233" s="110">
        <f>FASE2!N233</f>
        <v>0</v>
      </c>
      <c r="Q233" s="110">
        <f>FASE3!P233</f>
        <v>0</v>
      </c>
      <c r="R233" s="110">
        <f>FASE3!N233</f>
        <v>0</v>
      </c>
      <c r="S233" s="110">
        <f>AVERAGE(FASE3!Q233,FASE3!R233,FASE3!T233,FASE3!S233)</f>
        <v>0</v>
      </c>
      <c r="T233" s="110">
        <f>AVERAGE(FASE3!U233,FASE3!V233,FASE3!W233)</f>
        <v>0</v>
      </c>
      <c r="U233" s="110">
        <f>FASE3!Y233</f>
        <v>0</v>
      </c>
      <c r="V233" s="110">
        <f>FASE3!X233</f>
        <v>0</v>
      </c>
      <c r="W233" s="110">
        <f>FASE4!M233</f>
        <v>0</v>
      </c>
      <c r="X233" s="110">
        <f t="shared" si="3"/>
        <v>0</v>
      </c>
      <c r="Y233" s="2"/>
    </row>
    <row r="234" spans="2:25" ht="15.75" customHeight="1" x14ac:dyDescent="0.25">
      <c r="B234">
        <v>6</v>
      </c>
      <c r="C234" t="s">
        <v>111</v>
      </c>
      <c r="D234" s="97">
        <v>619</v>
      </c>
      <c r="E234" s="110">
        <f>FASE1!G234</f>
        <v>0</v>
      </c>
      <c r="F234" s="110">
        <f>FASE1!M234</f>
        <v>0</v>
      </c>
      <c r="G234" s="110">
        <f>FASE1!L234</f>
        <v>0</v>
      </c>
      <c r="H234" s="110">
        <f>FASE1!R234</f>
        <v>0</v>
      </c>
      <c r="I234" s="110">
        <f>FASE1!U234</f>
        <v>0</v>
      </c>
      <c r="J234" s="110">
        <f>FASE1!U234</f>
        <v>0</v>
      </c>
      <c r="K234" s="110">
        <f>FASE1!P234</f>
        <v>0</v>
      </c>
      <c r="L234" s="110">
        <f>FASE1!V234</f>
        <v>0</v>
      </c>
      <c r="M234" s="110">
        <f>AVERAGE(FASE2!F234:G234)</f>
        <v>0</v>
      </c>
      <c r="N234" s="110">
        <f>AVERAGE(FASE2!O234:P234,FASE2!S234)</f>
        <v>0</v>
      </c>
      <c r="O234" s="110">
        <f>FASE4!K234</f>
        <v>0</v>
      </c>
      <c r="P234" s="110">
        <f>FASE2!N234</f>
        <v>0</v>
      </c>
      <c r="Q234" s="110">
        <f>FASE3!P234</f>
        <v>0</v>
      </c>
      <c r="R234" s="110">
        <f>FASE3!N234</f>
        <v>0</v>
      </c>
      <c r="S234" s="110">
        <f>AVERAGE(FASE3!Q234,FASE3!R234,FASE3!T234,FASE3!S234)</f>
        <v>0</v>
      </c>
      <c r="T234" s="110">
        <f>AVERAGE(FASE3!U234,FASE3!V234,FASE3!W234)</f>
        <v>0</v>
      </c>
      <c r="U234" s="110">
        <f>FASE3!Y234</f>
        <v>0</v>
      </c>
      <c r="V234" s="110">
        <f>FASE3!X234</f>
        <v>0</v>
      </c>
      <c r="W234" s="110">
        <f>FASE4!M234</f>
        <v>0</v>
      </c>
      <c r="X234" s="110">
        <f t="shared" si="3"/>
        <v>0</v>
      </c>
      <c r="Y234" s="2"/>
    </row>
    <row r="235" spans="2:25" ht="15.75" customHeight="1" x14ac:dyDescent="0.25">
      <c r="B235">
        <v>6</v>
      </c>
      <c r="C235" t="s">
        <v>111</v>
      </c>
      <c r="D235" s="97">
        <v>620</v>
      </c>
      <c r="E235" s="110">
        <f>FASE1!G235</f>
        <v>0</v>
      </c>
      <c r="F235" s="110">
        <f>FASE1!M235</f>
        <v>0</v>
      </c>
      <c r="G235" s="110">
        <f>FASE1!L235</f>
        <v>0</v>
      </c>
      <c r="H235" s="110">
        <f>FASE1!R235</f>
        <v>0</v>
      </c>
      <c r="I235" s="110">
        <f>FASE1!U235</f>
        <v>0</v>
      </c>
      <c r="J235" s="110">
        <f>FASE1!U235</f>
        <v>0</v>
      </c>
      <c r="K235" s="110">
        <f>FASE1!P235</f>
        <v>0</v>
      </c>
      <c r="L235" s="110">
        <f>FASE1!V235</f>
        <v>0</v>
      </c>
      <c r="M235" s="110">
        <f>AVERAGE(FASE2!F235:G235)</f>
        <v>0</v>
      </c>
      <c r="N235" s="110">
        <f>AVERAGE(FASE2!O235:P235,FASE2!S235)</f>
        <v>0</v>
      </c>
      <c r="O235" s="110">
        <f>FASE4!K235</f>
        <v>0</v>
      </c>
      <c r="P235" s="110">
        <f>FASE2!N235</f>
        <v>0</v>
      </c>
      <c r="Q235" s="110">
        <f>FASE3!P235</f>
        <v>0</v>
      </c>
      <c r="R235" s="110">
        <f>FASE3!N235</f>
        <v>0</v>
      </c>
      <c r="S235" s="110">
        <f>AVERAGE(FASE3!Q235,FASE3!R235,FASE3!T235,FASE3!S235)</f>
        <v>0</v>
      </c>
      <c r="T235" s="110">
        <f>AVERAGE(FASE3!U235,FASE3!V235,FASE3!W235)</f>
        <v>0</v>
      </c>
      <c r="U235" s="110">
        <f>FASE3!Y235</f>
        <v>0</v>
      </c>
      <c r="V235" s="110">
        <f>FASE3!X235</f>
        <v>0</v>
      </c>
      <c r="W235" s="110">
        <f>FASE4!M235</f>
        <v>0</v>
      </c>
      <c r="X235" s="110">
        <f t="shared" si="3"/>
        <v>0</v>
      </c>
      <c r="Y235" s="2"/>
    </row>
    <row r="236" spans="2:25" ht="15.75" customHeight="1" x14ac:dyDescent="0.25">
      <c r="B236">
        <v>6</v>
      </c>
      <c r="C236" t="s">
        <v>111</v>
      </c>
      <c r="D236" s="97">
        <v>621</v>
      </c>
      <c r="E236" s="110">
        <f>FASE1!G236</f>
        <v>0</v>
      </c>
      <c r="F236" s="110">
        <f>FASE1!M236</f>
        <v>0</v>
      </c>
      <c r="G236" s="110">
        <f>FASE1!L236</f>
        <v>0</v>
      </c>
      <c r="H236" s="110">
        <f>FASE1!R236</f>
        <v>0</v>
      </c>
      <c r="I236" s="110">
        <f>FASE1!U236</f>
        <v>0</v>
      </c>
      <c r="J236" s="110">
        <f>FASE1!U236</f>
        <v>0</v>
      </c>
      <c r="K236" s="110">
        <f>FASE1!P236</f>
        <v>0</v>
      </c>
      <c r="L236" s="110">
        <f>FASE1!V236</f>
        <v>0</v>
      </c>
      <c r="M236" s="110">
        <f>AVERAGE(FASE2!F236:G236)</f>
        <v>0</v>
      </c>
      <c r="N236" s="110">
        <f>AVERAGE(FASE2!O236:P236,FASE2!S236)</f>
        <v>0</v>
      </c>
      <c r="O236" s="110">
        <f>FASE4!K236</f>
        <v>0</v>
      </c>
      <c r="P236" s="110">
        <f>FASE2!N236</f>
        <v>0</v>
      </c>
      <c r="Q236" s="110">
        <f>FASE3!P236</f>
        <v>0</v>
      </c>
      <c r="R236" s="110">
        <f>FASE3!N236</f>
        <v>0</v>
      </c>
      <c r="S236" s="110">
        <f>AVERAGE(FASE3!Q236,FASE3!R236,FASE3!T236,FASE3!S236)</f>
        <v>0</v>
      </c>
      <c r="T236" s="110">
        <f>AVERAGE(FASE3!U236,FASE3!V236,FASE3!W236)</f>
        <v>0</v>
      </c>
      <c r="U236" s="110">
        <f>FASE3!Y236</f>
        <v>0</v>
      </c>
      <c r="V236" s="110">
        <f>FASE3!X236</f>
        <v>0</v>
      </c>
      <c r="W236" s="110">
        <f>FASE4!M236</f>
        <v>0</v>
      </c>
      <c r="X236" s="110">
        <f t="shared" si="3"/>
        <v>0</v>
      </c>
      <c r="Y236" s="2"/>
    </row>
    <row r="237" spans="2:25" ht="15.75" customHeight="1" x14ac:dyDescent="0.25">
      <c r="B237">
        <v>6</v>
      </c>
      <c r="C237" t="s">
        <v>131</v>
      </c>
      <c r="D237" s="97" t="s">
        <v>132</v>
      </c>
      <c r="E237" s="110">
        <f>FASE1!G237</f>
        <v>0</v>
      </c>
      <c r="F237" s="110">
        <f>FASE1!M237</f>
        <v>0</v>
      </c>
      <c r="G237" s="110">
        <f>FASE1!L237</f>
        <v>0</v>
      </c>
      <c r="H237" s="110">
        <f>FASE1!R237</f>
        <v>0</v>
      </c>
      <c r="I237" s="110">
        <f>FASE1!U237</f>
        <v>0</v>
      </c>
      <c r="J237" s="110">
        <f>FASE1!U237</f>
        <v>0</v>
      </c>
      <c r="K237" s="110">
        <f>FASE1!P237</f>
        <v>0</v>
      </c>
      <c r="L237" s="110">
        <f>FASE1!V237</f>
        <v>0</v>
      </c>
      <c r="M237" s="110">
        <f>AVERAGE(FASE2!F237:G237)</f>
        <v>0</v>
      </c>
      <c r="N237" s="110">
        <f>IFERROR(AVERAGE(FASE2!O237:P237,FASE2!S237),0)</f>
        <v>0</v>
      </c>
      <c r="O237" s="110">
        <f>FASE4!K237</f>
        <v>0</v>
      </c>
      <c r="P237" s="110">
        <f>FASE2!N237</f>
        <v>0</v>
      </c>
      <c r="Q237" s="110">
        <f>FASE3!P237</f>
        <v>0</v>
      </c>
      <c r="R237" s="110">
        <f>FASE3!N237</f>
        <v>0</v>
      </c>
      <c r="S237" s="110">
        <f>AVERAGE(FASE3!Q237,FASE3!R237,FASE3!T237,FASE3!S237)</f>
        <v>0</v>
      </c>
      <c r="T237" s="110">
        <f>AVERAGE(FASE3!U237,FASE3!V237,FASE3!W237)</f>
        <v>0</v>
      </c>
      <c r="U237" s="110">
        <f>FASE3!Y237</f>
        <v>0</v>
      </c>
      <c r="V237" s="110">
        <f>FASE3!X237</f>
        <v>0</v>
      </c>
      <c r="W237" s="110">
        <f>FASE4!M237</f>
        <v>0</v>
      </c>
      <c r="X237" s="110">
        <f t="shared" si="3"/>
        <v>0</v>
      </c>
      <c r="Y237" s="2"/>
    </row>
    <row r="238" spans="2:25" ht="15.75" customHeight="1" x14ac:dyDescent="0.25">
      <c r="B238">
        <v>7</v>
      </c>
      <c r="C238" t="s">
        <v>112</v>
      </c>
      <c r="D238" s="97">
        <v>701</v>
      </c>
      <c r="E238" s="110">
        <f>FASE1!G238</f>
        <v>0</v>
      </c>
      <c r="F238" s="110">
        <f>FASE1!M238</f>
        <v>0</v>
      </c>
      <c r="G238" s="110">
        <f>FASE1!L238</f>
        <v>0</v>
      </c>
      <c r="H238" s="110">
        <f>FASE1!R238</f>
        <v>0</v>
      </c>
      <c r="I238" s="110">
        <f>FASE1!U238</f>
        <v>0</v>
      </c>
      <c r="J238" s="110">
        <f>FASE1!U238</f>
        <v>0</v>
      </c>
      <c r="K238" s="110">
        <f>FASE1!P238</f>
        <v>0</v>
      </c>
      <c r="L238" s="110">
        <f>FASE1!V238</f>
        <v>0</v>
      </c>
      <c r="M238" s="110">
        <f>AVERAGE(FASE2!F238:G238)</f>
        <v>0</v>
      </c>
      <c r="N238" s="110">
        <f>AVERAGE(FASE2!O238:P238,FASE2!S238)</f>
        <v>0</v>
      </c>
      <c r="O238" s="110">
        <f>FASE4!K238</f>
        <v>0</v>
      </c>
      <c r="P238" s="110">
        <f>FASE2!N238</f>
        <v>0</v>
      </c>
      <c r="Q238" s="110">
        <f>FASE3!P238</f>
        <v>0</v>
      </c>
      <c r="R238" s="110">
        <f>FASE3!N238</f>
        <v>0</v>
      </c>
      <c r="S238" s="110">
        <f>AVERAGE(FASE3!Q238,FASE3!R238,FASE3!T238,FASE3!S238)</f>
        <v>0</v>
      </c>
      <c r="T238" s="110">
        <f>AVERAGE(FASE3!U238,FASE3!V238,FASE3!W238)</f>
        <v>0</v>
      </c>
      <c r="U238" s="110">
        <f>FASE3!Y238</f>
        <v>0</v>
      </c>
      <c r="V238" s="110">
        <f>FASE3!X238</f>
        <v>0</v>
      </c>
      <c r="W238" s="110">
        <f>FASE4!M238</f>
        <v>0</v>
      </c>
      <c r="X238" s="110">
        <f t="shared" si="3"/>
        <v>0</v>
      </c>
      <c r="Y238" s="2"/>
    </row>
    <row r="239" spans="2:25" ht="15.75" customHeight="1" x14ac:dyDescent="0.25">
      <c r="B239">
        <v>7</v>
      </c>
      <c r="C239" t="s">
        <v>112</v>
      </c>
      <c r="D239" s="97">
        <v>702</v>
      </c>
      <c r="E239" s="110">
        <f>FASE1!G239</f>
        <v>0</v>
      </c>
      <c r="F239" s="110">
        <f>FASE1!M239</f>
        <v>0</v>
      </c>
      <c r="G239" s="110">
        <f>FASE1!L239</f>
        <v>0</v>
      </c>
      <c r="H239" s="110">
        <f>FASE1!R239</f>
        <v>0</v>
      </c>
      <c r="I239" s="110">
        <f>FASE1!U239</f>
        <v>0</v>
      </c>
      <c r="J239" s="110">
        <f>FASE1!U239</f>
        <v>0</v>
      </c>
      <c r="K239" s="110">
        <f>FASE1!P239</f>
        <v>0</v>
      </c>
      <c r="L239" s="110">
        <f>FASE1!V239</f>
        <v>0</v>
      </c>
      <c r="M239" s="110">
        <f>AVERAGE(FASE2!F239:G239)</f>
        <v>0</v>
      </c>
      <c r="N239" s="110">
        <f>AVERAGE(FASE2!O239:P239,FASE2!S239)</f>
        <v>0</v>
      </c>
      <c r="O239" s="110">
        <f>FASE4!K239</f>
        <v>0</v>
      </c>
      <c r="P239" s="110">
        <f>FASE2!N239</f>
        <v>0</v>
      </c>
      <c r="Q239" s="110">
        <f>FASE3!P239</f>
        <v>0</v>
      </c>
      <c r="R239" s="110">
        <f>FASE3!N239</f>
        <v>0</v>
      </c>
      <c r="S239" s="110">
        <f>AVERAGE(FASE3!Q239,FASE3!R239,FASE3!T239,FASE3!S239)</f>
        <v>0</v>
      </c>
      <c r="T239" s="110">
        <f>AVERAGE(FASE3!U239,FASE3!V239,FASE3!W239)</f>
        <v>0</v>
      </c>
      <c r="U239" s="110">
        <f>FASE3!Y239</f>
        <v>0</v>
      </c>
      <c r="V239" s="110">
        <f>FASE3!X239</f>
        <v>0</v>
      </c>
      <c r="W239" s="110">
        <f>FASE4!M239</f>
        <v>0</v>
      </c>
      <c r="X239" s="110">
        <f t="shared" si="3"/>
        <v>0</v>
      </c>
      <c r="Y239" s="2"/>
    </row>
    <row r="240" spans="2:25" ht="15.75" customHeight="1" x14ac:dyDescent="0.25">
      <c r="B240">
        <v>7</v>
      </c>
      <c r="C240" t="s">
        <v>112</v>
      </c>
      <c r="D240" s="97">
        <v>703</v>
      </c>
      <c r="E240" s="110">
        <f>FASE1!G240</f>
        <v>0</v>
      </c>
      <c r="F240" s="110">
        <f>FASE1!M240</f>
        <v>0</v>
      </c>
      <c r="G240" s="110">
        <f>FASE1!L240</f>
        <v>0</v>
      </c>
      <c r="H240" s="110">
        <f>FASE1!R240</f>
        <v>0</v>
      </c>
      <c r="I240" s="110">
        <f>FASE1!U240</f>
        <v>0</v>
      </c>
      <c r="J240" s="110">
        <f>FASE1!U240</f>
        <v>0</v>
      </c>
      <c r="K240" s="110">
        <f>FASE1!P240</f>
        <v>0</v>
      </c>
      <c r="L240" s="110">
        <f>FASE1!V240</f>
        <v>0</v>
      </c>
      <c r="M240" s="110">
        <f>AVERAGE(FASE2!F240:G240)</f>
        <v>0</v>
      </c>
      <c r="N240" s="110">
        <f>AVERAGE(FASE2!O240:P240,FASE2!S240)</f>
        <v>0</v>
      </c>
      <c r="O240" s="110">
        <f>FASE4!K240</f>
        <v>0</v>
      </c>
      <c r="P240" s="110">
        <f>FASE2!N240</f>
        <v>0</v>
      </c>
      <c r="Q240" s="110">
        <f>FASE3!P240</f>
        <v>0</v>
      </c>
      <c r="R240" s="110">
        <f>FASE3!N240</f>
        <v>0</v>
      </c>
      <c r="S240" s="110">
        <f>AVERAGE(FASE3!Q240,FASE3!R240,FASE3!T240,FASE3!S240)</f>
        <v>0</v>
      </c>
      <c r="T240" s="110">
        <f>AVERAGE(FASE3!U240,FASE3!V240,FASE3!W240)</f>
        <v>0</v>
      </c>
      <c r="U240" s="110">
        <f>FASE3!Y240</f>
        <v>0</v>
      </c>
      <c r="V240" s="110">
        <f>FASE3!X240</f>
        <v>0</v>
      </c>
      <c r="W240" s="110">
        <f>FASE4!M240</f>
        <v>0</v>
      </c>
      <c r="X240" s="110">
        <f t="shared" si="3"/>
        <v>0</v>
      </c>
      <c r="Y240" s="2"/>
    </row>
    <row r="241" spans="2:25" ht="15.75" customHeight="1" x14ac:dyDescent="0.25">
      <c r="B241">
        <v>7</v>
      </c>
      <c r="C241" t="s">
        <v>112</v>
      </c>
      <c r="D241" s="97">
        <v>704</v>
      </c>
      <c r="E241" s="110">
        <f>FASE1!G241</f>
        <v>0</v>
      </c>
      <c r="F241" s="110">
        <f>FASE1!M241</f>
        <v>0</v>
      </c>
      <c r="G241" s="110">
        <f>FASE1!L241</f>
        <v>0</v>
      </c>
      <c r="H241" s="110">
        <f>FASE1!R241</f>
        <v>0</v>
      </c>
      <c r="I241" s="110">
        <f>FASE1!U241</f>
        <v>0</v>
      </c>
      <c r="J241" s="110">
        <f>FASE1!U241</f>
        <v>0</v>
      </c>
      <c r="K241" s="110">
        <f>FASE1!P241</f>
        <v>0</v>
      </c>
      <c r="L241" s="110">
        <f>FASE1!V241</f>
        <v>0</v>
      </c>
      <c r="M241" s="110">
        <f>AVERAGE(FASE2!F241:G241)</f>
        <v>0</v>
      </c>
      <c r="N241" s="110">
        <f>AVERAGE(FASE2!O241:P241,FASE2!S241)</f>
        <v>0</v>
      </c>
      <c r="O241" s="110">
        <f>FASE4!K241</f>
        <v>0</v>
      </c>
      <c r="P241" s="110">
        <f>FASE2!N241</f>
        <v>0</v>
      </c>
      <c r="Q241" s="110">
        <f>FASE3!P241</f>
        <v>0</v>
      </c>
      <c r="R241" s="110">
        <f>FASE3!N241</f>
        <v>0</v>
      </c>
      <c r="S241" s="110">
        <f>AVERAGE(FASE3!Q241,FASE3!R241,FASE3!T241,FASE3!S241)</f>
        <v>0</v>
      </c>
      <c r="T241" s="110">
        <f>AVERAGE(FASE3!U241,FASE3!V241,FASE3!W241)</f>
        <v>0</v>
      </c>
      <c r="U241" s="110">
        <f>FASE3!Y241</f>
        <v>0</v>
      </c>
      <c r="V241" s="110">
        <f>FASE3!X241</f>
        <v>0</v>
      </c>
      <c r="W241" s="110">
        <f>FASE4!M241</f>
        <v>0</v>
      </c>
      <c r="X241" s="110">
        <f t="shared" si="3"/>
        <v>0</v>
      </c>
      <c r="Y241" s="2"/>
    </row>
    <row r="242" spans="2:25" ht="15.75" customHeight="1" x14ac:dyDescent="0.25">
      <c r="B242">
        <v>7</v>
      </c>
      <c r="C242" t="s">
        <v>112</v>
      </c>
      <c r="D242" s="97">
        <v>705</v>
      </c>
      <c r="E242" s="110">
        <f>FASE1!G242</f>
        <v>0</v>
      </c>
      <c r="F242" s="110">
        <f>FASE1!M242</f>
        <v>0</v>
      </c>
      <c r="G242" s="110">
        <f>FASE1!L242</f>
        <v>0</v>
      </c>
      <c r="H242" s="110">
        <f>FASE1!R242</f>
        <v>0</v>
      </c>
      <c r="I242" s="110">
        <f>FASE1!U242</f>
        <v>0</v>
      </c>
      <c r="J242" s="110">
        <f>FASE1!U242</f>
        <v>0</v>
      </c>
      <c r="K242" s="110">
        <f>FASE1!P242</f>
        <v>0</v>
      </c>
      <c r="L242" s="110">
        <f>FASE1!V242</f>
        <v>0</v>
      </c>
      <c r="M242" s="110">
        <f>AVERAGE(FASE2!F242:G242)</f>
        <v>0</v>
      </c>
      <c r="N242" s="110">
        <f>AVERAGE(FASE2!O242:P242,FASE2!S242)</f>
        <v>0</v>
      </c>
      <c r="O242" s="110">
        <f>FASE4!K242</f>
        <v>0</v>
      </c>
      <c r="P242" s="110">
        <f>FASE2!N242</f>
        <v>0</v>
      </c>
      <c r="Q242" s="110">
        <f>FASE3!P242</f>
        <v>0</v>
      </c>
      <c r="R242" s="110">
        <f>FASE3!N242</f>
        <v>0</v>
      </c>
      <c r="S242" s="110">
        <f>AVERAGE(FASE3!Q242,FASE3!R242,FASE3!T242,FASE3!S242)</f>
        <v>0</v>
      </c>
      <c r="T242" s="110">
        <f>AVERAGE(FASE3!U242,FASE3!V242,FASE3!W242)</f>
        <v>0</v>
      </c>
      <c r="U242" s="110">
        <f>FASE3!Y242</f>
        <v>0</v>
      </c>
      <c r="V242" s="110">
        <f>FASE3!X242</f>
        <v>0</v>
      </c>
      <c r="W242" s="110">
        <f>FASE4!M242</f>
        <v>0</v>
      </c>
      <c r="X242" s="110">
        <f t="shared" si="3"/>
        <v>0</v>
      </c>
      <c r="Y242" s="2"/>
    </row>
    <row r="243" spans="2:25" ht="15.75" customHeight="1" x14ac:dyDescent="0.25">
      <c r="B243">
        <v>7</v>
      </c>
      <c r="C243" t="s">
        <v>112</v>
      </c>
      <c r="D243" s="97">
        <v>706</v>
      </c>
      <c r="E243" s="110">
        <f>FASE1!G243</f>
        <v>0</v>
      </c>
      <c r="F243" s="110">
        <f>FASE1!M243</f>
        <v>0</v>
      </c>
      <c r="G243" s="110">
        <f>FASE1!L243</f>
        <v>0</v>
      </c>
      <c r="H243" s="110">
        <f>FASE1!R243</f>
        <v>0</v>
      </c>
      <c r="I243" s="110">
        <f>FASE1!U243</f>
        <v>0</v>
      </c>
      <c r="J243" s="110">
        <f>FASE1!U243</f>
        <v>0</v>
      </c>
      <c r="K243" s="110">
        <f>FASE1!P243</f>
        <v>0</v>
      </c>
      <c r="L243" s="110">
        <f>FASE1!V243</f>
        <v>0</v>
      </c>
      <c r="M243" s="110">
        <f>AVERAGE(FASE2!F243:G243)</f>
        <v>0</v>
      </c>
      <c r="N243" s="110">
        <f>AVERAGE(FASE2!O243:P243,FASE2!S243)</f>
        <v>0</v>
      </c>
      <c r="O243" s="110">
        <f>FASE4!K243</f>
        <v>0</v>
      </c>
      <c r="P243" s="110">
        <f>FASE2!N243</f>
        <v>0</v>
      </c>
      <c r="Q243" s="110">
        <f>FASE3!P243</f>
        <v>0</v>
      </c>
      <c r="R243" s="110">
        <f>FASE3!N243</f>
        <v>0</v>
      </c>
      <c r="S243" s="110">
        <f>AVERAGE(FASE3!Q243,FASE3!R243,FASE3!T243,FASE3!S243)</f>
        <v>0</v>
      </c>
      <c r="T243" s="110">
        <f>AVERAGE(FASE3!U243,FASE3!V243,FASE3!W243)</f>
        <v>0</v>
      </c>
      <c r="U243" s="110">
        <f>FASE3!Y243</f>
        <v>0</v>
      </c>
      <c r="V243" s="110">
        <f>FASE3!X243</f>
        <v>0</v>
      </c>
      <c r="W243" s="110">
        <f>FASE4!M243</f>
        <v>0</v>
      </c>
      <c r="X243" s="110">
        <f t="shared" si="3"/>
        <v>0</v>
      </c>
      <c r="Y243" s="2"/>
    </row>
    <row r="244" spans="2:25" ht="15.75" customHeight="1" x14ac:dyDescent="0.25">
      <c r="B244">
        <v>7</v>
      </c>
      <c r="C244" t="s">
        <v>112</v>
      </c>
      <c r="D244" s="97">
        <v>707</v>
      </c>
      <c r="E244" s="110">
        <f>FASE1!G244</f>
        <v>0</v>
      </c>
      <c r="F244" s="110">
        <f>FASE1!M244</f>
        <v>0</v>
      </c>
      <c r="G244" s="110">
        <f>FASE1!L244</f>
        <v>0</v>
      </c>
      <c r="H244" s="110">
        <f>FASE1!R244</f>
        <v>0</v>
      </c>
      <c r="I244" s="110">
        <f>FASE1!U244</f>
        <v>0</v>
      </c>
      <c r="J244" s="110">
        <f>FASE1!U244</f>
        <v>0</v>
      </c>
      <c r="K244" s="110">
        <f>FASE1!P244</f>
        <v>0</v>
      </c>
      <c r="L244" s="110">
        <f>FASE1!V244</f>
        <v>0</v>
      </c>
      <c r="M244" s="110">
        <f>AVERAGE(FASE2!F244:G244)</f>
        <v>0</v>
      </c>
      <c r="N244" s="110">
        <f>AVERAGE(FASE2!O244:P244,FASE2!S244)</f>
        <v>0</v>
      </c>
      <c r="O244" s="110">
        <f>FASE4!K244</f>
        <v>0</v>
      </c>
      <c r="P244" s="110">
        <f>FASE2!N244</f>
        <v>0</v>
      </c>
      <c r="Q244" s="110">
        <f>FASE3!P244</f>
        <v>0</v>
      </c>
      <c r="R244" s="110">
        <f>FASE3!N244</f>
        <v>0</v>
      </c>
      <c r="S244" s="110">
        <f>AVERAGE(FASE3!Q244,FASE3!R244,FASE3!T244,FASE3!S244)</f>
        <v>0</v>
      </c>
      <c r="T244" s="110">
        <f>AVERAGE(FASE3!U244,FASE3!V244,FASE3!W244)</f>
        <v>0</v>
      </c>
      <c r="U244" s="110">
        <f>FASE3!Y244</f>
        <v>0</v>
      </c>
      <c r="V244" s="110">
        <f>FASE3!X244</f>
        <v>0</v>
      </c>
      <c r="W244" s="110">
        <f>FASE4!M244</f>
        <v>0</v>
      </c>
      <c r="X244" s="110">
        <f t="shared" si="3"/>
        <v>0</v>
      </c>
      <c r="Y244" s="2"/>
    </row>
    <row r="245" spans="2:25" ht="15.75" customHeight="1" x14ac:dyDescent="0.25">
      <c r="B245">
        <v>7</v>
      </c>
      <c r="C245" t="s">
        <v>112</v>
      </c>
      <c r="D245" s="97">
        <v>708</v>
      </c>
      <c r="E245" s="110">
        <f>FASE1!G245</f>
        <v>0</v>
      </c>
      <c r="F245" s="110">
        <f>FASE1!M245</f>
        <v>0</v>
      </c>
      <c r="G245" s="110">
        <f>FASE1!L245</f>
        <v>0</v>
      </c>
      <c r="H245" s="110">
        <f>FASE1!R245</f>
        <v>0</v>
      </c>
      <c r="I245" s="110">
        <f>FASE1!U245</f>
        <v>0</v>
      </c>
      <c r="J245" s="110">
        <f>FASE1!U245</f>
        <v>0</v>
      </c>
      <c r="K245" s="110">
        <f>FASE1!P245</f>
        <v>0</v>
      </c>
      <c r="L245" s="110">
        <f>FASE1!V245</f>
        <v>0</v>
      </c>
      <c r="M245" s="110">
        <f>AVERAGE(FASE2!F245:G245)</f>
        <v>0</v>
      </c>
      <c r="N245" s="110">
        <f>AVERAGE(FASE2!O245:P245,FASE2!S245)</f>
        <v>0</v>
      </c>
      <c r="O245" s="110">
        <f>FASE4!K245</f>
        <v>0</v>
      </c>
      <c r="P245" s="110">
        <f>FASE2!N245</f>
        <v>0</v>
      </c>
      <c r="Q245" s="110">
        <f>FASE3!P245</f>
        <v>0</v>
      </c>
      <c r="R245" s="110">
        <f>FASE3!N245</f>
        <v>0</v>
      </c>
      <c r="S245" s="110">
        <f>AVERAGE(FASE3!Q245,FASE3!R245,FASE3!T245,FASE3!S245)</f>
        <v>0</v>
      </c>
      <c r="T245" s="110">
        <f>AVERAGE(FASE3!U245,FASE3!V245,FASE3!W245)</f>
        <v>0</v>
      </c>
      <c r="U245" s="110">
        <f>FASE3!Y245</f>
        <v>0</v>
      </c>
      <c r="V245" s="110">
        <f>FASE3!X245</f>
        <v>0</v>
      </c>
      <c r="W245" s="110">
        <f>FASE4!M245</f>
        <v>0</v>
      </c>
      <c r="X245" s="110">
        <f t="shared" si="3"/>
        <v>0</v>
      </c>
      <c r="Y245" s="2"/>
    </row>
    <row r="246" spans="2:25" ht="15.75" customHeight="1" x14ac:dyDescent="0.25">
      <c r="B246">
        <v>7</v>
      </c>
      <c r="C246" t="s">
        <v>112</v>
      </c>
      <c r="D246" s="97">
        <v>709</v>
      </c>
      <c r="E246" s="110">
        <f>FASE1!G246</f>
        <v>0</v>
      </c>
      <c r="F246" s="110">
        <f>FASE1!M246</f>
        <v>0</v>
      </c>
      <c r="G246" s="110">
        <f>FASE1!L246</f>
        <v>0</v>
      </c>
      <c r="H246" s="110">
        <f>FASE1!R246</f>
        <v>0</v>
      </c>
      <c r="I246" s="110">
        <f>FASE1!U246</f>
        <v>0</v>
      </c>
      <c r="J246" s="110">
        <f>FASE1!U246</f>
        <v>0</v>
      </c>
      <c r="K246" s="110">
        <f>FASE1!P246</f>
        <v>0</v>
      </c>
      <c r="L246" s="110">
        <f>FASE1!V246</f>
        <v>0</v>
      </c>
      <c r="M246" s="110">
        <f>AVERAGE(FASE2!F246:G246)</f>
        <v>0</v>
      </c>
      <c r="N246" s="110">
        <f>AVERAGE(FASE2!O246:P246,FASE2!S246)</f>
        <v>0</v>
      </c>
      <c r="O246" s="110">
        <f>FASE4!K246</f>
        <v>0</v>
      </c>
      <c r="P246" s="110">
        <f>FASE2!N246</f>
        <v>0</v>
      </c>
      <c r="Q246" s="110">
        <f>FASE3!P246</f>
        <v>0</v>
      </c>
      <c r="R246" s="110">
        <f>FASE3!N246</f>
        <v>0</v>
      </c>
      <c r="S246" s="110">
        <f>AVERAGE(FASE3!Q246,FASE3!R246,FASE3!T246,FASE3!S246)</f>
        <v>0</v>
      </c>
      <c r="T246" s="110">
        <f>AVERAGE(FASE3!U246,FASE3!V246,FASE3!W246)</f>
        <v>0</v>
      </c>
      <c r="U246" s="110">
        <f>FASE3!Y246</f>
        <v>0</v>
      </c>
      <c r="V246" s="110">
        <f>FASE3!X246</f>
        <v>0</v>
      </c>
      <c r="W246" s="110">
        <f>FASE4!M246</f>
        <v>0</v>
      </c>
      <c r="X246" s="110">
        <f t="shared" si="3"/>
        <v>0</v>
      </c>
      <c r="Y246" s="2"/>
    </row>
    <row r="247" spans="2:25" ht="15.75" customHeight="1" x14ac:dyDescent="0.25">
      <c r="B247">
        <v>7</v>
      </c>
      <c r="C247" t="s">
        <v>112</v>
      </c>
      <c r="D247" s="97">
        <v>710</v>
      </c>
      <c r="E247" s="110">
        <f>FASE1!G247</f>
        <v>0</v>
      </c>
      <c r="F247" s="110">
        <f>FASE1!M247</f>
        <v>0</v>
      </c>
      <c r="G247" s="110">
        <f>FASE1!L247</f>
        <v>0</v>
      </c>
      <c r="H247" s="110">
        <f>FASE1!R247</f>
        <v>0</v>
      </c>
      <c r="I247" s="110">
        <f>FASE1!U247</f>
        <v>0</v>
      </c>
      <c r="J247" s="110">
        <f>FASE1!U247</f>
        <v>0</v>
      </c>
      <c r="K247" s="110">
        <f>FASE1!P247</f>
        <v>0</v>
      </c>
      <c r="L247" s="110">
        <f>FASE1!V247</f>
        <v>0</v>
      </c>
      <c r="M247" s="110">
        <f>AVERAGE(FASE2!F247:G247)</f>
        <v>0</v>
      </c>
      <c r="N247" s="110">
        <f>AVERAGE(FASE2!O247:P247,FASE2!S247)</f>
        <v>0</v>
      </c>
      <c r="O247" s="110">
        <f>FASE4!K247</f>
        <v>0</v>
      </c>
      <c r="P247" s="110">
        <f>FASE2!N247</f>
        <v>0</v>
      </c>
      <c r="Q247" s="110">
        <f>FASE3!P247</f>
        <v>0</v>
      </c>
      <c r="R247" s="110">
        <f>FASE3!N247</f>
        <v>0</v>
      </c>
      <c r="S247" s="110">
        <f>AVERAGE(FASE3!Q247,FASE3!R247,FASE3!T247,FASE3!S247)</f>
        <v>0</v>
      </c>
      <c r="T247" s="110">
        <f>AVERAGE(FASE3!U247,FASE3!V247,FASE3!W247)</f>
        <v>0</v>
      </c>
      <c r="U247" s="110">
        <f>FASE3!Y247</f>
        <v>0</v>
      </c>
      <c r="V247" s="110">
        <f>FASE3!X247</f>
        <v>0</v>
      </c>
      <c r="W247" s="110">
        <f>FASE4!M247</f>
        <v>0</v>
      </c>
      <c r="X247" s="110">
        <f t="shared" si="3"/>
        <v>0</v>
      </c>
      <c r="Y247" s="2"/>
    </row>
    <row r="248" spans="2:25" ht="15.75" customHeight="1" x14ac:dyDescent="0.25">
      <c r="B248">
        <v>7</v>
      </c>
      <c r="C248" t="s">
        <v>112</v>
      </c>
      <c r="D248" s="97">
        <v>711</v>
      </c>
      <c r="E248" s="110">
        <f>FASE1!G248</f>
        <v>0</v>
      </c>
      <c r="F248" s="110">
        <f>FASE1!M248</f>
        <v>0</v>
      </c>
      <c r="G248" s="110">
        <f>FASE1!L248</f>
        <v>0</v>
      </c>
      <c r="H248" s="110">
        <f>FASE1!R248</f>
        <v>0</v>
      </c>
      <c r="I248" s="110">
        <f>FASE1!U248</f>
        <v>0</v>
      </c>
      <c r="J248" s="110">
        <f>FASE1!U248</f>
        <v>0</v>
      </c>
      <c r="K248" s="110">
        <f>FASE1!P248</f>
        <v>0</v>
      </c>
      <c r="L248" s="110">
        <f>FASE1!V248</f>
        <v>0</v>
      </c>
      <c r="M248" s="110">
        <f>AVERAGE(FASE2!F248:G248)</f>
        <v>0</v>
      </c>
      <c r="N248" s="110">
        <f>AVERAGE(FASE2!O248:P248,FASE2!S248)</f>
        <v>0</v>
      </c>
      <c r="O248" s="110">
        <f>FASE4!K248</f>
        <v>0</v>
      </c>
      <c r="P248" s="110">
        <f>FASE2!N248</f>
        <v>0</v>
      </c>
      <c r="Q248" s="110">
        <f>FASE3!P248</f>
        <v>0</v>
      </c>
      <c r="R248" s="110">
        <f>FASE3!N248</f>
        <v>0</v>
      </c>
      <c r="S248" s="110">
        <f>AVERAGE(FASE3!Q248,FASE3!R248,FASE3!T248,FASE3!S248)</f>
        <v>0</v>
      </c>
      <c r="T248" s="110">
        <f>AVERAGE(FASE3!U248,FASE3!V248,FASE3!W248)</f>
        <v>0</v>
      </c>
      <c r="U248" s="110">
        <f>FASE3!Y248</f>
        <v>0</v>
      </c>
      <c r="V248" s="110">
        <f>FASE3!X248</f>
        <v>0</v>
      </c>
      <c r="W248" s="110">
        <f>FASE4!M248</f>
        <v>0</v>
      </c>
      <c r="X248" s="110">
        <f t="shared" si="3"/>
        <v>0</v>
      </c>
      <c r="Y248" s="2"/>
    </row>
    <row r="249" spans="2:25" ht="15.75" customHeight="1" x14ac:dyDescent="0.25">
      <c r="B249">
        <v>7</v>
      </c>
      <c r="C249" t="s">
        <v>112</v>
      </c>
      <c r="D249" s="97">
        <v>712</v>
      </c>
      <c r="E249" s="110">
        <f>FASE1!G249</f>
        <v>0</v>
      </c>
      <c r="F249" s="110">
        <f>FASE1!M249</f>
        <v>0</v>
      </c>
      <c r="G249" s="110">
        <f>FASE1!L249</f>
        <v>0</v>
      </c>
      <c r="H249" s="110">
        <f>FASE1!R249</f>
        <v>0</v>
      </c>
      <c r="I249" s="110">
        <f>FASE1!U249</f>
        <v>0</v>
      </c>
      <c r="J249" s="110">
        <f>FASE1!U249</f>
        <v>0</v>
      </c>
      <c r="K249" s="110">
        <f>FASE1!P249</f>
        <v>0</v>
      </c>
      <c r="L249" s="110">
        <f>FASE1!V249</f>
        <v>0</v>
      </c>
      <c r="M249" s="110">
        <f>AVERAGE(FASE2!F249:G249)</f>
        <v>0</v>
      </c>
      <c r="N249" s="110">
        <f>AVERAGE(FASE2!O249:P249,FASE2!S249)</f>
        <v>0</v>
      </c>
      <c r="O249" s="110">
        <f>FASE4!K249</f>
        <v>0</v>
      </c>
      <c r="P249" s="110">
        <f>FASE2!N249</f>
        <v>0</v>
      </c>
      <c r="Q249" s="110">
        <f>FASE3!P249</f>
        <v>0</v>
      </c>
      <c r="R249" s="110">
        <f>FASE3!N249</f>
        <v>0</v>
      </c>
      <c r="S249" s="110">
        <f>AVERAGE(FASE3!Q249,FASE3!R249,FASE3!T249,FASE3!S249)</f>
        <v>0</v>
      </c>
      <c r="T249" s="110">
        <f>AVERAGE(FASE3!U249,FASE3!V249,FASE3!W249)</f>
        <v>0</v>
      </c>
      <c r="U249" s="110">
        <f>FASE3!Y249</f>
        <v>0</v>
      </c>
      <c r="V249" s="110">
        <f>FASE3!X249</f>
        <v>0</v>
      </c>
      <c r="W249" s="110">
        <f>FASE4!M249</f>
        <v>0</v>
      </c>
      <c r="X249" s="110">
        <f t="shared" si="3"/>
        <v>0</v>
      </c>
      <c r="Y249" s="2"/>
    </row>
    <row r="250" spans="2:25" ht="15.75" customHeight="1" x14ac:dyDescent="0.25">
      <c r="B250">
        <v>7</v>
      </c>
      <c r="C250" t="s">
        <v>112</v>
      </c>
      <c r="D250" s="97">
        <v>713</v>
      </c>
      <c r="E250" s="110">
        <f>FASE1!G250</f>
        <v>0</v>
      </c>
      <c r="F250" s="110">
        <f>FASE1!M250</f>
        <v>0</v>
      </c>
      <c r="G250" s="110">
        <f>FASE1!L250</f>
        <v>0</v>
      </c>
      <c r="H250" s="110">
        <f>FASE1!R250</f>
        <v>0</v>
      </c>
      <c r="I250" s="110">
        <f>FASE1!U250</f>
        <v>0</v>
      </c>
      <c r="J250" s="110">
        <f>FASE1!U250</f>
        <v>0</v>
      </c>
      <c r="K250" s="110">
        <f>FASE1!P250</f>
        <v>0</v>
      </c>
      <c r="L250" s="110">
        <f>FASE1!V250</f>
        <v>0</v>
      </c>
      <c r="M250" s="110">
        <f>AVERAGE(FASE2!F250:G250)</f>
        <v>0</v>
      </c>
      <c r="N250" s="110">
        <f>AVERAGE(FASE2!O250:P250,FASE2!S250)</f>
        <v>0</v>
      </c>
      <c r="O250" s="110">
        <f>FASE4!K250</f>
        <v>0</v>
      </c>
      <c r="P250" s="110">
        <f>FASE2!N250</f>
        <v>0</v>
      </c>
      <c r="Q250" s="110">
        <f>FASE3!P250</f>
        <v>0</v>
      </c>
      <c r="R250" s="110">
        <f>FASE3!N250</f>
        <v>0</v>
      </c>
      <c r="S250" s="110">
        <f>AVERAGE(FASE3!Q250,FASE3!R250,FASE3!T250,FASE3!S250)</f>
        <v>0</v>
      </c>
      <c r="T250" s="110">
        <f>AVERAGE(FASE3!U250,FASE3!V250,FASE3!W250)</f>
        <v>0</v>
      </c>
      <c r="U250" s="110">
        <f>FASE3!Y250</f>
        <v>0</v>
      </c>
      <c r="V250" s="110">
        <f>FASE3!X250</f>
        <v>0</v>
      </c>
      <c r="W250" s="110">
        <f>FASE4!M250</f>
        <v>0</v>
      </c>
      <c r="X250" s="110">
        <f t="shared" si="3"/>
        <v>0</v>
      </c>
      <c r="Y250" s="2"/>
    </row>
    <row r="251" spans="2:25" ht="15.75" customHeight="1" x14ac:dyDescent="0.25">
      <c r="B251">
        <v>7</v>
      </c>
      <c r="C251" t="s">
        <v>112</v>
      </c>
      <c r="D251" s="97">
        <v>714</v>
      </c>
      <c r="E251" s="110">
        <f>FASE1!G251</f>
        <v>0</v>
      </c>
      <c r="F251" s="110">
        <f>FASE1!M251</f>
        <v>0</v>
      </c>
      <c r="G251" s="110">
        <f>FASE1!L251</f>
        <v>0</v>
      </c>
      <c r="H251" s="110">
        <f>FASE1!R251</f>
        <v>0</v>
      </c>
      <c r="I251" s="110">
        <f>FASE1!U251</f>
        <v>0</v>
      </c>
      <c r="J251" s="110">
        <f>FASE1!U251</f>
        <v>0</v>
      </c>
      <c r="K251" s="110">
        <f>FASE1!P251</f>
        <v>0</v>
      </c>
      <c r="L251" s="110">
        <f>FASE1!V251</f>
        <v>0</v>
      </c>
      <c r="M251" s="110">
        <f>AVERAGE(FASE2!F251:G251)</f>
        <v>0</v>
      </c>
      <c r="N251" s="110">
        <f>AVERAGE(FASE2!O251:P251,FASE2!S251)</f>
        <v>0</v>
      </c>
      <c r="O251" s="110">
        <f>FASE4!K251</f>
        <v>0</v>
      </c>
      <c r="P251" s="110">
        <f>FASE2!N251</f>
        <v>0</v>
      </c>
      <c r="Q251" s="110">
        <f>FASE3!P251</f>
        <v>0</v>
      </c>
      <c r="R251" s="110">
        <f>FASE3!N251</f>
        <v>0</v>
      </c>
      <c r="S251" s="110">
        <f>AVERAGE(FASE3!Q251,FASE3!R251,FASE3!T251,FASE3!S251)</f>
        <v>0</v>
      </c>
      <c r="T251" s="110">
        <f>AVERAGE(FASE3!U251,FASE3!V251,FASE3!W251)</f>
        <v>0</v>
      </c>
      <c r="U251" s="110">
        <f>FASE3!Y251</f>
        <v>0</v>
      </c>
      <c r="V251" s="110">
        <f>FASE3!X251</f>
        <v>0</v>
      </c>
      <c r="W251" s="110">
        <f>FASE4!M251</f>
        <v>0</v>
      </c>
      <c r="X251" s="110">
        <f t="shared" si="3"/>
        <v>0</v>
      </c>
      <c r="Y251" s="2"/>
    </row>
    <row r="252" spans="2:25" ht="15.75" customHeight="1" x14ac:dyDescent="0.25">
      <c r="B252">
        <v>7</v>
      </c>
      <c r="C252" t="s">
        <v>112</v>
      </c>
      <c r="D252" s="97">
        <v>715</v>
      </c>
      <c r="E252" s="110">
        <f>FASE1!G252</f>
        <v>0</v>
      </c>
      <c r="F252" s="110">
        <f>FASE1!M252</f>
        <v>0</v>
      </c>
      <c r="G252" s="110">
        <f>FASE1!L252</f>
        <v>0</v>
      </c>
      <c r="H252" s="110">
        <f>FASE1!R252</f>
        <v>0</v>
      </c>
      <c r="I252" s="110">
        <f>FASE1!U252</f>
        <v>0</v>
      </c>
      <c r="J252" s="110">
        <f>FASE1!U252</f>
        <v>0</v>
      </c>
      <c r="K252" s="110">
        <f>FASE1!P252</f>
        <v>0</v>
      </c>
      <c r="L252" s="110">
        <f>FASE1!V252</f>
        <v>0</v>
      </c>
      <c r="M252" s="110">
        <f>AVERAGE(FASE2!F252:G252)</f>
        <v>0</v>
      </c>
      <c r="N252" s="110">
        <f>AVERAGE(FASE2!O252:P252,FASE2!S252)</f>
        <v>0</v>
      </c>
      <c r="O252" s="110">
        <f>FASE4!K252</f>
        <v>0</v>
      </c>
      <c r="P252" s="110">
        <f>FASE2!N252</f>
        <v>0</v>
      </c>
      <c r="Q252" s="110">
        <f>FASE3!P252</f>
        <v>0</v>
      </c>
      <c r="R252" s="110">
        <f>FASE3!N252</f>
        <v>0</v>
      </c>
      <c r="S252" s="110">
        <f>AVERAGE(FASE3!Q252,FASE3!R252,FASE3!T252,FASE3!S252)</f>
        <v>0</v>
      </c>
      <c r="T252" s="110">
        <f>AVERAGE(FASE3!U252,FASE3!V252,FASE3!W252)</f>
        <v>0</v>
      </c>
      <c r="U252" s="110">
        <f>FASE3!Y252</f>
        <v>0</v>
      </c>
      <c r="V252" s="110">
        <f>FASE3!X252</f>
        <v>0</v>
      </c>
      <c r="W252" s="110">
        <f>FASE4!M252</f>
        <v>0</v>
      </c>
      <c r="X252" s="110">
        <f t="shared" si="3"/>
        <v>0</v>
      </c>
      <c r="Y252" s="2"/>
    </row>
    <row r="253" spans="2:25" ht="15.75" customHeight="1" x14ac:dyDescent="0.25">
      <c r="B253">
        <v>7</v>
      </c>
      <c r="C253" t="s">
        <v>112</v>
      </c>
      <c r="D253" s="97">
        <v>716</v>
      </c>
      <c r="E253" s="110">
        <f>FASE1!G253</f>
        <v>0</v>
      </c>
      <c r="F253" s="110">
        <f>FASE1!M253</f>
        <v>0</v>
      </c>
      <c r="G253" s="110">
        <f>FASE1!L253</f>
        <v>0</v>
      </c>
      <c r="H253" s="110">
        <f>FASE1!R253</f>
        <v>0</v>
      </c>
      <c r="I253" s="110">
        <f>FASE1!U253</f>
        <v>0</v>
      </c>
      <c r="J253" s="110">
        <f>FASE1!U253</f>
        <v>0</v>
      </c>
      <c r="K253" s="110">
        <f>FASE1!P253</f>
        <v>0</v>
      </c>
      <c r="L253" s="110">
        <f>FASE1!V253</f>
        <v>0</v>
      </c>
      <c r="M253" s="110">
        <f>AVERAGE(FASE2!F253:G253)</f>
        <v>0</v>
      </c>
      <c r="N253" s="110">
        <f>AVERAGE(FASE2!O253:P253,FASE2!S253)</f>
        <v>0</v>
      </c>
      <c r="O253" s="110">
        <f>FASE4!K253</f>
        <v>0</v>
      </c>
      <c r="P253" s="110">
        <f>FASE2!N253</f>
        <v>0</v>
      </c>
      <c r="Q253" s="110">
        <f>FASE3!P253</f>
        <v>0</v>
      </c>
      <c r="R253" s="110">
        <f>FASE3!N253</f>
        <v>0</v>
      </c>
      <c r="S253" s="110">
        <f>AVERAGE(FASE3!Q253,FASE3!R253,FASE3!T253,FASE3!S253)</f>
        <v>0</v>
      </c>
      <c r="T253" s="110">
        <f>AVERAGE(FASE3!U253,FASE3!V253,FASE3!W253)</f>
        <v>0</v>
      </c>
      <c r="U253" s="110">
        <f>FASE3!Y253</f>
        <v>0</v>
      </c>
      <c r="V253" s="110">
        <f>FASE3!X253</f>
        <v>0</v>
      </c>
      <c r="W253" s="110">
        <f>FASE4!M253</f>
        <v>0</v>
      </c>
      <c r="X253" s="110">
        <f t="shared" si="3"/>
        <v>0</v>
      </c>
      <c r="Y253" s="2"/>
    </row>
    <row r="254" spans="2:25" ht="15.75" customHeight="1" x14ac:dyDescent="0.25">
      <c r="B254">
        <v>7</v>
      </c>
      <c r="C254" t="s">
        <v>112</v>
      </c>
      <c r="D254" s="97">
        <v>717</v>
      </c>
      <c r="E254" s="110">
        <f>FASE1!G254</f>
        <v>0</v>
      </c>
      <c r="F254" s="110">
        <f>FASE1!M254</f>
        <v>0</v>
      </c>
      <c r="G254" s="110">
        <f>FASE1!L254</f>
        <v>0</v>
      </c>
      <c r="H254" s="110">
        <f>FASE1!R254</f>
        <v>0</v>
      </c>
      <c r="I254" s="110">
        <f>FASE1!U254</f>
        <v>0</v>
      </c>
      <c r="J254" s="110">
        <f>FASE1!U254</f>
        <v>0</v>
      </c>
      <c r="K254" s="110">
        <f>FASE1!P254</f>
        <v>0</v>
      </c>
      <c r="L254" s="110">
        <f>FASE1!V254</f>
        <v>0</v>
      </c>
      <c r="M254" s="110">
        <f>AVERAGE(FASE2!F254:G254)</f>
        <v>0</v>
      </c>
      <c r="N254" s="110">
        <f>AVERAGE(FASE2!O254:P254,FASE2!S254)</f>
        <v>0</v>
      </c>
      <c r="O254" s="110">
        <f>FASE4!K254</f>
        <v>0</v>
      </c>
      <c r="P254" s="110">
        <f>FASE2!N254</f>
        <v>0</v>
      </c>
      <c r="Q254" s="110">
        <f>FASE3!P254</f>
        <v>0</v>
      </c>
      <c r="R254" s="110">
        <f>FASE3!N254</f>
        <v>0</v>
      </c>
      <c r="S254" s="110">
        <f>AVERAGE(FASE3!Q254,FASE3!R254,FASE3!T254,FASE3!S254)</f>
        <v>0</v>
      </c>
      <c r="T254" s="110">
        <f>AVERAGE(FASE3!U254,FASE3!V254,FASE3!W254)</f>
        <v>0</v>
      </c>
      <c r="U254" s="110">
        <f>FASE3!Y254</f>
        <v>0</v>
      </c>
      <c r="V254" s="110">
        <f>FASE3!X254</f>
        <v>0</v>
      </c>
      <c r="W254" s="110">
        <f>FASE4!M254</f>
        <v>0</v>
      </c>
      <c r="X254" s="110">
        <f t="shared" si="3"/>
        <v>0</v>
      </c>
      <c r="Y254" s="2"/>
    </row>
    <row r="255" spans="2:25" ht="15.75" customHeight="1" x14ac:dyDescent="0.25">
      <c r="B255">
        <v>7</v>
      </c>
      <c r="C255" t="s">
        <v>112</v>
      </c>
      <c r="D255" s="97">
        <v>718</v>
      </c>
      <c r="E255" s="110">
        <f>FASE1!G255</f>
        <v>0</v>
      </c>
      <c r="F255" s="110">
        <f>FASE1!M255</f>
        <v>0</v>
      </c>
      <c r="G255" s="110">
        <f>FASE1!L255</f>
        <v>0</v>
      </c>
      <c r="H255" s="110">
        <f>FASE1!R255</f>
        <v>0</v>
      </c>
      <c r="I255" s="110">
        <f>FASE1!U255</f>
        <v>0</v>
      </c>
      <c r="J255" s="110">
        <f>FASE1!U255</f>
        <v>0</v>
      </c>
      <c r="K255" s="110">
        <f>FASE1!P255</f>
        <v>0</v>
      </c>
      <c r="L255" s="110">
        <f>FASE1!V255</f>
        <v>0</v>
      </c>
      <c r="M255" s="110">
        <f>AVERAGE(FASE2!F255:G255)</f>
        <v>0</v>
      </c>
      <c r="N255" s="110">
        <f>AVERAGE(FASE2!O255:P255,FASE2!S255)</f>
        <v>0</v>
      </c>
      <c r="O255" s="110">
        <f>FASE4!K255</f>
        <v>0</v>
      </c>
      <c r="P255" s="110">
        <f>FASE2!N255</f>
        <v>0</v>
      </c>
      <c r="Q255" s="110">
        <f>FASE3!P255</f>
        <v>0</v>
      </c>
      <c r="R255" s="110">
        <f>FASE3!N255</f>
        <v>0</v>
      </c>
      <c r="S255" s="110">
        <f>AVERAGE(FASE3!Q255,FASE3!R255,FASE3!T255,FASE3!S255)</f>
        <v>0</v>
      </c>
      <c r="T255" s="110">
        <f>AVERAGE(FASE3!U255,FASE3!V255,FASE3!W255)</f>
        <v>0</v>
      </c>
      <c r="U255" s="110">
        <f>FASE3!Y255</f>
        <v>0</v>
      </c>
      <c r="V255" s="110">
        <f>FASE3!X255</f>
        <v>0</v>
      </c>
      <c r="W255" s="110">
        <f>FASE4!M255</f>
        <v>0</v>
      </c>
      <c r="X255" s="110">
        <f t="shared" si="3"/>
        <v>0</v>
      </c>
      <c r="Y255" s="2"/>
    </row>
    <row r="256" spans="2:25" ht="15.75" customHeight="1" x14ac:dyDescent="0.25">
      <c r="B256">
        <v>7</v>
      </c>
      <c r="C256" t="s">
        <v>112</v>
      </c>
      <c r="D256" s="97">
        <v>719</v>
      </c>
      <c r="E256" s="110">
        <f>FASE1!G256</f>
        <v>0</v>
      </c>
      <c r="F256" s="110">
        <f>FASE1!M256</f>
        <v>0</v>
      </c>
      <c r="G256" s="110">
        <f>FASE1!L256</f>
        <v>0</v>
      </c>
      <c r="H256" s="110">
        <f>FASE1!R256</f>
        <v>0</v>
      </c>
      <c r="I256" s="110">
        <f>FASE1!U256</f>
        <v>0</v>
      </c>
      <c r="J256" s="110">
        <f>FASE1!U256</f>
        <v>0</v>
      </c>
      <c r="K256" s="110">
        <f>FASE1!P256</f>
        <v>0</v>
      </c>
      <c r="L256" s="110">
        <f>FASE1!V256</f>
        <v>0</v>
      </c>
      <c r="M256" s="110">
        <f>AVERAGE(FASE2!F256:G256)</f>
        <v>0</v>
      </c>
      <c r="N256" s="110">
        <f>AVERAGE(FASE2!O256:P256,FASE2!S256)</f>
        <v>0</v>
      </c>
      <c r="O256" s="110">
        <f>FASE4!K256</f>
        <v>0</v>
      </c>
      <c r="P256" s="110">
        <f>FASE2!N256</f>
        <v>0</v>
      </c>
      <c r="Q256" s="110">
        <f>FASE3!P256</f>
        <v>0</v>
      </c>
      <c r="R256" s="110">
        <f>FASE3!N256</f>
        <v>0</v>
      </c>
      <c r="S256" s="110">
        <f>AVERAGE(FASE3!Q256,FASE3!R256,FASE3!T256,FASE3!S256)</f>
        <v>0</v>
      </c>
      <c r="T256" s="110">
        <f>AVERAGE(FASE3!U256,FASE3!V256,FASE3!W256)</f>
        <v>0</v>
      </c>
      <c r="U256" s="110">
        <f>FASE3!Y256</f>
        <v>0</v>
      </c>
      <c r="V256" s="110">
        <f>FASE3!X256</f>
        <v>0</v>
      </c>
      <c r="W256" s="110">
        <f>FASE4!M256</f>
        <v>0</v>
      </c>
      <c r="X256" s="110">
        <f t="shared" si="3"/>
        <v>0</v>
      </c>
      <c r="Y256" s="2"/>
    </row>
    <row r="257" spans="2:25" ht="15.75" customHeight="1" x14ac:dyDescent="0.25">
      <c r="B257">
        <v>7</v>
      </c>
      <c r="C257" t="s">
        <v>112</v>
      </c>
      <c r="D257" s="97">
        <v>720</v>
      </c>
      <c r="E257" s="110">
        <f>FASE1!G257</f>
        <v>0</v>
      </c>
      <c r="F257" s="110">
        <f>FASE1!M257</f>
        <v>0</v>
      </c>
      <c r="G257" s="110">
        <f>FASE1!L257</f>
        <v>0</v>
      </c>
      <c r="H257" s="110">
        <f>FASE1!R257</f>
        <v>0</v>
      </c>
      <c r="I257" s="110">
        <f>FASE1!U257</f>
        <v>0</v>
      </c>
      <c r="J257" s="110">
        <f>FASE1!U257</f>
        <v>0</v>
      </c>
      <c r="K257" s="110">
        <f>FASE1!P257</f>
        <v>0</v>
      </c>
      <c r="L257" s="110">
        <f>FASE1!V257</f>
        <v>0</v>
      </c>
      <c r="M257" s="110">
        <f>AVERAGE(FASE2!F257:G257)</f>
        <v>0</v>
      </c>
      <c r="N257" s="110">
        <f>AVERAGE(FASE2!O257:P257,FASE2!S257)</f>
        <v>0</v>
      </c>
      <c r="O257" s="110">
        <f>FASE4!K257</f>
        <v>0</v>
      </c>
      <c r="P257" s="110">
        <f>FASE2!N257</f>
        <v>0</v>
      </c>
      <c r="Q257" s="110">
        <f>FASE3!P257</f>
        <v>0</v>
      </c>
      <c r="R257" s="110">
        <f>FASE3!N257</f>
        <v>0</v>
      </c>
      <c r="S257" s="110">
        <f>AVERAGE(FASE3!Q257,FASE3!R257,FASE3!T257,FASE3!S257)</f>
        <v>0</v>
      </c>
      <c r="T257" s="110">
        <f>AVERAGE(FASE3!U257,FASE3!V257,FASE3!W257)</f>
        <v>0</v>
      </c>
      <c r="U257" s="110">
        <f>FASE3!Y257</f>
        <v>0</v>
      </c>
      <c r="V257" s="110">
        <f>FASE3!X257</f>
        <v>0</v>
      </c>
      <c r="W257" s="110">
        <f>FASE4!M257</f>
        <v>0</v>
      </c>
      <c r="X257" s="110">
        <f t="shared" si="3"/>
        <v>0</v>
      </c>
      <c r="Y257" s="2"/>
    </row>
    <row r="258" spans="2:25" ht="15.75" customHeight="1" x14ac:dyDescent="0.25">
      <c r="B258">
        <v>7</v>
      </c>
      <c r="C258" t="s">
        <v>112</v>
      </c>
      <c r="D258" s="97">
        <v>721</v>
      </c>
      <c r="E258" s="110">
        <f>FASE1!G258</f>
        <v>0</v>
      </c>
      <c r="F258" s="110">
        <f>FASE1!M258</f>
        <v>0</v>
      </c>
      <c r="G258" s="110">
        <f>FASE1!L258</f>
        <v>0</v>
      </c>
      <c r="H258" s="110">
        <f>FASE1!R258</f>
        <v>0</v>
      </c>
      <c r="I258" s="110">
        <f>FASE1!U258</f>
        <v>0</v>
      </c>
      <c r="J258" s="110">
        <f>FASE1!U258</f>
        <v>0</v>
      </c>
      <c r="K258" s="110">
        <f>FASE1!P258</f>
        <v>0</v>
      </c>
      <c r="L258" s="110">
        <f>FASE1!V258</f>
        <v>0</v>
      </c>
      <c r="M258" s="110">
        <f>AVERAGE(FASE2!F258:G258)</f>
        <v>0</v>
      </c>
      <c r="N258" s="110">
        <f>AVERAGE(FASE2!O258:P258,FASE2!S258)</f>
        <v>0</v>
      </c>
      <c r="O258" s="110">
        <f>FASE4!K258</f>
        <v>0</v>
      </c>
      <c r="P258" s="110">
        <f>FASE2!N258</f>
        <v>0</v>
      </c>
      <c r="Q258" s="110">
        <f>FASE3!P258</f>
        <v>0</v>
      </c>
      <c r="R258" s="110">
        <f>FASE3!N258</f>
        <v>0</v>
      </c>
      <c r="S258" s="110">
        <f>AVERAGE(FASE3!Q258,FASE3!R258,FASE3!T258,FASE3!S258)</f>
        <v>0</v>
      </c>
      <c r="T258" s="110">
        <f>AVERAGE(FASE3!U258,FASE3!V258,FASE3!W258)</f>
        <v>0</v>
      </c>
      <c r="U258" s="110">
        <f>FASE3!Y258</f>
        <v>0</v>
      </c>
      <c r="V258" s="110">
        <f>FASE3!X258</f>
        <v>0</v>
      </c>
      <c r="W258" s="110">
        <f>FASE4!M258</f>
        <v>0</v>
      </c>
      <c r="X258" s="110">
        <f t="shared" ref="X258:X321" si="4">AVERAGE(E258:V258)</f>
        <v>0</v>
      </c>
      <c r="Y258" s="2"/>
    </row>
    <row r="259" spans="2:25" ht="15.75" customHeight="1" x14ac:dyDescent="0.25">
      <c r="B259">
        <v>7</v>
      </c>
      <c r="C259" t="s">
        <v>112</v>
      </c>
      <c r="D259" s="97">
        <v>722</v>
      </c>
      <c r="E259" s="110">
        <f>FASE1!G259</f>
        <v>0</v>
      </c>
      <c r="F259" s="110">
        <f>FASE1!M259</f>
        <v>0</v>
      </c>
      <c r="G259" s="110">
        <f>FASE1!L259</f>
        <v>0</v>
      </c>
      <c r="H259" s="110">
        <f>FASE1!R259</f>
        <v>0</v>
      </c>
      <c r="I259" s="110">
        <f>FASE1!U259</f>
        <v>0</v>
      </c>
      <c r="J259" s="110">
        <f>FASE1!U259</f>
        <v>0</v>
      </c>
      <c r="K259" s="110">
        <f>FASE1!P259</f>
        <v>0</v>
      </c>
      <c r="L259" s="110">
        <f>FASE1!V259</f>
        <v>0</v>
      </c>
      <c r="M259" s="110">
        <f>AVERAGE(FASE2!F259:G259)</f>
        <v>0</v>
      </c>
      <c r="N259" s="110">
        <f>AVERAGE(FASE2!O259:P259,FASE2!S259)</f>
        <v>0</v>
      </c>
      <c r="O259" s="110">
        <f>FASE4!K259</f>
        <v>0</v>
      </c>
      <c r="P259" s="110">
        <f>FASE2!N259</f>
        <v>0</v>
      </c>
      <c r="Q259" s="110">
        <f>FASE3!P259</f>
        <v>0</v>
      </c>
      <c r="R259" s="110">
        <f>FASE3!N259</f>
        <v>0</v>
      </c>
      <c r="S259" s="110">
        <f>AVERAGE(FASE3!Q259,FASE3!R259,FASE3!T259,FASE3!S259)</f>
        <v>0</v>
      </c>
      <c r="T259" s="110">
        <f>AVERAGE(FASE3!U259,FASE3!V259,FASE3!W259)</f>
        <v>0</v>
      </c>
      <c r="U259" s="110">
        <f>FASE3!Y259</f>
        <v>0</v>
      </c>
      <c r="V259" s="110">
        <f>FASE3!X259</f>
        <v>0</v>
      </c>
      <c r="W259" s="110">
        <f>FASE4!M259</f>
        <v>0</v>
      </c>
      <c r="X259" s="110">
        <f t="shared" si="4"/>
        <v>0</v>
      </c>
      <c r="Y259" s="2"/>
    </row>
    <row r="260" spans="2:25" ht="15.75" customHeight="1" x14ac:dyDescent="0.25">
      <c r="B260">
        <v>7</v>
      </c>
      <c r="C260" t="s">
        <v>112</v>
      </c>
      <c r="D260" s="97">
        <v>723</v>
      </c>
      <c r="E260" s="110">
        <f>FASE1!G260</f>
        <v>0</v>
      </c>
      <c r="F260" s="110">
        <f>FASE1!M260</f>
        <v>0</v>
      </c>
      <c r="G260" s="110">
        <f>FASE1!L260</f>
        <v>0</v>
      </c>
      <c r="H260" s="110">
        <f>FASE1!R260</f>
        <v>0</v>
      </c>
      <c r="I260" s="110">
        <f>FASE1!U260</f>
        <v>0</v>
      </c>
      <c r="J260" s="110">
        <f>FASE1!U260</f>
        <v>0</v>
      </c>
      <c r="K260" s="110">
        <f>FASE1!P260</f>
        <v>0</v>
      </c>
      <c r="L260" s="110">
        <f>FASE1!V260</f>
        <v>0</v>
      </c>
      <c r="M260" s="110">
        <f>AVERAGE(FASE2!F260:G260)</f>
        <v>0</v>
      </c>
      <c r="N260" s="110">
        <f>AVERAGE(FASE2!O260:P260,FASE2!S260)</f>
        <v>0</v>
      </c>
      <c r="O260" s="110">
        <f>FASE4!K260</f>
        <v>0</v>
      </c>
      <c r="P260" s="110">
        <f>FASE2!N260</f>
        <v>0</v>
      </c>
      <c r="Q260" s="110">
        <f>FASE3!P260</f>
        <v>0</v>
      </c>
      <c r="R260" s="110">
        <f>FASE3!N260</f>
        <v>0</v>
      </c>
      <c r="S260" s="110">
        <f>AVERAGE(FASE3!Q260,FASE3!R260,FASE3!T260,FASE3!S260)</f>
        <v>0</v>
      </c>
      <c r="T260" s="110">
        <f>AVERAGE(FASE3!U260,FASE3!V260,FASE3!W260)</f>
        <v>0</v>
      </c>
      <c r="U260" s="110">
        <f>FASE3!Y260</f>
        <v>0</v>
      </c>
      <c r="V260" s="110">
        <f>FASE3!X260</f>
        <v>0</v>
      </c>
      <c r="W260" s="110">
        <f>FASE4!M260</f>
        <v>0</v>
      </c>
      <c r="X260" s="110">
        <f t="shared" si="4"/>
        <v>0</v>
      </c>
      <c r="Y260" s="2"/>
    </row>
    <row r="261" spans="2:25" ht="15.75" customHeight="1" x14ac:dyDescent="0.25">
      <c r="B261">
        <v>7</v>
      </c>
      <c r="C261" t="s">
        <v>111</v>
      </c>
      <c r="D261" s="97">
        <v>701</v>
      </c>
      <c r="E261" s="110">
        <f>FASE1!G261</f>
        <v>0</v>
      </c>
      <c r="F261" s="110">
        <f>FASE1!M261</f>
        <v>0</v>
      </c>
      <c r="G261" s="110">
        <f>FASE1!L261</f>
        <v>0</v>
      </c>
      <c r="H261" s="110">
        <f>FASE1!R261</f>
        <v>0</v>
      </c>
      <c r="I261" s="110">
        <f>FASE1!U261</f>
        <v>0</v>
      </c>
      <c r="J261" s="110">
        <f>FASE1!U261</f>
        <v>0</v>
      </c>
      <c r="K261" s="110">
        <f>FASE1!P261</f>
        <v>0</v>
      </c>
      <c r="L261" s="110">
        <f>FASE1!V261</f>
        <v>0</v>
      </c>
      <c r="M261" s="110">
        <f>AVERAGE(FASE2!F261:G261)</f>
        <v>0</v>
      </c>
      <c r="N261" s="110">
        <f>AVERAGE(FASE2!O261:P261,FASE2!S261)</f>
        <v>0</v>
      </c>
      <c r="O261" s="110">
        <f>FASE4!K261</f>
        <v>0</v>
      </c>
      <c r="P261" s="110">
        <f>FASE2!N261</f>
        <v>0</v>
      </c>
      <c r="Q261" s="110">
        <f>FASE3!P261</f>
        <v>0</v>
      </c>
      <c r="R261" s="110">
        <f>FASE3!N261</f>
        <v>0</v>
      </c>
      <c r="S261" s="110">
        <f>AVERAGE(FASE3!Q261,FASE3!R261,FASE3!T261,FASE3!S261)</f>
        <v>0</v>
      </c>
      <c r="T261" s="110">
        <f>AVERAGE(FASE3!U261,FASE3!V261,FASE3!W261)</f>
        <v>0</v>
      </c>
      <c r="U261" s="110">
        <f>FASE3!Y261</f>
        <v>0</v>
      </c>
      <c r="V261" s="110">
        <f>FASE3!X261</f>
        <v>0</v>
      </c>
      <c r="W261" s="110">
        <f>FASE4!M261</f>
        <v>0</v>
      </c>
      <c r="X261" s="110">
        <f t="shared" si="4"/>
        <v>0</v>
      </c>
      <c r="Y261" s="2"/>
    </row>
    <row r="262" spans="2:25" ht="15.75" customHeight="1" x14ac:dyDescent="0.25">
      <c r="B262">
        <v>7</v>
      </c>
      <c r="C262" t="s">
        <v>111</v>
      </c>
      <c r="D262" s="97">
        <v>701</v>
      </c>
      <c r="E262" s="110">
        <f>FASE1!G262</f>
        <v>0</v>
      </c>
      <c r="F262" s="110">
        <f>FASE1!M262</f>
        <v>0</v>
      </c>
      <c r="G262" s="110">
        <f>FASE1!L262</f>
        <v>0</v>
      </c>
      <c r="H262" s="110">
        <f>FASE1!R262</f>
        <v>0</v>
      </c>
      <c r="I262" s="110">
        <f>FASE1!U262</f>
        <v>0</v>
      </c>
      <c r="J262" s="110">
        <f>FASE1!U262</f>
        <v>0</v>
      </c>
      <c r="K262" s="110">
        <f>FASE1!P262</f>
        <v>0</v>
      </c>
      <c r="L262" s="110">
        <f>FASE1!V262</f>
        <v>0</v>
      </c>
      <c r="M262" s="110">
        <f>AVERAGE(FASE2!F262:G262)</f>
        <v>0</v>
      </c>
      <c r="N262" s="110">
        <f>AVERAGE(FASE2!O262:P262,FASE2!S262)</f>
        <v>0</v>
      </c>
      <c r="O262" s="110">
        <f>FASE4!K262</f>
        <v>0</v>
      </c>
      <c r="P262" s="110">
        <f>FASE2!N262</f>
        <v>0</v>
      </c>
      <c r="Q262" s="110">
        <f>FASE3!P262</f>
        <v>0</v>
      </c>
      <c r="R262" s="110">
        <f>FASE3!N262</f>
        <v>0</v>
      </c>
      <c r="S262" s="110">
        <f>AVERAGE(FASE3!Q262,FASE3!R262,FASE3!T262,FASE3!S262)</f>
        <v>0</v>
      </c>
      <c r="T262" s="110">
        <f>AVERAGE(FASE3!U262,FASE3!V262,FASE3!W262)</f>
        <v>0</v>
      </c>
      <c r="U262" s="110">
        <f>FASE3!Y262</f>
        <v>0</v>
      </c>
      <c r="V262" s="110">
        <f>FASE3!X262</f>
        <v>0</v>
      </c>
      <c r="W262" s="110">
        <f>FASE4!M262</f>
        <v>0</v>
      </c>
      <c r="X262" s="110">
        <f t="shared" si="4"/>
        <v>0</v>
      </c>
      <c r="Y262" s="2"/>
    </row>
    <row r="263" spans="2:25" ht="15.75" customHeight="1" x14ac:dyDescent="0.25">
      <c r="B263">
        <v>7</v>
      </c>
      <c r="C263" t="s">
        <v>111</v>
      </c>
      <c r="D263" s="97">
        <v>701</v>
      </c>
      <c r="E263" s="110">
        <f>FASE1!G263</f>
        <v>0</v>
      </c>
      <c r="F263" s="110">
        <f>FASE1!M263</f>
        <v>0</v>
      </c>
      <c r="G263" s="110">
        <f>FASE1!L263</f>
        <v>0</v>
      </c>
      <c r="H263" s="110">
        <f>FASE1!R263</f>
        <v>0</v>
      </c>
      <c r="I263" s="110">
        <f>FASE1!U263</f>
        <v>0</v>
      </c>
      <c r="J263" s="110">
        <f>FASE1!U263</f>
        <v>0</v>
      </c>
      <c r="K263" s="110">
        <f>FASE1!P263</f>
        <v>0</v>
      </c>
      <c r="L263" s="110">
        <f>FASE1!V263</f>
        <v>0</v>
      </c>
      <c r="M263" s="110">
        <f>AVERAGE(FASE2!F263:G263)</f>
        <v>0</v>
      </c>
      <c r="N263" s="110">
        <f>AVERAGE(FASE2!O263:P263,FASE2!S263)</f>
        <v>0</v>
      </c>
      <c r="O263" s="110">
        <f>FASE4!K263</f>
        <v>0</v>
      </c>
      <c r="P263" s="110">
        <f>FASE2!N263</f>
        <v>0</v>
      </c>
      <c r="Q263" s="110">
        <f>FASE3!P263</f>
        <v>0</v>
      </c>
      <c r="R263" s="110">
        <f>FASE3!N263</f>
        <v>0</v>
      </c>
      <c r="S263" s="110">
        <f>AVERAGE(FASE3!Q263,FASE3!R263,FASE3!T263,FASE3!S263)</f>
        <v>0</v>
      </c>
      <c r="T263" s="110">
        <f>AVERAGE(FASE3!U263,FASE3!V263,FASE3!W263)</f>
        <v>0</v>
      </c>
      <c r="U263" s="110">
        <f>FASE3!Y263</f>
        <v>0</v>
      </c>
      <c r="V263" s="110">
        <f>FASE3!X263</f>
        <v>0</v>
      </c>
      <c r="W263" s="110">
        <f>FASE4!M263</f>
        <v>0</v>
      </c>
      <c r="X263" s="110">
        <f t="shared" si="4"/>
        <v>0</v>
      </c>
      <c r="Y263" s="2"/>
    </row>
    <row r="264" spans="2:25" ht="15.75" customHeight="1" x14ac:dyDescent="0.25">
      <c r="B264">
        <v>7</v>
      </c>
      <c r="C264" t="s">
        <v>111</v>
      </c>
      <c r="D264" s="97">
        <v>701</v>
      </c>
      <c r="E264" s="110">
        <f>FASE1!G264</f>
        <v>0</v>
      </c>
      <c r="F264" s="110">
        <f>FASE1!M264</f>
        <v>0</v>
      </c>
      <c r="G264" s="110">
        <f>FASE1!L264</f>
        <v>0</v>
      </c>
      <c r="H264" s="110">
        <f>FASE1!R264</f>
        <v>0</v>
      </c>
      <c r="I264" s="110">
        <f>FASE1!U264</f>
        <v>0</v>
      </c>
      <c r="J264" s="110">
        <f>FASE1!U264</f>
        <v>0</v>
      </c>
      <c r="K264" s="110">
        <f>FASE1!P264</f>
        <v>0</v>
      </c>
      <c r="L264" s="110">
        <f>FASE1!V264</f>
        <v>0</v>
      </c>
      <c r="M264" s="110">
        <f>AVERAGE(FASE2!F264:G264)</f>
        <v>0</v>
      </c>
      <c r="N264" s="110">
        <f>AVERAGE(FASE2!O264:P264,FASE2!S264)</f>
        <v>0</v>
      </c>
      <c r="O264" s="110">
        <f>FASE4!K264</f>
        <v>0</v>
      </c>
      <c r="P264" s="110">
        <f>FASE2!N264</f>
        <v>0</v>
      </c>
      <c r="Q264" s="110">
        <f>FASE3!P264</f>
        <v>0</v>
      </c>
      <c r="R264" s="110">
        <f>FASE3!N264</f>
        <v>0</v>
      </c>
      <c r="S264" s="110">
        <f>AVERAGE(FASE3!Q264,FASE3!R264,FASE3!T264,FASE3!S264)</f>
        <v>0</v>
      </c>
      <c r="T264" s="110">
        <f>AVERAGE(FASE3!U264,FASE3!V264,FASE3!W264)</f>
        <v>0</v>
      </c>
      <c r="U264" s="110">
        <f>FASE3!Y264</f>
        <v>0</v>
      </c>
      <c r="V264" s="110">
        <f>FASE3!X264</f>
        <v>0</v>
      </c>
      <c r="W264" s="110">
        <f>FASE4!M264</f>
        <v>0</v>
      </c>
      <c r="X264" s="110">
        <f t="shared" si="4"/>
        <v>0</v>
      </c>
      <c r="Y264" s="2"/>
    </row>
    <row r="265" spans="2:25" ht="15.75" customHeight="1" x14ac:dyDescent="0.25">
      <c r="B265">
        <v>7</v>
      </c>
      <c r="C265" t="s">
        <v>111</v>
      </c>
      <c r="D265" s="97">
        <v>701</v>
      </c>
      <c r="E265" s="110">
        <f>FASE1!G265</f>
        <v>0</v>
      </c>
      <c r="F265" s="110">
        <f>FASE1!M265</f>
        <v>0</v>
      </c>
      <c r="G265" s="110">
        <f>FASE1!L265</f>
        <v>0</v>
      </c>
      <c r="H265" s="110">
        <f>FASE1!R265</f>
        <v>0</v>
      </c>
      <c r="I265" s="110">
        <f>FASE1!U265</f>
        <v>0</v>
      </c>
      <c r="J265" s="110">
        <f>FASE1!U265</f>
        <v>0</v>
      </c>
      <c r="K265" s="110">
        <f>FASE1!P265</f>
        <v>0</v>
      </c>
      <c r="L265" s="110">
        <f>FASE1!V265</f>
        <v>0</v>
      </c>
      <c r="M265" s="110">
        <f>AVERAGE(FASE2!F265:G265)</f>
        <v>0</v>
      </c>
      <c r="N265" s="110">
        <f>AVERAGE(FASE2!O265:P265,FASE2!S265)</f>
        <v>0</v>
      </c>
      <c r="O265" s="110">
        <f>FASE4!K265</f>
        <v>0</v>
      </c>
      <c r="P265" s="110">
        <f>FASE2!N265</f>
        <v>0</v>
      </c>
      <c r="Q265" s="110">
        <f>FASE3!P265</f>
        <v>0</v>
      </c>
      <c r="R265" s="110">
        <f>FASE3!N265</f>
        <v>0</v>
      </c>
      <c r="S265" s="110">
        <f>AVERAGE(FASE3!Q265,FASE3!R265,FASE3!T265,FASE3!S265)</f>
        <v>0</v>
      </c>
      <c r="T265" s="110">
        <f>AVERAGE(FASE3!U265,FASE3!V265,FASE3!W265)</f>
        <v>0</v>
      </c>
      <c r="U265" s="110">
        <f>FASE3!Y265</f>
        <v>0</v>
      </c>
      <c r="V265" s="110">
        <f>FASE3!X265</f>
        <v>0</v>
      </c>
      <c r="W265" s="110">
        <f>FASE4!M265</f>
        <v>0</v>
      </c>
      <c r="X265" s="110">
        <f t="shared" si="4"/>
        <v>0</v>
      </c>
      <c r="Y265" s="2"/>
    </row>
    <row r="266" spans="2:25" ht="15.75" customHeight="1" x14ac:dyDescent="0.25">
      <c r="B266">
        <v>7</v>
      </c>
      <c r="C266" t="s">
        <v>111</v>
      </c>
      <c r="D266" s="97">
        <v>701</v>
      </c>
      <c r="E266" s="110">
        <f>FASE1!G266</f>
        <v>0</v>
      </c>
      <c r="F266" s="110">
        <f>FASE1!M266</f>
        <v>0</v>
      </c>
      <c r="G266" s="110">
        <f>FASE1!L266</f>
        <v>0</v>
      </c>
      <c r="H266" s="110">
        <f>FASE1!R266</f>
        <v>0</v>
      </c>
      <c r="I266" s="110">
        <f>FASE1!U266</f>
        <v>0</v>
      </c>
      <c r="J266" s="110">
        <f>FASE1!U266</f>
        <v>0</v>
      </c>
      <c r="K266" s="110">
        <f>FASE1!P266</f>
        <v>0</v>
      </c>
      <c r="L266" s="110">
        <f>FASE1!V266</f>
        <v>0</v>
      </c>
      <c r="M266" s="110">
        <f>AVERAGE(FASE2!F266:G266)</f>
        <v>0</v>
      </c>
      <c r="N266" s="110">
        <f>AVERAGE(FASE2!O266:P266,FASE2!S266)</f>
        <v>0</v>
      </c>
      <c r="O266" s="110">
        <f>FASE4!K266</f>
        <v>0</v>
      </c>
      <c r="P266" s="110">
        <f>FASE2!N266</f>
        <v>0</v>
      </c>
      <c r="Q266" s="110">
        <f>FASE3!P266</f>
        <v>0</v>
      </c>
      <c r="R266" s="110">
        <f>FASE3!N266</f>
        <v>0</v>
      </c>
      <c r="S266" s="110">
        <f>AVERAGE(FASE3!Q266,FASE3!R266,FASE3!T266,FASE3!S266)</f>
        <v>0</v>
      </c>
      <c r="T266" s="110">
        <f>AVERAGE(FASE3!U266,FASE3!V266,FASE3!W266)</f>
        <v>0</v>
      </c>
      <c r="U266" s="110">
        <f>FASE3!Y266</f>
        <v>0</v>
      </c>
      <c r="V266" s="110">
        <f>FASE3!X266</f>
        <v>0</v>
      </c>
      <c r="W266" s="110">
        <f>FASE4!M266</f>
        <v>0</v>
      </c>
      <c r="X266" s="110">
        <f t="shared" si="4"/>
        <v>0</v>
      </c>
      <c r="Y266" s="2"/>
    </row>
    <row r="267" spans="2:25" ht="15.75" customHeight="1" x14ac:dyDescent="0.25">
      <c r="B267">
        <v>7</v>
      </c>
      <c r="C267" t="s">
        <v>111</v>
      </c>
      <c r="D267" s="97">
        <v>701</v>
      </c>
      <c r="E267" s="110">
        <f>FASE1!G267</f>
        <v>0</v>
      </c>
      <c r="F267" s="110">
        <f>FASE1!M267</f>
        <v>0</v>
      </c>
      <c r="G267" s="110">
        <f>FASE1!L267</f>
        <v>0</v>
      </c>
      <c r="H267" s="110">
        <f>FASE1!R267</f>
        <v>0</v>
      </c>
      <c r="I267" s="110">
        <f>FASE1!U267</f>
        <v>0</v>
      </c>
      <c r="J267" s="110">
        <f>FASE1!U267</f>
        <v>0</v>
      </c>
      <c r="K267" s="110">
        <f>FASE1!P267</f>
        <v>0</v>
      </c>
      <c r="L267" s="110">
        <f>FASE1!V267</f>
        <v>0</v>
      </c>
      <c r="M267" s="110">
        <f>AVERAGE(FASE2!F267:G267)</f>
        <v>0</v>
      </c>
      <c r="N267" s="110">
        <f>AVERAGE(FASE2!O267:P267,FASE2!S267)</f>
        <v>0</v>
      </c>
      <c r="O267" s="110">
        <f>FASE4!K267</f>
        <v>0</v>
      </c>
      <c r="P267" s="110">
        <f>FASE2!N267</f>
        <v>0</v>
      </c>
      <c r="Q267" s="110">
        <f>FASE3!P267</f>
        <v>0</v>
      </c>
      <c r="R267" s="110">
        <f>FASE3!N267</f>
        <v>0</v>
      </c>
      <c r="S267" s="110">
        <f>AVERAGE(FASE3!Q267,FASE3!R267,FASE3!T267,FASE3!S267)</f>
        <v>0</v>
      </c>
      <c r="T267" s="110">
        <f>AVERAGE(FASE3!U267,FASE3!V267,FASE3!W267)</f>
        <v>0</v>
      </c>
      <c r="U267" s="110">
        <f>FASE3!Y267</f>
        <v>0</v>
      </c>
      <c r="V267" s="110">
        <f>FASE3!X267</f>
        <v>0</v>
      </c>
      <c r="W267" s="110">
        <f>FASE4!M267</f>
        <v>0</v>
      </c>
      <c r="X267" s="110">
        <f t="shared" si="4"/>
        <v>0</v>
      </c>
      <c r="Y267" s="2"/>
    </row>
    <row r="268" spans="2:25" ht="15.75" customHeight="1" x14ac:dyDescent="0.25">
      <c r="B268">
        <v>7</v>
      </c>
      <c r="C268" t="s">
        <v>111</v>
      </c>
      <c r="D268" s="97">
        <v>701</v>
      </c>
      <c r="E268" s="110">
        <f>FASE1!G268</f>
        <v>0</v>
      </c>
      <c r="F268" s="110">
        <f>FASE1!M268</f>
        <v>0</v>
      </c>
      <c r="G268" s="110">
        <f>FASE1!L268</f>
        <v>0</v>
      </c>
      <c r="H268" s="110">
        <f>FASE1!R268</f>
        <v>0</v>
      </c>
      <c r="I268" s="110">
        <f>FASE1!U268</f>
        <v>0</v>
      </c>
      <c r="J268" s="110">
        <f>FASE1!U268</f>
        <v>0</v>
      </c>
      <c r="K268" s="110">
        <f>FASE1!P268</f>
        <v>0</v>
      </c>
      <c r="L268" s="110">
        <f>FASE1!V268</f>
        <v>0</v>
      </c>
      <c r="M268" s="110">
        <f>AVERAGE(FASE2!F268:G268)</f>
        <v>0</v>
      </c>
      <c r="N268" s="110">
        <f>AVERAGE(FASE2!O268:P268,FASE2!S268)</f>
        <v>0</v>
      </c>
      <c r="O268" s="110">
        <f>FASE4!K268</f>
        <v>0</v>
      </c>
      <c r="P268" s="110">
        <f>FASE2!N268</f>
        <v>0</v>
      </c>
      <c r="Q268" s="110">
        <f>FASE3!P268</f>
        <v>0</v>
      </c>
      <c r="R268" s="110">
        <f>FASE3!N268</f>
        <v>0</v>
      </c>
      <c r="S268" s="110">
        <f>AVERAGE(FASE3!Q268,FASE3!R268,FASE3!T268,FASE3!S268)</f>
        <v>0</v>
      </c>
      <c r="T268" s="110">
        <f>AVERAGE(FASE3!U268,FASE3!V268,FASE3!W268)</f>
        <v>0</v>
      </c>
      <c r="U268" s="110">
        <f>FASE3!Y268</f>
        <v>0</v>
      </c>
      <c r="V268" s="110">
        <f>FASE3!X268</f>
        <v>0</v>
      </c>
      <c r="W268" s="110">
        <f>FASE4!M268</f>
        <v>0</v>
      </c>
      <c r="X268" s="110">
        <f t="shared" si="4"/>
        <v>0</v>
      </c>
      <c r="Y268" s="2"/>
    </row>
    <row r="269" spans="2:25" ht="15.75" customHeight="1" x14ac:dyDescent="0.25">
      <c r="B269">
        <v>7</v>
      </c>
      <c r="C269" t="s">
        <v>111</v>
      </c>
      <c r="D269" s="97">
        <v>701</v>
      </c>
      <c r="E269" s="110">
        <f>FASE1!G269</f>
        <v>0</v>
      </c>
      <c r="F269" s="110">
        <f>FASE1!M269</f>
        <v>0</v>
      </c>
      <c r="G269" s="110">
        <f>FASE1!L269</f>
        <v>0</v>
      </c>
      <c r="H269" s="110">
        <f>FASE1!R269</f>
        <v>0</v>
      </c>
      <c r="I269" s="110">
        <f>FASE1!U269</f>
        <v>0</v>
      </c>
      <c r="J269" s="110">
        <f>FASE1!U269</f>
        <v>0</v>
      </c>
      <c r="K269" s="110">
        <f>FASE1!P269</f>
        <v>0</v>
      </c>
      <c r="L269" s="110">
        <f>FASE1!V269</f>
        <v>0</v>
      </c>
      <c r="M269" s="110">
        <f>AVERAGE(FASE2!F269:G269)</f>
        <v>0</v>
      </c>
      <c r="N269" s="110">
        <f>AVERAGE(FASE2!O269:P269,FASE2!S269)</f>
        <v>0</v>
      </c>
      <c r="O269" s="110">
        <f>FASE4!K269</f>
        <v>0</v>
      </c>
      <c r="P269" s="110">
        <f>FASE2!N269</f>
        <v>0</v>
      </c>
      <c r="Q269" s="110">
        <f>FASE3!P269</f>
        <v>0</v>
      </c>
      <c r="R269" s="110">
        <f>FASE3!N269</f>
        <v>0</v>
      </c>
      <c r="S269" s="110">
        <f>AVERAGE(FASE3!Q269,FASE3!R269,FASE3!T269,FASE3!S269)</f>
        <v>0</v>
      </c>
      <c r="T269" s="110">
        <f>AVERAGE(FASE3!U269,FASE3!V269,FASE3!W269)</f>
        <v>0</v>
      </c>
      <c r="U269" s="110">
        <f>FASE3!Y269</f>
        <v>0</v>
      </c>
      <c r="V269" s="110">
        <f>FASE3!X269</f>
        <v>0</v>
      </c>
      <c r="W269" s="110">
        <f>FASE4!M269</f>
        <v>0</v>
      </c>
      <c r="X269" s="110">
        <f t="shared" si="4"/>
        <v>0</v>
      </c>
      <c r="Y269" s="2"/>
    </row>
    <row r="270" spans="2:25" ht="15.75" customHeight="1" x14ac:dyDescent="0.25">
      <c r="B270">
        <v>7</v>
      </c>
      <c r="C270" t="s">
        <v>111</v>
      </c>
      <c r="D270" s="97">
        <v>701</v>
      </c>
      <c r="E270" s="110">
        <f>FASE1!G270</f>
        <v>0</v>
      </c>
      <c r="F270" s="110">
        <f>FASE1!M270</f>
        <v>0</v>
      </c>
      <c r="G270" s="110">
        <f>FASE1!L270</f>
        <v>0</v>
      </c>
      <c r="H270" s="110">
        <f>FASE1!R270</f>
        <v>0</v>
      </c>
      <c r="I270" s="110">
        <f>FASE1!U270</f>
        <v>0</v>
      </c>
      <c r="J270" s="110">
        <f>FASE1!U270</f>
        <v>0</v>
      </c>
      <c r="K270" s="110">
        <f>FASE1!P270</f>
        <v>0</v>
      </c>
      <c r="L270" s="110">
        <f>FASE1!V270</f>
        <v>0</v>
      </c>
      <c r="M270" s="110">
        <f>AVERAGE(FASE2!F270:G270)</f>
        <v>0</v>
      </c>
      <c r="N270" s="110">
        <f>AVERAGE(FASE2!O270:P270,FASE2!S270)</f>
        <v>0</v>
      </c>
      <c r="O270" s="110">
        <f>FASE4!K270</f>
        <v>0</v>
      </c>
      <c r="P270" s="110">
        <f>FASE2!N270</f>
        <v>0</v>
      </c>
      <c r="Q270" s="110">
        <f>FASE3!P270</f>
        <v>0</v>
      </c>
      <c r="R270" s="110">
        <f>FASE3!N270</f>
        <v>0</v>
      </c>
      <c r="S270" s="110">
        <f>AVERAGE(FASE3!Q270,FASE3!R270,FASE3!T270,FASE3!S270)</f>
        <v>0</v>
      </c>
      <c r="T270" s="110">
        <f>AVERAGE(FASE3!U270,FASE3!V270,FASE3!W270)</f>
        <v>0</v>
      </c>
      <c r="U270" s="110">
        <f>FASE3!Y270</f>
        <v>0</v>
      </c>
      <c r="V270" s="110">
        <f>FASE3!X270</f>
        <v>0</v>
      </c>
      <c r="W270" s="110">
        <f>FASE4!M270</f>
        <v>0</v>
      </c>
      <c r="X270" s="110">
        <f t="shared" si="4"/>
        <v>0</v>
      </c>
      <c r="Y270" s="2"/>
    </row>
    <row r="271" spans="2:25" ht="15.75" customHeight="1" x14ac:dyDescent="0.25">
      <c r="B271">
        <v>7</v>
      </c>
      <c r="C271" t="s">
        <v>111</v>
      </c>
      <c r="D271" s="97">
        <v>701</v>
      </c>
      <c r="E271" s="110">
        <f>FASE1!G271</f>
        <v>0</v>
      </c>
      <c r="F271" s="110">
        <f>FASE1!M271</f>
        <v>0</v>
      </c>
      <c r="G271" s="110">
        <f>FASE1!L271</f>
        <v>0</v>
      </c>
      <c r="H271" s="110">
        <f>FASE1!R271</f>
        <v>0</v>
      </c>
      <c r="I271" s="110">
        <f>FASE1!U271</f>
        <v>0</v>
      </c>
      <c r="J271" s="110">
        <f>FASE1!U271</f>
        <v>0</v>
      </c>
      <c r="K271" s="110">
        <f>FASE1!P271</f>
        <v>0</v>
      </c>
      <c r="L271" s="110">
        <f>FASE1!V271</f>
        <v>0</v>
      </c>
      <c r="M271" s="110">
        <f>AVERAGE(FASE2!F271:G271)</f>
        <v>0</v>
      </c>
      <c r="N271" s="110">
        <f>AVERAGE(FASE2!O271:P271,FASE2!S271)</f>
        <v>0</v>
      </c>
      <c r="O271" s="110">
        <f>FASE4!K271</f>
        <v>0</v>
      </c>
      <c r="P271" s="110">
        <f>FASE2!N271</f>
        <v>0</v>
      </c>
      <c r="Q271" s="110">
        <f>FASE3!P271</f>
        <v>0</v>
      </c>
      <c r="R271" s="110">
        <f>FASE3!N271</f>
        <v>0</v>
      </c>
      <c r="S271" s="110">
        <f>AVERAGE(FASE3!Q271,FASE3!R271,FASE3!T271,FASE3!S271)</f>
        <v>0</v>
      </c>
      <c r="T271" s="110">
        <f>AVERAGE(FASE3!U271,FASE3!V271,FASE3!W271)</f>
        <v>0</v>
      </c>
      <c r="U271" s="110">
        <f>FASE3!Y271</f>
        <v>0</v>
      </c>
      <c r="V271" s="110">
        <f>FASE3!X271</f>
        <v>0</v>
      </c>
      <c r="W271" s="110">
        <f>FASE4!M271</f>
        <v>0</v>
      </c>
      <c r="X271" s="110">
        <f t="shared" si="4"/>
        <v>0</v>
      </c>
      <c r="Y271" s="2"/>
    </row>
    <row r="272" spans="2:25" ht="15.75" customHeight="1" x14ac:dyDescent="0.25">
      <c r="B272">
        <v>7</v>
      </c>
      <c r="C272" t="s">
        <v>111</v>
      </c>
      <c r="D272" s="97">
        <v>701</v>
      </c>
      <c r="E272" s="110">
        <f>FASE1!G272</f>
        <v>0</v>
      </c>
      <c r="F272" s="110">
        <f>FASE1!M272</f>
        <v>0</v>
      </c>
      <c r="G272" s="110">
        <f>FASE1!L272</f>
        <v>0</v>
      </c>
      <c r="H272" s="110">
        <f>FASE1!R272</f>
        <v>0</v>
      </c>
      <c r="I272" s="110">
        <f>FASE1!U272</f>
        <v>0</v>
      </c>
      <c r="J272" s="110">
        <f>FASE1!U272</f>
        <v>0</v>
      </c>
      <c r="K272" s="110">
        <f>FASE1!P272</f>
        <v>0</v>
      </c>
      <c r="L272" s="110">
        <f>FASE1!V272</f>
        <v>0</v>
      </c>
      <c r="M272" s="110">
        <f>AVERAGE(FASE2!F272:G272)</f>
        <v>0</v>
      </c>
      <c r="N272" s="110">
        <f>AVERAGE(FASE2!O272:P272,FASE2!S272)</f>
        <v>0</v>
      </c>
      <c r="O272" s="110">
        <f>FASE4!K272</f>
        <v>0</v>
      </c>
      <c r="P272" s="110">
        <f>FASE2!N272</f>
        <v>0</v>
      </c>
      <c r="Q272" s="110">
        <f>FASE3!P272</f>
        <v>0</v>
      </c>
      <c r="R272" s="110">
        <f>FASE3!N272</f>
        <v>0</v>
      </c>
      <c r="S272" s="110">
        <f>AVERAGE(FASE3!Q272,FASE3!R272,FASE3!T272,FASE3!S272)</f>
        <v>0</v>
      </c>
      <c r="T272" s="110">
        <f>AVERAGE(FASE3!U272,FASE3!V272,FASE3!W272)</f>
        <v>0</v>
      </c>
      <c r="U272" s="110">
        <f>FASE3!Y272</f>
        <v>0</v>
      </c>
      <c r="V272" s="110">
        <f>FASE3!X272</f>
        <v>0</v>
      </c>
      <c r="W272" s="110">
        <f>FASE4!M272</f>
        <v>0</v>
      </c>
      <c r="X272" s="110">
        <f t="shared" si="4"/>
        <v>0</v>
      </c>
      <c r="Y272" s="2"/>
    </row>
    <row r="273" spans="2:25" ht="15.75" customHeight="1" x14ac:dyDescent="0.25">
      <c r="B273">
        <v>7</v>
      </c>
      <c r="C273" t="s">
        <v>111</v>
      </c>
      <c r="D273" s="97">
        <v>701</v>
      </c>
      <c r="E273" s="110">
        <f>FASE1!G273</f>
        <v>0</v>
      </c>
      <c r="F273" s="110">
        <f>FASE1!M273</f>
        <v>0</v>
      </c>
      <c r="G273" s="110">
        <f>FASE1!L273</f>
        <v>0</v>
      </c>
      <c r="H273" s="110">
        <f>FASE1!R273</f>
        <v>0</v>
      </c>
      <c r="I273" s="110">
        <f>FASE1!U273</f>
        <v>0</v>
      </c>
      <c r="J273" s="110">
        <f>FASE1!U273</f>
        <v>0</v>
      </c>
      <c r="K273" s="110">
        <f>FASE1!P273</f>
        <v>0</v>
      </c>
      <c r="L273" s="110">
        <f>FASE1!V273</f>
        <v>0</v>
      </c>
      <c r="M273" s="110">
        <f>AVERAGE(FASE2!F273:G273)</f>
        <v>0</v>
      </c>
      <c r="N273" s="110">
        <f>AVERAGE(FASE2!O273:P273,FASE2!S273)</f>
        <v>0</v>
      </c>
      <c r="O273" s="110">
        <f>FASE4!K273</f>
        <v>0</v>
      </c>
      <c r="P273" s="110">
        <f>FASE2!N273</f>
        <v>0</v>
      </c>
      <c r="Q273" s="110">
        <f>FASE3!P273</f>
        <v>0</v>
      </c>
      <c r="R273" s="110">
        <f>FASE3!N273</f>
        <v>0</v>
      </c>
      <c r="S273" s="110">
        <f>AVERAGE(FASE3!Q273,FASE3!R273,FASE3!T273,FASE3!S273)</f>
        <v>0</v>
      </c>
      <c r="T273" s="110">
        <f>AVERAGE(FASE3!U273,FASE3!V273,FASE3!W273)</f>
        <v>0</v>
      </c>
      <c r="U273" s="110">
        <f>FASE3!Y273</f>
        <v>0</v>
      </c>
      <c r="V273" s="110">
        <f>FASE3!X273</f>
        <v>0</v>
      </c>
      <c r="W273" s="110">
        <f>FASE4!M273</f>
        <v>0</v>
      </c>
      <c r="X273" s="110">
        <f t="shared" si="4"/>
        <v>0</v>
      </c>
      <c r="Y273" s="2"/>
    </row>
    <row r="274" spans="2:25" ht="15.75" customHeight="1" x14ac:dyDescent="0.25">
      <c r="B274">
        <v>7</v>
      </c>
      <c r="C274" t="s">
        <v>111</v>
      </c>
      <c r="D274" s="97">
        <v>701</v>
      </c>
      <c r="E274" s="110">
        <f>FASE1!G274</f>
        <v>0</v>
      </c>
      <c r="F274" s="110">
        <f>FASE1!M274</f>
        <v>0</v>
      </c>
      <c r="G274" s="110">
        <f>FASE1!L274</f>
        <v>0</v>
      </c>
      <c r="H274" s="110">
        <f>FASE1!R274</f>
        <v>0</v>
      </c>
      <c r="I274" s="110">
        <f>FASE1!U274</f>
        <v>0</v>
      </c>
      <c r="J274" s="110">
        <f>FASE1!U274</f>
        <v>0</v>
      </c>
      <c r="K274" s="110">
        <f>FASE1!P274</f>
        <v>0</v>
      </c>
      <c r="L274" s="110">
        <f>FASE1!V274</f>
        <v>0</v>
      </c>
      <c r="M274" s="110">
        <f>AVERAGE(FASE2!F274:G274)</f>
        <v>0</v>
      </c>
      <c r="N274" s="110">
        <f>AVERAGE(FASE2!O274:P274,FASE2!S274)</f>
        <v>0</v>
      </c>
      <c r="O274" s="110">
        <f>FASE4!K274</f>
        <v>0</v>
      </c>
      <c r="P274" s="110">
        <f>FASE2!N274</f>
        <v>0</v>
      </c>
      <c r="Q274" s="110">
        <f>FASE3!P274</f>
        <v>0</v>
      </c>
      <c r="R274" s="110">
        <f>FASE3!N274</f>
        <v>0</v>
      </c>
      <c r="S274" s="110">
        <f>AVERAGE(FASE3!Q274,FASE3!R274,FASE3!T274,FASE3!S274)</f>
        <v>0</v>
      </c>
      <c r="T274" s="110">
        <f>AVERAGE(FASE3!U274,FASE3!V274,FASE3!W274)</f>
        <v>0</v>
      </c>
      <c r="U274" s="110">
        <f>FASE3!Y274</f>
        <v>0</v>
      </c>
      <c r="V274" s="110">
        <f>FASE3!X274</f>
        <v>0</v>
      </c>
      <c r="W274" s="110">
        <f>FASE4!M274</f>
        <v>0</v>
      </c>
      <c r="X274" s="110">
        <f t="shared" si="4"/>
        <v>0</v>
      </c>
      <c r="Y274" s="2"/>
    </row>
    <row r="275" spans="2:25" ht="15.75" customHeight="1" x14ac:dyDescent="0.25">
      <c r="B275">
        <v>7</v>
      </c>
      <c r="C275" t="s">
        <v>111</v>
      </c>
      <c r="D275" s="97">
        <v>701</v>
      </c>
      <c r="E275" s="110">
        <f>FASE1!G275</f>
        <v>0</v>
      </c>
      <c r="F275" s="110">
        <f>FASE1!M275</f>
        <v>0</v>
      </c>
      <c r="G275" s="110">
        <f>FASE1!L275</f>
        <v>0</v>
      </c>
      <c r="H275" s="110">
        <f>FASE1!R275</f>
        <v>0</v>
      </c>
      <c r="I275" s="110">
        <f>FASE1!U275</f>
        <v>0</v>
      </c>
      <c r="J275" s="110">
        <f>FASE1!U275</f>
        <v>0</v>
      </c>
      <c r="K275" s="110">
        <f>FASE1!P275</f>
        <v>0</v>
      </c>
      <c r="L275" s="110">
        <f>FASE1!V275</f>
        <v>0</v>
      </c>
      <c r="M275" s="110">
        <f>AVERAGE(FASE2!F275:G275)</f>
        <v>0</v>
      </c>
      <c r="N275" s="110">
        <f>AVERAGE(FASE2!O275:P275,FASE2!S275)</f>
        <v>0</v>
      </c>
      <c r="O275" s="110">
        <f>FASE4!K275</f>
        <v>0</v>
      </c>
      <c r="P275" s="110">
        <f>FASE2!N275</f>
        <v>0</v>
      </c>
      <c r="Q275" s="110">
        <f>FASE3!P275</f>
        <v>0</v>
      </c>
      <c r="R275" s="110">
        <f>FASE3!N275</f>
        <v>0</v>
      </c>
      <c r="S275" s="110">
        <f>AVERAGE(FASE3!Q275,FASE3!R275,FASE3!T275,FASE3!S275)</f>
        <v>0</v>
      </c>
      <c r="T275" s="110">
        <f>AVERAGE(FASE3!U275,FASE3!V275,FASE3!W275)</f>
        <v>0</v>
      </c>
      <c r="U275" s="110">
        <f>FASE3!Y275</f>
        <v>0</v>
      </c>
      <c r="V275" s="110">
        <f>FASE3!X275</f>
        <v>0</v>
      </c>
      <c r="W275" s="110">
        <f>FASE4!M275</f>
        <v>0</v>
      </c>
      <c r="X275" s="110">
        <f t="shared" si="4"/>
        <v>0</v>
      </c>
      <c r="Y275" s="2"/>
    </row>
    <row r="276" spans="2:25" ht="15.75" customHeight="1" x14ac:dyDescent="0.25">
      <c r="B276">
        <v>7</v>
      </c>
      <c r="C276" t="s">
        <v>111</v>
      </c>
      <c r="D276" s="97">
        <v>701</v>
      </c>
      <c r="E276" s="110">
        <f>FASE1!G276</f>
        <v>0</v>
      </c>
      <c r="F276" s="110">
        <f>FASE1!M276</f>
        <v>0</v>
      </c>
      <c r="G276" s="110">
        <f>FASE1!L276</f>
        <v>0</v>
      </c>
      <c r="H276" s="110">
        <f>FASE1!R276</f>
        <v>0</v>
      </c>
      <c r="I276" s="110">
        <f>FASE1!U276</f>
        <v>0</v>
      </c>
      <c r="J276" s="110">
        <f>FASE1!U276</f>
        <v>0</v>
      </c>
      <c r="K276" s="110">
        <f>FASE1!P276</f>
        <v>0</v>
      </c>
      <c r="L276" s="110">
        <f>FASE1!V276</f>
        <v>0</v>
      </c>
      <c r="M276" s="110">
        <f>AVERAGE(FASE2!F276:G276)</f>
        <v>0</v>
      </c>
      <c r="N276" s="110">
        <f>AVERAGE(FASE2!O276:P276,FASE2!S276)</f>
        <v>0</v>
      </c>
      <c r="O276" s="110">
        <f>FASE4!K276</f>
        <v>0</v>
      </c>
      <c r="P276" s="110">
        <f>FASE2!N276</f>
        <v>0</v>
      </c>
      <c r="Q276" s="110">
        <f>FASE3!P276</f>
        <v>0</v>
      </c>
      <c r="R276" s="110">
        <f>FASE3!N276</f>
        <v>0</v>
      </c>
      <c r="S276" s="110">
        <f>AVERAGE(FASE3!Q276,FASE3!R276,FASE3!T276,FASE3!S276)</f>
        <v>0</v>
      </c>
      <c r="T276" s="110">
        <f>AVERAGE(FASE3!U276,FASE3!V276,FASE3!W276)</f>
        <v>0</v>
      </c>
      <c r="U276" s="110">
        <f>FASE3!Y276</f>
        <v>0</v>
      </c>
      <c r="V276" s="110">
        <f>FASE3!X276</f>
        <v>0</v>
      </c>
      <c r="W276" s="110">
        <f>FASE4!M276</f>
        <v>0</v>
      </c>
      <c r="X276" s="110">
        <f t="shared" si="4"/>
        <v>0</v>
      </c>
      <c r="Y276" s="2"/>
    </row>
    <row r="277" spans="2:25" ht="15.75" customHeight="1" x14ac:dyDescent="0.25">
      <c r="B277">
        <v>7</v>
      </c>
      <c r="C277" t="s">
        <v>111</v>
      </c>
      <c r="D277" s="97">
        <v>701</v>
      </c>
      <c r="E277" s="110">
        <f>FASE1!G277</f>
        <v>0</v>
      </c>
      <c r="F277" s="110">
        <f>FASE1!M277</f>
        <v>0</v>
      </c>
      <c r="G277" s="110">
        <f>FASE1!L277</f>
        <v>0</v>
      </c>
      <c r="H277" s="110">
        <f>FASE1!R277</f>
        <v>0</v>
      </c>
      <c r="I277" s="110">
        <f>FASE1!U277</f>
        <v>0</v>
      </c>
      <c r="J277" s="110">
        <f>FASE1!U277</f>
        <v>0</v>
      </c>
      <c r="K277" s="110">
        <f>FASE1!P277</f>
        <v>0</v>
      </c>
      <c r="L277" s="110">
        <f>FASE1!V277</f>
        <v>0</v>
      </c>
      <c r="M277" s="110">
        <f>AVERAGE(FASE2!F277:G277)</f>
        <v>0</v>
      </c>
      <c r="N277" s="110">
        <f>AVERAGE(FASE2!O277:P277,FASE2!S277)</f>
        <v>0</v>
      </c>
      <c r="O277" s="110">
        <f>FASE4!K277</f>
        <v>0</v>
      </c>
      <c r="P277" s="110">
        <f>FASE2!N277</f>
        <v>0</v>
      </c>
      <c r="Q277" s="110">
        <f>FASE3!P277</f>
        <v>0</v>
      </c>
      <c r="R277" s="110">
        <f>FASE3!N277</f>
        <v>0</v>
      </c>
      <c r="S277" s="110">
        <f>AVERAGE(FASE3!Q277,FASE3!R277,FASE3!T277,FASE3!S277)</f>
        <v>0</v>
      </c>
      <c r="T277" s="110">
        <f>AVERAGE(FASE3!U277,FASE3!V277,FASE3!W277)</f>
        <v>0</v>
      </c>
      <c r="U277" s="110">
        <f>FASE3!Y277</f>
        <v>0</v>
      </c>
      <c r="V277" s="110">
        <f>FASE3!X277</f>
        <v>0</v>
      </c>
      <c r="W277" s="110">
        <f>FASE4!M277</f>
        <v>0</v>
      </c>
      <c r="X277" s="110">
        <f t="shared" si="4"/>
        <v>0</v>
      </c>
      <c r="Y277" s="2"/>
    </row>
    <row r="278" spans="2:25" ht="15.75" customHeight="1" x14ac:dyDescent="0.25">
      <c r="B278">
        <v>7</v>
      </c>
      <c r="C278" t="s">
        <v>111</v>
      </c>
      <c r="D278" s="97">
        <v>701</v>
      </c>
      <c r="E278" s="110">
        <f>FASE1!G278</f>
        <v>0</v>
      </c>
      <c r="F278" s="110">
        <f>FASE1!M278</f>
        <v>0</v>
      </c>
      <c r="G278" s="110">
        <f>FASE1!L278</f>
        <v>0</v>
      </c>
      <c r="H278" s="110">
        <f>FASE1!R278</f>
        <v>0</v>
      </c>
      <c r="I278" s="110">
        <f>FASE1!U278</f>
        <v>0</v>
      </c>
      <c r="J278" s="110">
        <f>FASE1!U278</f>
        <v>0</v>
      </c>
      <c r="K278" s="110">
        <f>FASE1!P278</f>
        <v>0</v>
      </c>
      <c r="L278" s="110">
        <f>FASE1!V278</f>
        <v>0</v>
      </c>
      <c r="M278" s="110">
        <f>AVERAGE(FASE2!F278:G278)</f>
        <v>0</v>
      </c>
      <c r="N278" s="110">
        <f>AVERAGE(FASE2!O278:P278,FASE2!S278)</f>
        <v>0</v>
      </c>
      <c r="O278" s="110">
        <f>FASE4!K278</f>
        <v>0</v>
      </c>
      <c r="P278" s="110">
        <f>FASE2!N278</f>
        <v>0</v>
      </c>
      <c r="Q278" s="110">
        <f>FASE3!P278</f>
        <v>0</v>
      </c>
      <c r="R278" s="110">
        <f>FASE3!N278</f>
        <v>0</v>
      </c>
      <c r="S278" s="110">
        <f>AVERAGE(FASE3!Q278,FASE3!R278,FASE3!T278,FASE3!S278)</f>
        <v>0</v>
      </c>
      <c r="T278" s="110">
        <f>AVERAGE(FASE3!U278,FASE3!V278,FASE3!W278)</f>
        <v>0</v>
      </c>
      <c r="U278" s="110">
        <f>FASE3!Y278</f>
        <v>0</v>
      </c>
      <c r="V278" s="110">
        <f>FASE3!X278</f>
        <v>0</v>
      </c>
      <c r="W278" s="110">
        <f>FASE4!M278</f>
        <v>0</v>
      </c>
      <c r="X278" s="110">
        <f t="shared" si="4"/>
        <v>0</v>
      </c>
      <c r="Y278" s="2"/>
    </row>
    <row r="279" spans="2:25" ht="15.75" customHeight="1" x14ac:dyDescent="0.25">
      <c r="B279">
        <v>7</v>
      </c>
      <c r="C279" t="s">
        <v>111</v>
      </c>
      <c r="D279" s="97">
        <v>701</v>
      </c>
      <c r="E279" s="110">
        <f>FASE1!G279</f>
        <v>0</v>
      </c>
      <c r="F279" s="110">
        <f>FASE1!M279</f>
        <v>0</v>
      </c>
      <c r="G279" s="110">
        <f>FASE1!L279</f>
        <v>0</v>
      </c>
      <c r="H279" s="110">
        <f>FASE1!R279</f>
        <v>0</v>
      </c>
      <c r="I279" s="110">
        <f>FASE1!U279</f>
        <v>0</v>
      </c>
      <c r="J279" s="110">
        <f>FASE1!U279</f>
        <v>0</v>
      </c>
      <c r="K279" s="110">
        <f>FASE1!P279</f>
        <v>0</v>
      </c>
      <c r="L279" s="110">
        <f>FASE1!V279</f>
        <v>0</v>
      </c>
      <c r="M279" s="110">
        <f>AVERAGE(FASE2!F279:G279)</f>
        <v>0</v>
      </c>
      <c r="N279" s="110">
        <f>AVERAGE(FASE2!O279:P279,FASE2!S279)</f>
        <v>0</v>
      </c>
      <c r="O279" s="110">
        <f>FASE4!K279</f>
        <v>0</v>
      </c>
      <c r="P279" s="110">
        <f>FASE2!N279</f>
        <v>0</v>
      </c>
      <c r="Q279" s="110">
        <f>FASE3!P279</f>
        <v>0</v>
      </c>
      <c r="R279" s="110">
        <f>FASE3!N279</f>
        <v>0</v>
      </c>
      <c r="S279" s="110">
        <f>AVERAGE(FASE3!Q279,FASE3!R279,FASE3!T279,FASE3!S279)</f>
        <v>0</v>
      </c>
      <c r="T279" s="110">
        <f>AVERAGE(FASE3!U279,FASE3!V279,FASE3!W279)</f>
        <v>0</v>
      </c>
      <c r="U279" s="110">
        <f>FASE3!Y279</f>
        <v>0</v>
      </c>
      <c r="V279" s="110">
        <f>FASE3!X279</f>
        <v>0</v>
      </c>
      <c r="W279" s="110">
        <f>FASE4!M279</f>
        <v>0</v>
      </c>
      <c r="X279" s="110">
        <f t="shared" si="4"/>
        <v>0</v>
      </c>
      <c r="Y279" s="2"/>
    </row>
    <row r="280" spans="2:25" ht="15.75" customHeight="1" x14ac:dyDescent="0.25">
      <c r="B280">
        <v>7</v>
      </c>
      <c r="C280" t="s">
        <v>111</v>
      </c>
      <c r="D280" s="97">
        <v>701</v>
      </c>
      <c r="E280" s="110">
        <f>FASE1!G280</f>
        <v>0</v>
      </c>
      <c r="F280" s="110">
        <f>FASE1!M280</f>
        <v>0</v>
      </c>
      <c r="G280" s="110">
        <f>FASE1!L280</f>
        <v>0</v>
      </c>
      <c r="H280" s="110">
        <f>FASE1!R280</f>
        <v>0</v>
      </c>
      <c r="I280" s="110">
        <f>FASE1!U280</f>
        <v>0</v>
      </c>
      <c r="J280" s="110">
        <f>FASE1!U280</f>
        <v>0</v>
      </c>
      <c r="K280" s="110">
        <f>FASE1!P280</f>
        <v>0</v>
      </c>
      <c r="L280" s="110">
        <f>FASE1!V280</f>
        <v>0</v>
      </c>
      <c r="M280" s="110">
        <f>AVERAGE(FASE2!F280:G280)</f>
        <v>0</v>
      </c>
      <c r="N280" s="110">
        <f>AVERAGE(FASE2!O280:P280,FASE2!S280)</f>
        <v>0</v>
      </c>
      <c r="O280" s="110">
        <f>FASE4!K280</f>
        <v>0</v>
      </c>
      <c r="P280" s="110">
        <f>FASE2!N280</f>
        <v>0</v>
      </c>
      <c r="Q280" s="110">
        <f>FASE3!P280</f>
        <v>0</v>
      </c>
      <c r="R280" s="110">
        <f>FASE3!N280</f>
        <v>0</v>
      </c>
      <c r="S280" s="110">
        <f>AVERAGE(FASE3!Q280,FASE3!R280,FASE3!T280,FASE3!S280)</f>
        <v>0</v>
      </c>
      <c r="T280" s="110">
        <f>AVERAGE(FASE3!U280,FASE3!V280,FASE3!W280)</f>
        <v>0</v>
      </c>
      <c r="U280" s="110">
        <f>FASE3!Y280</f>
        <v>0</v>
      </c>
      <c r="V280" s="110">
        <f>FASE3!X280</f>
        <v>0</v>
      </c>
      <c r="W280" s="110">
        <f>FASE4!M280</f>
        <v>0</v>
      </c>
      <c r="X280" s="110">
        <f t="shared" si="4"/>
        <v>0</v>
      </c>
      <c r="Y280" s="2"/>
    </row>
    <row r="281" spans="2:25" ht="15.75" customHeight="1" x14ac:dyDescent="0.25">
      <c r="B281">
        <v>7</v>
      </c>
      <c r="C281" t="s">
        <v>111</v>
      </c>
      <c r="D281" s="97">
        <v>701</v>
      </c>
      <c r="E281" s="110">
        <f>FASE1!G281</f>
        <v>0</v>
      </c>
      <c r="F281" s="110">
        <f>FASE1!M281</f>
        <v>0</v>
      </c>
      <c r="G281" s="110">
        <f>FASE1!L281</f>
        <v>0</v>
      </c>
      <c r="H281" s="110">
        <f>FASE1!R281</f>
        <v>0</v>
      </c>
      <c r="I281" s="110">
        <f>FASE1!U281</f>
        <v>0</v>
      </c>
      <c r="J281" s="110">
        <f>FASE1!U281</f>
        <v>0</v>
      </c>
      <c r="K281" s="110">
        <f>FASE1!P281</f>
        <v>0</v>
      </c>
      <c r="L281" s="110">
        <f>FASE1!V281</f>
        <v>0</v>
      </c>
      <c r="M281" s="110">
        <f>AVERAGE(FASE2!F281:G281)</f>
        <v>0</v>
      </c>
      <c r="N281" s="110">
        <f>AVERAGE(FASE2!O281:P281,FASE2!S281)</f>
        <v>0</v>
      </c>
      <c r="O281" s="110">
        <f>FASE4!K281</f>
        <v>0</v>
      </c>
      <c r="P281" s="110">
        <f>FASE2!N281</f>
        <v>0</v>
      </c>
      <c r="Q281" s="110">
        <f>FASE3!P281</f>
        <v>0</v>
      </c>
      <c r="R281" s="110">
        <f>FASE3!N281</f>
        <v>0</v>
      </c>
      <c r="S281" s="110">
        <f>AVERAGE(FASE3!Q281,FASE3!R281,FASE3!T281,FASE3!S281)</f>
        <v>0</v>
      </c>
      <c r="T281" s="110">
        <f>AVERAGE(FASE3!U281,FASE3!V281,FASE3!W281)</f>
        <v>0</v>
      </c>
      <c r="U281" s="110">
        <f>FASE3!Y281</f>
        <v>0</v>
      </c>
      <c r="V281" s="110">
        <f>FASE3!X281</f>
        <v>0</v>
      </c>
      <c r="W281" s="110">
        <f>FASE4!M281</f>
        <v>0</v>
      </c>
      <c r="X281" s="110">
        <f t="shared" si="4"/>
        <v>0</v>
      </c>
      <c r="Y281" s="2"/>
    </row>
    <row r="282" spans="2:25" ht="15.75" customHeight="1" x14ac:dyDescent="0.25">
      <c r="B282">
        <v>7</v>
      </c>
      <c r="C282" t="s">
        <v>131</v>
      </c>
      <c r="D282" s="97" t="s">
        <v>132</v>
      </c>
      <c r="E282" s="110">
        <f>FASE1!G282</f>
        <v>0</v>
      </c>
      <c r="F282" s="110">
        <f>FASE1!M282</f>
        <v>0</v>
      </c>
      <c r="G282" s="110">
        <f>FASE1!L282</f>
        <v>0</v>
      </c>
      <c r="H282" s="110">
        <f>FASE1!R282</f>
        <v>0</v>
      </c>
      <c r="I282" s="110">
        <f>FASE1!U282</f>
        <v>0</v>
      </c>
      <c r="J282" s="110">
        <f>FASE1!U282</f>
        <v>0</v>
      </c>
      <c r="K282" s="110">
        <f>FASE1!P282</f>
        <v>0</v>
      </c>
      <c r="L282" s="110">
        <f>FASE1!V282</f>
        <v>0</v>
      </c>
      <c r="M282" s="110">
        <f>AVERAGE(FASE2!F282:G282)</f>
        <v>0</v>
      </c>
      <c r="N282" s="110">
        <f>IFERROR(AVERAGE(FASE2!O282:P282,FASE2!S282),0)</f>
        <v>0</v>
      </c>
      <c r="O282" s="110">
        <f>FASE4!K282</f>
        <v>0</v>
      </c>
      <c r="P282" s="110">
        <f>FASE2!N282</f>
        <v>0</v>
      </c>
      <c r="Q282" s="110">
        <f>FASE3!P282</f>
        <v>0</v>
      </c>
      <c r="R282" s="110">
        <f>FASE3!N282</f>
        <v>0</v>
      </c>
      <c r="S282" s="110">
        <f>AVERAGE(FASE3!Q282,FASE3!R282,FASE3!T282,FASE3!S282)</f>
        <v>0</v>
      </c>
      <c r="T282" s="110">
        <f>AVERAGE(FASE3!U282,FASE3!V282,FASE3!W282)</f>
        <v>0</v>
      </c>
      <c r="U282" s="110">
        <f>FASE3!Y282</f>
        <v>0</v>
      </c>
      <c r="V282" s="110">
        <f>FASE3!X282</f>
        <v>0</v>
      </c>
      <c r="W282" s="110">
        <f>FASE4!M282</f>
        <v>0</v>
      </c>
      <c r="X282" s="110">
        <f t="shared" si="4"/>
        <v>0</v>
      </c>
      <c r="Y282" s="2"/>
    </row>
    <row r="283" spans="2:25" ht="15.75" customHeight="1" x14ac:dyDescent="0.25">
      <c r="B283">
        <v>8</v>
      </c>
      <c r="C283" t="s">
        <v>112</v>
      </c>
      <c r="D283" s="97">
        <v>801</v>
      </c>
      <c r="E283" s="110">
        <f>FASE1!G283</f>
        <v>0</v>
      </c>
      <c r="F283" s="110">
        <f>FASE1!M283</f>
        <v>0</v>
      </c>
      <c r="G283" s="110">
        <f>FASE1!L283</f>
        <v>0</v>
      </c>
      <c r="H283" s="110">
        <f>FASE1!R283</f>
        <v>0</v>
      </c>
      <c r="I283" s="110">
        <f>FASE1!U283</f>
        <v>0</v>
      </c>
      <c r="J283" s="110">
        <f>FASE1!U283</f>
        <v>0</v>
      </c>
      <c r="K283" s="110">
        <f>FASE1!P283</f>
        <v>0</v>
      </c>
      <c r="L283" s="110">
        <f>FASE1!V283</f>
        <v>0</v>
      </c>
      <c r="M283" s="110">
        <f>AVERAGE(FASE2!F283:G283)</f>
        <v>0</v>
      </c>
      <c r="N283" s="110">
        <f>AVERAGE(FASE2!O283:P283,FASE2!S283)</f>
        <v>0</v>
      </c>
      <c r="O283" s="110">
        <f>FASE4!K283</f>
        <v>0</v>
      </c>
      <c r="P283" s="110">
        <f>FASE2!N283</f>
        <v>0</v>
      </c>
      <c r="Q283" s="110">
        <f>FASE3!P283</f>
        <v>0</v>
      </c>
      <c r="R283" s="110">
        <f>FASE3!N283</f>
        <v>0</v>
      </c>
      <c r="S283" s="110">
        <f>AVERAGE(FASE3!Q283,FASE3!R283,FASE3!T283,FASE3!S283)</f>
        <v>0</v>
      </c>
      <c r="T283" s="110">
        <f>AVERAGE(FASE3!U283,FASE3!V283,FASE3!W283)</f>
        <v>0</v>
      </c>
      <c r="U283" s="110">
        <f>FASE3!Y283</f>
        <v>0</v>
      </c>
      <c r="V283" s="110">
        <f>FASE3!X283</f>
        <v>0</v>
      </c>
      <c r="W283" s="110">
        <f>FASE4!M283</f>
        <v>0</v>
      </c>
      <c r="X283" s="110">
        <f t="shared" si="4"/>
        <v>0</v>
      </c>
      <c r="Y283" s="2"/>
    </row>
    <row r="284" spans="2:25" ht="15.75" customHeight="1" x14ac:dyDescent="0.25">
      <c r="B284">
        <v>8</v>
      </c>
      <c r="C284" t="s">
        <v>112</v>
      </c>
      <c r="D284" s="97">
        <v>802</v>
      </c>
      <c r="E284" s="110">
        <f>FASE1!G284</f>
        <v>0</v>
      </c>
      <c r="F284" s="110">
        <f>FASE1!M284</f>
        <v>0</v>
      </c>
      <c r="G284" s="110">
        <f>FASE1!L284</f>
        <v>0</v>
      </c>
      <c r="H284" s="110">
        <f>FASE1!R284</f>
        <v>0</v>
      </c>
      <c r="I284" s="110">
        <f>FASE1!U284</f>
        <v>0</v>
      </c>
      <c r="J284" s="110">
        <f>FASE1!U284</f>
        <v>0</v>
      </c>
      <c r="K284" s="110">
        <f>FASE1!P284</f>
        <v>0</v>
      </c>
      <c r="L284" s="110">
        <f>FASE1!V284</f>
        <v>0</v>
      </c>
      <c r="M284" s="110">
        <f>AVERAGE(FASE2!F284:G284)</f>
        <v>0</v>
      </c>
      <c r="N284" s="110">
        <f>AVERAGE(FASE2!O284:P284,FASE2!S284)</f>
        <v>0</v>
      </c>
      <c r="O284" s="110">
        <f>FASE4!K284</f>
        <v>0</v>
      </c>
      <c r="P284" s="110">
        <f>FASE2!N284</f>
        <v>0</v>
      </c>
      <c r="Q284" s="110">
        <f>FASE3!P284</f>
        <v>0</v>
      </c>
      <c r="R284" s="110">
        <f>FASE3!N284</f>
        <v>0</v>
      </c>
      <c r="S284" s="110">
        <f>AVERAGE(FASE3!Q284,FASE3!R284,FASE3!T284,FASE3!S284)</f>
        <v>0</v>
      </c>
      <c r="T284" s="110">
        <f>AVERAGE(FASE3!U284,FASE3!V284,FASE3!W284)</f>
        <v>0</v>
      </c>
      <c r="U284" s="110">
        <f>FASE3!Y284</f>
        <v>0</v>
      </c>
      <c r="V284" s="110">
        <f>FASE3!X284</f>
        <v>0</v>
      </c>
      <c r="W284" s="110">
        <f>FASE4!M284</f>
        <v>0</v>
      </c>
      <c r="X284" s="110">
        <f t="shared" si="4"/>
        <v>0</v>
      </c>
      <c r="Y284" s="2"/>
    </row>
    <row r="285" spans="2:25" ht="15.75" customHeight="1" x14ac:dyDescent="0.25">
      <c r="B285">
        <v>8</v>
      </c>
      <c r="C285" t="s">
        <v>112</v>
      </c>
      <c r="D285" s="97">
        <v>803</v>
      </c>
      <c r="E285" s="110">
        <f>FASE1!G285</f>
        <v>0</v>
      </c>
      <c r="F285" s="110">
        <f>FASE1!M285</f>
        <v>0</v>
      </c>
      <c r="G285" s="110">
        <f>FASE1!L285</f>
        <v>0</v>
      </c>
      <c r="H285" s="110">
        <f>FASE1!R285</f>
        <v>0</v>
      </c>
      <c r="I285" s="110">
        <f>FASE1!U285</f>
        <v>0</v>
      </c>
      <c r="J285" s="110">
        <f>FASE1!U285</f>
        <v>0</v>
      </c>
      <c r="K285" s="110">
        <f>FASE1!P285</f>
        <v>0</v>
      </c>
      <c r="L285" s="110">
        <f>FASE1!V285</f>
        <v>0</v>
      </c>
      <c r="M285" s="110">
        <f>AVERAGE(FASE2!F285:G285)</f>
        <v>0</v>
      </c>
      <c r="N285" s="110">
        <f>AVERAGE(FASE2!O285:P285,FASE2!S285)</f>
        <v>0</v>
      </c>
      <c r="O285" s="110">
        <f>FASE4!K285</f>
        <v>0</v>
      </c>
      <c r="P285" s="110">
        <f>FASE2!N285</f>
        <v>0</v>
      </c>
      <c r="Q285" s="110">
        <f>FASE3!P285</f>
        <v>0</v>
      </c>
      <c r="R285" s="110">
        <f>FASE3!N285</f>
        <v>0</v>
      </c>
      <c r="S285" s="110">
        <f>AVERAGE(FASE3!Q285,FASE3!R285,FASE3!T285,FASE3!S285)</f>
        <v>0</v>
      </c>
      <c r="T285" s="110">
        <f>AVERAGE(FASE3!U285,FASE3!V285,FASE3!W285)</f>
        <v>0</v>
      </c>
      <c r="U285" s="110">
        <f>FASE3!Y285</f>
        <v>0</v>
      </c>
      <c r="V285" s="110">
        <f>FASE3!X285</f>
        <v>0</v>
      </c>
      <c r="W285" s="110">
        <f>FASE4!M285</f>
        <v>0</v>
      </c>
      <c r="X285" s="110">
        <f t="shared" si="4"/>
        <v>0</v>
      </c>
      <c r="Y285" s="2"/>
    </row>
    <row r="286" spans="2:25" ht="15.75" customHeight="1" x14ac:dyDescent="0.25">
      <c r="B286">
        <v>8</v>
      </c>
      <c r="C286" t="s">
        <v>112</v>
      </c>
      <c r="D286" s="97">
        <v>804</v>
      </c>
      <c r="E286" s="110">
        <f>FASE1!G286</f>
        <v>0</v>
      </c>
      <c r="F286" s="110">
        <f>FASE1!M286</f>
        <v>0</v>
      </c>
      <c r="G286" s="110">
        <f>FASE1!L286</f>
        <v>0</v>
      </c>
      <c r="H286" s="110">
        <f>FASE1!R286</f>
        <v>0</v>
      </c>
      <c r="I286" s="110">
        <f>FASE1!U286</f>
        <v>0</v>
      </c>
      <c r="J286" s="110">
        <f>FASE1!U286</f>
        <v>0</v>
      </c>
      <c r="K286" s="110">
        <f>FASE1!P286</f>
        <v>0</v>
      </c>
      <c r="L286" s="110">
        <f>FASE1!V286</f>
        <v>0</v>
      </c>
      <c r="M286" s="110">
        <f>AVERAGE(FASE2!F286:G286)</f>
        <v>0</v>
      </c>
      <c r="N286" s="110">
        <f>AVERAGE(FASE2!O286:P286,FASE2!S286)</f>
        <v>0</v>
      </c>
      <c r="O286" s="110">
        <f>FASE4!K286</f>
        <v>0</v>
      </c>
      <c r="P286" s="110">
        <f>FASE2!N286</f>
        <v>0</v>
      </c>
      <c r="Q286" s="110">
        <f>FASE3!P286</f>
        <v>0</v>
      </c>
      <c r="R286" s="110">
        <f>FASE3!N286</f>
        <v>0</v>
      </c>
      <c r="S286" s="110">
        <f>AVERAGE(FASE3!Q286,FASE3!R286,FASE3!T286,FASE3!S286)</f>
        <v>0</v>
      </c>
      <c r="T286" s="110">
        <f>AVERAGE(FASE3!U286,FASE3!V286,FASE3!W286)</f>
        <v>0</v>
      </c>
      <c r="U286" s="110">
        <f>FASE3!Y286</f>
        <v>0</v>
      </c>
      <c r="V286" s="110">
        <f>FASE3!X286</f>
        <v>0</v>
      </c>
      <c r="W286" s="110">
        <f>FASE4!M286</f>
        <v>0</v>
      </c>
      <c r="X286" s="110">
        <f t="shared" si="4"/>
        <v>0</v>
      </c>
      <c r="Y286" s="2"/>
    </row>
    <row r="287" spans="2:25" ht="15.75" customHeight="1" x14ac:dyDescent="0.25">
      <c r="B287">
        <v>8</v>
      </c>
      <c r="C287" t="s">
        <v>112</v>
      </c>
      <c r="D287" s="97">
        <v>805</v>
      </c>
      <c r="E287" s="110">
        <f>FASE1!G287</f>
        <v>0</v>
      </c>
      <c r="F287" s="110">
        <f>FASE1!M287</f>
        <v>0</v>
      </c>
      <c r="G287" s="110">
        <f>FASE1!L287</f>
        <v>0</v>
      </c>
      <c r="H287" s="110">
        <f>FASE1!R287</f>
        <v>0</v>
      </c>
      <c r="I287" s="110">
        <f>FASE1!U287</f>
        <v>0</v>
      </c>
      <c r="J287" s="110">
        <f>FASE1!U287</f>
        <v>0</v>
      </c>
      <c r="K287" s="110">
        <f>FASE1!P287</f>
        <v>0</v>
      </c>
      <c r="L287" s="110">
        <f>FASE1!V287</f>
        <v>0</v>
      </c>
      <c r="M287" s="110">
        <f>AVERAGE(FASE2!F287:G287)</f>
        <v>0</v>
      </c>
      <c r="N287" s="110">
        <f>AVERAGE(FASE2!O287:P287,FASE2!S287)</f>
        <v>0</v>
      </c>
      <c r="O287" s="110">
        <f>FASE4!K287</f>
        <v>0</v>
      </c>
      <c r="P287" s="110">
        <f>FASE2!N287</f>
        <v>0</v>
      </c>
      <c r="Q287" s="110">
        <f>FASE3!P287</f>
        <v>0</v>
      </c>
      <c r="R287" s="110">
        <f>FASE3!N287</f>
        <v>0</v>
      </c>
      <c r="S287" s="110">
        <f>AVERAGE(FASE3!Q287,FASE3!R287,FASE3!T287,FASE3!S287)</f>
        <v>0</v>
      </c>
      <c r="T287" s="110">
        <f>AVERAGE(FASE3!U287,FASE3!V287,FASE3!W287)</f>
        <v>0</v>
      </c>
      <c r="U287" s="110">
        <f>FASE3!Y287</f>
        <v>0</v>
      </c>
      <c r="V287" s="110">
        <f>FASE3!X287</f>
        <v>0</v>
      </c>
      <c r="W287" s="110">
        <f>FASE4!M287</f>
        <v>0</v>
      </c>
      <c r="X287" s="110">
        <f t="shared" si="4"/>
        <v>0</v>
      </c>
      <c r="Y287" s="2"/>
    </row>
    <row r="288" spans="2:25" ht="15.75" customHeight="1" x14ac:dyDescent="0.25">
      <c r="B288">
        <v>8</v>
      </c>
      <c r="C288" t="s">
        <v>112</v>
      </c>
      <c r="D288" s="97">
        <v>806</v>
      </c>
      <c r="E288" s="110">
        <f>FASE1!G288</f>
        <v>0</v>
      </c>
      <c r="F288" s="110">
        <f>FASE1!M288</f>
        <v>0</v>
      </c>
      <c r="G288" s="110">
        <f>FASE1!L288</f>
        <v>0</v>
      </c>
      <c r="H288" s="110">
        <f>FASE1!R288</f>
        <v>0</v>
      </c>
      <c r="I288" s="110">
        <f>FASE1!U288</f>
        <v>0</v>
      </c>
      <c r="J288" s="110">
        <f>FASE1!U288</f>
        <v>0</v>
      </c>
      <c r="K288" s="110">
        <f>FASE1!P288</f>
        <v>0</v>
      </c>
      <c r="L288" s="110">
        <f>FASE1!V288</f>
        <v>0</v>
      </c>
      <c r="M288" s="110">
        <f>AVERAGE(FASE2!F288:G288)</f>
        <v>0</v>
      </c>
      <c r="N288" s="110">
        <f>AVERAGE(FASE2!O288:P288,FASE2!S288)</f>
        <v>0</v>
      </c>
      <c r="O288" s="110">
        <f>FASE4!K288</f>
        <v>0</v>
      </c>
      <c r="P288" s="110">
        <f>FASE2!N288</f>
        <v>0</v>
      </c>
      <c r="Q288" s="110">
        <f>FASE3!P288</f>
        <v>0</v>
      </c>
      <c r="R288" s="110">
        <f>FASE3!N288</f>
        <v>0</v>
      </c>
      <c r="S288" s="110">
        <f>AVERAGE(FASE3!Q288,FASE3!R288,FASE3!T288,FASE3!S288)</f>
        <v>0</v>
      </c>
      <c r="T288" s="110">
        <f>AVERAGE(FASE3!U288,FASE3!V288,FASE3!W288)</f>
        <v>0</v>
      </c>
      <c r="U288" s="110">
        <f>FASE3!Y288</f>
        <v>0</v>
      </c>
      <c r="V288" s="110">
        <f>FASE3!X288</f>
        <v>0</v>
      </c>
      <c r="W288" s="110">
        <f>FASE4!M288</f>
        <v>0</v>
      </c>
      <c r="X288" s="110">
        <f t="shared" si="4"/>
        <v>0</v>
      </c>
      <c r="Y288" s="2"/>
    </row>
    <row r="289" spans="2:25" ht="15.75" customHeight="1" x14ac:dyDescent="0.25">
      <c r="B289">
        <v>8</v>
      </c>
      <c r="C289" t="s">
        <v>112</v>
      </c>
      <c r="D289" s="97">
        <v>807</v>
      </c>
      <c r="E289" s="110">
        <f>FASE1!G289</f>
        <v>0</v>
      </c>
      <c r="F289" s="110">
        <f>FASE1!M289</f>
        <v>0</v>
      </c>
      <c r="G289" s="110">
        <f>FASE1!L289</f>
        <v>0</v>
      </c>
      <c r="H289" s="110">
        <f>FASE1!R289</f>
        <v>0</v>
      </c>
      <c r="I289" s="110">
        <f>FASE1!U289</f>
        <v>0</v>
      </c>
      <c r="J289" s="110">
        <f>FASE1!U289</f>
        <v>0</v>
      </c>
      <c r="K289" s="110">
        <f>FASE1!P289</f>
        <v>0</v>
      </c>
      <c r="L289" s="110">
        <f>FASE1!V289</f>
        <v>0</v>
      </c>
      <c r="M289" s="110">
        <f>AVERAGE(FASE2!F289:G289)</f>
        <v>0</v>
      </c>
      <c r="N289" s="110">
        <f>AVERAGE(FASE2!O289:P289,FASE2!S289)</f>
        <v>0</v>
      </c>
      <c r="O289" s="110">
        <f>FASE4!K289</f>
        <v>0</v>
      </c>
      <c r="P289" s="110">
        <f>FASE2!N289</f>
        <v>0</v>
      </c>
      <c r="Q289" s="110">
        <f>FASE3!P289</f>
        <v>0</v>
      </c>
      <c r="R289" s="110">
        <f>FASE3!N289</f>
        <v>0</v>
      </c>
      <c r="S289" s="110">
        <f>AVERAGE(FASE3!Q289,FASE3!R289,FASE3!T289,FASE3!S289)</f>
        <v>0</v>
      </c>
      <c r="T289" s="110">
        <f>AVERAGE(FASE3!U289,FASE3!V289,FASE3!W289)</f>
        <v>0</v>
      </c>
      <c r="U289" s="110">
        <f>FASE3!Y289</f>
        <v>0</v>
      </c>
      <c r="V289" s="110">
        <f>FASE3!X289</f>
        <v>0</v>
      </c>
      <c r="W289" s="110">
        <f>FASE4!M289</f>
        <v>0</v>
      </c>
      <c r="X289" s="110">
        <f t="shared" si="4"/>
        <v>0</v>
      </c>
      <c r="Y289" s="2"/>
    </row>
    <row r="290" spans="2:25" ht="15.75" customHeight="1" x14ac:dyDescent="0.25">
      <c r="B290">
        <v>8</v>
      </c>
      <c r="C290" t="s">
        <v>112</v>
      </c>
      <c r="D290" s="97">
        <v>808</v>
      </c>
      <c r="E290" s="110">
        <f>FASE1!G290</f>
        <v>0</v>
      </c>
      <c r="F290" s="110">
        <f>FASE1!M290</f>
        <v>0</v>
      </c>
      <c r="G290" s="110">
        <f>FASE1!L290</f>
        <v>0</v>
      </c>
      <c r="H290" s="110">
        <f>FASE1!R290</f>
        <v>0</v>
      </c>
      <c r="I290" s="110">
        <f>FASE1!U290</f>
        <v>0</v>
      </c>
      <c r="J290" s="110">
        <f>FASE1!U290</f>
        <v>0</v>
      </c>
      <c r="K290" s="110">
        <f>FASE1!P290</f>
        <v>0</v>
      </c>
      <c r="L290" s="110">
        <f>FASE1!V290</f>
        <v>0</v>
      </c>
      <c r="M290" s="110">
        <f>AVERAGE(FASE2!F290:G290)</f>
        <v>0</v>
      </c>
      <c r="N290" s="110">
        <f>AVERAGE(FASE2!O290:P290,FASE2!S290)</f>
        <v>0</v>
      </c>
      <c r="O290" s="110">
        <f>FASE4!K290</f>
        <v>0</v>
      </c>
      <c r="P290" s="110">
        <f>FASE2!N290</f>
        <v>0</v>
      </c>
      <c r="Q290" s="110">
        <f>FASE3!P290</f>
        <v>0</v>
      </c>
      <c r="R290" s="110">
        <f>FASE3!N290</f>
        <v>0</v>
      </c>
      <c r="S290" s="110">
        <f>AVERAGE(FASE3!Q290,FASE3!R290,FASE3!T290,FASE3!S290)</f>
        <v>0</v>
      </c>
      <c r="T290" s="110">
        <f>AVERAGE(FASE3!U290,FASE3!V290,FASE3!W290)</f>
        <v>0</v>
      </c>
      <c r="U290" s="110">
        <f>FASE3!Y290</f>
        <v>0</v>
      </c>
      <c r="V290" s="110">
        <f>FASE3!X290</f>
        <v>0</v>
      </c>
      <c r="W290" s="110">
        <f>FASE4!M290</f>
        <v>0</v>
      </c>
      <c r="X290" s="110">
        <f t="shared" si="4"/>
        <v>0</v>
      </c>
      <c r="Y290" s="2"/>
    </row>
    <row r="291" spans="2:25" ht="15.75" customHeight="1" x14ac:dyDescent="0.25">
      <c r="B291">
        <v>8</v>
      </c>
      <c r="C291" t="s">
        <v>112</v>
      </c>
      <c r="D291" s="97">
        <v>809</v>
      </c>
      <c r="E291" s="110">
        <f>FASE1!G291</f>
        <v>0</v>
      </c>
      <c r="F291" s="110">
        <f>FASE1!M291</f>
        <v>0</v>
      </c>
      <c r="G291" s="110">
        <f>FASE1!L291</f>
        <v>0</v>
      </c>
      <c r="H291" s="110">
        <f>FASE1!R291</f>
        <v>0</v>
      </c>
      <c r="I291" s="110">
        <f>FASE1!U291</f>
        <v>0</v>
      </c>
      <c r="J291" s="110">
        <f>FASE1!U291</f>
        <v>0</v>
      </c>
      <c r="K291" s="110">
        <f>FASE1!P291</f>
        <v>0</v>
      </c>
      <c r="L291" s="110">
        <f>FASE1!V291</f>
        <v>0</v>
      </c>
      <c r="M291" s="110">
        <f>AVERAGE(FASE2!F291:G291)</f>
        <v>0</v>
      </c>
      <c r="N291" s="110">
        <f>AVERAGE(FASE2!O291:P291,FASE2!S291)</f>
        <v>0</v>
      </c>
      <c r="O291" s="110">
        <f>FASE4!K291</f>
        <v>0</v>
      </c>
      <c r="P291" s="110">
        <f>FASE2!N291</f>
        <v>0</v>
      </c>
      <c r="Q291" s="110">
        <f>FASE3!P291</f>
        <v>0</v>
      </c>
      <c r="R291" s="110">
        <f>FASE3!N291</f>
        <v>0</v>
      </c>
      <c r="S291" s="110">
        <f>AVERAGE(FASE3!Q291,FASE3!R291,FASE3!T291,FASE3!S291)</f>
        <v>0</v>
      </c>
      <c r="T291" s="110">
        <f>AVERAGE(FASE3!U291,FASE3!V291,FASE3!W291)</f>
        <v>0</v>
      </c>
      <c r="U291" s="110">
        <f>FASE3!Y291</f>
        <v>0</v>
      </c>
      <c r="V291" s="110">
        <f>FASE3!X291</f>
        <v>0</v>
      </c>
      <c r="W291" s="110">
        <f>FASE4!M291</f>
        <v>0</v>
      </c>
      <c r="X291" s="110">
        <f t="shared" si="4"/>
        <v>0</v>
      </c>
      <c r="Y291" s="2"/>
    </row>
    <row r="292" spans="2:25" ht="15.75" customHeight="1" x14ac:dyDescent="0.25">
      <c r="B292">
        <v>8</v>
      </c>
      <c r="C292" t="s">
        <v>112</v>
      </c>
      <c r="D292" s="97">
        <v>810</v>
      </c>
      <c r="E292" s="110">
        <f>FASE1!G292</f>
        <v>0</v>
      </c>
      <c r="F292" s="110">
        <f>FASE1!M292</f>
        <v>0</v>
      </c>
      <c r="G292" s="110">
        <f>FASE1!L292</f>
        <v>0</v>
      </c>
      <c r="H292" s="110">
        <f>FASE1!R292</f>
        <v>0</v>
      </c>
      <c r="I292" s="110">
        <f>FASE1!U292</f>
        <v>0</v>
      </c>
      <c r="J292" s="110">
        <f>FASE1!U292</f>
        <v>0</v>
      </c>
      <c r="K292" s="110">
        <f>FASE1!P292</f>
        <v>0</v>
      </c>
      <c r="L292" s="110">
        <f>FASE1!V292</f>
        <v>0</v>
      </c>
      <c r="M292" s="110">
        <f>AVERAGE(FASE2!F292:G292)</f>
        <v>0</v>
      </c>
      <c r="N292" s="110">
        <f>AVERAGE(FASE2!O292:P292,FASE2!S292)</f>
        <v>0</v>
      </c>
      <c r="O292" s="110">
        <f>FASE4!K292</f>
        <v>0</v>
      </c>
      <c r="P292" s="110">
        <f>FASE2!N292</f>
        <v>0</v>
      </c>
      <c r="Q292" s="110">
        <f>FASE3!P292</f>
        <v>0</v>
      </c>
      <c r="R292" s="110">
        <f>FASE3!N292</f>
        <v>0</v>
      </c>
      <c r="S292" s="110">
        <f>AVERAGE(FASE3!Q292,FASE3!R292,FASE3!T292,FASE3!S292)</f>
        <v>0</v>
      </c>
      <c r="T292" s="110">
        <f>AVERAGE(FASE3!U292,FASE3!V292,FASE3!W292)</f>
        <v>0</v>
      </c>
      <c r="U292" s="110">
        <f>FASE3!Y292</f>
        <v>0</v>
      </c>
      <c r="V292" s="110">
        <f>FASE3!X292</f>
        <v>0</v>
      </c>
      <c r="W292" s="110">
        <f>FASE4!M292</f>
        <v>0</v>
      </c>
      <c r="X292" s="110">
        <f t="shared" si="4"/>
        <v>0</v>
      </c>
      <c r="Y292" s="2"/>
    </row>
    <row r="293" spans="2:25" ht="15.75" customHeight="1" x14ac:dyDescent="0.25">
      <c r="B293">
        <v>8</v>
      </c>
      <c r="C293" t="s">
        <v>112</v>
      </c>
      <c r="D293" s="97">
        <v>811</v>
      </c>
      <c r="E293" s="110">
        <f>FASE1!G293</f>
        <v>0</v>
      </c>
      <c r="F293" s="110">
        <f>FASE1!M293</f>
        <v>0</v>
      </c>
      <c r="G293" s="110">
        <f>FASE1!L293</f>
        <v>0</v>
      </c>
      <c r="H293" s="110">
        <f>FASE1!R293</f>
        <v>0</v>
      </c>
      <c r="I293" s="110">
        <f>FASE1!U293</f>
        <v>0</v>
      </c>
      <c r="J293" s="110">
        <f>FASE1!U293</f>
        <v>0</v>
      </c>
      <c r="K293" s="110">
        <f>FASE1!P293</f>
        <v>0</v>
      </c>
      <c r="L293" s="110">
        <f>FASE1!V293</f>
        <v>0</v>
      </c>
      <c r="M293" s="110">
        <f>AVERAGE(FASE2!F293:G293)</f>
        <v>0</v>
      </c>
      <c r="N293" s="110">
        <f>AVERAGE(FASE2!O293:P293,FASE2!S293)</f>
        <v>0</v>
      </c>
      <c r="O293" s="110">
        <f>FASE4!K293</f>
        <v>0</v>
      </c>
      <c r="P293" s="110">
        <f>FASE2!N293</f>
        <v>0</v>
      </c>
      <c r="Q293" s="110">
        <f>FASE3!P293</f>
        <v>0</v>
      </c>
      <c r="R293" s="110">
        <f>FASE3!N293</f>
        <v>0</v>
      </c>
      <c r="S293" s="110">
        <f>AVERAGE(FASE3!Q293,FASE3!R293,FASE3!T293,FASE3!S293)</f>
        <v>0</v>
      </c>
      <c r="T293" s="110">
        <f>AVERAGE(FASE3!U293,FASE3!V293,FASE3!W293)</f>
        <v>0</v>
      </c>
      <c r="U293" s="110">
        <f>FASE3!Y293</f>
        <v>0</v>
      </c>
      <c r="V293" s="110">
        <f>FASE3!X293</f>
        <v>0</v>
      </c>
      <c r="W293" s="110">
        <f>FASE4!M293</f>
        <v>0</v>
      </c>
      <c r="X293" s="110">
        <f t="shared" si="4"/>
        <v>0</v>
      </c>
      <c r="Y293" s="2"/>
    </row>
    <row r="294" spans="2:25" ht="15.75" customHeight="1" x14ac:dyDescent="0.25">
      <c r="B294">
        <v>8</v>
      </c>
      <c r="C294" t="s">
        <v>112</v>
      </c>
      <c r="D294" s="97">
        <v>812</v>
      </c>
      <c r="E294" s="110">
        <f>FASE1!G294</f>
        <v>0</v>
      </c>
      <c r="F294" s="110">
        <f>FASE1!M294</f>
        <v>0</v>
      </c>
      <c r="G294" s="110">
        <f>FASE1!L294</f>
        <v>0</v>
      </c>
      <c r="H294" s="110">
        <f>FASE1!R294</f>
        <v>0</v>
      </c>
      <c r="I294" s="110">
        <f>FASE1!U294</f>
        <v>0</v>
      </c>
      <c r="J294" s="110">
        <f>FASE1!U294</f>
        <v>0</v>
      </c>
      <c r="K294" s="110">
        <f>FASE1!P294</f>
        <v>0</v>
      </c>
      <c r="L294" s="110">
        <f>FASE1!V294</f>
        <v>0</v>
      </c>
      <c r="M294" s="110">
        <f>AVERAGE(FASE2!F294:G294)</f>
        <v>0</v>
      </c>
      <c r="N294" s="110">
        <f>AVERAGE(FASE2!O294:P294,FASE2!S294)</f>
        <v>0</v>
      </c>
      <c r="O294" s="110">
        <f>FASE4!K294</f>
        <v>0</v>
      </c>
      <c r="P294" s="110">
        <f>FASE2!N294</f>
        <v>0</v>
      </c>
      <c r="Q294" s="110">
        <f>FASE3!P294</f>
        <v>0</v>
      </c>
      <c r="R294" s="110">
        <f>FASE3!N294</f>
        <v>0</v>
      </c>
      <c r="S294" s="110">
        <f>AVERAGE(FASE3!Q294,FASE3!R294,FASE3!T294,FASE3!S294)</f>
        <v>0</v>
      </c>
      <c r="T294" s="110">
        <f>AVERAGE(FASE3!U294,FASE3!V294,FASE3!W294)</f>
        <v>0</v>
      </c>
      <c r="U294" s="110">
        <f>FASE3!Y294</f>
        <v>0</v>
      </c>
      <c r="V294" s="110">
        <f>FASE3!X294</f>
        <v>0</v>
      </c>
      <c r="W294" s="110">
        <f>FASE4!M294</f>
        <v>0</v>
      </c>
      <c r="X294" s="110">
        <f t="shared" si="4"/>
        <v>0</v>
      </c>
      <c r="Y294" s="2"/>
    </row>
    <row r="295" spans="2:25" ht="15.75" customHeight="1" x14ac:dyDescent="0.25">
      <c r="B295">
        <v>8</v>
      </c>
      <c r="C295" t="s">
        <v>112</v>
      </c>
      <c r="D295" s="97">
        <v>813</v>
      </c>
      <c r="E295" s="110">
        <f>FASE1!G295</f>
        <v>0</v>
      </c>
      <c r="F295" s="110">
        <f>FASE1!M295</f>
        <v>0</v>
      </c>
      <c r="G295" s="110">
        <f>FASE1!L295</f>
        <v>0</v>
      </c>
      <c r="H295" s="110">
        <f>FASE1!R295</f>
        <v>0</v>
      </c>
      <c r="I295" s="110">
        <f>FASE1!U295</f>
        <v>0</v>
      </c>
      <c r="J295" s="110">
        <f>FASE1!U295</f>
        <v>0</v>
      </c>
      <c r="K295" s="110">
        <f>FASE1!P295</f>
        <v>0</v>
      </c>
      <c r="L295" s="110">
        <f>FASE1!V295</f>
        <v>0</v>
      </c>
      <c r="M295" s="110">
        <f>AVERAGE(FASE2!F295:G295)</f>
        <v>0</v>
      </c>
      <c r="N295" s="110">
        <f>AVERAGE(FASE2!O295:P295,FASE2!S295)</f>
        <v>0</v>
      </c>
      <c r="O295" s="110">
        <f>FASE4!K295</f>
        <v>0</v>
      </c>
      <c r="P295" s="110">
        <f>FASE2!N295</f>
        <v>0</v>
      </c>
      <c r="Q295" s="110">
        <f>FASE3!P295</f>
        <v>0</v>
      </c>
      <c r="R295" s="110">
        <f>FASE3!N295</f>
        <v>0</v>
      </c>
      <c r="S295" s="110">
        <f>AVERAGE(FASE3!Q295,FASE3!R295,FASE3!T295,FASE3!S295)</f>
        <v>0</v>
      </c>
      <c r="T295" s="110">
        <f>AVERAGE(FASE3!U295,FASE3!V295,FASE3!W295)</f>
        <v>0</v>
      </c>
      <c r="U295" s="110">
        <f>FASE3!Y295</f>
        <v>0</v>
      </c>
      <c r="V295" s="110">
        <f>FASE3!X295</f>
        <v>0</v>
      </c>
      <c r="W295" s="110">
        <f>FASE4!M295</f>
        <v>0</v>
      </c>
      <c r="X295" s="110">
        <f t="shared" si="4"/>
        <v>0</v>
      </c>
      <c r="Y295" s="2"/>
    </row>
    <row r="296" spans="2:25" ht="15.75" customHeight="1" x14ac:dyDescent="0.25">
      <c r="B296">
        <v>8</v>
      </c>
      <c r="C296" t="s">
        <v>112</v>
      </c>
      <c r="D296" s="97">
        <v>814</v>
      </c>
      <c r="E296" s="110">
        <f>FASE1!G296</f>
        <v>0</v>
      </c>
      <c r="F296" s="110">
        <f>FASE1!M296</f>
        <v>0</v>
      </c>
      <c r="G296" s="110">
        <f>FASE1!L296</f>
        <v>0</v>
      </c>
      <c r="H296" s="110">
        <f>FASE1!R296</f>
        <v>0</v>
      </c>
      <c r="I296" s="110">
        <f>FASE1!U296</f>
        <v>0</v>
      </c>
      <c r="J296" s="110">
        <f>FASE1!U296</f>
        <v>0</v>
      </c>
      <c r="K296" s="110">
        <f>FASE1!P296</f>
        <v>0</v>
      </c>
      <c r="L296" s="110">
        <f>FASE1!V296</f>
        <v>0</v>
      </c>
      <c r="M296" s="110">
        <f>AVERAGE(FASE2!F296:G296)</f>
        <v>0</v>
      </c>
      <c r="N296" s="110">
        <f>AVERAGE(FASE2!O296:P296,FASE2!S296)</f>
        <v>0</v>
      </c>
      <c r="O296" s="110">
        <f>FASE4!K296</f>
        <v>0</v>
      </c>
      <c r="P296" s="110">
        <f>FASE2!N296</f>
        <v>0</v>
      </c>
      <c r="Q296" s="110">
        <f>FASE3!P296</f>
        <v>0</v>
      </c>
      <c r="R296" s="110">
        <f>FASE3!N296</f>
        <v>0</v>
      </c>
      <c r="S296" s="110">
        <f>AVERAGE(FASE3!Q296,FASE3!R296,FASE3!T296,FASE3!S296)</f>
        <v>0</v>
      </c>
      <c r="T296" s="110">
        <f>AVERAGE(FASE3!U296,FASE3!V296,FASE3!W296)</f>
        <v>0</v>
      </c>
      <c r="U296" s="110">
        <f>FASE3!Y296</f>
        <v>0</v>
      </c>
      <c r="V296" s="110">
        <f>FASE3!X296</f>
        <v>0</v>
      </c>
      <c r="W296" s="110">
        <f>FASE4!M296</f>
        <v>0</v>
      </c>
      <c r="X296" s="110">
        <f t="shared" si="4"/>
        <v>0</v>
      </c>
      <c r="Y296" s="2"/>
    </row>
    <row r="297" spans="2:25" ht="15.75" customHeight="1" x14ac:dyDescent="0.25">
      <c r="B297">
        <v>8</v>
      </c>
      <c r="C297" t="s">
        <v>112</v>
      </c>
      <c r="D297" s="97">
        <v>815</v>
      </c>
      <c r="E297" s="110">
        <f>FASE1!G297</f>
        <v>0</v>
      </c>
      <c r="F297" s="110">
        <f>FASE1!M297</f>
        <v>0</v>
      </c>
      <c r="G297" s="110">
        <f>FASE1!L297</f>
        <v>0</v>
      </c>
      <c r="H297" s="110">
        <f>FASE1!R297</f>
        <v>0</v>
      </c>
      <c r="I297" s="110">
        <f>FASE1!U297</f>
        <v>0</v>
      </c>
      <c r="J297" s="110">
        <f>FASE1!U297</f>
        <v>0</v>
      </c>
      <c r="K297" s="110">
        <f>FASE1!P297</f>
        <v>0</v>
      </c>
      <c r="L297" s="110">
        <f>FASE1!V297</f>
        <v>0</v>
      </c>
      <c r="M297" s="110">
        <f>AVERAGE(FASE2!F297:G297)</f>
        <v>0</v>
      </c>
      <c r="N297" s="110">
        <f>AVERAGE(FASE2!O297:P297,FASE2!S297)</f>
        <v>0</v>
      </c>
      <c r="O297" s="110">
        <f>FASE4!K297</f>
        <v>0</v>
      </c>
      <c r="P297" s="110">
        <f>FASE2!N297</f>
        <v>0</v>
      </c>
      <c r="Q297" s="110">
        <f>FASE3!P297</f>
        <v>0</v>
      </c>
      <c r="R297" s="110">
        <f>FASE3!N297</f>
        <v>0</v>
      </c>
      <c r="S297" s="110">
        <f>AVERAGE(FASE3!Q297,FASE3!R297,FASE3!T297,FASE3!S297)</f>
        <v>0</v>
      </c>
      <c r="T297" s="110">
        <f>AVERAGE(FASE3!U297,FASE3!V297,FASE3!W297)</f>
        <v>0</v>
      </c>
      <c r="U297" s="110">
        <f>FASE3!Y297</f>
        <v>0</v>
      </c>
      <c r="V297" s="110">
        <f>FASE3!X297</f>
        <v>0</v>
      </c>
      <c r="W297" s="110">
        <f>FASE4!M297</f>
        <v>0</v>
      </c>
      <c r="X297" s="110">
        <f t="shared" si="4"/>
        <v>0</v>
      </c>
      <c r="Y297" s="2"/>
    </row>
    <row r="298" spans="2:25" ht="15.75" customHeight="1" x14ac:dyDescent="0.25">
      <c r="B298">
        <v>8</v>
      </c>
      <c r="C298" t="s">
        <v>112</v>
      </c>
      <c r="D298" s="97">
        <v>816</v>
      </c>
      <c r="E298" s="110">
        <f>FASE1!G298</f>
        <v>0</v>
      </c>
      <c r="F298" s="110">
        <f>FASE1!M298</f>
        <v>0</v>
      </c>
      <c r="G298" s="110">
        <f>FASE1!L298</f>
        <v>0</v>
      </c>
      <c r="H298" s="110">
        <f>FASE1!R298</f>
        <v>0</v>
      </c>
      <c r="I298" s="110">
        <f>FASE1!U298</f>
        <v>0</v>
      </c>
      <c r="J298" s="110">
        <f>FASE1!U298</f>
        <v>0</v>
      </c>
      <c r="K298" s="110">
        <f>FASE1!P298</f>
        <v>0</v>
      </c>
      <c r="L298" s="110">
        <f>FASE1!V298</f>
        <v>0</v>
      </c>
      <c r="M298" s="110">
        <f>AVERAGE(FASE2!F298:G298)</f>
        <v>0</v>
      </c>
      <c r="N298" s="110">
        <f>AVERAGE(FASE2!O298:P298,FASE2!S298)</f>
        <v>0</v>
      </c>
      <c r="O298" s="110">
        <f>FASE4!K298</f>
        <v>0</v>
      </c>
      <c r="P298" s="110">
        <f>FASE2!N298</f>
        <v>0</v>
      </c>
      <c r="Q298" s="110">
        <f>FASE3!P298</f>
        <v>0</v>
      </c>
      <c r="R298" s="110">
        <f>FASE3!N298</f>
        <v>0</v>
      </c>
      <c r="S298" s="110">
        <f>AVERAGE(FASE3!Q298,FASE3!R298,FASE3!T298,FASE3!S298)</f>
        <v>0</v>
      </c>
      <c r="T298" s="110">
        <f>AVERAGE(FASE3!U298,FASE3!V298,FASE3!W298)</f>
        <v>0</v>
      </c>
      <c r="U298" s="110">
        <f>FASE3!Y298</f>
        <v>0</v>
      </c>
      <c r="V298" s="110">
        <f>FASE3!X298</f>
        <v>0</v>
      </c>
      <c r="W298" s="110">
        <f>FASE4!M298</f>
        <v>0</v>
      </c>
      <c r="X298" s="110">
        <f t="shared" si="4"/>
        <v>0</v>
      </c>
      <c r="Y298" s="2"/>
    </row>
    <row r="299" spans="2:25" ht="15.75" customHeight="1" x14ac:dyDescent="0.25">
      <c r="B299">
        <v>8</v>
      </c>
      <c r="C299" t="s">
        <v>112</v>
      </c>
      <c r="D299" s="97">
        <v>817</v>
      </c>
      <c r="E299" s="110">
        <f>FASE1!G299</f>
        <v>0</v>
      </c>
      <c r="F299" s="110">
        <f>FASE1!M299</f>
        <v>0</v>
      </c>
      <c r="G299" s="110">
        <f>FASE1!L299</f>
        <v>0</v>
      </c>
      <c r="H299" s="110">
        <f>FASE1!R299</f>
        <v>0</v>
      </c>
      <c r="I299" s="110">
        <f>FASE1!U299</f>
        <v>0</v>
      </c>
      <c r="J299" s="110">
        <f>FASE1!U299</f>
        <v>0</v>
      </c>
      <c r="K299" s="110">
        <f>FASE1!P299</f>
        <v>0</v>
      </c>
      <c r="L299" s="110">
        <f>FASE1!V299</f>
        <v>0</v>
      </c>
      <c r="M299" s="110">
        <f>AVERAGE(FASE2!F299:G299)</f>
        <v>0</v>
      </c>
      <c r="N299" s="110">
        <f>AVERAGE(FASE2!O299:P299,FASE2!S299)</f>
        <v>0</v>
      </c>
      <c r="O299" s="110">
        <f>FASE4!K299</f>
        <v>0</v>
      </c>
      <c r="P299" s="110">
        <f>FASE2!N299</f>
        <v>0</v>
      </c>
      <c r="Q299" s="110">
        <f>FASE3!P299</f>
        <v>0</v>
      </c>
      <c r="R299" s="110">
        <f>FASE3!N299</f>
        <v>0</v>
      </c>
      <c r="S299" s="110">
        <f>AVERAGE(FASE3!Q299,FASE3!R299,FASE3!T299,FASE3!S299)</f>
        <v>0</v>
      </c>
      <c r="T299" s="110">
        <f>AVERAGE(FASE3!U299,FASE3!V299,FASE3!W299)</f>
        <v>0</v>
      </c>
      <c r="U299" s="110">
        <f>FASE3!Y299</f>
        <v>0</v>
      </c>
      <c r="V299" s="110">
        <f>FASE3!X299</f>
        <v>0</v>
      </c>
      <c r="W299" s="110">
        <f>FASE4!M299</f>
        <v>0</v>
      </c>
      <c r="X299" s="110">
        <f t="shared" si="4"/>
        <v>0</v>
      </c>
      <c r="Y299" s="2"/>
    </row>
    <row r="300" spans="2:25" ht="15.75" customHeight="1" x14ac:dyDescent="0.25">
      <c r="B300">
        <v>8</v>
      </c>
      <c r="C300" t="s">
        <v>112</v>
      </c>
      <c r="D300" s="97">
        <v>818</v>
      </c>
      <c r="E300" s="110">
        <f>FASE1!G300</f>
        <v>0</v>
      </c>
      <c r="F300" s="110">
        <f>FASE1!M300</f>
        <v>0</v>
      </c>
      <c r="G300" s="110">
        <f>FASE1!L300</f>
        <v>0</v>
      </c>
      <c r="H300" s="110">
        <f>FASE1!R300</f>
        <v>0</v>
      </c>
      <c r="I300" s="110">
        <f>FASE1!U300</f>
        <v>0</v>
      </c>
      <c r="J300" s="110">
        <f>FASE1!U300</f>
        <v>0</v>
      </c>
      <c r="K300" s="110">
        <f>FASE1!P300</f>
        <v>0</v>
      </c>
      <c r="L300" s="110">
        <f>FASE1!V300</f>
        <v>0</v>
      </c>
      <c r="M300" s="110">
        <f>AVERAGE(FASE2!F300:G300)</f>
        <v>0</v>
      </c>
      <c r="N300" s="110">
        <f>AVERAGE(FASE2!O300:P300,FASE2!S300)</f>
        <v>0</v>
      </c>
      <c r="O300" s="110">
        <f>FASE4!K300</f>
        <v>0</v>
      </c>
      <c r="P300" s="110">
        <f>FASE2!N300</f>
        <v>0</v>
      </c>
      <c r="Q300" s="110">
        <f>FASE3!P300</f>
        <v>0</v>
      </c>
      <c r="R300" s="110">
        <f>FASE3!N300</f>
        <v>0</v>
      </c>
      <c r="S300" s="110">
        <f>AVERAGE(FASE3!Q300,FASE3!R300,FASE3!T300,FASE3!S300)</f>
        <v>0</v>
      </c>
      <c r="T300" s="110">
        <f>AVERAGE(FASE3!U300,FASE3!V300,FASE3!W300)</f>
        <v>0</v>
      </c>
      <c r="U300" s="110">
        <f>FASE3!Y300</f>
        <v>0</v>
      </c>
      <c r="V300" s="110">
        <f>FASE3!X300</f>
        <v>0</v>
      </c>
      <c r="W300" s="110">
        <f>FASE4!M300</f>
        <v>0</v>
      </c>
      <c r="X300" s="110">
        <f t="shared" si="4"/>
        <v>0</v>
      </c>
      <c r="Y300" s="2"/>
    </row>
    <row r="301" spans="2:25" ht="15.75" customHeight="1" x14ac:dyDescent="0.25">
      <c r="B301">
        <v>8</v>
      </c>
      <c r="C301" t="s">
        <v>112</v>
      </c>
      <c r="D301" s="97">
        <v>819</v>
      </c>
      <c r="E301" s="110">
        <f>FASE1!G301</f>
        <v>0</v>
      </c>
      <c r="F301" s="110">
        <f>FASE1!M301</f>
        <v>0</v>
      </c>
      <c r="G301" s="110">
        <f>FASE1!L301</f>
        <v>0</v>
      </c>
      <c r="H301" s="110">
        <f>FASE1!R301</f>
        <v>0</v>
      </c>
      <c r="I301" s="110">
        <f>FASE1!U301</f>
        <v>0</v>
      </c>
      <c r="J301" s="110">
        <f>FASE1!U301</f>
        <v>0</v>
      </c>
      <c r="K301" s="110">
        <f>FASE1!P301</f>
        <v>0</v>
      </c>
      <c r="L301" s="110">
        <f>FASE1!V301</f>
        <v>0</v>
      </c>
      <c r="M301" s="110">
        <f>AVERAGE(FASE2!F301:G301)</f>
        <v>0</v>
      </c>
      <c r="N301" s="110">
        <f>AVERAGE(FASE2!O301:P301,FASE2!S301)</f>
        <v>0</v>
      </c>
      <c r="O301" s="110">
        <f>FASE4!K301</f>
        <v>0</v>
      </c>
      <c r="P301" s="110">
        <f>FASE2!N301</f>
        <v>0</v>
      </c>
      <c r="Q301" s="110">
        <f>FASE3!P301</f>
        <v>0</v>
      </c>
      <c r="R301" s="110">
        <f>FASE3!N301</f>
        <v>0</v>
      </c>
      <c r="S301" s="110">
        <f>AVERAGE(FASE3!Q301,FASE3!R301,FASE3!T301,FASE3!S301)</f>
        <v>0</v>
      </c>
      <c r="T301" s="110">
        <f>AVERAGE(FASE3!U301,FASE3!V301,FASE3!W301)</f>
        <v>0</v>
      </c>
      <c r="U301" s="110">
        <f>FASE3!Y301</f>
        <v>0</v>
      </c>
      <c r="V301" s="110">
        <f>FASE3!X301</f>
        <v>0</v>
      </c>
      <c r="W301" s="110">
        <f>FASE4!M301</f>
        <v>0</v>
      </c>
      <c r="X301" s="110">
        <f t="shared" si="4"/>
        <v>0</v>
      </c>
      <c r="Y301" s="2"/>
    </row>
    <row r="302" spans="2:25" ht="15.75" customHeight="1" x14ac:dyDescent="0.25">
      <c r="B302">
        <v>8</v>
      </c>
      <c r="C302" t="s">
        <v>112</v>
      </c>
      <c r="D302" s="97">
        <v>820</v>
      </c>
      <c r="E302" s="110">
        <f>FASE1!G302</f>
        <v>0</v>
      </c>
      <c r="F302" s="110">
        <f>FASE1!M302</f>
        <v>0</v>
      </c>
      <c r="G302" s="110">
        <f>FASE1!L302</f>
        <v>0</v>
      </c>
      <c r="H302" s="110">
        <f>FASE1!R302</f>
        <v>0</v>
      </c>
      <c r="I302" s="110">
        <f>FASE1!U302</f>
        <v>0</v>
      </c>
      <c r="J302" s="110">
        <f>FASE1!U302</f>
        <v>0</v>
      </c>
      <c r="K302" s="110">
        <f>FASE1!P302</f>
        <v>0</v>
      </c>
      <c r="L302" s="110">
        <f>FASE1!V302</f>
        <v>0</v>
      </c>
      <c r="M302" s="110">
        <f>AVERAGE(FASE2!F302:G302)</f>
        <v>0</v>
      </c>
      <c r="N302" s="110">
        <f>AVERAGE(FASE2!O302:P302,FASE2!S302)</f>
        <v>0</v>
      </c>
      <c r="O302" s="110">
        <f>FASE4!K302</f>
        <v>0</v>
      </c>
      <c r="P302" s="110">
        <f>FASE2!N302</f>
        <v>0</v>
      </c>
      <c r="Q302" s="110">
        <f>FASE3!P302</f>
        <v>0</v>
      </c>
      <c r="R302" s="110">
        <f>FASE3!N302</f>
        <v>0</v>
      </c>
      <c r="S302" s="110">
        <f>AVERAGE(FASE3!Q302,FASE3!R302,FASE3!T302,FASE3!S302)</f>
        <v>0</v>
      </c>
      <c r="T302" s="110">
        <f>AVERAGE(FASE3!U302,FASE3!V302,FASE3!W302)</f>
        <v>0</v>
      </c>
      <c r="U302" s="110">
        <f>FASE3!Y302</f>
        <v>0</v>
      </c>
      <c r="V302" s="110">
        <f>FASE3!X302</f>
        <v>0</v>
      </c>
      <c r="W302" s="110">
        <f>FASE4!M302</f>
        <v>0</v>
      </c>
      <c r="X302" s="110">
        <f t="shared" si="4"/>
        <v>0</v>
      </c>
      <c r="Y302" s="2"/>
    </row>
    <row r="303" spans="2:25" ht="15.75" customHeight="1" x14ac:dyDescent="0.25">
      <c r="B303">
        <v>8</v>
      </c>
      <c r="C303" t="s">
        <v>112</v>
      </c>
      <c r="D303" s="97">
        <v>821</v>
      </c>
      <c r="E303" s="110">
        <f>FASE1!G303</f>
        <v>0</v>
      </c>
      <c r="F303" s="110">
        <f>FASE1!M303</f>
        <v>0</v>
      </c>
      <c r="G303" s="110">
        <f>FASE1!L303</f>
        <v>0</v>
      </c>
      <c r="H303" s="110">
        <f>FASE1!R303</f>
        <v>0</v>
      </c>
      <c r="I303" s="110">
        <f>FASE1!U303</f>
        <v>0</v>
      </c>
      <c r="J303" s="110">
        <f>FASE1!U303</f>
        <v>0</v>
      </c>
      <c r="K303" s="110">
        <f>FASE1!P303</f>
        <v>0</v>
      </c>
      <c r="L303" s="110">
        <f>FASE1!V303</f>
        <v>0</v>
      </c>
      <c r="M303" s="110">
        <f>AVERAGE(FASE2!F303:G303)</f>
        <v>0</v>
      </c>
      <c r="N303" s="110">
        <f>AVERAGE(FASE2!O303:P303,FASE2!S303)</f>
        <v>0</v>
      </c>
      <c r="O303" s="110">
        <f>FASE4!K303</f>
        <v>0</v>
      </c>
      <c r="P303" s="110">
        <f>FASE2!N303</f>
        <v>0</v>
      </c>
      <c r="Q303" s="110">
        <f>FASE3!P303</f>
        <v>0</v>
      </c>
      <c r="R303" s="110">
        <f>FASE3!N303</f>
        <v>0</v>
      </c>
      <c r="S303" s="110">
        <f>AVERAGE(FASE3!Q303,FASE3!R303,FASE3!T303,FASE3!S303)</f>
        <v>0</v>
      </c>
      <c r="T303" s="110">
        <f>AVERAGE(FASE3!U303,FASE3!V303,FASE3!W303)</f>
        <v>0</v>
      </c>
      <c r="U303" s="110">
        <f>FASE3!Y303</f>
        <v>0</v>
      </c>
      <c r="V303" s="110">
        <f>FASE3!X303</f>
        <v>0</v>
      </c>
      <c r="W303" s="110">
        <f>FASE4!M303</f>
        <v>0</v>
      </c>
      <c r="X303" s="110">
        <f t="shared" si="4"/>
        <v>0</v>
      </c>
      <c r="Y303" s="2"/>
    </row>
    <row r="304" spans="2:25" ht="15.75" customHeight="1" x14ac:dyDescent="0.25">
      <c r="B304">
        <v>8</v>
      </c>
      <c r="C304" t="s">
        <v>112</v>
      </c>
      <c r="D304" s="97">
        <v>822</v>
      </c>
      <c r="E304" s="110">
        <f>FASE1!G304</f>
        <v>0</v>
      </c>
      <c r="F304" s="110">
        <f>FASE1!M304</f>
        <v>0</v>
      </c>
      <c r="G304" s="110">
        <f>FASE1!L304</f>
        <v>0</v>
      </c>
      <c r="H304" s="110">
        <f>FASE1!R304</f>
        <v>0</v>
      </c>
      <c r="I304" s="110">
        <f>FASE1!U304</f>
        <v>0</v>
      </c>
      <c r="J304" s="110">
        <f>FASE1!U304</f>
        <v>0</v>
      </c>
      <c r="K304" s="110">
        <f>FASE1!P304</f>
        <v>0</v>
      </c>
      <c r="L304" s="110">
        <f>FASE1!V304</f>
        <v>0</v>
      </c>
      <c r="M304" s="110">
        <f>AVERAGE(FASE2!F304:G304)</f>
        <v>0</v>
      </c>
      <c r="N304" s="110">
        <f>AVERAGE(FASE2!O304:P304,FASE2!S304)</f>
        <v>0</v>
      </c>
      <c r="O304" s="110">
        <f>FASE4!K304</f>
        <v>0</v>
      </c>
      <c r="P304" s="110">
        <f>FASE2!N304</f>
        <v>0</v>
      </c>
      <c r="Q304" s="110">
        <f>FASE3!P304</f>
        <v>0</v>
      </c>
      <c r="R304" s="110">
        <f>FASE3!N304</f>
        <v>0</v>
      </c>
      <c r="S304" s="110">
        <f>AVERAGE(FASE3!Q304,FASE3!R304,FASE3!T304,FASE3!S304)</f>
        <v>0</v>
      </c>
      <c r="T304" s="110">
        <f>AVERAGE(FASE3!U304,FASE3!V304,FASE3!W304)</f>
        <v>0</v>
      </c>
      <c r="U304" s="110">
        <f>FASE3!Y304</f>
        <v>0</v>
      </c>
      <c r="V304" s="110">
        <f>FASE3!X304</f>
        <v>0</v>
      </c>
      <c r="W304" s="110">
        <f>FASE4!M304</f>
        <v>0</v>
      </c>
      <c r="X304" s="110">
        <f t="shared" si="4"/>
        <v>0</v>
      </c>
      <c r="Y304" s="2"/>
    </row>
    <row r="305" spans="2:25" ht="15.75" customHeight="1" x14ac:dyDescent="0.25">
      <c r="B305">
        <v>8</v>
      </c>
      <c r="C305" t="s">
        <v>112</v>
      </c>
      <c r="D305" s="97">
        <v>823</v>
      </c>
      <c r="E305" s="110">
        <f>FASE1!G305</f>
        <v>0</v>
      </c>
      <c r="F305" s="110">
        <f>FASE1!M305</f>
        <v>0</v>
      </c>
      <c r="G305" s="110">
        <f>FASE1!L305</f>
        <v>0</v>
      </c>
      <c r="H305" s="110">
        <f>FASE1!R305</f>
        <v>0</v>
      </c>
      <c r="I305" s="110">
        <f>FASE1!U305</f>
        <v>0</v>
      </c>
      <c r="J305" s="110">
        <f>FASE1!U305</f>
        <v>0</v>
      </c>
      <c r="K305" s="110">
        <f>FASE1!P305</f>
        <v>0</v>
      </c>
      <c r="L305" s="110">
        <f>FASE1!V305</f>
        <v>0</v>
      </c>
      <c r="M305" s="110">
        <f>AVERAGE(FASE2!F305:G305)</f>
        <v>0</v>
      </c>
      <c r="N305" s="110">
        <f>AVERAGE(FASE2!O305:P305,FASE2!S305)</f>
        <v>0</v>
      </c>
      <c r="O305" s="110">
        <f>FASE4!K305</f>
        <v>0</v>
      </c>
      <c r="P305" s="110">
        <f>FASE2!N305</f>
        <v>0</v>
      </c>
      <c r="Q305" s="110">
        <f>FASE3!P305</f>
        <v>0</v>
      </c>
      <c r="R305" s="110">
        <f>FASE3!N305</f>
        <v>0</v>
      </c>
      <c r="S305" s="110">
        <f>AVERAGE(FASE3!Q305,FASE3!R305,FASE3!T305,FASE3!S305)</f>
        <v>0</v>
      </c>
      <c r="T305" s="110">
        <f>AVERAGE(FASE3!U305,FASE3!V305,FASE3!W305)</f>
        <v>0</v>
      </c>
      <c r="U305" s="110">
        <f>FASE3!Y305</f>
        <v>0</v>
      </c>
      <c r="V305" s="110">
        <f>FASE3!X305</f>
        <v>0</v>
      </c>
      <c r="W305" s="110">
        <f>FASE4!M305</f>
        <v>0</v>
      </c>
      <c r="X305" s="110">
        <f t="shared" si="4"/>
        <v>0</v>
      </c>
      <c r="Y305" s="2"/>
    </row>
    <row r="306" spans="2:25" ht="15.75" customHeight="1" x14ac:dyDescent="0.25">
      <c r="B306">
        <v>8</v>
      </c>
      <c r="C306" t="s">
        <v>111</v>
      </c>
      <c r="D306" s="97">
        <v>801</v>
      </c>
      <c r="E306" s="110">
        <f>FASE1!G306</f>
        <v>0</v>
      </c>
      <c r="F306" s="110">
        <f>FASE1!M306</f>
        <v>0</v>
      </c>
      <c r="G306" s="110">
        <f>FASE1!L306</f>
        <v>0</v>
      </c>
      <c r="H306" s="110">
        <f>FASE1!R306</f>
        <v>0</v>
      </c>
      <c r="I306" s="110">
        <f>FASE1!U306</f>
        <v>0</v>
      </c>
      <c r="J306" s="110">
        <f>FASE1!U306</f>
        <v>0</v>
      </c>
      <c r="K306" s="110">
        <f>FASE1!P306</f>
        <v>0</v>
      </c>
      <c r="L306" s="110">
        <f>FASE1!V306</f>
        <v>0</v>
      </c>
      <c r="M306" s="110">
        <f>AVERAGE(FASE2!F306:G306)</f>
        <v>0</v>
      </c>
      <c r="N306" s="110">
        <f>AVERAGE(FASE2!O306:P306,FASE2!S306)</f>
        <v>0</v>
      </c>
      <c r="O306" s="110">
        <f>FASE4!K306</f>
        <v>0</v>
      </c>
      <c r="P306" s="110">
        <f>FASE2!N306</f>
        <v>0</v>
      </c>
      <c r="Q306" s="110">
        <f>FASE3!P306</f>
        <v>0</v>
      </c>
      <c r="R306" s="110">
        <f>FASE3!N306</f>
        <v>0</v>
      </c>
      <c r="S306" s="110">
        <f>AVERAGE(FASE3!Q306,FASE3!R306,FASE3!T306,FASE3!S306)</f>
        <v>0</v>
      </c>
      <c r="T306" s="110">
        <f>AVERAGE(FASE3!U306,FASE3!V306,FASE3!W306)</f>
        <v>0</v>
      </c>
      <c r="U306" s="110">
        <f>FASE3!Y306</f>
        <v>0</v>
      </c>
      <c r="V306" s="110">
        <f>FASE3!X306</f>
        <v>0</v>
      </c>
      <c r="W306" s="110">
        <f>FASE4!M306</f>
        <v>0</v>
      </c>
      <c r="X306" s="110">
        <f t="shared" si="4"/>
        <v>0</v>
      </c>
      <c r="Y306" s="2"/>
    </row>
    <row r="307" spans="2:25" ht="15.75" customHeight="1" x14ac:dyDescent="0.25">
      <c r="B307">
        <v>8</v>
      </c>
      <c r="C307" t="s">
        <v>111</v>
      </c>
      <c r="D307" s="97">
        <v>802</v>
      </c>
      <c r="E307" s="110">
        <f>FASE1!G307</f>
        <v>0</v>
      </c>
      <c r="F307" s="110">
        <f>FASE1!M307</f>
        <v>0</v>
      </c>
      <c r="G307" s="110">
        <f>FASE1!L307</f>
        <v>0</v>
      </c>
      <c r="H307" s="110">
        <f>FASE1!R307</f>
        <v>0</v>
      </c>
      <c r="I307" s="110">
        <f>FASE1!U307</f>
        <v>0</v>
      </c>
      <c r="J307" s="110">
        <f>FASE1!U307</f>
        <v>0</v>
      </c>
      <c r="K307" s="110">
        <f>FASE1!P307</f>
        <v>0</v>
      </c>
      <c r="L307" s="110">
        <f>FASE1!V307</f>
        <v>0</v>
      </c>
      <c r="M307" s="110">
        <f>AVERAGE(FASE2!F307:G307)</f>
        <v>0</v>
      </c>
      <c r="N307" s="110">
        <f>AVERAGE(FASE2!O307:P307,FASE2!S307)</f>
        <v>0</v>
      </c>
      <c r="O307" s="110">
        <f>FASE4!K307</f>
        <v>0</v>
      </c>
      <c r="P307" s="110">
        <f>FASE2!N307</f>
        <v>0</v>
      </c>
      <c r="Q307" s="110">
        <f>FASE3!P307</f>
        <v>0</v>
      </c>
      <c r="R307" s="110">
        <f>FASE3!N307</f>
        <v>0</v>
      </c>
      <c r="S307" s="110">
        <f>AVERAGE(FASE3!Q307,FASE3!R307,FASE3!T307,FASE3!S307)</f>
        <v>0</v>
      </c>
      <c r="T307" s="110">
        <f>AVERAGE(FASE3!U307,FASE3!V307,FASE3!W307)</f>
        <v>0</v>
      </c>
      <c r="U307" s="110">
        <f>FASE3!Y307</f>
        <v>0</v>
      </c>
      <c r="V307" s="110">
        <f>FASE3!X307</f>
        <v>0</v>
      </c>
      <c r="W307" s="110">
        <f>FASE4!M307</f>
        <v>0</v>
      </c>
      <c r="X307" s="110">
        <f t="shared" si="4"/>
        <v>0</v>
      </c>
      <c r="Y307" s="2"/>
    </row>
    <row r="308" spans="2:25" ht="15.75" customHeight="1" x14ac:dyDescent="0.25">
      <c r="B308">
        <v>8</v>
      </c>
      <c r="C308" t="s">
        <v>111</v>
      </c>
      <c r="D308" s="97">
        <v>803</v>
      </c>
      <c r="E308" s="110">
        <f>FASE1!G308</f>
        <v>0</v>
      </c>
      <c r="F308" s="110">
        <f>FASE1!M308</f>
        <v>0</v>
      </c>
      <c r="G308" s="110">
        <f>FASE1!L308</f>
        <v>0</v>
      </c>
      <c r="H308" s="110">
        <f>FASE1!R308</f>
        <v>0</v>
      </c>
      <c r="I308" s="110">
        <f>FASE1!U308</f>
        <v>0</v>
      </c>
      <c r="J308" s="110">
        <f>FASE1!U308</f>
        <v>0</v>
      </c>
      <c r="K308" s="110">
        <f>FASE1!P308</f>
        <v>0</v>
      </c>
      <c r="L308" s="110">
        <f>FASE1!V308</f>
        <v>0</v>
      </c>
      <c r="M308" s="110">
        <f>AVERAGE(FASE2!F308:G308)</f>
        <v>0</v>
      </c>
      <c r="N308" s="110">
        <f>AVERAGE(FASE2!O308:P308,FASE2!S308)</f>
        <v>0</v>
      </c>
      <c r="O308" s="110">
        <f>FASE4!K308</f>
        <v>0</v>
      </c>
      <c r="P308" s="110">
        <f>FASE2!N308</f>
        <v>0</v>
      </c>
      <c r="Q308" s="110">
        <f>FASE3!P308</f>
        <v>0</v>
      </c>
      <c r="R308" s="110">
        <f>FASE3!N308</f>
        <v>0</v>
      </c>
      <c r="S308" s="110">
        <f>AVERAGE(FASE3!Q308,FASE3!R308,FASE3!T308,FASE3!S308)</f>
        <v>0</v>
      </c>
      <c r="T308" s="110">
        <f>AVERAGE(FASE3!U308,FASE3!V308,FASE3!W308)</f>
        <v>0</v>
      </c>
      <c r="U308" s="110">
        <f>FASE3!Y308</f>
        <v>0</v>
      </c>
      <c r="V308" s="110">
        <f>FASE3!X308</f>
        <v>0</v>
      </c>
      <c r="W308" s="110">
        <f>FASE4!M308</f>
        <v>0</v>
      </c>
      <c r="X308" s="110">
        <f t="shared" si="4"/>
        <v>0</v>
      </c>
      <c r="Y308" s="2"/>
    </row>
    <row r="309" spans="2:25" ht="15.75" customHeight="1" x14ac:dyDescent="0.25">
      <c r="B309">
        <v>8</v>
      </c>
      <c r="C309" t="s">
        <v>111</v>
      </c>
      <c r="D309" s="97">
        <v>804</v>
      </c>
      <c r="E309" s="110">
        <f>FASE1!G309</f>
        <v>0</v>
      </c>
      <c r="F309" s="110">
        <f>FASE1!M309</f>
        <v>0</v>
      </c>
      <c r="G309" s="110">
        <f>FASE1!L309</f>
        <v>0</v>
      </c>
      <c r="H309" s="110">
        <f>FASE1!R309</f>
        <v>0</v>
      </c>
      <c r="I309" s="110">
        <f>FASE1!U309</f>
        <v>0</v>
      </c>
      <c r="J309" s="110">
        <f>FASE1!U309</f>
        <v>0</v>
      </c>
      <c r="K309" s="110">
        <f>FASE1!P309</f>
        <v>0</v>
      </c>
      <c r="L309" s="110">
        <f>FASE1!V309</f>
        <v>0</v>
      </c>
      <c r="M309" s="110">
        <f>AVERAGE(FASE2!F309:G309)</f>
        <v>0</v>
      </c>
      <c r="N309" s="110">
        <f>AVERAGE(FASE2!O309:P309,FASE2!S309)</f>
        <v>0</v>
      </c>
      <c r="O309" s="110">
        <f>FASE4!K309</f>
        <v>0</v>
      </c>
      <c r="P309" s="110">
        <f>FASE2!N309</f>
        <v>0</v>
      </c>
      <c r="Q309" s="110">
        <f>FASE3!P309</f>
        <v>0</v>
      </c>
      <c r="R309" s="110">
        <f>FASE3!N309</f>
        <v>0</v>
      </c>
      <c r="S309" s="110">
        <f>AVERAGE(FASE3!Q309,FASE3!R309,FASE3!T309,FASE3!S309)</f>
        <v>0</v>
      </c>
      <c r="T309" s="110">
        <f>AVERAGE(FASE3!U309,FASE3!V309,FASE3!W309)</f>
        <v>0</v>
      </c>
      <c r="U309" s="110">
        <f>FASE3!Y309</f>
        <v>0</v>
      </c>
      <c r="V309" s="110">
        <f>FASE3!X309</f>
        <v>0</v>
      </c>
      <c r="W309" s="110">
        <f>FASE4!M309</f>
        <v>0</v>
      </c>
      <c r="X309" s="110">
        <f t="shared" si="4"/>
        <v>0</v>
      </c>
      <c r="Y309" s="2"/>
    </row>
    <row r="310" spans="2:25" ht="15.75" customHeight="1" x14ac:dyDescent="0.25">
      <c r="B310">
        <v>8</v>
      </c>
      <c r="C310" t="s">
        <v>111</v>
      </c>
      <c r="D310" s="97">
        <v>805</v>
      </c>
      <c r="E310" s="110">
        <f>FASE1!G310</f>
        <v>0</v>
      </c>
      <c r="F310" s="110">
        <f>FASE1!M310</f>
        <v>0</v>
      </c>
      <c r="G310" s="110">
        <f>FASE1!L310</f>
        <v>0</v>
      </c>
      <c r="H310" s="110">
        <f>FASE1!R310</f>
        <v>0</v>
      </c>
      <c r="I310" s="110">
        <f>FASE1!U310</f>
        <v>0</v>
      </c>
      <c r="J310" s="110">
        <f>FASE1!U310</f>
        <v>0</v>
      </c>
      <c r="K310" s="110">
        <f>FASE1!P310</f>
        <v>0</v>
      </c>
      <c r="L310" s="110">
        <f>FASE1!V310</f>
        <v>0</v>
      </c>
      <c r="M310" s="110">
        <f>AVERAGE(FASE2!F310:G310)</f>
        <v>0</v>
      </c>
      <c r="N310" s="110">
        <f>AVERAGE(FASE2!O310:P310,FASE2!S310)</f>
        <v>0</v>
      </c>
      <c r="O310" s="110">
        <f>FASE4!K310</f>
        <v>0</v>
      </c>
      <c r="P310" s="110">
        <f>FASE2!N310</f>
        <v>0</v>
      </c>
      <c r="Q310" s="110">
        <f>FASE3!P310</f>
        <v>0</v>
      </c>
      <c r="R310" s="110">
        <f>FASE3!N310</f>
        <v>0</v>
      </c>
      <c r="S310" s="110">
        <f>AVERAGE(FASE3!Q310,FASE3!R310,FASE3!T310,FASE3!S310)</f>
        <v>0</v>
      </c>
      <c r="T310" s="110">
        <f>AVERAGE(FASE3!U310,FASE3!V310,FASE3!W310)</f>
        <v>0</v>
      </c>
      <c r="U310" s="110">
        <f>FASE3!Y310</f>
        <v>0</v>
      </c>
      <c r="V310" s="110">
        <f>FASE3!X310</f>
        <v>0</v>
      </c>
      <c r="W310" s="110">
        <f>FASE4!M310</f>
        <v>0</v>
      </c>
      <c r="X310" s="110">
        <f t="shared" si="4"/>
        <v>0</v>
      </c>
      <c r="Y310" s="2"/>
    </row>
    <row r="311" spans="2:25" ht="15.75" customHeight="1" x14ac:dyDescent="0.25">
      <c r="B311">
        <v>8</v>
      </c>
      <c r="C311" t="s">
        <v>111</v>
      </c>
      <c r="D311" s="97">
        <v>806</v>
      </c>
      <c r="E311" s="110">
        <f>FASE1!G311</f>
        <v>0</v>
      </c>
      <c r="F311" s="110">
        <f>FASE1!M311</f>
        <v>0</v>
      </c>
      <c r="G311" s="110">
        <f>FASE1!L311</f>
        <v>0</v>
      </c>
      <c r="H311" s="110">
        <f>FASE1!R311</f>
        <v>0</v>
      </c>
      <c r="I311" s="110">
        <f>FASE1!U311</f>
        <v>0</v>
      </c>
      <c r="J311" s="110">
        <f>FASE1!U311</f>
        <v>0</v>
      </c>
      <c r="K311" s="110">
        <f>FASE1!P311</f>
        <v>0</v>
      </c>
      <c r="L311" s="110">
        <f>FASE1!V311</f>
        <v>0</v>
      </c>
      <c r="M311" s="110">
        <f>AVERAGE(FASE2!F311:G311)</f>
        <v>0</v>
      </c>
      <c r="N311" s="110">
        <f>AVERAGE(FASE2!O311:P311,FASE2!S311)</f>
        <v>0</v>
      </c>
      <c r="O311" s="110">
        <f>FASE4!K311</f>
        <v>0</v>
      </c>
      <c r="P311" s="110">
        <f>FASE2!N311</f>
        <v>0</v>
      </c>
      <c r="Q311" s="110">
        <f>FASE3!P311</f>
        <v>0</v>
      </c>
      <c r="R311" s="110">
        <f>FASE3!N311</f>
        <v>0</v>
      </c>
      <c r="S311" s="110">
        <f>AVERAGE(FASE3!Q311,FASE3!R311,FASE3!T311,FASE3!S311)</f>
        <v>0</v>
      </c>
      <c r="T311" s="110">
        <f>AVERAGE(FASE3!U311,FASE3!V311,FASE3!W311)</f>
        <v>0</v>
      </c>
      <c r="U311" s="110">
        <f>FASE3!Y311</f>
        <v>0</v>
      </c>
      <c r="V311" s="110">
        <f>FASE3!X311</f>
        <v>0</v>
      </c>
      <c r="W311" s="110">
        <f>FASE4!M311</f>
        <v>0</v>
      </c>
      <c r="X311" s="110">
        <f t="shared" si="4"/>
        <v>0</v>
      </c>
      <c r="Y311" s="2"/>
    </row>
    <row r="312" spans="2:25" ht="15.75" customHeight="1" x14ac:dyDescent="0.25">
      <c r="B312">
        <v>8</v>
      </c>
      <c r="C312" t="s">
        <v>111</v>
      </c>
      <c r="D312" s="97">
        <v>807</v>
      </c>
      <c r="E312" s="110">
        <f>FASE1!G312</f>
        <v>0</v>
      </c>
      <c r="F312" s="110">
        <f>FASE1!M312</f>
        <v>0</v>
      </c>
      <c r="G312" s="110">
        <f>FASE1!L312</f>
        <v>0</v>
      </c>
      <c r="H312" s="110">
        <f>FASE1!R312</f>
        <v>0</v>
      </c>
      <c r="I312" s="110">
        <f>FASE1!U312</f>
        <v>0</v>
      </c>
      <c r="J312" s="110">
        <f>FASE1!U312</f>
        <v>0</v>
      </c>
      <c r="K312" s="110">
        <f>FASE1!P312</f>
        <v>0</v>
      </c>
      <c r="L312" s="110">
        <f>FASE1!V312</f>
        <v>0</v>
      </c>
      <c r="M312" s="110">
        <f>AVERAGE(FASE2!F312:G312)</f>
        <v>0</v>
      </c>
      <c r="N312" s="110">
        <f>AVERAGE(FASE2!O312:P312,FASE2!S312)</f>
        <v>0</v>
      </c>
      <c r="O312" s="110">
        <f>FASE4!K312</f>
        <v>0</v>
      </c>
      <c r="P312" s="110">
        <f>FASE2!N312</f>
        <v>0</v>
      </c>
      <c r="Q312" s="110">
        <f>FASE3!P312</f>
        <v>0</v>
      </c>
      <c r="R312" s="110">
        <f>FASE3!N312</f>
        <v>0</v>
      </c>
      <c r="S312" s="110">
        <f>AVERAGE(FASE3!Q312,FASE3!R312,FASE3!T312,FASE3!S312)</f>
        <v>0</v>
      </c>
      <c r="T312" s="110">
        <f>AVERAGE(FASE3!U312,FASE3!V312,FASE3!W312)</f>
        <v>0</v>
      </c>
      <c r="U312" s="110">
        <f>FASE3!Y312</f>
        <v>0</v>
      </c>
      <c r="V312" s="110">
        <f>FASE3!X312</f>
        <v>0</v>
      </c>
      <c r="W312" s="110">
        <f>FASE4!M312</f>
        <v>0</v>
      </c>
      <c r="X312" s="110">
        <f t="shared" si="4"/>
        <v>0</v>
      </c>
      <c r="Y312" s="2"/>
    </row>
    <row r="313" spans="2:25" ht="15.75" customHeight="1" x14ac:dyDescent="0.25">
      <c r="B313">
        <v>8</v>
      </c>
      <c r="C313" t="s">
        <v>111</v>
      </c>
      <c r="D313" s="97">
        <v>808</v>
      </c>
      <c r="E313" s="110">
        <f>FASE1!G313</f>
        <v>0</v>
      </c>
      <c r="F313" s="110">
        <f>FASE1!M313</f>
        <v>0</v>
      </c>
      <c r="G313" s="110">
        <f>FASE1!L313</f>
        <v>0</v>
      </c>
      <c r="H313" s="110">
        <f>FASE1!R313</f>
        <v>0</v>
      </c>
      <c r="I313" s="110">
        <f>FASE1!U313</f>
        <v>0</v>
      </c>
      <c r="J313" s="110">
        <f>FASE1!U313</f>
        <v>0</v>
      </c>
      <c r="K313" s="110">
        <f>FASE1!P313</f>
        <v>0</v>
      </c>
      <c r="L313" s="110">
        <f>FASE1!V313</f>
        <v>0</v>
      </c>
      <c r="M313" s="110">
        <f>AVERAGE(FASE2!F313:G313)</f>
        <v>0</v>
      </c>
      <c r="N313" s="110">
        <f>AVERAGE(FASE2!O313:P313,FASE2!S313)</f>
        <v>0</v>
      </c>
      <c r="O313" s="110">
        <f>FASE4!K313</f>
        <v>0</v>
      </c>
      <c r="P313" s="110">
        <f>FASE2!N313</f>
        <v>0</v>
      </c>
      <c r="Q313" s="110">
        <f>FASE3!P313</f>
        <v>0</v>
      </c>
      <c r="R313" s="110">
        <f>FASE3!N313</f>
        <v>0</v>
      </c>
      <c r="S313" s="110">
        <f>AVERAGE(FASE3!Q313,FASE3!R313,FASE3!T313,FASE3!S313)</f>
        <v>0</v>
      </c>
      <c r="T313" s="110">
        <f>AVERAGE(FASE3!U313,FASE3!V313,FASE3!W313)</f>
        <v>0</v>
      </c>
      <c r="U313" s="110">
        <f>FASE3!Y313</f>
        <v>0</v>
      </c>
      <c r="V313" s="110">
        <f>FASE3!X313</f>
        <v>0</v>
      </c>
      <c r="W313" s="110">
        <f>FASE4!M313</f>
        <v>0</v>
      </c>
      <c r="X313" s="110">
        <f t="shared" si="4"/>
        <v>0</v>
      </c>
      <c r="Y313" s="2"/>
    </row>
    <row r="314" spans="2:25" ht="15.75" customHeight="1" x14ac:dyDescent="0.25">
      <c r="B314">
        <v>8</v>
      </c>
      <c r="C314" t="s">
        <v>111</v>
      </c>
      <c r="D314" s="97">
        <v>809</v>
      </c>
      <c r="E314" s="110">
        <f>FASE1!G314</f>
        <v>0</v>
      </c>
      <c r="F314" s="110">
        <f>FASE1!M314</f>
        <v>0</v>
      </c>
      <c r="G314" s="110">
        <f>FASE1!L314</f>
        <v>0</v>
      </c>
      <c r="H314" s="110">
        <f>FASE1!R314</f>
        <v>0</v>
      </c>
      <c r="I314" s="110">
        <f>FASE1!U314</f>
        <v>0</v>
      </c>
      <c r="J314" s="110">
        <f>FASE1!U314</f>
        <v>0</v>
      </c>
      <c r="K314" s="110">
        <f>FASE1!P314</f>
        <v>0</v>
      </c>
      <c r="L314" s="110">
        <f>FASE1!V314</f>
        <v>0</v>
      </c>
      <c r="M314" s="110">
        <f>AVERAGE(FASE2!F314:G314)</f>
        <v>0</v>
      </c>
      <c r="N314" s="110">
        <f>AVERAGE(FASE2!O314:P314,FASE2!S314)</f>
        <v>0</v>
      </c>
      <c r="O314" s="110">
        <f>FASE4!K314</f>
        <v>0</v>
      </c>
      <c r="P314" s="110">
        <f>FASE2!N314</f>
        <v>0</v>
      </c>
      <c r="Q314" s="110">
        <f>FASE3!P314</f>
        <v>0</v>
      </c>
      <c r="R314" s="110">
        <f>FASE3!N314</f>
        <v>0</v>
      </c>
      <c r="S314" s="110">
        <f>AVERAGE(FASE3!Q314,FASE3!R314,FASE3!T314,FASE3!S314)</f>
        <v>0</v>
      </c>
      <c r="T314" s="110">
        <f>AVERAGE(FASE3!U314,FASE3!V314,FASE3!W314)</f>
        <v>0</v>
      </c>
      <c r="U314" s="110">
        <f>FASE3!Y314</f>
        <v>0</v>
      </c>
      <c r="V314" s="110">
        <f>FASE3!X314</f>
        <v>0</v>
      </c>
      <c r="W314" s="110">
        <f>FASE4!M314</f>
        <v>0</v>
      </c>
      <c r="X314" s="110">
        <f t="shared" si="4"/>
        <v>0</v>
      </c>
      <c r="Y314" s="2"/>
    </row>
    <row r="315" spans="2:25" ht="15.75" customHeight="1" x14ac:dyDescent="0.25">
      <c r="B315">
        <v>8</v>
      </c>
      <c r="C315" t="s">
        <v>111</v>
      </c>
      <c r="D315" s="97">
        <v>810</v>
      </c>
      <c r="E315" s="110">
        <f>FASE1!G315</f>
        <v>0</v>
      </c>
      <c r="F315" s="110">
        <f>FASE1!M315</f>
        <v>0</v>
      </c>
      <c r="G315" s="110">
        <f>FASE1!L315</f>
        <v>0</v>
      </c>
      <c r="H315" s="110">
        <f>FASE1!R315</f>
        <v>0</v>
      </c>
      <c r="I315" s="110">
        <f>FASE1!U315</f>
        <v>0</v>
      </c>
      <c r="J315" s="110">
        <f>FASE1!U315</f>
        <v>0</v>
      </c>
      <c r="K315" s="110">
        <f>FASE1!P315</f>
        <v>0</v>
      </c>
      <c r="L315" s="110">
        <f>FASE1!V315</f>
        <v>0</v>
      </c>
      <c r="M315" s="110">
        <f>AVERAGE(FASE2!F315:G315)</f>
        <v>0</v>
      </c>
      <c r="N315" s="110">
        <f>AVERAGE(FASE2!O315:P315,FASE2!S315)</f>
        <v>0</v>
      </c>
      <c r="O315" s="110">
        <f>FASE4!K315</f>
        <v>0</v>
      </c>
      <c r="P315" s="110">
        <f>FASE2!N315</f>
        <v>0</v>
      </c>
      <c r="Q315" s="110">
        <f>FASE3!P315</f>
        <v>0</v>
      </c>
      <c r="R315" s="110">
        <f>FASE3!N315</f>
        <v>0</v>
      </c>
      <c r="S315" s="110">
        <f>AVERAGE(FASE3!Q315,FASE3!R315,FASE3!T315,FASE3!S315)</f>
        <v>0</v>
      </c>
      <c r="T315" s="110">
        <f>AVERAGE(FASE3!U315,FASE3!V315,FASE3!W315)</f>
        <v>0</v>
      </c>
      <c r="U315" s="110">
        <f>FASE3!Y315</f>
        <v>0</v>
      </c>
      <c r="V315" s="110">
        <f>FASE3!X315</f>
        <v>0</v>
      </c>
      <c r="W315" s="110">
        <f>FASE4!M315</f>
        <v>0</v>
      </c>
      <c r="X315" s="110">
        <f t="shared" si="4"/>
        <v>0</v>
      </c>
      <c r="Y315" s="2"/>
    </row>
    <row r="316" spans="2:25" ht="15.75" customHeight="1" x14ac:dyDescent="0.25">
      <c r="B316">
        <v>8</v>
      </c>
      <c r="C316" t="s">
        <v>111</v>
      </c>
      <c r="D316" s="97">
        <v>811</v>
      </c>
      <c r="E316" s="110">
        <f>FASE1!G316</f>
        <v>0</v>
      </c>
      <c r="F316" s="110">
        <f>FASE1!M316</f>
        <v>0</v>
      </c>
      <c r="G316" s="110">
        <f>FASE1!L316</f>
        <v>0</v>
      </c>
      <c r="H316" s="110">
        <f>FASE1!R316</f>
        <v>0</v>
      </c>
      <c r="I316" s="110">
        <f>FASE1!U316</f>
        <v>0</v>
      </c>
      <c r="J316" s="110">
        <f>FASE1!U316</f>
        <v>0</v>
      </c>
      <c r="K316" s="110">
        <f>FASE1!P316</f>
        <v>0</v>
      </c>
      <c r="L316" s="110">
        <f>FASE1!V316</f>
        <v>0</v>
      </c>
      <c r="M316" s="110">
        <f>AVERAGE(FASE2!F316:G316)</f>
        <v>0</v>
      </c>
      <c r="N316" s="110">
        <f>AVERAGE(FASE2!O316:P316,FASE2!S316)</f>
        <v>0</v>
      </c>
      <c r="O316" s="110">
        <f>FASE4!K316</f>
        <v>0</v>
      </c>
      <c r="P316" s="110">
        <f>FASE2!N316</f>
        <v>0</v>
      </c>
      <c r="Q316" s="110">
        <f>FASE3!P316</f>
        <v>0</v>
      </c>
      <c r="R316" s="110">
        <f>FASE3!N316</f>
        <v>0</v>
      </c>
      <c r="S316" s="110">
        <f>AVERAGE(FASE3!Q316,FASE3!R316,FASE3!T316,FASE3!S316)</f>
        <v>0</v>
      </c>
      <c r="T316" s="110">
        <f>AVERAGE(FASE3!U316,FASE3!V316,FASE3!W316)</f>
        <v>0</v>
      </c>
      <c r="U316" s="110">
        <f>FASE3!Y316</f>
        <v>0</v>
      </c>
      <c r="V316" s="110">
        <f>FASE3!X316</f>
        <v>0</v>
      </c>
      <c r="W316" s="110">
        <f>FASE4!M316</f>
        <v>0</v>
      </c>
      <c r="X316" s="110">
        <f t="shared" si="4"/>
        <v>0</v>
      </c>
      <c r="Y316" s="2"/>
    </row>
    <row r="317" spans="2:25" ht="15.75" customHeight="1" x14ac:dyDescent="0.25">
      <c r="B317">
        <v>8</v>
      </c>
      <c r="C317" t="s">
        <v>111</v>
      </c>
      <c r="D317" s="97">
        <v>812</v>
      </c>
      <c r="E317" s="110">
        <f>FASE1!G317</f>
        <v>0</v>
      </c>
      <c r="F317" s="110">
        <f>FASE1!M317</f>
        <v>0</v>
      </c>
      <c r="G317" s="110">
        <f>FASE1!L317</f>
        <v>0</v>
      </c>
      <c r="H317" s="110">
        <f>FASE1!R317</f>
        <v>0</v>
      </c>
      <c r="I317" s="110">
        <f>FASE1!U317</f>
        <v>0</v>
      </c>
      <c r="J317" s="110">
        <f>FASE1!U317</f>
        <v>0</v>
      </c>
      <c r="K317" s="110">
        <f>FASE1!P317</f>
        <v>0</v>
      </c>
      <c r="L317" s="110">
        <f>FASE1!V317</f>
        <v>0</v>
      </c>
      <c r="M317" s="110">
        <f>AVERAGE(FASE2!F317:G317)</f>
        <v>0</v>
      </c>
      <c r="N317" s="110">
        <f>AVERAGE(FASE2!O317:P317,FASE2!S317)</f>
        <v>0</v>
      </c>
      <c r="O317" s="110">
        <f>FASE4!K317</f>
        <v>0</v>
      </c>
      <c r="P317" s="110">
        <f>FASE2!N317</f>
        <v>0</v>
      </c>
      <c r="Q317" s="110">
        <f>FASE3!P317</f>
        <v>0</v>
      </c>
      <c r="R317" s="110">
        <f>FASE3!N317</f>
        <v>0</v>
      </c>
      <c r="S317" s="110">
        <f>AVERAGE(FASE3!Q317,FASE3!R317,FASE3!T317,FASE3!S317)</f>
        <v>0</v>
      </c>
      <c r="T317" s="110">
        <f>AVERAGE(FASE3!U317,FASE3!V317,FASE3!W317)</f>
        <v>0</v>
      </c>
      <c r="U317" s="110">
        <f>FASE3!Y317</f>
        <v>0</v>
      </c>
      <c r="V317" s="110">
        <f>FASE3!X317</f>
        <v>0</v>
      </c>
      <c r="W317" s="110">
        <f>FASE4!M317</f>
        <v>0</v>
      </c>
      <c r="X317" s="110">
        <f t="shared" si="4"/>
        <v>0</v>
      </c>
      <c r="Y317" s="2"/>
    </row>
    <row r="318" spans="2:25" ht="15.75" customHeight="1" x14ac:dyDescent="0.25">
      <c r="B318">
        <v>8</v>
      </c>
      <c r="C318" t="s">
        <v>111</v>
      </c>
      <c r="D318" s="97">
        <v>813</v>
      </c>
      <c r="E318" s="110">
        <f>FASE1!G318</f>
        <v>0</v>
      </c>
      <c r="F318" s="110">
        <f>FASE1!M318</f>
        <v>0</v>
      </c>
      <c r="G318" s="110">
        <f>FASE1!L318</f>
        <v>0</v>
      </c>
      <c r="H318" s="110">
        <f>FASE1!R318</f>
        <v>0</v>
      </c>
      <c r="I318" s="110">
        <f>FASE1!U318</f>
        <v>0</v>
      </c>
      <c r="J318" s="110">
        <f>FASE1!U318</f>
        <v>0</v>
      </c>
      <c r="K318" s="110">
        <f>FASE1!P318</f>
        <v>0</v>
      </c>
      <c r="L318" s="110">
        <f>FASE1!V318</f>
        <v>0</v>
      </c>
      <c r="M318" s="110">
        <f>AVERAGE(FASE2!F318:G318)</f>
        <v>0</v>
      </c>
      <c r="N318" s="110">
        <f>AVERAGE(FASE2!O318:P318,FASE2!S318)</f>
        <v>0</v>
      </c>
      <c r="O318" s="110">
        <f>FASE4!K318</f>
        <v>0</v>
      </c>
      <c r="P318" s="110">
        <f>FASE2!N318</f>
        <v>0</v>
      </c>
      <c r="Q318" s="110">
        <f>FASE3!P318</f>
        <v>0</v>
      </c>
      <c r="R318" s="110">
        <f>FASE3!N318</f>
        <v>0</v>
      </c>
      <c r="S318" s="110">
        <f>AVERAGE(FASE3!Q318,FASE3!R318,FASE3!T318,FASE3!S318)</f>
        <v>0</v>
      </c>
      <c r="T318" s="110">
        <f>AVERAGE(FASE3!U318,FASE3!V318,FASE3!W318)</f>
        <v>0</v>
      </c>
      <c r="U318" s="110">
        <f>FASE3!Y318</f>
        <v>0</v>
      </c>
      <c r="V318" s="110">
        <f>FASE3!X318</f>
        <v>0</v>
      </c>
      <c r="W318" s="110">
        <f>FASE4!M318</f>
        <v>0</v>
      </c>
      <c r="X318" s="110">
        <f t="shared" si="4"/>
        <v>0</v>
      </c>
      <c r="Y318" s="2"/>
    </row>
    <row r="319" spans="2:25" ht="15.75" customHeight="1" x14ac:dyDescent="0.25">
      <c r="B319">
        <v>8</v>
      </c>
      <c r="C319" t="s">
        <v>111</v>
      </c>
      <c r="D319" s="97">
        <v>814</v>
      </c>
      <c r="E319" s="110">
        <f>FASE1!G319</f>
        <v>0</v>
      </c>
      <c r="F319" s="110">
        <f>FASE1!M319</f>
        <v>0</v>
      </c>
      <c r="G319" s="110">
        <f>FASE1!L319</f>
        <v>0</v>
      </c>
      <c r="H319" s="110">
        <f>FASE1!R319</f>
        <v>0</v>
      </c>
      <c r="I319" s="110">
        <f>FASE1!U319</f>
        <v>0</v>
      </c>
      <c r="J319" s="110">
        <f>FASE1!U319</f>
        <v>0</v>
      </c>
      <c r="K319" s="110">
        <f>FASE1!P319</f>
        <v>0</v>
      </c>
      <c r="L319" s="110">
        <f>FASE1!V319</f>
        <v>0</v>
      </c>
      <c r="M319" s="110">
        <f>AVERAGE(FASE2!F319:G319)</f>
        <v>0</v>
      </c>
      <c r="N319" s="110">
        <f>AVERAGE(FASE2!O319:P319,FASE2!S319)</f>
        <v>0</v>
      </c>
      <c r="O319" s="110">
        <f>FASE4!K319</f>
        <v>0</v>
      </c>
      <c r="P319" s="110">
        <f>FASE2!N319</f>
        <v>0</v>
      </c>
      <c r="Q319" s="110">
        <f>FASE3!P319</f>
        <v>0</v>
      </c>
      <c r="R319" s="110">
        <f>FASE3!N319</f>
        <v>0</v>
      </c>
      <c r="S319" s="110">
        <f>AVERAGE(FASE3!Q319,FASE3!R319,FASE3!T319,FASE3!S319)</f>
        <v>0</v>
      </c>
      <c r="T319" s="110">
        <f>AVERAGE(FASE3!U319,FASE3!V319,FASE3!W319)</f>
        <v>0</v>
      </c>
      <c r="U319" s="110">
        <f>FASE3!Y319</f>
        <v>0</v>
      </c>
      <c r="V319" s="110">
        <f>FASE3!X319</f>
        <v>0</v>
      </c>
      <c r="W319" s="110">
        <f>FASE4!M319</f>
        <v>0</v>
      </c>
      <c r="X319" s="110">
        <f t="shared" si="4"/>
        <v>0</v>
      </c>
      <c r="Y319" s="2"/>
    </row>
    <row r="320" spans="2:25" ht="15.75" customHeight="1" x14ac:dyDescent="0.25">
      <c r="B320">
        <v>8</v>
      </c>
      <c r="C320" t="s">
        <v>111</v>
      </c>
      <c r="D320" s="97">
        <v>815</v>
      </c>
      <c r="E320" s="110">
        <f>FASE1!G320</f>
        <v>0</v>
      </c>
      <c r="F320" s="110">
        <f>FASE1!M320</f>
        <v>0</v>
      </c>
      <c r="G320" s="110">
        <f>FASE1!L320</f>
        <v>0</v>
      </c>
      <c r="H320" s="110">
        <f>FASE1!R320</f>
        <v>0</v>
      </c>
      <c r="I320" s="110">
        <f>FASE1!U320</f>
        <v>0</v>
      </c>
      <c r="J320" s="110">
        <f>FASE1!U320</f>
        <v>0</v>
      </c>
      <c r="K320" s="110">
        <f>FASE1!P320</f>
        <v>0</v>
      </c>
      <c r="L320" s="110">
        <f>FASE1!V320</f>
        <v>0</v>
      </c>
      <c r="M320" s="110">
        <f>AVERAGE(FASE2!F320:G320)</f>
        <v>0</v>
      </c>
      <c r="N320" s="110">
        <f>AVERAGE(FASE2!O320:P320,FASE2!S320)</f>
        <v>0</v>
      </c>
      <c r="O320" s="110">
        <f>FASE4!K320</f>
        <v>0</v>
      </c>
      <c r="P320" s="110">
        <f>FASE2!N320</f>
        <v>0</v>
      </c>
      <c r="Q320" s="110">
        <f>FASE3!P320</f>
        <v>0</v>
      </c>
      <c r="R320" s="110">
        <f>FASE3!N320</f>
        <v>0</v>
      </c>
      <c r="S320" s="110">
        <f>AVERAGE(FASE3!Q320,FASE3!R320,FASE3!T320,FASE3!S320)</f>
        <v>0</v>
      </c>
      <c r="T320" s="110">
        <f>AVERAGE(FASE3!U320,FASE3!V320,FASE3!W320)</f>
        <v>0</v>
      </c>
      <c r="U320" s="110">
        <f>FASE3!Y320</f>
        <v>0</v>
      </c>
      <c r="V320" s="110">
        <f>FASE3!X320</f>
        <v>0</v>
      </c>
      <c r="W320" s="110">
        <f>FASE4!M320</f>
        <v>0</v>
      </c>
      <c r="X320" s="110">
        <f t="shared" si="4"/>
        <v>0</v>
      </c>
      <c r="Y320" s="2"/>
    </row>
    <row r="321" spans="2:25" ht="15.75" customHeight="1" x14ac:dyDescent="0.25">
      <c r="B321">
        <v>8</v>
      </c>
      <c r="C321" t="s">
        <v>111</v>
      </c>
      <c r="D321" s="97">
        <v>816</v>
      </c>
      <c r="E321" s="110">
        <f>FASE1!G321</f>
        <v>0</v>
      </c>
      <c r="F321" s="110">
        <f>FASE1!M321</f>
        <v>0</v>
      </c>
      <c r="G321" s="110">
        <f>FASE1!L321</f>
        <v>0</v>
      </c>
      <c r="H321" s="110">
        <f>FASE1!R321</f>
        <v>0</v>
      </c>
      <c r="I321" s="110">
        <f>FASE1!U321</f>
        <v>0</v>
      </c>
      <c r="J321" s="110">
        <f>FASE1!U321</f>
        <v>0</v>
      </c>
      <c r="K321" s="110">
        <f>FASE1!P321</f>
        <v>0</v>
      </c>
      <c r="L321" s="110">
        <f>FASE1!V321</f>
        <v>0</v>
      </c>
      <c r="M321" s="110">
        <f>AVERAGE(FASE2!F321:G321)</f>
        <v>0</v>
      </c>
      <c r="N321" s="110">
        <f>AVERAGE(FASE2!O321:P321,FASE2!S321)</f>
        <v>0</v>
      </c>
      <c r="O321" s="110">
        <f>FASE4!K321</f>
        <v>0</v>
      </c>
      <c r="P321" s="110">
        <f>FASE2!N321</f>
        <v>0</v>
      </c>
      <c r="Q321" s="110">
        <f>FASE3!P321</f>
        <v>0</v>
      </c>
      <c r="R321" s="110">
        <f>FASE3!N321</f>
        <v>0</v>
      </c>
      <c r="S321" s="110">
        <f>AVERAGE(FASE3!Q321,FASE3!R321,FASE3!T321,FASE3!S321)</f>
        <v>0</v>
      </c>
      <c r="T321" s="110">
        <f>AVERAGE(FASE3!U321,FASE3!V321,FASE3!W321)</f>
        <v>0</v>
      </c>
      <c r="U321" s="110">
        <f>FASE3!Y321</f>
        <v>0</v>
      </c>
      <c r="V321" s="110">
        <f>FASE3!X321</f>
        <v>0</v>
      </c>
      <c r="W321" s="110">
        <f>FASE4!M321</f>
        <v>0</v>
      </c>
      <c r="X321" s="110">
        <f t="shared" si="4"/>
        <v>0</v>
      </c>
      <c r="Y321" s="2"/>
    </row>
    <row r="322" spans="2:25" ht="15.75" customHeight="1" x14ac:dyDescent="0.25">
      <c r="B322">
        <v>8</v>
      </c>
      <c r="C322" t="s">
        <v>111</v>
      </c>
      <c r="D322" s="97">
        <v>817</v>
      </c>
      <c r="E322" s="110">
        <f>FASE1!G322</f>
        <v>0</v>
      </c>
      <c r="F322" s="110">
        <f>FASE1!M322</f>
        <v>0</v>
      </c>
      <c r="G322" s="110">
        <f>FASE1!L322</f>
        <v>0</v>
      </c>
      <c r="H322" s="110">
        <f>FASE1!R322</f>
        <v>0</v>
      </c>
      <c r="I322" s="110">
        <f>FASE1!U322</f>
        <v>0</v>
      </c>
      <c r="J322" s="110">
        <f>FASE1!U322</f>
        <v>0</v>
      </c>
      <c r="K322" s="110">
        <f>FASE1!P322</f>
        <v>0</v>
      </c>
      <c r="L322" s="110">
        <f>FASE1!V322</f>
        <v>0</v>
      </c>
      <c r="M322" s="110">
        <f>AVERAGE(FASE2!F322:G322)</f>
        <v>0</v>
      </c>
      <c r="N322" s="110">
        <f>AVERAGE(FASE2!O322:P322,FASE2!S322)</f>
        <v>0</v>
      </c>
      <c r="O322" s="110">
        <f>FASE4!K322</f>
        <v>0</v>
      </c>
      <c r="P322" s="110">
        <f>FASE2!N322</f>
        <v>0</v>
      </c>
      <c r="Q322" s="110">
        <f>FASE3!P322</f>
        <v>0</v>
      </c>
      <c r="R322" s="110">
        <f>FASE3!N322</f>
        <v>0</v>
      </c>
      <c r="S322" s="110">
        <f>AVERAGE(FASE3!Q322,FASE3!R322,FASE3!T322,FASE3!S322)</f>
        <v>0</v>
      </c>
      <c r="T322" s="110">
        <f>AVERAGE(FASE3!U322,FASE3!V322,FASE3!W322)</f>
        <v>0</v>
      </c>
      <c r="U322" s="110">
        <f>FASE3!Y322</f>
        <v>0</v>
      </c>
      <c r="V322" s="110">
        <f>FASE3!X322</f>
        <v>0</v>
      </c>
      <c r="W322" s="110">
        <f>FASE4!M322</f>
        <v>0</v>
      </c>
      <c r="X322" s="110">
        <f t="shared" ref="X322:X369" si="5">AVERAGE(E322:V322)</f>
        <v>0</v>
      </c>
      <c r="Y322" s="2"/>
    </row>
    <row r="323" spans="2:25" ht="15.75" customHeight="1" x14ac:dyDescent="0.25">
      <c r="B323">
        <v>8</v>
      </c>
      <c r="C323" t="s">
        <v>111</v>
      </c>
      <c r="D323" s="97">
        <v>818</v>
      </c>
      <c r="E323" s="110">
        <f>FASE1!G323</f>
        <v>0</v>
      </c>
      <c r="F323" s="110">
        <f>FASE1!M323</f>
        <v>0</v>
      </c>
      <c r="G323" s="110">
        <f>FASE1!L323</f>
        <v>0</v>
      </c>
      <c r="H323" s="110">
        <f>FASE1!R323</f>
        <v>0</v>
      </c>
      <c r="I323" s="110">
        <f>FASE1!U323</f>
        <v>0</v>
      </c>
      <c r="J323" s="110">
        <f>FASE1!U323</f>
        <v>0</v>
      </c>
      <c r="K323" s="110">
        <f>FASE1!P323</f>
        <v>0</v>
      </c>
      <c r="L323" s="110">
        <f>FASE1!V323</f>
        <v>0</v>
      </c>
      <c r="M323" s="110">
        <f>AVERAGE(FASE2!F323:G323)</f>
        <v>0</v>
      </c>
      <c r="N323" s="110">
        <f>AVERAGE(FASE2!O323:P323,FASE2!S323)</f>
        <v>0</v>
      </c>
      <c r="O323" s="110">
        <f>FASE4!K323</f>
        <v>0</v>
      </c>
      <c r="P323" s="110">
        <f>FASE2!N323</f>
        <v>0</v>
      </c>
      <c r="Q323" s="110">
        <f>FASE3!P323</f>
        <v>0</v>
      </c>
      <c r="R323" s="110">
        <f>FASE3!N323</f>
        <v>0</v>
      </c>
      <c r="S323" s="110">
        <f>AVERAGE(FASE3!Q323,FASE3!R323,FASE3!T323,FASE3!S323)</f>
        <v>0</v>
      </c>
      <c r="T323" s="110">
        <f>AVERAGE(FASE3!U323,FASE3!V323,FASE3!W323)</f>
        <v>0</v>
      </c>
      <c r="U323" s="110">
        <f>FASE3!Y323</f>
        <v>0</v>
      </c>
      <c r="V323" s="110">
        <f>FASE3!X323</f>
        <v>0</v>
      </c>
      <c r="W323" s="110">
        <f>FASE4!M323</f>
        <v>0</v>
      </c>
      <c r="X323" s="110">
        <f t="shared" si="5"/>
        <v>0</v>
      </c>
      <c r="Y323" s="2"/>
    </row>
    <row r="324" spans="2:25" ht="15.75" customHeight="1" x14ac:dyDescent="0.25">
      <c r="B324">
        <v>8</v>
      </c>
      <c r="C324" t="s">
        <v>111</v>
      </c>
      <c r="D324" s="97">
        <v>819</v>
      </c>
      <c r="E324" s="110">
        <f>FASE1!G324</f>
        <v>0</v>
      </c>
      <c r="F324" s="110">
        <f>FASE1!M324</f>
        <v>0</v>
      </c>
      <c r="G324" s="110">
        <f>FASE1!L324</f>
        <v>0</v>
      </c>
      <c r="H324" s="110">
        <f>FASE1!R324</f>
        <v>0</v>
      </c>
      <c r="I324" s="110">
        <f>FASE1!U324</f>
        <v>0</v>
      </c>
      <c r="J324" s="110">
        <f>FASE1!U324</f>
        <v>0</v>
      </c>
      <c r="K324" s="110">
        <f>FASE1!P324</f>
        <v>0</v>
      </c>
      <c r="L324" s="110">
        <f>FASE1!V324</f>
        <v>0</v>
      </c>
      <c r="M324" s="110">
        <f>AVERAGE(FASE2!F324:G324)</f>
        <v>0</v>
      </c>
      <c r="N324" s="110">
        <f>AVERAGE(FASE2!O324:P324,FASE2!S324)</f>
        <v>0</v>
      </c>
      <c r="O324" s="110">
        <f>FASE4!K324</f>
        <v>0</v>
      </c>
      <c r="P324" s="110">
        <f>FASE2!N324</f>
        <v>0</v>
      </c>
      <c r="Q324" s="110">
        <f>FASE3!P324</f>
        <v>0</v>
      </c>
      <c r="R324" s="110">
        <f>FASE3!N324</f>
        <v>0</v>
      </c>
      <c r="S324" s="110">
        <f>AVERAGE(FASE3!Q324,FASE3!R324,FASE3!T324,FASE3!S324)</f>
        <v>0</v>
      </c>
      <c r="T324" s="110">
        <f>AVERAGE(FASE3!U324,FASE3!V324,FASE3!W324)</f>
        <v>0</v>
      </c>
      <c r="U324" s="110">
        <f>FASE3!Y324</f>
        <v>0</v>
      </c>
      <c r="V324" s="110">
        <f>FASE3!X324</f>
        <v>0</v>
      </c>
      <c r="W324" s="110">
        <f>FASE4!M324</f>
        <v>0</v>
      </c>
      <c r="X324" s="110">
        <f t="shared" si="5"/>
        <v>0</v>
      </c>
      <c r="Y324" s="2"/>
    </row>
    <row r="325" spans="2:25" ht="15.75" customHeight="1" x14ac:dyDescent="0.25">
      <c r="B325">
        <v>8</v>
      </c>
      <c r="C325" t="s">
        <v>111</v>
      </c>
      <c r="D325" s="97">
        <v>820</v>
      </c>
      <c r="E325" s="110">
        <f>FASE1!G325</f>
        <v>0</v>
      </c>
      <c r="F325" s="110">
        <f>FASE1!M325</f>
        <v>0</v>
      </c>
      <c r="G325" s="110">
        <f>FASE1!L325</f>
        <v>0</v>
      </c>
      <c r="H325" s="110">
        <f>FASE1!R325</f>
        <v>0</v>
      </c>
      <c r="I325" s="110">
        <f>FASE1!U325</f>
        <v>0</v>
      </c>
      <c r="J325" s="110">
        <f>FASE1!U325</f>
        <v>0</v>
      </c>
      <c r="K325" s="110">
        <f>FASE1!P325</f>
        <v>0</v>
      </c>
      <c r="L325" s="110">
        <f>FASE1!V325</f>
        <v>0</v>
      </c>
      <c r="M325" s="110">
        <f>AVERAGE(FASE2!F325:G325)</f>
        <v>0</v>
      </c>
      <c r="N325" s="110">
        <f>AVERAGE(FASE2!O325:P325,FASE2!S325)</f>
        <v>0</v>
      </c>
      <c r="O325" s="110">
        <f>FASE4!K325</f>
        <v>0</v>
      </c>
      <c r="P325" s="110">
        <f>FASE2!N325</f>
        <v>0</v>
      </c>
      <c r="Q325" s="110">
        <f>FASE3!P325</f>
        <v>0</v>
      </c>
      <c r="R325" s="110">
        <f>FASE3!N325</f>
        <v>0</v>
      </c>
      <c r="S325" s="110">
        <f>AVERAGE(FASE3!Q325,FASE3!R325,FASE3!T325,FASE3!S325)</f>
        <v>0</v>
      </c>
      <c r="T325" s="110">
        <f>AVERAGE(FASE3!U325,FASE3!V325,FASE3!W325)</f>
        <v>0</v>
      </c>
      <c r="U325" s="110">
        <f>FASE3!Y325</f>
        <v>0</v>
      </c>
      <c r="V325" s="110">
        <f>FASE3!X325</f>
        <v>0</v>
      </c>
      <c r="W325" s="110">
        <f>FASE4!M325</f>
        <v>0</v>
      </c>
      <c r="X325" s="110">
        <f t="shared" si="5"/>
        <v>0</v>
      </c>
      <c r="Y325" s="2"/>
    </row>
    <row r="326" spans="2:25" ht="15.75" customHeight="1" x14ac:dyDescent="0.25">
      <c r="B326">
        <v>8</v>
      </c>
      <c r="C326" t="s">
        <v>111</v>
      </c>
      <c r="D326" s="97">
        <v>821</v>
      </c>
      <c r="E326" s="110">
        <f>FASE1!G326</f>
        <v>0</v>
      </c>
      <c r="F326" s="110">
        <f>FASE1!M326</f>
        <v>0</v>
      </c>
      <c r="G326" s="110">
        <f>FASE1!L326</f>
        <v>0</v>
      </c>
      <c r="H326" s="110">
        <f>FASE1!R326</f>
        <v>0</v>
      </c>
      <c r="I326" s="110">
        <f>FASE1!U326</f>
        <v>0</v>
      </c>
      <c r="J326" s="110">
        <f>FASE1!U326</f>
        <v>0</v>
      </c>
      <c r="K326" s="110">
        <f>FASE1!P326</f>
        <v>0</v>
      </c>
      <c r="L326" s="110">
        <f>FASE1!V326</f>
        <v>0</v>
      </c>
      <c r="M326" s="110">
        <f>AVERAGE(FASE2!F326:G326)</f>
        <v>0</v>
      </c>
      <c r="N326" s="110">
        <f>AVERAGE(FASE2!O326:P326,FASE2!S326)</f>
        <v>0</v>
      </c>
      <c r="O326" s="110">
        <f>FASE4!K326</f>
        <v>0</v>
      </c>
      <c r="P326" s="110">
        <f>FASE2!N326</f>
        <v>0</v>
      </c>
      <c r="Q326" s="110">
        <f>FASE3!P326</f>
        <v>0</v>
      </c>
      <c r="R326" s="110">
        <f>FASE3!N326</f>
        <v>0</v>
      </c>
      <c r="S326" s="110">
        <f>AVERAGE(FASE3!Q326,FASE3!R326,FASE3!T326,FASE3!S326)</f>
        <v>0</v>
      </c>
      <c r="T326" s="110">
        <f>AVERAGE(FASE3!U326,FASE3!V326,FASE3!W326)</f>
        <v>0</v>
      </c>
      <c r="U326" s="110">
        <f>FASE3!Y326</f>
        <v>0</v>
      </c>
      <c r="V326" s="110">
        <f>FASE3!X326</f>
        <v>0</v>
      </c>
      <c r="W326" s="110">
        <f>FASE4!M326</f>
        <v>0</v>
      </c>
      <c r="X326" s="110">
        <f t="shared" si="5"/>
        <v>0</v>
      </c>
      <c r="Y326" s="2"/>
    </row>
    <row r="327" spans="2:25" ht="15.75" customHeight="1" x14ac:dyDescent="0.25">
      <c r="B327">
        <v>8</v>
      </c>
      <c r="C327" t="s">
        <v>131</v>
      </c>
      <c r="D327" s="97" t="s">
        <v>132</v>
      </c>
      <c r="E327" s="110">
        <f>FASE1!G327</f>
        <v>0</v>
      </c>
      <c r="F327" s="110">
        <f>FASE1!M327</f>
        <v>0</v>
      </c>
      <c r="G327" s="110">
        <f>FASE1!L327</f>
        <v>0</v>
      </c>
      <c r="H327" s="110">
        <f>FASE1!R327</f>
        <v>0</v>
      </c>
      <c r="I327" s="110">
        <f>FASE1!U327</f>
        <v>0</v>
      </c>
      <c r="J327" s="110">
        <f>FASE1!U327</f>
        <v>0</v>
      </c>
      <c r="K327" s="110">
        <f>FASE1!P327</f>
        <v>0</v>
      </c>
      <c r="L327" s="110">
        <f>FASE1!V327</f>
        <v>0</v>
      </c>
      <c r="M327" s="110">
        <f>AVERAGE(FASE2!F327:G327)</f>
        <v>0</v>
      </c>
      <c r="N327" s="110">
        <f>IFERROR(AVERAGE(FASE2!O327:P327,FASE2!S327),0)</f>
        <v>0</v>
      </c>
      <c r="O327" s="110">
        <f>FASE4!K327</f>
        <v>0</v>
      </c>
      <c r="P327" s="110">
        <f>FASE2!N327</f>
        <v>0</v>
      </c>
      <c r="Q327" s="110">
        <f>FASE3!P327</f>
        <v>0</v>
      </c>
      <c r="R327" s="110">
        <f>FASE3!N327</f>
        <v>0</v>
      </c>
      <c r="S327" s="110">
        <f>AVERAGE(FASE3!Q327,FASE3!R327,FASE3!T327,FASE3!S327)</f>
        <v>0</v>
      </c>
      <c r="T327" s="110">
        <f>AVERAGE(FASE3!U327,FASE3!V327,FASE3!W327)</f>
        <v>0</v>
      </c>
      <c r="U327" s="110">
        <f>FASE3!Y327</f>
        <v>0</v>
      </c>
      <c r="V327" s="110">
        <f>FASE3!X327</f>
        <v>0</v>
      </c>
      <c r="W327" s="110">
        <f>FASE4!M327</f>
        <v>0</v>
      </c>
      <c r="X327" s="110">
        <f t="shared" si="5"/>
        <v>0</v>
      </c>
      <c r="Y327" s="2"/>
    </row>
    <row r="328" spans="2:25" ht="15.75" customHeight="1" x14ac:dyDescent="0.25">
      <c r="B328">
        <v>9</v>
      </c>
      <c r="C328" t="s">
        <v>112</v>
      </c>
      <c r="D328" s="97">
        <v>901</v>
      </c>
      <c r="E328" s="110">
        <f>FASE1!G328</f>
        <v>0</v>
      </c>
      <c r="F328" s="110">
        <f>FASE1!M328</f>
        <v>0</v>
      </c>
      <c r="G328" s="110">
        <f>FASE1!L328</f>
        <v>0</v>
      </c>
      <c r="H328" s="110">
        <f>FASE1!R328</f>
        <v>0</v>
      </c>
      <c r="I328" s="110">
        <f>FASE1!U328</f>
        <v>0</v>
      </c>
      <c r="J328" s="110">
        <f>FASE1!U328</f>
        <v>0</v>
      </c>
      <c r="K328" s="110">
        <f>FASE1!P328</f>
        <v>0</v>
      </c>
      <c r="L328" s="110">
        <f>FASE1!V328</f>
        <v>0</v>
      </c>
      <c r="M328" s="110">
        <f>AVERAGE(FASE2!F328:G328)</f>
        <v>0</v>
      </c>
      <c r="N328" s="110">
        <f>AVERAGE(FASE2!O328:P328,FASE2!S328)</f>
        <v>0</v>
      </c>
      <c r="O328" s="110">
        <f>FASE4!K328</f>
        <v>0</v>
      </c>
      <c r="P328" s="110">
        <f>FASE2!N328</f>
        <v>0</v>
      </c>
      <c r="Q328" s="110">
        <f>FASE3!P328</f>
        <v>0</v>
      </c>
      <c r="R328" s="110">
        <f>FASE3!N328</f>
        <v>0</v>
      </c>
      <c r="S328" s="110">
        <f>AVERAGE(FASE3!Q328,FASE3!R328,FASE3!T328,FASE3!S328)</f>
        <v>0</v>
      </c>
      <c r="T328" s="110">
        <f>AVERAGE(FASE3!U328,FASE3!V328,FASE3!W328)</f>
        <v>0</v>
      </c>
      <c r="U328" s="110">
        <f>FASE3!Y328</f>
        <v>0</v>
      </c>
      <c r="V328" s="110">
        <f>FASE3!X328</f>
        <v>0</v>
      </c>
      <c r="W328" s="110">
        <f>FASE4!M328</f>
        <v>0</v>
      </c>
      <c r="X328" s="110">
        <f t="shared" si="5"/>
        <v>0</v>
      </c>
      <c r="Y328" s="2"/>
    </row>
    <row r="329" spans="2:25" ht="15.75" customHeight="1" x14ac:dyDescent="0.25">
      <c r="B329">
        <v>9</v>
      </c>
      <c r="C329" t="s">
        <v>112</v>
      </c>
      <c r="D329" s="97">
        <v>902</v>
      </c>
      <c r="E329" s="110">
        <f>FASE1!G329</f>
        <v>0</v>
      </c>
      <c r="F329" s="110">
        <f>FASE1!M329</f>
        <v>0</v>
      </c>
      <c r="G329" s="110">
        <f>FASE1!L329</f>
        <v>0</v>
      </c>
      <c r="H329" s="110">
        <f>FASE1!R329</f>
        <v>0</v>
      </c>
      <c r="I329" s="110">
        <f>FASE1!U329</f>
        <v>0</v>
      </c>
      <c r="J329" s="110">
        <f>FASE1!U329</f>
        <v>0</v>
      </c>
      <c r="K329" s="110">
        <f>FASE1!P329</f>
        <v>0</v>
      </c>
      <c r="L329" s="110">
        <f>FASE1!V329</f>
        <v>0</v>
      </c>
      <c r="M329" s="110">
        <f>AVERAGE(FASE2!F329:G329)</f>
        <v>0</v>
      </c>
      <c r="N329" s="110">
        <f>AVERAGE(FASE2!O329:P329,FASE2!S329)</f>
        <v>0</v>
      </c>
      <c r="O329" s="110">
        <f>FASE4!K329</f>
        <v>0</v>
      </c>
      <c r="P329" s="110">
        <f>FASE2!N329</f>
        <v>0</v>
      </c>
      <c r="Q329" s="110">
        <f>FASE3!P329</f>
        <v>0</v>
      </c>
      <c r="R329" s="110">
        <f>FASE3!N329</f>
        <v>0</v>
      </c>
      <c r="S329" s="110">
        <f>AVERAGE(FASE3!Q329,FASE3!R329,FASE3!T329,FASE3!S329)</f>
        <v>0</v>
      </c>
      <c r="T329" s="110">
        <f>AVERAGE(FASE3!U329,FASE3!V329,FASE3!W329)</f>
        <v>0</v>
      </c>
      <c r="U329" s="110">
        <f>FASE3!Y329</f>
        <v>0</v>
      </c>
      <c r="V329" s="110">
        <f>FASE3!X329</f>
        <v>0</v>
      </c>
      <c r="W329" s="110">
        <f>FASE4!M329</f>
        <v>0</v>
      </c>
      <c r="X329" s="110">
        <f t="shared" si="5"/>
        <v>0</v>
      </c>
      <c r="Y329" s="2"/>
    </row>
    <row r="330" spans="2:25" ht="15.75" customHeight="1" x14ac:dyDescent="0.25">
      <c r="B330">
        <v>9</v>
      </c>
      <c r="C330" t="s">
        <v>112</v>
      </c>
      <c r="D330" s="97">
        <v>903</v>
      </c>
      <c r="E330" s="110">
        <f>FASE1!G330</f>
        <v>0</v>
      </c>
      <c r="F330" s="110">
        <f>FASE1!M330</f>
        <v>0</v>
      </c>
      <c r="G330" s="110">
        <f>FASE1!L330</f>
        <v>0</v>
      </c>
      <c r="H330" s="110">
        <f>FASE1!R330</f>
        <v>0</v>
      </c>
      <c r="I330" s="110">
        <f>FASE1!U330</f>
        <v>0</v>
      </c>
      <c r="J330" s="110">
        <f>FASE1!U330</f>
        <v>0</v>
      </c>
      <c r="K330" s="110">
        <f>FASE1!P330</f>
        <v>0</v>
      </c>
      <c r="L330" s="110">
        <f>FASE1!V330</f>
        <v>0</v>
      </c>
      <c r="M330" s="110">
        <f>AVERAGE(FASE2!F330:G330)</f>
        <v>0</v>
      </c>
      <c r="N330" s="110">
        <f>AVERAGE(FASE2!O330:P330,FASE2!S330)</f>
        <v>0</v>
      </c>
      <c r="O330" s="110">
        <f>FASE4!K330</f>
        <v>0</v>
      </c>
      <c r="P330" s="110">
        <f>FASE2!N330</f>
        <v>0</v>
      </c>
      <c r="Q330" s="110">
        <f>FASE3!P330</f>
        <v>0</v>
      </c>
      <c r="R330" s="110">
        <f>FASE3!N330</f>
        <v>0</v>
      </c>
      <c r="S330" s="110">
        <f>AVERAGE(FASE3!Q330,FASE3!R330,FASE3!T330,FASE3!S330)</f>
        <v>0</v>
      </c>
      <c r="T330" s="110">
        <f>AVERAGE(FASE3!U330,FASE3!V330,FASE3!W330)</f>
        <v>0</v>
      </c>
      <c r="U330" s="110">
        <f>FASE3!Y330</f>
        <v>0</v>
      </c>
      <c r="V330" s="110">
        <f>FASE3!X330</f>
        <v>0</v>
      </c>
      <c r="W330" s="110">
        <f>FASE4!M330</f>
        <v>0</v>
      </c>
      <c r="X330" s="110">
        <f t="shared" si="5"/>
        <v>0</v>
      </c>
      <c r="Y330" s="2"/>
    </row>
    <row r="331" spans="2:25" ht="15.75" customHeight="1" x14ac:dyDescent="0.25">
      <c r="B331">
        <v>9</v>
      </c>
      <c r="C331" t="s">
        <v>112</v>
      </c>
      <c r="D331" s="97">
        <v>904</v>
      </c>
      <c r="E331" s="110">
        <f>FASE1!G331</f>
        <v>0</v>
      </c>
      <c r="F331" s="110">
        <f>FASE1!M331</f>
        <v>0</v>
      </c>
      <c r="G331" s="110">
        <f>FASE1!L331</f>
        <v>0</v>
      </c>
      <c r="H331" s="110">
        <f>FASE1!R331</f>
        <v>0</v>
      </c>
      <c r="I331" s="110">
        <f>FASE1!U331</f>
        <v>0</v>
      </c>
      <c r="J331" s="110">
        <f>FASE1!U331</f>
        <v>0</v>
      </c>
      <c r="K331" s="110">
        <f>FASE1!P331</f>
        <v>0</v>
      </c>
      <c r="L331" s="110">
        <f>FASE1!V331</f>
        <v>0</v>
      </c>
      <c r="M331" s="110">
        <f>AVERAGE(FASE2!F331:G331)</f>
        <v>0</v>
      </c>
      <c r="N331" s="110">
        <f>AVERAGE(FASE2!O331:P331,FASE2!S331)</f>
        <v>0</v>
      </c>
      <c r="O331" s="110">
        <f>FASE4!K331</f>
        <v>0</v>
      </c>
      <c r="P331" s="110">
        <f>FASE2!N331</f>
        <v>0</v>
      </c>
      <c r="Q331" s="110">
        <f>FASE3!P331</f>
        <v>0</v>
      </c>
      <c r="R331" s="110">
        <f>FASE3!N331</f>
        <v>0</v>
      </c>
      <c r="S331" s="110">
        <f>AVERAGE(FASE3!Q331,FASE3!R331,FASE3!T331,FASE3!S331)</f>
        <v>0</v>
      </c>
      <c r="T331" s="110">
        <f>AVERAGE(FASE3!U331,FASE3!V331,FASE3!W331)</f>
        <v>0</v>
      </c>
      <c r="U331" s="110">
        <f>FASE3!Y331</f>
        <v>0</v>
      </c>
      <c r="V331" s="110">
        <f>FASE3!X331</f>
        <v>0</v>
      </c>
      <c r="W331" s="110">
        <f>FASE4!M331</f>
        <v>0</v>
      </c>
      <c r="X331" s="110">
        <f t="shared" si="5"/>
        <v>0</v>
      </c>
      <c r="Y331" s="2"/>
    </row>
    <row r="332" spans="2:25" ht="15.75" customHeight="1" x14ac:dyDescent="0.25">
      <c r="B332">
        <v>9</v>
      </c>
      <c r="C332" t="s">
        <v>112</v>
      </c>
      <c r="D332" s="97">
        <v>905</v>
      </c>
      <c r="E332" s="110">
        <f>FASE1!G332</f>
        <v>0</v>
      </c>
      <c r="F332" s="110">
        <f>FASE1!M332</f>
        <v>0</v>
      </c>
      <c r="G332" s="110">
        <f>FASE1!L332</f>
        <v>0</v>
      </c>
      <c r="H332" s="110">
        <f>FASE1!R332</f>
        <v>0</v>
      </c>
      <c r="I332" s="110">
        <f>FASE1!U332</f>
        <v>0</v>
      </c>
      <c r="J332" s="110">
        <f>FASE1!U332</f>
        <v>0</v>
      </c>
      <c r="K332" s="110">
        <f>FASE1!P332</f>
        <v>0</v>
      </c>
      <c r="L332" s="110">
        <f>FASE1!V332</f>
        <v>0</v>
      </c>
      <c r="M332" s="110">
        <f>AVERAGE(FASE2!F332:G332)</f>
        <v>0</v>
      </c>
      <c r="N332" s="110">
        <f>AVERAGE(FASE2!O332:P332,FASE2!S332)</f>
        <v>0</v>
      </c>
      <c r="O332" s="110">
        <f>FASE4!K332</f>
        <v>0</v>
      </c>
      <c r="P332" s="110">
        <f>FASE2!N332</f>
        <v>0</v>
      </c>
      <c r="Q332" s="110">
        <f>FASE3!P332</f>
        <v>0</v>
      </c>
      <c r="R332" s="110">
        <f>FASE3!N332</f>
        <v>0</v>
      </c>
      <c r="S332" s="110">
        <f>AVERAGE(FASE3!Q332,FASE3!R332,FASE3!T332,FASE3!S332)</f>
        <v>0</v>
      </c>
      <c r="T332" s="110">
        <f>AVERAGE(FASE3!U332,FASE3!V332,FASE3!W332)</f>
        <v>0</v>
      </c>
      <c r="U332" s="110">
        <f>FASE3!Y332</f>
        <v>0</v>
      </c>
      <c r="V332" s="110">
        <f>FASE3!X332</f>
        <v>0</v>
      </c>
      <c r="W332" s="110">
        <f>FASE4!M332</f>
        <v>0</v>
      </c>
      <c r="X332" s="110">
        <f t="shared" si="5"/>
        <v>0</v>
      </c>
      <c r="Y332" s="2"/>
    </row>
    <row r="333" spans="2:25" ht="15.75" customHeight="1" x14ac:dyDescent="0.25">
      <c r="B333">
        <v>9</v>
      </c>
      <c r="C333" t="s">
        <v>112</v>
      </c>
      <c r="D333" s="97">
        <v>906</v>
      </c>
      <c r="E333" s="110">
        <f>FASE1!G333</f>
        <v>0</v>
      </c>
      <c r="F333" s="110">
        <f>FASE1!M333</f>
        <v>0</v>
      </c>
      <c r="G333" s="110">
        <f>FASE1!L333</f>
        <v>0</v>
      </c>
      <c r="H333" s="110">
        <f>FASE1!R333</f>
        <v>0</v>
      </c>
      <c r="I333" s="110">
        <f>FASE1!U333</f>
        <v>0</v>
      </c>
      <c r="J333" s="110">
        <f>FASE1!U333</f>
        <v>0</v>
      </c>
      <c r="K333" s="110">
        <f>FASE1!P333</f>
        <v>0</v>
      </c>
      <c r="L333" s="110">
        <f>FASE1!V333</f>
        <v>0</v>
      </c>
      <c r="M333" s="110">
        <f>AVERAGE(FASE2!F333:G333)</f>
        <v>0</v>
      </c>
      <c r="N333" s="110">
        <f>AVERAGE(FASE2!O333:P333,FASE2!S333)</f>
        <v>0</v>
      </c>
      <c r="O333" s="110">
        <f>FASE4!K333</f>
        <v>0</v>
      </c>
      <c r="P333" s="110">
        <f>FASE2!N333</f>
        <v>0</v>
      </c>
      <c r="Q333" s="110">
        <f>FASE3!P333</f>
        <v>0</v>
      </c>
      <c r="R333" s="110">
        <f>FASE3!N333</f>
        <v>0</v>
      </c>
      <c r="S333" s="110">
        <f>AVERAGE(FASE3!Q333,FASE3!R333,FASE3!T333,FASE3!S333)</f>
        <v>0</v>
      </c>
      <c r="T333" s="110">
        <f>AVERAGE(FASE3!U333,FASE3!V333,FASE3!W333)</f>
        <v>0</v>
      </c>
      <c r="U333" s="110">
        <f>FASE3!Y333</f>
        <v>0</v>
      </c>
      <c r="V333" s="110">
        <f>FASE3!X333</f>
        <v>0</v>
      </c>
      <c r="W333" s="110">
        <f>FASE4!M333</f>
        <v>0</v>
      </c>
      <c r="X333" s="110">
        <f t="shared" si="5"/>
        <v>0</v>
      </c>
      <c r="Y333" s="2"/>
    </row>
    <row r="334" spans="2:25" ht="15.75" customHeight="1" x14ac:dyDescent="0.25">
      <c r="B334">
        <v>9</v>
      </c>
      <c r="C334" t="s">
        <v>112</v>
      </c>
      <c r="D334" s="97">
        <v>907</v>
      </c>
      <c r="E334" s="110">
        <f>FASE1!G334</f>
        <v>0</v>
      </c>
      <c r="F334" s="110">
        <f>FASE1!M334</f>
        <v>0</v>
      </c>
      <c r="G334" s="110">
        <f>FASE1!L334</f>
        <v>0</v>
      </c>
      <c r="H334" s="110">
        <f>FASE1!R334</f>
        <v>0</v>
      </c>
      <c r="I334" s="110">
        <f>FASE1!U334</f>
        <v>0</v>
      </c>
      <c r="J334" s="110">
        <f>FASE1!U334</f>
        <v>0</v>
      </c>
      <c r="K334" s="110">
        <f>FASE1!P334</f>
        <v>0</v>
      </c>
      <c r="L334" s="110">
        <f>FASE1!V334</f>
        <v>0</v>
      </c>
      <c r="M334" s="110">
        <f>AVERAGE(FASE2!F334:G334)</f>
        <v>0</v>
      </c>
      <c r="N334" s="110">
        <f>AVERAGE(FASE2!O334:P334,FASE2!S334)</f>
        <v>0</v>
      </c>
      <c r="O334" s="110">
        <f>FASE4!K334</f>
        <v>0</v>
      </c>
      <c r="P334" s="110">
        <f>FASE2!N334</f>
        <v>0</v>
      </c>
      <c r="Q334" s="110">
        <f>FASE3!P334</f>
        <v>0</v>
      </c>
      <c r="R334" s="110">
        <f>FASE3!N334</f>
        <v>0</v>
      </c>
      <c r="S334" s="110">
        <f>AVERAGE(FASE3!Q334,FASE3!R334,FASE3!T334,FASE3!S334)</f>
        <v>0</v>
      </c>
      <c r="T334" s="110">
        <f>AVERAGE(FASE3!U334,FASE3!V334,FASE3!W334)</f>
        <v>0</v>
      </c>
      <c r="U334" s="110">
        <f>FASE3!Y334</f>
        <v>0</v>
      </c>
      <c r="V334" s="110">
        <f>FASE3!X334</f>
        <v>0</v>
      </c>
      <c r="W334" s="110">
        <f>FASE4!M334</f>
        <v>0</v>
      </c>
      <c r="X334" s="110">
        <f t="shared" si="5"/>
        <v>0</v>
      </c>
      <c r="Y334" s="2"/>
    </row>
    <row r="335" spans="2:25" ht="15.75" customHeight="1" x14ac:dyDescent="0.25">
      <c r="B335">
        <v>9</v>
      </c>
      <c r="C335" t="s">
        <v>112</v>
      </c>
      <c r="D335" s="97">
        <v>908</v>
      </c>
      <c r="E335" s="110">
        <f>FASE1!G335</f>
        <v>0</v>
      </c>
      <c r="F335" s="110">
        <f>FASE1!M335</f>
        <v>0</v>
      </c>
      <c r="G335" s="110">
        <f>FASE1!L335</f>
        <v>0</v>
      </c>
      <c r="H335" s="110">
        <f>FASE1!R335</f>
        <v>0</v>
      </c>
      <c r="I335" s="110">
        <f>FASE1!U335</f>
        <v>0</v>
      </c>
      <c r="J335" s="110">
        <f>FASE1!U335</f>
        <v>0</v>
      </c>
      <c r="K335" s="110">
        <f>FASE1!P335</f>
        <v>0</v>
      </c>
      <c r="L335" s="110">
        <f>FASE1!V335</f>
        <v>0</v>
      </c>
      <c r="M335" s="110">
        <f>AVERAGE(FASE2!F335:G335)</f>
        <v>0</v>
      </c>
      <c r="N335" s="110">
        <f>AVERAGE(FASE2!O335:P335,FASE2!S335)</f>
        <v>0</v>
      </c>
      <c r="O335" s="110">
        <f>FASE4!K335</f>
        <v>0</v>
      </c>
      <c r="P335" s="110">
        <f>FASE2!N335</f>
        <v>0</v>
      </c>
      <c r="Q335" s="110">
        <f>FASE3!P335</f>
        <v>0</v>
      </c>
      <c r="R335" s="110">
        <f>FASE3!N335</f>
        <v>0</v>
      </c>
      <c r="S335" s="110">
        <f>AVERAGE(FASE3!Q335,FASE3!R335,FASE3!T335,FASE3!S335)</f>
        <v>0</v>
      </c>
      <c r="T335" s="110">
        <f>AVERAGE(FASE3!U335,FASE3!V335,FASE3!W335)</f>
        <v>0</v>
      </c>
      <c r="U335" s="110">
        <f>FASE3!Y335</f>
        <v>0</v>
      </c>
      <c r="V335" s="110">
        <f>FASE3!X335</f>
        <v>0</v>
      </c>
      <c r="W335" s="110">
        <f>FASE4!M335</f>
        <v>0</v>
      </c>
      <c r="X335" s="110">
        <f t="shared" si="5"/>
        <v>0</v>
      </c>
      <c r="Y335" s="2"/>
    </row>
    <row r="336" spans="2:25" ht="15.75" customHeight="1" x14ac:dyDescent="0.25">
      <c r="B336">
        <v>9</v>
      </c>
      <c r="C336" t="s">
        <v>112</v>
      </c>
      <c r="D336" s="97">
        <v>909</v>
      </c>
      <c r="E336" s="110">
        <f>FASE1!G336</f>
        <v>0</v>
      </c>
      <c r="F336" s="110">
        <f>FASE1!M336</f>
        <v>0</v>
      </c>
      <c r="G336" s="110">
        <f>FASE1!L336</f>
        <v>0</v>
      </c>
      <c r="H336" s="110">
        <f>FASE1!R336</f>
        <v>0</v>
      </c>
      <c r="I336" s="110">
        <f>FASE1!U336</f>
        <v>0</v>
      </c>
      <c r="J336" s="110">
        <f>FASE1!U336</f>
        <v>0</v>
      </c>
      <c r="K336" s="110">
        <f>FASE1!P336</f>
        <v>0</v>
      </c>
      <c r="L336" s="110">
        <f>FASE1!V336</f>
        <v>0</v>
      </c>
      <c r="M336" s="110">
        <f>AVERAGE(FASE2!F336:G336)</f>
        <v>0</v>
      </c>
      <c r="N336" s="110">
        <f>AVERAGE(FASE2!O336:P336,FASE2!S336)</f>
        <v>0</v>
      </c>
      <c r="O336" s="110">
        <f>FASE4!K336</f>
        <v>0</v>
      </c>
      <c r="P336" s="110">
        <f>FASE2!N336</f>
        <v>0</v>
      </c>
      <c r="Q336" s="110">
        <f>FASE3!P336</f>
        <v>0</v>
      </c>
      <c r="R336" s="110">
        <f>FASE3!N336</f>
        <v>0</v>
      </c>
      <c r="S336" s="110">
        <f>AVERAGE(FASE3!Q336,FASE3!R336,FASE3!T336,FASE3!S336)</f>
        <v>0</v>
      </c>
      <c r="T336" s="110">
        <f>AVERAGE(FASE3!U336,FASE3!V336,FASE3!W336)</f>
        <v>0</v>
      </c>
      <c r="U336" s="110">
        <f>FASE3!Y336</f>
        <v>0</v>
      </c>
      <c r="V336" s="110">
        <f>FASE3!X336</f>
        <v>0</v>
      </c>
      <c r="W336" s="110">
        <f>FASE4!M336</f>
        <v>0</v>
      </c>
      <c r="X336" s="110">
        <f t="shared" si="5"/>
        <v>0</v>
      </c>
      <c r="Y336" s="2"/>
    </row>
    <row r="337" spans="2:25" ht="15.75" customHeight="1" x14ac:dyDescent="0.25">
      <c r="B337">
        <v>9</v>
      </c>
      <c r="C337" t="s">
        <v>112</v>
      </c>
      <c r="D337" s="97">
        <v>910</v>
      </c>
      <c r="E337" s="110">
        <f>FASE1!G337</f>
        <v>0</v>
      </c>
      <c r="F337" s="110">
        <f>FASE1!M337</f>
        <v>0</v>
      </c>
      <c r="G337" s="110">
        <f>FASE1!L337</f>
        <v>0</v>
      </c>
      <c r="H337" s="110">
        <f>FASE1!R337</f>
        <v>0</v>
      </c>
      <c r="I337" s="110">
        <f>FASE1!U337</f>
        <v>0</v>
      </c>
      <c r="J337" s="110">
        <f>FASE1!U337</f>
        <v>0</v>
      </c>
      <c r="K337" s="110">
        <f>FASE1!P337</f>
        <v>0</v>
      </c>
      <c r="L337" s="110">
        <f>FASE1!V337</f>
        <v>0</v>
      </c>
      <c r="M337" s="110">
        <f>AVERAGE(FASE2!F337:G337)</f>
        <v>0</v>
      </c>
      <c r="N337" s="110">
        <f>AVERAGE(FASE2!O337:P337,FASE2!S337)</f>
        <v>0</v>
      </c>
      <c r="O337" s="110">
        <f>FASE4!K337</f>
        <v>0</v>
      </c>
      <c r="P337" s="110">
        <f>FASE2!N337</f>
        <v>0</v>
      </c>
      <c r="Q337" s="110">
        <f>FASE3!P337</f>
        <v>0</v>
      </c>
      <c r="R337" s="110">
        <f>FASE3!N337</f>
        <v>0</v>
      </c>
      <c r="S337" s="110">
        <f>AVERAGE(FASE3!Q337,FASE3!R337,FASE3!T337,FASE3!S337)</f>
        <v>0</v>
      </c>
      <c r="T337" s="110">
        <f>AVERAGE(FASE3!U337,FASE3!V337,FASE3!W337)</f>
        <v>0</v>
      </c>
      <c r="U337" s="110">
        <f>FASE3!Y337</f>
        <v>0</v>
      </c>
      <c r="V337" s="110">
        <f>FASE3!X337</f>
        <v>0</v>
      </c>
      <c r="W337" s="110">
        <f>FASE4!M337</f>
        <v>0</v>
      </c>
      <c r="X337" s="110">
        <f t="shared" si="5"/>
        <v>0</v>
      </c>
      <c r="Y337" s="2"/>
    </row>
    <row r="338" spans="2:25" ht="15.75" customHeight="1" x14ac:dyDescent="0.25">
      <c r="B338">
        <v>9</v>
      </c>
      <c r="C338" t="s">
        <v>112</v>
      </c>
      <c r="D338" s="97">
        <v>911</v>
      </c>
      <c r="E338" s="110">
        <f>FASE1!G338</f>
        <v>0</v>
      </c>
      <c r="F338" s="110">
        <f>FASE1!M338</f>
        <v>0</v>
      </c>
      <c r="G338" s="110">
        <f>FASE1!L338</f>
        <v>0</v>
      </c>
      <c r="H338" s="110">
        <f>FASE1!R338</f>
        <v>0</v>
      </c>
      <c r="I338" s="110">
        <f>FASE1!U338</f>
        <v>0</v>
      </c>
      <c r="J338" s="110">
        <f>FASE1!U338</f>
        <v>0</v>
      </c>
      <c r="K338" s="110">
        <f>FASE1!P338</f>
        <v>0</v>
      </c>
      <c r="L338" s="110">
        <f>FASE1!V338</f>
        <v>0</v>
      </c>
      <c r="M338" s="110">
        <f>AVERAGE(FASE2!F338:G338)</f>
        <v>0</v>
      </c>
      <c r="N338" s="110">
        <f>AVERAGE(FASE2!O338:P338,FASE2!S338)</f>
        <v>0</v>
      </c>
      <c r="O338" s="110">
        <f>FASE4!K338</f>
        <v>0</v>
      </c>
      <c r="P338" s="110">
        <f>FASE2!N338</f>
        <v>0</v>
      </c>
      <c r="Q338" s="110">
        <f>FASE3!P338</f>
        <v>0</v>
      </c>
      <c r="R338" s="110">
        <f>FASE3!N338</f>
        <v>0</v>
      </c>
      <c r="S338" s="110">
        <f>AVERAGE(FASE3!Q338,FASE3!R338,FASE3!T338,FASE3!S338)</f>
        <v>0</v>
      </c>
      <c r="T338" s="110">
        <f>AVERAGE(FASE3!U338,FASE3!V338,FASE3!W338)</f>
        <v>0</v>
      </c>
      <c r="U338" s="110">
        <f>FASE3!Y338</f>
        <v>0</v>
      </c>
      <c r="V338" s="110">
        <f>FASE3!X338</f>
        <v>0</v>
      </c>
      <c r="W338" s="110">
        <f>FASE4!M338</f>
        <v>0</v>
      </c>
      <c r="X338" s="110">
        <f t="shared" si="5"/>
        <v>0</v>
      </c>
      <c r="Y338" s="2"/>
    </row>
    <row r="339" spans="2:25" ht="15.75" customHeight="1" x14ac:dyDescent="0.25">
      <c r="B339">
        <v>9</v>
      </c>
      <c r="C339" t="s">
        <v>112</v>
      </c>
      <c r="D339" s="97">
        <v>912</v>
      </c>
      <c r="E339" s="110">
        <f>FASE1!G339</f>
        <v>0</v>
      </c>
      <c r="F339" s="110">
        <f>FASE1!M339</f>
        <v>0</v>
      </c>
      <c r="G339" s="110">
        <f>FASE1!L339</f>
        <v>0</v>
      </c>
      <c r="H339" s="110">
        <f>FASE1!R339</f>
        <v>0</v>
      </c>
      <c r="I339" s="110">
        <f>FASE1!U339</f>
        <v>0</v>
      </c>
      <c r="J339" s="110">
        <f>FASE1!U339</f>
        <v>0</v>
      </c>
      <c r="K339" s="110">
        <f>FASE1!P339</f>
        <v>0</v>
      </c>
      <c r="L339" s="110">
        <f>FASE1!V339</f>
        <v>0</v>
      </c>
      <c r="M339" s="110">
        <f>AVERAGE(FASE2!F339:G339)</f>
        <v>0</v>
      </c>
      <c r="N339" s="110">
        <f>AVERAGE(FASE2!O339:P339,FASE2!S339)</f>
        <v>0</v>
      </c>
      <c r="O339" s="110">
        <f>FASE4!K339</f>
        <v>0</v>
      </c>
      <c r="P339" s="110">
        <f>FASE2!N339</f>
        <v>0</v>
      </c>
      <c r="Q339" s="110">
        <f>FASE3!P339</f>
        <v>0</v>
      </c>
      <c r="R339" s="110">
        <f>FASE3!N339</f>
        <v>0</v>
      </c>
      <c r="S339" s="110">
        <f>AVERAGE(FASE3!Q339,FASE3!R339,FASE3!T339,FASE3!S339)</f>
        <v>0</v>
      </c>
      <c r="T339" s="110">
        <f>AVERAGE(FASE3!U339,FASE3!V339,FASE3!W339)</f>
        <v>0</v>
      </c>
      <c r="U339" s="110">
        <f>FASE3!Y339</f>
        <v>0</v>
      </c>
      <c r="V339" s="110">
        <f>FASE3!X339</f>
        <v>0</v>
      </c>
      <c r="W339" s="110">
        <f>FASE4!M339</f>
        <v>0</v>
      </c>
      <c r="X339" s="110">
        <f t="shared" si="5"/>
        <v>0</v>
      </c>
      <c r="Y339" s="2"/>
    </row>
    <row r="340" spans="2:25" ht="15.75" customHeight="1" x14ac:dyDescent="0.25">
      <c r="B340">
        <v>9</v>
      </c>
      <c r="C340" t="s">
        <v>112</v>
      </c>
      <c r="D340" s="97">
        <v>913</v>
      </c>
      <c r="E340" s="110">
        <f>FASE1!G340</f>
        <v>0</v>
      </c>
      <c r="F340" s="110">
        <f>FASE1!M340</f>
        <v>0</v>
      </c>
      <c r="G340" s="110">
        <f>FASE1!L340</f>
        <v>0</v>
      </c>
      <c r="H340" s="110">
        <f>FASE1!R340</f>
        <v>0</v>
      </c>
      <c r="I340" s="110">
        <f>FASE1!U340</f>
        <v>0</v>
      </c>
      <c r="J340" s="110">
        <f>FASE1!U340</f>
        <v>0</v>
      </c>
      <c r="K340" s="110">
        <f>FASE1!P340</f>
        <v>0</v>
      </c>
      <c r="L340" s="110">
        <f>FASE1!V340</f>
        <v>0</v>
      </c>
      <c r="M340" s="110">
        <f>AVERAGE(FASE2!F340:G340)</f>
        <v>0</v>
      </c>
      <c r="N340" s="110">
        <f>AVERAGE(FASE2!O340:P340,FASE2!S340)</f>
        <v>0</v>
      </c>
      <c r="O340" s="110">
        <f>FASE4!K340</f>
        <v>0</v>
      </c>
      <c r="P340" s="110">
        <f>FASE2!N340</f>
        <v>0</v>
      </c>
      <c r="Q340" s="110">
        <f>FASE3!P340</f>
        <v>0</v>
      </c>
      <c r="R340" s="110">
        <f>FASE3!N340</f>
        <v>0</v>
      </c>
      <c r="S340" s="110">
        <f>AVERAGE(FASE3!Q340,FASE3!R340,FASE3!T340,FASE3!S340)</f>
        <v>0</v>
      </c>
      <c r="T340" s="110">
        <f>AVERAGE(FASE3!U340,FASE3!V340,FASE3!W340)</f>
        <v>0</v>
      </c>
      <c r="U340" s="110">
        <f>FASE3!Y340</f>
        <v>0</v>
      </c>
      <c r="V340" s="110">
        <f>FASE3!X340</f>
        <v>0</v>
      </c>
      <c r="W340" s="110">
        <f>FASE4!M340</f>
        <v>0</v>
      </c>
      <c r="X340" s="110">
        <f t="shared" si="5"/>
        <v>0</v>
      </c>
      <c r="Y340" s="2"/>
    </row>
    <row r="341" spans="2:25" ht="15.75" customHeight="1" x14ac:dyDescent="0.25">
      <c r="B341">
        <v>9</v>
      </c>
      <c r="C341" t="s">
        <v>112</v>
      </c>
      <c r="D341" s="97">
        <v>914</v>
      </c>
      <c r="E341" s="110">
        <f>FASE1!G341</f>
        <v>0</v>
      </c>
      <c r="F341" s="110">
        <f>FASE1!M341</f>
        <v>0</v>
      </c>
      <c r="G341" s="110">
        <f>FASE1!L341</f>
        <v>0</v>
      </c>
      <c r="H341" s="110">
        <f>FASE1!R341</f>
        <v>0</v>
      </c>
      <c r="I341" s="110">
        <f>FASE1!U341</f>
        <v>0</v>
      </c>
      <c r="J341" s="110">
        <f>FASE1!U341</f>
        <v>0</v>
      </c>
      <c r="K341" s="110">
        <f>FASE1!P341</f>
        <v>0</v>
      </c>
      <c r="L341" s="110">
        <f>FASE1!V341</f>
        <v>0</v>
      </c>
      <c r="M341" s="110">
        <f>AVERAGE(FASE2!F341:G341)</f>
        <v>0</v>
      </c>
      <c r="N341" s="110">
        <f>AVERAGE(FASE2!O341:P341,FASE2!S341)</f>
        <v>0</v>
      </c>
      <c r="O341" s="110">
        <f>FASE4!K341</f>
        <v>0</v>
      </c>
      <c r="P341" s="110">
        <f>FASE2!N341</f>
        <v>0</v>
      </c>
      <c r="Q341" s="110">
        <f>FASE3!P341</f>
        <v>0</v>
      </c>
      <c r="R341" s="110">
        <f>FASE3!N341</f>
        <v>0</v>
      </c>
      <c r="S341" s="110">
        <f>AVERAGE(FASE3!Q341,FASE3!R341,FASE3!T341,FASE3!S341)</f>
        <v>0</v>
      </c>
      <c r="T341" s="110">
        <f>AVERAGE(FASE3!U341,FASE3!V341,FASE3!W341)</f>
        <v>0</v>
      </c>
      <c r="U341" s="110">
        <f>FASE3!Y341</f>
        <v>0</v>
      </c>
      <c r="V341" s="110">
        <f>FASE3!X341</f>
        <v>0</v>
      </c>
      <c r="W341" s="110">
        <f>FASE4!M341</f>
        <v>0</v>
      </c>
      <c r="X341" s="110">
        <f t="shared" si="5"/>
        <v>0</v>
      </c>
      <c r="Y341" s="2"/>
    </row>
    <row r="342" spans="2:25" ht="15.75" customHeight="1" x14ac:dyDescent="0.25">
      <c r="B342">
        <v>9</v>
      </c>
      <c r="C342" t="s">
        <v>112</v>
      </c>
      <c r="D342" s="97">
        <v>915</v>
      </c>
      <c r="E342" s="110">
        <f>FASE1!G342</f>
        <v>0</v>
      </c>
      <c r="F342" s="110">
        <f>FASE1!M342</f>
        <v>0</v>
      </c>
      <c r="G342" s="110">
        <f>FASE1!L342</f>
        <v>0</v>
      </c>
      <c r="H342" s="110">
        <f>FASE1!R342</f>
        <v>0</v>
      </c>
      <c r="I342" s="110">
        <f>FASE1!U342</f>
        <v>0</v>
      </c>
      <c r="J342" s="110">
        <f>FASE1!U342</f>
        <v>0</v>
      </c>
      <c r="K342" s="110">
        <f>FASE1!P342</f>
        <v>0</v>
      </c>
      <c r="L342" s="110">
        <f>FASE1!V342</f>
        <v>0</v>
      </c>
      <c r="M342" s="110">
        <f>AVERAGE(FASE2!F342:G342)</f>
        <v>0</v>
      </c>
      <c r="N342" s="110">
        <f>AVERAGE(FASE2!O342:P342,FASE2!S342)</f>
        <v>0</v>
      </c>
      <c r="O342" s="110">
        <f>FASE4!K342</f>
        <v>0</v>
      </c>
      <c r="P342" s="110">
        <f>FASE2!N342</f>
        <v>0</v>
      </c>
      <c r="Q342" s="110">
        <f>FASE3!P342</f>
        <v>0</v>
      </c>
      <c r="R342" s="110">
        <f>FASE3!N342</f>
        <v>0</v>
      </c>
      <c r="S342" s="110">
        <f>AVERAGE(FASE3!Q342,FASE3!R342,FASE3!T342,FASE3!S342)</f>
        <v>0</v>
      </c>
      <c r="T342" s="110">
        <f>AVERAGE(FASE3!U342,FASE3!V342,FASE3!W342)</f>
        <v>0</v>
      </c>
      <c r="U342" s="110">
        <f>FASE3!Y342</f>
        <v>0</v>
      </c>
      <c r="V342" s="110">
        <f>FASE3!X342</f>
        <v>0</v>
      </c>
      <c r="W342" s="110">
        <f>FASE4!M342</f>
        <v>0</v>
      </c>
      <c r="X342" s="110">
        <f t="shared" si="5"/>
        <v>0</v>
      </c>
      <c r="Y342" s="2"/>
    </row>
    <row r="343" spans="2:25" ht="15.75" customHeight="1" x14ac:dyDescent="0.25">
      <c r="B343">
        <v>9</v>
      </c>
      <c r="C343" t="s">
        <v>112</v>
      </c>
      <c r="D343" s="97">
        <v>916</v>
      </c>
      <c r="E343" s="110">
        <f>FASE1!G343</f>
        <v>0</v>
      </c>
      <c r="F343" s="110">
        <f>FASE1!M343</f>
        <v>0</v>
      </c>
      <c r="G343" s="110">
        <f>FASE1!L343</f>
        <v>0</v>
      </c>
      <c r="H343" s="110">
        <f>FASE1!R343</f>
        <v>0</v>
      </c>
      <c r="I343" s="110">
        <f>FASE1!U343</f>
        <v>0</v>
      </c>
      <c r="J343" s="110">
        <f>FASE1!U343</f>
        <v>0</v>
      </c>
      <c r="K343" s="110">
        <f>FASE1!P343</f>
        <v>0</v>
      </c>
      <c r="L343" s="110">
        <f>FASE1!V343</f>
        <v>0</v>
      </c>
      <c r="M343" s="110">
        <f>AVERAGE(FASE2!F343:G343)</f>
        <v>0</v>
      </c>
      <c r="N343" s="110">
        <f>AVERAGE(FASE2!O343:P343,FASE2!S343)</f>
        <v>0</v>
      </c>
      <c r="O343" s="110">
        <f>FASE4!K343</f>
        <v>0</v>
      </c>
      <c r="P343" s="110">
        <f>FASE2!N343</f>
        <v>0</v>
      </c>
      <c r="Q343" s="110">
        <f>FASE3!P343</f>
        <v>0</v>
      </c>
      <c r="R343" s="110">
        <f>FASE3!N343</f>
        <v>0</v>
      </c>
      <c r="S343" s="110">
        <f>AVERAGE(FASE3!Q343,FASE3!R343,FASE3!T343,FASE3!S343)</f>
        <v>0</v>
      </c>
      <c r="T343" s="110">
        <f>AVERAGE(FASE3!U343,FASE3!V343,FASE3!W343)</f>
        <v>0</v>
      </c>
      <c r="U343" s="110">
        <f>FASE3!Y343</f>
        <v>0</v>
      </c>
      <c r="V343" s="110">
        <f>FASE3!X343</f>
        <v>0</v>
      </c>
      <c r="W343" s="110">
        <f>FASE4!M343</f>
        <v>0</v>
      </c>
      <c r="X343" s="110">
        <f t="shared" si="5"/>
        <v>0</v>
      </c>
      <c r="Y343" s="2"/>
    </row>
    <row r="344" spans="2:25" ht="15.75" customHeight="1" x14ac:dyDescent="0.25">
      <c r="B344">
        <v>9</v>
      </c>
      <c r="C344" t="s">
        <v>112</v>
      </c>
      <c r="D344" s="97">
        <v>917</v>
      </c>
      <c r="E344" s="110">
        <f>FASE1!G344</f>
        <v>0</v>
      </c>
      <c r="F344" s="110">
        <f>FASE1!M344</f>
        <v>0</v>
      </c>
      <c r="G344" s="110">
        <f>FASE1!L344</f>
        <v>0</v>
      </c>
      <c r="H344" s="110">
        <f>FASE1!R344</f>
        <v>0</v>
      </c>
      <c r="I344" s="110">
        <f>FASE1!U344</f>
        <v>0</v>
      </c>
      <c r="J344" s="110">
        <f>FASE1!U344</f>
        <v>0</v>
      </c>
      <c r="K344" s="110">
        <f>FASE1!P344</f>
        <v>0</v>
      </c>
      <c r="L344" s="110">
        <f>FASE1!V344</f>
        <v>0</v>
      </c>
      <c r="M344" s="110">
        <f>AVERAGE(FASE2!F344:G344)</f>
        <v>0</v>
      </c>
      <c r="N344" s="110">
        <f>AVERAGE(FASE2!O344:P344,FASE2!S344)</f>
        <v>0</v>
      </c>
      <c r="O344" s="110">
        <f>FASE4!K344</f>
        <v>0</v>
      </c>
      <c r="P344" s="110">
        <f>FASE2!N344</f>
        <v>0</v>
      </c>
      <c r="Q344" s="110">
        <f>FASE3!P344</f>
        <v>0</v>
      </c>
      <c r="R344" s="110">
        <f>FASE3!N344</f>
        <v>0</v>
      </c>
      <c r="S344" s="110">
        <f>AVERAGE(FASE3!Q344,FASE3!R344,FASE3!T344,FASE3!S344)</f>
        <v>0</v>
      </c>
      <c r="T344" s="110">
        <f>AVERAGE(FASE3!U344,FASE3!V344,FASE3!W344)</f>
        <v>0</v>
      </c>
      <c r="U344" s="110">
        <f>FASE3!Y344</f>
        <v>0</v>
      </c>
      <c r="V344" s="110">
        <f>FASE3!X344</f>
        <v>0</v>
      </c>
      <c r="W344" s="110">
        <f>FASE4!M344</f>
        <v>0</v>
      </c>
      <c r="X344" s="110">
        <f t="shared" si="5"/>
        <v>0</v>
      </c>
      <c r="Y344" s="2"/>
    </row>
    <row r="345" spans="2:25" ht="15.75" customHeight="1" x14ac:dyDescent="0.25">
      <c r="B345">
        <v>9</v>
      </c>
      <c r="C345" t="s">
        <v>112</v>
      </c>
      <c r="D345" s="97">
        <v>918</v>
      </c>
      <c r="E345" s="110">
        <f>FASE1!G345</f>
        <v>0</v>
      </c>
      <c r="F345" s="110">
        <f>FASE1!M345</f>
        <v>0</v>
      </c>
      <c r="G345" s="110">
        <f>FASE1!L345</f>
        <v>0</v>
      </c>
      <c r="H345" s="110">
        <f>FASE1!R345</f>
        <v>0</v>
      </c>
      <c r="I345" s="110">
        <f>FASE1!U345</f>
        <v>0</v>
      </c>
      <c r="J345" s="110">
        <f>FASE1!U345</f>
        <v>0</v>
      </c>
      <c r="K345" s="110">
        <f>FASE1!P345</f>
        <v>0</v>
      </c>
      <c r="L345" s="110">
        <f>FASE1!V345</f>
        <v>0</v>
      </c>
      <c r="M345" s="110">
        <f>AVERAGE(FASE2!F345:G345)</f>
        <v>0</v>
      </c>
      <c r="N345" s="110">
        <f>AVERAGE(FASE2!O345:P345,FASE2!S345)</f>
        <v>0</v>
      </c>
      <c r="O345" s="110">
        <f>FASE4!K345</f>
        <v>0</v>
      </c>
      <c r="P345" s="110">
        <f>FASE2!N345</f>
        <v>0</v>
      </c>
      <c r="Q345" s="110">
        <f>FASE3!P345</f>
        <v>0</v>
      </c>
      <c r="R345" s="110">
        <f>FASE3!N345</f>
        <v>0</v>
      </c>
      <c r="S345" s="110">
        <f>AVERAGE(FASE3!Q345,FASE3!R345,FASE3!T345,FASE3!S345)</f>
        <v>0</v>
      </c>
      <c r="T345" s="110">
        <f>AVERAGE(FASE3!U345,FASE3!V345,FASE3!W345)</f>
        <v>0</v>
      </c>
      <c r="U345" s="110">
        <f>FASE3!Y345</f>
        <v>0</v>
      </c>
      <c r="V345" s="110">
        <f>FASE3!X345</f>
        <v>0</v>
      </c>
      <c r="W345" s="110">
        <f>FASE4!M345</f>
        <v>0</v>
      </c>
      <c r="X345" s="110">
        <f t="shared" si="5"/>
        <v>0</v>
      </c>
      <c r="Y345" s="2"/>
    </row>
    <row r="346" spans="2:25" ht="15.75" customHeight="1" x14ac:dyDescent="0.25">
      <c r="B346">
        <v>9</v>
      </c>
      <c r="C346" t="s">
        <v>112</v>
      </c>
      <c r="D346" s="97">
        <v>919</v>
      </c>
      <c r="E346" s="110">
        <f>FASE1!G346</f>
        <v>0</v>
      </c>
      <c r="F346" s="110">
        <f>FASE1!M346</f>
        <v>0</v>
      </c>
      <c r="G346" s="110">
        <f>FASE1!L346</f>
        <v>0</v>
      </c>
      <c r="H346" s="110">
        <f>FASE1!R346</f>
        <v>0</v>
      </c>
      <c r="I346" s="110">
        <f>FASE1!U346</f>
        <v>0</v>
      </c>
      <c r="J346" s="110">
        <f>FASE1!U346</f>
        <v>0</v>
      </c>
      <c r="K346" s="110">
        <f>FASE1!P346</f>
        <v>0</v>
      </c>
      <c r="L346" s="110">
        <f>FASE1!V346</f>
        <v>0</v>
      </c>
      <c r="M346" s="110">
        <f>AVERAGE(FASE2!F346:G346)</f>
        <v>0</v>
      </c>
      <c r="N346" s="110">
        <f>AVERAGE(FASE2!O346:P346,FASE2!S346)</f>
        <v>0</v>
      </c>
      <c r="O346" s="110">
        <f>FASE4!K346</f>
        <v>0</v>
      </c>
      <c r="P346" s="110">
        <f>FASE2!N346</f>
        <v>0</v>
      </c>
      <c r="Q346" s="110">
        <f>FASE3!P346</f>
        <v>0</v>
      </c>
      <c r="R346" s="110">
        <f>FASE3!N346</f>
        <v>0</v>
      </c>
      <c r="S346" s="110">
        <f>AVERAGE(FASE3!Q346,FASE3!R346,FASE3!T346,FASE3!S346)</f>
        <v>0</v>
      </c>
      <c r="T346" s="110">
        <f>AVERAGE(FASE3!U346,FASE3!V346,FASE3!W346)</f>
        <v>0</v>
      </c>
      <c r="U346" s="110">
        <f>FASE3!Y346</f>
        <v>0</v>
      </c>
      <c r="V346" s="110">
        <f>FASE3!X346</f>
        <v>0</v>
      </c>
      <c r="W346" s="110">
        <f>FASE4!M346</f>
        <v>0</v>
      </c>
      <c r="X346" s="110">
        <f t="shared" si="5"/>
        <v>0</v>
      </c>
      <c r="Y346" s="2"/>
    </row>
    <row r="347" spans="2:25" ht="15.75" customHeight="1" x14ac:dyDescent="0.25">
      <c r="B347">
        <v>9</v>
      </c>
      <c r="C347" t="s">
        <v>112</v>
      </c>
      <c r="D347" s="97">
        <v>923</v>
      </c>
      <c r="E347" s="110">
        <f>FASE1!G347</f>
        <v>0</v>
      </c>
      <c r="F347" s="110">
        <f>FASE1!M347</f>
        <v>0</v>
      </c>
      <c r="G347" s="110">
        <f>FASE1!L347</f>
        <v>0</v>
      </c>
      <c r="H347" s="110">
        <f>FASE1!R347</f>
        <v>0</v>
      </c>
      <c r="I347" s="110">
        <f>FASE1!U347</f>
        <v>0</v>
      </c>
      <c r="J347" s="110">
        <f>FASE1!U347</f>
        <v>0</v>
      </c>
      <c r="K347" s="110">
        <f>FASE1!P347</f>
        <v>0</v>
      </c>
      <c r="L347" s="110">
        <f>FASE1!V347</f>
        <v>0</v>
      </c>
      <c r="M347" s="110">
        <f>AVERAGE(FASE2!F347:G347)</f>
        <v>0</v>
      </c>
      <c r="N347" s="110">
        <f>AVERAGE(FASE2!O347:P347,FASE2!S347)</f>
        <v>0</v>
      </c>
      <c r="O347" s="110">
        <f>FASE4!K347</f>
        <v>0</v>
      </c>
      <c r="P347" s="110">
        <f>FASE2!N347</f>
        <v>0</v>
      </c>
      <c r="Q347" s="110">
        <f>FASE3!P347</f>
        <v>0</v>
      </c>
      <c r="R347" s="110">
        <f>FASE3!N347</f>
        <v>0</v>
      </c>
      <c r="S347" s="110">
        <f>AVERAGE(FASE3!Q347,FASE3!R347,FASE3!T347,FASE3!S347)</f>
        <v>0</v>
      </c>
      <c r="T347" s="110">
        <f>AVERAGE(FASE3!U347,FASE3!V347,FASE3!W347)</f>
        <v>0</v>
      </c>
      <c r="U347" s="110">
        <f>FASE3!Y347</f>
        <v>0</v>
      </c>
      <c r="V347" s="110">
        <f>FASE3!X347</f>
        <v>0</v>
      </c>
      <c r="W347" s="110">
        <f>FASE4!M347</f>
        <v>0</v>
      </c>
      <c r="X347" s="110">
        <f t="shared" si="5"/>
        <v>0</v>
      </c>
      <c r="Y347" s="2"/>
    </row>
    <row r="348" spans="2:25" ht="15.75" customHeight="1" x14ac:dyDescent="0.25">
      <c r="B348">
        <v>9</v>
      </c>
      <c r="C348" t="s">
        <v>111</v>
      </c>
      <c r="D348" s="97">
        <v>901</v>
      </c>
      <c r="E348" s="110">
        <f>FASE1!G348</f>
        <v>0</v>
      </c>
      <c r="F348" s="110">
        <f>FASE1!M348</f>
        <v>0</v>
      </c>
      <c r="G348" s="110">
        <f>FASE1!L348</f>
        <v>0</v>
      </c>
      <c r="H348" s="110">
        <f>FASE1!R348</f>
        <v>0</v>
      </c>
      <c r="I348" s="110">
        <f>FASE1!U348</f>
        <v>0</v>
      </c>
      <c r="J348" s="110">
        <f>FASE1!U348</f>
        <v>0</v>
      </c>
      <c r="K348" s="110">
        <f>FASE1!P348</f>
        <v>0</v>
      </c>
      <c r="L348" s="110">
        <f>FASE1!V348</f>
        <v>0</v>
      </c>
      <c r="M348" s="110">
        <f>AVERAGE(FASE2!F348:G348)</f>
        <v>0</v>
      </c>
      <c r="N348" s="110">
        <f>AVERAGE(FASE2!O348:P348,FASE2!S348)</f>
        <v>0</v>
      </c>
      <c r="O348" s="110">
        <f>FASE4!K348</f>
        <v>0</v>
      </c>
      <c r="P348" s="110">
        <f>FASE2!N348</f>
        <v>0</v>
      </c>
      <c r="Q348" s="110">
        <f>FASE3!P348</f>
        <v>0</v>
      </c>
      <c r="R348" s="110">
        <f>FASE3!N348</f>
        <v>0</v>
      </c>
      <c r="S348" s="110">
        <f>AVERAGE(FASE3!Q348,FASE3!R348,FASE3!T348,FASE3!S348)</f>
        <v>0</v>
      </c>
      <c r="T348" s="110">
        <f>AVERAGE(FASE3!U348,FASE3!V348,FASE3!W348)</f>
        <v>0</v>
      </c>
      <c r="U348" s="110">
        <f>FASE3!Y348</f>
        <v>0</v>
      </c>
      <c r="V348" s="110">
        <f>FASE3!X348</f>
        <v>0</v>
      </c>
      <c r="W348" s="110">
        <f>FASE4!M348</f>
        <v>0</v>
      </c>
      <c r="X348" s="110">
        <f t="shared" si="5"/>
        <v>0</v>
      </c>
      <c r="Y348" s="2"/>
    </row>
    <row r="349" spans="2:25" ht="15.75" customHeight="1" x14ac:dyDescent="0.25">
      <c r="B349">
        <v>9</v>
      </c>
      <c r="C349" t="s">
        <v>111</v>
      </c>
      <c r="D349" s="97">
        <v>902</v>
      </c>
      <c r="E349" s="110">
        <f>FASE1!G349</f>
        <v>0</v>
      </c>
      <c r="F349" s="110">
        <f>FASE1!M349</f>
        <v>0</v>
      </c>
      <c r="G349" s="110">
        <f>FASE1!L349</f>
        <v>0</v>
      </c>
      <c r="H349" s="110">
        <f>FASE1!R349</f>
        <v>0</v>
      </c>
      <c r="I349" s="110">
        <f>FASE1!U349</f>
        <v>0</v>
      </c>
      <c r="J349" s="110">
        <f>FASE1!U349</f>
        <v>0</v>
      </c>
      <c r="K349" s="110">
        <f>FASE1!P349</f>
        <v>0</v>
      </c>
      <c r="L349" s="110">
        <f>FASE1!V349</f>
        <v>0</v>
      </c>
      <c r="M349" s="110">
        <f>AVERAGE(FASE2!F349:G349)</f>
        <v>0</v>
      </c>
      <c r="N349" s="110">
        <f>AVERAGE(FASE2!O349:P349,FASE2!S349)</f>
        <v>0</v>
      </c>
      <c r="O349" s="110">
        <f>FASE4!K349</f>
        <v>0</v>
      </c>
      <c r="P349" s="110">
        <f>FASE2!N349</f>
        <v>0</v>
      </c>
      <c r="Q349" s="110">
        <f>FASE3!P349</f>
        <v>0</v>
      </c>
      <c r="R349" s="110">
        <f>FASE3!N349</f>
        <v>0</v>
      </c>
      <c r="S349" s="110">
        <f>AVERAGE(FASE3!Q349,FASE3!R349,FASE3!T349,FASE3!S349)</f>
        <v>0</v>
      </c>
      <c r="T349" s="110">
        <f>AVERAGE(FASE3!U349,FASE3!V349,FASE3!W349)</f>
        <v>0</v>
      </c>
      <c r="U349" s="110">
        <f>FASE3!Y349</f>
        <v>0</v>
      </c>
      <c r="V349" s="110">
        <f>FASE3!X349</f>
        <v>0</v>
      </c>
      <c r="W349" s="110">
        <f>FASE4!M349</f>
        <v>0</v>
      </c>
      <c r="X349" s="110">
        <f t="shared" si="5"/>
        <v>0</v>
      </c>
      <c r="Y349" s="2"/>
    </row>
    <row r="350" spans="2:25" ht="15.75" customHeight="1" x14ac:dyDescent="0.25">
      <c r="B350">
        <v>9</v>
      </c>
      <c r="C350" t="s">
        <v>111</v>
      </c>
      <c r="D350" s="97">
        <v>903</v>
      </c>
      <c r="E350" s="110">
        <f>FASE1!G350</f>
        <v>0</v>
      </c>
      <c r="F350" s="110">
        <f>FASE1!M350</f>
        <v>0</v>
      </c>
      <c r="G350" s="110">
        <f>FASE1!L350</f>
        <v>0</v>
      </c>
      <c r="H350" s="110">
        <f>FASE1!R350</f>
        <v>0</v>
      </c>
      <c r="I350" s="110">
        <f>FASE1!U350</f>
        <v>0</v>
      </c>
      <c r="J350" s="110">
        <f>FASE1!U350</f>
        <v>0</v>
      </c>
      <c r="K350" s="110">
        <f>FASE1!P350</f>
        <v>0</v>
      </c>
      <c r="L350" s="110">
        <f>FASE1!V350</f>
        <v>0</v>
      </c>
      <c r="M350" s="110">
        <f>AVERAGE(FASE2!F350:G350)</f>
        <v>0</v>
      </c>
      <c r="N350" s="110">
        <f>AVERAGE(FASE2!O350:P350,FASE2!S350)</f>
        <v>0</v>
      </c>
      <c r="O350" s="110">
        <f>FASE4!K350</f>
        <v>0</v>
      </c>
      <c r="P350" s="110">
        <f>FASE2!N350</f>
        <v>0</v>
      </c>
      <c r="Q350" s="110">
        <f>FASE3!P350</f>
        <v>0</v>
      </c>
      <c r="R350" s="110">
        <f>FASE3!N350</f>
        <v>0</v>
      </c>
      <c r="S350" s="110">
        <f>AVERAGE(FASE3!Q350,FASE3!R350,FASE3!T350,FASE3!S350)</f>
        <v>0</v>
      </c>
      <c r="T350" s="110">
        <f>AVERAGE(FASE3!U350,FASE3!V350,FASE3!W350)</f>
        <v>0</v>
      </c>
      <c r="U350" s="110">
        <f>FASE3!Y350</f>
        <v>0</v>
      </c>
      <c r="V350" s="110">
        <f>FASE3!X350</f>
        <v>0</v>
      </c>
      <c r="W350" s="110">
        <f>FASE4!M350</f>
        <v>0</v>
      </c>
      <c r="X350" s="110">
        <f t="shared" si="5"/>
        <v>0</v>
      </c>
      <c r="Y350" s="2"/>
    </row>
    <row r="351" spans="2:25" ht="15.75" customHeight="1" x14ac:dyDescent="0.25">
      <c r="B351">
        <v>9</v>
      </c>
      <c r="C351" t="s">
        <v>111</v>
      </c>
      <c r="D351" s="97">
        <v>904</v>
      </c>
      <c r="E351" s="110">
        <f>FASE1!G351</f>
        <v>0</v>
      </c>
      <c r="F351" s="110">
        <f>FASE1!M351</f>
        <v>0</v>
      </c>
      <c r="G351" s="110">
        <f>FASE1!L351</f>
        <v>0</v>
      </c>
      <c r="H351" s="110">
        <f>FASE1!R351</f>
        <v>0</v>
      </c>
      <c r="I351" s="110">
        <f>FASE1!U351</f>
        <v>0</v>
      </c>
      <c r="J351" s="110">
        <f>FASE1!U351</f>
        <v>0</v>
      </c>
      <c r="K351" s="110">
        <f>FASE1!P351</f>
        <v>0</v>
      </c>
      <c r="L351" s="110">
        <f>FASE1!V351</f>
        <v>0</v>
      </c>
      <c r="M351" s="110">
        <f>AVERAGE(FASE2!F351:G351)</f>
        <v>0</v>
      </c>
      <c r="N351" s="110">
        <f>AVERAGE(FASE2!O351:P351,FASE2!S351)</f>
        <v>0</v>
      </c>
      <c r="O351" s="110">
        <f>FASE4!K351</f>
        <v>0</v>
      </c>
      <c r="P351" s="110">
        <f>FASE2!N351</f>
        <v>0</v>
      </c>
      <c r="Q351" s="110">
        <f>FASE3!P351</f>
        <v>0</v>
      </c>
      <c r="R351" s="110">
        <f>FASE3!N351</f>
        <v>0</v>
      </c>
      <c r="S351" s="110">
        <f>AVERAGE(FASE3!Q351,FASE3!R351,FASE3!T351,FASE3!S351)</f>
        <v>0</v>
      </c>
      <c r="T351" s="110">
        <f>AVERAGE(FASE3!U351,FASE3!V351,FASE3!W351)</f>
        <v>0</v>
      </c>
      <c r="U351" s="110">
        <f>FASE3!Y351</f>
        <v>0</v>
      </c>
      <c r="V351" s="110">
        <f>FASE3!X351</f>
        <v>0</v>
      </c>
      <c r="W351" s="110">
        <f>FASE4!M351</f>
        <v>0</v>
      </c>
      <c r="X351" s="110">
        <f t="shared" si="5"/>
        <v>0</v>
      </c>
      <c r="Y351" s="2"/>
    </row>
    <row r="352" spans="2:25" ht="15.75" customHeight="1" x14ac:dyDescent="0.25">
      <c r="B352">
        <v>9</v>
      </c>
      <c r="C352" t="s">
        <v>111</v>
      </c>
      <c r="D352" s="97">
        <v>905</v>
      </c>
      <c r="E352" s="110">
        <f>FASE1!G352</f>
        <v>0</v>
      </c>
      <c r="F352" s="110">
        <f>FASE1!M352</f>
        <v>0</v>
      </c>
      <c r="G352" s="110">
        <f>FASE1!L352</f>
        <v>0</v>
      </c>
      <c r="H352" s="110">
        <f>FASE1!R352</f>
        <v>0</v>
      </c>
      <c r="I352" s="110">
        <f>FASE1!U352</f>
        <v>0</v>
      </c>
      <c r="J352" s="110">
        <f>FASE1!U352</f>
        <v>0</v>
      </c>
      <c r="K352" s="110">
        <f>FASE1!P352</f>
        <v>0</v>
      </c>
      <c r="L352" s="110">
        <f>FASE1!V352</f>
        <v>0</v>
      </c>
      <c r="M352" s="110">
        <f>AVERAGE(FASE2!F352:G352)</f>
        <v>0</v>
      </c>
      <c r="N352" s="110">
        <f>AVERAGE(FASE2!O352:P352,FASE2!S352)</f>
        <v>0</v>
      </c>
      <c r="O352" s="110">
        <f>FASE4!K352</f>
        <v>0</v>
      </c>
      <c r="P352" s="110">
        <f>FASE2!N352</f>
        <v>0</v>
      </c>
      <c r="Q352" s="110">
        <f>FASE3!P352</f>
        <v>0</v>
      </c>
      <c r="R352" s="110">
        <f>FASE3!N352</f>
        <v>0</v>
      </c>
      <c r="S352" s="110">
        <f>AVERAGE(FASE3!Q352,FASE3!R352,FASE3!T352,FASE3!S352)</f>
        <v>0</v>
      </c>
      <c r="T352" s="110">
        <f>AVERAGE(FASE3!U352,FASE3!V352,FASE3!W352)</f>
        <v>0</v>
      </c>
      <c r="U352" s="110">
        <f>FASE3!Y352</f>
        <v>0</v>
      </c>
      <c r="V352" s="110">
        <f>FASE3!X352</f>
        <v>0</v>
      </c>
      <c r="W352" s="110">
        <f>FASE4!M352</f>
        <v>0</v>
      </c>
      <c r="X352" s="110">
        <f t="shared" si="5"/>
        <v>0</v>
      </c>
      <c r="Y352" s="2"/>
    </row>
    <row r="353" spans="2:25" ht="15.75" customHeight="1" x14ac:dyDescent="0.25">
      <c r="B353">
        <v>9</v>
      </c>
      <c r="C353" t="s">
        <v>111</v>
      </c>
      <c r="D353" s="97">
        <v>906</v>
      </c>
      <c r="E353" s="110">
        <f>FASE1!G353</f>
        <v>0</v>
      </c>
      <c r="F353" s="110">
        <f>FASE1!M353</f>
        <v>0</v>
      </c>
      <c r="G353" s="110">
        <f>FASE1!L353</f>
        <v>0</v>
      </c>
      <c r="H353" s="110">
        <f>FASE1!R353</f>
        <v>0</v>
      </c>
      <c r="I353" s="110">
        <f>FASE1!U353</f>
        <v>0</v>
      </c>
      <c r="J353" s="110">
        <f>FASE1!U353</f>
        <v>0</v>
      </c>
      <c r="K353" s="110">
        <f>FASE1!P353</f>
        <v>0</v>
      </c>
      <c r="L353" s="110">
        <f>FASE1!V353</f>
        <v>0</v>
      </c>
      <c r="M353" s="110">
        <f>AVERAGE(FASE2!F353:G353)</f>
        <v>0</v>
      </c>
      <c r="N353" s="110">
        <f>AVERAGE(FASE2!O353:P353,FASE2!S353)</f>
        <v>0</v>
      </c>
      <c r="O353" s="110">
        <f>FASE4!K353</f>
        <v>0</v>
      </c>
      <c r="P353" s="110">
        <f>FASE2!N353</f>
        <v>0</v>
      </c>
      <c r="Q353" s="110">
        <f>FASE3!P353</f>
        <v>0</v>
      </c>
      <c r="R353" s="110">
        <f>FASE3!N353</f>
        <v>0</v>
      </c>
      <c r="S353" s="110">
        <f>AVERAGE(FASE3!Q353,FASE3!R353,FASE3!T353,FASE3!S353)</f>
        <v>0</v>
      </c>
      <c r="T353" s="110">
        <f>AVERAGE(FASE3!U353,FASE3!V353,FASE3!W353)</f>
        <v>0</v>
      </c>
      <c r="U353" s="110">
        <f>FASE3!Y353</f>
        <v>0</v>
      </c>
      <c r="V353" s="110">
        <f>FASE3!X353</f>
        <v>0</v>
      </c>
      <c r="W353" s="110">
        <f>FASE4!M353</f>
        <v>0</v>
      </c>
      <c r="X353" s="110">
        <f t="shared" si="5"/>
        <v>0</v>
      </c>
      <c r="Y353" s="2"/>
    </row>
    <row r="354" spans="2:25" ht="15.75" customHeight="1" x14ac:dyDescent="0.25">
      <c r="B354">
        <v>9</v>
      </c>
      <c r="C354" t="s">
        <v>111</v>
      </c>
      <c r="D354" s="97">
        <v>907</v>
      </c>
      <c r="E354" s="110">
        <f>FASE1!G354</f>
        <v>0</v>
      </c>
      <c r="F354" s="110">
        <f>FASE1!M354</f>
        <v>0</v>
      </c>
      <c r="G354" s="110">
        <f>FASE1!L354</f>
        <v>0</v>
      </c>
      <c r="H354" s="110">
        <f>FASE1!R354</f>
        <v>0</v>
      </c>
      <c r="I354" s="110">
        <f>FASE1!U354</f>
        <v>0</v>
      </c>
      <c r="J354" s="110">
        <f>FASE1!U354</f>
        <v>0</v>
      </c>
      <c r="K354" s="110">
        <f>FASE1!P354</f>
        <v>0</v>
      </c>
      <c r="L354" s="110">
        <f>FASE1!V354</f>
        <v>0</v>
      </c>
      <c r="M354" s="110">
        <f>AVERAGE(FASE2!F354:G354)</f>
        <v>0</v>
      </c>
      <c r="N354" s="110">
        <f>AVERAGE(FASE2!O354:P354,FASE2!S354)</f>
        <v>0</v>
      </c>
      <c r="O354" s="110">
        <f>FASE4!K354</f>
        <v>0</v>
      </c>
      <c r="P354" s="110">
        <f>FASE2!N354</f>
        <v>0</v>
      </c>
      <c r="Q354" s="110">
        <f>FASE3!P354</f>
        <v>0</v>
      </c>
      <c r="R354" s="110">
        <f>FASE3!N354</f>
        <v>0</v>
      </c>
      <c r="S354" s="110">
        <f>AVERAGE(FASE3!Q354,FASE3!R354,FASE3!T354,FASE3!S354)</f>
        <v>0</v>
      </c>
      <c r="T354" s="110">
        <f>AVERAGE(FASE3!U354,FASE3!V354,FASE3!W354)</f>
        <v>0</v>
      </c>
      <c r="U354" s="110">
        <f>FASE3!Y354</f>
        <v>0</v>
      </c>
      <c r="V354" s="110">
        <f>FASE3!X354</f>
        <v>0</v>
      </c>
      <c r="W354" s="110">
        <f>FASE4!M354</f>
        <v>0</v>
      </c>
      <c r="X354" s="110">
        <f t="shared" si="5"/>
        <v>0</v>
      </c>
      <c r="Y354" s="2"/>
    </row>
    <row r="355" spans="2:25" ht="15.75" customHeight="1" x14ac:dyDescent="0.25">
      <c r="B355">
        <v>9</v>
      </c>
      <c r="C355" t="s">
        <v>111</v>
      </c>
      <c r="D355" s="97">
        <v>908</v>
      </c>
      <c r="E355" s="110">
        <f>FASE1!G355</f>
        <v>0</v>
      </c>
      <c r="F355" s="110">
        <f>FASE1!M355</f>
        <v>0</v>
      </c>
      <c r="G355" s="110">
        <f>FASE1!L355</f>
        <v>0</v>
      </c>
      <c r="H355" s="110">
        <f>FASE1!R355</f>
        <v>0</v>
      </c>
      <c r="I355" s="110">
        <f>FASE1!U355</f>
        <v>0</v>
      </c>
      <c r="J355" s="110">
        <f>FASE1!U355</f>
        <v>0</v>
      </c>
      <c r="K355" s="110">
        <f>FASE1!P355</f>
        <v>0</v>
      </c>
      <c r="L355" s="110">
        <f>FASE1!V355</f>
        <v>0</v>
      </c>
      <c r="M355" s="110">
        <f>AVERAGE(FASE2!F355:G355)</f>
        <v>0</v>
      </c>
      <c r="N355" s="110">
        <f>AVERAGE(FASE2!O355:P355,FASE2!S355)</f>
        <v>0</v>
      </c>
      <c r="O355" s="110">
        <f>FASE4!K355</f>
        <v>0</v>
      </c>
      <c r="P355" s="110">
        <f>FASE2!N355</f>
        <v>0</v>
      </c>
      <c r="Q355" s="110">
        <f>FASE3!P355</f>
        <v>0</v>
      </c>
      <c r="R355" s="110">
        <f>FASE3!N355</f>
        <v>0</v>
      </c>
      <c r="S355" s="110">
        <f>AVERAGE(FASE3!Q355,FASE3!R355,FASE3!T355,FASE3!S355)</f>
        <v>0</v>
      </c>
      <c r="T355" s="110">
        <f>AVERAGE(FASE3!U355,FASE3!V355,FASE3!W355)</f>
        <v>0</v>
      </c>
      <c r="U355" s="110">
        <f>FASE3!Y355</f>
        <v>0</v>
      </c>
      <c r="V355" s="110">
        <f>FASE3!X355</f>
        <v>0</v>
      </c>
      <c r="W355" s="110">
        <f>FASE4!M355</f>
        <v>0</v>
      </c>
      <c r="X355" s="110">
        <f t="shared" si="5"/>
        <v>0</v>
      </c>
      <c r="Y355" s="2"/>
    </row>
    <row r="356" spans="2:25" ht="15.75" customHeight="1" x14ac:dyDescent="0.25">
      <c r="B356">
        <v>9</v>
      </c>
      <c r="C356" t="s">
        <v>111</v>
      </c>
      <c r="D356" s="97">
        <v>909</v>
      </c>
      <c r="E356" s="110">
        <f>FASE1!G356</f>
        <v>0</v>
      </c>
      <c r="F356" s="110">
        <f>FASE1!M356</f>
        <v>0</v>
      </c>
      <c r="G356" s="110">
        <f>FASE1!L356</f>
        <v>0</v>
      </c>
      <c r="H356" s="110">
        <f>FASE1!R356</f>
        <v>0</v>
      </c>
      <c r="I356" s="110">
        <f>FASE1!U356</f>
        <v>0</v>
      </c>
      <c r="J356" s="110">
        <f>FASE1!U356</f>
        <v>0</v>
      </c>
      <c r="K356" s="110">
        <f>FASE1!P356</f>
        <v>0</v>
      </c>
      <c r="L356" s="110">
        <f>FASE1!V356</f>
        <v>0</v>
      </c>
      <c r="M356" s="110">
        <f>AVERAGE(FASE2!F356:G356)</f>
        <v>0</v>
      </c>
      <c r="N356" s="110">
        <f>AVERAGE(FASE2!O356:P356,FASE2!S356)</f>
        <v>0</v>
      </c>
      <c r="O356" s="110">
        <f>FASE4!K356</f>
        <v>0</v>
      </c>
      <c r="P356" s="110">
        <f>FASE2!N356</f>
        <v>0</v>
      </c>
      <c r="Q356" s="110">
        <f>FASE3!P356</f>
        <v>0</v>
      </c>
      <c r="R356" s="110">
        <f>FASE3!N356</f>
        <v>0</v>
      </c>
      <c r="S356" s="110">
        <f>AVERAGE(FASE3!Q356,FASE3!R356,FASE3!T356,FASE3!S356)</f>
        <v>0</v>
      </c>
      <c r="T356" s="110">
        <f>AVERAGE(FASE3!U356,FASE3!V356,FASE3!W356)</f>
        <v>0</v>
      </c>
      <c r="U356" s="110">
        <f>FASE3!Y356</f>
        <v>0</v>
      </c>
      <c r="V356" s="110">
        <f>FASE3!X356</f>
        <v>0</v>
      </c>
      <c r="W356" s="110">
        <f>FASE4!M356</f>
        <v>0</v>
      </c>
      <c r="X356" s="110">
        <f t="shared" si="5"/>
        <v>0</v>
      </c>
      <c r="Y356" s="2"/>
    </row>
    <row r="357" spans="2:25" ht="15.75" customHeight="1" x14ac:dyDescent="0.25">
      <c r="B357">
        <v>9</v>
      </c>
      <c r="C357" t="s">
        <v>111</v>
      </c>
      <c r="D357" s="97">
        <v>910</v>
      </c>
      <c r="E357" s="110">
        <f>FASE1!G357</f>
        <v>0</v>
      </c>
      <c r="F357" s="110">
        <f>FASE1!M357</f>
        <v>0</v>
      </c>
      <c r="G357" s="110">
        <f>FASE1!L357</f>
        <v>0</v>
      </c>
      <c r="H357" s="110">
        <f>FASE1!R357</f>
        <v>0</v>
      </c>
      <c r="I357" s="110">
        <f>FASE1!U357</f>
        <v>0</v>
      </c>
      <c r="J357" s="110">
        <f>FASE1!U357</f>
        <v>0</v>
      </c>
      <c r="K357" s="110">
        <f>FASE1!P357</f>
        <v>0</v>
      </c>
      <c r="L357" s="110">
        <f>FASE1!V357</f>
        <v>0</v>
      </c>
      <c r="M357" s="110">
        <f>AVERAGE(FASE2!F357:G357)</f>
        <v>0</v>
      </c>
      <c r="N357" s="110">
        <f>AVERAGE(FASE2!O357:P357,FASE2!S357)</f>
        <v>0</v>
      </c>
      <c r="O357" s="110">
        <f>FASE4!K357</f>
        <v>0</v>
      </c>
      <c r="P357" s="110">
        <f>FASE2!N357</f>
        <v>0</v>
      </c>
      <c r="Q357" s="110">
        <f>FASE3!P357</f>
        <v>0</v>
      </c>
      <c r="R357" s="110">
        <f>FASE3!N357</f>
        <v>0</v>
      </c>
      <c r="S357" s="110">
        <f>AVERAGE(FASE3!Q357,FASE3!R357,FASE3!T357,FASE3!S357)</f>
        <v>0</v>
      </c>
      <c r="T357" s="110">
        <f>AVERAGE(FASE3!U357,FASE3!V357,FASE3!W357)</f>
        <v>0</v>
      </c>
      <c r="U357" s="110">
        <f>FASE3!Y357</f>
        <v>0</v>
      </c>
      <c r="V357" s="110">
        <f>FASE3!X357</f>
        <v>0</v>
      </c>
      <c r="W357" s="110">
        <f>FASE4!M357</f>
        <v>0</v>
      </c>
      <c r="X357" s="110">
        <f t="shared" si="5"/>
        <v>0</v>
      </c>
      <c r="Y357" s="2"/>
    </row>
    <row r="358" spans="2:25" ht="15.75" customHeight="1" x14ac:dyDescent="0.25">
      <c r="B358">
        <v>9</v>
      </c>
      <c r="C358" t="s">
        <v>111</v>
      </c>
      <c r="D358" s="97">
        <v>911</v>
      </c>
      <c r="E358" s="110">
        <f>FASE1!G358</f>
        <v>0</v>
      </c>
      <c r="F358" s="110">
        <f>FASE1!M358</f>
        <v>0</v>
      </c>
      <c r="G358" s="110">
        <f>FASE1!L358</f>
        <v>0</v>
      </c>
      <c r="H358" s="110">
        <f>FASE1!R358</f>
        <v>0</v>
      </c>
      <c r="I358" s="110">
        <f>FASE1!U358</f>
        <v>0</v>
      </c>
      <c r="J358" s="110">
        <f>FASE1!U358</f>
        <v>0</v>
      </c>
      <c r="K358" s="110">
        <f>FASE1!P358</f>
        <v>0</v>
      </c>
      <c r="L358" s="110">
        <f>FASE1!V358</f>
        <v>0</v>
      </c>
      <c r="M358" s="110">
        <f>AVERAGE(FASE2!F358:G358)</f>
        <v>0</v>
      </c>
      <c r="N358" s="110">
        <f>AVERAGE(FASE2!O358:P358,FASE2!S358)</f>
        <v>0</v>
      </c>
      <c r="O358" s="110">
        <f>FASE4!K358</f>
        <v>0</v>
      </c>
      <c r="P358" s="110">
        <f>FASE2!N358</f>
        <v>0</v>
      </c>
      <c r="Q358" s="110">
        <f>FASE3!P358</f>
        <v>0</v>
      </c>
      <c r="R358" s="110">
        <f>FASE3!N358</f>
        <v>0</v>
      </c>
      <c r="S358" s="110">
        <f>AVERAGE(FASE3!Q358,FASE3!R358,FASE3!T358,FASE3!S358)</f>
        <v>0</v>
      </c>
      <c r="T358" s="110">
        <f>AVERAGE(FASE3!U358,FASE3!V358,FASE3!W358)</f>
        <v>0</v>
      </c>
      <c r="U358" s="110">
        <f>FASE3!Y358</f>
        <v>0</v>
      </c>
      <c r="V358" s="110">
        <f>FASE3!X358</f>
        <v>0</v>
      </c>
      <c r="W358" s="110">
        <f>FASE4!M358</f>
        <v>0</v>
      </c>
      <c r="X358" s="110">
        <f t="shared" si="5"/>
        <v>0</v>
      </c>
      <c r="Y358" s="2"/>
    </row>
    <row r="359" spans="2:25" ht="15.75" customHeight="1" x14ac:dyDescent="0.25">
      <c r="B359">
        <v>9</v>
      </c>
      <c r="C359" t="s">
        <v>111</v>
      </c>
      <c r="D359" s="97">
        <v>912</v>
      </c>
      <c r="E359" s="110">
        <f>FASE1!G359</f>
        <v>0</v>
      </c>
      <c r="F359" s="110">
        <f>FASE1!M359</f>
        <v>0</v>
      </c>
      <c r="G359" s="110">
        <f>FASE1!L359</f>
        <v>0</v>
      </c>
      <c r="H359" s="110">
        <f>FASE1!R359</f>
        <v>0</v>
      </c>
      <c r="I359" s="110">
        <f>FASE1!U359</f>
        <v>0</v>
      </c>
      <c r="J359" s="110">
        <f>FASE1!U359</f>
        <v>0</v>
      </c>
      <c r="K359" s="110">
        <f>FASE1!P359</f>
        <v>0</v>
      </c>
      <c r="L359" s="110">
        <f>FASE1!V359</f>
        <v>0</v>
      </c>
      <c r="M359" s="110">
        <f>AVERAGE(FASE2!F359:G359)</f>
        <v>0</v>
      </c>
      <c r="N359" s="110">
        <f>AVERAGE(FASE2!O359:P359,FASE2!S359)</f>
        <v>0</v>
      </c>
      <c r="O359" s="110">
        <f>FASE4!K359</f>
        <v>0</v>
      </c>
      <c r="P359" s="110">
        <f>FASE2!N359</f>
        <v>0</v>
      </c>
      <c r="Q359" s="110">
        <f>FASE3!P359</f>
        <v>0</v>
      </c>
      <c r="R359" s="110">
        <f>FASE3!N359</f>
        <v>0</v>
      </c>
      <c r="S359" s="110">
        <f>AVERAGE(FASE3!Q359,FASE3!R359,FASE3!T359,FASE3!S359)</f>
        <v>0</v>
      </c>
      <c r="T359" s="110">
        <f>AVERAGE(FASE3!U359,FASE3!V359,FASE3!W359)</f>
        <v>0</v>
      </c>
      <c r="U359" s="110">
        <f>FASE3!Y359</f>
        <v>0</v>
      </c>
      <c r="V359" s="110">
        <f>FASE3!X359</f>
        <v>0</v>
      </c>
      <c r="W359" s="110">
        <f>FASE4!M359</f>
        <v>0</v>
      </c>
      <c r="X359" s="110">
        <f t="shared" si="5"/>
        <v>0</v>
      </c>
      <c r="Y359" s="2"/>
    </row>
    <row r="360" spans="2:25" ht="15.75" customHeight="1" x14ac:dyDescent="0.25">
      <c r="B360">
        <v>9</v>
      </c>
      <c r="C360" t="s">
        <v>111</v>
      </c>
      <c r="D360" s="97">
        <v>913</v>
      </c>
      <c r="E360" s="110">
        <f>FASE1!G360</f>
        <v>0</v>
      </c>
      <c r="F360" s="110">
        <f>FASE1!M360</f>
        <v>0</v>
      </c>
      <c r="G360" s="110">
        <f>FASE1!L360</f>
        <v>0</v>
      </c>
      <c r="H360" s="110">
        <f>FASE1!R360</f>
        <v>0</v>
      </c>
      <c r="I360" s="110">
        <f>FASE1!U360</f>
        <v>0</v>
      </c>
      <c r="J360" s="110">
        <f>FASE1!U360</f>
        <v>0</v>
      </c>
      <c r="K360" s="110">
        <f>FASE1!P360</f>
        <v>0</v>
      </c>
      <c r="L360" s="110">
        <f>FASE1!V360</f>
        <v>0</v>
      </c>
      <c r="M360" s="110">
        <f>AVERAGE(FASE2!F360:G360)</f>
        <v>0</v>
      </c>
      <c r="N360" s="110">
        <f>AVERAGE(FASE2!O360:P360,FASE2!S360)</f>
        <v>0</v>
      </c>
      <c r="O360" s="110">
        <f>FASE4!K360</f>
        <v>0</v>
      </c>
      <c r="P360" s="110">
        <f>FASE2!N360</f>
        <v>0</v>
      </c>
      <c r="Q360" s="110">
        <f>FASE3!P360</f>
        <v>0</v>
      </c>
      <c r="R360" s="110">
        <f>FASE3!N360</f>
        <v>0</v>
      </c>
      <c r="S360" s="110">
        <f>AVERAGE(FASE3!Q360,FASE3!R360,FASE3!T360,FASE3!S360)</f>
        <v>0</v>
      </c>
      <c r="T360" s="110">
        <f>AVERAGE(FASE3!U360,FASE3!V360,FASE3!W360)</f>
        <v>0</v>
      </c>
      <c r="U360" s="110">
        <f>FASE3!Y360</f>
        <v>0</v>
      </c>
      <c r="V360" s="110">
        <f>FASE3!X360</f>
        <v>0</v>
      </c>
      <c r="W360" s="110">
        <f>FASE4!M360</f>
        <v>0</v>
      </c>
      <c r="X360" s="110">
        <f t="shared" si="5"/>
        <v>0</v>
      </c>
      <c r="Y360" s="2"/>
    </row>
    <row r="361" spans="2:25" ht="15.75" customHeight="1" x14ac:dyDescent="0.25">
      <c r="B361">
        <v>9</v>
      </c>
      <c r="C361" t="s">
        <v>111</v>
      </c>
      <c r="D361" s="97">
        <v>914</v>
      </c>
      <c r="E361" s="110">
        <f>FASE1!G361</f>
        <v>0</v>
      </c>
      <c r="F361" s="110">
        <f>FASE1!M361</f>
        <v>0</v>
      </c>
      <c r="G361" s="110">
        <f>FASE1!L361</f>
        <v>0</v>
      </c>
      <c r="H361" s="110">
        <f>FASE1!R361</f>
        <v>0</v>
      </c>
      <c r="I361" s="110">
        <f>FASE1!U361</f>
        <v>0</v>
      </c>
      <c r="J361" s="110">
        <f>FASE1!U361</f>
        <v>0</v>
      </c>
      <c r="K361" s="110">
        <f>FASE1!P361</f>
        <v>0</v>
      </c>
      <c r="L361" s="110">
        <f>FASE1!V361</f>
        <v>0</v>
      </c>
      <c r="M361" s="110">
        <f>AVERAGE(FASE2!F361:G361)</f>
        <v>0</v>
      </c>
      <c r="N361" s="110">
        <f>AVERAGE(FASE2!O361:P361,FASE2!S361)</f>
        <v>0</v>
      </c>
      <c r="O361" s="110">
        <f>FASE4!K361</f>
        <v>0</v>
      </c>
      <c r="P361" s="110">
        <f>FASE2!N361</f>
        <v>0</v>
      </c>
      <c r="Q361" s="110">
        <f>FASE3!P361</f>
        <v>0</v>
      </c>
      <c r="R361" s="110">
        <f>FASE3!N361</f>
        <v>0</v>
      </c>
      <c r="S361" s="110">
        <f>AVERAGE(FASE3!Q361,FASE3!R361,FASE3!T361,FASE3!S361)</f>
        <v>0</v>
      </c>
      <c r="T361" s="110">
        <f>AVERAGE(FASE3!U361,FASE3!V361,FASE3!W361)</f>
        <v>0</v>
      </c>
      <c r="U361" s="110">
        <f>FASE3!Y361</f>
        <v>0</v>
      </c>
      <c r="V361" s="110">
        <f>FASE3!X361</f>
        <v>0</v>
      </c>
      <c r="W361" s="110">
        <f>FASE4!M361</f>
        <v>0</v>
      </c>
      <c r="X361" s="110">
        <f t="shared" si="5"/>
        <v>0</v>
      </c>
      <c r="Y361" s="2"/>
    </row>
    <row r="362" spans="2:25" ht="15.75" customHeight="1" x14ac:dyDescent="0.25">
      <c r="B362">
        <v>9</v>
      </c>
      <c r="C362" t="s">
        <v>111</v>
      </c>
      <c r="D362" s="97">
        <v>915</v>
      </c>
      <c r="E362" s="110">
        <f>FASE1!G362</f>
        <v>0</v>
      </c>
      <c r="F362" s="110">
        <f>FASE1!M362</f>
        <v>0</v>
      </c>
      <c r="G362" s="110">
        <f>FASE1!L362</f>
        <v>0</v>
      </c>
      <c r="H362" s="110">
        <f>FASE1!R362</f>
        <v>0</v>
      </c>
      <c r="I362" s="110">
        <f>FASE1!U362</f>
        <v>0</v>
      </c>
      <c r="J362" s="110">
        <f>FASE1!U362</f>
        <v>0</v>
      </c>
      <c r="K362" s="110">
        <f>FASE1!P362</f>
        <v>0</v>
      </c>
      <c r="L362" s="110">
        <f>FASE1!V362</f>
        <v>0</v>
      </c>
      <c r="M362" s="110">
        <f>AVERAGE(FASE2!F362:G362)</f>
        <v>0</v>
      </c>
      <c r="N362" s="110">
        <f>AVERAGE(FASE2!O362:P362,FASE2!S362)</f>
        <v>0</v>
      </c>
      <c r="O362" s="110">
        <f>FASE4!K362</f>
        <v>0</v>
      </c>
      <c r="P362" s="110">
        <f>FASE2!N362</f>
        <v>0</v>
      </c>
      <c r="Q362" s="110">
        <f>FASE3!P362</f>
        <v>0</v>
      </c>
      <c r="R362" s="110">
        <f>FASE3!N362</f>
        <v>0</v>
      </c>
      <c r="S362" s="110">
        <f>AVERAGE(FASE3!Q362,FASE3!R362,FASE3!T362,FASE3!S362)</f>
        <v>0</v>
      </c>
      <c r="T362" s="110">
        <f>AVERAGE(FASE3!U362,FASE3!V362,FASE3!W362)</f>
        <v>0</v>
      </c>
      <c r="U362" s="110">
        <f>FASE3!Y362</f>
        <v>0</v>
      </c>
      <c r="V362" s="110">
        <f>FASE3!X362</f>
        <v>0</v>
      </c>
      <c r="W362" s="110">
        <f>FASE4!M362</f>
        <v>0</v>
      </c>
      <c r="X362" s="110">
        <f t="shared" si="5"/>
        <v>0</v>
      </c>
      <c r="Y362" s="2"/>
    </row>
    <row r="363" spans="2:25" ht="15.75" customHeight="1" x14ac:dyDescent="0.25">
      <c r="B363">
        <v>9</v>
      </c>
      <c r="C363" t="s">
        <v>111</v>
      </c>
      <c r="D363" s="97">
        <v>916</v>
      </c>
      <c r="E363" s="110">
        <f>FASE1!G363</f>
        <v>0</v>
      </c>
      <c r="F363" s="110">
        <f>FASE1!M363</f>
        <v>0</v>
      </c>
      <c r="G363" s="110">
        <f>FASE1!L363</f>
        <v>0</v>
      </c>
      <c r="H363" s="110">
        <f>FASE1!R363</f>
        <v>0</v>
      </c>
      <c r="I363" s="110">
        <f>FASE1!U363</f>
        <v>0</v>
      </c>
      <c r="J363" s="110">
        <f>FASE1!U363</f>
        <v>0</v>
      </c>
      <c r="K363" s="110">
        <f>FASE1!P363</f>
        <v>0</v>
      </c>
      <c r="L363" s="110">
        <f>FASE1!V363</f>
        <v>0</v>
      </c>
      <c r="M363" s="110">
        <f>AVERAGE(FASE2!F363:G363)</f>
        <v>0</v>
      </c>
      <c r="N363" s="110">
        <f>AVERAGE(FASE2!O363:P363,FASE2!S363)</f>
        <v>0</v>
      </c>
      <c r="O363" s="110">
        <f>FASE4!K363</f>
        <v>0</v>
      </c>
      <c r="P363" s="110">
        <f>FASE2!N363</f>
        <v>0</v>
      </c>
      <c r="Q363" s="110">
        <f>FASE3!P363</f>
        <v>0</v>
      </c>
      <c r="R363" s="110">
        <f>FASE3!N363</f>
        <v>0</v>
      </c>
      <c r="S363" s="110">
        <f>AVERAGE(FASE3!Q363,FASE3!R363,FASE3!T363,FASE3!S363)</f>
        <v>0</v>
      </c>
      <c r="T363" s="110">
        <f>AVERAGE(FASE3!U363,FASE3!V363,FASE3!W363)</f>
        <v>0</v>
      </c>
      <c r="U363" s="110">
        <f>FASE3!Y363</f>
        <v>0</v>
      </c>
      <c r="V363" s="110">
        <f>FASE3!X363</f>
        <v>0</v>
      </c>
      <c r="W363" s="110">
        <f>FASE4!M363</f>
        <v>0</v>
      </c>
      <c r="X363" s="110">
        <f t="shared" si="5"/>
        <v>0</v>
      </c>
      <c r="Y363" s="2"/>
    </row>
    <row r="364" spans="2:25" ht="15.75" customHeight="1" x14ac:dyDescent="0.25">
      <c r="B364">
        <v>9</v>
      </c>
      <c r="C364" t="s">
        <v>111</v>
      </c>
      <c r="D364" s="97">
        <v>917</v>
      </c>
      <c r="E364" s="110">
        <f>FASE1!G364</f>
        <v>0</v>
      </c>
      <c r="F364" s="110">
        <f>FASE1!M364</f>
        <v>0</v>
      </c>
      <c r="G364" s="110">
        <f>FASE1!L364</f>
        <v>0</v>
      </c>
      <c r="H364" s="110">
        <f>FASE1!R364</f>
        <v>0</v>
      </c>
      <c r="I364" s="110">
        <f>FASE1!U364</f>
        <v>0</v>
      </c>
      <c r="J364" s="110">
        <f>FASE1!U364</f>
        <v>0</v>
      </c>
      <c r="K364" s="110">
        <f>FASE1!P364</f>
        <v>0</v>
      </c>
      <c r="L364" s="110">
        <f>FASE1!V364</f>
        <v>0</v>
      </c>
      <c r="M364" s="110">
        <f>AVERAGE(FASE2!F364:G364)</f>
        <v>0</v>
      </c>
      <c r="N364" s="110">
        <f>AVERAGE(FASE2!O364:P364,FASE2!S364)</f>
        <v>0</v>
      </c>
      <c r="O364" s="110">
        <f>FASE4!K364</f>
        <v>0</v>
      </c>
      <c r="P364" s="110">
        <f>FASE2!N364</f>
        <v>0</v>
      </c>
      <c r="Q364" s="110">
        <f>FASE3!P364</f>
        <v>0</v>
      </c>
      <c r="R364" s="110">
        <f>FASE3!N364</f>
        <v>0</v>
      </c>
      <c r="S364" s="110">
        <f>AVERAGE(FASE3!Q364,FASE3!R364,FASE3!T364,FASE3!S364)</f>
        <v>0</v>
      </c>
      <c r="T364" s="110">
        <f>AVERAGE(FASE3!U364,FASE3!V364,FASE3!W364)</f>
        <v>0</v>
      </c>
      <c r="U364" s="110">
        <f>FASE3!Y364</f>
        <v>0</v>
      </c>
      <c r="V364" s="110">
        <f>FASE3!X364</f>
        <v>0</v>
      </c>
      <c r="W364" s="110">
        <f>FASE4!M364</f>
        <v>0</v>
      </c>
      <c r="X364" s="110">
        <f t="shared" si="5"/>
        <v>0</v>
      </c>
      <c r="Y364" s="2"/>
    </row>
    <row r="365" spans="2:25" ht="15.75" customHeight="1" x14ac:dyDescent="0.25">
      <c r="B365">
        <v>9</v>
      </c>
      <c r="C365" t="s">
        <v>111</v>
      </c>
      <c r="D365" s="97">
        <v>918</v>
      </c>
      <c r="E365" s="110">
        <f>FASE1!G365</f>
        <v>0</v>
      </c>
      <c r="F365" s="110">
        <f>FASE1!M365</f>
        <v>0</v>
      </c>
      <c r="G365" s="110">
        <f>FASE1!L365</f>
        <v>0</v>
      </c>
      <c r="H365" s="110">
        <f>FASE1!R365</f>
        <v>0</v>
      </c>
      <c r="I365" s="110">
        <f>FASE1!U365</f>
        <v>0</v>
      </c>
      <c r="J365" s="110">
        <f>FASE1!U365</f>
        <v>0</v>
      </c>
      <c r="K365" s="110">
        <f>FASE1!P365</f>
        <v>0</v>
      </c>
      <c r="L365" s="110">
        <f>FASE1!V365</f>
        <v>0</v>
      </c>
      <c r="M365" s="110">
        <f>AVERAGE(FASE2!F365:G365)</f>
        <v>0</v>
      </c>
      <c r="N365" s="110">
        <f>AVERAGE(FASE2!O365:P365,FASE2!S365)</f>
        <v>0</v>
      </c>
      <c r="O365" s="110">
        <f>FASE4!K365</f>
        <v>0</v>
      </c>
      <c r="P365" s="110">
        <f>FASE2!N365</f>
        <v>0</v>
      </c>
      <c r="Q365" s="110">
        <f>FASE3!P365</f>
        <v>0</v>
      </c>
      <c r="R365" s="110">
        <f>FASE3!N365</f>
        <v>0</v>
      </c>
      <c r="S365" s="110">
        <f>AVERAGE(FASE3!Q365,FASE3!R365,FASE3!T365,FASE3!S365)</f>
        <v>0</v>
      </c>
      <c r="T365" s="110">
        <f>AVERAGE(FASE3!U365,FASE3!V365,FASE3!W365)</f>
        <v>0</v>
      </c>
      <c r="U365" s="110">
        <f>FASE3!Y365</f>
        <v>0</v>
      </c>
      <c r="V365" s="110">
        <f>FASE3!X365</f>
        <v>0</v>
      </c>
      <c r="W365" s="110">
        <f>FASE4!M365</f>
        <v>0</v>
      </c>
      <c r="X365" s="110">
        <f t="shared" si="5"/>
        <v>0</v>
      </c>
      <c r="Y365" s="2"/>
    </row>
    <row r="366" spans="2:25" ht="15.75" customHeight="1" x14ac:dyDescent="0.25">
      <c r="B366">
        <v>9</v>
      </c>
      <c r="C366" t="s">
        <v>111</v>
      </c>
      <c r="D366" s="97">
        <v>919</v>
      </c>
      <c r="E366" s="110">
        <f>FASE1!G366</f>
        <v>0</v>
      </c>
      <c r="F366" s="110">
        <f>FASE1!M366</f>
        <v>0</v>
      </c>
      <c r="G366" s="110">
        <f>FASE1!L366</f>
        <v>0</v>
      </c>
      <c r="H366" s="110">
        <f>FASE1!R366</f>
        <v>0</v>
      </c>
      <c r="I366" s="110">
        <f>FASE1!U366</f>
        <v>0</v>
      </c>
      <c r="J366" s="110">
        <f>FASE1!U366</f>
        <v>0</v>
      </c>
      <c r="K366" s="110">
        <f>FASE1!P366</f>
        <v>0</v>
      </c>
      <c r="L366" s="110">
        <f>FASE1!V366</f>
        <v>0</v>
      </c>
      <c r="M366" s="110">
        <f>AVERAGE(FASE2!F366:G366)</f>
        <v>0</v>
      </c>
      <c r="N366" s="110">
        <f>AVERAGE(FASE2!O366:P366,FASE2!S366)</f>
        <v>0</v>
      </c>
      <c r="O366" s="110">
        <f>FASE4!K366</f>
        <v>0</v>
      </c>
      <c r="P366" s="110">
        <f>FASE2!N366</f>
        <v>0</v>
      </c>
      <c r="Q366" s="110">
        <f>FASE3!P366</f>
        <v>0</v>
      </c>
      <c r="R366" s="110">
        <f>FASE3!N366</f>
        <v>0</v>
      </c>
      <c r="S366" s="110">
        <f>AVERAGE(FASE3!Q366,FASE3!R366,FASE3!T366,FASE3!S366)</f>
        <v>0</v>
      </c>
      <c r="T366" s="110">
        <f>AVERAGE(FASE3!U366,FASE3!V366,FASE3!W366)</f>
        <v>0</v>
      </c>
      <c r="U366" s="110">
        <f>FASE3!Y366</f>
        <v>0</v>
      </c>
      <c r="V366" s="110">
        <f>FASE3!X366</f>
        <v>0</v>
      </c>
      <c r="W366" s="110">
        <f>FASE4!M366</f>
        <v>0</v>
      </c>
      <c r="X366" s="110">
        <f t="shared" si="5"/>
        <v>0</v>
      </c>
      <c r="Y366" s="2"/>
    </row>
    <row r="367" spans="2:25" ht="15.75" customHeight="1" x14ac:dyDescent="0.25">
      <c r="B367">
        <v>9</v>
      </c>
      <c r="C367" t="s">
        <v>111</v>
      </c>
      <c r="D367" s="97">
        <v>920</v>
      </c>
      <c r="E367" s="110">
        <f>FASE1!G367</f>
        <v>0</v>
      </c>
      <c r="F367" s="110">
        <f>FASE1!M367</f>
        <v>0</v>
      </c>
      <c r="G367" s="110">
        <f>FASE1!L367</f>
        <v>0</v>
      </c>
      <c r="H367" s="110">
        <f>FASE1!R367</f>
        <v>0</v>
      </c>
      <c r="I367" s="110">
        <f>FASE1!U367</f>
        <v>0</v>
      </c>
      <c r="J367" s="110">
        <f>FASE1!U367</f>
        <v>0</v>
      </c>
      <c r="K367" s="110">
        <f>FASE1!P367</f>
        <v>0</v>
      </c>
      <c r="L367" s="110">
        <f>FASE1!V367</f>
        <v>0</v>
      </c>
      <c r="M367" s="110">
        <f>AVERAGE(FASE2!F367:G367)</f>
        <v>0</v>
      </c>
      <c r="N367" s="110">
        <f>AVERAGE(FASE2!O367:P367,FASE2!S367)</f>
        <v>0</v>
      </c>
      <c r="O367" s="110">
        <f>FASE4!K367</f>
        <v>0</v>
      </c>
      <c r="P367" s="110">
        <f>FASE2!N367</f>
        <v>0</v>
      </c>
      <c r="Q367" s="110">
        <f>FASE3!P367</f>
        <v>0</v>
      </c>
      <c r="R367" s="110">
        <f>FASE3!N367</f>
        <v>0</v>
      </c>
      <c r="S367" s="110">
        <f>AVERAGE(FASE3!Q367,FASE3!R367,FASE3!T367,FASE3!S367)</f>
        <v>0</v>
      </c>
      <c r="T367" s="110">
        <f>AVERAGE(FASE3!U367,FASE3!V367,FASE3!W367)</f>
        <v>0</v>
      </c>
      <c r="U367" s="110">
        <f>FASE3!Y367</f>
        <v>0</v>
      </c>
      <c r="V367" s="110">
        <f>FASE3!X367</f>
        <v>0</v>
      </c>
      <c r="W367" s="110">
        <f>FASE4!M367</f>
        <v>0</v>
      </c>
      <c r="X367" s="110">
        <f t="shared" si="5"/>
        <v>0</v>
      </c>
      <c r="Y367" s="2"/>
    </row>
    <row r="368" spans="2:25" ht="15.75" customHeight="1" x14ac:dyDescent="0.25">
      <c r="B368">
        <v>9</v>
      </c>
      <c r="C368" t="s">
        <v>111</v>
      </c>
      <c r="D368" s="97">
        <v>921</v>
      </c>
      <c r="E368" s="110">
        <f>FASE1!G368</f>
        <v>0</v>
      </c>
      <c r="F368" s="110">
        <f>FASE1!M368</f>
        <v>0</v>
      </c>
      <c r="G368" s="110">
        <f>FASE1!L368</f>
        <v>0</v>
      </c>
      <c r="H368" s="110">
        <f>FASE1!R368</f>
        <v>0</v>
      </c>
      <c r="I368" s="110">
        <f>FASE1!U368</f>
        <v>0</v>
      </c>
      <c r="J368" s="110">
        <f>FASE1!U368</f>
        <v>0</v>
      </c>
      <c r="K368" s="110">
        <f>FASE1!P368</f>
        <v>0</v>
      </c>
      <c r="L368" s="110">
        <f>FASE1!V368</f>
        <v>0</v>
      </c>
      <c r="M368" s="110">
        <f>AVERAGE(FASE2!F368:G368)</f>
        <v>0</v>
      </c>
      <c r="N368" s="110">
        <f>AVERAGE(FASE2!O368:P368,FASE2!S368)</f>
        <v>0</v>
      </c>
      <c r="O368" s="110">
        <f>FASE4!K368</f>
        <v>0</v>
      </c>
      <c r="P368" s="110">
        <f>FASE2!N368</f>
        <v>0</v>
      </c>
      <c r="Q368" s="110">
        <f>FASE3!P368</f>
        <v>0</v>
      </c>
      <c r="R368" s="110">
        <f>FASE3!N368</f>
        <v>0</v>
      </c>
      <c r="S368" s="110">
        <f>AVERAGE(FASE3!Q368,FASE3!R368,FASE3!T368,FASE3!S368)</f>
        <v>0</v>
      </c>
      <c r="T368" s="110">
        <f>AVERAGE(FASE3!U368,FASE3!V368,FASE3!W368)</f>
        <v>0</v>
      </c>
      <c r="U368" s="110">
        <f>FASE3!Y368</f>
        <v>0</v>
      </c>
      <c r="V368" s="110">
        <f>FASE3!X368</f>
        <v>0</v>
      </c>
      <c r="W368" s="110">
        <f>FASE4!M368</f>
        <v>0</v>
      </c>
      <c r="X368" s="110">
        <f t="shared" si="5"/>
        <v>0</v>
      </c>
      <c r="Y368" s="2"/>
    </row>
    <row r="369" spans="2:25" ht="15.75" customHeight="1" x14ac:dyDescent="0.25">
      <c r="B369">
        <v>9</v>
      </c>
      <c r="C369" t="s">
        <v>131</v>
      </c>
      <c r="D369" s="97" t="s">
        <v>132</v>
      </c>
      <c r="E369" s="110">
        <f>FASE1!G369</f>
        <v>0</v>
      </c>
      <c r="F369" s="110">
        <f>FASE1!M369</f>
        <v>0</v>
      </c>
      <c r="G369" s="110">
        <f>FASE1!L369</f>
        <v>0</v>
      </c>
      <c r="H369" s="110">
        <f>FASE1!R369</f>
        <v>0</v>
      </c>
      <c r="I369" s="110">
        <f>FASE1!U369</f>
        <v>0</v>
      </c>
      <c r="J369" s="110">
        <f>FASE1!U369</f>
        <v>0</v>
      </c>
      <c r="K369" s="110">
        <f>FASE1!P369</f>
        <v>0</v>
      </c>
      <c r="L369" s="110">
        <f>FASE1!V369</f>
        <v>0</v>
      </c>
      <c r="M369" s="110">
        <f>AVERAGE(FASE2!F369:G369)</f>
        <v>0</v>
      </c>
      <c r="N369" s="110">
        <f>IFERROR(AVERAGE(FASE2!O369:P369,FASE2!S369),0)</f>
        <v>0</v>
      </c>
      <c r="O369" s="110">
        <f>FASE4!K369</f>
        <v>0</v>
      </c>
      <c r="P369" s="110">
        <f>FASE2!N369</f>
        <v>0</v>
      </c>
      <c r="Q369" s="110">
        <f>FASE3!P369</f>
        <v>0</v>
      </c>
      <c r="R369" s="110">
        <f>FASE3!N369</f>
        <v>0</v>
      </c>
      <c r="S369" s="110">
        <f>AVERAGE(FASE3!Q369,FASE3!R369,FASE3!T369,FASE3!S369)</f>
        <v>0</v>
      </c>
      <c r="T369" s="110">
        <f>AVERAGE(FASE3!U369,FASE3!V369,FASE3!W369)</f>
        <v>0</v>
      </c>
      <c r="U369" s="110">
        <f>FASE3!Y369</f>
        <v>0</v>
      </c>
      <c r="V369" s="110">
        <f>FASE3!X369</f>
        <v>0</v>
      </c>
      <c r="W369" s="110">
        <f>FASE4!M369</f>
        <v>0</v>
      </c>
      <c r="X369" s="110">
        <f t="shared" si="5"/>
        <v>0</v>
      </c>
      <c r="Y369" s="2"/>
    </row>
    <row r="370" spans="2:25" ht="15.75" customHeight="1" x14ac:dyDescent="0.25">
      <c r="D370" s="97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2"/>
    </row>
    <row r="371" spans="2:25" ht="15.75" customHeight="1" x14ac:dyDescent="0.2"/>
    <row r="372" spans="2:25" ht="16.5" customHeight="1" x14ac:dyDescent="0.25">
      <c r="C372" s="23" t="s">
        <v>133</v>
      </c>
      <c r="E372" s="111">
        <f t="shared" ref="E372:X372" si="6">AVERAGE(E13,E57,E102,E147,E192,E237,E282,E327,E369)/100</f>
        <v>0.25512391355414615</v>
      </c>
      <c r="F372" s="111">
        <f t="shared" si="6"/>
        <v>0.23016208597603949</v>
      </c>
      <c r="G372" s="111">
        <f t="shared" si="6"/>
        <v>0.28328341555085745</v>
      </c>
      <c r="H372" s="111">
        <f t="shared" si="6"/>
        <v>0.18806671364810901</v>
      </c>
      <c r="I372" s="111">
        <f t="shared" si="6"/>
        <v>0.14612403100775195</v>
      </c>
      <c r="J372" s="111">
        <f t="shared" si="6"/>
        <v>0.14612403100775195</v>
      </c>
      <c r="K372" s="111">
        <f t="shared" si="6"/>
        <v>0.19176650223161851</v>
      </c>
      <c r="L372" s="111">
        <f t="shared" si="6"/>
        <v>0.13207657975099835</v>
      </c>
      <c r="M372" s="111">
        <f t="shared" si="6"/>
        <v>2.0202020202020205E-4</v>
      </c>
      <c r="N372" s="111">
        <f t="shared" si="6"/>
        <v>8.5924594785059924E-4</v>
      </c>
      <c r="O372" s="111">
        <f t="shared" si="6"/>
        <v>0</v>
      </c>
      <c r="P372" s="111">
        <f t="shared" si="6"/>
        <v>1.3545337091848718E-3</v>
      </c>
      <c r="Q372" s="111">
        <f t="shared" si="6"/>
        <v>2.0202020202020205E-4</v>
      </c>
      <c r="R372" s="111">
        <f t="shared" si="6"/>
        <v>1.3429938924124974E-3</v>
      </c>
      <c r="S372" s="111">
        <f t="shared" si="6"/>
        <v>2.6591496358938218E-4</v>
      </c>
      <c r="T372" s="111">
        <f t="shared" si="6"/>
        <v>2.0202020202020199E-4</v>
      </c>
      <c r="U372" s="111">
        <f t="shared" si="6"/>
        <v>0</v>
      </c>
      <c r="V372" s="111">
        <f t="shared" si="6"/>
        <v>2.0202020202020205E-4</v>
      </c>
      <c r="W372" s="111">
        <f t="shared" si="6"/>
        <v>0</v>
      </c>
      <c r="X372" s="111">
        <f t="shared" si="6"/>
        <v>8.7631002336021724E-2</v>
      </c>
    </row>
    <row r="374" spans="2:25" x14ac:dyDescent="0.2">
      <c r="F374" s="107"/>
      <c r="G374" s="107"/>
      <c r="H374" s="107"/>
      <c r="I374" s="107"/>
      <c r="J374" s="107"/>
      <c r="K374" s="107"/>
      <c r="L374" s="107"/>
      <c r="M374" s="107"/>
      <c r="N374" s="107"/>
      <c r="O374" s="25"/>
      <c r="P374" s="25"/>
      <c r="Q374" s="25"/>
    </row>
    <row r="375" spans="2:25" ht="15.75" customHeight="1" x14ac:dyDescent="0.25">
      <c r="D375" s="153" t="s">
        <v>134</v>
      </c>
      <c r="E375" s="140"/>
      <c r="F375" s="99" t="s">
        <v>135</v>
      </c>
      <c r="G375" s="99" t="s">
        <v>136</v>
      </c>
      <c r="H375" s="99" t="s">
        <v>137</v>
      </c>
      <c r="I375" s="99" t="s">
        <v>138</v>
      </c>
      <c r="J375" s="99" t="s">
        <v>139</v>
      </c>
      <c r="K375" s="99" t="s">
        <v>140</v>
      </c>
      <c r="L375" s="99" t="s">
        <v>141</v>
      </c>
      <c r="M375" s="99" t="s">
        <v>142</v>
      </c>
      <c r="N375" s="99" t="s">
        <v>143</v>
      </c>
      <c r="O375" s="105"/>
      <c r="P375" s="105"/>
      <c r="Q375" s="105"/>
    </row>
    <row r="376" spans="2:25" ht="15.75" customHeight="1" x14ac:dyDescent="0.25">
      <c r="D376" s="153" t="s">
        <v>144</v>
      </c>
      <c r="E376" s="140"/>
      <c r="F376" s="100"/>
      <c r="G376" s="100">
        <f>$X19</f>
        <v>32.24444444444444</v>
      </c>
      <c r="H376" s="100">
        <f>$X37</f>
        <v>43.413888888888891</v>
      </c>
      <c r="I376" s="100">
        <f>$X55</f>
        <v>27.254166666666666</v>
      </c>
      <c r="J376" s="100">
        <f>$X73</f>
        <v>0</v>
      </c>
      <c r="K376" s="100">
        <f>X91</f>
        <v>19.722222222222221</v>
      </c>
      <c r="L376" s="100">
        <f>X109</f>
        <v>0</v>
      </c>
      <c r="M376" s="100">
        <f>X127</f>
        <v>0.83333333333333337</v>
      </c>
      <c r="N376" s="100">
        <f>X145</f>
        <v>0</v>
      </c>
      <c r="O376" s="108"/>
      <c r="P376" s="108"/>
      <c r="Q376" s="108"/>
    </row>
    <row r="378" spans="2:25" x14ac:dyDescent="0.2">
      <c r="F378" s="107"/>
      <c r="G378" s="107"/>
      <c r="H378" s="107"/>
      <c r="I378" s="107"/>
      <c r="J378" s="107"/>
      <c r="K378" s="107"/>
      <c r="L378" s="107"/>
      <c r="M378" s="107"/>
      <c r="N378" s="107"/>
      <c r="O378" s="25"/>
      <c r="P378" s="25"/>
      <c r="Q378" s="25"/>
    </row>
    <row r="379" spans="2:25" ht="15.75" customHeight="1" x14ac:dyDescent="0.25">
      <c r="D379" s="153" t="s">
        <v>145</v>
      </c>
      <c r="E379" s="140"/>
      <c r="F379" s="99" t="s">
        <v>135</v>
      </c>
      <c r="G379" s="99" t="s">
        <v>136</v>
      </c>
      <c r="H379" s="99" t="s">
        <v>137</v>
      </c>
      <c r="I379" s="99" t="s">
        <v>138</v>
      </c>
      <c r="J379" s="99" t="s">
        <v>139</v>
      </c>
      <c r="K379" s="99" t="s">
        <v>140</v>
      </c>
      <c r="L379" s="99" t="s">
        <v>141</v>
      </c>
      <c r="M379" s="99" t="s">
        <v>142</v>
      </c>
      <c r="N379" s="99" t="s">
        <v>143</v>
      </c>
      <c r="O379" s="105"/>
      <c r="P379" s="105"/>
      <c r="Q379" s="105"/>
    </row>
    <row r="380" spans="2:25" ht="15.75" customHeight="1" x14ac:dyDescent="0.25">
      <c r="D380" s="153" t="s">
        <v>144</v>
      </c>
      <c r="E380" s="140"/>
      <c r="F380" s="100"/>
      <c r="G380" s="100"/>
      <c r="H380" s="100"/>
      <c r="I380" s="100"/>
      <c r="J380" s="100"/>
      <c r="K380" s="100"/>
      <c r="L380" s="100"/>
      <c r="M380" s="100"/>
      <c r="N380" s="100"/>
      <c r="O380" s="108"/>
      <c r="P380" s="108"/>
      <c r="Q380" s="108"/>
    </row>
    <row r="381" spans="2:25" ht="15.75" customHeight="1" x14ac:dyDescent="0.2"/>
    <row r="382" spans="2:25" ht="16.5" customHeight="1" x14ac:dyDescent="0.25">
      <c r="G382" s="102">
        <v>0.996</v>
      </c>
      <c r="H382" s="103">
        <v>1</v>
      </c>
      <c r="I382" s="103">
        <v>1</v>
      </c>
      <c r="J382" s="103">
        <v>1</v>
      </c>
      <c r="K382" s="103">
        <v>1</v>
      </c>
      <c r="L382" s="103">
        <v>1</v>
      </c>
      <c r="M382" s="103">
        <v>1</v>
      </c>
      <c r="N382" s="103">
        <v>1</v>
      </c>
      <c r="O382" s="103">
        <v>0.97</v>
      </c>
      <c r="P382" s="103">
        <v>0.95</v>
      </c>
      <c r="Q382" s="104">
        <v>0.9</v>
      </c>
      <c r="X382" s="98">
        <f>AVERAGE(G382:Q382)</f>
        <v>0.9832727272727273</v>
      </c>
    </row>
    <row r="383" spans="2:25" x14ac:dyDescent="0.2">
      <c r="D383" s="154" t="s">
        <v>146</v>
      </c>
      <c r="E383" s="140"/>
      <c r="F383" s="140"/>
      <c r="G383" s="140"/>
      <c r="H383" s="140"/>
      <c r="I383" s="140"/>
      <c r="J383" s="140"/>
      <c r="K383" s="140"/>
      <c r="L383" s="140"/>
      <c r="M383" s="140"/>
      <c r="N383" s="140"/>
      <c r="O383" s="140"/>
      <c r="P383" s="140"/>
      <c r="Q383" s="140"/>
      <c r="R383" s="140"/>
      <c r="S383" s="140"/>
      <c r="T383" s="140"/>
      <c r="U383" s="140"/>
    </row>
  </sheetData>
  <mergeCells count="5">
    <mergeCell ref="D380:E380"/>
    <mergeCell ref="D375:E375"/>
    <mergeCell ref="D376:E376"/>
    <mergeCell ref="D379:E379"/>
    <mergeCell ref="D383:U383"/>
  </mergeCells>
  <conditionalFormatting sqref="E19:L19 O19:R19 U19:X19">
    <cfRule type="dataBar" priority="6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{00000000-000E-0000-0600-00005D020000}</x14:id>
        </ext>
      </extLst>
    </cfRule>
  </conditionalFormatting>
  <conditionalFormatting sqref="E37:L37 O37:R37 U37:X37">
    <cfRule type="dataBar" priority="6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{00000000-000E-0000-0600-000061020000}</x14:id>
        </ext>
      </extLst>
    </cfRule>
  </conditionalFormatting>
  <conditionalFormatting sqref="E55:L55 O55:R55 U55:X55">
    <cfRule type="dataBar" priority="6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{00000000-000E-0000-0600-000065020000}</x14:id>
        </ext>
      </extLst>
    </cfRule>
  </conditionalFormatting>
  <conditionalFormatting sqref="E73:L73 O73:R73 U73:X73">
    <cfRule type="dataBar" priority="6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{00000000-000E-0000-0600-000069020000}</x14:id>
        </ext>
      </extLst>
    </cfRule>
  </conditionalFormatting>
  <conditionalFormatting sqref="E91:L91 O91:R91 U91:X91">
    <cfRule type="dataBar" priority="6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{00000000-000E-0000-0600-00006D020000}</x14:id>
        </ext>
      </extLst>
    </cfRule>
  </conditionalFormatting>
  <conditionalFormatting sqref="E109:L109 O109:R109 U109:X109">
    <cfRule type="dataBar" priority="6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{00000000-000E-0000-0600-000071020000}</x14:id>
        </ext>
      </extLst>
    </cfRule>
  </conditionalFormatting>
  <conditionalFormatting sqref="E127:L127 O127:R127 U127:X127">
    <cfRule type="dataBar" priority="6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{00000000-000E-0000-0600-000075020000}</x14:id>
        </ext>
      </extLst>
    </cfRule>
  </conditionalFormatting>
  <conditionalFormatting sqref="E145:L145 O145:R145 U145:X145">
    <cfRule type="dataBar" priority="6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{00000000-000E-0000-0600-000079020000}</x14:id>
        </ext>
      </extLst>
    </cfRule>
  </conditionalFormatting>
  <conditionalFormatting sqref="E163:L163 O163:R163 U163:X163">
    <cfRule type="dataBar" priority="6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{00000000-000E-0000-0600-00007D020000}</x14:id>
        </ext>
      </extLst>
    </cfRule>
  </conditionalFormatting>
  <conditionalFormatting sqref="E181:L181 O181:R181 U181:X181">
    <cfRule type="dataBar" priority="6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{00000000-000E-0000-0600-000081020000}</x14:id>
        </ext>
      </extLst>
    </cfRule>
  </conditionalFormatting>
  <conditionalFormatting sqref="E2:W2 E3:T369 E370:X370 U3:W18 U19:X19 U20:W36 U37:X37 U38:W54 U55:X55 U56:W72 U73:X73 U74:W90 U91:X91 U92:W108 U109:X109 U110:W126 U127:X127 U128:W144 U145:X145 U146:W162 U163:X163 U164:W180 U181:X181 U182:W369">
    <cfRule type="dataBar" priority="6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{00000000-000E-0000-0600-000087020000}</x14:id>
        </ext>
      </extLst>
    </cfRule>
  </conditionalFormatting>
  <conditionalFormatting sqref="E370:X370">
    <cfRule type="dataBar" priority="6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{00000000-000E-0000-0600-0000B6020000}</x14:id>
        </ext>
      </extLst>
    </cfRule>
  </conditionalFormatting>
  <conditionalFormatting sqref="E372:X372">
    <cfRule type="dataBar" priority="6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{00000000-000E-0000-0600-000085020000}</x14:id>
        </ext>
      </extLst>
    </cfRule>
  </conditionalFormatting>
  <conditionalFormatting sqref="G382:Q382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{00000000-000E-0000-0600-000003000000}</x14:id>
        </ext>
      </extLst>
    </cfRule>
  </conditionalFormatting>
  <conditionalFormatting sqref="X2:X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{00000000-000E-0000-0600-00001A000000}</x14:id>
        </ext>
      </extLst>
    </cfRule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{00000000-000E-0000-0600-00001B000000}</x14:id>
        </ext>
      </extLst>
    </cfRule>
  </conditionalFormatting>
  <conditionalFormatting sqref="X20:X36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{00000000-000E-0000-0600-000018000000}</x14:id>
        </ext>
      </extLst>
    </cfRule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{00000000-000E-0000-0600-000019000000}</x14:id>
        </ext>
      </extLst>
    </cfRule>
  </conditionalFormatting>
  <conditionalFormatting sqref="X38:X54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{00000000-000E-0000-0600-000016000000}</x14:id>
        </ext>
      </extLst>
    </cfRule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{00000000-000E-0000-0600-000017000000}</x14:id>
        </ext>
      </extLst>
    </cfRule>
  </conditionalFormatting>
  <conditionalFormatting sqref="X56:X7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{00000000-000E-0000-0600-000014000000}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{00000000-000E-0000-0600-000015000000}</x14:id>
        </ext>
      </extLst>
    </cfRule>
  </conditionalFormatting>
  <conditionalFormatting sqref="X74:X90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{00000000-000E-0000-0600-000012000000}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{00000000-000E-0000-0600-000013000000}</x14:id>
        </ext>
      </extLst>
    </cfRule>
  </conditionalFormatting>
  <conditionalFormatting sqref="X92:X108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{00000000-000E-0000-0600-000010000000}</x14:id>
        </ext>
      </extLst>
    </cfRule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{00000000-000E-0000-0600-000011000000}</x14:id>
        </ext>
      </extLst>
    </cfRule>
  </conditionalFormatting>
  <conditionalFormatting sqref="X109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{00000000-000E-0000-0600-000021000000}</x14:id>
        </ext>
      </extLst>
    </cfRule>
  </conditionalFormatting>
  <conditionalFormatting sqref="X110:X126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{00000000-000E-0000-0600-00000E000000}</x14:id>
        </ext>
      </extLst>
    </cfRule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{00000000-000E-0000-0600-00000F000000}</x14:id>
        </ext>
      </extLst>
    </cfRule>
  </conditionalFormatting>
  <conditionalFormatting sqref="X127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{00000000-000E-0000-0600-000020000000}</x14:id>
        </ext>
      </extLst>
    </cfRule>
  </conditionalFormatting>
  <conditionalFormatting sqref="X128:X14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{00000000-000E-0000-0600-00000C000000}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{00000000-000E-0000-0600-00000D000000}</x14:id>
        </ext>
      </extLst>
    </cfRule>
  </conditionalFormatting>
  <conditionalFormatting sqref="X145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{00000000-000E-0000-0600-00001F000000}</x14:id>
        </ext>
      </extLst>
    </cfRule>
  </conditionalFormatting>
  <conditionalFormatting sqref="X146:X162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{00000000-000E-0000-0600-00000A000000}</x14:id>
        </ext>
      </extLst>
    </cfRule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{00000000-000E-0000-0600-00000B000000}</x14:id>
        </ext>
      </extLst>
    </cfRule>
  </conditionalFormatting>
  <conditionalFormatting sqref="X163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{00000000-000E-0000-0600-00001E000000}</x14:id>
        </ext>
      </extLst>
    </cfRule>
  </conditionalFormatting>
  <conditionalFormatting sqref="X164:X180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{00000000-000E-0000-0600-000008000000}</x14:id>
        </ext>
      </extLst>
    </cfRule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{00000000-000E-0000-0600-000009000000}</x14:id>
        </ext>
      </extLst>
    </cfRule>
  </conditionalFormatting>
  <conditionalFormatting sqref="X181">
    <cfRule type="dataBar" priority="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{00000000-000E-0000-0600-00001D000000}</x14:id>
        </ext>
      </extLst>
    </cfRule>
  </conditionalFormatting>
  <conditionalFormatting sqref="X182:X369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{00000000-000E-0000-0600-000006000000}</x14:id>
        </ext>
      </extLst>
    </cfRule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{00000000-000E-0000-0600-000007000000}</x14:id>
        </ext>
      </extLst>
    </cfRule>
  </conditionalFormatting>
  <conditionalFormatting sqref="X370">
    <cfRule type="dataBar" priority="6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{00000000-000E-0000-0600-00005C020000}</x14:id>
        </ext>
      </extLst>
    </cfRule>
  </conditionalFormatting>
  <conditionalFormatting sqref="X382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{00000000-000E-0000-0600-000001000000}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0000000-000E-0000-0600-00005D020000}">
            <x14:dataBar minLength="0" maxLength="100" negativeBarColorSameAsPositive="1" axisPosition="none">
              <x14:cfvo type="min"/>
              <x14:cfvo type="max"/>
            </x14:dataBar>
          </x14:cfRule>
          <xm:sqref>E19:L19 O19:R19 U19:X19</xm:sqref>
        </x14:conditionalFormatting>
        <x14:conditionalFormatting xmlns:xm="http://schemas.microsoft.com/office/excel/2006/main">
          <x14:cfRule type="dataBar" id="{00000000-000E-0000-0600-000061020000}">
            <x14:dataBar minLength="0" maxLength="100" negativeBarColorSameAsPositive="1" axisPosition="none">
              <x14:cfvo type="min"/>
              <x14:cfvo type="max"/>
            </x14:dataBar>
          </x14:cfRule>
          <xm:sqref>E37:L37 O37:R37 U37:X37</xm:sqref>
        </x14:conditionalFormatting>
        <x14:conditionalFormatting xmlns:xm="http://schemas.microsoft.com/office/excel/2006/main">
          <x14:cfRule type="dataBar" id="{00000000-000E-0000-0600-000065020000}">
            <x14:dataBar minLength="0" maxLength="100" negativeBarColorSameAsPositive="1" axisPosition="none">
              <x14:cfvo type="min"/>
              <x14:cfvo type="max"/>
            </x14:dataBar>
          </x14:cfRule>
          <xm:sqref>E55:L55 O55:R55 U55:X55</xm:sqref>
        </x14:conditionalFormatting>
        <x14:conditionalFormatting xmlns:xm="http://schemas.microsoft.com/office/excel/2006/main">
          <x14:cfRule type="dataBar" id="{00000000-000E-0000-0600-000069020000}">
            <x14:dataBar minLength="0" maxLength="100" negativeBarColorSameAsPositive="1" axisPosition="none">
              <x14:cfvo type="min"/>
              <x14:cfvo type="max"/>
            </x14:dataBar>
          </x14:cfRule>
          <xm:sqref>E73:L73 O73:R73 U73:X73</xm:sqref>
        </x14:conditionalFormatting>
        <x14:conditionalFormatting xmlns:xm="http://schemas.microsoft.com/office/excel/2006/main">
          <x14:cfRule type="dataBar" id="{00000000-000E-0000-0600-00006D020000}">
            <x14:dataBar minLength="0" maxLength="100" negativeBarColorSameAsPositive="1" axisPosition="none">
              <x14:cfvo type="min"/>
              <x14:cfvo type="max"/>
            </x14:dataBar>
          </x14:cfRule>
          <xm:sqref>E91:L91 O91:R91 U91:X91</xm:sqref>
        </x14:conditionalFormatting>
        <x14:conditionalFormatting xmlns:xm="http://schemas.microsoft.com/office/excel/2006/main">
          <x14:cfRule type="dataBar" id="{00000000-000E-0000-0600-000071020000}">
            <x14:dataBar minLength="0" maxLength="100" negativeBarColorSameAsPositive="1" axisPosition="none">
              <x14:cfvo type="min"/>
              <x14:cfvo type="max"/>
            </x14:dataBar>
          </x14:cfRule>
          <xm:sqref>E109:L109 O109:R109 U109:X109</xm:sqref>
        </x14:conditionalFormatting>
        <x14:conditionalFormatting xmlns:xm="http://schemas.microsoft.com/office/excel/2006/main">
          <x14:cfRule type="dataBar" id="{00000000-000E-0000-0600-000075020000}">
            <x14:dataBar minLength="0" maxLength="100" negativeBarColorSameAsPositive="1" axisPosition="none">
              <x14:cfvo type="min"/>
              <x14:cfvo type="max"/>
            </x14:dataBar>
          </x14:cfRule>
          <xm:sqref>E127:L127 O127:R127 U127:X127</xm:sqref>
        </x14:conditionalFormatting>
        <x14:conditionalFormatting xmlns:xm="http://schemas.microsoft.com/office/excel/2006/main">
          <x14:cfRule type="dataBar" id="{00000000-000E-0000-0600-000079020000}">
            <x14:dataBar minLength="0" maxLength="100" negativeBarColorSameAsPositive="1" axisPosition="none">
              <x14:cfvo type="min"/>
              <x14:cfvo type="max"/>
            </x14:dataBar>
          </x14:cfRule>
          <xm:sqref>E145:L145 O145:R145 U145:X145</xm:sqref>
        </x14:conditionalFormatting>
        <x14:conditionalFormatting xmlns:xm="http://schemas.microsoft.com/office/excel/2006/main">
          <x14:cfRule type="dataBar" id="{00000000-000E-0000-0600-00007D020000}">
            <x14:dataBar minLength="0" maxLength="100" negativeBarColorSameAsPositive="1" axisPosition="none">
              <x14:cfvo type="min"/>
              <x14:cfvo type="max"/>
            </x14:dataBar>
          </x14:cfRule>
          <xm:sqref>E163:L163 O163:R163 U163:X163</xm:sqref>
        </x14:conditionalFormatting>
        <x14:conditionalFormatting xmlns:xm="http://schemas.microsoft.com/office/excel/2006/main">
          <x14:cfRule type="dataBar" id="{00000000-000E-0000-0600-000081020000}">
            <x14:dataBar minLength="0" maxLength="100" negativeBarColorSameAsPositive="1" axisPosition="none">
              <x14:cfvo type="min"/>
              <x14:cfvo type="max"/>
            </x14:dataBar>
          </x14:cfRule>
          <xm:sqref>E181:L181 O181:R181 U181:X181</xm:sqref>
        </x14:conditionalFormatting>
        <x14:conditionalFormatting xmlns:xm="http://schemas.microsoft.com/office/excel/2006/main">
          <x14:cfRule type="dataBar" id="{00000000-000E-0000-0600-000087020000}">
            <x14:dataBar minLength="0" maxLength="100" negativeBarColorSameAsPositive="1" axisPosition="none">
              <x14:cfvo type="min"/>
              <x14:cfvo type="max"/>
            </x14:dataBar>
          </x14:cfRule>
          <xm:sqref>E2:W2 E3:T369 E370:X370 U3:W18 U19:X19 U20:W36 U37:X37 U38:W54 U55:X55 U56:W72 U73:X73 U74:W90 U91:X91 U92:W108 U109:X109 U110:W126 U127:X127 U128:W144 U145:X145 U146:W162 U163:X163 U164:W180 U181:X181 U182:W369</xm:sqref>
        </x14:conditionalFormatting>
        <x14:conditionalFormatting xmlns:xm="http://schemas.microsoft.com/office/excel/2006/main">
          <x14:cfRule type="dataBar" id="{00000000-000E-0000-0600-0000B6020000}">
            <x14:dataBar minLength="0" maxLength="100" negativeBarColorSameAsPositive="1" axisPosition="none">
              <x14:cfvo type="min"/>
              <x14:cfvo type="max"/>
            </x14:dataBar>
          </x14:cfRule>
          <xm:sqref>E370:X370</xm:sqref>
        </x14:conditionalFormatting>
        <x14:conditionalFormatting xmlns:xm="http://schemas.microsoft.com/office/excel/2006/main">
          <x14:cfRule type="dataBar" id="{00000000-000E-0000-0600-000085020000}">
            <x14:dataBar minLength="0" maxLength="100" negativeBarColorSameAsPositive="1" axisPosition="none">
              <x14:cfvo type="min"/>
              <x14:cfvo type="max"/>
            </x14:dataBar>
          </x14:cfRule>
          <xm:sqref>E372:X372</xm:sqref>
        </x14:conditionalFormatting>
        <x14:conditionalFormatting xmlns:xm="http://schemas.microsoft.com/office/excel/2006/main">
          <x14:cfRule type="dataBar" id="{00000000-000E-0000-0600-000003000000}">
            <x14:dataBar minLength="0" maxLength="100" negativeBarColorSameAsPositive="1" axisPosition="none">
              <x14:cfvo type="min"/>
              <x14:cfvo type="max"/>
            </x14:dataBar>
          </x14:cfRule>
          <xm:sqref>G382:Q382</xm:sqref>
        </x14:conditionalFormatting>
        <x14:conditionalFormatting xmlns:xm="http://schemas.microsoft.com/office/excel/2006/main">
          <x14:cfRule type="dataBar" id="{00000000-000E-0000-0600-00001A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B000000}">
            <x14:dataBar minLength="0" maxLength="100" negativeBarColorSameAsPositive="1" axisPosition="none">
              <x14:cfvo type="min"/>
              <x14:cfvo type="max"/>
            </x14:dataBar>
          </x14:cfRule>
          <xm:sqref>X2:X18</xm:sqref>
        </x14:conditionalFormatting>
        <x14:conditionalFormatting xmlns:xm="http://schemas.microsoft.com/office/excel/2006/main">
          <x14:cfRule type="dataBar" id="{00000000-000E-0000-0600-000018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9000000}">
            <x14:dataBar minLength="0" maxLength="100" negativeBarColorSameAsPositive="1" axisPosition="none">
              <x14:cfvo type="min"/>
              <x14:cfvo type="max"/>
            </x14:dataBar>
          </x14:cfRule>
          <xm:sqref>X20:X36</xm:sqref>
        </x14:conditionalFormatting>
        <x14:conditionalFormatting xmlns:xm="http://schemas.microsoft.com/office/excel/2006/main">
          <x14:cfRule type="dataBar" id="{00000000-000E-0000-0600-000016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7000000}">
            <x14:dataBar minLength="0" maxLength="100" negativeBarColorSameAsPositive="1" axisPosition="none">
              <x14:cfvo type="min"/>
              <x14:cfvo type="max"/>
            </x14:dataBar>
          </x14:cfRule>
          <xm:sqref>X38:X54</xm:sqref>
        </x14:conditionalFormatting>
        <x14:conditionalFormatting xmlns:xm="http://schemas.microsoft.com/office/excel/2006/main">
          <x14:cfRule type="dataBar" id="{00000000-000E-0000-0600-000014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5000000}">
            <x14:dataBar minLength="0" maxLength="100" negativeBarColorSameAsPositive="1" axisPosition="none">
              <x14:cfvo type="min"/>
              <x14:cfvo type="max"/>
            </x14:dataBar>
          </x14:cfRule>
          <xm:sqref>X56:X72</xm:sqref>
        </x14:conditionalFormatting>
        <x14:conditionalFormatting xmlns:xm="http://schemas.microsoft.com/office/excel/2006/main">
          <x14:cfRule type="dataBar" id="{00000000-000E-0000-0600-000012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3000000}">
            <x14:dataBar minLength="0" maxLength="100" negativeBarColorSameAsPositive="1" axisPosition="none">
              <x14:cfvo type="min"/>
              <x14:cfvo type="max"/>
            </x14:dataBar>
          </x14:cfRule>
          <xm:sqref>X74:X90</xm:sqref>
        </x14:conditionalFormatting>
        <x14:conditionalFormatting xmlns:xm="http://schemas.microsoft.com/office/excel/2006/main">
          <x14:cfRule type="dataBar" id="{00000000-000E-0000-0600-000010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11000000}">
            <x14:dataBar minLength="0" maxLength="100" negativeBarColorSameAsPositive="1" axisPosition="none">
              <x14:cfvo type="min"/>
              <x14:cfvo type="max"/>
            </x14:dataBar>
          </x14:cfRule>
          <xm:sqref>X92:X108</xm:sqref>
        </x14:conditionalFormatting>
        <x14:conditionalFormatting xmlns:xm="http://schemas.microsoft.com/office/excel/2006/main">
          <x14:cfRule type="dataBar" id="{00000000-000E-0000-0600-000021000000}">
            <x14:dataBar minLength="0" maxLength="100" negativeBarColorSameAsPositive="1" axisPosition="none">
              <x14:cfvo type="min"/>
              <x14:cfvo type="max"/>
            </x14:dataBar>
          </x14:cfRule>
          <xm:sqref>X109</xm:sqref>
        </x14:conditionalFormatting>
        <x14:conditionalFormatting xmlns:xm="http://schemas.microsoft.com/office/excel/2006/main">
          <x14:cfRule type="dataBar" id="{00000000-000E-0000-0600-00000E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0F000000}">
            <x14:dataBar minLength="0" maxLength="100" negativeBarColorSameAsPositive="1" axisPosition="none">
              <x14:cfvo type="min"/>
              <x14:cfvo type="max"/>
            </x14:dataBar>
          </x14:cfRule>
          <xm:sqref>X110:X126</xm:sqref>
        </x14:conditionalFormatting>
        <x14:conditionalFormatting xmlns:xm="http://schemas.microsoft.com/office/excel/2006/main">
          <x14:cfRule type="dataBar" id="{00000000-000E-0000-0600-000020000000}">
            <x14:dataBar minLength="0" maxLength="100" negativeBarColorSameAsPositive="1" axisPosition="none">
              <x14:cfvo type="min"/>
              <x14:cfvo type="max"/>
            </x14:dataBar>
          </x14:cfRule>
          <xm:sqref>X127</xm:sqref>
        </x14:conditionalFormatting>
        <x14:conditionalFormatting xmlns:xm="http://schemas.microsoft.com/office/excel/2006/main">
          <x14:cfRule type="dataBar" id="{00000000-000E-0000-0600-00000C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0D000000}">
            <x14:dataBar minLength="0" maxLength="100" negativeBarColorSameAsPositive="1" axisPosition="none">
              <x14:cfvo type="min"/>
              <x14:cfvo type="max"/>
            </x14:dataBar>
          </x14:cfRule>
          <xm:sqref>X128:X144</xm:sqref>
        </x14:conditionalFormatting>
        <x14:conditionalFormatting xmlns:xm="http://schemas.microsoft.com/office/excel/2006/main">
          <x14:cfRule type="dataBar" id="{00000000-000E-0000-0600-00001F000000}">
            <x14:dataBar minLength="0" maxLength="100" negativeBarColorSameAsPositive="1" axisPosition="none">
              <x14:cfvo type="min"/>
              <x14:cfvo type="max"/>
            </x14:dataBar>
          </x14:cfRule>
          <xm:sqref>X145</xm:sqref>
        </x14:conditionalFormatting>
        <x14:conditionalFormatting xmlns:xm="http://schemas.microsoft.com/office/excel/2006/main">
          <x14:cfRule type="dataBar" id="{00000000-000E-0000-0600-00000A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0B000000}">
            <x14:dataBar minLength="0" maxLength="100" negativeBarColorSameAsPositive="1" axisPosition="none">
              <x14:cfvo type="min"/>
              <x14:cfvo type="max"/>
            </x14:dataBar>
          </x14:cfRule>
          <xm:sqref>X146:X162</xm:sqref>
        </x14:conditionalFormatting>
        <x14:conditionalFormatting xmlns:xm="http://schemas.microsoft.com/office/excel/2006/main">
          <x14:cfRule type="dataBar" id="{00000000-000E-0000-0600-00001E000000}">
            <x14:dataBar minLength="0" maxLength="100" negativeBarColorSameAsPositive="1" axisPosition="none">
              <x14:cfvo type="min"/>
              <x14:cfvo type="max"/>
            </x14:dataBar>
          </x14:cfRule>
          <xm:sqref>X163</xm:sqref>
        </x14:conditionalFormatting>
        <x14:conditionalFormatting xmlns:xm="http://schemas.microsoft.com/office/excel/2006/main">
          <x14:cfRule type="dataBar" id="{00000000-000E-0000-0600-000008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09000000}">
            <x14:dataBar minLength="0" maxLength="100" negativeBarColorSameAsPositive="1" axisPosition="none">
              <x14:cfvo type="min"/>
              <x14:cfvo type="max"/>
            </x14:dataBar>
          </x14:cfRule>
          <xm:sqref>X164:X180</xm:sqref>
        </x14:conditionalFormatting>
        <x14:conditionalFormatting xmlns:xm="http://schemas.microsoft.com/office/excel/2006/main">
          <x14:cfRule type="dataBar" id="{00000000-000E-0000-0600-00001D000000}">
            <x14:dataBar minLength="0" maxLength="100" negativeBarColorSameAsPositive="1" axisPosition="none">
              <x14:cfvo type="min"/>
              <x14:cfvo type="max"/>
            </x14:dataBar>
          </x14:cfRule>
          <xm:sqref>X181</xm:sqref>
        </x14:conditionalFormatting>
        <x14:conditionalFormatting xmlns:xm="http://schemas.microsoft.com/office/excel/2006/main">
          <x14:cfRule type="dataBar" id="{00000000-000E-0000-0600-000006000000}">
            <x14:dataBar minLength="0" maxLength="100" negativeBarColorSameAsPositive="1" axisPosition="none">
              <x14:cfvo type="min"/>
              <x14:cfvo type="max"/>
            </x14:dataBar>
          </x14:cfRule>
          <x14:cfRule type="dataBar" id="{00000000-000E-0000-0600-000007000000}">
            <x14:dataBar minLength="0" maxLength="100" negativeBarColorSameAsPositive="1" axisPosition="none">
              <x14:cfvo type="min"/>
              <x14:cfvo type="max"/>
            </x14:dataBar>
          </x14:cfRule>
          <xm:sqref>X182:X369</xm:sqref>
        </x14:conditionalFormatting>
        <x14:conditionalFormatting xmlns:xm="http://schemas.microsoft.com/office/excel/2006/main">
          <x14:cfRule type="dataBar" id="{00000000-000E-0000-0600-00005C020000}">
            <x14:dataBar minLength="0" maxLength="100" negativeBarColorSameAsPositive="1" axisPosition="none">
              <x14:cfvo type="min"/>
              <x14:cfvo type="max"/>
            </x14:dataBar>
          </x14:cfRule>
          <xm:sqref>X370</xm:sqref>
        </x14:conditionalFormatting>
        <x14:conditionalFormatting xmlns:xm="http://schemas.microsoft.com/office/excel/2006/main">
          <x14:cfRule type="dataBar" id="{00000000-000E-0000-0600-000001000000}">
            <x14:dataBar minLength="0" maxLength="100" negativeBarColorSameAsPositive="1" axisPosition="none">
              <x14:cfvo type="min"/>
              <x14:cfvo type="max"/>
            </x14:dataBar>
          </x14:cfRule>
          <xm:sqref>X382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AVANCE SEMANAL 1</vt:lpstr>
      <vt:lpstr>RESUMEN</vt:lpstr>
      <vt:lpstr>FASE1</vt:lpstr>
      <vt:lpstr>FASE2</vt:lpstr>
      <vt:lpstr>FASE3</vt:lpstr>
      <vt:lpstr>FASE4</vt:lpstr>
      <vt:lpstr>SEGUIMIENTO R.CRITICA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e7bff</cp:lastModifiedBy>
  <dcterms:created xsi:type="dcterms:W3CDTF">2026-08-31T21:51:57Z</dcterms:created>
  <dcterms:modified xsi:type="dcterms:W3CDTF">2026-09-02T18:48:54Z</dcterms:modified>
</cp:coreProperties>
</file>