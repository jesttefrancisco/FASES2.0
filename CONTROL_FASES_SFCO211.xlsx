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pivotTables/pivotTable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0.xml" ContentType="application/vnd.openxmlformats-officedocument.spreadsheetml.worksheet+xml"/>
  <Override PartName="/xl/comments1.xml" ContentType="application/vnd.openxmlformats-officedocument.spreadsheetml.comments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9431ca07a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ANCE SEMANAL 1" sheetId="5" r:id="R0ba9320672ff41f0"/>
    <x:sheet xmlns:r="http://schemas.openxmlformats.org/officeDocument/2006/relationships" name="RESUMEN" sheetId="53" r:id="Rc6e9193bb5e1409f"/>
    <x:sheet xmlns:r="http://schemas.openxmlformats.org/officeDocument/2006/relationships" name="FASE1" sheetId="54" r:id="Rbc99c305679c444b"/>
    <x:sheet xmlns:r="http://schemas.openxmlformats.org/officeDocument/2006/relationships" name="FASE2" sheetId="55" r:id="R11ab5f8c185a4826"/>
    <x:sheet xmlns:r="http://schemas.openxmlformats.org/officeDocument/2006/relationships" name="FASE3" sheetId="56" r:id="R7814079249054f52"/>
    <x:sheet xmlns:r="http://schemas.openxmlformats.org/officeDocument/2006/relationships" name="FASE4" sheetId="57" r:id="R9232fcb1c3174a5a"/>
    <x:sheet xmlns:r="http://schemas.openxmlformats.org/officeDocument/2006/relationships" name="SEGUIMIENTO R.CRITICA" sheetId="50" r:id="R485bace13111482f"/>
    <x:sheet xmlns:r="http://schemas.openxmlformats.org/officeDocument/2006/relationships" name="IMPRIMIR" sheetId="51" r:id="Rd854151757cc44c2"/>
    <x:sheet xmlns:r="http://schemas.openxmlformats.org/officeDocument/2006/relationships" name="Hoja2" sheetId="49" r:id="R4b25072fce9548ea"/>
    <x:sheet xmlns:r="http://schemas.openxmlformats.org/officeDocument/2006/relationships" name="PROJECT TA Y TB KARINA" sheetId="7" r:id="R48d7a1f038de4abc"/>
    <x:sheet xmlns:r="http://schemas.openxmlformats.org/officeDocument/2006/relationships" name="EXEL KARINA" sheetId="31" r:id="R93057f761470450f"/>
    <x:sheet xmlns:r="http://schemas.openxmlformats.org/officeDocument/2006/relationships" name="PROJECT OBRA TA Y TB" sheetId="30" r:id="Rd8933487227e4751"/>
    <x:sheet xmlns:r="http://schemas.openxmlformats.org/officeDocument/2006/relationships" name="GRAFICOS TA Y TB" sheetId="8" r:id="R16e155a1a79c4cc7"/>
    <x:sheet xmlns:r="http://schemas.openxmlformats.org/officeDocument/2006/relationships" name="PROG TERMINACIONES" sheetId="29" r:id="R93f3e4e675b84f47"/>
  </x:sheets>
  <x:pivotCaches>
    <x:pivotCache xmlns:r="http://schemas.openxmlformats.org/officeDocument/2006/relationships" cacheId="5" r:id="R975092a8312d4c02"/>
  </x:pivotCaches>
</x:workbook>
</file>

<file path=xl/comments1.xml><?xml version="1.0" encoding="utf-8"?>
<x:comments xmlns:x="http://schemas.openxmlformats.org/spreadsheetml/2006/main">
  <x:authors>
    <x:author>Autor</x:author>
  </x:authors>
  <x:commentList>
    <x:comment ref="W5" authorId="0">
      <x:text>
        <x:r>
          <x:t>Autor:
AVANCE DEACUERDO A LAST PLANER</x:t>
        </x:r>
      </x:text>
    </x:comment>
    <x:comment ref="W63" authorId="0">
      <x:text>
        <x:r>
          <x:t>Autor:
AVANCE DEACUERDO A LAST PLANER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<x:sst xmlns:x="http://schemas.openxmlformats.org/spreadsheetml/2006/main">
  <x:si>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AVANCE SEMANAL  POR PARTIDAS  LYON</x:t>
  </x:si>
  <x:si>
    <x:t xml:space="preserve">MAYO</x:t>
  </x:si>
  <x:si>
    <x:t xml:space="preserve">JUNIO</x:t>
  </x:si>
  <x:si>
    <x:t xml:space="preserve">JUNIO </x:t>
  </x:si>
  <x:si>
    <x:t xml:space="preserve">JULIO</x:t>
  </x:si>
  <x:si>
    <x:t xml:space="preserve">AGOSTO</x:t>
  </x:si>
  <x:si>
    <x:t xml:space="preserve">Partidas </x:t>
  </x:si>
  <x:si>
    <x:t xml:space="preserve">PISO</x:t>
  </x:si>
  <x:si>
    <x:t xml:space="preserve">% Avance Real</x:t>
  </x:si>
  <x:si>
    <x:t xml:space="preserve">% Avance Programado</x:t>
  </x:si>
  <x:si>
    <x:t xml:space="preserve">Insidencia en Dias</x:t>
  </x:si>
  <x:si>
    <x:t xml:space="preserve">METAS</x:t>
  </x:si>
  <x:si>
    <x:t xml:space="preserve">NOVIEMBRE </x:t>
  </x:si>
  <x:si>
    <x:t xml:space="preserve">DICIEMBRE</x:t>
  </x:si>
  <x:si>
    <x:t xml:space="preserve">ENERO</x:t>
  </x:si>
  <x:si>
    <x:t xml:space="preserve">FEBRERO </x:t>
  </x:si>
  <x:si>
    <x:t xml:space="preserve">MARZO </x:t>
  </x:si>
  <x:si>
    <x:t xml:space="preserve">FASE 1 </x:t>
  </x:si>
  <x:si>
    <x:t xml:space="preserve">Recepción Obra Gruesa</x:t>
  </x:si>
  <x:si>
    <x:t xml:space="preserve">Cangueo y desbaste de pisos</x:t>
  </x:si>
  <x:si>
    <x:t xml:space="preserve">Retiro camisas / Tapado Pasadas</x:t>
  </x:si>
  <x:si>
    <x:t xml:space="preserve">Pulido, descarachado y preparacion de muros</x:t>
  </x:si>
  <x:si>
    <x:t xml:space="preserve">Trazado tabique/Yeso/auxiliares vent. Y puertas</x:t>
  </x:si>
  <x:si>
    <x:t xml:space="preserve">Chequeo Rasgos Puerta Acceso</x:t>
  </x:si>
  <x:si>
    <x:t xml:space="preserve">Grada Buque (9cm)</x:t>
  </x:si>
  <x:si>
    <x:t xml:space="preserve">Rasgo ventana - terrazas</x:t>
  </x:si>
  <x:si>
    <x:t xml:space="preserve">Despeje caja electricas </x:t>
  </x:si>
  <x:si>
    <x:t xml:space="preserve">Yeso Muro</x:t>
  </x:si>
  <x:si>
    <x:t xml:space="preserve">Yeso Cielo</x:t>
  </x:si>
  <x:si>
    <x:t xml:space="preserve">Sanitario vertical y ramal</x:t>
  </x:si>
  <x:si>
    <x:t xml:space="preserve">Instalación Lana Mineral</x:t>
  </x:si>
  <x:si>
    <x:t xml:space="preserve">Ductos de Extracción</x:t>
  </x:si>
  <x:si>
    <x:t xml:space="preserve">Maquillaje de Terraza</x:t>
  </x:si>
  <x:si>
    <x:t xml:space="preserve">Tabique 1° Cara</x:t>
  </x:si>
  <x:si>
    <x:t xml:space="preserve">Aislación Interior y Refuerzo Plasma</x:t>
  </x:si>
  <x:si>
    <x:t xml:space="preserve">Enlauchado</x:t>
  </x:si>
  <x:si>
    <x:t xml:space="preserve">Instalaciones Interior Tabique</x:t>
  </x:si>
  <x:si>
    <x:t xml:space="preserve">Tabique 2° cara </x:t>
  </x:si>
  <x:si>
    <x:t xml:space="preserve">Shaft /Tabique</x:t>
  </x:si>
  <x:si>
    <x:t xml:space="preserve">Mochetas y Dinteles Puerta Acceso</x:t>
  </x:si>
  <x:si>
    <x:t xml:space="preserve">FASE 2</x:t>
  </x:si>
  <x:si>
    <x:t xml:space="preserve">ABRIL</x:t>
  </x:si>
  <x:si>
    <x:t xml:space="preserve">Huinchas tabiques</x:t>
  </x:si>
  <x:si>
    <x:t xml:space="preserve">Instalación Marco Puerta Acceso</x:t>
  </x:si>
  <x:si>
    <x:t xml:space="preserve">Marcos Puertas Interiores</x:t>
  </x:si>
  <x:si>
    <x:t xml:space="preserve">Impermeabilizacion Baños</x:t>
  </x:si>
  <x:si>
    <x:t xml:space="preserve">Impermeabilizacion Terrazas</x:t>
  </x:si>
  <x:si>
    <x:t xml:space="preserve">Preparación de Pisos</x:t>
  </x:si>
  <x:si>
    <x:t xml:space="preserve">Instalacion de tina/Receptaculo</x:t>
  </x:si>
  <x:si>
    <x:t xml:space="preserve">Protección Tina/receptaculo</x:t>
  </x:si>
  <x:si>
    <x:t xml:space="preserve">Faldon de tina.</x:t>
  </x:si>
  <x:si>
    <x:t xml:space="preserve">Instalación Ventana</x:t>
  </x:si>
  <x:si>
    <x:t xml:space="preserve">Ceramica Pisos</x:t>
  </x:si>
  <x:si>
    <x:t xml:space="preserve">Ceramica Muros</x:t>
  </x:si>
  <x:si>
    <x:t xml:space="preserve">Instalación de Gargolas en Terraza</x:t>
  </x:si>
  <x:si>
    <x:t xml:space="preserve">Frague</x:t>
  </x:si>
  <x:si>
    <x:t xml:space="preserve">Cerámica de Terrazas</x:t>
  </x:si>
  <x:si>
    <x:t xml:space="preserve">FASE 3</x:t>
  </x:si>
  <x:si>
    <x:t xml:space="preserve">Instalación piernas de closet</x:t>
  </x:si>
  <x:si>
    <x:t xml:space="preserve">Instalación Cornisas</x:t>
  </x:si>
  <x:si>
    <x:t xml:space="preserve">Cuadratura de cajas.</x:t>
  </x:si>
  <x:si>
    <x:t xml:space="preserve">Remate yeso y cornisas</x:t>
  </x:si>
  <x:si>
    <x:t xml:space="preserve">Puertas interiores</x:t>
  </x:si>
  <x:si>
    <x:t xml:space="preserve">Puertas de acceso y pasillo</x:t>
  </x:si>
  <x:si>
    <x:t xml:space="preserve">Cerradura Puertas </x:t>
  </x:si>
  <x:si>
    <x:t xml:space="preserve">Cableado Eléctrico y CCDD</x:t>
  </x:si>
  <x:si>
    <x:t xml:space="preserve">Canterias</x:t>
  </x:si>
  <x:si>
    <x:t xml:space="preserve">Empaste Muro Cielo</x:t>
  </x:si>
  <x:si>
    <x:t xml:space="preserve">Instalacion Guardapolvo</x:t>
  </x:si>
  <x:si>
    <x:t xml:space="preserve">Instalación de Baranda de Crital</x:t>
  </x:si>
  <x:si>
    <x:t xml:space="preserve">Pintura Cielo Terrazas</x:t>
  </x:si>
  <x:si>
    <x:t xml:space="preserve">Grano Muros Terrazas </x:t>
  </x:si>
  <x:si>
    <x:t xml:space="preserve">Losalin Cielo Departamento </x:t>
  </x:si>
  <x:si>
    <x:t xml:space="preserve">Pintura Cielo Baños</x:t>
  </x:si>
  <x:si>
    <x:t xml:space="preserve">Instalacion de Muebles baño</x:t>
  </x:si>
  <x:si>
    <x:t xml:space="preserve">Instalacion Muebles de cocina (Base)</x:t>
  </x:si>
  <x:si>
    <x:t xml:space="preserve">Instalacion Muebles de cocina (Aereo)</x:t>
  </x:si>
  <x:si>
    <x:t xml:space="preserve">Instalación cubiertas cocina</x:t>
  </x:si>
  <x:si>
    <x:t xml:space="preserve">Muebles Interior closet</x:t>
  </x:si>
  <x:si>
    <x:t xml:space="preserve">FASE 4</x:t>
  </x:si>
  <x:si>
    <x:t xml:space="preserve">Instalacion de Artefactos Sanitarios.</x:t>
  </x:si>
  <x:si>
    <x:t xml:space="preserve">Extractor de baño.</x:t>
  </x:si>
  <x:si>
    <x:t xml:space="preserve">1° mano de Pintura (interior closet+ puertas)</x:t>
  </x:si>
  <x:si>
    <x:t xml:space="preserve">Instalacion de Espejos.</x:t>
  </x:si>
  <x:si>
    <x:t xml:space="preserve">Kit de cocina (Horno-Encimera -Campana - Lavaplato)</x:t>
  </x:si>
  <x:si>
    <x:t xml:space="preserve">Griferia.</x:t>
  </x:si>
  <x:si>
    <x:t xml:space="preserve">Pruebas de Instalaciones.</x:t>
  </x:si>
  <x:si>
    <x:t xml:space="preserve">Piso Flotante + cubrejunta + junquillo</x:t>
  </x:si>
  <x:si>
    <x:t xml:space="preserve">Protección Piso Flotante </x:t>
  </x:si>
  <x:si>
    <x:t xml:space="preserve">(2°) Segunda Mano Pintura Interior</x:t>
  </x:si>
  <x:si>
    <x:t xml:space="preserve">2° mano de pintura. (puertas, , cielo de baño, )</x:t>
  </x:si>
  <x:si>
    <x:t xml:space="preserve">Topes en piso y Accesorios</x:t>
  </x:si>
  <x:si>
    <x:t xml:space="preserve">Instalación de Shower Door y Barra Cortina</x:t>
  </x:si>
  <x:si>
    <x:t xml:space="preserve">PROGRAMA PARA R1 </x:t>
  </x:si>
  <x:si>
    <x:t xml:space="preserve">PROGRAMA PARA RF</x:t>
  </x:si>
  <x:si>
    <x:t xml:space="preserve">Fase</x:t>
  </x:si>
  <x:si>
    <x:t xml:space="preserve">Piso 1</x:t>
  </x:si>
  <x:si>
    <x:t xml:space="preserve">Piso 2</x:t>
  </x:si>
  <x:si>
    <x:t xml:space="preserve">Piso 3</x:t>
  </x:si>
  <x:si>
    <x:t xml:space="preserve">Piso 4</x:t>
  </x:si>
  <x:si>
    <x:t xml:space="preserve">Piso 5</x:t>
  </x:si>
  <x:si>
    <x:t xml:space="preserve">Piso 6</x:t>
  </x:si>
  <x:si>
    <x:t xml:space="preserve">Piso 7</x:t>
  </x:si>
  <x:si>
    <x:t xml:space="preserve">Piso 8</x:t>
  </x:si>
  <x:si>
    <x:t xml:space="preserve">Piso 9</x:t>
  </x:si>
  <x:si>
    <x:t xml:space="preserve">Fase 1</x:t>
  </x:si>
  <x:si>
    <x:t xml:space="preserve">Fase 2</x:t>
  </x:si>
  <x:si>
    <x:t xml:space="preserve">Fase 3</x:t>
  </x:si>
  <x:si>
    <x:t xml:space="preserve">Fase 4</x:t>
  </x:si>
  <x:si>
    <x:t xml:space="preserve">Instalción de Espejo</x:t>
  </x:si>
  <x:si>
    <x:t xml:space="preserve">Instalación Papel Mural</x:t>
  </x:si>
  <x:si>
    <x:t xml:space="preserve">Piso</x:t>
  </x:si>
  <x:si>
    <x:t xml:space="preserve">Torre</x:t>
  </x:si>
  <x:si>
    <x:t xml:space="preserve">Departamento</x:t>
  </x:si>
  <x:si>
    <x:t xml:space="preserve">% Avance Real Depto</x:t>
  </x:si>
  <x:si>
    <x:t xml:space="preserve">B</x:t>
  </x:si>
  <x:si>
    <x:t xml:space="preserve">A</x:t>
  </x:si>
  <x:si>
    <x:t xml:space="preserve">Instalación de Espejos</x:t>
  </x:si>
  <x:si>
    <x:t xml:space="preserve">Trazado</x:t>
  </x:si>
  <x:si>
    <x:t xml:space="preserve">I. Sanitaria</x:t>
  </x:si>
  <x:si>
    <x:t xml:space="preserve">I. Eléctrica</x:t>
  </x:si>
  <x:si>
    <x:t xml:space="preserve">Extracción</x:t>
  </x:si>
  <x:si>
    <x:t xml:space="preserve">Tabique 2° Cara</x:t>
  </x:si>
  <x:si>
    <x:t xml:space="preserve">Puertas</x:t>
  </x:si>
  <x:si>
    <x:t xml:space="preserve">Cerámicos</x:t>
  </x:si>
  <x:si>
    <x:t xml:space="preserve">Piso Vinilico</x:t>
  </x:si>
  <x:si>
    <x:t xml:space="preserve">Ventanas</x:t>
  </x:si>
  <x:si>
    <x:t xml:space="preserve">Baranda Cristal</x:t>
  </x:si>
  <x:si>
    <x:t xml:space="preserve">Pasta</x:t>
  </x:si>
  <x:si>
    <x:t xml:space="preserve">Pintura</x:t>
  </x:si>
  <x:si>
    <x:t xml:space="preserve">Muebles C/B</x:t>
  </x:si>
  <x:si>
    <x:t xml:space="preserve">Muebles Closet</x:t>
  </x:si>
  <x:si>
    <x:t xml:space="preserve">Cubiertas</x:t>
  </x:si>
  <x:si>
    <x:t xml:space="preserve">Papel Mural</x:t>
  </x:si>
  <x:si>
    <x:t xml:space="preserve">Av. Depto/Piso</x:t>
  </x:si>
  <x:si>
    <x:t xml:space="preserve">A-B</x:t>
  </x:si>
  <x:si>
    <x:t xml:space="preserve">Todos</x:t>
  </x:si>
  <x:si>
    <x:t xml:space="preserve">P.SEMAN</x:t>
  </x:si>
  <x:si>
    <x:t xml:space="preserve">PROGRAMA R1</x:t>
  </x:si>
  <x:si>
    <x:t xml:space="preserve">PISO 1</x:t>
  </x:si>
  <x:si>
    <x:t xml:space="preserve">PISO 2</x:t>
  </x:si>
  <x:si>
    <x:t xml:space="preserve">PISO 3</x:t>
  </x:si>
  <x:si>
    <x:t xml:space="preserve">PISO 4</x:t>
  </x:si>
  <x:si>
    <x:t xml:space="preserve">PISO 5</x:t>
  </x:si>
  <x:si>
    <x:t xml:space="preserve">PISO 6</x:t>
  </x:si>
  <x:si>
    <x:t xml:space="preserve">PISO 7</x:t>
  </x:si>
  <x:si>
    <x:t xml:space="preserve">PISO 8</x:t>
  </x:si>
  <x:si>
    <x:t xml:space="preserve">PISO 9</x:t>
  </x:si>
  <x:si>
    <x:t xml:space="preserve">% AVANCE</x:t>
  </x:si>
  <x:si>
    <x:t xml:space="preserve">PROGRAMA RF</x:t>
  </x:si>
  <x:si>
    <x:t xml:space="preserve">GRAFICO AVANCE SEMANAL PARTIDAS</x:t>
  </x:si>
  <x:si>
    <x:t xml:space="preserve">MATRIZ SEGUIMIENTO RUTA CRITICA TERMINACIONES</x:t>
  </x:si>
  <x:si>
    <x:t xml:space="preserve">Retropintado</x:t>
  </x:si>
  <x:si>
    <x:t xml:space="preserve">PISO 10</x:t>
  </x:si>
  <x:si>
    <x:t xml:space="preserve">PISO 11</x:t>
  </x:si>
  <x:si>
    <x:t xml:space="preserve">PISO 12</x:t>
  </x:si>
  <x:si>
    <x:t xml:space="preserve">Suma de Av. Depto/Piso</x:t>
  </x:si>
  <x:si>
    <x:t xml:space="preserve">Total general</x:t>
  </x:si>
  <x:si>
    <x:t xml:space="preserve">AVANCE DIARIO POR PARTIDAS  TORRE A  </x:t>
  </x:si>
  <x:si>
    <x:t xml:space="preserve"> DESCARACHADO Y PULIDO</x:t>
  </x:si>
  <x:si>
    <x:t xml:space="preserve"> YESO y REMATES (CUADRATURA CAJAS,ETC…)</x:t>
  </x:si>
  <x:si>
    <x:t xml:space="preserve"> TRAZADO Y NIVELES</x:t>
  </x:si>
  <x:si>
    <x:t xml:space="preserve"> ALCANTARILLADO (VERTICALES Y RAMALES)</x:t>
  </x:si>
  <x:si>
    <x:t xml:space="preserve"> EXTRACCION BAÑOS Y COCINA</x:t>
  </x:si>
  <x:si>
    <x:t xml:space="preserve"> RASGOS VENTANAS, PUERTAS, ANTEPECHOS</x:t>
  </x:si>
  <x:si>
    <x:t xml:space="preserve"> GRADA BAJO VENTANA</x:t>
  </x:si>
  <x:si>
    <x:t xml:space="preserve"> TABIQUE VOLCOMETAL 1ra CARA</x:t>
  </x:si>
  <x:si>
    <x:t xml:space="preserve"> IMPERMEABILIZACION RASGOS Y VENTANAS</x:t>
  </x:si>
  <x:si>
    <x:t xml:space="preserve"> DISTRIBUCIÓN ELECT. Y CTE DEBILES EN TABIQUE</x:t>
  </x:si>
  <x:si>
    <x:t xml:space="preserve"> DISTRIBUCION GASFITERIA EN TABIQUES</x:t>
  </x:si>
  <x:si>
    <x:t xml:space="preserve"> TABIQUE VOLCOMETAL 2da CARA (incluye Shaff)</x:t>
  </x:si>
  <x:si>
    <x:t xml:space="preserve"> IMPERMEABILIZACION BAÑO y COCINA</x:t>
  </x:si>
  <x:si>
    <x:t xml:space="preserve"> HUINCHA TABIQUES, SHAFF Y VIGONES VOLC.</x:t>
  </x:si>
  <x:si>
    <x:t xml:space="preserve"> VENTANAS</x:t>
  </x:si>
  <x:si>
    <x:t xml:space="preserve"> INSTALACION PIERNAS Y CENEFAS DE CLOSETS</x:t>
  </x:si>
  <x:si>
    <x:t xml:space="preserve"> COLOC.PUERTAS INTERIORES Y CENEFAS CORREDERAS</x:t>
  </x:si>
  <x:si>
    <x:t xml:space="preserve"> NIVELACION PISO</x:t>
  </x:si>
  <x:si>
    <x:t xml:space="preserve"> COLOCACION DE TINA</x:t>
  </x:si>
  <x:si>
    <x:t xml:space="preserve"> FALDÓN DE TINA</x:t>
  </x:si>
  <x:si>
    <x:t xml:space="preserve"> CORNISAS</x:t>
  </x:si>
  <x:si>
    <x:t xml:space="preserve"> COLOCACION PUERTA DE ACCESO</x:t>
  </x:si>
  <x:si>
    <x:t xml:space="preserve"> CERAMICA MUROS Y PISO BAÑO/COCINA/TERRAZA</x:t>
  </x:si>
  <x:si>
    <x:t xml:space="preserve"> COLOCACION DE GUARDAPOLVO</x:t>
  </x:si>
  <x:si>
    <x:t xml:space="preserve"> PASTA TABIQUES Y MUROS</x:t>
  </x:si>
  <x:si>
    <x:t xml:space="preserve"> LOSALIN CIELO</x:t>
  </x:si>
  <x:si>
    <x:t xml:space="preserve"> ALAMBRADO y ENLAUCHADO ELECT. Y CTES DEBILES</x:t>
  </x:si>
  <x:si>
    <x:t xml:space="preserve"> CERRADURAS</x:t>
  </x:si>
  <x:si>
    <x:t xml:space="preserve"> 1RA.MANO PINTURA</x:t>
  </x:si>
  <x:si>
    <x:t xml:space="preserve"> INSTALACION MUEBLES Y PUERTAS DE CLOSETS</x:t>
  </x:si>
  <x:si>
    <x:t xml:space="preserve"> INST.MUEBLES DE COCINA</x:t>
  </x:si>
  <x:si>
    <x:t xml:space="preserve"> INST. MUEBLES DE VANITORIOS</x:t>
  </x:si>
  <x:si>
    <x:t xml:space="preserve"> CUBIERTA DE M.COCINA</x:t>
  </x:si>
  <x:si>
    <x:t xml:space="preserve"> MANO DE PINTURA FINAL</x:t>
  </x:si>
  <x:si>
    <x:t xml:space="preserve"> INST.ARTEFACTOS SANITARIOS</x:t>
  </x:si>
  <x:si>
    <x:t xml:space="preserve"> COLOC.CUBIERTAS BAÑOS</x:t>
  </x:si>
  <x:si>
    <x:t xml:space="preserve"> PAPEL MURAL</x:t>
  </x:si>
  <x:si>
    <x:t xml:space="preserve"> VIDRIO RETROPINTADO+ESPEJOS</x:t>
  </x:si>
  <x:si>
    <x:t xml:space="preserve"> ARTEFACTOS DE COCINA</x:t>
  </x:si>
  <x:si>
    <x:t xml:space="preserve"> GRIFERIA</x:t>
  </x:si>
  <x:si>
    <x:t xml:space="preserve"> BARANDA TERRAZA</x:t>
  </x:si>
  <x:si>
    <x:t xml:space="preserve"> PISO FOTOLAMINADO</x:t>
  </x:si>
  <x:si>
    <x:t xml:space="preserve"> COLOC.TABLERO ELECTRICO</x:t>
  </x:si>
  <x:si>
    <x:t xml:space="preserve"> SELLOS (PAPEL, VENTANAS, ETC…)</x:t>
  </x:si>
  <x:si>
    <x:t xml:space="preserve"> CITOFONO y CORRIENTES DEBILES</x:t>
  </x:si>
  <x:si>
    <x:t xml:space="preserve"> ASEO FINAL</x:t>
  </x:si>
  <x:si>
    <x:t xml:space="preserve"> COLOC.ARTEFACTOS ELECTRICOS</x:t>
  </x:si>
  <x:si>
    <x:t xml:space="preserve">CONVECTORES</x:t>
  </x:si>
  <x:si>
    <x:t xml:space="preserve"> ACCESORIOS DE BAÑOS</x:t>
  </x:si>
  <x:si>
    <x:t xml:space="preserve">AVANCE DIARIO POR PARTIDAS  TORRE B  </x:t>
  </x:si>
  <x:si>
    <x:t xml:space="preserve">PORCENTAJES DE AVANCES A LA FECHA</x:t>
  </x:si>
  <x:si>
    <x:t xml:space="preserve">OBRA PEDRO ALARCON</x:t>
  </x:si>
  <x:si>
    <x:t xml:space="preserve">201-A</x:t>
  </x:si>
  <x:si>
    <x:t xml:space="preserve">202-A</x:t>
  </x:si>
  <x:si>
    <x:t xml:space="preserve">203-A</x:t>
  </x:si>
  <x:si>
    <x:t xml:space="preserve">204-A</x:t>
  </x:si>
  <x:si>
    <x:t xml:space="preserve">205-A</x:t>
  </x:si>
  <x:si>
    <x:t xml:space="preserve">206-A</x:t>
  </x:si>
  <x:si>
    <x:t xml:space="preserve">207-A</x:t>
  </x:si>
  <x:si>
    <x:t xml:space="preserve">301-A</x:t>
  </x:si>
  <x:si>
    <x:t xml:space="preserve">302-A</x:t>
  </x:si>
  <x:si>
    <x:t xml:space="preserve">303-A</x:t>
  </x:si>
  <x:si>
    <x:t xml:space="preserve">304-A</x:t>
  </x:si>
  <x:si>
    <x:t xml:space="preserve">305-A</x:t>
  </x:si>
  <x:si>
    <x:t xml:space="preserve">306-A</x:t>
  </x:si>
  <x:si>
    <x:t xml:space="preserve">307-A</x:t>
  </x:si>
  <x:si>
    <x:t xml:space="preserve">308-A</x:t>
  </x:si>
  <x:si>
    <x:t xml:space="preserve">401-A</x:t>
  </x:si>
  <x:si>
    <x:t xml:space="preserve">402-A</x:t>
  </x:si>
  <x:si>
    <x:t xml:space="preserve">403-A</x:t>
  </x:si>
  <x:si>
    <x:t xml:space="preserve">404-A</x:t>
  </x:si>
  <x:si>
    <x:t xml:space="preserve">405-A</x:t>
  </x:si>
  <x:si>
    <x:t xml:space="preserve">406-A</x:t>
  </x:si>
  <x:si>
    <x:t xml:space="preserve">407-A</x:t>
  </x:si>
  <x:si>
    <x:t xml:space="preserve">408-A</x:t>
  </x:si>
  <x:si>
    <x:t xml:space="preserve">501-A</x:t>
  </x:si>
  <x:si>
    <x:t xml:space="preserve">502-A</x:t>
  </x:si>
  <x:si>
    <x:t xml:space="preserve">503-A</x:t>
  </x:si>
  <x:si>
    <x:t xml:space="preserve">504-A</x:t>
  </x:si>
  <x:si>
    <x:t xml:space="preserve">505-A</x:t>
  </x:si>
  <x:si>
    <x:t xml:space="preserve">506-A</x:t>
  </x:si>
  <x:si>
    <x:t xml:space="preserve">507-A</x:t>
  </x:si>
  <x:si>
    <x:t xml:space="preserve">508-A</x:t>
  </x:si>
  <x:si>
    <x:t xml:space="preserve">601-A</x:t>
  </x:si>
  <x:si>
    <x:t xml:space="preserve">602-A</x:t>
  </x:si>
  <x:si>
    <x:t xml:space="preserve">603-A</x:t>
  </x:si>
  <x:si>
    <x:t xml:space="preserve">604-A</x:t>
  </x:si>
  <x:si>
    <x:t xml:space="preserve">605-A</x:t>
  </x:si>
  <x:si>
    <x:t xml:space="preserve">606-A</x:t>
  </x:si>
  <x:si>
    <x:t xml:space="preserve">607-A</x:t>
  </x:si>
  <x:si>
    <x:t xml:space="preserve">608-A</x:t>
  </x:si>
  <x:si>
    <x:t xml:space="preserve">701-A</x:t>
  </x:si>
  <x:si>
    <x:t xml:space="preserve">702-A</x:t>
  </x:si>
  <x:si>
    <x:t xml:space="preserve">703-A</x:t>
  </x:si>
  <x:si>
    <x:t xml:space="preserve">704-A</x:t>
  </x:si>
  <x:si>
    <x:t xml:space="preserve">705-A</x:t>
  </x:si>
  <x:si>
    <x:t xml:space="preserve">706-A</x:t>
  </x:si>
  <x:si>
    <x:t xml:space="preserve">707-A</x:t>
  </x:si>
  <x:si>
    <x:t xml:space="preserve">708-A</x:t>
  </x:si>
  <x:si>
    <x:t xml:space="preserve">801-A</x:t>
  </x:si>
  <x:si>
    <x:t xml:space="preserve">802-A</x:t>
  </x:si>
  <x:si>
    <x:t xml:space="preserve">803-A</x:t>
  </x:si>
  <x:si>
    <x:t xml:space="preserve">804-A</x:t>
  </x:si>
  <x:si>
    <x:t xml:space="preserve">805-A</x:t>
  </x:si>
  <x:si>
    <x:t xml:space="preserve">806-A</x:t>
  </x:si>
  <x:si>
    <x:t xml:space="preserve">807-A</x:t>
  </x:si>
  <x:si>
    <x:t xml:space="preserve">808-A</x:t>
  </x:si>
  <x:si>
    <x:t xml:space="preserve">901-A</x:t>
  </x:si>
  <x:si>
    <x:t xml:space="preserve">902-A</x:t>
  </x:si>
  <x:si>
    <x:t xml:space="preserve">903-A</x:t>
  </x:si>
  <x:si>
    <x:t xml:space="preserve">904-A</x:t>
  </x:si>
  <x:si>
    <x:t xml:space="preserve">905-A</x:t>
  </x:si>
  <x:si>
    <x:t xml:space="preserve">906-A</x:t>
  </x:si>
  <x:si>
    <x:t xml:space="preserve">907-A</x:t>
  </x:si>
  <x:si>
    <x:t xml:space="preserve">908-A</x:t>
  </x:si>
  <x:si>
    <x:t xml:space="preserve">1001-A</x:t>
  </x:si>
  <x:si>
    <x:t xml:space="preserve">1002-A</x:t>
  </x:si>
  <x:si>
    <x:t xml:space="preserve">1003-A</x:t>
  </x:si>
  <x:si>
    <x:t xml:space="preserve">1004-A</x:t>
  </x:si>
  <x:si>
    <x:t xml:space="preserve">1005-A</x:t>
  </x:si>
  <x:si>
    <x:t xml:space="preserve">1006-A</x:t>
  </x:si>
  <x:si>
    <x:t xml:space="preserve">1007-A</x:t>
  </x:si>
  <x:si>
    <x:t xml:space="preserve">1008-A</x:t>
  </x:si>
  <x:si>
    <x:t xml:space="preserve">1101-A</x:t>
  </x:si>
  <x:si>
    <x:t xml:space="preserve">1102-A</x:t>
  </x:si>
  <x:si>
    <x:t xml:space="preserve">1103-A</x:t>
  </x:si>
  <x:si>
    <x:t xml:space="preserve">1104-A</x:t>
  </x:si>
  <x:si>
    <x:t xml:space="preserve">1105-A</x:t>
  </x:si>
  <x:si>
    <x:t xml:space="preserve">1106-A</x:t>
  </x:si>
  <x:si>
    <x:t xml:space="preserve">1107-A</x:t>
  </x:si>
  <x:si>
    <x:t xml:space="preserve">1108-A</x:t>
  </x:si>
  <x:si>
    <x:t xml:space="preserve">1201-A</x:t>
  </x:si>
  <x:si>
    <x:t xml:space="preserve">1202-A</x:t>
  </x:si>
  <x:si>
    <x:t xml:space="preserve">1203-A</x:t>
  </x:si>
  <x:si>
    <x:t xml:space="preserve">1204-A</x:t>
  </x:si>
  <x:si>
    <x:t xml:space="preserve">1205-A</x:t>
  </x:si>
  <x:si>
    <x:t xml:space="preserve">1206-A</x:t>
  </x:si>
  <x:si>
    <x:t xml:space="preserve">1207-A</x:t>
  </x:si>
  <x:si>
    <x:t xml:space="preserve">1208-A</x:t>
  </x:si>
  <x:si>
    <x:t xml:space="preserve">1301-A</x:t>
  </x:si>
  <x:si>
    <x:t xml:space="preserve">1302-A</x:t>
  </x:si>
  <x:si>
    <x:t xml:space="preserve">1303-A</x:t>
  </x:si>
  <x:si>
    <x:t xml:space="preserve">1304-A</x:t>
  </x:si>
  <x:si>
    <x:t xml:space="preserve">1305-A</x:t>
  </x:si>
  <x:si>
    <x:t xml:space="preserve">1306-A</x:t>
  </x:si>
  <x:si>
    <x:t xml:space="preserve">1307-A</x:t>
  </x:si>
  <x:si>
    <x:t xml:space="preserve">1308-A</x:t>
  </x:si>
  <x:si>
    <x:t xml:space="preserve">1401-A</x:t>
  </x:si>
  <x:si>
    <x:t xml:space="preserve">1402-A</x:t>
  </x:si>
  <x:si>
    <x:t xml:space="preserve">1403-A</x:t>
  </x:si>
  <x:si>
    <x:t xml:space="preserve">1404-A</x:t>
  </x:si>
  <x:si>
    <x:t xml:space="preserve">1405-A</x:t>
  </x:si>
  <x:si>
    <x:t xml:space="preserve">1406-A</x:t>
  </x:si>
  <x:si>
    <x:t xml:space="preserve">1407-A</x:t>
  </x:si>
  <x:si>
    <x:t xml:space="preserve">1408-A</x:t>
  </x:si>
  <x:si>
    <x:t xml:space="preserve">1501-A</x:t>
  </x:si>
  <x:si>
    <x:t xml:space="preserve">1502-A</x:t>
  </x:si>
  <x:si>
    <x:t xml:space="preserve">1503-A</x:t>
  </x:si>
  <x:si>
    <x:t xml:space="preserve">1504-A</x:t>
  </x:si>
  <x:si>
    <x:t xml:space="preserve">1505-A</x:t>
  </x:si>
  <x:si>
    <x:t xml:space="preserve">1506-A</x:t>
  </x:si>
  <x:si>
    <x:t xml:space="preserve">1507-A</x:t>
  </x:si>
  <x:si>
    <x:t xml:space="preserve">1508-A</x:t>
  </x:si>
  <x:si>
    <x:t xml:space="preserve">1601-A</x:t>
  </x:si>
  <x:si>
    <x:t xml:space="preserve">1602-A</x:t>
  </x:si>
  <x:si>
    <x:t xml:space="preserve">1603-A</x:t>
  </x:si>
  <x:si>
    <x:t xml:space="preserve">1604-A</x:t>
  </x:si>
  <x:si>
    <x:t xml:space="preserve">1605-A</x:t>
  </x:si>
  <x:si>
    <x:t xml:space="preserve">1606-A</x:t>
  </x:si>
  <x:si>
    <x:t xml:space="preserve">1607-A</x:t>
  </x:si>
  <x:si>
    <x:t xml:space="preserve">1608-A</x:t>
  </x:si>
  <x:si>
    <x:t xml:space="preserve">1701-A</x:t>
  </x:si>
  <x:si>
    <x:t xml:space="preserve">1702-A</x:t>
  </x:si>
  <x:si>
    <x:t xml:space="preserve">1703-A</x:t>
  </x:si>
  <x:si>
    <x:t xml:space="preserve">1704-A</x:t>
  </x:si>
  <x:si>
    <x:t xml:space="preserve">1705-A</x:t>
  </x:si>
  <x:si>
    <x:t xml:space="preserve">1706-A</x:t>
  </x:si>
  <x:si>
    <x:t xml:space="preserve">1707-A</x:t>
  </x:si>
  <x:si>
    <x:t xml:space="preserve">1708-A</x:t>
  </x:si>
  <x:si>
    <x:t xml:space="preserve">1801-A</x:t>
  </x:si>
  <x:si>
    <x:t xml:space="preserve">1802-A</x:t>
  </x:si>
  <x:si>
    <x:t xml:space="preserve">1803-A</x:t>
  </x:si>
  <x:si>
    <x:t xml:space="preserve">1804-A</x:t>
  </x:si>
  <x:si>
    <x:t xml:space="preserve">1805-A</x:t>
  </x:si>
  <x:si>
    <x:t xml:space="preserve">1806-A</x:t>
  </x:si>
  <x:si>
    <x:t xml:space="preserve">1807-A</x:t>
  </x:si>
  <x:si>
    <x:t xml:space="preserve">1808-A</x:t>
  </x:si>
  <x:si>
    <x:t xml:space="preserve">1901-A</x:t>
  </x:si>
  <x:si>
    <x:t xml:space="preserve">1902-A</x:t>
  </x:si>
  <x:si>
    <x:t xml:space="preserve">1903-A</x:t>
  </x:si>
  <x:si>
    <x:t xml:space="preserve">1904-A</x:t>
  </x:si>
  <x:si>
    <x:t xml:space="preserve">1905-A</x:t>
  </x:si>
  <x:si>
    <x:t xml:space="preserve">1906-A</x:t>
  </x:si>
  <x:si>
    <x:t xml:space="preserve">1907-A</x:t>
  </x:si>
  <x:si>
    <x:t xml:space="preserve">1908-A</x:t>
  </x:si>
  <x:si>
    <x:t xml:space="preserve">201-B</x:t>
  </x:si>
  <x:si>
    <x:t xml:space="preserve">202-B</x:t>
  </x:si>
  <x:si>
    <x:t xml:space="preserve">203-B</x:t>
  </x:si>
  <x:si>
    <x:t xml:space="preserve">204-B</x:t>
  </x:si>
  <x:si>
    <x:t xml:space="preserve">205-B</x:t>
  </x:si>
  <x:si>
    <x:t xml:space="preserve">206-B</x:t>
  </x:si>
  <x:si>
    <x:t xml:space="preserve">207-B</x:t>
  </x:si>
  <x:si>
    <x:t xml:space="preserve">301-B</x:t>
  </x:si>
  <x:si>
    <x:t xml:space="preserve">302-B</x:t>
  </x:si>
  <x:si>
    <x:t xml:space="preserve">303-B</x:t>
  </x:si>
  <x:si>
    <x:t xml:space="preserve">304-B</x:t>
  </x:si>
  <x:si>
    <x:t xml:space="preserve">305-B</x:t>
  </x:si>
  <x:si>
    <x:t xml:space="preserve">306-B</x:t>
  </x:si>
  <x:si>
    <x:t xml:space="preserve">307-B</x:t>
  </x:si>
  <x:si>
    <x:t xml:space="preserve">308-B</x:t>
  </x:si>
  <x:si>
    <x:t xml:space="preserve">401-B</x:t>
  </x:si>
  <x:si>
    <x:t xml:space="preserve">402-B</x:t>
  </x:si>
  <x:si>
    <x:t xml:space="preserve">403-B</x:t>
  </x:si>
  <x:si>
    <x:t xml:space="preserve">404-B</x:t>
  </x:si>
  <x:si>
    <x:t xml:space="preserve">405-B</x:t>
  </x:si>
  <x:si>
    <x:t xml:space="preserve">406-B</x:t>
  </x:si>
  <x:si>
    <x:t xml:space="preserve">407-B</x:t>
  </x:si>
  <x:si>
    <x:t xml:space="preserve">408-B</x:t>
  </x:si>
  <x:si>
    <x:t xml:space="preserve">501-B</x:t>
  </x:si>
  <x:si>
    <x:t xml:space="preserve">502-B</x:t>
  </x:si>
  <x:si>
    <x:t xml:space="preserve">503-B</x:t>
  </x:si>
  <x:si>
    <x:t xml:space="preserve">504-B</x:t>
  </x:si>
  <x:si>
    <x:t xml:space="preserve">505-B</x:t>
  </x:si>
  <x:si>
    <x:t xml:space="preserve">506-B</x:t>
  </x:si>
  <x:si>
    <x:t xml:space="preserve">507-B</x:t>
  </x:si>
  <x:si>
    <x:t xml:space="preserve">508-B</x:t>
  </x:si>
  <x:si>
    <x:t xml:space="preserve">601-B</x:t>
  </x:si>
  <x:si>
    <x:t xml:space="preserve">602-B</x:t>
  </x:si>
  <x:si>
    <x:t xml:space="preserve">603-B</x:t>
  </x:si>
  <x:si>
    <x:t xml:space="preserve">604-B</x:t>
  </x:si>
  <x:si>
    <x:t xml:space="preserve">605-B</x:t>
  </x:si>
  <x:si>
    <x:t xml:space="preserve">606-B</x:t>
  </x:si>
  <x:si>
    <x:t xml:space="preserve">607-B</x:t>
  </x:si>
  <x:si>
    <x:t xml:space="preserve">608-B</x:t>
  </x:si>
  <x:si>
    <x:t xml:space="preserve">701-B</x:t>
  </x:si>
  <x:si>
    <x:t xml:space="preserve">702-B</x:t>
  </x:si>
  <x:si>
    <x:t xml:space="preserve">703-B</x:t>
  </x:si>
  <x:si>
    <x:t xml:space="preserve">704-B</x:t>
  </x:si>
  <x:si>
    <x:t xml:space="preserve">705-B</x:t>
  </x:si>
  <x:si>
    <x:t xml:space="preserve">706-B</x:t>
  </x:si>
  <x:si>
    <x:t xml:space="preserve">707-B</x:t>
  </x:si>
  <x:si>
    <x:t xml:space="preserve">708-B</x:t>
  </x:si>
  <x:si>
    <x:t xml:space="preserve">801-B</x:t>
  </x:si>
  <x:si>
    <x:t xml:space="preserve">802-B</x:t>
  </x:si>
  <x:si>
    <x:t xml:space="preserve">803-B</x:t>
  </x:si>
  <x:si>
    <x:t xml:space="preserve">804-B</x:t>
  </x:si>
  <x:si>
    <x:t xml:space="preserve">805-B</x:t>
  </x:si>
  <x:si>
    <x:t xml:space="preserve">806-B</x:t>
  </x:si>
  <x:si>
    <x:t xml:space="preserve">807-B</x:t>
  </x:si>
  <x:si>
    <x:t xml:space="preserve">808-B</x:t>
  </x:si>
  <x:si>
    <x:t xml:space="preserve">901-B</x:t>
  </x:si>
  <x:si>
    <x:t xml:space="preserve">902-B</x:t>
  </x:si>
  <x:si>
    <x:t xml:space="preserve">903-B</x:t>
  </x:si>
  <x:si>
    <x:t xml:space="preserve">904-B</x:t>
  </x:si>
  <x:si>
    <x:t xml:space="preserve">905-B</x:t>
  </x:si>
  <x:si>
    <x:t xml:space="preserve">906-B</x:t>
  </x:si>
  <x:si>
    <x:t xml:space="preserve">907-B</x:t>
  </x:si>
  <x:si>
    <x:t xml:space="preserve">908-B</x:t>
  </x:si>
  <x:si>
    <x:t xml:space="preserve">1001-B</x:t>
  </x:si>
  <x:si>
    <x:t xml:space="preserve">1002-B</x:t>
  </x:si>
  <x:si>
    <x:t xml:space="preserve">1003-B</x:t>
  </x:si>
  <x:si>
    <x:t xml:space="preserve">1004-B</x:t>
  </x:si>
  <x:si>
    <x:t xml:space="preserve">1005-B</x:t>
  </x:si>
  <x:si>
    <x:t xml:space="preserve">1006-B</x:t>
  </x:si>
  <x:si>
    <x:t xml:space="preserve">1007-B</x:t>
  </x:si>
  <x:si>
    <x:t xml:space="preserve">1008-B</x:t>
  </x:si>
  <x:si>
    <x:t xml:space="preserve">1101-B</x:t>
  </x:si>
  <x:si>
    <x:t xml:space="preserve">1102-B</x:t>
  </x:si>
  <x:si>
    <x:t xml:space="preserve">1103-B</x:t>
  </x:si>
  <x:si>
    <x:t xml:space="preserve">1104-B</x:t>
  </x:si>
  <x:si>
    <x:t xml:space="preserve">1105-B</x:t>
  </x:si>
  <x:si>
    <x:t xml:space="preserve">1106-B</x:t>
  </x:si>
  <x:si>
    <x:t xml:space="preserve">1107-B</x:t>
  </x:si>
  <x:si>
    <x:t xml:space="preserve">1108-B</x:t>
  </x:si>
  <x:si>
    <x:t xml:space="preserve">1201-B</x:t>
  </x:si>
  <x:si>
    <x:t xml:space="preserve">1202-B</x:t>
  </x:si>
  <x:si>
    <x:t xml:space="preserve">1203-B</x:t>
  </x:si>
  <x:si>
    <x:t xml:space="preserve">1204-B</x:t>
  </x:si>
  <x:si>
    <x:t xml:space="preserve">1205-B</x:t>
  </x:si>
  <x:si>
    <x:t xml:space="preserve">1206-B</x:t>
  </x:si>
  <x:si>
    <x:t xml:space="preserve">1207-B</x:t>
  </x:si>
  <x:si>
    <x:t xml:space="preserve">1208-B</x:t>
  </x:si>
  <x:si>
    <x:t xml:space="preserve">1301-B</x:t>
  </x:si>
  <x:si>
    <x:t xml:space="preserve">1302-B</x:t>
  </x:si>
  <x:si>
    <x:t xml:space="preserve">1303-B</x:t>
  </x:si>
  <x:si>
    <x:t xml:space="preserve">1304-B</x:t>
  </x:si>
  <x:si>
    <x:t xml:space="preserve">1305-B</x:t>
  </x:si>
  <x:si>
    <x:t xml:space="preserve">1306-B</x:t>
  </x:si>
  <x:si>
    <x:t xml:space="preserve">1307-B</x:t>
  </x:si>
  <x:si>
    <x:t xml:space="preserve">1308-B</x:t>
  </x:si>
  <x:si>
    <x:t xml:space="preserve">1401-B</x:t>
  </x:si>
  <x:si>
    <x:t xml:space="preserve">1402-B</x:t>
  </x:si>
  <x:si>
    <x:t xml:space="preserve">1403-B</x:t>
  </x:si>
  <x:si>
    <x:t xml:space="preserve">1404-B</x:t>
  </x:si>
  <x:si>
    <x:t xml:space="preserve">1405-B</x:t>
  </x:si>
  <x:si>
    <x:t xml:space="preserve">1406-B</x:t>
  </x:si>
  <x:si>
    <x:t xml:space="preserve">1407-B</x:t>
  </x:si>
  <x:si>
    <x:t xml:space="preserve">1408-B</x:t>
  </x:si>
  <x:si>
    <x:t xml:space="preserve">1501-B</x:t>
  </x:si>
  <x:si>
    <x:t xml:space="preserve">1502-B</x:t>
  </x:si>
  <x:si>
    <x:t xml:space="preserve">1503-B</x:t>
  </x:si>
  <x:si>
    <x:t xml:space="preserve">1504-B</x:t>
  </x:si>
  <x:si>
    <x:t xml:space="preserve">1505-B</x:t>
  </x:si>
  <x:si>
    <x:t xml:space="preserve">1506-B</x:t>
  </x:si>
  <x:si>
    <x:t xml:space="preserve">1507-B</x:t>
  </x:si>
  <x:si>
    <x:t xml:space="preserve">1508-B</x:t>
  </x:si>
  <x:si>
    <x:t xml:space="preserve">1601-B</x:t>
  </x:si>
  <x:si>
    <x:t xml:space="preserve">1602-B</x:t>
  </x:si>
  <x:si>
    <x:t xml:space="preserve">1603-B</x:t>
  </x:si>
  <x:si>
    <x:t xml:space="preserve">1604-B</x:t>
  </x:si>
  <x:si>
    <x:t xml:space="preserve">1605-B</x:t>
  </x:si>
  <x:si>
    <x:t xml:space="preserve">1606-B</x:t>
  </x:si>
  <x:si>
    <x:t xml:space="preserve">1607-B</x:t>
  </x:si>
  <x:si>
    <x:t xml:space="preserve">1608-B</x:t>
  </x:si>
  <x:si>
    <x:t xml:space="preserve">1701-B</x:t>
  </x:si>
  <x:si>
    <x:t xml:space="preserve">1702-B</x:t>
  </x:si>
  <x:si>
    <x:t xml:space="preserve">1703-B</x:t>
  </x:si>
  <x:si>
    <x:t xml:space="preserve">1704-B</x:t>
  </x:si>
  <x:si>
    <x:t xml:space="preserve">1705-B</x:t>
  </x:si>
  <x:si>
    <x:t xml:space="preserve">1706-B</x:t>
  </x:si>
  <x:si>
    <x:t xml:space="preserve">1707-B</x:t>
  </x:si>
  <x:si>
    <x:t xml:space="preserve">1708-B</x:t>
  </x:si>
  <x:si>
    <x:t xml:space="preserve">1801-B</x:t>
  </x:si>
  <x:si>
    <x:t xml:space="preserve">1802-B</x:t>
  </x:si>
  <x:si>
    <x:t xml:space="preserve">1803-B</x:t>
  </x:si>
  <x:si>
    <x:t xml:space="preserve">1804-B</x:t>
  </x:si>
  <x:si>
    <x:t xml:space="preserve">1805-B</x:t>
  </x:si>
  <x:si>
    <x:t xml:space="preserve">1806-B</x:t>
  </x:si>
  <x:si>
    <x:t xml:space="preserve">1807-B</x:t>
  </x:si>
  <x:si>
    <x:t xml:space="preserve">1808-B</x:t>
  </x:si>
  <x:si>
    <x:t xml:space="preserve">1901-B</x:t>
  </x:si>
  <x:si>
    <x:t xml:space="preserve">1902-B</x:t>
  </x:si>
  <x:si>
    <x:t xml:space="preserve">1903-B</x:t>
  </x:si>
  <x:si>
    <x:t xml:space="preserve">1904-B</x:t>
  </x:si>
  <x:si>
    <x:t xml:space="preserve">1905-B</x:t>
  </x:si>
  <x:si>
    <x:t xml:space="preserve">1906-B</x:t>
  </x:si>
  <x:si>
    <x:t xml:space="preserve">1907-B</x:t>
  </x:si>
  <x:si>
    <x:t xml:space="preserve">1908-B</x:t>
  </x:si>
  <x:si>
    <x:t xml:space="preserve">DESCARACHADO Y PULIDO</x:t>
  </x:si>
  <x:si>
    <x:t xml:space="preserve">YESO y REMATES (CUADRATURA CAJAS,ETC…)</x:t>
  </x:si>
  <x:si>
    <x:t xml:space="preserve">TRAZADO Y NIVELES</x:t>
  </x:si>
  <x:si>
    <x:t xml:space="preserve">ALCANTARILLADO (VERTICALES Y RAMALES)</x:t>
  </x:si>
  <x:si>
    <x:t xml:space="preserve">EXTRACCION BAÑOS Y COCINA</x:t>
  </x:si>
  <x:si>
    <x:t xml:space="preserve">RASGOS VENTANAS, PUERTAS, ANTEPECHOS</x:t>
  </x:si>
  <x:si>
    <x:t xml:space="preserve">GRADA BAJO VENTANA</x:t>
  </x:si>
  <x:si>
    <x:t xml:space="preserve">TABIQUE VOLCOMETAL 1ra CARA</x:t>
  </x:si>
  <x:si>
    <x:t xml:space="preserve">IMPERMEABILIZACION RASGOS Y VENTANAS</x:t>
  </x:si>
  <x:si>
    <x:t xml:space="preserve">DISTRIBUCIÓN ELECT. Y CTE DEBILES EN TABIQUE</x:t>
  </x:si>
  <x:si>
    <x:t xml:space="preserve">DISTRIBUCION GASFITERIA EN TABIQUES</x:t>
  </x:si>
  <x:si>
    <x:t xml:space="preserve">TABIQUE VOLCOMETAL 2da CARA (incluye Shaff)</x:t>
  </x:si>
  <x:si>
    <x:t xml:space="preserve">IMPERMEABILIZACION BAÑO y COCINA</x:t>
  </x:si>
  <x:si>
    <x:t xml:space="preserve">HUINCHA TABIQUES, SHAFF Y VIGONES VOLC.</x:t>
  </x:si>
  <x:si>
    <x:t xml:space="preserve">VENTANAS</x:t>
  </x:si>
  <x:si>
    <x:t xml:space="preserve">INSTALACION PIERNAS Y CENEFAS DE CLOSETS</x:t>
  </x:si>
  <x:si>
    <x:t xml:space="preserve">COLOC.PUERTAS INTERIORES Y CENEFAS CORREDERAS</x:t>
  </x:si>
  <x:si>
    <x:t xml:space="preserve">NIVELACION PISO</x:t>
  </x:si>
  <x:si>
    <x:t xml:space="preserve">COLOCACION DE TINA</x:t>
  </x:si>
  <x:si>
    <x:t xml:space="preserve">FALDÓN DE TINA</x:t>
  </x:si>
  <x:si>
    <x:t xml:space="preserve">CORNISAS</x:t>
  </x:si>
  <x:si>
    <x:t xml:space="preserve">COLOCACION PUERTA DE ACCESO</x:t>
  </x:si>
  <x:si>
    <x:t xml:space="preserve">CERAMICA MUROS Y PISO BAÑO/COCINA/TERRAZA</x:t>
  </x:si>
  <x:si>
    <x:t xml:space="preserve">COLOCACION DE GUARDAPOLVO</x:t>
  </x:si>
  <x:si>
    <x:t xml:space="preserve">PASTA TABIQUES Y MUROS</x:t>
  </x:si>
  <x:si>
    <x:t xml:space="preserve">LOSALIN CIELO</x:t>
  </x:si>
  <x:si>
    <x:t xml:space="preserve">ALAMBRADO y ENLAUCHADO ELECT. Y CTES DEBILES</x:t>
  </x:si>
  <x:si>
    <x:t xml:space="preserve">CERRADURAS</x:t>
  </x:si>
  <x:si>
    <x:t xml:space="preserve">1RA.MANO PINTURA</x:t>
  </x:si>
  <x:si>
    <x:t xml:space="preserve">INSTALACION MUEBLES Y PUERTAS DE CLOSETS</x:t>
  </x:si>
  <x:si>
    <x:t xml:space="preserve">INST.MUEBLES DE COCINA</x:t>
  </x:si>
  <x:si>
    <x:t xml:space="preserve">INST. MUEBLES DE VANITORIOS</x:t>
  </x:si>
  <x:si>
    <x:t xml:space="preserve">CUBIERTA DE M.COCINA</x:t>
  </x:si>
  <x:si>
    <x:t xml:space="preserve">MANO DE PINTURA FINAL</x:t>
  </x:si>
  <x:si>
    <x:t xml:space="preserve">INST.ARTEFACTOS SANITARIOS</x:t>
  </x:si>
  <x:si>
    <x:t xml:space="preserve">COLOC.CUBIERTAS BAÑOS</x:t>
  </x:si>
  <x:si>
    <x:t xml:space="preserve">PAPEL MURAL</x:t>
  </x:si>
  <x:si>
    <x:t xml:space="preserve">VIDRIO RETROPINTADO+ESPEJOS</x:t>
  </x:si>
  <x:si>
    <x:t xml:space="preserve">ARTEFACTOS DE COCINA</x:t>
  </x:si>
  <x:si>
    <x:t xml:space="preserve">GRIFERIA</x:t>
  </x:si>
  <x:si>
    <x:t xml:space="preserve">BARANDA TERRAZA</x:t>
  </x:si>
  <x:si>
    <x:t xml:space="preserve">PISO FOTOLAMINADO</x:t>
  </x:si>
  <x:si>
    <x:t xml:space="preserve">COLOC.TABLERO ELECTRICO</x:t>
  </x:si>
  <x:si>
    <x:t xml:space="preserve">SELLOS (PAPEL, VENTANAS, ETC…)</x:t>
  </x:si>
  <x:si>
    <x:t xml:space="preserve">CITOFONO y CORRIENTES DEBILES</x:t>
  </x:si>
  <x:si>
    <x:t xml:space="preserve">ASEO FINAL</x:t>
  </x:si>
  <x:si>
    <x:t xml:space="preserve">COLOC.ARTEFACTOS ELECTRICOS</x:t>
  </x:si>
  <x:si>
    <x:t xml:space="preserve">ACCESORIOS DE BAÑOS</x:t>
  </x:si>
  <x:si>
    <x:t xml:space="preserve">REVISION 1</x:t>
  </x:si>
  <x:si>
    <x:t xml:space="preserve">ENTREGA FINAL DEPTO</x:t>
  </x:si>
  <x:si>
    <x:t xml:space="preserve">TORRE A</x:t>
  </x:si>
  <x:si>
    <x:t xml:space="preserve">TORRE B</x:t>
  </x:si>
  <x:si>
    <x:t xml:space="preserve">PASILLOS</x:t>
  </x:si>
  <x:si>
    <x:t xml:space="preserve">PISO 13</x:t>
  </x:si>
  <x:si>
    <x:t xml:space="preserve">PISO 14</x:t>
  </x:si>
  <x:si>
    <x:t xml:space="preserve">PISO 15</x:t>
  </x:si>
  <x:si>
    <x:t xml:space="preserve">PISO 16</x:t>
  </x:si>
  <x:si>
    <x:t xml:space="preserve">PISO 17</x:t>
  </x:si>
  <x:si>
    <x:t xml:space="preserve">PISO 18</x:t>
  </x:si>
  <x:si>
    <x:t xml:space="preserve">PISO 19</x:t>
  </x:si>
  <x:si>
    <x:t xml:space="preserve">P1</x:t>
  </x:si>
  <x:si>
    <x:t xml:space="preserve">P2</x:t>
  </x:si>
  <x:si>
    <x:t xml:space="preserve">P3</x:t>
  </x:si>
  <x:si>
    <x:t xml:space="preserve">p4</x:t>
  </x:si>
  <x:si>
    <x:t xml:space="preserve">Tabiques</x:t>
  </x:si>
  <x:si>
    <x:t xml:space="preserve">Puertas </x:t>
  </x:si>
  <x:si>
    <x:t xml:space="preserve">Ceramicas</x:t>
  </x:si>
  <x:si>
    <x:t xml:space="preserve">Guardapolvo</x:t>
  </x:si>
  <x:si>
    <x:t xml:space="preserve">Empaste y Pintura</x:t>
  </x:si>
  <x:si>
    <x:t xml:space="preserve">Agua Potable</x:t>
  </x:si>
  <x:si>
    <x:t xml:space="preserve">Electricidad</x:t>
  </x:si>
  <x:si>
    <x:t xml:space="preserve">Lamparas</x:t>
  </x:si>
  <x:si>
    <x:t xml:space="preserve">RESUMEN POR PARTIDAS  TORRE A</x:t>
  </x:si>
  <x:si>
    <x:t xml:space="preserve">TABIQUE</x:t>
  </x:si>
  <x:si>
    <x:t xml:space="preserve">INST PUERTAS</x:t>
  </x:si>
  <x:si>
    <x:t xml:space="preserve"> PINTURA CIELO</x:t>
  </x:si>
  <x:si>
    <x:t xml:space="preserve">PINTURA PUERTAS</x:t>
  </x:si>
  <x:si>
    <x:t xml:space="preserve">ASEO GRUESO</x:t>
  </x:si>
  <x:si>
    <x:t xml:space="preserve">MUEBLES</x:t>
  </x:si>
  <x:si>
    <x:t xml:space="preserve">AVANCE DIARIO POR PARTIDAS  TORRE A  01-Enero-2015</x:t>
  </x:si>
  <x:si>
    <x:t xml:space="preserve">AVANCE DIARIO POR PARTIDAS  TORRE B  01-Enero-2015</x:t>
  </x:si>
  <x:si>
    <x:t xml:space="preserve">RESUMEN PARA GRAFICOS X DPTOS</x:t>
  </x:si>
  <x:si>
    <x:t xml:space="preserve">DESCARACHADO</x:t>
  </x:si>
  <x:si>
    <x:t xml:space="preserve">TRAZADO TAB.</x:t>
  </x:si>
  <x:si>
    <x:t xml:space="preserve">BARANDAS</x:t>
  </x:si>
  <x:si>
    <x:t xml:space="preserve">TAB. ESTRUCTURA</x:t>
  </x:si>
  <x:si>
    <x:t xml:space="preserve">TAB. 1 CARA</x:t>
  </x:si>
  <x:si>
    <x:t xml:space="preserve">TAB 2 CARA</x:t>
  </x:si>
  <x:si>
    <x:t xml:space="preserve">HUINCHAS TAB.</x:t>
  </x:si>
  <x:si>
    <x:t xml:space="preserve">YESO</x:t>
  </x:si>
  <x:si>
    <x:t xml:space="preserve">IMPERMEABILIZACION</x:t>
  </x:si>
  <x:si>
    <x:t xml:space="preserve">CORNIZAS</x:t>
  </x:si>
  <x:si>
    <x:t xml:space="preserve">CERAMICA MURO BA</x:t>
  </x:si>
  <x:si>
    <x:t xml:space="preserve">INST. TINAS</x:t>
  </x:si>
  <x:si>
    <x:t xml:space="preserve">CERAMICA PISO COCINA</x:t>
  </x:si>
  <x:si>
    <x:t xml:space="preserve">CERAMICA MURO COCINA</x:t>
  </x:si>
  <x:si>
    <x:t xml:space="preserve">CERAMICA PISO BAÑO</x:t>
  </x:si>
  <x:si>
    <x:t xml:space="preserve">MUEBLES (COC,CL,)</x:t>
  </x:si>
  <x:si>
    <x:t xml:space="preserve">INST. PUERTAS</x:t>
  </x:si>
  <x:si>
    <x:t xml:space="preserve">DPTOS</x:t>
  </x:si>
  <x:si>
    <x:t xml:space="preserve">AVANCE PARA GRAFICOS</x:t>
  </x:si>
  <x:si>
    <x:t xml:space="preserve">CANTIDAD DPTOS</x:t>
  </x:si>
  <x:si>
    <x:t xml:space="preserve">FASE 1</x:t>
  </x:si>
  <x:si>
    <x:t xml:space="preserve">Descarachado y Pulido</x:t>
  </x:si>
  <x:si>
    <x:t xml:space="preserve">Trazado y niveles tabiques gradas dint, cielo</x:t>
  </x:si>
  <x:si>
    <x:t xml:space="preserve">Retiro de camisas</x:t>
  </x:si>
  <x:si>
    <x:t xml:space="preserve">Tapada de pasadas</x:t>
  </x:si>
  <x:si>
    <x:t xml:space="preserve">Ductos alcantarillado</x:t>
  </x:si>
  <x:si>
    <x:t xml:space="preserve">Pruebas de agua recep.</x:t>
  </x:si>
  <x:si>
    <x:t xml:space="preserve">Ductos extracción</x:t>
  </x:si>
  <x:si>
    <x:t xml:space="preserve">Tabique 1er cara</x:t>
  </x:si>
  <x:si>
    <x:t xml:space="preserve">Colocación lana mineral</x:t>
  </x:si>
  <x:si>
    <x:t xml:space="preserve">Inst. Elec.y Tabiques</x:t>
  </x:si>
  <x:si>
    <x:t xml:space="preserve">Tabique 2da cara</x:t>
  </x:si>
  <x:si>
    <x:t xml:space="preserve">Yesos Pasillo</x:t>
  </x:si>
  <x:si>
    <x:t xml:space="preserve">Yesos Departamentos</x:t>
  </x:si>
  <x:si>
    <x:t xml:space="preserve">Cielos falsos Volcanitas ( Vigones cocinas y baños )</x:t>
  </x:si>
  <x:si>
    <x:t xml:space="preserve">Huincha Cielos tabiques (vigones cocinas y baños)</x:t>
  </x:si>
  <x:si>
    <x:t xml:space="preserve">Huincha Muros Deptos.</x:t>
  </x:si>
  <x:si>
    <x:t xml:space="preserve">Baranda Balcones</x:t>
  </x:si>
  <x:si>
    <x:t xml:space="preserve">Rasgos Ventanas</x:t>
  </x:si>
  <x:si>
    <x:t xml:space="preserve">Instalación fierro grada buque </x:t>
  </x:si>
  <x:si>
    <x:t xml:space="preserve">Grada Buque Albañilería + Alfeiser y bloq.</x:t>
  </x:si>
  <x:si>
    <x:t xml:space="preserve">Impermeabilizacion rasgos de ventanas</x:t>
  </x:si>
  <x:si>
    <x:t xml:space="preserve">LEGADO 1</x:t>
  </x:si>
  <x:si>
    <x:t xml:space="preserve">Kangueo y desbaste de pisos</x:t>
  </x:si>
  <x:si>
    <x:t xml:space="preserve">Afinado de pisos y terrazas</x:t>
  </x:si>
  <x:si>
    <x:t xml:space="preserve">Colocacion de gargolas</x:t>
  </x:si>
  <x:si>
    <x:t xml:space="preserve">Impermeabilizacion de baños y cocina </x:t>
  </x:si>
  <x:si>
    <x:t xml:space="preserve">Refuerzo de tinas </x:t>
  </x:si>
  <x:si>
    <x:t xml:space="preserve">Instalacion de Tinas </x:t>
  </x:si>
  <x:si>
    <x:t xml:space="preserve">Faldon de Tinas / Zocalo</x:t>
  </x:si>
  <x:si>
    <x:t xml:space="preserve">Instalacion  de Ventanas </x:t>
  </x:si>
  <x:si>
    <x:t xml:space="preserve">Vigones baño y Cocina</x:t>
  </x:si>
  <x:si>
    <x:t xml:space="preserve">Instalacion Marco y puerta de acceso </x:t>
  </x:si>
  <x:si>
    <x:t xml:space="preserve">Instalacion cerradura puerta acceso </x:t>
  </x:si>
  <x:si>
    <x:t xml:space="preserve">Colocacion de cornisa</x:t>
  </x:si>
  <x:si>
    <x:t xml:space="preserve">Coloc. Ceramica Cocina</x:t>
  </x:si>
  <x:si>
    <x:t xml:space="preserve">Coloc. Porcelanato piso baño</x:t>
  </x:si>
  <x:si>
    <x:t xml:space="preserve">Coloc. Porcelanato Terraza</x:t>
  </x:si>
  <x:si>
    <x:t xml:space="preserve">Ceramicos muro Cocina</x:t>
  </x:si>
  <x:si>
    <x:t xml:space="preserve">Ceramicos muro baño </x:t>
  </x:si>
  <x:si>
    <x:t xml:space="preserve">Ceramicos Pasillos </x:t>
  </x:si>
  <x:si>
    <x:t xml:space="preserve">Aplicación de Pasta muros y cielos deptos.</x:t>
  </x:si>
  <x:si>
    <x:t xml:space="preserve">Aplicación de bases (latex),  cielos deptos. LIJADO</x:t>
  </x:si>
  <x:si>
    <x:t xml:space="preserve">Colocacion piernas de closet y cenefas</x:t>
  </x:si>
  <x:si>
    <x:t xml:space="preserve">Colocacion marcos y puertas interiores </x:t>
  </x:si>
  <x:si>
    <x:t xml:space="preserve">Colocacion cerradura interiores </x:t>
  </x:si>
  <x:si>
    <x:t xml:space="preserve">Enlauchado </x:t>
  </x:si>
  <x:si>
    <x:t xml:space="preserve">Cableado </x:t>
  </x:si>
  <x:si>
    <x:t xml:space="preserve">Colocacion de artefactos Electricos</x:t>
  </x:si>
  <x:si>
    <x:t xml:space="preserve">Colocacion Guardapolvo </x:t>
  </x:si>
  <x:si>
    <x:t xml:space="preserve">Aplicación de Losalin (textura deptos.)</x:t>
  </x:si>
  <x:si>
    <x:t xml:space="preserve">Colocacion de Artefactos Sanitarios</x:t>
  </x:si>
  <x:si>
    <x:t xml:space="preserve">Colocacion de extractor </x:t>
  </x:si>
  <x:si>
    <x:t xml:space="preserve">Lijado y Aplicación Esmalte</x:t>
  </x:si>
  <x:si>
    <x:t xml:space="preserve">Pintura Puertas , Cornizas, guarda polvo </x:t>
  </x:si>
  <x:si>
    <x:t xml:space="preserve">Instalacion Muebles Cocina</x:t>
  </x:si>
  <x:si>
    <x:t xml:space="preserve">Instalacion Closet</x:t>
  </x:si>
  <x:si>
    <x:t xml:space="preserve">Instalacion de Granito (Marmol)</x:t>
  </x:si>
  <x:si>
    <x:t xml:space="preserve">Colocacion de Vanitorio </x:t>
  </x:si>
  <x:si>
    <x:t xml:space="preserve">Aplicación final esmalte cocina-baños-walking closet </x:t>
  </x:si>
  <x:si>
    <x:t xml:space="preserve">instalacion piso flotante y 1/4 rodon </x:t>
  </x:si>
  <x:si>
    <x:t xml:space="preserve">Aplicación 2da mano y final de  pintura de corniza-puertas</x:t>
  </x:si>
  <x:si>
    <x:t xml:space="preserve">colocacion lavaplatos y griferia </x:t>
  </x:si>
  <x:si>
    <x:t xml:space="preserve">colocacion artefactos electricos (horno, encimera, campana)</x:t>
  </x:si>
  <x:si>
    <x:t xml:space="preserve">colocacion accesorios de baño, topes puertas </x:t>
  </x:si>
  <x:si>
    <x:t xml:space="preserve">2da mano de pintura muros y guardapolvo</x:t>
  </x:si>
  <x:si>
    <x:t xml:space="preserve">Aseo Final </x:t>
  </x:si>
</x:sst>
</file>

<file path=xl/styles.xml><?xml version="1.0" encoding="utf-8"?>
<x:styleSheet xmlns:x="http://schemas.openxmlformats.org/spreadsheetml/2006/main">
  <x:numFmts count="3">
    <x:numFmt numFmtId="41" formatCode="_ * #,##0_ ;_ * \-#,##0_ ;_ * &quot;-&quot;_ ;_ @_ "/>
    <x:numFmt numFmtId="164" formatCode="0.000%"/>
    <x:numFmt numFmtId="200" formatCode="0.00%"/>
  </x:numFmts>
  <x:fonts count="54">
    <x:font>
      <x:sz val="10"/>
      <x:name val="Arial"/>
    </x:font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0"/>
      <x:name val="Arial"/>
    </x:font>
    <x:font>
      <x:b/>
      <x:sz val="10"/>
      <x:color rgb="FF0000CC"/>
      <x:name val="Arial"/>
    </x:font>
    <x:font>
      <x:sz val="10"/>
      <x:name val="Arial"/>
    </x:font>
    <x:font>
      <x:b/>
      <x:sz val="10"/>
      <x:name val="Arial"/>
    </x:font>
    <x:font>
      <x:b/>
      <x:sz val="14"/>
      <x:color rgb="FF0000CC"/>
      <x:name val="Arial"/>
    </x:font>
    <x:font>
      <x:b/>
      <x:sz val="16"/>
      <x:color rgb="FF0000CC"/>
      <x:name val="Arial"/>
    </x:font>
    <x:font>
      <x:b/>
      <x:sz val="9"/>
      <x:color indexed="81"/>
      <x:name val="Tahoma"/>
    </x:font>
    <x:font>
      <x:b/>
      <x:sz val="16"/>
      <x:name val="Arial"/>
    </x:font>
    <x:font>
      <x:sz val="9"/>
      <x:color indexed="81"/>
      <x:name val="Tahoma"/>
    </x:font>
    <x:font>
      <x:b/>
      <x:sz val="12"/>
      <x:color rgb="FF0000CC"/>
      <x:name val="Arial"/>
    </x:font>
    <x:font>
      <x:sz val="22"/>
      <x:color theme="1"/>
      <x:name val="Calibri"/>
    </x:font>
    <x:font>
      <x:sz val="10"/>
      <x:color theme="1"/>
      <x:name val="Calibri"/>
    </x:font>
    <x:font>
      <x:b/>
      <x:sz val="24"/>
      <x:color theme="1"/>
      <x:name val="Calibri"/>
    </x:font>
    <x:font>
      <x:b/>
      <x:sz val="26"/>
      <x:color theme="1"/>
      <x:name val="Calibri"/>
    </x:font>
    <x:font>
      <x:b/>
      <x:sz val="18"/>
      <x:color theme="1"/>
      <x:name val="Calibri"/>
    </x:font>
    <x:font>
      <x:b/>
      <x:sz val="22"/>
      <x:color theme="1"/>
      <x:name val="Calibri"/>
    </x:font>
    <x:font>
      <x:sz val="14"/>
      <x:name val="Arial"/>
    </x:font>
    <x:font>
      <x:b/>
      <x:sz val="11"/>
      <x:color rgb="FF0000CC"/>
      <x:name val="Calibri"/>
    </x:font>
    <x:font>
      <x:b/>
      <x:sz val="16"/>
      <x:color rgb="FFFF0000"/>
      <x:name val="Arial"/>
    </x:font>
    <x:font>
      <x:b/>
      <x:sz val="16"/>
      <x:color theme="1"/>
      <x:name val="Calibri"/>
    </x:font>
    <x:font>
      <x:b/>
      <x:sz val="11"/>
      <x:name val="Calibri"/>
    </x:font>
    <x:font>
      <x:b/>
      <x:sz val="18"/>
      <x:color rgb="FF0000CC"/>
      <x:name val="Calibri"/>
    </x:font>
    <x:font>
      <x:b/>
      <x:sz val="11"/>
      <x:color theme="0"/>
      <x:name val="Calibri"/>
    </x:font>
    <x:font>
      <x:sz val="8"/>
      <x:name val="Arial"/>
    </x:font>
    <x:font>
      <x:b/>
      <x:sz val="12"/>
      <x:name val="Arial"/>
    </x:font>
    <x:font>
      <x:b/>
      <x:sz val="22"/>
      <x:name val="Arial"/>
    </x:font>
    <x:font>
      <x:sz val="11"/>
      <x:name val="Arial"/>
    </x:font>
    <x:font>
      <x:b/>
      <x:sz val="20"/>
      <x:name val="Arial"/>
    </x:font>
    <x:font>
      <x:b/>
      <x:sz val="72"/>
      <x:color theme="1"/>
      <x:name val="Calibri"/>
    </x:font>
    <x:font>
      <x:b/>
      <x:sz val="28"/>
      <x:name val="Arial"/>
    </x:font>
    <x:font>
      <x:b/>
      <x:sz val="22"/>
      <x:name val="Calibri"/>
    </x:font>
    <x:font>
      <x:b/>
      <x:sz val="16"/>
      <x:name val="Calibri"/>
    </x:font>
    <x:font>
      <x:b/>
      <x:sz val="11"/>
      <x:name val="Arial"/>
    </x:font>
    <x:font>
      <x:sz val="12"/>
      <x:name val="Arial"/>
    </x:font>
    <x:font>
      <x:b/>
      <x:sz val="16"/>
      <x:color rgb="FF0000CC"/>
      <x:name val="Calibri"/>
    </x:font>
    <x:font>
      <x:b/>
      <x:sz val="11"/>
      <x:color rgb="FFFF0000"/>
      <x:name val="Arial"/>
    </x:font>
    <x:font>
      <x:b/>
      <x:sz val="18"/>
      <x:color rgb="FFFF0000"/>
      <x:name val="Calibri"/>
    </x:font>
    <x:font>
      <x:b/>
      <x:sz val="20"/>
      <x:color rgb="FF000000"/>
      <x:name val="ZapfHumnst BT"/>
    </x:font>
    <x:font>
      <x:sz val="16"/>
      <x:color rgb="FF000000"/>
      <x:name val="Calibri"/>
    </x:font>
    <x:font>
      <x:sz val="16"/>
      <x:color theme="0"/>
      <x:name val="Calibri"/>
    </x:font>
    <x:font>
      <x:sz val="8"/>
      <x:color rgb="FF000000"/>
      <x:name val="Calibri"/>
    </x:font>
    <x:font>
      <x:b/>
      <x:sz val="12"/>
      <x:color theme="1"/>
      <x:name val="Calibri"/>
    </x:font>
    <x:font>
      <x:sz val="10"/>
      <x:name val="Arial"/>
    </x:font>
    <x:font>
      <x:sz val="20"/>
      <x:name val="Arial"/>
    </x:font>
    <x:font>
      <x:sz val="8"/>
      <x:name val="Arial"/>
    </x:font>
    <x:font>
      <x:b/>
      <x:sz val="10"/>
      <x:color theme="1"/>
      <x:name val="Calibri"/>
    </x:font>
    <x:font>
      <x:b/>
      <x:sz val="10"/>
      <x:color theme="1"/>
      <x:name val="Calibri"/>
    </x:font>
    <x:font>
      <x:b/>
      <x:sz val="10"/>
      <x:color rgb="FF0000CC"/>
      <x:name val="Calibri"/>
    </x:font>
    <x:font>
      <x:b/>
      <x:sz val="36"/>
      <x:name val="Arial"/>
    </x:font>
    <x:font>
      <x:b/>
      <x:sz val="15"/>
      <x:name val="Arial"/>
    </x:font>
  </x:fonts>
  <x:fills count="2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0" tint="-0.24998"/>
      </x:patternFill>
    </x:fill>
    <x:fill>
      <x:patternFill patternType="solid">
        <x:fgColor theme="5" tint="0.59999"/>
      </x:patternFill>
    </x:fill>
    <x:fill>
      <x:patternFill patternType="solid">
        <x:fgColor rgb="FF00FF00"/>
      </x:patternFill>
    </x:fill>
    <x:fill>
      <x:patternFill patternType="solid">
        <x:fgColor theme="8" tint="0.39998"/>
      </x:patternFill>
    </x:fill>
    <x:fill>
      <x:patternFill patternType="solid">
        <x:fgColor theme="6" tint="0.59999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theme="0"/>
      </x:patternFill>
    </x:fill>
    <x:fill>
      <x:patternFill patternType="solid">
        <x:fgColor theme="3" tint="0.79998"/>
      </x:patternFill>
    </x:fill>
    <x:fill>
      <x:patternFill patternType="solid">
        <x:fgColor theme="0" tint="-0.15"/>
      </x:patternFill>
    </x:fill>
    <x:fill>
      <x:patternFill patternType="solid">
        <x:fgColor theme="1" tint="0.15"/>
      </x:patternFill>
    </x:fill>
    <x:fill>
      <x:patternFill patternType="solid">
        <x:fgColor theme="9" tint="0.59999"/>
      </x:patternFill>
    </x:fill>
    <x:fill>
      <x:patternFill patternType="solid">
        <x:fgColor rgb="FF00B0F0"/>
      </x:patternFill>
    </x:fill>
    <x:fill>
      <x:patternFill patternType="solid">
        <x:fgColor rgb="FF66FFFF"/>
      </x:patternFill>
    </x:fill>
    <x:fill>
      <x:patternFill patternType="solid">
        <x:fgColor rgb="FF99CC00"/>
      </x:patternFill>
    </x:fill>
    <x:fill>
      <x:patternFill patternType="solid">
        <x:fgColor rgb="FF00FF99"/>
      </x:patternFill>
    </x:fill>
    <x:fill>
      <x:patternFill patternType="solid">
        <x:fgColor rgb="FFFF9900"/>
      </x:patternFill>
    </x:fill>
    <x:fill>
      <x:patternFill patternType="solid">
        <x:fgColor theme="1"/>
      </x:patternFill>
    </x:fill>
    <x:fill>
      <x:patternFill patternType="solid">
        <x:fgColor rgb="FFFFFFCC"/>
      </x:patternFill>
    </x:fill>
    <x:fill>
      <x:patternFill patternType="solid">
        <x:fgColor rgb="FFCCFF66"/>
      </x:patternFill>
    </x:fill>
    <x:fill>
      <x:patternFill patternType="solid">
        <x:fgColor theme="2" tint="-0.24998"/>
      </x:patternFill>
    </x:fill>
    <x:fill>
      <x:patternFill patternType="solid">
        <x:fgColor theme="5" tint="0.39998"/>
      </x:patternFill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00B050"/>
      </x:patternFill>
    </x:fill>
    <x:fill>
      <x:patternFill patternType="solid">
        <x:fgColor theme="0" tint="-0.04999"/>
      </x:patternFill>
    </x:fill>
  </x:fills>
  <x:borders count="200">
    <x:border/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top style="medium">
        <x:color indexed="64"/>
      </x:top>
    </x:border>
    <x:border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hair"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hair">
        <x:color indexed="64"/>
      </x:left>
      <x:right style="hair">
        <x:color indexed="64"/>
      </x:right>
      <x:bottom style="hair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hair">
        <x:color indexed="64"/>
      </x:right>
      <x:bottom style="hair">
        <x:color indexed="64"/>
      </x:bottom>
    </x:border>
    <x:border>
      <x:left style="medium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top style="medium">
        <x:color indexed="64"/>
      </x:top>
    </x:border>
    <x:border>
      <x:right style="hair">
        <x:color indexed="64"/>
      </x:right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hair">
        <x:color indexed="64"/>
      </x:right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hair">
        <x:color indexed="64"/>
      </x:right>
      <x:bottom style="medium">
        <x:color indexed="64"/>
      </x:bottom>
    </x:border>
    <x:border>
      <x:left style="hair">
        <x:color indexed="64"/>
      </x:left>
      <x:right style="hair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hair">
        <x:color indexed="64"/>
      </x:left>
      <x:right style="hair">
        <x:color indexed="64"/>
      </x:right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hair">
        <x:color indexed="64"/>
      </x:right>
    </x:border>
    <x:border>
      <x:right style="hair">
        <x:color indexed="64"/>
      </x:right>
      <x:bottom style="medium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right style="medium">
        <x:color indexed="64"/>
      </x:right>
      <x:top style="thin">
        <x:color indexed="64"/>
      </x:top>
    </x:border>
    <x:border>
      <x:left style="dotted">
        <x:color indexed="64"/>
      </x:left>
      <x:right style="dotted">
        <x:color indexed="64"/>
      </x:right>
      <x:bottom style="dotted">
        <x:color indexed="64"/>
      </x:bottom>
    </x:border>
    <x:border>
      <x:right style="dotted">
        <x:color indexed="64"/>
      </x:right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top style="dotted">
        <x:color indexed="64"/>
      </x:top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top style="dotted">
        <x:color indexed="64"/>
      </x:top>
      <x:bottom style="medium">
        <x:color indexed="64"/>
      </x:bottom>
    </x:border>
    <x:border>
      <x:top style="thin">
        <x:color indexed="64"/>
      </x:top>
    </x:border>
    <x:border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dotted">
        <x:color indexed="64"/>
      </x:right>
      <x:top style="medium">
        <x:color indexed="64"/>
      </x:top>
      <x:bottom style="dotted">
        <x:color indexed="64"/>
      </x:bottom>
    </x:border>
    <x:border>
      <x:left style="medium">
        <x:color indexed="64"/>
      </x:left>
      <x:right style="dotted">
        <x:color indexed="64"/>
      </x:right>
      <x:top style="dotted">
        <x:color indexed="64"/>
      </x:top>
      <x:bottom style="dotted">
        <x:color indexed="64"/>
      </x:bottom>
    </x:border>
    <x:border>
      <x:left style="medium">
        <x:color indexed="64"/>
      </x:left>
      <x:right style="dotted">
        <x:color indexed="64"/>
      </x:right>
      <x:top style="dotted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dotted">
        <x:color indexed="64"/>
      </x:bottom>
    </x:border>
    <x:border>
      <x:left style="medium">
        <x:color indexed="64"/>
      </x:left>
      <x:top style="dotted">
        <x:color indexed="64"/>
      </x:top>
      <x:bottom style="dotted">
        <x:color indexed="64"/>
      </x:bottom>
    </x:border>
    <x:border>
      <x:left style="medium">
        <x:color indexed="64"/>
      </x:left>
      <x:right style="thin">
        <x:color rgb="FFB1BBCC"/>
      </x:right>
      <x:top style="medium">
        <x:color indexed="64"/>
      </x:top>
    </x:border>
    <x:border>
      <x:left style="thin">
        <x:color rgb="FFB1BBCC"/>
      </x:left>
      <x:right style="thin">
        <x:color rgb="FFB1BBCC"/>
      </x:right>
      <x:top style="medium">
        <x:color indexed="64"/>
      </x:top>
    </x:border>
    <x:border>
      <x:left style="thin">
        <x:color rgb="FFB1BBCC"/>
      </x:left>
      <x:right style="medium">
        <x:color indexed="64"/>
      </x:right>
      <x:top style="medium">
        <x:color indexed="64"/>
      </x:top>
    </x:border>
    <x:border>
      <x:left style="thin">
        <x:color rgb="FFB1BBCC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thin">
        <x:color rgb="FFB1BBCC"/>
      </x:left>
      <x:right style="thin">
        <x:color rgb="FFB1BBCC"/>
      </x:right>
      <x:bottom style="thin">
        <x:color rgb="FFB1BBCC"/>
      </x:bottom>
    </x:border>
    <x:border>
      <x:left style="thin">
        <x:color rgb="FFB1BBCC"/>
      </x:left>
      <x:right style="thin">
        <x:color rgb="FFB1BBCC"/>
      </x:right>
      <x:top style="thin">
        <x:color rgb="FFB1BBCC"/>
      </x:top>
      <x:bottom style="thin">
        <x:color rgb="FFB1BBCC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left style="dashed">
        <x:color indexed="64"/>
      </x:left>
      <x:right style="dashed">
        <x:color indexed="64"/>
      </x:right>
      <x:top style="medium">
        <x:color indexed="64"/>
      </x:top>
      <x:bottom style="dashed">
        <x:color indexed="64"/>
      </x:bottom>
    </x:border>
    <x:border>
      <x:right style="medium">
        <x:color indexed="64"/>
      </x:right>
    </x:border>
    <x:border>
      <x:left style="dashed">
        <x:color indexed="64"/>
      </x:left>
      <x:right style="dashed">
        <x:color indexed="64"/>
      </x:right>
      <x:bottom style="dashed">
        <x:color indexed="64"/>
      </x:bottom>
    </x:border>
    <x:border>
      <x:left style="dotted">
        <x:color indexed="64"/>
      </x:left>
      <x:top style="dotted">
        <x:color indexed="64"/>
      </x:top>
      <x:bottom style="dotted">
        <x:color indexed="64"/>
      </x:bottom>
    </x:border>
    <x:border>
      <x:left style="dashed">
        <x:color indexed="64"/>
      </x:left>
      <x:right style="medium">
        <x:color indexed="64"/>
      </x:right>
      <x:top style="medium">
        <x:color indexed="64"/>
      </x:top>
      <x:bottom style="dashed">
        <x:color indexed="64"/>
      </x:bottom>
    </x:border>
    <x:border>
      <x:left style="dashed">
        <x:color indexed="64"/>
      </x:left>
      <x:right style="medium">
        <x:color indexed="64"/>
      </x:right>
      <x:top style="dashed">
        <x:color indexed="64"/>
      </x:top>
      <x:bottom style="dashed">
        <x:color indexed="64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  <x:bottom style="medium">
        <x:color indexed="64"/>
      </x:bottom>
    </x:border>
    <x:border>
      <x:left style="dashed">
        <x:color indexed="64"/>
      </x:left>
      <x:right style="medium">
        <x:color indexed="64"/>
      </x:right>
      <x:top style="dashed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dashed">
        <x:color indexed="64"/>
      </x:top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dashed">
        <x:color indexed="64"/>
      </x:top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dashed">
        <x:color indexed="64"/>
      </x:right>
      <x:top style="medium">
        <x:color indexed="64"/>
      </x:top>
      <x:bottom style="dashed">
        <x:color indexed="64"/>
      </x:bottom>
    </x:border>
    <x:border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right style="dashed">
        <x:color indexed="64"/>
      </x:right>
      <x:top style="dashed">
        <x:color indexed="64"/>
      </x:top>
      <x:bottom style="medium">
        <x:color indexed="64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</x:border>
    <x:border>
      <x:left style="dashed">
        <x:color indexed="64"/>
      </x:left>
      <x:right style="medium">
        <x:color indexed="64"/>
      </x:right>
      <x:top style="dashed">
        <x:color indexed="64"/>
      </x:top>
    </x:border>
    <x:border>
      <x:left style="medium">
        <x:color indexed="64"/>
      </x:left>
      <x:right style="medium">
        <x:color indexed="64"/>
      </x:right>
      <x:top style="dashed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left style="dashed">
        <x:color indexed="64"/>
      </x:left>
      <x:right style="medium">
        <x:color indexed="64"/>
      </x:right>
      <x:bottom style="dashed">
        <x:color indexed="64"/>
      </x:bottom>
    </x:border>
    <x:border>
      <x:left style="medium">
        <x:color indexed="64"/>
      </x:left>
      <x:right style="dashed">
        <x:color indexed="64"/>
      </x:right>
      <x:top style="medium">
        <x:color indexed="64"/>
      </x:top>
      <x:bottom style="dashed">
        <x:color indexed="64"/>
      </x:bottom>
    </x:border>
    <x:border>
      <x:right style="medium">
        <x:color indexed="64"/>
      </x:right>
      <x:top style="medium">
        <x:color indexed="64"/>
      </x:top>
      <x:bottom style="dashed">
        <x:color indexed="64"/>
      </x:bottom>
    </x:border>
    <x:border>
      <x:left style="medium">
        <x:color indexed="64"/>
      </x:left>
      <x:right style="dashed">
        <x:color indexed="64"/>
      </x:right>
      <x:top style="medium">
        <x:color indexed="64"/>
      </x:top>
      <x:bottom style="medium">
        <x:color indexed="64"/>
      </x:bottom>
    </x:border>
    <x:border>
      <x:right style="dashed">
        <x:color indexed="64"/>
      </x:right>
      <x:top style="medium">
        <x:color indexed="64"/>
      </x:top>
      <x:bottom style="medium">
        <x:color indexed="64"/>
      </x:bottom>
    </x:border>
    <x:border>
      <x:right style="dashed">
        <x:color indexed="64"/>
      </x:right>
      <x:top style="medium">
        <x:color indexed="64"/>
      </x:top>
    </x:border>
    <x:border>
      <x:left style="medium">
        <x:color indexed="64"/>
      </x:left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left style="medium">
        <x:color indexed="64"/>
      </x:left>
      <x:right style="dashed">
        <x:color indexed="64"/>
      </x:right>
      <x:top style="dashed">
        <x:color indexed="64"/>
      </x:top>
      <x:bottom style="medium">
        <x:color indexed="64"/>
      </x:bottom>
    </x:border>
    <x:border>
      <x:left style="dashed">
        <x:color indexed="64"/>
      </x:left>
      <x:right style="dashed">
        <x:color indexed="64"/>
      </x:right>
      <x:bottom style="medium">
        <x:color indexed="64"/>
      </x:bottom>
    </x:border>
    <x:border>
      <x:right style="dashed">
        <x:color indexed="64"/>
      </x:right>
      <x:top style="dashed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left style="dotted">
        <x:color indexed="64"/>
      </x:left>
      <x:bottom style="dotted">
        <x:color indexed="64"/>
      </x:bottom>
    </x:border>
    <x:border>
      <x:left style="dotted">
        <x:color indexed="64"/>
      </x:left>
      <x:top style="dotted">
        <x:color indexed="64"/>
      </x:top>
    </x:border>
    <x:border>
      <x:right style="dotted">
        <x:color indexed="64"/>
      </x:right>
      <x:top style="thin">
        <x:color indexed="64"/>
      </x:top>
      <x:bottom style="thin">
        <x:color indexed="64"/>
      </x:bottom>
    </x:border>
    <x:border/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hair">
        <x:color indexed="64"/>
      </x:right>
      <x:bottom style="hair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hair">
        <x:color indexed="64"/>
      </x:right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hair">
        <x:color indexed="64"/>
      </x:right>
      <x:bottom style="hair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hair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hair"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left style="hair">
        <x:color indexed="64"/>
      </x:left>
      <x:right style="hair">
        <x:color indexed="64"/>
      </x:right>
      <x:bottom style="hair">
        <x:color indexed="64"/>
      </x:bottom>
    </x:border>
    <x:border>
      <x:left style="hair">
        <x:color indexed="64"/>
      </x:left>
      <x:right style="hair">
        <x:color indexed="64"/>
      </x:right>
      <x:bottom style="medium">
        <x:color indexed="64"/>
      </x:bottom>
    </x:border>
    <x:border>
      <x:left style="hair">
        <x:color indexed="64"/>
      </x:left>
      <x:right style="hair">
        <x:color indexed="64"/>
      </x:right>
    </x:border>
    <x:border>
      <x:left style="medium">
        <x:color indexed="64"/>
      </x:left>
      <x:right style="hair">
        <x:color indexed="64"/>
      </x:right>
    </x:border>
    <x:border>
      <x:right style="hair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dotted">
        <x:color indexed="64"/>
      </x:left>
      <x:right style="dotted">
        <x:color indexed="64"/>
      </x:right>
      <x:bottom style="dotted">
        <x:color indexed="64"/>
      </x:bottom>
    </x:border>
    <x:border>
      <x:right style="dotted">
        <x:color indexed="64"/>
      </x:right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top style="dotted">
        <x:color indexed="64"/>
      </x:top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top style="dotted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</x:border>
    <x:border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dotted">
        <x:color indexed="64"/>
      </x:right>
      <x:top style="medium">
        <x:color indexed="64"/>
      </x:top>
      <x:bottom style="dotted">
        <x:color indexed="64"/>
      </x:bottom>
    </x:border>
    <x:border>
      <x:left style="medium">
        <x:color indexed="64"/>
      </x:left>
      <x:right style="dotted">
        <x:color indexed="64"/>
      </x:right>
      <x:top style="dotted">
        <x:color indexed="64"/>
      </x:top>
      <x:bottom style="dotted">
        <x:color indexed="64"/>
      </x:bottom>
    </x:border>
    <x:border>
      <x:left style="medium">
        <x:color indexed="64"/>
      </x:left>
      <x:right style="dotted">
        <x:color indexed="64"/>
      </x:right>
      <x:top style="dotted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dotted">
        <x:color indexed="64"/>
      </x:bottom>
    </x:border>
    <x:border>
      <x:left style="medium">
        <x:color indexed="64"/>
      </x:left>
      <x:top style="dotted">
        <x:color indexed="64"/>
      </x:top>
      <x:bottom style="dotted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B1BBCC"/>
      </x:right>
      <x:top style="medium">
        <x:color indexed="64"/>
      </x:top>
    </x:border>
    <x:border>
      <x:left style="thin">
        <x:color rgb="FFB1BBCC"/>
      </x:left>
      <x:right style="thin">
        <x:color rgb="FFB1BBCC"/>
      </x:right>
      <x:top style="medium">
        <x:color indexed="64"/>
      </x:top>
    </x:border>
    <x:border>
      <x:left style="thin">
        <x:color rgb="FFB1BBCC"/>
      </x:left>
      <x:right style="medium">
        <x:color indexed="64"/>
      </x:right>
      <x:top style="medium">
        <x:color indexed="64"/>
      </x:top>
    </x:border>
    <x:border>
      <x:left style="thin">
        <x:color rgb="FFB1BBCC"/>
      </x:left>
      <x:top style="medium">
        <x:color indexed="64"/>
      </x:top>
    </x:border>
    <x:border>
      <x:left style="thin">
        <x:color rgb="FFB1BBCC"/>
      </x:left>
      <x:right style="thin">
        <x:color rgb="FFB1BBCC"/>
      </x:right>
      <x:bottom style="thin">
        <x:color rgb="FFB1BBCC"/>
      </x:bottom>
    </x:border>
    <x:border>
      <x:left style="thin">
        <x:color rgb="FFB1BBCC"/>
      </x:left>
      <x:right style="thin">
        <x:color rgb="FFB1BBCC"/>
      </x:right>
      <x:top style="thin">
        <x:color rgb="FFB1BBCC"/>
      </x:top>
      <x:bottom style="thin">
        <x:color rgb="FFB1BBCC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bottom style="thin">
        <x:color indexed="64"/>
      </x:bottom>
    </x:border>
    <x:border>
      <x:top style="thin">
        <x:color indexed="64"/>
      </x:top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left style="dashed">
        <x:color indexed="64"/>
      </x:left>
      <x:right style="dashed">
        <x:color indexed="64"/>
      </x:right>
      <x:top style="medium">
        <x:color indexed="64"/>
      </x:top>
      <x:bottom style="dashed">
        <x:color indexed="64"/>
      </x:bottom>
    </x:border>
    <x:border>
      <x:left style="dashed">
        <x:color indexed="64"/>
      </x:left>
      <x:right style="medium">
        <x:color indexed="64"/>
      </x:right>
      <x:top style="medium">
        <x:color indexed="64"/>
      </x:top>
      <x:bottom style="dashed">
        <x:color indexed="64"/>
      </x:bottom>
    </x:border>
    <x:border>
      <x:left style="dashed">
        <x:color indexed="64"/>
      </x:left>
      <x:right style="medium">
        <x:color indexed="64"/>
      </x:right>
      <x:top style="dashed">
        <x:color indexed="64"/>
      </x:top>
      <x:bottom style="dashed">
        <x:color indexed="64"/>
      </x:bottom>
    </x:border>
    <x:border>
      <x:left style="dashed">
        <x:color indexed="64"/>
      </x:left>
      <x:right style="medium">
        <x:color indexed="64"/>
      </x:right>
      <x:top style="dashed">
        <x:color indexed="64"/>
      </x:top>
      <x:bottom style="medium">
        <x:color indexed="64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</x:border>
    <x:border>
      <x:left style="dashed">
        <x:color indexed="64"/>
      </x:left>
      <x:right style="medium">
        <x:color indexed="64"/>
      </x:right>
      <x:top style="dashed">
        <x:color indexed="64"/>
      </x:top>
    </x:border>
    <x:border>
      <x:right style="dashed">
        <x:color indexed="64"/>
      </x:right>
      <x:top style="medium">
        <x:color indexed="64"/>
      </x:top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dashed">
        <x:color indexed="64"/>
      </x:top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dashed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medium">
        <x:color indexed="64"/>
      </x:left>
      <x:right style="dashed">
        <x:color indexed="64"/>
      </x:right>
      <x:top style="medium">
        <x:color indexed="64"/>
      </x:top>
      <x:bottom style="dashed">
        <x:color indexed="64"/>
      </x:bottom>
    </x:border>
    <x:border>
      <x:right style="medium">
        <x:color indexed="64"/>
      </x:right>
      <x:top style="medium">
        <x:color indexed="64"/>
      </x:top>
      <x:bottom style="dashed">
        <x:color indexed="64"/>
      </x:bottom>
    </x:border>
    <x:border>
      <x:left style="medium">
        <x:color indexed="64"/>
      </x:left>
      <x:right style="dashed">
        <x:color indexed="64"/>
      </x:right>
      <x:top style="medium">
        <x:color indexed="64"/>
      </x:top>
      <x:bottom style="medium">
        <x:color indexed="64"/>
      </x:bottom>
    </x:border>
    <x:border>
      <x:right style="dashed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right style="dashed">
        <x:color indexed="64"/>
      </x:right>
      <x:top style="medium">
        <x:color indexed="64"/>
      </x:top>
    </x:border>
    <x:border>
      <x:left style="dashed">
        <x:color indexed="64"/>
      </x:left>
      <x:right style="dashed">
        <x:color indexed="64"/>
      </x:right>
      <x:bottom style="dashed">
        <x:color indexed="64"/>
      </x:bottom>
    </x:border>
    <x:border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right style="dashed">
        <x:color indexed="64"/>
      </x:right>
      <x:top style="dashed">
        <x:color indexed="64"/>
      </x:top>
      <x:bottom style="medium">
        <x:color indexed="64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  <x:bottom style="medium">
        <x:color indexed="64"/>
      </x:bottom>
    </x:border>
    <x:border>
      <x:left style="medium">
        <x:color indexed="64"/>
      </x:left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left style="medium">
        <x:color indexed="64"/>
      </x:left>
      <x:right style="dashed">
        <x:color indexed="64"/>
      </x:right>
      <x:top style="dashed">
        <x:color indexed="64"/>
      </x:top>
      <x:bottom style="medium">
        <x:color indexed="64"/>
      </x:bottom>
    </x:border>
    <x:border>
      <x:left style="dashed">
        <x:color indexed="64"/>
      </x:left>
      <x:right style="dashed">
        <x:color indexed="64"/>
      </x:right>
      <x:bottom style="medium">
        <x:color indexed="64"/>
      </x:bottom>
    </x:border>
    <x:border>
      <x:right style="medium">
        <x:color indexed="64"/>
      </x:right>
    </x:border>
    <x:border>
      <x:right style="dashed">
        <x:color indexed="64"/>
      </x:right>
      <x:top style="dashed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left style="dashed">
        <x:color indexed="64"/>
      </x:left>
      <x:right style="medium">
        <x:color indexed="64"/>
      </x:right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dashed">
        <x:color indexed="64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dotted">
        <x:color indexed="64"/>
      </x:left>
      <x:top style="dotted">
        <x:color indexed="64"/>
      </x:top>
      <x:bottom style="dotted">
        <x:color indexed="64"/>
      </x:bottom>
    </x:border>
    <x:border>
      <x:left style="dotted">
        <x:color indexed="64"/>
      </x:left>
      <x:bottom style="dotted">
        <x:color indexed="64"/>
      </x:bottom>
    </x:border>
    <x:border>
      <x:left style="dotted">
        <x:color indexed="64"/>
      </x:left>
      <x:top style="dotted">
        <x:color indexed="64"/>
      </x:top>
    </x:border>
    <x:border>
      <x:right style="dotted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</x:border>
  </x:borders>
  <x:cellStyleXfs count="19">
    <x:xf numFmtId="0" fontId="0" fillId="0" borderId="0"/>
    <x:xf numFmtId="9" fontId="4" fillId="0" borderId="0" applyFont="0" applyFill="0" applyBorder="0" applyAlignment="0" applyProtection="0"/>
    <x:xf numFmtId="0" fontId="6" fillId="0" borderId="0"/>
    <x:xf numFmtId="0" fontId="6" fillId="0" borderId="0"/>
    <x:xf numFmtId="9" fontId="2" fillId="0" borderId="0" applyFont="0" applyFill="0" applyBorder="0" applyAlignment="0" applyProtection="0"/>
    <x:xf numFmtId="0" fontId="2" fillId="0" borderId="0"/>
    <x:xf numFmtId="0" fontId="2" fillId="0" borderId="0"/>
    <x:xf numFmtId="0" fontId="2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2" fillId="0" borderId="0"/>
    <x:xf numFmtId="9" fontId="6" fillId="0" borderId="0" applyFont="0" applyFill="0" applyBorder="0" applyAlignment="0" applyProtection="0"/>
    <x:xf numFmtId="9" fontId="2" fillId="0" borderId="0" applyFont="0" applyFill="0" applyBorder="0" applyAlignment="0" applyProtection="0"/>
    <x:xf numFmtId="0" fontId="1" fillId="0" borderId="0"/>
    <x:xf numFmtId="41" fontId="46" fillId="0" borderId="0" applyFont="0" applyFill="0" applyBorder="0" applyAlignment="0" applyProtection="0"/>
  </x:cellStyleXfs>
  <x:cellXfs count="629">
    <x:xf numFmtId="0" fontId="0" fillId="0" borderId="0" xfId="0"/>
    <x:xf numFmtId="0" fontId="0" fillId="0" borderId="0" xfId="0" applyAlignment="1">
      <x:alignment horizontal="center"/>
    </x:xf>
    <x:xf numFmtId="9" fontId="0" fillId="0" borderId="0" xfId="0" applyNumberFormat="1"/>
    <x:xf numFmtId="9" fontId="0" fillId="0" borderId="0" xfId="0" applyNumberFormat="1" applyAlignment="1">
      <x:alignment horizontal="center"/>
    </x:xf>
    <x:xf numFmtId="0" fontId="0" fillId="10" borderId="0" xfId="0" applyFill="1"/>
    <x:xf numFmtId="0" fontId="0" fillId="10" borderId="0" xfId="0" applyFill="1" applyAlignment="1">
      <x:alignment horizontal="center"/>
    </x:xf>
    <x:xf numFmtId="0" fontId="14" fillId="10" borderId="0" xfId="0" applyFont="1" applyFill="1"/>
    <x:xf numFmtId="0" fontId="15" fillId="10" borderId="0" xfId="0" applyFont="1" applyFill="1" applyAlignment="1">
      <x:alignment horizontal="left"/>
    </x:xf>
    <x:xf numFmtId="0" fontId="16" fillId="10" borderId="0" xfId="0" applyFont="1" applyFill="1"/>
    <x:xf numFmtId="0" fontId="3" fillId="12" borderId="11" xfId="0" applyFont="1" applyFill="1" applyBorder="1" applyAlignment="1">
      <x:alignment horizontal="center"/>
    </x:xf>
    <x:xf numFmtId="0" fontId="3" fillId="12" borderId="21" xfId="0" applyFont="1" applyFill="1" applyBorder="1" applyAlignment="1">
      <x:alignment horizontal="center" vertical="center"/>
    </x:xf>
    <x:xf numFmtId="0" fontId="3" fillId="12" borderId="22" xfId="0" applyFont="1" applyFill="1" applyBorder="1" applyAlignment="1">
      <x:alignment horizontal="center" vertical="center"/>
    </x:xf>
    <x:xf numFmtId="164" fontId="3" fillId="12" borderId="7" xfId="0" applyNumberFormat="1" applyFont="1" applyFill="1" applyBorder="1" applyAlignment="1">
      <x:alignment horizontal="center" vertical="center"/>
    </x:xf>
    <x:xf numFmtId="0" fontId="3" fillId="13" borderId="7" xfId="0" applyFont="1" applyFill="1" applyBorder="1" applyAlignment="1">
      <x:alignment horizontal="center" vertical="center"/>
    </x:xf>
    <x:xf numFmtId="0" fontId="18" fillId="7" borderId="7" xfId="0" applyFont="1" applyFill="1" applyBorder="1" applyAlignment="1">
      <x:alignment horizontal="center" vertical="center" wrapText="1"/>
    </x:xf>
    <x:xf numFmtId="0" fontId="18" fillId="2" borderId="7" xfId="0" applyFont="1" applyFill="1" applyBorder="1" applyAlignment="1">
      <x:alignment horizontal="center" vertical="center"/>
    </x:xf>
    <x:xf numFmtId="1" fontId="21" fillId="0" borderId="24" xfId="0" applyNumberFormat="1" applyFont="1" applyBorder="1" applyAlignment="1">
      <x:alignment horizontal="center"/>
    </x:xf>
    <x:xf numFmtId="1" fontId="21" fillId="0" borderId="11" xfId="0" applyNumberFormat="1" applyFont="1" applyBorder="1" applyAlignment="1">
      <x:alignment horizontal="center"/>
    </x:xf>
    <x:xf numFmtId="9" fontId="9" fillId="0" borderId="12" xfId="0" applyNumberFormat="1" applyFont="1" applyBorder="1" applyAlignment="1">
      <x:alignment horizontal="center" vertical="center"/>
    </x:xf>
    <x:xf numFmtId="9" fontId="9" fillId="0" borderId="25" xfId="0" applyNumberFormat="1" applyFont="1" applyBorder="1" applyAlignment="1">
      <x:alignment horizontal="center" vertical="center"/>
    </x:xf>
    <x:xf numFmtId="3" fontId="22" fillId="0" borderId="26" xfId="0" applyNumberFormat="1" applyFont="1" applyBorder="1" applyAlignment="1">
      <x:alignment horizontal="center" vertical="center"/>
    </x:xf>
    <x:xf numFmtId="15" fontId="23" fillId="0" borderId="19" xfId="0" applyNumberFormat="1" applyFont="1" applyBorder="1" applyAlignment="1">
      <x:alignment horizontal="center"/>
    </x:xf>
    <x:xf numFmtId="3" fontId="22" fillId="0" borderId="27" xfId="0" applyNumberFormat="1" applyFont="1" applyBorder="1" applyAlignment="1">
      <x:alignment horizontal="center" vertical="center"/>
    </x:xf>
    <x:xf numFmtId="15" fontId="23" fillId="0" borderId="10" xfId="0" applyNumberFormat="1" applyFont="1" applyBorder="1" applyAlignment="1">
      <x:alignment horizontal="center"/>
    </x:xf>
    <x:xf numFmtId="1" fontId="21" fillId="0" borderId="28" xfId="0" applyNumberFormat="1" applyFont="1" applyBorder="1" applyAlignment="1">
      <x:alignment horizontal="center"/>
    </x:xf>
    <x:xf numFmtId="3" fontId="22" fillId="0" borderId="29" xfId="0" applyNumberFormat="1" applyFont="1" applyBorder="1" applyAlignment="1">
      <x:alignment horizontal="center" vertical="center"/>
    </x:xf>
    <x:xf numFmtId="0" fontId="21" fillId="0" borderId="20" xfId="0" applyFont="1" applyBorder="1" applyAlignment="1">
      <x:alignment horizontal="center"/>
    </x:xf>
    <x:xf numFmtId="3" fontId="22" fillId="0" borderId="30" xfId="0" applyNumberFormat="1" applyFont="1" applyBorder="1" applyAlignment="1">
      <x:alignment horizontal="center" vertical="center"/>
    </x:xf>
    <x:xf numFmtId="15" fontId="23" fillId="0" borderId="8" xfId="0" applyNumberFormat="1" applyFont="1" applyBorder="1" applyAlignment="1">
      <x:alignment horizontal="center"/>
    </x:xf>
    <x:xf numFmtId="0" fontId="21" fillId="0" borderId="18" xfId="0" applyFont="1" applyBorder="1" applyAlignment="1">
      <x:alignment horizontal="center"/>
    </x:xf>
    <x:xf numFmtId="3" fontId="22" fillId="0" borderId="31" xfId="0" applyNumberFormat="1" applyFont="1" applyBorder="1" applyAlignment="1">
      <x:alignment horizontal="center" vertical="center"/>
    </x:xf>
    <x:xf numFmtId="0" fontId="21" fillId="0" borderId="32" xfId="0" applyFont="1" applyBorder="1" applyAlignment="1">
      <x:alignment horizontal="center"/>
    </x:xf>
    <x:xf numFmtId="3" fontId="22" fillId="0" borderId="34" xfId="0" applyNumberFormat="1" applyFont="1" applyBorder="1" applyAlignment="1">
      <x:alignment horizontal="center" vertical="center"/>
    </x:xf>
    <x:xf numFmtId="15" fontId="23" fillId="0" borderId="13" xfId="0" applyNumberFormat="1" applyFont="1" applyBorder="1" applyAlignment="1">
      <x:alignment horizontal="center"/>
    </x:xf>
    <x:xf numFmtId="0" fontId="21" fillId="0" borderId="24" xfId="0" applyFont="1" applyBorder="1" applyAlignment="1">
      <x:alignment horizontal="center"/>
    </x:xf>
    <x:xf numFmtId="0" fontId="23" fillId="0" borderId="10" xfId="0" applyFont="1" applyBorder="1" applyAlignment="1">
      <x:alignment horizontal="center"/>
    </x:xf>
    <x:xf numFmtId="0" fontId="21" fillId="0" borderId="28" xfId="0" applyFont="1" applyBorder="1" applyAlignment="1">
      <x:alignment horizontal="center"/>
    </x:xf>
    <x:xf numFmtId="0" fontId="15" fillId="0" borderId="0" xfId="0" applyFont="1" applyAlignment="1">
      <x:alignment horizontal="left"/>
    </x:xf>
    <x:xf numFmtId="0" fontId="24" fillId="0" borderId="0" xfId="0" applyFont="1" applyAlignment="1">
      <x:alignment horizontal="center"/>
    </x:xf>
    <x:xf numFmtId="0" fontId="3" fillId="16" borderId="7" xfId="0" applyFont="1" applyFill="1" applyBorder="1" applyAlignment="1">
      <x:alignment horizontal="center"/>
    </x:xf>
    <x:xf numFmtId="0" fontId="3" fillId="17" borderId="7" xfId="0" applyFont="1" applyFill="1" applyBorder="1" applyAlignment="1">
      <x:alignment horizontal="center"/>
    </x:xf>
    <x:xf numFmtId="0" fontId="3" fillId="2" borderId="36" xfId="0" applyFont="1" applyFill="1" applyBorder="1" applyAlignment="1">
      <x:alignment horizontal="center"/>
    </x:xf>
    <x:xf numFmtId="0" fontId="3" fillId="2" borderId="7" xfId="0" applyFont="1" applyFill="1" applyBorder="1" applyAlignment="1">
      <x:alignment horizontal="center"/>
    </x:xf>
    <x:xf numFmtId="9" fontId="25" fillId="2" borderId="7" xfId="0" applyNumberFormat="1" applyFont="1" applyFill="1" applyBorder="1" applyAlignment="1">
      <x:alignment horizontal="center"/>
    </x:xf>
    <x:xf numFmtId="9" fontId="25" fillId="0" borderId="0" xfId="0" applyNumberFormat="1" applyFont="1" applyAlignment="1">
      <x:alignment horizontal="center"/>
    </x:xf>
    <x:xf numFmtId="0" fontId="3" fillId="18" borderId="7" xfId="0" applyFont="1" applyFill="1" applyBorder="1" applyAlignment="1">
      <x:alignment horizontal="center"/>
    </x:xf>
    <x:xf numFmtId="1" fontId="21" fillId="0" borderId="9" xfId="0" applyNumberFormat="1" applyFont="1" applyBorder="1" applyAlignment="1">
      <x:alignment horizontal="center"/>
    </x:xf>
    <x:xf numFmtId="1" fontId="21" fillId="0" borderId="14" xfId="0" applyNumberFormat="1" applyFont="1" applyBorder="1" applyAlignment="1">
      <x:alignment horizontal="center"/>
    </x:xf>
    <x:xf numFmtId="1" fontId="21" fillId="0" borderId="33" xfId="0" applyNumberFormat="1" applyFont="1" applyBorder="1" applyAlignment="1">
      <x:alignment horizontal="center"/>
    </x:xf>
    <x:xf numFmtId="1" fontId="21" fillId="0" borderId="35" xfId="0" applyNumberFormat="1" applyFont="1" applyBorder="1" applyAlignment="1">
      <x:alignment horizontal="center"/>
    </x:xf>
    <x:xf numFmtId="0" fontId="21" fillId="0" borderId="37" xfId="0" applyFont="1" applyBorder="1" applyAlignment="1">
      <x:alignment horizontal="center"/>
    </x:xf>
    <x:xf numFmtId="0" fontId="21" fillId="0" borderId="38" xfId="0" applyFont="1" applyBorder="1" applyAlignment="1">
      <x:alignment horizontal="center"/>
    </x:xf>
    <x:xf numFmtId="0" fontId="20" fillId="2" borderId="31" xfId="0" applyFont="1" applyFill="1" applyBorder="1" applyAlignment="1">
      <x:alignment horizontal="left" vertical="center" wrapText="1"/>
    </x:xf>
    <x:xf numFmtId="0" fontId="19" fillId="10" borderId="5" xfId="0" applyFont="1" applyFill="1" applyBorder="1" applyAlignment="1">
      <x:alignment horizontal="center" vertical="center" wrapText="1"/>
    </x:xf>
    <x:xf numFmtId="0" fontId="28" fillId="0" borderId="41" xfId="0" applyFont="1" applyBorder="1" applyAlignment="1">
      <x:alignment horizontal="center"/>
    </x:xf>
    <x:xf numFmtId="1" fontId="28" fillId="0" borderId="41" xfId="0" applyNumberFormat="1" applyFont="1" applyBorder="1" applyAlignment="1">
      <x:alignment horizontal="center"/>
    </x:xf>
    <x:xf numFmtId="0" fontId="0" fillId="3" borderId="7" xfId="0" applyFill="1" applyBorder="1" applyAlignment="1">
      <x:alignment horizontal="center"/>
    </x:xf>
    <x:xf numFmtId="0" fontId="28" fillId="0" borderId="42" xfId="0" applyFont="1" applyBorder="1" applyAlignment="1">
      <x:alignment horizontal="center"/>
    </x:xf>
    <x:xf numFmtId="0" fontId="11" fillId="0" borderId="43" xfId="0" applyFont="1" applyBorder="1" applyAlignment="1">
      <x:alignment horizontal="center"/>
    </x:xf>
    <x:xf numFmtId="0" fontId="11" fillId="0" borderId="44" xfId="0" applyFont="1" applyBorder="1" applyAlignment="1">
      <x:alignment horizontal="center"/>
    </x:xf>
    <x:xf numFmtId="0" fontId="11" fillId="0" borderId="45" xfId="0" applyFont="1" applyBorder="1" applyAlignment="1">
      <x:alignment horizontal="center"/>
    </x:xf>
    <x:xf numFmtId="0" fontId="20" fillId="2" borderId="30" xfId="0" applyFont="1" applyFill="1" applyBorder="1" applyAlignment="1">
      <x:alignment horizontal="left" vertical="center" wrapText="1"/>
    </x:xf>
    <x:xf numFmtId="0" fontId="20" fillId="2" borderId="34" xfId="0" applyFont="1" applyFill="1" applyBorder="1" applyAlignment="1">
      <x:alignment horizontal="left" vertical="center" wrapText="1"/>
    </x:xf>
    <x:xf numFmtId="0" fontId="20" fillId="19" borderId="40" xfId="0" applyFont="1" applyFill="1" applyBorder="1" applyAlignment="1">
      <x:alignment horizontal="left" vertical="center" wrapText="1"/>
    </x:xf>
    <x:xf numFmtId="0" fontId="20" fillId="19" borderId="30" xfId="0" applyFont="1" applyFill="1" applyBorder="1" applyAlignment="1">
      <x:alignment horizontal="left" vertical="center" wrapText="1"/>
    </x:xf>
    <x:xf numFmtId="0" fontId="20" fillId="5" borderId="30" xfId="0" applyFont="1" applyFill="1" applyBorder="1" applyAlignment="1">
      <x:alignment horizontal="left" vertical="center" wrapText="1"/>
    </x:xf>
    <x:xf numFmtId="0" fontId="20" fillId="5" borderId="31" xfId="0" applyFont="1" applyFill="1" applyBorder="1" applyAlignment="1">
      <x:alignment horizontal="left" vertical="center" wrapText="1"/>
    </x:xf>
    <x:xf numFmtId="0" fontId="20" fillId="19" borderId="31" xfId="0" applyFont="1" applyFill="1" applyBorder="1" applyAlignment="1">
      <x:alignment horizontal="left" vertical="center" wrapText="1"/>
    </x:xf>
    <x:xf numFmtId="0" fontId="20" fillId="5" borderId="34" xfId="0" applyFont="1" applyFill="1" applyBorder="1" applyAlignment="1">
      <x:alignment horizontal="left" vertical="center" wrapText="1"/>
    </x:xf>
    <x:xf numFmtId="0" fontId="20" fillId="5" borderId="39" xfId="0" applyFont="1" applyFill="1" applyBorder="1" applyAlignment="1">
      <x:alignment horizontal="left" vertical="center" wrapText="1"/>
    </x:xf>
    <x:xf numFmtId="0" fontId="20" fillId="15" borderId="31" xfId="0" applyFont="1" applyFill="1" applyBorder="1" applyAlignment="1">
      <x:alignment horizontal="left" vertical="center" wrapText="1"/>
    </x:xf>
    <x:xf numFmtId="0" fontId="20" fillId="16" borderId="31" xfId="0" applyFont="1" applyFill="1" applyBorder="1" applyAlignment="1">
      <x:alignment horizontal="left" vertical="center" wrapText="1"/>
    </x:xf>
    <x:xf numFmtId="0" fontId="20" fillId="16" borderId="30" xfId="0" applyFont="1" applyFill="1" applyBorder="1" applyAlignment="1">
      <x:alignment horizontal="left" vertical="center" wrapText="1"/>
    </x:xf>
    <x:xf numFmtId="0" fontId="20" fillId="16" borderId="39" xfId="0" applyFont="1" applyFill="1" applyBorder="1" applyAlignment="1">
      <x:alignment horizontal="left" vertical="center" wrapText="1"/>
    </x:xf>
    <x:xf numFmtId="0" fontId="21" fillId="16" borderId="18" xfId="0" applyFont="1" applyFill="1" applyBorder="1" applyAlignment="1">
      <x:alignment horizontal="center"/>
    </x:xf>
    <x:xf numFmtId="0" fontId="19" fillId="16" borderId="5" xfId="0" applyFont="1" applyFill="1" applyBorder="1" applyAlignment="1">
      <x:alignment horizontal="center" vertical="center" wrapText="1"/>
    </x:xf>
    <x:xf numFmtId="1" fontId="21" fillId="16" borderId="14" xfId="0" applyNumberFormat="1" applyFont="1" applyFill="1" applyBorder="1" applyAlignment="1">
      <x:alignment horizontal="center"/>
    </x:xf>
    <x:xf numFmtId="1" fontId="28" fillId="0" borderId="42" xfId="0" applyNumberFormat="1" applyFont="1" applyBorder="1" applyAlignment="1">
      <x:alignment horizontal="center"/>
    </x:xf>
    <x:xf numFmtId="0" fontId="0" fillId="20" borderId="0" xfId="0" applyFill="1"/>
    <x:xf numFmtId="164" fontId="3" fillId="12" borderId="1" xfId="0" applyNumberFormat="1" applyFont="1" applyFill="1" applyBorder="1" applyAlignment="1">
      <x:alignment horizontal="center" vertical="center"/>
    </x:xf>
    <x:xf numFmtId="1" fontId="21" fillId="0" borderId="49" xfId="0" applyNumberFormat="1" applyFont="1" applyBorder="1" applyAlignment="1">
      <x:alignment horizontal="center"/>
    </x:xf>
    <x:xf numFmtId="1" fontId="31" fillId="0" borderId="5" xfId="0" applyNumberFormat="1" applyFont="1" applyBorder="1" applyAlignment="1">
      <x:alignment horizontal="center"/>
    </x:xf>
    <x:xf numFmtId="0" fontId="34" fillId="10" borderId="5" xfId="0" applyFont="1" applyFill="1" applyBorder="1" applyAlignment="1">
      <x:alignment horizontal="center" vertical="center" wrapText="1"/>
    </x:xf>
    <x:xf numFmtId="3" fontId="11" fillId="0" borderId="31" xfId="0" applyNumberFormat="1" applyFont="1" applyBorder="1" applyAlignment="1">
      <x:alignment horizontal="center" vertical="center"/>
    </x:xf>
    <x:xf numFmtId="15" fontId="35" fillId="0" borderId="10" xfId="0" applyNumberFormat="1" applyFont="1" applyBorder="1" applyAlignment="1">
      <x:alignment horizontal="center"/>
    </x:xf>
    <x:xf numFmtId="0" fontId="28" fillId="0" borderId="7" xfId="0" applyFont="1" applyBorder="1" applyAlignment="1">
      <x:alignment horizontal="center" vertical="center"/>
    </x:xf>
    <x:xf numFmtId="0" fontId="36" fillId="0" borderId="7" xfId="0" applyFont="1" applyBorder="1" applyAlignment="1">
      <x:alignment horizontal="center" vertical="center"/>
    </x:xf>
    <x:xf numFmtId="1" fontId="0" fillId="0" borderId="51" xfId="0" applyNumberFormat="1" applyBorder="1" applyAlignment="1">
      <x:alignment horizontal="center" vertical="center"/>
    </x:xf>
    <x:xf numFmtId="1" fontId="0" fillId="0" borderId="52" xfId="0" applyNumberFormat="1" applyBorder="1" applyAlignment="1">
      <x:alignment horizontal="center" vertical="center"/>
    </x:xf>
    <x:xf numFmtId="1" fontId="0" fillId="0" borderId="53" xfId="0" applyNumberFormat="1" applyBorder="1" applyAlignment="1">
      <x:alignment horizontal="center" vertical="center"/>
    </x:xf>
    <x:xf numFmtId="0" fontId="28" fillId="0" borderId="43" xfId="0" applyFont="1" applyBorder="1" applyAlignment="1">
      <x:alignment horizontal="center" vertical="center"/>
    </x:xf>
    <x:xf numFmtId="0" fontId="28" fillId="0" borderId="44" xfId="0" applyFont="1" applyBorder="1" applyAlignment="1">
      <x:alignment horizontal="center" vertical="center"/>
    </x:xf>
    <x:xf numFmtId="0" fontId="28" fillId="0" borderId="45" xfId="0" applyFont="1" applyBorder="1" applyAlignment="1">
      <x:alignment horizontal="center" vertical="center"/>
    </x:xf>
    <x:xf numFmtId="0" fontId="36" fillId="0" borderId="1" xfId="0" applyFont="1" applyBorder="1" applyAlignment="1">
      <x:alignment horizontal="center" vertical="center"/>
    </x:xf>
    <x:xf numFmtId="0" fontId="29" fillId="0" borderId="0" xfId="0" applyFont="1"/>
    <x:xf numFmtId="0" fontId="37" fillId="0" borderId="0" xfId="0" applyFont="1"/>
    <x:xf numFmtId="0" fontId="28" fillId="0" borderId="54" xfId="0" applyFont="1" applyBorder="1" applyAlignment="1">
      <x:alignment horizontal="center" vertical="center"/>
    </x:xf>
    <x:xf numFmtId="0" fontId="28" fillId="0" borderId="55" xfId="0" applyFont="1" applyBorder="1" applyAlignment="1">
      <x:alignment horizontal="center" vertical="center"/>
    </x:xf>
    <x:xf numFmtId="0" fontId="37" fillId="0" borderId="0" xfId="0" applyFont="1" applyAlignment="1">
      <x:alignment vertical="center"/>
    </x:xf>
    <x:xf numFmtId="1" fontId="38" fillId="0" borderId="24" xfId="0" applyNumberFormat="1" applyFont="1" applyBorder="1" applyAlignment="1">
      <x:alignment horizontal="center"/>
    </x:xf>
    <x:xf numFmtId="1" fontId="38" fillId="0" borderId="28" xfId="0" applyNumberFormat="1" applyFont="1" applyBorder="1" applyAlignment="1">
      <x:alignment horizontal="center"/>
    </x:xf>
    <x:xf numFmtId="1" fontId="38" fillId="0" borderId="9" xfId="0" applyNumberFormat="1" applyFont="1" applyBorder="1" applyAlignment="1">
      <x:alignment horizontal="center"/>
    </x:xf>
    <x:xf numFmtId="1" fontId="38" fillId="0" borderId="35" xfId="0" applyNumberFormat="1" applyFont="1" applyBorder="1" applyAlignment="1">
      <x:alignment horizontal="center"/>
    </x:xf>
    <x:xf numFmtId="1" fontId="38" fillId="0" borderId="14" xfId="0" applyNumberFormat="1" applyFont="1" applyBorder="1" applyAlignment="1">
      <x:alignment horizontal="center"/>
    </x:xf>
    <x:xf numFmtId="1" fontId="38" fillId="0" borderId="33" xfId="0" applyNumberFormat="1" applyFont="1" applyBorder="1" applyAlignment="1">
      <x:alignment horizontal="center"/>
    </x:xf>
    <x:xf numFmtId="0" fontId="3" fillId="0" borderId="0" xfId="0" applyFont="1" applyAlignment="1">
      <x:alignment horizontal="center"/>
    </x:xf>
    <x:xf numFmtId="0" fontId="7" fillId="10" borderId="0" xfId="0" applyFont="1" applyFill="1" applyAlignment="1">
      <x:alignment horizontal="center"/>
    </x:xf>
    <x:xf numFmtId="0" fontId="3" fillId="24" borderId="7" xfId="0" applyFont="1" applyFill="1" applyBorder="1" applyAlignment="1">
      <x:alignment horizontal="center"/>
    </x:xf>
    <x:xf numFmtId="0" fontId="31" fillId="16" borderId="48" xfId="0" applyFont="1" applyFill="1" applyBorder="1" applyAlignment="1">
      <x:alignment horizontal="left" vertical="center" wrapText="1"/>
    </x:xf>
    <x:xf numFmtId="0" fontId="31" fillId="19" borderId="48" xfId="0" applyFont="1" applyFill="1" applyBorder="1" applyAlignment="1">
      <x:alignment horizontal="left" vertical="center" wrapText="1"/>
    </x:xf>
    <x:xf numFmtId="9" fontId="3" fillId="12" borderId="7" xfId="0" applyNumberFormat="1" applyFont="1" applyFill="1" applyBorder="1" applyAlignment="1">
      <x:alignment horizontal="center" vertical="center"/>
    </x:xf>
    <x:xf numFmtId="9" fontId="3" fillId="12" borderId="7" xfId="1" applyFont="1" applyFill="1" applyBorder="1" applyAlignment="1">
      <x:alignment horizontal="center" vertical="center"/>
    </x:xf>
    <x:xf numFmtId="0" fontId="3" fillId="0" borderId="0" xfId="17" applyFont="1" applyAlignment="1">
      <x:alignment horizontal="left"/>
    </x:xf>
    <x:xf numFmtId="0" fontId="1" fillId="0" borderId="0" xfId="17"/>
    <x:xf numFmtId="0" fontId="1" fillId="0" borderId="0" xfId="17" applyAlignment="1">
      <x:alignment horizontal="center"/>
    </x:xf>
    <x:xf numFmtId="0" fontId="41" fillId="25" borderId="56" xfId="17" applyFont="1" applyFill="1" applyBorder="1" applyAlignment="1">
      <x:alignment horizontal="center" vertical="center"/>
    </x:xf>
    <x:xf numFmtId="0" fontId="41" fillId="25" borderId="57" xfId="17" applyFont="1" applyFill="1" applyBorder="1" applyAlignment="1">
      <x:alignment vertical="center" wrapText="1"/>
    </x:xf>
    <x:xf numFmtId="0" fontId="41" fillId="25" borderId="58" xfId="17" applyFont="1" applyFill="1" applyBorder="1" applyAlignment="1">
      <x:alignment vertical="center" wrapText="1"/>
    </x:xf>
    <x:xf numFmtId="0" fontId="41" fillId="25" borderId="56" xfId="17" applyFont="1" applyFill="1" applyBorder="1" applyAlignment="1">
      <x:alignment vertical="center" wrapText="1"/>
    </x:xf>
    <x:xf numFmtId="0" fontId="41" fillId="25" borderId="59" xfId="17" applyFont="1" applyFill="1" applyBorder="1" applyAlignment="1">
      <x:alignment vertical="center" wrapText="1"/>
    </x:xf>
    <x:xf numFmtId="9" fontId="43" fillId="0" borderId="5" xfId="17" applyNumberFormat="1" applyFont="1" applyBorder="1" applyAlignment="1">
      <x:alignment horizontal="center" vertical="center" wrapText="1"/>
    </x:xf>
    <x:xf numFmtId="0" fontId="3" fillId="0" borderId="0" xfId="17" applyFont="1" applyAlignment="1">
      <x:alignment horizontal="center"/>
    </x:xf>
    <x:xf numFmtId="0" fontId="1" fillId="0" borderId="5" xfId="17" applyBorder="1"/>
    <x:xf numFmtId="0" fontId="44" fillId="25" borderId="5" xfId="17" applyFont="1" applyFill="1" applyBorder="1" applyAlignment="1">
      <x:alignment horizontal="center" vertical="center" wrapText="1"/>
    </x:xf>
    <x:xf numFmtId="0" fontId="44" fillId="27" borderId="61" xfId="17" applyFont="1" applyFill="1" applyBorder="1" applyAlignment="1">
      <x:alignment horizontal="center" vertical="center" wrapText="1"/>
    </x:xf>
    <x:xf numFmtId="0" fontId="44" fillId="25" borderId="61" xfId="17" applyFont="1" applyFill="1" applyBorder="1" applyAlignment="1">
      <x:alignment horizontal="center" vertical="center" wrapText="1"/>
    </x:xf>
    <x:xf numFmtId="9" fontId="1" fillId="27" borderId="5" xfId="17" applyNumberFormat="1" applyFill="1" applyBorder="1"/>
    <x:xf numFmtId="0" fontId="44" fillId="25" borderId="62" xfId="17" applyFont="1" applyFill="1" applyBorder="1" applyAlignment="1">
      <x:alignment horizontal="center" vertical="center" wrapText="1"/>
    </x:xf>
    <x:xf numFmtId="9" fontId="42" fillId="0" borderId="5" xfId="17" applyNumberFormat="1" applyFont="1" applyBorder="1" applyAlignment="1">
      <x:alignment horizontal="center" vertical="center" wrapText="1"/>
    </x:xf>
    <x:xf numFmtId="0" fontId="42" fillId="0" borderId="5" xfId="17" applyFont="1" applyBorder="1" applyAlignment="1">
      <x:alignment horizontal="center" vertical="center" wrapText="1"/>
    </x:xf>
    <x:xf numFmtId="0" fontId="42" fillId="25" borderId="5" xfId="17" applyFont="1" applyFill="1" applyBorder="1" applyAlignment="1">
      <x:alignment horizontal="left" vertical="center" wrapText="1"/>
    </x:xf>
    <x:xf numFmtId="0" fontId="42" fillId="0" borderId="5" xfId="17" applyFont="1" applyBorder="1" applyAlignment="1">
      <x:alignment horizontal="left" vertical="center" wrapText="1"/>
    </x:xf>
    <x:xf numFmtId="0" fontId="41" fillId="26" borderId="23" xfId="17" applyFont="1" applyFill="1" applyBorder="1" applyAlignment="1">
      <x:alignment vertical="center" wrapText="1"/>
    </x:xf>
    <x:xf numFmtId="0" fontId="41" fillId="26" borderId="3" xfId="17" applyFont="1" applyFill="1" applyBorder="1" applyAlignment="1">
      <x:alignment vertical="center" wrapText="1"/>
    </x:xf>
    <x:xf numFmtId="0" fontId="41" fillId="26" borderId="60" xfId="17" applyFont="1" applyFill="1" applyBorder="1" applyAlignment="1">
      <x:alignment vertical="center" wrapText="1"/>
    </x:xf>
    <x:xf numFmtId="0" fontId="31" fillId="15" borderId="47" xfId="0" applyFont="1" applyFill="1" applyBorder="1" applyAlignment="1">
      <x:alignment horizontal="left" vertical="center" wrapText="1"/>
    </x:xf>
    <x:xf numFmtId="0" fontId="31" fillId="16" borderId="47" xfId="0" applyFont="1" applyFill="1" applyBorder="1" applyAlignment="1">
      <x:alignment horizontal="left" vertical="center" wrapText="1"/>
    </x:xf>
    <x:xf numFmtId="0" fontId="31" fillId="19" borderId="46" xfId="0" applyFont="1" applyFill="1" applyBorder="1" applyAlignment="1">
      <x:alignment horizontal="left" vertical="center" wrapText="1"/>
    </x:xf>
    <x:xf numFmtId="0" fontId="31" fillId="5" borderId="48" xfId="0" applyFont="1" applyFill="1" applyBorder="1" applyAlignment="1">
      <x:alignment horizontal="left" vertical="center" wrapText="1"/>
    </x:xf>
    <x:xf numFmtId="0" fontId="31" fillId="2" borderId="48" xfId="0" applyFont="1" applyFill="1" applyBorder="1" applyAlignment="1">
      <x:alignment horizontal="left" vertical="center" wrapText="1"/>
    </x:xf>
    <x:xf numFmtId="1" fontId="33" fillId="0" borderId="7" xfId="0" applyNumberFormat="1" applyFont="1" applyBorder="1" applyAlignment="1">
      <x:alignment horizontal="center"/>
    </x:xf>
    <x:xf numFmtId="0" fontId="0" fillId="0" borderId="7" xfId="0" applyBorder="1"/>
    <x:xf numFmtId="0" fontId="13" fillId="22" borderId="7" xfId="0" applyFont="1" applyFill="1" applyBorder="1" applyAlignment="1">
      <x:alignment horizontal="center" vertical="center" wrapText="1"/>
    </x:xf>
    <x:xf numFmtId="0" fontId="8" fillId="22" borderId="7" xfId="0" applyFont="1" applyFill="1" applyBorder="1" applyAlignment="1">
      <x:alignment horizontal="center" vertical="center" wrapText="1"/>
    </x:xf>
    <x:xf numFmtId="0" fontId="13" fillId="21" borderId="7" xfId="0" applyFont="1" applyFill="1" applyBorder="1" applyAlignment="1">
      <x:alignment horizontal="center" vertical="center" wrapText="1"/>
    </x:xf>
    <x:xf numFmtId="0" fontId="8" fillId="20" borderId="7" xfId="0" applyFont="1" applyFill="1" applyBorder="1" applyAlignment="1">
      <x:alignment horizontal="center" vertical="center" wrapText="1"/>
    </x:xf>
    <x:xf numFmtId="0" fontId="13" fillId="21" borderId="50" xfId="0" applyFont="1" applyFill="1" applyBorder="1" applyAlignment="1">
      <x:alignment horizontal="center" vertical="center" wrapText="1"/>
    </x:xf>
    <x:xf numFmtId="1" fontId="4" fillId="0" borderId="52" xfId="0" applyNumberFormat="1" applyFont="1" applyBorder="1" applyAlignment="1">
      <x:alignment horizontal="center" vertical="center"/>
    </x:xf>
    <x:xf numFmtId="0" fontId="4" fillId="0" borderId="0" xfId="0" applyFont="1"/>
    <x:xf numFmtId="0" fontId="39" fillId="10" borderId="0" xfId="0" applyFont="1" applyFill="1" applyAlignment="1">
      <x:alignment horizontal="center"/>
    </x:xf>
    <x:xf numFmtId="0" fontId="7" fillId="0" borderId="0" xfId="0" applyFont="1"/>
    <x:xf numFmtId="0" fontId="18" fillId="7" borderId="1" xfId="0" applyFont="1" applyFill="1" applyBorder="1" applyAlignment="1">
      <x:alignment horizontal="center" vertical="center" wrapText="1"/>
    </x:xf>
    <x:xf numFmtId="1" fontId="21" fillId="0" borderId="0" xfId="0" applyNumberFormat="1" applyFont="1" applyAlignment="1">
      <x:alignment horizontal="center"/>
    </x:xf>
    <x:xf numFmtId="0" fontId="3" fillId="24" borderId="0" xfId="0" applyFont="1" applyFill="1" applyAlignment="1">
      <x:alignment horizontal="center"/>
    </x:xf>
    <x:xf numFmtId="9" fontId="3" fillId="12" borderId="1" xfId="1" applyFont="1" applyFill="1" applyBorder="1" applyAlignment="1">
      <x:alignment horizontal="center" vertical="center"/>
    </x:xf>
    <x:xf numFmtId="0" fontId="18" fillId="2" borderId="1" xfId="0" applyFont="1" applyFill="1" applyBorder="1" applyAlignment="1">
      <x:alignment horizontal="center" vertical="center"/>
    </x:xf>
    <x:xf numFmtId="9" fontId="9" fillId="0" borderId="63" xfId="0" applyNumberFormat="1" applyFont="1" applyBorder="1" applyAlignment="1">
      <x:alignment horizontal="center" vertical="center"/>
    </x:xf>
    <x:xf numFmtId="9" fontId="9" fillId="0" borderId="64" xfId="0" applyNumberFormat="1" applyFont="1" applyBorder="1" applyAlignment="1">
      <x:alignment horizontal="center" vertical="center"/>
    </x:xf>
    <x:xf numFmtId="15" fontId="23" fillId="0" borderId="68" xfId="0" applyNumberFormat="1" applyFont="1" applyBorder="1" applyAlignment="1">
      <x:alignment horizontal="center"/>
    </x:xf>
    <x:xf numFmtId="15" fontId="23" fillId="0" borderId="69" xfId="0" applyNumberFormat="1" applyFont="1" applyBorder="1" applyAlignment="1">
      <x:alignment horizontal="center"/>
    </x:xf>
    <x:xf numFmtId="15" fontId="23" fillId="0" borderId="71" xfId="0" applyNumberFormat="1" applyFont="1" applyBorder="1" applyAlignment="1">
      <x:alignment horizontal="center"/>
    </x:xf>
    <x:xf numFmtId="9" fontId="9" fillId="0" borderId="79" xfId="0" applyNumberFormat="1" applyFont="1" applyBorder="1" applyAlignment="1">
      <x:alignment horizontal="center" vertical="center"/>
    </x:xf>
    <x:xf numFmtId="15" fontId="23" fillId="0" borderId="80" xfId="0" applyNumberFormat="1" applyFont="1" applyBorder="1" applyAlignment="1">
      <x:alignment horizontal="center"/>
    </x:xf>
    <x:xf numFmtId="9" fontId="21" fillId="0" borderId="76" xfId="1" applyFont="1" applyBorder="1" applyAlignment="1">
      <x:alignment horizontal="center"/>
    </x:xf>
    <x:xf numFmtId="0" fontId="20" fillId="6" borderId="72" xfId="0" applyFont="1" applyFill="1" applyBorder="1" applyAlignment="1">
      <x:alignment horizontal="left" vertical="center" wrapText="1"/>
    </x:xf>
    <x:xf numFmtId="0" fontId="20" fillId="6" borderId="73" xfId="0" applyFont="1" applyFill="1" applyBorder="1" applyAlignment="1">
      <x:alignment horizontal="left" vertical="center" wrapText="1"/>
    </x:xf>
    <x:xf numFmtId="0" fontId="8" fillId="2" borderId="72" xfId="0" applyFont="1" applyFill="1" applyBorder="1" applyAlignment="1">
      <x:alignment horizontal="left" vertical="center" wrapText="1"/>
    </x:xf>
    <x:xf numFmtId="0" fontId="8" fillId="2" borderId="73" xfId="0" applyFont="1" applyFill="1" applyBorder="1" applyAlignment="1">
      <x:alignment horizontal="left" vertical="center" wrapText="1"/>
    </x:xf>
    <x:xf numFmtId="0" fontId="20" fillId="6" borderId="81" xfId="0" applyFont="1" applyFill="1" applyBorder="1" applyAlignment="1">
      <x:alignment horizontal="left" vertical="center" wrapText="1"/>
    </x:xf>
    <x:xf numFmtId="14" fontId="23" fillId="0" borderId="69" xfId="0" applyNumberFormat="1" applyFont="1" applyBorder="1" applyAlignment="1">
      <x:alignment horizontal="center"/>
    </x:xf>
    <x:xf numFmtId="0" fontId="20" fillId="4" borderId="72" xfId="0" applyFont="1" applyFill="1" applyBorder="1" applyAlignment="1">
      <x:alignment horizontal="left" vertical="center" wrapText="1"/>
    </x:xf>
    <x:xf numFmtId="0" fontId="20" fillId="4" borderId="73" xfId="0" applyFont="1" applyFill="1" applyBorder="1" applyAlignment="1">
      <x:alignment horizontal="left" vertical="center" wrapText="1"/>
    </x:xf>
    <x:xf numFmtId="0" fontId="20" fillId="4" borderId="81" xfId="0" applyFont="1" applyFill="1" applyBorder="1" applyAlignment="1">
      <x:alignment horizontal="left" vertical="center" wrapText="1"/>
    </x:xf>
    <x:xf numFmtId="0" fontId="3" fillId="12" borderId="82" xfId="0" applyFont="1" applyFill="1" applyBorder="1" applyAlignment="1">
      <x:alignment horizontal="center"/>
    </x:xf>
    <x:xf numFmtId="41" fontId="0" fillId="0" borderId="0" xfId="18" applyFont="1" applyAlignment="1">
      <x:alignment horizontal="center"/>
    </x:xf>
    <x:xf numFmtId="9" fontId="21" fillId="0" borderId="86" xfId="1" applyFont="1" applyBorder="1" applyAlignment="1">
      <x:alignment horizontal="center"/>
    </x:xf>
    <x:xf numFmtId="9" fontId="21" fillId="0" borderId="87" xfId="1" applyFont="1" applyBorder="1" applyAlignment="1">
      <x:alignment horizontal="center"/>
    </x:xf>
    <x:xf numFmtId="9" fontId="21" fillId="0" borderId="88" xfId="1" applyFont="1" applyBorder="1" applyAlignment="1">
      <x:alignment horizontal="center"/>
    </x:xf>
    <x:xf numFmtId="9" fontId="21" fillId="0" borderId="89" xfId="1" applyFont="1" applyBorder="1" applyAlignment="1">
      <x:alignment horizontal="center"/>
    </x:xf>
    <x:xf numFmtId="9" fontId="21" fillId="0" borderId="36" xfId="1" applyFont="1" applyBorder="1" applyAlignment="1">
      <x:alignment horizontal="center"/>
    </x:xf>
    <x:xf numFmtId="0" fontId="17" fillId="11" borderId="1" xfId="0" applyFont="1" applyFill="1" applyBorder="1" applyAlignment="1">
      <x:alignment horizontal="center" vertical="center"/>
    </x:xf>
    <x:xf numFmtId="0" fontId="45" fillId="12" borderId="23" xfId="0" applyFont="1" applyFill="1" applyBorder="1" applyAlignment="1">
      <x:alignment horizontal="center" vertical="center"/>
    </x:xf>
    <x:xf numFmtId="0" fontId="45" fillId="12" borderId="3" xfId="0" applyFont="1" applyFill="1" applyBorder="1" applyAlignment="1">
      <x:alignment horizontal="center" vertical="center"/>
    </x:xf>
    <x:xf numFmtId="0" fontId="45" fillId="12" borderId="60" xfId="0" applyFont="1" applyFill="1" applyBorder="1" applyAlignment="1">
      <x:alignment horizontal="center" vertical="center"/>
    </x:xf>
    <x:xf numFmtId="0" fontId="18" fillId="2" borderId="2" xfId="0" applyFont="1" applyFill="1" applyBorder="1" applyAlignment="1">
      <x:alignment horizontal="center"/>
    </x:xf>
    <x:xf numFmtId="0" fontId="18" fillId="7" borderId="7" xfId="0" applyFont="1" applyFill="1" applyBorder="1" applyAlignment="1">
      <x:alignment vertical="center" wrapText="1"/>
    </x:xf>
    <x:xf numFmtId="0" fontId="6" fillId="0" borderId="0" xfId="3"/>
    <x:xf numFmtId="0" fontId="40" fillId="23" borderId="36" xfId="0" applyFont="1" applyFill="1" applyBorder="1"/>
    <x:xf numFmtId="0" fontId="25" fillId="2" borderId="36" xfId="0" applyFont="1" applyFill="1" applyBorder="1"/>
    <x:xf numFmtId="9" fontId="21" fillId="0" borderId="90" xfId="1" applyFont="1" applyBorder="1" applyAlignment="1">
      <x:alignment horizontal="center"/>
    </x:xf>
    <x:xf numFmtId="0" fontId="8" fillId="2" borderId="81" xfId="0" applyFont="1" applyFill="1" applyBorder="1" applyAlignment="1">
      <x:alignment horizontal="left" vertical="center" wrapText="1"/>
    </x:xf>
    <x:xf numFmtId="9" fontId="7" fillId="0" borderId="7" xfId="1" applyFont="1" applyBorder="1" applyAlignment="1">
      <x:alignment horizontal="center" vertical="center"/>
    </x:xf>
    <x:xf numFmtId="0" fontId="4" fillId="10" borderId="0" xfId="0" applyFont="1" applyFill="1" applyAlignment="1">
      <x:alignment horizontal="center"/>
    </x:xf>
    <x:xf numFmtId="0" fontId="49" fillId="10" borderId="0" xfId="0" applyFont="1" applyFill="1" applyAlignment="1">
      <x:alignment horizontal="center"/>
    </x:xf>
    <x:xf numFmtId="9" fontId="5" fillId="2" borderId="1" xfId="1" applyFont="1" applyFill="1" applyBorder="1" applyAlignment="1">
      <x:alignment horizontal="center" vertical="center" wrapText="1"/>
    </x:xf>
    <x:xf numFmtId="9" fontId="5" fillId="2" borderId="72" xfId="1" applyFont="1" applyFill="1" applyBorder="1" applyAlignment="1">
      <x:alignment horizontal="center" vertical="center" wrapText="1"/>
    </x:xf>
    <x:xf numFmtId="9" fontId="4" fillId="0" borderId="7" xfId="1" applyFont="1" applyBorder="1" applyAlignment="1">
      <x:alignment horizontal="center" vertical="center"/>
    </x:xf>
    <x:xf numFmtId="9" fontId="5" fillId="0" borderId="66" xfId="0" applyNumberFormat="1" applyFont="1" applyBorder="1" applyAlignment="1">
      <x:alignment horizontal="center" vertical="center"/>
    </x:xf>
    <x:xf numFmtId="9" fontId="5" fillId="0" borderId="63" xfId="0" applyNumberFormat="1" applyFont="1" applyBorder="1" applyAlignment="1">
      <x:alignment horizontal="center" vertical="center"/>
    </x:xf>
    <x:xf numFmtId="9" fontId="5" fillId="0" borderId="79" xfId="0" applyNumberFormat="1" applyFont="1" applyBorder="1" applyAlignment="1">
      <x:alignment horizontal="center" vertical="center"/>
    </x:xf>
    <x:xf numFmtId="0" fontId="7" fillId="6" borderId="72" xfId="0" applyFont="1" applyFill="1" applyBorder="1" applyAlignment="1">
      <x:alignment horizontal="center" vertical="center" wrapText="1"/>
    </x:xf>
    <x:xf numFmtId="9" fontId="5" fillId="0" borderId="64" xfId="0" applyNumberFormat="1" applyFont="1" applyBorder="1" applyAlignment="1">
      <x:alignment horizontal="center" vertical="center"/>
    </x:xf>
    <x:xf numFmtId="0" fontId="7" fillId="4" borderId="7" xfId="0" applyFont="1" applyFill="1" applyBorder="1" applyAlignment="1">
      <x:alignment horizontal="center" vertical="center" wrapText="1"/>
    </x:xf>
    <x:xf numFmtId="0" fontId="7" fillId="2" borderId="7" xfId="0" applyFont="1" applyFill="1" applyBorder="1" applyAlignment="1">
      <x:alignment horizontal="center" vertical="center" wrapText="1"/>
    </x:xf>
    <x:xf numFmtId="9" fontId="5" fillId="0" borderId="76" xfId="0" applyNumberFormat="1" applyFont="1" applyBorder="1" applyAlignment="1">
      <x:alignment horizontal="center" vertical="center"/>
    </x:xf>
    <x:xf numFmtId="9" fontId="5" fillId="0" borderId="77" xfId="0" applyNumberFormat="1" applyFont="1" applyBorder="1" applyAlignment="1">
      <x:alignment horizontal="center" vertical="center"/>
    </x:xf>
    <x:xf numFmtId="9" fontId="5" fillId="0" borderId="78" xfId="0" applyNumberFormat="1" applyFont="1" applyBorder="1" applyAlignment="1">
      <x:alignment horizontal="center" vertical="center"/>
    </x:xf>
    <x:xf numFmtId="9" fontId="5" fillId="0" borderId="70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center"/>
    </x:xf>
    <x:xf numFmtId="9" fontId="51" fillId="0" borderId="0" xfId="0" applyNumberFormat="1" applyFont="1" applyAlignment="1">
      <x:alignment horizontal="center"/>
    </x:xf>
    <x:xf numFmtId="9" fontId="4" fillId="0" borderId="0" xfId="0" applyNumberFormat="1" applyFont="1" applyAlignment="1">
      <x:alignment horizontal="center"/>
    </x:xf>
    <x:xf numFmtId="9" fontId="9" fillId="0" borderId="86" xfId="0" applyNumberFormat="1" applyFont="1" applyBorder="1" applyAlignment="1">
      <x:alignment horizontal="center" vertical="center"/>
    </x:xf>
    <x:xf numFmtId="9" fontId="9" fillId="0" borderId="91" xfId="0" applyNumberFormat="1" applyFont="1" applyBorder="1" applyAlignment="1">
      <x:alignment horizontal="center" vertical="center"/>
    </x:xf>
    <x:xf numFmtId="9" fontId="9" fillId="0" borderId="92" xfId="0" applyNumberFormat="1" applyFont="1" applyBorder="1" applyAlignment="1">
      <x:alignment horizontal="center" vertical="center"/>
    </x:xf>
    <x:xf numFmtId="9" fontId="5" fillId="0" borderId="93" xfId="0" applyNumberFormat="1" applyFont="1" applyBorder="1" applyAlignment="1">
      <x:alignment horizontal="center" vertical="center"/>
    </x:xf>
    <x:xf numFmtId="0" fontId="18" fillId="7" borderId="65" xfId="0" applyFont="1" applyFill="1" applyBorder="1" applyAlignment="1">
      <x:alignment horizontal="center" vertical="center" wrapText="1"/>
    </x:xf>
    <x:xf numFmtId="0" fontId="18" fillId="7" borderId="60" xfId="0" applyFont="1" applyFill="1" applyBorder="1" applyAlignment="1">
      <x:alignment horizontal="center" vertical="center" wrapText="1"/>
    </x:xf>
    <x:xf numFmtId="3" fontId="22" fillId="0" borderId="76" xfId="0" applyNumberFormat="1" applyFont="1" applyBorder="1" applyAlignment="1">
      <x:alignment horizontal="center" vertical="center"/>
    </x:xf>
    <x:xf numFmtId="3" fontId="22" fillId="0" borderId="77" xfId="0" applyNumberFormat="1" applyFont="1" applyBorder="1" applyAlignment="1">
      <x:alignment horizontal="center" vertical="center"/>
    </x:xf>
    <x:xf numFmtId="3" fontId="22" fillId="0" borderId="94" xfId="0" applyNumberFormat="1" applyFont="1" applyBorder="1" applyAlignment="1">
      <x:alignment horizontal="center" vertical="center"/>
    </x:xf>
    <x:xf numFmtId="3" fontId="22" fillId="0" borderId="78" xfId="0" applyNumberFormat="1" applyFont="1" applyBorder="1" applyAlignment="1">
      <x:alignment horizontal="center" vertical="center"/>
    </x:xf>
    <x:xf numFmtId="0" fontId="45" fillId="12" borderId="82" xfId="0" applyFont="1" applyFill="1" applyBorder="1" applyAlignment="1">
      <x:alignment horizontal="center" vertical="center"/>
    </x:xf>
    <x:xf numFmtId="0" fontId="45" fillId="12" borderId="95" xfId="0" applyFont="1" applyFill="1" applyBorder="1" applyAlignment="1">
      <x:alignment horizontal="center" vertical="center"/>
    </x:xf>
    <x:xf numFmtId="0" fontId="45" fillId="12" borderId="96" xfId="0" applyFont="1" applyFill="1" applyBorder="1" applyAlignment="1">
      <x:alignment horizontal="center" vertical="center"/>
    </x:xf>
    <x:xf numFmtId="9" fontId="5" fillId="0" borderId="85" xfId="0" applyNumberFormat="1" applyFont="1" applyBorder="1" applyAlignment="1">
      <x:alignment horizontal="center" vertical="center"/>
    </x:xf>
    <x:xf numFmtId="9" fontId="5" fillId="0" borderId="69" xfId="0" applyNumberFormat="1" applyFont="1" applyBorder="1" applyAlignment="1">
      <x:alignment horizontal="center" vertical="center"/>
    </x:xf>
    <x:xf numFmtId="9" fontId="5" fillId="0" borderId="80" xfId="0" applyNumberFormat="1" applyFont="1" applyBorder="1" applyAlignment="1">
      <x:alignment horizontal="center" vertical="center"/>
    </x:xf>
    <x:xf numFmtId="9" fontId="5" fillId="0" borderId="68" xfId="0" applyNumberFormat="1" applyFont="1" applyBorder="1" applyAlignment="1">
      <x:alignment horizontal="center" vertical="center"/>
    </x:xf>
    <x:xf numFmtId="0" fontId="20" fillId="2" borderId="72" xfId="0" applyFont="1" applyFill="1" applyBorder="1" applyAlignment="1">
      <x:alignment horizontal="left" vertical="center" wrapText="1"/>
    </x:xf>
    <x:xf numFmtId="0" fontId="20" fillId="2" borderId="73" xfId="0" applyFont="1" applyFill="1" applyBorder="1" applyAlignment="1">
      <x:alignment horizontal="left" vertical="center" wrapText="1"/>
    </x:xf>
    <x:xf numFmtId="0" fontId="20" fillId="2" borderId="74" xfId="0" applyFont="1" applyFill="1" applyBorder="1" applyAlignment="1">
      <x:alignment horizontal="left" vertical="center" wrapText="1"/>
    </x:xf>
    <x:xf numFmtId="9" fontId="5" fillId="0" borderId="71" xfId="0" applyNumberFormat="1" applyFont="1" applyBorder="1" applyAlignment="1">
      <x:alignment horizontal="center" vertical="center"/>
    </x:xf>
    <x:xf numFmtId="0" fontId="6" fillId="0" borderId="23" xfId="3" applyBorder="1"/>
    <x:xf numFmtId="0" fontId="6" fillId="0" borderId="3" xfId="3" applyBorder="1"/>
    <x:xf numFmtId="0" fontId="6" fillId="0" borderId="60" xfId="3" applyBorder="1"/>
    <x:xf numFmtId="0" fontId="6" fillId="0" borderId="84" xfId="3" applyBorder="1"/>
    <x:xf numFmtId="0" fontId="6" fillId="0" borderId="4" xfId="3" applyBorder="1"/>
    <x:xf numFmtId="0" fontId="6" fillId="0" borderId="75" xfId="3" applyBorder="1"/>
    <x:xf numFmtId="0" fontId="0" fillId="0" borderId="0" xfId="0" applyAlignment="1">
      <x:alignment horizontal="left"/>
    </x:xf>
    <x:xf numFmtId="0" fontId="31" fillId="0" borderId="0" xfId="0" applyFont="1" applyAlignment="1">
      <x:alignment horizontal="center" vertical="center"/>
    </x:xf>
    <x:xf numFmtId="0" fontId="47" fillId="0" borderId="0" xfId="0" applyFont="1" applyAlignment="1">
      <x:alignment vertical="center"/>
    </x:xf>
    <x:xf numFmtId="0" fontId="37" fillId="0" borderId="0" xfId="0" applyFont="1" applyAlignment="1">
      <x:alignment horizontal="center"/>
    </x:xf>
    <x:xf numFmtId="0" fontId="0" fillId="0" borderId="0" xfId="0"/>
    <x:xf numFmtId="0" fontId="28" fillId="0" borderId="0" xfId="0" applyFont="1" applyAlignment="1">
      <x:alignment horizontal="center"/>
    </x:xf>
    <x:xf numFmtId="0" fontId="28" fillId="0" borderId="48" xfId="0" applyFont="1" applyBorder="1" applyAlignment="1">
      <x:alignment horizontal="center"/>
    </x:xf>
    <x:xf numFmtId="0" fontId="11" fillId="28" borderId="48" xfId="0" applyFont="1" applyFill="1" applyBorder="1" applyAlignment="1">
      <x:alignment horizontal="center" vertical="center"/>
    </x:xf>
    <x:xf numFmtId="0" fontId="31" fillId="28" borderId="48" xfId="0" applyFont="1" applyFill="1" applyBorder="1" applyAlignment="1">
      <x:alignment horizontal="center" vertical="center"/>
    </x:xf>
    <x:xf numFmtId="9" fontId="0" fillId="0" borderId="67" xfId="0" applyNumberFormat="1" applyBorder="1" applyAlignment="1">
      <x:alignment horizontal="center"/>
    </x:xf>
    <x:xf numFmtId="9" fontId="0" fillId="0" borderId="42" xfId="0" applyNumberFormat="1" applyBorder="1" applyAlignment="1">
      <x:alignment horizontal="center"/>
    </x:xf>
    <x:xf numFmtId="9" fontId="0" fillId="0" borderId="41" xfId="0" applyNumberFormat="1" applyBorder="1" applyAlignment="1">
      <x:alignment horizontal="center"/>
    </x:xf>
    <x:xf numFmtId="9" fontId="0" fillId="0" borderId="97" xfId="0" applyNumberFormat="1" applyBorder="1" applyAlignment="1">
      <x:alignment horizontal="center"/>
    </x:xf>
    <x:xf numFmtId="9" fontId="0" fillId="0" borderId="98" xfId="0" applyNumberFormat="1" applyBorder="1" applyAlignment="1">
      <x:alignment horizontal="center"/>
    </x:xf>
    <x:xf numFmtId="9" fontId="0" fillId="0" borderId="99" xfId="0" applyNumberFormat="1" applyBorder="1" applyAlignment="1">
      <x:alignment horizontal="center"/>
    </x:xf>
    <x:xf numFmtId="10" fontId="0" fillId="0" borderId="0" xfId="0" applyNumberFormat="1"/>
    <x:xf numFmtId="9" fontId="28" fillId="0" borderId="7" xfId="0" applyNumberFormat="1" applyFont="1" applyBorder="1" applyAlignment="1">
      <x:alignment horizontal="center"/>
    </x:xf>
    <x:xf numFmtId="0" fontId="7" fillId="0" borderId="5" xfId="0" applyFont="1" applyBorder="1" applyAlignment="1">
      <x:alignment horizontal="center"/>
    </x:xf>
    <x:xf numFmtId="9" fontId="7" fillId="0" borderId="5" xfId="1" applyFont="1" applyBorder="1" applyAlignment="1">
      <x:alignment horizontal="center"/>
    </x:xf>
    <x:xf numFmtId="9" fontId="0" fillId="0" borderId="0" xfId="1" applyFont="1"/>
    <x:xf numFmtId="9" fontId="7" fillId="0" borderId="15" xfId="1" applyFont="1" applyFill="1" applyBorder="1" applyAlignment="1">
      <x:alignment horizontal="center"/>
    </x:xf>
    <x:xf numFmtId="9" fontId="7" fillId="0" borderId="16" xfId="1" applyFont="1" applyFill="1" applyBorder="1" applyAlignment="1">
      <x:alignment horizontal="center"/>
    </x:xf>
    <x:xf numFmtId="9" fontId="7" fillId="0" borderId="17" xfId="1" applyFont="1" applyFill="1" applyBorder="1" applyAlignment="1">
      <x:alignment horizontal="center"/>
    </x:xf>
    <x:xf numFmtId="0" fontId="7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0" fontId="53" fillId="28" borderId="46" xfId="0" applyFont="1" applyFill="1" applyBorder="1" applyAlignment="1">
      <x:alignment horizontal="center" vertical="center"/>
    </x:xf>
    <x:xf numFmtId="0" fontId="7" fillId="0" borderId="5" xfId="0" applyFont="1" applyBorder="1"/>
    <x:xf numFmtId="9" fontId="7" fillId="0" borderId="0" xfId="1" applyFont="1" applyBorder="1" applyAlignment="1">
      <x:alignment horizontal="center"/>
    </x:xf>
    <x:xf numFmtId="0" fontId="4" fillId="0" borderId="0" xfId="0" applyFont="1" applyAlignment="1">
      <x:alignment vertical="center"/>
    </x:xf>
    <x:xf numFmtId="1" fontId="0" fillId="0" borderId="0" xfId="0" applyNumberFormat="1" applyAlignment="1">
      <x:alignment horizontal="center"/>
    </x:xf>
    <x:xf numFmtId="2" fontId="0" fillId="0" borderId="0" xfId="0" applyNumberFormat="1" applyAlignment="1">
      <x:alignment horizontal="center"/>
    </x:xf>
    <x:xf numFmtId="1" fontId="0" fillId="0" borderId="0" xfId="0" applyNumberFormat="1"/>
    <x:xf numFmtId="0" fontId="4" fillId="0" borderId="0" xfId="0" applyFont="1" applyAlignment="1">
      <x:alignment horizontal="center"/>
    </x:xf>
    <x:xf numFmtId="9" fontId="28" fillId="0" borderId="7" xfId="1" applyFont="1" applyBorder="1" applyAlignment="1">
      <x:alignment horizontal="center"/>
    </x:xf>
    <x:xf numFmtId="0" fontId="6" fillId="0" borderId="23" xfId="3" applyBorder="1" applyAlignment="1">
      <x:alignment horizontal="center"/>
    </x:xf>
    <x:xf numFmtId="0" fontId="6" fillId="0" borderId="3" xfId="3" applyBorder="1" applyAlignment="1">
      <x:alignment horizontal="center"/>
    </x:xf>
    <x:xf numFmtId="0" fontId="6" fillId="0" borderId="60" xfId="3" applyBorder="1" applyAlignment="1">
      <x:alignment horizontal="center"/>
    </x:xf>
    <x:xf numFmtId="0" fontId="6" fillId="0" borderId="84" xfId="3" applyBorder="1" applyAlignment="1">
      <x:alignment horizontal="center"/>
    </x:xf>
    <x:xf numFmtId="0" fontId="6" fillId="0" borderId="4" xfId="3" applyBorder="1" applyAlignment="1">
      <x:alignment horizontal="center"/>
    </x:xf>
    <x:xf numFmtId="0" fontId="6" fillId="0" borderId="75" xfId="3" applyBorder="1" applyAlignment="1">
      <x:alignment horizontal="center"/>
    </x:xf>
    <x:xf numFmtId="0" fontId="19" fillId="10" borderId="1" xfId="0" applyFont="1" applyFill="1" applyBorder="1" applyAlignment="1">
      <x:alignment horizontal="center" vertical="center" wrapText="1"/>
    </x:xf>
    <x:xf numFmtId="0" fontId="19" fillId="10" borderId="2" xfId="0" applyFont="1" applyFill="1" applyBorder="1" applyAlignment="1">
      <x:alignment horizontal="center" vertical="center" wrapText="1"/>
    </x:xf>
    <x:xf numFmtId="0" fontId="19" fillId="10" borderId="6" xfId="0" applyFont="1" applyFill="1" applyBorder="1" applyAlignment="1">
      <x:alignment horizontal="center" vertical="center" wrapText="1"/>
    </x:xf>
    <x:xf numFmtId="0" fontId="18" fillId="7" borderId="1" xfId="0" applyFont="1" applyFill="1" applyBorder="1" applyAlignment="1">
      <x:alignment horizontal="center" vertical="center" wrapText="1"/>
    </x:xf>
    <x:xf numFmtId="0" fontId="18" fillId="7" borderId="2" xfId="0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17" fillId="11" borderId="1" xfId="0" applyFont="1" applyFill="1" applyBorder="1" applyAlignment="1">
      <x:alignment horizontal="center" vertical="center"/>
    </x:xf>
    <x:xf numFmtId="0" fontId="17" fillId="11" borderId="2" xfId="0" applyFont="1" applyFill="1" applyBorder="1" applyAlignment="1">
      <x:alignment horizontal="center" vertical="center"/>
    </x:xf>
    <x:xf numFmtId="0" fontId="19" fillId="10" borderId="72" xfId="0" applyFont="1" applyFill="1" applyBorder="1" applyAlignment="1">
      <x:alignment horizontal="center" vertical="center" wrapText="1"/>
    </x:xf>
    <x:xf numFmtId="0" fontId="19" fillId="10" borderId="73" xfId="0" applyFont="1" applyFill="1" applyBorder="1" applyAlignment="1">
      <x:alignment horizontal="center" vertical="center" wrapText="1"/>
    </x:xf>
    <x:xf numFmtId="0" fontId="19" fillId="10" borderId="74" xfId="0" applyFont="1" applyFill="1" applyBorder="1" applyAlignment="1">
      <x:alignment horizontal="center" vertical="center" wrapText="1"/>
    </x:xf>
    <x:xf numFmtId="0" fontId="50" fillId="14" borderId="23" xfId="0" applyFont="1" applyFill="1" applyBorder="1" applyAlignment="1">
      <x:alignment horizontal="center" vertical="center" wrapText="1"/>
    </x:xf>
    <x:xf numFmtId="0" fontId="50" fillId="14" borderId="3" xfId="0" applyFont="1" applyFill="1" applyBorder="1" applyAlignment="1">
      <x:alignment horizontal="center" vertical="center" wrapText="1"/>
    </x:xf>
    <x:xf numFmtId="0" fontId="50" fillId="14" borderId="60" xfId="0" applyFont="1" applyFill="1" applyBorder="1" applyAlignment="1">
      <x:alignment horizontal="center" vertical="center" wrapText="1"/>
    </x:xf>
    <x:xf numFmtId="0" fontId="50" fillId="14" borderId="83" xfId="0" applyFont="1" applyFill="1" applyBorder="1" applyAlignment="1">
      <x:alignment horizontal="center" vertical="center" wrapText="1"/>
    </x:xf>
    <x:xf numFmtId="0" fontId="50" fillId="14" borderId="0" xfId="0" applyFont="1" applyFill="1" applyAlignment="1">
      <x:alignment horizontal="center" vertical="center" wrapText="1"/>
    </x:xf>
    <x:xf numFmtId="0" fontId="50" fillId="14" borderId="65" xfId="0" applyFont="1" applyFill="1" applyBorder="1" applyAlignment="1">
      <x:alignment horizontal="center" vertical="center" wrapText="1"/>
    </x:xf>
    <x:xf numFmtId="0" fontId="18" fillId="2" borderId="1" xfId="0" applyFont="1" applyFill="1" applyBorder="1" applyAlignment="1">
      <x:alignment horizontal="center"/>
    </x:xf>
    <x:xf numFmtId="0" fontId="18" fillId="2" borderId="6" xfId="0" applyFont="1" applyFill="1" applyBorder="1" applyAlignment="1">
      <x:alignment horizontal="center"/>
    </x:xf>
    <x:xf numFmtId="0" fontId="39" fillId="10" borderId="0" xfId="0" applyFont="1" applyFill="1" applyAlignment="1">
      <x:alignment horizontal="center"/>
    </x:xf>
    <x:xf numFmtId="0" fontId="28" fillId="0" borderId="0" xfId="0" applyFont="1" applyAlignment="1">
      <x:alignment horizontal="center"/>
    </x:xf>
    <x:xf numFmtId="0" fontId="37" fillId="0" borderId="0" xfId="0" applyFont="1" applyAlignment="1">
      <x:alignment horizontal="center"/>
    </x:xf>
    <x:xf numFmtId="0" fontId="52" fillId="0" borderId="0" xfId="0" applyFont="1" applyAlignment="1">
      <x:alignment horizontal="center"/>
    </x:xf>
    <x:xf numFmtId="0" fontId="32" fillId="10" borderId="0" xfId="0" applyFont="1" applyFill="1" applyAlignment="1">
      <x:alignment horizontal="center"/>
    </x:xf>
    <x:xf numFmtId="0" fontId="26" fillId="13" borderId="1" xfId="0" applyFont="1" applyFill="1" applyBorder="1" applyAlignment="1">
      <x:alignment horizontal="center" vertical="center"/>
    </x:xf>
    <x:xf numFmtId="0" fontId="26" fillId="13" borderId="2" xfId="0" applyFont="1" applyFill="1" applyBorder="1" applyAlignment="1">
      <x:alignment horizontal="center" vertical="center"/>
    </x:xf>
    <x:xf numFmtId="0" fontId="18" fillId="14" borderId="1" xfId="0" applyFont="1" applyFill="1" applyBorder="1" applyAlignment="1">
      <x:alignment horizontal="center" vertical="center" wrapText="1"/>
    </x:xf>
    <x:xf numFmtId="0" fontId="18" fillId="14" borderId="2" xfId="0" applyFont="1" applyFill="1" applyBorder="1" applyAlignment="1">
      <x:alignment horizontal="center" vertical="center" wrapText="1"/>
    </x:xf>
    <x:xf numFmtId="0" fontId="1" fillId="0" borderId="5" xfId="17" applyBorder="1" applyAlignment="1">
      <x:alignment horizontal="center"/>
    </x:xf>
    <x:xf numFmtId="0" fontId="32" fillId="10" borderId="0" xfId="0" applyFont="1" applyFill="1" applyAlignment="1">
      <x:alignment horizontal="left"/>
    </x:xf>
    <x:xf numFmtId="0" fontId="29" fillId="3" borderId="4" xfId="0" applyFont="1" applyFill="1" applyBorder="1" applyAlignment="1">
      <x:alignment horizontal="center"/>
    </x:xf>
    <x:xf numFmtId="0" fontId="36" fillId="16" borderId="1" xfId="0" applyFont="1" applyFill="1" applyBorder="1" applyAlignment="1">
      <x:alignment horizontal="center" vertical="center" wrapText="1"/>
    </x:xf>
    <x:xf numFmtId="0" fontId="36" fillId="16" borderId="6" xfId="0" applyFont="1" applyFill="1" applyBorder="1" applyAlignment="1">
      <x:alignment horizontal="center" vertical="center" wrapText="1"/>
    </x:xf>
    <x:xf numFmtId="0" fontId="30" fillId="8" borderId="1" xfId="0" applyFont="1" applyFill="1" applyBorder="1" applyAlignment="1">
      <x:alignment horizontal="center" vertical="center" wrapText="1"/>
    </x:xf>
    <x:xf numFmtId="0" fontId="30" fillId="8" borderId="6" xfId="0" applyFont="1" applyFill="1" applyBorder="1" applyAlignment="1">
      <x:alignment horizontal="center" vertical="center" wrapText="1"/>
    </x:xf>
    <x:xf numFmtId="0" fontId="27" fillId="0" borderId="0" xfId="0" applyFont="1" applyAlignment="1">
      <x:alignment wrapText="1"/>
    </x:xf>
    <x:xf numFmtId="0" fontId="30" fillId="8" borderId="1" xfId="0" applyFont="1" applyFill="1" applyBorder="1" applyAlignment="1">
      <x:alignment horizontal="center" vertical="center" wrapText="1"/>
    </x:xf>
    <x:xf numFmtId="0" fontId="30" fillId="8" borderId="6" xfId="0" applyFont="1" applyFill="1" applyBorder="1" applyAlignment="1">
      <x:alignment horizontal="center" vertical="center" wrapText="1"/>
    </x:xf>
    <x:xf numFmtId="0" fontId="30" fillId="9" borderId="1" xfId="0" applyFont="1" applyFill="1" applyBorder="1" applyAlignment="1">
      <x:alignment horizontal="center" vertical="center" wrapText="1"/>
    </x:xf>
    <x:xf numFmtId="0" fontId="30" fillId="9" borderId="6" xfId="0" applyFont="1" applyFill="1" applyBorder="1" applyAlignment="1">
      <x:alignment horizontal="center" vertical="center" wrapText="1"/>
    </x:xf>
    <x:xf numFmtId="0" fontId="30" fillId="9" borderId="1" xfId="0" applyFont="1" applyFill="1" applyBorder="1" applyAlignment="1">
      <x:alignment horizontal="center" vertical="center" wrapText="1"/>
    </x:xf>
    <x:xf numFmtId="0" fontId="30" fillId="9" borderId="6" xfId="0" applyFont="1" applyFill="1" applyBorder="1" applyAlignment="1">
      <x:alignment horizontal="center" vertical="center" wrapText="1"/>
    </x:xf>
    <x:xf numFmtId="0" fontId="30" fillId="16" borderId="1" xfId="0" applyFont="1" applyFill="1" applyBorder="1" applyAlignment="1">
      <x:alignment horizontal="center" vertical="center" wrapText="1"/>
    </x:xf>
    <x:xf numFmtId="0" fontId="30" fillId="16" borderId="6" xfId="0" applyFont="1" applyFill="1" applyBorder="1" applyAlignment="1">
      <x:alignment horizontal="center" vertical="center" wrapText="1"/>
    </x:xf>
    <x:xf numFmtId="0" fontId="29" fillId="0" borderId="0" xfId="0" applyFont="1" applyAlignment="1">
      <x:alignment horizontal="left"/>
    </x:xf>
    <x:xf numFmtId="0" fontId="0" fillId="0" borderId="0" xfId="0" applyAlignment="1">
      <x:alignment horizontal="left"/>
    </x:xf>
    <x:xf numFmtId="9" fontId="0" fillId="0" borderId="0" xfId="1" applyFont="1" applyAlignment="1">
      <x:alignment horizontal="center"/>
    </x:xf>
    <x:xf numFmtId="9" fontId="0" fillId="0" borderId="0" xfId="1" applyFont="1" applyAlignment="1">
      <x:alignment horizontal="center"/>
    </x:xf>
    <x:xf numFmtId="9" fontId="4" fillId="0" borderId="0" xfId="1" applyFont="1" applyAlignment="1">
      <x:alignment horizontal="center"/>
    </x:xf>
    <x:xf numFmtId="0" fontId="0" fillId="0" borderId="100" xfId="0" applyNumberFormat="1" applyFont="1" applyFill="1" applyBorder="1"/>
    <x:xf numFmtId="0" fontId="0" fillId="0" borderId="100" xfId="0" applyNumberFormat="1" applyFont="1" applyFill="1" applyBorder="1" applyAlignment="1">
      <x:alignment horizontal="center"/>
    </x:xf>
    <x:xf numFmtId="9" fontId="0" fillId="0" borderId="100" xfId="0" applyNumberFormat="1" applyFont="1" applyFill="1" applyBorder="1"/>
    <x:xf numFmtId="9" fontId="0" fillId="0" borderId="100" xfId="0" applyNumberFormat="1" applyFont="1" applyFill="1" applyBorder="1" applyAlignment="1">
      <x:alignment horizontal="center"/>
    </x:xf>
    <x:xf numFmtId="0" fontId="0" fillId="10" borderId="100" xfId="0" applyNumberFormat="1" applyFont="1" applyFill="1" applyBorder="1"/>
    <x:xf numFmtId="0" fontId="0" fillId="10" borderId="100" xfId="0" applyNumberFormat="1" applyFont="1" applyFill="1" applyBorder="1" applyAlignment="1">
      <x:alignment horizontal="center"/>
    </x:xf>
    <x:xf numFmtId="0" fontId="14" fillId="10" borderId="100" xfId="0" applyNumberFormat="1" applyFont="1" applyFill="1" applyBorder="1"/>
    <x:xf numFmtId="0" fontId="15" fillId="10" borderId="100" xfId="0" applyNumberFormat="1" applyFont="1" applyFill="1" applyBorder="1" applyAlignment="1">
      <x:alignment horizontal="left"/>
    </x:xf>
    <x:xf numFmtId="0" fontId="16" fillId="10" borderId="100" xfId="0" applyNumberFormat="1" applyFont="1" applyFill="1" applyBorder="1"/>
    <x:xf numFmtId="0" fontId="3" fillId="12" borderId="101" xfId="0" applyNumberFormat="1" applyFont="1" applyFill="1" applyBorder="1" applyAlignment="1">
      <x:alignment horizontal="center"/>
    </x:xf>
    <x:xf numFmtId="0" fontId="3" fillId="12" borderId="102" xfId="0" applyNumberFormat="1" applyFont="1" applyFill="1" applyBorder="1" applyAlignment="1">
      <x:alignment horizontal="center" vertical="center"/>
    </x:xf>
    <x:xf numFmtId="0" fontId="3" fillId="12" borderId="103" xfId="0" applyNumberFormat="1" applyFont="1" applyFill="1" applyBorder="1" applyAlignment="1">
      <x:alignment horizontal="center" vertical="center"/>
    </x:xf>
    <x:xf numFmtId="164" fontId="3" fillId="12" borderId="104" xfId="0" applyNumberFormat="1" applyFont="1" applyFill="1" applyBorder="1" applyAlignment="1">
      <x:alignment horizontal="center" vertical="center"/>
    </x:xf>
    <x:xf numFmtId="0" fontId="3" fillId="13" borderId="104" xfId="0" applyNumberFormat="1" applyFont="1" applyFill="1" applyBorder="1" applyAlignment="1">
      <x:alignment horizontal="center" vertical="center"/>
    </x:xf>
    <x:xf numFmtId="0" fontId="18" fillId="7" borderId="104" xfId="0" applyNumberFormat="1" applyFont="1" applyFill="1" applyBorder="1" applyAlignment="1">
      <x:alignment horizontal="center" vertical="center" wrapText="1"/>
    </x:xf>
    <x:xf numFmtId="0" fontId="18" fillId="2" borderId="104" xfId="0" applyNumberFormat="1" applyFont="1" applyFill="1" applyBorder="1" applyAlignment="1">
      <x:alignment horizontal="center" vertical="center"/>
    </x:xf>
    <x:xf numFmtId="1" fontId="21" fillId="0" borderId="105" xfId="0" applyNumberFormat="1" applyFont="1" applyFill="1" applyBorder="1" applyAlignment="1">
      <x:alignment horizontal="center"/>
    </x:xf>
    <x:xf numFmtId="1" fontId="21" fillId="0" borderId="101" xfId="0" applyNumberFormat="1" applyFont="1" applyFill="1" applyBorder="1" applyAlignment="1">
      <x:alignment horizontal="center"/>
    </x:xf>
    <x:xf numFmtId="9" fontId="9" fillId="0" borderId="106" xfId="0" applyNumberFormat="1" applyFont="1" applyFill="1" applyBorder="1" applyAlignment="1">
      <x:alignment horizontal="center" vertical="center"/>
    </x:xf>
    <x:xf numFmtId="9" fontId="9" fillId="0" borderId="107" xfId="0" applyNumberFormat="1" applyFont="1" applyFill="1" applyBorder="1" applyAlignment="1">
      <x:alignment horizontal="center" vertical="center"/>
    </x:xf>
    <x:xf numFmtId="3" fontId="22" fillId="0" borderId="108" xfId="0" applyNumberFormat="1" applyFont="1" applyFill="1" applyBorder="1" applyAlignment="1">
      <x:alignment horizontal="center" vertical="center"/>
    </x:xf>
    <x:xf numFmtId="15" fontId="23" fillId="0" borderId="109" xfId="0" applyNumberFormat="1" applyFont="1" applyFill="1" applyBorder="1" applyAlignment="1">
      <x:alignment horizontal="center"/>
    </x:xf>
    <x:xf numFmtId="3" fontId="22" fillId="0" borderId="110" xfId="0" applyNumberFormat="1" applyFont="1" applyFill="1" applyBorder="1" applyAlignment="1">
      <x:alignment horizontal="center" vertical="center"/>
    </x:xf>
    <x:xf numFmtId="15" fontId="23" fillId="0" borderId="111" xfId="0" applyNumberFormat="1" applyFont="1" applyFill="1" applyBorder="1" applyAlignment="1">
      <x:alignment horizontal="center"/>
    </x:xf>
    <x:xf numFmtId="1" fontId="21" fillId="0" borderId="112" xfId="0" applyNumberFormat="1" applyFont="1" applyFill="1" applyBorder="1" applyAlignment="1">
      <x:alignment horizontal="center"/>
    </x:xf>
    <x:xf numFmtId="3" fontId="22" fillId="0" borderId="113" xfId="0" applyNumberFormat="1" applyFont="1" applyFill="1" applyBorder="1" applyAlignment="1">
      <x:alignment horizontal="center" vertical="center"/>
    </x:xf>
    <x:xf numFmtId="0" fontId="21" fillId="0" borderId="114" xfId="0" applyNumberFormat="1" applyFont="1" applyFill="1" applyBorder="1" applyAlignment="1">
      <x:alignment horizontal="center"/>
    </x:xf>
    <x:xf numFmtId="3" fontId="22" fillId="0" borderId="115" xfId="0" applyNumberFormat="1" applyFont="1" applyFill="1" applyBorder="1" applyAlignment="1">
      <x:alignment horizontal="center" vertical="center"/>
    </x:xf>
    <x:xf numFmtId="15" fontId="23" fillId="0" borderId="116" xfId="0" applyNumberFormat="1" applyFont="1" applyFill="1" applyBorder="1" applyAlignment="1">
      <x:alignment horizontal="center"/>
    </x:xf>
    <x:xf numFmtId="0" fontId="21" fillId="0" borderId="117" xfId="0" applyNumberFormat="1" applyFont="1" applyFill="1" applyBorder="1" applyAlignment="1">
      <x:alignment horizontal="center"/>
    </x:xf>
    <x:xf numFmtId="3" fontId="22" fillId="0" borderId="118" xfId="0" applyNumberFormat="1" applyFont="1" applyFill="1" applyBorder="1" applyAlignment="1">
      <x:alignment horizontal="center" vertical="center"/>
    </x:xf>
    <x:xf numFmtId="0" fontId="21" fillId="0" borderId="119" xfId="0" applyNumberFormat="1" applyFont="1" applyFill="1" applyBorder="1" applyAlignment="1">
      <x:alignment horizontal="center"/>
    </x:xf>
    <x:xf numFmtId="3" fontId="22" fillId="0" borderId="120" xfId="0" applyNumberFormat="1" applyFont="1" applyFill="1" applyBorder="1" applyAlignment="1">
      <x:alignment horizontal="center" vertical="center"/>
    </x:xf>
    <x:xf numFmtId="15" fontId="23" fillId="0" borderId="121" xfId="0" applyNumberFormat="1" applyFont="1" applyFill="1" applyBorder="1" applyAlignment="1">
      <x:alignment horizontal="center"/>
    </x:xf>
    <x:xf numFmtId="0" fontId="21" fillId="0" borderId="105" xfId="0" applyNumberFormat="1" applyFont="1" applyFill="1" applyBorder="1" applyAlignment="1">
      <x:alignment horizontal="center"/>
    </x:xf>
    <x:xf numFmtId="0" fontId="23" fillId="0" borderId="111" xfId="0" applyNumberFormat="1" applyFont="1" applyFill="1" applyBorder="1" applyAlignment="1">
      <x:alignment horizontal="center"/>
    </x:xf>
    <x:xf numFmtId="0" fontId="21" fillId="0" borderId="112" xfId="0" applyNumberFormat="1" applyFont="1" applyFill="1" applyBorder="1" applyAlignment="1">
      <x:alignment horizontal="center"/>
    </x:xf>
    <x:xf numFmtId="0" fontId="15" fillId="0" borderId="100" xfId="0" applyNumberFormat="1" applyFont="1" applyFill="1" applyBorder="1" applyAlignment="1">
      <x:alignment horizontal="left"/>
    </x:xf>
    <x:xf numFmtId="0" fontId="24" fillId="0" borderId="100" xfId="0" applyNumberFormat="1" applyFont="1" applyFill="1" applyBorder="1" applyAlignment="1">
      <x:alignment horizontal="center"/>
    </x:xf>
    <x:xf numFmtId="0" fontId="3" fillId="16" borderId="104" xfId="0" applyNumberFormat="1" applyFont="1" applyFill="1" applyBorder="1" applyAlignment="1">
      <x:alignment horizontal="center"/>
    </x:xf>
    <x:xf numFmtId="0" fontId="3" fillId="17" borderId="104" xfId="0" applyNumberFormat="1" applyFont="1" applyFill="1" applyBorder="1" applyAlignment="1">
      <x:alignment horizontal="center"/>
    </x:xf>
    <x:xf numFmtId="0" fontId="3" fillId="2" borderId="122" xfId="0" applyNumberFormat="1" applyFont="1" applyFill="1" applyBorder="1" applyAlignment="1">
      <x:alignment horizontal="center"/>
    </x:xf>
    <x:xf numFmtId="0" fontId="3" fillId="2" borderId="104" xfId="0" applyNumberFormat="1" applyFont="1" applyFill="1" applyBorder="1" applyAlignment="1">
      <x:alignment horizontal="center"/>
    </x:xf>
    <x:xf numFmtId="9" fontId="25" fillId="2" borderId="104" xfId="0" applyNumberFormat="1" applyFont="1" applyFill="1" applyBorder="1" applyAlignment="1">
      <x:alignment horizontal="center"/>
    </x:xf>
    <x:xf numFmtId="9" fontId="25" fillId="0" borderId="100" xfId="0" applyNumberFormat="1" applyFont="1" applyFill="1" applyBorder="1" applyAlignment="1">
      <x:alignment horizontal="center"/>
    </x:xf>
    <x:xf numFmtId="0" fontId="3" fillId="18" borderId="104" xfId="0" applyNumberFormat="1" applyFont="1" applyFill="1" applyBorder="1" applyAlignment="1">
      <x:alignment horizontal="center"/>
    </x:xf>
    <x:xf numFmtId="1" fontId="21" fillId="0" borderId="123" xfId="0" applyNumberFormat="1" applyFont="1" applyFill="1" applyBorder="1" applyAlignment="1">
      <x:alignment horizontal="center"/>
    </x:xf>
    <x:xf numFmtId="1" fontId="21" fillId="0" borderId="124" xfId="0" applyNumberFormat="1" applyFont="1" applyFill="1" applyBorder="1" applyAlignment="1">
      <x:alignment horizontal="center"/>
    </x:xf>
    <x:xf numFmtId="1" fontId="21" fillId="0" borderId="125" xfId="0" applyNumberFormat="1" applyFont="1" applyFill="1" applyBorder="1" applyAlignment="1">
      <x:alignment horizontal="center"/>
    </x:xf>
    <x:xf numFmtId="1" fontId="21" fillId="0" borderId="126" xfId="0" applyNumberFormat="1" applyFont="1" applyFill="1" applyBorder="1" applyAlignment="1">
      <x:alignment horizontal="center"/>
    </x:xf>
    <x:xf numFmtId="0" fontId="21" fillId="0" borderId="127" xfId="0" applyNumberFormat="1" applyFont="1" applyFill="1" applyBorder="1" applyAlignment="1">
      <x:alignment horizontal="center"/>
    </x:xf>
    <x:xf numFmtId="0" fontId="21" fillId="0" borderId="128" xfId="0" applyNumberFormat="1" applyFont="1" applyFill="1" applyBorder="1" applyAlignment="1">
      <x:alignment horizontal="center"/>
    </x:xf>
    <x:xf numFmtId="0" fontId="20" fillId="2" borderId="118" xfId="0" applyNumberFormat="1" applyFont="1" applyFill="1" applyBorder="1" applyAlignment="1">
      <x:alignment horizontal="left" vertical="center" wrapText="1"/>
    </x:xf>
    <x:xf numFmtId="0" fontId="19" fillId="10" borderId="129" xfId="0" applyNumberFormat="1" applyFont="1" applyFill="1" applyBorder="1" applyAlignment="1">
      <x:alignment horizontal="center" vertical="center" wrapText="1"/>
    </x:xf>
    <x:xf numFmtId="0" fontId="28" fillId="0" borderId="130" xfId="0" applyNumberFormat="1" applyFont="1" applyFill="1" applyBorder="1" applyAlignment="1">
      <x:alignment horizontal="center"/>
    </x:xf>
    <x:xf numFmtId="1" fontId="28" fillId="0" borderId="130" xfId="0" applyNumberFormat="1" applyFont="1" applyFill="1" applyBorder="1" applyAlignment="1">
      <x:alignment horizontal="center"/>
    </x:xf>
    <x:xf numFmtId="0" fontId="0" fillId="3" borderId="104" xfId="0" applyNumberFormat="1" applyFont="1" applyFill="1" applyBorder="1" applyAlignment="1">
      <x:alignment horizontal="center"/>
    </x:xf>
    <x:xf numFmtId="0" fontId="28" fillId="0" borderId="131" xfId="0" applyNumberFormat="1" applyFont="1" applyFill="1" applyBorder="1" applyAlignment="1">
      <x:alignment horizontal="center"/>
    </x:xf>
    <x:xf numFmtId="0" fontId="11" fillId="0" borderId="132" xfId="0" applyNumberFormat="1" applyFont="1" applyFill="1" applyBorder="1" applyAlignment="1">
      <x:alignment horizontal="center"/>
    </x:xf>
    <x:xf numFmtId="0" fontId="11" fillId="0" borderId="133" xfId="0" applyNumberFormat="1" applyFont="1" applyFill="1" applyBorder="1" applyAlignment="1">
      <x:alignment horizontal="center"/>
    </x:xf>
    <x:xf numFmtId="0" fontId="11" fillId="0" borderId="134" xfId="0" applyNumberFormat="1" applyFont="1" applyFill="1" applyBorder="1" applyAlignment="1">
      <x:alignment horizontal="center"/>
    </x:xf>
    <x:xf numFmtId="0" fontId="20" fillId="2" borderId="115" xfId="0" applyNumberFormat="1" applyFont="1" applyFill="1" applyBorder="1" applyAlignment="1">
      <x:alignment horizontal="left" vertical="center" wrapText="1"/>
    </x:xf>
    <x:xf numFmtId="0" fontId="20" fillId="2" borderId="120" xfId="0" applyNumberFormat="1" applyFont="1" applyFill="1" applyBorder="1" applyAlignment="1">
      <x:alignment horizontal="left" vertical="center" wrapText="1"/>
    </x:xf>
    <x:xf numFmtId="0" fontId="20" fillId="19" borderId="135" xfId="0" applyNumberFormat="1" applyFont="1" applyFill="1" applyBorder="1" applyAlignment="1">
      <x:alignment horizontal="left" vertical="center" wrapText="1"/>
    </x:xf>
    <x:xf numFmtId="0" fontId="20" fillId="19" borderId="115" xfId="0" applyNumberFormat="1" applyFont="1" applyFill="1" applyBorder="1" applyAlignment="1">
      <x:alignment horizontal="left" vertical="center" wrapText="1"/>
    </x:xf>
    <x:xf numFmtId="0" fontId="20" fillId="5" borderId="115" xfId="0" applyNumberFormat="1" applyFont="1" applyFill="1" applyBorder="1" applyAlignment="1">
      <x:alignment horizontal="left" vertical="center" wrapText="1"/>
    </x:xf>
    <x:xf numFmtId="0" fontId="20" fillId="5" borderId="118" xfId="0" applyNumberFormat="1" applyFont="1" applyFill="1" applyBorder="1" applyAlignment="1">
      <x:alignment horizontal="left" vertical="center" wrapText="1"/>
    </x:xf>
    <x:xf numFmtId="0" fontId="20" fillId="19" borderId="118" xfId="0" applyNumberFormat="1" applyFont="1" applyFill="1" applyBorder="1" applyAlignment="1">
      <x:alignment horizontal="left" vertical="center" wrapText="1"/>
    </x:xf>
    <x:xf numFmtId="0" fontId="20" fillId="5" borderId="120" xfId="0" applyNumberFormat="1" applyFont="1" applyFill="1" applyBorder="1" applyAlignment="1">
      <x:alignment horizontal="left" vertical="center" wrapText="1"/>
    </x:xf>
    <x:xf numFmtId="0" fontId="20" fillId="5" borderId="136" xfId="0" applyNumberFormat="1" applyFont="1" applyFill="1" applyBorder="1" applyAlignment="1">
      <x:alignment horizontal="left" vertical="center" wrapText="1"/>
    </x:xf>
    <x:xf numFmtId="0" fontId="20" fillId="15" borderId="118" xfId="0" applyNumberFormat="1" applyFont="1" applyFill="1" applyBorder="1" applyAlignment="1">
      <x:alignment horizontal="left" vertical="center" wrapText="1"/>
    </x:xf>
    <x:xf numFmtId="0" fontId="20" fillId="16" borderId="118" xfId="0" applyNumberFormat="1" applyFont="1" applyFill="1" applyBorder="1" applyAlignment="1">
      <x:alignment horizontal="left" vertical="center" wrapText="1"/>
    </x:xf>
    <x:xf numFmtId="0" fontId="20" fillId="16" borderId="115" xfId="0" applyNumberFormat="1" applyFont="1" applyFill="1" applyBorder="1" applyAlignment="1">
      <x:alignment horizontal="left" vertical="center" wrapText="1"/>
    </x:xf>
    <x:xf numFmtId="0" fontId="20" fillId="16" borderId="136" xfId="0" applyNumberFormat="1" applyFont="1" applyFill="1" applyBorder="1" applyAlignment="1">
      <x:alignment horizontal="left" vertical="center" wrapText="1"/>
    </x:xf>
    <x:xf numFmtId="0" fontId="21" fillId="16" borderId="117" xfId="0" applyNumberFormat="1" applyFont="1" applyFill="1" applyBorder="1" applyAlignment="1">
      <x:alignment horizontal="center"/>
    </x:xf>
    <x:xf numFmtId="0" fontId="19" fillId="16" borderId="129" xfId="0" applyNumberFormat="1" applyFont="1" applyFill="1" applyBorder="1" applyAlignment="1">
      <x:alignment horizontal="center" vertical="center" wrapText="1"/>
    </x:xf>
    <x:xf numFmtId="1" fontId="21" fillId="16" borderId="124" xfId="0" applyNumberFormat="1" applyFont="1" applyFill="1" applyBorder="1" applyAlignment="1">
      <x:alignment horizontal="center"/>
    </x:xf>
    <x:xf numFmtId="1" fontId="28" fillId="0" borderId="131" xfId="0" applyNumberFormat="1" applyFont="1" applyFill="1" applyBorder="1" applyAlignment="1">
      <x:alignment horizontal="center"/>
    </x:xf>
    <x:xf numFmtId="0" fontId="0" fillId="20" borderId="100" xfId="0" applyNumberFormat="1" applyFont="1" applyFill="1" applyBorder="1"/>
    <x:xf numFmtId="164" fontId="3" fillId="12" borderId="137" xfId="0" applyNumberFormat="1" applyFont="1" applyFill="1" applyBorder="1" applyAlignment="1">
      <x:alignment horizontal="center" vertical="center"/>
    </x:xf>
    <x:xf numFmtId="1" fontId="21" fillId="0" borderId="138" xfId="0" applyNumberFormat="1" applyFont="1" applyFill="1" applyBorder="1" applyAlignment="1">
      <x:alignment horizontal="center"/>
    </x:xf>
    <x:xf numFmtId="1" fontId="31" fillId="0" borderId="129" xfId="0" applyNumberFormat="1" applyFont="1" applyFill="1" applyBorder="1" applyAlignment="1">
      <x:alignment horizontal="center"/>
    </x:xf>
    <x:xf numFmtId="0" fontId="34" fillId="10" borderId="129" xfId="0" applyNumberFormat="1" applyFont="1" applyFill="1" applyBorder="1" applyAlignment="1">
      <x:alignment horizontal="center" vertical="center" wrapText="1"/>
    </x:xf>
    <x:xf numFmtId="3" fontId="11" fillId="0" borderId="118" xfId="0" applyNumberFormat="1" applyFont="1" applyFill="1" applyBorder="1" applyAlignment="1">
      <x:alignment horizontal="center" vertical="center"/>
    </x:xf>
    <x:xf numFmtId="15" fontId="35" fillId="0" borderId="111" xfId="0" applyNumberFormat="1" applyFont="1" applyFill="1" applyBorder="1" applyAlignment="1">
      <x:alignment horizontal="center"/>
    </x:xf>
    <x:xf numFmtId="0" fontId="28" fillId="0" borderId="104" xfId="0" applyNumberFormat="1" applyFont="1" applyFill="1" applyBorder="1" applyAlignment="1">
      <x:alignment horizontal="center" vertical="center"/>
    </x:xf>
    <x:xf numFmtId="0" fontId="36" fillId="0" borderId="104" xfId="0" applyNumberFormat="1" applyFont="1" applyFill="1" applyBorder="1" applyAlignment="1">
      <x:alignment horizontal="center" vertical="center"/>
    </x:xf>
    <x:xf numFmtId="1" fontId="0" fillId="0" borderId="139" xfId="0" applyNumberFormat="1" applyFont="1" applyFill="1" applyBorder="1" applyAlignment="1">
      <x:alignment horizontal="center" vertical="center"/>
    </x:xf>
    <x:xf numFmtId="1" fontId="0" fillId="0" borderId="140" xfId="0" applyNumberFormat="1" applyFont="1" applyFill="1" applyBorder="1" applyAlignment="1">
      <x:alignment horizontal="center" vertical="center"/>
    </x:xf>
    <x:xf numFmtId="1" fontId="0" fillId="0" borderId="141" xfId="0" applyNumberFormat="1" applyFont="1" applyFill="1" applyBorder="1" applyAlignment="1">
      <x:alignment horizontal="center" vertical="center"/>
    </x:xf>
    <x:xf numFmtId="0" fontId="28" fillId="0" borderId="132" xfId="0" applyNumberFormat="1" applyFont="1" applyFill="1" applyBorder="1" applyAlignment="1">
      <x:alignment horizontal="center" vertical="center"/>
    </x:xf>
    <x:xf numFmtId="0" fontId="28" fillId="0" borderId="133" xfId="0" applyNumberFormat="1" applyFont="1" applyFill="1" applyBorder="1" applyAlignment="1">
      <x:alignment horizontal="center" vertical="center"/>
    </x:xf>
    <x:xf numFmtId="0" fontId="28" fillId="0" borderId="134" xfId="0" applyNumberFormat="1" applyFont="1" applyFill="1" applyBorder="1" applyAlignment="1">
      <x:alignment horizontal="center" vertical="center"/>
    </x:xf>
    <x:xf numFmtId="0" fontId="36" fillId="0" borderId="137" xfId="0" applyNumberFormat="1" applyFont="1" applyFill="1" applyBorder="1" applyAlignment="1">
      <x:alignment horizontal="center" vertical="center"/>
    </x:xf>
    <x:xf numFmtId="0" fontId="29" fillId="0" borderId="100" xfId="0" applyNumberFormat="1" applyFont="1" applyFill="1" applyBorder="1"/>
    <x:xf numFmtId="0" fontId="37" fillId="0" borderId="100" xfId="0" applyNumberFormat="1" applyFont="1" applyFill="1" applyBorder="1"/>
    <x:xf numFmtId="0" fontId="28" fillId="0" borderId="142" xfId="0" applyNumberFormat="1" applyFont="1" applyFill="1" applyBorder="1" applyAlignment="1">
      <x:alignment horizontal="center" vertical="center"/>
    </x:xf>
    <x:xf numFmtId="0" fontId="28" fillId="0" borderId="143" xfId="0" applyNumberFormat="1" applyFont="1" applyFill="1" applyBorder="1" applyAlignment="1">
      <x:alignment horizontal="center" vertical="center"/>
    </x:xf>
    <x:xf numFmtId="0" fontId="37" fillId="0" borderId="100" xfId="0" applyNumberFormat="1" applyFont="1" applyFill="1" applyBorder="1" applyAlignment="1">
      <x:alignment vertical="center"/>
    </x:xf>
    <x:xf numFmtId="1" fontId="38" fillId="0" borderId="105" xfId="0" applyNumberFormat="1" applyFont="1" applyFill="1" applyBorder="1" applyAlignment="1">
      <x:alignment horizontal="center"/>
    </x:xf>
    <x:xf numFmtId="1" fontId="38" fillId="0" borderId="112" xfId="0" applyNumberFormat="1" applyFont="1" applyFill="1" applyBorder="1" applyAlignment="1">
      <x:alignment horizontal="center"/>
    </x:xf>
    <x:xf numFmtId="1" fontId="38" fillId="0" borderId="123" xfId="0" applyNumberFormat="1" applyFont="1" applyFill="1" applyBorder="1" applyAlignment="1">
      <x:alignment horizontal="center"/>
    </x:xf>
    <x:xf numFmtId="1" fontId="38" fillId="0" borderId="126" xfId="0" applyNumberFormat="1" applyFont="1" applyFill="1" applyBorder="1" applyAlignment="1">
      <x:alignment horizontal="center"/>
    </x:xf>
    <x:xf numFmtId="1" fontId="38" fillId="0" borderId="124" xfId="0" applyNumberFormat="1" applyFont="1" applyFill="1" applyBorder="1" applyAlignment="1">
      <x:alignment horizontal="center"/>
    </x:xf>
    <x:xf numFmtId="1" fontId="38" fillId="0" borderId="125" xfId="0" applyNumberFormat="1" applyFont="1" applyFill="1" applyBorder="1" applyAlignment="1">
      <x:alignment horizontal="center"/>
    </x:xf>
    <x:xf numFmtId="0" fontId="3" fillId="0" borderId="100" xfId="0" applyNumberFormat="1" applyFont="1" applyFill="1" applyBorder="1" applyAlignment="1">
      <x:alignment horizontal="center"/>
    </x:xf>
    <x:xf numFmtId="0" fontId="7" fillId="10" borderId="100" xfId="0" applyNumberFormat="1" applyFont="1" applyFill="1" applyBorder="1" applyAlignment="1">
      <x:alignment horizontal="center"/>
    </x:xf>
    <x:xf numFmtId="0" fontId="3" fillId="24" borderId="104" xfId="0" applyNumberFormat="1" applyFont="1" applyFill="1" applyBorder="1" applyAlignment="1">
      <x:alignment horizontal="center"/>
    </x:xf>
    <x:xf numFmtId="0" fontId="31" fillId="16" borderId="144" xfId="0" applyNumberFormat="1" applyFont="1" applyFill="1" applyBorder="1" applyAlignment="1">
      <x:alignment horizontal="left" vertical="center" wrapText="1"/>
    </x:xf>
    <x:xf numFmtId="0" fontId="31" fillId="19" borderId="144" xfId="0" applyNumberFormat="1" applyFont="1" applyFill="1" applyBorder="1" applyAlignment="1">
      <x:alignment horizontal="left" vertical="center" wrapText="1"/>
    </x:xf>
    <x:xf numFmtId="9" fontId="3" fillId="12" borderId="104" xfId="0" applyNumberFormat="1" applyFont="1" applyFill="1" applyBorder="1" applyAlignment="1">
      <x:alignment horizontal="center" vertical="center"/>
    </x:xf>
    <x:xf numFmtId="0" fontId="3" fillId="0" borderId="100" xfId="0" applyNumberFormat="1" applyFont="1" applyFill="1" applyBorder="1" applyAlignment="1">
      <x:alignment horizontal="left"/>
    </x:xf>
    <x:xf numFmtId="0" fontId="1" fillId="0" borderId="100" xfId="0" applyNumberFormat="1" applyFont="1" applyFill="1" applyBorder="1"/>
    <x:xf numFmtId="0" fontId="1" fillId="0" borderId="100" xfId="0" applyNumberFormat="1" applyFont="1" applyFill="1" applyBorder="1" applyAlignment="1">
      <x:alignment horizontal="center"/>
    </x:xf>
    <x:xf numFmtId="0" fontId="41" fillId="25" borderId="145" xfId="0" applyNumberFormat="1" applyFont="1" applyFill="1" applyBorder="1" applyAlignment="1">
      <x:alignment horizontal="center" vertical="center"/>
    </x:xf>
    <x:xf numFmtId="0" fontId="41" fillId="25" borderId="146" xfId="0" applyNumberFormat="1" applyFont="1" applyFill="1" applyBorder="1" applyAlignment="1">
      <x:alignment vertical="center" wrapText="1"/>
    </x:xf>
    <x:xf numFmtId="0" fontId="41" fillId="25" borderId="147" xfId="0" applyNumberFormat="1" applyFont="1" applyFill="1" applyBorder="1" applyAlignment="1">
      <x:alignment vertical="center" wrapText="1"/>
    </x:xf>
    <x:xf numFmtId="0" fontId="41" fillId="25" borderId="145" xfId="0" applyNumberFormat="1" applyFont="1" applyFill="1" applyBorder="1" applyAlignment="1">
      <x:alignment vertical="center" wrapText="1"/>
    </x:xf>
    <x:xf numFmtId="0" fontId="41" fillId="25" borderId="148" xfId="0" applyNumberFormat="1" applyFont="1" applyFill="1" applyBorder="1" applyAlignment="1">
      <x:alignment vertical="center" wrapText="1"/>
    </x:xf>
    <x:xf numFmtId="9" fontId="43" fillId="0" borderId="129" xfId="0" applyNumberFormat="1" applyFont="1" applyFill="1" applyBorder="1" applyAlignment="1">
      <x:alignment horizontal="center" vertical="center" wrapText="1"/>
    </x:xf>
    <x:xf numFmtId="0" fontId="1" fillId="0" borderId="129" xfId="0" applyNumberFormat="1" applyFont="1" applyFill="1" applyBorder="1"/>
    <x:xf numFmtId="0" fontId="44" fillId="25" borderId="129" xfId="0" applyNumberFormat="1" applyFont="1" applyFill="1" applyBorder="1" applyAlignment="1">
      <x:alignment horizontal="center" vertical="center" wrapText="1"/>
    </x:xf>
    <x:xf numFmtId="0" fontId="44" fillId="27" borderId="149" xfId="0" applyNumberFormat="1" applyFont="1" applyFill="1" applyBorder="1" applyAlignment="1">
      <x:alignment horizontal="center" vertical="center" wrapText="1"/>
    </x:xf>
    <x:xf numFmtId="0" fontId="44" fillId="25" borderId="149" xfId="0" applyNumberFormat="1" applyFont="1" applyFill="1" applyBorder="1" applyAlignment="1">
      <x:alignment horizontal="center" vertical="center" wrapText="1"/>
    </x:xf>
    <x:xf numFmtId="9" fontId="1" fillId="27" borderId="129" xfId="0" applyNumberFormat="1" applyFont="1" applyFill="1" applyBorder="1"/>
    <x:xf numFmtId="0" fontId="44" fillId="25" borderId="150" xfId="0" applyNumberFormat="1" applyFont="1" applyFill="1" applyBorder="1" applyAlignment="1">
      <x:alignment horizontal="center" vertical="center" wrapText="1"/>
    </x:xf>
    <x:xf numFmtId="9" fontId="42" fillId="0" borderId="129" xfId="0" applyNumberFormat="1" applyFont="1" applyFill="1" applyBorder="1" applyAlignment="1">
      <x:alignment horizontal="center" vertical="center" wrapText="1"/>
    </x:xf>
    <x:xf numFmtId="0" fontId="42" fillId="0" borderId="129" xfId="0" applyNumberFormat="1" applyFont="1" applyFill="1" applyBorder="1" applyAlignment="1">
      <x:alignment horizontal="center" vertical="center" wrapText="1"/>
    </x:xf>
    <x:xf numFmtId="0" fontId="42" fillId="25" borderId="129" xfId="0" applyNumberFormat="1" applyFont="1" applyFill="1" applyBorder="1" applyAlignment="1">
      <x:alignment horizontal="left" vertical="center" wrapText="1"/>
    </x:xf>
    <x:xf numFmtId="0" fontId="42" fillId="0" borderId="129" xfId="0" applyNumberFormat="1" applyFont="1" applyFill="1" applyBorder="1" applyAlignment="1">
      <x:alignment horizontal="left" vertical="center" wrapText="1"/>
    </x:xf>
    <x:xf numFmtId="0" fontId="41" fillId="26" borderId="151" xfId="0" applyNumberFormat="1" applyFont="1" applyFill="1" applyBorder="1" applyAlignment="1">
      <x:alignment vertical="center" wrapText="1"/>
    </x:xf>
    <x:xf numFmtId="0" fontId="41" fillId="26" borderId="152" xfId="0" applyNumberFormat="1" applyFont="1" applyFill="1" applyBorder="1" applyAlignment="1">
      <x:alignment vertical="center" wrapText="1"/>
    </x:xf>
    <x:xf numFmtId="0" fontId="41" fillId="26" borderId="153" xfId="0" applyNumberFormat="1" applyFont="1" applyFill="1" applyBorder="1" applyAlignment="1">
      <x:alignment vertical="center" wrapText="1"/>
    </x:xf>
    <x:xf numFmtId="0" fontId="31" fillId="15" borderId="154" xfId="0" applyNumberFormat="1" applyFont="1" applyFill="1" applyBorder="1" applyAlignment="1">
      <x:alignment horizontal="left" vertical="center" wrapText="1"/>
    </x:xf>
    <x:xf numFmtId="0" fontId="31" fillId="16" borderId="154" xfId="0" applyNumberFormat="1" applyFont="1" applyFill="1" applyBorder="1" applyAlignment="1">
      <x:alignment horizontal="left" vertical="center" wrapText="1"/>
    </x:xf>
    <x:xf numFmtId="0" fontId="31" fillId="19" borderId="155" xfId="0" applyNumberFormat="1" applyFont="1" applyFill="1" applyBorder="1" applyAlignment="1">
      <x:alignment horizontal="left" vertical="center" wrapText="1"/>
    </x:xf>
    <x:xf numFmtId="0" fontId="31" fillId="5" borderId="144" xfId="0" applyNumberFormat="1" applyFont="1" applyFill="1" applyBorder="1" applyAlignment="1">
      <x:alignment horizontal="left" vertical="center" wrapText="1"/>
    </x:xf>
    <x:xf numFmtId="0" fontId="31" fillId="2" borderId="144" xfId="0" applyNumberFormat="1" applyFont="1" applyFill="1" applyBorder="1" applyAlignment="1">
      <x:alignment horizontal="left" vertical="center" wrapText="1"/>
    </x:xf>
    <x:xf numFmtId="1" fontId="33" fillId="0" borderId="104" xfId="0" applyNumberFormat="1" applyFont="1" applyFill="1" applyBorder="1" applyAlignment="1">
      <x:alignment horizontal="center"/>
    </x:xf>
    <x:xf numFmtId="0" fontId="0" fillId="0" borderId="104" xfId="0" applyNumberFormat="1" applyFont="1" applyFill="1" applyBorder="1"/>
    <x:xf numFmtId="0" fontId="13" fillId="22" borderId="104" xfId="0" applyNumberFormat="1" applyFont="1" applyFill="1" applyBorder="1" applyAlignment="1">
      <x:alignment horizontal="center" vertical="center" wrapText="1"/>
    </x:xf>
    <x:xf numFmtId="0" fontId="8" fillId="22" borderId="104" xfId="0" applyNumberFormat="1" applyFont="1" applyFill="1" applyBorder="1" applyAlignment="1">
      <x:alignment horizontal="center" vertical="center" wrapText="1"/>
    </x:xf>
    <x:xf numFmtId="0" fontId="13" fillId="21" borderId="104" xfId="0" applyNumberFormat="1" applyFont="1" applyFill="1" applyBorder="1" applyAlignment="1">
      <x:alignment horizontal="center" vertical="center" wrapText="1"/>
    </x:xf>
    <x:xf numFmtId="0" fontId="8" fillId="20" borderId="104" xfId="0" applyNumberFormat="1" applyFont="1" applyFill="1" applyBorder="1" applyAlignment="1">
      <x:alignment horizontal="center" vertical="center" wrapText="1"/>
    </x:xf>
    <x:xf numFmtId="0" fontId="13" fillId="21" borderId="156" xfId="0" applyNumberFormat="1" applyFont="1" applyFill="1" applyBorder="1" applyAlignment="1">
      <x:alignment horizontal="center" vertical="center" wrapText="1"/>
    </x:xf>
    <x:xf numFmtId="0" fontId="39" fillId="10" borderId="100" xfId="0" applyNumberFormat="1" applyFont="1" applyFill="1" applyBorder="1" applyAlignment="1">
      <x:alignment horizontal="center"/>
    </x:xf>
    <x:xf numFmtId="0" fontId="7" fillId="0" borderId="100" xfId="0" applyNumberFormat="1" applyFont="1" applyFill="1" applyBorder="1"/>
    <x:xf numFmtId="0" fontId="18" fillId="7" borderId="137" xfId="0" applyNumberFormat="1" applyFont="1" applyFill="1" applyBorder="1" applyAlignment="1">
      <x:alignment horizontal="center" vertical="center" wrapText="1"/>
    </x:xf>
    <x:xf numFmtId="1" fontId="21" fillId="0" borderId="100" xfId="0" applyNumberFormat="1" applyFont="1" applyFill="1" applyBorder="1" applyAlignment="1">
      <x:alignment horizontal="center"/>
    </x:xf>
    <x:xf numFmtId="0" fontId="3" fillId="24" borderId="100" xfId="0" applyNumberFormat="1" applyFont="1" applyFill="1" applyBorder="1" applyAlignment="1">
      <x:alignment horizontal="center"/>
    </x:xf>
    <x:xf numFmtId="9" fontId="3" fillId="12" borderId="137" xfId="0" applyNumberFormat="1" applyFont="1" applyFill="1" applyBorder="1" applyAlignment="1">
      <x:alignment horizontal="center" vertical="center"/>
    </x:xf>
    <x:xf numFmtId="0" fontId="18" fillId="2" borderId="137" xfId="0" applyNumberFormat="1" applyFont="1" applyFill="1" applyBorder="1" applyAlignment="1">
      <x:alignment horizontal="center" vertical="center"/>
    </x:xf>
    <x:xf numFmtId="9" fontId="9" fillId="0" borderId="157" xfId="0" applyNumberFormat="1" applyFont="1" applyFill="1" applyBorder="1" applyAlignment="1">
      <x:alignment horizontal="center" vertical="center"/>
    </x:xf>
    <x:xf numFmtId="9" fontId="9" fillId="0" borderId="158" xfId="0" applyNumberFormat="1" applyFont="1" applyFill="1" applyBorder="1" applyAlignment="1">
      <x:alignment horizontal="center" vertical="center"/>
    </x:xf>
    <x:xf numFmtId="15" fontId="23" fillId="0" borderId="159" xfId="0" applyNumberFormat="1" applyFont="1" applyFill="1" applyBorder="1" applyAlignment="1">
      <x:alignment horizontal="center"/>
    </x:xf>
    <x:xf numFmtId="15" fontId="23" fillId="0" borderId="160" xfId="0" applyNumberFormat="1" applyFont="1" applyFill="1" applyBorder="1" applyAlignment="1">
      <x:alignment horizontal="center"/>
    </x:xf>
    <x:xf numFmtId="15" fontId="23" fillId="0" borderId="161" xfId="0" applyNumberFormat="1" applyFont="1" applyFill="1" applyBorder="1" applyAlignment="1">
      <x:alignment horizontal="center"/>
    </x:xf>
    <x:xf numFmtId="9" fontId="9" fillId="0" borderId="162" xfId="0" applyNumberFormat="1" applyFont="1" applyFill="1" applyBorder="1" applyAlignment="1">
      <x:alignment horizontal="center" vertical="center"/>
    </x:xf>
    <x:xf numFmtId="15" fontId="23" fillId="0" borderId="163" xfId="0" applyNumberFormat="1" applyFont="1" applyFill="1" applyBorder="1" applyAlignment="1">
      <x:alignment horizontal="center"/>
    </x:xf>
    <x:xf numFmtId="9" fontId="21" fillId="0" borderId="164" xfId="0" applyNumberFormat="1" applyFont="1" applyFill="1" applyBorder="1" applyAlignment="1">
      <x:alignment horizontal="center"/>
    </x:xf>
    <x:xf numFmtId="0" fontId="20" fillId="6" borderId="165" xfId="0" applyNumberFormat="1" applyFont="1" applyFill="1" applyBorder="1" applyAlignment="1">
      <x:alignment horizontal="left" vertical="center" wrapText="1"/>
    </x:xf>
    <x:xf numFmtId="0" fontId="20" fillId="6" borderId="166" xfId="0" applyNumberFormat="1" applyFont="1" applyFill="1" applyBorder="1" applyAlignment="1">
      <x:alignment horizontal="left" vertical="center" wrapText="1"/>
    </x:xf>
    <x:xf numFmtId="0" fontId="8" fillId="2" borderId="165" xfId="0" applyNumberFormat="1" applyFont="1" applyFill="1" applyBorder="1" applyAlignment="1">
      <x:alignment horizontal="left" vertical="center" wrapText="1"/>
    </x:xf>
    <x:xf numFmtId="0" fontId="8" fillId="2" borderId="166" xfId="0" applyNumberFormat="1" applyFont="1" applyFill="1" applyBorder="1" applyAlignment="1">
      <x:alignment horizontal="left" vertical="center" wrapText="1"/>
    </x:xf>
    <x:xf numFmtId="0" fontId="20" fillId="6" borderId="167" xfId="0" applyNumberFormat="1" applyFont="1" applyFill="1" applyBorder="1" applyAlignment="1">
      <x:alignment horizontal="left" vertical="center" wrapText="1"/>
    </x:xf>
    <x:xf numFmtId="14" fontId="23" fillId="0" borderId="160" xfId="0" applyNumberFormat="1" applyFont="1" applyFill="1" applyBorder="1" applyAlignment="1">
      <x:alignment horizontal="center"/>
    </x:xf>
    <x:xf numFmtId="0" fontId="20" fillId="4" borderId="165" xfId="0" applyNumberFormat="1" applyFont="1" applyFill="1" applyBorder="1" applyAlignment="1">
      <x:alignment horizontal="left" vertical="center" wrapText="1"/>
    </x:xf>
    <x:xf numFmtId="0" fontId="20" fillId="4" borderId="166" xfId="0" applyNumberFormat="1" applyFont="1" applyFill="1" applyBorder="1" applyAlignment="1">
      <x:alignment horizontal="left" vertical="center" wrapText="1"/>
    </x:xf>
    <x:xf numFmtId="0" fontId="20" fillId="4" borderId="167" xfId="0" applyNumberFormat="1" applyFont="1" applyFill="1" applyBorder="1" applyAlignment="1">
      <x:alignment horizontal="left" vertical="center" wrapText="1"/>
    </x:xf>
    <x:xf numFmtId="0" fontId="3" fillId="12" borderId="168" xfId="0" applyNumberFormat="1" applyFont="1" applyFill="1" applyBorder="1" applyAlignment="1">
      <x:alignment horizontal="center"/>
    </x:xf>
    <x:xf numFmtId="41" fontId="0" fillId="0" borderId="100" xfId="0" applyNumberFormat="1" applyFont="1" applyFill="1" applyBorder="1" applyAlignment="1">
      <x:alignment horizontal="center"/>
    </x:xf>
    <x:xf numFmtId="9" fontId="21" fillId="0" borderId="169" xfId="0" applyNumberFormat="1" applyFont="1" applyFill="1" applyBorder="1" applyAlignment="1">
      <x:alignment horizontal="center"/>
    </x:xf>
    <x:xf numFmtId="9" fontId="21" fillId="0" borderId="170" xfId="0" applyNumberFormat="1" applyFont="1" applyFill="1" applyBorder="1" applyAlignment="1">
      <x:alignment horizontal="center"/>
    </x:xf>
    <x:xf numFmtId="9" fontId="21" fillId="0" borderId="171" xfId="0" applyNumberFormat="1" applyFont="1" applyFill="1" applyBorder="1" applyAlignment="1">
      <x:alignment horizontal="center"/>
    </x:xf>
    <x:xf numFmtId="9" fontId="21" fillId="0" borderId="172" xfId="0" applyNumberFormat="1" applyFont="1" applyFill="1" applyBorder="1" applyAlignment="1">
      <x:alignment horizontal="center"/>
    </x:xf>
    <x:xf numFmtId="9" fontId="21" fillId="0" borderId="122" xfId="0" applyNumberFormat="1" applyFont="1" applyFill="1" applyBorder="1" applyAlignment="1">
      <x:alignment horizontal="center"/>
    </x:xf>
    <x:xf numFmtId="0" fontId="17" fillId="11" borderId="137" xfId="0" applyNumberFormat="1" applyFont="1" applyFill="1" applyBorder="1" applyAlignment="1">
      <x:alignment horizontal="center" vertical="center"/>
    </x:xf>
    <x:xf numFmtId="0" fontId="45" fillId="12" borderId="151" xfId="0" applyNumberFormat="1" applyFont="1" applyFill="1" applyBorder="1" applyAlignment="1">
      <x:alignment horizontal="center" vertical="center"/>
    </x:xf>
    <x:xf numFmtId="0" fontId="45" fillId="12" borderId="152" xfId="0" applyNumberFormat="1" applyFont="1" applyFill="1" applyBorder="1" applyAlignment="1">
      <x:alignment horizontal="center" vertical="center"/>
    </x:xf>
    <x:xf numFmtId="0" fontId="45" fillId="12" borderId="153" xfId="0" applyNumberFormat="1" applyFont="1" applyFill="1" applyBorder="1" applyAlignment="1">
      <x:alignment horizontal="center" vertical="center"/>
    </x:xf>
    <x:xf numFmtId="0" fontId="18" fillId="2" borderId="173" xfId="0" applyNumberFormat="1" applyFont="1" applyFill="1" applyBorder="1" applyAlignment="1">
      <x:alignment horizontal="center"/>
    </x:xf>
    <x:xf numFmtId="0" fontId="18" fillId="7" borderId="104" xfId="0" applyNumberFormat="1" applyFont="1" applyFill="1" applyBorder="1" applyAlignment="1">
      <x:alignment vertical="center" wrapText="1"/>
    </x:xf>
    <x:xf numFmtId="0" fontId="40" fillId="23" borderId="122" xfId="0" applyNumberFormat="1" applyFont="1" applyFill="1" applyBorder="1"/>
    <x:xf numFmtId="0" fontId="25" fillId="2" borderId="122" xfId="0" applyNumberFormat="1" applyFont="1" applyFill="1" applyBorder="1"/>
    <x:xf numFmtId="9" fontId="21" fillId="0" borderId="174" xfId="0" applyNumberFormat="1" applyFont="1" applyFill="1" applyBorder="1" applyAlignment="1">
      <x:alignment horizontal="center"/>
    </x:xf>
    <x:xf numFmtId="0" fontId="8" fillId="2" borderId="167" xfId="0" applyNumberFormat="1" applyFont="1" applyFill="1" applyBorder="1" applyAlignment="1">
      <x:alignment horizontal="left" vertical="center" wrapText="1"/>
    </x:xf>
    <x:xf numFmtId="9" fontId="7" fillId="0" borderId="104" xfId="0" applyNumberFormat="1" applyFont="1" applyFill="1" applyBorder="1" applyAlignment="1">
      <x:alignment horizontal="center" vertical="center"/>
    </x:xf>
    <x:xf numFmtId="0" fontId="49" fillId="10" borderId="100" xfId="0" applyNumberFormat="1" applyFont="1" applyFill="1" applyBorder="1" applyAlignment="1">
      <x:alignment horizontal="center"/>
    </x:xf>
    <x:xf numFmtId="9" fontId="5" fillId="2" borderId="137" xfId="0" applyNumberFormat="1" applyFont="1" applyFill="1" applyBorder="1" applyAlignment="1">
      <x:alignment horizontal="center" vertical="center" wrapText="1"/>
    </x:xf>
    <x:xf numFmtId="9" fontId="5" fillId="2" borderId="165" xfId="0" applyNumberFormat="1" applyFont="1" applyFill="1" applyBorder="1" applyAlignment="1">
      <x:alignment horizontal="center" vertical="center" wrapText="1"/>
    </x:xf>
    <x:xf numFmtId="9" fontId="0" fillId="0" borderId="104" xfId="0" applyNumberFormat="1" applyFont="1" applyFill="1" applyBorder="1" applyAlignment="1">
      <x:alignment horizontal="center" vertical="center"/>
    </x:xf>
    <x:xf numFmtId="9" fontId="5" fillId="0" borderId="175" xfId="0" applyNumberFormat="1" applyFont="1" applyFill="1" applyBorder="1" applyAlignment="1">
      <x:alignment horizontal="center" vertical="center"/>
    </x:xf>
    <x:xf numFmtId="9" fontId="5" fillId="0" borderId="157" xfId="0" applyNumberFormat="1" applyFont="1" applyFill="1" applyBorder="1" applyAlignment="1">
      <x:alignment horizontal="center" vertical="center"/>
    </x:xf>
    <x:xf numFmtId="9" fontId="5" fillId="0" borderId="162" xfId="0" applyNumberFormat="1" applyFont="1" applyFill="1" applyBorder="1" applyAlignment="1">
      <x:alignment horizontal="center" vertical="center"/>
    </x:xf>
    <x:xf numFmtId="0" fontId="7" fillId="6" borderId="165" xfId="0" applyNumberFormat="1" applyFont="1" applyFill="1" applyBorder="1" applyAlignment="1">
      <x:alignment horizontal="center" vertical="center" wrapText="1"/>
    </x:xf>
    <x:xf numFmtId="9" fontId="5" fillId="0" borderId="158" xfId="0" applyNumberFormat="1" applyFont="1" applyFill="1" applyBorder="1" applyAlignment="1">
      <x:alignment horizontal="center" vertical="center"/>
    </x:xf>
    <x:xf numFmtId="0" fontId="7" fillId="4" borderId="104" xfId="0" applyNumberFormat="1" applyFont="1" applyFill="1" applyBorder="1" applyAlignment="1">
      <x:alignment horizontal="center" vertical="center" wrapText="1"/>
    </x:xf>
    <x:xf numFmtId="0" fontId="7" fillId="2" borderId="104" xfId="0" applyNumberFormat="1" applyFont="1" applyFill="1" applyBorder="1" applyAlignment="1">
      <x:alignment horizontal="center" vertical="center" wrapText="1"/>
    </x:xf>
    <x:xf numFmtId="9" fontId="5" fillId="0" borderId="164" xfId="0" applyNumberFormat="1" applyFont="1" applyFill="1" applyBorder="1" applyAlignment="1">
      <x:alignment horizontal="center" vertical="center"/>
    </x:xf>
    <x:xf numFmtId="9" fontId="5" fillId="0" borderId="176" xfId="0" applyNumberFormat="1" applyFont="1" applyFill="1" applyBorder="1" applyAlignment="1">
      <x:alignment horizontal="center" vertical="center"/>
    </x:xf>
    <x:xf numFmtId="9" fontId="5" fillId="0" borderId="177" xfId="0" applyNumberFormat="1" applyFont="1" applyFill="1" applyBorder="1" applyAlignment="1">
      <x:alignment horizontal="center" vertical="center"/>
    </x:xf>
    <x:xf numFmtId="9" fontId="5" fillId="0" borderId="178" xfId="0" applyNumberFormat="1" applyFont="1" applyFill="1" applyBorder="1" applyAlignment="1">
      <x:alignment horizontal="center" vertical="center"/>
    </x:xf>
    <x:xf numFmtId="9" fontId="51" fillId="0" borderId="100" xfId="0" applyNumberFormat="1" applyFont="1" applyFill="1" applyBorder="1" applyAlignment="1">
      <x:alignment horizontal="center"/>
    </x:xf>
    <x:xf numFmtId="9" fontId="9" fillId="0" borderId="169" xfId="0" applyNumberFormat="1" applyFont="1" applyFill="1" applyBorder="1" applyAlignment="1">
      <x:alignment horizontal="center" vertical="center"/>
    </x:xf>
    <x:xf numFmtId="9" fontId="9" fillId="0" borderId="179" xfId="0" applyNumberFormat="1" applyFont="1" applyFill="1" applyBorder="1" applyAlignment="1">
      <x:alignment horizontal="center" vertical="center"/>
    </x:xf>
    <x:xf numFmtId="9" fontId="9" fillId="0" borderId="180" xfId="0" applyNumberFormat="1" applyFont="1" applyFill="1" applyBorder="1" applyAlignment="1">
      <x:alignment horizontal="center" vertical="center"/>
    </x:xf>
    <x:xf numFmtId="9" fontId="5" fillId="0" borderId="181" xfId="0" applyNumberFormat="1" applyFont="1" applyFill="1" applyBorder="1" applyAlignment="1">
      <x:alignment horizontal="center" vertical="center"/>
    </x:xf>
    <x:xf numFmtId="0" fontId="18" fillId="7" borderId="182" xfId="0" applyNumberFormat="1" applyFont="1" applyFill="1" applyBorder="1" applyAlignment="1">
      <x:alignment horizontal="center" vertical="center" wrapText="1"/>
    </x:xf>
    <x:xf numFmtId="0" fontId="18" fillId="7" borderId="153" xfId="0" applyNumberFormat="1" applyFont="1" applyFill="1" applyBorder="1" applyAlignment="1">
      <x:alignment horizontal="center" vertical="center" wrapText="1"/>
    </x:xf>
    <x:xf numFmtId="3" fontId="22" fillId="0" borderId="164" xfId="0" applyNumberFormat="1" applyFont="1" applyFill="1" applyBorder="1" applyAlignment="1">
      <x:alignment horizontal="center" vertical="center"/>
    </x:xf>
    <x:xf numFmtId="3" fontId="22" fillId="0" borderId="176" xfId="0" applyNumberFormat="1" applyFont="1" applyFill="1" applyBorder="1" applyAlignment="1">
      <x:alignment horizontal="center" vertical="center"/>
    </x:xf>
    <x:xf numFmtId="3" fontId="22" fillId="0" borderId="183" xfId="0" applyNumberFormat="1" applyFont="1" applyFill="1" applyBorder="1" applyAlignment="1">
      <x:alignment horizontal="center" vertical="center"/>
    </x:xf>
    <x:xf numFmtId="3" fontId="22" fillId="0" borderId="177" xfId="0" applyNumberFormat="1" applyFont="1" applyFill="1" applyBorder="1" applyAlignment="1">
      <x:alignment horizontal="center" vertical="center"/>
    </x:xf>
    <x:xf numFmtId="0" fontId="45" fillId="12" borderId="168" xfId="0" applyNumberFormat="1" applyFont="1" applyFill="1" applyBorder="1" applyAlignment="1">
      <x:alignment horizontal="center" vertical="center"/>
    </x:xf>
    <x:xf numFmtId="0" fontId="45" fillId="12" borderId="184" xfId="0" applyNumberFormat="1" applyFont="1" applyFill="1" applyBorder="1" applyAlignment="1">
      <x:alignment horizontal="center" vertical="center"/>
    </x:xf>
    <x:xf numFmtId="0" fontId="45" fillId="12" borderId="185" xfId="0" applyNumberFormat="1" applyFont="1" applyFill="1" applyBorder="1" applyAlignment="1">
      <x:alignment horizontal="center" vertical="center"/>
    </x:xf>
    <x:xf numFmtId="9" fontId="5" fillId="0" borderId="186" xfId="0" applyNumberFormat="1" applyFont="1" applyFill="1" applyBorder="1" applyAlignment="1">
      <x:alignment horizontal="center" vertical="center"/>
    </x:xf>
    <x:xf numFmtId="9" fontId="5" fillId="0" borderId="160" xfId="0" applyNumberFormat="1" applyFont="1" applyFill="1" applyBorder="1" applyAlignment="1">
      <x:alignment horizontal="center" vertical="center"/>
    </x:xf>
    <x:xf numFmtId="9" fontId="5" fillId="0" borderId="163" xfId="0" applyNumberFormat="1" applyFont="1" applyFill="1" applyBorder="1" applyAlignment="1">
      <x:alignment horizontal="center" vertical="center"/>
    </x:xf>
    <x:xf numFmtId="9" fontId="5" fillId="0" borderId="159" xfId="0" applyNumberFormat="1" applyFont="1" applyFill="1" applyBorder="1" applyAlignment="1">
      <x:alignment horizontal="center" vertical="center"/>
    </x:xf>
    <x:xf numFmtId="0" fontId="20" fillId="2" borderId="165" xfId="0" applyNumberFormat="1" applyFont="1" applyFill="1" applyBorder="1" applyAlignment="1">
      <x:alignment horizontal="left" vertical="center" wrapText="1"/>
    </x:xf>
    <x:xf numFmtId="0" fontId="20" fillId="2" borderId="166" xfId="0" applyNumberFormat="1" applyFont="1" applyFill="1" applyBorder="1" applyAlignment="1">
      <x:alignment horizontal="left" vertical="center" wrapText="1"/>
    </x:xf>
    <x:xf numFmtId="0" fontId="20" fillId="2" borderId="187" xfId="0" applyNumberFormat="1" applyFont="1" applyFill="1" applyBorder="1" applyAlignment="1">
      <x:alignment horizontal="left" vertical="center" wrapText="1"/>
    </x:xf>
    <x:xf numFmtId="9" fontId="5" fillId="0" borderId="161" xfId="0" applyNumberFormat="1" applyFont="1" applyFill="1" applyBorder="1" applyAlignment="1">
      <x:alignment horizontal="center" vertical="center"/>
    </x:xf>
    <x:xf numFmtId="0" fontId="0" fillId="0" borderId="151" xfId="0" applyNumberFormat="1" applyFont="1" applyFill="1" applyBorder="1"/>
    <x:xf numFmtId="0" fontId="0" fillId="0" borderId="152" xfId="0" applyNumberFormat="1" applyFont="1" applyFill="1" applyBorder="1"/>
    <x:xf numFmtId="0" fontId="0" fillId="0" borderId="153" xfId="0" applyNumberFormat="1" applyFont="1" applyFill="1" applyBorder="1"/>
    <x:xf numFmtId="0" fontId="0" fillId="0" borderId="188" xfId="0" applyNumberFormat="1" applyFont="1" applyFill="1" applyBorder="1"/>
    <x:xf numFmtId="0" fontId="0" fillId="0" borderId="189" xfId="0" applyNumberFormat="1" applyFont="1" applyFill="1" applyBorder="1"/>
    <x:xf numFmtId="0" fontId="0" fillId="0" borderId="190" xfId="0" applyNumberFormat="1" applyFont="1" applyFill="1" applyBorder="1"/>
    <x:xf numFmtId="0" fontId="0" fillId="0" borderId="100" xfId="0" applyNumberFormat="1" applyFont="1" applyFill="1" applyBorder="1" applyAlignment="1">
      <x:alignment horizontal="left"/>
    </x:xf>
    <x:xf numFmtId="0" fontId="31" fillId="0" borderId="100" xfId="0" applyNumberFormat="1" applyFont="1" applyFill="1" applyBorder="1" applyAlignment="1">
      <x:alignment horizontal="center" vertical="center"/>
    </x:xf>
    <x:xf numFmtId="0" fontId="47" fillId="0" borderId="100" xfId="0" applyNumberFormat="1" applyFont="1" applyFill="1" applyBorder="1" applyAlignment="1">
      <x:alignment vertical="center"/>
    </x:xf>
    <x:xf numFmtId="0" fontId="37" fillId="0" borderId="100" xfId="0" applyNumberFormat="1" applyFont="1" applyFill="1" applyBorder="1" applyAlignment="1">
      <x:alignment horizontal="center"/>
    </x:xf>
    <x:xf numFmtId="0" fontId="28" fillId="0" borderId="100" xfId="0" applyNumberFormat="1" applyFont="1" applyFill="1" applyBorder="1" applyAlignment="1">
      <x:alignment horizontal="center"/>
    </x:xf>
    <x:xf numFmtId="0" fontId="28" fillId="0" borderId="144" xfId="0" applyNumberFormat="1" applyFont="1" applyFill="1" applyBorder="1" applyAlignment="1">
      <x:alignment horizontal="center"/>
    </x:xf>
    <x:xf numFmtId="0" fontId="11" fillId="28" borderId="144" xfId="0" applyNumberFormat="1" applyFont="1" applyFill="1" applyBorder="1" applyAlignment="1">
      <x:alignment horizontal="center" vertical="center"/>
    </x:xf>
    <x:xf numFmtId="0" fontId="31" fillId="28" borderId="144" xfId="0" applyNumberFormat="1" applyFont="1" applyFill="1" applyBorder="1" applyAlignment="1">
      <x:alignment horizontal="center" vertical="center"/>
    </x:xf>
    <x:xf numFmtId="9" fontId="0" fillId="0" borderId="191" xfId="0" applyNumberFormat="1" applyFont="1" applyFill="1" applyBorder="1" applyAlignment="1">
      <x:alignment horizontal="center"/>
    </x:xf>
    <x:xf numFmtId="9" fontId="0" fillId="0" borderId="131" xfId="0" applyNumberFormat="1" applyFont="1" applyFill="1" applyBorder="1" applyAlignment="1">
      <x:alignment horizontal="center"/>
    </x:xf>
    <x:xf numFmtId="9" fontId="0" fillId="0" borderId="130" xfId="0" applyNumberFormat="1" applyFont="1" applyFill="1" applyBorder="1" applyAlignment="1">
      <x:alignment horizontal="center"/>
    </x:xf>
    <x:xf numFmtId="9" fontId="0" fillId="0" borderId="192" xfId="0" applyNumberFormat="1" applyFont="1" applyFill="1" applyBorder="1" applyAlignment="1">
      <x:alignment horizontal="center"/>
    </x:xf>
    <x:xf numFmtId="9" fontId="0" fillId="0" borderId="193" xfId="0" applyNumberFormat="1" applyFont="1" applyFill="1" applyBorder="1" applyAlignment="1">
      <x:alignment horizontal="center"/>
    </x:xf>
    <x:xf numFmtId="9" fontId="0" fillId="0" borderId="194" xfId="0" applyNumberFormat="1" applyFont="1" applyFill="1" applyBorder="1" applyAlignment="1">
      <x:alignment horizontal="center"/>
    </x:xf>
    <x:xf numFmtId="10" fontId="0" fillId="0" borderId="100" xfId="0" applyNumberFormat="1" applyFont="1" applyFill="1" applyBorder="1"/>
    <x:xf numFmtId="9" fontId="28" fillId="0" borderId="104" xfId="0" applyNumberFormat="1" applyFont="1" applyFill="1" applyBorder="1" applyAlignment="1">
      <x:alignment horizontal="center"/>
    </x:xf>
    <x:xf numFmtId="0" fontId="7" fillId="0" borderId="129" xfId="0" applyNumberFormat="1" applyFont="1" applyFill="1" applyBorder="1" applyAlignment="1">
      <x:alignment horizontal="center"/>
    </x:xf>
    <x:xf numFmtId="9" fontId="7" fillId="0" borderId="129" xfId="0" applyNumberFormat="1" applyFont="1" applyFill="1" applyBorder="1" applyAlignment="1">
      <x:alignment horizontal="center"/>
    </x:xf>
    <x:xf numFmtId="9" fontId="7" fillId="0" borderId="195" xfId="0" applyNumberFormat="1" applyFont="1" applyFill="1" applyBorder="1" applyAlignment="1">
      <x:alignment horizontal="center"/>
    </x:xf>
    <x:xf numFmtId="9" fontId="7" fillId="0" borderId="196" xfId="0" applyNumberFormat="1" applyFont="1" applyFill="1" applyBorder="1" applyAlignment="1">
      <x:alignment horizontal="center"/>
    </x:xf>
    <x:xf numFmtId="9" fontId="7" fillId="0" borderId="197" xfId="0" applyNumberFormat="1" applyFont="1" applyFill="1" applyBorder="1" applyAlignment="1">
      <x:alignment horizontal="center"/>
    </x:xf>
    <x:xf numFmtId="0" fontId="7" fillId="0" borderId="100" xfId="0" applyNumberFormat="1" applyFont="1" applyFill="1" applyBorder="1" applyAlignment="1">
      <x:alignment horizontal="center"/>
    </x:xf>
    <x:xf numFmtId="0" fontId="53" fillId="28" borderId="155" xfId="0" applyNumberFormat="1" applyFont="1" applyFill="1" applyBorder="1" applyAlignment="1">
      <x:alignment horizontal="center" vertical="center"/>
    </x:xf>
    <x:xf numFmtId="0" fontId="7" fillId="0" borderId="129" xfId="0" applyNumberFormat="1" applyFont="1" applyFill="1" applyBorder="1"/>
    <x:xf numFmtId="9" fontId="7" fillId="0" borderId="100" xfId="0" applyNumberFormat="1" applyFont="1" applyFill="1" applyBorder="1" applyAlignment="1">
      <x:alignment horizontal="center"/>
    </x:xf>
    <x:xf numFmtId="0" fontId="0" fillId="0" borderId="100" xfId="0" applyNumberFormat="1" applyFont="1" applyFill="1" applyBorder="1" applyAlignment="1">
      <x:alignment vertical="center"/>
    </x:xf>
    <x:xf numFmtId="1" fontId="0" fillId="0" borderId="100" xfId="0" applyNumberFormat="1" applyFont="1" applyFill="1" applyBorder="1" applyAlignment="1">
      <x:alignment horizontal="center"/>
    </x:xf>
    <x:xf numFmtId="2" fontId="0" fillId="0" borderId="100" xfId="0" applyNumberFormat="1" applyFont="1" applyFill="1" applyBorder="1" applyAlignment="1">
      <x:alignment horizontal="center"/>
    </x:xf>
    <x:xf numFmtId="1" fontId="0" fillId="0" borderId="100" xfId="0" applyNumberFormat="1" applyFont="1" applyFill="1" applyBorder="1"/>
    <x:xf numFmtId="0" fontId="0" fillId="0" borderId="151" xfId="0" applyNumberFormat="1" applyFont="1" applyFill="1" applyBorder="1" applyAlignment="1">
      <x:alignment horizontal="center"/>
    </x:xf>
    <x:xf numFmtId="0" fontId="0" fillId="0" borderId="152" xfId="0" applyNumberFormat="1" applyFont="1" applyFill="1" applyBorder="1" applyAlignment="1">
      <x:alignment horizontal="center"/>
    </x:xf>
    <x:xf numFmtId="0" fontId="0" fillId="0" borderId="153" xfId="0" applyNumberFormat="1" applyFont="1" applyFill="1" applyBorder="1" applyAlignment="1">
      <x:alignment horizontal="center"/>
    </x:xf>
    <x:xf numFmtId="0" fontId="0" fillId="0" borderId="188" xfId="0" applyNumberFormat="1" applyFont="1" applyFill="1" applyBorder="1" applyAlignment="1">
      <x:alignment horizontal="center"/>
    </x:xf>
    <x:xf numFmtId="0" fontId="0" fillId="0" borderId="189" xfId="0" applyNumberFormat="1" applyFont="1" applyFill="1" applyBorder="1" applyAlignment="1">
      <x:alignment horizontal="center"/>
    </x:xf>
    <x:xf numFmtId="0" fontId="0" fillId="0" borderId="190" xfId="0" applyNumberFormat="1" applyFont="1" applyFill="1" applyBorder="1" applyAlignment="1">
      <x:alignment horizontal="center"/>
    </x:xf>
    <x:xf numFmtId="0" fontId="19" fillId="10" borderId="137" xfId="0" applyNumberFormat="1" applyFont="1" applyFill="1" applyBorder="1" applyAlignment="1">
      <x:alignment horizontal="center" vertical="center" wrapText="1"/>
    </x:xf>
    <x:xf numFmtId="0" fontId="19" fillId="10" borderId="173" xfId="0" applyNumberFormat="1" applyFont="1" applyFill="1" applyBorder="1" applyAlignment="1">
      <x:alignment horizontal="center" vertical="center" wrapText="1"/>
    </x:xf>
    <x:xf numFmtId="0" fontId="19" fillId="10" borderId="198" xfId="0" applyNumberFormat="1" applyFont="1" applyFill="1" applyBorder="1" applyAlignment="1">
      <x:alignment horizontal="center" vertical="center" wrapText="1"/>
    </x:xf>
    <x:xf numFmtId="0" fontId="18" fillId="7" borderId="173" xfId="0" applyNumberFormat="1" applyFont="1" applyFill="1" applyBorder="1" applyAlignment="1">
      <x:alignment horizontal="center" vertical="center" wrapText="1"/>
    </x:xf>
    <x:xf numFmtId="0" fontId="17" fillId="11" borderId="173" xfId="0" applyNumberFormat="1" applyFont="1" applyFill="1" applyBorder="1" applyAlignment="1">
      <x:alignment horizontal="center" vertical="center"/>
    </x:xf>
    <x:xf numFmtId="0" fontId="19" fillId="10" borderId="165" xfId="0" applyNumberFormat="1" applyFont="1" applyFill="1" applyBorder="1" applyAlignment="1">
      <x:alignment horizontal="center" vertical="center" wrapText="1"/>
    </x:xf>
    <x:xf numFmtId="0" fontId="19" fillId="10" borderId="166" xfId="0" applyNumberFormat="1" applyFont="1" applyFill="1" applyBorder="1" applyAlignment="1">
      <x:alignment horizontal="center" vertical="center" wrapText="1"/>
    </x:xf>
    <x:xf numFmtId="0" fontId="19" fillId="10" borderId="187" xfId="0" applyNumberFormat="1" applyFont="1" applyFill="1" applyBorder="1" applyAlignment="1">
      <x:alignment horizontal="center" vertical="center" wrapText="1"/>
    </x:xf>
    <x:xf numFmtId="0" fontId="49" fillId="14" borderId="151" xfId="0" applyNumberFormat="1" applyFont="1" applyFill="1" applyBorder="1" applyAlignment="1">
      <x:alignment horizontal="center" vertical="center" wrapText="1"/>
    </x:xf>
    <x:xf numFmtId="0" fontId="49" fillId="14" borderId="152" xfId="0" applyNumberFormat="1" applyFont="1" applyFill="1" applyBorder="1" applyAlignment="1">
      <x:alignment horizontal="center" vertical="center" wrapText="1"/>
    </x:xf>
    <x:xf numFmtId="0" fontId="49" fillId="14" borderId="153" xfId="0" applyNumberFormat="1" applyFont="1" applyFill="1" applyBorder="1" applyAlignment="1">
      <x:alignment horizontal="center" vertical="center" wrapText="1"/>
    </x:xf>
    <x:xf numFmtId="0" fontId="49" fillId="14" borderId="199" xfId="0" applyNumberFormat="1" applyFont="1" applyFill="1" applyBorder="1" applyAlignment="1">
      <x:alignment horizontal="center" vertical="center" wrapText="1"/>
    </x:xf>
    <x:xf numFmtId="0" fontId="49" fillId="14" borderId="100" xfId="0" applyNumberFormat="1" applyFont="1" applyFill="1" applyBorder="1" applyAlignment="1">
      <x:alignment horizontal="center" vertical="center" wrapText="1"/>
    </x:xf>
    <x:xf numFmtId="0" fontId="49" fillId="14" borderId="182" xfId="0" applyNumberFormat="1" applyFont="1" applyFill="1" applyBorder="1" applyAlignment="1">
      <x:alignment horizontal="center" vertical="center" wrapText="1"/>
    </x:xf>
    <x:xf numFmtId="0" fontId="18" fillId="2" borderId="137" xfId="0" applyNumberFormat="1" applyFont="1" applyFill="1" applyBorder="1" applyAlignment="1">
      <x:alignment horizontal="center"/>
    </x:xf>
    <x:xf numFmtId="0" fontId="18" fillId="2" borderId="198" xfId="0" applyNumberFormat="1" applyFont="1" applyFill="1" applyBorder="1" applyAlignment="1">
      <x:alignment horizontal="center"/>
    </x:xf>
    <x:xf numFmtId="0" fontId="52" fillId="0" borderId="100" xfId="0" applyNumberFormat="1" applyFont="1" applyFill="1" applyBorder="1" applyAlignment="1">
      <x:alignment horizontal="center"/>
    </x:xf>
    <x:xf numFmtId="0" fontId="32" fillId="10" borderId="100" xfId="0" applyNumberFormat="1" applyFont="1" applyFill="1" applyBorder="1" applyAlignment="1">
      <x:alignment horizontal="center"/>
    </x:xf>
    <x:xf numFmtId="0" fontId="26" fillId="13" borderId="137" xfId="0" applyNumberFormat="1" applyFont="1" applyFill="1" applyBorder="1" applyAlignment="1">
      <x:alignment horizontal="center" vertical="center"/>
    </x:xf>
    <x:xf numFmtId="0" fontId="26" fillId="13" borderId="173" xfId="0" applyNumberFormat="1" applyFont="1" applyFill="1" applyBorder="1" applyAlignment="1">
      <x:alignment horizontal="center" vertical="center"/>
    </x:xf>
    <x:xf numFmtId="0" fontId="18" fillId="14" borderId="137" xfId="0" applyNumberFormat="1" applyFont="1" applyFill="1" applyBorder="1" applyAlignment="1">
      <x:alignment horizontal="center" vertical="center" wrapText="1"/>
    </x:xf>
    <x:xf numFmtId="0" fontId="18" fillId="14" borderId="173" xfId="0" applyNumberFormat="1" applyFont="1" applyFill="1" applyBorder="1" applyAlignment="1">
      <x:alignment horizontal="center" vertical="center" wrapText="1"/>
    </x:xf>
    <x:xf numFmtId="0" fontId="1" fillId="0" borderId="129" xfId="0" applyNumberFormat="1" applyFont="1" applyFill="1" applyBorder="1" applyAlignment="1">
      <x:alignment horizontal="center"/>
    </x:xf>
    <x:xf numFmtId="0" fontId="32" fillId="10" borderId="100" xfId="0" applyNumberFormat="1" applyFont="1" applyFill="1" applyBorder="1" applyAlignment="1">
      <x:alignment horizontal="left"/>
    </x:xf>
    <x:xf numFmtId="0" fontId="29" fillId="3" borderId="189" xfId="0" applyNumberFormat="1" applyFont="1" applyFill="1" applyBorder="1" applyAlignment="1">
      <x:alignment horizontal="center"/>
    </x:xf>
    <x:xf numFmtId="0" fontId="36" fillId="16" borderId="137" xfId="0" applyNumberFormat="1" applyFont="1" applyFill="1" applyBorder="1" applyAlignment="1">
      <x:alignment horizontal="center" vertical="center" wrapText="1"/>
    </x:xf>
    <x:xf numFmtId="0" fontId="36" fillId="16" borderId="198" xfId="0" applyNumberFormat="1" applyFont="1" applyFill="1" applyBorder="1" applyAlignment="1">
      <x:alignment horizontal="center" vertical="center" wrapText="1"/>
    </x:xf>
    <x:xf numFmtId="0" fontId="30" fillId="8" borderId="137" xfId="0" applyNumberFormat="1" applyFont="1" applyFill="1" applyBorder="1" applyAlignment="1">
      <x:alignment horizontal="center" vertical="center" wrapText="1"/>
    </x:xf>
    <x:xf numFmtId="0" fontId="30" fillId="8" borderId="198" xfId="0" applyNumberFormat="1" applyFont="1" applyFill="1" applyBorder="1" applyAlignment="1">
      <x:alignment horizontal="center" vertical="center" wrapText="1"/>
    </x:xf>
    <x:xf numFmtId="0" fontId="27" fillId="0" borderId="100" xfId="0" applyNumberFormat="1" applyFont="1" applyFill="1" applyBorder="1" applyAlignment="1">
      <x:alignment wrapText="1"/>
    </x:xf>
    <x:xf numFmtId="0" fontId="30" fillId="9" borderId="137" xfId="0" applyNumberFormat="1" applyFont="1" applyFill="1" applyBorder="1" applyAlignment="1">
      <x:alignment horizontal="center" vertical="center" wrapText="1"/>
    </x:xf>
    <x:xf numFmtId="0" fontId="30" fillId="9" borderId="198" xfId="0" applyNumberFormat="1" applyFont="1" applyFill="1" applyBorder="1" applyAlignment="1">
      <x:alignment horizontal="center" vertical="center" wrapText="1"/>
    </x:xf>
    <x:xf numFmtId="0" fontId="30" fillId="16" borderId="137" xfId="0" applyNumberFormat="1" applyFont="1" applyFill="1" applyBorder="1" applyAlignment="1">
      <x:alignment horizontal="center" vertical="center" wrapText="1"/>
    </x:xf>
    <x:xf numFmtId="0" fontId="30" fillId="16" borderId="198" xfId="0" applyNumberFormat="1" applyFont="1" applyFill="1" applyBorder="1" applyAlignment="1">
      <x:alignment horizontal="center" vertical="center" wrapText="1"/>
    </x:xf>
    <x:xf numFmtId="0" fontId="29" fillId="0" borderId="10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100" xfId="0" applyNumberFormat="1" applyFont="1" applyFill="1" applyBorder="1"/>
  </x:cellXfs>
  <x:cellStyles count="19">
    <x:cellStyle name="Millares [0]" xfId="18"/>
    <x:cellStyle name="Normal" xfId="0"/>
    <x:cellStyle name="Normal 2" xfId="3"/>
    <x:cellStyle name="Normal 2 2" xfId="6"/>
    <x:cellStyle name="Normal 2_FASE 4" xfId="7"/>
    <x:cellStyle name="Normal 3" xfId="5"/>
    <x:cellStyle name="Normal 3 2" xfId="8"/>
    <x:cellStyle name="Normal 4" xfId="2"/>
    <x:cellStyle name="Normal 4 2" xfId="9"/>
    <x:cellStyle name="Normal 5" xfId="10"/>
    <x:cellStyle name="Normal 5 2" xfId="11"/>
    <x:cellStyle name="Normal 6" xfId="12"/>
    <x:cellStyle name="Normal 6 2" xfId="13"/>
    <x:cellStyle name="Normal 7" xfId="14"/>
    <x:cellStyle name="Normal 8" xfId="17"/>
    <x:cellStyle name="Porcentaje" xfId="1"/>
    <x:cellStyle name="Porcentaje 2" xfId="4"/>
    <x:cellStyle name="Porcentaje 3" xfId="15"/>
    <x:cellStyle name="Porcentaje 4" xfId="16"/>
  </x:cellStyles>
  <x:dxfs count="56">
    <x:dxf>
      <x:fill>
        <x:patternFill>
          <x:bgColor rgb="FFFF0000"/>
        </x:patternFill>
      </x:fill>
    </x:dxf>
    <x:dxf>
      <x:fill>
        <x:patternFill>
          <x:bgColor theme="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theme="9" tint="-0.24995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theme="9" tint="-0.24995"/>
        </x:patternFill>
      </x:fill>
    </x:dxf>
    <x:dxf>
      <x:fill>
        <x:patternFill>
          <x:bgColor theme="0" tint="-0.04999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theme="9" tint="-0.24995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9900"/>
        </x:patternFill>
      </x:fill>
    </x:dxf>
    <x:dxf>
      <x:fill>
        <x:patternFill>
          <x:bgColor auto="1"/>
        </x:patternFill>
      </x:fill>
    </x:dxf>
    <x:dxf>
      <x:fill>
        <x:patternFill>
          <x:bgColor theme="9" tint="-0.24995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9900"/>
        </x:patternFill>
      </x:fill>
    </x:dxf>
    <x:dxf>
      <x:fill>
        <x:patternFill>
          <x:bgColor auto="1"/>
        </x:patternFill>
      </x:fill>
    </x:dxf>
    <x:dxf>
      <x:fill>
        <x:patternFill>
          <x:bgColor rgb="FFFFFF00"/>
        </x:patternFill>
      </x:fill>
    </x:dxf>
    <x:dxf>
      <x:fill>
        <x:patternFill>
          <x:bgColor auto="1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FF00"/>
        </x:patternFill>
      </x:fill>
    </x:dxf>
    <x:dxf>
      <x:fill>
        <x:patternFill>
          <x:bgColor theme="9" tint="-0.24995"/>
        </x:patternFill>
      </x:fill>
    </x:dxf>
    <x:dxf>
      <x:fill>
        <x:patternFill>
          <x:bgColor rgb="FF00FF00"/>
        </x:patternFill>
      </x:fill>
    </x:dxf>
    <x:dxf>
      <x:fill>
        <x:patternFill>
          <x:bgColor auto="1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9900"/>
        </x:patternFill>
      </x:fill>
    </x:dxf>
    <x:dxf>
      <x:fill>
        <x:patternFill>
          <x:bgColor auto="1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9900"/>
        </x:patternFill>
      </x:fill>
    </x:dxf>
    <x:dxf>
      <x:fill>
        <x:patternFill>
          <x:bgColor auto="1"/>
        </x:patternFill>
      </x:fill>
    </x:dxf>
    <x:dxf>
      <x:fill>
        <x:patternFill>
          <x:bgColor rgb="FF83C93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d478407c140c3" /><Relationship Type="http://schemas.openxmlformats.org/officeDocument/2006/relationships/theme" Target="/xl/theme/theme1.xml" Id="R494389070d8444e3" /><Relationship Type="http://schemas.openxmlformats.org/officeDocument/2006/relationships/sharedStrings" Target="/xl/sharedStrings.xml" Id="R0c19a49c64eb497d" /><Relationship Type="http://schemas.openxmlformats.org/officeDocument/2006/relationships/pivotCacheDefinition" Target="/pivotCache/pivotCacheDefinition1.xml" Id="R975092a8312d4c02" /><Relationship Type="http://schemas.openxmlformats.org/officeDocument/2006/relationships/worksheet" Target="/xl/worksheets/sheet1.xml" Id="R0ba9320672ff41f0" /><Relationship Type="http://schemas.openxmlformats.org/officeDocument/2006/relationships/worksheet" Target="/xl/worksheets/sheet2.xml" Id="Rc6e9193bb5e1409f" /><Relationship Type="http://schemas.openxmlformats.org/officeDocument/2006/relationships/worksheet" Target="/xl/worksheets/sheet3.xml" Id="Rbc99c305679c444b" /><Relationship Type="http://schemas.openxmlformats.org/officeDocument/2006/relationships/worksheet" Target="/xl/worksheets/sheet4.xml" Id="R11ab5f8c185a4826" /><Relationship Type="http://schemas.openxmlformats.org/officeDocument/2006/relationships/worksheet" Target="/xl/worksheets/sheet5.xml" Id="R7814079249054f52" /><Relationship Type="http://schemas.openxmlformats.org/officeDocument/2006/relationships/worksheet" Target="/xl/worksheets/sheet6.xml" Id="R9232fcb1c3174a5a" /><Relationship Type="http://schemas.openxmlformats.org/officeDocument/2006/relationships/worksheet" Target="/xl/worksheets/sheet7.xml" Id="R485bace13111482f" /><Relationship Type="http://schemas.openxmlformats.org/officeDocument/2006/relationships/worksheet" Target="/xl/worksheets/sheet8.xml" Id="Rd854151757cc44c2" /><Relationship Type="http://schemas.openxmlformats.org/officeDocument/2006/relationships/worksheet" Target="/xl/worksheets/sheet9.xml" Id="R4b25072fce9548ea" /><Relationship Type="http://schemas.openxmlformats.org/officeDocument/2006/relationships/worksheet" Target="/xl/worksheets/sheet10.xml" Id="R48d7a1f038de4abc" /><Relationship Type="http://schemas.openxmlformats.org/officeDocument/2006/relationships/worksheet" Target="/xl/worksheets/sheet11.xml" Id="R93057f761470450f" /><Relationship Type="http://schemas.openxmlformats.org/officeDocument/2006/relationships/worksheet" Target="/xl/worksheets/sheet12.xml" Id="Rd8933487227e4751" /><Relationship Type="http://schemas.openxmlformats.org/officeDocument/2006/relationships/worksheet" Target="/xl/worksheets/sheet13.xml" Id="R16e155a1a79c4cc7" /><Relationship Type="http://schemas.openxmlformats.org/officeDocument/2006/relationships/worksheet" Target="/xl/worksheets/sheet14.xml" Id="R93f3e4e675b84f47" /><Relationship Type="http://schemas.microsoft.com/office/2017/10/relationships/person" Target="/xl/persons/person.xml" Id="R2ad1dd97327d46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5fa0e9ac87e49d2" /><Relationship Type="http://schemas.openxmlformats.org/officeDocument/2006/relationships/chart" Target="/xl/drawings/charts/chart1.xml" Id="R8e2efb45acb3497d" /><Relationship Type="http://schemas.openxmlformats.org/officeDocument/2006/relationships/chart" Target="/xl/drawings/charts/chart2.xml" Id="Rc8a4bd36512a4ca1" /><Relationship Type="http://schemas.openxmlformats.org/officeDocument/2006/relationships/chart" Target="/xl/drawings/charts/chart3.xml" Id="R77ec64029ba1428a" /><Relationship Type="http://schemas.openxmlformats.org/officeDocument/2006/relationships/chart" Target="/xl/drawings/charts/chart4.xml" Id="R46d197dde13c4a0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4e30de9bb4c47bb" /><Relationship Type="http://schemas.openxmlformats.org/officeDocument/2006/relationships/image" Target="/xl/media/image3.png" Id="R195959810f0449d2" /><Relationship Type="http://schemas.openxmlformats.org/officeDocument/2006/relationships/chart" Target="/xl/drawings/charts/chart5.xml" Id="R654b112a48604a43" /><Relationship Type="http://schemas.openxmlformats.org/officeDocument/2006/relationships/chart" Target="/xl/drawings/charts/chart6.xml" Id="Reff261deb5324c5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5f989d9e5ebf4ae1" /><Relationship Type="http://schemas.openxmlformats.org/officeDocument/2006/relationships/chart" Target="/xl/drawings/charts/chart8.xml" Id="R16bcb17e7cfd4a7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986a9dbbef03419f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Gráfico Avance por Piso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15"/>
      <c:rotY val="20"/>
      <c:rAngAx val="1"/>
    </c:view3D>
    <c:plotArea>
      <c:layout>
        <c:manualLayout>
          <c:layoutTarget val="inner"/>
          <c:xMode val="edge"/>
          <c:yMode val="edge"/>
          <c:x val="0.1820911344415281"/>
          <c:y val="0.21650687308154276"/>
          <c:w val="0.8162298046077574"/>
          <c:h val="0.661534498865607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Hoja2!$A$4:$A$15</c:f>
              <c:strCache>
                <c:ptCount val="11"/>
                <c:pt idx="0">
                  <c:v>PISO 2</c:v>
                </c:pt>
                <c:pt idx="1">
                  <c:v>PISO 3</c:v>
                </c:pt>
                <c:pt idx="2">
                  <c:v>PISO 4</c:v>
                </c:pt>
                <c:pt idx="3">
                  <c:v>PISO 5</c:v>
                </c:pt>
                <c:pt idx="4">
                  <c:v>PISO 6</c:v>
                </c:pt>
                <c:pt idx="5">
                  <c:v>PISO 7</c:v>
                </c:pt>
                <c:pt idx="6">
                  <c:v>PISO 8</c:v>
                </c:pt>
                <c:pt idx="7">
                  <c:v>PISO 9</c:v>
                </c:pt>
                <c:pt idx="8">
                  <c:v>PISO 10</c:v>
                </c:pt>
                <c:pt idx="9">
                  <c:v>PISO 11</c:v>
                </c:pt>
                <c:pt idx="10">
                  <c:v>PISO 12</c:v>
                </c:pt>
              </c:strCache>
            </c:strRef>
          </c:cat>
          <c:val>
            <c:numRef>
              <c:f>Hoja2!$B$4:$B$15</c:f>
              <c:numCache>
                <c:formatCode>0.00%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shape val="box"/>
        <c:axId val="1466578400"/>
        <c:axId val="1466581120"/>
      </c:bar3DChart>
      <c:catAx>
        <c:axId val="146657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66581120"/>
        <c:crosses val="autoZero"/>
        <c:lblAlgn val="ctr"/>
        <c:lblOffset val="100"/>
        <c:noMultiLvlLbl val="0"/>
      </c:catAx>
      <c:valAx>
        <c:axId val="1466581120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6657840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Gráfico de Avance por Departamento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percentStacked"/>
        <c:varyColors val="0"/>
        <c:ser>
          <c:idx val="0"/>
          <c:order val="0"/>
          <c:tx>
            <c:strRef>
              <c:f>Hoja2!$B$18</c:f>
              <c:strCache>
                <c:ptCount val="1"/>
                <c:pt idx="0">
                  <c:v>Total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cat>
            <c:numRef>
              <c:f>Hoja2!$A$19:$A$36</c:f>
              <c:numCache>
                <c:formatCode>General</c:formatCode>
                <c:ptCount val="17"/>
                <c:pt idx="0">
                  <c:v>201</c:v>
                </c:pt>
                <c:pt idx="1">
                  <c:v>202</c:v>
                </c:pt>
                <c:pt idx="2">
                  <c:v>203</c:v>
                </c:pt>
                <c:pt idx="3">
                  <c:v>204</c:v>
                </c:pt>
                <c:pt idx="4">
                  <c:v>205</c:v>
                </c:pt>
                <c:pt idx="5">
                  <c:v>206</c:v>
                </c:pt>
                <c:pt idx="6">
                  <c:v>207</c:v>
                </c:pt>
                <c:pt idx="7">
                  <c:v>208</c:v>
                </c:pt>
                <c:pt idx="8">
                  <c:v>209</c:v>
                </c:pt>
                <c:pt idx="9">
                  <c:v>210</c:v>
                </c:pt>
                <c:pt idx="10">
                  <c:v>211</c:v>
                </c:pt>
                <c:pt idx="11">
                  <c:v>212</c:v>
                </c:pt>
                <c:pt idx="12">
                  <c:v>213</c:v>
                </c:pt>
                <c:pt idx="13">
                  <c:v>214</c:v>
                </c:pt>
                <c:pt idx="14">
                  <c:v>215</c:v>
                </c:pt>
                <c:pt idx="15">
                  <c:v>216</c:v>
                </c:pt>
                <c:pt idx="16">
                  <c:v>217</c:v>
                </c:pt>
              </c:numCache>
            </c:numRef>
          </c:cat>
          <c:val>
            <c:numRef>
              <c:f>Hoja2!$B$19:$B$36</c:f>
              <c:numCache>
                <c:formatCode>0.00%</c:formatCode>
                <c:ptCount val="17"/>
                <c:pt idx="0">
                  <c:v>0.050483803113167865</c:v>
                </c:pt>
                <c:pt idx="1">
                  <c:v>0.050483803113167865</c:v>
                </c:pt>
                <c:pt idx="2">
                  <c:v>0.050483803113167865</c:v>
                </c:pt>
                <c:pt idx="3">
                  <c:v>0.050483803113167865</c:v>
                </c:pt>
                <c:pt idx="4">
                  <c:v>0.050483803113167865</c:v>
                </c:pt>
                <c:pt idx="5">
                  <c:v>0.050483803113167865</c:v>
                </c:pt>
                <c:pt idx="6">
                  <c:v>0.050483803113167865</c:v>
                </c:pt>
                <c:pt idx="7">
                  <c:v>0.050483803113167865</c:v>
                </c:pt>
                <c:pt idx="8">
                  <c:v>0.050483803113167865</c:v>
                </c:pt>
                <c:pt idx="9">
                  <c:v>0.050483803113167865</c:v>
                </c:pt>
                <c:pt idx="10">
                  <c:v>0.08166222596176323</c:v>
                </c:pt>
                <c:pt idx="11">
                  <c:v>0.08241013415603236</c:v>
                </c:pt>
                <c:pt idx="12">
                  <c:v>0.09002944888514934</c:v>
                </c:pt>
                <c:pt idx="13">
                  <c:v>0.0898892160987239</c:v>
                </c:pt>
                <c:pt idx="14">
                  <c:v>0.05581264899733558</c:v>
                </c:pt>
                <c:pt idx="15">
                  <c:v>0.04767914738465854</c:v>
                </c:pt>
                <c:pt idx="16">
                  <c:v>0.04767914738465854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582208"/>
        <c:axId val="1466576224"/>
      </c:lineChart>
      <c:catAx>
        <c:axId val="146658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66576224"/>
        <c:crosses val="autoZero"/>
        <c:lblAlgn val="ctr"/>
        <c:lblOffset val="100"/>
        <c:noMultiLvlLbl val="0"/>
      </c:catAx>
      <c:valAx>
        <c:axId val="146657622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66582208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28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GRAFICO DE AVANCE POR PISO</a:t>
            </a:r>
          </a:p>
        </c:rich>
      </c:tx>
      <c:layout>
        <c:manualLayout>
          <c:xMode val="edge"/>
          <c:yMode val="edge"/>
          <c:x val="0.23840415288237785"/>
          <c:y val="0.05545928218803608"/>
        </c:manualLayout>
      </c:layout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28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15"/>
      <c:rotY val="40"/>
      <c:rAngAx val="0"/>
    </c:view3D>
    <c:plotArea>
      <c:layout>
        <c:manualLayout>
          <c:layoutTarget val="inner"/>
          <c:xMode val="edge"/>
          <c:yMode val="edge"/>
          <c:x val="0.06415329404556294"/>
          <c:y val="0.15710038076098773"/>
          <c:w val="0.8862632559285257"/>
          <c:h val="0.7093051848290137"/>
        </c:manualLayout>
      </c:layout>
      <c:bar3DChart>
        <c:barDir val="col"/>
        <c:varyColors val="0"/>
        <c:ser>
          <c:idx val="0"/>
          <c:order val="0"/>
          <c:tx>
            <c:strRef>
              <c:f>'SEGUIMIENTO R.CRITICA'!$D$19</c:f>
              <c:strCache>
                <c:ptCount val="1"/>
                <c:pt idx="0">
                  <c:v>207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R.CRITICA'!$X$19</c:f>
              <c:numCache>
                <c:formatCode>0.00</c:formatCode>
                <c:ptCount val="1"/>
                <c:pt idx="0">
                  <c:v>7.222222222222222</c:v>
                </c:pt>
              </c:numCache>
            </c:numRef>
          </c:val>
        </c:ser>
        <c:ser>
          <c:idx val="1"/>
          <c:order val="1"/>
          <c:tx>
            <c:strRef>
              <c:f>'SEGUIMIENTO R.CRITICA'!$D$37</c:f>
              <c:strCache>
                <c:ptCount val="1"/>
                <c:pt idx="0">
                  <c:v>202</c:v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R.CRITICA'!$X$37</c:f>
              <c:numCache>
                <c:formatCode>0.00</c:formatCode>
                <c:ptCount val="1"/>
                <c:pt idx="0">
                  <c:v>30.005555555555556</c:v>
                </c:pt>
              </c:numCache>
            </c:numRef>
          </c:val>
        </c:ser>
        <c:ser>
          <c:idx val="2"/>
          <c:order val="2"/>
          <c:tx>
            <c:strRef>
              <c:f>'SEGUIMIENTO R.CRITICA'!$D$55</c:f>
              <c:strCache>
                <c:ptCount val="1"/>
                <c:pt idx="0">
                  <c:v>220</c:v>
                </c:pt>
              </c:strCache>
            </c:strRef>
          </c:tx>
          <c: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R.CRITICA'!$X$55</c:f>
              <c:numCache>
                <c:formatCode>0.00</c:formatCode>
                <c:ptCount val="1"/>
                <c:pt idx="0">
                  <c:v>11.944444444444445</c:v>
                </c:pt>
              </c:numCache>
            </c:numRef>
          </c:val>
        </c:ser>
        <c:ser>
          <c:idx val="3"/>
          <c:order val="3"/>
          <c:tx>
            <c:strRef>
              <c:f>'SEGUIMIENTO R.CRITICA'!$D$73</c:f>
              <c:strCache>
                <c:ptCount val="1"/>
                <c:pt idx="0">
                  <c:v>316</c:v>
                </c:pt>
              </c:strCache>
            </c:strRef>
          </c:tx>
          <c: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R.CRITICA'!$X$73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'SEGUIMIENTO R.CRITICA'!$D$91</c:f>
              <c:strCache>
                <c:ptCount val="1"/>
                <c:pt idx="0">
                  <c:v>311</c:v>
                </c:pt>
              </c:strCache>
            </c:strRef>
          </c:tx>
          <c: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R.CRITICA'!$X$91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tx>
            <c:strRef>
              <c:f>'SEGUIMIENTO R.CRITICA'!$D$109</c:f>
              <c:strCache>
                <c:ptCount val="1"/>
                <c:pt idx="0">
                  <c:v>407</c:v>
                </c:pt>
              </c:strCache>
            </c:strRef>
          </c:tx>
          <c: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R.CRITICA'!$X$109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tx>
            <c:strRef>
              <c:f>'SEGUIMIENTO R.CRITICA'!$D$127</c:f>
              <c:strCache>
                <c:ptCount val="1"/>
                <c:pt idx="0">
                  <c:v>402</c:v>
                </c:pt>
              </c:strCache>
            </c:strRef>
          </c:tx>
          <c: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R.CRITICA'!$X$127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tx>
            <c:strRef>
              <c:f>'SEGUIMIENTO R.CRITICA'!$D$145</c:f>
              <c:strCache>
                <c:ptCount val="1"/>
                <c:pt idx="0">
                  <c:v>420</c:v>
                </c:pt>
              </c:strCache>
            </c:strRef>
          </c:tx>
          <c: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R.CRITICA'!$X$145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tx>
            <c:strRef>
              <c:f>'SEGUIMIENTO R.CRITICA'!$D$163</c:f>
              <c:strCache>
                <c:ptCount val="1"/>
                <c:pt idx="0">
                  <c:v>516</c:v>
                </c:pt>
              </c:strCache>
            </c:strRef>
          </c:tx>
          <c: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R.CRITICA'!$X$163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tx>
            <c:strRef>
              <c:f>'SEGUIMIENTO R.CRITICA'!$D$181</c:f>
              <c:strCache>
                <c:ptCount val="1"/>
                <c:pt idx="0">
                  <c:v>511</c:v>
                </c:pt>
              </c:strCache>
            </c:strRef>
          </c:tx>
          <c: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R.CRITICA'!$X$181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'SEGUIMIENTO R.CRITICA'!$D$198</c:f>
              <c:strCache>
                <c:ptCount val="1"/>
                <c:pt idx="0">
                  <c:v>606</c:v>
                </c:pt>
              </c:strCache>
            </c:strRef>
          </c:tx>
          <c: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R.CRITICA'!$X$198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shape val="box"/>
        <c:axId val="1466581664"/>
        <c:axId val="1472044736"/>
      </c:bar3DChart>
      <c:catAx>
        <c:axId val="146658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72044736"/>
        <c:crosses val="autoZero"/>
        <c:lblAlgn val="ctr"/>
        <c:lblOffset val="100"/>
        <c:noMultiLvlLbl val="0"/>
      </c:catAx>
      <c:valAx>
        <c:axId val="1472044736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66581664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6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6"/>
          <c:order val="6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>
                  <a:lumMod val="6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9525">
                <a:solidFill>
                  <a:schemeClr val="accent1">
                    <a:lumMod val="6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7"/>
          <c:order val="7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2">
                  <a:lumMod val="6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9525">
                <a:solidFill>
                  <a:schemeClr val="accent2">
                    <a:lumMod val="6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8"/>
          <c:order val="8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3">
                  <a:lumMod val="6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9"/>
          <c:order val="9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4">
                  <a:lumMod val="6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9525">
                <a:solidFill>
                  <a:schemeClr val="accent4">
                    <a:lumMod val="6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0"/>
          <c:order val="10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5">
                  <a:lumMod val="6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 w="9525">
                <a:solidFill>
                  <a:schemeClr val="accent5">
                    <a:lumMod val="6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1"/>
          <c:order val="11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6">
                  <a:lumMod val="6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9525">
                <a:solidFill>
                  <a:schemeClr val="accent6">
                    <a:lumMod val="6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2"/>
          <c:order val="12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>
                  <a:lumMod val="80000"/>
                  <a:lumOff val="2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  <a:lumOff val="2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3"/>
          <c:order val="13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2">
                  <a:lumMod val="80000"/>
                  <a:lumOff val="2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2">
                    <a:lumMod val="80000"/>
                    <a:lumOff val="20000"/>
                  </a:schemeClr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4"/>
          <c:order val="14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3">
                  <a:lumMod val="80000"/>
                  <a:lumOff val="2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3">
                    <a:lumMod val="80000"/>
                    <a:lumOff val="2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5"/>
          <c:order val="15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4">
                  <a:lumMod val="80000"/>
                  <a:lumOff val="2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4">
                    <a:lumMod val="80000"/>
                    <a:lumOff val="2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6"/>
          <c:order val="16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5">
                  <a:lumMod val="80000"/>
                  <a:lumOff val="2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5">
                    <a:lumMod val="80000"/>
                    <a:lumOff val="2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7"/>
          <c:order val="17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6">
                  <a:lumMod val="80000"/>
                  <a:lumOff val="2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6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6">
                    <a:lumMod val="80000"/>
                    <a:lumOff val="2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046368"/>
        <c:axId val="1472038752"/>
      </c:lineChart>
      <c:catAx>
        <c:axId val="1472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72038752"/>
        <c:crosses val="autoZero"/>
        <c:lblAlgn val="ctr"/>
        <c:lblOffset val="100"/>
        <c:noMultiLvlLbl val="0"/>
      </c:catAx>
      <c:valAx>
        <c:axId val="147203875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72046368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Gráfico Avance por Piso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15"/>
      <c:rotY val="20"/>
      <c:rAngAx val="1"/>
    </c:view3D>
    <c:plotArea>
      <c:layout>
        <c:manualLayout>
          <c:layoutTarget val="inner"/>
          <c:xMode val="edge"/>
          <c:yMode val="edge"/>
          <c:x val="0.1820911344415281"/>
          <c:y val="0.21650687308154276"/>
          <c:w val="0.8162298046077574"/>
          <c:h val="0.661534498865607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Hoja2!$A$4:$A$15</c:f>
              <c:strCache>
                <c:ptCount val="11"/>
                <c:pt idx="0">
                  <c:v>PISO 2</c:v>
                </c:pt>
                <c:pt idx="1">
                  <c:v>PISO 3</c:v>
                </c:pt>
                <c:pt idx="2">
                  <c:v>PISO 4</c:v>
                </c:pt>
                <c:pt idx="3">
                  <c:v>PISO 5</c:v>
                </c:pt>
                <c:pt idx="4">
                  <c:v>PISO 6</c:v>
                </c:pt>
                <c:pt idx="5">
                  <c:v>PISO 7</c:v>
                </c:pt>
                <c:pt idx="6">
                  <c:v>PISO 8</c:v>
                </c:pt>
                <c:pt idx="7">
                  <c:v>PISO 9</c:v>
                </c:pt>
                <c:pt idx="8">
                  <c:v>PISO 10</c:v>
                </c:pt>
                <c:pt idx="9">
                  <c:v>PISO 11</c:v>
                </c:pt>
                <c:pt idx="10">
                  <c:v>PISO 12</c:v>
                </c:pt>
              </c:strCache>
            </c:strRef>
          </c:cat>
          <c:val>
            <c:numRef>
              <c:f>Hoja2!$B$4:$B$15</c:f>
              <c:numCache>
                <c:formatCode>0.00%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shape val="box"/>
        <c:axId val="1286693792"/>
        <c:axId val="1286685088"/>
      </c:bar3DChart>
      <c:catAx>
        <c:axId val="128669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86685088"/>
        <c:crosses val="autoZero"/>
        <c:lblAlgn val="ctr"/>
        <c:lblOffset val="100"/>
        <c:noMultiLvlLbl val="0"/>
      </c:catAx>
      <c:valAx>
        <c:axId val="128668508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86693792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6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Gráfico de Avance por Departamento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percentStacked"/>
        <c:varyColors val="0"/>
        <c:ser>
          <c:idx val="0"/>
          <c:order val="0"/>
          <c:tx>
            <c:strRef>
              <c:f>Hoja2!$B$18</c:f>
              <c:strCache>
                <c:ptCount val="1"/>
                <c:pt idx="0">
                  <c:v>Total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cat>
            <c:numRef>
              <c:f>Hoja2!$A$19:$A$36</c:f>
              <c:numCache>
                <c:formatCode>General</c:formatCode>
                <c:ptCount val="17"/>
                <c:pt idx="0">
                  <c:v>201</c:v>
                </c:pt>
                <c:pt idx="1">
                  <c:v>202</c:v>
                </c:pt>
                <c:pt idx="2">
                  <c:v>203</c:v>
                </c:pt>
                <c:pt idx="3">
                  <c:v>204</c:v>
                </c:pt>
                <c:pt idx="4">
                  <c:v>205</c:v>
                </c:pt>
                <c:pt idx="5">
                  <c:v>206</c:v>
                </c:pt>
                <c:pt idx="6">
                  <c:v>207</c:v>
                </c:pt>
                <c:pt idx="7">
                  <c:v>208</c:v>
                </c:pt>
                <c:pt idx="8">
                  <c:v>209</c:v>
                </c:pt>
                <c:pt idx="9">
                  <c:v>210</c:v>
                </c:pt>
                <c:pt idx="10">
                  <c:v>211</c:v>
                </c:pt>
                <c:pt idx="11">
                  <c:v>212</c:v>
                </c:pt>
                <c:pt idx="12">
                  <c:v>213</c:v>
                </c:pt>
                <c:pt idx="13">
                  <c:v>214</c:v>
                </c:pt>
                <c:pt idx="14">
                  <c:v>215</c:v>
                </c:pt>
                <c:pt idx="15">
                  <c:v>216</c:v>
                </c:pt>
                <c:pt idx="16">
                  <c:v>217</c:v>
                </c:pt>
              </c:numCache>
            </c:numRef>
          </c:cat>
          <c:val>
            <c:numRef>
              <c:f>Hoja2!$B$19:$B$36</c:f>
              <c:numCache>
                <c:formatCode>0.00%</c:formatCode>
                <c:ptCount val="17"/>
                <c:pt idx="0">
                  <c:v>0.050483803113167865</c:v>
                </c:pt>
                <c:pt idx="1">
                  <c:v>0.050483803113167865</c:v>
                </c:pt>
                <c:pt idx="2">
                  <c:v>0.050483803113167865</c:v>
                </c:pt>
                <c:pt idx="3">
                  <c:v>0.050483803113167865</c:v>
                </c:pt>
                <c:pt idx="4">
                  <c:v>0.050483803113167865</c:v>
                </c:pt>
                <c:pt idx="5">
                  <c:v>0.050483803113167865</c:v>
                </c:pt>
                <c:pt idx="6">
                  <c:v>0.050483803113167865</c:v>
                </c:pt>
                <c:pt idx="7">
                  <c:v>0.050483803113167865</c:v>
                </c:pt>
                <c:pt idx="8">
                  <c:v>0.050483803113167865</c:v>
                </c:pt>
                <c:pt idx="9">
                  <c:v>0.050483803113167865</c:v>
                </c:pt>
                <c:pt idx="10">
                  <c:v>0.08166222596176323</c:v>
                </c:pt>
                <c:pt idx="11">
                  <c:v>0.08241013415603236</c:v>
                </c:pt>
                <c:pt idx="12">
                  <c:v>0.09002944888514934</c:v>
                </c:pt>
                <c:pt idx="13">
                  <c:v>0.0898892160987239</c:v>
                </c:pt>
                <c:pt idx="14">
                  <c:v>0.05581264899733558</c:v>
                </c:pt>
                <c:pt idx="15">
                  <c:v>0.04767914738465854</c:v>
                </c:pt>
                <c:pt idx="16">
                  <c:v>0.04767914738465854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697600"/>
        <c:axId val="1286686176"/>
      </c:lineChart>
      <c:catAx>
        <c:axId val="128669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86686176"/>
        <c:crosses val="autoZero"/>
        <c:lblAlgn val="ctr"/>
        <c:lblOffset val="100"/>
        <c:noMultiLvlLbl val="0"/>
      </c:catAx>
      <c:valAx>
        <c:axId val="1286686176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8669760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7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Gráfico Avance por Piso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15"/>
      <c:rotY val="20"/>
      <c:rAngAx val="1"/>
    </c:view3D>
    <c:plotArea>
      <c:bar3D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Hoja2!$A$4:$A$15</c:f>
              <c:strCache>
                <c:ptCount val="11"/>
                <c:pt idx="0">
                  <c:v>PISO 2</c:v>
                </c:pt>
                <c:pt idx="1">
                  <c:v>PISO 3</c:v>
                </c:pt>
                <c:pt idx="2">
                  <c:v>PISO 4</c:v>
                </c:pt>
                <c:pt idx="3">
                  <c:v>PISO 5</c:v>
                </c:pt>
                <c:pt idx="4">
                  <c:v>PISO 6</c:v>
                </c:pt>
                <c:pt idx="5">
                  <c:v>PISO 7</c:v>
                </c:pt>
                <c:pt idx="6">
                  <c:v>PISO 8</c:v>
                </c:pt>
                <c:pt idx="7">
                  <c:v>PISO 9</c:v>
                </c:pt>
                <c:pt idx="8">
                  <c:v>PISO 10</c:v>
                </c:pt>
                <c:pt idx="9">
                  <c:v>PISO 11</c:v>
                </c:pt>
                <c:pt idx="10">
                  <c:v>PISO 12</c:v>
                </c:pt>
              </c:strCache>
            </c:strRef>
          </c:cat>
          <c:val>
            <c:numRef>
              <c:f>Hoja2!$B$4:$B$15</c:f>
              <c:numCache>
                <c:formatCode>0.00%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shape val="box"/>
        <c:axId val="1157306688"/>
        <c:axId val="1157307232"/>
      </c:bar3DChart>
      <c:catAx>
        <c:axId val="115730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157307232"/>
        <c:crosses val="autoZero"/>
        <c:lblAlgn val="ctr"/>
        <c:lblOffset val="100"/>
        <c:noMultiLvlLbl val="0"/>
      </c:catAx>
      <c:valAx>
        <c:axId val="115730723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157306688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8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Gráfico de Avance por Departamento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percentStacked"/>
        <c:varyColors val="0"/>
        <c:ser>
          <c:idx val="0"/>
          <c:order val="0"/>
          <c:tx>
            <c:strRef>
              <c:f>Hoja2!$B$18</c:f>
              <c:strCache>
                <c:ptCount val="1"/>
                <c:pt idx="0">
                  <c:v>Total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cat>
            <c:numRef>
              <c:f>Hoja2!$A$19:$A$36</c:f>
              <c:numCache>
                <c:formatCode>General</c:formatCode>
                <c:ptCount val="17"/>
                <c:pt idx="0">
                  <c:v>201</c:v>
                </c:pt>
                <c:pt idx="1">
                  <c:v>202</c:v>
                </c:pt>
                <c:pt idx="2">
                  <c:v>203</c:v>
                </c:pt>
                <c:pt idx="3">
                  <c:v>204</c:v>
                </c:pt>
                <c:pt idx="4">
                  <c:v>205</c:v>
                </c:pt>
                <c:pt idx="5">
                  <c:v>206</c:v>
                </c:pt>
                <c:pt idx="6">
                  <c:v>207</c:v>
                </c:pt>
                <c:pt idx="7">
                  <c:v>208</c:v>
                </c:pt>
                <c:pt idx="8">
                  <c:v>209</c:v>
                </c:pt>
                <c:pt idx="9">
                  <c:v>210</c:v>
                </c:pt>
                <c:pt idx="10">
                  <c:v>211</c:v>
                </c:pt>
                <c:pt idx="11">
                  <c:v>212</c:v>
                </c:pt>
                <c:pt idx="12">
                  <c:v>213</c:v>
                </c:pt>
                <c:pt idx="13">
                  <c:v>214</c:v>
                </c:pt>
                <c:pt idx="14">
                  <c:v>215</c:v>
                </c:pt>
                <c:pt idx="15">
                  <c:v>216</c:v>
                </c:pt>
                <c:pt idx="16">
                  <c:v>217</c:v>
                </c:pt>
              </c:numCache>
            </c:numRef>
          </c:cat>
          <c:val>
            <c:numRef>
              <c:f>Hoja2!$B$19:$B$36</c:f>
              <c:numCache>
                <c:formatCode>0.00%</c:formatCode>
                <c:ptCount val="17"/>
                <c:pt idx="0">
                  <c:v>0.050483803113167865</c:v>
                </c:pt>
                <c:pt idx="1">
                  <c:v>0.050483803113167865</c:v>
                </c:pt>
                <c:pt idx="2">
                  <c:v>0.050483803113167865</c:v>
                </c:pt>
                <c:pt idx="3">
                  <c:v>0.050483803113167865</c:v>
                </c:pt>
                <c:pt idx="4">
                  <c:v>0.050483803113167865</c:v>
                </c:pt>
                <c:pt idx="5">
                  <c:v>0.050483803113167865</c:v>
                </c:pt>
                <c:pt idx="6">
                  <c:v>0.050483803113167865</c:v>
                </c:pt>
                <c:pt idx="7">
                  <c:v>0.050483803113167865</c:v>
                </c:pt>
                <c:pt idx="8">
                  <c:v>0.050483803113167865</c:v>
                </c:pt>
                <c:pt idx="9">
                  <c:v>0.050483803113167865</c:v>
                </c:pt>
                <c:pt idx="10">
                  <c:v>0.08166222596176323</c:v>
                </c:pt>
                <c:pt idx="11">
                  <c:v>0.08241013415603236</c:v>
                </c:pt>
                <c:pt idx="12">
                  <c:v>0.09002944888514934</c:v>
                </c:pt>
                <c:pt idx="13">
                  <c:v>0.0898892160987239</c:v>
                </c:pt>
                <c:pt idx="14">
                  <c:v>0.05581264899733558</c:v>
                </c:pt>
                <c:pt idx="15">
                  <c:v>0.04767914738465854</c:v>
                </c:pt>
                <c:pt idx="16">
                  <c:v>0.04767914738465854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308864"/>
        <c:axId val="1099730736"/>
      </c:lineChart>
      <c:catAx>
        <c:axId val="115730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099730736"/>
        <c:crosses val="autoZero"/>
        <c:lblAlgn val="ctr"/>
        <c:lblOffset val="100"/>
        <c:noMultiLvlLbl val="0"/>
      </c:catAx>
      <c:valAx>
        <c:axId val="1099730736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157308864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42</xdr:col>
      <xdr:colOff>174625</xdr:colOff>
      <xdr:row>4</xdr:row>
      <xdr:rowOff>47625</xdr:rowOff>
    </xdr:from>
    <xdr:to>
      <xdr:col>51</xdr:col>
      <xdr:colOff>174625</xdr:colOff>
      <xdr:row>23</xdr:row>
      <xdr:rowOff>174625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2efb45acb3497d"/>
        </a:graphicData>
      </a:graphic>
    </xdr:graphicFrame>
    <xdr:clientData/>
  </xdr:twoCellAnchor>
  <xdr:twoCellAnchor>
    <xdr:from>
      <xdr:col>52</xdr:col>
      <xdr:colOff>523874</xdr:colOff>
      <xdr:row>5</xdr:row>
      <xdr:rowOff>111125</xdr:rowOff>
    </xdr:from>
    <xdr:to>
      <xdr:col>61</xdr:col>
      <xdr:colOff>476249</xdr:colOff>
      <xdr:row>24</xdr:row>
      <xdr:rowOff>47625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a4bd36512a4ca1"/>
        </a:graphicData>
      </a:graphic>
    </xdr:graphicFrame>
    <xdr:clientData/>
  </xdr:twoCellAnchor>
  <xdr:twoCellAnchor>
    <xdr:from>
      <xdr:col>25</xdr:col>
      <xdr:colOff>63500</xdr:colOff>
      <xdr:row>2</xdr:row>
      <xdr:rowOff>28576</xdr:rowOff>
    </xdr:from>
    <xdr:to>
      <xdr:col>34</xdr:col>
      <xdr:colOff>99218</xdr:colOff>
      <xdr:row>23</xdr:row>
      <xdr:rowOff>159544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ec64029ba1428a"/>
        </a:graphicData>
      </a:graphic>
    </xdr:graphicFrame>
    <xdr:clientData/>
  </xdr:twoCellAnchor>
  <xdr:twoCellAnchor>
    <xdr:from>
      <xdr:col>3</xdr:col>
      <xdr:colOff>588819</xdr:colOff>
      <xdr:row>385</xdr:row>
      <xdr:rowOff>138545</xdr:rowOff>
    </xdr:from>
    <xdr:to>
      <xdr:col>16</xdr:col>
      <xdr:colOff>447675</xdr:colOff>
      <xdr:row>408</xdr:row>
      <xdr:rowOff>90921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d197dde13c4a00"/>
        </a:graphicData>
      </a:graphic>
    </xdr:graphicFrame>
    <xdr:clientData/>
  </xdr:twoCellAnchor>
  <xdr:oneCellAnchor>
    <xdr:from>
      <xdr:col>30</xdr:col>
      <xdr:colOff>730250</xdr:colOff>
      <xdr:row>0</xdr:row>
      <xdr:rowOff>0</xdr:rowOff>
    </xdr:from>
    <xdr:ext cx="1326771" cy="596900"/>
    <xdr:pic>
      <xdr:nvPicPr>
        <xdr:cNvPr id="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fa0e9ac87e49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40</xdr:col>
      <xdr:colOff>174625</xdr:colOff>
      <xdr:row>8</xdr:row>
      <xdr:rowOff>47625</xdr:rowOff>
    </xdr:from>
    <xdr:to>
      <xdr:col>49</xdr:col>
      <xdr:colOff>174625</xdr:colOff>
      <xdr:row>27</xdr:row>
      <xdr:rowOff>174625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4b112a48604a43"/>
        </a:graphicData>
      </a:graphic>
    </xdr:graphicFrame>
    <xdr:clientData/>
  </xdr:twoCellAnchor>
  <xdr:twoCellAnchor>
    <xdr:from>
      <xdr:col>50</xdr:col>
      <xdr:colOff>523874</xdr:colOff>
      <xdr:row>9</xdr:row>
      <xdr:rowOff>111125</xdr:rowOff>
    </xdr:from>
    <xdr:to>
      <xdr:col>59</xdr:col>
      <xdr:colOff>476249</xdr:colOff>
      <xdr:row>28</xdr:row>
      <xdr:rowOff>47625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f261deb5324c56"/>
        </a:graphicData>
      </a:graphic>
    </xdr:graphicFrame>
    <xdr:clientData/>
  </xdr:twoCellAnchor>
  <xdr:oneCellAnchor>
    <xdr:from>
      <xdr:col>0</xdr:col>
      <xdr:colOff>127000</xdr:colOff>
      <xdr:row>0</xdr:row>
      <xdr:rowOff>127000</xdr:rowOff>
    </xdr:from>
    <xdr:ext cx="1905000" cy="751159"/>
    <xdr:pic>
      <xdr:nvPicPr>
        <xdr:cNvPr id="3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e30de9bb4c47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28</xdr:col>
      <xdr:colOff>730250</xdr:colOff>
      <xdr:row>0</xdr:row>
      <xdr:rowOff>142876</xdr:rowOff>
    </xdr:from>
    <xdr:ext cx="1326771" cy="596900"/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5959810f0449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9525</xdr:colOff>
      <xdr:row>1</xdr:row>
      <xdr:rowOff>152400</xdr:rowOff>
    </xdr:from>
    <xdr:to>
      <xdr:col>5</xdr:col>
      <xdr:colOff>295275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989d9e5ebf4ae1"/>
        </a:graphicData>
      </a:graphic>
    </xdr:graphicFrame>
    <xdr:clientData/>
  </xdr:twoCellAnchor>
  <xdr:twoCellAnchor>
    <xdr:from>
      <xdr:col>2</xdr:col>
      <xdr:colOff>1257300</xdr:colOff>
      <xdr:row>18</xdr:row>
      <xdr:rowOff>114300</xdr:rowOff>
    </xdr:from>
    <xdr:to>
      <xdr:col>5</xdr:col>
      <xdr:colOff>542925</xdr:colOff>
      <xdr:row>33</xdr:row>
      <xdr:rowOff>38100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bcb17e7cfd4a7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0</xdr:col>
      <xdr:colOff>0</xdr:colOff>
      <xdr:row>1</xdr:row>
      <xdr:rowOff>9525</xdr:rowOff>
    </xdr:from>
    <xdr:to>
      <xdr:col>0</xdr:col>
      <xdr:colOff>2250065</xdr:colOff>
      <xdr:row>5</xdr:row>
      <xdr:rowOff>180975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6a9dbbef0341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Autor" id="{7CC998E5-5BAA-C334-D8C6-C2F1E4D6AF29}"/>
  <xltc:person displayName="Autor" id="{74260869-35B1-480B-0146-AE5E047F1F57}"/>
</xltc:personList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dda69661fdd242c1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e844cf33498347c8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fb4f1a12ad9b42fb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a526f65885194735" /></Relationships>
</file>

<file path=xl/pivotTables/pivotTable.xml><?xml version="1.0" encoding="utf-8"?>
<x:pivotTableDefinition xmlns:x="http://schemas.openxmlformats.org/spreadsheetml/2006/main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x:location ref="A3" firstHeaderRow="0" firstDataRow="1" firstDataCol="1"/>
  <x:pivotFields count="20">
    <x:pivotField axis="axisRow" dataField="0" multipleItemSelectionAllowed="1" showAll="0">
      <x:items count="198">
        <x:item x="17"/>
        <x:item x="35"/>
        <x:item x="53"/>
        <x:item x="71"/>
        <x:item x="89"/>
        <x:item x="107"/>
        <x:item x="125"/>
        <x:item x="143"/>
        <x:item x="161"/>
        <x:item h="1" x="195"/>
        <x:item h="1" x="194"/>
        <x:item h="1" x="193"/>
        <x:item h="1" x="192"/>
        <x:item h="1" x="191"/>
        <x:item h="1" x="190"/>
        <x:item h="1" x="189"/>
        <x:item h="1" x="188"/>
        <x:item h="1" x="187"/>
        <x:item h="1" x="186"/>
        <x:item h="1" x="185"/>
        <x:item h="1" x="184"/>
        <x:item h="1" x="183"/>
        <x:item h="1" x="182"/>
        <x:item h="1" x="181"/>
        <x:item h="1" x="180"/>
        <x:item h="1" x="178"/>
        <x:item h="1" x="177"/>
        <x:item h="1" x="176"/>
        <x:item h="1" x="175"/>
        <x:item h="1" x="174"/>
        <x:item h="1" x="173"/>
        <x:item h="1" x="172"/>
        <x:item h="1" x="171"/>
        <x:item h="1" x="170"/>
        <x:item h="1" x="169"/>
        <x:item h="1" x="168"/>
        <x:item h="1" x="167"/>
        <x:item h="1" x="166"/>
        <x:item h="1" x="165"/>
        <x:item h="1" x="164"/>
        <x:item h="1" x="163"/>
        <x:item h="1" x="162"/>
        <x:item h="1" x="160"/>
        <x:item h="1" x="159"/>
        <x:item h="1" x="158"/>
        <x:item h="1" x="157"/>
        <x:item h="1" x="156"/>
        <x:item h="1" x="155"/>
        <x:item h="1" x="154"/>
        <x:item h="1" x="153"/>
        <x:item h="1" x="152"/>
        <x:item h="1" x="151"/>
        <x:item h="1" x="150"/>
        <x:item h="1" x="149"/>
        <x:item h="1" x="148"/>
        <x:item h="1" x="147"/>
        <x:item h="1" x="146"/>
        <x:item h="1" x="145"/>
        <x:item h="1" x="144"/>
        <x:item h="1" x="142"/>
        <x:item h="1" x="141"/>
        <x:item h="1" x="140"/>
        <x:item h="1" x="139"/>
        <x:item h="1" x="138"/>
        <x:item h="1" x="137"/>
        <x:item h="1" x="136"/>
        <x:item h="1" x="135"/>
        <x:item h="1" x="134"/>
        <x:item h="1" x="133"/>
        <x:item h="1" x="132"/>
        <x:item h="1" x="131"/>
        <x:item h="1" x="130"/>
        <x:item h="1" x="129"/>
        <x:item h="1" x="128"/>
        <x:item h="1" x="127"/>
        <x:item h="1" x="126"/>
        <x:item h="1" x="124"/>
        <x:item h="1" x="123"/>
        <x:item h="1" x="122"/>
        <x:item h="1" x="121"/>
        <x:item h="1" x="120"/>
        <x:item h="1" x="119"/>
        <x:item h="1" x="118"/>
        <x:item h="1" x="117"/>
        <x:item h="1" x="116"/>
        <x:item h="1" x="115"/>
        <x:item h="1" x="114"/>
        <x:item h="1" x="113"/>
        <x:item h="1" x="112"/>
        <x:item h="1" x="111"/>
        <x:item h="1" x="110"/>
        <x:item h="1" x="109"/>
        <x:item h="1" x="108"/>
        <x:item h="1" x="106"/>
        <x:item h="1" x="105"/>
        <x:item h="1" x="104"/>
        <x:item h="1" x="103"/>
        <x:item h="1" x="102"/>
        <x:item h="1" x="101"/>
        <x:item h="1" x="100"/>
        <x:item h="1" x="99"/>
        <x:item h="1" x="98"/>
        <x:item h="1" x="97"/>
        <x:item h="1" x="96"/>
        <x:item h="1" x="95"/>
        <x:item h="1" x="94"/>
        <x:item h="1" x="93"/>
        <x:item h="1" x="92"/>
        <x:item h="1" x="91"/>
        <x:item h="1" x="90"/>
        <x:item h="1" x="88"/>
        <x:item h="1" x="87"/>
        <x:item h="1" x="86"/>
        <x:item h="1" x="85"/>
        <x:item h="1" x="84"/>
        <x:item h="1" x="83"/>
        <x:item h="1" x="82"/>
        <x:item h="1" x="81"/>
        <x:item h="1" x="80"/>
        <x:item h="1" x="79"/>
        <x:item h="1" x="78"/>
        <x:item h="1" x="77"/>
        <x:item h="1" x="76"/>
        <x:item h="1" x="75"/>
        <x:item h="1" x="74"/>
        <x:item h="1" x="73"/>
        <x:item h="1" x="72"/>
        <x:item h="1" x="70"/>
        <x:item h="1" x="69"/>
        <x:item h="1" x="68"/>
        <x:item h="1" x="67"/>
        <x:item h="1" x="66"/>
        <x:item h="1" x="65"/>
        <x:item h="1" x="64"/>
        <x:item h="1" x="63"/>
        <x:item h="1" x="62"/>
        <x:item h="1" x="61"/>
        <x:item h="1" x="60"/>
        <x:item h="1" x="59"/>
        <x:item h="1" x="58"/>
        <x:item h="1" x="57"/>
        <x:item h="1" x="56"/>
        <x:item h="1" x="55"/>
        <x:item h="1" x="54"/>
        <x:item h="1" x="52"/>
        <x:item h="1" x="51"/>
        <x:item h="1" x="50"/>
        <x:item h="1" x="49"/>
        <x:item h="1" x="48"/>
        <x:item h="1" x="47"/>
        <x:item h="1" x="46"/>
        <x:item h="1" x="45"/>
        <x:item h="1" x="44"/>
        <x:item h="1" x="43"/>
        <x:item h="1" x="42"/>
        <x:item h="1" x="41"/>
        <x:item h="1" x="40"/>
        <x:item h="1" x="39"/>
        <x:item h="1" x="38"/>
        <x:item h="1" x="37"/>
        <x:item h="1" x="36"/>
        <x:item h="1" x="34"/>
        <x:item h="1" x="33"/>
        <x:item h="1" x="32"/>
        <x:item h="1" x="31"/>
        <x:item h="1" x="30"/>
        <x:item h="1" x="29"/>
        <x:item h="1" x="28"/>
        <x:item h="1" x="27"/>
        <x:item h="1" x="26"/>
        <x:item h="1" x="25"/>
        <x:item h="1" x="24"/>
        <x:item h="1" x="23"/>
        <x:item h="1" x="22"/>
        <x:item h="1" x="21"/>
        <x:item h="1" x="20"/>
        <x:item h="1" x="19"/>
        <x:item h="1" x="18"/>
        <x:item h="1" x="16"/>
        <x:item h="1" x="15"/>
        <x:item h="1" x="14"/>
        <x:item h="1" x="13"/>
        <x:item h="1" x="12"/>
        <x:item h="1" x="11"/>
        <x:item h="1" x="10"/>
        <x:item h="1" x="9"/>
        <x:item h="1" x="8"/>
        <x:item h="1" x="7"/>
        <x:item h="1" x="6"/>
        <x:item h="1" x="5"/>
        <x:item h="1" x="4"/>
        <x:item h="1" x="3"/>
        <x:item h="1" x="2"/>
        <x:item h="1" x="1"/>
        <x:item h="1" x="0"/>
        <x:item x="179"/>
        <x:item x="196"/>
        <x:item t="default"/>
      </x:items>
    </x:pivotField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axis="axisValues" dataField="1" numFmtId="9" showAll="0"/>
  </x:pivotFields>
  <x:rowFields count="1">
    <x:field x="0"/>
  </x:rowFields>
  <x:dataFields count="1">
    <x:dataField name="Suma de Av. Depto/Piso" fld="19" showDataAs="percentOfTotal" baseField="0" baseItem="0" numFmtId="1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2.xml><?xml version="1.0" encoding="utf-8"?>
<x:pivotTableDefinition xmlns:x="http://schemas.openxmlformats.org/spreadsheetml/2006/main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x:location ref="A18:B24" firstHeaderRow="0" firstDataRow="1" firstDataCol="1"/>
  <x:pivotFields count="20">
    <x:pivotField axis="axisRow" dataField="0" multipleItemSelectionAllowed="1" showAll="0">
      <x:items count="198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h="1" x="18"/>
        <x:item h="1" x="19"/>
        <x:item h="1" x="20"/>
        <x:item h="1" x="21"/>
        <x:item h="1" x="22"/>
        <x:item h="1" x="23"/>
        <x:item h="1" x="24"/>
        <x:item h="1" x="25"/>
        <x:item h="1" x="26"/>
        <x:item h="1" x="27"/>
        <x:item h="1" x="28"/>
        <x:item h="1" x="29"/>
        <x:item h="1" x="30"/>
        <x:item h="1" x="31"/>
        <x:item h="1" x="32"/>
        <x:item h="1" x="33"/>
        <x:item h="1" x="34"/>
        <x:item h="1" x="36"/>
        <x:item h="1" x="37"/>
        <x:item h="1" x="38"/>
        <x:item h="1" x="39"/>
        <x:item h="1" x="40"/>
        <x:item h="1" x="41"/>
        <x:item h="1" x="42"/>
        <x:item h="1" x="43"/>
        <x:item h="1" x="44"/>
        <x:item h="1" x="45"/>
        <x:item h="1" x="46"/>
        <x:item h="1" x="47"/>
        <x:item h="1" x="48"/>
        <x:item h="1" x="49"/>
        <x:item h="1" x="50"/>
        <x:item h="1" x="51"/>
        <x:item h="1" x="52"/>
        <x:item h="1" x="54"/>
        <x:item h="1" x="55"/>
        <x:item h="1" x="56"/>
        <x:item h="1" x="57"/>
        <x:item h="1" x="58"/>
        <x:item h="1" x="59"/>
        <x:item h="1" x="60"/>
        <x:item h="1" x="61"/>
        <x:item h="1" x="62"/>
        <x:item h="1" x="63"/>
        <x:item h="1" x="64"/>
        <x:item h="1" x="65"/>
        <x:item h="1" x="66"/>
        <x:item h="1" x="67"/>
        <x:item h="1" x="68"/>
        <x:item h="1" x="69"/>
        <x:item h="1" x="70"/>
        <x:item h="1" x="72"/>
        <x:item h="1" x="73"/>
        <x:item h="1" x="74"/>
        <x:item h="1" x="75"/>
        <x:item h="1" x="76"/>
        <x:item h="1" x="77"/>
        <x:item h="1" x="78"/>
        <x:item h="1" x="79"/>
        <x:item h="1" x="80"/>
        <x:item h="1" x="81"/>
        <x:item h="1" x="82"/>
        <x:item h="1" x="83"/>
        <x:item h="1" x="84"/>
        <x:item h="1" x="85"/>
        <x:item h="1" x="86"/>
        <x:item h="1" x="87"/>
        <x:item h="1" x="88"/>
        <x:item h="1" x="90"/>
        <x:item h="1" x="91"/>
        <x:item h="1" x="92"/>
        <x:item h="1" x="93"/>
        <x:item h="1" x="94"/>
        <x:item h="1" x="95"/>
        <x:item h="1" x="96"/>
        <x:item h="1" x="97"/>
        <x:item h="1" x="98"/>
        <x:item h="1" x="99"/>
        <x:item h="1" x="100"/>
        <x:item h="1" x="101"/>
        <x:item h="1" x="102"/>
        <x:item h="1" x="103"/>
        <x:item h="1" x="104"/>
        <x:item h="1" x="105"/>
        <x:item h="1" x="106"/>
        <x:item h="1" x="108"/>
        <x:item h="1" x="109"/>
        <x:item h="1" x="110"/>
        <x:item h="1" x="111"/>
        <x:item h="1" x="112"/>
        <x:item h="1" x="113"/>
        <x:item h="1" x="114"/>
        <x:item h="1" x="115"/>
        <x:item h="1" x="116"/>
        <x:item h="1" x="117"/>
        <x:item h="1" x="118"/>
        <x:item h="1" x="119"/>
        <x:item h="1" x="120"/>
        <x:item h="1" x="121"/>
        <x:item h="1" x="122"/>
        <x:item h="1" x="123"/>
        <x:item h="1" x="124"/>
        <x:item h="1" x="126"/>
        <x:item h="1" x="127"/>
        <x:item h="1" x="128"/>
        <x:item h="1" x="129"/>
        <x:item h="1" x="130"/>
        <x:item h="1" x="131"/>
        <x:item h="1" x="132"/>
        <x:item h="1" x="133"/>
        <x:item h="1" x="134"/>
        <x:item h="1" x="135"/>
        <x:item h="1" x="136"/>
        <x:item h="1" x="137"/>
        <x:item h="1" x="138"/>
        <x:item h="1" x="139"/>
        <x:item h="1" x="140"/>
        <x:item h="1" x="141"/>
        <x:item h="1" x="142"/>
        <x:item h="1" x="144"/>
        <x:item h="1" x="145"/>
        <x:item h="1" x="146"/>
        <x:item h="1" x="147"/>
        <x:item h="1" x="148"/>
        <x:item h="1" x="149"/>
        <x:item h="1" x="150"/>
        <x:item h="1" x="151"/>
        <x:item h="1" x="152"/>
        <x:item h="1" x="153"/>
        <x:item h="1" x="154"/>
        <x:item h="1" x="155"/>
        <x:item h="1" x="156"/>
        <x:item h="1" x="157"/>
        <x:item h="1" x="158"/>
        <x:item h="1" x="159"/>
        <x:item h="1" x="160"/>
        <x:item h="1" x="162"/>
        <x:item h="1" x="163"/>
        <x:item h="1" x="164"/>
        <x:item h="1" x="165"/>
        <x:item h="1" x="166"/>
        <x:item h="1" x="167"/>
        <x:item h="1" x="168"/>
        <x:item h="1" x="169"/>
        <x:item h="1" x="170"/>
        <x:item h="1" x="171"/>
        <x:item h="1" x="172"/>
        <x:item h="1" x="173"/>
        <x:item h="1" x="174"/>
        <x:item h="1" x="175"/>
        <x:item h="1" x="176"/>
        <x:item h="1" x="177"/>
        <x:item h="1" x="178"/>
        <x:item h="1" x="180"/>
        <x:item h="1" x="181"/>
        <x:item h="1" x="182"/>
        <x:item h="1" x="183"/>
        <x:item h="1" x="184"/>
        <x:item h="1" x="185"/>
        <x:item h="1" x="186"/>
        <x:item h="1" x="187"/>
        <x:item h="1" x="188"/>
        <x:item h="1" x="189"/>
        <x:item h="1" x="190"/>
        <x:item h="1" x="191"/>
        <x:item h="1" x="192"/>
        <x:item h="1" x="193"/>
        <x:item h="1" x="194"/>
        <x:item h="1" x="195"/>
        <x:item h="1" x="161"/>
        <x:item h="1" x="179"/>
        <x:item h="1" x="196"/>
        <x:item h="1" x="17"/>
        <x:item h="1" x="35"/>
        <x:item h="1" x="53"/>
        <x:item h="1" x="71"/>
        <x:item h="1" x="89"/>
        <x:item h="1" x="107"/>
        <x:item h="1" x="125"/>
        <x:item h="1" x="143"/>
        <x:item t="default"/>
      </x:items>
    </x:pivotField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axis="axisValues" dataField="1" numFmtId="9" showAll="0"/>
  </x:pivotFields>
  <x:rowFields count="1">
    <x:field x="0"/>
  </x:rowFields>
  <x:rowItems count="6">
    <x:i>
      <x:x v="0"/>
    </x:i>
    <x:i>
      <x:x v="1"/>
    </x:i>
    <x:i>
      <x:x v="2"/>
    </x:i>
    <x:i>
      <x:x v="3"/>
    </x:i>
    <x:i>
      <x:x v="4"/>
    </x:i>
    <x:i/>
  </x:rowItems>
  <x:colItems count="1">
    <x:i>
      <x:x v="0"/>
    </x:i>
  </x:colItems>
  <x:dataFields count="1">
    <x:dataField name="Suma de Av. Depto/Piso" fld="19" showDataAs="percentOfTotal" baseField="0" baseItem="0" numFmtId="1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3.xml><?xml version="1.0" encoding="utf-8"?>
<x:pivotTableDefinition xmlns:x="http://schemas.openxmlformats.org/spreadsheetml/2006/main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x:location ref="A39" firstHeaderRow="0" firstDataRow="1" firstDataCol="1"/>
  <x:pivotFields count="20">
    <x:pivotField axis="axisRow" dataField="0" multipleItemSelectionAllowed="1" showAll="0">
      <x:items count="198">
        <x:item h="1" x="0"/>
        <x:item h="1" x="1"/>
        <x:item h="1" x="2"/>
        <x:item h="1" x="3"/>
        <x:item h="1" x="4"/>
        <x:item h="1" x="5"/>
        <x:item h="1" x="6"/>
        <x:item h="1" x="7"/>
        <x:item h="1" x="8"/>
        <x:item h="1" x="9"/>
        <x:item h="1" x="10"/>
        <x:item h="1" x="11"/>
        <x:item h="1" x="12"/>
        <x:item h="1" x="13"/>
        <x:item h="1" x="14"/>
        <x:item h="1" x="15"/>
        <x:item h="1" x="16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h="1" x="36"/>
        <x:item h="1" x="37"/>
        <x:item h="1" x="38"/>
        <x:item h="1" x="39"/>
        <x:item h="1" x="40"/>
        <x:item h="1" x="41"/>
        <x:item h="1" x="42"/>
        <x:item h="1" x="43"/>
        <x:item h="1" x="44"/>
        <x:item h="1" x="45"/>
        <x:item h="1" x="46"/>
        <x:item h="1" x="47"/>
        <x:item h="1" x="48"/>
        <x:item h="1" x="49"/>
        <x:item h="1" x="50"/>
        <x:item h="1" x="51"/>
        <x:item h="1" x="52"/>
        <x:item h="1" x="54"/>
        <x:item h="1" x="55"/>
        <x:item h="1" x="56"/>
        <x:item h="1" x="57"/>
        <x:item h="1" x="58"/>
        <x:item h="1" x="59"/>
        <x:item h="1" x="60"/>
        <x:item h="1" x="61"/>
        <x:item h="1" x="62"/>
        <x:item h="1" x="63"/>
        <x:item h="1" x="64"/>
        <x:item h="1" x="65"/>
        <x:item h="1" x="66"/>
        <x:item h="1" x="67"/>
        <x:item h="1" x="68"/>
        <x:item h="1" x="69"/>
        <x:item h="1" x="70"/>
        <x:item h="1" x="72"/>
        <x:item h="1" x="73"/>
        <x:item h="1" x="74"/>
        <x:item h="1" x="75"/>
        <x:item h="1" x="76"/>
        <x:item h="1" x="77"/>
        <x:item h="1" x="78"/>
        <x:item h="1" x="79"/>
        <x:item h="1" x="80"/>
        <x:item h="1" x="81"/>
        <x:item h="1" x="82"/>
        <x:item h="1" x="83"/>
        <x:item h="1" x="84"/>
        <x:item h="1" x="85"/>
        <x:item h="1" x="86"/>
        <x:item h="1" x="87"/>
        <x:item h="1" x="88"/>
        <x:item h="1" x="90"/>
        <x:item h="1" x="91"/>
        <x:item h="1" x="92"/>
        <x:item h="1" x="93"/>
        <x:item h="1" x="94"/>
        <x:item h="1" x="95"/>
        <x:item h="1" x="96"/>
        <x:item h="1" x="97"/>
        <x:item h="1" x="98"/>
        <x:item h="1" x="99"/>
        <x:item h="1" x="100"/>
        <x:item h="1" x="101"/>
        <x:item h="1" x="102"/>
        <x:item h="1" x="103"/>
        <x:item h="1" x="104"/>
        <x:item h="1" x="105"/>
        <x:item h="1" x="106"/>
        <x:item h="1" x="108"/>
        <x:item h="1" x="109"/>
        <x:item h="1" x="110"/>
        <x:item h="1" x="111"/>
        <x:item h="1" x="112"/>
        <x:item h="1" x="113"/>
        <x:item h="1" x="114"/>
        <x:item h="1" x="115"/>
        <x:item h="1" x="116"/>
        <x:item h="1" x="117"/>
        <x:item h="1" x="118"/>
        <x:item h="1" x="119"/>
        <x:item h="1" x="120"/>
        <x:item h="1" x="121"/>
        <x:item h="1" x="122"/>
        <x:item h="1" x="123"/>
        <x:item h="1" x="124"/>
        <x:item h="1" x="126"/>
        <x:item h="1" x="127"/>
        <x:item h="1" x="128"/>
        <x:item h="1" x="129"/>
        <x:item h="1" x="130"/>
        <x:item h="1" x="131"/>
        <x:item h="1" x="132"/>
        <x:item h="1" x="133"/>
        <x:item h="1" x="134"/>
        <x:item h="1" x="135"/>
        <x:item h="1" x="136"/>
        <x:item h="1" x="137"/>
        <x:item h="1" x="138"/>
        <x:item h="1" x="139"/>
        <x:item h="1" x="140"/>
        <x:item h="1" x="141"/>
        <x:item h="1" x="142"/>
        <x:item h="1" x="144"/>
        <x:item h="1" x="145"/>
        <x:item h="1" x="146"/>
        <x:item h="1" x="147"/>
        <x:item h="1" x="148"/>
        <x:item h="1" x="149"/>
        <x:item h="1" x="150"/>
        <x:item h="1" x="151"/>
        <x:item h="1" x="152"/>
        <x:item h="1" x="153"/>
        <x:item h="1" x="154"/>
        <x:item h="1" x="155"/>
        <x:item h="1" x="156"/>
        <x:item h="1" x="157"/>
        <x:item h="1" x="158"/>
        <x:item h="1" x="159"/>
        <x:item h="1" x="160"/>
        <x:item h="1" x="162"/>
        <x:item h="1" x="163"/>
        <x:item h="1" x="164"/>
        <x:item h="1" x="165"/>
        <x:item h="1" x="166"/>
        <x:item h="1" x="167"/>
        <x:item h="1" x="168"/>
        <x:item h="1" x="169"/>
        <x:item h="1" x="170"/>
        <x:item h="1" x="171"/>
        <x:item h="1" x="172"/>
        <x:item h="1" x="173"/>
        <x:item h="1" x="174"/>
        <x:item h="1" x="175"/>
        <x:item h="1" x="176"/>
        <x:item h="1" x="177"/>
        <x:item h="1" x="178"/>
        <x:item h="1" x="180"/>
        <x:item h="1" x="181"/>
        <x:item h="1" x="182"/>
        <x:item h="1" x="183"/>
        <x:item h="1" x="184"/>
        <x:item h="1" x="185"/>
        <x:item h="1" x="186"/>
        <x:item h="1" x="187"/>
        <x:item h="1" x="188"/>
        <x:item h="1" x="189"/>
        <x:item h="1" x="190"/>
        <x:item h="1" x="191"/>
        <x:item h="1" x="192"/>
        <x:item h="1" x="193"/>
        <x:item h="1" x="194"/>
        <x:item h="1" x="195"/>
        <x:item h="1" x="161"/>
        <x:item h="1" x="179"/>
        <x:item h="1" x="196"/>
        <x:item h="1" x="17"/>
        <x:item h="1" x="35"/>
        <x:item h="1" x="53"/>
        <x:item h="1" x="71"/>
        <x:item h="1" x="89"/>
        <x:item h="1" x="107"/>
        <x:item h="1" x="125"/>
        <x:item h="1" x="143"/>
        <x:item t="default"/>
      </x:items>
    </x:pivotField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axis="axisValues" dataField="1" numFmtId="9" showAll="0"/>
  </x:pivotFields>
  <x:rowFields count="1">
    <x:field x="0"/>
  </x:rowFields>
  <x:dataFields count="1">
    <x:dataField name="Suma de Av. Depto/Piso" fld="19" baseField="0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4.xml><?xml version="1.0" encoding="utf-8"?>
<x:pivotTableDefinition xmlns:x="http://schemas.openxmlformats.org/spreadsheetml/2006/main" name="TablaDinámica4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x:location ref="A60" firstHeaderRow="0" firstDataRow="1" firstDataCol="1"/>
  <x:pivotFields count="20">
    <x:pivotField axis="axisRow" dataField="0" multipleItemSelectionAllowed="1" showAll="0">
      <x:items count="198">
        <x:item h="1" x="0"/>
        <x:item h="1" x="1"/>
        <x:item h="1" x="2"/>
        <x:item h="1" x="3"/>
        <x:item h="1" x="4"/>
        <x:item h="1" x="5"/>
        <x:item h="1" x="6"/>
        <x:item h="1" x="7"/>
        <x:item h="1" x="8"/>
        <x:item h="1" x="9"/>
        <x:item h="1" x="10"/>
        <x:item h="1" x="11"/>
        <x:item h="1" x="12"/>
        <x:item h="1" x="13"/>
        <x:item h="1" x="14"/>
        <x:item h="1" x="15"/>
        <x:item h="1" x="16"/>
        <x:item h="1" x="18"/>
        <x:item h="1" x="19"/>
        <x:item h="1" x="20"/>
        <x:item h="1" x="21"/>
        <x:item h="1" x="22"/>
        <x:item h="1" x="23"/>
        <x:item h="1" x="24"/>
        <x:item h="1" x="25"/>
        <x:item h="1" x="26"/>
        <x:item h="1" x="27"/>
        <x:item h="1" x="28"/>
        <x:item h="1" x="29"/>
        <x:item h="1" x="30"/>
        <x:item h="1" x="31"/>
        <x:item h="1" x="32"/>
        <x:item h="1" x="33"/>
        <x:item h="1" x="34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h="1" x="54"/>
        <x:item h="1" x="55"/>
        <x:item h="1" x="56"/>
        <x:item h="1" x="57"/>
        <x:item h="1" x="58"/>
        <x:item h="1" x="59"/>
        <x:item h="1" x="60"/>
        <x:item h="1" x="61"/>
        <x:item h="1" x="62"/>
        <x:item h="1" x="63"/>
        <x:item h="1" x="64"/>
        <x:item h="1" x="65"/>
        <x:item h="1" x="66"/>
        <x:item h="1" x="67"/>
        <x:item h="1" x="68"/>
        <x:item h="1" x="69"/>
        <x:item h="1" x="70"/>
        <x:item h="1" x="72"/>
        <x:item h="1" x="73"/>
        <x:item h="1" x="74"/>
        <x:item h="1" x="75"/>
        <x:item h="1" x="76"/>
        <x:item h="1" x="77"/>
        <x:item h="1" x="78"/>
        <x:item h="1" x="79"/>
        <x:item h="1" x="80"/>
        <x:item h="1" x="81"/>
        <x:item h="1" x="82"/>
        <x:item h="1" x="83"/>
        <x:item h="1" x="84"/>
        <x:item h="1" x="85"/>
        <x:item h="1" x="86"/>
        <x:item h="1" x="87"/>
        <x:item h="1" x="88"/>
        <x:item h="1" x="90"/>
        <x:item h="1" x="91"/>
        <x:item h="1" x="92"/>
        <x:item h="1" x="93"/>
        <x:item h="1" x="94"/>
        <x:item h="1" x="95"/>
        <x:item h="1" x="96"/>
        <x:item h="1" x="97"/>
        <x:item h="1" x="98"/>
        <x:item h="1" x="99"/>
        <x:item h="1" x="100"/>
        <x:item h="1" x="101"/>
        <x:item h="1" x="102"/>
        <x:item h="1" x="103"/>
        <x:item h="1" x="104"/>
        <x:item h="1" x="105"/>
        <x:item h="1" x="106"/>
        <x:item h="1" x="108"/>
        <x:item h="1" x="109"/>
        <x:item h="1" x="110"/>
        <x:item h="1" x="111"/>
        <x:item h="1" x="112"/>
        <x:item h="1" x="113"/>
        <x:item h="1" x="114"/>
        <x:item h="1" x="115"/>
        <x:item h="1" x="116"/>
        <x:item h="1" x="117"/>
        <x:item h="1" x="118"/>
        <x:item h="1" x="119"/>
        <x:item h="1" x="120"/>
        <x:item h="1" x="121"/>
        <x:item h="1" x="122"/>
        <x:item h="1" x="123"/>
        <x:item h="1" x="124"/>
        <x:item h="1" x="126"/>
        <x:item h="1" x="127"/>
        <x:item h="1" x="128"/>
        <x:item h="1" x="129"/>
        <x:item h="1" x="130"/>
        <x:item h="1" x="131"/>
        <x:item h="1" x="132"/>
        <x:item h="1" x="133"/>
        <x:item h="1" x="134"/>
        <x:item h="1" x="135"/>
        <x:item h="1" x="136"/>
        <x:item h="1" x="137"/>
        <x:item h="1" x="138"/>
        <x:item h="1" x="139"/>
        <x:item h="1" x="140"/>
        <x:item h="1" x="141"/>
        <x:item h="1" x="142"/>
        <x:item h="1" x="144"/>
        <x:item h="1" x="145"/>
        <x:item h="1" x="146"/>
        <x:item h="1" x="147"/>
        <x:item h="1" x="148"/>
        <x:item h="1" x="149"/>
        <x:item h="1" x="150"/>
        <x:item h="1" x="151"/>
        <x:item h="1" x="152"/>
        <x:item h="1" x="153"/>
        <x:item h="1" x="154"/>
        <x:item h="1" x="155"/>
        <x:item h="1" x="156"/>
        <x:item h="1" x="157"/>
        <x:item h="1" x="158"/>
        <x:item h="1" x="159"/>
        <x:item h="1" x="160"/>
        <x:item h="1" x="162"/>
        <x:item h="1" x="163"/>
        <x:item h="1" x="164"/>
        <x:item h="1" x="165"/>
        <x:item h="1" x="166"/>
        <x:item h="1" x="167"/>
        <x:item h="1" x="168"/>
        <x:item h="1" x="169"/>
        <x:item h="1" x="170"/>
        <x:item h="1" x="171"/>
        <x:item h="1" x="172"/>
        <x:item h="1" x="173"/>
        <x:item h="1" x="174"/>
        <x:item h="1" x="175"/>
        <x:item h="1" x="176"/>
        <x:item h="1" x="177"/>
        <x:item h="1" x="178"/>
        <x:item h="1" x="180"/>
        <x:item h="1" x="181"/>
        <x:item h="1" x="182"/>
        <x:item h="1" x="183"/>
        <x:item h="1" x="184"/>
        <x:item h="1" x="185"/>
        <x:item h="1" x="186"/>
        <x:item h="1" x="187"/>
        <x:item h="1" x="188"/>
        <x:item h="1" x="189"/>
        <x:item h="1" x="190"/>
        <x:item h="1" x="191"/>
        <x:item h="1" x="192"/>
        <x:item h="1" x="193"/>
        <x:item h="1" x="194"/>
        <x:item h="1" x="195"/>
        <x:item h="1" x="161"/>
        <x:item h="1" x="179"/>
        <x:item h="1" x="196"/>
        <x:item h="1" x="17"/>
        <x:item h="1" x="35"/>
        <x:item h="1" x="53"/>
        <x:item h="1" x="71"/>
        <x:item h="1" x="89"/>
        <x:item h="1" x="107"/>
        <x:item h="1" x="125"/>
        <x:item h="1" x="143"/>
        <x:item t="default"/>
      </x:items>
    </x:pivotField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dataField="0" numFmtId="9" showAll="0"/>
    <x:pivotField axis="axisValues" dataField="1" numFmtId="9" showAll="0"/>
  </x:pivotFields>
  <x:rowFields count="1">
    <x:field x="0"/>
  </x:rowFields>
  <x:dataFields count="1">
    <x:dataField name="Suma de Av. Depto/Piso" fld="19" baseField="0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2d2c82a0045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68a606aac6be42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414b16645ffd4e78" /><Relationship Type="http://schemas.openxmlformats.org/officeDocument/2006/relationships/pivotTable" Target="/xl/pivotTables/pivotTable.xml" Id="R7f6b268c9b83452f" /><Relationship Type="http://schemas.openxmlformats.org/officeDocument/2006/relationships/pivotTable" Target="/xl/pivotTables/pivotTable2.xml" Id="Rbeed881850bf42f0" /><Relationship Type="http://schemas.openxmlformats.org/officeDocument/2006/relationships/pivotTable" Target="/xl/pivotTables/pivotTable3.xml" Id="R669e93612c0441f4" /><Relationship Type="http://schemas.openxmlformats.org/officeDocument/2006/relationships/pivotTable" Target="/xl/pivotTables/pivotTable4.xml" Id="R99ff20c3c85242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.xml" Id="R970e439a928f4eca" /><Relationship Type="http://schemas.openxmlformats.org/officeDocument/2006/relationships/vmlDrawing" Target="/xl/drawings/vmldrawing.vml" Id="R22bf06a527cb4c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4.xml" Id="Rb1f64429528b497a" /></Relationships>
</file>

<file path=xl/worksheets/sheet1.xml><?xml version="1.0" encoding="utf-8"?>
<x:worksheet xmlns:x="http://schemas.openxmlformats.org/spreadsheetml/2006/main">
  <x:sheetPr>
    <x:tabColor rgb="FF00FF00"/>
  </x:sheetPr>
  <x:sheetFormatPr baseColWidth="10" defaultColWidth="9.140625" defaultRowHeight="28.5"/>
  <x:cols>
    <x:col min="1" max="1" width="2.140625" style="4" customWidth="1"/>
    <x:col min="2" max="2" width="11.85546875" style="6" customWidth="1"/>
    <x:col min="3" max="3" width="75.28515625" style="37" customWidth="1"/>
    <x:col min="4" max="15" width="8.7109375" style="1" customWidth="1"/>
    <x:col min="16" max="16" width="13.28515625" style="1" customWidth="1"/>
    <x:col min="17" max="22" width="15.5703125" style="208" customWidth="1"/>
    <x:col min="23" max="23" width="17" style="1" customWidth="1"/>
    <x:col min="24" max="24" width="25.5703125" style="1" customWidth="1"/>
    <x:col min="25" max="28" width="9.140625" style="1" customWidth="0"/>
  </x:cols>
  <x:sheetData>
    <x:row r="1" s="4" customFormat="1">
      <x:c r="B1" s="6"/>
      <x:c r="C1" s="7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192"/>
      <x:c r="R1" s="192"/>
      <x:c r="S1" s="192"/>
      <x:c r="T1" s="192"/>
      <x:c r="U1" s="192"/>
      <x:c r="V1" s="192"/>
      <x:c r="W1" s="5"/>
      <x:c r="X1" s="5"/>
      <x:c r="Y1" s="5"/>
      <x:c r="Z1" s="5"/>
      <x:c r="AA1" s="5"/>
      <x:c r="AB1" s="5"/>
    </x:row>
    <x:row r="2" s="4" customFormat="1" ht="31.5">
      <x:c r="B2" s="6"/>
      <x:c r="C2" s="7"/>
      <x:c r="D2" s="5"/>
      <x:c r="E2" s="5"/>
      <x:c r="F2" s="5"/>
      <x:c r="G2" s="8" t="s">
        <x:v>0</x:v>
      </x:c>
      <x:c r="H2" s="8"/>
      <x:c r="I2" s="8"/>
      <x:c r="J2" s="8"/>
      <x:c r="K2" s="8"/>
      <x:c r="L2" s="8"/>
      <x:c r="M2" s="8"/>
      <x:c r="N2" s="8"/>
      <x:c r="O2" s="8"/>
      <x:c r="P2" s="5"/>
      <x:c r="Q2" s="192"/>
      <x:c r="R2" s="192"/>
      <x:c r="S2" s="192"/>
      <x:c r="T2" s="192"/>
      <x:c r="U2" s="192"/>
      <x:c r="V2" s="192"/>
      <x:c r="W2" s="5"/>
      <x:c r="X2" s="5"/>
      <x:c r="Y2" s="5"/>
      <x:c r="Z2" s="5"/>
      <x:c r="AA2" s="5"/>
      <x:c r="AB2" s="5"/>
    </x:row>
    <x:row r="3" s="4" customFormat="1" ht="31.5">
      <x:c r="B3" s="6"/>
      <x:c r="C3" s="7"/>
      <x:c r="D3" s="297"/>
      <x:c r="E3" s="297"/>
      <x:c r="F3" s="297"/>
      <x:c r="G3" s="297"/>
      <x:c r="H3" s="297"/>
      <x:c r="I3" s="297"/>
      <x:c r="J3" s="297"/>
      <x:c r="K3" s="297"/>
      <x:c r="L3" s="149"/>
      <x:c r="M3" s="149"/>
      <x:c r="N3" s="149"/>
      <x:c r="O3" s="149"/>
      <x:c r="P3" s="8"/>
      <x:c r="Q3" s="193"/>
      <x:c r="R3" s="193"/>
      <x:c r="S3" s="193"/>
      <x:c r="T3" s="193"/>
      <x:c r="U3" s="192"/>
      <x:c r="V3" s="192"/>
      <x:c r="X3" s="5"/>
      <x:c r="Y3" s="5"/>
      <x:c r="Z3" s="5"/>
      <x:c r="AA3" s="5"/>
      <x:c r="AB3" s="5"/>
    </x:row>
    <x:row r="4" s="4" customFormat="1" hidden="1">
      <x:c r="B4" s="6"/>
      <x:c r="C4" s="7"/>
      <x:c r="D4" s="106" t="s">
        <x:v>1</x:v>
      </x:c>
      <x:c r="E4" s="106" t="s">
        <x:v>1</x:v>
      </x:c>
      <x:c r="F4" s="106" t="s">
        <x:v>2</x:v>
      </x:c>
      <x:c r="G4" s="106" t="s">
        <x:v>2</x:v>
      </x:c>
      <x:c r="H4" s="106" t="s">
        <x:v>3</x:v>
      </x:c>
      <x:c r="I4" s="106" t="s">
        <x:v>4</x:v>
      </x:c>
      <x:c r="J4" s="106" t="s">
        <x:v>4</x:v>
      </x:c>
      <x:c r="K4" s="106" t="s">
        <x:v>4</x:v>
      </x:c>
      <x:c r="L4" s="106" t="s">
        <x:v>5</x:v>
      </x:c>
      <x:c r="M4" s="106"/>
      <x:c r="N4" s="106"/>
      <x:c r="O4" s="106"/>
      <x:c r="P4" s="5"/>
      <x:c r="Q4" s="192"/>
      <x:c r="R4" s="192"/>
      <x:c r="S4" s="192"/>
      <x:c r="T4" s="192"/>
      <x:c r="U4" s="192"/>
      <x:c r="V4" s="192"/>
      <x:c r="W4" s="5"/>
      <x:c r="X4" s="5"/>
      <x:c r="Y4" s="5"/>
      <x:c r="Z4" s="5"/>
      <x:c r="AA4" s="5"/>
      <x:c r="AB4" s="5"/>
    </x:row>
    <x:row r="5" s="4" customFormat="1" ht="29.25">
      <x:c r="B5" s="6"/>
      <x:c r="C5" s="7"/>
      <x:c r="D5" s="106"/>
      <x:c r="E5" s="106"/>
      <x:c r="F5" s="106"/>
      <x:c r="G5" s="106"/>
      <x:c r="H5" s="106"/>
      <x:c r="I5" s="106"/>
      <x:c r="J5" s="106"/>
      <x:c r="K5" s="106"/>
      <x:c r="L5" s="106"/>
      <x:c r="M5" s="106"/>
      <x:c r="N5" s="106"/>
      <x:c r="O5" s="106"/>
      <x:c r="P5" s="5"/>
      <x:c r="Q5" s="192"/>
      <x:c r="R5" s="192"/>
      <x:c r="S5" s="192"/>
      <x:c r="T5" s="192"/>
      <x:c r="U5" s="192"/>
      <x:c r="V5" s="192"/>
      <x:c r="W5" s="5"/>
      <x:c r="X5" s="5"/>
      <x:c r="Y5" s="5"/>
      <x:c r="Z5" s="5"/>
      <x:c r="AA5" s="5"/>
      <x:c r="AB5" s="5"/>
    </x:row>
    <x:row r="6" ht="29.25" customHeight="1">
      <x:c r="C6" s="284" t="s">
        <x:v>6</x:v>
      </x:c>
      <x:c r="D6" s="173" t="s">
        <x:v>7</x:v>
      </x:c>
      <x:c r="E6" s="173" t="s">
        <x:v>7</x:v>
      </x:c>
      <x:c r="F6" s="173" t="s">
        <x:v>7</x:v>
      </x:c>
      <x:c r="G6" s="173" t="s">
        <x:v>7</x:v>
      </x:c>
      <x:c r="H6" s="173" t="s">
        <x:v>7</x:v>
      </x:c>
      <x:c r="I6" s="173" t="s">
        <x:v>7</x:v>
      </x:c>
      <x:c r="J6" s="173" t="s">
        <x:v>7</x:v>
      </x:c>
      <x:c r="K6" s="173" t="s">
        <x:v>7</x:v>
      </x:c>
      <x:c r="L6" s="173" t="s">
        <x:v>7</x:v>
      </x:c>
      <x:c r="M6" s="173" t="s">
        <x:v>7</x:v>
      </x:c>
      <x:c r="N6" s="173" t="s">
        <x:v>7</x:v>
      </x:c>
      <x:c r="O6" s="173" t="s">
        <x:v>7</x:v>
      </x:c>
      <x:c r="P6" s="281" t="s">
        <x:v>8</x:v>
      </x:c>
      <x:c r="Q6" s="289" t="s">
        <x:v>9</x:v>
      </x:c>
      <x:c r="R6" s="290"/>
      <x:c r="S6" s="290"/>
      <x:c r="T6" s="290"/>
      <x:c r="U6" s="290"/>
      <x:c r="V6" s="291"/>
      <x:c r="W6" s="281" t="s">
        <x:v>10</x:v>
      </x:c>
      <x:c r="X6" s="295" t="s">
        <x:v>11</x:v>
      </x:c>
    </x:row>
    <x:row r="7" ht="75" customHeight="1">
      <x:c r="C7" s="285"/>
      <x:c r="D7" s="221">
        <x:v>1</x:v>
      </x:c>
      <x:c r="E7" s="222">
        <x:v>2</x:v>
      </x:c>
      <x:c r="F7" s="222">
        <x:v>3</x:v>
      </x:c>
      <x:c r="G7" s="222">
        <x:v>4</x:v>
      </x:c>
      <x:c r="H7" s="222">
        <x:v>5</x:v>
      </x:c>
      <x:c r="I7" s="222">
        <x:v>6</x:v>
      </x:c>
      <x:c r="J7" s="222">
        <x:v>7</x:v>
      </x:c>
      <x:c r="K7" s="222">
        <x:v>8</x:v>
      </x:c>
      <x:c r="L7" s="222">
        <x:v>9</x:v>
      </x:c>
      <x:c r="M7" s="222">
        <x:v>10</x:v>
      </x:c>
      <x:c r="N7" s="222">
        <x:v>11</x:v>
      </x:c>
      <x:c r="O7" s="223">
        <x:v>12</x:v>
      </x:c>
      <x:c r="P7" s="282"/>
      <x:c r="Q7" s="292"/>
      <x:c r="R7" s="293"/>
      <x:c r="S7" s="293"/>
      <x:c r="T7" s="293"/>
      <x:c r="U7" s="293"/>
      <x:c r="V7" s="294"/>
      <x:c r="W7" s="282"/>
      <x:c r="X7" s="296"/>
    </x:row>
    <x:row r="8" ht="23.25" customHeight="1">
      <x:c r="C8" s="180"/>
      <x:c r="D8" s="181"/>
      <x:c r="E8" s="182"/>
      <x:c r="F8" s="182"/>
      <x:c r="G8" s="182"/>
      <x:c r="H8" s="182"/>
      <x:c r="I8" s="182"/>
      <x:c r="J8" s="182"/>
      <x:c r="K8" s="182"/>
      <x:c r="L8" s="182"/>
      <x:c r="M8" s="182"/>
      <x:c r="N8" s="182"/>
      <x:c r="O8" s="183"/>
      <x:c r="P8" s="185"/>
      <x:c r="Q8" s="194" t="s">
        <x:v>12</x:v>
      </x:c>
      <x:c r="R8" s="195" t="s">
        <x:v>13</x:v>
      </x:c>
      <x:c r="S8" s="195" t="s">
        <x:v>14</x:v>
      </x:c>
      <x:c r="T8" s="195" t="s">
        <x:v>15</x:v>
      </x:c>
      <x:c r="U8" s="195" t="s">
        <x:v>16</x:v>
      </x:c>
      <x:c r="V8" s="195"/>
      <x:c r="W8" s="215"/>
      <x:c r="X8" s="184"/>
    </x:row>
    <x:row r="9" ht="24.75" customHeight="1">
      <x:c r="C9" s="79" t="n">
        <x:f>0%/100</x:f>
        <x:v>0</x:v>
      </x:c>
      <x:c r="D9" s="154" t="n">
        <x:f>8.33333333333333%*D7</x:f>
        <x:v>0.0833333333333333</x:v>
      </x:c>
      <x:c r="E9" s="154" t="n">
        <x:f>8.33333333333333%*E7</x:f>
        <x:v>0.1666666666666666</x:v>
      </x:c>
      <x:c r="F9" s="154" t="n">
        <x:f t="shared" ref="F9:O9" si="0">8.33333333333333%*F7</x:f>
        <x:v>0.2499999999999999</x:v>
      </x:c>
      <x:c r="G9" s="154">
        <x:f t="shared" si="0"/>
        <x:v>0.3333333333333332</x:v>
      </x:c>
      <x:c r="H9" s="154">
        <x:f t="shared" si="0"/>
        <x:v>0.41666666666666652</x:v>
      </x:c>
      <x:c r="I9" s="154">
        <x:f t="shared" si="0"/>
        <x:v>0.49999999999999978</x:v>
      </x:c>
      <x:c r="J9" s="154">
        <x:f t="shared" si="0"/>
        <x:v>0.58333333333333315</x:v>
      </x:c>
      <x:c r="K9" s="154">
        <x:f t="shared" si="0"/>
        <x:v>0.66666666666666641</x:v>
      </x:c>
      <x:c r="L9" s="154">
        <x:f t="shared" si="0"/>
        <x:v>0.74999999999999967</x:v>
      </x:c>
      <x:c r="M9" s="154">
        <x:f t="shared" si="0"/>
        <x:v>0.83333333333333304</x:v>
      </x:c>
      <x:c r="N9" s="154">
        <x:f t="shared" si="0"/>
        <x:v>0.9166666666666663</x:v>
      </x:c>
      <x:c r="O9" s="154">
        <x:f t="shared" si="0"/>
        <x:v>0.99999999999999956</x:v>
      </x:c>
      <x:c r="P9" s="151"/>
      <x:c r="Q9" s="196" t="n">
        <x:f>+H9</x:f>
        <x:v>0.4166666666666665</x:v>
      </x:c>
      <x:c r="R9" s="196" t="n">
        <x:f>+J9</x:f>
        <x:v>0.5833333333333331</x:v>
      </x:c>
      <x:c r="S9" s="196" t="n">
        <x:f>+L9</x:f>
        <x:v>0.7499999999999997</x:v>
      </x:c>
      <x:c r="T9" s="196" t="n">
        <x:f>+N9</x:f>
        <x:v>0.9166666666666663</x:v>
      </x:c>
      <x:c r="U9" s="196" t="n">
        <x:f>+O9</x:f>
        <x:v>0.9999999999999996</x:v>
      </x:c>
      <x:c r="V9" s="196"/>
      <x:c r="W9" s="216"/>
      <x:c r="X9" s="155"/>
    </x:row>
    <x:row r="10" ht="21.75" customHeight="1">
      <x:c r="B10" s="286" t="s">
        <x:v>17</x:v>
      </x:c>
      <x:c r="C10" s="166" t="s">
        <x:v>18</x:v>
      </x:c>
      <x:c r="D10" s="163" t="e">
        <x:f>+_xlfn.XLOOKUP($C10,#REF!,#REF!)</x:f>
        <x:v>#N/A</x:v>
      </x:c>
      <x:c r="E10" s="163" t="e">
        <x:f>+_xlfn.XLOOKUP($C10,#REF!,#REF!)</x:f>
        <x:v>#N/A</x:v>
      </x:c>
      <x:c r="F10" s="163" t="e">
        <x:f>+_xlfn.XLOOKUP($C10,#REF!,#REF!)</x:f>
        <x:v>#N/A</x:v>
      </x:c>
      <x:c r="G10" s="163" t="e">
        <x:f>+_xlfn.XLOOKUP($C10,#REF!,#REF!)</x:f>
        <x:v>#N/A</x:v>
      </x:c>
      <x:c r="H10" s="163" t="e">
        <x:f>+_xlfn.XLOOKUP($C10,#REF!,#REF!)</x:f>
        <x:v>#N/A</x:v>
      </x:c>
      <x:c r="I10" s="163" t="e">
        <x:f>+_xlfn.XLOOKUP($C10,#REF!,#REF!)</x:f>
        <x:v>#N/A</x:v>
      </x:c>
      <x:c r="J10" s="163" t="e">
        <x:f>+_xlfn.XLOOKUP($C10,#REF!,#REF!)</x:f>
        <x:v>#N/A</x:v>
      </x:c>
      <x:c r="K10" s="163" t="e">
        <x:f>+_xlfn.XLOOKUP($C10,#REF!,#REF!)</x:f>
        <x:v>#N/A</x:v>
      </x:c>
      <x:c r="L10" s="163" t="e">
        <x:f>+_xlfn.XLOOKUP($C10,#REF!,#REF!)</x:f>
        <x:v>#N/A</x:v>
      </x:c>
      <x:c r="M10" s="163" t="e">
        <x:f>+_xlfn.XLOOKUP($C10,#REF!,#REF!)</x:f>
        <x:v>#N/A</x:v>
      </x:c>
      <x:c r="N10" s="163" t="e">
        <x:f>+_xlfn.XLOOKUP($C10,#REF!,#REF!)</x:f>
        <x:v>#N/A</x:v>
      </x:c>
      <x:c r="O10" s="163" t="e">
        <x:f>+_xlfn.XLOOKUP($C10,#REF!,#REF!)</x:f>
        <x:v>#N/A</x:v>
      </x:c>
      <x:c r="P10" s="157" t="e">
        <x:f>+AVERAGE(D10:O10)</x:f>
        <x:v>#VALUE!</x:v>
      </x:c>
      <x:c r="Q10" s="197" t="e">
        <x:f>P10</x:f>
        <x:v>#VALUE!</x:v>
      </x:c>
      <x:c r="R10" s="197"/>
      <x:c r="S10" s="197"/>
      <x:c r="T10" s="197"/>
      <x:c r="U10" s="197"/>
      <x:c r="V10" s="224"/>
      <x:c r="W10" s="217"/>
      <x:c r="X10" s="158"/>
    </x:row>
    <x:row r="11" ht="21.75">
      <x:c r="B11" s="287"/>
      <x:c r="C11" s="167" t="s">
        <x:v>19</x:v>
      </x:c>
      <x:c r="D11" s="163" t="e">
        <x:f>+_xlfn.XLOOKUP($C11,#REF!,#REF!)</x:f>
        <x:v>#N/A</x:v>
      </x:c>
      <x:c r="E11" s="163" t="e">
        <x:f>+_xlfn.XLOOKUP($C11,#REF!,#REF!)</x:f>
        <x:v>#N/A</x:v>
      </x:c>
      <x:c r="F11" s="163" t="e">
        <x:f>+_xlfn.XLOOKUP($C11,#REF!,#REF!)</x:f>
        <x:v>#N/A</x:v>
      </x:c>
      <x:c r="G11" s="163" t="e">
        <x:f>+_xlfn.XLOOKUP($C11,#REF!,#REF!)</x:f>
        <x:v>#N/A</x:v>
      </x:c>
      <x:c r="H11" s="163" t="e">
        <x:f>+_xlfn.XLOOKUP($C11,#REF!,#REF!)</x:f>
        <x:v>#N/A</x:v>
      </x:c>
      <x:c r="I11" s="163" t="e">
        <x:f>+_xlfn.XLOOKUP($C11,#REF!,#REF!)</x:f>
        <x:v>#N/A</x:v>
      </x:c>
      <x:c r="J11" s="163" t="e">
        <x:f>+_xlfn.XLOOKUP($C11,#REF!,#REF!)</x:f>
        <x:v>#N/A</x:v>
      </x:c>
      <x:c r="K11" s="163" t="e">
        <x:f>+_xlfn.XLOOKUP($C11,#REF!,#REF!)</x:f>
        <x:v>#N/A</x:v>
      </x:c>
      <x:c r="L11" s="163" t="e">
        <x:f>+_xlfn.XLOOKUP($C11,#REF!,#REF!)</x:f>
        <x:v>#N/A</x:v>
      </x:c>
      <x:c r="M11" s="163" t="e">
        <x:f>+_xlfn.XLOOKUP($C11,#REF!,#REF!)</x:f>
        <x:v>#N/A</x:v>
      </x:c>
      <x:c r="N11" s="163" t="e">
        <x:f>+_xlfn.XLOOKUP($C11,#REF!,#REF!)</x:f>
        <x:v>#N/A</x:v>
      </x:c>
      <x:c r="O11" s="163" t="e">
        <x:f>+_xlfn.XLOOKUP($C11,#REF!,#REF!)</x:f>
        <x:v>#N/A</x:v>
      </x:c>
      <x:c r="P11" s="156" t="e">
        <x:f t="shared" ref="P11:P86" si="1">+AVERAGE(D11:O11)</x:f>
        <x:v>#VALUE!</x:v>
      </x:c>
      <x:c r="Q11" s="197" t="e">
        <x:f t="shared" ref="Q11:Q31" si="2">P11</x:f>
        <x:v>#VALUE!</x:v>
      </x:c>
      <x:c r="R11" s="198"/>
      <x:c r="S11" s="198"/>
      <x:c r="T11" s="198"/>
      <x:c r="U11" s="198"/>
      <x:c r="V11" s="225"/>
      <x:c r="W11" s="218"/>
      <x:c r="X11" s="159"/>
    </x:row>
    <x:row r="12" ht="21.75">
      <x:c r="B12" s="287"/>
      <x:c r="C12" s="167" t="s">
        <x:v>20</x:v>
      </x:c>
      <x:c r="D12" s="163" t="e">
        <x:f>+_xlfn.XLOOKUP($C12,#REF!,#REF!)</x:f>
        <x:v>#N/A</x:v>
      </x:c>
      <x:c r="E12" s="163" t="e">
        <x:f>+_xlfn.XLOOKUP($C12,#REF!,#REF!)</x:f>
        <x:v>#N/A</x:v>
      </x:c>
      <x:c r="F12" s="163" t="e">
        <x:f>+_xlfn.XLOOKUP($C12,#REF!,#REF!)</x:f>
        <x:v>#N/A</x:v>
      </x:c>
      <x:c r="G12" s="163" t="e">
        <x:f>+_xlfn.XLOOKUP($C12,#REF!,#REF!)</x:f>
        <x:v>#N/A</x:v>
      </x:c>
      <x:c r="H12" s="163" t="e">
        <x:f>+_xlfn.XLOOKUP($C12,#REF!,#REF!)</x:f>
        <x:v>#N/A</x:v>
      </x:c>
      <x:c r="I12" s="163" t="e">
        <x:f>+_xlfn.XLOOKUP($C12,#REF!,#REF!)</x:f>
        <x:v>#N/A</x:v>
      </x:c>
      <x:c r="J12" s="163" t="e">
        <x:f>+_xlfn.XLOOKUP($C12,#REF!,#REF!)</x:f>
        <x:v>#N/A</x:v>
      </x:c>
      <x:c r="K12" s="163" t="e">
        <x:f>+_xlfn.XLOOKUP($C12,#REF!,#REF!)</x:f>
        <x:v>#N/A</x:v>
      </x:c>
      <x:c r="L12" s="163" t="e">
        <x:f>+_xlfn.XLOOKUP($C12,#REF!,#REF!)</x:f>
        <x:v>#N/A</x:v>
      </x:c>
      <x:c r="M12" s="163" t="e">
        <x:f>+_xlfn.XLOOKUP($C12,#REF!,#REF!)</x:f>
        <x:v>#N/A</x:v>
      </x:c>
      <x:c r="N12" s="163" t="e">
        <x:f>+_xlfn.XLOOKUP($C12,#REF!,#REF!)</x:f>
        <x:v>#N/A</x:v>
      </x:c>
      <x:c r="O12" s="163" t="e">
        <x:f>+_xlfn.XLOOKUP($C12,#REF!,#REF!)</x:f>
        <x:v>#N/A</x:v>
      </x:c>
      <x:c r="P12" s="156" t="e">
        <x:f t="shared" si="1"/>
        <x:v>#REF!</x:v>
      </x:c>
      <x:c r="Q12" s="197" t="e">
        <x:f t="shared" si="2"/>
        <x:v>#REF!</x:v>
      </x:c>
      <x:c r="R12" s="198"/>
      <x:c r="S12" s="198"/>
      <x:c r="T12" s="198"/>
      <x:c r="U12" s="198"/>
      <x:c r="V12" s="225"/>
      <x:c r="W12" s="218"/>
      <x:c r="X12" s="159"/>
    </x:row>
    <x:row r="13" ht="21.75">
      <x:c r="B13" s="287"/>
      <x:c r="C13" s="167" t="s">
        <x:v>21</x:v>
      </x:c>
      <x:c r="D13" s="163" t="e">
        <x:f>+_xlfn.XLOOKUP($C13,#REF!,#REF!)</x:f>
        <x:v>#N/A</x:v>
      </x:c>
      <x:c r="E13" s="163" t="e">
        <x:f>+_xlfn.XLOOKUP($C13,#REF!,#REF!)</x:f>
        <x:v>#N/A</x:v>
      </x:c>
      <x:c r="F13" s="163" t="e">
        <x:f>+_xlfn.XLOOKUP($C13,#REF!,#REF!)</x:f>
        <x:v>#N/A</x:v>
      </x:c>
      <x:c r="G13" s="163" t="e">
        <x:f>+_xlfn.XLOOKUP($C13,#REF!,#REF!)</x:f>
        <x:v>#N/A</x:v>
      </x:c>
      <x:c r="H13" s="163" t="e">
        <x:f>+_xlfn.XLOOKUP($C13,#REF!,#REF!)</x:f>
        <x:v>#N/A</x:v>
      </x:c>
      <x:c r="I13" s="163" t="e">
        <x:f>+_xlfn.XLOOKUP($C13,#REF!,#REF!)</x:f>
        <x:v>#N/A</x:v>
      </x:c>
      <x:c r="J13" s="163" t="e">
        <x:f>+_xlfn.XLOOKUP($C13,#REF!,#REF!)</x:f>
        <x:v>#N/A</x:v>
      </x:c>
      <x:c r="K13" s="163" t="e">
        <x:f>+_xlfn.XLOOKUP($C13,#REF!,#REF!)</x:f>
        <x:v>#N/A</x:v>
      </x:c>
      <x:c r="L13" s="163" t="e">
        <x:f>+_xlfn.XLOOKUP($C13,#REF!,#REF!)</x:f>
        <x:v>#N/A</x:v>
      </x:c>
      <x:c r="M13" s="163" t="e">
        <x:f>+_xlfn.XLOOKUP($C13,#REF!,#REF!)</x:f>
        <x:v>#N/A</x:v>
      </x:c>
      <x:c r="N13" s="163" t="e">
        <x:f>+_xlfn.XLOOKUP($C13,#REF!,#REF!)</x:f>
        <x:v>#N/A</x:v>
      </x:c>
      <x:c r="O13" s="163" t="e">
        <x:f>+_xlfn.XLOOKUP($C13,#REF!,#REF!)</x:f>
        <x:v>#N/A</x:v>
      </x:c>
      <x:c r="P13" s="156" t="e">
        <x:f t="shared" si="1"/>
        <x:v>#REF!</x:v>
      </x:c>
      <x:c r="Q13" s="197" t="e">
        <x:f t="shared" si="2"/>
        <x:v>#REF!</x:v>
      </x:c>
      <x:c r="R13" s="198"/>
      <x:c r="S13" s="198"/>
      <x:c r="T13" s="198"/>
      <x:c r="U13" s="198"/>
      <x:c r="V13" s="225"/>
      <x:c r="W13" s="218"/>
      <x:c r="X13" s="159"/>
    </x:row>
    <x:row r="14" ht="21.75">
      <x:c r="B14" s="287"/>
      <x:c r="C14" s="167" t="s">
        <x:v>22</x:v>
      </x:c>
      <x:c r="D14" s="163" t="e">
        <x:f>+_xlfn.XLOOKUP($C14,#REF!,#REF!)</x:f>
        <x:v>#N/A</x:v>
      </x:c>
      <x:c r="E14" s="163" t="e">
        <x:f>+_xlfn.XLOOKUP($C14,#REF!,#REF!)</x:f>
        <x:v>#N/A</x:v>
      </x:c>
      <x:c r="F14" s="163" t="e">
        <x:f>+_xlfn.XLOOKUP($C14,#REF!,#REF!)</x:f>
        <x:v>#N/A</x:v>
      </x:c>
      <x:c r="G14" s="163" t="e">
        <x:f>+_xlfn.XLOOKUP($C14,#REF!,#REF!)</x:f>
        <x:v>#N/A</x:v>
      </x:c>
      <x:c r="H14" s="163" t="e">
        <x:f>+_xlfn.XLOOKUP($C14,#REF!,#REF!)</x:f>
        <x:v>#N/A</x:v>
      </x:c>
      <x:c r="I14" s="163" t="e">
        <x:f>+_xlfn.XLOOKUP($C14,#REF!,#REF!)</x:f>
        <x:v>#N/A</x:v>
      </x:c>
      <x:c r="J14" s="163" t="e">
        <x:f>+_xlfn.XLOOKUP($C14,#REF!,#REF!)</x:f>
        <x:v>#N/A</x:v>
      </x:c>
      <x:c r="K14" s="163" t="e">
        <x:f>+_xlfn.XLOOKUP($C14,#REF!,#REF!)</x:f>
        <x:v>#N/A</x:v>
      </x:c>
      <x:c r="L14" s="163" t="e">
        <x:f>+_xlfn.XLOOKUP($C14,#REF!,#REF!)</x:f>
        <x:v>#N/A</x:v>
      </x:c>
      <x:c r="M14" s="163" t="e">
        <x:f>+_xlfn.XLOOKUP($C14,#REF!,#REF!)</x:f>
        <x:v>#N/A</x:v>
      </x:c>
      <x:c r="N14" s="163" t="e">
        <x:f>+_xlfn.XLOOKUP($C14,#REF!,#REF!)</x:f>
        <x:v>#N/A</x:v>
      </x:c>
      <x:c r="O14" s="163" t="e">
        <x:f>+_xlfn.XLOOKUP($C14,#REF!,#REF!)</x:f>
        <x:v>#N/A</x:v>
      </x:c>
      <x:c r="P14" s="156" t="e">
        <x:f t="shared" si="1"/>
        <x:v>#REF!</x:v>
      </x:c>
      <x:c r="Q14" s="197" t="e">
        <x:f t="shared" si="2"/>
        <x:v>#REF!</x:v>
      </x:c>
      <x:c r="R14" s="198"/>
      <x:c r="S14" s="198"/>
      <x:c r="T14" s="198"/>
      <x:c r="U14" s="198"/>
      <x:c r="V14" s="225"/>
      <x:c r="W14" s="218"/>
      <x:c r="X14" s="159"/>
    </x:row>
    <x:row r="15" ht="21.75">
      <x:c r="B15" s="287"/>
      <x:c r="C15" s="167" t="s">
        <x:v>23</x:v>
      </x:c>
      <x:c r="D15" s="163" t="e">
        <x:f>+_xlfn.XLOOKUP($C15,#REF!,#REF!)</x:f>
        <x:v>#N/A</x:v>
      </x:c>
      <x:c r="E15" s="163" t="e">
        <x:f>+_xlfn.XLOOKUP($C15,#REF!,#REF!)</x:f>
        <x:v>#N/A</x:v>
      </x:c>
      <x:c r="F15" s="163" t="e">
        <x:f>+_xlfn.XLOOKUP($C15,#REF!,#REF!)</x:f>
        <x:v>#N/A</x:v>
      </x:c>
      <x:c r="G15" s="163" t="e">
        <x:f>+_xlfn.XLOOKUP($C15,#REF!,#REF!)</x:f>
        <x:v>#N/A</x:v>
      </x:c>
      <x:c r="H15" s="163" t="e">
        <x:f>+_xlfn.XLOOKUP($C15,#REF!,#REF!)</x:f>
        <x:v>#N/A</x:v>
      </x:c>
      <x:c r="I15" s="163" t="e">
        <x:f>+_xlfn.XLOOKUP($C15,#REF!,#REF!)</x:f>
        <x:v>#N/A</x:v>
      </x:c>
      <x:c r="J15" s="163" t="e">
        <x:f>+_xlfn.XLOOKUP($C15,#REF!,#REF!)</x:f>
        <x:v>#N/A</x:v>
      </x:c>
      <x:c r="K15" s="163" t="e">
        <x:f>+_xlfn.XLOOKUP($C15,#REF!,#REF!)</x:f>
        <x:v>#N/A</x:v>
      </x:c>
      <x:c r="L15" s="163" t="e">
        <x:f>+_xlfn.XLOOKUP($C15,#REF!,#REF!)</x:f>
        <x:v>#N/A</x:v>
      </x:c>
      <x:c r="M15" s="163" t="e">
        <x:f>+_xlfn.XLOOKUP($C15,#REF!,#REF!)</x:f>
        <x:v>#N/A</x:v>
      </x:c>
      <x:c r="N15" s="163" t="e">
        <x:f>+_xlfn.XLOOKUP($C15,#REF!,#REF!)</x:f>
        <x:v>#N/A</x:v>
      </x:c>
      <x:c r="O15" s="163" t="e">
        <x:f>+_xlfn.XLOOKUP($C15,#REF!,#REF!)</x:f>
        <x:v>#N/A</x:v>
      </x:c>
      <x:c r="P15" s="156" t="e">
        <x:f t="shared" si="1"/>
        <x:v>#REF!</x:v>
      </x:c>
      <x:c r="Q15" s="197" t="e">
        <x:f t="shared" si="2"/>
        <x:v>#REF!</x:v>
      </x:c>
      <x:c r="R15" s="198"/>
      <x:c r="S15" s="198"/>
      <x:c r="T15" s="198"/>
      <x:c r="U15" s="198"/>
      <x:c r="V15" s="225"/>
      <x:c r="W15" s="218"/>
      <x:c r="X15" s="159"/>
    </x:row>
    <x:row r="16" ht="21.75">
      <x:c r="B16" s="287"/>
      <x:c r="C16" s="167" t="s">
        <x:v>24</x:v>
      </x:c>
      <x:c r="D16" s="163" t="e">
        <x:f>+_xlfn.XLOOKUP($C16,#REF!,#REF!)</x:f>
        <x:v>#N/A</x:v>
      </x:c>
      <x:c r="E16" s="163" t="e">
        <x:f>+_xlfn.XLOOKUP($C16,#REF!,#REF!)</x:f>
        <x:v>#N/A</x:v>
      </x:c>
      <x:c r="F16" s="163" t="e">
        <x:f>+_xlfn.XLOOKUP($C16,#REF!,#REF!)</x:f>
        <x:v>#N/A</x:v>
      </x:c>
      <x:c r="G16" s="163" t="e">
        <x:f>+_xlfn.XLOOKUP($C16,#REF!,#REF!)</x:f>
        <x:v>#N/A</x:v>
      </x:c>
      <x:c r="H16" s="163" t="e">
        <x:f>+_xlfn.XLOOKUP($C16,#REF!,#REF!)</x:f>
        <x:v>#N/A</x:v>
      </x:c>
      <x:c r="I16" s="163" t="e">
        <x:f>+_xlfn.XLOOKUP($C16,#REF!,#REF!)</x:f>
        <x:v>#N/A</x:v>
      </x:c>
      <x:c r="J16" s="163" t="e">
        <x:f>+_xlfn.XLOOKUP($C16,#REF!,#REF!)</x:f>
        <x:v>#N/A</x:v>
      </x:c>
      <x:c r="K16" s="163" t="e">
        <x:f>+_xlfn.XLOOKUP($C16,#REF!,#REF!)</x:f>
        <x:v>#N/A</x:v>
      </x:c>
      <x:c r="L16" s="163" t="e">
        <x:f>+_xlfn.XLOOKUP($C16,#REF!,#REF!)</x:f>
        <x:v>#N/A</x:v>
      </x:c>
      <x:c r="M16" s="163" t="e">
        <x:f>+_xlfn.XLOOKUP($C16,#REF!,#REF!)</x:f>
        <x:v>#N/A</x:v>
      </x:c>
      <x:c r="N16" s="163" t="e">
        <x:f>+_xlfn.XLOOKUP($C16,#REF!,#REF!)</x:f>
        <x:v>#N/A</x:v>
      </x:c>
      <x:c r="O16" s="163" t="e">
        <x:f>+_xlfn.XLOOKUP($C16,#REF!,#REF!)</x:f>
        <x:v>#N/A</x:v>
      </x:c>
      <x:c r="P16" s="156" t="e">
        <x:f t="shared" si="1"/>
        <x:v>#REF!</x:v>
      </x:c>
      <x:c r="Q16" s="197" t="e">
        <x:f t="shared" si="2"/>
        <x:v>#REF!</x:v>
      </x:c>
      <x:c r="R16" s="198"/>
      <x:c r="S16" s="198"/>
      <x:c r="T16" s="198"/>
      <x:c r="U16" s="198"/>
      <x:c r="V16" s="225"/>
      <x:c r="W16" s="218"/>
      <x:c r="X16" s="159"/>
    </x:row>
    <x:row r="17" ht="21.75">
      <x:c r="B17" s="287"/>
      <x:c r="C17" s="167" t="s">
        <x:v>25</x:v>
      </x:c>
      <x:c r="D17" s="163" t="e">
        <x:f>+_xlfn.XLOOKUP($C17,#REF!,#REF!)</x:f>
        <x:v>#N/A</x:v>
      </x:c>
      <x:c r="E17" s="163" t="e">
        <x:f>+_xlfn.XLOOKUP($C17,#REF!,#REF!)</x:f>
        <x:v>#N/A</x:v>
      </x:c>
      <x:c r="F17" s="163" t="e">
        <x:f>+_xlfn.XLOOKUP($C17,#REF!,#REF!)</x:f>
        <x:v>#N/A</x:v>
      </x:c>
      <x:c r="G17" s="163" t="e">
        <x:f>+_xlfn.XLOOKUP($C17,#REF!,#REF!)</x:f>
        <x:v>#N/A</x:v>
      </x:c>
      <x:c r="H17" s="163" t="e">
        <x:f>+_xlfn.XLOOKUP($C17,#REF!,#REF!)</x:f>
        <x:v>#N/A</x:v>
      </x:c>
      <x:c r="I17" s="163" t="e">
        <x:f>+_xlfn.XLOOKUP($C17,#REF!,#REF!)</x:f>
        <x:v>#N/A</x:v>
      </x:c>
      <x:c r="J17" s="163" t="e">
        <x:f>+_xlfn.XLOOKUP($C17,#REF!,#REF!)</x:f>
        <x:v>#N/A</x:v>
      </x:c>
      <x:c r="K17" s="163" t="e">
        <x:f>+_xlfn.XLOOKUP($C17,#REF!,#REF!)</x:f>
        <x:v>#N/A</x:v>
      </x:c>
      <x:c r="L17" s="163" t="e">
        <x:f>+_xlfn.XLOOKUP($C17,#REF!,#REF!)</x:f>
        <x:v>#N/A</x:v>
      </x:c>
      <x:c r="M17" s="163" t="e">
        <x:f>+_xlfn.XLOOKUP($C17,#REF!,#REF!)</x:f>
        <x:v>#N/A</x:v>
      </x:c>
      <x:c r="N17" s="163" t="e">
        <x:f>+_xlfn.XLOOKUP($C17,#REF!,#REF!)</x:f>
        <x:v>#N/A</x:v>
      </x:c>
      <x:c r="O17" s="163" t="e">
        <x:f>+_xlfn.XLOOKUP($C17,#REF!,#REF!)</x:f>
        <x:v>#N/A</x:v>
      </x:c>
      <x:c r="P17" s="156" t="e">
        <x:f t="shared" si="1"/>
        <x:v>#REF!</x:v>
      </x:c>
      <x:c r="Q17" s="197" t="e">
        <x:f t="shared" si="2"/>
        <x:v>#REF!</x:v>
      </x:c>
      <x:c r="R17" s="198"/>
      <x:c r="S17" s="198"/>
      <x:c r="T17" s="198"/>
      <x:c r="U17" s="198"/>
      <x:c r="V17" s="225"/>
      <x:c r="W17" s="218"/>
      <x:c r="X17" s="159"/>
    </x:row>
    <x:row r="18" ht="21.75">
      <x:c r="B18" s="287"/>
      <x:c r="C18" s="167" t="s">
        <x:v>26</x:v>
      </x:c>
      <x:c r="D18" s="163" t="e">
        <x:f>+_xlfn.XLOOKUP($C18,#REF!,#REF!)</x:f>
        <x:v>#N/A</x:v>
      </x:c>
      <x:c r="E18" s="163" t="e">
        <x:f>+_xlfn.XLOOKUP($C18,#REF!,#REF!)</x:f>
        <x:v>#N/A</x:v>
      </x:c>
      <x:c r="F18" s="163" t="e">
        <x:f>+_xlfn.XLOOKUP($C18,#REF!,#REF!)</x:f>
        <x:v>#N/A</x:v>
      </x:c>
      <x:c r="G18" s="163" t="e">
        <x:f>+_xlfn.XLOOKUP($C18,#REF!,#REF!)</x:f>
        <x:v>#N/A</x:v>
      </x:c>
      <x:c r="H18" s="163" t="e">
        <x:f>+_xlfn.XLOOKUP($C18,#REF!,#REF!)</x:f>
        <x:v>#N/A</x:v>
      </x:c>
      <x:c r="I18" s="163" t="e">
        <x:f>+_xlfn.XLOOKUP($C18,#REF!,#REF!)</x:f>
        <x:v>#N/A</x:v>
      </x:c>
      <x:c r="J18" s="163" t="e">
        <x:f>+_xlfn.XLOOKUP($C18,#REF!,#REF!)</x:f>
        <x:v>#N/A</x:v>
      </x:c>
      <x:c r="K18" s="163" t="e">
        <x:f>+_xlfn.XLOOKUP($C18,#REF!,#REF!)</x:f>
        <x:v>#N/A</x:v>
      </x:c>
      <x:c r="L18" s="163" t="e">
        <x:f>+_xlfn.XLOOKUP($C18,#REF!,#REF!)</x:f>
        <x:v>#N/A</x:v>
      </x:c>
      <x:c r="M18" s="163" t="e">
        <x:f>+_xlfn.XLOOKUP($C18,#REF!,#REF!)</x:f>
        <x:v>#N/A</x:v>
      </x:c>
      <x:c r="N18" s="163" t="e">
        <x:f>+_xlfn.XLOOKUP($C18,#REF!,#REF!)</x:f>
        <x:v>#N/A</x:v>
      </x:c>
      <x:c r="O18" s="163" t="e">
        <x:f>+_xlfn.XLOOKUP($C18,#REF!,#REF!)</x:f>
        <x:v>#N/A</x:v>
      </x:c>
      <x:c r="P18" s="156" t="e">
        <x:f t="shared" si="1"/>
        <x:v>#REF!</x:v>
      </x:c>
      <x:c r="Q18" s="197" t="e">
        <x:f t="shared" si="2"/>
        <x:v>#REF!</x:v>
      </x:c>
      <x:c r="R18" s="198"/>
      <x:c r="S18" s="198"/>
      <x:c r="T18" s="198"/>
      <x:c r="U18" s="198"/>
      <x:c r="V18" s="225"/>
      <x:c r="W18" s="218"/>
      <x:c r="X18" s="159"/>
    </x:row>
    <x:row r="19" ht="21.75">
      <x:c r="B19" s="287"/>
      <x:c r="C19" s="167" t="s">
        <x:v>27</x:v>
      </x:c>
      <x:c r="D19" s="163" t="e">
        <x:f>+_xlfn.XLOOKUP($C19,#REF!,#REF!)</x:f>
        <x:v>#N/A</x:v>
      </x:c>
      <x:c r="E19" s="163" t="e">
        <x:f>+_xlfn.XLOOKUP($C19,#REF!,#REF!)</x:f>
        <x:v>#N/A</x:v>
      </x:c>
      <x:c r="F19" s="163" t="e">
        <x:f>+_xlfn.XLOOKUP($C19,#REF!,#REF!)</x:f>
        <x:v>#N/A</x:v>
      </x:c>
      <x:c r="G19" s="163" t="e">
        <x:f>+_xlfn.XLOOKUP($C19,#REF!,#REF!)</x:f>
        <x:v>#N/A</x:v>
      </x:c>
      <x:c r="H19" s="163" t="e">
        <x:f>+_xlfn.XLOOKUP($C19,#REF!,#REF!)</x:f>
        <x:v>#N/A</x:v>
      </x:c>
      <x:c r="I19" s="163" t="e">
        <x:f>+_xlfn.XLOOKUP($C19,#REF!,#REF!)</x:f>
        <x:v>#N/A</x:v>
      </x:c>
      <x:c r="J19" s="163" t="e">
        <x:f>+_xlfn.XLOOKUP($C19,#REF!,#REF!)</x:f>
        <x:v>#N/A</x:v>
      </x:c>
      <x:c r="K19" s="163" t="e">
        <x:f>+_xlfn.XLOOKUP($C19,#REF!,#REF!)</x:f>
        <x:v>#N/A</x:v>
      </x:c>
      <x:c r="L19" s="163" t="e">
        <x:f>+_xlfn.XLOOKUP($C19,#REF!,#REF!)</x:f>
        <x:v>#N/A</x:v>
      </x:c>
      <x:c r="M19" s="163" t="e">
        <x:f>+_xlfn.XLOOKUP($C19,#REF!,#REF!)</x:f>
        <x:v>#N/A</x:v>
      </x:c>
      <x:c r="N19" s="163" t="e">
        <x:f>+_xlfn.XLOOKUP($C19,#REF!,#REF!)</x:f>
        <x:v>#N/A</x:v>
      </x:c>
      <x:c r="O19" s="163" t="e">
        <x:f>+_xlfn.XLOOKUP($C19,#REF!,#REF!)</x:f>
        <x:v>#N/A</x:v>
      </x:c>
      <x:c r="P19" s="156" t="e">
        <x:f t="shared" si="1"/>
        <x:v>#REF!</x:v>
      </x:c>
      <x:c r="Q19" s="197" t="e">
        <x:f t="shared" si="2"/>
        <x:v>#REF!</x:v>
      </x:c>
      <x:c r="R19" s="198"/>
      <x:c r="S19" s="198"/>
      <x:c r="T19" s="198"/>
      <x:c r="U19" s="198"/>
      <x:c r="V19" s="225"/>
      <x:c r="W19" s="218"/>
      <x:c r="X19" s="159"/>
    </x:row>
    <x:row r="20" ht="21.75">
      <x:c r="B20" s="287"/>
      <x:c r="C20" s="167" t="s">
        <x:v>28</x:v>
      </x:c>
      <x:c r="D20" s="163" t="e">
        <x:f>+_xlfn.XLOOKUP($C20,#REF!,#REF!)</x:f>
        <x:v>#N/A</x:v>
      </x:c>
      <x:c r="E20" s="163" t="e">
        <x:f>+_xlfn.XLOOKUP($C20,#REF!,#REF!)</x:f>
        <x:v>#N/A</x:v>
      </x:c>
      <x:c r="F20" s="163" t="e">
        <x:f>+_xlfn.XLOOKUP($C20,#REF!,#REF!)</x:f>
        <x:v>#N/A</x:v>
      </x:c>
      <x:c r="G20" s="163" t="e">
        <x:f>+_xlfn.XLOOKUP($C20,#REF!,#REF!)</x:f>
        <x:v>#N/A</x:v>
      </x:c>
      <x:c r="H20" s="163" t="e">
        <x:f>+_xlfn.XLOOKUP($C20,#REF!,#REF!)</x:f>
        <x:v>#N/A</x:v>
      </x:c>
      <x:c r="I20" s="163" t="e">
        <x:f>+_xlfn.XLOOKUP($C20,#REF!,#REF!)</x:f>
        <x:v>#N/A</x:v>
      </x:c>
      <x:c r="J20" s="163" t="e">
        <x:f>+_xlfn.XLOOKUP($C20,#REF!,#REF!)</x:f>
        <x:v>#N/A</x:v>
      </x:c>
      <x:c r="K20" s="163" t="e">
        <x:f>+_xlfn.XLOOKUP($C20,#REF!,#REF!)</x:f>
        <x:v>#N/A</x:v>
      </x:c>
      <x:c r="L20" s="163" t="e">
        <x:f>+_xlfn.XLOOKUP($C20,#REF!,#REF!)</x:f>
        <x:v>#N/A</x:v>
      </x:c>
      <x:c r="M20" s="163" t="e">
        <x:f>+_xlfn.XLOOKUP($C20,#REF!,#REF!)</x:f>
        <x:v>#N/A</x:v>
      </x:c>
      <x:c r="N20" s="163" t="e">
        <x:f>+_xlfn.XLOOKUP($C20,#REF!,#REF!)</x:f>
        <x:v>#N/A</x:v>
      </x:c>
      <x:c r="O20" s="163" t="e">
        <x:f>+_xlfn.XLOOKUP($C20,#REF!,#REF!)</x:f>
        <x:v>#N/A</x:v>
      </x:c>
      <x:c r="P20" s="156" t="e">
        <x:f t="shared" si="1"/>
        <x:v>#REF!</x:v>
      </x:c>
      <x:c r="Q20" s="197" t="e">
        <x:f t="shared" si="2"/>
        <x:v>#REF!</x:v>
      </x:c>
      <x:c r="R20" s="198"/>
      <x:c r="S20" s="198"/>
      <x:c r="T20" s="198"/>
      <x:c r="U20" s="198"/>
      <x:c r="V20" s="225"/>
      <x:c r="W20" s="218"/>
      <x:c r="X20" s="159"/>
    </x:row>
    <x:row r="21" ht="21.75">
      <x:c r="B21" s="287"/>
      <x:c r="C21" s="167" t="s">
        <x:v>29</x:v>
      </x:c>
      <x:c r="D21" s="163" t="e">
        <x:f>+_xlfn.XLOOKUP($C21,#REF!,#REF!)</x:f>
        <x:v>#N/A</x:v>
      </x:c>
      <x:c r="E21" s="163" t="e">
        <x:f>+_xlfn.XLOOKUP($C21,#REF!,#REF!)</x:f>
        <x:v>#N/A</x:v>
      </x:c>
      <x:c r="F21" s="163" t="e">
        <x:f>+_xlfn.XLOOKUP($C21,#REF!,#REF!)</x:f>
        <x:v>#N/A</x:v>
      </x:c>
      <x:c r="G21" s="163" t="e">
        <x:f>+_xlfn.XLOOKUP($C21,#REF!,#REF!)</x:f>
        <x:v>#N/A</x:v>
      </x:c>
      <x:c r="H21" s="163" t="e">
        <x:f>+_xlfn.XLOOKUP($C21,#REF!,#REF!)</x:f>
        <x:v>#N/A</x:v>
      </x:c>
      <x:c r="I21" s="163" t="e">
        <x:f>+_xlfn.XLOOKUP($C21,#REF!,#REF!)</x:f>
        <x:v>#N/A</x:v>
      </x:c>
      <x:c r="J21" s="163" t="e">
        <x:f>+_xlfn.XLOOKUP($C21,#REF!,#REF!)</x:f>
        <x:v>#N/A</x:v>
      </x:c>
      <x:c r="K21" s="163" t="e">
        <x:f>+_xlfn.XLOOKUP($C21,#REF!,#REF!)</x:f>
        <x:v>#N/A</x:v>
      </x:c>
      <x:c r="L21" s="163" t="e">
        <x:f>+_xlfn.XLOOKUP($C21,#REF!,#REF!)</x:f>
        <x:v>#N/A</x:v>
      </x:c>
      <x:c r="M21" s="163" t="e">
        <x:f>+_xlfn.XLOOKUP($C21,#REF!,#REF!)</x:f>
        <x:v>#N/A</x:v>
      </x:c>
      <x:c r="N21" s="163" t="e">
        <x:f>+_xlfn.XLOOKUP($C21,#REF!,#REF!)</x:f>
        <x:v>#N/A</x:v>
      </x:c>
      <x:c r="O21" s="163" t="e">
        <x:f>+_xlfn.XLOOKUP($C21,#REF!,#REF!)</x:f>
        <x:v>#N/A</x:v>
      </x:c>
      <x:c r="P21" s="156" t="e">
        <x:f t="shared" si="1"/>
        <x:v>#REF!</x:v>
      </x:c>
      <x:c r="Q21" s="197" t="e">
        <x:f t="shared" si="2"/>
        <x:v>#REF!</x:v>
      </x:c>
      <x:c r="R21" s="198"/>
      <x:c r="S21" s="198"/>
      <x:c r="T21" s="198"/>
      <x:c r="U21" s="198"/>
      <x:c r="V21" s="225"/>
      <x:c r="W21" s="218"/>
      <x:c r="X21" s="159"/>
      <x:c r="Y21" s="174"/>
    </x:row>
    <x:row r="22" ht="21.75">
      <x:c r="B22" s="287"/>
      <x:c r="C22" s="167" t="s">
        <x:v>30</x:v>
      </x:c>
      <x:c r="D22" s="163" t="e">
        <x:f>+_xlfn.XLOOKUP($C22,#REF!,#REF!)</x:f>
        <x:v>#N/A</x:v>
      </x:c>
      <x:c r="E22" s="163" t="e">
        <x:f>+_xlfn.XLOOKUP($C22,#REF!,#REF!)</x:f>
        <x:v>#N/A</x:v>
      </x:c>
      <x:c r="F22" s="163" t="e">
        <x:f>+_xlfn.XLOOKUP($C22,#REF!,#REF!)</x:f>
        <x:v>#N/A</x:v>
      </x:c>
      <x:c r="G22" s="163" t="e">
        <x:f>+_xlfn.XLOOKUP($C22,#REF!,#REF!)</x:f>
        <x:v>#N/A</x:v>
      </x:c>
      <x:c r="H22" s="163" t="e">
        <x:f>+_xlfn.XLOOKUP($C22,#REF!,#REF!)</x:f>
        <x:v>#N/A</x:v>
      </x:c>
      <x:c r="I22" s="163" t="e">
        <x:f>+_xlfn.XLOOKUP($C22,#REF!,#REF!)</x:f>
        <x:v>#N/A</x:v>
      </x:c>
      <x:c r="J22" s="163" t="e">
        <x:f>+_xlfn.XLOOKUP($C22,#REF!,#REF!)</x:f>
        <x:v>#N/A</x:v>
      </x:c>
      <x:c r="K22" s="163" t="e">
        <x:f>+_xlfn.XLOOKUP($C22,#REF!,#REF!)</x:f>
        <x:v>#N/A</x:v>
      </x:c>
      <x:c r="L22" s="163" t="e">
        <x:f>+_xlfn.XLOOKUP($C22,#REF!,#REF!)</x:f>
        <x:v>#N/A</x:v>
      </x:c>
      <x:c r="M22" s="163" t="e">
        <x:f>+_xlfn.XLOOKUP($C22,#REF!,#REF!)</x:f>
        <x:v>#N/A</x:v>
      </x:c>
      <x:c r="N22" s="163" t="e">
        <x:f>+_xlfn.XLOOKUP($C22,#REF!,#REF!)</x:f>
        <x:v>#N/A</x:v>
      </x:c>
      <x:c r="O22" s="163" t="e">
        <x:f>+_xlfn.XLOOKUP($C22,#REF!,#REF!)</x:f>
        <x:v>#N/A</x:v>
      </x:c>
      <x:c r="P22" s="156" t="e">
        <x:f t="shared" si="1"/>
        <x:v>#REF!</x:v>
      </x:c>
      <x:c r="Q22" s="197" t="e">
        <x:f t="shared" si="2"/>
        <x:v>#REF!</x:v>
      </x:c>
      <x:c r="R22" s="198"/>
      <x:c r="S22" s="198"/>
      <x:c r="T22" s="198"/>
      <x:c r="U22" s="198"/>
      <x:c r="V22" s="225"/>
      <x:c r="W22" s="218"/>
      <x:c r="X22" s="159"/>
    </x:row>
    <x:row r="23" ht="21.75">
      <x:c r="B23" s="287"/>
      <x:c r="C23" s="167" t="s">
        <x:v>31</x:v>
      </x:c>
      <x:c r="D23" s="163" t="e">
        <x:f>+_xlfn.XLOOKUP($C23,#REF!,#REF!)</x:f>
        <x:v>#N/A</x:v>
      </x:c>
      <x:c r="E23" s="163" t="e">
        <x:f>+_xlfn.XLOOKUP($C23,#REF!,#REF!)</x:f>
        <x:v>#N/A</x:v>
      </x:c>
      <x:c r="F23" s="163" t="e">
        <x:f>+_xlfn.XLOOKUP($C23,#REF!,#REF!)</x:f>
        <x:v>#N/A</x:v>
      </x:c>
      <x:c r="G23" s="163" t="e">
        <x:f>+_xlfn.XLOOKUP($C23,#REF!,#REF!)</x:f>
        <x:v>#N/A</x:v>
      </x:c>
      <x:c r="H23" s="163" t="e">
        <x:f>+_xlfn.XLOOKUP($C23,#REF!,#REF!)</x:f>
        <x:v>#N/A</x:v>
      </x:c>
      <x:c r="I23" s="163" t="e">
        <x:f>+_xlfn.XLOOKUP($C23,#REF!,#REF!)</x:f>
        <x:v>#N/A</x:v>
      </x:c>
      <x:c r="J23" s="163" t="e">
        <x:f>+_xlfn.XLOOKUP($C23,#REF!,#REF!)</x:f>
        <x:v>#N/A</x:v>
      </x:c>
      <x:c r="K23" s="163" t="e">
        <x:f>+_xlfn.XLOOKUP($C23,#REF!,#REF!)</x:f>
        <x:v>#N/A</x:v>
      </x:c>
      <x:c r="L23" s="163" t="e">
        <x:f>+_xlfn.XLOOKUP($C23,#REF!,#REF!)</x:f>
        <x:v>#N/A</x:v>
      </x:c>
      <x:c r="M23" s="163" t="e">
        <x:f>+_xlfn.XLOOKUP($C23,#REF!,#REF!)</x:f>
        <x:v>#N/A</x:v>
      </x:c>
      <x:c r="N23" s="163" t="e">
        <x:f>+_xlfn.XLOOKUP($C23,#REF!,#REF!)</x:f>
        <x:v>#N/A</x:v>
      </x:c>
      <x:c r="O23" s="163" t="e">
        <x:f>+_xlfn.XLOOKUP($C23,#REF!,#REF!)</x:f>
        <x:v>#N/A</x:v>
      </x:c>
      <x:c r="P23" s="156" t="e">
        <x:f t="shared" si="1"/>
        <x:v>#REF!</x:v>
      </x:c>
      <x:c r="Q23" s="197" t="e">
        <x:f t="shared" si="2"/>
        <x:v>#REF!</x:v>
      </x:c>
      <x:c r="R23" s="198"/>
      <x:c r="S23" s="198"/>
      <x:c r="T23" s="198"/>
      <x:c r="U23" s="198"/>
      <x:c r="V23" s="225"/>
      <x:c r="W23" s="218"/>
      <x:c r="X23" s="159"/>
    </x:row>
    <x:row r="24" ht="21.75">
      <x:c r="B24" s="287"/>
      <x:c r="C24" s="167" t="s">
        <x:v>32</x:v>
      </x:c>
      <x:c r="D24" s="163" t="e">
        <x:f>+_xlfn.XLOOKUP($C24,#REF!,#REF!)</x:f>
        <x:v>#N/A</x:v>
      </x:c>
      <x:c r="E24" s="163" t="e">
        <x:f>+_xlfn.XLOOKUP($C24,#REF!,#REF!)</x:f>
        <x:v>#N/A</x:v>
      </x:c>
      <x:c r="F24" s="163" t="e">
        <x:f>+_xlfn.XLOOKUP($C24,#REF!,#REF!)</x:f>
        <x:v>#N/A</x:v>
      </x:c>
      <x:c r="G24" s="163" t="e">
        <x:f>+_xlfn.XLOOKUP($C24,#REF!,#REF!)</x:f>
        <x:v>#N/A</x:v>
      </x:c>
      <x:c r="H24" s="163" t="e">
        <x:f>+_xlfn.XLOOKUP($C24,#REF!,#REF!)</x:f>
        <x:v>#N/A</x:v>
      </x:c>
      <x:c r="I24" s="163" t="e">
        <x:f>+_xlfn.XLOOKUP($C24,#REF!,#REF!)</x:f>
        <x:v>#N/A</x:v>
      </x:c>
      <x:c r="J24" s="163" t="e">
        <x:f>+_xlfn.XLOOKUP($C24,#REF!,#REF!)</x:f>
        <x:v>#N/A</x:v>
      </x:c>
      <x:c r="K24" s="163" t="e">
        <x:f>+_xlfn.XLOOKUP($C24,#REF!,#REF!)</x:f>
        <x:v>#N/A</x:v>
      </x:c>
      <x:c r="L24" s="163" t="e">
        <x:f>+_xlfn.XLOOKUP($C24,#REF!,#REF!)</x:f>
        <x:v>#N/A</x:v>
      </x:c>
      <x:c r="M24" s="163" t="e">
        <x:f>+_xlfn.XLOOKUP($C24,#REF!,#REF!)</x:f>
        <x:v>#N/A</x:v>
      </x:c>
      <x:c r="N24" s="163" t="e">
        <x:f>+_xlfn.XLOOKUP($C24,#REF!,#REF!)</x:f>
        <x:v>#N/A</x:v>
      </x:c>
      <x:c r="O24" s="163" t="e">
        <x:f>+_xlfn.XLOOKUP($C24,#REF!,#REF!)</x:f>
        <x:v>#N/A</x:v>
      </x:c>
      <x:c r="P24" s="156" t="e">
        <x:f t="shared" si="1"/>
        <x:v>#REF!</x:v>
      </x:c>
      <x:c r="Q24" s="197" t="e">
        <x:f t="shared" si="2"/>
        <x:v>#REF!</x:v>
      </x:c>
      <x:c r="R24" s="198"/>
      <x:c r="S24" s="198"/>
      <x:c r="T24" s="198"/>
      <x:c r="U24" s="198"/>
      <x:c r="V24" s="225"/>
      <x:c r="W24" s="218"/>
      <x:c r="X24" s="159"/>
    </x:row>
    <x:row r="25" ht="21.75">
      <x:c r="B25" s="287"/>
      <x:c r="C25" s="167" t="s">
        <x:v>33</x:v>
      </x:c>
      <x:c r="D25" s="163" t="e">
        <x:f>+_xlfn.XLOOKUP($C25,#REF!,#REF!)</x:f>
        <x:v>#N/A</x:v>
      </x:c>
      <x:c r="E25" s="163" t="e">
        <x:f>+_xlfn.XLOOKUP($C25,#REF!,#REF!)</x:f>
        <x:v>#N/A</x:v>
      </x:c>
      <x:c r="F25" s="163" t="e">
        <x:f>+_xlfn.XLOOKUP($C25,#REF!,#REF!)</x:f>
        <x:v>#N/A</x:v>
      </x:c>
      <x:c r="G25" s="163" t="e">
        <x:f>+_xlfn.XLOOKUP($C25,#REF!,#REF!)</x:f>
        <x:v>#N/A</x:v>
      </x:c>
      <x:c r="H25" s="163" t="e">
        <x:f>+_xlfn.XLOOKUP($C25,#REF!,#REF!)</x:f>
        <x:v>#N/A</x:v>
      </x:c>
      <x:c r="I25" s="163" t="e">
        <x:f>+_xlfn.XLOOKUP($C25,#REF!,#REF!)</x:f>
        <x:v>#N/A</x:v>
      </x:c>
      <x:c r="J25" s="163" t="e">
        <x:f>+_xlfn.XLOOKUP($C25,#REF!,#REF!)</x:f>
        <x:v>#N/A</x:v>
      </x:c>
      <x:c r="K25" s="163" t="e">
        <x:f>+_xlfn.XLOOKUP($C25,#REF!,#REF!)</x:f>
        <x:v>#N/A</x:v>
      </x:c>
      <x:c r="L25" s="163" t="e">
        <x:f>+_xlfn.XLOOKUP($C25,#REF!,#REF!)</x:f>
        <x:v>#N/A</x:v>
      </x:c>
      <x:c r="M25" s="163" t="e">
        <x:f>+_xlfn.XLOOKUP($C25,#REF!,#REF!)</x:f>
        <x:v>#N/A</x:v>
      </x:c>
      <x:c r="N25" s="163" t="e">
        <x:f>+_xlfn.XLOOKUP($C25,#REF!,#REF!)</x:f>
        <x:v>#N/A</x:v>
      </x:c>
      <x:c r="O25" s="163" t="e">
        <x:f>+_xlfn.XLOOKUP($C25,#REF!,#REF!)</x:f>
        <x:v>#N/A</x:v>
      </x:c>
      <x:c r="P25" s="156" t="e">
        <x:f t="shared" si="1"/>
        <x:v>#REF!</x:v>
      </x:c>
      <x:c r="Q25" s="197" t="e">
        <x:f t="shared" si="2"/>
        <x:v>#REF!</x:v>
      </x:c>
      <x:c r="R25" s="198"/>
      <x:c r="S25" s="198"/>
      <x:c r="T25" s="198"/>
      <x:c r="U25" s="198"/>
      <x:c r="V25" s="225"/>
      <x:c r="W25" s="218"/>
      <x:c r="X25" s="159"/>
    </x:row>
    <x:row r="26" ht="21.75">
      <x:c r="B26" s="287"/>
      <x:c r="C26" s="167" t="s">
        <x:v>34</x:v>
      </x:c>
      <x:c r="D26" s="163" t="e">
        <x:f>+_xlfn.XLOOKUP($C26,#REF!,#REF!)</x:f>
        <x:v>#N/A</x:v>
      </x:c>
      <x:c r="E26" s="163" t="e">
        <x:f>+_xlfn.XLOOKUP($C26,#REF!,#REF!)</x:f>
        <x:v>#N/A</x:v>
      </x:c>
      <x:c r="F26" s="163" t="e">
        <x:f>+_xlfn.XLOOKUP($C26,#REF!,#REF!)</x:f>
        <x:v>#N/A</x:v>
      </x:c>
      <x:c r="G26" s="163" t="e">
        <x:f>+_xlfn.XLOOKUP($C26,#REF!,#REF!)</x:f>
        <x:v>#N/A</x:v>
      </x:c>
      <x:c r="H26" s="163" t="e">
        <x:f>+_xlfn.XLOOKUP($C26,#REF!,#REF!)</x:f>
        <x:v>#N/A</x:v>
      </x:c>
      <x:c r="I26" s="163" t="e">
        <x:f>+_xlfn.XLOOKUP($C26,#REF!,#REF!)</x:f>
        <x:v>#N/A</x:v>
      </x:c>
      <x:c r="J26" s="163" t="e">
        <x:f>+_xlfn.XLOOKUP($C26,#REF!,#REF!)</x:f>
        <x:v>#N/A</x:v>
      </x:c>
      <x:c r="K26" s="163" t="e">
        <x:f>+_xlfn.XLOOKUP($C26,#REF!,#REF!)</x:f>
        <x:v>#N/A</x:v>
      </x:c>
      <x:c r="L26" s="163" t="e">
        <x:f>+_xlfn.XLOOKUP($C26,#REF!,#REF!)</x:f>
        <x:v>#N/A</x:v>
      </x:c>
      <x:c r="M26" s="163" t="e">
        <x:f>+_xlfn.XLOOKUP($C26,#REF!,#REF!)</x:f>
        <x:v>#N/A</x:v>
      </x:c>
      <x:c r="N26" s="163" t="e">
        <x:f>+_xlfn.XLOOKUP($C26,#REF!,#REF!)</x:f>
        <x:v>#N/A</x:v>
      </x:c>
      <x:c r="O26" s="163" t="e">
        <x:f>+_xlfn.XLOOKUP($C26,#REF!,#REF!)</x:f>
        <x:v>#N/A</x:v>
      </x:c>
      <x:c r="P26" s="156" t="e">
        <x:f t="shared" si="1"/>
        <x:v>#REF!</x:v>
      </x:c>
      <x:c r="Q26" s="197" t="e">
        <x:f t="shared" si="2"/>
        <x:v>#REF!</x:v>
      </x:c>
      <x:c r="R26" s="198"/>
      <x:c r="S26" s="198"/>
      <x:c r="T26" s="198"/>
      <x:c r="U26" s="198"/>
      <x:c r="V26" s="225"/>
      <x:c r="W26" s="218"/>
      <x:c r="X26" s="159"/>
    </x:row>
    <x:row r="27" ht="21.75">
      <x:c r="B27" s="287"/>
      <x:c r="C27" s="167" t="s">
        <x:v>35</x:v>
      </x:c>
      <x:c r="D27" s="163" t="e">
        <x:f>+_xlfn.XLOOKUP($C27,#REF!,#REF!)</x:f>
        <x:v>#N/A</x:v>
      </x:c>
      <x:c r="E27" s="163" t="e">
        <x:f>+_xlfn.XLOOKUP($C27,#REF!,#REF!)</x:f>
        <x:v>#N/A</x:v>
      </x:c>
      <x:c r="F27" s="163" t="e">
        <x:f>+_xlfn.XLOOKUP($C27,#REF!,#REF!)</x:f>
        <x:v>#N/A</x:v>
      </x:c>
      <x:c r="G27" s="163" t="e">
        <x:f>+_xlfn.XLOOKUP($C27,#REF!,#REF!)</x:f>
        <x:v>#N/A</x:v>
      </x:c>
      <x:c r="H27" s="163" t="e">
        <x:f>+_xlfn.XLOOKUP($C27,#REF!,#REF!)</x:f>
        <x:v>#N/A</x:v>
      </x:c>
      <x:c r="I27" s="163" t="e">
        <x:f>+_xlfn.XLOOKUP($C27,#REF!,#REF!)</x:f>
        <x:v>#N/A</x:v>
      </x:c>
      <x:c r="J27" s="163" t="e">
        <x:f>+_xlfn.XLOOKUP($C27,#REF!,#REF!)</x:f>
        <x:v>#N/A</x:v>
      </x:c>
      <x:c r="K27" s="163" t="e">
        <x:f>+_xlfn.XLOOKUP($C27,#REF!,#REF!)</x:f>
        <x:v>#N/A</x:v>
      </x:c>
      <x:c r="L27" s="163" t="e">
        <x:f>+_xlfn.XLOOKUP($C27,#REF!,#REF!)</x:f>
        <x:v>#N/A</x:v>
      </x:c>
      <x:c r="M27" s="163" t="e">
        <x:f>+_xlfn.XLOOKUP($C27,#REF!,#REF!)</x:f>
        <x:v>#N/A</x:v>
      </x:c>
      <x:c r="N27" s="163" t="e">
        <x:f>+_xlfn.XLOOKUP($C27,#REF!,#REF!)</x:f>
        <x:v>#N/A</x:v>
      </x:c>
      <x:c r="O27" s="163" t="e">
        <x:f>+_xlfn.XLOOKUP($C27,#REF!,#REF!)</x:f>
        <x:v>#N/A</x:v>
      </x:c>
      <x:c r="P27" s="156" t="e">
        <x:f>+AVERAGE(D27:O27)</x:f>
        <x:v>#VALUE!</x:v>
      </x:c>
      <x:c r="Q27" s="197" t="e">
        <x:f t="shared" si="2"/>
        <x:v>#REF!</x:v>
      </x:c>
      <x:c r="R27" s="198"/>
      <x:c r="S27" s="198"/>
      <x:c r="T27" s="198"/>
      <x:c r="U27" s="198"/>
      <x:c r="V27" s="225"/>
      <x:c r="W27" s="218"/>
      <x:c r="X27" s="159"/>
    </x:row>
    <x:row r="28" ht="21.75">
      <x:c r="B28" s="287"/>
      <x:c r="C28" s="167" t="s">
        <x:v>36</x:v>
      </x:c>
      <x:c r="D28" s="163" t="e">
        <x:f>+_xlfn.XLOOKUP($C28,#REF!,#REF!)</x:f>
        <x:v>#N/A</x:v>
      </x:c>
      <x:c r="E28" s="163" t="e">
        <x:f>+_xlfn.XLOOKUP($C28,#REF!,#REF!)</x:f>
        <x:v>#N/A</x:v>
      </x:c>
      <x:c r="F28" s="163" t="e">
        <x:f>+_xlfn.XLOOKUP($C28,#REF!,#REF!)</x:f>
        <x:v>#N/A</x:v>
      </x:c>
      <x:c r="G28" s="163" t="e">
        <x:f>+_xlfn.XLOOKUP($C28,#REF!,#REF!)</x:f>
        <x:v>#N/A</x:v>
      </x:c>
      <x:c r="H28" s="163" t="e">
        <x:f>+_xlfn.XLOOKUP($C28,#REF!,#REF!)</x:f>
        <x:v>#N/A</x:v>
      </x:c>
      <x:c r="I28" s="163" t="e">
        <x:f>+_xlfn.XLOOKUP($C28,#REF!,#REF!)</x:f>
        <x:v>#N/A</x:v>
      </x:c>
      <x:c r="J28" s="163" t="e">
        <x:f>+_xlfn.XLOOKUP($C28,#REF!,#REF!)</x:f>
        <x:v>#N/A</x:v>
      </x:c>
      <x:c r="K28" s="163" t="e">
        <x:f>+_xlfn.XLOOKUP($C28,#REF!,#REF!)</x:f>
        <x:v>#N/A</x:v>
      </x:c>
      <x:c r="L28" s="163" t="e">
        <x:f>+_xlfn.XLOOKUP($C28,#REF!,#REF!)</x:f>
        <x:v>#N/A</x:v>
      </x:c>
      <x:c r="M28" s="163" t="e">
        <x:f>+_xlfn.XLOOKUP($C28,#REF!,#REF!)</x:f>
        <x:v>#N/A</x:v>
      </x:c>
      <x:c r="N28" s="163" t="e">
        <x:f>+_xlfn.XLOOKUP($C28,#REF!,#REF!)</x:f>
        <x:v>#N/A</x:v>
      </x:c>
      <x:c r="O28" s="163" t="e">
        <x:f>+_xlfn.XLOOKUP($C28,#REF!,#REF!)</x:f>
        <x:v>#N/A</x:v>
      </x:c>
      <x:c r="P28" s="156" t="e">
        <x:f t="shared" si="1"/>
        <x:v>#REF!</x:v>
      </x:c>
      <x:c r="Q28" s="197" t="e">
        <x:f t="shared" si="2"/>
        <x:v>#REF!</x:v>
      </x:c>
      <x:c r="R28" s="198"/>
      <x:c r="S28" s="198"/>
      <x:c r="T28" s="198"/>
      <x:c r="U28" s="198"/>
      <x:c r="V28" s="225"/>
      <x:c r="W28" s="218"/>
      <x:c r="X28" s="159"/>
    </x:row>
    <x:row r="29" ht="21.75">
      <x:c r="B29" s="287"/>
      <x:c r="C29" s="167" t="s">
        <x:v>37</x:v>
      </x:c>
      <x:c r="D29" s="163" t="e">
        <x:f>+_xlfn.XLOOKUP($C29,#REF!,#REF!)</x:f>
        <x:v>#N/A</x:v>
      </x:c>
      <x:c r="E29" s="163" t="e">
        <x:f>+_xlfn.XLOOKUP($C29,#REF!,#REF!)</x:f>
        <x:v>#N/A</x:v>
      </x:c>
      <x:c r="F29" s="163" t="e">
        <x:f>+_xlfn.XLOOKUP($C29,#REF!,#REF!)</x:f>
        <x:v>#N/A</x:v>
      </x:c>
      <x:c r="G29" s="163" t="e">
        <x:f>+_xlfn.XLOOKUP($C29,#REF!,#REF!)</x:f>
        <x:v>#N/A</x:v>
      </x:c>
      <x:c r="H29" s="163" t="e">
        <x:f>+_xlfn.XLOOKUP($C29,#REF!,#REF!)</x:f>
        <x:v>#N/A</x:v>
      </x:c>
      <x:c r="I29" s="163" t="e">
        <x:f>+_xlfn.XLOOKUP($C29,#REF!,#REF!)</x:f>
        <x:v>#N/A</x:v>
      </x:c>
      <x:c r="J29" s="163" t="e">
        <x:f>+_xlfn.XLOOKUP($C29,#REF!,#REF!)</x:f>
        <x:v>#N/A</x:v>
      </x:c>
      <x:c r="K29" s="163" t="e">
        <x:f>+_xlfn.XLOOKUP($C29,#REF!,#REF!)</x:f>
        <x:v>#N/A</x:v>
      </x:c>
      <x:c r="L29" s="163" t="e">
        <x:f>+_xlfn.XLOOKUP($C29,#REF!,#REF!)</x:f>
        <x:v>#N/A</x:v>
      </x:c>
      <x:c r="M29" s="163" t="e">
        <x:f>+_xlfn.XLOOKUP($C29,#REF!,#REF!)</x:f>
        <x:v>#N/A</x:v>
      </x:c>
      <x:c r="N29" s="163" t="e">
        <x:f>+_xlfn.XLOOKUP($C29,#REF!,#REF!)</x:f>
        <x:v>#N/A</x:v>
      </x:c>
      <x:c r="O29" s="163" t="e">
        <x:f>+_xlfn.XLOOKUP($C29,#REF!,#REF!)</x:f>
        <x:v>#N/A</x:v>
      </x:c>
      <x:c r="P29" s="156" t="e">
        <x:f t="shared" si="1"/>
        <x:v>#REF!</x:v>
      </x:c>
      <x:c r="Q29" s="197" t="e">
        <x:f t="shared" si="2"/>
        <x:v>#REF!</x:v>
      </x:c>
      <x:c r="R29" s="198"/>
      <x:c r="S29" s="198"/>
      <x:c r="T29" s="198"/>
      <x:c r="U29" s="198"/>
      <x:c r="V29" s="225"/>
      <x:c r="W29" s="218"/>
      <x:c r="X29" s="159"/>
    </x:row>
    <x:row r="30" ht="21.75">
      <x:c r="B30" s="287"/>
      <x:c r="C30" s="167" t="s">
        <x:v>38</x:v>
      </x:c>
      <x:c r="D30" s="163" t="e">
        <x:f>+_xlfn.XLOOKUP($C30,#REF!,#REF!)</x:f>
        <x:v>#N/A</x:v>
      </x:c>
      <x:c r="E30" s="163" t="e">
        <x:f>+_xlfn.XLOOKUP($C30,#REF!,#REF!)</x:f>
        <x:v>#N/A</x:v>
      </x:c>
      <x:c r="F30" s="163" t="e">
        <x:f>+_xlfn.XLOOKUP($C30,#REF!,#REF!)</x:f>
        <x:v>#N/A</x:v>
      </x:c>
      <x:c r="G30" s="163" t="e">
        <x:f>+_xlfn.XLOOKUP($C30,#REF!,#REF!)</x:f>
        <x:v>#N/A</x:v>
      </x:c>
      <x:c r="H30" s="163" t="e">
        <x:f>+_xlfn.XLOOKUP($C30,#REF!,#REF!)</x:f>
        <x:v>#N/A</x:v>
      </x:c>
      <x:c r="I30" s="163" t="e">
        <x:f>+_xlfn.XLOOKUP($C30,#REF!,#REF!)</x:f>
        <x:v>#N/A</x:v>
      </x:c>
      <x:c r="J30" s="163" t="e">
        <x:f>+_xlfn.XLOOKUP($C30,#REF!,#REF!)</x:f>
        <x:v>#N/A</x:v>
      </x:c>
      <x:c r="K30" s="163" t="e">
        <x:f>+_xlfn.XLOOKUP($C30,#REF!,#REF!)</x:f>
        <x:v>#N/A</x:v>
      </x:c>
      <x:c r="L30" s="163" t="e">
        <x:f>+_xlfn.XLOOKUP($C30,#REF!,#REF!)</x:f>
        <x:v>#N/A</x:v>
      </x:c>
      <x:c r="M30" s="163" t="e">
        <x:f>+_xlfn.XLOOKUP($C30,#REF!,#REF!)</x:f>
        <x:v>#N/A</x:v>
      </x:c>
      <x:c r="N30" s="163" t="e">
        <x:f>+_xlfn.XLOOKUP($C30,#REF!,#REF!)</x:f>
        <x:v>#N/A</x:v>
      </x:c>
      <x:c r="O30" s="163" t="e">
        <x:f>+_xlfn.XLOOKUP($C30,#REF!,#REF!)</x:f>
        <x:v>#N/A</x:v>
      </x:c>
      <x:c r="P30" s="156" t="e">
        <x:f t="shared" si="1"/>
        <x:v>#REF!</x:v>
      </x:c>
      <x:c r="Q30" s="197" t="e">
        <x:f t="shared" si="2"/>
        <x:v>#REF!</x:v>
      </x:c>
      <x:c r="R30" s="198"/>
      <x:c r="S30" s="198"/>
      <x:c r="T30" s="198"/>
      <x:c r="U30" s="198"/>
      <x:c r="V30" s="225"/>
      <x:c r="W30" s="218"/>
      <x:c r="X30" s="159"/>
    </x:row>
    <x:row r="31" ht="21.75">
      <x:c r="B31" s="288"/>
      <x:c r="C31" s="190" t="s">
        <x:v>39</x:v>
      </x:c>
      <x:c r="D31" s="189" t="e">
        <x:f>+_xlfn.XLOOKUP($C31,#REF!,#REF!)</x:f>
        <x:v>#N/A</x:v>
      </x:c>
      <x:c r="E31" s="189" t="e">
        <x:f>+_xlfn.XLOOKUP($C31,#REF!,#REF!)</x:f>
        <x:v>#N/A</x:v>
      </x:c>
      <x:c r="F31" s="189" t="e">
        <x:f>+_xlfn.XLOOKUP($C31,#REF!,#REF!)</x:f>
        <x:v>#N/A</x:v>
      </x:c>
      <x:c r="G31" s="189" t="e">
        <x:f>+_xlfn.XLOOKUP($C31,#REF!,#REF!)</x:f>
        <x:v>#N/A</x:v>
      </x:c>
      <x:c r="H31" s="189" t="e">
        <x:f>+_xlfn.XLOOKUP($C31,#REF!,#REF!)</x:f>
        <x:v>#N/A</x:v>
      </x:c>
      <x:c r="I31" s="189" t="e">
        <x:f>+_xlfn.XLOOKUP($C31,#REF!,#REF!)</x:f>
        <x:v>#N/A</x:v>
      </x:c>
      <x:c r="J31" s="189" t="e">
        <x:f>+_xlfn.XLOOKUP($C31,#REF!,#REF!)</x:f>
        <x:v>#N/A</x:v>
      </x:c>
      <x:c r="K31" s="189" t="e">
        <x:f>+_xlfn.XLOOKUP($C31,#REF!,#REF!)</x:f>
        <x:v>#N/A</x:v>
      </x:c>
      <x:c r="L31" s="189" t="e">
        <x:f>+_xlfn.XLOOKUP($C31,#REF!,#REF!)</x:f>
        <x:v>#N/A</x:v>
      </x:c>
      <x:c r="M31" s="189" t="e">
        <x:f>+_xlfn.XLOOKUP($C31,#REF!,#REF!)</x:f>
        <x:v>#N/A</x:v>
      </x:c>
      <x:c r="N31" s="189" t="e">
        <x:f>+_xlfn.XLOOKUP($C31,#REF!,#REF!)</x:f>
        <x:v>#N/A</x:v>
      </x:c>
      <x:c r="O31" s="189" t="e">
        <x:f>+_xlfn.XLOOKUP($C31,#REF!,#REF!)</x:f>
        <x:v>#N/A</x:v>
      </x:c>
      <x:c r="P31" s="161" t="e">
        <x:f t="shared" si="1"/>
        <x:v>#REF!</x:v>
      </x:c>
      <x:c r="Q31" s="197" t="e">
        <x:f t="shared" si="2"/>
        <x:v>#REF!</x:v>
      </x:c>
      <x:c r="R31" s="199"/>
      <x:c r="S31" s="199"/>
      <x:c r="T31" s="199"/>
      <x:c r="U31" s="199"/>
      <x:c r="V31" s="226"/>
      <x:c r="W31" s="219"/>
      <x:c r="X31" s="162"/>
    </x:row>
    <x:row r="32" s="186" customFormat="1" ht="13.5" customHeight="1">
      <x:c r="B32" s="278" t="s">
        <x:v>40</x:v>
      </x:c>
      <x:c r="C32" s="232"/>
      <x:c r="D32" s="233"/>
      <x:c r="E32" s="233"/>
      <x:c r="F32" s="233"/>
      <x:c r="G32" s="233"/>
      <x:c r="H32" s="233"/>
      <x:c r="I32" s="233"/>
      <x:c r="J32" s="233"/>
      <x:c r="K32" s="233"/>
      <x:c r="L32" s="233"/>
      <x:c r="M32" s="233"/>
      <x:c r="N32" s="233"/>
      <x:c r="O32" s="233"/>
      <x:c r="P32" s="234"/>
      <x:c r="Q32" s="200" t="s">
        <x:v>13</x:v>
      </x:c>
      <x:c r="R32" s="200" t="s">
        <x:v>14</x:v>
      </x:c>
      <x:c r="S32" s="200" t="s">
        <x:v>15</x:v>
      </x:c>
      <x:c r="T32" s="200" t="s">
        <x:v>16</x:v>
      </x:c>
      <x:c r="U32" s="200" t="s">
        <x:v>41</x:v>
      </x:c>
      <x:c r="V32" s="200" t="s">
        <x:v>1</x:v>
      </x:c>
    </x:row>
    <x:row r="33" s="186" customFormat="1" ht="13.5">
      <x:c r="B33" s="279"/>
      <x:c r="C33" s="235"/>
      <x:c r="D33" s="236"/>
      <x:c r="E33" s="236"/>
      <x:c r="F33" s="236"/>
      <x:c r="G33" s="236"/>
      <x:c r="H33" s="236"/>
      <x:c r="I33" s="236"/>
      <x:c r="J33" s="236"/>
      <x:c r="K33" s="236"/>
      <x:c r="L33" s="236"/>
      <x:c r="M33" s="236"/>
      <x:c r="N33" s="236"/>
      <x:c r="O33" s="236"/>
      <x:c r="P33" s="237"/>
      <x:c r="Q33" s="196" t="n">
        <x:f>+F9</x:f>
        <x:v>0.2499999999999999</x:v>
      </x:c>
      <x:c r="R33" s="196" t="n">
        <x:f>+H9</x:f>
        <x:v>0.4166666666666665</x:v>
      </x:c>
      <x:c r="S33" s="196" t="n">
        <x:f>+J9</x:f>
        <x:v>0.5833333333333331</x:v>
      </x:c>
      <x:c r="T33" s="196" t="n">
        <x:f>+L9</x:f>
        <x:v>0.7499999999999997</x:v>
      </x:c>
      <x:c r="U33" s="196" t="n">
        <x:f>+N9</x:f>
        <x:v>0.9166666666666663</x:v>
      </x:c>
      <x:c r="V33" s="196" t="n">
        <x:f>+O9</x:f>
        <x:v>0.9999999999999996</x:v>
      </x:c>
    </x:row>
    <x:row r="34" ht="21.75" customHeight="1">
      <x:c r="B34" s="279"/>
      <x:c r="C34" s="164" t="s">
        <x:v>42</x:v>
      </x:c>
      <x:c r="D34" s="163" t="e">
        <x:f>+_xlfn.XLOOKUP($C34,#REF!,#REF!)</x:f>
        <x:v>#N/A</x:v>
      </x:c>
      <x:c r="E34" s="163" t="e">
        <x:f>+_xlfn.XLOOKUP($C34,#REF!,#REF!)</x:f>
        <x:v>#N/A</x:v>
      </x:c>
      <x:c r="F34" s="163" t="e">
        <x:f>+_xlfn.XLOOKUP($C34,#REF!,#REF!)</x:f>
        <x:v>#N/A</x:v>
      </x:c>
      <x:c r="G34" s="163" t="e">
        <x:f>+_xlfn.XLOOKUP($C34,#REF!,#REF!)</x:f>
        <x:v>#N/A</x:v>
      </x:c>
      <x:c r="H34" s="163" t="e">
        <x:f>+_xlfn.XLOOKUP($C34,#REF!,#REF!)</x:f>
        <x:v>#N/A</x:v>
      </x:c>
      <x:c r="I34" s="163" t="e">
        <x:f>+_xlfn.XLOOKUP($C34,#REF!,#REF!)</x:f>
        <x:v>#N/A</x:v>
      </x:c>
      <x:c r="J34" s="163" t="e">
        <x:f>+_xlfn.XLOOKUP($C34,#REF!,#REF!)</x:f>
        <x:v>#N/A</x:v>
      </x:c>
      <x:c r="K34" s="163" t="e">
        <x:f>+_xlfn.XLOOKUP($C34,#REF!,#REF!)</x:f>
        <x:v>#N/A</x:v>
      </x:c>
      <x:c r="L34" s="163" t="e">
        <x:f>+_xlfn.XLOOKUP($C34,#REF!,#REF!)</x:f>
        <x:v>#N/A</x:v>
      </x:c>
      <x:c r="M34" s="163" t="e">
        <x:f>+_xlfn.XLOOKUP($C34,#REF!,#REF!)</x:f>
        <x:v>#N/A</x:v>
      </x:c>
      <x:c r="N34" s="163" t="e">
        <x:f>+_xlfn.XLOOKUP($C34,#REF!,#REF!)</x:f>
        <x:v>#N/A</x:v>
      </x:c>
      <x:c r="O34" s="163" t="e">
        <x:f>+_xlfn.XLOOKUP($C34,#REF!,#REF!)</x:f>
        <x:v>#N/A</x:v>
      </x:c>
      <x:c r="P34" s="157" t="e">
        <x:f t="shared" si="1"/>
        <x:v>#REF!</x:v>
      </x:c>
      <x:c r="Q34" s="197" t="e">
        <x:f>P34</x:f>
        <x:v>#REF!</x:v>
      </x:c>
      <x:c r="R34" s="201"/>
      <x:c r="S34" s="201"/>
      <x:c r="T34" s="201"/>
      <x:c r="U34" s="201"/>
      <x:c r="V34" s="227"/>
      <x:c r="W34" s="217"/>
      <x:c r="X34" s="158"/>
    </x:row>
    <x:row r="35" s="1" customFormat="1" ht="21.75">
      <x:c r="A35" s="4"/>
      <x:c r="B35" s="279"/>
      <x:c r="C35" s="165" t="s">
        <x:v>43</x:v>
      </x:c>
      <x:c r="D35" s="163" t="e">
        <x:f>+_xlfn.XLOOKUP($C35,#REF!,#REF!)</x:f>
        <x:v>#N/A</x:v>
      </x:c>
      <x:c r="E35" s="163" t="e">
        <x:f>+_xlfn.XLOOKUP($C35,#REF!,#REF!)</x:f>
        <x:v>#N/A</x:v>
      </x:c>
      <x:c r="F35" s="163" t="e">
        <x:f>+_xlfn.XLOOKUP($C35,#REF!,#REF!)</x:f>
        <x:v>#N/A</x:v>
      </x:c>
      <x:c r="G35" s="163" t="e">
        <x:f>+_xlfn.XLOOKUP($C35,#REF!,#REF!)</x:f>
        <x:v>#N/A</x:v>
      </x:c>
      <x:c r="H35" s="163" t="e">
        <x:f>+_xlfn.XLOOKUP($C35,#REF!,#REF!)</x:f>
        <x:v>#N/A</x:v>
      </x:c>
      <x:c r="I35" s="163" t="e">
        <x:f>+_xlfn.XLOOKUP($C35,#REF!,#REF!)</x:f>
        <x:v>#N/A</x:v>
      </x:c>
      <x:c r="J35" s="163" t="e">
        <x:f>+_xlfn.XLOOKUP($C35,#REF!,#REF!)</x:f>
        <x:v>#N/A</x:v>
      </x:c>
      <x:c r="K35" s="163" t="e">
        <x:f>+_xlfn.XLOOKUP($C35,#REF!,#REF!)</x:f>
        <x:v>#N/A</x:v>
      </x:c>
      <x:c r="L35" s="163" t="e">
        <x:f>+_xlfn.XLOOKUP($C35,#REF!,#REF!)</x:f>
        <x:v>#N/A</x:v>
      </x:c>
      <x:c r="M35" s="163" t="e">
        <x:f>+_xlfn.XLOOKUP($C35,#REF!,#REF!)</x:f>
        <x:v>#N/A</x:v>
      </x:c>
      <x:c r="N35" s="163" t="e">
        <x:f>+_xlfn.XLOOKUP($C35,#REF!,#REF!)</x:f>
        <x:v>#N/A</x:v>
      </x:c>
      <x:c r="O35" s="163" t="e">
        <x:f>+_xlfn.XLOOKUP($C35,#REF!,#REF!)</x:f>
        <x:v>#N/A</x:v>
      </x:c>
      <x:c r="P35" s="156" t="e">
        <x:f t="shared" si="1"/>
        <x:v>#REF!</x:v>
      </x:c>
      <x:c r="Q35" s="197" t="e">
        <x:f t="shared" ref="Q35:Q48" si="3">P35</x:f>
        <x:v>#REF!</x:v>
      </x:c>
      <x:c r="R35" s="198"/>
      <x:c r="S35" s="198"/>
      <x:c r="T35" s="198"/>
      <x:c r="U35" s="198"/>
      <x:c r="V35" s="225"/>
      <x:c r="W35" s="218"/>
      <x:c r="X35" s="159"/>
    </x:row>
    <x:row r="36" s="1" customFormat="1" ht="21.75">
      <x:c r="A36" s="4"/>
      <x:c r="B36" s="279"/>
      <x:c r="C36" s="165" t="s">
        <x:v>44</x:v>
      </x:c>
      <x:c r="D36" s="163" t="e">
        <x:f>+_xlfn.XLOOKUP($C36,#REF!,#REF!)</x:f>
        <x:v>#N/A</x:v>
      </x:c>
      <x:c r="E36" s="163" t="e">
        <x:f>+_xlfn.XLOOKUP($C36,#REF!,#REF!)</x:f>
        <x:v>#N/A</x:v>
      </x:c>
      <x:c r="F36" s="163" t="e">
        <x:f>+_xlfn.XLOOKUP($C36,#REF!,#REF!)</x:f>
        <x:v>#N/A</x:v>
      </x:c>
      <x:c r="G36" s="163" t="e">
        <x:f>+_xlfn.XLOOKUP($C36,#REF!,#REF!)</x:f>
        <x:v>#N/A</x:v>
      </x:c>
      <x:c r="H36" s="163" t="e">
        <x:f>+_xlfn.XLOOKUP($C36,#REF!,#REF!)</x:f>
        <x:v>#N/A</x:v>
      </x:c>
      <x:c r="I36" s="163" t="e">
        <x:f>+_xlfn.XLOOKUP($C36,#REF!,#REF!)</x:f>
        <x:v>#N/A</x:v>
      </x:c>
      <x:c r="J36" s="163" t="e">
        <x:f>+_xlfn.XLOOKUP($C36,#REF!,#REF!)</x:f>
        <x:v>#N/A</x:v>
      </x:c>
      <x:c r="K36" s="163" t="e">
        <x:f>+_xlfn.XLOOKUP($C36,#REF!,#REF!)</x:f>
        <x:v>#N/A</x:v>
      </x:c>
      <x:c r="L36" s="163" t="e">
        <x:f>+_xlfn.XLOOKUP($C36,#REF!,#REF!)</x:f>
        <x:v>#N/A</x:v>
      </x:c>
      <x:c r="M36" s="163" t="e">
        <x:f>+_xlfn.XLOOKUP($C36,#REF!,#REF!)</x:f>
        <x:v>#N/A</x:v>
      </x:c>
      <x:c r="N36" s="163" t="e">
        <x:f>+_xlfn.XLOOKUP($C36,#REF!,#REF!)</x:f>
        <x:v>#N/A</x:v>
      </x:c>
      <x:c r="O36" s="163" t="e">
        <x:f>+_xlfn.XLOOKUP($C36,#REF!,#REF!)</x:f>
        <x:v>#N/A</x:v>
      </x:c>
      <x:c r="P36" s="156" t="e">
        <x:f t="shared" si="1"/>
        <x:v>#REF!</x:v>
      </x:c>
      <x:c r="Q36" s="197" t="e">
        <x:f t="shared" si="3"/>
        <x:v>#REF!</x:v>
      </x:c>
      <x:c r="R36" s="198"/>
      <x:c r="S36" s="198"/>
      <x:c r="T36" s="198"/>
      <x:c r="U36" s="198"/>
      <x:c r="V36" s="225"/>
      <x:c r="W36" s="218"/>
      <x:c r="X36" s="159"/>
    </x:row>
    <x:row r="37" s="1" customFormat="1" ht="21.75">
      <x:c r="A37" s="4"/>
      <x:c r="B37" s="279"/>
      <x:c r="C37" s="165" t="s">
        <x:v>45</x:v>
      </x:c>
      <x:c r="D37" s="163" t="e">
        <x:f>+_xlfn.XLOOKUP($C37,#REF!,#REF!)</x:f>
        <x:v>#N/A</x:v>
      </x:c>
      <x:c r="E37" s="163" t="e">
        <x:f>+_xlfn.XLOOKUP($C37,#REF!,#REF!)</x:f>
        <x:v>#N/A</x:v>
      </x:c>
      <x:c r="F37" s="163" t="e">
        <x:f>+_xlfn.XLOOKUP($C37,#REF!,#REF!)</x:f>
        <x:v>#N/A</x:v>
      </x:c>
      <x:c r="G37" s="163" t="e">
        <x:f>+_xlfn.XLOOKUP($C37,#REF!,#REF!)</x:f>
        <x:v>#N/A</x:v>
      </x:c>
      <x:c r="H37" s="163" t="e">
        <x:f>+_xlfn.XLOOKUP($C37,#REF!,#REF!)</x:f>
        <x:v>#N/A</x:v>
      </x:c>
      <x:c r="I37" s="163" t="e">
        <x:f>+_xlfn.XLOOKUP($C37,#REF!,#REF!)</x:f>
        <x:v>#N/A</x:v>
      </x:c>
      <x:c r="J37" s="163" t="e">
        <x:f>+_xlfn.XLOOKUP($C37,#REF!,#REF!)</x:f>
        <x:v>#N/A</x:v>
      </x:c>
      <x:c r="K37" s="163" t="e">
        <x:f>+_xlfn.XLOOKUP($C37,#REF!,#REF!)</x:f>
        <x:v>#N/A</x:v>
      </x:c>
      <x:c r="L37" s="163" t="e">
        <x:f>+_xlfn.XLOOKUP($C37,#REF!,#REF!)</x:f>
        <x:v>#N/A</x:v>
      </x:c>
      <x:c r="M37" s="163" t="e">
        <x:f>+_xlfn.XLOOKUP($C37,#REF!,#REF!)</x:f>
        <x:v>#N/A</x:v>
      </x:c>
      <x:c r="N37" s="163" t="e">
        <x:f>+_xlfn.XLOOKUP($C37,#REF!,#REF!)</x:f>
        <x:v>#N/A</x:v>
      </x:c>
      <x:c r="O37" s="163" t="e">
        <x:f>+_xlfn.XLOOKUP($C37,#REF!,#REF!)</x:f>
        <x:v>#N/A</x:v>
      </x:c>
      <x:c r="P37" s="156" t="e">
        <x:f t="shared" si="1"/>
        <x:v>#REF!</x:v>
      </x:c>
      <x:c r="Q37" s="197" t="e">
        <x:f t="shared" si="3"/>
        <x:v>#REF!</x:v>
      </x:c>
      <x:c r="R37" s="198"/>
      <x:c r="S37" s="198"/>
      <x:c r="T37" s="198"/>
      <x:c r="U37" s="198"/>
      <x:c r="V37" s="225"/>
      <x:c r="W37" s="218"/>
      <x:c r="X37" s="159"/>
    </x:row>
    <x:row r="38" s="1" customFormat="1" ht="21.75">
      <x:c r="A38" s="4"/>
      <x:c r="B38" s="279"/>
      <x:c r="C38" s="165" t="s">
        <x:v>46</x:v>
      </x:c>
      <x:c r="D38" s="163" t="e">
        <x:f>+_xlfn.XLOOKUP($C38,#REF!,#REF!)</x:f>
        <x:v>#N/A</x:v>
      </x:c>
      <x:c r="E38" s="163" t="e">
        <x:f>+_xlfn.XLOOKUP($C38,#REF!,#REF!)</x:f>
        <x:v>#N/A</x:v>
      </x:c>
      <x:c r="F38" s="163" t="e">
        <x:f>+_xlfn.XLOOKUP($C38,#REF!,#REF!)</x:f>
        <x:v>#N/A</x:v>
      </x:c>
      <x:c r="G38" s="163" t="e">
        <x:f>+_xlfn.XLOOKUP($C38,#REF!,#REF!)</x:f>
        <x:v>#N/A</x:v>
      </x:c>
      <x:c r="H38" s="163" t="e">
        <x:f>+_xlfn.XLOOKUP($C38,#REF!,#REF!)</x:f>
        <x:v>#N/A</x:v>
      </x:c>
      <x:c r="I38" s="163" t="e">
        <x:f>+_xlfn.XLOOKUP($C38,#REF!,#REF!)</x:f>
        <x:v>#N/A</x:v>
      </x:c>
      <x:c r="J38" s="163" t="e">
        <x:f>+_xlfn.XLOOKUP($C38,#REF!,#REF!)</x:f>
        <x:v>#N/A</x:v>
      </x:c>
      <x:c r="K38" s="163" t="e">
        <x:f>+_xlfn.XLOOKUP($C38,#REF!,#REF!)</x:f>
        <x:v>#N/A</x:v>
      </x:c>
      <x:c r="L38" s="163" t="e">
        <x:f>+_xlfn.XLOOKUP($C38,#REF!,#REF!)</x:f>
        <x:v>#N/A</x:v>
      </x:c>
      <x:c r="M38" s="163" t="e">
        <x:f>+_xlfn.XLOOKUP($C38,#REF!,#REF!)</x:f>
        <x:v>#N/A</x:v>
      </x:c>
      <x:c r="N38" s="163" t="e">
        <x:f>+_xlfn.XLOOKUP($C38,#REF!,#REF!)</x:f>
        <x:v>#N/A</x:v>
      </x:c>
      <x:c r="O38" s="163" t="e">
        <x:f>+_xlfn.XLOOKUP($C38,#REF!,#REF!)</x:f>
        <x:v>#N/A</x:v>
      </x:c>
      <x:c r="P38" s="156" t="e">
        <x:f t="shared" si="1"/>
        <x:v>#REF!</x:v>
      </x:c>
      <x:c r="Q38" s="197" t="e">
        <x:f t="shared" si="3"/>
        <x:v>#REF!</x:v>
      </x:c>
      <x:c r="R38" s="198"/>
      <x:c r="S38" s="198"/>
      <x:c r="T38" s="198"/>
      <x:c r="U38" s="198"/>
      <x:c r="V38" s="225"/>
      <x:c r="W38" s="218"/>
      <x:c r="X38" s="159"/>
    </x:row>
    <x:row r="39" s="1" customFormat="1" ht="21.75">
      <x:c r="A39" s="4"/>
      <x:c r="B39" s="279"/>
      <x:c r="C39" s="165" t="s">
        <x:v>47</x:v>
      </x:c>
      <x:c r="D39" s="163" t="e">
        <x:f>+_xlfn.XLOOKUP($C39,#REF!,#REF!)</x:f>
        <x:v>#N/A</x:v>
      </x:c>
      <x:c r="E39" s="163" t="e">
        <x:f>+_xlfn.XLOOKUP($C39,#REF!,#REF!)</x:f>
        <x:v>#N/A</x:v>
      </x:c>
      <x:c r="F39" s="163" t="e">
        <x:f>+_xlfn.XLOOKUP($C39,#REF!,#REF!)</x:f>
        <x:v>#N/A</x:v>
      </x:c>
      <x:c r="G39" s="163" t="e">
        <x:f>+_xlfn.XLOOKUP($C39,#REF!,#REF!)</x:f>
        <x:v>#N/A</x:v>
      </x:c>
      <x:c r="H39" s="163" t="e">
        <x:f>+_xlfn.XLOOKUP($C39,#REF!,#REF!)</x:f>
        <x:v>#N/A</x:v>
      </x:c>
      <x:c r="I39" s="163" t="e">
        <x:f>+_xlfn.XLOOKUP($C39,#REF!,#REF!)</x:f>
        <x:v>#N/A</x:v>
      </x:c>
      <x:c r="J39" s="163" t="e">
        <x:f>+_xlfn.XLOOKUP($C39,#REF!,#REF!)</x:f>
        <x:v>#N/A</x:v>
      </x:c>
      <x:c r="K39" s="163" t="e">
        <x:f>+_xlfn.XLOOKUP($C39,#REF!,#REF!)</x:f>
        <x:v>#N/A</x:v>
      </x:c>
      <x:c r="L39" s="163" t="e">
        <x:f>+_xlfn.XLOOKUP($C39,#REF!,#REF!)</x:f>
        <x:v>#N/A</x:v>
      </x:c>
      <x:c r="M39" s="163" t="e">
        <x:f>+_xlfn.XLOOKUP($C39,#REF!,#REF!)</x:f>
        <x:v>#N/A</x:v>
      </x:c>
      <x:c r="N39" s="163" t="e">
        <x:f>+_xlfn.XLOOKUP($C39,#REF!,#REF!)</x:f>
        <x:v>#N/A</x:v>
      </x:c>
      <x:c r="O39" s="163" t="e">
        <x:f>+_xlfn.XLOOKUP($C39,#REF!,#REF!)</x:f>
        <x:v>#N/A</x:v>
      </x:c>
      <x:c r="P39" s="156" t="e">
        <x:f t="shared" si="1"/>
        <x:v>#REF!</x:v>
      </x:c>
      <x:c r="Q39" s="197" t="e">
        <x:f t="shared" si="3"/>
        <x:v>#REF!</x:v>
      </x:c>
      <x:c r="R39" s="198"/>
      <x:c r="S39" s="198"/>
      <x:c r="T39" s="198"/>
      <x:c r="U39" s="198"/>
      <x:c r="V39" s="225"/>
      <x:c r="W39" s="218"/>
      <x:c r="X39" s="159"/>
    </x:row>
    <x:row r="40" s="1" customFormat="1" ht="21.75">
      <x:c r="A40" s="4"/>
      <x:c r="B40" s="279"/>
      <x:c r="C40" s="165" t="s">
        <x:v>48</x:v>
      </x:c>
      <x:c r="D40" s="163" t="e">
        <x:f>+_xlfn.XLOOKUP($C40,#REF!,#REF!)</x:f>
        <x:v>#N/A</x:v>
      </x:c>
      <x:c r="E40" s="163" t="e">
        <x:f>+_xlfn.XLOOKUP($C40,#REF!,#REF!)</x:f>
        <x:v>#N/A</x:v>
      </x:c>
      <x:c r="F40" s="163" t="e">
        <x:f>+_xlfn.XLOOKUP($C40,#REF!,#REF!)</x:f>
        <x:v>#N/A</x:v>
      </x:c>
      <x:c r="G40" s="163" t="e">
        <x:f>+_xlfn.XLOOKUP($C40,#REF!,#REF!)</x:f>
        <x:v>#N/A</x:v>
      </x:c>
      <x:c r="H40" s="163" t="e">
        <x:f>+_xlfn.XLOOKUP($C40,#REF!,#REF!)</x:f>
        <x:v>#N/A</x:v>
      </x:c>
      <x:c r="I40" s="163" t="e">
        <x:f>+_xlfn.XLOOKUP($C40,#REF!,#REF!)</x:f>
        <x:v>#N/A</x:v>
      </x:c>
      <x:c r="J40" s="163" t="e">
        <x:f>+_xlfn.XLOOKUP($C40,#REF!,#REF!)</x:f>
        <x:v>#N/A</x:v>
      </x:c>
      <x:c r="K40" s="163" t="e">
        <x:f>+_xlfn.XLOOKUP($C40,#REF!,#REF!)</x:f>
        <x:v>#N/A</x:v>
      </x:c>
      <x:c r="L40" s="163" t="e">
        <x:f>+_xlfn.XLOOKUP($C40,#REF!,#REF!)</x:f>
        <x:v>#N/A</x:v>
      </x:c>
      <x:c r="M40" s="163" t="e">
        <x:f>+_xlfn.XLOOKUP($C40,#REF!,#REF!)</x:f>
        <x:v>#N/A</x:v>
      </x:c>
      <x:c r="N40" s="163" t="e">
        <x:f>+_xlfn.XLOOKUP($C40,#REF!,#REF!)</x:f>
        <x:v>#N/A</x:v>
      </x:c>
      <x:c r="O40" s="163" t="e">
        <x:f>+_xlfn.XLOOKUP($C40,#REF!,#REF!)</x:f>
        <x:v>#N/A</x:v>
      </x:c>
      <x:c r="P40" s="156" t="e">
        <x:f t="shared" si="1"/>
        <x:v>#REF!</x:v>
      </x:c>
      <x:c r="Q40" s="197" t="e">
        <x:f t="shared" si="3"/>
        <x:v>#REF!</x:v>
      </x:c>
      <x:c r="R40" s="198"/>
      <x:c r="S40" s="198"/>
      <x:c r="T40" s="198"/>
      <x:c r="U40" s="198"/>
      <x:c r="V40" s="225"/>
      <x:c r="W40" s="218"/>
      <x:c r="X40" s="159"/>
    </x:row>
    <x:row r="41" s="1" customFormat="1" ht="21.75">
      <x:c r="A41" s="4"/>
      <x:c r="B41" s="279"/>
      <x:c r="C41" s="165" t="s">
        <x:v>49</x:v>
      </x:c>
      <x:c r="D41" s="163" t="e">
        <x:f>+_xlfn.XLOOKUP($C41,#REF!,#REF!)</x:f>
        <x:v>#N/A</x:v>
      </x:c>
      <x:c r="E41" s="163" t="e">
        <x:f>+_xlfn.XLOOKUP($C41,#REF!,#REF!)</x:f>
        <x:v>#N/A</x:v>
      </x:c>
      <x:c r="F41" s="163" t="e">
        <x:f>+_xlfn.XLOOKUP($C41,#REF!,#REF!)</x:f>
        <x:v>#N/A</x:v>
      </x:c>
      <x:c r="G41" s="163" t="e">
        <x:f>+_xlfn.XLOOKUP($C41,#REF!,#REF!)</x:f>
        <x:v>#N/A</x:v>
      </x:c>
      <x:c r="H41" s="163" t="e">
        <x:f>+_xlfn.XLOOKUP($C41,#REF!,#REF!)</x:f>
        <x:v>#N/A</x:v>
      </x:c>
      <x:c r="I41" s="163" t="e">
        <x:f>+_xlfn.XLOOKUP($C41,#REF!,#REF!)</x:f>
        <x:v>#N/A</x:v>
      </x:c>
      <x:c r="J41" s="163" t="e">
        <x:f>+_xlfn.XLOOKUP($C41,#REF!,#REF!)</x:f>
        <x:v>#N/A</x:v>
      </x:c>
      <x:c r="K41" s="163" t="e">
        <x:f>+_xlfn.XLOOKUP($C41,#REF!,#REF!)</x:f>
        <x:v>#N/A</x:v>
      </x:c>
      <x:c r="L41" s="163" t="e">
        <x:f>+_xlfn.XLOOKUP($C41,#REF!,#REF!)</x:f>
        <x:v>#N/A</x:v>
      </x:c>
      <x:c r="M41" s="163" t="e">
        <x:f>+_xlfn.XLOOKUP($C41,#REF!,#REF!)</x:f>
        <x:v>#N/A</x:v>
      </x:c>
      <x:c r="N41" s="163" t="e">
        <x:f>+_xlfn.XLOOKUP($C41,#REF!,#REF!)</x:f>
        <x:v>#N/A</x:v>
      </x:c>
      <x:c r="O41" s="163" t="e">
        <x:f>+_xlfn.XLOOKUP($C41,#REF!,#REF!)</x:f>
        <x:v>#N/A</x:v>
      </x:c>
      <x:c r="P41" s="156" t="e">
        <x:f t="shared" si="1"/>
        <x:v>#REF!</x:v>
      </x:c>
      <x:c r="Q41" s="197" t="e">
        <x:f t="shared" si="3"/>
        <x:v>#REF!</x:v>
      </x:c>
      <x:c r="R41" s="198"/>
      <x:c r="S41" s="198"/>
      <x:c r="T41" s="198"/>
      <x:c r="U41" s="198"/>
      <x:c r="V41" s="225"/>
      <x:c r="W41" s="218"/>
      <x:c r="X41" s="159"/>
    </x:row>
    <x:row r="42" s="1" customFormat="1" ht="21.75">
      <x:c r="A42" s="4"/>
      <x:c r="B42" s="279"/>
      <x:c r="C42" s="165" t="s">
        <x:v>50</x:v>
      </x:c>
      <x:c r="D42" s="163" t="e">
        <x:f>+_xlfn.XLOOKUP($C42,#REF!,#REF!)</x:f>
        <x:v>#N/A</x:v>
      </x:c>
      <x:c r="E42" s="163" t="e">
        <x:f>+_xlfn.XLOOKUP($C42,#REF!,#REF!)</x:f>
        <x:v>#N/A</x:v>
      </x:c>
      <x:c r="F42" s="163" t="e">
        <x:f>+_xlfn.XLOOKUP($C42,#REF!,#REF!)</x:f>
        <x:v>#N/A</x:v>
      </x:c>
      <x:c r="G42" s="163" t="e">
        <x:f>+_xlfn.XLOOKUP($C42,#REF!,#REF!)</x:f>
        <x:v>#N/A</x:v>
      </x:c>
      <x:c r="H42" s="163" t="e">
        <x:f>+_xlfn.XLOOKUP($C42,#REF!,#REF!)</x:f>
        <x:v>#N/A</x:v>
      </x:c>
      <x:c r="I42" s="163" t="e">
        <x:f>+_xlfn.XLOOKUP($C42,#REF!,#REF!)</x:f>
        <x:v>#N/A</x:v>
      </x:c>
      <x:c r="J42" s="163" t="e">
        <x:f>+_xlfn.XLOOKUP($C42,#REF!,#REF!)</x:f>
        <x:v>#N/A</x:v>
      </x:c>
      <x:c r="K42" s="163" t="e">
        <x:f>+_xlfn.XLOOKUP($C42,#REF!,#REF!)</x:f>
        <x:v>#N/A</x:v>
      </x:c>
      <x:c r="L42" s="163" t="e">
        <x:f>+_xlfn.XLOOKUP($C42,#REF!,#REF!)</x:f>
        <x:v>#N/A</x:v>
      </x:c>
      <x:c r="M42" s="163" t="e">
        <x:f>+_xlfn.XLOOKUP($C42,#REF!,#REF!)</x:f>
        <x:v>#N/A</x:v>
      </x:c>
      <x:c r="N42" s="163" t="e">
        <x:f>+_xlfn.XLOOKUP($C42,#REF!,#REF!)</x:f>
        <x:v>#N/A</x:v>
      </x:c>
      <x:c r="O42" s="163" t="e">
        <x:f>+_xlfn.XLOOKUP($C42,#REF!,#REF!)</x:f>
        <x:v>#N/A</x:v>
      </x:c>
      <x:c r="P42" s="156" t="e">
        <x:f t="shared" si="1"/>
        <x:v>#REF!</x:v>
      </x:c>
      <x:c r="Q42" s="197" t="e">
        <x:f t="shared" si="3"/>
        <x:v>#REF!</x:v>
      </x:c>
      <x:c r="R42" s="198"/>
      <x:c r="S42" s="198"/>
      <x:c r="T42" s="198"/>
      <x:c r="U42" s="198"/>
      <x:c r="V42" s="225"/>
      <x:c r="W42" s="218"/>
      <x:c r="X42" s="159"/>
    </x:row>
    <x:row r="43" s="1" customFormat="1" ht="21.75">
      <x:c r="A43" s="4"/>
      <x:c r="B43" s="279"/>
      <x:c r="C43" s="165" t="s">
        <x:v>51</x:v>
      </x:c>
      <x:c r="D43" s="163" t="e">
        <x:f>+_xlfn.XLOOKUP($C43,#REF!,#REF!)</x:f>
        <x:v>#N/A</x:v>
      </x:c>
      <x:c r="E43" s="163" t="e">
        <x:f>+_xlfn.XLOOKUP($C43,#REF!,#REF!)</x:f>
        <x:v>#N/A</x:v>
      </x:c>
      <x:c r="F43" s="163" t="e">
        <x:f>+_xlfn.XLOOKUP($C43,#REF!,#REF!)</x:f>
        <x:v>#N/A</x:v>
      </x:c>
      <x:c r="G43" s="163" t="e">
        <x:f>+_xlfn.XLOOKUP($C43,#REF!,#REF!)</x:f>
        <x:v>#N/A</x:v>
      </x:c>
      <x:c r="H43" s="163" t="e">
        <x:f>+_xlfn.XLOOKUP($C43,#REF!,#REF!)</x:f>
        <x:v>#N/A</x:v>
      </x:c>
      <x:c r="I43" s="163" t="e">
        <x:f>+_xlfn.XLOOKUP($C43,#REF!,#REF!)</x:f>
        <x:v>#N/A</x:v>
      </x:c>
      <x:c r="J43" s="163" t="e">
        <x:f>+_xlfn.XLOOKUP($C43,#REF!,#REF!)</x:f>
        <x:v>#N/A</x:v>
      </x:c>
      <x:c r="K43" s="163" t="e">
        <x:f>+_xlfn.XLOOKUP($C43,#REF!,#REF!)</x:f>
        <x:v>#N/A</x:v>
      </x:c>
      <x:c r="L43" s="163" t="e">
        <x:f>+_xlfn.XLOOKUP($C43,#REF!,#REF!)</x:f>
        <x:v>#N/A</x:v>
      </x:c>
      <x:c r="M43" s="163" t="e">
        <x:f>+_xlfn.XLOOKUP($C43,#REF!,#REF!)</x:f>
        <x:v>#N/A</x:v>
      </x:c>
      <x:c r="N43" s="163" t="e">
        <x:f>+_xlfn.XLOOKUP($C43,#REF!,#REF!)</x:f>
        <x:v>#N/A</x:v>
      </x:c>
      <x:c r="O43" s="163" t="e">
        <x:f>+_xlfn.XLOOKUP($C43,#REF!,#REF!)</x:f>
        <x:v>#N/A</x:v>
      </x:c>
      <x:c r="P43" s="156" t="e">
        <x:f t="shared" si="1"/>
        <x:v>#REF!</x:v>
      </x:c>
      <x:c r="Q43" s="197" t="e">
        <x:f t="shared" si="3"/>
        <x:v>#REF!</x:v>
      </x:c>
      <x:c r="R43" s="198"/>
      <x:c r="S43" s="198"/>
      <x:c r="T43" s="198"/>
      <x:c r="U43" s="198"/>
      <x:c r="V43" s="225"/>
      <x:c r="W43" s="218"/>
      <x:c r="X43" s="159"/>
    </x:row>
    <x:row r="44" s="1" customFormat="1" ht="21.75">
      <x:c r="A44" s="4"/>
      <x:c r="B44" s="279"/>
      <x:c r="C44" s="165" t="s">
        <x:v>52</x:v>
      </x:c>
      <x:c r="D44" s="163" t="e">
        <x:f>+_xlfn.XLOOKUP($C44,#REF!,#REF!)</x:f>
        <x:v>#N/A</x:v>
      </x:c>
      <x:c r="E44" s="163" t="e">
        <x:f>+_xlfn.XLOOKUP($C44,#REF!,#REF!)</x:f>
        <x:v>#N/A</x:v>
      </x:c>
      <x:c r="F44" s="163" t="e">
        <x:f>+_xlfn.XLOOKUP($C44,#REF!,#REF!)</x:f>
        <x:v>#N/A</x:v>
      </x:c>
      <x:c r="G44" s="163" t="e">
        <x:f>+_xlfn.XLOOKUP($C44,#REF!,#REF!)</x:f>
        <x:v>#N/A</x:v>
      </x:c>
      <x:c r="H44" s="163" t="e">
        <x:f>+_xlfn.XLOOKUP($C44,#REF!,#REF!)</x:f>
        <x:v>#N/A</x:v>
      </x:c>
      <x:c r="I44" s="163" t="e">
        <x:f>+_xlfn.XLOOKUP($C44,#REF!,#REF!)</x:f>
        <x:v>#N/A</x:v>
      </x:c>
      <x:c r="J44" s="163" t="e">
        <x:f>+_xlfn.XLOOKUP($C44,#REF!,#REF!)</x:f>
        <x:v>#N/A</x:v>
      </x:c>
      <x:c r="K44" s="163" t="e">
        <x:f>+_xlfn.XLOOKUP($C44,#REF!,#REF!)</x:f>
        <x:v>#N/A</x:v>
      </x:c>
      <x:c r="L44" s="163" t="e">
        <x:f>+_xlfn.XLOOKUP($C44,#REF!,#REF!)</x:f>
        <x:v>#N/A</x:v>
      </x:c>
      <x:c r="M44" s="163" t="e">
        <x:f>+_xlfn.XLOOKUP($C44,#REF!,#REF!)</x:f>
        <x:v>#N/A</x:v>
      </x:c>
      <x:c r="N44" s="163" t="e">
        <x:f>+_xlfn.XLOOKUP($C44,#REF!,#REF!)</x:f>
        <x:v>#N/A</x:v>
      </x:c>
      <x:c r="O44" s="163" t="e">
        <x:f>+_xlfn.XLOOKUP($C44,#REF!,#REF!)</x:f>
        <x:v>#N/A</x:v>
      </x:c>
      <x:c r="P44" s="156" t="e">
        <x:f t="shared" si="1"/>
        <x:v>#REF!</x:v>
      </x:c>
      <x:c r="Q44" s="197" t="e">
        <x:f t="shared" si="3"/>
        <x:v>#REF!</x:v>
      </x:c>
      <x:c r="R44" s="198"/>
      <x:c r="S44" s="198"/>
      <x:c r="T44" s="198"/>
      <x:c r="U44" s="198"/>
      <x:c r="V44" s="225"/>
      <x:c r="W44" s="218"/>
      <x:c r="X44" s="159"/>
    </x:row>
    <x:row r="45" s="1" customFormat="1" ht="21.75">
      <x:c r="A45" s="4"/>
      <x:c r="B45" s="279"/>
      <x:c r="C45" s="165" t="s">
        <x:v>53</x:v>
      </x:c>
      <x:c r="D45" s="163" t="e">
        <x:f>+_xlfn.XLOOKUP($C45,#REF!,#REF!)</x:f>
        <x:v>#N/A</x:v>
      </x:c>
      <x:c r="E45" s="163" t="e">
        <x:f>+_xlfn.XLOOKUP($C45,#REF!,#REF!)</x:f>
        <x:v>#N/A</x:v>
      </x:c>
      <x:c r="F45" s="163" t="e">
        <x:f>+_xlfn.XLOOKUP($C45,#REF!,#REF!)</x:f>
        <x:v>#N/A</x:v>
      </x:c>
      <x:c r="G45" s="163" t="e">
        <x:f>+_xlfn.XLOOKUP($C45,#REF!,#REF!)</x:f>
        <x:v>#N/A</x:v>
      </x:c>
      <x:c r="H45" s="163" t="e">
        <x:f>+_xlfn.XLOOKUP($C45,#REF!,#REF!)</x:f>
        <x:v>#N/A</x:v>
      </x:c>
      <x:c r="I45" s="163" t="e">
        <x:f>+_xlfn.XLOOKUP($C45,#REF!,#REF!)</x:f>
        <x:v>#N/A</x:v>
      </x:c>
      <x:c r="J45" s="163" t="e">
        <x:f>+_xlfn.XLOOKUP($C45,#REF!,#REF!)</x:f>
        <x:v>#N/A</x:v>
      </x:c>
      <x:c r="K45" s="163" t="e">
        <x:f>+_xlfn.XLOOKUP($C45,#REF!,#REF!)</x:f>
        <x:v>#N/A</x:v>
      </x:c>
      <x:c r="L45" s="163" t="e">
        <x:f>+_xlfn.XLOOKUP($C45,#REF!,#REF!)</x:f>
        <x:v>#N/A</x:v>
      </x:c>
      <x:c r="M45" s="163" t="e">
        <x:f>+_xlfn.XLOOKUP($C45,#REF!,#REF!)</x:f>
        <x:v>#N/A</x:v>
      </x:c>
      <x:c r="N45" s="163" t="e">
        <x:f>+_xlfn.XLOOKUP($C45,#REF!,#REF!)</x:f>
        <x:v>#N/A</x:v>
      </x:c>
      <x:c r="O45" s="163" t="e">
        <x:f>+_xlfn.XLOOKUP($C45,#REF!,#REF!)</x:f>
        <x:v>#N/A</x:v>
      </x:c>
      <x:c r="P45" s="156" t="e">
        <x:f t="shared" si="1"/>
        <x:v>#REF!</x:v>
      </x:c>
      <x:c r="Q45" s="197" t="e">
        <x:f t="shared" si="3"/>
        <x:v>#REF!</x:v>
      </x:c>
      <x:c r="R45" s="198"/>
      <x:c r="S45" s="198"/>
      <x:c r="T45" s="198"/>
      <x:c r="U45" s="198"/>
      <x:c r="V45" s="225"/>
      <x:c r="W45" s="218"/>
      <x:c r="X45" s="159"/>
    </x:row>
    <x:row r="46" s="1" customFormat="1" ht="21.75">
      <x:c r="A46" s="4"/>
      <x:c r="B46" s="279"/>
      <x:c r="C46" s="165" t="s">
        <x:v>54</x:v>
      </x:c>
      <x:c r="D46" s="163" t="e">
        <x:f>+_xlfn.XLOOKUP($C46,#REF!,#REF!)</x:f>
        <x:v>#N/A</x:v>
      </x:c>
      <x:c r="E46" s="163" t="e">
        <x:f>+_xlfn.XLOOKUP($C46,#REF!,#REF!)</x:f>
        <x:v>#N/A</x:v>
      </x:c>
      <x:c r="F46" s="163" t="e">
        <x:f>+_xlfn.XLOOKUP($C46,#REF!,#REF!)</x:f>
        <x:v>#N/A</x:v>
      </x:c>
      <x:c r="G46" s="163" t="e">
        <x:f>+_xlfn.XLOOKUP($C46,#REF!,#REF!)</x:f>
        <x:v>#N/A</x:v>
      </x:c>
      <x:c r="H46" s="163" t="e">
        <x:f>+_xlfn.XLOOKUP($C46,#REF!,#REF!)</x:f>
        <x:v>#N/A</x:v>
      </x:c>
      <x:c r="I46" s="163" t="e">
        <x:f>+_xlfn.XLOOKUP($C46,#REF!,#REF!)</x:f>
        <x:v>#N/A</x:v>
      </x:c>
      <x:c r="J46" s="163" t="e">
        <x:f>+_xlfn.XLOOKUP($C46,#REF!,#REF!)</x:f>
        <x:v>#N/A</x:v>
      </x:c>
      <x:c r="K46" s="163" t="e">
        <x:f>+_xlfn.XLOOKUP($C46,#REF!,#REF!)</x:f>
        <x:v>#N/A</x:v>
      </x:c>
      <x:c r="L46" s="163" t="e">
        <x:f>+_xlfn.XLOOKUP($C46,#REF!,#REF!)</x:f>
        <x:v>#N/A</x:v>
      </x:c>
      <x:c r="M46" s="163" t="e">
        <x:f>+_xlfn.XLOOKUP($C46,#REF!,#REF!)</x:f>
        <x:v>#N/A</x:v>
      </x:c>
      <x:c r="N46" s="163" t="e">
        <x:f>+_xlfn.XLOOKUP($C46,#REF!,#REF!)</x:f>
        <x:v>#N/A</x:v>
      </x:c>
      <x:c r="O46" s="163" t="e">
        <x:f>+_xlfn.XLOOKUP($C46,#REF!,#REF!)</x:f>
        <x:v>#N/A</x:v>
      </x:c>
      <x:c r="P46" s="156" t="e">
        <x:f>+AVERAGE(D46:O46)</x:f>
        <x:v>#VALUE!</x:v>
      </x:c>
      <x:c r="Q46" s="197" t="e">
        <x:f t="shared" si="3"/>
        <x:v>#REF!</x:v>
      </x:c>
      <x:c r="R46" s="198"/>
      <x:c r="S46" s="198"/>
      <x:c r="T46" s="198"/>
      <x:c r="U46" s="198"/>
      <x:c r="V46" s="225"/>
      <x:c r="W46" s="218"/>
      <x:c r="X46" s="159"/>
    </x:row>
    <x:row r="47" s="1" customFormat="1" ht="21.75">
      <x:c r="A47" s="4"/>
      <x:c r="B47" s="279"/>
      <x:c r="C47" s="165" t="s">
        <x:v>55</x:v>
      </x:c>
      <x:c r="D47" s="163" t="e">
        <x:f>+_xlfn.XLOOKUP($C47,#REF!,#REF!)</x:f>
        <x:v>#N/A</x:v>
      </x:c>
      <x:c r="E47" s="163" t="e">
        <x:f>+_xlfn.XLOOKUP($C47,#REF!,#REF!)</x:f>
        <x:v>#N/A</x:v>
      </x:c>
      <x:c r="F47" s="163" t="e">
        <x:f>+_xlfn.XLOOKUP($C47,#REF!,#REF!)</x:f>
        <x:v>#N/A</x:v>
      </x:c>
      <x:c r="G47" s="163" t="e">
        <x:f>+_xlfn.XLOOKUP($C47,#REF!,#REF!)</x:f>
        <x:v>#N/A</x:v>
      </x:c>
      <x:c r="H47" s="163" t="e">
        <x:f>+_xlfn.XLOOKUP($C47,#REF!,#REF!)</x:f>
        <x:v>#N/A</x:v>
      </x:c>
      <x:c r="I47" s="163" t="e">
        <x:f>+_xlfn.XLOOKUP($C47,#REF!,#REF!)</x:f>
        <x:v>#N/A</x:v>
      </x:c>
      <x:c r="J47" s="163" t="e">
        <x:f>+_xlfn.XLOOKUP($C47,#REF!,#REF!)</x:f>
        <x:v>#N/A</x:v>
      </x:c>
      <x:c r="K47" s="163" t="e">
        <x:f>+_xlfn.XLOOKUP($C47,#REF!,#REF!)</x:f>
        <x:v>#N/A</x:v>
      </x:c>
      <x:c r="L47" s="163" t="e">
        <x:f>+_xlfn.XLOOKUP($C47,#REF!,#REF!)</x:f>
        <x:v>#N/A</x:v>
      </x:c>
      <x:c r="M47" s="163" t="e">
        <x:f>+_xlfn.XLOOKUP($C47,#REF!,#REF!)</x:f>
        <x:v>#N/A</x:v>
      </x:c>
      <x:c r="N47" s="163" t="e">
        <x:f>+_xlfn.XLOOKUP($C47,#REF!,#REF!)</x:f>
        <x:v>#N/A</x:v>
      </x:c>
      <x:c r="O47" s="163" t="e">
        <x:f>+_xlfn.XLOOKUP($C47,#REF!,#REF!)</x:f>
        <x:v>#N/A</x:v>
      </x:c>
      <x:c r="P47" s="156" t="e">
        <x:f t="shared" si="1"/>
        <x:v>#REF!</x:v>
      </x:c>
      <x:c r="Q47" s="197" t="e">
        <x:f t="shared" si="3"/>
        <x:v>#REF!</x:v>
      </x:c>
      <x:c r="R47" s="198"/>
      <x:c r="S47" s="198"/>
      <x:c r="T47" s="198"/>
      <x:c r="U47" s="198"/>
      <x:c r="V47" s="225"/>
      <x:c r="W47" s="218"/>
      <x:c r="X47" s="159"/>
    </x:row>
    <x:row r="48" s="1" customFormat="1" ht="21.75">
      <x:c r="A48" s="4"/>
      <x:c r="B48" s="280"/>
      <x:c r="C48" s="168" t="s">
        <x:v>56</x:v>
      </x:c>
      <x:c r="D48" s="189" t="e">
        <x:f>+_xlfn.XLOOKUP($C48,#REF!,#REF!)</x:f>
        <x:v>#N/A</x:v>
      </x:c>
      <x:c r="E48" s="189" t="e">
        <x:f>+_xlfn.XLOOKUP($C48,#REF!,#REF!)</x:f>
        <x:v>#N/A</x:v>
      </x:c>
      <x:c r="F48" s="189" t="e">
        <x:f>+_xlfn.XLOOKUP($C48,#REF!,#REF!)</x:f>
        <x:v>#N/A</x:v>
      </x:c>
      <x:c r="G48" s="189" t="e">
        <x:f>+_xlfn.XLOOKUP($C48,#REF!,#REF!)</x:f>
        <x:v>#N/A</x:v>
      </x:c>
      <x:c r="H48" s="189" t="e">
        <x:f>+_xlfn.XLOOKUP($C48,#REF!,#REF!)</x:f>
        <x:v>#N/A</x:v>
      </x:c>
      <x:c r="I48" s="189" t="e">
        <x:f>+_xlfn.XLOOKUP($C48,#REF!,#REF!)</x:f>
        <x:v>#N/A</x:v>
      </x:c>
      <x:c r="J48" s="189" t="e">
        <x:f>+_xlfn.XLOOKUP($C48,#REF!,#REF!)</x:f>
        <x:v>#N/A</x:v>
      </x:c>
      <x:c r="K48" s="189" t="e">
        <x:f>+_xlfn.XLOOKUP($C48,#REF!,#REF!)</x:f>
        <x:v>#N/A</x:v>
      </x:c>
      <x:c r="L48" s="189" t="e">
        <x:f>+_xlfn.XLOOKUP($C48,#REF!,#REF!)</x:f>
        <x:v>#N/A</x:v>
      </x:c>
      <x:c r="M48" s="189" t="e">
        <x:f>+_xlfn.XLOOKUP($C48,#REF!,#REF!)</x:f>
        <x:v>#N/A</x:v>
      </x:c>
      <x:c r="N48" s="189" t="e">
        <x:f>+_xlfn.XLOOKUP($C48,#REF!,#REF!)</x:f>
        <x:v>#N/A</x:v>
      </x:c>
      <x:c r="O48" s="189" t="e">
        <x:f>+_xlfn.XLOOKUP($C48,#REF!,#REF!)</x:f>
        <x:v>#N/A</x:v>
      </x:c>
      <x:c r="P48" s="161" t="e">
        <x:f t="shared" si="1"/>
        <x:v>#REF!</x:v>
      </x:c>
      <x:c r="Q48" s="197" t="e">
        <x:f t="shared" si="3"/>
        <x:v>#REF!</x:v>
      </x:c>
      <x:c r="R48" s="199"/>
      <x:c r="S48" s="199"/>
      <x:c r="T48" s="199"/>
      <x:c r="U48" s="199"/>
      <x:c r="V48" s="226"/>
      <x:c r="W48" s="219"/>
      <x:c r="X48" s="162"/>
    </x:row>
    <x:row r="49" s="186" customFormat="1" ht="13.5">
      <x:c r="B49" s="278" t="s">
        <x:v>57</x:v>
      </x:c>
      <x:c r="C49" s="272"/>
      <x:c r="D49" s="273"/>
      <x:c r="E49" s="273"/>
      <x:c r="F49" s="273"/>
      <x:c r="G49" s="273"/>
      <x:c r="H49" s="273"/>
      <x:c r="I49" s="273"/>
      <x:c r="J49" s="273"/>
      <x:c r="K49" s="273"/>
      <x:c r="L49" s="273"/>
      <x:c r="M49" s="273"/>
      <x:c r="N49" s="273"/>
      <x:c r="O49" s="273"/>
      <x:c r="P49" s="274"/>
      <x:c r="Q49" s="202" t="s">
        <x:v>14</x:v>
      </x:c>
      <x:c r="R49" s="202" t="s">
        <x:v>15</x:v>
      </x:c>
      <x:c r="S49" s="202" t="s">
        <x:v>16</x:v>
      </x:c>
      <x:c r="T49" s="202" t="s">
        <x:v>41</x:v>
      </x:c>
      <x:c r="U49" s="202" t="s">
        <x:v>1</x:v>
      </x:c>
      <x:c r="V49" s="202" t="s">
        <x:v>2</x:v>
      </x:c>
    </x:row>
    <x:row r="50" s="186" customFormat="1" ht="13.5">
      <x:c r="B50" s="279"/>
      <x:c r="C50" s="275"/>
      <x:c r="D50" s="276"/>
      <x:c r="E50" s="276"/>
      <x:c r="F50" s="276"/>
      <x:c r="G50" s="276"/>
      <x:c r="H50" s="276"/>
      <x:c r="I50" s="276"/>
      <x:c r="J50" s="276"/>
      <x:c r="K50" s="276"/>
      <x:c r="L50" s="276"/>
      <x:c r="M50" s="276"/>
      <x:c r="N50" s="276"/>
      <x:c r="O50" s="276"/>
      <x:c r="P50" s="277"/>
      <x:c r="Q50" s="191" t="n">
        <x:f>+F9</x:f>
        <x:v>0.2499999999999999</x:v>
      </x:c>
      <x:c r="R50" s="191" t="n">
        <x:f>+H9</x:f>
        <x:v>0.4166666666666665</x:v>
      </x:c>
      <x:c r="S50" s="191" t="n">
        <x:f>+J9</x:f>
        <x:v>0.5833333333333331</x:v>
      </x:c>
      <x:c r="T50" s="191" t="n">
        <x:f>+L9</x:f>
        <x:v>0.7499999999999997</x:v>
      </x:c>
      <x:c r="U50" s="191" t="n">
        <x:f>+N9</x:f>
        <x:v>0.9166666666666663</x:v>
      </x:c>
      <x:c r="V50" s="191" t="n">
        <x:f>+O9</x:f>
        <x:v>0.9999999999999996</x:v>
      </x:c>
    </x:row>
    <x:row r="51" s="1" customFormat="1" ht="21.75" customHeight="1">
      <x:c r="A51" s="4"/>
      <x:c r="B51" s="279"/>
      <x:c r="C51" s="170" t="s">
        <x:v>58</x:v>
      </x:c>
      <x:c r="D51" s="163" t="e">
        <x:f>+_xlfn.XLOOKUP($C51,#REF!,#REF!)</x:f>
        <x:v>#N/A</x:v>
      </x:c>
      <x:c r="E51" s="163" t="e">
        <x:f>+_xlfn.XLOOKUP($C51,#REF!,#REF!)</x:f>
        <x:v>#N/A</x:v>
      </x:c>
      <x:c r="F51" s="163" t="e">
        <x:f>+_xlfn.XLOOKUP($C51,#REF!,#REF!)</x:f>
        <x:v>#N/A</x:v>
      </x:c>
      <x:c r="G51" s="163" t="e">
        <x:f>+_xlfn.XLOOKUP($C51,#REF!,#REF!)</x:f>
        <x:v>#N/A</x:v>
      </x:c>
      <x:c r="H51" s="163" t="e">
        <x:f>+_xlfn.XLOOKUP($C51,#REF!,#REF!)</x:f>
        <x:v>#N/A</x:v>
      </x:c>
      <x:c r="I51" s="163" t="e">
        <x:f>+_xlfn.XLOOKUP($C51,#REF!,#REF!)</x:f>
        <x:v>#N/A</x:v>
      </x:c>
      <x:c r="J51" s="163" t="e">
        <x:f>+_xlfn.XLOOKUP($C51,#REF!,#REF!)</x:f>
        <x:v>#N/A</x:v>
      </x:c>
      <x:c r="K51" s="163" t="e">
        <x:f>+_xlfn.XLOOKUP($C51,#REF!,#REF!)</x:f>
        <x:v>#N/A</x:v>
      </x:c>
      <x:c r="L51" s="163" t="e">
        <x:f>+_xlfn.XLOOKUP($C51,#REF!,#REF!)</x:f>
        <x:v>#N/A</x:v>
      </x:c>
      <x:c r="M51" s="163" t="e">
        <x:f>+_xlfn.XLOOKUP($C51,#REF!,#REF!)</x:f>
        <x:v>#N/A</x:v>
      </x:c>
      <x:c r="N51" s="163" t="e">
        <x:f>+_xlfn.XLOOKUP($C51,#REF!,#REF!)</x:f>
        <x:v>#N/A</x:v>
      </x:c>
      <x:c r="O51" s="163" t="e">
        <x:f>+_xlfn.XLOOKUP($C51,#REF!,#REF!)</x:f>
        <x:v>#N/A</x:v>
      </x:c>
      <x:c r="P51" s="157" t="e">
        <x:f t="shared" si="1"/>
        <x:v>#REF!</x:v>
      </x:c>
      <x:c r="Q51" s="197" t="e">
        <x:f>P51</x:f>
        <x:v>#REF!</x:v>
      </x:c>
      <x:c r="R51" s="201"/>
      <x:c r="S51" s="201"/>
      <x:c r="T51" s="201"/>
      <x:c r="U51" s="201"/>
      <x:c r="V51" s="227"/>
      <x:c r="W51" s="217"/>
      <x:c r="X51" s="158"/>
    </x:row>
    <x:row r="52" s="1" customFormat="1" ht="21.75">
      <x:c r="A52" s="4"/>
      <x:c r="B52" s="279"/>
      <x:c r="C52" s="171" t="s">
        <x:v>59</x:v>
      </x:c>
      <x:c r="D52" s="163" t="e">
        <x:f>+_xlfn.XLOOKUP($C52,#REF!,#REF!)</x:f>
        <x:v>#N/A</x:v>
      </x:c>
      <x:c r="E52" s="163" t="e">
        <x:f>+_xlfn.XLOOKUP($C52,#REF!,#REF!)</x:f>
        <x:v>#N/A</x:v>
      </x:c>
      <x:c r="F52" s="163" t="e">
        <x:f>+_xlfn.XLOOKUP($C52,#REF!,#REF!)</x:f>
        <x:v>#N/A</x:v>
      </x:c>
      <x:c r="G52" s="163" t="e">
        <x:f>+_xlfn.XLOOKUP($C52,#REF!,#REF!)</x:f>
        <x:v>#N/A</x:v>
      </x:c>
      <x:c r="H52" s="163" t="e">
        <x:f>+_xlfn.XLOOKUP($C52,#REF!,#REF!)</x:f>
        <x:v>#N/A</x:v>
      </x:c>
      <x:c r="I52" s="163" t="e">
        <x:f>+_xlfn.XLOOKUP($C52,#REF!,#REF!)</x:f>
        <x:v>#N/A</x:v>
      </x:c>
      <x:c r="J52" s="163" t="e">
        <x:f>+_xlfn.XLOOKUP($C52,#REF!,#REF!)</x:f>
        <x:v>#N/A</x:v>
      </x:c>
      <x:c r="K52" s="163" t="e">
        <x:f>+_xlfn.XLOOKUP($C52,#REF!,#REF!)</x:f>
        <x:v>#N/A</x:v>
      </x:c>
      <x:c r="L52" s="163" t="e">
        <x:f>+_xlfn.XLOOKUP($C52,#REF!,#REF!)</x:f>
        <x:v>#N/A</x:v>
      </x:c>
      <x:c r="M52" s="163" t="e">
        <x:f>+_xlfn.XLOOKUP($C52,#REF!,#REF!)</x:f>
        <x:v>#N/A</x:v>
      </x:c>
      <x:c r="N52" s="163" t="e">
        <x:f>+_xlfn.XLOOKUP($C52,#REF!,#REF!)</x:f>
        <x:v>#N/A</x:v>
      </x:c>
      <x:c r="O52" s="163" t="e">
        <x:f>+_xlfn.XLOOKUP($C52,#REF!,#REF!)</x:f>
        <x:v>#N/A</x:v>
      </x:c>
      <x:c r="P52" s="156" t="e">
        <x:f t="shared" si="1"/>
        <x:v>#REF!</x:v>
      </x:c>
      <x:c r="Q52" s="197" t="e">
        <x:f t="shared" ref="Q52:Q71" si="4">P52</x:f>
        <x:v>#REF!</x:v>
      </x:c>
      <x:c r="R52" s="198"/>
      <x:c r="S52" s="198"/>
      <x:c r="T52" s="198"/>
      <x:c r="U52" s="198"/>
      <x:c r="V52" s="225"/>
      <x:c r="W52" s="218"/>
      <x:c r="X52" s="159"/>
    </x:row>
    <x:row r="53" s="1" customFormat="1" ht="21.75">
      <x:c r="A53" s="4"/>
      <x:c r="B53" s="279"/>
      <x:c r="C53" s="171" t="s">
        <x:v>60</x:v>
      </x:c>
      <x:c r="D53" s="163" t="e">
        <x:f>+_xlfn.XLOOKUP($C53,#REF!,#REF!)</x:f>
        <x:v>#N/A</x:v>
      </x:c>
      <x:c r="E53" s="163" t="e">
        <x:f>+_xlfn.XLOOKUP($C53,#REF!,#REF!)</x:f>
        <x:v>#N/A</x:v>
      </x:c>
      <x:c r="F53" s="163" t="e">
        <x:f>+_xlfn.XLOOKUP($C53,#REF!,#REF!)</x:f>
        <x:v>#N/A</x:v>
      </x:c>
      <x:c r="G53" s="163" t="e">
        <x:f>+_xlfn.XLOOKUP($C53,#REF!,#REF!)</x:f>
        <x:v>#N/A</x:v>
      </x:c>
      <x:c r="H53" s="163" t="e">
        <x:f>+_xlfn.XLOOKUP($C53,#REF!,#REF!)</x:f>
        <x:v>#N/A</x:v>
      </x:c>
      <x:c r="I53" s="163" t="e">
        <x:f>+_xlfn.XLOOKUP($C53,#REF!,#REF!)</x:f>
        <x:v>#N/A</x:v>
      </x:c>
      <x:c r="J53" s="163" t="e">
        <x:f>+_xlfn.XLOOKUP($C53,#REF!,#REF!)</x:f>
        <x:v>#N/A</x:v>
      </x:c>
      <x:c r="K53" s="163" t="e">
        <x:f>+_xlfn.XLOOKUP($C53,#REF!,#REF!)</x:f>
        <x:v>#N/A</x:v>
      </x:c>
      <x:c r="L53" s="163" t="e">
        <x:f>+_xlfn.XLOOKUP($C53,#REF!,#REF!)</x:f>
        <x:v>#N/A</x:v>
      </x:c>
      <x:c r="M53" s="163" t="e">
        <x:f>+_xlfn.XLOOKUP($C53,#REF!,#REF!)</x:f>
        <x:v>#N/A</x:v>
      </x:c>
      <x:c r="N53" s="163" t="e">
        <x:f>+_xlfn.XLOOKUP($C53,#REF!,#REF!)</x:f>
        <x:v>#N/A</x:v>
      </x:c>
      <x:c r="O53" s="163" t="e">
        <x:f>+_xlfn.XLOOKUP($C53,#REF!,#REF!)</x:f>
        <x:v>#N/A</x:v>
      </x:c>
      <x:c r="P53" s="156" t="e">
        <x:f t="shared" si="1"/>
        <x:v>#REF!</x:v>
      </x:c>
      <x:c r="Q53" s="197" t="e">
        <x:f t="shared" si="4"/>
        <x:v>#REF!</x:v>
      </x:c>
      <x:c r="R53" s="198"/>
      <x:c r="S53" s="198"/>
      <x:c r="T53" s="198"/>
      <x:c r="U53" s="198"/>
      <x:c r="V53" s="225"/>
      <x:c r="W53" s="218"/>
      <x:c r="X53" s="159"/>
    </x:row>
    <x:row r="54" s="1" customFormat="1" ht="21.75">
      <x:c r="A54" s="4"/>
      <x:c r="B54" s="279"/>
      <x:c r="C54" s="171" t="s">
        <x:v>61</x:v>
      </x:c>
      <x:c r="D54" s="163" t="e">
        <x:f>+_xlfn.XLOOKUP($C54,#REF!,#REF!)</x:f>
        <x:v>#N/A</x:v>
      </x:c>
      <x:c r="E54" s="163" t="e">
        <x:f>+_xlfn.XLOOKUP($C54,#REF!,#REF!)</x:f>
        <x:v>#N/A</x:v>
      </x:c>
      <x:c r="F54" s="163" t="e">
        <x:f>+_xlfn.XLOOKUP($C54,#REF!,#REF!)</x:f>
        <x:v>#N/A</x:v>
      </x:c>
      <x:c r="G54" s="163" t="e">
        <x:f>+_xlfn.XLOOKUP($C54,#REF!,#REF!)</x:f>
        <x:v>#N/A</x:v>
      </x:c>
      <x:c r="H54" s="163" t="e">
        <x:f>+_xlfn.XLOOKUP($C54,#REF!,#REF!)</x:f>
        <x:v>#N/A</x:v>
      </x:c>
      <x:c r="I54" s="163" t="e">
        <x:f>+_xlfn.XLOOKUP($C54,#REF!,#REF!)</x:f>
        <x:v>#N/A</x:v>
      </x:c>
      <x:c r="J54" s="163" t="e">
        <x:f>+_xlfn.XLOOKUP($C54,#REF!,#REF!)</x:f>
        <x:v>#N/A</x:v>
      </x:c>
      <x:c r="K54" s="163" t="e">
        <x:f>+_xlfn.XLOOKUP($C54,#REF!,#REF!)</x:f>
        <x:v>#N/A</x:v>
      </x:c>
      <x:c r="L54" s="163" t="e">
        <x:f>+_xlfn.XLOOKUP($C54,#REF!,#REF!)</x:f>
        <x:v>#N/A</x:v>
      </x:c>
      <x:c r="M54" s="163" t="e">
        <x:f>+_xlfn.XLOOKUP($C54,#REF!,#REF!)</x:f>
        <x:v>#N/A</x:v>
      </x:c>
      <x:c r="N54" s="163" t="e">
        <x:f>+_xlfn.XLOOKUP($C54,#REF!,#REF!)</x:f>
        <x:v>#N/A</x:v>
      </x:c>
      <x:c r="O54" s="163" t="e">
        <x:f>+_xlfn.XLOOKUP($C54,#REF!,#REF!)</x:f>
        <x:v>#N/A</x:v>
      </x:c>
      <x:c r="P54" s="156" t="e">
        <x:f t="shared" si="1"/>
        <x:v>#REF!</x:v>
      </x:c>
      <x:c r="Q54" s="197" t="e">
        <x:f t="shared" si="4"/>
        <x:v>#REF!</x:v>
      </x:c>
      <x:c r="R54" s="198"/>
      <x:c r="S54" s="198"/>
      <x:c r="T54" s="198"/>
      <x:c r="U54" s="198"/>
      <x:c r="V54" s="225"/>
      <x:c r="W54" s="218"/>
      <x:c r="X54" s="159"/>
    </x:row>
    <x:row r="55" s="1" customFormat="1" ht="21.75">
      <x:c r="A55" s="4"/>
      <x:c r="B55" s="279"/>
      <x:c r="C55" s="171" t="s">
        <x:v>62</x:v>
      </x:c>
      <x:c r="D55" s="163" t="e">
        <x:f>+_xlfn.XLOOKUP($C55,#REF!,#REF!)</x:f>
        <x:v>#N/A</x:v>
      </x:c>
      <x:c r="E55" s="163" t="e">
        <x:f>+_xlfn.XLOOKUP($C55,#REF!,#REF!)</x:f>
        <x:v>#N/A</x:v>
      </x:c>
      <x:c r="F55" s="163" t="e">
        <x:f>+_xlfn.XLOOKUP($C55,#REF!,#REF!)</x:f>
        <x:v>#N/A</x:v>
      </x:c>
      <x:c r="G55" s="163" t="e">
        <x:f>+_xlfn.XLOOKUP($C55,#REF!,#REF!)</x:f>
        <x:v>#N/A</x:v>
      </x:c>
      <x:c r="H55" s="163" t="e">
        <x:f>+_xlfn.XLOOKUP($C55,#REF!,#REF!)</x:f>
        <x:v>#N/A</x:v>
      </x:c>
      <x:c r="I55" s="163" t="e">
        <x:f>+_xlfn.XLOOKUP($C55,#REF!,#REF!)</x:f>
        <x:v>#N/A</x:v>
      </x:c>
      <x:c r="J55" s="163" t="e">
        <x:f>+_xlfn.XLOOKUP($C55,#REF!,#REF!)</x:f>
        <x:v>#N/A</x:v>
      </x:c>
      <x:c r="K55" s="163" t="e">
        <x:f>+_xlfn.XLOOKUP($C55,#REF!,#REF!)</x:f>
        <x:v>#N/A</x:v>
      </x:c>
      <x:c r="L55" s="163" t="e">
        <x:f>+_xlfn.XLOOKUP($C55,#REF!,#REF!)</x:f>
        <x:v>#N/A</x:v>
      </x:c>
      <x:c r="M55" s="163" t="e">
        <x:f>+_xlfn.XLOOKUP($C55,#REF!,#REF!)</x:f>
        <x:v>#N/A</x:v>
      </x:c>
      <x:c r="N55" s="163" t="e">
        <x:f>+_xlfn.XLOOKUP($C55,#REF!,#REF!)</x:f>
        <x:v>#N/A</x:v>
      </x:c>
      <x:c r="O55" s="163" t="e">
        <x:f>+_xlfn.XLOOKUP($C55,#REF!,#REF!)</x:f>
        <x:v>#N/A</x:v>
      </x:c>
      <x:c r="P55" s="156" t="e">
        <x:f t="shared" si="1"/>
        <x:v>#REF!</x:v>
      </x:c>
      <x:c r="Q55" s="197" t="e">
        <x:f t="shared" si="4"/>
        <x:v>#REF!</x:v>
      </x:c>
      <x:c r="R55" s="198"/>
      <x:c r="S55" s="198"/>
      <x:c r="T55" s="198"/>
      <x:c r="U55" s="198"/>
      <x:c r="V55" s="225"/>
      <x:c r="W55" s="218"/>
      <x:c r="X55" s="159"/>
    </x:row>
    <x:row r="56" s="1" customFormat="1" ht="21.75">
      <x:c r="A56" s="4"/>
      <x:c r="B56" s="279"/>
      <x:c r="C56" s="171" t="s">
        <x:v>63</x:v>
      </x:c>
      <x:c r="D56" s="163" t="e">
        <x:f>+_xlfn.XLOOKUP($C56,#REF!,#REF!)</x:f>
        <x:v>#N/A</x:v>
      </x:c>
      <x:c r="E56" s="163" t="e">
        <x:f>+_xlfn.XLOOKUP($C56,#REF!,#REF!)</x:f>
        <x:v>#N/A</x:v>
      </x:c>
      <x:c r="F56" s="163" t="e">
        <x:f>+_xlfn.XLOOKUP($C56,#REF!,#REF!)</x:f>
        <x:v>#N/A</x:v>
      </x:c>
      <x:c r="G56" s="163" t="e">
        <x:f>+_xlfn.XLOOKUP($C56,#REF!,#REF!)</x:f>
        <x:v>#N/A</x:v>
      </x:c>
      <x:c r="H56" s="163" t="e">
        <x:f>+_xlfn.XLOOKUP($C56,#REF!,#REF!)</x:f>
        <x:v>#N/A</x:v>
      </x:c>
      <x:c r="I56" s="163" t="e">
        <x:f>+_xlfn.XLOOKUP($C56,#REF!,#REF!)</x:f>
        <x:v>#N/A</x:v>
      </x:c>
      <x:c r="J56" s="163" t="e">
        <x:f>+_xlfn.XLOOKUP($C56,#REF!,#REF!)</x:f>
        <x:v>#N/A</x:v>
      </x:c>
      <x:c r="K56" s="163" t="e">
        <x:f>+_xlfn.XLOOKUP($C56,#REF!,#REF!)</x:f>
        <x:v>#N/A</x:v>
      </x:c>
      <x:c r="L56" s="163" t="e">
        <x:f>+_xlfn.XLOOKUP($C56,#REF!,#REF!)</x:f>
        <x:v>#N/A</x:v>
      </x:c>
      <x:c r="M56" s="163" t="e">
        <x:f>+_xlfn.XLOOKUP($C56,#REF!,#REF!)</x:f>
        <x:v>#N/A</x:v>
      </x:c>
      <x:c r="N56" s="163" t="e">
        <x:f>+_xlfn.XLOOKUP($C56,#REF!,#REF!)</x:f>
        <x:v>#N/A</x:v>
      </x:c>
      <x:c r="O56" s="163" t="e">
        <x:f>+_xlfn.XLOOKUP($C56,#REF!,#REF!)</x:f>
        <x:v>#N/A</x:v>
      </x:c>
      <x:c r="P56" s="156" t="e">
        <x:f t="shared" si="1"/>
        <x:v>#REF!</x:v>
      </x:c>
      <x:c r="Q56" s="197" t="e">
        <x:f t="shared" si="4"/>
        <x:v>#REF!</x:v>
      </x:c>
      <x:c r="R56" s="198"/>
      <x:c r="S56" s="198"/>
      <x:c r="T56" s="198"/>
      <x:c r="U56" s="198"/>
      <x:c r="V56" s="225"/>
      <x:c r="W56" s="218"/>
      <x:c r="X56" s="159"/>
    </x:row>
    <x:row r="57" s="1" customFormat="1" ht="21.75">
      <x:c r="A57" s="4"/>
      <x:c r="B57" s="279"/>
      <x:c r="C57" s="171" t="s">
        <x:v>64</x:v>
      </x:c>
      <x:c r="D57" s="163" t="e">
        <x:f>+_xlfn.XLOOKUP($C57,#REF!,#REF!)</x:f>
        <x:v>#N/A</x:v>
      </x:c>
      <x:c r="E57" s="163" t="e">
        <x:f>+_xlfn.XLOOKUP($C57,#REF!,#REF!)</x:f>
        <x:v>#N/A</x:v>
      </x:c>
      <x:c r="F57" s="163" t="e">
        <x:f>+_xlfn.XLOOKUP($C57,#REF!,#REF!)</x:f>
        <x:v>#N/A</x:v>
      </x:c>
      <x:c r="G57" s="163" t="e">
        <x:f>+_xlfn.XLOOKUP($C57,#REF!,#REF!)</x:f>
        <x:v>#N/A</x:v>
      </x:c>
      <x:c r="H57" s="163" t="e">
        <x:f>+_xlfn.XLOOKUP($C57,#REF!,#REF!)</x:f>
        <x:v>#N/A</x:v>
      </x:c>
      <x:c r="I57" s="163" t="e">
        <x:f>+_xlfn.XLOOKUP($C57,#REF!,#REF!)</x:f>
        <x:v>#N/A</x:v>
      </x:c>
      <x:c r="J57" s="163" t="e">
        <x:f>+_xlfn.XLOOKUP($C57,#REF!,#REF!)</x:f>
        <x:v>#N/A</x:v>
      </x:c>
      <x:c r="K57" s="163" t="e">
        <x:f>+_xlfn.XLOOKUP($C57,#REF!,#REF!)</x:f>
        <x:v>#N/A</x:v>
      </x:c>
      <x:c r="L57" s="163" t="e">
        <x:f>+_xlfn.XLOOKUP($C57,#REF!,#REF!)</x:f>
        <x:v>#N/A</x:v>
      </x:c>
      <x:c r="M57" s="163" t="e">
        <x:f>+_xlfn.XLOOKUP($C57,#REF!,#REF!)</x:f>
        <x:v>#N/A</x:v>
      </x:c>
      <x:c r="N57" s="163" t="e">
        <x:f>+_xlfn.XLOOKUP($C57,#REF!,#REF!)</x:f>
        <x:v>#N/A</x:v>
      </x:c>
      <x:c r="O57" s="163" t="e">
        <x:f>+_xlfn.XLOOKUP($C57,#REF!,#REF!)</x:f>
        <x:v>#N/A</x:v>
      </x:c>
      <x:c r="P57" s="156" t="e">
        <x:f t="shared" si="1"/>
        <x:v>#REF!</x:v>
      </x:c>
      <x:c r="Q57" s="197" t="e">
        <x:f t="shared" si="4"/>
        <x:v>#REF!</x:v>
      </x:c>
      <x:c r="R57" s="198"/>
      <x:c r="S57" s="198"/>
      <x:c r="T57" s="198"/>
      <x:c r="U57" s="198"/>
      <x:c r="V57" s="225"/>
      <x:c r="W57" s="218"/>
      <x:c r="X57" s="159"/>
    </x:row>
    <x:row r="58" s="1" customFormat="1" ht="21.75">
      <x:c r="A58" s="4"/>
      <x:c r="B58" s="279"/>
      <x:c r="C58" s="171" t="s">
        <x:v>65</x:v>
      </x:c>
      <x:c r="D58" s="163" t="e">
        <x:f>+_xlfn.XLOOKUP($C58,#REF!,#REF!)</x:f>
        <x:v>#N/A</x:v>
      </x:c>
      <x:c r="E58" s="163" t="e">
        <x:f>+_xlfn.XLOOKUP($C58,#REF!,#REF!)</x:f>
        <x:v>#N/A</x:v>
      </x:c>
      <x:c r="F58" s="163" t="e">
        <x:f>+_xlfn.XLOOKUP($C58,#REF!,#REF!)</x:f>
        <x:v>#N/A</x:v>
      </x:c>
      <x:c r="G58" s="163" t="e">
        <x:f>+_xlfn.XLOOKUP($C58,#REF!,#REF!)</x:f>
        <x:v>#N/A</x:v>
      </x:c>
      <x:c r="H58" s="163" t="e">
        <x:f>+_xlfn.XLOOKUP($C58,#REF!,#REF!)</x:f>
        <x:v>#N/A</x:v>
      </x:c>
      <x:c r="I58" s="163" t="e">
        <x:f>+_xlfn.XLOOKUP($C58,#REF!,#REF!)</x:f>
        <x:v>#N/A</x:v>
      </x:c>
      <x:c r="J58" s="163" t="e">
        <x:f>+_xlfn.XLOOKUP($C58,#REF!,#REF!)</x:f>
        <x:v>#N/A</x:v>
      </x:c>
      <x:c r="K58" s="163" t="e">
        <x:f>+_xlfn.XLOOKUP($C58,#REF!,#REF!)</x:f>
        <x:v>#N/A</x:v>
      </x:c>
      <x:c r="L58" s="163" t="e">
        <x:f>+_xlfn.XLOOKUP($C58,#REF!,#REF!)</x:f>
        <x:v>#N/A</x:v>
      </x:c>
      <x:c r="M58" s="163" t="e">
        <x:f>+_xlfn.XLOOKUP($C58,#REF!,#REF!)</x:f>
        <x:v>#N/A</x:v>
      </x:c>
      <x:c r="N58" s="163" t="e">
        <x:f>+_xlfn.XLOOKUP($C58,#REF!,#REF!)</x:f>
        <x:v>#N/A</x:v>
      </x:c>
      <x:c r="O58" s="163" t="e">
        <x:f>+_xlfn.XLOOKUP($C58,#REF!,#REF!)</x:f>
        <x:v>#N/A</x:v>
      </x:c>
      <x:c r="P58" s="156" t="e">
        <x:f t="shared" si="1"/>
        <x:v>#REF!</x:v>
      </x:c>
      <x:c r="Q58" s="197" t="e">
        <x:f t="shared" si="4"/>
        <x:v>#REF!</x:v>
      </x:c>
      <x:c r="R58" s="198"/>
      <x:c r="S58" s="198"/>
      <x:c r="T58" s="198"/>
      <x:c r="U58" s="198"/>
      <x:c r="V58" s="225"/>
      <x:c r="W58" s="218"/>
      <x:c r="X58" s="169"/>
    </x:row>
    <x:row r="59" s="1" customFormat="1" ht="21.75">
      <x:c r="A59" s="4"/>
      <x:c r="B59" s="279"/>
      <x:c r="C59" s="171" t="s">
        <x:v>66</x:v>
      </x:c>
      <x:c r="D59" s="163" t="e">
        <x:f>+_xlfn.XLOOKUP($C59,#REF!,#REF!)</x:f>
        <x:v>#N/A</x:v>
      </x:c>
      <x:c r="E59" s="163" t="e">
        <x:f>+_xlfn.XLOOKUP($C59,#REF!,#REF!)</x:f>
        <x:v>#N/A</x:v>
      </x:c>
      <x:c r="F59" s="163" t="e">
        <x:f>+_xlfn.XLOOKUP($C59,#REF!,#REF!)</x:f>
        <x:v>#N/A</x:v>
      </x:c>
      <x:c r="G59" s="163" t="e">
        <x:f>+_xlfn.XLOOKUP($C59,#REF!,#REF!)</x:f>
        <x:v>#N/A</x:v>
      </x:c>
      <x:c r="H59" s="163" t="e">
        <x:f>+_xlfn.XLOOKUP($C59,#REF!,#REF!)</x:f>
        <x:v>#N/A</x:v>
      </x:c>
      <x:c r="I59" s="163" t="e">
        <x:f>+_xlfn.XLOOKUP($C59,#REF!,#REF!)</x:f>
        <x:v>#N/A</x:v>
      </x:c>
      <x:c r="J59" s="163" t="e">
        <x:f>+_xlfn.XLOOKUP($C59,#REF!,#REF!)</x:f>
        <x:v>#N/A</x:v>
      </x:c>
      <x:c r="K59" s="163" t="e">
        <x:f>+_xlfn.XLOOKUP($C59,#REF!,#REF!)</x:f>
        <x:v>#N/A</x:v>
      </x:c>
      <x:c r="L59" s="163" t="e">
        <x:f>+_xlfn.XLOOKUP($C59,#REF!,#REF!)</x:f>
        <x:v>#N/A</x:v>
      </x:c>
      <x:c r="M59" s="163" t="e">
        <x:f>+_xlfn.XLOOKUP($C59,#REF!,#REF!)</x:f>
        <x:v>#N/A</x:v>
      </x:c>
      <x:c r="N59" s="163" t="e">
        <x:f>+_xlfn.XLOOKUP($C59,#REF!,#REF!)</x:f>
        <x:v>#N/A</x:v>
      </x:c>
      <x:c r="O59" s="163" t="e">
        <x:f>+_xlfn.XLOOKUP($C59,#REF!,#REF!)</x:f>
        <x:v>#N/A</x:v>
      </x:c>
      <x:c r="P59" s="156" t="e">
        <x:f t="shared" si="1"/>
        <x:v>#REF!</x:v>
      </x:c>
      <x:c r="Q59" s="197" t="e">
        <x:f t="shared" si="4"/>
        <x:v>#REF!</x:v>
      </x:c>
      <x:c r="R59" s="198"/>
      <x:c r="S59" s="198"/>
      <x:c r="T59" s="198"/>
      <x:c r="U59" s="198"/>
      <x:c r="V59" s="225"/>
      <x:c r="W59" s="218"/>
      <x:c r="X59" s="159"/>
    </x:row>
    <x:row r="60" s="1" customFormat="1" ht="21.75">
      <x:c r="A60" s="4"/>
      <x:c r="B60" s="279"/>
      <x:c r="C60" s="171" t="s">
        <x:v>67</x:v>
      </x:c>
      <x:c r="D60" s="163" t="e">
        <x:f>+_xlfn.XLOOKUP($C60,#REF!,#REF!)</x:f>
        <x:v>#N/A</x:v>
      </x:c>
      <x:c r="E60" s="163" t="e">
        <x:f>+_xlfn.XLOOKUP($C60,#REF!,#REF!)</x:f>
        <x:v>#N/A</x:v>
      </x:c>
      <x:c r="F60" s="163" t="e">
        <x:f>+_xlfn.XLOOKUP($C60,#REF!,#REF!)</x:f>
        <x:v>#N/A</x:v>
      </x:c>
      <x:c r="G60" s="163" t="e">
        <x:f>+_xlfn.XLOOKUP($C60,#REF!,#REF!)</x:f>
        <x:v>#N/A</x:v>
      </x:c>
      <x:c r="H60" s="163" t="e">
        <x:f>+_xlfn.XLOOKUP($C60,#REF!,#REF!)</x:f>
        <x:v>#N/A</x:v>
      </x:c>
      <x:c r="I60" s="163" t="e">
        <x:f>+_xlfn.XLOOKUP($C60,#REF!,#REF!)</x:f>
        <x:v>#N/A</x:v>
      </x:c>
      <x:c r="J60" s="163" t="e">
        <x:f>+_xlfn.XLOOKUP($C60,#REF!,#REF!)</x:f>
        <x:v>#N/A</x:v>
      </x:c>
      <x:c r="K60" s="163" t="e">
        <x:f>+_xlfn.XLOOKUP($C60,#REF!,#REF!)</x:f>
        <x:v>#N/A</x:v>
      </x:c>
      <x:c r="L60" s="163" t="e">
        <x:f>+_xlfn.XLOOKUP($C60,#REF!,#REF!)</x:f>
        <x:v>#N/A</x:v>
      </x:c>
      <x:c r="M60" s="163" t="e">
        <x:f>+_xlfn.XLOOKUP($C60,#REF!,#REF!)</x:f>
        <x:v>#N/A</x:v>
      </x:c>
      <x:c r="N60" s="163" t="e">
        <x:f>+_xlfn.XLOOKUP($C60,#REF!,#REF!)</x:f>
        <x:v>#N/A</x:v>
      </x:c>
      <x:c r="O60" s="163" t="e">
        <x:f>+_xlfn.XLOOKUP($C60,#REF!,#REF!)</x:f>
        <x:v>#N/A</x:v>
      </x:c>
      <x:c r="P60" s="156" t="e">
        <x:f t="shared" si="1"/>
        <x:v>#REF!</x:v>
      </x:c>
      <x:c r="Q60" s="197" t="e">
        <x:f t="shared" si="4"/>
        <x:v>#REF!</x:v>
      </x:c>
      <x:c r="R60" s="198"/>
      <x:c r="S60" s="198"/>
      <x:c r="T60" s="198"/>
      <x:c r="U60" s="198"/>
      <x:c r="V60" s="225"/>
      <x:c r="W60" s="218"/>
      <x:c r="X60" s="169"/>
    </x:row>
    <x:row r="61" s="1" customFormat="1" ht="21.75">
      <x:c r="A61" s="4"/>
      <x:c r="B61" s="279"/>
      <x:c r="C61" s="171" t="s">
        <x:v>68</x:v>
      </x:c>
      <x:c r="D61" s="163" t="e">
        <x:f>+_xlfn.XLOOKUP($C61,#REF!,#REF!)</x:f>
        <x:v>#N/A</x:v>
      </x:c>
      <x:c r="E61" s="163" t="e">
        <x:f>+_xlfn.XLOOKUP($C61,#REF!,#REF!)</x:f>
        <x:v>#N/A</x:v>
      </x:c>
      <x:c r="F61" s="163" t="e">
        <x:f>+_xlfn.XLOOKUP($C61,#REF!,#REF!)</x:f>
        <x:v>#N/A</x:v>
      </x:c>
      <x:c r="G61" s="163" t="e">
        <x:f>+_xlfn.XLOOKUP($C61,#REF!,#REF!)</x:f>
        <x:v>#N/A</x:v>
      </x:c>
      <x:c r="H61" s="163" t="e">
        <x:f>+_xlfn.XLOOKUP($C61,#REF!,#REF!)</x:f>
        <x:v>#N/A</x:v>
      </x:c>
      <x:c r="I61" s="163" t="e">
        <x:f>+_xlfn.XLOOKUP($C61,#REF!,#REF!)</x:f>
        <x:v>#N/A</x:v>
      </x:c>
      <x:c r="J61" s="163" t="e">
        <x:f>+_xlfn.XLOOKUP($C61,#REF!,#REF!)</x:f>
        <x:v>#N/A</x:v>
      </x:c>
      <x:c r="K61" s="163" t="e">
        <x:f>+_xlfn.XLOOKUP($C61,#REF!,#REF!)</x:f>
        <x:v>#N/A</x:v>
      </x:c>
      <x:c r="L61" s="163" t="e">
        <x:f>+_xlfn.XLOOKUP($C61,#REF!,#REF!)</x:f>
        <x:v>#N/A</x:v>
      </x:c>
      <x:c r="M61" s="163" t="e">
        <x:f>+_xlfn.XLOOKUP($C61,#REF!,#REF!)</x:f>
        <x:v>#N/A</x:v>
      </x:c>
      <x:c r="N61" s="163" t="e">
        <x:f>+_xlfn.XLOOKUP($C61,#REF!,#REF!)</x:f>
        <x:v>#N/A</x:v>
      </x:c>
      <x:c r="O61" s="163" t="e">
        <x:f>+_xlfn.XLOOKUP($C61,#REF!,#REF!)</x:f>
        <x:v>#N/A</x:v>
      </x:c>
      <x:c r="P61" s="156" t="e">
        <x:f t="shared" si="1"/>
        <x:v>#REF!</x:v>
      </x:c>
      <x:c r="Q61" s="197" t="e">
        <x:f t="shared" si="4"/>
        <x:v>#REF!</x:v>
      </x:c>
      <x:c r="R61" s="198"/>
      <x:c r="S61" s="198"/>
      <x:c r="T61" s="198"/>
      <x:c r="U61" s="198"/>
      <x:c r="V61" s="225"/>
      <x:c r="W61" s="218"/>
      <x:c r="X61" s="169"/>
    </x:row>
    <x:row r="62" s="1" customFormat="1" ht="21.75">
      <x:c r="A62" s="4"/>
      <x:c r="B62" s="279"/>
      <x:c r="C62" s="171" t="s">
        <x:v>69</x:v>
      </x:c>
      <x:c r="D62" s="163" t="e">
        <x:f>+_xlfn.XLOOKUP($C62,#REF!,#REF!)</x:f>
        <x:v>#N/A</x:v>
      </x:c>
      <x:c r="E62" s="163" t="e">
        <x:f>+_xlfn.XLOOKUP($C62,#REF!,#REF!)</x:f>
        <x:v>#N/A</x:v>
      </x:c>
      <x:c r="F62" s="163" t="e">
        <x:f>+_xlfn.XLOOKUP($C62,#REF!,#REF!)</x:f>
        <x:v>#N/A</x:v>
      </x:c>
      <x:c r="G62" s="163" t="e">
        <x:f>+_xlfn.XLOOKUP($C62,#REF!,#REF!)</x:f>
        <x:v>#N/A</x:v>
      </x:c>
      <x:c r="H62" s="163" t="e">
        <x:f>+_xlfn.XLOOKUP($C62,#REF!,#REF!)</x:f>
        <x:v>#N/A</x:v>
      </x:c>
      <x:c r="I62" s="163" t="e">
        <x:f>+_xlfn.XLOOKUP($C62,#REF!,#REF!)</x:f>
        <x:v>#N/A</x:v>
      </x:c>
      <x:c r="J62" s="163" t="e">
        <x:f>+_xlfn.XLOOKUP($C62,#REF!,#REF!)</x:f>
        <x:v>#N/A</x:v>
      </x:c>
      <x:c r="K62" s="163" t="e">
        <x:f>+_xlfn.XLOOKUP($C62,#REF!,#REF!)</x:f>
        <x:v>#N/A</x:v>
      </x:c>
      <x:c r="L62" s="163" t="e">
        <x:f>+_xlfn.XLOOKUP($C62,#REF!,#REF!)</x:f>
        <x:v>#N/A</x:v>
      </x:c>
      <x:c r="M62" s="163" t="e">
        <x:f>+_xlfn.XLOOKUP($C62,#REF!,#REF!)</x:f>
        <x:v>#N/A</x:v>
      </x:c>
      <x:c r="N62" s="163" t="e">
        <x:f>+_xlfn.XLOOKUP($C62,#REF!,#REF!)</x:f>
        <x:v>#N/A</x:v>
      </x:c>
      <x:c r="O62" s="163" t="e">
        <x:f>+_xlfn.XLOOKUP($C62,#REF!,#REF!)</x:f>
        <x:v>#N/A</x:v>
      </x:c>
      <x:c r="P62" s="156" t="e">
        <x:f t="shared" si="1"/>
        <x:v>#REF!</x:v>
      </x:c>
      <x:c r="Q62" s="197" t="e">
        <x:f t="shared" si="4"/>
        <x:v>#REF!</x:v>
      </x:c>
      <x:c r="R62" s="198"/>
      <x:c r="S62" s="198"/>
      <x:c r="T62" s="198"/>
      <x:c r="U62" s="198"/>
      <x:c r="V62" s="225"/>
      <x:c r="W62" s="218"/>
      <x:c r="X62" s="169"/>
    </x:row>
    <x:row r="63" s="1" customFormat="1" ht="21.75">
      <x:c r="A63" s="4"/>
      <x:c r="B63" s="279"/>
      <x:c r="C63" s="171" t="s">
        <x:v>70</x:v>
      </x:c>
      <x:c r="D63" s="163" t="e">
        <x:f>+_xlfn.XLOOKUP($C63,#REF!,#REF!)</x:f>
        <x:v>#N/A</x:v>
      </x:c>
      <x:c r="E63" s="163" t="e">
        <x:f>+_xlfn.XLOOKUP($C63,#REF!,#REF!)</x:f>
        <x:v>#N/A</x:v>
      </x:c>
      <x:c r="F63" s="163" t="e">
        <x:f>+_xlfn.XLOOKUP($C63,#REF!,#REF!)</x:f>
        <x:v>#N/A</x:v>
      </x:c>
      <x:c r="G63" s="163" t="e">
        <x:f>+_xlfn.XLOOKUP($C63,#REF!,#REF!)</x:f>
        <x:v>#N/A</x:v>
      </x:c>
      <x:c r="H63" s="163" t="e">
        <x:f>+_xlfn.XLOOKUP($C63,#REF!,#REF!)</x:f>
        <x:v>#N/A</x:v>
      </x:c>
      <x:c r="I63" s="163" t="e">
        <x:f>+_xlfn.XLOOKUP($C63,#REF!,#REF!)</x:f>
        <x:v>#N/A</x:v>
      </x:c>
      <x:c r="J63" s="163" t="e">
        <x:f>+_xlfn.XLOOKUP($C63,#REF!,#REF!)</x:f>
        <x:v>#N/A</x:v>
      </x:c>
      <x:c r="K63" s="163" t="e">
        <x:f>+_xlfn.XLOOKUP($C63,#REF!,#REF!)</x:f>
        <x:v>#N/A</x:v>
      </x:c>
      <x:c r="L63" s="163" t="e">
        <x:f>+_xlfn.XLOOKUP($C63,#REF!,#REF!)</x:f>
        <x:v>#N/A</x:v>
      </x:c>
      <x:c r="M63" s="163" t="e">
        <x:f>+_xlfn.XLOOKUP($C63,#REF!,#REF!)</x:f>
        <x:v>#N/A</x:v>
      </x:c>
      <x:c r="N63" s="163" t="e">
        <x:f>+_xlfn.XLOOKUP($C63,#REF!,#REF!)</x:f>
        <x:v>#N/A</x:v>
      </x:c>
      <x:c r="O63" s="163" t="e">
        <x:f>+_xlfn.XLOOKUP($C63,#REF!,#REF!)</x:f>
        <x:v>#N/A</x:v>
      </x:c>
      <x:c r="P63" s="156" t="e">
        <x:f t="shared" si="1"/>
        <x:v>#REF!</x:v>
      </x:c>
      <x:c r="Q63" s="197" t="e">
        <x:f t="shared" si="4"/>
        <x:v>#REF!</x:v>
      </x:c>
      <x:c r="R63" s="198"/>
      <x:c r="S63" s="198"/>
      <x:c r="T63" s="198"/>
      <x:c r="U63" s="198"/>
      <x:c r="V63" s="225"/>
      <x:c r="W63" s="218"/>
      <x:c r="X63" s="159"/>
    </x:row>
    <x:row r="64" s="1" customFormat="1" ht="21.75">
      <x:c r="A64" s="4"/>
      <x:c r="B64" s="279"/>
      <x:c r="C64" s="171" t="s">
        <x:v>71</x:v>
      </x:c>
      <x:c r="D64" s="163" t="e">
        <x:f>+_xlfn.XLOOKUP($C64,#REF!,#REF!)</x:f>
        <x:v>#N/A</x:v>
      </x:c>
      <x:c r="E64" s="163" t="e">
        <x:f>+_xlfn.XLOOKUP($C64,#REF!,#REF!)</x:f>
        <x:v>#N/A</x:v>
      </x:c>
      <x:c r="F64" s="163" t="e">
        <x:f>+_xlfn.XLOOKUP($C64,#REF!,#REF!)</x:f>
        <x:v>#N/A</x:v>
      </x:c>
      <x:c r="G64" s="163" t="e">
        <x:f>+_xlfn.XLOOKUP($C64,#REF!,#REF!)</x:f>
        <x:v>#N/A</x:v>
      </x:c>
      <x:c r="H64" s="163" t="e">
        <x:f>+_xlfn.XLOOKUP($C64,#REF!,#REF!)</x:f>
        <x:v>#N/A</x:v>
      </x:c>
      <x:c r="I64" s="163" t="e">
        <x:f>+_xlfn.XLOOKUP($C64,#REF!,#REF!)</x:f>
        <x:v>#N/A</x:v>
      </x:c>
      <x:c r="J64" s="163" t="e">
        <x:f>+_xlfn.XLOOKUP($C64,#REF!,#REF!)</x:f>
        <x:v>#N/A</x:v>
      </x:c>
      <x:c r="K64" s="163" t="e">
        <x:f>+_xlfn.XLOOKUP($C64,#REF!,#REF!)</x:f>
        <x:v>#N/A</x:v>
      </x:c>
      <x:c r="L64" s="163" t="e">
        <x:f>+_xlfn.XLOOKUP($C64,#REF!,#REF!)</x:f>
        <x:v>#N/A</x:v>
      </x:c>
      <x:c r="M64" s="163" t="e">
        <x:f>+_xlfn.XLOOKUP($C64,#REF!,#REF!)</x:f>
        <x:v>#N/A</x:v>
      </x:c>
      <x:c r="N64" s="163" t="e">
        <x:f>+_xlfn.XLOOKUP($C64,#REF!,#REF!)</x:f>
        <x:v>#N/A</x:v>
      </x:c>
      <x:c r="O64" s="163" t="e">
        <x:f>+_xlfn.XLOOKUP($C64,#REF!,#REF!)</x:f>
        <x:v>#N/A</x:v>
      </x:c>
      <x:c r="P64" s="156" t="e">
        <x:f t="shared" si="1"/>
        <x:v>#REF!</x:v>
      </x:c>
      <x:c r="Q64" s="197" t="e">
        <x:f t="shared" si="4"/>
        <x:v>#REF!</x:v>
      </x:c>
      <x:c r="R64" s="198"/>
      <x:c r="S64" s="198"/>
      <x:c r="T64" s="198"/>
      <x:c r="U64" s="198"/>
      <x:c r="V64" s="225"/>
      <x:c r="W64" s="218"/>
      <x:c r="X64" s="169"/>
    </x:row>
    <x:row r="65" s="1" customFormat="1" ht="21.75">
      <x:c r="A65" s="4"/>
      <x:c r="B65" s="279"/>
      <x:c r="C65" s="171" t="s">
        <x:v>72</x:v>
      </x:c>
      <x:c r="D65" s="163" t="e">
        <x:f>+_xlfn.XLOOKUP($C65,#REF!,#REF!)</x:f>
        <x:v>#N/A</x:v>
      </x:c>
      <x:c r="E65" s="163" t="e">
        <x:f>+_xlfn.XLOOKUP($C65,#REF!,#REF!)</x:f>
        <x:v>#N/A</x:v>
      </x:c>
      <x:c r="F65" s="163" t="e">
        <x:f>+_xlfn.XLOOKUP($C65,#REF!,#REF!)</x:f>
        <x:v>#N/A</x:v>
      </x:c>
      <x:c r="G65" s="163" t="e">
        <x:f>+_xlfn.XLOOKUP($C65,#REF!,#REF!)</x:f>
        <x:v>#N/A</x:v>
      </x:c>
      <x:c r="H65" s="163" t="e">
        <x:f>+_xlfn.XLOOKUP($C65,#REF!,#REF!)</x:f>
        <x:v>#N/A</x:v>
      </x:c>
      <x:c r="I65" s="163" t="e">
        <x:f>+_xlfn.XLOOKUP($C65,#REF!,#REF!)</x:f>
        <x:v>#N/A</x:v>
      </x:c>
      <x:c r="J65" s="163" t="e">
        <x:f>+_xlfn.XLOOKUP($C65,#REF!,#REF!)</x:f>
        <x:v>#N/A</x:v>
      </x:c>
      <x:c r="K65" s="163" t="e">
        <x:f>+_xlfn.XLOOKUP($C65,#REF!,#REF!)</x:f>
        <x:v>#N/A</x:v>
      </x:c>
      <x:c r="L65" s="163" t="e">
        <x:f>+_xlfn.XLOOKUP($C65,#REF!,#REF!)</x:f>
        <x:v>#N/A</x:v>
      </x:c>
      <x:c r="M65" s="163" t="e">
        <x:f>+_xlfn.XLOOKUP($C65,#REF!,#REF!)</x:f>
        <x:v>#N/A</x:v>
      </x:c>
      <x:c r="N65" s="163" t="e">
        <x:f>+_xlfn.XLOOKUP($C65,#REF!,#REF!)</x:f>
        <x:v>#N/A</x:v>
      </x:c>
      <x:c r="O65" s="163" t="e">
        <x:f>+_xlfn.XLOOKUP($C65,#REF!,#REF!)</x:f>
        <x:v>#N/A</x:v>
      </x:c>
      <x:c r="P65" s="156" t="e">
        <x:f t="shared" si="1"/>
        <x:v>#REF!</x:v>
      </x:c>
      <x:c r="Q65" s="197" t="e">
        <x:f t="shared" si="4"/>
        <x:v>#REF!</x:v>
      </x:c>
      <x:c r="R65" s="198"/>
      <x:c r="S65" s="198"/>
      <x:c r="T65" s="198"/>
      <x:c r="U65" s="198"/>
      <x:c r="V65" s="225"/>
      <x:c r="W65" s="218"/>
      <x:c r="X65" s="169"/>
    </x:row>
    <x:row r="66" s="1" customFormat="1" ht="21.75">
      <x:c r="A66" s="4"/>
      <x:c r="B66" s="279"/>
      <x:c r="C66" s="171" t="s">
        <x:v>73</x:v>
      </x:c>
      <x:c r="D66" s="163" t="e">
        <x:f>+_xlfn.XLOOKUP($C66,#REF!,#REF!)</x:f>
        <x:v>#N/A</x:v>
      </x:c>
      <x:c r="E66" s="163" t="e">
        <x:f>+_xlfn.XLOOKUP($C66,#REF!,#REF!)</x:f>
        <x:v>#N/A</x:v>
      </x:c>
      <x:c r="F66" s="163" t="e">
        <x:f>+_xlfn.XLOOKUP($C66,#REF!,#REF!)</x:f>
        <x:v>#N/A</x:v>
      </x:c>
      <x:c r="G66" s="163" t="e">
        <x:f>+_xlfn.XLOOKUP($C66,#REF!,#REF!)</x:f>
        <x:v>#N/A</x:v>
      </x:c>
      <x:c r="H66" s="163" t="e">
        <x:f>+_xlfn.XLOOKUP($C66,#REF!,#REF!)</x:f>
        <x:v>#N/A</x:v>
      </x:c>
      <x:c r="I66" s="163" t="e">
        <x:f>+_xlfn.XLOOKUP($C66,#REF!,#REF!)</x:f>
        <x:v>#N/A</x:v>
      </x:c>
      <x:c r="J66" s="163" t="e">
        <x:f>+_xlfn.XLOOKUP($C66,#REF!,#REF!)</x:f>
        <x:v>#N/A</x:v>
      </x:c>
      <x:c r="K66" s="163" t="e">
        <x:f>+_xlfn.XLOOKUP($C66,#REF!,#REF!)</x:f>
        <x:v>#N/A</x:v>
      </x:c>
      <x:c r="L66" s="163" t="e">
        <x:f>+_xlfn.XLOOKUP($C66,#REF!,#REF!)</x:f>
        <x:v>#N/A</x:v>
      </x:c>
      <x:c r="M66" s="163" t="e">
        <x:f>+_xlfn.XLOOKUP($C66,#REF!,#REF!)</x:f>
        <x:v>#N/A</x:v>
      </x:c>
      <x:c r="N66" s="163" t="e">
        <x:f>+_xlfn.XLOOKUP($C66,#REF!,#REF!)</x:f>
        <x:v>#N/A</x:v>
      </x:c>
      <x:c r="O66" s="163" t="e">
        <x:f>+_xlfn.XLOOKUP($C66,#REF!,#REF!)</x:f>
        <x:v>#N/A</x:v>
      </x:c>
      <x:c r="P66" s="156" t="e">
        <x:f t="shared" si="1"/>
        <x:v>#REF!</x:v>
      </x:c>
      <x:c r="Q66" s="197" t="e">
        <x:f t="shared" si="4"/>
        <x:v>#REF!</x:v>
      </x:c>
      <x:c r="R66" s="198"/>
      <x:c r="S66" s="198"/>
      <x:c r="T66" s="198"/>
      <x:c r="U66" s="198"/>
      <x:c r="V66" s="225"/>
      <x:c r="W66" s="218"/>
      <x:c r="X66" s="169"/>
    </x:row>
    <x:row r="67" s="1" customFormat="1" ht="21.75">
      <x:c r="A67" s="4"/>
      <x:c r="B67" s="279"/>
      <x:c r="C67" s="171" t="s">
        <x:v>74</x:v>
      </x:c>
      <x:c r="D67" s="163" t="e">
        <x:f>+_xlfn.XLOOKUP($C67,#REF!,#REF!)</x:f>
        <x:v>#N/A</x:v>
      </x:c>
      <x:c r="E67" s="163" t="e">
        <x:f>+_xlfn.XLOOKUP($C67,#REF!,#REF!)</x:f>
        <x:v>#N/A</x:v>
      </x:c>
      <x:c r="F67" s="163" t="e">
        <x:f>+_xlfn.XLOOKUP($C67,#REF!,#REF!)</x:f>
        <x:v>#N/A</x:v>
      </x:c>
      <x:c r="G67" s="163" t="e">
        <x:f>+_xlfn.XLOOKUP($C67,#REF!,#REF!)</x:f>
        <x:v>#N/A</x:v>
      </x:c>
      <x:c r="H67" s="163" t="e">
        <x:f>+_xlfn.XLOOKUP($C67,#REF!,#REF!)</x:f>
        <x:v>#N/A</x:v>
      </x:c>
      <x:c r="I67" s="163" t="e">
        <x:f>+_xlfn.XLOOKUP($C67,#REF!,#REF!)</x:f>
        <x:v>#N/A</x:v>
      </x:c>
      <x:c r="J67" s="163" t="e">
        <x:f>+_xlfn.XLOOKUP($C67,#REF!,#REF!)</x:f>
        <x:v>#N/A</x:v>
      </x:c>
      <x:c r="K67" s="163" t="e">
        <x:f>+_xlfn.XLOOKUP($C67,#REF!,#REF!)</x:f>
        <x:v>#N/A</x:v>
      </x:c>
      <x:c r="L67" s="163" t="e">
        <x:f>+_xlfn.XLOOKUP($C67,#REF!,#REF!)</x:f>
        <x:v>#N/A</x:v>
      </x:c>
      <x:c r="M67" s="163" t="e">
        <x:f>+_xlfn.XLOOKUP($C67,#REF!,#REF!)</x:f>
        <x:v>#N/A</x:v>
      </x:c>
      <x:c r="N67" s="163" t="e">
        <x:f>+_xlfn.XLOOKUP($C67,#REF!,#REF!)</x:f>
        <x:v>#N/A</x:v>
      </x:c>
      <x:c r="O67" s="163" t="e">
        <x:f>+_xlfn.XLOOKUP($C67,#REF!,#REF!)</x:f>
        <x:v>#N/A</x:v>
      </x:c>
      <x:c r="P67" s="156" t="e">
        <x:f t="shared" si="1"/>
        <x:v>#REF!</x:v>
      </x:c>
      <x:c r="Q67" s="197" t="e">
        <x:f t="shared" si="4"/>
        <x:v>#REF!</x:v>
      </x:c>
      <x:c r="R67" s="198"/>
      <x:c r="S67" s="198"/>
      <x:c r="T67" s="198"/>
      <x:c r="U67" s="198"/>
      <x:c r="V67" s="225"/>
      <x:c r="W67" s="218"/>
      <x:c r="X67" s="169"/>
    </x:row>
    <x:row r="68" s="1" customFormat="1" ht="21.75">
      <x:c r="A68" s="4"/>
      <x:c r="B68" s="279"/>
      <x:c r="C68" s="171" t="s">
        <x:v>75</x:v>
      </x:c>
      <x:c r="D68" s="163" t="e">
        <x:f>+_xlfn.XLOOKUP($C68,#REF!,#REF!)</x:f>
        <x:v>#N/A</x:v>
      </x:c>
      <x:c r="E68" s="163" t="e">
        <x:f>+_xlfn.XLOOKUP($C68,#REF!,#REF!)</x:f>
        <x:v>#N/A</x:v>
      </x:c>
      <x:c r="F68" s="163" t="e">
        <x:f>+_xlfn.XLOOKUP($C68,#REF!,#REF!)</x:f>
        <x:v>#N/A</x:v>
      </x:c>
      <x:c r="G68" s="163" t="e">
        <x:f>+_xlfn.XLOOKUP($C68,#REF!,#REF!)</x:f>
        <x:v>#N/A</x:v>
      </x:c>
      <x:c r="H68" s="163" t="e">
        <x:f>+_xlfn.XLOOKUP($C68,#REF!,#REF!)</x:f>
        <x:v>#N/A</x:v>
      </x:c>
      <x:c r="I68" s="163" t="e">
        <x:f>+_xlfn.XLOOKUP($C68,#REF!,#REF!)</x:f>
        <x:v>#N/A</x:v>
      </x:c>
      <x:c r="J68" s="163" t="e">
        <x:f>+_xlfn.XLOOKUP($C68,#REF!,#REF!)</x:f>
        <x:v>#N/A</x:v>
      </x:c>
      <x:c r="K68" s="163" t="e">
        <x:f>+_xlfn.XLOOKUP($C68,#REF!,#REF!)</x:f>
        <x:v>#N/A</x:v>
      </x:c>
      <x:c r="L68" s="163" t="e">
        <x:f>+_xlfn.XLOOKUP($C68,#REF!,#REF!)</x:f>
        <x:v>#N/A</x:v>
      </x:c>
      <x:c r="M68" s="163" t="e">
        <x:f>+_xlfn.XLOOKUP($C68,#REF!,#REF!)</x:f>
        <x:v>#N/A</x:v>
      </x:c>
      <x:c r="N68" s="163" t="e">
        <x:f>+_xlfn.XLOOKUP($C68,#REF!,#REF!)</x:f>
        <x:v>#N/A</x:v>
      </x:c>
      <x:c r="O68" s="163" t="e">
        <x:f>+_xlfn.XLOOKUP($C68,#REF!,#REF!)</x:f>
        <x:v>#N/A</x:v>
      </x:c>
      <x:c r="P68" s="156" t="e">
        <x:f t="shared" si="1"/>
        <x:v>#REF!</x:v>
      </x:c>
      <x:c r="Q68" s="197" t="e">
        <x:f t="shared" si="4"/>
        <x:v>#REF!</x:v>
      </x:c>
      <x:c r="R68" s="198"/>
      <x:c r="S68" s="198"/>
      <x:c r="T68" s="198"/>
      <x:c r="U68" s="198"/>
      <x:c r="V68" s="225"/>
      <x:c r="W68" s="218"/>
      <x:c r="X68" s="169"/>
    </x:row>
    <x:row r="69" s="1" customFormat="1" ht="21.75">
      <x:c r="A69" s="4"/>
      <x:c r="B69" s="279"/>
      <x:c r="C69" s="171" t="s">
        <x:v>76</x:v>
      </x:c>
      <x:c r="D69" s="163" t="e">
        <x:f>+_xlfn.XLOOKUP($C69,#REF!,#REF!)</x:f>
        <x:v>#N/A</x:v>
      </x:c>
      <x:c r="E69" s="163" t="e">
        <x:f>+_xlfn.XLOOKUP($C69,#REF!,#REF!)</x:f>
        <x:v>#N/A</x:v>
      </x:c>
      <x:c r="F69" s="163" t="e">
        <x:f>+_xlfn.XLOOKUP($C69,#REF!,#REF!)</x:f>
        <x:v>#N/A</x:v>
      </x:c>
      <x:c r="G69" s="163" t="e">
        <x:f>+_xlfn.XLOOKUP($C69,#REF!,#REF!)</x:f>
        <x:v>#N/A</x:v>
      </x:c>
      <x:c r="H69" s="163" t="e">
        <x:f>+_xlfn.XLOOKUP($C69,#REF!,#REF!)</x:f>
        <x:v>#N/A</x:v>
      </x:c>
      <x:c r="I69" s="163" t="e">
        <x:f>+_xlfn.XLOOKUP($C69,#REF!,#REF!)</x:f>
        <x:v>#N/A</x:v>
      </x:c>
      <x:c r="J69" s="163" t="e">
        <x:f>+_xlfn.XLOOKUP($C69,#REF!,#REF!)</x:f>
        <x:v>#N/A</x:v>
      </x:c>
      <x:c r="K69" s="163" t="e">
        <x:f>+_xlfn.XLOOKUP($C69,#REF!,#REF!)</x:f>
        <x:v>#N/A</x:v>
      </x:c>
      <x:c r="L69" s="163" t="e">
        <x:f>+_xlfn.XLOOKUP($C69,#REF!,#REF!)</x:f>
        <x:v>#N/A</x:v>
      </x:c>
      <x:c r="M69" s="163" t="e">
        <x:f>+_xlfn.XLOOKUP($C69,#REF!,#REF!)</x:f>
        <x:v>#N/A</x:v>
      </x:c>
      <x:c r="N69" s="163" t="e">
        <x:f>+_xlfn.XLOOKUP($C69,#REF!,#REF!)</x:f>
        <x:v>#N/A</x:v>
      </x:c>
      <x:c r="O69" s="163" t="e">
        <x:f>+_xlfn.XLOOKUP($C69,#REF!,#REF!)</x:f>
        <x:v>#N/A</x:v>
      </x:c>
      <x:c r="P69" s="156" t="e">
        <x:f t="shared" si="1"/>
        <x:v>#REF!</x:v>
      </x:c>
      <x:c r="Q69" s="197" t="e">
        <x:f t="shared" si="4"/>
        <x:v>#REF!</x:v>
      </x:c>
      <x:c r="R69" s="198"/>
      <x:c r="S69" s="198"/>
      <x:c r="T69" s="198"/>
      <x:c r="U69" s="198"/>
      <x:c r="V69" s="225"/>
      <x:c r="W69" s="218"/>
      <x:c r="X69" s="169"/>
    </x:row>
    <x:row r="70" s="1" customFormat="1" ht="21.75">
      <x:c r="A70" s="4"/>
      <x:c r="B70" s="279"/>
      <x:c r="C70" s="171" t="s">
        <x:v>77</x:v>
      </x:c>
      <x:c r="D70" s="163" t="e">
        <x:f>+_xlfn.XLOOKUP($C70,#REF!,#REF!)</x:f>
        <x:v>#N/A</x:v>
      </x:c>
      <x:c r="E70" s="163" t="e">
        <x:f>+_xlfn.XLOOKUP($C70,#REF!,#REF!)</x:f>
        <x:v>#N/A</x:v>
      </x:c>
      <x:c r="F70" s="163" t="e">
        <x:f>+_xlfn.XLOOKUP($C70,#REF!,#REF!)</x:f>
        <x:v>#N/A</x:v>
      </x:c>
      <x:c r="G70" s="163" t="e">
        <x:f>+_xlfn.XLOOKUP($C70,#REF!,#REF!)</x:f>
        <x:v>#N/A</x:v>
      </x:c>
      <x:c r="H70" s="163" t="e">
        <x:f>+_xlfn.XLOOKUP($C70,#REF!,#REF!)</x:f>
        <x:v>#N/A</x:v>
      </x:c>
      <x:c r="I70" s="163" t="e">
        <x:f>+_xlfn.XLOOKUP($C70,#REF!,#REF!)</x:f>
        <x:v>#N/A</x:v>
      </x:c>
      <x:c r="J70" s="163" t="e">
        <x:f>+_xlfn.XLOOKUP($C70,#REF!,#REF!)</x:f>
        <x:v>#N/A</x:v>
      </x:c>
      <x:c r="K70" s="163" t="e">
        <x:f>+_xlfn.XLOOKUP($C70,#REF!,#REF!)</x:f>
        <x:v>#N/A</x:v>
      </x:c>
      <x:c r="L70" s="163" t="e">
        <x:f>+_xlfn.XLOOKUP($C70,#REF!,#REF!)</x:f>
        <x:v>#N/A</x:v>
      </x:c>
      <x:c r="M70" s="163" t="e">
        <x:f>+_xlfn.XLOOKUP($C70,#REF!,#REF!)</x:f>
        <x:v>#N/A</x:v>
      </x:c>
      <x:c r="N70" s="163" t="e">
        <x:f>+_xlfn.XLOOKUP($C70,#REF!,#REF!)</x:f>
        <x:v>#N/A</x:v>
      </x:c>
      <x:c r="O70" s="163" t="e">
        <x:f>+_xlfn.XLOOKUP($C70,#REF!,#REF!)</x:f>
        <x:v>#N/A</x:v>
      </x:c>
      <x:c r="P70" s="156" t="e">
        <x:f t="shared" si="1"/>
        <x:v>#REF!</x:v>
      </x:c>
      <x:c r="Q70" s="197" t="e">
        <x:f t="shared" si="4"/>
        <x:v>#REF!</x:v>
      </x:c>
      <x:c r="R70" s="198"/>
      <x:c r="S70" s="198"/>
      <x:c r="T70" s="198"/>
      <x:c r="U70" s="198"/>
      <x:c r="V70" s="225"/>
      <x:c r="W70" s="218"/>
      <x:c r="X70" s="169"/>
    </x:row>
    <x:row r="71" s="1" customFormat="1" ht="21.75">
      <x:c r="A71" s="4"/>
      <x:c r="B71" s="280"/>
      <x:c r="C71" s="172" t="s">
        <x:v>78</x:v>
      </x:c>
      <x:c r="D71" s="189" t="e">
        <x:f>+_xlfn.XLOOKUP($C71,#REF!,#REF!)</x:f>
        <x:v>#N/A</x:v>
      </x:c>
      <x:c r="E71" s="189" t="e">
        <x:f>+_xlfn.XLOOKUP($C71,#REF!,#REF!)</x:f>
        <x:v>#N/A</x:v>
      </x:c>
      <x:c r="F71" s="189" t="e">
        <x:f>+_xlfn.XLOOKUP($C71,#REF!,#REF!)</x:f>
        <x:v>#N/A</x:v>
      </x:c>
      <x:c r="G71" s="189" t="e">
        <x:f>+_xlfn.XLOOKUP($C71,#REF!,#REF!)</x:f>
        <x:v>#N/A</x:v>
      </x:c>
      <x:c r="H71" s="189" t="e">
        <x:f>+_xlfn.XLOOKUP($C71,#REF!,#REF!)</x:f>
        <x:v>#N/A</x:v>
      </x:c>
      <x:c r="I71" s="189" t="e">
        <x:f>+_xlfn.XLOOKUP($C71,#REF!,#REF!)</x:f>
        <x:v>#N/A</x:v>
      </x:c>
      <x:c r="J71" s="189" t="e">
        <x:f>+_xlfn.XLOOKUP($C71,#REF!,#REF!)</x:f>
        <x:v>#N/A</x:v>
      </x:c>
      <x:c r="K71" s="189" t="e">
        <x:f>+_xlfn.XLOOKUP($C71,#REF!,#REF!)</x:f>
        <x:v>#N/A</x:v>
      </x:c>
      <x:c r="L71" s="189" t="e">
        <x:f>+_xlfn.XLOOKUP($C71,#REF!,#REF!)</x:f>
        <x:v>#N/A</x:v>
      </x:c>
      <x:c r="M71" s="189" t="e">
        <x:f>+_xlfn.XLOOKUP($C71,#REF!,#REF!)</x:f>
        <x:v>#N/A</x:v>
      </x:c>
      <x:c r="N71" s="189" t="e">
        <x:f>+_xlfn.XLOOKUP($C71,#REF!,#REF!)</x:f>
        <x:v>#N/A</x:v>
      </x:c>
      <x:c r="O71" s="189" t="e">
        <x:f>+_xlfn.XLOOKUP($C71,#REF!,#REF!)</x:f>
        <x:v>#N/A</x:v>
      </x:c>
      <x:c r="P71" s="161" t="e">
        <x:f t="shared" si="1"/>
        <x:v>#REF!</x:v>
      </x:c>
      <x:c r="Q71" s="197" t="e">
        <x:f t="shared" si="4"/>
        <x:v>#REF!</x:v>
      </x:c>
      <x:c r="R71" s="199"/>
      <x:c r="S71" s="199"/>
      <x:c r="T71" s="199"/>
      <x:c r="U71" s="199"/>
      <x:c r="V71" s="226"/>
      <x:c r="W71" s="219"/>
      <x:c r="X71" s="162"/>
    </x:row>
    <x:row r="72" s="186" customFormat="1" ht="13.5">
      <x:c r="B72" s="286" t="s">
        <x:v>79</x:v>
      </x:c>
      <x:c r="C72" s="272"/>
      <x:c r="D72" s="273"/>
      <x:c r="E72" s="273"/>
      <x:c r="F72" s="273"/>
      <x:c r="G72" s="273"/>
      <x:c r="H72" s="273"/>
      <x:c r="I72" s="273"/>
      <x:c r="J72" s="273"/>
      <x:c r="K72" s="273"/>
      <x:c r="L72" s="273"/>
      <x:c r="M72" s="273"/>
      <x:c r="N72" s="273"/>
      <x:c r="O72" s="273"/>
      <x:c r="P72" s="274"/>
      <x:c r="Q72" s="203" t="s">
        <x:v>15</x:v>
      </x:c>
      <x:c r="R72" s="203" t="s">
        <x:v>16</x:v>
      </x:c>
      <x:c r="S72" s="203" t="s">
        <x:v>41</x:v>
      </x:c>
      <x:c r="T72" s="203" t="s">
        <x:v>1</x:v>
      </x:c>
      <x:c r="U72" s="203" t="s">
        <x:v>2</x:v>
      </x:c>
      <x:c r="V72" s="203" t="s">
        <x:v>4</x:v>
      </x:c>
    </x:row>
    <x:row r="73" s="186" customFormat="1" ht="13.5">
      <x:c r="B73" s="287"/>
      <x:c r="C73" s="275"/>
      <x:c r="D73" s="276"/>
      <x:c r="E73" s="276"/>
      <x:c r="F73" s="276"/>
      <x:c r="G73" s="276"/>
      <x:c r="H73" s="276"/>
      <x:c r="I73" s="276"/>
      <x:c r="J73" s="276"/>
      <x:c r="K73" s="276"/>
      <x:c r="L73" s="276"/>
      <x:c r="M73" s="276"/>
      <x:c r="N73" s="276"/>
      <x:c r="O73" s="276"/>
      <x:c r="P73" s="277"/>
      <x:c r="Q73" s="191" t="n">
        <x:f>+F9</x:f>
        <x:v>0.2499999999999999</x:v>
      </x:c>
      <x:c r="R73" s="191" t="n">
        <x:f>+H9</x:f>
        <x:v>0.4166666666666665</x:v>
      </x:c>
      <x:c r="S73" s="191" t="n">
        <x:f>+J9</x:f>
        <x:v>0.5833333333333331</x:v>
      </x:c>
      <x:c r="T73" s="191" t="n">
        <x:f>+L9</x:f>
        <x:v>0.7499999999999997</x:v>
      </x:c>
      <x:c r="U73" s="191" t="n">
        <x:f>+N9</x:f>
        <x:v>0.9166666666666663</x:v>
      </x:c>
      <x:c r="V73" s="191" t="n">
        <x:f>+O9</x:f>
        <x:v>0.9999999999999996</x:v>
      </x:c>
    </x:row>
    <x:row r="74" s="1" customFormat="1" ht="21.75" customHeight="1">
      <x:c r="A74" s="4"/>
      <x:c r="B74" s="287"/>
      <x:c r="C74" s="228" t="s">
        <x:v>80</x:v>
      </x:c>
      <x:c r="D74" s="175" t="e">
        <x:f>_xlfn.XLOOKUP($C74,#REF!,#REF!)</x:f>
        <x:v>#N/A</x:v>
      </x:c>
      <x:c r="E74" s="163" t="e">
        <x:f>_xlfn.XLOOKUP($C74,#REF!,#REF!)</x:f>
        <x:v>#N/A</x:v>
      </x:c>
      <x:c r="F74" s="163" t="e">
        <x:f>_xlfn.XLOOKUP($C74,#REF!,#REF!)</x:f>
        <x:v>#N/A</x:v>
      </x:c>
      <x:c r="G74" s="163" t="e">
        <x:f>_xlfn.XLOOKUP($C74,#REF!,#REF!)</x:f>
        <x:v>#N/A</x:v>
      </x:c>
      <x:c r="H74" s="163" t="e">
        <x:f>_xlfn.XLOOKUP($C74,#REF!,#REF!)</x:f>
        <x:v>#N/A</x:v>
      </x:c>
      <x:c r="I74" s="163" t="e">
        <x:f>_xlfn.XLOOKUP($C74,#REF!,#REF!)</x:f>
        <x:v>#N/A</x:v>
      </x:c>
      <x:c r="J74" s="163" t="e">
        <x:f>_xlfn.XLOOKUP($C74,#REF!,#REF!)</x:f>
        <x:v>#N/A</x:v>
      </x:c>
      <x:c r="K74" s="163" t="e">
        <x:f>_xlfn.XLOOKUP($C74,#REF!,#REF!)</x:f>
        <x:v>#N/A</x:v>
      </x:c>
      <x:c r="L74" s="163" t="e">
        <x:f>_xlfn.XLOOKUP($C74,#REF!,#REF!)</x:f>
        <x:v>#N/A</x:v>
      </x:c>
      <x:c r="M74" s="163" t="e">
        <x:f>_xlfn.XLOOKUP($C74,#REF!,#REF!)</x:f>
        <x:v>#N/A</x:v>
      </x:c>
      <x:c r="N74" s="163" t="e">
        <x:f>_xlfn.XLOOKUP($C74,#REF!,#REF!)</x:f>
        <x:v>#N/A</x:v>
      </x:c>
      <x:c r="O74" s="176" t="e">
        <x:f>_xlfn.XLOOKUP($C74,#REF!,#REF!)</x:f>
        <x:v>#N/A</x:v>
      </x:c>
      <x:c r="P74" s="211" t="e">
        <x:f t="shared" si="1"/>
        <x:v>#REF!</x:v>
      </x:c>
      <x:c r="Q74" s="201" t="e">
        <x:f>P74</x:f>
        <x:v>#REF!</x:v>
      </x:c>
      <x:c r="R74" s="204"/>
      <x:c r="S74" s="204"/>
      <x:c r="T74" s="204"/>
      <x:c r="U74" s="201"/>
      <x:c r="V74" s="227"/>
      <x:c r="W74" s="217"/>
      <x:c r="X74" s="158"/>
    </x:row>
    <x:row r="75" s="1" customFormat="1" ht="21.75">
      <x:c r="A75" s="4"/>
      <x:c r="B75" s="287"/>
      <x:c r="C75" s="229" t="s">
        <x:v>81</x:v>
      </x:c>
      <x:c r="D75" s="175" t="e">
        <x:f>_xlfn.XLOOKUP($C75,#REF!,#REF!)</x:f>
        <x:v>#N/A</x:v>
      </x:c>
      <x:c r="E75" s="163" t="e">
        <x:f>_xlfn.XLOOKUP($C75,#REF!,#REF!)</x:f>
        <x:v>#N/A</x:v>
      </x:c>
      <x:c r="F75" s="163" t="e">
        <x:f>_xlfn.XLOOKUP($C75,#REF!,#REF!)</x:f>
        <x:v>#N/A</x:v>
      </x:c>
      <x:c r="G75" s="163" t="e">
        <x:f>_xlfn.XLOOKUP($C75,#REF!,#REF!)</x:f>
        <x:v>#N/A</x:v>
      </x:c>
      <x:c r="H75" s="163" t="e">
        <x:f>_xlfn.XLOOKUP($C75,#REF!,#REF!)</x:f>
        <x:v>#N/A</x:v>
      </x:c>
      <x:c r="I75" s="163" t="e">
        <x:f>_xlfn.XLOOKUP($C75,#REF!,#REF!)</x:f>
        <x:v>#N/A</x:v>
      </x:c>
      <x:c r="J75" s="163" t="e">
        <x:f>_xlfn.XLOOKUP($C75,#REF!,#REF!)</x:f>
        <x:v>#N/A</x:v>
      </x:c>
      <x:c r="K75" s="163" t="e">
        <x:f>_xlfn.XLOOKUP($C75,#REF!,#REF!)</x:f>
        <x:v>#N/A</x:v>
      </x:c>
      <x:c r="L75" s="163" t="e">
        <x:f>_xlfn.XLOOKUP($C75,#REF!,#REF!)</x:f>
        <x:v>#N/A</x:v>
      </x:c>
      <x:c r="M75" s="163" t="e">
        <x:f>_xlfn.XLOOKUP($C75,#REF!,#REF!)</x:f>
        <x:v>#N/A</x:v>
      </x:c>
      <x:c r="N75" s="163" t="e">
        <x:f>_xlfn.XLOOKUP($C75,#REF!,#REF!)</x:f>
        <x:v>#N/A</x:v>
      </x:c>
      <x:c r="O75" s="176" t="e">
        <x:f>_xlfn.XLOOKUP($C75,#REF!,#REF!)</x:f>
        <x:v>#N/A</x:v>
      </x:c>
      <x:c r="P75" s="212" t="e">
        <x:f t="shared" si="1"/>
        <x:v>#REF!</x:v>
      </x:c>
      <x:c r="Q75" s="197" t="e">
        <x:f t="shared" ref="Q75:Q86" si="5">P75</x:f>
        <x:v>#REF!</x:v>
      </x:c>
      <x:c r="R75" s="205"/>
      <x:c r="S75" s="205"/>
      <x:c r="T75" s="205"/>
      <x:c r="U75" s="198"/>
      <x:c r="V75" s="225"/>
      <x:c r="W75" s="218"/>
      <x:c r="X75" s="159"/>
    </x:row>
    <x:row r="76" s="1" customFormat="1" ht="21.75">
      <x:c r="A76" s="4"/>
      <x:c r="B76" s="287"/>
      <x:c r="C76" s="229" t="s">
        <x:v>82</x:v>
      </x:c>
      <x:c r="D76" s="175" t="e">
        <x:f>_xlfn.XLOOKUP($C76,#REF!,#REF!)</x:f>
        <x:v>#N/A</x:v>
      </x:c>
      <x:c r="E76" s="163" t="e">
        <x:f>_xlfn.XLOOKUP($C76,#REF!,#REF!)</x:f>
        <x:v>#N/A</x:v>
      </x:c>
      <x:c r="F76" s="163" t="e">
        <x:f>_xlfn.XLOOKUP($C76,#REF!,#REF!)</x:f>
        <x:v>#N/A</x:v>
      </x:c>
      <x:c r="G76" s="163" t="e">
        <x:f>_xlfn.XLOOKUP($C76,#REF!,#REF!)</x:f>
        <x:v>#N/A</x:v>
      </x:c>
      <x:c r="H76" s="163" t="e">
        <x:f>_xlfn.XLOOKUP($C76,#REF!,#REF!)</x:f>
        <x:v>#N/A</x:v>
      </x:c>
      <x:c r="I76" s="163" t="e">
        <x:f>_xlfn.XLOOKUP($C76,#REF!,#REF!)</x:f>
        <x:v>#N/A</x:v>
      </x:c>
      <x:c r="J76" s="163" t="e">
        <x:f>_xlfn.XLOOKUP($C76,#REF!,#REF!)</x:f>
        <x:v>#N/A</x:v>
      </x:c>
      <x:c r="K76" s="163" t="e">
        <x:f>_xlfn.XLOOKUP($C76,#REF!,#REF!)</x:f>
        <x:v>#N/A</x:v>
      </x:c>
      <x:c r="L76" s="163" t="e">
        <x:f>_xlfn.XLOOKUP($C76,#REF!,#REF!)</x:f>
        <x:v>#N/A</x:v>
      </x:c>
      <x:c r="M76" s="163" t="e">
        <x:f>_xlfn.XLOOKUP($C76,#REF!,#REF!)</x:f>
        <x:v>#N/A</x:v>
      </x:c>
      <x:c r="N76" s="163" t="e">
        <x:f>_xlfn.XLOOKUP($C76,#REF!,#REF!)</x:f>
        <x:v>#N/A</x:v>
      </x:c>
      <x:c r="O76" s="176" t="e">
        <x:f>_xlfn.XLOOKUP($C76,#REF!,#REF!)</x:f>
        <x:v>#N/A</x:v>
      </x:c>
      <x:c r="P76" s="212" t="e">
        <x:f t="shared" si="1"/>
        <x:v>#REF!</x:v>
      </x:c>
      <x:c r="Q76" s="197" t="e">
        <x:f t="shared" si="5"/>
        <x:v>#REF!</x:v>
      </x:c>
      <x:c r="R76" s="205"/>
      <x:c r="S76" s="205"/>
      <x:c r="T76" s="205"/>
      <x:c r="U76" s="198"/>
      <x:c r="V76" s="225"/>
      <x:c r="W76" s="218"/>
      <x:c r="X76" s="159"/>
    </x:row>
    <x:row r="77" s="1" customFormat="1" ht="21.75">
      <x:c r="A77" s="4"/>
      <x:c r="B77" s="287"/>
      <x:c r="C77" s="229" t="s">
        <x:v>83</x:v>
      </x:c>
      <x:c r="D77" s="175" t="e">
        <x:f>_xlfn.XLOOKUP($C77,#REF!,#REF!)</x:f>
        <x:v>#N/A</x:v>
      </x:c>
      <x:c r="E77" s="163" t="e">
        <x:f>_xlfn.XLOOKUP($C77,#REF!,#REF!)</x:f>
        <x:v>#N/A</x:v>
      </x:c>
      <x:c r="F77" s="163" t="e">
        <x:f>_xlfn.XLOOKUP($C77,#REF!,#REF!)</x:f>
        <x:v>#N/A</x:v>
      </x:c>
      <x:c r="G77" s="163" t="e">
        <x:f>_xlfn.XLOOKUP($C77,#REF!,#REF!)</x:f>
        <x:v>#N/A</x:v>
      </x:c>
      <x:c r="H77" s="163" t="e">
        <x:f>_xlfn.XLOOKUP($C77,#REF!,#REF!)</x:f>
        <x:v>#N/A</x:v>
      </x:c>
      <x:c r="I77" s="163" t="e">
        <x:f>_xlfn.XLOOKUP($C77,#REF!,#REF!)</x:f>
        <x:v>#N/A</x:v>
      </x:c>
      <x:c r="J77" s="163" t="e">
        <x:f>_xlfn.XLOOKUP($C77,#REF!,#REF!)</x:f>
        <x:v>#N/A</x:v>
      </x:c>
      <x:c r="K77" s="163" t="e">
        <x:f>_xlfn.XLOOKUP($C77,#REF!,#REF!)</x:f>
        <x:v>#N/A</x:v>
      </x:c>
      <x:c r="L77" s="163" t="e">
        <x:f>_xlfn.XLOOKUP($C77,#REF!,#REF!)</x:f>
        <x:v>#N/A</x:v>
      </x:c>
      <x:c r="M77" s="163" t="e">
        <x:f>_xlfn.XLOOKUP($C77,#REF!,#REF!)</x:f>
        <x:v>#N/A</x:v>
      </x:c>
      <x:c r="N77" s="163" t="e">
        <x:f>_xlfn.XLOOKUP($C77,#REF!,#REF!)</x:f>
        <x:v>#N/A</x:v>
      </x:c>
      <x:c r="O77" s="176" t="e">
        <x:f>_xlfn.XLOOKUP($C77,#REF!,#REF!)</x:f>
        <x:v>#N/A</x:v>
      </x:c>
      <x:c r="P77" s="212" t="e">
        <x:f t="shared" si="1"/>
        <x:v>#REF!</x:v>
      </x:c>
      <x:c r="Q77" s="197" t="e">
        <x:f t="shared" si="5"/>
        <x:v>#REF!</x:v>
      </x:c>
      <x:c r="R77" s="205"/>
      <x:c r="S77" s="205"/>
      <x:c r="T77" s="205"/>
      <x:c r="U77" s="198"/>
      <x:c r="V77" s="225"/>
      <x:c r="W77" s="218"/>
      <x:c r="X77" s="159"/>
    </x:row>
    <x:row r="78" s="1" customFormat="1" ht="21.75">
      <x:c r="A78" s="4"/>
      <x:c r="B78" s="287"/>
      <x:c r="C78" s="229" t="s">
        <x:v>84</x:v>
      </x:c>
      <x:c r="D78" s="175" t="e">
        <x:f>_xlfn.XLOOKUP($C78,#REF!,#REF!)</x:f>
        <x:v>#N/A</x:v>
      </x:c>
      <x:c r="E78" s="163" t="e">
        <x:f>_xlfn.XLOOKUP($C78,#REF!,#REF!)</x:f>
        <x:v>#N/A</x:v>
      </x:c>
      <x:c r="F78" s="163" t="e">
        <x:f>_xlfn.XLOOKUP($C78,#REF!,#REF!)</x:f>
        <x:v>#N/A</x:v>
      </x:c>
      <x:c r="G78" s="163" t="e">
        <x:f>_xlfn.XLOOKUP($C78,#REF!,#REF!)</x:f>
        <x:v>#N/A</x:v>
      </x:c>
      <x:c r="H78" s="163" t="e">
        <x:f>_xlfn.XLOOKUP($C78,#REF!,#REF!)</x:f>
        <x:v>#N/A</x:v>
      </x:c>
      <x:c r="I78" s="163" t="e">
        <x:f>_xlfn.XLOOKUP($C78,#REF!,#REF!)</x:f>
        <x:v>#N/A</x:v>
      </x:c>
      <x:c r="J78" s="163" t="e">
        <x:f>_xlfn.XLOOKUP($C78,#REF!,#REF!)</x:f>
        <x:v>#N/A</x:v>
      </x:c>
      <x:c r="K78" s="163" t="e">
        <x:f>_xlfn.XLOOKUP($C78,#REF!,#REF!)</x:f>
        <x:v>#N/A</x:v>
      </x:c>
      <x:c r="L78" s="163" t="e">
        <x:f>_xlfn.XLOOKUP($C78,#REF!,#REF!)</x:f>
        <x:v>#N/A</x:v>
      </x:c>
      <x:c r="M78" s="163" t="e">
        <x:f>_xlfn.XLOOKUP($C78,#REF!,#REF!)</x:f>
        <x:v>#N/A</x:v>
      </x:c>
      <x:c r="N78" s="163" t="e">
        <x:f>_xlfn.XLOOKUP($C78,#REF!,#REF!)</x:f>
        <x:v>#N/A</x:v>
      </x:c>
      <x:c r="O78" s="176" t="e">
        <x:f>_xlfn.XLOOKUP($C78,#REF!,#REF!)</x:f>
        <x:v>#N/A</x:v>
      </x:c>
      <x:c r="P78" s="212" t="e">
        <x:f t="shared" si="1"/>
        <x:v>#REF!</x:v>
      </x:c>
      <x:c r="Q78" s="197" t="e">
        <x:f t="shared" si="5"/>
        <x:v>#REF!</x:v>
      </x:c>
      <x:c r="R78" s="205"/>
      <x:c r="S78" s="205"/>
      <x:c r="T78" s="205"/>
      <x:c r="U78" s="198"/>
      <x:c r="V78" s="225"/>
      <x:c r="W78" s="218"/>
      <x:c r="X78" s="159"/>
    </x:row>
    <x:row r="79" s="1" customFormat="1" ht="21.75">
      <x:c r="A79" s="4"/>
      <x:c r="B79" s="287"/>
      <x:c r="C79" s="229" t="s">
        <x:v>85</x:v>
      </x:c>
      <x:c r="D79" s="175" t="e">
        <x:f>_xlfn.XLOOKUP($C79,#REF!,#REF!)</x:f>
        <x:v>#N/A</x:v>
      </x:c>
      <x:c r="E79" s="163" t="e">
        <x:f>_xlfn.XLOOKUP($C79,#REF!,#REF!)</x:f>
        <x:v>#N/A</x:v>
      </x:c>
      <x:c r="F79" s="163" t="e">
        <x:f>_xlfn.XLOOKUP($C79,#REF!,#REF!)</x:f>
        <x:v>#N/A</x:v>
      </x:c>
      <x:c r="G79" s="163" t="e">
        <x:f>_xlfn.XLOOKUP($C79,#REF!,#REF!)</x:f>
        <x:v>#N/A</x:v>
      </x:c>
      <x:c r="H79" s="163" t="e">
        <x:f>_xlfn.XLOOKUP($C79,#REF!,#REF!)</x:f>
        <x:v>#N/A</x:v>
      </x:c>
      <x:c r="I79" s="163" t="e">
        <x:f>_xlfn.XLOOKUP($C79,#REF!,#REF!)</x:f>
        <x:v>#N/A</x:v>
      </x:c>
      <x:c r="J79" s="163" t="e">
        <x:f>_xlfn.XLOOKUP($C79,#REF!,#REF!)</x:f>
        <x:v>#N/A</x:v>
      </x:c>
      <x:c r="K79" s="163" t="e">
        <x:f>_xlfn.XLOOKUP($C79,#REF!,#REF!)</x:f>
        <x:v>#N/A</x:v>
      </x:c>
      <x:c r="L79" s="163" t="e">
        <x:f>_xlfn.XLOOKUP($C79,#REF!,#REF!)</x:f>
        <x:v>#N/A</x:v>
      </x:c>
      <x:c r="M79" s="163" t="e">
        <x:f>_xlfn.XLOOKUP($C79,#REF!,#REF!)</x:f>
        <x:v>#N/A</x:v>
      </x:c>
      <x:c r="N79" s="163" t="e">
        <x:f>_xlfn.XLOOKUP($C79,#REF!,#REF!)</x:f>
        <x:v>#N/A</x:v>
      </x:c>
      <x:c r="O79" s="176" t="e">
        <x:f>_xlfn.XLOOKUP($C79,#REF!,#REF!)</x:f>
        <x:v>#N/A</x:v>
      </x:c>
      <x:c r="P79" s="212" t="e">
        <x:f t="shared" si="1"/>
        <x:v>#REF!</x:v>
      </x:c>
      <x:c r="Q79" s="197" t="e">
        <x:f t="shared" si="5"/>
        <x:v>#REF!</x:v>
      </x:c>
      <x:c r="R79" s="205"/>
      <x:c r="S79" s="205"/>
      <x:c r="T79" s="205"/>
      <x:c r="U79" s="198"/>
      <x:c r="V79" s="225"/>
      <x:c r="W79" s="218"/>
      <x:c r="X79" s="159"/>
    </x:row>
    <x:row r="80" s="1" customFormat="1" ht="21.75">
      <x:c r="A80" s="4"/>
      <x:c r="B80" s="287"/>
      <x:c r="C80" s="229" t="s">
        <x:v>86</x:v>
      </x:c>
      <x:c r="D80" s="175" t="e">
        <x:f>_xlfn.XLOOKUP($C80,#REF!,#REF!)</x:f>
        <x:v>#N/A</x:v>
      </x:c>
      <x:c r="E80" s="163" t="e">
        <x:f>_xlfn.XLOOKUP($C80,#REF!,#REF!)</x:f>
        <x:v>#N/A</x:v>
      </x:c>
      <x:c r="F80" s="163" t="e">
        <x:f>_xlfn.XLOOKUP($C80,#REF!,#REF!)</x:f>
        <x:v>#N/A</x:v>
      </x:c>
      <x:c r="G80" s="163" t="e">
        <x:f>_xlfn.XLOOKUP($C80,#REF!,#REF!)</x:f>
        <x:v>#N/A</x:v>
      </x:c>
      <x:c r="H80" s="163" t="e">
        <x:f>_xlfn.XLOOKUP($C80,#REF!,#REF!)</x:f>
        <x:v>#N/A</x:v>
      </x:c>
      <x:c r="I80" s="163" t="e">
        <x:f>_xlfn.XLOOKUP($C80,#REF!,#REF!)</x:f>
        <x:v>#N/A</x:v>
      </x:c>
      <x:c r="J80" s="163" t="e">
        <x:f>_xlfn.XLOOKUP($C80,#REF!,#REF!)</x:f>
        <x:v>#N/A</x:v>
      </x:c>
      <x:c r="K80" s="163" t="e">
        <x:f>_xlfn.XLOOKUP($C80,#REF!,#REF!)</x:f>
        <x:v>#N/A</x:v>
      </x:c>
      <x:c r="L80" s="163" t="e">
        <x:f>_xlfn.XLOOKUP($C80,#REF!,#REF!)</x:f>
        <x:v>#N/A</x:v>
      </x:c>
      <x:c r="M80" s="163" t="e">
        <x:f>_xlfn.XLOOKUP($C80,#REF!,#REF!)</x:f>
        <x:v>#N/A</x:v>
      </x:c>
      <x:c r="N80" s="163" t="e">
        <x:f>_xlfn.XLOOKUP($C80,#REF!,#REF!)</x:f>
        <x:v>#N/A</x:v>
      </x:c>
      <x:c r="O80" s="176" t="e">
        <x:f>_xlfn.XLOOKUP($C80,#REF!,#REF!)</x:f>
        <x:v>#N/A</x:v>
      </x:c>
      <x:c r="P80" s="212" t="e">
        <x:f t="shared" si="1"/>
        <x:v>#REF!</x:v>
      </x:c>
      <x:c r="Q80" s="197" t="e">
        <x:f t="shared" si="5"/>
        <x:v>#REF!</x:v>
      </x:c>
      <x:c r="R80" s="205"/>
      <x:c r="S80" s="205"/>
      <x:c r="T80" s="205"/>
      <x:c r="U80" s="198"/>
      <x:c r="V80" s="225"/>
      <x:c r="W80" s="218"/>
      <x:c r="X80" s="159"/>
    </x:row>
    <x:row r="81" s="1" customFormat="1" ht="21.75">
      <x:c r="A81" s="4"/>
      <x:c r="B81" s="287"/>
      <x:c r="C81" s="229" t="s">
        <x:v>87</x:v>
      </x:c>
      <x:c r="D81" s="175" t="e">
        <x:f>_xlfn.XLOOKUP($C81,#REF!,#REF!)</x:f>
        <x:v>#N/A</x:v>
      </x:c>
      <x:c r="E81" s="163" t="e">
        <x:f>_xlfn.XLOOKUP($C81,#REF!,#REF!)</x:f>
        <x:v>#N/A</x:v>
      </x:c>
      <x:c r="F81" s="163" t="e">
        <x:f>_xlfn.XLOOKUP($C81,#REF!,#REF!)</x:f>
        <x:v>#N/A</x:v>
      </x:c>
      <x:c r="G81" s="163" t="e">
        <x:f>_xlfn.XLOOKUP($C81,#REF!,#REF!)</x:f>
        <x:v>#N/A</x:v>
      </x:c>
      <x:c r="H81" s="163" t="e">
        <x:f>_xlfn.XLOOKUP($C81,#REF!,#REF!)</x:f>
        <x:v>#N/A</x:v>
      </x:c>
      <x:c r="I81" s="163" t="e">
        <x:f>_xlfn.XLOOKUP($C81,#REF!,#REF!)</x:f>
        <x:v>#N/A</x:v>
      </x:c>
      <x:c r="J81" s="163" t="e">
        <x:f>_xlfn.XLOOKUP($C81,#REF!,#REF!)</x:f>
        <x:v>#N/A</x:v>
      </x:c>
      <x:c r="K81" s="163" t="e">
        <x:f>_xlfn.XLOOKUP($C81,#REF!,#REF!)</x:f>
        <x:v>#N/A</x:v>
      </x:c>
      <x:c r="L81" s="163" t="e">
        <x:f>_xlfn.XLOOKUP($C81,#REF!,#REF!)</x:f>
        <x:v>#N/A</x:v>
      </x:c>
      <x:c r="M81" s="163" t="e">
        <x:f>_xlfn.XLOOKUP($C81,#REF!,#REF!)</x:f>
        <x:v>#N/A</x:v>
      </x:c>
      <x:c r="N81" s="163" t="e">
        <x:f>_xlfn.XLOOKUP($C81,#REF!,#REF!)</x:f>
        <x:v>#N/A</x:v>
      </x:c>
      <x:c r="O81" s="176" t="e">
        <x:f>_xlfn.XLOOKUP($C81,#REF!,#REF!)</x:f>
        <x:v>#N/A</x:v>
      </x:c>
      <x:c r="P81" s="212" t="e">
        <x:f t="shared" si="1"/>
        <x:v>#REF!</x:v>
      </x:c>
      <x:c r="Q81" s="197" t="e">
        <x:f t="shared" si="5"/>
        <x:v>#REF!</x:v>
      </x:c>
      <x:c r="R81" s="205"/>
      <x:c r="S81" s="205"/>
      <x:c r="T81" s="205"/>
      <x:c r="U81" s="198"/>
      <x:c r="V81" s="225"/>
      <x:c r="W81" s="218"/>
      <x:c r="X81" s="159"/>
    </x:row>
    <x:row r="82" s="1" customFormat="1" ht="21.75">
      <x:c r="A82" s="4"/>
      <x:c r="B82" s="287"/>
      <x:c r="C82" s="229" t="s">
        <x:v>88</x:v>
      </x:c>
      <x:c r="D82" s="175" t="e">
        <x:f>_xlfn.XLOOKUP($C82,#REF!,#REF!)</x:f>
        <x:v>#N/A</x:v>
      </x:c>
      <x:c r="E82" s="163" t="e">
        <x:f>_xlfn.XLOOKUP($C82,#REF!,#REF!)</x:f>
        <x:v>#N/A</x:v>
      </x:c>
      <x:c r="F82" s="163" t="e">
        <x:f>_xlfn.XLOOKUP($C82,#REF!,#REF!)</x:f>
        <x:v>#N/A</x:v>
      </x:c>
      <x:c r="G82" s="163" t="e">
        <x:f>_xlfn.XLOOKUP($C82,#REF!,#REF!)</x:f>
        <x:v>#N/A</x:v>
      </x:c>
      <x:c r="H82" s="163" t="e">
        <x:f>_xlfn.XLOOKUP($C82,#REF!,#REF!)</x:f>
        <x:v>#N/A</x:v>
      </x:c>
      <x:c r="I82" s="163" t="e">
        <x:f>_xlfn.XLOOKUP($C82,#REF!,#REF!)</x:f>
        <x:v>#N/A</x:v>
      </x:c>
      <x:c r="J82" s="163" t="e">
        <x:f>_xlfn.XLOOKUP($C82,#REF!,#REF!)</x:f>
        <x:v>#N/A</x:v>
      </x:c>
      <x:c r="K82" s="163" t="e">
        <x:f>_xlfn.XLOOKUP($C82,#REF!,#REF!)</x:f>
        <x:v>#N/A</x:v>
      </x:c>
      <x:c r="L82" s="163" t="e">
        <x:f>_xlfn.XLOOKUP($C82,#REF!,#REF!)</x:f>
        <x:v>#N/A</x:v>
      </x:c>
      <x:c r="M82" s="163" t="e">
        <x:f>_xlfn.XLOOKUP($C82,#REF!,#REF!)</x:f>
        <x:v>#N/A</x:v>
      </x:c>
      <x:c r="N82" s="163" t="e">
        <x:f>_xlfn.XLOOKUP($C82,#REF!,#REF!)</x:f>
        <x:v>#N/A</x:v>
      </x:c>
      <x:c r="O82" s="176" t="e">
        <x:f>_xlfn.XLOOKUP($C82,#REF!,#REF!)</x:f>
        <x:v>#N/A</x:v>
      </x:c>
      <x:c r="P82" s="212" t="e">
        <x:f t="shared" si="1"/>
        <x:v>#REF!</x:v>
      </x:c>
      <x:c r="Q82" s="197" t="e">
        <x:f t="shared" si="5"/>
        <x:v>#REF!</x:v>
      </x:c>
      <x:c r="R82" s="205"/>
      <x:c r="S82" s="205"/>
      <x:c r="T82" s="205"/>
      <x:c r="U82" s="198"/>
      <x:c r="V82" s="225"/>
      <x:c r="W82" s="218"/>
      <x:c r="X82" s="159"/>
    </x:row>
    <x:row r="83" s="1" customFormat="1" ht="21.75">
      <x:c r="A83" s="4"/>
      <x:c r="B83" s="287"/>
      <x:c r="C83" s="229" t="s">
        <x:v>89</x:v>
      </x:c>
      <x:c r="D83" s="175" t="e">
        <x:f>_xlfn.XLOOKUP($C83,#REF!,#REF!)</x:f>
        <x:v>#N/A</x:v>
      </x:c>
      <x:c r="E83" s="163" t="e">
        <x:f>_xlfn.XLOOKUP($C83,#REF!,#REF!)</x:f>
        <x:v>#N/A</x:v>
      </x:c>
      <x:c r="F83" s="163" t="e">
        <x:f>_xlfn.XLOOKUP($C83,#REF!,#REF!)</x:f>
        <x:v>#N/A</x:v>
      </x:c>
      <x:c r="G83" s="163" t="e">
        <x:f>_xlfn.XLOOKUP($C83,#REF!,#REF!)</x:f>
        <x:v>#N/A</x:v>
      </x:c>
      <x:c r="H83" s="163" t="e">
        <x:f>_xlfn.XLOOKUP($C83,#REF!,#REF!)</x:f>
        <x:v>#N/A</x:v>
      </x:c>
      <x:c r="I83" s="163" t="e">
        <x:f>_xlfn.XLOOKUP($C83,#REF!,#REF!)</x:f>
        <x:v>#N/A</x:v>
      </x:c>
      <x:c r="J83" s="163" t="e">
        <x:f>_xlfn.XLOOKUP($C83,#REF!,#REF!)</x:f>
        <x:v>#N/A</x:v>
      </x:c>
      <x:c r="K83" s="163" t="e">
        <x:f>_xlfn.XLOOKUP($C83,#REF!,#REF!)</x:f>
        <x:v>#N/A</x:v>
      </x:c>
      <x:c r="L83" s="163" t="e">
        <x:f>_xlfn.XLOOKUP($C83,#REF!,#REF!)</x:f>
        <x:v>#N/A</x:v>
      </x:c>
      <x:c r="M83" s="163" t="e">
        <x:f>_xlfn.XLOOKUP($C83,#REF!,#REF!)</x:f>
        <x:v>#N/A</x:v>
      </x:c>
      <x:c r="N83" s="163" t="e">
        <x:f>_xlfn.XLOOKUP($C83,#REF!,#REF!)</x:f>
        <x:v>#N/A</x:v>
      </x:c>
      <x:c r="O83" s="176" t="e">
        <x:f>_xlfn.XLOOKUP($C83,#REF!,#REF!)</x:f>
        <x:v>#N/A</x:v>
      </x:c>
      <x:c r="P83" s="212" t="e">
        <x:f t="shared" si="1"/>
        <x:v>#REF!</x:v>
      </x:c>
      <x:c r="Q83" s="197" t="e">
        <x:f t="shared" si="5"/>
        <x:v>#REF!</x:v>
      </x:c>
      <x:c r="R83" s="205"/>
      <x:c r="S83" s="205"/>
      <x:c r="T83" s="205"/>
      <x:c r="U83" s="198"/>
      <x:c r="V83" s="225"/>
      <x:c r="W83" s="218"/>
      <x:c r="X83" s="159"/>
    </x:row>
    <x:row r="84" s="1" customFormat="1" ht="21.75">
      <x:c r="A84" s="4"/>
      <x:c r="B84" s="287"/>
      <x:c r="C84" s="229" t="s">
        <x:v>90</x:v>
      </x:c>
      <x:c r="D84" s="175" t="e">
        <x:f>_xlfn.XLOOKUP($C84,#REF!,#REF!)</x:f>
        <x:v>#N/A</x:v>
      </x:c>
      <x:c r="E84" s="163" t="e">
        <x:f>_xlfn.XLOOKUP($C84,#REF!,#REF!)</x:f>
        <x:v>#N/A</x:v>
      </x:c>
      <x:c r="F84" s="163" t="e">
        <x:f>_xlfn.XLOOKUP($C84,#REF!,#REF!)</x:f>
        <x:v>#N/A</x:v>
      </x:c>
      <x:c r="G84" s="163" t="e">
        <x:f>_xlfn.XLOOKUP($C84,#REF!,#REF!)</x:f>
        <x:v>#N/A</x:v>
      </x:c>
      <x:c r="H84" s="163" t="e">
        <x:f>_xlfn.XLOOKUP($C84,#REF!,#REF!)</x:f>
        <x:v>#N/A</x:v>
      </x:c>
      <x:c r="I84" s="163" t="e">
        <x:f>_xlfn.XLOOKUP($C84,#REF!,#REF!)</x:f>
        <x:v>#N/A</x:v>
      </x:c>
      <x:c r="J84" s="163" t="e">
        <x:f>_xlfn.XLOOKUP($C84,#REF!,#REF!)</x:f>
        <x:v>#N/A</x:v>
      </x:c>
      <x:c r="K84" s="163" t="e">
        <x:f>_xlfn.XLOOKUP($C84,#REF!,#REF!)</x:f>
        <x:v>#N/A</x:v>
      </x:c>
      <x:c r="L84" s="163" t="e">
        <x:f>_xlfn.XLOOKUP($C84,#REF!,#REF!)</x:f>
        <x:v>#N/A</x:v>
      </x:c>
      <x:c r="M84" s="163" t="e">
        <x:f>_xlfn.XLOOKUP($C84,#REF!,#REF!)</x:f>
        <x:v>#N/A</x:v>
      </x:c>
      <x:c r="N84" s="163" t="e">
        <x:f>_xlfn.XLOOKUP($C84,#REF!,#REF!)</x:f>
        <x:v>#N/A</x:v>
      </x:c>
      <x:c r="O84" s="176" t="e">
        <x:f>_xlfn.XLOOKUP($C84,#REF!,#REF!)</x:f>
        <x:v>#N/A</x:v>
      </x:c>
      <x:c r="P84" s="212" t="e">
        <x:f t="shared" si="1"/>
        <x:v>#REF!</x:v>
      </x:c>
      <x:c r="Q84" s="197" t="e">
        <x:f t="shared" si="5"/>
        <x:v>#REF!</x:v>
      </x:c>
      <x:c r="R84" s="205"/>
      <x:c r="S84" s="205"/>
      <x:c r="T84" s="205"/>
      <x:c r="U84" s="198"/>
      <x:c r="V84" s="225"/>
      <x:c r="W84" s="218"/>
      <x:c r="X84" s="159"/>
    </x:row>
    <x:row r="85" s="1" customFormat="1" ht="21.75">
      <x:c r="A85" s="4"/>
      <x:c r="B85" s="287"/>
      <x:c r="C85" s="229" t="s">
        <x:v>91</x:v>
      </x:c>
      <x:c r="D85" s="175" t="e">
        <x:f>_xlfn.XLOOKUP($C85,#REF!,#REF!)</x:f>
        <x:v>#N/A</x:v>
      </x:c>
      <x:c r="E85" s="163" t="e">
        <x:f>_xlfn.XLOOKUP($C85,#REF!,#REF!)</x:f>
        <x:v>#N/A</x:v>
      </x:c>
      <x:c r="F85" s="163" t="e">
        <x:f>_xlfn.XLOOKUP($C85,#REF!,#REF!)</x:f>
        <x:v>#N/A</x:v>
      </x:c>
      <x:c r="G85" s="163" t="e">
        <x:f>_xlfn.XLOOKUP($C85,#REF!,#REF!)</x:f>
        <x:v>#N/A</x:v>
      </x:c>
      <x:c r="H85" s="163" t="e">
        <x:f>_xlfn.XLOOKUP($C85,#REF!,#REF!)</x:f>
        <x:v>#N/A</x:v>
      </x:c>
      <x:c r="I85" s="163" t="e">
        <x:f>_xlfn.XLOOKUP($C85,#REF!,#REF!)</x:f>
        <x:v>#N/A</x:v>
      </x:c>
      <x:c r="J85" s="163" t="e">
        <x:f>_xlfn.XLOOKUP($C85,#REF!,#REF!)</x:f>
        <x:v>#N/A</x:v>
      </x:c>
      <x:c r="K85" s="163" t="e">
        <x:f>_xlfn.XLOOKUP($C85,#REF!,#REF!)</x:f>
        <x:v>#N/A</x:v>
      </x:c>
      <x:c r="L85" s="163" t="e">
        <x:f>_xlfn.XLOOKUP($C85,#REF!,#REF!)</x:f>
        <x:v>#N/A</x:v>
      </x:c>
      <x:c r="M85" s="163" t="e">
        <x:f>_xlfn.XLOOKUP($C85,#REF!,#REF!)</x:f>
        <x:v>#N/A</x:v>
      </x:c>
      <x:c r="N85" s="163" t="e">
        <x:f>_xlfn.XLOOKUP($C85,#REF!,#REF!)</x:f>
        <x:v>#N/A</x:v>
      </x:c>
      <x:c r="O85" s="176" t="e">
        <x:f>_xlfn.XLOOKUP($C85,#REF!,#REF!)</x:f>
        <x:v>#N/A</x:v>
      </x:c>
      <x:c r="P85" s="212" t="e">
        <x:f t="shared" si="1"/>
        <x:v>#REF!</x:v>
      </x:c>
      <x:c r="Q85" s="197" t="e">
        <x:f t="shared" si="5"/>
        <x:v>#REF!</x:v>
      </x:c>
      <x:c r="R85" s="205"/>
      <x:c r="S85" s="205"/>
      <x:c r="T85" s="205"/>
      <x:c r="U85" s="198"/>
      <x:c r="V85" s="225"/>
      <x:c r="W85" s="218"/>
      <x:c r="X85" s="159"/>
    </x:row>
    <x:row r="86" s="1" customFormat="1" ht="21.75">
      <x:c r="A86" s="4"/>
      <x:c r="B86" s="287"/>
      <x:c r="C86" s="230" t="s">
        <x:v>92</x:v>
      </x:c>
      <x:c r="D86" s="177" t="e">
        <x:f>_xlfn.XLOOKUP($C86,#REF!,#REF!)</x:f>
        <x:v>#N/A</x:v>
      </x:c>
      <x:c r="E86" s="178" t="e">
        <x:f>_xlfn.XLOOKUP($C86,#REF!,#REF!)</x:f>
        <x:v>#N/A</x:v>
      </x:c>
      <x:c r="F86" s="178" t="e">
        <x:f>_xlfn.XLOOKUP($C86,#REF!,#REF!)</x:f>
        <x:v>#N/A</x:v>
      </x:c>
      <x:c r="G86" s="178" t="e">
        <x:f>_xlfn.XLOOKUP($C86,#REF!,#REF!)</x:f>
        <x:v>#N/A</x:v>
      </x:c>
      <x:c r="H86" s="178" t="e">
        <x:f>_xlfn.XLOOKUP($C86,#REF!,#REF!)</x:f>
        <x:v>#N/A</x:v>
      </x:c>
      <x:c r="I86" s="178" t="e">
        <x:f>_xlfn.XLOOKUP($C86,#REF!,#REF!)</x:f>
        <x:v>#N/A</x:v>
      </x:c>
      <x:c r="J86" s="178" t="e">
        <x:f>_xlfn.XLOOKUP($C86,#REF!,#REF!)</x:f>
        <x:v>#N/A</x:v>
      </x:c>
      <x:c r="K86" s="178" t="e">
        <x:f>_xlfn.XLOOKUP($C86,#REF!,#REF!)</x:f>
        <x:v>#N/A</x:v>
      </x:c>
      <x:c r="L86" s="178" t="e">
        <x:f>_xlfn.XLOOKUP($C86,#REF!,#REF!)</x:f>
        <x:v>#N/A</x:v>
      </x:c>
      <x:c r="M86" s="178" t="e">
        <x:f>_xlfn.XLOOKUP($C86,#REF!,#REF!)</x:f>
        <x:v>#N/A</x:v>
      </x:c>
      <x:c r="N86" s="178" t="e">
        <x:f>_xlfn.XLOOKUP($C86,#REF!,#REF!)</x:f>
        <x:v>#N/A</x:v>
      </x:c>
      <x:c r="O86" s="179" t="e">
        <x:f>_xlfn.XLOOKUP($C86,#REF!,#REF!)</x:f>
        <x:v>#N/A</x:v>
      </x:c>
      <x:c r="P86" s="213" t="e">
        <x:f t="shared" si="1"/>
        <x:v>#REF!</x:v>
      </x:c>
      <x:c r="Q86" s="214" t="e">
        <x:f t="shared" si="5"/>
        <x:v>#REF!</x:v>
      </x:c>
      <x:c r="R86" s="206"/>
      <x:c r="S86" s="206"/>
      <x:c r="T86" s="206"/>
      <x:c r="U86" s="207"/>
      <x:c r="V86" s="231"/>
      <x:c r="W86" s="220"/>
      <x:c r="X86" s="160"/>
    </x:row>
    <x:row r="87" ht="15">
      <x:c r="B87" s="287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</x:row>
    <x:row r="88" ht="15.75">
      <x:c r="B88" s="287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</x:row>
    <x:row r="89" ht="24">
      <x:c r="B89" s="287"/>
      <x:c r="C89" s="187" t="s">
        <x:v>93</x:v>
      </x:c>
      <x:c r="D89" s="39"/>
      <x:c r="E89" s="39"/>
      <x:c r="F89" s="40"/>
      <x:c r="G89" s="40"/>
      <x:c r="H89" s="40"/>
      <x:c r="I89" s="41"/>
      <x:c r="J89" s="42"/>
      <x:c r="K89" s="41"/>
      <x:c r="L89" s="45"/>
      <x:c r="M89" s="45"/>
      <x:c r="N89" s="45"/>
      <x:c r="O89" s="45"/>
      <x:c r="P89" s="43" t="e">
        <x:f>AVERAGE(P10:P86)</x:f>
        <x:v>#VALUE!</x:v>
      </x:c>
      <x:c r="Q89" s="209"/>
      <x:c r="R89" s="209"/>
      <x:c r="S89" s="209"/>
      <x:c r="T89" s="209"/>
      <x:c r="U89" s="210"/>
      <x:c r="V89" s="210"/>
    </x:row>
    <x:row r="90" ht="24">
      <x:c r="B90" s="287"/>
      <x:c r="F90" s="105"/>
      <x:c r="G90" s="105"/>
      <x:c r="H90" s="105"/>
      <x:c r="J90" s="38"/>
      <x:c r="K90" s="38"/>
      <x:c r="P90" s="44"/>
      <x:c r="Q90" s="209"/>
      <x:c r="R90" s="209"/>
      <x:c r="S90" s="209"/>
      <x:c r="T90" s="209"/>
      <x:c r="U90" s="210"/>
      <x:c r="V90" s="210"/>
    </x:row>
    <x:row r="91" ht="24">
      <x:c r="B91" s="287"/>
      <x:c r="C91" s="188" t="s">
        <x:v>94</x:v>
      </x:c>
      <x:c r="D91" s="41"/>
      <x:c r="E91" s="41"/>
      <x:c r="F91" s="41"/>
      <x:c r="G91" s="45"/>
      <x:c r="H91" s="45"/>
      <x:c r="I91" s="45"/>
      <x:c r="J91" s="107"/>
      <x:c r="K91" s="107"/>
      <x:c r="L91" s="107"/>
      <x:c r="M91" s="153"/>
      <x:c r="N91" s="153"/>
      <x:c r="O91" s="153"/>
      <x:c r="P91" s="3"/>
      <x:c r="Q91" s="210"/>
      <x:c r="R91" s="210"/>
      <x:c r="S91" s="210"/>
      <x:c r="T91" s="210"/>
    </x:row>
    <x:row r="92" ht="15.75">
      <x:c r="B92" s="288"/>
      <x:c r="F92" s="283"/>
      <x:c r="G92" s="283"/>
      <x:c r="H92" s="283"/>
    </x:row>
    <x:row r="96">
      <x:c r="AB96"/>
    </x:row>
    <x:row r="106">
      <x:c r="I106" s="1" t="n">
        <x:f>1.9*700</x:f>
        <x:v>1330</x:v>
      </x:c>
      <x:c r="J106" s="174" t="n">
        <x:f>+I106*36200</x:f>
        <x:v>48146000</x:v>
      </x:c>
    </x:row>
    <x:row r="111">
      <x:c r="L111" s="16"/>
      <x:c r="M111" s="152"/>
      <x:c r="N111" s="152"/>
      <x:c r="O111" s="152"/>
    </x:row>
  </x:sheetData>
  <x:mergeCells>
    <x:mergeCell ref="X6:X7"/>
    <x:mergeCell ref="P6:P7"/>
    <x:mergeCell ref="D3:E3"/>
    <x:mergeCell ref="F3:H3"/>
    <x:mergeCell ref="I3:K3"/>
    <x:mergeCell ref="C49:P50"/>
    <x:mergeCell ref="B32:B48"/>
    <x:mergeCell ref="W6:W7"/>
    <x:mergeCell ref="F92:H92"/>
    <x:mergeCell ref="C6:C7"/>
    <x:mergeCell ref="B10:B31"/>
    <x:mergeCell ref="Q6:V7"/>
    <x:mergeCell ref="B72:B92"/>
    <x:mergeCell ref="C72:P73"/>
    <x:mergeCell ref="B49:B71"/>
  </x:mergeCells>
  <x:conditionalFormatting sqref="D10:O31 D34:O48 D51:O71 D74:O86">
    <x:cfRule type="cellIs" dxfId="55" priority="2" operator="greaterThanOrEqual">
      <x:formula>1</x:formula>
    </x:cfRule>
    <x:cfRule type="cellIs" dxfId="54" priority="3" operator="equal">
      <x:formula>0</x:formula>
    </x:cfRule>
    <x:cfRule type="cellIs" dxfId="53" priority="4" operator="between">
      <x:formula>50%</x:formula>
      <x:formula>99%</x:formula>
    </x:cfRule>
    <x:cfRule type="cellIs" dxfId="52" priority="5" operator="between">
      <x:formula>1%</x:formula>
      <x:formula>50%</x:formula>
    </x:cfRule>
    <x:cfRule type="cellIs" dxfId="51" priority="6" operator="equal">
      <x:formula>100</x:formula>
    </x:cfRule>
  </x:conditionalFormatting>
  <x:conditionalFormatting sqref="L111:O111">
    <x:cfRule type="cellIs" dxfId="50" priority="240" operator="equal">
      <x:formula>0</x:formula>
    </x:cfRule>
    <x:cfRule type="cellIs" dxfId="49" priority="242" operator="between">
      <x:formula>50</x:formula>
      <x:formula>99</x:formula>
    </x:cfRule>
    <x:cfRule type="cellIs" dxfId="48" priority="243" operator="between">
      <x:formula>1</x:formula>
      <x:formula>50</x:formula>
    </x:cfRule>
    <x:cfRule type="cellIs" dxfId="47" priority="244" operator="equal">
      <x:formula>100</x:formula>
    </x:cfRule>
  </x:conditionalFormatting>
  <x:conditionalFormatting sqref="P10:P31 R10:T31 P34:P48 R34:T48 P51:P71 R51:T71 P74:P86 R74:T86">
    <x:cfRule type="iconSet" priority="265">
      <x:iconSet iconSet="3Symbols2">
        <x:cfvo type="percent" val="0"/>
        <x:cfvo type="percent" val="33"/>
        <x:cfvo type="percent" val="67"/>
      </x:iconSet>
    </x:cfRule>
    <x:cfRule type="dataBar" priority="26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{930B200A-C6A6-42B8-AD8B-2CB243949192}</x14:id>
        </x:ext>
      </x:extLst>
    </x:cfRule>
    <x:cfRule type="dataBar" priority="270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{8F270740-B5BA-42A7-B1B2-992CD7FAB353}</x14:id>
        </x:ext>
      </x:extLst>
    </x:cfRule>
  </x:conditionalFormatting>
  <x:conditionalFormatting sqref="R10:V10 P10:P31 R11:W31 P34:P48 R34:W48 P51:P71 R51:W71 P74:P86 R74:W86">
    <x:cfRule type="cellIs" dxfId="46" priority="267" stopIfTrue="1" operator="equal">
      <x:formula>1</x:formula>
    </x:cfRule>
  </x:conditionalFormatting>
  <x:conditionalFormatting sqref="U10:V10">
    <x:cfRule type="dataBar" priority="1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{DBAD4588-F3D5-4FF4-B633-0E199CF65E79}</x14:id>
        </x:ext>
      </x:extLst>
    </x:cfRule>
  </x:conditionalFormatting>
  <x:conditionalFormatting sqref="U11:V31 U34:V48 U51:V71 U74:V86">
    <x:cfRule type="dataBar" priority="550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{A66C39C8-6D6F-41FE-B085-105A8E2ECD46}</x14:id>
        </x:ext>
      </x:extLst>
    </x:cfRule>
  </x:conditionalFormatting>
  <x:conditionalFormatting sqref="U51:V51">
    <x:cfRule type="dataBar" priority="262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{81B39269-CDD5-406C-B456-85BA4A20D6CE}</x14:id>
        </x:ext>
      </x:extLst>
    </x:cfRule>
  </x:conditionalFormatting>
  <x:conditionalFormatting sqref="U51:V71 U74:V86">
    <x:cfRule type="dataBar" priority="263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{826FDEA2-0718-4C31-9333-746233A6EAA8}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66" id="{930B200A-C6A6-42B8-AD8B-2CB243949192}">
            <x14:dataBar minLength="0" maxLength="100" negativeBarColorSameAsPositive="1">
              <x14:cfvo type="min"/>
              <x14:cfvo type="max"/>
              <x14:fillColor rgb="FFFFB628"/>
            </x14:dataBar>
          </x14:cfRule>
          <x14:cfRule type="dataBar" priority="270" id="{8F270740-B5BA-42A7-B1B2-992CD7FAB353}">
            <x14:dataBar minLength="0" maxLength="100" negativeBarColorSameAsPositive="1">
              <x14:cfvo type="min"/>
              <x14:cfvo type="max"/>
              <x14:fillColor rgb="FFFFB628"/>
            </x14:dataBar>
          </x14:cfRule>
          <xm:sqref>P10:P31 R10:T31 P34:P48 R34:T48 P51:P71 R51:T71 P74:P86 R74:T86</xm:sqref>
        </x14:conditionalFormatting>
        <x14:conditionalFormatting>
          <x14:cfRule type="dataBar" priority="1" id="{DBAD4588-F3D5-4FF4-B633-0E199CF65E79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U10:V10</xm:sqref>
        </x14:conditionalFormatting>
        <x14:conditionalFormatting>
          <x14:cfRule type="dataBar" priority="550" id="{A66C39C8-6D6F-41FE-B085-105A8E2ECD46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U11:V31 U34:V48 U51:V71 U74:V86</xm:sqref>
        </x14:conditionalFormatting>
        <x14:conditionalFormatting>
          <x14:cfRule type="dataBar" priority="262" id="{81B39269-CDD5-406C-B456-85BA4A20D6CE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U51:V51</xm:sqref>
        </x14:conditionalFormatting>
        <x14:conditionalFormatting>
          <x14:cfRule type="dataBar" priority="263" id="{826FDEA2-0718-4C31-9333-746233A6EAA8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U51:V71 U74:V86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FF0000"/>
  </x:sheetPr>
  <x:sheetFormatPr baseColWidth="10" defaultRowHeight="12.75"/>
  <x:cols>
    <x:col min="2" max="2" width="45.85546875" customWidth="1"/>
    <x:col min="3" max="12" width="11.5703125" style="1" customWidth="0"/>
  </x:cols>
  <x:sheetData>
    <x:row r="1">
      <x:c r="A1" s="150" t="s">
        <x:v>95</x:v>
      </x:c>
      <x:c r="B1" s="150" t="s">
        <x:v>6</x:v>
      </x:c>
      <x:c r="C1" s="261" t="s">
        <x:v>96</x:v>
      </x:c>
      <x:c r="D1" s="261" t="s">
        <x:v>97</x:v>
      </x:c>
      <x:c r="E1" s="261" t="s">
        <x:v>98</x:v>
      </x:c>
      <x:c r="F1" s="261" t="s">
        <x:v>99</x:v>
      </x:c>
      <x:c r="G1" s="261" t="s">
        <x:v>100</x:v>
      </x:c>
      <x:c r="H1" s="261" t="s">
        <x:v>101</x:v>
      </x:c>
      <x:c r="I1" s="261" t="s">
        <x:v>102</x:v>
      </x:c>
      <x:c r="J1" s="261" t="s">
        <x:v>103</x:v>
      </x:c>
      <x:c r="K1" s="261" t="s">
        <x:v>104</x:v>
      </x:c>
      <x:c r="L1" s="261" t="s">
        <x:v>8</x:v>
      </x:c>
    </x:row>
    <x:row r="2">
      <x:c r="A2" t="s">
        <x:v>105</x:v>
      </x:c>
      <x:c r="B2" t="s">
        <x:v>20</x:v>
      </x:c>
      <x:c r="C2" s="267" t="n">
        <x:f>FASE1!E$13</x:f>
        <x:v>0</x:v>
      </x:c>
      <x:c r="D2" s="267" t="n">
        <x:f>FASE1!E$57</x:f>
        <x:v>0</x:v>
      </x:c>
      <x:c r="E2" s="267" t="n">
        <x:f>FASE1!E$102</x:f>
        <x:v>0</x:v>
      </x:c>
      <x:c r="F2" s="267" t="n">
        <x:f>FASE1!E$147</x:f>
        <x:v>0</x:v>
      </x:c>
      <x:c r="G2" s="267" t="n">
        <x:f>FASE1!E$192</x:f>
        <x:v>0</x:v>
      </x:c>
      <x:c r="H2" s="267" t="n">
        <x:f>FASE1!E$237</x:f>
        <x:v>0</x:v>
      </x:c>
      <x:c r="I2" s="267" t="n">
        <x:f>FASE1!E$282</x:f>
        <x:v>0</x:v>
      </x:c>
      <x:c r="J2" s="267" t="n">
        <x:f>FASE1!E$327</x:f>
        <x:v>0</x:v>
      </x:c>
      <x:c r="K2" s="267" t="n">
        <x:f>FASE1!E$369</x:f>
        <x:v>0</x:v>
      </x:c>
      <x:c r="L2" s="267" t="n">
        <x:f t="shared" ref="L2:L63" si="0">AVERAGE(C2:K2)</x:f>
        <x:v>0</x:v>
      </x:c>
    </x:row>
    <x:row r="3">
      <x:c r="A3" t="s">
        <x:v>105</x:v>
      </x:c>
      <x:c r="B3" t="s">
        <x:v>21</x:v>
      </x:c>
      <x:c r="C3" s="267" t="n">
        <x:f>FASE1!F$13</x:f>
        <x:v>0</x:v>
      </x:c>
      <x:c r="D3" s="267" t="n">
        <x:f>FASE1!F$57</x:f>
        <x:v>0</x:v>
      </x:c>
      <x:c r="E3" s="267" t="n">
        <x:f>FASE1!F$102</x:f>
        <x:v>0</x:v>
      </x:c>
      <x:c r="F3" s="267" t="n">
        <x:f>FASE1!F$147</x:f>
        <x:v>0</x:v>
      </x:c>
      <x:c r="G3" s="267" t="n">
        <x:f>FASE1!F$192</x:f>
        <x:v>0</x:v>
      </x:c>
      <x:c r="H3" s="267" t="n">
        <x:f>FASE1!F$237</x:f>
        <x:v>0</x:v>
      </x:c>
      <x:c r="I3" s="267" t="n">
        <x:f>FASE1!F$282</x:f>
        <x:v>0</x:v>
      </x:c>
      <x:c r="J3" s="267" t="n">
        <x:f>FASE1!F$327</x:f>
        <x:v>0</x:v>
      </x:c>
      <x:c r="K3" s="267" t="n">
        <x:f>FASE1!F$369</x:f>
        <x:v>0</x:v>
      </x:c>
      <x:c r="L3" s="267">
        <x:f t="shared" si="0"/>
        <x:v>30.719696969696972</x:v>
      </x:c>
    </x:row>
    <x:row r="4">
      <x:c r="A4" t="s">
        <x:v>105</x:v>
      </x:c>
      <x:c r="B4" t="s">
        <x:v>22</x:v>
      </x:c>
      <x:c r="C4" s="267" t="n">
        <x:f>FASE1!G$13</x:f>
        <x:v>0</x:v>
      </x:c>
      <x:c r="D4" s="267" t="n">
        <x:f>FASE1!G$57</x:f>
        <x:v>0</x:v>
      </x:c>
      <x:c r="E4" s="267" t="n">
        <x:f>FASE1!G$102</x:f>
        <x:v>0</x:v>
      </x:c>
      <x:c r="F4" s="267" t="n">
        <x:f>FASE1!G$147</x:f>
        <x:v>0</x:v>
      </x:c>
      <x:c r="G4" s="267" t="n">
        <x:f>FASE1!G$192</x:f>
        <x:v>0</x:v>
      </x:c>
      <x:c r="H4" s="267" t="n">
        <x:f>FASE1!G$237</x:f>
        <x:v>0</x:v>
      </x:c>
      <x:c r="I4" s="267" t="n">
        <x:f>FASE1!G$282</x:f>
        <x:v>0</x:v>
      </x:c>
      <x:c r="J4" s="267" t="n">
        <x:f>FASE1!G$327</x:f>
        <x:v>0</x:v>
      </x:c>
      <x:c r="K4" s="267" t="n">
        <x:f>FASE1!G$369</x:f>
        <x:v>0</x:v>
      </x:c>
      <x:c r="L4" s="267">
        <x:f t="shared" si="0"/>
        <x:v>16.562132957481797</x:v>
      </x:c>
    </x:row>
    <x:row r="5">
      <x:c r="A5" t="s">
        <x:v>105</x:v>
      </x:c>
      <x:c r="B5" t="s">
        <x:v>23</x:v>
      </x:c>
      <x:c r="C5" s="267" t="n">
        <x:f>FASE1!H$13</x:f>
        <x:v>0</x:v>
      </x:c>
      <x:c r="D5" s="267" t="n">
        <x:f>FASE1!H$57</x:f>
        <x:v>0</x:v>
      </x:c>
      <x:c r="E5" s="267" t="n">
        <x:f>FASE1!H$102</x:f>
        <x:v>0</x:v>
      </x:c>
      <x:c r="F5" s="267" t="n">
        <x:f>FASE1!H$147</x:f>
        <x:v>0</x:v>
      </x:c>
      <x:c r="G5" s="267" t="n">
        <x:f>FASE1!H$192</x:f>
        <x:v>0</x:v>
      </x:c>
      <x:c r="H5" s="267" t="n">
        <x:f>FASE1!H$237</x:f>
        <x:v>0</x:v>
      </x:c>
      <x:c r="I5" s="267" t="n">
        <x:f>FASE1!H$282</x:f>
        <x:v>0</x:v>
      </x:c>
      <x:c r="J5" s="267" t="n">
        <x:f>FASE1!H$327</x:f>
        <x:v>0</x:v>
      </x:c>
      <x:c r="K5" s="267" t="n">
        <x:f>FASE1!H$369</x:f>
        <x:v>0</x:v>
      </x:c>
      <x:c r="L5" s="267">
        <x:f t="shared" si="0"/>
        <x:v>16.062955132722575</x:v>
      </x:c>
    </x:row>
    <x:row r="6">
      <x:c r="A6" t="s">
        <x:v>105</x:v>
      </x:c>
      <x:c r="B6" t="s">
        <x:v>24</x:v>
      </x:c>
      <x:c r="C6" s="267" t="n">
        <x:f>FASE1!I$13</x:f>
        <x:v>0</x:v>
      </x:c>
      <x:c r="D6" s="267" t="n">
        <x:f>FASE1!I$57</x:f>
        <x:v>0</x:v>
      </x:c>
      <x:c r="E6" s="267" t="n">
        <x:f>FASE1!I$102</x:f>
        <x:v>0</x:v>
      </x:c>
      <x:c r="F6" s="267" t="n">
        <x:f>FASE1!I$147</x:f>
        <x:v>0</x:v>
      </x:c>
      <x:c r="G6" s="267" t="n">
        <x:f>FASE1!I$192</x:f>
        <x:v>0</x:v>
      </x:c>
      <x:c r="H6" s="267" t="n">
        <x:f>FASE1!I$237</x:f>
        <x:v>0</x:v>
      </x:c>
      <x:c r="I6" s="267" t="n">
        <x:f>FASE1!I$282</x:f>
        <x:v>0</x:v>
      </x:c>
      <x:c r="J6" s="267" t="n">
        <x:f>FASE1!I$327</x:f>
        <x:v>0</x:v>
      </x:c>
      <x:c r="K6" s="267" t="n">
        <x:f>FASE1!I$369</x:f>
        <x:v>0</x:v>
      </x:c>
      <x:c r="L6" s="267">
        <x:f t="shared" si="0"/>
        <x:v>21.071176885130374</x:v>
      </x:c>
    </x:row>
    <x:row r="7">
      <x:c r="A7" t="s">
        <x:v>105</x:v>
      </x:c>
      <x:c r="B7" t="s">
        <x:v>25</x:v>
      </x:c>
      <x:c r="C7" s="267" t="n">
        <x:f>FASE1!J$13</x:f>
        <x:v>0</x:v>
      </x:c>
      <x:c r="D7" s="267" t="n">
        <x:f>FASE1!J$57</x:f>
        <x:v>0</x:v>
      </x:c>
      <x:c r="E7" s="267" t="n">
        <x:f>FASE1!J$102</x:f>
        <x:v>0</x:v>
      </x:c>
      <x:c r="F7" s="267" t="n">
        <x:f>FASE1!J$147</x:f>
        <x:v>0</x:v>
      </x:c>
      <x:c r="G7" s="267" t="n">
        <x:f>FASE1!J$192</x:f>
        <x:v>0</x:v>
      </x:c>
      <x:c r="H7" s="267" t="n">
        <x:f>FASE1!J$237</x:f>
        <x:v>0</x:v>
      </x:c>
      <x:c r="I7" s="267" t="n">
        <x:f>FASE1!J$282</x:f>
        <x:v>0</x:v>
      </x:c>
      <x:c r="J7" s="267" t="n">
        <x:f>FASE1!J$327</x:f>
        <x:v>0</x:v>
      </x:c>
      <x:c r="K7" s="267" t="n">
        <x:f>FASE1!J$369</x:f>
        <x:v>0</x:v>
      </x:c>
      <x:c r="L7" s="267">
        <x:f t="shared" si="0"/>
        <x:v>14.790345313601129</x:v>
      </x:c>
    </x:row>
    <x:row r="8">
      <x:c r="A8" t="s">
        <x:v>105</x:v>
      </x:c>
      <x:c r="B8" t="s">
        <x:v>26</x:v>
      </x:c>
      <x:c r="C8" s="267" t="n">
        <x:f>FASE1!K$13</x:f>
        <x:v>0</x:v>
      </x:c>
      <x:c r="D8" s="267" t="n">
        <x:f>FASE1!K$57</x:f>
        <x:v>0</x:v>
      </x:c>
      <x:c r="E8" s="267" t="n">
        <x:f>FASE1!K$102</x:f>
        <x:v>0</x:v>
      </x:c>
      <x:c r="F8" s="267" t="n">
        <x:f>FASE1!K$147</x:f>
        <x:v>0</x:v>
      </x:c>
      <x:c r="G8" s="267" t="n">
        <x:f>FASE1!K$192</x:f>
        <x:v>0</x:v>
      </x:c>
      <x:c r="H8" s="267" t="n">
        <x:f>FASE1!K$237</x:f>
        <x:v>0</x:v>
      </x:c>
      <x:c r="I8" s="267" t="n">
        <x:f>FASE1!K$282</x:f>
        <x:v>0</x:v>
      </x:c>
      <x:c r="J8" s="267" t="n">
        <x:f>FASE1!K$327</x:f>
        <x:v>0</x:v>
      </x:c>
      <x:c r="K8" s="267" t="n">
        <x:f>FASE1!K$369</x:f>
        <x:v>0</x:v>
      </x:c>
      <x:c r="L8" s="267">
        <x:f t="shared" si="0"/>
        <x:v>18.153629316420012</x:v>
      </x:c>
    </x:row>
    <x:row r="9">
      <x:c r="A9" t="s">
        <x:v>105</x:v>
      </x:c>
      <x:c r="B9" t="s">
        <x:v>27</x:v>
      </x:c>
      <x:c r="C9" s="267" t="n">
        <x:f>FASE1!L$13</x:f>
        <x:v>0</x:v>
      </x:c>
      <x:c r="D9" s="267" t="n">
        <x:f>FASE1!L$57</x:f>
        <x:v>0</x:v>
      </x:c>
      <x:c r="E9" s="267" t="n">
        <x:f>FASE1!L$102</x:f>
        <x:v>0</x:v>
      </x:c>
      <x:c r="F9" s="267" t="n">
        <x:f>FASE1!L$147</x:f>
        <x:v>0</x:v>
      </x:c>
      <x:c r="G9" s="267" t="n">
        <x:f>FASE1!L$192</x:f>
        <x:v>0</x:v>
      </x:c>
      <x:c r="H9" s="267" t="n">
        <x:f>FASE1!L$237</x:f>
        <x:v>0</x:v>
      </x:c>
      <x:c r="I9" s="267" t="n">
        <x:f>FASE1!L$282</x:f>
        <x:v>0</x:v>
      </x:c>
      <x:c r="J9" s="267" t="n">
        <x:f>FASE1!L$327</x:f>
        <x:v>0</x:v>
      </x:c>
      <x:c r="K9" s="267" t="n">
        <x:f>FASE1!L$369</x:f>
        <x:v>0</x:v>
      </x:c>
      <x:c r="L9" s="267">
        <x:f t="shared" si="0"/>
        <x:v>21.045337091848719</x:v>
      </x:c>
    </x:row>
    <x:row r="10">
      <x:c r="A10" t="s">
        <x:v>105</x:v>
      </x:c>
      <x:c r="B10" t="s">
        <x:v>28</x:v>
      </x:c>
      <x:c r="C10" s="267" t="n">
        <x:f>FASE1!M$13</x:f>
        <x:v>0</x:v>
      </x:c>
      <x:c r="D10" s="267" t="n">
        <x:f>FASE1!M$57</x:f>
        <x:v>0</x:v>
      </x:c>
      <x:c r="E10" s="267" t="n">
        <x:f>FASE1!M$102</x:f>
        <x:v>0</x:v>
      </x:c>
      <x:c r="F10" s="267" t="n">
        <x:f>FASE1!M$147</x:f>
        <x:v>0</x:v>
      </x:c>
      <x:c r="G10" s="267" t="n">
        <x:f>FASE1!M$192</x:f>
        <x:v>0</x:v>
      </x:c>
      <x:c r="H10" s="267" t="n">
        <x:f>FASE1!M$237</x:f>
        <x:v>0</x:v>
      </x:c>
      <x:c r="I10" s="267" t="n">
        <x:f>FASE1!M$282</x:f>
        <x:v>0</x:v>
      </x:c>
      <x:c r="J10" s="267" t="n">
        <x:f>FASE1!M$327</x:f>
        <x:v>0</x:v>
      </x:c>
      <x:c r="K10" s="267" t="n">
        <x:f>FASE1!M$369</x:f>
        <x:v>0</x:v>
      </x:c>
      <x:c r="L10" s="267">
        <x:f t="shared" si="0"/>
        <x:v>16.402396053558846</x:v>
      </x:c>
    </x:row>
    <x:row r="11">
      <x:c r="A11" t="s">
        <x:v>105</x:v>
      </x:c>
      <x:c r="B11" t="s">
        <x:v>29</x:v>
      </x:c>
      <x:c r="C11" s="267" t="n">
        <x:f>FASE1!N$13</x:f>
        <x:v>0</x:v>
      </x:c>
      <x:c r="D11" s="267" t="n">
        <x:f>FASE1!N$57</x:f>
        <x:v>0</x:v>
      </x:c>
      <x:c r="E11" s="267" t="n">
        <x:f>FASE1!N$102</x:f>
        <x:v>0</x:v>
      </x:c>
      <x:c r="F11" s="267" t="n">
        <x:f>FASE1!N$147</x:f>
        <x:v>0</x:v>
      </x:c>
      <x:c r="G11" s="267" t="n">
        <x:f>FASE1!N$192</x:f>
        <x:v>0</x:v>
      </x:c>
      <x:c r="H11" s="267" t="n">
        <x:f>FASE1!N$237</x:f>
        <x:v>0</x:v>
      </x:c>
      <x:c r="I11" s="267" t="n">
        <x:f>FASE1!N$282</x:f>
        <x:v>0</x:v>
      </x:c>
      <x:c r="J11" s="267" t="n">
        <x:f>FASE1!N$327</x:f>
        <x:v>0</x:v>
      </x:c>
      <x:c r="K11" s="267" t="n">
        <x:f>FASE1!N$369</x:f>
        <x:v>0</x:v>
      </x:c>
      <x:c r="L11" s="267">
        <x:f t="shared" si="0"/>
        <x:v>5.7575757575757578</x:v>
      </x:c>
    </x:row>
    <x:row r="12">
      <x:c r="A12" t="s">
        <x:v>105</x:v>
      </x:c>
      <x:c r="B12" t="s">
        <x:v>30</x:v>
      </x:c>
      <x:c r="C12" s="267" t="n">
        <x:f>FASE1!O$13</x:f>
        <x:v>0</x:v>
      </x:c>
      <x:c r="D12" s="267" t="n">
        <x:f>FASE1!O$57</x:f>
        <x:v>0</x:v>
      </x:c>
      <x:c r="E12" s="267" t="n">
        <x:f>FASE1!O$102</x:f>
        <x:v>0</x:v>
      </x:c>
      <x:c r="F12" s="267" t="n">
        <x:f>FASE1!O$147</x:f>
        <x:v>0</x:v>
      </x:c>
      <x:c r="G12" s="267" t="n">
        <x:f>FASE1!O$192</x:f>
        <x:v>0</x:v>
      </x:c>
      <x:c r="H12" s="267" t="n">
        <x:f>FASE1!O$237</x:f>
        <x:v>0</x:v>
      </x:c>
      <x:c r="I12" s="267" t="n">
        <x:f>FASE1!O$282</x:f>
        <x:v>0</x:v>
      </x:c>
      <x:c r="J12" s="267" t="n">
        <x:f>FASE1!O$327</x:f>
        <x:v>0</x:v>
      </x:c>
      <x:c r="K12" s="267" t="n">
        <x:f>FASE1!O$369</x:f>
        <x:v>0</x:v>
      </x:c>
      <x:c r="L12" s="267">
        <x:f t="shared" si="0"/>
        <x:v>5.0505050505050502</x:v>
      </x:c>
    </x:row>
    <x:row r="13">
      <x:c r="A13" t="s">
        <x:v>105</x:v>
      </x:c>
      <x:c r="B13" t="s">
        <x:v>31</x:v>
      </x:c>
      <x:c r="C13" s="267" t="n">
        <x:f>FASE1!P$13</x:f>
        <x:v>0</x:v>
      </x:c>
      <x:c r="D13" s="267" t="n">
        <x:f>FASE1!P$57</x:f>
        <x:v>0</x:v>
      </x:c>
      <x:c r="E13" s="267" t="n">
        <x:f>FASE1!P$102</x:f>
        <x:v>0</x:v>
      </x:c>
      <x:c r="F13" s="267" t="n">
        <x:f>FASE1!P$147</x:f>
        <x:v>0</x:v>
      </x:c>
      <x:c r="G13" s="267" t="n">
        <x:f>FASE1!P$192</x:f>
        <x:v>0</x:v>
      </x:c>
      <x:c r="H13" s="267" t="n">
        <x:f>FASE1!P$237</x:f>
        <x:v>0</x:v>
      </x:c>
      <x:c r="I13" s="267" t="n">
        <x:f>FASE1!P$282</x:f>
        <x:v>0</x:v>
      </x:c>
      <x:c r="J13" s="267" t="n">
        <x:f>FASE1!P$327</x:f>
        <x:v>0</x:v>
      </x:c>
      <x:c r="K13" s="267" t="n">
        <x:f>FASE1!P$369</x:f>
        <x:v>0</x:v>
      </x:c>
      <x:c r="L13" s="267">
        <x:f t="shared" si="0"/>
        <x:v>6.0952548743246417</x:v>
      </x:c>
    </x:row>
    <x:row r="14">
      <x:c r="A14" t="s">
        <x:v>105</x:v>
      </x:c>
      <x:c r="B14" t="s">
        <x:v>32</x:v>
      </x:c>
      <x:c r="C14" s="267" t="n">
        <x:f>FASE1!Q$13</x:f>
        <x:v>0</x:v>
      </x:c>
      <x:c r="D14" s="267" t="n">
        <x:f>FASE1!Q$57</x:f>
        <x:v>0</x:v>
      </x:c>
      <x:c r="E14" s="267" t="n">
        <x:f>FASE1!Q$102</x:f>
        <x:v>0</x:v>
      </x:c>
      <x:c r="F14" s="267" t="n">
        <x:f>FASE1!Q$147</x:f>
        <x:v>0</x:v>
      </x:c>
      <x:c r="G14" s="267" t="n">
        <x:f>FASE1!Q$192</x:f>
        <x:v>0</x:v>
      </x:c>
      <x:c r="H14" s="267" t="n">
        <x:f>FASE1!Q$237</x:f>
        <x:v>0</x:v>
      </x:c>
      <x:c r="I14" s="267" t="n">
        <x:f>FASE1!Q$282</x:f>
        <x:v>0</x:v>
      </x:c>
      <x:c r="J14" s="267" t="n">
        <x:f>FASE1!Q$327</x:f>
        <x:v>0</x:v>
      </x:c>
      <x:c r="K14" s="267" t="n">
        <x:f>FASE1!Q$369</x:f>
        <x:v>0</x:v>
      </x:c>
      <x:c r="L14" s="267">
        <x:f t="shared" si="0"/>
        <x:v>15.637773079633543</x:v>
      </x:c>
    </x:row>
    <x:row r="15">
      <x:c r="A15" t="s">
        <x:v>105</x:v>
      </x:c>
      <x:c r="B15" t="s">
        <x:v>33</x:v>
      </x:c>
      <x:c r="C15" s="267" t="n">
        <x:f>FASE1!R$13</x:f>
        <x:v>0</x:v>
      </x:c>
      <x:c r="D15" s="267" t="n">
        <x:f>FASE1!R$57</x:f>
        <x:v>0</x:v>
      </x:c>
      <x:c r="E15" s="267" t="n">
        <x:f>FASE1!R$102</x:f>
        <x:v>0</x:v>
      </x:c>
      <x:c r="F15" s="267" t="n">
        <x:f>FASE1!R$147</x:f>
        <x:v>0</x:v>
      </x:c>
      <x:c r="G15" s="267" t="n">
        <x:f>FASE1!R$192</x:f>
        <x:v>0</x:v>
      </x:c>
      <x:c r="H15" s="267" t="n">
        <x:f>FASE1!R$237</x:f>
        <x:v>0</x:v>
      </x:c>
      <x:c r="I15" s="267" t="n">
        <x:f>FASE1!R$282</x:f>
        <x:v>0</x:v>
      </x:c>
      <x:c r="J15" s="267" t="n">
        <x:f>FASE1!R$327</x:f>
        <x:v>0</x:v>
      </x:c>
      <x:c r="K15" s="267" t="n">
        <x:f>FASE1!R$369</x:f>
        <x:v>0</x:v>
      </x:c>
      <x:c r="L15" s="267">
        <x:f t="shared" si="0"/>
        <x:v>12.677942212825933</x:v>
      </x:c>
    </x:row>
    <x:row r="16">
      <x:c r="A16" t="s">
        <x:v>105</x:v>
      </x:c>
      <x:c r="B16" t="s">
        <x:v>34</x:v>
      </x:c>
      <x:c r="C16" s="267" t="n">
        <x:f>FASE1!S$13</x:f>
        <x:v>0</x:v>
      </x:c>
      <x:c r="D16" s="267" t="n">
        <x:f>FASE1!S$57</x:f>
        <x:v>0</x:v>
      </x:c>
      <x:c r="E16" s="267" t="n">
        <x:f>FASE1!S$102</x:f>
        <x:v>0</x:v>
      </x:c>
      <x:c r="F16" s="267" t="n">
        <x:f>FASE1!S$147</x:f>
        <x:v>0</x:v>
      </x:c>
      <x:c r="G16" s="267" t="n">
        <x:f>FASE1!S$192</x:f>
        <x:v>0</x:v>
      </x:c>
      <x:c r="H16" s="267" t="n">
        <x:f>FASE1!S$237</x:f>
        <x:v>0</x:v>
      </x:c>
      <x:c r="I16" s="267" t="n">
        <x:f>FASE1!S$282</x:f>
        <x:v>0</x:v>
      </x:c>
      <x:c r="J16" s="267" t="n">
        <x:f>FASE1!S$327</x:f>
        <x:v>0</x:v>
      </x:c>
      <x:c r="K16" s="267" t="n">
        <x:f>FASE1!S$369</x:f>
        <x:v>0</x:v>
      </x:c>
      <x:c r="L16" s="267">
        <x:f t="shared" si="0"/>
        <x:v>11.363636363636363</x:v>
      </x:c>
    </x:row>
    <x:row r="17">
      <x:c r="A17" t="s">
        <x:v>105</x:v>
      </x:c>
      <x:c r="B17" t="s">
        <x:v>35</x:v>
      </x:c>
      <x:c r="C17" s="267" t="n">
        <x:f>FASE1!T$13</x:f>
        <x:v>0</x:v>
      </x:c>
      <x:c r="D17" s="267" t="n">
        <x:f>FASE1!T$57</x:f>
        <x:v>0</x:v>
      </x:c>
      <x:c r="E17" s="267" t="n">
        <x:f>FASE1!T$102</x:f>
        <x:v>0</x:v>
      </x:c>
      <x:c r="F17" s="267" t="n">
        <x:f>FASE1!T$147</x:f>
        <x:v>0</x:v>
      </x:c>
      <x:c r="G17" s="267" t="n">
        <x:f>FASE1!T$192</x:f>
        <x:v>0</x:v>
      </x:c>
      <x:c r="H17" s="267" t="n">
        <x:f>FASE1!T$237</x:f>
        <x:v>0</x:v>
      </x:c>
      <x:c r="I17" s="267" t="n">
        <x:f>FASE1!T$282</x:f>
        <x:v>0</x:v>
      </x:c>
      <x:c r="J17" s="267" t="n">
        <x:f>FASE1!T$327</x:f>
        <x:v>0</x:v>
      </x:c>
      <x:c r="K17" s="267" t="n">
        <x:f>FASE1!T$369</x:f>
        <x:v>0</x:v>
      </x:c>
      <x:c r="L17" s="267">
        <x:f t="shared" si="0"/>
        <x:v>2.0202020202020203</x:v>
      </x:c>
    </x:row>
    <x:row r="18">
      <x:c r="A18" t="s">
        <x:v>105</x:v>
      </x:c>
      <x:c r="B18" t="s">
        <x:v>36</x:v>
      </x:c>
      <x:c r="C18" s="267" t="n">
        <x:f>FASE1!U$13</x:f>
        <x:v>0</x:v>
      </x:c>
      <x:c r="D18" s="267" t="n">
        <x:f>FASE1!U$57</x:f>
        <x:v>0</x:v>
      </x:c>
      <x:c r="E18" s="267" t="n">
        <x:f>FASE1!U$102</x:f>
        <x:v>0</x:v>
      </x:c>
      <x:c r="F18" s="267" t="n">
        <x:f>FASE1!U$147</x:f>
        <x:v>0</x:v>
      </x:c>
      <x:c r="G18" s="267" t="n">
        <x:f>FASE1!U$192</x:f>
        <x:v>0</x:v>
      </x:c>
      <x:c r="H18" s="267" t="n">
        <x:f>FASE1!U$237</x:f>
        <x:v>0</x:v>
      </x:c>
      <x:c r="I18" s="267" t="n">
        <x:f>FASE1!U$282</x:f>
        <x:v>0</x:v>
      </x:c>
      <x:c r="J18" s="267" t="n">
        <x:f>FASE1!U$327</x:f>
        <x:v>0</x:v>
      </x:c>
      <x:c r="K18" s="267" t="n">
        <x:f>FASE1!U$369</x:f>
        <x:v>0</x:v>
      </x:c>
      <x:c r="L18" s="267">
        <x:f t="shared" si="0"/>
        <x:v>10.786351891003054</x:v>
      </x:c>
    </x:row>
    <x:row r="19">
      <x:c r="A19" t="s">
        <x:v>105</x:v>
      </x:c>
      <x:c r="B19" t="s">
        <x:v>37</x:v>
      </x:c>
      <x:c r="C19" s="267" t="n">
        <x:f>FASE1!V$13</x:f>
        <x:v>0</x:v>
      </x:c>
      <x:c r="D19" s="267" t="n">
        <x:f>FASE1!V$57</x:f>
        <x:v>0</x:v>
      </x:c>
      <x:c r="E19" s="267" t="n">
        <x:f>FASE1!V$102</x:f>
        <x:v>0</x:v>
      </x:c>
      <x:c r="F19" s="267" t="n">
        <x:f>FASE1!V$147</x:f>
        <x:v>0</x:v>
      </x:c>
      <x:c r="G19" s="267" t="n">
        <x:f>FASE1!V$192</x:f>
        <x:v>0</x:v>
      </x:c>
      <x:c r="H19" s="267" t="n">
        <x:f>FASE1!V$237</x:f>
        <x:v>0</x:v>
      </x:c>
      <x:c r="I19" s="267" t="n">
        <x:f>FASE1!V$282</x:f>
        <x:v>0</x:v>
      </x:c>
      <x:c r="J19" s="267" t="n">
        <x:f>FASE1!V$327</x:f>
        <x:v>0</x:v>
      </x:c>
      <x:c r="K19" s="267" t="n">
        <x:f>FASE1!V$369</x:f>
        <x:v>0</x:v>
      </x:c>
      <x:c r="L19" s="267">
        <x:f t="shared" si="0"/>
        <x:v>8.1818181818181799</x:v>
      </x:c>
    </x:row>
    <x:row r="20">
      <x:c r="A20" t="s">
        <x:v>105</x:v>
      </x:c>
      <x:c r="B20" t="s">
        <x:v>38</x:v>
      </x:c>
      <x:c r="C20" s="267" t="n">
        <x:f>FASE1!W$13</x:f>
        <x:v>0</x:v>
      </x:c>
      <x:c r="D20" s="267" t="n">
        <x:f>FASE1!W$57</x:f>
        <x:v>0</x:v>
      </x:c>
      <x:c r="E20" s="267" t="n">
        <x:f>FASE1!W$102</x:f>
        <x:v>0</x:v>
      </x:c>
      <x:c r="F20" s="267" t="n">
        <x:f>FASE1!W$147</x:f>
        <x:v>0</x:v>
      </x:c>
      <x:c r="G20" s="267" t="n">
        <x:f>FASE1!W$192</x:f>
        <x:v>0</x:v>
      </x:c>
      <x:c r="H20" s="267" t="n">
        <x:f>FASE1!W$237</x:f>
        <x:v>0</x:v>
      </x:c>
      <x:c r="I20" s="267" t="n">
        <x:f>FASE1!W$282</x:f>
        <x:v>0</x:v>
      </x:c>
      <x:c r="J20" s="267" t="n">
        <x:f>FASE1!W$327</x:f>
        <x:v>0</x:v>
      </x:c>
      <x:c r="K20" s="267" t="n">
        <x:f>FASE1!W$369</x:f>
        <x:v>0</x:v>
      </x:c>
      <x:c r="L20" s="267">
        <x:f t="shared" si="0"/>
        <x:v>5.2995066948555323</x:v>
      </x:c>
    </x:row>
    <x:row r="21">
      <x:c r="A21" t="s">
        <x:v>105</x:v>
      </x:c>
      <x:c r="B21" t="s">
        <x:v>39</x:v>
      </x:c>
      <x:c r="C21" s="267" t="n">
        <x:f>FASE1!X$13</x:f>
        <x:v>0</x:v>
      </x:c>
      <x:c r="D21" s="267" t="n">
        <x:f>FASE1!X$57</x:f>
        <x:v>0</x:v>
      </x:c>
      <x:c r="E21" s="267" t="n">
        <x:f>FASE1!X$102</x:f>
        <x:v>0</x:v>
      </x:c>
      <x:c r="F21" s="267" t="n">
        <x:f>FASE1!X$147</x:f>
        <x:v>0</x:v>
      </x:c>
      <x:c r="G21" s="267" t="n">
        <x:f>FASE1!X$192</x:f>
        <x:v>0</x:v>
      </x:c>
      <x:c r="H21" s="267" t="n">
        <x:f>FASE1!X$237</x:f>
        <x:v>0</x:v>
      </x:c>
      <x:c r="I21" s="267" t="n">
        <x:f>FASE1!X$282</x:f>
        <x:v>0</x:v>
      </x:c>
      <x:c r="J21" s="267" t="n">
        <x:f>FASE1!X$327</x:f>
        <x:v>0</x:v>
      </x:c>
      <x:c r="K21" s="267" t="n">
        <x:f>FASE1!X$369</x:f>
        <x:v>0</x:v>
      </x:c>
      <x:c r="L21" s="267">
        <x:f t="shared" si="0"/>
        <x:v>1.9191919191919193</x:v>
      </x:c>
    </x:row>
    <x:row r="22">
      <x:c r="A22" t="s">
        <x:v>106</x:v>
      </x:c>
      <x:c r="B22" t="s">
        <x:v>42</x:v>
      </x:c>
      <x:c r="C22" s="267" t="n">
        <x:f>FASE2!E$13</x:f>
        <x:v>0</x:v>
      </x:c>
      <x:c r="D22" s="267" t="n">
        <x:f>FASE2!E$57</x:f>
        <x:v>0</x:v>
      </x:c>
      <x:c r="E22" s="267" t="n">
        <x:f>FASE2!E$102</x:f>
        <x:v>0</x:v>
      </x:c>
      <x:c r="F22" s="267" t="n">
        <x:f>FASE2!E$147</x:f>
        <x:v>0</x:v>
      </x:c>
      <x:c r="G22" s="267" t="n">
        <x:f>FASE2!E$192</x:f>
        <x:v>0</x:v>
      </x:c>
      <x:c r="H22" s="267" t="n">
        <x:f>FASE2!E$237</x:f>
        <x:v>0</x:v>
      </x:c>
      <x:c r="I22" s="267" t="n">
        <x:f>FASE2!E$282</x:f>
        <x:v>0</x:v>
      </x:c>
      <x:c r="J22" s="267" t="n">
        <x:f>FASE2!E$327</x:f>
        <x:v>0</x:v>
      </x:c>
      <x:c r="K22" s="267" t="n">
        <x:f>FASE2!E$369</x:f>
        <x:v>0</x:v>
      </x:c>
      <x:c r="L22" s="267">
        <x:f t="shared" si="0"/>
        <x:v>5.4797979797979797E-2</x:v>
      </x:c>
    </x:row>
    <x:row r="23">
      <x:c r="A23" t="s">
        <x:v>106</x:v>
      </x:c>
      <x:c r="B23" t="s">
        <x:v>43</x:v>
      </x:c>
      <x:c r="C23" s="267" t="n">
        <x:f>FASE2!F$13</x:f>
        <x:v>0</x:v>
      </x:c>
      <x:c r="D23" s="267" t="n">
        <x:f>FASE2!F$57</x:f>
        <x:v>0</x:v>
      </x:c>
      <x:c r="E23" s="267" t="n">
        <x:f>FASE2!F$102</x:f>
        <x:v>0</x:v>
      </x:c>
      <x:c r="F23" s="267" t="n">
        <x:f>FASE2!F$147</x:f>
        <x:v>0</x:v>
      </x:c>
      <x:c r="G23" s="267" t="n">
        <x:f>FASE2!F$192</x:f>
        <x:v>0</x:v>
      </x:c>
      <x:c r="H23" s="267" t="n">
        <x:f>FASE2!F$237</x:f>
        <x:v>0</x:v>
      </x:c>
      <x:c r="I23" s="267" t="n">
        <x:f>FASE2!F$282</x:f>
        <x:v>0</x:v>
      </x:c>
      <x:c r="J23" s="267" t="n">
        <x:f>FASE2!F$327</x:f>
        <x:v>0</x:v>
      </x:c>
      <x:c r="K23" s="267" t="n">
        <x:f>FASE2!F$369</x:f>
        <x:v>0</x:v>
      </x:c>
      <x:c r="L23" s="267">
        <x:f t="shared" si="0"/>
        <x:v>2.0202020202020204E-2</x:v>
      </x:c>
    </x:row>
    <x:row r="24">
      <x:c r="A24" t="s">
        <x:v>106</x:v>
      </x:c>
      <x:c r="B24" t="s">
        <x:v>44</x:v>
      </x:c>
      <x:c r="C24" s="267" t="n">
        <x:f>FASE2!G$13</x:f>
        <x:v>0</x:v>
      </x:c>
      <x:c r="D24" s="267" t="n">
        <x:f>FASE2!G$57</x:f>
        <x:v>0</x:v>
      </x:c>
      <x:c r="E24" s="267" t="n">
        <x:f>FASE2!G$102</x:f>
        <x:v>0</x:v>
      </x:c>
      <x:c r="F24" s="267" t="n">
        <x:f>FASE2!G$147</x:f>
        <x:v>0</x:v>
      </x:c>
      <x:c r="G24" s="267" t="n">
        <x:f>FASE2!G$192</x:f>
        <x:v>0</x:v>
      </x:c>
      <x:c r="H24" s="267" t="n">
        <x:f>FASE2!G$237</x:f>
        <x:v>0</x:v>
      </x:c>
      <x:c r="I24" s="267" t="n">
        <x:f>FASE2!G$282</x:f>
        <x:v>0</x:v>
      </x:c>
      <x:c r="J24" s="267" t="n">
        <x:f>FASE2!G$327</x:f>
        <x:v>0</x:v>
      </x:c>
      <x:c r="K24" s="267" t="n">
        <x:f>FASE2!G$369</x:f>
        <x:v>0</x:v>
      </x:c>
      <x:c r="L24" s="267">
        <x:f t="shared" si="0"/>
        <x:v>2.0202020202020204E-2</x:v>
      </x:c>
    </x:row>
    <x:row r="25">
      <x:c r="A25" t="s">
        <x:v>106</x:v>
      </x:c>
      <x:c r="B25" t="s">
        <x:v>45</x:v>
      </x:c>
      <x:c r="C25" s="267" t="n">
        <x:f>FASE2!H$13</x:f>
        <x:v>0</x:v>
      </x:c>
      <x:c r="D25" s="267" t="n">
        <x:f>FASE2!H$57</x:f>
        <x:v>0</x:v>
      </x:c>
      <x:c r="E25" s="267" t="n">
        <x:f>FASE2!H$102</x:f>
        <x:v>0</x:v>
      </x:c>
      <x:c r="F25" s="267" t="n">
        <x:f>FASE2!H$147</x:f>
        <x:v>0</x:v>
      </x:c>
      <x:c r="G25" s="267" t="n">
        <x:f>FASE2!H$192</x:f>
        <x:v>0</x:v>
      </x:c>
      <x:c r="H25" s="267" t="n">
        <x:f>FASE2!H$237</x:f>
        <x:v>0</x:v>
      </x:c>
      <x:c r="I25" s="267" t="n">
        <x:f>FASE2!H$282</x:f>
        <x:v>0</x:v>
      </x:c>
      <x:c r="J25" s="267" t="n">
        <x:f>FASE2!H$327</x:f>
        <x:v>0</x:v>
      </x:c>
      <x:c r="K25" s="267" t="n">
        <x:f>FASE2!H$369</x:f>
        <x:v>0</x:v>
      </x:c>
      <x:c r="L25" s="267">
        <x:f t="shared" si="0"/>
        <x:v>8.5482734319943618E-2</x:v>
      </x:c>
    </x:row>
    <x:row r="26">
      <x:c r="A26" t="s">
        <x:v>106</x:v>
      </x:c>
      <x:c r="B26" t="s">
        <x:v>46</x:v>
      </x:c>
      <x:c r="C26" s="267" t="n">
        <x:f>FASE2!I$13</x:f>
        <x:v>0</x:v>
      </x:c>
      <x:c r="D26" s="267" t="n">
        <x:f>FASE2!I$57</x:f>
        <x:v>0</x:v>
      </x:c>
      <x:c r="E26" s="267" t="n">
        <x:f>FASE2!I$102</x:f>
        <x:v>0</x:v>
      </x:c>
      <x:c r="F26" s="267" t="n">
        <x:f>FASE2!I$147</x:f>
        <x:v>0</x:v>
      </x:c>
      <x:c r="G26" s="267" t="n">
        <x:f>FASE2!I$192</x:f>
        <x:v>0</x:v>
      </x:c>
      <x:c r="H26" s="267" t="n">
        <x:f>FASE2!I$237</x:f>
        <x:v>0</x:v>
      </x:c>
      <x:c r="I26" s="267" t="n">
        <x:f>FASE2!I$282</x:f>
        <x:v>0</x:v>
      </x:c>
      <x:c r="J26" s="267" t="n">
        <x:f>FASE2!I$327</x:f>
        <x:v>0</x:v>
      </x:c>
      <x:c r="K26" s="267" t="n">
        <x:f>FASE2!I$369</x:f>
        <x:v>0</x:v>
      </x:c>
      <x:c r="L26" s="267">
        <x:f t="shared" si="0"/>
        <x:v>7.6767676767676762E-2</x:v>
      </x:c>
    </x:row>
    <x:row r="27">
      <x:c r="A27" t="s">
        <x:v>106</x:v>
      </x:c>
      <x:c r="B27" t="s">
        <x:v>47</x:v>
      </x:c>
      <x:c r="C27" s="267" t="n">
        <x:f>FASE2!J$13</x:f>
        <x:v>0</x:v>
      </x:c>
      <x:c r="D27" s="267" t="n">
        <x:f>FASE2!J$57</x:f>
        <x:v>0</x:v>
      </x:c>
      <x:c r="E27" s="267" t="n">
        <x:f>FASE2!J$102</x:f>
        <x:v>0</x:v>
      </x:c>
      <x:c r="F27" s="267" t="n">
        <x:f>FASE2!J$147</x:f>
        <x:v>0</x:v>
      </x:c>
      <x:c r="G27" s="267" t="n">
        <x:f>FASE2!J$192</x:f>
        <x:v>0</x:v>
      </x:c>
      <x:c r="H27" s="267" t="n">
        <x:f>FASE2!J$237</x:f>
        <x:v>0</x:v>
      </x:c>
      <x:c r="I27" s="267" t="n">
        <x:f>FASE2!J$282</x:f>
        <x:v>0</x:v>
      </x:c>
      <x:c r="J27" s="267" t="n">
        <x:f>FASE2!J$327</x:f>
        <x:v>0</x:v>
      </x:c>
      <x:c r="K27" s="267" t="n">
        <x:f>FASE2!J$369</x:f>
        <x:v>0</x:v>
      </x:c>
      <x:c r="L27" s="267">
        <x:f t="shared" si="0"/>
        <x:v>0.11639652337326759</x:v>
      </x:c>
    </x:row>
    <x:row r="28">
      <x:c r="A28" t="s">
        <x:v>106</x:v>
      </x:c>
      <x:c r="B28" t="s">
        <x:v>48</x:v>
      </x:c>
      <x:c r="C28" s="267" t="n">
        <x:f>FASE2!K$13</x:f>
        <x:v>0</x:v>
      </x:c>
      <x:c r="D28" s="267" t="n">
        <x:f>FASE2!K$57</x:f>
        <x:v>0</x:v>
      </x:c>
      <x:c r="E28" s="267" t="n">
        <x:f>FASE2!K$102</x:f>
        <x:v>0</x:v>
      </x:c>
      <x:c r="F28" s="267" t="n">
        <x:f>FASE2!K$147</x:f>
        <x:v>0</x:v>
      </x:c>
      <x:c r="G28" s="267" t="n">
        <x:f>FASE2!K$192</x:f>
        <x:v>0</x:v>
      </x:c>
      <x:c r="H28" s="267" t="n">
        <x:f>FASE2!K$237</x:f>
        <x:v>0</x:v>
      </x:c>
      <x:c r="I28" s="267" t="n">
        <x:f>FASE2!K$282</x:f>
        <x:v>0</x:v>
      </x:c>
      <x:c r="J28" s="267" t="n">
        <x:f>FASE2!K$327</x:f>
        <x:v>0</x:v>
      </x:c>
      <x:c r="K28" s="267" t="n">
        <x:f>FASE2!K$369</x:f>
        <x:v>0</x:v>
      </x:c>
      <x:c r="L28" s="267">
        <x:f t="shared" si="0"/>
        <x:v>2.0202020202020204E-2</x:v>
      </x:c>
    </x:row>
    <x:row r="29">
      <x:c r="A29" t="s">
        <x:v>106</x:v>
      </x:c>
      <x:c r="B29" t="s">
        <x:v>49</x:v>
      </x:c>
      <x:c r="C29" s="267" t="n">
        <x:f>FASE2!L$13</x:f>
        <x:v>0</x:v>
      </x:c>
      <x:c r="D29" s="267" t="n">
        <x:f>FASE2!L$57</x:f>
        <x:v>0</x:v>
      </x:c>
      <x:c r="E29" s="267" t="n">
        <x:f>FASE2!L$102</x:f>
        <x:v>0</x:v>
      </x:c>
      <x:c r="F29" s="267" t="n">
        <x:f>FASE2!L$147</x:f>
        <x:v>0</x:v>
      </x:c>
      <x:c r="G29" s="267" t="n">
        <x:f>FASE2!L$192</x:f>
        <x:v>0</x:v>
      </x:c>
      <x:c r="H29" s="267" t="n">
        <x:f>FASE2!L$237</x:f>
        <x:v>0</x:v>
      </x:c>
      <x:c r="I29" s="267" t="n">
        <x:f>FASE2!L$282</x:f>
        <x:v>0</x:v>
      </x:c>
      <x:c r="J29" s="267" t="n">
        <x:f>FASE2!L$327</x:f>
        <x:v>0</x:v>
      </x:c>
      <x:c r="K29" s="267" t="n">
        <x:f>FASE2!L$369</x:f>
        <x:v>0</x:v>
      </x:c>
      <x:c r="L29" s="267">
        <x:f t="shared" si="0"/>
        <x:v>2.0202020202020204E-2</x:v>
      </x:c>
    </x:row>
    <x:row r="30">
      <x:c r="A30" t="s">
        <x:v>106</x:v>
      </x:c>
      <x:c r="B30" t="s">
        <x:v>50</x:v>
      </x:c>
      <x:c r="C30" s="267" t="n">
        <x:f>FASE2!M$13</x:f>
        <x:v>0</x:v>
      </x:c>
      <x:c r="D30" s="267" t="n">
        <x:f>FASE2!M$57</x:f>
        <x:v>0</x:v>
      </x:c>
      <x:c r="E30" s="267" t="n">
        <x:f>FASE2!M$102</x:f>
        <x:v>0</x:v>
      </x:c>
      <x:c r="F30" s="267" t="n">
        <x:f>FASE2!M$147</x:f>
        <x:v>0</x:v>
      </x:c>
      <x:c r="G30" s="267" t="n">
        <x:f>FASE2!M$192</x:f>
        <x:v>0</x:v>
      </x:c>
      <x:c r="H30" s="267" t="n">
        <x:f>FASE2!M$237</x:f>
        <x:v>0</x:v>
      </x:c>
      <x:c r="I30" s="267" t="n">
        <x:f>FASE2!M$282</x:f>
        <x:v>0</x:v>
      </x:c>
      <x:c r="J30" s="267" t="n">
        <x:f>FASE2!M$327</x:f>
        <x:v>0</x:v>
      </x:c>
      <x:c r="K30" s="267" t="n">
        <x:f>FASE2!M$369</x:f>
        <x:v>0</x:v>
      </x:c>
      <x:c r="L30" s="267">
        <x:f t="shared" si="0"/>
        <x:v>2.0202020202020204E-2</x:v>
      </x:c>
    </x:row>
    <x:row r="31">
      <x:c r="A31" t="s">
        <x:v>106</x:v>
      </x:c>
      <x:c r="B31" t="s">
        <x:v>51</x:v>
      </x:c>
      <x:c r="C31" s="267" t="n">
        <x:f>FASE2!N$13</x:f>
        <x:v>0</x:v>
      </x:c>
      <x:c r="D31" s="267" t="n">
        <x:f>FASE2!N$57</x:f>
        <x:v>0</x:v>
      </x:c>
      <x:c r="E31" s="267" t="n">
        <x:f>FASE2!N$102</x:f>
        <x:v>0</x:v>
      </x:c>
      <x:c r="F31" s="267" t="n">
        <x:f>FASE2!N$147</x:f>
        <x:v>0</x:v>
      </x:c>
      <x:c r="G31" s="267" t="n">
        <x:f>FASE2!N$192</x:f>
        <x:v>0</x:v>
      </x:c>
      <x:c r="H31" s="267" t="n">
        <x:f>FASE2!N$237</x:f>
        <x:v>0</x:v>
      </x:c>
      <x:c r="I31" s="267" t="n">
        <x:f>FASE2!N$282</x:f>
        <x:v>0</x:v>
      </x:c>
      <x:c r="J31" s="267" t="n">
        <x:f>FASE2!N$327</x:f>
        <x:v>0</x:v>
      </x:c>
      <x:c r="K31" s="267" t="n">
        <x:f>FASE2!N$369</x:f>
        <x:v>0</x:v>
      </x:c>
      <x:c r="L31" s="267">
        <x:f t="shared" si="0"/>
        <x:v>3.1612638007986839E-2</x:v>
      </x:c>
    </x:row>
    <x:row r="32">
      <x:c r="A32" t="s">
        <x:v>106</x:v>
      </x:c>
      <x:c r="B32" t="s">
        <x:v>52</x:v>
      </x:c>
      <x:c r="C32" s="267" t="n">
        <x:f>FASE2!O$13</x:f>
        <x:v>0</x:v>
      </x:c>
      <x:c r="D32" s="267" t="n">
        <x:f>FASE2!O$57</x:f>
        <x:v>0</x:v>
      </x:c>
      <x:c r="E32" s="267" t="n">
        <x:f>FASE2!O$102</x:f>
        <x:v>0</x:v>
      </x:c>
      <x:c r="F32" s="267" t="n">
        <x:f>FASE2!O$147</x:f>
        <x:v>0</x:v>
      </x:c>
      <x:c r="G32" s="267" t="n">
        <x:f>FASE2!O$192</x:f>
        <x:v>0</x:v>
      </x:c>
      <x:c r="H32" s="267" t="n">
        <x:f>FASE2!O$237</x:f>
        <x:v>0</x:v>
      </x:c>
      <x:c r="I32" s="267" t="n">
        <x:f>FASE2!O$282</x:f>
        <x:v>0</x:v>
      </x:c>
      <x:c r="J32" s="267" t="n">
        <x:f>FASE2!O$327</x:f>
        <x:v>0</x:v>
      </x:c>
      <x:c r="K32" s="267" t="n">
        <x:f>FASE2!O$369</x:f>
        <x:v>0</x:v>
      </x:c>
      <x:c r="L32" s="267">
        <x:f t="shared" si="0"/>
        <x:v>1.0101010101010102E-2</x:v>
      </x:c>
    </x:row>
    <x:row r="33">
      <x:c r="A33" t="s">
        <x:v>106</x:v>
      </x:c>
      <x:c r="B33" t="s">
        <x:v>53</x:v>
      </x:c>
      <x:c r="C33" s="267" t="n">
        <x:f>FASE2!P$13</x:f>
        <x:v>0</x:v>
      </x:c>
      <x:c r="D33" s="267" t="n">
        <x:f>FASE2!P$57</x:f>
        <x:v>0</x:v>
      </x:c>
      <x:c r="E33" s="267" t="n">
        <x:f>FASE2!P$102</x:f>
        <x:v>0</x:v>
      </x:c>
      <x:c r="F33" s="267" t="n">
        <x:f>FASE2!P$147</x:f>
        <x:v>0</x:v>
      </x:c>
      <x:c r="G33" s="267" t="n">
        <x:f>FASE2!P$192</x:f>
        <x:v>0</x:v>
      </x:c>
      <x:c r="H33" s="267" t="n">
        <x:f>FASE2!P$237</x:f>
        <x:v>0</x:v>
      </x:c>
      <x:c r="I33" s="267" t="n">
        <x:f>FASE2!P$282</x:f>
        <x:v>0</x:v>
      </x:c>
      <x:c r="J33" s="267" t="n">
        <x:f>FASE2!P$327</x:f>
        <x:v>0</x:v>
      </x:c>
      <x:c r="K33" s="267" t="n">
        <x:f>FASE2!P$369</x:f>
        <x:v>0</x:v>
      </x:c>
      <x:c r="L33" s="267">
        <x:f t="shared" si="0"/>
        <x:v>1.0101010101010102E-2</x:v>
      </x:c>
    </x:row>
    <x:row r="34">
      <x:c r="A34" t="s">
        <x:v>106</x:v>
      </x:c>
      <x:c r="B34" t="s">
        <x:v>54</x:v>
      </x:c>
      <x:c r="C34" s="267" t="n">
        <x:f>FASE2!Q$13</x:f>
        <x:v>0</x:v>
      </x:c>
      <x:c r="D34" s="267" t="n">
        <x:f>FASE2!Q$57</x:f>
        <x:v>0</x:v>
      </x:c>
      <x:c r="E34" s="267" t="n">
        <x:f>FASE2!Q$102</x:f>
        <x:v>0</x:v>
      </x:c>
      <x:c r="F34" s="267" t="n">
        <x:f>FASE2!Q$147</x:f>
        <x:v>0</x:v>
      </x:c>
      <x:c r="G34" s="267" t="n">
        <x:f>FASE2!Q$192</x:f>
        <x:v>0</x:v>
      </x:c>
      <x:c r="H34" s="267" t="n">
        <x:f>FASE2!Q$237</x:f>
        <x:v>0</x:v>
      </x:c>
      <x:c r="I34" s="267" t="n">
        <x:f>FASE2!Q$282</x:f>
        <x:v>0</x:v>
      </x:c>
      <x:c r="J34" s="267" t="n">
        <x:f>FASE2!Q$327</x:f>
        <x:v>0</x:v>
      </x:c>
      <x:c r="K34" s="267" t="n">
        <x:f>FASE2!Q$369</x:f>
        <x:v>0</x:v>
      </x:c>
      <x:c r="L34" s="267">
        <x:f t="shared" si="0"/>
        <x:v>2.2997416020671835E-2</x:v>
      </x:c>
    </x:row>
    <x:row r="35">
      <x:c r="A35" t="s">
        <x:v>106</x:v>
      </x:c>
      <x:c r="B35" t="s">
        <x:v>55</x:v>
      </x:c>
      <x:c r="C35" s="267" t="n">
        <x:f>FASE2!R$13</x:f>
        <x:v>0</x:v>
      </x:c>
      <x:c r="D35" s="267" t="n">
        <x:f>FASE2!R$57</x:f>
        <x:v>0</x:v>
      </x:c>
      <x:c r="E35" s="267" t="n">
        <x:f>FASE2!R$102</x:f>
        <x:v>0</x:v>
      </x:c>
      <x:c r="F35" s="267" t="n">
        <x:f>FASE2!R$147</x:f>
        <x:v>0</x:v>
      </x:c>
      <x:c r="G35" s="267" t="n">
        <x:f>FASE2!R$192</x:f>
        <x:v>0</x:v>
      </x:c>
      <x:c r="H35" s="267" t="n">
        <x:f>FASE2!R$237</x:f>
        <x:v>0</x:v>
      </x:c>
      <x:c r="I35" s="267" t="n">
        <x:f>FASE2!R$282</x:f>
        <x:v>0</x:v>
      </x:c>
      <x:c r="J35" s="267" t="n">
        <x:f>FASE2!R$327</x:f>
        <x:v>0</x:v>
      </x:c>
      <x:c r="K35" s="267" t="n">
        <x:f>FASE2!R$369</x:f>
        <x:v>0</x:v>
      </x:c>
      <x:c r="L35" s="267">
        <x:f t="shared" si="0"/>
        <x:v>1.0101010101010102E-2</x:v>
      </x:c>
    </x:row>
    <x:row r="36">
      <x:c r="A36" t="s">
        <x:v>106</x:v>
      </x:c>
      <x:c r="B36" t="s">
        <x:v>56</x:v>
      </x:c>
      <x:c r="C36" s="267" t="n">
        <x:f>FASE2!S$13</x:f>
        <x:v>0</x:v>
      </x:c>
      <x:c r="D36" s="267" t="n">
        <x:f>FASE2!S$57</x:f>
        <x:v>0</x:v>
      </x:c>
      <x:c r="E36" s="267" t="n">
        <x:f>FASE2!S$102</x:f>
        <x:v>0</x:v>
      </x:c>
      <x:c r="F36" s="267" t="n">
        <x:f>FASE2!S$147</x:f>
        <x:v>0</x:v>
      </x:c>
      <x:c r="G36" s="267" t="n">
        <x:f>FASE2!S$192</x:f>
        <x:v>0</x:v>
      </x:c>
      <x:c r="H36" s="267" t="n">
        <x:f>FASE2!S$237</x:f>
        <x:v>0</x:v>
      </x:c>
      <x:c r="I36" s="267" t="n">
        <x:f>FASE2!S$282</x:f>
        <x:v>0</x:v>
      </x:c>
      <x:c r="J36" s="267" t="n">
        <x:f>FASE2!S$327</x:f>
        <x:v>0</x:v>
      </x:c>
      <x:c r="K36" s="267" t="n">
        <x:f>FASE2!S$369</x:f>
        <x:v>0</x:v>
      </x:c>
      <x:c r="L36" s="267">
        <x:f t="shared" si="0"/>
        <x:v>7.6767676767676762E-2</x:v>
      </x:c>
    </x:row>
    <x:row r="37">
      <x:c r="A37" t="s">
        <x:v>107</x:v>
      </x:c>
      <x:c r="B37" t="s">
        <x:v>58</x:v>
      </x:c>
      <x:c r="C37" s="267" t="n">
        <x:f>FASE3!E$13</x:f>
        <x:v>0</x:v>
      </x:c>
      <x:c r="D37" s="267" t="n">
        <x:f>FASE3!E$57</x:f>
        <x:v>0</x:v>
      </x:c>
      <x:c r="E37" s="267" t="n">
        <x:f>FASE3!E$102</x:f>
        <x:v>0</x:v>
      </x:c>
      <x:c r="F37" s="267" t="n">
        <x:f>FASE3!E$147</x:f>
        <x:v>0</x:v>
      </x:c>
      <x:c r="G37" s="267" t="n">
        <x:f>FASE3!E$192</x:f>
        <x:v>0</x:v>
      </x:c>
      <x:c r="H37" s="267" t="n">
        <x:f>FASE3!E$237</x:f>
        <x:v>0</x:v>
      </x:c>
      <x:c r="I37" s="267" t="n">
        <x:f>FASE3!E$282</x:f>
        <x:v>0</x:v>
      </x:c>
      <x:c r="J37" s="267" t="n">
        <x:f>FASE3!E$327</x:f>
        <x:v>0</x:v>
      </x:c>
      <x:c r="K37" s="267" t="n">
        <x:f>FASE3!E$369</x:f>
        <x:v>0</x:v>
      </x:c>
      <x:c r="L37" s="267">
        <x:f t="shared" si="0"/>
        <x:v>0</x:v>
      </x:c>
    </x:row>
    <x:row r="38">
      <x:c r="A38" t="s">
        <x:v>107</x:v>
      </x:c>
      <x:c r="B38" t="s">
        <x:v>59</x:v>
      </x:c>
      <x:c r="C38" s="267" t="n">
        <x:f>FASE3!F$13</x:f>
        <x:v>0</x:v>
      </x:c>
      <x:c r="D38" s="267" t="n">
        <x:f>FASE3!F$57</x:f>
        <x:v>0</x:v>
      </x:c>
      <x:c r="E38" s="267" t="n">
        <x:f>FASE3!F$102</x:f>
        <x:v>0</x:v>
      </x:c>
      <x:c r="F38" s="267" t="n">
        <x:f>FASE3!F$147</x:f>
        <x:v>0</x:v>
      </x:c>
      <x:c r="G38" s="267" t="n">
        <x:f>FASE3!F$192</x:f>
        <x:v>0</x:v>
      </x:c>
      <x:c r="H38" s="267" t="n">
        <x:f>FASE3!F$237</x:f>
        <x:v>0</x:v>
      </x:c>
      <x:c r="I38" s="267" t="n">
        <x:f>FASE3!F$282</x:f>
        <x:v>0</x:v>
      </x:c>
      <x:c r="J38" s="267" t="n">
        <x:f>FASE3!F$327</x:f>
        <x:v>0</x:v>
      </x:c>
      <x:c r="K38" s="267" t="n">
        <x:f>FASE3!F$369</x:f>
        <x:v>0</x:v>
      </x:c>
      <x:c r="L38" s="267">
        <x:f t="shared" si="0"/>
        <x:v>2.0202020202020204E-2</x:v>
      </x:c>
    </x:row>
    <x:row r="39">
      <x:c r="A39" t="s">
        <x:v>107</x:v>
      </x:c>
      <x:c r="B39" t="s">
        <x:v>60</x:v>
      </x:c>
      <x:c r="C39" s="267" t="n">
        <x:f>FASE3!G$13</x:f>
        <x:v>0</x:v>
      </x:c>
      <x:c r="D39" s="267" t="n">
        <x:f>FASE3!G$57</x:f>
        <x:v>0</x:v>
      </x:c>
      <x:c r="E39" s="267" t="n">
        <x:f>FASE3!G$102</x:f>
        <x:v>0</x:v>
      </x:c>
      <x:c r="F39" s="267" t="n">
        <x:f>FASE3!G$147</x:f>
        <x:v>0</x:v>
      </x:c>
      <x:c r="G39" s="267" t="n">
        <x:f>FASE3!G$192</x:f>
        <x:v>0</x:v>
      </x:c>
      <x:c r="H39" s="267" t="n">
        <x:f>FASE3!G$237</x:f>
        <x:v>0</x:v>
      </x:c>
      <x:c r="I39" s="267" t="n">
        <x:f>FASE3!G$282</x:f>
        <x:v>0</x:v>
      </x:c>
      <x:c r="J39" s="267" t="n">
        <x:f>FASE3!G$327</x:f>
        <x:v>0</x:v>
      </x:c>
      <x:c r="K39" s="267" t="n">
        <x:f>FASE3!G$369</x:f>
        <x:v>0</x:v>
      </x:c>
      <x:c r="L39" s="267">
        <x:f t="shared" si="0"/>
        <x:v>9.0909090909090912E-2</x:v>
      </x:c>
    </x:row>
    <x:row r="40">
      <x:c r="A40" t="s">
        <x:v>107</x:v>
      </x:c>
      <x:c r="B40" t="s">
        <x:v>61</x:v>
      </x:c>
      <x:c r="C40" s="267" t="n">
        <x:f>FASE3!H$13</x:f>
        <x:v>0</x:v>
      </x:c>
      <x:c r="D40" s="267" t="n">
        <x:f>FASE3!H$57</x:f>
        <x:v>0</x:v>
      </x:c>
      <x:c r="E40" s="267" t="n">
        <x:f>FASE3!H$102</x:f>
        <x:v>0</x:v>
      </x:c>
      <x:c r="F40" s="267" t="n">
        <x:f>FASE3!H$147</x:f>
        <x:v>0</x:v>
      </x:c>
      <x:c r="G40" s="267" t="n">
        <x:f>FASE3!H$192</x:f>
        <x:v>0</x:v>
      </x:c>
      <x:c r="H40" s="267" t="n">
        <x:f>FASE3!H$237</x:f>
        <x:v>0</x:v>
      </x:c>
      <x:c r="I40" s="267" t="n">
        <x:f>FASE3!H$282</x:f>
        <x:v>0</x:v>
      </x:c>
      <x:c r="J40" s="267" t="n">
        <x:f>FASE3!H$327</x:f>
        <x:v>0</x:v>
      </x:c>
      <x:c r="K40" s="267" t="n">
        <x:f>FASE3!H$369</x:f>
        <x:v>0</x:v>
      </x:c>
      <x:c r="L40" s="267">
        <x:f t="shared" si="0"/>
        <x:v>2.0202020202020204E-2</x:v>
      </x:c>
    </x:row>
    <x:row r="41">
      <x:c r="A41" t="s">
        <x:v>107</x:v>
      </x:c>
      <x:c r="B41" t="s">
        <x:v>62</x:v>
      </x:c>
      <x:c r="C41" s="267" t="n">
        <x:f>FASE3!I$13</x:f>
        <x:v>0</x:v>
      </x:c>
      <x:c r="D41" s="267" t="n">
        <x:f>FASE3!I$57</x:f>
        <x:v>0</x:v>
      </x:c>
      <x:c r="E41" s="267" t="n">
        <x:f>FASE3!I$102</x:f>
        <x:v>0</x:v>
      </x:c>
      <x:c r="F41" s="267" t="n">
        <x:f>FASE3!I$147</x:f>
        <x:v>0</x:v>
      </x:c>
      <x:c r="G41" s="267" t="n">
        <x:f>FASE3!I$192</x:f>
        <x:v>0</x:v>
      </x:c>
      <x:c r="H41" s="267" t="n">
        <x:f>FASE3!I$237</x:f>
        <x:v>0</x:v>
      </x:c>
      <x:c r="I41" s="267" t="n">
        <x:f>FASE3!I$282</x:f>
        <x:v>0</x:v>
      </x:c>
      <x:c r="J41" s="267" t="n">
        <x:f>FASE3!I$327</x:f>
        <x:v>0</x:v>
      </x:c>
      <x:c r="K41" s="267" t="n">
        <x:f>FASE3!I$369</x:f>
        <x:v>0</x:v>
      </x:c>
      <x:c r="L41" s="267">
        <x:f t="shared" si="0"/>
        <x:v>2.0202020202020204E-2</x:v>
      </x:c>
    </x:row>
    <x:row r="42">
      <x:c r="A42" t="s">
        <x:v>107</x:v>
      </x:c>
      <x:c r="B42" t="s">
        <x:v>63</x:v>
      </x:c>
      <x:c r="C42" s="267" t="n">
        <x:f>FASE3!J$13</x:f>
        <x:v>0</x:v>
      </x:c>
      <x:c r="D42" s="267" t="n">
        <x:f>FASE3!J$57</x:f>
        <x:v>0</x:v>
      </x:c>
      <x:c r="E42" s="267" t="n">
        <x:f>FASE3!J$102</x:f>
        <x:v>0</x:v>
      </x:c>
      <x:c r="F42" s="267" t="n">
        <x:f>FASE3!J$147</x:f>
        <x:v>0</x:v>
      </x:c>
      <x:c r="G42" s="267" t="n">
        <x:f>FASE3!J$192</x:f>
        <x:v>0</x:v>
      </x:c>
      <x:c r="H42" s="267" t="n">
        <x:f>FASE3!J$237</x:f>
        <x:v>0</x:v>
      </x:c>
      <x:c r="I42" s="267" t="n">
        <x:f>FASE3!J$282</x:f>
        <x:v>0</x:v>
      </x:c>
      <x:c r="J42" s="267" t="n">
        <x:f>FASE3!J$327</x:f>
        <x:v>0</x:v>
      </x:c>
      <x:c r="K42" s="267" t="n">
        <x:f>FASE3!J$369</x:f>
        <x:v>0</x:v>
      </x:c>
      <x:c r="L42" s="267">
        <x:f t="shared" si="0"/>
        <x:v>0</x:v>
      </x:c>
    </x:row>
    <x:row r="43">
      <x:c r="A43" t="s">
        <x:v>107</x:v>
      </x:c>
      <x:c r="B43" t="s">
        <x:v>64</x:v>
      </x:c>
      <x:c r="C43" s="267" t="n">
        <x:f>FASE3!K$13</x:f>
        <x:v>0</x:v>
      </x:c>
      <x:c r="D43" s="267" t="n">
        <x:f>FASE3!K$57</x:f>
        <x:v>0</x:v>
      </x:c>
      <x:c r="E43" s="267" t="n">
        <x:f>FASE3!K$102</x:f>
        <x:v>0</x:v>
      </x:c>
      <x:c r="F43" s="267" t="n">
        <x:f>FASE3!K$147</x:f>
        <x:v>0</x:v>
      </x:c>
      <x:c r="G43" s="267" t="n">
        <x:f>FASE3!K$192</x:f>
        <x:v>0</x:v>
      </x:c>
      <x:c r="H43" s="267" t="n">
        <x:f>FASE3!K$237</x:f>
        <x:v>0</x:v>
      </x:c>
      <x:c r="I43" s="267" t="n">
        <x:f>FASE3!K$282</x:f>
        <x:v>0</x:v>
      </x:c>
      <x:c r="J43" s="267" t="n">
        <x:f>FASE3!K$327</x:f>
        <x:v>0</x:v>
      </x:c>
      <x:c r="K43" s="267" t="n">
        <x:f>FASE3!K$369</x:f>
        <x:v>0</x:v>
      </x:c>
      <x:c r="L43" s="267">
        <x:f t="shared" si="0"/>
        <x:v>2.0202020202020204E-2</x:v>
      </x:c>
    </x:row>
    <x:row r="44">
      <x:c r="A44" t="s">
        <x:v>107</x:v>
      </x:c>
      <x:c r="B44" t="s">
        <x:v>65</x:v>
      </x:c>
      <x:c r="C44" s="267" t="n">
        <x:f>FASE3!L$13</x:f>
        <x:v>0</x:v>
      </x:c>
      <x:c r="D44" s="267" t="n">
        <x:f>FASE3!L$57</x:f>
        <x:v>0</x:v>
      </x:c>
      <x:c r="E44" s="267" t="n">
        <x:f>FASE3!L$102</x:f>
        <x:v>0</x:v>
      </x:c>
      <x:c r="F44" s="267" t="n">
        <x:f>FASE3!L$147</x:f>
        <x:v>0</x:v>
      </x:c>
      <x:c r="G44" s="267" t="n">
        <x:f>FASE3!L$192</x:f>
        <x:v>0</x:v>
      </x:c>
      <x:c r="H44" s="267" t="n">
        <x:f>FASE3!L$237</x:f>
        <x:v>0</x:v>
      </x:c>
      <x:c r="I44" s="267" t="n">
        <x:f>FASE3!L$282</x:f>
        <x:v>0</x:v>
      </x:c>
      <x:c r="J44" s="267" t="n">
        <x:f>FASE3!L$327</x:f>
        <x:v>0</x:v>
      </x:c>
      <x:c r="K44" s="267" t="n">
        <x:f>FASE3!L$369</x:f>
        <x:v>0</x:v>
      </x:c>
      <x:c r="L44" s="267">
        <x:f t="shared" si="0"/>
        <x:v>2.0202020202020204E-2</x:v>
      </x:c>
    </x:row>
    <x:row r="45">
      <x:c r="A45" t="s">
        <x:v>107</x:v>
      </x:c>
      <x:c r="B45" t="s">
        <x:v>66</x:v>
      </x:c>
      <x:c r="C45" s="267" t="n">
        <x:f>FASE3!M$13</x:f>
        <x:v>0</x:v>
      </x:c>
      <x:c r="D45" s="267" t="n">
        <x:f>FASE3!M$57</x:f>
        <x:v>0</x:v>
      </x:c>
      <x:c r="E45" s="267" t="n">
        <x:f>FASE3!M$102</x:f>
        <x:v>0</x:v>
      </x:c>
      <x:c r="F45" s="267" t="n">
        <x:f>FASE3!M$147</x:f>
        <x:v>0</x:v>
      </x:c>
      <x:c r="G45" s="267" t="n">
        <x:f>FASE3!M$192</x:f>
        <x:v>0</x:v>
      </x:c>
      <x:c r="H45" s="267" t="n">
        <x:f>FASE3!M$237</x:f>
        <x:v>0</x:v>
      </x:c>
      <x:c r="I45" s="267" t="n">
        <x:f>FASE3!M$282</x:f>
        <x:v>0</x:v>
      </x:c>
      <x:c r="J45" s="267" t="n">
        <x:f>FASE3!M$327</x:f>
        <x:v>0</x:v>
      </x:c>
      <x:c r="K45" s="267" t="n">
        <x:f>FASE3!M$369</x:f>
        <x:v>0</x:v>
      </x:c>
      <x:c r="L45" s="267">
        <x:f t="shared" si="0"/>
        <x:v>0</x:v>
      </x:c>
    </x:row>
    <x:row r="46">
      <x:c r="A46" t="s">
        <x:v>107</x:v>
      </x:c>
      <x:c r="B46" t="s">
        <x:v>67</x:v>
      </x:c>
      <x:c r="C46" s="267" t="n">
        <x:f>FASE3!N$13</x:f>
        <x:v>0</x:v>
      </x:c>
      <x:c r="D46" s="267" t="n">
        <x:f>FASE3!N$57</x:f>
        <x:v>0</x:v>
      </x:c>
      <x:c r="E46" s="267" t="n">
        <x:f>FASE3!N$102</x:f>
        <x:v>0</x:v>
      </x:c>
      <x:c r="F46" s="267" t="n">
        <x:f>FASE3!N$147</x:f>
        <x:v>0</x:v>
      </x:c>
      <x:c r="G46" s="267" t="n">
        <x:f>FASE3!N$192</x:f>
        <x:v>0</x:v>
      </x:c>
      <x:c r="H46" s="267" t="n">
        <x:f>FASE3!N$237</x:f>
        <x:v>0</x:v>
      </x:c>
      <x:c r="I46" s="267" t="n">
        <x:f>FASE3!N$282</x:f>
        <x:v>0</x:v>
      </x:c>
      <x:c r="J46" s="267" t="n">
        <x:f>FASE3!N$327</x:f>
        <x:v>0</x:v>
      </x:c>
      <x:c r="K46" s="267" t="n">
        <x:f>FASE3!N$369</x:f>
        <x:v>0</x:v>
      </x:c>
      <x:c r="L46" s="267">
        <x:f t="shared" si="0"/>
        <x:v>2.0202020202020204E-2</x:v>
      </x:c>
    </x:row>
    <x:row r="47">
      <x:c r="A47" t="s">
        <x:v>107</x:v>
      </x:c>
      <x:c r="B47" t="s">
        <x:v>68</x:v>
      </x:c>
      <x:c r="C47" s="267" t="n">
        <x:f>FASE3!O$13</x:f>
        <x:v>0</x:v>
      </x:c>
      <x:c r="D47" s="267" t="n">
        <x:f>FASE3!O$57</x:f>
        <x:v>0</x:v>
      </x:c>
      <x:c r="E47" s="267" t="n">
        <x:f>FASE3!O$102</x:f>
        <x:v>0</x:v>
      </x:c>
      <x:c r="F47" s="267" t="n">
        <x:f>FASE3!O$147</x:f>
        <x:v>0</x:v>
      </x:c>
      <x:c r="G47" s="267" t="n">
        <x:f>FASE3!O$192</x:f>
        <x:v>0</x:v>
      </x:c>
      <x:c r="H47" s="267" t="n">
        <x:f>FASE3!O$237</x:f>
        <x:v>0</x:v>
      </x:c>
      <x:c r="I47" s="267" t="n">
        <x:f>FASE3!O$282</x:f>
        <x:v>0</x:v>
      </x:c>
      <x:c r="J47" s="267" t="n">
        <x:f>FASE3!O$327</x:f>
        <x:v>0</x:v>
      </x:c>
      <x:c r="K47" s="267" t="n">
        <x:f>FASE3!O$369</x:f>
        <x:v>0</x:v>
      </x:c>
      <x:c r="L47" s="267">
        <x:f t="shared" si="0"/>
        <x:v>2.0202020202020204E-2</x:v>
      </x:c>
    </x:row>
    <x:row r="48">
      <x:c r="A48" t="s">
        <x:v>107</x:v>
      </x:c>
      <x:c r="B48" t="s">
        <x:v>69</x:v>
      </x:c>
      <x:c r="C48" s="267" t="n">
        <x:f>FASE3!P$13</x:f>
        <x:v>0</x:v>
      </x:c>
      <x:c r="D48" s="267" t="n">
        <x:f>FASE3!P$57</x:f>
        <x:v>0</x:v>
      </x:c>
      <x:c r="E48" s="267" t="n">
        <x:f>FASE3!P$102</x:f>
        <x:v>0</x:v>
      </x:c>
      <x:c r="F48" s="267" t="n">
        <x:f>FASE3!P$147</x:f>
        <x:v>0</x:v>
      </x:c>
      <x:c r="G48" s="267" t="n">
        <x:f>FASE3!P$192</x:f>
        <x:v>0</x:v>
      </x:c>
      <x:c r="H48" s="267" t="n">
        <x:f>FASE3!P$237</x:f>
        <x:v>0</x:v>
      </x:c>
      <x:c r="I48" s="267" t="n">
        <x:f>FASE3!P$282</x:f>
        <x:v>0</x:v>
      </x:c>
      <x:c r="J48" s="267" t="n">
        <x:f>FASE3!P$327</x:f>
        <x:v>0</x:v>
      </x:c>
      <x:c r="K48" s="267" t="n">
        <x:f>FASE3!P$369</x:f>
        <x:v>0</x:v>
      </x:c>
      <x:c r="L48" s="267">
        <x:f t="shared" si="0"/>
        <x:v>2.0202020202020204E-2</x:v>
      </x:c>
    </x:row>
    <x:row r="49">
      <x:c r="A49" t="s">
        <x:v>107</x:v>
      </x:c>
      <x:c r="B49" t="s">
        <x:v>70</x:v>
      </x:c>
      <x:c r="C49" s="267" t="n">
        <x:f>FASE3!Q$13</x:f>
        <x:v>0</x:v>
      </x:c>
      <x:c r="D49" s="267" t="n">
        <x:f>FASE3!Q$57</x:f>
        <x:v>0</x:v>
      </x:c>
      <x:c r="E49" s="267" t="n">
        <x:f>FASE3!Q$102</x:f>
        <x:v>0</x:v>
      </x:c>
      <x:c r="F49" s="267" t="n">
        <x:f>FASE3!Q$147</x:f>
        <x:v>0</x:v>
      </x:c>
      <x:c r="G49" s="267" t="n">
        <x:f>FASE3!Q$192</x:f>
        <x:v>0</x:v>
      </x:c>
      <x:c r="H49" s="267" t="n">
        <x:f>FASE3!Q$237</x:f>
        <x:v>0</x:v>
      </x:c>
      <x:c r="I49" s="267" t="n">
        <x:f>FASE3!Q$282</x:f>
        <x:v>0</x:v>
      </x:c>
      <x:c r="J49" s="267" t="n">
        <x:f>FASE3!Q$327</x:f>
        <x:v>0</x:v>
      </x:c>
      <x:c r="K49" s="267" t="n">
        <x:f>FASE3!Q$369</x:f>
        <x:v>0</x:v>
      </x:c>
      <x:c r="L49" s="267">
        <x:f t="shared" si="0"/>
        <x:v>2.0202020202020204E-2</x:v>
      </x:c>
    </x:row>
    <x:row r="50">
      <x:c r="A50" t="s">
        <x:v>107</x:v>
      </x:c>
      <x:c r="B50" t="s">
        <x:v>71</x:v>
      </x:c>
      <x:c r="C50" s="267" t="n">
        <x:f>FASE3!R$13</x:f>
        <x:v>0</x:v>
      </x:c>
      <x:c r="D50" s="267" t="n">
        <x:f>FASE3!R$57</x:f>
        <x:v>0</x:v>
      </x:c>
      <x:c r="E50" s="267" t="n">
        <x:f>FASE3!R$102</x:f>
        <x:v>0</x:v>
      </x:c>
      <x:c r="F50" s="267" t="n">
        <x:f>FASE3!R$147</x:f>
        <x:v>0</x:v>
      </x:c>
      <x:c r="G50" s="267" t="n">
        <x:f>FASE3!R$192</x:f>
        <x:v>0</x:v>
      </x:c>
      <x:c r="H50" s="267" t="n">
        <x:f>FASE3!R$237</x:f>
        <x:v>0</x:v>
      </x:c>
      <x:c r="I50" s="267" t="n">
        <x:f>FASE3!R$282</x:f>
        <x:v>0</x:v>
      </x:c>
      <x:c r="J50" s="267" t="n">
        <x:f>FASE3!R$327</x:f>
        <x:v>0</x:v>
      </x:c>
      <x:c r="K50" s="267" t="n">
        <x:f>FASE3!R$369</x:f>
        <x:v>0</x:v>
      </x:c>
      <x:c r="L50" s="267">
        <x:f t="shared" si="0"/>
        <x:v>2.0202020202020204E-2</x:v>
      </x:c>
    </x:row>
    <x:row r="51">
      <x:c r="A51" t="s">
        <x:v>107</x:v>
      </x:c>
      <x:c r="B51" t="s">
        <x:v>72</x:v>
      </x:c>
      <x:c r="C51" s="267" t="n">
        <x:f>FASE3!S$13</x:f>
        <x:v>0</x:v>
      </x:c>
      <x:c r="D51" s="267" t="n">
        <x:f>FASE3!S$57</x:f>
        <x:v>0</x:v>
      </x:c>
      <x:c r="E51" s="267" t="n">
        <x:f>FASE3!S$102</x:f>
        <x:v>0</x:v>
      </x:c>
      <x:c r="F51" s="267" t="n">
        <x:f>FASE3!S$147</x:f>
        <x:v>0</x:v>
      </x:c>
      <x:c r="G51" s="267" t="n">
        <x:f>FASE3!S$192</x:f>
        <x:v>0</x:v>
      </x:c>
      <x:c r="H51" s="267" t="n">
        <x:f>FASE3!S$237</x:f>
        <x:v>0</x:v>
      </x:c>
      <x:c r="I51" s="267" t="n">
        <x:f>FASE3!S$282</x:f>
        <x:v>0</x:v>
      </x:c>
      <x:c r="J51" s="267" t="n">
        <x:f>FASE3!S$327</x:f>
        <x:v>0</x:v>
      </x:c>
      <x:c r="K51" s="267" t="n">
        <x:f>FASE3!S$369</x:f>
        <x:v>0</x:v>
      </x:c>
      <x:c r="L51" s="267">
        <x:f t="shared" si="0"/>
        <x:v>2.0202020202020204E-2</x:v>
      </x:c>
    </x:row>
    <x:row r="52">
      <x:c r="A52" t="s">
        <x:v>107</x:v>
      </x:c>
      <x:c r="B52" t="s">
        <x:v>73</x:v>
      </x:c>
      <x:c r="C52" s="267" t="n">
        <x:f>FASE3!T$13</x:f>
        <x:v>0</x:v>
      </x:c>
      <x:c r="D52" s="267" t="n">
        <x:f>FASE3!T$57</x:f>
        <x:v>0</x:v>
      </x:c>
      <x:c r="E52" s="267" t="n">
        <x:f>FASE3!T$102</x:f>
        <x:v>0</x:v>
      </x:c>
      <x:c r="F52" s="267" t="n">
        <x:f>FASE3!T$147</x:f>
        <x:v>0</x:v>
      </x:c>
      <x:c r="G52" s="267" t="n">
        <x:f>FASE3!T$192</x:f>
        <x:v>0</x:v>
      </x:c>
      <x:c r="H52" s="267" t="n">
        <x:f>FASE3!T$237</x:f>
        <x:v>0</x:v>
      </x:c>
      <x:c r="I52" s="267" t="n">
        <x:f>FASE3!T$282</x:f>
        <x:v>0</x:v>
      </x:c>
      <x:c r="J52" s="267" t="n">
        <x:f>FASE3!T$327</x:f>
        <x:v>0</x:v>
      </x:c>
      <x:c r="K52" s="267" t="n">
        <x:f>FASE3!T$369</x:f>
        <x:v>0</x:v>
      </x:c>
      <x:c r="L52" s="267">
        <x:f t="shared" si="0"/>
        <x:v>2.0202020202020204E-2</x:v>
      </x:c>
    </x:row>
    <x:row r="53">
      <x:c r="A53" t="s">
        <x:v>107</x:v>
      </x:c>
      <x:c r="B53" t="s">
        <x:v>74</x:v>
      </x:c>
      <x:c r="C53" s="267" t="n">
        <x:f>FASE3!U$13</x:f>
        <x:v>0</x:v>
      </x:c>
      <x:c r="D53" s="267" t="n">
        <x:f>FASE3!U$57</x:f>
        <x:v>0</x:v>
      </x:c>
      <x:c r="E53" s="267" t="n">
        <x:f>FASE3!U$102</x:f>
        <x:v>0</x:v>
      </x:c>
      <x:c r="F53" s="267" t="n">
        <x:f>FASE3!U$147</x:f>
        <x:v>0</x:v>
      </x:c>
      <x:c r="G53" s="267" t="n">
        <x:f>FASE3!U$192</x:f>
        <x:v>0</x:v>
      </x:c>
      <x:c r="H53" s="267" t="n">
        <x:f>FASE3!U$237</x:f>
        <x:v>0</x:v>
      </x:c>
      <x:c r="I53" s="267" t="n">
        <x:f>FASE3!U$282</x:f>
        <x:v>0</x:v>
      </x:c>
      <x:c r="J53" s="267" t="n">
        <x:f>FASE3!U$327</x:f>
        <x:v>0</x:v>
      </x:c>
      <x:c r="K53" s="267" t="n">
        <x:f>FASE3!U$369</x:f>
        <x:v>0</x:v>
      </x:c>
      <x:c r="L53" s="267">
        <x:f t="shared" si="0"/>
        <x:v>2.0202020202020204E-2</x:v>
      </x:c>
    </x:row>
    <x:row r="54">
      <x:c r="A54" t="s">
        <x:v>107</x:v>
      </x:c>
      <x:c r="B54" t="s">
        <x:v>75</x:v>
      </x:c>
      <x:c r="C54" s="267" t="n">
        <x:f>FASE3!V$13</x:f>
        <x:v>0</x:v>
      </x:c>
      <x:c r="D54" s="267" t="n">
        <x:f>FASE3!V$57</x:f>
        <x:v>0</x:v>
      </x:c>
      <x:c r="E54" s="267" t="n">
        <x:f>FASE3!V$102</x:f>
        <x:v>0</x:v>
      </x:c>
      <x:c r="F54" s="267" t="n">
        <x:f>FASE3!V$147</x:f>
        <x:v>0</x:v>
      </x:c>
      <x:c r="G54" s="267" t="n">
        <x:f>FASE3!V$192</x:f>
        <x:v>0</x:v>
      </x:c>
      <x:c r="H54" s="267" t="n">
        <x:f>FASE3!V$237</x:f>
        <x:v>0</x:v>
      </x:c>
      <x:c r="I54" s="267" t="n">
        <x:f>FASE3!V$282</x:f>
        <x:v>0</x:v>
      </x:c>
      <x:c r="J54" s="267" t="n">
        <x:f>FASE3!V$327</x:f>
        <x:v>0</x:v>
      </x:c>
      <x:c r="K54" s="267" t="n">
        <x:f>FASE3!V$369</x:f>
        <x:v>0</x:v>
      </x:c>
      <x:c r="L54" s="267">
        <x:f t="shared" si="0"/>
        <x:v>2.0202020202020204E-2</x:v>
      </x:c>
    </x:row>
    <x:row r="55">
      <x:c r="A55" t="s">
        <x:v>107</x:v>
      </x:c>
      <x:c r="B55" t="s">
        <x:v>76</x:v>
      </x:c>
      <x:c r="C55" s="267" t="n">
        <x:f>FASE3!W$13</x:f>
        <x:v>0</x:v>
      </x:c>
      <x:c r="D55" s="267" t="n">
        <x:f>FASE3!W$57</x:f>
        <x:v>0</x:v>
      </x:c>
      <x:c r="E55" s="267" t="n">
        <x:f>FASE3!W$102</x:f>
        <x:v>0</x:v>
      </x:c>
      <x:c r="F55" s="267" t="n">
        <x:f>FASE3!W$147</x:f>
        <x:v>0</x:v>
      </x:c>
      <x:c r="G55" s="267" t="n">
        <x:f>FASE3!W$192</x:f>
        <x:v>0</x:v>
      </x:c>
      <x:c r="H55" s="267" t="n">
        <x:f>FASE3!W$237</x:f>
        <x:v>0</x:v>
      </x:c>
      <x:c r="I55" s="267" t="n">
        <x:f>FASE3!W$282</x:f>
        <x:v>0</x:v>
      </x:c>
      <x:c r="J55" s="267" t="n">
        <x:f>FASE3!W$327</x:f>
        <x:v>0</x:v>
      </x:c>
      <x:c r="K55" s="267" t="n">
        <x:f>FASE3!W$369</x:f>
        <x:v>0</x:v>
      </x:c>
      <x:c r="L55" s="267">
        <x:f t="shared" si="0"/>
        <x:v>2.0202020202020204E-2</x:v>
      </x:c>
    </x:row>
    <x:row r="56">
      <x:c r="A56" t="s">
        <x:v>107</x:v>
      </x:c>
      <x:c r="B56" t="s">
        <x:v>77</x:v>
      </x:c>
      <x:c r="C56" s="267" t="n">
        <x:f>FASE3!X$13</x:f>
        <x:v>0</x:v>
      </x:c>
      <x:c r="D56" s="267" t="n">
        <x:f>FASE3!X$57</x:f>
        <x:v>0</x:v>
      </x:c>
      <x:c r="E56" s="267" t="n">
        <x:f>FASE3!X$102</x:f>
        <x:v>0</x:v>
      </x:c>
      <x:c r="F56" s="267" t="n">
        <x:f>FASE3!X$147</x:f>
        <x:v>0</x:v>
      </x:c>
      <x:c r="G56" s="267" t="n">
        <x:f>FASE3!X$192</x:f>
        <x:v>0</x:v>
      </x:c>
      <x:c r="H56" s="267" t="n">
        <x:f>FASE3!X$237</x:f>
        <x:v>0</x:v>
      </x:c>
      <x:c r="I56" s="267" t="n">
        <x:f>FASE3!X$282</x:f>
        <x:v>0</x:v>
      </x:c>
      <x:c r="J56" s="267" t="n">
        <x:f>FASE3!X$327</x:f>
        <x:v>0</x:v>
      </x:c>
      <x:c r="K56" s="267" t="n">
        <x:f>FASE3!X$369</x:f>
        <x:v>0</x:v>
      </x:c>
      <x:c r="L56" s="267">
        <x:f t="shared" si="0"/>
        <x:v>2.0202020202020204E-2</x:v>
      </x:c>
    </x:row>
    <x:row r="57">
      <x:c r="A57" t="s">
        <x:v>107</x:v>
      </x:c>
      <x:c r="B57" t="s">
        <x:v>78</x:v>
      </x:c>
      <x:c r="C57" s="267" t="n">
        <x:f>FASE3!Y$13</x:f>
        <x:v>0</x:v>
      </x:c>
      <x:c r="D57" s="267" t="n">
        <x:f>FASE3!Y$57</x:f>
        <x:v>0</x:v>
      </x:c>
      <x:c r="E57" s="267" t="n">
        <x:f>FASE3!Y$102</x:f>
        <x:v>0</x:v>
      </x:c>
      <x:c r="F57" s="267" t="n">
        <x:f>FASE3!Y$147</x:f>
        <x:v>0</x:v>
      </x:c>
      <x:c r="G57" s="267" t="n">
        <x:f>FASE3!Y$192</x:f>
        <x:v>0</x:v>
      </x:c>
      <x:c r="H57" s="267" t="n">
        <x:f>FASE3!Y$237</x:f>
        <x:v>0</x:v>
      </x:c>
      <x:c r="I57" s="267" t="n">
        <x:f>FASE3!Y$282</x:f>
        <x:v>0</x:v>
      </x:c>
      <x:c r="J57" s="267" t="n">
        <x:f>FASE3!Y$327</x:f>
        <x:v>0</x:v>
      </x:c>
      <x:c r="K57" s="267" t="n">
        <x:f>FASE3!Y$369</x:f>
        <x:v>0</x:v>
      </x:c>
      <x:c r="L57" s="267">
        <x:f t="shared" si="0"/>
        <x:v>0</x:v>
      </x:c>
    </x:row>
    <x:row r="58">
      <x:c r="A58" t="s">
        <x:v>108</x:v>
      </x:c>
      <x:c r="B58" t="s">
        <x:v>80</x:v>
      </x:c>
      <x:c r="C58" s="267" t="n">
        <x:f>FASE4!E$13</x:f>
        <x:v>0</x:v>
      </x:c>
      <x:c r="D58" s="267" t="n">
        <x:f>FASE4!E$57</x:f>
        <x:v>0</x:v>
      </x:c>
      <x:c r="E58" s="267" t="n">
        <x:f>FASE4!E$102</x:f>
        <x:v>0</x:v>
      </x:c>
      <x:c r="F58" s="267" t="n">
        <x:f>FASE4!E$147</x:f>
        <x:v>0</x:v>
      </x:c>
      <x:c r="G58" s="267" t="n">
        <x:f>FASE4!E$192</x:f>
        <x:v>0</x:v>
      </x:c>
      <x:c r="H58" s="267" t="n">
        <x:f>FASE4!E$237</x:f>
        <x:v>0</x:v>
      </x:c>
      <x:c r="I58" s="267" t="n">
        <x:f>FASE4!E$282</x:f>
        <x:v>0</x:v>
      </x:c>
      <x:c r="J58" s="267" t="n">
        <x:f>FASE4!E$327</x:f>
        <x:v>0</x:v>
      </x:c>
      <x:c r="K58" s="267" t="n">
        <x:f>FASE4!E$369</x:f>
        <x:v>0</x:v>
      </x:c>
      <x:c r="L58" s="267">
        <x:f t="shared" si="0"/>
        <x:v>0</x:v>
      </x:c>
    </x:row>
    <x:row r="59">
      <x:c r="A59" t="s">
        <x:v>108</x:v>
      </x:c>
      <x:c r="B59" t="s">
        <x:v>81</x:v>
      </x:c>
      <x:c r="C59" s="267" t="n">
        <x:f>FASE4!F$13</x:f>
        <x:v>0</x:v>
      </x:c>
      <x:c r="D59" s="267" t="n">
        <x:f>FASE4!F$57</x:f>
        <x:v>0</x:v>
      </x:c>
      <x:c r="E59" s="267" t="n">
        <x:f>FASE4!F$102</x:f>
        <x:v>0</x:v>
      </x:c>
      <x:c r="F59" s="267" t="n">
        <x:f>FASE4!F$147</x:f>
        <x:v>0</x:v>
      </x:c>
      <x:c r="G59" s="267" t="n">
        <x:f>FASE4!F$192</x:f>
        <x:v>0</x:v>
      </x:c>
      <x:c r="H59" s="267" t="n">
        <x:f>FASE4!F$237</x:f>
        <x:v>0</x:v>
      </x:c>
      <x:c r="I59" s="267" t="n">
        <x:f>FASE4!F$282</x:f>
        <x:v>0</x:v>
      </x:c>
      <x:c r="J59" s="267" t="n">
        <x:f>FASE4!F$327</x:f>
        <x:v>0</x:v>
      </x:c>
      <x:c r="K59" s="267" t="n">
        <x:f>FASE4!F$369</x:f>
        <x:v>0</x:v>
      </x:c>
      <x:c r="L59" s="267">
        <x:f t="shared" si="0"/>
        <x:v>0</x:v>
      </x:c>
    </x:row>
    <x:row r="60">
      <x:c r="A60" t="s">
        <x:v>108</x:v>
      </x:c>
      <x:c r="B60" t="s">
        <x:v>109</x:v>
      </x:c>
      <x:c r="C60" s="267" t="n">
        <x:f>FASE4!G$13</x:f>
        <x:v>0</x:v>
      </x:c>
      <x:c r="D60" s="267" t="n">
        <x:f>FASE4!G$57</x:f>
        <x:v>0</x:v>
      </x:c>
      <x:c r="E60" s="267" t="n">
        <x:f>FASE4!G$102</x:f>
        <x:v>0</x:v>
      </x:c>
      <x:c r="F60" s="267" t="n">
        <x:f>FASE4!G$147</x:f>
        <x:v>0</x:v>
      </x:c>
      <x:c r="G60" s="267" t="n">
        <x:f>FASE4!G$192</x:f>
        <x:v>0</x:v>
      </x:c>
      <x:c r="H60" s="267" t="n">
        <x:f>FASE4!G$237</x:f>
        <x:v>0</x:v>
      </x:c>
      <x:c r="I60" s="267" t="n">
        <x:f>FASE4!G$282</x:f>
        <x:v>0</x:v>
      </x:c>
      <x:c r="J60" s="267" t="n">
        <x:f>FASE4!G$327</x:f>
        <x:v>0</x:v>
      </x:c>
      <x:c r="K60" s="267" t="n">
        <x:f>FASE4!G$369</x:f>
        <x:v>0</x:v>
      </x:c>
      <x:c r="L60" s="267">
        <x:f t="shared" si="0"/>
        <x:v>0</x:v>
      </x:c>
    </x:row>
    <x:row r="61">
      <x:c r="A61" t="s">
        <x:v>108</x:v>
      </x:c>
      <x:c r="B61" t="s">
        <x:v>84</x:v>
      </x:c>
      <x:c r="C61" s="267" t="n">
        <x:f>FASE4!H$13</x:f>
        <x:v>0</x:v>
      </x:c>
      <x:c r="D61" s="267" t="n">
        <x:f>FASE4!H$57</x:f>
        <x:v>0</x:v>
      </x:c>
      <x:c r="E61" s="267" t="n">
        <x:f>FASE4!H$102</x:f>
        <x:v>0</x:v>
      </x:c>
      <x:c r="F61" s="267" t="n">
        <x:f>FASE4!H$147</x:f>
        <x:v>0</x:v>
      </x:c>
      <x:c r="G61" s="267" t="n">
        <x:f>FASE4!H$192</x:f>
        <x:v>0</x:v>
      </x:c>
      <x:c r="H61" s="267" t="n">
        <x:f>FASE4!H$237</x:f>
        <x:v>0</x:v>
      </x:c>
      <x:c r="I61" s="267" t="n">
        <x:f>FASE4!H$282</x:f>
        <x:v>0</x:v>
      </x:c>
      <x:c r="J61" s="267" t="n">
        <x:f>FASE4!H$327</x:f>
        <x:v>0</x:v>
      </x:c>
      <x:c r="K61" s="267" t="n">
        <x:f>FASE4!H$369</x:f>
        <x:v>0</x:v>
      </x:c>
      <x:c r="L61" s="267">
        <x:f t="shared" si="0"/>
        <x:v>0</x:v>
      </x:c>
    </x:row>
    <x:row r="62">
      <x:c r="A62" t="s">
        <x:v>108</x:v>
      </x:c>
      <x:c r="B62" t="s">
        <x:v>85</x:v>
      </x:c>
      <x:c r="C62" s="267" t="n">
        <x:f>FASE4!I$13</x:f>
        <x:v>0</x:v>
      </x:c>
      <x:c r="D62" s="267" t="n">
        <x:f>FASE4!I$57</x:f>
        <x:v>0</x:v>
      </x:c>
      <x:c r="E62" s="267" t="n">
        <x:f>FASE4!I$102</x:f>
        <x:v>0</x:v>
      </x:c>
      <x:c r="F62" s="267" t="n">
        <x:f>FASE4!I$147</x:f>
        <x:v>0</x:v>
      </x:c>
      <x:c r="G62" s="267" t="n">
        <x:f>FASE4!I$192</x:f>
        <x:v>0</x:v>
      </x:c>
      <x:c r="H62" s="267" t="n">
        <x:f>FASE4!I$237</x:f>
        <x:v>0</x:v>
      </x:c>
      <x:c r="I62" s="267" t="n">
        <x:f>FASE4!I$282</x:f>
        <x:v>0</x:v>
      </x:c>
      <x:c r="J62" s="267" t="n">
        <x:f>FASE4!I$327</x:f>
        <x:v>0</x:v>
      </x:c>
      <x:c r="K62" s="267" t="n">
        <x:f>FASE4!I$369</x:f>
        <x:v>0</x:v>
      </x:c>
      <x:c r="L62" s="267">
        <x:f t="shared" si="0"/>
        <x:v>0</x:v>
      </x:c>
    </x:row>
    <x:row r="63">
      <x:c r="A63" t="s">
        <x:v>108</x:v>
      </x:c>
      <x:c r="B63" t="s">
        <x:v>86</x:v>
      </x:c>
      <x:c r="C63" s="267" t="n">
        <x:f>FASE4!J$13</x:f>
        <x:v>0</x:v>
      </x:c>
      <x:c r="D63" s="267" t="n">
        <x:f>FASE4!J$57</x:f>
        <x:v>0</x:v>
      </x:c>
      <x:c r="E63" s="267" t="n">
        <x:f>FASE4!J$102</x:f>
        <x:v>0</x:v>
      </x:c>
      <x:c r="F63" s="267" t="n">
        <x:f>FASE4!J$147</x:f>
        <x:v>0</x:v>
      </x:c>
      <x:c r="G63" s="267" t="n">
        <x:f>FASE4!J$192</x:f>
        <x:v>0</x:v>
      </x:c>
      <x:c r="H63" s="267" t="n">
        <x:f>FASE4!J$237</x:f>
        <x:v>0</x:v>
      </x:c>
      <x:c r="I63" s="267" t="n">
        <x:f>FASE4!J$282</x:f>
        <x:v>0</x:v>
      </x:c>
      <x:c r="J63" s="267" t="n">
        <x:f>FASE4!J$327</x:f>
        <x:v>0</x:v>
      </x:c>
      <x:c r="K63" s="267" t="n">
        <x:f>FASE4!J$369</x:f>
        <x:v>0</x:v>
      </x:c>
      <x:c r="L63" s="267">
        <x:f t="shared" si="0"/>
        <x:v>0</x:v>
      </x:c>
    </x:row>
    <x:row r="64">
      <x:c r="A64" t="s">
        <x:v>108</x:v>
      </x:c>
      <x:c r="B64" t="s">
        <x:v>87</x:v>
      </x:c>
      <x:c r="C64" s="267" t="n">
        <x:f>FASE4!K$13</x:f>
        <x:v>0</x:v>
      </x:c>
      <x:c r="D64" s="267" t="n">
        <x:f>FASE4!K$57</x:f>
        <x:v>0</x:v>
      </x:c>
      <x:c r="E64" s="267" t="n">
        <x:f>FASE4!K$102</x:f>
        <x:v>0</x:v>
      </x:c>
      <x:c r="F64" s="267" t="n">
        <x:f>FASE4!K$147</x:f>
        <x:v>0</x:v>
      </x:c>
      <x:c r="G64" s="267" t="n">
        <x:f>FASE4!K$192</x:f>
        <x:v>0</x:v>
      </x:c>
      <x:c r="H64" s="267" t="n">
        <x:f>FASE4!K$237</x:f>
        <x:v>0</x:v>
      </x:c>
      <x:c r="I64" s="267" t="n">
        <x:f>FASE4!K$282</x:f>
        <x:v>0</x:v>
      </x:c>
      <x:c r="J64" s="267" t="n">
        <x:f>FASE4!K$327</x:f>
        <x:v>0</x:v>
      </x:c>
      <x:c r="K64" s="267" t="n">
        <x:f>FASE4!K$369</x:f>
        <x:v>0</x:v>
      </x:c>
      <x:c r="L64" s="267" t="n">
        <x:f t="shared" ref="L64:L69" si="1">AVERAGE(C64:K64)</x:f>
        <x:v>0</x:v>
      </x:c>
    </x:row>
    <x:row r="65">
      <x:c r="A65" t="s">
        <x:v>108</x:v>
      </x:c>
      <x:c r="B65" t="s">
        <x:v>88</x:v>
      </x:c>
      <x:c r="C65" s="267" t="n">
        <x:f>FASE4!L$13</x:f>
        <x:v>0</x:v>
      </x:c>
      <x:c r="D65" s="267" t="n">
        <x:f>FASE4!L$57</x:f>
        <x:v>0</x:v>
      </x:c>
      <x:c r="E65" s="267" t="n">
        <x:f>FASE4!L$102</x:f>
        <x:v>0</x:v>
      </x:c>
      <x:c r="F65" s="267" t="n">
        <x:f>FASE4!L$147</x:f>
        <x:v>0</x:v>
      </x:c>
      <x:c r="G65" s="267" t="n">
        <x:f>FASE4!L$192</x:f>
        <x:v>0</x:v>
      </x:c>
      <x:c r="H65" s="267" t="n">
        <x:f>FASE4!L$237</x:f>
        <x:v>0</x:v>
      </x:c>
      <x:c r="I65" s="267" t="n">
        <x:f>FASE4!L$282</x:f>
        <x:v>0</x:v>
      </x:c>
      <x:c r="J65" s="267" t="n">
        <x:f>FASE4!L$327</x:f>
        <x:v>0</x:v>
      </x:c>
      <x:c r="K65" s="267" t="n">
        <x:f>FASE4!L$369</x:f>
        <x:v>0</x:v>
      </x:c>
      <x:c r="L65" s="267">
        <x:f t="shared" si="1"/>
        <x:v>0</x:v>
      </x:c>
    </x:row>
    <x:row r="66">
      <x:c r="A66" t="s">
        <x:v>108</x:v>
      </x:c>
      <x:c r="B66" t="s">
        <x:v>110</x:v>
      </x:c>
      <x:c r="C66" s="267" t="n">
        <x:f>FASE4!M$13</x:f>
        <x:v>0</x:v>
      </x:c>
      <x:c r="D66" s="267" t="n">
        <x:f>FASE4!M$57</x:f>
        <x:v>0</x:v>
      </x:c>
      <x:c r="E66" s="267" t="n">
        <x:f>FASE4!M$102</x:f>
        <x:v>0</x:v>
      </x:c>
      <x:c r="F66" s="267" t="n">
        <x:f>FASE4!M$147</x:f>
        <x:v>0</x:v>
      </x:c>
      <x:c r="G66" s="267" t="n">
        <x:f>FASE4!M$192</x:f>
        <x:v>0</x:v>
      </x:c>
      <x:c r="H66" s="267" t="n">
        <x:f>FASE4!M$237</x:f>
        <x:v>0</x:v>
      </x:c>
      <x:c r="I66" s="267" t="n">
        <x:f>FASE4!M$282</x:f>
        <x:v>0</x:v>
      </x:c>
      <x:c r="J66" s="267" t="n">
        <x:f>FASE4!M$327</x:f>
        <x:v>0</x:v>
      </x:c>
      <x:c r="K66" s="267" t="n">
        <x:f>FASE4!M$369</x:f>
        <x:v>0</x:v>
      </x:c>
      <x:c r="L66" s="267">
        <x:f t="shared" si="1"/>
        <x:v>0</x:v>
      </x:c>
    </x:row>
    <x:row r="67">
      <x:c r="A67" t="s">
        <x:v>108</x:v>
      </x:c>
      <x:c r="B67" t="s">
        <x:v>90</x:v>
      </x:c>
      <x:c r="C67" s="267" t="n">
        <x:f>FASE4!N$13</x:f>
        <x:v>0</x:v>
      </x:c>
      <x:c r="D67" s="267" t="n">
        <x:f>FASE4!N$57</x:f>
        <x:v>0</x:v>
      </x:c>
      <x:c r="E67" s="267" t="n">
        <x:f>FASE4!N$102</x:f>
        <x:v>0</x:v>
      </x:c>
      <x:c r="F67" s="267" t="n">
        <x:f>FASE4!N$147</x:f>
        <x:v>0</x:v>
      </x:c>
      <x:c r="G67" s="267" t="n">
        <x:f>FASE4!N$192</x:f>
        <x:v>0</x:v>
      </x:c>
      <x:c r="H67" s="267" t="n">
        <x:f>FASE4!N$237</x:f>
        <x:v>0</x:v>
      </x:c>
      <x:c r="I67" s="267" t="n">
        <x:f>FASE4!N$282</x:f>
        <x:v>0</x:v>
      </x:c>
      <x:c r="J67" s="267" t="n">
        <x:f>FASE4!N$327</x:f>
        <x:v>0</x:v>
      </x:c>
      <x:c r="K67" s="267" t="n">
        <x:f>FASE4!N$369</x:f>
        <x:v>0</x:v>
      </x:c>
      <x:c r="L67" s="267">
        <x:f t="shared" si="1"/>
        <x:v>0</x:v>
      </x:c>
    </x:row>
    <x:row r="68">
      <x:c r="A68" t="s">
        <x:v>108</x:v>
      </x:c>
      <x:c r="B68" t="s">
        <x:v>91</x:v>
      </x:c>
      <x:c r="C68" s="267" t="n">
        <x:f>FASE4!O$13</x:f>
        <x:v>0</x:v>
      </x:c>
      <x:c r="D68" s="267" t="n">
        <x:f>FASE4!O$57</x:f>
        <x:v>0</x:v>
      </x:c>
      <x:c r="E68" s="267" t="n">
        <x:f>FASE4!O$102</x:f>
        <x:v>0</x:v>
      </x:c>
      <x:c r="F68" s="267" t="n">
        <x:f>FASE4!O$147</x:f>
        <x:v>0</x:v>
      </x:c>
      <x:c r="G68" s="267" t="n">
        <x:f>FASE4!O$192</x:f>
        <x:v>0</x:v>
      </x:c>
      <x:c r="H68" s="267" t="n">
        <x:f>FASE4!O$237</x:f>
        <x:v>0</x:v>
      </x:c>
      <x:c r="I68" s="267" t="n">
        <x:f>FASE4!O$282</x:f>
        <x:v>0</x:v>
      </x:c>
      <x:c r="J68" s="267" t="n">
        <x:f>FASE4!O$327</x:f>
        <x:v>0</x:v>
      </x:c>
      <x:c r="K68" s="267" t="n">
        <x:f>FASE4!O$369</x:f>
        <x:v>0</x:v>
      </x:c>
      <x:c r="L68" s="267">
        <x:f t="shared" si="1"/>
        <x:v>0</x:v>
      </x:c>
    </x:row>
    <x:row r="69">
      <x:c r="A69" t="s">
        <x:v>108</x:v>
      </x:c>
      <x:c r="B69" t="s">
        <x:v>92</x:v>
      </x:c>
      <x:c r="C69" s="267" t="n">
        <x:f>FASE4!P$13</x:f>
        <x:v>0</x:v>
      </x:c>
      <x:c r="D69" s="267" t="n">
        <x:f>FASE4!P$57</x:f>
        <x:v>0</x:v>
      </x:c>
      <x:c r="E69" s="267" t="n">
        <x:f>FASE4!P$102</x:f>
        <x:v>0</x:v>
      </x:c>
      <x:c r="F69" s="267" t="n">
        <x:f>FASE4!P$147</x:f>
        <x:v>0</x:v>
      </x:c>
      <x:c r="G69" s="267" t="n">
        <x:f>FASE4!P$192</x:f>
        <x:v>0</x:v>
      </x:c>
      <x:c r="H69" s="267" t="n">
        <x:f>FASE4!P$237</x:f>
        <x:v>0</x:v>
      </x:c>
      <x:c r="I69" s="267" t="n">
        <x:f>FASE4!P$282</x:f>
        <x:v>0</x:v>
      </x:c>
      <x:c r="J69" s="267" t="n">
        <x:f>FASE4!P$327</x:f>
        <x:v>0</x:v>
      </x:c>
      <x:c r="K69" s="267" t="n">
        <x:f>FASE4!P$369</x:f>
        <x:v>0</x:v>
      </x:c>
      <x:c r="L69" s="267">
        <x:f t="shared" si="1"/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4"/>
  </x:sheetPr>
  <x:sheetFormatPr baseColWidth="10" defaultRowHeight="12.75"/>
  <x:cols>
    <x:col min="4" max="4" width="13.5703125" customWidth="1"/>
    <x:col min="5" max="24" width="5.7109375" style="1" customWidth="1"/>
    <x:col min="25" max="25" width="6.42578125" customWidth="1"/>
  </x:cols>
  <x:sheetData>
    <x:row r="1" ht="216">
      <x:c r="A1" s="148" t="s">
        <x:v>95</x:v>
      </x:c>
      <x:c r="B1" s="148" t="s">
        <x:v>111</x:v>
      </x:c>
      <x:c r="C1" s="148" t="s">
        <x:v>112</x:v>
      </x:c>
      <x:c r="D1" s="148" t="s">
        <x:v>113</x:v>
      </x:c>
      <x:c r="E1" s="262" t="s">
        <x:v>20</x:v>
      </x:c>
      <x:c r="F1" s="262" t="s">
        <x:v>21</x:v>
      </x:c>
      <x:c r="G1" s="262" t="s">
        <x:v>22</x:v>
      </x:c>
      <x:c r="H1" s="262" t="s">
        <x:v>23</x:v>
      </x:c>
      <x:c r="I1" s="262" t="s">
        <x:v>24</x:v>
      </x:c>
      <x:c r="J1" s="262" t="s">
        <x:v>25</x:v>
      </x:c>
      <x:c r="K1" s="262" t="s">
        <x:v>26</x:v>
      </x:c>
      <x:c r="L1" s="262" t="s">
        <x:v>27</x:v>
      </x:c>
      <x:c r="M1" s="262" t="s">
        <x:v>28</x:v>
      </x:c>
      <x:c r="N1" s="262" t="s">
        <x:v>29</x:v>
      </x:c>
      <x:c r="O1" s="262" t="s">
        <x:v>30</x:v>
      </x:c>
      <x:c r="P1" s="262" t="s">
        <x:v>31</x:v>
      </x:c>
      <x:c r="Q1" s="262" t="s">
        <x:v>32</x:v>
      </x:c>
      <x:c r="R1" s="262" t="s">
        <x:v>33</x:v>
      </x:c>
      <x:c r="S1" s="262" t="s">
        <x:v>34</x:v>
      </x:c>
      <x:c r="T1" s="262" t="s">
        <x:v>35</x:v>
      </x:c>
      <x:c r="U1" s="262" t="s">
        <x:v>36</x:v>
      </x:c>
      <x:c r="V1" s="262" t="s">
        <x:v>37</x:v>
      </x:c>
      <x:c r="W1" s="262" t="s">
        <x:v>38</x:v>
      </x:c>
      <x:c r="X1" s="262" t="s">
        <x:v>39</x:v>
      </x:c>
      <x:c r="Y1" s="270" t="s">
        <x:v>114</x:v>
      </x:c>
    </x:row>
    <x:row r="2">
      <x:c r="A2" s="148" t="s">
        <x:v>105</x:v>
      </x:c>
      <x:c r="B2">
        <x:v>1</x:v>
      </x:c>
      <x:c r="C2" s="148" t="s">
        <x:v>115</x:v>
      </x:c>
      <x:c r="D2">
        <x:v>102</x:v>
      </x:c>
      <x:c r="E2" s="267">
        <x:v>100</x:v>
      </x:c>
      <x:c r="F2" s="267">
        <x:v>100</x:v>
      </x:c>
      <x:c r="G2" s="267">
        <x:v>100</x:v>
      </x:c>
      <x:c r="H2" s="267">
        <x:v>90</x:v>
      </x:c>
      <x:c r="I2" s="267">
        <x:v>100</x:v>
      </x:c>
      <x:c r="J2" s="267">
        <x:v>100</x:v>
      </x:c>
      <x:c r="K2" s="267">
        <x:v>100</x:v>
      </x:c>
      <x:c r="L2" s="267">
        <x:v>100</x:v>
      </x:c>
      <x:c r="M2" s="267">
        <x:v>100</x:v>
      </x:c>
      <x:c r="N2" s="267">
        <x:v>50</x:v>
      </x:c>
      <x:c r="O2" s="267">
        <x:v>40</x:v>
      </x:c>
      <x:c r="P2" s="267">
        <x:v>50</x:v>
      </x:c>
      <x:c r="Q2" s="267">
        <x:v>80</x:v>
      </x:c>
      <x:c r="R2" s="267">
        <x:v>90</x:v>
      </x:c>
      <x:c r="S2" s="267">
        <x:v>100</x:v>
      </x:c>
      <x:c r="T2" s="267">
        <x:v>0</x:v>
      </x:c>
      <x:c r="U2" s="267">
        <x:v>90</x:v>
      </x:c>
      <x:c r="V2" s="267">
        <x:v>90</x:v>
      </x:c>
      <x:c r="W2" s="267">
        <x:v>20</x:v>
      </x:c>
      <x:c r="X2" s="267">
        <x:v>0</x:v>
      </x:c>
      <x:c r="Y2" s="269" t="n">
        <x:f t="shared" ref="Y2:Y65" si="0">AVERAGE(E2:X2)</x:f>
        <x:v>75</x:v>
      </x:c>
    </x:row>
    <x:row r="3">
      <x:c r="A3" s="148" t="s">
        <x:v>105</x:v>
      </x:c>
      <x:c r="B3">
        <x:v>1</x:v>
      </x:c>
      <x:c r="C3" s="148" t="s">
        <x:v>115</x:v>
      </x:c>
      <x:c r="D3">
        <x:v>103</x:v>
      </x:c>
      <x:c r="E3" s="267">
        <x:v>100</x:v>
      </x:c>
      <x:c r="F3" s="267">
        <x:v>100</x:v>
      </x:c>
      <x:c r="G3" s="267">
        <x:v>100</x:v>
      </x:c>
      <x:c r="H3" s="267">
        <x:v>90</x:v>
      </x:c>
      <x:c r="I3" s="267">
        <x:v>100</x:v>
      </x:c>
      <x:c r="J3" s="267">
        <x:v>100</x:v>
      </x:c>
      <x:c r="K3" s="267">
        <x:v>100</x:v>
      </x:c>
      <x:c r="L3" s="267">
        <x:v>100</x:v>
      </x:c>
      <x:c r="M3" s="267">
        <x:v>100</x:v>
      </x:c>
      <x:c r="N3" s="267">
        <x:v>50</x:v>
      </x:c>
      <x:c r="O3" s="267">
        <x:v>40</x:v>
      </x:c>
      <x:c r="P3" s="267">
        <x:v>50</x:v>
      </x:c>
      <x:c r="Q3" s="267">
        <x:v>80</x:v>
      </x:c>
      <x:c r="R3" s="267">
        <x:v>90</x:v>
      </x:c>
      <x:c r="S3" s="267">
        <x:v>100</x:v>
      </x:c>
      <x:c r="T3" s="267">
        <x:v>0</x:v>
      </x:c>
      <x:c r="U3" s="267">
        <x:v>90</x:v>
      </x:c>
      <x:c r="V3" s="267">
        <x:v>90</x:v>
      </x:c>
      <x:c r="W3" s="267">
        <x:v>20</x:v>
      </x:c>
      <x:c r="X3" s="267">
        <x:v>0</x:v>
      </x:c>
      <x:c r="Y3" s="269">
        <x:f t="shared" si="0"/>
        <x:v>75</x:v>
      </x:c>
    </x:row>
    <x:row r="4">
      <x:c r="A4" s="148" t="s">
        <x:v>105</x:v>
      </x:c>
      <x:c r="B4">
        <x:v>1</x:v>
      </x:c>
      <x:c r="C4" s="148" t="s">
        <x:v>115</x:v>
      </x:c>
      <x:c r="D4">
        <x:v>104</x:v>
      </x:c>
      <x:c r="E4" s="267">
        <x:v>100</x:v>
      </x:c>
      <x:c r="F4" s="267">
        <x:v>100</x:v>
      </x:c>
      <x:c r="G4" s="267">
        <x:v>100</x:v>
      </x:c>
      <x:c r="H4" s="267">
        <x:v>90</x:v>
      </x:c>
      <x:c r="I4" s="267">
        <x:v>100</x:v>
      </x:c>
      <x:c r="J4" s="267">
        <x:v>100</x:v>
      </x:c>
      <x:c r="K4" s="267">
        <x:v>100</x:v>
      </x:c>
      <x:c r="L4" s="267">
        <x:v>100</x:v>
      </x:c>
      <x:c r="M4" s="267">
        <x:v>100</x:v>
      </x:c>
      <x:c r="N4" s="267">
        <x:v>50</x:v>
      </x:c>
      <x:c r="O4" s="267">
        <x:v>40</x:v>
      </x:c>
      <x:c r="P4" s="267">
        <x:v>50</x:v>
      </x:c>
      <x:c r="Q4" s="267">
        <x:v>80</x:v>
      </x:c>
      <x:c r="R4" s="267">
        <x:v>90</x:v>
      </x:c>
      <x:c r="S4" s="267">
        <x:v>100</x:v>
      </x:c>
      <x:c r="T4" s="267">
        <x:v>0</x:v>
      </x:c>
      <x:c r="U4" s="267">
        <x:v>90</x:v>
      </x:c>
      <x:c r="V4" s="267">
        <x:v>90</x:v>
      </x:c>
      <x:c r="W4" s="267">
        <x:v>20</x:v>
      </x:c>
      <x:c r="X4" s="267">
        <x:v>40</x:v>
      </x:c>
      <x:c r="Y4" s="269">
        <x:f t="shared" si="0"/>
        <x:v>77</x:v>
      </x:c>
    </x:row>
    <x:row r="5">
      <x:c r="A5" s="148" t="s">
        <x:v>105</x:v>
      </x:c>
      <x:c r="B5">
        <x:v>1</x:v>
      </x:c>
      <x:c r="C5" s="148" t="s">
        <x:v>115</x:v>
      </x:c>
      <x:c r="D5">
        <x:v>105</x:v>
      </x:c>
      <x:c r="E5" s="267">
        <x:v>100</x:v>
      </x:c>
      <x:c r="F5" s="267">
        <x:v>100</x:v>
      </x:c>
      <x:c r="G5" s="267">
        <x:v>100</x:v>
      </x:c>
      <x:c r="H5" s="267">
        <x:v>90</x:v>
      </x:c>
      <x:c r="I5" s="267">
        <x:v>100</x:v>
      </x:c>
      <x:c r="J5" s="267">
        <x:v>100</x:v>
      </x:c>
      <x:c r="K5" s="267">
        <x:v>100</x:v>
      </x:c>
      <x:c r="L5" s="267">
        <x:v>100</x:v>
      </x:c>
      <x:c r="M5" s="267">
        <x:v>100</x:v>
      </x:c>
      <x:c r="N5" s="267">
        <x:v>50</x:v>
      </x:c>
      <x:c r="O5" s="267">
        <x:v>40</x:v>
      </x:c>
      <x:c r="P5" s="267">
        <x:v>50</x:v>
      </x:c>
      <x:c r="Q5" s="267">
        <x:v>80</x:v>
      </x:c>
      <x:c r="R5" s="267">
        <x:v>90</x:v>
      </x:c>
      <x:c r="S5" s="267">
        <x:v>100</x:v>
      </x:c>
      <x:c r="T5" s="267">
        <x:v>0</x:v>
      </x:c>
      <x:c r="U5" s="267">
        <x:v>90</x:v>
      </x:c>
      <x:c r="V5" s="267">
        <x:v>90</x:v>
      </x:c>
      <x:c r="W5" s="267">
        <x:v>20</x:v>
      </x:c>
      <x:c r="X5" s="267">
        <x:v>40</x:v>
      </x:c>
      <x:c r="Y5" s="269">
        <x:f t="shared" si="0"/>
        <x:v>77</x:v>
      </x:c>
    </x:row>
    <x:row r="6">
      <x:c r="A6" s="148" t="s">
        <x:v>105</x:v>
      </x:c>
      <x:c r="B6">
        <x:v>1</x:v>
      </x:c>
      <x:c r="C6" s="148" t="s">
        <x:v>115</x:v>
      </x:c>
      <x:c r="D6">
        <x:v>106</x:v>
      </x:c>
      <x:c r="E6" s="267">
        <x:v>100</x:v>
      </x:c>
      <x:c r="F6" s="267">
        <x:v>100</x:v>
      </x:c>
      <x:c r="G6" s="267">
        <x:v>100</x:v>
      </x:c>
      <x:c r="H6" s="267">
        <x:v>90</x:v>
      </x:c>
      <x:c r="I6" s="267">
        <x:v>100</x:v>
      </x:c>
      <x:c r="J6" s="267">
        <x:v>100</x:v>
      </x:c>
      <x:c r="K6" s="267">
        <x:v>100</x:v>
      </x:c>
      <x:c r="L6" s="267">
        <x:v>100</x:v>
      </x:c>
      <x:c r="M6" s="267">
        <x:v>100</x:v>
      </x:c>
      <x:c r="N6" s="267">
        <x:v>50</x:v>
      </x:c>
      <x:c r="O6" s="267">
        <x:v>40</x:v>
      </x:c>
      <x:c r="P6" s="267">
        <x:v>50</x:v>
      </x:c>
      <x:c r="Q6" s="267">
        <x:v>80</x:v>
      </x:c>
      <x:c r="R6" s="267">
        <x:v>90</x:v>
      </x:c>
      <x:c r="S6" s="267">
        <x:v>100</x:v>
      </x:c>
      <x:c r="T6" s="267">
        <x:v>0</x:v>
      </x:c>
      <x:c r="U6" s="267">
        <x:v>90</x:v>
      </x:c>
      <x:c r="V6" s="267">
        <x:v>90</x:v>
      </x:c>
      <x:c r="W6" s="267">
        <x:v>20</x:v>
      </x:c>
      <x:c r="X6" s="267">
        <x:v>0</x:v>
      </x:c>
      <x:c r="Y6" s="269">
        <x:f t="shared" si="0"/>
        <x:v>75</x:v>
      </x:c>
    </x:row>
    <x:row r="7">
      <x:c r="A7" s="148" t="s">
        <x:v>105</x:v>
      </x:c>
      <x:c r="B7">
        <x:v>1</x:v>
      </x:c>
      <x:c r="C7" s="148" t="s">
        <x:v>115</x:v>
      </x:c>
      <x:c r="D7">
        <x:v>107</x:v>
      </x:c>
      <x:c r="E7" s="267">
        <x:v>100</x:v>
      </x:c>
      <x:c r="F7" s="267">
        <x:v>100</x:v>
      </x:c>
      <x:c r="G7" s="267">
        <x:v>100</x:v>
      </x:c>
      <x:c r="H7" s="267">
        <x:v>50</x:v>
      </x:c>
      <x:c r="I7" s="267">
        <x:v>100</x:v>
      </x:c>
      <x:c r="J7" s="267">
        <x:v>100</x:v>
      </x:c>
      <x:c r="K7" s="267">
        <x:v>100</x:v>
      </x:c>
      <x:c r="L7" s="267">
        <x:v>100</x:v>
      </x:c>
      <x:c r="M7" s="267">
        <x:v>100</x:v>
      </x:c>
      <x:c r="N7" s="267">
        <x:v>50</x:v>
      </x:c>
      <x:c r="O7" s="267">
        <x:v>40</x:v>
      </x:c>
      <x:c r="P7" s="267">
        <x:v>50</x:v>
      </x:c>
      <x:c r="Q7" s="267">
        <x:v>80</x:v>
      </x:c>
      <x:c r="R7" s="267">
        <x:v>90</x:v>
      </x:c>
      <x:c r="S7" s="267">
        <x:v>100</x:v>
      </x:c>
      <x:c r="T7" s="267">
        <x:v>0</x:v>
      </x:c>
      <x:c r="U7" s="267">
        <x:v>90</x:v>
      </x:c>
      <x:c r="V7" s="267">
        <x:v>90</x:v>
      </x:c>
      <x:c r="W7" s="267">
        <x:v>20</x:v>
      </x:c>
      <x:c r="X7" s="267">
        <x:v>0</x:v>
      </x:c>
      <x:c r="Y7" s="269">
        <x:f t="shared" si="0"/>
        <x:v>73</x:v>
      </x:c>
    </x:row>
    <x:row r="8">
      <x:c r="A8" s="148" t="s">
        <x:v>105</x:v>
      </x:c>
      <x:c r="B8">
        <x:v>1</x:v>
      </x:c>
      <x:c r="C8" s="148" t="s">
        <x:v>115</x:v>
      </x:c>
      <x:c r="D8">
        <x:v>108</x:v>
      </x:c>
      <x:c r="E8" s="267">
        <x:v>100</x:v>
      </x:c>
      <x:c r="F8" s="267">
        <x:v>100</x:v>
      </x:c>
      <x:c r="G8" s="267">
        <x:v>100</x:v>
      </x:c>
      <x:c r="H8" s="267">
        <x:v>50</x:v>
      </x:c>
      <x:c r="I8" s="267">
        <x:v>100</x:v>
      </x:c>
      <x:c r="J8" s="267">
        <x:v>100</x:v>
      </x:c>
      <x:c r="K8" s="267">
        <x:v>100</x:v>
      </x:c>
      <x:c r="L8" s="267">
        <x:v>100</x:v>
      </x:c>
      <x:c r="M8" s="267">
        <x:v>100</x:v>
      </x:c>
      <x:c r="N8" s="267">
        <x:v>50</x:v>
      </x:c>
      <x:c r="O8" s="267">
        <x:v>40</x:v>
      </x:c>
      <x:c r="P8" s="267">
        <x:v>50</x:v>
      </x:c>
      <x:c r="Q8" s="267">
        <x:v>80</x:v>
      </x:c>
      <x:c r="R8" s="267">
        <x:v>90</x:v>
      </x:c>
      <x:c r="S8" s="267">
        <x:v>100</x:v>
      </x:c>
      <x:c r="T8" s="267">
        <x:v>0</x:v>
      </x:c>
      <x:c r="U8" s="267">
        <x:v>90</x:v>
      </x:c>
      <x:c r="V8" s="267">
        <x:v>50</x:v>
      </x:c>
      <x:c r="W8" s="267">
        <x:v>0</x:v>
      </x:c>
      <x:c r="X8" s="267">
        <x:v>0</x:v>
      </x:c>
      <x:c r="Y8" s="269">
        <x:f t="shared" si="0"/>
        <x:v>70</x:v>
      </x:c>
    </x:row>
    <x:row r="9">
      <x:c r="A9" s="148" t="s">
        <x:v>105</x:v>
      </x:c>
      <x:c r="B9">
        <x:v>1</x:v>
      </x:c>
      <x:c r="C9" s="148" t="s">
        <x:v>115</x:v>
      </x:c>
      <x:c r="D9">
        <x:v>118</x:v>
      </x:c>
      <x:c r="E9" s="267">
        <x:v>100</x:v>
      </x:c>
      <x:c r="F9" s="267">
        <x:v>100</x:v>
      </x:c>
      <x:c r="G9" s="267">
        <x:v>100</x:v>
      </x:c>
      <x:c r="H9" s="267">
        <x:v>80</x:v>
      </x:c>
      <x:c r="I9" s="267">
        <x:v>100</x:v>
      </x:c>
      <x:c r="J9" s="267">
        <x:v>100</x:v>
      </x:c>
      <x:c r="K9" s="267">
        <x:v>100</x:v>
      </x:c>
      <x:c r="L9" s="267">
        <x:v>100</x:v>
      </x:c>
      <x:c r="M9" s="267">
        <x:v>100</x:v>
      </x:c>
      <x:c r="N9" s="267">
        <x:v>0</x:v>
      </x:c>
      <x:c r="O9" s="267">
        <x:v>0</x:v>
      </x:c>
      <x:c r="P9" s="267">
        <x:v>0</x:v>
      </x:c>
      <x:c r="Q9" s="267">
        <x:v>0</x:v>
      </x:c>
      <x:c r="R9" s="267">
        <x:v>90</x:v>
      </x:c>
      <x:c r="S9" s="267">
        <x:v>100</x:v>
      </x:c>
      <x:c r="T9" s="267">
        <x:v>0</x:v>
      </x:c>
      <x:c r="U9" s="267">
        <x:v>50</x:v>
      </x:c>
      <x:c r="V9" s="267">
        <x:v>0</x:v>
      </x:c>
      <x:c r="W9" s="267">
        <x:v>0</x:v>
      </x:c>
      <x:c r="X9" s="267">
        <x:v>0</x:v>
      </x:c>
      <x:c r="Y9" s="269">
        <x:f t="shared" si="0"/>
        <x:v>56</x:v>
      </x:c>
    </x:row>
    <x:row r="10">
      <x:c r="A10" s="148" t="s">
        <x:v>105</x:v>
      </x:c>
      <x:c r="B10">
        <x:v>1</x:v>
      </x:c>
      <x:c r="C10" s="148" t="s">
        <x:v>115</x:v>
      </x:c>
      <x:c r="D10">
        <x:v>119</x:v>
      </x:c>
      <x:c r="E10" s="267">
        <x:v>100</x:v>
      </x:c>
      <x:c r="F10" s="267">
        <x:v>100</x:v>
      </x:c>
      <x:c r="G10" s="267">
        <x:v>100</x:v>
      </x:c>
      <x:c r="H10" s="267">
        <x:v>90</x:v>
      </x:c>
      <x:c r="I10" s="267">
        <x:v>100</x:v>
      </x:c>
      <x:c r="J10" s="267">
        <x:v>80</x:v>
      </x:c>
      <x:c r="K10" s="267">
        <x:v>100</x:v>
      </x:c>
      <x:c r="L10" s="267">
        <x:v>100</x:v>
      </x:c>
      <x:c r="M10" s="267">
        <x:v>100</x:v>
      </x:c>
      <x:c r="N10" s="267">
        <x:v>0</x:v>
      </x:c>
      <x:c r="O10" s="267">
        <x:v>0</x:v>
      </x:c>
      <x:c r="P10" s="267">
        <x:v>0</x:v>
      </x:c>
      <x:c r="Q10" s="267">
        <x:v>0</x:v>
      </x:c>
      <x:c r="R10" s="267">
        <x:v>90</x:v>
      </x:c>
      <x:c r="S10" s="267">
        <x:v>100</x:v>
      </x:c>
      <x:c r="T10" s="267">
        <x:v>0</x:v>
      </x:c>
      <x:c r="U10" s="267">
        <x:v>50</x:v>
      </x:c>
      <x:c r="V10" s="267">
        <x:v>0</x:v>
      </x:c>
      <x:c r="W10" s="267">
        <x:v>0</x:v>
      </x:c>
      <x:c r="X10" s="267">
        <x:v>0</x:v>
      </x:c>
      <x:c r="Y10" s="269">
        <x:f t="shared" si="0"/>
        <x:v>55.5</x:v>
      </x:c>
    </x:row>
    <x:row r="11">
      <x:c r="A11" s="148" t="s">
        <x:v>105</x:v>
      </x:c>
      <x:c r="B11">
        <x:v>1</x:v>
      </x:c>
      <x:c r="C11" s="148" t="s">
        <x:v>115</x:v>
      </x:c>
      <x:c r="D11">
        <x:v>120</x:v>
      </x:c>
      <x:c r="E11" s="267">
        <x:v>100</x:v>
      </x:c>
      <x:c r="F11" s="267">
        <x:v>100</x:v>
      </x:c>
      <x:c r="G11" s="267">
        <x:v>100</x:v>
      </x:c>
      <x:c r="H11" s="267">
        <x:v>100</x:v>
      </x:c>
      <x:c r="I11" s="267">
        <x:v>100</x:v>
      </x:c>
      <x:c r="J11" s="267">
        <x:v>100</x:v>
      </x:c>
      <x:c r="K11" s="267">
        <x:v>100</x:v>
      </x:c>
      <x:c r="L11" s="267">
        <x:v>100</x:v>
      </x:c>
      <x:c r="M11" s="267">
        <x:v>100</x:v>
      </x:c>
      <x:c r="N11" s="267">
        <x:v>100</x:v>
      </x:c>
      <x:c r="O11" s="267">
        <x:v>100</x:v>
      </x:c>
      <x:c r="P11" s="267">
        <x:v>100</x:v>
      </x:c>
      <x:c r="Q11" s="267">
        <x:v>100</x:v>
      </x:c>
      <x:c r="R11" s="267">
        <x:v>100</x:v>
      </x:c>
      <x:c r="S11" s="267">
        <x:v>100</x:v>
      </x:c>
      <x:c r="T11" s="267">
        <x:v>100</x:v>
      </x:c>
      <x:c r="U11" s="267">
        <x:v>100</x:v>
      </x:c>
      <x:c r="V11" s="267">
        <x:v>100</x:v>
      </x:c>
      <x:c r="W11" s="267">
        <x:v>100</x:v>
      </x:c>
      <x:c r="X11" s="267">
        <x:v>10</x:v>
      </x:c>
      <x:c r="Y11" s="269">
        <x:f t="shared" si="0"/>
        <x:v>95.5</x:v>
      </x:c>
    </x:row>
    <x:row r="12">
      <x:c r="A12" s="148" t="s">
        <x:v>105</x:v>
      </x:c>
      <x:c r="B12">
        <x:v>1</x:v>
      </x:c>
      <x:c r="C12" s="148" t="s">
        <x:v>115</x:v>
      </x:c>
      <x:c r="D12">
        <x:v>121</x:v>
      </x:c>
      <x:c r="E12" s="267">
        <x:v>100</x:v>
      </x:c>
      <x:c r="F12" s="267">
        <x:v>100</x:v>
      </x:c>
      <x:c r="G12" s="267">
        <x:v>100</x:v>
      </x:c>
      <x:c r="H12" s="267">
        <x:v>100</x:v>
      </x:c>
      <x:c r="I12" s="267">
        <x:v>100</x:v>
      </x:c>
      <x:c r="J12" s="267">
        <x:v>100</x:v>
      </x:c>
      <x:c r="K12" s="267">
        <x:v>100</x:v>
      </x:c>
      <x:c r="L12" s="267">
        <x:v>100</x:v>
      </x:c>
      <x:c r="M12" s="267">
        <x:v>100</x:v>
      </x:c>
      <x:c r="N12" s="267">
        <x:v>100</x:v>
      </x:c>
      <x:c r="O12" s="267">
        <x:v>100</x:v>
      </x:c>
      <x:c r="P12" s="267">
        <x:v>100</x:v>
      </x:c>
      <x:c r="Q12" s="267">
        <x:v>100</x:v>
      </x:c>
      <x:c r="R12" s="267">
        <x:v>100</x:v>
      </x:c>
      <x:c r="S12" s="267">
        <x:v>100</x:v>
      </x:c>
      <x:c r="T12" s="267">
        <x:v>100</x:v>
      </x:c>
      <x:c r="U12" s="267">
        <x:v>100</x:v>
      </x:c>
      <x:c r="V12" s="267">
        <x:v>100</x:v>
      </x:c>
      <x:c r="W12" s="267">
        <x:v>100</x:v>
      </x:c>
      <x:c r="X12" s="267">
        <x:v>100</x:v>
      </x:c>
      <x:c r="Y12" s="269">
        <x:f t="shared" si="0"/>
        <x:v>100</x:v>
      </x:c>
    </x:row>
    <x:row r="13">
      <x:c r="A13" s="148"/>
      <x:c r="B13"/>
      <x:c r="C13" s="148"/>
      <x:c r="D13" s="148"/>
      <x:c r="E13" s="267">
        <x:f t="shared" ref="E13:X13" si="1">AVERAGE(E2:E12)</x:f>
      </x:c>
      <x:c r="F13" s="267">
        <x:f t="shared" si="1"/>
      </x:c>
      <x:c r="G13" s="267">
        <x:f t="shared" si="1"/>
      </x:c>
      <x:c r="H13" s="267">
        <x:f t="shared" si="1"/>
      </x:c>
      <x:c r="I13" s="267">
        <x:f t="shared" si="1"/>
      </x:c>
      <x:c r="J13" s="267">
        <x:f t="shared" si="1"/>
      </x:c>
      <x:c r="K13" s="267">
        <x:f t="shared" si="1"/>
      </x:c>
      <x:c r="L13" s="267">
        <x:f t="shared" si="1"/>
      </x:c>
      <x:c r="M13" s="267">
        <x:f t="shared" si="1"/>
      </x:c>
      <x:c r="N13" s="267">
        <x:f t="shared" si="1"/>
      </x:c>
      <x:c r="O13" s="267">
        <x:f t="shared" si="1"/>
      </x:c>
      <x:c r="P13" s="267">
        <x:f t="shared" si="1"/>
      </x:c>
      <x:c r="Q13" s="267">
        <x:f t="shared" si="1"/>
      </x:c>
      <x:c r="R13" s="267">
        <x:f t="shared" si="1"/>
      </x:c>
      <x:c r="S13" s="267">
        <x:f t="shared" si="1"/>
      </x:c>
      <x:c r="T13" s="267">
        <x:f t="shared" si="1"/>
      </x:c>
      <x:c r="U13" s="267">
        <x:f t="shared" si="1"/>
      </x:c>
      <x:c r="V13" s="267">
        <x:f t="shared" si="1"/>
      </x:c>
      <x:c r="W13" s="267">
        <x:f t="shared" si="1"/>
      </x:c>
      <x:c r="X13" s="267">
        <x:f t="shared" si="1"/>
      </x:c>
      <x:c r="Y13" s="269">
        <x:f t="shared" si="0"/>
      </x:c>
    </x:row>
    <x:row r="14">
      <x:c r="A14" s="148" t="s">
        <x:v>105</x:v>
      </x:c>
      <x:c r="B14">
        <x:v>2</x:v>
      </x:c>
      <x:c r="C14" s="148" t="s">
        <x:v>116</x:v>
      </x:c>
      <x:c r="D14">
        <x:v>202</x:v>
      </x:c>
      <x:c r="E14" s="267">
        <x:v>100</x:v>
      </x:c>
      <x:c r="F14" s="267">
        <x:v>100</x:v>
      </x:c>
      <x:c r="G14" s="267">
        <x:v>0</x:v>
      </x:c>
      <x:c r="H14" s="267">
        <x:v>0</x:v>
      </x:c>
      <x:c r="I14" s="267">
        <x:v>0</x:v>
      </x:c>
      <x:c r="J14" s="267">
        <x:v>0</x:v>
      </x:c>
      <x:c r="K14" s="267">
        <x:v>0</x:v>
      </x:c>
      <x:c r="L14" s="267">
        <x:v>0</x:v>
      </x:c>
      <x:c r="M14" s="267">
        <x:v>0</x:v>
      </x:c>
      <x:c r="N14" s="267">
        <x:v>0</x:v>
      </x:c>
      <x:c r="O14" s="267">
        <x:v>0</x:v>
      </x:c>
      <x:c r="P14" s="267">
        <x:v>0</x:v>
      </x:c>
      <x:c r="Q14" s="267">
        <x:v>50</x:v>
      </x:c>
      <x:c r="R14" s="267">
        <x:v>0</x:v>
      </x:c>
      <x:c r="S14" s="267">
        <x:v>0</x:v>
      </x:c>
      <x:c r="T14" s="267">
        <x:v>0</x:v>
      </x:c>
      <x:c r="U14" s="267">
        <x:v>0</x:v>
      </x:c>
      <x:c r="V14" s="267">
        <x:v>0</x:v>
      </x:c>
      <x:c r="W14" s="267">
        <x:v>0</x:v>
      </x:c>
      <x:c r="X14" s="267">
        <x:v>0</x:v>
      </x:c>
      <x:c r="Y14" s="269">
        <x:f t="shared" si="0"/>
        <x:v>12.5</x:v>
      </x:c>
    </x:row>
    <x:row r="15">
      <x:c r="A15" s="148" t="s">
        <x:v>105</x:v>
      </x:c>
      <x:c r="B15">
        <x:v>2</x:v>
      </x:c>
      <x:c r="C15" s="148" t="s">
        <x:v>116</x:v>
      </x:c>
      <x:c r="D15">
        <x:v>203</x:v>
      </x:c>
      <x:c r="E15" s="267">
        <x:v>100</x:v>
      </x:c>
      <x:c r="F15" s="267">
        <x:v>100</x:v>
      </x:c>
      <x:c r="G15" s="267">
        <x:v>0</x:v>
      </x:c>
      <x:c r="H15" s="267">
        <x:v>0</x:v>
      </x:c>
      <x:c r="I15" s="267">
        <x:v>0</x:v>
      </x:c>
      <x:c r="J15" s="267">
        <x:v>0</x:v>
      </x:c>
      <x:c r="K15" s="267">
        <x:v>0</x:v>
      </x:c>
      <x:c r="L15" s="267">
        <x:v>0</x:v>
      </x:c>
      <x:c r="M15" s="267">
        <x:v>0</x:v>
      </x:c>
      <x:c r="N15" s="267">
        <x:v>0</x:v>
      </x:c>
      <x:c r="O15" s="267">
        <x:v>0</x:v>
      </x:c>
      <x:c r="P15" s="267">
        <x:v>0</x:v>
      </x:c>
      <x:c r="Q15" s="267">
        <x:v>50</x:v>
      </x:c>
      <x:c r="R15" s="267">
        <x:v>0</x:v>
      </x:c>
      <x:c r="S15" s="267">
        <x:v>0</x:v>
      </x:c>
      <x:c r="T15" s="267">
        <x:v>0</x:v>
      </x:c>
      <x:c r="U15" s="267">
        <x:v>0</x:v>
      </x:c>
      <x:c r="V15" s="267">
        <x:v>0</x:v>
      </x:c>
      <x:c r="W15" s="267">
        <x:v>0</x:v>
      </x:c>
      <x:c r="X15" s="267">
        <x:v>0</x:v>
      </x:c>
      <x:c r="Y15" s="269">
        <x:f t="shared" si="0"/>
        <x:v>12.5</x:v>
      </x:c>
    </x:row>
    <x:row r="16">
      <x:c r="A16" s="148" t="s">
        <x:v>105</x:v>
      </x:c>
      <x:c r="B16">
        <x:v>2</x:v>
      </x:c>
      <x:c r="C16" s="148" t="s">
        <x:v>116</x:v>
      </x:c>
      <x:c r="D16">
        <x:v>204</x:v>
      </x:c>
      <x:c r="E16" s="267">
        <x:v>100</x:v>
      </x:c>
      <x:c r="F16" s="267">
        <x:v>100</x:v>
      </x:c>
      <x:c r="G16" s="267">
        <x:v>0</x:v>
      </x:c>
      <x:c r="H16" s="267">
        <x:v>0</x:v>
      </x:c>
      <x:c r="I16" s="267">
        <x:v>0</x:v>
      </x:c>
      <x:c r="J16" s="267">
        <x:v>0</x:v>
      </x:c>
      <x:c r="K16" s="267">
        <x:v>0</x:v>
      </x:c>
      <x:c r="L16" s="267">
        <x:v>0</x:v>
      </x:c>
      <x:c r="M16" s="267">
        <x:v>0</x:v>
      </x:c>
      <x:c r="N16" s="267">
        <x:v>0</x:v>
      </x:c>
      <x:c r="O16" s="267">
        <x:v>0</x:v>
      </x:c>
      <x:c r="P16" s="267">
        <x:v>0</x:v>
      </x:c>
      <x:c r="Q16" s="267">
        <x:v>50</x:v>
      </x:c>
      <x:c r="R16" s="267">
        <x:v>0</x:v>
      </x:c>
      <x:c r="S16" s="267">
        <x:v>0</x:v>
      </x:c>
      <x:c r="T16" s="267">
        <x:v>0</x:v>
      </x:c>
      <x:c r="U16" s="267">
        <x:v>0</x:v>
      </x:c>
      <x:c r="V16" s="267">
        <x:v>0</x:v>
      </x:c>
      <x:c r="W16" s="267">
        <x:v>0</x:v>
      </x:c>
      <x:c r="X16" s="267">
        <x:v>0</x:v>
      </x:c>
      <x:c r="Y16" s="269">
        <x:f t="shared" si="0"/>
        <x:v>12.5</x:v>
      </x:c>
    </x:row>
    <x:row r="17">
      <x:c r="A17" s="148" t="s">
        <x:v>105</x:v>
      </x:c>
      <x:c r="B17">
        <x:v>2</x:v>
      </x:c>
      <x:c r="C17" s="148" t="s">
        <x:v>116</x:v>
      </x:c>
      <x:c r="D17">
        <x:v>205</x:v>
      </x:c>
      <x:c r="E17" s="267">
        <x:v>100</x:v>
      </x:c>
      <x:c r="F17" s="267">
        <x:v>100</x:v>
      </x:c>
      <x:c r="G17" s="267">
        <x:v>0</x:v>
      </x:c>
      <x:c r="H17" s="267">
        <x:v>0</x:v>
      </x:c>
      <x:c r="I17" s="267">
        <x:v>0</x:v>
      </x:c>
      <x:c r="J17" s="267">
        <x:v>0</x:v>
      </x:c>
      <x:c r="K17" s="267">
        <x:v>0</x:v>
      </x:c>
      <x:c r="L17" s="267">
        <x:v>95</x:v>
      </x:c>
      <x:c r="M17" s="267">
        <x:v>0</x:v>
      </x:c>
      <x:c r="N17" s="267">
        <x:v>0</x:v>
      </x:c>
      <x:c r="O17" s="267">
        <x:v>0</x:v>
      </x:c>
      <x:c r="P17" s="267">
        <x:v>0</x:v>
      </x:c>
      <x:c r="Q17" s="267">
        <x:v>50</x:v>
      </x:c>
      <x:c r="R17" s="267">
        <x:v>0</x:v>
      </x:c>
      <x:c r="S17" s="267">
        <x:v>0</x:v>
      </x:c>
      <x:c r="T17" s="267">
        <x:v>0</x:v>
      </x:c>
      <x:c r="U17" s="267">
        <x:v>0</x:v>
      </x:c>
      <x:c r="V17" s="267">
        <x:v>0</x:v>
      </x:c>
      <x:c r="W17" s="267">
        <x:v>0</x:v>
      </x:c>
      <x:c r="X17" s="267">
        <x:v>0</x:v>
      </x:c>
      <x:c r="Y17" s="269">
        <x:f t="shared" si="0"/>
        <x:v>17.25</x:v>
      </x:c>
    </x:row>
    <x:row r="18">
      <x:c r="A18" s="148" t="s">
        <x:v>105</x:v>
      </x:c>
      <x:c r="B18">
        <x:v>2</x:v>
      </x:c>
      <x:c r="C18" s="148" t="s">
        <x:v>116</x:v>
      </x:c>
      <x:c r="D18">
        <x:v>206</x:v>
      </x:c>
      <x:c r="E18" s="267">
        <x:v>100</x:v>
      </x:c>
      <x:c r="F18" s="267">
        <x:v>100</x:v>
      </x:c>
      <x:c r="G18" s="267">
        <x:v>0</x:v>
      </x:c>
      <x:c r="H18" s="267">
        <x:v>0</x:v>
      </x:c>
      <x:c r="I18" s="267">
        <x:v>0</x:v>
      </x:c>
      <x:c r="J18" s="267">
        <x:v>0</x:v>
      </x:c>
      <x:c r="K18" s="267">
        <x:v>0</x:v>
      </x:c>
      <x:c r="L18" s="267">
        <x:v>95</x:v>
      </x:c>
      <x:c r="M18" s="267">
        <x:v>0</x:v>
      </x:c>
      <x:c r="N18" s="267">
        <x:v>0</x:v>
      </x:c>
      <x:c r="O18" s="267">
        <x:v>0</x:v>
      </x:c>
      <x:c r="P18" s="267">
        <x:v>0</x:v>
      </x:c>
      <x:c r="Q18" s="267">
        <x:v>50</x:v>
      </x:c>
      <x:c r="R18" s="267">
        <x:v>0</x:v>
      </x:c>
      <x:c r="S18" s="267">
        <x:v>0</x:v>
      </x:c>
      <x:c r="T18" s="267">
        <x:v>0</x:v>
      </x:c>
      <x:c r="U18" s="267">
        <x:v>0</x:v>
      </x:c>
      <x:c r="V18" s="267">
        <x:v>0</x:v>
      </x:c>
      <x:c r="W18" s="267">
        <x:v>0</x:v>
      </x:c>
      <x:c r="X18" s="267">
        <x:v>0</x:v>
      </x:c>
      <x:c r="Y18" s="269">
        <x:f t="shared" si="0"/>
        <x:v>17.25</x:v>
      </x:c>
    </x:row>
    <x:row r="19">
      <x:c r="A19" s="148" t="s">
        <x:v>105</x:v>
      </x:c>
      <x:c r="B19">
        <x:v>2</x:v>
      </x:c>
      <x:c r="C19" s="148" t="s">
        <x:v>116</x:v>
      </x:c>
      <x:c r="D19">
        <x:v>207</x:v>
      </x:c>
      <x:c r="E19" s="267">
        <x:v>100</x:v>
      </x:c>
      <x:c r="F19" s="267">
        <x:v>100</x:v>
      </x:c>
      <x:c r="G19" s="267">
        <x:v>30</x:v>
      </x:c>
      <x:c r="H19" s="267">
        <x:v>0</x:v>
      </x:c>
      <x:c r="I19" s="267">
        <x:v>0</x:v>
      </x:c>
      <x:c r="J19" s="267">
        <x:v>30</x:v>
      </x:c>
      <x:c r="K19" s="267">
        <x:v>0</x:v>
      </x:c>
      <x:c r="L19" s="267">
        <x:v>100</x:v>
      </x:c>
      <x:c r="M19" s="267">
        <x:v>0</x:v>
      </x:c>
      <x:c r="N19" s="267">
        <x:v>0</x:v>
      </x:c>
      <x:c r="O19" s="267">
        <x:v>0</x:v>
      </x:c>
      <x:c r="P19" s="267">
        <x:v>0</x:v>
      </x:c>
      <x:c r="Q19" s="267">
        <x:v>50</x:v>
      </x:c>
      <x:c r="R19" s="267">
        <x:v>0</x:v>
      </x:c>
      <x:c r="S19" s="267">
        <x:v>0</x:v>
      </x:c>
      <x:c r="T19" s="267">
        <x:v>0</x:v>
      </x:c>
      <x:c r="U19" s="267">
        <x:v>0</x:v>
      </x:c>
      <x:c r="V19" s="267">
        <x:v>0</x:v>
      </x:c>
      <x:c r="W19" s="267">
        <x:v>0</x:v>
      </x:c>
      <x:c r="X19" s="267">
        <x:v>0</x:v>
      </x:c>
      <x:c r="Y19" s="269">
        <x:f t="shared" si="0"/>
        <x:v>20.5</x:v>
      </x:c>
    </x:row>
    <x:row r="20">
      <x:c r="A20" s="148" t="s">
        <x:v>105</x:v>
      </x:c>
      <x:c r="B20">
        <x:v>2</x:v>
      </x:c>
      <x:c r="C20" s="148" t="s">
        <x:v>116</x:v>
      </x:c>
      <x:c r="D20">
        <x:v>208</x:v>
      </x:c>
      <x:c r="E20" s="267">
        <x:v>100</x:v>
      </x:c>
      <x:c r="F20" s="267">
        <x:v>100</x:v>
      </x:c>
      <x:c r="G20" s="267">
        <x:v>30</x:v>
      </x:c>
      <x:c r="H20" s="267">
        <x:v>0</x:v>
      </x:c>
      <x:c r="I20" s="267">
        <x:v>0</x:v>
      </x:c>
      <x:c r="J20" s="267">
        <x:v>30</x:v>
      </x:c>
      <x:c r="K20" s="267">
        <x:v>0</x:v>
      </x:c>
      <x:c r="L20" s="267">
        <x:v>100</x:v>
      </x:c>
      <x:c r="M20" s="267">
        <x:v>0</x:v>
      </x:c>
      <x:c r="N20" s="267">
        <x:v>0</x:v>
      </x:c>
      <x:c r="O20" s="267">
        <x:v>0</x:v>
      </x:c>
      <x:c r="P20" s="267">
        <x:v>0</x:v>
      </x:c>
      <x:c r="Q20" s="267">
        <x:v>50</x:v>
      </x:c>
      <x:c r="R20" s="267">
        <x:v>0</x:v>
      </x:c>
      <x:c r="S20" s="267">
        <x:v>0</x:v>
      </x:c>
      <x:c r="T20" s="267">
        <x:v>0</x:v>
      </x:c>
      <x:c r="U20" s="267">
        <x:v>0</x:v>
      </x:c>
      <x:c r="V20" s="267">
        <x:v>0</x:v>
      </x:c>
      <x:c r="W20" s="267">
        <x:v>0</x:v>
      </x:c>
      <x:c r="X20" s="267">
        <x:v>0</x:v>
      </x:c>
      <x:c r="Y20" s="269">
        <x:f t="shared" si="0"/>
        <x:v>20.5</x:v>
      </x:c>
    </x:row>
    <x:row r="21">
      <x:c r="A21" s="148" t="s">
        <x:v>105</x:v>
      </x:c>
      <x:c r="B21">
        <x:v>2</x:v>
      </x:c>
      <x:c r="C21" s="148" t="s">
        <x:v>116</x:v>
      </x:c>
      <x:c r="D21">
        <x:v>209</x:v>
      </x:c>
      <x:c r="E21" s="267">
        <x:v>100</x:v>
      </x:c>
      <x:c r="F21" s="267">
        <x:v>100</x:v>
      </x:c>
      <x:c r="G21" s="267">
        <x:v>30</x:v>
      </x:c>
      <x:c r="H21" s="267">
        <x:v>0</x:v>
      </x:c>
      <x:c r="I21" s="267">
        <x:v>0</x:v>
      </x:c>
      <x:c r="J21" s="267">
        <x:v>30</x:v>
      </x:c>
      <x:c r="K21" s="267">
        <x:v>0</x:v>
      </x:c>
      <x:c r="L21" s="267">
        <x:v>95</x:v>
      </x:c>
      <x:c r="M21" s="267">
        <x:v>0</x:v>
      </x:c>
      <x:c r="N21" s="267">
        <x:v>0</x:v>
      </x:c>
      <x:c r="O21" s="267">
        <x:v>0</x:v>
      </x:c>
      <x:c r="P21" s="267">
        <x:v>0</x:v>
      </x:c>
      <x:c r="Q21" s="267">
        <x:v>50</x:v>
      </x:c>
      <x:c r="R21" s="267">
        <x:v>0</x:v>
      </x:c>
      <x:c r="S21" s="267">
        <x:v>0</x:v>
      </x:c>
      <x:c r="T21" s="267">
        <x:v>0</x:v>
      </x:c>
      <x:c r="U21" s="267">
        <x:v>0</x:v>
      </x:c>
      <x:c r="V21" s="267">
        <x:v>0</x:v>
      </x:c>
      <x:c r="W21" s="267">
        <x:v>0</x:v>
      </x:c>
      <x:c r="X21" s="267">
        <x:v>0</x:v>
      </x:c>
      <x:c r="Y21" s="269">
        <x:f t="shared" si="0"/>
        <x:v>20.25</x:v>
      </x:c>
    </x:row>
    <x:row r="22">
      <x:c r="A22" s="148" t="s">
        <x:v>105</x:v>
      </x:c>
      <x:c r="B22">
        <x:v>2</x:v>
      </x:c>
      <x:c r="C22" s="148" t="s">
        <x:v>116</x:v>
      </x:c>
      <x:c r="D22">
        <x:v>210</x:v>
      </x:c>
      <x:c r="E22" s="267">
        <x:v>100</x:v>
      </x:c>
      <x:c r="F22" s="267">
        <x:v>100</x:v>
      </x:c>
      <x:c r="G22" s="267">
        <x:v>0</x:v>
      </x:c>
      <x:c r="H22" s="267">
        <x:v>0</x:v>
      </x:c>
      <x:c r="I22" s="267">
        <x:v>0</x:v>
      </x:c>
      <x:c r="J22" s="267">
        <x:v>0</x:v>
      </x:c>
      <x:c r="K22" s="267">
        <x:v>0</x:v>
      </x:c>
      <x:c r="L22" s="267">
        <x:v>95</x:v>
      </x:c>
      <x:c r="M22" s="267">
        <x:v>0</x:v>
      </x:c>
      <x:c r="N22" s="267">
        <x:v>0</x:v>
      </x:c>
      <x:c r="O22" s="267">
        <x:v>0</x:v>
      </x:c>
      <x:c r="P22" s="267">
        <x:v>0</x:v>
      </x:c>
      <x:c r="Q22" s="267">
        <x:v>50</x:v>
      </x:c>
      <x:c r="R22" s="267">
        <x:v>0</x:v>
      </x:c>
      <x:c r="S22" s="267">
        <x:v>0</x:v>
      </x:c>
      <x:c r="T22" s="267">
        <x:v>0</x:v>
      </x:c>
      <x:c r="U22" s="267">
        <x:v>0</x:v>
      </x:c>
      <x:c r="V22" s="267">
        <x:v>0</x:v>
      </x:c>
      <x:c r="W22" s="267">
        <x:v>0</x:v>
      </x:c>
      <x:c r="X22" s="267">
        <x:v>0</x:v>
      </x:c>
      <x:c r="Y22" s="269">
        <x:f t="shared" si="0"/>
        <x:v>17.25</x:v>
      </x:c>
    </x:row>
    <x:row r="23">
      <x:c r="A23" s="148" t="s">
        <x:v>105</x:v>
      </x:c>
      <x:c r="B23">
        <x:v>2</x:v>
      </x:c>
      <x:c r="C23" s="148" t="s">
        <x:v>116</x:v>
      </x:c>
      <x:c r="D23">
        <x:v>211</x:v>
      </x:c>
      <x:c r="E23" s="267">
        <x:v>100</x:v>
      </x:c>
      <x:c r="F23" s="267">
        <x:v>100</x:v>
      </x:c>
      <x:c r="G23" s="267">
        <x:v>0</x:v>
      </x:c>
      <x:c r="H23" s="267">
        <x:v>0</x:v>
      </x:c>
      <x:c r="I23" s="267">
        <x:v>0</x:v>
      </x:c>
      <x:c r="J23" s="267">
        <x:v>0</x:v>
      </x:c>
      <x:c r="K23" s="267">
        <x:v>0</x:v>
      </x:c>
      <x:c r="L23" s="267">
        <x:v>95</x:v>
      </x:c>
      <x:c r="M23" s="267">
        <x:v>0</x:v>
      </x:c>
      <x:c r="N23" s="267">
        <x:v>0</x:v>
      </x:c>
      <x:c r="O23" s="267">
        <x:v>0</x:v>
      </x:c>
      <x:c r="P23" s="267">
        <x:v>0</x:v>
      </x:c>
      <x:c r="Q23" s="267">
        <x:v>50</x:v>
      </x:c>
      <x:c r="R23" s="267">
        <x:v>0</x:v>
      </x:c>
      <x:c r="S23" s="267">
        <x:v>0</x:v>
      </x:c>
      <x:c r="T23" s="267">
        <x:v>0</x:v>
      </x:c>
      <x:c r="U23" s="267">
        <x:v>0</x:v>
      </x:c>
      <x:c r="V23" s="267">
        <x:v>0</x:v>
      </x:c>
      <x:c r="W23" s="267">
        <x:v>0</x:v>
      </x:c>
      <x:c r="X23" s="267">
        <x:v>0</x:v>
      </x:c>
      <x:c r="Y23" s="269">
        <x:f t="shared" si="0"/>
        <x:v>17.25</x:v>
      </x:c>
    </x:row>
    <x:row r="24">
      <x:c r="A24" s="148" t="s">
        <x:v>105</x:v>
      </x:c>
      <x:c r="B24">
        <x:v>2</x:v>
      </x:c>
      <x:c r="C24" s="148" t="s">
        <x:v>116</x:v>
      </x:c>
      <x:c r="D24">
        <x:v>212</x:v>
      </x:c>
      <x:c r="E24" s="267">
        <x:v>100</x:v>
      </x:c>
      <x:c r="F24" s="267">
        <x:v>100</x:v>
      </x:c>
      <x:c r="G24" s="267">
        <x:v>0</x:v>
      </x:c>
      <x:c r="H24" s="267">
        <x:v>0</x:v>
      </x:c>
      <x:c r="I24" s="267">
        <x:v>0</x:v>
      </x:c>
      <x:c r="J24" s="267">
        <x:v>0</x:v>
      </x:c>
      <x:c r="K24" s="267">
        <x:v>0</x:v>
      </x:c>
      <x:c r="L24" s="267">
        <x:v>95</x:v>
      </x:c>
      <x:c r="M24" s="267">
        <x:v>0</x:v>
      </x:c>
      <x:c r="N24" s="267">
        <x:v>0</x:v>
      </x:c>
      <x:c r="O24" s="267">
        <x:v>0</x:v>
      </x:c>
      <x:c r="P24" s="267">
        <x:v>0</x:v>
      </x:c>
      <x:c r="Q24" s="267">
        <x:v>50</x:v>
      </x:c>
      <x:c r="R24" s="267">
        <x:v>0</x:v>
      </x:c>
      <x:c r="S24" s="267">
        <x:v>0</x:v>
      </x:c>
      <x:c r="T24" s="267">
        <x:v>0</x:v>
      </x:c>
      <x:c r="U24" s="267">
        <x:v>0</x:v>
      </x:c>
      <x:c r="V24" s="267">
        <x:v>0</x:v>
      </x:c>
      <x:c r="W24" s="267">
        <x:v>0</x:v>
      </x:c>
      <x:c r="X24" s="267">
        <x:v>0</x:v>
      </x:c>
      <x:c r="Y24" s="269">
        <x:f t="shared" si="0"/>
        <x:v>17.25</x:v>
      </x:c>
    </x:row>
    <x:row r="25">
      <x:c r="A25" s="148" t="s">
        <x:v>105</x:v>
      </x:c>
      <x:c r="B25">
        <x:v>2</x:v>
      </x:c>
      <x:c r="C25" s="148" t="s">
        <x:v>116</x:v>
      </x:c>
      <x:c r="D25">
        <x:v>213</x:v>
      </x:c>
      <x:c r="E25" s="267">
        <x:v>100</x:v>
      </x:c>
      <x:c r="F25" s="267">
        <x:v>100</x:v>
      </x:c>
      <x:c r="G25" s="267">
        <x:v>0</x:v>
      </x:c>
      <x:c r="H25" s="267">
        <x:v>0</x:v>
      </x:c>
      <x:c r="I25" s="267">
        <x:v>0</x:v>
      </x:c>
      <x:c r="J25" s="267">
        <x:v>0</x:v>
      </x:c>
      <x:c r="K25" s="267">
        <x:v>0</x:v>
      </x:c>
      <x:c r="L25" s="267">
        <x:v>95</x:v>
      </x:c>
      <x:c r="M25" s="267">
        <x:v>0</x:v>
      </x:c>
      <x:c r="N25" s="267">
        <x:v>0</x:v>
      </x:c>
      <x:c r="O25" s="267">
        <x:v>0</x:v>
      </x:c>
      <x:c r="P25" s="267">
        <x:v>0</x:v>
      </x:c>
      <x:c r="Q25" s="267">
        <x:v>50</x:v>
      </x:c>
      <x:c r="R25" s="267">
        <x:v>0</x:v>
      </x:c>
      <x:c r="S25" s="267">
        <x:v>0</x:v>
      </x:c>
      <x:c r="T25" s="267">
        <x:v>0</x:v>
      </x:c>
      <x:c r="U25" s="267">
        <x:v>0</x:v>
      </x:c>
      <x:c r="V25" s="267">
        <x:v>0</x:v>
      </x:c>
      <x:c r="W25" s="267">
        <x:v>0</x:v>
      </x:c>
      <x:c r="X25" s="267">
        <x:v>0</x:v>
      </x:c>
      <x:c r="Y25" s="269">
        <x:f t="shared" si="0"/>
        <x:v>17.25</x:v>
      </x:c>
    </x:row>
    <x:row r="26">
      <x:c r="A26" s="148" t="s">
        <x:v>105</x:v>
      </x:c>
      <x:c r="B26">
        <x:v>2</x:v>
      </x:c>
      <x:c r="C26" s="148" t="s">
        <x:v>116</x:v>
      </x:c>
      <x:c r="D26">
        <x:v>214</x:v>
      </x:c>
      <x:c r="E26" s="267">
        <x:v>100</x:v>
      </x:c>
      <x:c r="F26" s="267">
        <x:v>100</x:v>
      </x:c>
      <x:c r="G26" s="267">
        <x:v>0</x:v>
      </x:c>
      <x:c r="H26" s="267">
        <x:v>0</x:v>
      </x:c>
      <x:c r="I26" s="267">
        <x:v>0</x:v>
      </x:c>
      <x:c r="J26" s="267">
        <x:v>0</x:v>
      </x:c>
      <x:c r="K26" s="267">
        <x:v>0</x:v>
      </x:c>
      <x:c r="L26" s="267">
        <x:v>0</x:v>
      </x:c>
      <x:c r="M26" s="267">
        <x:v>0</x:v>
      </x:c>
      <x:c r="N26" s="267">
        <x:v>0</x:v>
      </x:c>
      <x:c r="O26" s="267">
        <x:v>0</x:v>
      </x:c>
      <x:c r="P26" s="267">
        <x:v>0</x:v>
      </x:c>
      <x:c r="Q26" s="267">
        <x:v>50</x:v>
      </x:c>
      <x:c r="R26" s="267">
        <x:v>0</x:v>
      </x:c>
      <x:c r="S26" s="267">
        <x:v>0</x:v>
      </x:c>
      <x:c r="T26" s="267">
        <x:v>0</x:v>
      </x:c>
      <x:c r="U26" s="267">
        <x:v>0</x:v>
      </x:c>
      <x:c r="V26" s="267">
        <x:v>0</x:v>
      </x:c>
      <x:c r="W26" s="267">
        <x:v>0</x:v>
      </x:c>
      <x:c r="X26" s="267">
        <x:v>0</x:v>
      </x:c>
      <x:c r="Y26" s="269">
        <x:f t="shared" si="0"/>
        <x:v>12.5</x:v>
      </x:c>
    </x:row>
    <x:row r="27">
      <x:c r="A27" s="148" t="s">
        <x:v>105</x:v>
      </x:c>
      <x:c r="B27">
        <x:v>2</x:v>
      </x:c>
      <x:c r="C27" s="148" t="s">
        <x:v>116</x:v>
      </x:c>
      <x:c r="D27">
        <x:v>215</x:v>
      </x:c>
      <x:c r="E27" s="267">
        <x:v>100</x:v>
      </x:c>
      <x:c r="F27" s="267">
        <x:v>100</x:v>
      </x:c>
      <x:c r="G27" s="267">
        <x:v>0</x:v>
      </x:c>
      <x:c r="H27" s="267">
        <x:v>0</x:v>
      </x:c>
      <x:c r="I27" s="267">
        <x:v>0</x:v>
      </x:c>
      <x:c r="J27" s="267">
        <x:v>0</x:v>
      </x:c>
      <x:c r="K27" s="267">
        <x:v>0</x:v>
      </x:c>
      <x:c r="L27" s="267">
        <x:v>0</x:v>
      </x:c>
      <x:c r="M27" s="267">
        <x:v>0</x:v>
      </x:c>
      <x:c r="N27" s="267">
        <x:v>0</x:v>
      </x:c>
      <x:c r="O27" s="267">
        <x:v>0</x:v>
      </x:c>
      <x:c r="P27" s="267">
        <x:v>0</x:v>
      </x:c>
      <x:c r="Q27" s="267">
        <x:v>0</x:v>
      </x:c>
      <x:c r="R27" s="267">
        <x:v>0</x:v>
      </x:c>
      <x:c r="S27" s="267">
        <x:v>0</x:v>
      </x:c>
      <x:c r="T27" s="267">
        <x:v>0</x:v>
      </x:c>
      <x:c r="U27" s="267">
        <x:v>0</x:v>
      </x:c>
      <x:c r="V27" s="267">
        <x:v>0</x:v>
      </x:c>
      <x:c r="W27" s="267">
        <x:v>0</x:v>
      </x:c>
      <x:c r="X27" s="267">
        <x:v>0</x:v>
      </x:c>
      <x:c r="Y27" s="269">
        <x:f t="shared" si="0"/>
        <x:v>10</x:v>
      </x:c>
    </x:row>
    <x:row r="28">
      <x:c r="A28" s="148" t="s">
        <x:v>105</x:v>
      </x:c>
      <x:c r="B28">
        <x:v>2</x:v>
      </x:c>
      <x:c r="C28" s="148" t="s">
        <x:v>116</x:v>
      </x:c>
      <x:c r="D28">
        <x:v>216</x:v>
      </x:c>
      <x:c r="E28" s="267">
        <x:v>100</x:v>
      </x:c>
      <x:c r="F28" s="267">
        <x:v>100</x:v>
      </x:c>
      <x:c r="G28" s="267">
        <x:v>0</x:v>
      </x:c>
      <x:c r="H28" s="267">
        <x:v>0</x:v>
      </x:c>
      <x:c r="I28" s="267">
        <x:v>0</x:v>
      </x:c>
      <x:c r="J28" s="267">
        <x:v>0</x:v>
      </x:c>
      <x:c r="K28" s="267">
        <x:v>0</x:v>
      </x:c>
      <x:c r="L28" s="267">
        <x:v>0</x:v>
      </x:c>
      <x:c r="M28" s="267">
        <x:v>0</x:v>
      </x:c>
      <x:c r="N28" s="267">
        <x:v>0</x:v>
      </x:c>
      <x:c r="O28" s="267">
        <x:v>0</x:v>
      </x:c>
      <x:c r="P28" s="267">
        <x:v>0</x:v>
      </x:c>
      <x:c r="Q28" s="267">
        <x:v>0</x:v>
      </x:c>
      <x:c r="R28" s="267">
        <x:v>0</x:v>
      </x:c>
      <x:c r="S28" s="267">
        <x:v>0</x:v>
      </x:c>
      <x:c r="T28" s="267">
        <x:v>0</x:v>
      </x:c>
      <x:c r="U28" s="267">
        <x:v>0</x:v>
      </x:c>
      <x:c r="V28" s="267">
        <x:v>0</x:v>
      </x:c>
      <x:c r="W28" s="267">
        <x:v>0</x:v>
      </x:c>
      <x:c r="X28" s="267">
        <x:v>0</x:v>
      </x:c>
      <x:c r="Y28" s="269">
        <x:f t="shared" si="0"/>
        <x:v>10</x:v>
      </x:c>
    </x:row>
    <x:row r="29">
      <x:c r="A29" s="148" t="s">
        <x:v>105</x:v>
      </x:c>
      <x:c r="B29">
        <x:v>2</x:v>
      </x:c>
      <x:c r="C29" s="148" t="s">
        <x:v>116</x:v>
      </x:c>
      <x:c r="D29">
        <x:v>217</x:v>
      </x:c>
      <x:c r="E29" s="267">
        <x:v>100</x:v>
      </x:c>
      <x:c r="F29" s="267">
        <x:v>100</x:v>
      </x:c>
      <x:c r="G29" s="267">
        <x:v>0</x:v>
      </x:c>
      <x:c r="H29" s="267">
        <x:v>0</x:v>
      </x:c>
      <x:c r="I29" s="267">
        <x:v>0</x:v>
      </x:c>
      <x:c r="J29" s="267">
        <x:v>0</x:v>
      </x:c>
      <x:c r="K29" s="267">
        <x:v>0</x:v>
      </x:c>
      <x:c r="L29" s="267">
        <x:v>0</x:v>
      </x:c>
      <x:c r="M29" s="267">
        <x:v>0</x:v>
      </x:c>
      <x:c r="N29" s="267">
        <x:v>0</x:v>
      </x:c>
      <x:c r="O29" s="267">
        <x:v>0</x:v>
      </x:c>
      <x:c r="P29" s="267">
        <x:v>0</x:v>
      </x:c>
      <x:c r="Q29" s="267">
        <x:v>0</x:v>
      </x:c>
      <x:c r="R29" s="267">
        <x:v>0</x:v>
      </x:c>
      <x:c r="S29" s="267">
        <x:v>0</x:v>
      </x:c>
      <x:c r="T29" s="267">
        <x:v>0</x:v>
      </x:c>
      <x:c r="U29" s="267">
        <x:v>0</x:v>
      </x:c>
      <x:c r="V29" s="267">
        <x:v>0</x:v>
      </x:c>
      <x:c r="W29" s="267">
        <x:v>0</x:v>
      </x:c>
      <x:c r="X29" s="267">
        <x:v>0</x:v>
      </x:c>
      <x:c r="Y29" s="269">
        <x:f t="shared" si="0"/>
        <x:v>10</x:v>
      </x:c>
    </x:row>
    <x:row r="30">
      <x:c r="A30" s="148" t="s">
        <x:v>105</x:v>
      </x:c>
      <x:c r="B30">
        <x:v>2</x:v>
      </x:c>
      <x:c r="C30" s="148" t="s">
        <x:v>116</x:v>
      </x:c>
      <x:c r="D30">
        <x:v>218</x:v>
      </x:c>
      <x:c r="E30" s="267">
        <x:v>100</x:v>
      </x:c>
      <x:c r="F30" s="267">
        <x:v>100</x:v>
      </x:c>
      <x:c r="G30" s="267">
        <x:v>0</x:v>
      </x:c>
      <x:c r="H30" s="267">
        <x:v>0</x:v>
      </x:c>
      <x:c r="I30" s="267">
        <x:v>0</x:v>
      </x:c>
      <x:c r="J30" s="267">
        <x:v>0</x:v>
      </x:c>
      <x:c r="K30" s="267">
        <x:v>0</x:v>
      </x:c>
      <x:c r="L30" s="267">
        <x:v>0</x:v>
      </x:c>
      <x:c r="M30" s="267">
        <x:v>0</x:v>
      </x:c>
      <x:c r="N30" s="267">
        <x:v>0</x:v>
      </x:c>
      <x:c r="O30" s="267">
        <x:v>0</x:v>
      </x:c>
      <x:c r="P30" s="267">
        <x:v>0</x:v>
      </x:c>
      <x:c r="Q30" s="267">
        <x:v>0</x:v>
      </x:c>
      <x:c r="R30" s="267">
        <x:v>0</x:v>
      </x:c>
      <x:c r="S30" s="267">
        <x:v>0</x:v>
      </x:c>
      <x:c r="T30" s="267">
        <x:v>0</x:v>
      </x:c>
      <x:c r="U30" s="267">
        <x:v>0</x:v>
      </x:c>
      <x:c r="V30" s="267">
        <x:v>0</x:v>
      </x:c>
      <x:c r="W30" s="267">
        <x:v>0</x:v>
      </x:c>
      <x:c r="X30" s="267">
        <x:v>0</x:v>
      </x:c>
      <x:c r="Y30" s="269">
        <x:f t="shared" si="0"/>
        <x:v>10</x:v>
      </x:c>
    </x:row>
    <x:row r="31">
      <x:c r="A31" s="148" t="s">
        <x:v>105</x:v>
      </x:c>
      <x:c r="B31">
        <x:v>2</x:v>
      </x:c>
      <x:c r="C31" s="148" t="s">
        <x:v>116</x:v>
      </x:c>
      <x:c r="D31">
        <x:v>219</x:v>
      </x:c>
      <x:c r="E31" s="267">
        <x:v>100</x:v>
      </x:c>
      <x:c r="F31" s="267">
        <x:v>100</x:v>
      </x:c>
      <x:c r="G31" s="267">
        <x:v>0</x:v>
      </x:c>
      <x:c r="H31" s="267">
        <x:v>0</x:v>
      </x:c>
      <x:c r="I31" s="267">
        <x:v>0</x:v>
      </x:c>
      <x:c r="J31" s="267">
        <x:v>0</x:v>
      </x:c>
      <x:c r="K31" s="267">
        <x:v>0</x:v>
      </x:c>
      <x:c r="L31" s="267">
        <x:v>0</x:v>
      </x:c>
      <x:c r="M31" s="267">
        <x:v>0</x:v>
      </x:c>
      <x:c r="N31" s="267">
        <x:v>0</x:v>
      </x:c>
      <x:c r="O31" s="267">
        <x:v>0</x:v>
      </x:c>
      <x:c r="P31" s="267">
        <x:v>0</x:v>
      </x:c>
      <x:c r="Q31" s="267">
        <x:v>0</x:v>
      </x:c>
      <x:c r="R31" s="267">
        <x:v>0</x:v>
      </x:c>
      <x:c r="S31" s="267">
        <x:v>0</x:v>
      </x:c>
      <x:c r="T31" s="267">
        <x:v>0</x:v>
      </x:c>
      <x:c r="U31" s="267">
        <x:v>0</x:v>
      </x:c>
      <x:c r="V31" s="267">
        <x:v>0</x:v>
      </x:c>
      <x:c r="W31" s="267">
        <x:v>0</x:v>
      </x:c>
      <x:c r="X31" s="267">
        <x:v>0</x:v>
      </x:c>
      <x:c r="Y31" s="269">
        <x:f t="shared" si="0"/>
        <x:v>10</x:v>
      </x:c>
    </x:row>
    <x:row r="32">
      <x:c r="A32" s="148" t="s">
        <x:v>105</x:v>
      </x:c>
      <x:c r="B32">
        <x:v>2</x:v>
      </x:c>
      <x:c r="C32" s="148" t="s">
        <x:v>116</x:v>
      </x:c>
      <x:c r="D32">
        <x:v>220</x:v>
      </x:c>
      <x:c r="E32" s="267">
        <x:v>100</x:v>
      </x:c>
      <x:c r="F32" s="267">
        <x:v>100</x:v>
      </x:c>
      <x:c r="G32" s="267">
        <x:v>0</x:v>
      </x:c>
      <x:c r="H32" s="267">
        <x:v>0</x:v>
      </x:c>
      <x:c r="I32" s="267">
        <x:v>0</x:v>
      </x:c>
      <x:c r="J32" s="267">
        <x:v>0</x:v>
      </x:c>
      <x:c r="K32" s="267">
        <x:v>0</x:v>
      </x:c>
      <x:c r="L32" s="267">
        <x:v>0</x:v>
      </x:c>
      <x:c r="M32" s="267">
        <x:v>0</x:v>
      </x:c>
      <x:c r="N32" s="267">
        <x:v>0</x:v>
      </x:c>
      <x:c r="O32" s="267">
        <x:v>0</x:v>
      </x:c>
      <x:c r="P32" s="267">
        <x:v>0</x:v>
      </x:c>
      <x:c r="Q32" s="267">
        <x:v>0</x:v>
      </x:c>
      <x:c r="R32" s="267">
        <x:v>0</x:v>
      </x:c>
      <x:c r="S32" s="267">
        <x:v>0</x:v>
      </x:c>
      <x:c r="T32" s="267">
        <x:v>0</x:v>
      </x:c>
      <x:c r="U32" s="267">
        <x:v>0</x:v>
      </x:c>
      <x:c r="V32" s="267">
        <x:v>0</x:v>
      </x:c>
      <x:c r="W32" s="267">
        <x:v>0</x:v>
      </x:c>
      <x:c r="X32" s="267">
        <x:v>0</x:v>
      </x:c>
      <x:c r="Y32" s="269">
        <x:f t="shared" si="0"/>
        <x:v>10</x:v>
      </x:c>
    </x:row>
    <x:row r="33">
      <x:c r="A33" s="148" t="s">
        <x:v>105</x:v>
      </x:c>
      <x:c r="B33">
        <x:v>2</x:v>
      </x:c>
      <x:c r="C33" s="148" t="s">
        <x:v>116</x:v>
      </x:c>
      <x:c r="D33">
        <x:v>221</x:v>
      </x:c>
      <x:c r="E33" s="267">
        <x:v>100</x:v>
      </x:c>
      <x:c r="F33" s="267">
        <x:v>100</x:v>
      </x:c>
      <x:c r="G33" s="267">
        <x:v>0</x:v>
      </x:c>
      <x:c r="H33" s="267">
        <x:v>0</x:v>
      </x:c>
      <x:c r="I33" s="267">
        <x:v>0</x:v>
      </x:c>
      <x:c r="J33" s="267">
        <x:v>0</x:v>
      </x:c>
      <x:c r="K33" s="267">
        <x:v>0</x:v>
      </x:c>
      <x:c r="L33" s="267">
        <x:v>0</x:v>
      </x:c>
      <x:c r="M33" s="267">
        <x:v>0</x:v>
      </x:c>
      <x:c r="N33" s="267">
        <x:v>0</x:v>
      </x:c>
      <x:c r="O33" s="267">
        <x:v>0</x:v>
      </x:c>
      <x:c r="P33" s="267">
        <x:v>0</x:v>
      </x:c>
      <x:c r="Q33" s="267">
        <x:v>0</x:v>
      </x:c>
      <x:c r="R33" s="267">
        <x:v>0</x:v>
      </x:c>
      <x:c r="S33" s="267">
        <x:v>0</x:v>
      </x:c>
      <x:c r="T33" s="267">
        <x:v>0</x:v>
      </x:c>
      <x:c r="U33" s="267">
        <x:v>0</x:v>
      </x:c>
      <x:c r="V33" s="267">
        <x:v>0</x:v>
      </x:c>
      <x:c r="W33" s="267">
        <x:v>0</x:v>
      </x:c>
      <x:c r="X33" s="267">
        <x:v>0</x:v>
      </x:c>
      <x:c r="Y33" s="269">
        <x:f t="shared" si="0"/>
        <x:v>10</x:v>
      </x:c>
    </x:row>
    <x:row r="34">
      <x:c r="A34" s="148" t="s">
        <x:v>105</x:v>
      </x:c>
      <x:c r="B34">
        <x:v>2</x:v>
      </x:c>
      <x:c r="C34" s="148" t="s">
        <x:v>116</x:v>
      </x:c>
      <x:c r="D34">
        <x:v>222</x:v>
      </x:c>
      <x:c r="E34" s="267">
        <x:v>100</x:v>
      </x:c>
      <x:c r="F34" s="267">
        <x:v>100</x:v>
      </x:c>
      <x:c r="G34" s="267">
        <x:v>0</x:v>
      </x:c>
      <x:c r="H34" s="267">
        <x:v>0</x:v>
      </x:c>
      <x:c r="I34" s="267">
        <x:v>0</x:v>
      </x:c>
      <x:c r="J34" s="267">
        <x:v>0</x:v>
      </x:c>
      <x:c r="K34" s="267">
        <x:v>0</x:v>
      </x:c>
      <x:c r="L34" s="267">
        <x:v>0</x:v>
      </x:c>
      <x:c r="M34" s="267">
        <x:v>0</x:v>
      </x:c>
      <x:c r="N34" s="267">
        <x:v>0</x:v>
      </x:c>
      <x:c r="O34" s="267">
        <x:v>0</x:v>
      </x:c>
      <x:c r="P34" s="267">
        <x:v>0</x:v>
      </x:c>
      <x:c r="Q34" s="267">
        <x:v>0</x:v>
      </x:c>
      <x:c r="R34" s="267">
        <x:v>0</x:v>
      </x:c>
      <x:c r="S34" s="267">
        <x:v>0</x:v>
      </x:c>
      <x:c r="T34" s="267">
        <x:v>0</x:v>
      </x:c>
      <x:c r="U34" s="267">
        <x:v>0</x:v>
      </x:c>
      <x:c r="V34" s="267">
        <x:v>0</x:v>
      </x:c>
      <x:c r="W34" s="267">
        <x:v>0</x:v>
      </x:c>
      <x:c r="X34" s="267">
        <x:v>0</x:v>
      </x:c>
      <x:c r="Y34" s="269">
        <x:f t="shared" si="0"/>
        <x:v>10</x:v>
      </x:c>
    </x:row>
    <x:row r="35">
      <x:c r="A35" s="148" t="s">
        <x:v>105</x:v>
      </x:c>
      <x:c r="B35">
        <x:v>2</x:v>
      </x:c>
      <x:c r="C35" s="148" t="s">
        <x:v>116</x:v>
      </x:c>
      <x:c r="D35">
        <x:v>223</x:v>
      </x:c>
      <x:c r="E35" s="267">
        <x:v>100</x:v>
      </x:c>
      <x:c r="F35" s="267">
        <x:v>100</x:v>
      </x:c>
      <x:c r="G35" s="267">
        <x:v>0</x:v>
      </x:c>
      <x:c r="H35" s="267">
        <x:v>0</x:v>
      </x:c>
      <x:c r="I35" s="267">
        <x:v>0</x:v>
      </x:c>
      <x:c r="J35" s="267">
        <x:v>0</x:v>
      </x:c>
      <x:c r="K35" s="267">
        <x:v>0</x:v>
      </x:c>
      <x:c r="L35" s="267">
        <x:v>0</x:v>
      </x:c>
      <x:c r="M35" s="267">
        <x:v>0</x:v>
      </x:c>
      <x:c r="N35" s="267">
        <x:v>0</x:v>
      </x:c>
      <x:c r="O35" s="267">
        <x:v>0</x:v>
      </x:c>
      <x:c r="P35" s="267">
        <x:v>0</x:v>
      </x:c>
      <x:c r="Q35" s="267">
        <x:v>0</x:v>
      </x:c>
      <x:c r="R35" s="267">
        <x:v>0</x:v>
      </x:c>
      <x:c r="S35" s="267">
        <x:v>0</x:v>
      </x:c>
      <x:c r="T35" s="267">
        <x:v>0</x:v>
      </x:c>
      <x:c r="U35" s="267">
        <x:v>0</x:v>
      </x:c>
      <x:c r="V35" s="267">
        <x:v>0</x:v>
      </x:c>
      <x:c r="W35" s="267">
        <x:v>0</x:v>
      </x:c>
      <x:c r="X35" s="267">
        <x:v>0</x:v>
      </x:c>
      <x:c r="Y35" s="269">
        <x:f t="shared" si="0"/>
        <x:v>10</x:v>
      </x:c>
    </x:row>
    <x:row r="36">
      <x:c r="A36" s="148" t="s">
        <x:v>105</x:v>
      </x:c>
      <x:c r="B36">
        <x:v>2</x:v>
      </x:c>
      <x:c r="C36" s="148" t="s">
        <x:v>115</x:v>
      </x:c>
      <x:c r="D36">
        <x:v>201</x:v>
      </x:c>
      <x:c r="E36" s="267">
        <x:v>100</x:v>
      </x:c>
      <x:c r="F36" s="267">
        <x:v>100</x:v>
      </x:c>
      <x:c r="G36" s="267">
        <x:v>100</x:v>
      </x:c>
      <x:c r="H36" s="267">
        <x:v>90</x:v>
      </x:c>
      <x:c r="I36" s="267">
        <x:v>100</x:v>
      </x:c>
      <x:c r="J36" s="267">
        <x:v>95</x:v>
      </x:c>
      <x:c r="K36" s="267">
        <x:v>100</x:v>
      </x:c>
      <x:c r="L36" s="267">
        <x:v>100</x:v>
      </x:c>
      <x:c r="M36" s="267">
        <x:v>100</x:v>
      </x:c>
      <x:c r="N36" s="267">
        <x:v>0</x:v>
      </x:c>
      <x:c r="O36" s="267">
        <x:v>0</x:v>
      </x:c>
      <x:c r="P36" s="267">
        <x:v>20</x:v>
      </x:c>
      <x:c r="Q36" s="267">
        <x:v>90</x:v>
      </x:c>
      <x:c r="R36" s="267">
        <x:v>80</x:v>
      </x:c>
      <x:c r="S36" s="267">
        <x:v>0</x:v>
      </x:c>
      <x:c r="T36" s="267">
        <x:v>0</x:v>
      </x:c>
      <x:c r="U36" s="267">
        <x:v>70</x:v>
      </x:c>
      <x:c r="V36" s="267">
        <x:v>0</x:v>
      </x:c>
      <x:c r="W36" s="267">
        <x:v>100</x:v>
      </x:c>
      <x:c r="X36" s="267">
        <x:v>0</x:v>
      </x:c>
      <x:c r="Y36" s="269">
        <x:f t="shared" si="0"/>
        <x:v>62.25</x:v>
      </x:c>
    </x:row>
    <x:row r="37">
      <x:c r="A37" s="148" t="s">
        <x:v>105</x:v>
      </x:c>
      <x:c r="B37">
        <x:v>2</x:v>
      </x:c>
      <x:c r="C37" s="148" t="s">
        <x:v>115</x:v>
      </x:c>
      <x:c r="D37">
        <x:v>202</x:v>
      </x:c>
      <x:c r="E37" s="267">
        <x:v>100</x:v>
      </x:c>
      <x:c r="F37" s="267">
        <x:v>100</x:v>
      </x:c>
      <x:c r="G37" s="267">
        <x:v>100</x:v>
      </x:c>
      <x:c r="H37" s="267">
        <x:v>90</x:v>
      </x:c>
      <x:c r="I37" s="267">
        <x:v>100</x:v>
      </x:c>
      <x:c r="J37" s="267">
        <x:v>95</x:v>
      </x:c>
      <x:c r="K37" s="267">
        <x:v>100</x:v>
      </x:c>
      <x:c r="L37" s="267">
        <x:v>100</x:v>
      </x:c>
      <x:c r="M37" s="267">
        <x:v>100</x:v>
      </x:c>
      <x:c r="N37" s="267">
        <x:v>0</x:v>
      </x:c>
      <x:c r="O37" s="267">
        <x:v>0</x:v>
      </x:c>
      <x:c r="P37" s="267">
        <x:v>20</x:v>
      </x:c>
      <x:c r="Q37" s="267">
        <x:v>90</x:v>
      </x:c>
      <x:c r="R37" s="267">
        <x:v>80</x:v>
      </x:c>
      <x:c r="S37" s="267">
        <x:v>0</x:v>
      </x:c>
      <x:c r="T37" s="267">
        <x:v>0</x:v>
      </x:c>
      <x:c r="U37" s="267">
        <x:v>70</x:v>
      </x:c>
      <x:c r="V37" s="267">
        <x:v>0</x:v>
      </x:c>
      <x:c r="W37" s="267">
        <x:v>100</x:v>
      </x:c>
      <x:c r="X37" s="267">
        <x:v>0</x:v>
      </x:c>
      <x:c r="Y37" s="269">
        <x:f t="shared" si="0"/>
        <x:v>62.25</x:v>
      </x:c>
    </x:row>
    <x:row r="38">
      <x:c r="A38" s="148" t="s">
        <x:v>105</x:v>
      </x:c>
      <x:c r="B38">
        <x:v>2</x:v>
      </x:c>
      <x:c r="C38" s="148" t="s">
        <x:v>115</x:v>
      </x:c>
      <x:c r="D38">
        <x:v>203</x:v>
      </x:c>
      <x:c r="E38" s="267">
        <x:v>100</x:v>
      </x:c>
      <x:c r="F38" s="267">
        <x:v>100</x:v>
      </x:c>
      <x:c r="G38" s="267">
        <x:v>100</x:v>
      </x:c>
      <x:c r="H38" s="267">
        <x:v>90</x:v>
      </x:c>
      <x:c r="I38" s="267">
        <x:v>100</x:v>
      </x:c>
      <x:c r="J38" s="267">
        <x:v>95</x:v>
      </x:c>
      <x:c r="K38" s="267">
        <x:v>100</x:v>
      </x:c>
      <x:c r="L38" s="267">
        <x:v>100</x:v>
      </x:c>
      <x:c r="M38" s="267">
        <x:v>100</x:v>
      </x:c>
      <x:c r="N38" s="267">
        <x:v>0</x:v>
      </x:c>
      <x:c r="O38" s="267">
        <x:v>0</x:v>
      </x:c>
      <x:c r="P38" s="267">
        <x:v>20</x:v>
      </x:c>
      <x:c r="Q38" s="267">
        <x:v>90</x:v>
      </x:c>
      <x:c r="R38" s="267">
        <x:v>80</x:v>
      </x:c>
      <x:c r="S38" s="267">
        <x:v>0</x:v>
      </x:c>
      <x:c r="T38" s="267">
        <x:v>0</x:v>
      </x:c>
      <x:c r="U38" s="267">
        <x:v>70</x:v>
      </x:c>
      <x:c r="V38" s="267">
        <x:v>0</x:v>
      </x:c>
      <x:c r="W38" s="267">
        <x:v>100</x:v>
      </x:c>
      <x:c r="X38" s="267">
        <x:v>0</x:v>
      </x:c>
      <x:c r="Y38" s="269">
        <x:f t="shared" si="0"/>
        <x:v>62.25</x:v>
      </x:c>
    </x:row>
    <x:row r="39">
      <x:c r="A39" s="148" t="s">
        <x:v>105</x:v>
      </x:c>
      <x:c r="B39">
        <x:v>2</x:v>
      </x:c>
      <x:c r="C39" s="148" t="s">
        <x:v>115</x:v>
      </x:c>
      <x:c r="D39">
        <x:v>204</x:v>
      </x:c>
      <x:c r="E39" s="267">
        <x:v>100</x:v>
      </x:c>
      <x:c r="F39" s="267">
        <x:v>100</x:v>
      </x:c>
      <x:c r="G39" s="267">
        <x:v>100</x:v>
      </x:c>
      <x:c r="H39" s="267">
        <x:v>50</x:v>
      </x:c>
      <x:c r="I39" s="267">
        <x:v>100</x:v>
      </x:c>
      <x:c r="J39" s="267">
        <x:v>95</x:v>
      </x:c>
      <x:c r="K39" s="267">
        <x:v>100</x:v>
      </x:c>
      <x:c r="L39" s="267">
        <x:v>100</x:v>
      </x:c>
      <x:c r="M39" s="267">
        <x:v>100</x:v>
      </x:c>
      <x:c r="N39" s="267">
        <x:v>0</x:v>
      </x:c>
      <x:c r="O39" s="267">
        <x:v>0</x:v>
      </x:c>
      <x:c r="P39" s="267">
        <x:v>20</x:v>
      </x:c>
      <x:c r="Q39" s="267">
        <x:v>90</x:v>
      </x:c>
      <x:c r="R39" s="267">
        <x:v>80</x:v>
      </x:c>
      <x:c r="S39" s="267">
        <x:v>0</x:v>
      </x:c>
      <x:c r="T39" s="267">
        <x:v>0</x:v>
      </x:c>
      <x:c r="U39" s="267">
        <x:v>70</x:v>
      </x:c>
      <x:c r="V39" s="267">
        <x:v>0</x:v>
      </x:c>
      <x:c r="W39" s="267">
        <x:v>100</x:v>
      </x:c>
      <x:c r="X39" s="267">
        <x:v>0</x:v>
      </x:c>
      <x:c r="Y39" s="269">
        <x:f t="shared" si="0"/>
        <x:v>60.25</x:v>
      </x:c>
    </x:row>
    <x:row r="40">
      <x:c r="A40" s="148" t="s">
        <x:v>105</x:v>
      </x:c>
      <x:c r="B40">
        <x:v>2</x:v>
      </x:c>
      <x:c r="C40" s="148" t="s">
        <x:v>115</x:v>
      </x:c>
      <x:c r="D40">
        <x:v>205</x:v>
      </x:c>
      <x:c r="E40" s="267">
        <x:v>100</x:v>
      </x:c>
      <x:c r="F40" s="267">
        <x:v>100</x:v>
      </x:c>
      <x:c r="G40" s="267">
        <x:v>100</x:v>
      </x:c>
      <x:c r="H40" s="267">
        <x:v>50</x:v>
      </x:c>
      <x:c r="I40" s="267">
        <x:v>100</x:v>
      </x:c>
      <x:c r="J40" s="267">
        <x:v>95</x:v>
      </x:c>
      <x:c r="K40" s="267">
        <x:v>100</x:v>
      </x:c>
      <x:c r="L40" s="267">
        <x:v>100</x:v>
      </x:c>
      <x:c r="M40" s="267">
        <x:v>100</x:v>
      </x:c>
      <x:c r="N40" s="267">
        <x:v>0</x:v>
      </x:c>
      <x:c r="O40" s="267">
        <x:v>0</x:v>
      </x:c>
      <x:c r="P40" s="267">
        <x:v>20</x:v>
      </x:c>
      <x:c r="Q40" s="267">
        <x:v>90</x:v>
      </x:c>
      <x:c r="R40" s="267">
        <x:v>80</x:v>
      </x:c>
      <x:c r="S40" s="267">
        <x:v>0</x:v>
      </x:c>
      <x:c r="T40" s="267">
        <x:v>0</x:v>
      </x:c>
      <x:c r="U40" s="267">
        <x:v>70</x:v>
      </x:c>
      <x:c r="V40" s="267">
        <x:v>0</x:v>
      </x:c>
      <x:c r="W40" s="267">
        <x:v>100</x:v>
      </x:c>
      <x:c r="X40" s="267">
        <x:v>0</x:v>
      </x:c>
      <x:c r="Y40" s="269">
        <x:f t="shared" si="0"/>
        <x:v>60.25</x:v>
      </x:c>
    </x:row>
    <x:row r="41">
      <x:c r="A41" s="148" t="s">
        <x:v>105</x:v>
      </x:c>
      <x:c r="B41">
        <x:v>2</x:v>
      </x:c>
      <x:c r="C41" s="148" t="s">
        <x:v>115</x:v>
      </x:c>
      <x:c r="D41">
        <x:v>206</x:v>
      </x:c>
      <x:c r="E41" s="267">
        <x:v>100</x:v>
      </x:c>
      <x:c r="F41" s="267">
        <x:v>100</x:v>
      </x:c>
      <x:c r="G41" s="267">
        <x:v>100</x:v>
      </x:c>
      <x:c r="H41" s="267">
        <x:v>80</x:v>
      </x:c>
      <x:c r="I41" s="267">
        <x:v>100</x:v>
      </x:c>
      <x:c r="J41" s="267">
        <x:v>95</x:v>
      </x:c>
      <x:c r="K41" s="267">
        <x:v>100</x:v>
      </x:c>
      <x:c r="L41" s="267">
        <x:v>100</x:v>
      </x:c>
      <x:c r="M41" s="267">
        <x:v>100</x:v>
      </x:c>
      <x:c r="N41" s="267">
        <x:v>0</x:v>
      </x:c>
      <x:c r="O41" s="267">
        <x:v>0</x:v>
      </x:c>
      <x:c r="P41" s="267">
        <x:v>20</x:v>
      </x:c>
      <x:c r="Q41" s="267">
        <x:v>90</x:v>
      </x:c>
      <x:c r="R41" s="267">
        <x:v>80</x:v>
      </x:c>
      <x:c r="S41" s="267">
        <x:v>0</x:v>
      </x:c>
      <x:c r="T41" s="267">
        <x:v>0</x:v>
      </x:c>
      <x:c r="U41" s="267">
        <x:v>70</x:v>
      </x:c>
      <x:c r="V41" s="267">
        <x:v>0</x:v>
      </x:c>
      <x:c r="W41" s="267">
        <x:v>100</x:v>
      </x:c>
      <x:c r="X41" s="267">
        <x:v>0</x:v>
      </x:c>
      <x:c r="Y41" s="269">
        <x:f t="shared" si="0"/>
        <x:v>61.75</x:v>
      </x:c>
    </x:row>
    <x:row r="42">
      <x:c r="A42" s="148" t="s">
        <x:v>105</x:v>
      </x:c>
      <x:c r="B42">
        <x:v>2</x:v>
      </x:c>
      <x:c r="C42" s="148" t="s">
        <x:v>115</x:v>
      </x:c>
      <x:c r="D42">
        <x:v>207</x:v>
      </x:c>
      <x:c r="E42" s="267">
        <x:v>100</x:v>
      </x:c>
      <x:c r="F42" s="267">
        <x:v>100</x:v>
      </x:c>
      <x:c r="G42" s="267">
        <x:v>100</x:v>
      </x:c>
      <x:c r="H42" s="267">
        <x:v>90</x:v>
      </x:c>
      <x:c r="I42" s="267">
        <x:v>100</x:v>
      </x:c>
      <x:c r="J42" s="267">
        <x:v>95</x:v>
      </x:c>
      <x:c r="K42" s="267">
        <x:v>100</x:v>
      </x:c>
      <x:c r="L42" s="267">
        <x:v>100</x:v>
      </x:c>
      <x:c r="M42" s="267">
        <x:v>100</x:v>
      </x:c>
      <x:c r="N42" s="267">
        <x:v>0</x:v>
      </x:c>
      <x:c r="O42" s="267">
        <x:v>0</x:v>
      </x:c>
      <x:c r="P42" s="267">
        <x:v>20</x:v>
      </x:c>
      <x:c r="Q42" s="267">
        <x:v>90</x:v>
      </x:c>
      <x:c r="R42" s="267">
        <x:v>80</x:v>
      </x:c>
      <x:c r="S42" s="267">
        <x:v>0</x:v>
      </x:c>
      <x:c r="T42" s="267">
        <x:v>0</x:v>
      </x:c>
      <x:c r="U42" s="267">
        <x:v>70</x:v>
      </x:c>
      <x:c r="V42" s="267">
        <x:v>0</x:v>
      </x:c>
      <x:c r="W42" s="267">
        <x:v>100</x:v>
      </x:c>
      <x:c r="X42" s="267">
        <x:v>0</x:v>
      </x:c>
      <x:c r="Y42" s="269">
        <x:f t="shared" si="0"/>
        <x:v>62.25</x:v>
      </x:c>
    </x:row>
    <x:row r="43">
      <x:c r="A43" s="148" t="s">
        <x:v>105</x:v>
      </x:c>
      <x:c r="B43">
        <x:v>2</x:v>
      </x:c>
      <x:c r="C43" s="148" t="s">
        <x:v>115</x:v>
      </x:c>
      <x:c r="D43">
        <x:v>208</x:v>
      </x:c>
      <x:c r="E43" s="267">
        <x:v>100</x:v>
      </x:c>
      <x:c r="F43" s="267">
        <x:v>100</x:v>
      </x:c>
      <x:c r="G43" s="267">
        <x:v>100</x:v>
      </x:c>
      <x:c r="H43" s="267">
        <x:v>90</x:v>
      </x:c>
      <x:c r="I43" s="267">
        <x:v>100</x:v>
      </x:c>
      <x:c r="J43" s="267">
        <x:v>95</x:v>
      </x:c>
      <x:c r="K43" s="267">
        <x:v>100</x:v>
      </x:c>
      <x:c r="L43" s="267">
        <x:v>100</x:v>
      </x:c>
      <x:c r="M43" s="267">
        <x:v>100</x:v>
      </x:c>
      <x:c r="N43" s="267">
        <x:v>0</x:v>
      </x:c>
      <x:c r="O43" s="267">
        <x:v>0</x:v>
      </x:c>
      <x:c r="P43" s="267">
        <x:v>20</x:v>
      </x:c>
      <x:c r="Q43" s="267">
        <x:v>70</x:v>
      </x:c>
      <x:c r="R43" s="267">
        <x:v>80</x:v>
      </x:c>
      <x:c r="S43" s="267">
        <x:v>0</x:v>
      </x:c>
      <x:c r="T43" s="267">
        <x:v>0</x:v>
      </x:c>
      <x:c r="U43" s="267">
        <x:v>0</x:v>
      </x:c>
      <x:c r="V43" s="267">
        <x:v>0</x:v>
      </x:c>
      <x:c r="W43" s="267">
        <x:v>100</x:v>
      </x:c>
      <x:c r="X43" s="267">
        <x:v>0</x:v>
      </x:c>
      <x:c r="Y43" s="269">
        <x:f t="shared" si="0"/>
        <x:v>57.75</x:v>
      </x:c>
    </x:row>
    <x:row r="44">
      <x:c r="A44" s="148" t="s">
        <x:v>105</x:v>
      </x:c>
      <x:c r="B44">
        <x:v>2</x:v>
      </x:c>
      <x:c r="C44" s="148" t="s">
        <x:v>115</x:v>
      </x:c>
      <x:c r="D44">
        <x:v>209</x:v>
      </x:c>
      <x:c r="E44" s="267">
        <x:v>100</x:v>
      </x:c>
      <x:c r="F44" s="267">
        <x:v>100</x:v>
      </x:c>
      <x:c r="G44" s="267">
        <x:v>100</x:v>
      </x:c>
      <x:c r="H44" s="267">
        <x:v>90</x:v>
      </x:c>
      <x:c r="I44" s="267">
        <x:v>100</x:v>
      </x:c>
      <x:c r="J44" s="267">
        <x:v>95</x:v>
      </x:c>
      <x:c r="K44" s="267">
        <x:v>100</x:v>
      </x:c>
      <x:c r="L44" s="267">
        <x:v>100</x:v>
      </x:c>
      <x:c r="M44" s="267">
        <x:v>100</x:v>
      </x:c>
      <x:c r="N44" s="267">
        <x:v>0</x:v>
      </x:c>
      <x:c r="O44" s="267">
        <x:v>0</x:v>
      </x:c>
      <x:c r="P44" s="267">
        <x:v>0</x:v>
      </x:c>
      <x:c r="Q44" s="267">
        <x:v>70</x:v>
      </x:c>
      <x:c r="R44" s="267">
        <x:v>80</x:v>
      </x:c>
      <x:c r="S44" s="267">
        <x:v>0</x:v>
      </x:c>
      <x:c r="T44" s="267">
        <x:v>0</x:v>
      </x:c>
      <x:c r="U44" s="267">
        <x:v>0</x:v>
      </x:c>
      <x:c r="V44" s="267">
        <x:v>0</x:v>
      </x:c>
      <x:c r="W44" s="267">
        <x:v>0</x:v>
      </x:c>
      <x:c r="X44" s="267">
        <x:v>0</x:v>
      </x:c>
      <x:c r="Y44" s="269">
        <x:f t="shared" si="0"/>
        <x:v>51.75</x:v>
      </x:c>
    </x:row>
    <x:row r="45">
      <x:c r="A45" s="148" t="s">
        <x:v>105</x:v>
      </x:c>
      <x:c r="B45">
        <x:v>2</x:v>
      </x:c>
      <x:c r="C45" s="148" t="s">
        <x:v>115</x:v>
      </x:c>
      <x:c r="D45">
        <x:v>210</x:v>
      </x:c>
      <x:c r="E45" s="267">
        <x:v>100</x:v>
      </x:c>
      <x:c r="F45" s="267">
        <x:v>100</x:v>
      </x:c>
      <x:c r="G45" s="267">
        <x:v>20</x:v>
      </x:c>
      <x:c r="H45" s="267">
        <x:v>90</x:v>
      </x:c>
      <x:c r="I45" s="267">
        <x:v>100</x:v>
      </x:c>
      <x:c r="J45" s="267">
        <x:v>0</x:v>
      </x:c>
      <x:c r="K45" s="267">
        <x:v>100</x:v>
      </x:c>
      <x:c r="L45" s="267">
        <x:v>100</x:v>
      </x:c>
      <x:c r="M45" s="267">
        <x:v>100</x:v>
      </x:c>
      <x:c r="N45" s="267">
        <x:v>0</x:v>
      </x:c>
      <x:c r="O45" s="267">
        <x:v>0</x:v>
      </x:c>
      <x:c r="P45" s="267">
        <x:v>0</x:v>
      </x:c>
      <x:c r="Q45" s="267">
        <x:v>70</x:v>
      </x:c>
      <x:c r="R45" s="267">
        <x:v>80</x:v>
      </x:c>
      <x:c r="S45" s="267">
        <x:v>0</x:v>
      </x:c>
      <x:c r="T45" s="267">
        <x:v>0</x:v>
      </x:c>
      <x:c r="U45" s="267">
        <x:v>0</x:v>
      </x:c>
      <x:c r="V45" s="267">
        <x:v>0</x:v>
      </x:c>
      <x:c r="W45" s="267">
        <x:v>0</x:v>
      </x:c>
      <x:c r="X45" s="267">
        <x:v>0</x:v>
      </x:c>
      <x:c r="Y45" s="269">
        <x:f t="shared" si="0"/>
        <x:v>43</x:v>
      </x:c>
    </x:row>
    <x:row r="46">
      <x:c r="A46" s="148" t="s">
        <x:v>105</x:v>
      </x:c>
      <x:c r="B46">
        <x:v>2</x:v>
      </x:c>
      <x:c r="C46" s="148" t="s">
        <x:v>115</x:v>
      </x:c>
      <x:c r="D46">
        <x:v>211</x:v>
      </x:c>
      <x:c r="E46" s="267">
        <x:v>100</x:v>
      </x:c>
      <x:c r="F46" s="267">
        <x:v>100</x:v>
      </x:c>
      <x:c r="G46" s="267">
        <x:v>20</x:v>
      </x:c>
      <x:c r="H46" s="267">
        <x:v>90</x:v>
      </x:c>
      <x:c r="I46" s="267">
        <x:v>100</x:v>
      </x:c>
      <x:c r="J46" s="267">
        <x:v>0</x:v>
      </x:c>
      <x:c r="K46" s="267">
        <x:v>100</x:v>
      </x:c>
      <x:c r="L46" s="267">
        <x:v>100</x:v>
      </x:c>
      <x:c r="M46" s="267">
        <x:v>95</x:v>
      </x:c>
      <x:c r="N46" s="267">
        <x:v>0</x:v>
      </x:c>
      <x:c r="O46" s="267">
        <x:v>0</x:v>
      </x:c>
      <x:c r="P46" s="267">
        <x:v>0</x:v>
      </x:c>
      <x:c r="Q46" s="267">
        <x:v>70</x:v>
      </x:c>
      <x:c r="R46" s="267">
        <x:v>80</x:v>
      </x:c>
      <x:c r="S46" s="267">
        <x:v>0</x:v>
      </x:c>
      <x:c r="T46" s="267">
        <x:v>0</x:v>
      </x:c>
      <x:c r="U46" s="267">
        <x:v>0</x:v>
      </x:c>
      <x:c r="V46" s="267">
        <x:v>0</x:v>
      </x:c>
      <x:c r="W46" s="267">
        <x:v>0</x:v>
      </x:c>
      <x:c r="X46" s="267">
        <x:v>0</x:v>
      </x:c>
      <x:c r="Y46" s="269">
        <x:f t="shared" si="0"/>
        <x:v>42.75</x:v>
      </x:c>
    </x:row>
    <x:row r="47">
      <x:c r="A47" s="148" t="s">
        <x:v>105</x:v>
      </x:c>
      <x:c r="B47">
        <x:v>2</x:v>
      </x:c>
      <x:c r="C47" s="148" t="s">
        <x:v>115</x:v>
      </x:c>
      <x:c r="D47">
        <x:v>212</x:v>
      </x:c>
      <x:c r="E47" s="267">
        <x:v>100</x:v>
      </x:c>
      <x:c r="F47" s="267">
        <x:v>100</x:v>
      </x:c>
      <x:c r="G47" s="267">
        <x:v>20</x:v>
      </x:c>
      <x:c r="H47" s="267">
        <x:v>90</x:v>
      </x:c>
      <x:c r="I47" s="267">
        <x:v>100</x:v>
      </x:c>
      <x:c r="J47" s="267">
        <x:v>0</x:v>
      </x:c>
      <x:c r="K47" s="267">
        <x:v>100</x:v>
      </x:c>
      <x:c r="L47" s="267">
        <x:v>100</x:v>
      </x:c>
      <x:c r="M47" s="267">
        <x:v>95</x:v>
      </x:c>
      <x:c r="N47" s="267">
        <x:v>0</x:v>
      </x:c>
      <x:c r="O47" s="267">
        <x:v>0</x:v>
      </x:c>
      <x:c r="P47" s="267">
        <x:v>0</x:v>
      </x:c>
      <x:c r="Q47" s="267">
        <x:v>70</x:v>
      </x:c>
      <x:c r="R47" s="267">
        <x:v>0</x:v>
      </x:c>
      <x:c r="S47" s="267">
        <x:v>0</x:v>
      </x:c>
      <x:c r="T47" s="267">
        <x:v>0</x:v>
      </x:c>
      <x:c r="U47" s="267">
        <x:v>0</x:v>
      </x:c>
      <x:c r="V47" s="267">
        <x:v>0</x:v>
      </x:c>
      <x:c r="W47" s="267">
        <x:v>0</x:v>
      </x:c>
      <x:c r="X47" s="267">
        <x:v>0</x:v>
      </x:c>
      <x:c r="Y47" s="269">
        <x:f t="shared" si="0"/>
        <x:v>38.75</x:v>
      </x:c>
    </x:row>
    <x:row r="48">
      <x:c r="A48" s="148" t="s">
        <x:v>105</x:v>
      </x:c>
      <x:c r="B48">
        <x:v>2</x:v>
      </x:c>
      <x:c r="C48" s="148" t="s">
        <x:v>115</x:v>
      </x:c>
      <x:c r="D48">
        <x:v>213</x:v>
      </x:c>
      <x:c r="E48" s="267">
        <x:v>100</x:v>
      </x:c>
      <x:c r="F48" s="267">
        <x:v>100</x:v>
      </x:c>
      <x:c r="G48" s="267">
        <x:v>20</x:v>
      </x:c>
      <x:c r="H48" s="267">
        <x:v>90</x:v>
      </x:c>
      <x:c r="I48" s="267">
        <x:v>100</x:v>
      </x:c>
      <x:c r="J48" s="267">
        <x:v>0</x:v>
      </x:c>
      <x:c r="K48" s="267">
        <x:v>100</x:v>
      </x:c>
      <x:c r="L48" s="267">
        <x:v>100</x:v>
      </x:c>
      <x:c r="M48" s="267">
        <x:v>95</x:v>
      </x:c>
      <x:c r="N48" s="267">
        <x:v>0</x:v>
      </x:c>
      <x:c r="O48" s="267">
        <x:v>0</x:v>
      </x:c>
      <x:c r="P48" s="267">
        <x:v>0</x:v>
      </x:c>
      <x:c r="Q48" s="267">
        <x:v>70</x:v>
      </x:c>
      <x:c r="R48" s="267">
        <x:v>0</x:v>
      </x:c>
      <x:c r="S48" s="267">
        <x:v>0</x:v>
      </x:c>
      <x:c r="T48" s="267">
        <x:v>0</x:v>
      </x:c>
      <x:c r="U48" s="267">
        <x:v>0</x:v>
      </x:c>
      <x:c r="V48" s="267">
        <x:v>0</x:v>
      </x:c>
      <x:c r="W48" s="267">
        <x:v>0</x:v>
      </x:c>
      <x:c r="X48" s="267">
        <x:v>0</x:v>
      </x:c>
      <x:c r="Y48" s="269">
        <x:f t="shared" si="0"/>
        <x:v>38.75</x:v>
      </x:c>
    </x:row>
    <x:row r="49">
      <x:c r="A49" s="148" t="s">
        <x:v>105</x:v>
      </x:c>
      <x:c r="B49">
        <x:v>2</x:v>
      </x:c>
      <x:c r="C49" s="148" t="s">
        <x:v>115</x:v>
      </x:c>
      <x:c r="D49">
        <x:v>214</x:v>
      </x:c>
      <x:c r="E49" s="267">
        <x:v>100</x:v>
      </x:c>
      <x:c r="F49" s="267">
        <x:v>100</x:v>
      </x:c>
      <x:c r="G49" s="267">
        <x:v>20</x:v>
      </x:c>
      <x:c r="H49" s="267">
        <x:v>90</x:v>
      </x:c>
      <x:c r="I49" s="267">
        <x:v>0</x:v>
      </x:c>
      <x:c r="J49" s="267">
        <x:v>0</x:v>
      </x:c>
      <x:c r="K49" s="267">
        <x:v>100</x:v>
      </x:c>
      <x:c r="L49" s="267">
        <x:v>100</x:v>
      </x:c>
      <x:c r="M49" s="267">
        <x:v>95</x:v>
      </x:c>
      <x:c r="N49" s="267">
        <x:v>0</x:v>
      </x:c>
      <x:c r="O49" s="267">
        <x:v>0</x:v>
      </x:c>
      <x:c r="P49" s="267">
        <x:v>0</x:v>
      </x:c>
      <x:c r="Q49" s="267">
        <x:v>70</x:v>
      </x:c>
      <x:c r="R49" s="267">
        <x:v>0</x:v>
      </x:c>
      <x:c r="S49" s="267">
        <x:v>0</x:v>
      </x:c>
      <x:c r="T49" s="267">
        <x:v>0</x:v>
      </x:c>
      <x:c r="U49" s="267">
        <x:v>0</x:v>
      </x:c>
      <x:c r="V49" s="267">
        <x:v>0</x:v>
      </x:c>
      <x:c r="W49" s="267">
        <x:v>0</x:v>
      </x:c>
      <x:c r="X49" s="267">
        <x:v>0</x:v>
      </x:c>
      <x:c r="Y49" s="269">
        <x:f t="shared" si="0"/>
        <x:v>33.75</x:v>
      </x:c>
    </x:row>
    <x:row r="50">
      <x:c r="A50" s="148" t="s">
        <x:v>105</x:v>
      </x:c>
      <x:c r="B50">
        <x:v>2</x:v>
      </x:c>
      <x:c r="C50" s="148" t="s">
        <x:v>115</x:v>
      </x:c>
      <x:c r="D50">
        <x:v>215</x:v>
      </x:c>
      <x:c r="E50" s="267">
        <x:v>100</x:v>
      </x:c>
      <x:c r="F50" s="267">
        <x:v>100</x:v>
      </x:c>
      <x:c r="G50" s="267">
        <x:v>20</x:v>
      </x:c>
      <x:c r="H50" s="267">
        <x:v>90</x:v>
      </x:c>
      <x:c r="I50" s="267">
        <x:v>0</x:v>
      </x:c>
      <x:c r="J50" s="267">
        <x:v>0</x:v>
      </x:c>
      <x:c r="K50" s="267">
        <x:v>100</x:v>
      </x:c>
      <x:c r="L50" s="267">
        <x:v>100</x:v>
      </x:c>
      <x:c r="M50" s="267">
        <x:v>95</x:v>
      </x:c>
      <x:c r="N50" s="267">
        <x:v>0</x:v>
      </x:c>
      <x:c r="O50" s="267">
        <x:v>0</x:v>
      </x:c>
      <x:c r="P50" s="267">
        <x:v>0</x:v>
      </x:c>
      <x:c r="Q50" s="267">
        <x:v>70</x:v>
      </x:c>
      <x:c r="R50" s="267">
        <x:v>0</x:v>
      </x:c>
      <x:c r="S50" s="267">
        <x:v>0</x:v>
      </x:c>
      <x:c r="T50" s="267">
        <x:v>0</x:v>
      </x:c>
      <x:c r="U50" s="267">
        <x:v>0</x:v>
      </x:c>
      <x:c r="V50" s="267">
        <x:v>0</x:v>
      </x:c>
      <x:c r="W50" s="267">
        <x:v>0</x:v>
      </x:c>
      <x:c r="X50" s="267">
        <x:v>0</x:v>
      </x:c>
      <x:c r="Y50" s="269">
        <x:f t="shared" si="0"/>
        <x:v>33.75</x:v>
      </x:c>
    </x:row>
    <x:row r="51">
      <x:c r="A51" s="148" t="s">
        <x:v>105</x:v>
      </x:c>
      <x:c r="B51">
        <x:v>2</x:v>
      </x:c>
      <x:c r="C51" s="148" t="s">
        <x:v>115</x:v>
      </x:c>
      <x:c r="D51">
        <x:v>216</x:v>
      </x:c>
      <x:c r="E51" s="267">
        <x:v>100</x:v>
      </x:c>
      <x:c r="F51" s="267">
        <x:v>100</x:v>
      </x:c>
      <x:c r="G51" s="267">
        <x:v>20</x:v>
      </x:c>
      <x:c r="H51" s="267">
        <x:v>90</x:v>
      </x:c>
      <x:c r="I51" s="267">
        <x:v>100</x:v>
      </x:c>
      <x:c r="J51" s="267">
        <x:v>0</x:v>
      </x:c>
      <x:c r="K51" s="267">
        <x:v>100</x:v>
      </x:c>
      <x:c r="L51" s="267">
        <x:v>100</x:v>
      </x:c>
      <x:c r="M51" s="267">
        <x:v>95</x:v>
      </x:c>
      <x:c r="N51" s="267">
        <x:v>0</x:v>
      </x:c>
      <x:c r="O51" s="267">
        <x:v>0</x:v>
      </x:c>
      <x:c r="P51" s="267">
        <x:v>0</x:v>
      </x:c>
      <x:c r="Q51" s="267">
        <x:v>70</x:v>
      </x:c>
      <x:c r="R51" s="267">
        <x:v>0</x:v>
      </x:c>
      <x:c r="S51" s="267">
        <x:v>0</x:v>
      </x:c>
      <x:c r="T51" s="267">
        <x:v>0</x:v>
      </x:c>
      <x:c r="U51" s="267">
        <x:v>0</x:v>
      </x:c>
      <x:c r="V51" s="267">
        <x:v>0</x:v>
      </x:c>
      <x:c r="W51" s="267">
        <x:v>0</x:v>
      </x:c>
      <x:c r="X51" s="267">
        <x:v>0</x:v>
      </x:c>
      <x:c r="Y51" s="269">
        <x:f t="shared" si="0"/>
        <x:v>38.75</x:v>
      </x:c>
    </x:row>
    <x:row r="52">
      <x:c r="A52" s="148" t="s">
        <x:v>105</x:v>
      </x:c>
      <x:c r="B52">
        <x:v>2</x:v>
      </x:c>
      <x:c r="C52" s="148" t="s">
        <x:v>115</x:v>
      </x:c>
      <x:c r="D52">
        <x:v>217</x:v>
      </x:c>
      <x:c r="E52" s="267">
        <x:v>100</x:v>
      </x:c>
      <x:c r="F52" s="267">
        <x:v>100</x:v>
      </x:c>
      <x:c r="G52" s="267">
        <x:v>20</x:v>
      </x:c>
      <x:c r="H52" s="267">
        <x:v>90</x:v>
      </x:c>
      <x:c r="I52" s="267">
        <x:v>100</x:v>
      </x:c>
      <x:c r="J52" s="267">
        <x:v>0</x:v>
      </x:c>
      <x:c r="K52" s="267">
        <x:v>100</x:v>
      </x:c>
      <x:c r="L52" s="267">
        <x:v>100</x:v>
      </x:c>
      <x:c r="M52" s="267">
        <x:v>95</x:v>
      </x:c>
      <x:c r="N52" s="267">
        <x:v>0</x:v>
      </x:c>
      <x:c r="O52" s="267">
        <x:v>0</x:v>
      </x:c>
      <x:c r="P52" s="267">
        <x:v>0</x:v>
      </x:c>
      <x:c r="Q52" s="267">
        <x:v>70</x:v>
      </x:c>
      <x:c r="R52" s="267">
        <x:v>0</x:v>
      </x:c>
      <x:c r="S52" s="267">
        <x:v>0</x:v>
      </x:c>
      <x:c r="T52" s="267">
        <x:v>0</x:v>
      </x:c>
      <x:c r="U52" s="267">
        <x:v>0</x:v>
      </x:c>
      <x:c r="V52" s="267">
        <x:v>0</x:v>
      </x:c>
      <x:c r="W52" s="267">
        <x:v>0</x:v>
      </x:c>
      <x:c r="X52" s="267">
        <x:v>0</x:v>
      </x:c>
      <x:c r="Y52" s="269">
        <x:f t="shared" si="0"/>
        <x:v>38.75</x:v>
      </x:c>
    </x:row>
    <x:row r="53">
      <x:c r="A53" s="148" t="s">
        <x:v>105</x:v>
      </x:c>
      <x:c r="B53">
        <x:v>2</x:v>
      </x:c>
      <x:c r="C53" s="148" t="s">
        <x:v>115</x:v>
      </x:c>
      <x:c r="D53">
        <x:v>218</x:v>
      </x:c>
      <x:c r="E53" s="267">
        <x:v>100</x:v>
      </x:c>
      <x:c r="F53" s="267">
        <x:v>100</x:v>
      </x:c>
      <x:c r="G53" s="267">
        <x:v>20</x:v>
      </x:c>
      <x:c r="H53" s="267">
        <x:v>90</x:v>
      </x:c>
      <x:c r="I53" s="267">
        <x:v>100</x:v>
      </x:c>
      <x:c r="J53" s="267">
        <x:v>0</x:v>
      </x:c>
      <x:c r="K53" s="267">
        <x:v>100</x:v>
      </x:c>
      <x:c r="L53" s="267">
        <x:v>100</x:v>
      </x:c>
      <x:c r="M53" s="267">
        <x:v>95</x:v>
      </x:c>
      <x:c r="N53" s="267">
        <x:v>0</x:v>
      </x:c>
      <x:c r="O53" s="267">
        <x:v>0</x:v>
      </x:c>
      <x:c r="P53" s="267">
        <x:v>0</x:v>
      </x:c>
      <x:c r="Q53" s="267">
        <x:v>70</x:v>
      </x:c>
      <x:c r="R53" s="267">
        <x:v>0</x:v>
      </x:c>
      <x:c r="S53" s="267">
        <x:v>0</x:v>
      </x:c>
      <x:c r="T53" s="267">
        <x:v>0</x:v>
      </x:c>
      <x:c r="U53" s="267">
        <x:v>0</x:v>
      </x:c>
      <x:c r="V53" s="267">
        <x:v>0</x:v>
      </x:c>
      <x:c r="W53" s="267">
        <x:v>0</x:v>
      </x:c>
      <x:c r="X53" s="267">
        <x:v>0</x:v>
      </x:c>
      <x:c r="Y53" s="269">
        <x:f t="shared" si="0"/>
        <x:v>38.75</x:v>
      </x:c>
    </x:row>
    <x:row r="54">
      <x:c r="A54" s="148" t="s">
        <x:v>105</x:v>
      </x:c>
      <x:c r="B54">
        <x:v>2</x:v>
      </x:c>
      <x:c r="C54" s="148" t="s">
        <x:v>115</x:v>
      </x:c>
      <x:c r="D54">
        <x:v>219</x:v>
      </x:c>
      <x:c r="E54" s="267">
        <x:v>100</x:v>
      </x:c>
      <x:c r="F54" s="267">
        <x:v>100</x:v>
      </x:c>
      <x:c r="G54" s="267">
        <x:v>20</x:v>
      </x:c>
      <x:c r="H54" s="267">
        <x:v>50</x:v>
      </x:c>
      <x:c r="I54" s="267">
        <x:v>100</x:v>
      </x:c>
      <x:c r="J54" s="267">
        <x:v>0</x:v>
      </x:c>
      <x:c r="K54" s="267">
        <x:v>100</x:v>
      </x:c>
      <x:c r="L54" s="267">
        <x:v>100</x:v>
      </x:c>
      <x:c r="M54" s="267">
        <x:v>0</x:v>
      </x:c>
      <x:c r="N54" s="267">
        <x:v>0</x:v>
      </x:c>
      <x:c r="O54" s="267">
        <x:v>0</x:v>
      </x:c>
      <x:c r="P54" s="267">
        <x:v>0</x:v>
      </x:c>
      <x:c r="Q54" s="267">
        <x:v>70</x:v>
      </x:c>
      <x:c r="R54" s="267">
        <x:v>0</x:v>
      </x:c>
      <x:c r="S54" s="267">
        <x:v>0</x:v>
      </x:c>
      <x:c r="T54" s="267">
        <x:v>0</x:v>
      </x:c>
      <x:c r="U54" s="267">
        <x:v>0</x:v>
      </x:c>
      <x:c r="V54" s="267">
        <x:v>0</x:v>
      </x:c>
      <x:c r="W54" s="267">
        <x:v>0</x:v>
      </x:c>
      <x:c r="X54" s="267">
        <x:v>0</x:v>
      </x:c>
      <x:c r="Y54" s="269">
        <x:f t="shared" si="0"/>
        <x:v>32</x:v>
      </x:c>
    </x:row>
    <x:row r="55">
      <x:c r="A55" s="148" t="s">
        <x:v>105</x:v>
      </x:c>
      <x:c r="B55">
        <x:v>2</x:v>
      </x:c>
      <x:c r="C55" s="148" t="s">
        <x:v>115</x:v>
      </x:c>
      <x:c r="D55">
        <x:v>220</x:v>
      </x:c>
      <x:c r="E55" s="267">
        <x:v>100</x:v>
      </x:c>
      <x:c r="F55" s="267">
        <x:v>100</x:v>
      </x:c>
      <x:c r="G55" s="267">
        <x:v>20</x:v>
      </x:c>
      <x:c r="H55" s="267">
        <x:v>90</x:v>
      </x:c>
      <x:c r="I55" s="267">
        <x:v>100</x:v>
      </x:c>
      <x:c r="J55" s="267">
        <x:v>0</x:v>
      </x:c>
      <x:c r="K55" s="267">
        <x:v>100</x:v>
      </x:c>
      <x:c r="L55" s="267">
        <x:v>100</x:v>
      </x:c>
      <x:c r="M55" s="267">
        <x:v>95</x:v>
      </x:c>
      <x:c r="N55" s="267">
        <x:v>0</x:v>
      </x:c>
      <x:c r="O55" s="267">
        <x:v>0</x:v>
      </x:c>
      <x:c r="P55" s="267">
        <x:v>0</x:v>
      </x:c>
      <x:c r="Q55" s="267">
        <x:v>70</x:v>
      </x:c>
      <x:c r="R55" s="267">
        <x:v>0</x:v>
      </x:c>
      <x:c r="S55" s="267">
        <x:v>0</x:v>
      </x:c>
      <x:c r="T55" s="267">
        <x:v>0</x:v>
      </x:c>
      <x:c r="U55" s="267">
        <x:v>0</x:v>
      </x:c>
      <x:c r="V55" s="267">
        <x:v>0</x:v>
      </x:c>
      <x:c r="W55" s="267">
        <x:v>0</x:v>
      </x:c>
      <x:c r="X55" s="267">
        <x:v>0</x:v>
      </x:c>
      <x:c r="Y55" s="269">
        <x:f t="shared" si="0"/>
        <x:v>38.75</x:v>
      </x:c>
    </x:row>
    <x:row r="56">
      <x:c r="A56" s="148" t="s">
        <x:v>105</x:v>
      </x:c>
      <x:c r="B56">
        <x:v>2</x:v>
      </x:c>
      <x:c r="C56" s="148" t="s">
        <x:v>115</x:v>
      </x:c>
      <x:c r="D56">
        <x:v>221</x:v>
      </x:c>
      <x:c r="E56" s="267">
        <x:v>100</x:v>
      </x:c>
      <x:c r="F56" s="267">
        <x:v>100</x:v>
      </x:c>
      <x:c r="G56" s="267">
        <x:v>20</x:v>
      </x:c>
      <x:c r="H56" s="267">
        <x:v>90</x:v>
      </x:c>
      <x:c r="I56" s="267">
        <x:v>100</x:v>
      </x:c>
      <x:c r="J56" s="267">
        <x:v>0</x:v>
      </x:c>
      <x:c r="K56" s="267">
        <x:v>100</x:v>
      </x:c>
      <x:c r="L56" s="267">
        <x:v>100</x:v>
      </x:c>
      <x:c r="M56" s="267">
        <x:v>95</x:v>
      </x:c>
      <x:c r="N56" s="267">
        <x:v>0</x:v>
      </x:c>
      <x:c r="O56" s="267">
        <x:v>0</x:v>
      </x:c>
      <x:c r="P56" s="267">
        <x:v>0</x:v>
      </x:c>
      <x:c r="Q56" s="267">
        <x:v>70</x:v>
      </x:c>
      <x:c r="R56" s="267">
        <x:v>0</x:v>
      </x:c>
      <x:c r="S56" s="267">
        <x:v>0</x:v>
      </x:c>
      <x:c r="T56" s="267">
        <x:v>0</x:v>
      </x:c>
      <x:c r="U56" s="267">
        <x:v>0</x:v>
      </x:c>
      <x:c r="V56" s="267">
        <x:v>0</x:v>
      </x:c>
      <x:c r="W56" s="267">
        <x:v>0</x:v>
      </x:c>
      <x:c r="X56" s="267">
        <x:v>0</x:v>
      </x:c>
      <x:c r="Y56" s="269">
        <x:f t="shared" si="0"/>
        <x:v>38.75</x:v>
      </x:c>
    </x:row>
    <x:row r="57">
      <x:c r="A57" s="148"/>
      <x:c r="B57"/>
      <x:c r="C57" s="148"/>
      <x:c r="D57" s="148"/>
      <x:c r="E57" s="267">
        <x:f t="shared" ref="E57:X57" si="2">AVERAGE(E14:E56)</x:f>
      </x:c>
      <x:c r="F57" s="267">
        <x:f t="shared" si="2"/>
      </x:c>
      <x:c r="G57" s="267">
        <x:f t="shared" si="2"/>
      </x:c>
      <x:c r="H57" s="267">
        <x:f t="shared" si="2"/>
      </x:c>
      <x:c r="I57" s="267">
        <x:f t="shared" si="2"/>
      </x:c>
      <x:c r="J57" s="267">
        <x:f t="shared" si="2"/>
      </x:c>
      <x:c r="K57" s="267">
        <x:f t="shared" si="2"/>
      </x:c>
      <x:c r="L57" s="267">
        <x:f t="shared" si="2"/>
      </x:c>
      <x:c r="M57" s="267">
        <x:f t="shared" si="2"/>
      </x:c>
      <x:c r="N57" s="267">
        <x:f t="shared" si="2"/>
      </x:c>
      <x:c r="O57" s="267">
        <x:f t="shared" si="2"/>
      </x:c>
      <x:c r="P57" s="267">
        <x:f t="shared" si="2"/>
      </x:c>
      <x:c r="Q57" s="267">
        <x:f t="shared" si="2"/>
      </x:c>
      <x:c r="R57" s="267">
        <x:f t="shared" si="2"/>
      </x:c>
      <x:c r="S57" s="267">
        <x:f t="shared" si="2"/>
      </x:c>
      <x:c r="T57" s="267">
        <x:f t="shared" si="2"/>
      </x:c>
      <x:c r="U57" s="267">
        <x:f t="shared" si="2"/>
      </x:c>
      <x:c r="V57" s="267">
        <x:f t="shared" si="2"/>
      </x:c>
      <x:c r="W57" s="267">
        <x:f t="shared" si="2"/>
      </x:c>
      <x:c r="X57" s="267">
        <x:f t="shared" si="2"/>
      </x:c>
      <x:c r="Y57" s="269">
        <x:f t="shared" si="0"/>
      </x:c>
    </x:row>
    <x:row r="58">
      <x:c r="A58" s="148" t="s">
        <x:v>105</x:v>
      </x:c>
      <x:c r="B58">
        <x:v>3</x:v>
      </x:c>
      <x:c r="C58" s="148" t="s">
        <x:v>116</x:v>
      </x:c>
      <x:c r="D58">
        <x:v>301</x:v>
      </x:c>
      <x:c r="E58" s="267">
        <x:v>100</x:v>
      </x:c>
      <x:c r="F58" s="267">
        <x:v>100</x:v>
      </x:c>
      <x:c r="G58" s="267">
        <x:v>0</x:v>
      </x:c>
      <x:c r="H58" s="267">
        <x:v>0</x:v>
      </x:c>
      <x:c r="I58" s="267">
        <x:v>0</x:v>
      </x:c>
      <x:c r="J58" s="267">
        <x:v>0</x:v>
      </x:c>
      <x:c r="K58" s="267">
        <x:v>0</x:v>
      </x:c>
      <x:c r="L58" s="267">
        <x:v>0</x:v>
      </x:c>
      <x:c r="M58" s="267">
        <x:v>0</x:v>
      </x:c>
      <x:c r="N58" s="267">
        <x:v>0</x:v>
      </x:c>
      <x:c r="O58" s="267">
        <x:v>0</x:v>
      </x:c>
      <x:c r="P58" s="267">
        <x:v>0</x:v>
      </x:c>
      <x:c r="Q58" s="267">
        <x:v>0</x:v>
      </x:c>
      <x:c r="R58" s="267">
        <x:v>0</x:v>
      </x:c>
      <x:c r="S58" s="267">
        <x:v>0</x:v>
      </x:c>
      <x:c r="T58" s="267">
        <x:v>0</x:v>
      </x:c>
      <x:c r="U58" s="267">
        <x:v>0</x:v>
      </x:c>
      <x:c r="V58" s="267">
        <x:v>0</x:v>
      </x:c>
      <x:c r="W58" s="267">
        <x:v>0</x:v>
      </x:c>
      <x:c r="X58" s="267">
        <x:v>0</x:v>
      </x:c>
      <x:c r="Y58" s="269">
        <x:f t="shared" si="0"/>
        <x:v>10</x:v>
      </x:c>
    </x:row>
    <x:row r="59">
      <x:c r="A59" s="148" t="s">
        <x:v>105</x:v>
      </x:c>
      <x:c r="B59">
        <x:v>3</x:v>
      </x:c>
      <x:c r="C59" s="148" t="s">
        <x:v>116</x:v>
      </x:c>
      <x:c r="D59">
        <x:v>302</x:v>
      </x:c>
      <x:c r="E59" s="267">
        <x:v>0</x:v>
      </x:c>
      <x:c r="F59" s="267">
        <x:v>0</x:v>
      </x:c>
      <x:c r="G59" s="267">
        <x:v>0</x:v>
      </x:c>
      <x:c r="H59" s="267">
        <x:v>0</x:v>
      </x:c>
      <x:c r="I59" s="267">
        <x:v>0</x:v>
      </x:c>
      <x:c r="J59" s="267">
        <x:v>0</x:v>
      </x:c>
      <x:c r="K59" s="267">
        <x:v>0</x:v>
      </x:c>
      <x:c r="L59" s="267">
        <x:v>0</x:v>
      </x:c>
      <x:c r="M59" s="267">
        <x:v>0</x:v>
      </x:c>
      <x:c r="N59" s="267">
        <x:v>0</x:v>
      </x:c>
      <x:c r="O59" s="267">
        <x:v>0</x:v>
      </x:c>
      <x:c r="P59" s="267">
        <x:v>0</x:v>
      </x:c>
      <x:c r="Q59" s="267">
        <x:v>0</x:v>
      </x:c>
      <x:c r="R59" s="267">
        <x:v>0</x:v>
      </x:c>
      <x:c r="S59" s="267">
        <x:v>0</x:v>
      </x:c>
      <x:c r="T59" s="267">
        <x:v>0</x:v>
      </x:c>
      <x:c r="U59" s="267">
        <x:v>0</x:v>
      </x:c>
      <x:c r="V59" s="267">
        <x:v>0</x:v>
      </x:c>
      <x:c r="W59" s="267">
        <x:v>0</x:v>
      </x:c>
      <x:c r="X59" s="267">
        <x:v>0</x:v>
      </x:c>
      <x:c r="Y59" s="269">
        <x:f t="shared" si="0"/>
        <x:v>0</x:v>
      </x:c>
    </x:row>
    <x:row r="60">
      <x:c r="A60" s="148" t="s">
        <x:v>105</x:v>
      </x:c>
      <x:c r="B60">
        <x:v>3</x:v>
      </x:c>
      <x:c r="C60" s="148" t="s">
        <x:v>116</x:v>
      </x:c>
      <x:c r="D60">
        <x:v>303</x:v>
      </x:c>
      <x:c r="E60" s="267">
        <x:v>100</x:v>
      </x:c>
      <x:c r="F60" s="267">
        <x:v>100</x:v>
      </x:c>
      <x:c r="G60" s="267">
        <x:v>0</x:v>
      </x:c>
      <x:c r="H60" s="267">
        <x:v>0</x:v>
      </x:c>
      <x:c r="I60" s="267">
        <x:v>0</x:v>
      </x:c>
      <x:c r="J60" s="267">
        <x:v>0</x:v>
      </x:c>
      <x:c r="K60" s="267">
        <x:v>0</x:v>
      </x:c>
      <x:c r="L60" s="267">
        <x:v>0</x:v>
      </x:c>
      <x:c r="M60" s="267">
        <x:v>0</x:v>
      </x:c>
      <x:c r="N60" s="267">
        <x:v>0</x:v>
      </x:c>
      <x:c r="O60" s="267">
        <x:v>0</x:v>
      </x:c>
      <x:c r="P60" s="267">
        <x:v>0</x:v>
      </x:c>
      <x:c r="Q60" s="267">
        <x:v>0</x:v>
      </x:c>
      <x:c r="R60" s="267">
        <x:v>0</x:v>
      </x:c>
      <x:c r="S60" s="267">
        <x:v>0</x:v>
      </x:c>
      <x:c r="T60" s="267">
        <x:v>0</x:v>
      </x:c>
      <x:c r="U60" s="267">
        <x:v>0</x:v>
      </x:c>
      <x:c r="V60" s="267">
        <x:v>0</x:v>
      </x:c>
      <x:c r="W60" s="267">
        <x:v>0</x:v>
      </x:c>
      <x:c r="X60" s="267">
        <x:v>0</x:v>
      </x:c>
      <x:c r="Y60" s="269">
        <x:f t="shared" si="0"/>
        <x:v>10</x:v>
      </x:c>
    </x:row>
    <x:row r="61">
      <x:c r="A61" s="148" t="s">
        <x:v>105</x:v>
      </x:c>
      <x:c r="B61">
        <x:v>3</x:v>
      </x:c>
      <x:c r="C61" s="148" t="s">
        <x:v>116</x:v>
      </x:c>
      <x:c r="D61">
        <x:v>304</x:v>
      </x:c>
      <x:c r="E61" s="267">
        <x:v>100</x:v>
      </x:c>
      <x:c r="F61" s="267">
        <x:v>100</x:v>
      </x:c>
      <x:c r="G61" s="267">
        <x:v>0</x:v>
      </x:c>
      <x:c r="H61" s="267">
        <x:v>0</x:v>
      </x:c>
      <x:c r="I61" s="267">
        <x:v>0</x:v>
      </x:c>
      <x:c r="J61" s="267">
        <x:v>0</x:v>
      </x:c>
      <x:c r="K61" s="267">
        <x:v>0</x:v>
      </x:c>
      <x:c r="L61" s="267">
        <x:v>0</x:v>
      </x:c>
      <x:c r="M61" s="267">
        <x:v>0</x:v>
      </x:c>
      <x:c r="N61" s="267">
        <x:v>0</x:v>
      </x:c>
      <x:c r="O61" s="267">
        <x:v>0</x:v>
      </x:c>
      <x:c r="P61" s="267">
        <x:v>0</x:v>
      </x:c>
      <x:c r="Q61" s="267">
        <x:v>0</x:v>
      </x:c>
      <x:c r="R61" s="267">
        <x:v>0</x:v>
      </x:c>
      <x:c r="S61" s="267">
        <x:v>0</x:v>
      </x:c>
      <x:c r="T61" s="267">
        <x:v>0</x:v>
      </x:c>
      <x:c r="U61" s="267">
        <x:v>0</x:v>
      </x:c>
      <x:c r="V61" s="267">
        <x:v>0</x:v>
      </x:c>
      <x:c r="W61" s="267">
        <x:v>0</x:v>
      </x:c>
      <x:c r="X61" s="267">
        <x:v>0</x:v>
      </x:c>
      <x:c r="Y61" s="269">
        <x:f t="shared" si="0"/>
        <x:v>10</x:v>
      </x:c>
    </x:row>
    <x:row r="62">
      <x:c r="A62" s="148" t="s">
        <x:v>105</x:v>
      </x:c>
      <x:c r="B62">
        <x:v>3</x:v>
      </x:c>
      <x:c r="C62" s="148" t="s">
        <x:v>116</x:v>
      </x:c>
      <x:c r="D62">
        <x:v>305</x:v>
      </x:c>
      <x:c r="E62" s="267">
        <x:v>100</x:v>
      </x:c>
      <x:c r="F62" s="267">
        <x:v>100</x:v>
      </x:c>
      <x:c r="G62" s="267">
        <x:v>100</x:v>
      </x:c>
      <x:c r="H62" s="267">
        <x:v>80</x:v>
      </x:c>
      <x:c r="I62" s="267">
        <x:v>100</x:v>
      </x:c>
      <x:c r="J62" s="267">
        <x:v>90</x:v>
      </x:c>
      <x:c r="K62" s="267">
        <x:v>100</x:v>
      </x:c>
      <x:c r="L62" s="267">
        <x:v>100</x:v>
      </x:c>
      <x:c r="M62" s="267">
        <x:v>100</x:v>
      </x:c>
      <x:c r="N62" s="267">
        <x:v>0</x:v>
      </x:c>
      <x:c r="O62" s="267">
        <x:v>80</x:v>
      </x:c>
      <x:c r="P62" s="267">
        <x:v>50</x:v>
      </x:c>
      <x:c r="Q62" s="267">
        <x:v>70</x:v>
      </x:c>
      <x:c r="R62" s="267">
        <x:v>80</x:v>
      </x:c>
      <x:c r="S62" s="267">
        <x:v>100</x:v>
      </x:c>
      <x:c r="T62" s="267">
        <x:v>0</x:v>
      </x:c>
      <x:c r="U62" s="267">
        <x:v>50</x:v>
      </x:c>
      <x:c r="V62" s="267">
        <x:v>80</x:v>
      </x:c>
      <x:c r="W62" s="267">
        <x:v>0</x:v>
      </x:c>
      <x:c r="X62" s="267">
        <x:v>0</x:v>
      </x:c>
      <x:c r="Y62" s="269">
        <x:f t="shared" si="0"/>
        <x:v>69</x:v>
      </x:c>
    </x:row>
    <x:row r="63">
      <x:c r="A63" s="148" t="s">
        <x:v>105</x:v>
      </x:c>
      <x:c r="B63">
        <x:v>3</x:v>
      </x:c>
      <x:c r="C63" s="148" t="s">
        <x:v>116</x:v>
      </x:c>
      <x:c r="D63">
        <x:v>306</x:v>
      </x:c>
      <x:c r="E63" s="267">
        <x:v>100</x:v>
      </x:c>
      <x:c r="F63" s="267">
        <x:v>100</x:v>
      </x:c>
      <x:c r="G63" s="267">
        <x:v>0</x:v>
      </x:c>
      <x:c r="H63" s="267">
        <x:v>0</x:v>
      </x:c>
      <x:c r="I63" s="267">
        <x:v>0</x:v>
      </x:c>
      <x:c r="J63" s="267">
        <x:v>0</x:v>
      </x:c>
      <x:c r="K63" s="267">
        <x:v>0</x:v>
      </x:c>
      <x:c r="L63" s="267">
        <x:v>0</x:v>
      </x:c>
      <x:c r="M63" s="267">
        <x:v>0</x:v>
      </x:c>
      <x:c r="N63" s="267">
        <x:v>0</x:v>
      </x:c>
      <x:c r="O63" s="267">
        <x:v>0</x:v>
      </x:c>
      <x:c r="P63" s="267">
        <x:v>0</x:v>
      </x:c>
      <x:c r="Q63" s="267">
        <x:v>0</x:v>
      </x:c>
      <x:c r="R63" s="267">
        <x:v>0</x:v>
      </x:c>
      <x:c r="S63" s="267">
        <x:v>0</x:v>
      </x:c>
      <x:c r="T63" s="267">
        <x:v>0</x:v>
      </x:c>
      <x:c r="U63" s="267">
        <x:v>0</x:v>
      </x:c>
      <x:c r="V63" s="267">
        <x:v>0</x:v>
      </x:c>
      <x:c r="W63" s="267">
        <x:v>0</x:v>
      </x:c>
      <x:c r="X63" s="267">
        <x:v>0</x:v>
      </x:c>
      <x:c r="Y63" s="269">
        <x:f t="shared" si="0"/>
        <x:v>10</x:v>
      </x:c>
    </x:row>
    <x:row r="64">
      <x:c r="A64" s="148" t="s">
        <x:v>105</x:v>
      </x:c>
      <x:c r="B64">
        <x:v>3</x:v>
      </x:c>
      <x:c r="C64" s="148" t="s">
        <x:v>116</x:v>
      </x:c>
      <x:c r="D64">
        <x:v>307</x:v>
      </x:c>
      <x:c r="E64" s="267">
        <x:v>100</x:v>
      </x:c>
      <x:c r="F64" s="267">
        <x:v>100</x:v>
      </x:c>
      <x:c r="G64" s="267">
        <x:v>0</x:v>
      </x:c>
      <x:c r="H64" s="267">
        <x:v>0</x:v>
      </x:c>
      <x:c r="I64" s="267">
        <x:v>0</x:v>
      </x:c>
      <x:c r="J64" s="267">
        <x:v>0</x:v>
      </x:c>
      <x:c r="K64" s="267">
        <x:v>0</x:v>
      </x:c>
      <x:c r="L64" s="267">
        <x:v>0</x:v>
      </x:c>
      <x:c r="M64" s="267">
        <x:v>0</x:v>
      </x:c>
      <x:c r="N64" s="267">
        <x:v>0</x:v>
      </x:c>
      <x:c r="O64" s="267">
        <x:v>0</x:v>
      </x:c>
      <x:c r="P64" s="267">
        <x:v>0</x:v>
      </x:c>
      <x:c r="Q64" s="267">
        <x:v>0</x:v>
      </x:c>
      <x:c r="R64" s="267">
        <x:v>0</x:v>
      </x:c>
      <x:c r="S64" s="267">
        <x:v>0</x:v>
      </x:c>
      <x:c r="T64" s="267">
        <x:v>0</x:v>
      </x:c>
      <x:c r="U64" s="267">
        <x:v>0</x:v>
      </x:c>
      <x:c r="V64" s="267">
        <x:v>0</x:v>
      </x:c>
      <x:c r="W64" s="267">
        <x:v>0</x:v>
      </x:c>
      <x:c r="X64" s="267">
        <x:v>0</x:v>
      </x:c>
      <x:c r="Y64" s="269">
        <x:f t="shared" si="0"/>
        <x:v>10</x:v>
      </x:c>
    </x:row>
    <x:row r="65">
      <x:c r="A65" s="148" t="s">
        <x:v>105</x:v>
      </x:c>
      <x:c r="B65">
        <x:v>3</x:v>
      </x:c>
      <x:c r="C65" s="148" t="s">
        <x:v>116</x:v>
      </x:c>
      <x:c r="D65">
        <x:v>308</x:v>
      </x:c>
      <x:c r="E65" s="267">
        <x:v>100</x:v>
      </x:c>
      <x:c r="F65" s="267">
        <x:v>100</x:v>
      </x:c>
      <x:c r="G65" s="267">
        <x:v>0</x:v>
      </x:c>
      <x:c r="H65" s="267">
        <x:v>0</x:v>
      </x:c>
      <x:c r="I65" s="267">
        <x:v>0</x:v>
      </x:c>
      <x:c r="J65" s="267">
        <x:v>0</x:v>
      </x:c>
      <x:c r="K65" s="267">
        <x:v>0</x:v>
      </x:c>
      <x:c r="L65" s="267">
        <x:v>0</x:v>
      </x:c>
      <x:c r="M65" s="267">
        <x:v>0</x:v>
      </x:c>
      <x:c r="N65" s="267">
        <x:v>0</x:v>
      </x:c>
      <x:c r="O65" s="267">
        <x:v>0</x:v>
      </x:c>
      <x:c r="P65" s="267">
        <x:v>0</x:v>
      </x:c>
      <x:c r="Q65" s="267">
        <x:v>0</x:v>
      </x:c>
      <x:c r="R65" s="267">
        <x:v>0</x:v>
      </x:c>
      <x:c r="S65" s="267">
        <x:v>0</x:v>
      </x:c>
      <x:c r="T65" s="267">
        <x:v>0</x:v>
      </x:c>
      <x:c r="U65" s="267">
        <x:v>0</x:v>
      </x:c>
      <x:c r="V65" s="267">
        <x:v>0</x:v>
      </x:c>
      <x:c r="W65" s="267">
        <x:v>0</x:v>
      </x:c>
      <x:c r="X65" s="267">
        <x:v>0</x:v>
      </x:c>
      <x:c r="Y65" s="269">
        <x:f t="shared" si="0"/>
        <x:v>10</x:v>
      </x:c>
    </x:row>
    <x:row r="66">
      <x:c r="A66" s="148" t="s">
        <x:v>105</x:v>
      </x:c>
      <x:c r="B66">
        <x:v>3</x:v>
      </x:c>
      <x:c r="C66" s="148" t="s">
        <x:v>116</x:v>
      </x:c>
      <x:c r="D66">
        <x:v>309</x:v>
      </x:c>
      <x:c r="E66" s="267">
        <x:v>100</x:v>
      </x:c>
      <x:c r="F66" s="267">
        <x:v>100</x:v>
      </x:c>
      <x:c r="G66" s="267">
        <x:v>0</x:v>
      </x:c>
      <x:c r="H66" s="267">
        <x:v>0</x:v>
      </x:c>
      <x:c r="I66" s="267">
        <x:v>0</x:v>
      </x:c>
      <x:c r="J66" s="267">
        <x:v>0</x:v>
      </x:c>
      <x:c r="K66" s="267">
        <x:v>0</x:v>
      </x:c>
      <x:c r="L66" s="267">
        <x:v>0</x:v>
      </x:c>
      <x:c r="M66" s="267">
        <x:v>0</x:v>
      </x:c>
      <x:c r="N66" s="267">
        <x:v>0</x:v>
      </x:c>
      <x:c r="O66" s="267">
        <x:v>0</x:v>
      </x:c>
      <x:c r="P66" s="267">
        <x:v>0</x:v>
      </x:c>
      <x:c r="Q66" s="267">
        <x:v>0</x:v>
      </x:c>
      <x:c r="R66" s="267">
        <x:v>0</x:v>
      </x:c>
      <x:c r="S66" s="267">
        <x:v>0</x:v>
      </x:c>
      <x:c r="T66" s="267">
        <x:v>0</x:v>
      </x:c>
      <x:c r="U66" s="267">
        <x:v>0</x:v>
      </x:c>
      <x:c r="V66" s="267">
        <x:v>0</x:v>
      </x:c>
      <x:c r="W66" s="267">
        <x:v>0</x:v>
      </x:c>
      <x:c r="X66" s="267">
        <x:v>0</x:v>
      </x:c>
      <x:c r="Y66" s="269" t="n">
        <x:f t="shared" ref="Y66:Y129" si="3">AVERAGE(E66:X66)</x:f>
        <x:v>10</x:v>
      </x:c>
    </x:row>
    <x:row r="67">
      <x:c r="A67" s="148" t="s">
        <x:v>105</x:v>
      </x:c>
      <x:c r="B67">
        <x:v>3</x:v>
      </x:c>
      <x:c r="C67" s="148" t="s">
        <x:v>116</x:v>
      </x:c>
      <x:c r="D67">
        <x:v>310</x:v>
      </x:c>
      <x:c r="E67" s="267">
        <x:v>100</x:v>
      </x:c>
      <x:c r="F67" s="267">
        <x:v>100</x:v>
      </x:c>
      <x:c r="G67" s="267">
        <x:v>0</x:v>
      </x:c>
      <x:c r="H67" s="267">
        <x:v>0</x:v>
      </x:c>
      <x:c r="I67" s="267">
        <x:v>0</x:v>
      </x:c>
      <x:c r="J67" s="267">
        <x:v>0</x:v>
      </x:c>
      <x:c r="K67" s="267">
        <x:v>0</x:v>
      </x:c>
      <x:c r="L67" s="267">
        <x:v>0</x:v>
      </x:c>
      <x:c r="M67" s="267">
        <x:v>0</x:v>
      </x:c>
      <x:c r="N67" s="267">
        <x:v>0</x:v>
      </x:c>
      <x:c r="O67" s="267">
        <x:v>0</x:v>
      </x:c>
      <x:c r="P67" s="267">
        <x:v>0</x:v>
      </x:c>
      <x:c r="Q67" s="267">
        <x:v>70</x:v>
      </x:c>
      <x:c r="R67" s="267">
        <x:v>0</x:v>
      </x:c>
      <x:c r="S67" s="267">
        <x:v>0</x:v>
      </x:c>
      <x:c r="T67" s="267">
        <x:v>0</x:v>
      </x:c>
      <x:c r="U67" s="267">
        <x:v>0</x:v>
      </x:c>
      <x:c r="V67" s="267">
        <x:v>0</x:v>
      </x:c>
      <x:c r="W67" s="267">
        <x:v>0</x:v>
      </x:c>
      <x:c r="X67" s="267">
        <x:v>0</x:v>
      </x:c>
      <x:c r="Y67" s="269">
        <x:f t="shared" si="3"/>
        <x:v>13.5</x:v>
      </x:c>
    </x:row>
    <x:row r="68">
      <x:c r="A68" s="148" t="s">
        <x:v>105</x:v>
      </x:c>
      <x:c r="B68">
        <x:v>3</x:v>
      </x:c>
      <x:c r="C68" s="148" t="s">
        <x:v>116</x:v>
      </x:c>
      <x:c r="D68">
        <x:v>311</x:v>
      </x:c>
      <x:c r="E68" s="267">
        <x:v>100</x:v>
      </x:c>
      <x:c r="F68" s="267">
        <x:v>100</x:v>
      </x:c>
      <x:c r="G68" s="267">
        <x:v>0</x:v>
      </x:c>
      <x:c r="H68" s="267">
        <x:v>0</x:v>
      </x:c>
      <x:c r="I68" s="267">
        <x:v>0</x:v>
      </x:c>
      <x:c r="J68" s="267">
        <x:v>0</x:v>
      </x:c>
      <x:c r="K68" s="267">
        <x:v>0</x:v>
      </x:c>
      <x:c r="L68" s="267">
        <x:v>0</x:v>
      </x:c>
      <x:c r="M68" s="267">
        <x:v>0</x:v>
      </x:c>
      <x:c r="N68" s="267">
        <x:v>0</x:v>
      </x:c>
      <x:c r="O68" s="267">
        <x:v>0</x:v>
      </x:c>
      <x:c r="P68" s="267">
        <x:v>0</x:v>
      </x:c>
      <x:c r="Q68" s="267">
        <x:v>70</x:v>
      </x:c>
      <x:c r="R68" s="267">
        <x:v>0</x:v>
      </x:c>
      <x:c r="S68" s="267">
        <x:v>0</x:v>
      </x:c>
      <x:c r="T68" s="267">
        <x:v>0</x:v>
      </x:c>
      <x:c r="U68" s="267">
        <x:v>0</x:v>
      </x:c>
      <x:c r="V68" s="267">
        <x:v>0</x:v>
      </x:c>
      <x:c r="W68" s="267">
        <x:v>0</x:v>
      </x:c>
      <x:c r="X68" s="267">
        <x:v>0</x:v>
      </x:c>
      <x:c r="Y68" s="269">
        <x:f t="shared" si="3"/>
        <x:v>13.5</x:v>
      </x:c>
    </x:row>
    <x:row r="69">
      <x:c r="A69" s="148" t="s">
        <x:v>105</x:v>
      </x:c>
      <x:c r="B69">
        <x:v>3</x:v>
      </x:c>
      <x:c r="C69" s="148" t="s">
        <x:v>116</x:v>
      </x:c>
      <x:c r="D69">
        <x:v>312</x:v>
      </x:c>
      <x:c r="E69" s="267">
        <x:v>100</x:v>
      </x:c>
      <x:c r="F69" s="267">
        <x:v>100</x:v>
      </x:c>
      <x:c r="G69" s="267">
        <x:v>0</x:v>
      </x:c>
      <x:c r="H69" s="267">
        <x:v>0</x:v>
      </x:c>
      <x:c r="I69" s="267">
        <x:v>0</x:v>
      </x:c>
      <x:c r="J69" s="267">
        <x:v>0</x:v>
      </x:c>
      <x:c r="K69" s="267">
        <x:v>0</x:v>
      </x:c>
      <x:c r="L69" s="267">
        <x:v>0</x:v>
      </x:c>
      <x:c r="M69" s="267">
        <x:v>0</x:v>
      </x:c>
      <x:c r="N69" s="267">
        <x:v>0</x:v>
      </x:c>
      <x:c r="O69" s="267">
        <x:v>0</x:v>
      </x:c>
      <x:c r="P69" s="267">
        <x:v>0</x:v>
      </x:c>
      <x:c r="Q69" s="267">
        <x:v>70</x:v>
      </x:c>
      <x:c r="R69" s="267">
        <x:v>0</x:v>
      </x:c>
      <x:c r="S69" s="267">
        <x:v>0</x:v>
      </x:c>
      <x:c r="T69" s="267">
        <x:v>0</x:v>
      </x:c>
      <x:c r="U69" s="267">
        <x:v>0</x:v>
      </x:c>
      <x:c r="V69" s="267">
        <x:v>0</x:v>
      </x:c>
      <x:c r="W69" s="267">
        <x:v>0</x:v>
      </x:c>
      <x:c r="X69" s="267">
        <x:v>0</x:v>
      </x:c>
      <x:c r="Y69" s="269">
        <x:f t="shared" si="3"/>
        <x:v>13.5</x:v>
      </x:c>
    </x:row>
    <x:row r="70">
      <x:c r="A70" s="148" t="s">
        <x:v>105</x:v>
      </x:c>
      <x:c r="B70">
        <x:v>3</x:v>
      </x:c>
      <x:c r="C70" s="148" t="s">
        <x:v>116</x:v>
      </x:c>
      <x:c r="D70">
        <x:v>313</x:v>
      </x:c>
      <x:c r="E70" s="267">
        <x:v>100</x:v>
      </x:c>
      <x:c r="F70" s="267">
        <x:v>100</x:v>
      </x:c>
      <x:c r="G70" s="267">
        <x:v>0</x:v>
      </x:c>
      <x:c r="H70" s="267">
        <x:v>0</x:v>
      </x:c>
      <x:c r="I70" s="267">
        <x:v>0</x:v>
      </x:c>
      <x:c r="J70" s="267">
        <x:v>0</x:v>
      </x:c>
      <x:c r="K70" s="267">
        <x:v>0</x:v>
      </x:c>
      <x:c r="L70" s="267">
        <x:v>0</x:v>
      </x:c>
      <x:c r="M70" s="267">
        <x:v>0</x:v>
      </x:c>
      <x:c r="N70" s="267">
        <x:v>0</x:v>
      </x:c>
      <x:c r="O70" s="267">
        <x:v>0</x:v>
      </x:c>
      <x:c r="P70" s="267">
        <x:v>0</x:v>
      </x:c>
      <x:c r="Q70" s="267">
        <x:v>0</x:v>
      </x:c>
      <x:c r="R70" s="267">
        <x:v>0</x:v>
      </x:c>
      <x:c r="S70" s="267">
        <x:v>0</x:v>
      </x:c>
      <x:c r="T70" s="267">
        <x:v>0</x:v>
      </x:c>
      <x:c r="U70" s="267">
        <x:v>0</x:v>
      </x:c>
      <x:c r="V70" s="267">
        <x:v>0</x:v>
      </x:c>
      <x:c r="W70" s="267">
        <x:v>0</x:v>
      </x:c>
      <x:c r="X70" s="267">
        <x:v>0</x:v>
      </x:c>
      <x:c r="Y70" s="269">
        <x:f t="shared" si="3"/>
        <x:v>10</x:v>
      </x:c>
    </x:row>
    <x:row r="71">
      <x:c r="A71" s="148" t="s">
        <x:v>105</x:v>
      </x:c>
      <x:c r="B71">
        <x:v>3</x:v>
      </x:c>
      <x:c r="C71" s="148" t="s">
        <x:v>116</x:v>
      </x:c>
      <x:c r="D71">
        <x:v>314</x:v>
      </x:c>
      <x:c r="E71" s="267">
        <x:v>100</x:v>
      </x:c>
      <x:c r="F71" s="267">
        <x:v>100</x:v>
      </x:c>
      <x:c r="G71" s="267">
        <x:v>0</x:v>
      </x:c>
      <x:c r="H71" s="267">
        <x:v>0</x:v>
      </x:c>
      <x:c r="I71" s="267">
        <x:v>0</x:v>
      </x:c>
      <x:c r="J71" s="267">
        <x:v>0</x:v>
      </x:c>
      <x:c r="K71" s="267">
        <x:v>0</x:v>
      </x:c>
      <x:c r="L71" s="267">
        <x:v>0</x:v>
      </x:c>
      <x:c r="M71" s="267">
        <x:v>0</x:v>
      </x:c>
      <x:c r="N71" s="267">
        <x:v>0</x:v>
      </x:c>
      <x:c r="O71" s="267">
        <x:v>0</x:v>
      </x:c>
      <x:c r="P71" s="267">
        <x:v>0</x:v>
      </x:c>
      <x:c r="Q71" s="267">
        <x:v>0</x:v>
      </x:c>
      <x:c r="R71" s="267">
        <x:v>0</x:v>
      </x:c>
      <x:c r="S71" s="267">
        <x:v>0</x:v>
      </x:c>
      <x:c r="T71" s="267">
        <x:v>0</x:v>
      </x:c>
      <x:c r="U71" s="267">
        <x:v>0</x:v>
      </x:c>
      <x:c r="V71" s="267">
        <x:v>0</x:v>
      </x:c>
      <x:c r="W71" s="267">
        <x:v>0</x:v>
      </x:c>
      <x:c r="X71" s="267">
        <x:v>0</x:v>
      </x:c>
      <x:c r="Y71" s="269">
        <x:f t="shared" si="3"/>
        <x:v>10</x:v>
      </x:c>
    </x:row>
    <x:row r="72">
      <x:c r="A72" s="148" t="s">
        <x:v>105</x:v>
      </x:c>
      <x:c r="B72">
        <x:v>3</x:v>
      </x:c>
      <x:c r="C72" s="148" t="s">
        <x:v>116</x:v>
      </x:c>
      <x:c r="D72">
        <x:v>315</x:v>
      </x:c>
      <x:c r="E72" s="267">
        <x:v>0</x:v>
      </x:c>
      <x:c r="F72" s="267">
        <x:v>0</x:v>
      </x:c>
      <x:c r="G72" s="267">
        <x:v>0</x:v>
      </x:c>
      <x:c r="H72" s="267">
        <x:v>0</x:v>
      </x:c>
      <x:c r="I72" s="267">
        <x:v>0</x:v>
      </x:c>
      <x:c r="J72" s="267">
        <x:v>0</x:v>
      </x:c>
      <x:c r="K72" s="267">
        <x:v>0</x:v>
      </x:c>
      <x:c r="L72" s="267">
        <x:v>0</x:v>
      </x:c>
      <x:c r="M72" s="267">
        <x:v>0</x:v>
      </x:c>
      <x:c r="N72" s="267">
        <x:v>0</x:v>
      </x:c>
      <x:c r="O72" s="267">
        <x:v>0</x:v>
      </x:c>
      <x:c r="P72" s="267">
        <x:v>0</x:v>
      </x:c>
      <x:c r="Q72" s="267">
        <x:v>0</x:v>
      </x:c>
      <x:c r="R72" s="267">
        <x:v>0</x:v>
      </x:c>
      <x:c r="S72" s="267">
        <x:v>0</x:v>
      </x:c>
      <x:c r="T72" s="267">
        <x:v>0</x:v>
      </x:c>
      <x:c r="U72" s="267">
        <x:v>0</x:v>
      </x:c>
      <x:c r="V72" s="267">
        <x:v>0</x:v>
      </x:c>
      <x:c r="W72" s="267">
        <x:v>0</x:v>
      </x:c>
      <x:c r="X72" s="267">
        <x:v>0</x:v>
      </x:c>
      <x:c r="Y72" s="269">
        <x:f t="shared" si="3"/>
        <x:v>0</x:v>
      </x:c>
    </x:row>
    <x:row r="73">
      <x:c r="A73" s="148" t="s">
        <x:v>105</x:v>
      </x:c>
      <x:c r="B73">
        <x:v>3</x:v>
      </x:c>
      <x:c r="C73" s="148" t="s">
        <x:v>116</x:v>
      </x:c>
      <x:c r="D73">
        <x:v>316</x:v>
      </x:c>
      <x:c r="E73" s="267">
        <x:v>0</x:v>
      </x:c>
      <x:c r="F73" s="267">
        <x:v>0</x:v>
      </x:c>
      <x:c r="G73" s="267">
        <x:v>0</x:v>
      </x:c>
      <x:c r="H73" s="267">
        <x:v>0</x:v>
      </x:c>
      <x:c r="I73" s="267">
        <x:v>0</x:v>
      </x:c>
      <x:c r="J73" s="267">
        <x:v>0</x:v>
      </x:c>
      <x:c r="K73" s="267">
        <x:v>0</x:v>
      </x:c>
      <x:c r="L73" s="267">
        <x:v>0</x:v>
      </x:c>
      <x:c r="M73" s="267">
        <x:v>0</x:v>
      </x:c>
      <x:c r="N73" s="267">
        <x:v>0</x:v>
      </x:c>
      <x:c r="O73" s="267">
        <x:v>0</x:v>
      </x:c>
      <x:c r="P73" s="267">
        <x:v>0</x:v>
      </x:c>
      <x:c r="Q73" s="267">
        <x:v>0</x:v>
      </x:c>
      <x:c r="R73" s="267">
        <x:v>0</x:v>
      </x:c>
      <x:c r="S73" s="267">
        <x:v>0</x:v>
      </x:c>
      <x:c r="T73" s="267">
        <x:v>0</x:v>
      </x:c>
      <x:c r="U73" s="267">
        <x:v>0</x:v>
      </x:c>
      <x:c r="V73" s="267">
        <x:v>0</x:v>
      </x:c>
      <x:c r="W73" s="267">
        <x:v>0</x:v>
      </x:c>
      <x:c r="X73" s="267">
        <x:v>0</x:v>
      </x:c>
      <x:c r="Y73" s="269">
        <x:f t="shared" si="3"/>
        <x:v>0</x:v>
      </x:c>
    </x:row>
    <x:row r="74">
      <x:c r="A74" s="148" t="s">
        <x:v>105</x:v>
      </x:c>
      <x:c r="B74">
        <x:v>3</x:v>
      </x:c>
      <x:c r="C74" s="148" t="s">
        <x:v>116</x:v>
      </x:c>
      <x:c r="D74">
        <x:v>317</x:v>
      </x:c>
      <x:c r="E74" s="267">
        <x:v>0</x:v>
      </x:c>
      <x:c r="F74" s="267">
        <x:v>0</x:v>
      </x:c>
      <x:c r="G74" s="267">
        <x:v>0</x:v>
      </x:c>
      <x:c r="H74" s="267">
        <x:v>0</x:v>
      </x:c>
      <x:c r="I74" s="267">
        <x:v>0</x:v>
      </x:c>
      <x:c r="J74" s="267">
        <x:v>0</x:v>
      </x:c>
      <x:c r="K74" s="267">
        <x:v>0</x:v>
      </x:c>
      <x:c r="L74" s="267">
        <x:v>0</x:v>
      </x:c>
      <x:c r="M74" s="267">
        <x:v>0</x:v>
      </x:c>
      <x:c r="N74" s="267">
        <x:v>0</x:v>
      </x:c>
      <x:c r="O74" s="267">
        <x:v>0</x:v>
      </x:c>
      <x:c r="P74" s="267">
        <x:v>0</x:v>
      </x:c>
      <x:c r="Q74" s="267">
        <x:v>0</x:v>
      </x:c>
      <x:c r="R74" s="267">
        <x:v>0</x:v>
      </x:c>
      <x:c r="S74" s="267">
        <x:v>0</x:v>
      </x:c>
      <x:c r="T74" s="267">
        <x:v>0</x:v>
      </x:c>
      <x:c r="U74" s="267">
        <x:v>0</x:v>
      </x:c>
      <x:c r="V74" s="267">
        <x:v>0</x:v>
      </x:c>
      <x:c r="W74" s="267">
        <x:v>0</x:v>
      </x:c>
      <x:c r="X74" s="267">
        <x:v>0</x:v>
      </x:c>
      <x:c r="Y74" s="269">
        <x:f t="shared" si="3"/>
        <x:v>0</x:v>
      </x:c>
    </x:row>
    <x:row r="75">
      <x:c r="A75" s="148" t="s">
        <x:v>105</x:v>
      </x:c>
      <x:c r="B75">
        <x:v>3</x:v>
      </x:c>
      <x:c r="C75" s="148" t="s">
        <x:v>116</x:v>
      </x:c>
      <x:c r="D75">
        <x:v>318</x:v>
      </x:c>
      <x:c r="E75" s="267">
        <x:v>0</x:v>
      </x:c>
      <x:c r="F75" s="267">
        <x:v>0</x:v>
      </x:c>
      <x:c r="G75" s="267">
        <x:v>0</x:v>
      </x:c>
      <x:c r="H75" s="267">
        <x:v>0</x:v>
      </x:c>
      <x:c r="I75" s="267">
        <x:v>0</x:v>
      </x:c>
      <x:c r="J75" s="267">
        <x:v>0</x:v>
      </x:c>
      <x:c r="K75" s="267">
        <x:v>0</x:v>
      </x:c>
      <x:c r="L75" s="267">
        <x:v>0</x:v>
      </x:c>
      <x:c r="M75" s="267">
        <x:v>0</x:v>
      </x:c>
      <x:c r="N75" s="267">
        <x:v>0</x:v>
      </x:c>
      <x:c r="O75" s="267">
        <x:v>0</x:v>
      </x:c>
      <x:c r="P75" s="267">
        <x:v>0</x:v>
      </x:c>
      <x:c r="Q75" s="267">
        <x:v>0</x:v>
      </x:c>
      <x:c r="R75" s="267">
        <x:v>0</x:v>
      </x:c>
      <x:c r="S75" s="267">
        <x:v>0</x:v>
      </x:c>
      <x:c r="T75" s="267">
        <x:v>0</x:v>
      </x:c>
      <x:c r="U75" s="267">
        <x:v>0</x:v>
      </x:c>
      <x:c r="V75" s="267">
        <x:v>0</x:v>
      </x:c>
      <x:c r="W75" s="267">
        <x:v>0</x:v>
      </x:c>
      <x:c r="X75" s="267">
        <x:v>0</x:v>
      </x:c>
      <x:c r="Y75" s="269">
        <x:f t="shared" si="3"/>
        <x:v>0</x:v>
      </x:c>
    </x:row>
    <x:row r="76">
      <x:c r="A76" s="148" t="s">
        <x:v>105</x:v>
      </x:c>
      <x:c r="B76">
        <x:v>3</x:v>
      </x:c>
      <x:c r="C76" s="148" t="s">
        <x:v>116</x:v>
      </x:c>
      <x:c r="D76">
        <x:v>319</x:v>
      </x:c>
      <x:c r="E76" s="267">
        <x:v>0</x:v>
      </x:c>
      <x:c r="F76" s="267">
        <x:v>0</x:v>
      </x:c>
      <x:c r="G76" s="267">
        <x:v>0</x:v>
      </x:c>
      <x:c r="H76" s="267">
        <x:v>0</x:v>
      </x:c>
      <x:c r="I76" s="267">
        <x:v>0</x:v>
      </x:c>
      <x:c r="J76" s="267">
        <x:v>0</x:v>
      </x:c>
      <x:c r="K76" s="267">
        <x:v>0</x:v>
      </x:c>
      <x:c r="L76" s="267">
        <x:v>0</x:v>
      </x:c>
      <x:c r="M76" s="267">
        <x:v>0</x:v>
      </x:c>
      <x:c r="N76" s="267">
        <x:v>0</x:v>
      </x:c>
      <x:c r="O76" s="267">
        <x:v>0</x:v>
      </x:c>
      <x:c r="P76" s="267">
        <x:v>0</x:v>
      </x:c>
      <x:c r="Q76" s="267">
        <x:v>0</x:v>
      </x:c>
      <x:c r="R76" s="267">
        <x:v>0</x:v>
      </x:c>
      <x:c r="S76" s="267">
        <x:v>0</x:v>
      </x:c>
      <x:c r="T76" s="267">
        <x:v>0</x:v>
      </x:c>
      <x:c r="U76" s="267">
        <x:v>0</x:v>
      </x:c>
      <x:c r="V76" s="267">
        <x:v>0</x:v>
      </x:c>
      <x:c r="W76" s="267">
        <x:v>0</x:v>
      </x:c>
      <x:c r="X76" s="267">
        <x:v>0</x:v>
      </x:c>
      <x:c r="Y76" s="269">
        <x:f t="shared" si="3"/>
        <x:v>0</x:v>
      </x:c>
    </x:row>
    <x:row r="77">
      <x:c r="A77" s="148" t="s">
        <x:v>105</x:v>
      </x:c>
      <x:c r="B77">
        <x:v>3</x:v>
      </x:c>
      <x:c r="C77" s="148" t="s">
        <x:v>116</x:v>
      </x:c>
      <x:c r="D77">
        <x:v>320</x:v>
      </x:c>
      <x:c r="E77" s="267">
        <x:v>0</x:v>
      </x:c>
      <x:c r="F77" s="267">
        <x:v>0</x:v>
      </x:c>
      <x:c r="G77" s="267">
        <x:v>0</x:v>
      </x:c>
      <x:c r="H77" s="267">
        <x:v>0</x:v>
      </x:c>
      <x:c r="I77" s="267">
        <x:v>0</x:v>
      </x:c>
      <x:c r="J77" s="267">
        <x:v>0</x:v>
      </x:c>
      <x:c r="K77" s="267">
        <x:v>0</x:v>
      </x:c>
      <x:c r="L77" s="267">
        <x:v>0</x:v>
      </x:c>
      <x:c r="M77" s="267">
        <x:v>0</x:v>
      </x:c>
      <x:c r="N77" s="267">
        <x:v>0</x:v>
      </x:c>
      <x:c r="O77" s="267">
        <x:v>0</x:v>
      </x:c>
      <x:c r="P77" s="267">
        <x:v>0</x:v>
      </x:c>
      <x:c r="Q77" s="267">
        <x:v>0</x:v>
      </x:c>
      <x:c r="R77" s="267">
        <x:v>0</x:v>
      </x:c>
      <x:c r="S77" s="267">
        <x:v>0</x:v>
      </x:c>
      <x:c r="T77" s="267">
        <x:v>0</x:v>
      </x:c>
      <x:c r="U77" s="267">
        <x:v>0</x:v>
      </x:c>
      <x:c r="V77" s="267">
        <x:v>0</x:v>
      </x:c>
      <x:c r="W77" s="267">
        <x:v>0</x:v>
      </x:c>
      <x:c r="X77" s="267">
        <x:v>0</x:v>
      </x:c>
      <x:c r="Y77" s="269">
        <x:f t="shared" si="3"/>
        <x:v>0</x:v>
      </x:c>
    </x:row>
    <x:row r="78">
      <x:c r="A78" s="148" t="s">
        <x:v>105</x:v>
      </x:c>
      <x:c r="B78">
        <x:v>3</x:v>
      </x:c>
      <x:c r="C78" s="148" t="s">
        <x:v>116</x:v>
      </x:c>
      <x:c r="D78">
        <x:v>321</x:v>
      </x:c>
      <x:c r="E78" s="267">
        <x:v>0</x:v>
      </x:c>
      <x:c r="F78" s="267">
        <x:v>0</x:v>
      </x:c>
      <x:c r="G78" s="267">
        <x:v>0</x:v>
      </x:c>
      <x:c r="H78" s="267">
        <x:v>0</x:v>
      </x:c>
      <x:c r="I78" s="267">
        <x:v>0</x:v>
      </x:c>
      <x:c r="J78" s="267">
        <x:v>0</x:v>
      </x:c>
      <x:c r="K78" s="267">
        <x:v>0</x:v>
      </x:c>
      <x:c r="L78" s="267">
        <x:v>0</x:v>
      </x:c>
      <x:c r="M78" s="267">
        <x:v>0</x:v>
      </x:c>
      <x:c r="N78" s="267">
        <x:v>0</x:v>
      </x:c>
      <x:c r="O78" s="267">
        <x:v>0</x:v>
      </x:c>
      <x:c r="P78" s="267">
        <x:v>0</x:v>
      </x:c>
      <x:c r="Q78" s="267">
        <x:v>0</x:v>
      </x:c>
      <x:c r="R78" s="267">
        <x:v>0</x:v>
      </x:c>
      <x:c r="S78" s="267">
        <x:v>0</x:v>
      </x:c>
      <x:c r="T78" s="267">
        <x:v>0</x:v>
      </x:c>
      <x:c r="U78" s="267">
        <x:v>0</x:v>
      </x:c>
      <x:c r="V78" s="267">
        <x:v>0</x:v>
      </x:c>
      <x:c r="W78" s="267">
        <x:v>0</x:v>
      </x:c>
      <x:c r="X78" s="267">
        <x:v>0</x:v>
      </x:c>
      <x:c r="Y78" s="269">
        <x:f t="shared" si="3"/>
        <x:v>0</x:v>
      </x:c>
    </x:row>
    <x:row r="79">
      <x:c r="A79" s="148" t="s">
        <x:v>105</x:v>
      </x:c>
      <x:c r="B79">
        <x:v>3</x:v>
      </x:c>
      <x:c r="C79" s="148" t="s">
        <x:v>116</x:v>
      </x:c>
      <x:c r="D79">
        <x:v>322</x:v>
      </x:c>
      <x:c r="E79" s="267">
        <x:v>0</x:v>
      </x:c>
      <x:c r="F79" s="267">
        <x:v>0</x:v>
      </x:c>
      <x:c r="G79" s="267">
        <x:v>0</x:v>
      </x:c>
      <x:c r="H79" s="267">
        <x:v>0</x:v>
      </x:c>
      <x:c r="I79" s="267">
        <x:v>0</x:v>
      </x:c>
      <x:c r="J79" s="267">
        <x:v>0</x:v>
      </x:c>
      <x:c r="K79" s="267">
        <x:v>0</x:v>
      </x:c>
      <x:c r="L79" s="267">
        <x:v>0</x:v>
      </x:c>
      <x:c r="M79" s="267">
        <x:v>0</x:v>
      </x:c>
      <x:c r="N79" s="267">
        <x:v>0</x:v>
      </x:c>
      <x:c r="O79" s="267">
        <x:v>0</x:v>
      </x:c>
      <x:c r="P79" s="267">
        <x:v>0</x:v>
      </x:c>
      <x:c r="Q79" s="267">
        <x:v>0</x:v>
      </x:c>
      <x:c r="R79" s="267">
        <x:v>0</x:v>
      </x:c>
      <x:c r="S79" s="267">
        <x:v>0</x:v>
      </x:c>
      <x:c r="T79" s="267">
        <x:v>0</x:v>
      </x:c>
      <x:c r="U79" s="267">
        <x:v>0</x:v>
      </x:c>
      <x:c r="V79" s="267">
        <x:v>0</x:v>
      </x:c>
      <x:c r="W79" s="267">
        <x:v>0</x:v>
      </x:c>
      <x:c r="X79" s="267">
        <x:v>0</x:v>
      </x:c>
      <x:c r="Y79" s="269">
        <x:f t="shared" si="3"/>
        <x:v>0</x:v>
      </x:c>
    </x:row>
    <x:row r="80">
      <x:c r="A80" s="148" t="s">
        <x:v>105</x:v>
      </x:c>
      <x:c r="B80">
        <x:v>3</x:v>
      </x:c>
      <x:c r="C80" s="148" t="s">
        <x:v>116</x:v>
      </x:c>
      <x:c r="D80">
        <x:v>323</x:v>
      </x:c>
      <x:c r="E80" s="267">
        <x:v>0</x:v>
      </x:c>
      <x:c r="F80" s="267">
        <x:v>0</x:v>
      </x:c>
      <x:c r="G80" s="267">
        <x:v>0</x:v>
      </x:c>
      <x:c r="H80" s="267">
        <x:v>0</x:v>
      </x:c>
      <x:c r="I80" s="267">
        <x:v>0</x:v>
      </x:c>
      <x:c r="J80" s="267">
        <x:v>0</x:v>
      </x:c>
      <x:c r="K80" s="267">
        <x:v>0</x:v>
      </x:c>
      <x:c r="L80" s="267">
        <x:v>0</x:v>
      </x:c>
      <x:c r="M80" s="267">
        <x:v>0</x:v>
      </x:c>
      <x:c r="N80" s="267">
        <x:v>0</x:v>
      </x:c>
      <x:c r="O80" s="267">
        <x:v>0</x:v>
      </x:c>
      <x:c r="P80" s="267">
        <x:v>0</x:v>
      </x:c>
      <x:c r="Q80" s="267">
        <x:v>0</x:v>
      </x:c>
      <x:c r="R80" s="267">
        <x:v>0</x:v>
      </x:c>
      <x:c r="S80" s="267">
        <x:v>0</x:v>
      </x:c>
      <x:c r="T80" s="267">
        <x:v>0</x:v>
      </x:c>
      <x:c r="U80" s="267">
        <x:v>0</x:v>
      </x:c>
      <x:c r="V80" s="267">
        <x:v>0</x:v>
      </x:c>
      <x:c r="W80" s="267">
        <x:v>0</x:v>
      </x:c>
      <x:c r="X80" s="267">
        <x:v>0</x:v>
      </x:c>
      <x:c r="Y80" s="269">
        <x:f t="shared" si="3"/>
        <x:v>0</x:v>
      </x:c>
    </x:row>
    <x:row r="81">
      <x:c r="A81" s="148" t="s">
        <x:v>105</x:v>
      </x:c>
      <x:c r="B81">
        <x:v>3</x:v>
      </x:c>
      <x:c r="C81" s="148" t="s">
        <x:v>115</x:v>
      </x:c>
      <x:c r="D81">
        <x:v>301</x:v>
      </x:c>
      <x:c r="E81" s="267">
        <x:v>100</x:v>
      </x:c>
      <x:c r="F81" s="267">
        <x:v>100</x:v>
      </x:c>
      <x:c r="G81" s="267">
        <x:v>100</x:v>
      </x:c>
      <x:c r="H81" s="267">
        <x:v>100</x:v>
      </x:c>
      <x:c r="I81" s="267">
        <x:v>100</x:v>
      </x:c>
      <x:c r="J81" s="267">
        <x:v>60</x:v>
      </x:c>
      <x:c r="K81" s="267">
        <x:v>0</x:v>
      </x:c>
      <x:c r="L81" s="267">
        <x:v>100</x:v>
      </x:c>
      <x:c r="M81" s="267">
        <x:v>0</x:v>
      </x:c>
      <x:c r="N81" s="267">
        <x:v>0</x:v>
      </x:c>
      <x:c r="O81" s="267">
        <x:v>0</x:v>
      </x:c>
      <x:c r="P81" s="267">
        <x:v>0</x:v>
      </x:c>
      <x:c r="Q81" s="267">
        <x:v>70</x:v>
      </x:c>
      <x:c r="R81" s="267">
        <x:v>0</x:v>
      </x:c>
      <x:c r="S81" s="267">
        <x:v>0</x:v>
      </x:c>
      <x:c r="T81" s="267">
        <x:v>0</x:v>
      </x:c>
      <x:c r="U81" s="267">
        <x:v>0</x:v>
      </x:c>
      <x:c r="V81" s="267">
        <x:v>0</x:v>
      </x:c>
      <x:c r="W81" s="267">
        <x:v>0</x:v>
      </x:c>
      <x:c r="X81" s="267">
        <x:v>0</x:v>
      </x:c>
      <x:c r="Y81" s="269">
        <x:f t="shared" si="3"/>
        <x:v>36.5</x:v>
      </x:c>
    </x:row>
    <x:row r="82">
      <x:c r="A82" s="148" t="s">
        <x:v>105</x:v>
      </x:c>
      <x:c r="B82">
        <x:v>3</x:v>
      </x:c>
      <x:c r="C82" s="148" t="s">
        <x:v>115</x:v>
      </x:c>
      <x:c r="D82">
        <x:v>302</x:v>
      </x:c>
      <x:c r="E82" s="267">
        <x:v>100</x:v>
      </x:c>
      <x:c r="F82" s="267">
        <x:v>100</x:v>
      </x:c>
      <x:c r="G82" s="267">
        <x:v>100</x:v>
      </x:c>
      <x:c r="H82" s="267">
        <x:v>100</x:v>
      </x:c>
      <x:c r="I82" s="267">
        <x:v>100</x:v>
      </x:c>
      <x:c r="J82" s="267">
        <x:v>60</x:v>
      </x:c>
      <x:c r="K82" s="267">
        <x:v>0</x:v>
      </x:c>
      <x:c r="L82" s="267">
        <x:v>100</x:v>
      </x:c>
      <x:c r="M82" s="267">
        <x:v>0</x:v>
      </x:c>
      <x:c r="N82" s="267">
        <x:v>0</x:v>
      </x:c>
      <x:c r="O82" s="267">
        <x:v>0</x:v>
      </x:c>
      <x:c r="P82" s="267">
        <x:v>0</x:v>
      </x:c>
      <x:c r="Q82" s="267">
        <x:v>70</x:v>
      </x:c>
      <x:c r="R82" s="267">
        <x:v>0</x:v>
      </x:c>
      <x:c r="S82" s="267">
        <x:v>0</x:v>
      </x:c>
      <x:c r="T82" s="267">
        <x:v>0</x:v>
      </x:c>
      <x:c r="U82" s="267">
        <x:v>0</x:v>
      </x:c>
      <x:c r="V82" s="267">
        <x:v>0</x:v>
      </x:c>
      <x:c r="W82" s="267">
        <x:v>0</x:v>
      </x:c>
      <x:c r="X82" s="267">
        <x:v>0</x:v>
      </x:c>
      <x:c r="Y82" s="269">
        <x:f t="shared" si="3"/>
        <x:v>36.5</x:v>
      </x:c>
    </x:row>
    <x:row r="83">
      <x:c r="A83" s="148" t="s">
        <x:v>105</x:v>
      </x:c>
      <x:c r="B83">
        <x:v>3</x:v>
      </x:c>
      <x:c r="C83" s="148" t="s">
        <x:v>115</x:v>
      </x:c>
      <x:c r="D83">
        <x:v>303</x:v>
      </x:c>
      <x:c r="E83" s="267">
        <x:v>100</x:v>
      </x:c>
      <x:c r="F83" s="267">
        <x:v>100</x:v>
      </x:c>
      <x:c r="G83" s="267">
        <x:v>100</x:v>
      </x:c>
      <x:c r="H83" s="267">
        <x:v>100</x:v>
      </x:c>
      <x:c r="I83" s="267">
        <x:v>100</x:v>
      </x:c>
      <x:c r="J83" s="267">
        <x:v>60</x:v>
      </x:c>
      <x:c r="K83" s="267">
        <x:v>90</x:v>
      </x:c>
      <x:c r="L83" s="267">
        <x:v>100</x:v>
      </x:c>
      <x:c r="M83" s="267">
        <x:v>0</x:v>
      </x:c>
      <x:c r="N83" s="267">
        <x:v>0</x:v>
      </x:c>
      <x:c r="O83" s="267">
        <x:v>0</x:v>
      </x:c>
      <x:c r="P83" s="267">
        <x:v>0</x:v>
      </x:c>
      <x:c r="Q83" s="267">
        <x:v>70</x:v>
      </x:c>
      <x:c r="R83" s="267">
        <x:v>0</x:v>
      </x:c>
      <x:c r="S83" s="267">
        <x:v>0</x:v>
      </x:c>
      <x:c r="T83" s="267">
        <x:v>0</x:v>
      </x:c>
      <x:c r="U83" s="267">
        <x:v>0</x:v>
      </x:c>
      <x:c r="V83" s="267">
        <x:v>0</x:v>
      </x:c>
      <x:c r="W83" s="267">
        <x:v>0</x:v>
      </x:c>
      <x:c r="X83" s="267">
        <x:v>0</x:v>
      </x:c>
      <x:c r="Y83" s="269">
        <x:f t="shared" si="3"/>
        <x:v>41</x:v>
      </x:c>
    </x:row>
    <x:row r="84">
      <x:c r="A84" s="148" t="s">
        <x:v>105</x:v>
      </x:c>
      <x:c r="B84">
        <x:v>3</x:v>
      </x:c>
      <x:c r="C84" s="148" t="s">
        <x:v>115</x:v>
      </x:c>
      <x:c r="D84">
        <x:v>304</x:v>
      </x:c>
      <x:c r="E84" s="267">
        <x:v>100</x:v>
      </x:c>
      <x:c r="F84" s="267">
        <x:v>100</x:v>
      </x:c>
      <x:c r="G84" s="267">
        <x:v>100</x:v>
      </x:c>
      <x:c r="H84" s="267">
        <x:v>100</x:v>
      </x:c>
      <x:c r="I84" s="267">
        <x:v>100</x:v>
      </x:c>
      <x:c r="J84" s="267">
        <x:v>60</x:v>
      </x:c>
      <x:c r="K84" s="267">
        <x:v>90</x:v>
      </x:c>
      <x:c r="L84" s="267">
        <x:v>100</x:v>
      </x:c>
      <x:c r="M84" s="267">
        <x:v>0</x:v>
      </x:c>
      <x:c r="N84" s="267">
        <x:v>0</x:v>
      </x:c>
      <x:c r="O84" s="267">
        <x:v>0</x:v>
      </x:c>
      <x:c r="P84" s="267">
        <x:v>0</x:v>
      </x:c>
      <x:c r="Q84" s="267">
        <x:v>70</x:v>
      </x:c>
      <x:c r="R84" s="267">
        <x:v>0</x:v>
      </x:c>
      <x:c r="S84" s="267">
        <x:v>0</x:v>
      </x:c>
      <x:c r="T84" s="267">
        <x:v>0</x:v>
      </x:c>
      <x:c r="U84" s="267">
        <x:v>0</x:v>
      </x:c>
      <x:c r="V84" s="267">
        <x:v>0</x:v>
      </x:c>
      <x:c r="W84" s="267">
        <x:v>0</x:v>
      </x:c>
      <x:c r="X84" s="267">
        <x:v>0</x:v>
      </x:c>
      <x:c r="Y84" s="269">
        <x:f t="shared" si="3"/>
        <x:v>41</x:v>
      </x:c>
    </x:row>
    <x:row r="85">
      <x:c r="A85" s="148" t="s">
        <x:v>105</x:v>
      </x:c>
      <x:c r="B85">
        <x:v>3</x:v>
      </x:c>
      <x:c r="C85" s="148" t="s">
        <x:v>115</x:v>
      </x:c>
      <x:c r="D85">
        <x:v>305</x:v>
      </x:c>
      <x:c r="E85" s="267">
        <x:v>100</x:v>
      </x:c>
      <x:c r="F85" s="267">
        <x:v>100</x:v>
      </x:c>
      <x:c r="G85" s="267">
        <x:v>100</x:v>
      </x:c>
      <x:c r="H85" s="267">
        <x:v>100</x:v>
      </x:c>
      <x:c r="I85" s="267">
        <x:v>100</x:v>
      </x:c>
      <x:c r="J85" s="267">
        <x:v>60</x:v>
      </x:c>
      <x:c r="K85" s="267">
        <x:v>90</x:v>
      </x:c>
      <x:c r="L85" s="267">
        <x:v>100</x:v>
      </x:c>
      <x:c r="M85" s="267">
        <x:v>0</x:v>
      </x:c>
      <x:c r="N85" s="267">
        <x:v>80</x:v>
      </x:c>
      <x:c r="O85" s="267">
        <x:v>0</x:v>
      </x:c>
      <x:c r="P85" s="267">
        <x:v>0</x:v>
      </x:c>
      <x:c r="Q85" s="267">
        <x:v>70</x:v>
      </x:c>
      <x:c r="R85" s="267">
        <x:v>0</x:v>
      </x:c>
      <x:c r="S85" s="267">
        <x:v>0</x:v>
      </x:c>
      <x:c r="T85" s="267">
        <x:v>0</x:v>
      </x:c>
      <x:c r="U85" s="267">
        <x:v>0</x:v>
      </x:c>
      <x:c r="V85" s="267">
        <x:v>0</x:v>
      </x:c>
      <x:c r="W85" s="267">
        <x:v>0</x:v>
      </x:c>
      <x:c r="X85" s="267">
        <x:v>0</x:v>
      </x:c>
      <x:c r="Y85" s="269">
        <x:f t="shared" si="3"/>
        <x:v>45</x:v>
      </x:c>
    </x:row>
    <x:row r="86">
      <x:c r="A86" s="148" t="s">
        <x:v>105</x:v>
      </x:c>
      <x:c r="B86">
        <x:v>3</x:v>
      </x:c>
      <x:c r="C86" s="148" t="s">
        <x:v>115</x:v>
      </x:c>
      <x:c r="D86">
        <x:v>306</x:v>
      </x:c>
      <x:c r="E86" s="267">
        <x:v>100</x:v>
      </x:c>
      <x:c r="F86" s="267">
        <x:v>100</x:v>
      </x:c>
      <x:c r="G86" s="267">
        <x:v>100</x:v>
      </x:c>
      <x:c r="H86" s="267">
        <x:v>100</x:v>
      </x:c>
      <x:c r="I86" s="267">
        <x:v>100</x:v>
      </x:c>
      <x:c r="J86" s="267">
        <x:v>60</x:v>
      </x:c>
      <x:c r="K86" s="267">
        <x:v>90</x:v>
      </x:c>
      <x:c r="L86" s="267">
        <x:v>100</x:v>
      </x:c>
      <x:c r="M86" s="267">
        <x:v>0</x:v>
      </x:c>
      <x:c r="N86" s="267">
        <x:v>0</x:v>
      </x:c>
      <x:c r="O86" s="267">
        <x:v>0</x:v>
      </x:c>
      <x:c r="P86" s="267">
        <x:v>0</x:v>
      </x:c>
      <x:c r="Q86" s="267">
        <x:v>70</x:v>
      </x:c>
      <x:c r="R86" s="267">
        <x:v>0</x:v>
      </x:c>
      <x:c r="S86" s="267">
        <x:v>0</x:v>
      </x:c>
      <x:c r="T86" s="267">
        <x:v>0</x:v>
      </x:c>
      <x:c r="U86" s="267">
        <x:v>0</x:v>
      </x:c>
      <x:c r="V86" s="267">
        <x:v>0</x:v>
      </x:c>
      <x:c r="W86" s="267">
        <x:v>0</x:v>
      </x:c>
      <x:c r="X86" s="267">
        <x:v>0</x:v>
      </x:c>
      <x:c r="Y86" s="269">
        <x:f t="shared" si="3"/>
        <x:v>41</x:v>
      </x:c>
    </x:row>
    <x:row r="87">
      <x:c r="A87" s="148" t="s">
        <x:v>105</x:v>
      </x:c>
      <x:c r="B87">
        <x:v>3</x:v>
      </x:c>
      <x:c r="C87" s="148" t="s">
        <x:v>115</x:v>
      </x:c>
      <x:c r="D87">
        <x:v>307</x:v>
      </x:c>
      <x:c r="E87" s="267">
        <x:v>100</x:v>
      </x:c>
      <x:c r="F87" s="267">
        <x:v>100</x:v>
      </x:c>
      <x:c r="G87" s="267">
        <x:v>100</x:v>
      </x:c>
      <x:c r="H87" s="267">
        <x:v>100</x:v>
      </x:c>
      <x:c r="I87" s="267">
        <x:v>100</x:v>
      </x:c>
      <x:c r="J87" s="267">
        <x:v>60</x:v>
      </x:c>
      <x:c r="K87" s="267">
        <x:v>90</x:v>
      </x:c>
      <x:c r="L87" s="267">
        <x:v>100</x:v>
      </x:c>
      <x:c r="M87" s="267">
        <x:v>0</x:v>
      </x:c>
      <x:c r="N87" s="267">
        <x:v>0</x:v>
      </x:c>
      <x:c r="O87" s="267">
        <x:v>0</x:v>
      </x:c>
      <x:c r="P87" s="267">
        <x:v>0</x:v>
      </x:c>
      <x:c r="Q87" s="267">
        <x:v>70</x:v>
      </x:c>
      <x:c r="R87" s="267">
        <x:v>0</x:v>
      </x:c>
      <x:c r="S87" s="267">
        <x:v>0</x:v>
      </x:c>
      <x:c r="T87" s="267">
        <x:v>0</x:v>
      </x:c>
      <x:c r="U87" s="267">
        <x:v>0</x:v>
      </x:c>
      <x:c r="V87" s="267">
        <x:v>0</x:v>
      </x:c>
      <x:c r="W87" s="267">
        <x:v>0</x:v>
      </x:c>
      <x:c r="X87" s="267">
        <x:v>0</x:v>
      </x:c>
      <x:c r="Y87" s="269">
        <x:f t="shared" si="3"/>
        <x:v>41</x:v>
      </x:c>
    </x:row>
    <x:row r="88">
      <x:c r="A88" s="148" t="s">
        <x:v>105</x:v>
      </x:c>
      <x:c r="B88">
        <x:v>3</x:v>
      </x:c>
      <x:c r="C88" s="148" t="s">
        <x:v>115</x:v>
      </x:c>
      <x:c r="D88">
        <x:v>308</x:v>
      </x:c>
      <x:c r="E88" s="267">
        <x:v>100</x:v>
      </x:c>
      <x:c r="F88" s="267">
        <x:v>100</x:v>
      </x:c>
      <x:c r="G88" s="267">
        <x:v>100</x:v>
      </x:c>
      <x:c r="H88" s="267">
        <x:v>100</x:v>
      </x:c>
      <x:c r="I88" s="267">
        <x:v>100</x:v>
      </x:c>
      <x:c r="J88" s="267">
        <x:v>60</x:v>
      </x:c>
      <x:c r="K88" s="267">
        <x:v>90</x:v>
      </x:c>
      <x:c r="L88" s="267">
        <x:v>100</x:v>
      </x:c>
      <x:c r="M88" s="267">
        <x:v>0</x:v>
      </x:c>
      <x:c r="N88" s="267">
        <x:v>0</x:v>
      </x:c>
      <x:c r="O88" s="267">
        <x:v>0</x:v>
      </x:c>
      <x:c r="P88" s="267">
        <x:v>0</x:v>
      </x:c>
      <x:c r="Q88" s="267">
        <x:v>70</x:v>
      </x:c>
      <x:c r="R88" s="267">
        <x:v>0</x:v>
      </x:c>
      <x:c r="S88" s="267">
        <x:v>0</x:v>
      </x:c>
      <x:c r="T88" s="267">
        <x:v>0</x:v>
      </x:c>
      <x:c r="U88" s="267">
        <x:v>0</x:v>
      </x:c>
      <x:c r="V88" s="267">
        <x:v>0</x:v>
      </x:c>
      <x:c r="W88" s="267">
        <x:v>0</x:v>
      </x:c>
      <x:c r="X88" s="267">
        <x:v>0</x:v>
      </x:c>
      <x:c r="Y88" s="269">
        <x:f t="shared" si="3"/>
        <x:v>41</x:v>
      </x:c>
    </x:row>
    <x:row r="89">
      <x:c r="A89" s="148" t="s">
        <x:v>105</x:v>
      </x:c>
      <x:c r="B89">
        <x:v>3</x:v>
      </x:c>
      <x:c r="C89" s="148" t="s">
        <x:v>115</x:v>
      </x:c>
      <x:c r="D89">
        <x:v>309</x:v>
      </x:c>
      <x:c r="E89" s="267">
        <x:v>100</x:v>
      </x:c>
      <x:c r="F89" s="267">
        <x:v>100</x:v>
      </x:c>
      <x:c r="G89" s="267">
        <x:v>0</x:v>
      </x:c>
      <x:c r="H89" s="267">
        <x:v>0</x:v>
      </x:c>
      <x:c r="I89" s="267">
        <x:v>100</x:v>
      </x:c>
      <x:c r="J89" s="267">
        <x:v>0</x:v>
      </x:c>
      <x:c r="K89" s="267">
        <x:v>0</x:v>
      </x:c>
      <x:c r="L89" s="267">
        <x:v>0</x:v>
      </x:c>
      <x:c r="M89" s="267">
        <x:v>0</x:v>
      </x:c>
      <x:c r="N89" s="267">
        <x:v>0</x:v>
      </x:c>
      <x:c r="O89" s="267">
        <x:v>0</x:v>
      </x:c>
      <x:c r="P89" s="267">
        <x:v>0</x:v>
      </x:c>
      <x:c r="Q89" s="267">
        <x:v>0</x:v>
      </x:c>
      <x:c r="R89" s="267">
        <x:v>0</x:v>
      </x:c>
      <x:c r="S89" s="267">
        <x:v>0</x:v>
      </x:c>
      <x:c r="T89" s="267">
        <x:v>0</x:v>
      </x:c>
      <x:c r="U89" s="267">
        <x:v>0</x:v>
      </x:c>
      <x:c r="V89" s="267">
        <x:v>0</x:v>
      </x:c>
      <x:c r="W89" s="267">
        <x:v>0</x:v>
      </x:c>
      <x:c r="X89" s="267">
        <x:v>0</x:v>
      </x:c>
      <x:c r="Y89" s="269">
        <x:f t="shared" si="3"/>
        <x:v>15</x:v>
      </x:c>
    </x:row>
    <x:row r="90">
      <x:c r="A90" s="148" t="s">
        <x:v>105</x:v>
      </x:c>
      <x:c r="B90">
        <x:v>3</x:v>
      </x:c>
      <x:c r="C90" s="148" t="s">
        <x:v>115</x:v>
      </x:c>
      <x:c r="D90">
        <x:v>310</x:v>
      </x:c>
      <x:c r="E90" s="267">
        <x:v>100</x:v>
      </x:c>
      <x:c r="F90" s="267">
        <x:v>100</x:v>
      </x:c>
      <x:c r="G90" s="267">
        <x:v>0</x:v>
      </x:c>
      <x:c r="H90" s="267">
        <x:v>0</x:v>
      </x:c>
      <x:c r="I90" s="267">
        <x:v>100</x:v>
      </x:c>
      <x:c r="J90" s="267">
        <x:v>0</x:v>
      </x:c>
      <x:c r="K90" s="267">
        <x:v>0</x:v>
      </x:c>
      <x:c r="L90" s="267">
        <x:v>0</x:v>
      </x:c>
      <x:c r="M90" s="267">
        <x:v>0</x:v>
      </x:c>
      <x:c r="N90" s="267">
        <x:v>0</x:v>
      </x:c>
      <x:c r="O90" s="267">
        <x:v>0</x:v>
      </x:c>
      <x:c r="P90" s="267">
        <x:v>0</x:v>
      </x:c>
      <x:c r="Q90" s="267">
        <x:v>0</x:v>
      </x:c>
      <x:c r="R90" s="267">
        <x:v>0</x:v>
      </x:c>
      <x:c r="S90" s="267">
        <x:v>0</x:v>
      </x:c>
      <x:c r="T90" s="267">
        <x:v>0</x:v>
      </x:c>
      <x:c r="U90" s="267">
        <x:v>0</x:v>
      </x:c>
      <x:c r="V90" s="267">
        <x:v>0</x:v>
      </x:c>
      <x:c r="W90" s="267">
        <x:v>0</x:v>
      </x:c>
      <x:c r="X90" s="267">
        <x:v>0</x:v>
      </x:c>
      <x:c r="Y90" s="269">
        <x:f t="shared" si="3"/>
        <x:v>15</x:v>
      </x:c>
    </x:row>
    <x:row r="91">
      <x:c r="A91" s="148" t="s">
        <x:v>105</x:v>
      </x:c>
      <x:c r="B91">
        <x:v>3</x:v>
      </x:c>
      <x:c r="C91" s="148" t="s">
        <x:v>115</x:v>
      </x:c>
      <x:c r="D91">
        <x:v>311</x:v>
      </x:c>
      <x:c r="E91" s="267">
        <x:v>100</x:v>
      </x:c>
      <x:c r="F91" s="267">
        <x:v>100</x:v>
      </x:c>
      <x:c r="G91" s="267">
        <x:v>0</x:v>
      </x:c>
      <x:c r="H91" s="267">
        <x:v>0</x:v>
      </x:c>
      <x:c r="I91" s="267">
        <x:v>100</x:v>
      </x:c>
      <x:c r="J91" s="267">
        <x:v>0</x:v>
      </x:c>
      <x:c r="K91" s="267">
        <x:v>0</x:v>
      </x:c>
      <x:c r="L91" s="267">
        <x:v>0</x:v>
      </x:c>
      <x:c r="M91" s="267">
        <x:v>0</x:v>
      </x:c>
      <x:c r="N91" s="267">
        <x:v>0</x:v>
      </x:c>
      <x:c r="O91" s="267">
        <x:v>0</x:v>
      </x:c>
      <x:c r="P91" s="267">
        <x:v>0</x:v>
      </x:c>
      <x:c r="Q91" s="267">
        <x:v>0</x:v>
      </x:c>
      <x:c r="R91" s="267">
        <x:v>0</x:v>
      </x:c>
      <x:c r="S91" s="267">
        <x:v>0</x:v>
      </x:c>
      <x:c r="T91" s="267">
        <x:v>0</x:v>
      </x:c>
      <x:c r="U91" s="267">
        <x:v>0</x:v>
      </x:c>
      <x:c r="V91" s="267">
        <x:v>0</x:v>
      </x:c>
      <x:c r="W91" s="267">
        <x:v>0</x:v>
      </x:c>
      <x:c r="X91" s="267">
        <x:v>0</x:v>
      </x:c>
      <x:c r="Y91" s="269">
        <x:f t="shared" si="3"/>
        <x:v>15</x:v>
      </x:c>
    </x:row>
    <x:row r="92">
      <x:c r="A92" s="148" t="s">
        <x:v>105</x:v>
      </x:c>
      <x:c r="B92">
        <x:v>3</x:v>
      </x:c>
      <x:c r="C92" s="148" t="s">
        <x:v>115</x:v>
      </x:c>
      <x:c r="D92">
        <x:v>312</x:v>
      </x:c>
      <x:c r="E92" s="267">
        <x:v>100</x:v>
      </x:c>
      <x:c r="F92" s="267">
        <x:v>100</x:v>
      </x:c>
      <x:c r="G92" s="267">
        <x:v>0</x:v>
      </x:c>
      <x:c r="H92" s="267">
        <x:v>0</x:v>
      </x:c>
      <x:c r="I92" s="267">
        <x:v>100</x:v>
      </x:c>
      <x:c r="J92" s="267">
        <x:v>0</x:v>
      </x:c>
      <x:c r="K92" s="267">
        <x:v>0</x:v>
      </x:c>
      <x:c r="L92" s="267">
        <x:v>0</x:v>
      </x:c>
      <x:c r="M92" s="267">
        <x:v>0</x:v>
      </x:c>
      <x:c r="N92" s="267">
        <x:v>0</x:v>
      </x:c>
      <x:c r="O92" s="267">
        <x:v>0</x:v>
      </x:c>
      <x:c r="P92" s="267">
        <x:v>0</x:v>
      </x:c>
      <x:c r="Q92" s="267">
        <x:v>0</x:v>
      </x:c>
      <x:c r="R92" s="267">
        <x:v>0</x:v>
      </x:c>
      <x:c r="S92" s="267">
        <x:v>0</x:v>
      </x:c>
      <x:c r="T92" s="267">
        <x:v>0</x:v>
      </x:c>
      <x:c r="U92" s="267">
        <x:v>0</x:v>
      </x:c>
      <x:c r="V92" s="267">
        <x:v>0</x:v>
      </x:c>
      <x:c r="W92" s="267">
        <x:v>0</x:v>
      </x:c>
      <x:c r="X92" s="267">
        <x:v>0</x:v>
      </x:c>
      <x:c r="Y92" s="269">
        <x:f t="shared" si="3"/>
        <x:v>15</x:v>
      </x:c>
    </x:row>
    <x:row r="93">
      <x:c r="A93" s="148" t="s">
        <x:v>105</x:v>
      </x:c>
      <x:c r="B93">
        <x:v>3</x:v>
      </x:c>
      <x:c r="C93" s="148" t="s">
        <x:v>115</x:v>
      </x:c>
      <x:c r="D93">
        <x:v>313</x:v>
      </x:c>
      <x:c r="E93" s="267">
        <x:v>0</x:v>
      </x:c>
      <x:c r="F93" s="267">
        <x:v>95</x:v>
      </x:c>
      <x:c r="G93" s="267">
        <x:v>0</x:v>
      </x:c>
      <x:c r="H93" s="267">
        <x:v>0</x:v>
      </x:c>
      <x:c r="I93" s="267">
        <x:v>0</x:v>
      </x:c>
      <x:c r="J93" s="267">
        <x:v>0</x:v>
      </x:c>
      <x:c r="K93" s="267">
        <x:v>0</x:v>
      </x:c>
      <x:c r="L93" s="267">
        <x:v>0</x:v>
      </x:c>
      <x:c r="M93" s="267">
        <x:v>0</x:v>
      </x:c>
      <x:c r="N93" s="267">
        <x:v>0</x:v>
      </x:c>
      <x:c r="O93" s="267">
        <x:v>0</x:v>
      </x:c>
      <x:c r="P93" s="267">
        <x:v>0</x:v>
      </x:c>
      <x:c r="Q93" s="267">
        <x:v>0</x:v>
      </x:c>
      <x:c r="R93" s="267">
        <x:v>0</x:v>
      </x:c>
      <x:c r="S93" s="267">
        <x:v>0</x:v>
      </x:c>
      <x:c r="T93" s="267">
        <x:v>0</x:v>
      </x:c>
      <x:c r="U93" s="267">
        <x:v>0</x:v>
      </x:c>
      <x:c r="V93" s="267">
        <x:v>0</x:v>
      </x:c>
      <x:c r="W93" s="267">
        <x:v>0</x:v>
      </x:c>
      <x:c r="X93" s="267">
        <x:v>0</x:v>
      </x:c>
      <x:c r="Y93" s="269">
        <x:f t="shared" si="3"/>
        <x:v>4.75</x:v>
      </x:c>
    </x:row>
    <x:row r="94">
      <x:c r="A94" s="148" t="s">
        <x:v>105</x:v>
      </x:c>
      <x:c r="B94">
        <x:v>3</x:v>
      </x:c>
      <x:c r="C94" s="148" t="s">
        <x:v>115</x:v>
      </x:c>
      <x:c r="D94">
        <x:v>314</x:v>
      </x:c>
      <x:c r="E94" s="267">
        <x:v>0</x:v>
      </x:c>
      <x:c r="F94" s="267">
        <x:v>95</x:v>
      </x:c>
      <x:c r="G94" s="267">
        <x:v>0</x:v>
      </x:c>
      <x:c r="H94" s="267">
        <x:v>0</x:v>
      </x:c>
      <x:c r="I94" s="267">
        <x:v>0</x:v>
      </x:c>
      <x:c r="J94" s="267">
        <x:v>0</x:v>
      </x:c>
      <x:c r="K94" s="267">
        <x:v>0</x:v>
      </x:c>
      <x:c r="L94" s="267">
        <x:v>0</x:v>
      </x:c>
      <x:c r="M94" s="267">
        <x:v>0</x:v>
      </x:c>
      <x:c r="N94" s="267">
        <x:v>0</x:v>
      </x:c>
      <x:c r="O94" s="267">
        <x:v>0</x:v>
      </x:c>
      <x:c r="P94" s="267">
        <x:v>0</x:v>
      </x:c>
      <x:c r="Q94" s="267">
        <x:v>0</x:v>
      </x:c>
      <x:c r="R94" s="267">
        <x:v>0</x:v>
      </x:c>
      <x:c r="S94" s="267">
        <x:v>0</x:v>
      </x:c>
      <x:c r="T94" s="267">
        <x:v>0</x:v>
      </x:c>
      <x:c r="U94" s="267">
        <x:v>0</x:v>
      </x:c>
      <x:c r="V94" s="267">
        <x:v>0</x:v>
      </x:c>
      <x:c r="W94" s="267">
        <x:v>0</x:v>
      </x:c>
      <x:c r="X94" s="267">
        <x:v>0</x:v>
      </x:c>
      <x:c r="Y94" s="269">
        <x:f t="shared" si="3"/>
        <x:v>4.75</x:v>
      </x:c>
    </x:row>
    <x:row r="95">
      <x:c r="A95" s="148" t="s">
        <x:v>105</x:v>
      </x:c>
      <x:c r="B95">
        <x:v>3</x:v>
      </x:c>
      <x:c r="C95" s="148" t="s">
        <x:v>115</x:v>
      </x:c>
      <x:c r="D95">
        <x:v>315</x:v>
      </x:c>
      <x:c r="E95" s="267">
        <x:v>0</x:v>
      </x:c>
      <x:c r="F95" s="267">
        <x:v>95</x:v>
      </x:c>
      <x:c r="G95" s="267">
        <x:v>0</x:v>
      </x:c>
      <x:c r="H95" s="267">
        <x:v>0</x:v>
      </x:c>
      <x:c r="I95" s="267">
        <x:v>100</x:v>
      </x:c>
      <x:c r="J95" s="267">
        <x:v>0</x:v>
      </x:c>
      <x:c r="K95" s="267">
        <x:v>0</x:v>
      </x:c>
      <x:c r="L95" s="267">
        <x:v>0</x:v>
      </x:c>
      <x:c r="M95" s="267">
        <x:v>0</x:v>
      </x:c>
      <x:c r="N95" s="267">
        <x:v>0</x:v>
      </x:c>
      <x:c r="O95" s="267">
        <x:v>0</x:v>
      </x:c>
      <x:c r="P95" s="267">
        <x:v>0</x:v>
      </x:c>
      <x:c r="Q95" s="267">
        <x:v>0</x:v>
      </x:c>
      <x:c r="R95" s="267">
        <x:v>0</x:v>
      </x:c>
      <x:c r="S95" s="267">
        <x:v>0</x:v>
      </x:c>
      <x:c r="T95" s="267">
        <x:v>0</x:v>
      </x:c>
      <x:c r="U95" s="267">
        <x:v>0</x:v>
      </x:c>
      <x:c r="V95" s="267">
        <x:v>0</x:v>
      </x:c>
      <x:c r="W95" s="267">
        <x:v>0</x:v>
      </x:c>
      <x:c r="X95" s="267">
        <x:v>0</x:v>
      </x:c>
      <x:c r="Y95" s="269">
        <x:f t="shared" si="3"/>
        <x:v>9.75</x:v>
      </x:c>
    </x:row>
    <x:row r="96">
      <x:c r="A96" s="148" t="s">
        <x:v>105</x:v>
      </x:c>
      <x:c r="B96">
        <x:v>3</x:v>
      </x:c>
      <x:c r="C96" s="148" t="s">
        <x:v>115</x:v>
      </x:c>
      <x:c r="D96">
        <x:v>316</x:v>
      </x:c>
      <x:c r="E96" s="267">
        <x:v>0</x:v>
      </x:c>
      <x:c r="F96" s="267">
        <x:v>95</x:v>
      </x:c>
      <x:c r="G96" s="267">
        <x:v>0</x:v>
      </x:c>
      <x:c r="H96" s="267">
        <x:v>0</x:v>
      </x:c>
      <x:c r="I96" s="267">
        <x:v>100</x:v>
      </x:c>
      <x:c r="J96" s="267">
        <x:v>0</x:v>
      </x:c>
      <x:c r="K96" s="267">
        <x:v>0</x:v>
      </x:c>
      <x:c r="L96" s="267">
        <x:v>0</x:v>
      </x:c>
      <x:c r="M96" s="267">
        <x:v>0</x:v>
      </x:c>
      <x:c r="N96" s="267">
        <x:v>0</x:v>
      </x:c>
      <x:c r="O96" s="267">
        <x:v>0</x:v>
      </x:c>
      <x:c r="P96" s="267">
        <x:v>0</x:v>
      </x:c>
      <x:c r="Q96" s="267">
        <x:v>0</x:v>
      </x:c>
      <x:c r="R96" s="267">
        <x:v>0</x:v>
      </x:c>
      <x:c r="S96" s="267">
        <x:v>0</x:v>
      </x:c>
      <x:c r="T96" s="267">
        <x:v>0</x:v>
      </x:c>
      <x:c r="U96" s="267">
        <x:v>0</x:v>
      </x:c>
      <x:c r="V96" s="267">
        <x:v>0</x:v>
      </x:c>
      <x:c r="W96" s="267">
        <x:v>0</x:v>
      </x:c>
      <x:c r="X96" s="267">
        <x:v>0</x:v>
      </x:c>
      <x:c r="Y96" s="269">
        <x:f t="shared" si="3"/>
        <x:v>9.75</x:v>
      </x:c>
    </x:row>
    <x:row r="97">
      <x:c r="A97" s="148" t="s">
        <x:v>105</x:v>
      </x:c>
      <x:c r="B97">
        <x:v>3</x:v>
      </x:c>
      <x:c r="C97" s="148" t="s">
        <x:v>115</x:v>
      </x:c>
      <x:c r="D97">
        <x:v>317</x:v>
      </x:c>
      <x:c r="E97" s="267">
        <x:v>0</x:v>
      </x:c>
      <x:c r="F97" s="267">
        <x:v>95</x:v>
      </x:c>
      <x:c r="G97" s="267">
        <x:v>0</x:v>
      </x:c>
      <x:c r="H97" s="267">
        <x:v>0</x:v>
      </x:c>
      <x:c r="I97" s="267">
        <x:v>100</x:v>
      </x:c>
      <x:c r="J97" s="267">
        <x:v>0</x:v>
      </x:c>
      <x:c r="K97" s="267">
        <x:v>0</x:v>
      </x:c>
      <x:c r="L97" s="267">
        <x:v>0</x:v>
      </x:c>
      <x:c r="M97" s="267">
        <x:v>0</x:v>
      </x:c>
      <x:c r="N97" s="267">
        <x:v>0</x:v>
      </x:c>
      <x:c r="O97" s="267">
        <x:v>0</x:v>
      </x:c>
      <x:c r="P97" s="267">
        <x:v>0</x:v>
      </x:c>
      <x:c r="Q97" s="267">
        <x:v>0</x:v>
      </x:c>
      <x:c r="R97" s="267">
        <x:v>0</x:v>
      </x:c>
      <x:c r="S97" s="267">
        <x:v>0</x:v>
      </x:c>
      <x:c r="T97" s="267">
        <x:v>0</x:v>
      </x:c>
      <x:c r="U97" s="267">
        <x:v>0</x:v>
      </x:c>
      <x:c r="V97" s="267">
        <x:v>0</x:v>
      </x:c>
      <x:c r="W97" s="267">
        <x:v>0</x:v>
      </x:c>
      <x:c r="X97" s="267">
        <x:v>0</x:v>
      </x:c>
      <x:c r="Y97" s="269">
        <x:f t="shared" si="3"/>
        <x:v>9.75</x:v>
      </x:c>
    </x:row>
    <x:row r="98">
      <x:c r="A98" s="148" t="s">
        <x:v>105</x:v>
      </x:c>
      <x:c r="B98">
        <x:v>3</x:v>
      </x:c>
      <x:c r="C98" s="148" t="s">
        <x:v>115</x:v>
      </x:c>
      <x:c r="D98">
        <x:v>318</x:v>
      </x:c>
      <x:c r="E98" s="267">
        <x:v>0</x:v>
      </x:c>
      <x:c r="F98" s="267">
        <x:v>95</x:v>
      </x:c>
      <x:c r="G98" s="267">
        <x:v>0</x:v>
      </x:c>
      <x:c r="H98" s="267">
        <x:v>0</x:v>
      </x:c>
      <x:c r="I98" s="267">
        <x:v>100</x:v>
      </x:c>
      <x:c r="J98" s="267">
        <x:v>0</x:v>
      </x:c>
      <x:c r="K98" s="267">
        <x:v>0</x:v>
      </x:c>
      <x:c r="L98" s="267">
        <x:v>0</x:v>
      </x:c>
      <x:c r="M98" s="267">
        <x:v>0</x:v>
      </x:c>
      <x:c r="N98" s="267">
        <x:v>0</x:v>
      </x:c>
      <x:c r="O98" s="267">
        <x:v>0</x:v>
      </x:c>
      <x:c r="P98" s="267">
        <x:v>0</x:v>
      </x:c>
      <x:c r="Q98" s="267">
        <x:v>0</x:v>
      </x:c>
      <x:c r="R98" s="267">
        <x:v>0</x:v>
      </x:c>
      <x:c r="S98" s="267">
        <x:v>0</x:v>
      </x:c>
      <x:c r="T98" s="267">
        <x:v>0</x:v>
      </x:c>
      <x:c r="U98" s="267">
        <x:v>0</x:v>
      </x:c>
      <x:c r="V98" s="267">
        <x:v>0</x:v>
      </x:c>
      <x:c r="W98" s="267">
        <x:v>0</x:v>
      </x:c>
      <x:c r="X98" s="267">
        <x:v>0</x:v>
      </x:c>
      <x:c r="Y98" s="269">
        <x:f t="shared" si="3"/>
        <x:v>9.75</x:v>
      </x:c>
    </x:row>
    <x:row r="99">
      <x:c r="A99" s="148" t="s">
        <x:v>105</x:v>
      </x:c>
      <x:c r="B99">
        <x:v>3</x:v>
      </x:c>
      <x:c r="C99" s="148" t="s">
        <x:v>115</x:v>
      </x:c>
      <x:c r="D99">
        <x:v>319</x:v>
      </x:c>
      <x:c r="E99" s="267">
        <x:v>0</x:v>
      </x:c>
      <x:c r="F99" s="267">
        <x:v>95</x:v>
      </x:c>
      <x:c r="G99" s="267">
        <x:v>0</x:v>
      </x:c>
      <x:c r="H99" s="267">
        <x:v>0</x:v>
      </x:c>
      <x:c r="I99" s="267">
        <x:v>100</x:v>
      </x:c>
      <x:c r="J99" s="267">
        <x:v>0</x:v>
      </x:c>
      <x:c r="K99" s="267">
        <x:v>0</x:v>
      </x:c>
      <x:c r="L99" s="267">
        <x:v>0</x:v>
      </x:c>
      <x:c r="M99" s="267">
        <x:v>0</x:v>
      </x:c>
      <x:c r="N99" s="267">
        <x:v>0</x:v>
      </x:c>
      <x:c r="O99" s="267">
        <x:v>0</x:v>
      </x:c>
      <x:c r="P99" s="267">
        <x:v>0</x:v>
      </x:c>
      <x:c r="Q99" s="267">
        <x:v>0</x:v>
      </x:c>
      <x:c r="R99" s="267">
        <x:v>0</x:v>
      </x:c>
      <x:c r="S99" s="267">
        <x:v>0</x:v>
      </x:c>
      <x:c r="T99" s="267">
        <x:v>0</x:v>
      </x:c>
      <x:c r="U99" s="267">
        <x:v>0</x:v>
      </x:c>
      <x:c r="V99" s="267">
        <x:v>0</x:v>
      </x:c>
      <x:c r="W99" s="267">
        <x:v>0</x:v>
      </x:c>
      <x:c r="X99" s="267">
        <x:v>0</x:v>
      </x:c>
      <x:c r="Y99" s="269">
        <x:f t="shared" si="3"/>
        <x:v>9.75</x:v>
      </x:c>
    </x:row>
    <x:row r="100">
      <x:c r="A100" s="148" t="s">
        <x:v>105</x:v>
      </x:c>
      <x:c r="B100">
        <x:v>3</x:v>
      </x:c>
      <x:c r="C100" s="148" t="s">
        <x:v>115</x:v>
      </x:c>
      <x:c r="D100">
        <x:v>320</x:v>
      </x:c>
      <x:c r="E100" s="267">
        <x:v>100</x:v>
      </x:c>
      <x:c r="F100" s="267">
        <x:v>100</x:v>
      </x:c>
      <x:c r="G100" s="267">
        <x:v>0</x:v>
      </x:c>
      <x:c r="H100" s="267">
        <x:v>0</x:v>
      </x:c>
      <x:c r="I100" s="267">
        <x:v>100</x:v>
      </x:c>
      <x:c r="J100" s="267">
        <x:v>0</x:v>
      </x:c>
      <x:c r="K100" s="267">
        <x:v>0</x:v>
      </x:c>
      <x:c r="L100" s="267">
        <x:v>0</x:v>
      </x:c>
      <x:c r="M100" s="267">
        <x:v>0</x:v>
      </x:c>
      <x:c r="N100" s="267">
        <x:v>0</x:v>
      </x:c>
      <x:c r="O100" s="267">
        <x:v>0</x:v>
      </x:c>
      <x:c r="P100" s="267">
        <x:v>0</x:v>
      </x:c>
      <x:c r="Q100" s="267">
        <x:v>0</x:v>
      </x:c>
      <x:c r="R100" s="267">
        <x:v>0</x:v>
      </x:c>
      <x:c r="S100" s="267">
        <x:v>0</x:v>
      </x:c>
      <x:c r="T100" s="267">
        <x:v>0</x:v>
      </x:c>
      <x:c r="U100" s="267">
        <x:v>0</x:v>
      </x:c>
      <x:c r="V100" s="267">
        <x:v>0</x:v>
      </x:c>
      <x:c r="W100" s="267">
        <x:v>0</x:v>
      </x:c>
      <x:c r="X100" s="267">
        <x:v>0</x:v>
      </x:c>
      <x:c r="Y100" s="269">
        <x:f t="shared" si="3"/>
        <x:v>15</x:v>
      </x:c>
    </x:row>
    <x:row r="101">
      <x:c r="A101" s="148" t="s">
        <x:v>105</x:v>
      </x:c>
      <x:c r="B101">
        <x:v>3</x:v>
      </x:c>
      <x:c r="C101" s="148" t="s">
        <x:v>115</x:v>
      </x:c>
      <x:c r="D101">
        <x:v>321</x:v>
      </x:c>
      <x:c r="E101" s="267">
        <x:v>100</x:v>
      </x:c>
      <x:c r="F101" s="267">
        <x:v>100</x:v>
      </x:c>
      <x:c r="G101" s="267">
        <x:v>0</x:v>
      </x:c>
      <x:c r="H101" s="267">
        <x:v>0</x:v>
      </x:c>
      <x:c r="I101" s="267">
        <x:v>100</x:v>
      </x:c>
      <x:c r="J101" s="267">
        <x:v>0</x:v>
      </x:c>
      <x:c r="K101" s="267">
        <x:v>0</x:v>
      </x:c>
      <x:c r="L101" s="267">
        <x:v>0</x:v>
      </x:c>
      <x:c r="M101" s="267">
        <x:v>0</x:v>
      </x:c>
      <x:c r="N101" s="267">
        <x:v>0</x:v>
      </x:c>
      <x:c r="O101" s="267">
        <x:v>0</x:v>
      </x:c>
      <x:c r="P101" s="267">
        <x:v>0</x:v>
      </x:c>
      <x:c r="Q101" s="267">
        <x:v>0</x:v>
      </x:c>
      <x:c r="R101" s="267">
        <x:v>0</x:v>
      </x:c>
      <x:c r="S101" s="267">
        <x:v>0</x:v>
      </x:c>
      <x:c r="T101" s="267">
        <x:v>0</x:v>
      </x:c>
      <x:c r="U101" s="267">
        <x:v>0</x:v>
      </x:c>
      <x:c r="V101" s="267">
        <x:v>0</x:v>
      </x:c>
      <x:c r="W101" s="267">
        <x:v>0</x:v>
      </x:c>
      <x:c r="X101" s="267">
        <x:v>0</x:v>
      </x:c>
      <x:c r="Y101" s="269">
        <x:f t="shared" si="3"/>
        <x:v>15</x:v>
      </x:c>
    </x:row>
    <x:row r="102">
      <x:c r="A102" s="148"/>
      <x:c r="B102"/>
      <x:c r="C102" s="148"/>
      <x:c r="D102" s="148"/>
      <x:c r="E102" s="267"/>
      <x:c r="F102" s="267">
        <x:f t="shared" ref="F102:X102" si="4">AVERAGE(F58:F101)</x:f>
      </x:c>
      <x:c r="G102" s="267">
        <x:f t="shared" si="4"/>
      </x:c>
      <x:c r="H102" s="267">
        <x:f t="shared" si="4"/>
      </x:c>
      <x:c r="I102" s="267">
        <x:f t="shared" si="4"/>
      </x:c>
      <x:c r="J102" s="267">
        <x:f t="shared" si="4"/>
      </x:c>
      <x:c r="K102" s="267">
        <x:f t="shared" si="4"/>
      </x:c>
      <x:c r="L102" s="267">
        <x:f t="shared" si="4"/>
      </x:c>
      <x:c r="M102" s="267">
        <x:f t="shared" si="4"/>
      </x:c>
      <x:c r="N102" s="267">
        <x:f t="shared" si="4"/>
      </x:c>
      <x:c r="O102" s="267">
        <x:f t="shared" si="4"/>
      </x:c>
      <x:c r="P102" s="267">
        <x:f t="shared" si="4"/>
      </x:c>
      <x:c r="Q102" s="267">
        <x:f t="shared" si="4"/>
      </x:c>
      <x:c r="R102" s="267">
        <x:f t="shared" si="4"/>
      </x:c>
      <x:c r="S102" s="267">
        <x:f t="shared" si="4"/>
      </x:c>
      <x:c r="T102" s="267">
        <x:f t="shared" si="4"/>
      </x:c>
      <x:c r="U102" s="267">
        <x:f t="shared" si="4"/>
      </x:c>
      <x:c r="V102" s="267">
        <x:f t="shared" si="4"/>
      </x:c>
      <x:c r="W102" s="267">
        <x:f t="shared" si="4"/>
      </x:c>
      <x:c r="X102" s="267">
        <x:f t="shared" si="4"/>
      </x:c>
      <x:c r="Y102" s="269">
        <x:f t="shared" si="3"/>
      </x:c>
    </x:row>
    <x:row r="103">
      <x:c r="A103" s="148" t="s">
        <x:v>105</x:v>
      </x:c>
      <x:c r="B103">
        <x:v>4</x:v>
      </x:c>
      <x:c r="C103" s="148" t="s">
        <x:v>116</x:v>
      </x:c>
      <x:c r="D103">
        <x:v>401</x:v>
      </x:c>
      <x:c r="E103" s="267">
        <x:v>0</x:v>
      </x:c>
      <x:c r="F103" s="267">
        <x:v>0</x:v>
      </x:c>
      <x:c r="G103" s="267">
        <x:v>0</x:v>
      </x:c>
      <x:c r="H103" s="267">
        <x:v>0</x:v>
      </x:c>
      <x:c r="I103" s="267">
        <x:v>0</x:v>
      </x:c>
      <x:c r="J103" s="267">
        <x:v>0</x:v>
      </x:c>
      <x:c r="K103" s="267">
        <x:v>0</x:v>
      </x:c>
      <x:c r="L103" s="267">
        <x:v>0</x:v>
      </x:c>
      <x:c r="M103" s="267">
        <x:v>0</x:v>
      </x:c>
      <x:c r="N103" s="267">
        <x:v>0</x:v>
      </x:c>
      <x:c r="O103" s="267">
        <x:v>0</x:v>
      </x:c>
      <x:c r="P103" s="267">
        <x:v>0</x:v>
      </x:c>
      <x:c r="Q103" s="267">
        <x:v>0</x:v>
      </x:c>
      <x:c r="R103" s="267">
        <x:v>0</x:v>
      </x:c>
      <x:c r="S103" s="267">
        <x:v>0</x:v>
      </x:c>
      <x:c r="T103" s="267">
        <x:v>0</x:v>
      </x:c>
      <x:c r="U103" s="267">
        <x:v>0</x:v>
      </x:c>
      <x:c r="V103" s="267">
        <x:v>0</x:v>
      </x:c>
      <x:c r="W103" s="267">
        <x:v>0</x:v>
      </x:c>
      <x:c r="X103" s="267">
        <x:v>0</x:v>
      </x:c>
      <x:c r="Y103" s="269">
        <x:f t="shared" si="3"/>
        <x:v>0</x:v>
      </x:c>
    </x:row>
    <x:row r="104">
      <x:c r="A104" s="148" t="s">
        <x:v>105</x:v>
      </x:c>
      <x:c r="B104">
        <x:v>4</x:v>
      </x:c>
      <x:c r="C104" s="148" t="s">
        <x:v>116</x:v>
      </x:c>
      <x:c r="D104">
        <x:v>402</x:v>
      </x:c>
      <x:c r="E104" s="267">
        <x:v>0</x:v>
      </x:c>
      <x:c r="F104" s="267">
        <x:v>0</x:v>
      </x:c>
      <x:c r="G104" s="267">
        <x:v>0</x:v>
      </x:c>
      <x:c r="H104" s="267">
        <x:v>0</x:v>
      </x:c>
      <x:c r="I104" s="267">
        <x:v>0</x:v>
      </x:c>
      <x:c r="J104" s="267">
        <x:v>0</x:v>
      </x:c>
      <x:c r="K104" s="267">
        <x:v>0</x:v>
      </x:c>
      <x:c r="L104" s="267">
        <x:v>0</x:v>
      </x:c>
      <x:c r="M104" s="267">
        <x:v>0</x:v>
      </x:c>
      <x:c r="N104" s="267">
        <x:v>0</x:v>
      </x:c>
      <x:c r="O104" s="267">
        <x:v>0</x:v>
      </x:c>
      <x:c r="P104" s="267">
        <x:v>0</x:v>
      </x:c>
      <x:c r="Q104" s="267">
        <x:v>0</x:v>
      </x:c>
      <x:c r="R104" s="267">
        <x:v>0</x:v>
      </x:c>
      <x:c r="S104" s="267">
        <x:v>0</x:v>
      </x:c>
      <x:c r="T104" s="267">
        <x:v>0</x:v>
      </x:c>
      <x:c r="U104" s="267">
        <x:v>0</x:v>
      </x:c>
      <x:c r="V104" s="267">
        <x:v>0</x:v>
      </x:c>
      <x:c r="W104" s="267">
        <x:v>0</x:v>
      </x:c>
      <x:c r="X104" s="267">
        <x:v>0</x:v>
      </x:c>
      <x:c r="Y104" s="269">
        <x:f t="shared" si="3"/>
        <x:v>0</x:v>
      </x:c>
    </x:row>
    <x:row r="105">
      <x:c r="A105" s="148" t="s">
        <x:v>105</x:v>
      </x:c>
      <x:c r="B105">
        <x:v>4</x:v>
      </x:c>
      <x:c r="C105" s="148" t="s">
        <x:v>116</x:v>
      </x:c>
      <x:c r="D105">
        <x:v>403</x:v>
      </x:c>
      <x:c r="E105" s="267">
        <x:v>0</x:v>
      </x:c>
      <x:c r="F105" s="267">
        <x:v>0</x:v>
      </x:c>
      <x:c r="G105" s="267">
        <x:v>0</x:v>
      </x:c>
      <x:c r="H105" s="267">
        <x:v>0</x:v>
      </x:c>
      <x:c r="I105" s="267">
        <x:v>0</x:v>
      </x:c>
      <x:c r="J105" s="267">
        <x:v>0</x:v>
      </x:c>
      <x:c r="K105" s="267">
        <x:v>0</x:v>
      </x:c>
      <x:c r="L105" s="267">
        <x:v>0</x:v>
      </x:c>
      <x:c r="M105" s="267">
        <x:v>0</x:v>
      </x:c>
      <x:c r="N105" s="267">
        <x:v>0</x:v>
      </x:c>
      <x:c r="O105" s="267">
        <x:v>0</x:v>
      </x:c>
      <x:c r="P105" s="267">
        <x:v>0</x:v>
      </x:c>
      <x:c r="Q105" s="267">
        <x:v>0</x:v>
      </x:c>
      <x:c r="R105" s="267">
        <x:v>0</x:v>
      </x:c>
      <x:c r="S105" s="267">
        <x:v>0</x:v>
      </x:c>
      <x:c r="T105" s="267">
        <x:v>0</x:v>
      </x:c>
      <x:c r="U105" s="267">
        <x:v>0</x:v>
      </x:c>
      <x:c r="V105" s="267">
        <x:v>0</x:v>
      </x:c>
      <x:c r="W105" s="267">
        <x:v>0</x:v>
      </x:c>
      <x:c r="X105" s="267">
        <x:v>0</x:v>
      </x:c>
      <x:c r="Y105" s="269">
        <x:f t="shared" si="3"/>
        <x:v>0</x:v>
      </x:c>
    </x:row>
    <x:row r="106">
      <x:c r="A106" s="148" t="s">
        <x:v>105</x:v>
      </x:c>
      <x:c r="B106">
        <x:v>4</x:v>
      </x:c>
      <x:c r="C106" s="148" t="s">
        <x:v>116</x:v>
      </x:c>
      <x:c r="D106">
        <x:v>404</x:v>
      </x:c>
      <x:c r="E106" s="267">
        <x:v>0</x:v>
      </x:c>
      <x:c r="F106" s="267">
        <x:v>0</x:v>
      </x:c>
      <x:c r="G106" s="267">
        <x:v>0</x:v>
      </x:c>
      <x:c r="H106" s="267">
        <x:v>0</x:v>
      </x:c>
      <x:c r="I106" s="267">
        <x:v>0</x:v>
      </x:c>
      <x:c r="J106" s="267">
        <x:v>0</x:v>
      </x:c>
      <x:c r="K106" s="267">
        <x:v>0</x:v>
      </x:c>
      <x:c r="L106" s="267">
        <x:v>0</x:v>
      </x:c>
      <x:c r="M106" s="267">
        <x:v>0</x:v>
      </x:c>
      <x:c r="N106" s="267">
        <x:v>0</x:v>
      </x:c>
      <x:c r="O106" s="267">
        <x:v>0</x:v>
      </x:c>
      <x:c r="P106" s="267">
        <x:v>0</x:v>
      </x:c>
      <x:c r="Q106" s="267">
        <x:v>0</x:v>
      </x:c>
      <x:c r="R106" s="267">
        <x:v>0</x:v>
      </x:c>
      <x:c r="S106" s="267">
        <x:v>0</x:v>
      </x:c>
      <x:c r="T106" s="267">
        <x:v>0</x:v>
      </x:c>
      <x:c r="U106" s="267">
        <x:v>0</x:v>
      </x:c>
      <x:c r="V106" s="267">
        <x:v>0</x:v>
      </x:c>
      <x:c r="W106" s="267">
        <x:v>0</x:v>
      </x:c>
      <x:c r="X106" s="267">
        <x:v>0</x:v>
      </x:c>
      <x:c r="Y106" s="269">
        <x:f t="shared" si="3"/>
        <x:v>0</x:v>
      </x:c>
    </x:row>
    <x:row r="107">
      <x:c r="A107" s="148" t="s">
        <x:v>105</x:v>
      </x:c>
      <x:c r="B107">
        <x:v>4</x:v>
      </x:c>
      <x:c r="C107" s="148" t="s">
        <x:v>116</x:v>
      </x:c>
      <x:c r="D107">
        <x:v>405</x:v>
      </x:c>
      <x:c r="E107" s="267">
        <x:v>0</x:v>
      </x:c>
      <x:c r="F107" s="267">
        <x:v>0</x:v>
      </x:c>
      <x:c r="G107" s="267">
        <x:v>0</x:v>
      </x:c>
      <x:c r="H107" s="267">
        <x:v>0</x:v>
      </x:c>
      <x:c r="I107" s="267">
        <x:v>0</x:v>
      </x:c>
      <x:c r="J107" s="267">
        <x:v>0</x:v>
      </x:c>
      <x:c r="K107" s="267">
        <x:v>0</x:v>
      </x:c>
      <x:c r="L107" s="267">
        <x:v>0</x:v>
      </x:c>
      <x:c r="M107" s="267">
        <x:v>0</x:v>
      </x:c>
      <x:c r="N107" s="267">
        <x:v>0</x:v>
      </x:c>
      <x:c r="O107" s="267">
        <x:v>0</x:v>
      </x:c>
      <x:c r="P107" s="267">
        <x:v>0</x:v>
      </x:c>
      <x:c r="Q107" s="267">
        <x:v>0</x:v>
      </x:c>
      <x:c r="R107" s="267">
        <x:v>0</x:v>
      </x:c>
      <x:c r="S107" s="267">
        <x:v>0</x:v>
      </x:c>
      <x:c r="T107" s="267">
        <x:v>0</x:v>
      </x:c>
      <x:c r="U107" s="267">
        <x:v>0</x:v>
      </x:c>
      <x:c r="V107" s="267">
        <x:v>0</x:v>
      </x:c>
      <x:c r="W107" s="267">
        <x:v>0</x:v>
      </x:c>
      <x:c r="X107" s="267">
        <x:v>0</x:v>
      </x:c>
      <x:c r="Y107" s="269">
        <x:f t="shared" si="3"/>
        <x:v>0</x:v>
      </x:c>
    </x:row>
    <x:row r="108">
      <x:c r="A108" s="148" t="s">
        <x:v>105</x:v>
      </x:c>
      <x:c r="B108">
        <x:v>4</x:v>
      </x:c>
      <x:c r="C108" s="148" t="s">
        <x:v>116</x:v>
      </x:c>
      <x:c r="D108">
        <x:v>406</x:v>
      </x:c>
      <x:c r="E108" s="267">
        <x:v>0</x:v>
      </x:c>
      <x:c r="F108" s="267">
        <x:v>0</x:v>
      </x:c>
      <x:c r="G108" s="267">
        <x:v>0</x:v>
      </x:c>
      <x:c r="H108" s="267">
        <x:v>0</x:v>
      </x:c>
      <x:c r="I108" s="267">
        <x:v>0</x:v>
      </x:c>
      <x:c r="J108" s="267">
        <x:v>0</x:v>
      </x:c>
      <x:c r="K108" s="267">
        <x:v>0</x:v>
      </x:c>
      <x:c r="L108" s="267">
        <x:v>0</x:v>
      </x:c>
      <x:c r="M108" s="267">
        <x:v>0</x:v>
      </x:c>
      <x:c r="N108" s="267">
        <x:v>0</x:v>
      </x:c>
      <x:c r="O108" s="267">
        <x:v>0</x:v>
      </x:c>
      <x:c r="P108" s="267">
        <x:v>0</x:v>
      </x:c>
      <x:c r="Q108" s="267">
        <x:v>0</x:v>
      </x:c>
      <x:c r="R108" s="267">
        <x:v>0</x:v>
      </x:c>
      <x:c r="S108" s="267">
        <x:v>0</x:v>
      </x:c>
      <x:c r="T108" s="267">
        <x:v>0</x:v>
      </x:c>
      <x:c r="U108" s="267">
        <x:v>0</x:v>
      </x:c>
      <x:c r="V108" s="267">
        <x:v>0</x:v>
      </x:c>
      <x:c r="W108" s="267">
        <x:v>0</x:v>
      </x:c>
      <x:c r="X108" s="267">
        <x:v>0</x:v>
      </x:c>
      <x:c r="Y108" s="269">
        <x:f t="shared" si="3"/>
        <x:v>0</x:v>
      </x:c>
    </x:row>
    <x:row r="109">
      <x:c r="A109" s="148" t="s">
        <x:v>105</x:v>
      </x:c>
      <x:c r="B109">
        <x:v>4</x:v>
      </x:c>
      <x:c r="C109" s="148" t="s">
        <x:v>116</x:v>
      </x:c>
      <x:c r="D109">
        <x:v>407</x:v>
      </x:c>
      <x:c r="E109" s="267">
        <x:v>0</x:v>
      </x:c>
      <x:c r="F109" s="267">
        <x:v>0</x:v>
      </x:c>
      <x:c r="G109" s="267">
        <x:v>0</x:v>
      </x:c>
      <x:c r="H109" s="267">
        <x:v>0</x:v>
      </x:c>
      <x:c r="I109" s="267">
        <x:v>0</x:v>
      </x:c>
      <x:c r="J109" s="267">
        <x:v>0</x:v>
      </x:c>
      <x:c r="K109" s="267">
        <x:v>0</x:v>
      </x:c>
      <x:c r="L109" s="267">
        <x:v>0</x:v>
      </x:c>
      <x:c r="M109" s="267">
        <x:v>0</x:v>
      </x:c>
      <x:c r="N109" s="267">
        <x:v>0</x:v>
      </x:c>
      <x:c r="O109" s="267">
        <x:v>0</x:v>
      </x:c>
      <x:c r="P109" s="267">
        <x:v>0</x:v>
      </x:c>
      <x:c r="Q109" s="267">
        <x:v>0</x:v>
      </x:c>
      <x:c r="R109" s="267">
        <x:v>0</x:v>
      </x:c>
      <x:c r="S109" s="267">
        <x:v>0</x:v>
      </x:c>
      <x:c r="T109" s="267">
        <x:v>0</x:v>
      </x:c>
      <x:c r="U109" s="267">
        <x:v>0</x:v>
      </x:c>
      <x:c r="V109" s="267">
        <x:v>0</x:v>
      </x:c>
      <x:c r="W109" s="267">
        <x:v>0</x:v>
      </x:c>
      <x:c r="X109" s="267">
        <x:v>0</x:v>
      </x:c>
      <x:c r="Y109" s="269">
        <x:f t="shared" si="3"/>
        <x:v>0</x:v>
      </x:c>
    </x:row>
    <x:row r="110">
      <x:c r="A110" s="148" t="s">
        <x:v>105</x:v>
      </x:c>
      <x:c r="B110">
        <x:v>4</x:v>
      </x:c>
      <x:c r="C110" s="148" t="s">
        <x:v>116</x:v>
      </x:c>
      <x:c r="D110">
        <x:v>408</x:v>
      </x:c>
      <x:c r="E110" s="267">
        <x:v>0</x:v>
      </x:c>
      <x:c r="F110" s="267">
        <x:v>0</x:v>
      </x:c>
      <x:c r="G110" s="267">
        <x:v>0</x:v>
      </x:c>
      <x:c r="H110" s="267">
        <x:v>0</x:v>
      </x:c>
      <x:c r="I110" s="267">
        <x:v>0</x:v>
      </x:c>
      <x:c r="J110" s="267">
        <x:v>0</x:v>
      </x:c>
      <x:c r="K110" s="267">
        <x:v>0</x:v>
      </x:c>
      <x:c r="L110" s="267">
        <x:v>0</x:v>
      </x:c>
      <x:c r="M110" s="267">
        <x:v>0</x:v>
      </x:c>
      <x:c r="N110" s="267">
        <x:v>0</x:v>
      </x:c>
      <x:c r="O110" s="267">
        <x:v>0</x:v>
      </x:c>
      <x:c r="P110" s="267">
        <x:v>0</x:v>
      </x:c>
      <x:c r="Q110" s="267">
        <x:v>0</x:v>
      </x:c>
      <x:c r="R110" s="267">
        <x:v>0</x:v>
      </x:c>
      <x:c r="S110" s="267">
        <x:v>0</x:v>
      </x:c>
      <x:c r="T110" s="267">
        <x:v>0</x:v>
      </x:c>
      <x:c r="U110" s="267">
        <x:v>0</x:v>
      </x:c>
      <x:c r="V110" s="267">
        <x:v>0</x:v>
      </x:c>
      <x:c r="W110" s="267">
        <x:v>0</x:v>
      </x:c>
      <x:c r="X110" s="267">
        <x:v>0</x:v>
      </x:c>
      <x:c r="Y110" s="269">
        <x:f t="shared" si="3"/>
        <x:v>0</x:v>
      </x:c>
    </x:row>
    <x:row r="111">
      <x:c r="A111" s="148" t="s">
        <x:v>105</x:v>
      </x:c>
      <x:c r="B111">
        <x:v>4</x:v>
      </x:c>
      <x:c r="C111" s="148" t="s">
        <x:v>116</x:v>
      </x:c>
      <x:c r="D111">
        <x:v>409</x:v>
      </x:c>
      <x:c r="E111" s="267">
        <x:v>0</x:v>
      </x:c>
      <x:c r="F111" s="267">
        <x:v>0</x:v>
      </x:c>
      <x:c r="G111" s="267">
        <x:v>0</x:v>
      </x:c>
      <x:c r="H111" s="267">
        <x:v>0</x:v>
      </x:c>
      <x:c r="I111" s="267">
        <x:v>0</x:v>
      </x:c>
      <x:c r="J111" s="267">
        <x:v>0</x:v>
      </x:c>
      <x:c r="K111" s="267">
        <x:v>0</x:v>
      </x:c>
      <x:c r="L111" s="267">
        <x:v>0</x:v>
      </x:c>
      <x:c r="M111" s="267">
        <x:v>0</x:v>
      </x:c>
      <x:c r="N111" s="267">
        <x:v>0</x:v>
      </x:c>
      <x:c r="O111" s="267">
        <x:v>0</x:v>
      </x:c>
      <x:c r="P111" s="267">
        <x:v>0</x:v>
      </x:c>
      <x:c r="Q111" s="267">
        <x:v>0</x:v>
      </x:c>
      <x:c r="R111" s="267">
        <x:v>0</x:v>
      </x:c>
      <x:c r="S111" s="267">
        <x:v>0</x:v>
      </x:c>
      <x:c r="T111" s="267">
        <x:v>0</x:v>
      </x:c>
      <x:c r="U111" s="267">
        <x:v>0</x:v>
      </x:c>
      <x:c r="V111" s="267">
        <x:v>0</x:v>
      </x:c>
      <x:c r="W111" s="267">
        <x:v>0</x:v>
      </x:c>
      <x:c r="X111" s="267">
        <x:v>0</x:v>
      </x:c>
      <x:c r="Y111" s="269">
        <x:f t="shared" si="3"/>
        <x:v>0</x:v>
      </x:c>
    </x:row>
    <x:row r="112">
      <x:c r="A112" s="148" t="s">
        <x:v>105</x:v>
      </x:c>
      <x:c r="B112">
        <x:v>4</x:v>
      </x:c>
      <x:c r="C112" s="148" t="s">
        <x:v>116</x:v>
      </x:c>
      <x:c r="D112">
        <x:v>410</x:v>
      </x:c>
      <x:c r="E112" s="267">
        <x:v>0</x:v>
      </x:c>
      <x:c r="F112" s="267">
        <x:v>0</x:v>
      </x:c>
      <x:c r="G112" s="267">
        <x:v>0</x:v>
      </x:c>
      <x:c r="H112" s="267">
        <x:v>0</x:v>
      </x:c>
      <x:c r="I112" s="267">
        <x:v>0</x:v>
      </x:c>
      <x:c r="J112" s="267">
        <x:v>0</x:v>
      </x:c>
      <x:c r="K112" s="267">
        <x:v>0</x:v>
      </x:c>
      <x:c r="L112" s="267">
        <x:v>0</x:v>
      </x:c>
      <x:c r="M112" s="267">
        <x:v>0</x:v>
      </x:c>
      <x:c r="N112" s="267">
        <x:v>0</x:v>
      </x:c>
      <x:c r="O112" s="267">
        <x:v>0</x:v>
      </x:c>
      <x:c r="P112" s="267">
        <x:v>0</x:v>
      </x:c>
      <x:c r="Q112" s="267">
        <x:v>0</x:v>
      </x:c>
      <x:c r="R112" s="267">
        <x:v>0</x:v>
      </x:c>
      <x:c r="S112" s="267">
        <x:v>0</x:v>
      </x:c>
      <x:c r="T112" s="267">
        <x:v>0</x:v>
      </x:c>
      <x:c r="U112" s="267">
        <x:v>0</x:v>
      </x:c>
      <x:c r="V112" s="267">
        <x:v>0</x:v>
      </x:c>
      <x:c r="W112" s="267">
        <x:v>0</x:v>
      </x:c>
      <x:c r="X112" s="267">
        <x:v>0</x:v>
      </x:c>
      <x:c r="Y112" s="269">
        <x:f t="shared" si="3"/>
        <x:v>0</x:v>
      </x:c>
    </x:row>
    <x:row r="113">
      <x:c r="A113" s="148" t="s">
        <x:v>105</x:v>
      </x:c>
      <x:c r="B113">
        <x:v>4</x:v>
      </x:c>
      <x:c r="C113" s="148" t="s">
        <x:v>116</x:v>
      </x:c>
      <x:c r="D113">
        <x:v>411</x:v>
      </x:c>
      <x:c r="E113" s="267">
        <x:v>0</x:v>
      </x:c>
      <x:c r="F113" s="267">
        <x:v>0</x:v>
      </x:c>
      <x:c r="G113" s="267">
        <x:v>0</x:v>
      </x:c>
      <x:c r="H113" s="267">
        <x:v>0</x:v>
      </x:c>
      <x:c r="I113" s="267">
        <x:v>0</x:v>
      </x:c>
      <x:c r="J113" s="267">
        <x:v>0</x:v>
      </x:c>
      <x:c r="K113" s="267">
        <x:v>0</x:v>
      </x:c>
      <x:c r="L113" s="267">
        <x:v>0</x:v>
      </x:c>
      <x:c r="M113" s="267">
        <x:v>0</x:v>
      </x:c>
      <x:c r="N113" s="267">
        <x:v>0</x:v>
      </x:c>
      <x:c r="O113" s="267">
        <x:v>0</x:v>
      </x:c>
      <x:c r="P113" s="267">
        <x:v>0</x:v>
      </x:c>
      <x:c r="Q113" s="267">
        <x:v>0</x:v>
      </x:c>
      <x:c r="R113" s="267">
        <x:v>0</x:v>
      </x:c>
      <x:c r="S113" s="267">
        <x:v>0</x:v>
      </x:c>
      <x:c r="T113" s="267">
        <x:v>0</x:v>
      </x:c>
      <x:c r="U113" s="267">
        <x:v>0</x:v>
      </x:c>
      <x:c r="V113" s="267">
        <x:v>0</x:v>
      </x:c>
      <x:c r="W113" s="267">
        <x:v>0</x:v>
      </x:c>
      <x:c r="X113" s="267">
        <x:v>0</x:v>
      </x:c>
      <x:c r="Y113" s="269">
        <x:f t="shared" si="3"/>
        <x:v>0</x:v>
      </x:c>
    </x:row>
    <x:row r="114">
      <x:c r="A114" s="148" t="s">
        <x:v>105</x:v>
      </x:c>
      <x:c r="B114">
        <x:v>4</x:v>
      </x:c>
      <x:c r="C114" s="148" t="s">
        <x:v>116</x:v>
      </x:c>
      <x:c r="D114">
        <x:v>412</x:v>
      </x:c>
      <x:c r="E114" s="267">
        <x:v>0</x:v>
      </x:c>
      <x:c r="F114" s="267">
        <x:v>0</x:v>
      </x:c>
      <x:c r="G114" s="267">
        <x:v>0</x:v>
      </x:c>
      <x:c r="H114" s="267">
        <x:v>0</x:v>
      </x:c>
      <x:c r="I114" s="267">
        <x:v>0</x:v>
      </x:c>
      <x:c r="J114" s="267">
        <x:v>0</x:v>
      </x:c>
      <x:c r="K114" s="267">
        <x:v>0</x:v>
      </x:c>
      <x:c r="L114" s="267">
        <x:v>0</x:v>
      </x:c>
      <x:c r="M114" s="267">
        <x:v>0</x:v>
      </x:c>
      <x:c r="N114" s="267">
        <x:v>0</x:v>
      </x:c>
      <x:c r="O114" s="267">
        <x:v>0</x:v>
      </x:c>
      <x:c r="P114" s="267">
        <x:v>0</x:v>
      </x:c>
      <x:c r="Q114" s="267">
        <x:v>0</x:v>
      </x:c>
      <x:c r="R114" s="267">
        <x:v>0</x:v>
      </x:c>
      <x:c r="S114" s="267">
        <x:v>0</x:v>
      </x:c>
      <x:c r="T114" s="267">
        <x:v>0</x:v>
      </x:c>
      <x:c r="U114" s="267">
        <x:v>0</x:v>
      </x:c>
      <x:c r="V114" s="267">
        <x:v>0</x:v>
      </x:c>
      <x:c r="W114" s="267">
        <x:v>0</x:v>
      </x:c>
      <x:c r="X114" s="267">
        <x:v>0</x:v>
      </x:c>
      <x:c r="Y114" s="269">
        <x:f t="shared" si="3"/>
        <x:v>0</x:v>
      </x:c>
    </x:row>
    <x:row r="115">
      <x:c r="A115" s="148" t="s">
        <x:v>105</x:v>
      </x:c>
      <x:c r="B115">
        <x:v>4</x:v>
      </x:c>
      <x:c r="C115" s="148" t="s">
        <x:v>116</x:v>
      </x:c>
      <x:c r="D115">
        <x:v>413</x:v>
      </x:c>
      <x:c r="E115" s="267">
        <x:v>0</x:v>
      </x:c>
      <x:c r="F115" s="267">
        <x:v>0</x:v>
      </x:c>
      <x:c r="G115" s="267">
        <x:v>0</x:v>
      </x:c>
      <x:c r="H115" s="267">
        <x:v>0</x:v>
      </x:c>
      <x:c r="I115" s="267">
        <x:v>0</x:v>
      </x:c>
      <x:c r="J115" s="267">
        <x:v>0</x:v>
      </x:c>
      <x:c r="K115" s="267">
        <x:v>0</x:v>
      </x:c>
      <x:c r="L115" s="267">
        <x:v>0</x:v>
      </x:c>
      <x:c r="M115" s="267">
        <x:v>0</x:v>
      </x:c>
      <x:c r="N115" s="267">
        <x:v>0</x:v>
      </x:c>
      <x:c r="O115" s="267">
        <x:v>0</x:v>
      </x:c>
      <x:c r="P115" s="267">
        <x:v>0</x:v>
      </x:c>
      <x:c r="Q115" s="267">
        <x:v>0</x:v>
      </x:c>
      <x:c r="R115" s="267">
        <x:v>0</x:v>
      </x:c>
      <x:c r="S115" s="267">
        <x:v>0</x:v>
      </x:c>
      <x:c r="T115" s="267">
        <x:v>0</x:v>
      </x:c>
      <x:c r="U115" s="267">
        <x:v>0</x:v>
      </x:c>
      <x:c r="V115" s="267">
        <x:v>0</x:v>
      </x:c>
      <x:c r="W115" s="267">
        <x:v>0</x:v>
      </x:c>
      <x:c r="X115" s="267">
        <x:v>0</x:v>
      </x:c>
      <x:c r="Y115" s="269">
        <x:f t="shared" si="3"/>
        <x:v>0</x:v>
      </x:c>
    </x:row>
    <x:row r="116">
      <x:c r="A116" s="148" t="s">
        <x:v>105</x:v>
      </x:c>
      <x:c r="B116">
        <x:v>4</x:v>
      </x:c>
      <x:c r="C116" s="148" t="s">
        <x:v>116</x:v>
      </x:c>
      <x:c r="D116">
        <x:v>414</x:v>
      </x:c>
      <x:c r="E116" s="267">
        <x:v>0</x:v>
      </x:c>
      <x:c r="F116" s="267">
        <x:v>0</x:v>
      </x:c>
      <x:c r="G116" s="267">
        <x:v>0</x:v>
      </x:c>
      <x:c r="H116" s="267">
        <x:v>0</x:v>
      </x:c>
      <x:c r="I116" s="267">
        <x:v>0</x:v>
      </x:c>
      <x:c r="J116" s="267">
        <x:v>0</x:v>
      </x:c>
      <x:c r="K116" s="267">
        <x:v>0</x:v>
      </x:c>
      <x:c r="L116" s="267">
        <x:v>0</x:v>
      </x:c>
      <x:c r="M116" s="267">
        <x:v>0</x:v>
      </x:c>
      <x:c r="N116" s="267">
        <x:v>0</x:v>
      </x:c>
      <x:c r="O116" s="267">
        <x:v>0</x:v>
      </x:c>
      <x:c r="P116" s="267">
        <x:v>0</x:v>
      </x:c>
      <x:c r="Q116" s="267">
        <x:v>0</x:v>
      </x:c>
      <x:c r="R116" s="267">
        <x:v>0</x:v>
      </x:c>
      <x:c r="S116" s="267">
        <x:v>0</x:v>
      </x:c>
      <x:c r="T116" s="267">
        <x:v>0</x:v>
      </x:c>
      <x:c r="U116" s="267">
        <x:v>0</x:v>
      </x:c>
      <x:c r="V116" s="267">
        <x:v>0</x:v>
      </x:c>
      <x:c r="W116" s="267">
        <x:v>0</x:v>
      </x:c>
      <x:c r="X116" s="267">
        <x:v>0</x:v>
      </x:c>
      <x:c r="Y116" s="269">
        <x:f t="shared" si="3"/>
        <x:v>0</x:v>
      </x:c>
    </x:row>
    <x:row r="117">
      <x:c r="A117" s="148" t="s">
        <x:v>105</x:v>
      </x:c>
      <x:c r="B117">
        <x:v>4</x:v>
      </x:c>
      <x:c r="C117" s="148" t="s">
        <x:v>116</x:v>
      </x:c>
      <x:c r="D117">
        <x:v>415</x:v>
      </x:c>
      <x:c r="E117" s="267">
        <x:v>0</x:v>
      </x:c>
      <x:c r="F117" s="267">
        <x:v>0</x:v>
      </x:c>
      <x:c r="G117" s="267">
        <x:v>0</x:v>
      </x:c>
      <x:c r="H117" s="267">
        <x:v>0</x:v>
      </x:c>
      <x:c r="I117" s="267">
        <x:v>0</x:v>
      </x:c>
      <x:c r="J117" s="267">
        <x:v>0</x:v>
      </x:c>
      <x:c r="K117" s="267">
        <x:v>0</x:v>
      </x:c>
      <x:c r="L117" s="267">
        <x:v>0</x:v>
      </x:c>
      <x:c r="M117" s="267">
        <x:v>0</x:v>
      </x:c>
      <x:c r="N117" s="267">
        <x:v>0</x:v>
      </x:c>
      <x:c r="O117" s="267">
        <x:v>0</x:v>
      </x:c>
      <x:c r="P117" s="267">
        <x:v>0</x:v>
      </x:c>
      <x:c r="Q117" s="267">
        <x:v>0</x:v>
      </x:c>
      <x:c r="R117" s="267">
        <x:v>0</x:v>
      </x:c>
      <x:c r="S117" s="267">
        <x:v>0</x:v>
      </x:c>
      <x:c r="T117" s="267">
        <x:v>0</x:v>
      </x:c>
      <x:c r="U117" s="267">
        <x:v>0</x:v>
      </x:c>
      <x:c r="V117" s="267">
        <x:v>0</x:v>
      </x:c>
      <x:c r="W117" s="267">
        <x:v>0</x:v>
      </x:c>
      <x:c r="X117" s="267">
        <x:v>0</x:v>
      </x:c>
      <x:c r="Y117" s="269">
        <x:f t="shared" si="3"/>
        <x:v>0</x:v>
      </x:c>
    </x:row>
    <x:row r="118">
      <x:c r="A118" s="148" t="s">
        <x:v>105</x:v>
      </x:c>
      <x:c r="B118">
        <x:v>4</x:v>
      </x:c>
      <x:c r="C118" s="148" t="s">
        <x:v>116</x:v>
      </x:c>
      <x:c r="D118">
        <x:v>416</x:v>
      </x:c>
      <x:c r="E118" s="267">
        <x:v>0</x:v>
      </x:c>
      <x:c r="F118" s="267">
        <x:v>0</x:v>
      </x:c>
      <x:c r="G118" s="267">
        <x:v>0</x:v>
      </x:c>
      <x:c r="H118" s="267">
        <x:v>0</x:v>
      </x:c>
      <x:c r="I118" s="267">
        <x:v>0</x:v>
      </x:c>
      <x:c r="J118" s="267">
        <x:v>0</x:v>
      </x:c>
      <x:c r="K118" s="267">
        <x:v>0</x:v>
      </x:c>
      <x:c r="L118" s="267">
        <x:v>0</x:v>
      </x:c>
      <x:c r="M118" s="267">
        <x:v>0</x:v>
      </x:c>
      <x:c r="N118" s="267">
        <x:v>0</x:v>
      </x:c>
      <x:c r="O118" s="267">
        <x:v>0</x:v>
      </x:c>
      <x:c r="P118" s="267">
        <x:v>0</x:v>
      </x:c>
      <x:c r="Q118" s="267">
        <x:v>0</x:v>
      </x:c>
      <x:c r="R118" s="267">
        <x:v>0</x:v>
      </x:c>
      <x:c r="S118" s="267">
        <x:v>0</x:v>
      </x:c>
      <x:c r="T118" s="267">
        <x:v>0</x:v>
      </x:c>
      <x:c r="U118" s="267">
        <x:v>0</x:v>
      </x:c>
      <x:c r="V118" s="267">
        <x:v>0</x:v>
      </x:c>
      <x:c r="W118" s="267">
        <x:v>0</x:v>
      </x:c>
      <x:c r="X118" s="267">
        <x:v>0</x:v>
      </x:c>
      <x:c r="Y118" s="269">
        <x:f t="shared" si="3"/>
        <x:v>0</x:v>
      </x:c>
    </x:row>
    <x:row r="119">
      <x:c r="A119" s="148" t="s">
        <x:v>105</x:v>
      </x:c>
      <x:c r="B119">
        <x:v>4</x:v>
      </x:c>
      <x:c r="C119" s="148" t="s">
        <x:v>116</x:v>
      </x:c>
      <x:c r="D119">
        <x:v>417</x:v>
      </x:c>
      <x:c r="E119" s="267">
        <x:v>0</x:v>
      </x:c>
      <x:c r="F119" s="267">
        <x:v>0</x:v>
      </x:c>
      <x:c r="G119" s="267">
        <x:v>0</x:v>
      </x:c>
      <x:c r="H119" s="267">
        <x:v>0</x:v>
      </x:c>
      <x:c r="I119" s="267">
        <x:v>0</x:v>
      </x:c>
      <x:c r="J119" s="267">
        <x:v>0</x:v>
      </x:c>
      <x:c r="K119" s="267">
        <x:v>0</x:v>
      </x:c>
      <x:c r="L119" s="267">
        <x:v>0</x:v>
      </x:c>
      <x:c r="M119" s="267">
        <x:v>0</x:v>
      </x:c>
      <x:c r="N119" s="267">
        <x:v>0</x:v>
      </x:c>
      <x:c r="O119" s="267">
        <x:v>0</x:v>
      </x:c>
      <x:c r="P119" s="267">
        <x:v>0</x:v>
      </x:c>
      <x:c r="Q119" s="267">
        <x:v>0</x:v>
      </x:c>
      <x:c r="R119" s="267">
        <x:v>0</x:v>
      </x:c>
      <x:c r="S119" s="267">
        <x:v>0</x:v>
      </x:c>
      <x:c r="T119" s="267">
        <x:v>0</x:v>
      </x:c>
      <x:c r="U119" s="267">
        <x:v>0</x:v>
      </x:c>
      <x:c r="V119" s="267">
        <x:v>0</x:v>
      </x:c>
      <x:c r="W119" s="267">
        <x:v>0</x:v>
      </x:c>
      <x:c r="X119" s="267">
        <x:v>0</x:v>
      </x:c>
      <x:c r="Y119" s="269">
        <x:f t="shared" si="3"/>
        <x:v>0</x:v>
      </x:c>
    </x:row>
    <x:row r="120">
      <x:c r="A120" s="148" t="s">
        <x:v>105</x:v>
      </x:c>
      <x:c r="B120">
        <x:v>4</x:v>
      </x:c>
      <x:c r="C120" s="148" t="s">
        <x:v>116</x:v>
      </x:c>
      <x:c r="D120">
        <x:v>418</x:v>
      </x:c>
      <x:c r="E120" s="267">
        <x:v>0</x:v>
      </x:c>
      <x:c r="F120" s="267">
        <x:v>0</x:v>
      </x:c>
      <x:c r="G120" s="267">
        <x:v>0</x:v>
      </x:c>
      <x:c r="H120" s="267">
        <x:v>0</x:v>
      </x:c>
      <x:c r="I120" s="267">
        <x:v>0</x:v>
      </x:c>
      <x:c r="J120" s="267">
        <x:v>0</x:v>
      </x:c>
      <x:c r="K120" s="267">
        <x:v>0</x:v>
      </x:c>
      <x:c r="L120" s="267">
        <x:v>0</x:v>
      </x:c>
      <x:c r="M120" s="267">
        <x:v>0</x:v>
      </x:c>
      <x:c r="N120" s="267">
        <x:v>0</x:v>
      </x:c>
      <x:c r="O120" s="267">
        <x:v>0</x:v>
      </x:c>
      <x:c r="P120" s="267">
        <x:v>0</x:v>
      </x:c>
      <x:c r="Q120" s="267">
        <x:v>0</x:v>
      </x:c>
      <x:c r="R120" s="267">
        <x:v>0</x:v>
      </x:c>
      <x:c r="S120" s="267">
        <x:v>0</x:v>
      </x:c>
      <x:c r="T120" s="267">
        <x:v>0</x:v>
      </x:c>
      <x:c r="U120" s="267">
        <x:v>0</x:v>
      </x:c>
      <x:c r="V120" s="267">
        <x:v>0</x:v>
      </x:c>
      <x:c r="W120" s="267">
        <x:v>0</x:v>
      </x:c>
      <x:c r="X120" s="267">
        <x:v>0</x:v>
      </x:c>
      <x:c r="Y120" s="269">
        <x:f t="shared" si="3"/>
        <x:v>0</x:v>
      </x:c>
    </x:row>
    <x:row r="121">
      <x:c r="A121" s="148" t="s">
        <x:v>105</x:v>
      </x:c>
      <x:c r="B121">
        <x:v>4</x:v>
      </x:c>
      <x:c r="C121" s="148" t="s">
        <x:v>116</x:v>
      </x:c>
      <x:c r="D121">
        <x:v>419</x:v>
      </x:c>
      <x:c r="E121" s="267">
        <x:v>0</x:v>
      </x:c>
      <x:c r="F121" s="267">
        <x:v>0</x:v>
      </x:c>
      <x:c r="G121" s="267">
        <x:v>0</x:v>
      </x:c>
      <x:c r="H121" s="267">
        <x:v>0</x:v>
      </x:c>
      <x:c r="I121" s="267">
        <x:v>0</x:v>
      </x:c>
      <x:c r="J121" s="267">
        <x:v>0</x:v>
      </x:c>
      <x:c r="K121" s="267">
        <x:v>0</x:v>
      </x:c>
      <x:c r="L121" s="267">
        <x:v>0</x:v>
      </x:c>
      <x:c r="M121" s="267">
        <x:v>0</x:v>
      </x:c>
      <x:c r="N121" s="267">
        <x:v>0</x:v>
      </x:c>
      <x:c r="O121" s="267">
        <x:v>0</x:v>
      </x:c>
      <x:c r="P121" s="267">
        <x:v>0</x:v>
      </x:c>
      <x:c r="Q121" s="267">
        <x:v>0</x:v>
      </x:c>
      <x:c r="R121" s="267">
        <x:v>0</x:v>
      </x:c>
      <x:c r="S121" s="267">
        <x:v>0</x:v>
      </x:c>
      <x:c r="T121" s="267">
        <x:v>0</x:v>
      </x:c>
      <x:c r="U121" s="267">
        <x:v>0</x:v>
      </x:c>
      <x:c r="V121" s="267">
        <x:v>0</x:v>
      </x:c>
      <x:c r="W121" s="267">
        <x:v>0</x:v>
      </x:c>
      <x:c r="X121" s="267">
        <x:v>0</x:v>
      </x:c>
      <x:c r="Y121" s="269">
        <x:f t="shared" si="3"/>
        <x:v>0</x:v>
      </x:c>
    </x:row>
    <x:row r="122">
      <x:c r="A122" s="148" t="s">
        <x:v>105</x:v>
      </x:c>
      <x:c r="B122">
        <x:v>4</x:v>
      </x:c>
      <x:c r="C122" s="148" t="s">
        <x:v>116</x:v>
      </x:c>
      <x:c r="D122">
        <x:v>420</x:v>
      </x:c>
      <x:c r="E122" s="267">
        <x:v>0</x:v>
      </x:c>
      <x:c r="F122" s="267">
        <x:v>0</x:v>
      </x:c>
      <x:c r="G122" s="267">
        <x:v>0</x:v>
      </x:c>
      <x:c r="H122" s="267">
        <x:v>0</x:v>
      </x:c>
      <x:c r="I122" s="267">
        <x:v>0</x:v>
      </x:c>
      <x:c r="J122" s="267">
        <x:v>0</x:v>
      </x:c>
      <x:c r="K122" s="267">
        <x:v>0</x:v>
      </x:c>
      <x:c r="L122" s="267">
        <x:v>0</x:v>
      </x:c>
      <x:c r="M122" s="267">
        <x:v>0</x:v>
      </x:c>
      <x:c r="N122" s="267">
        <x:v>0</x:v>
      </x:c>
      <x:c r="O122" s="267">
        <x:v>0</x:v>
      </x:c>
      <x:c r="P122" s="267">
        <x:v>0</x:v>
      </x:c>
      <x:c r="Q122" s="267">
        <x:v>0</x:v>
      </x:c>
      <x:c r="R122" s="267">
        <x:v>0</x:v>
      </x:c>
      <x:c r="S122" s="267">
        <x:v>0</x:v>
      </x:c>
      <x:c r="T122" s="267">
        <x:v>0</x:v>
      </x:c>
      <x:c r="U122" s="267">
        <x:v>0</x:v>
      </x:c>
      <x:c r="V122" s="267">
        <x:v>0</x:v>
      </x:c>
      <x:c r="W122" s="267">
        <x:v>0</x:v>
      </x:c>
      <x:c r="X122" s="267">
        <x:v>0</x:v>
      </x:c>
      <x:c r="Y122" s="269">
        <x:f t="shared" si="3"/>
        <x:v>0</x:v>
      </x:c>
    </x:row>
    <x:row r="123">
      <x:c r="A123" s="148" t="s">
        <x:v>105</x:v>
      </x:c>
      <x:c r="B123">
        <x:v>4</x:v>
      </x:c>
      <x:c r="C123" s="148" t="s">
        <x:v>116</x:v>
      </x:c>
      <x:c r="D123">
        <x:v>421</x:v>
      </x:c>
      <x:c r="E123" s="267">
        <x:v>0</x:v>
      </x:c>
      <x:c r="F123" s="267">
        <x:v>0</x:v>
      </x:c>
      <x:c r="G123" s="267">
        <x:v>0</x:v>
      </x:c>
      <x:c r="H123" s="267">
        <x:v>0</x:v>
      </x:c>
      <x:c r="I123" s="267">
        <x:v>0</x:v>
      </x:c>
      <x:c r="J123" s="267">
        <x:v>0</x:v>
      </x:c>
      <x:c r="K123" s="267">
        <x:v>0</x:v>
      </x:c>
      <x:c r="L123" s="267">
        <x:v>0</x:v>
      </x:c>
      <x:c r="M123" s="267">
        <x:v>0</x:v>
      </x:c>
      <x:c r="N123" s="267">
        <x:v>0</x:v>
      </x:c>
      <x:c r="O123" s="267">
        <x:v>0</x:v>
      </x:c>
      <x:c r="P123" s="267">
        <x:v>0</x:v>
      </x:c>
      <x:c r="Q123" s="267">
        <x:v>0</x:v>
      </x:c>
      <x:c r="R123" s="267">
        <x:v>0</x:v>
      </x:c>
      <x:c r="S123" s="267">
        <x:v>0</x:v>
      </x:c>
      <x:c r="T123" s="267">
        <x:v>0</x:v>
      </x:c>
      <x:c r="U123" s="267">
        <x:v>0</x:v>
      </x:c>
      <x:c r="V123" s="267">
        <x:v>0</x:v>
      </x:c>
      <x:c r="W123" s="267">
        <x:v>0</x:v>
      </x:c>
      <x:c r="X123" s="267">
        <x:v>0</x:v>
      </x:c>
      <x:c r="Y123" s="269">
        <x:f t="shared" si="3"/>
        <x:v>0</x:v>
      </x:c>
    </x:row>
    <x:row r="124">
      <x:c r="A124" s="148" t="s">
        <x:v>105</x:v>
      </x:c>
      <x:c r="B124">
        <x:v>4</x:v>
      </x:c>
      <x:c r="C124" s="148" t="s">
        <x:v>116</x:v>
      </x:c>
      <x:c r="D124">
        <x:v>422</x:v>
      </x:c>
      <x:c r="E124" s="267">
        <x:v>0</x:v>
      </x:c>
      <x:c r="F124" s="267">
        <x:v>0</x:v>
      </x:c>
      <x:c r="G124" s="267">
        <x:v>0</x:v>
      </x:c>
      <x:c r="H124" s="267">
        <x:v>0</x:v>
      </x:c>
      <x:c r="I124" s="267">
        <x:v>0</x:v>
      </x:c>
      <x:c r="J124" s="267">
        <x:v>0</x:v>
      </x:c>
      <x:c r="K124" s="267">
        <x:v>0</x:v>
      </x:c>
      <x:c r="L124" s="267">
        <x:v>0</x:v>
      </x:c>
      <x:c r="M124" s="267">
        <x:v>0</x:v>
      </x:c>
      <x:c r="N124" s="267">
        <x:v>0</x:v>
      </x:c>
      <x:c r="O124" s="267">
        <x:v>0</x:v>
      </x:c>
      <x:c r="P124" s="267">
        <x:v>0</x:v>
      </x:c>
      <x:c r="Q124" s="267">
        <x:v>0</x:v>
      </x:c>
      <x:c r="R124" s="267">
        <x:v>0</x:v>
      </x:c>
      <x:c r="S124" s="267">
        <x:v>0</x:v>
      </x:c>
      <x:c r="T124" s="267">
        <x:v>0</x:v>
      </x:c>
      <x:c r="U124" s="267">
        <x:v>0</x:v>
      </x:c>
      <x:c r="V124" s="267">
        <x:v>0</x:v>
      </x:c>
      <x:c r="W124" s="267">
        <x:v>0</x:v>
      </x:c>
      <x:c r="X124" s="267">
        <x:v>0</x:v>
      </x:c>
      <x:c r="Y124" s="269">
        <x:f t="shared" si="3"/>
        <x:v>0</x:v>
      </x:c>
    </x:row>
    <x:row r="125">
      <x:c r="A125" s="148" t="s">
        <x:v>105</x:v>
      </x:c>
      <x:c r="B125">
        <x:v>4</x:v>
      </x:c>
      <x:c r="C125" s="148" t="s">
        <x:v>116</x:v>
      </x:c>
      <x:c r="D125">
        <x:v>423</x:v>
      </x:c>
      <x:c r="E125" s="267">
        <x:v>0</x:v>
      </x:c>
      <x:c r="F125" s="267">
        <x:v>0</x:v>
      </x:c>
      <x:c r="G125" s="267">
        <x:v>0</x:v>
      </x:c>
      <x:c r="H125" s="267">
        <x:v>0</x:v>
      </x:c>
      <x:c r="I125" s="267">
        <x:v>0</x:v>
      </x:c>
      <x:c r="J125" s="267">
        <x:v>0</x:v>
      </x:c>
      <x:c r="K125" s="267">
        <x:v>0</x:v>
      </x:c>
      <x:c r="L125" s="267">
        <x:v>0</x:v>
      </x:c>
      <x:c r="M125" s="267">
        <x:v>0</x:v>
      </x:c>
      <x:c r="N125" s="267">
        <x:v>0</x:v>
      </x:c>
      <x:c r="O125" s="267">
        <x:v>0</x:v>
      </x:c>
      <x:c r="P125" s="267">
        <x:v>0</x:v>
      </x:c>
      <x:c r="Q125" s="267">
        <x:v>0</x:v>
      </x:c>
      <x:c r="R125" s="267">
        <x:v>0</x:v>
      </x:c>
      <x:c r="S125" s="267">
        <x:v>0</x:v>
      </x:c>
      <x:c r="T125" s="267">
        <x:v>0</x:v>
      </x:c>
      <x:c r="U125" s="267">
        <x:v>0</x:v>
      </x:c>
      <x:c r="V125" s="267">
        <x:v>0</x:v>
      </x:c>
      <x:c r="W125" s="267">
        <x:v>0</x:v>
      </x:c>
      <x:c r="X125" s="267">
        <x:v>0</x:v>
      </x:c>
      <x:c r="Y125" s="269">
        <x:f t="shared" si="3"/>
        <x:v>0</x:v>
      </x:c>
    </x:row>
    <x:row r="126">
      <x:c r="A126" s="148" t="s">
        <x:v>105</x:v>
      </x:c>
      <x:c r="B126">
        <x:v>4</x:v>
      </x:c>
      <x:c r="C126" s="148" t="s">
        <x:v>115</x:v>
      </x:c>
      <x:c r="D126">
        <x:v>401</x:v>
      </x:c>
      <x:c r="E126" s="267">
        <x:v>0</x:v>
      </x:c>
      <x:c r="F126" s="267">
        <x:v>0</x:v>
      </x:c>
      <x:c r="G126" s="267">
        <x:v>0</x:v>
      </x:c>
      <x:c r="H126" s="267">
        <x:v>0</x:v>
      </x:c>
      <x:c r="I126" s="267">
        <x:v>0</x:v>
      </x:c>
      <x:c r="J126" s="267">
        <x:v>0</x:v>
      </x:c>
      <x:c r="K126" s="267">
        <x:v>0</x:v>
      </x:c>
      <x:c r="L126" s="267">
        <x:v>0</x:v>
      </x:c>
      <x:c r="M126" s="267">
        <x:v>0</x:v>
      </x:c>
      <x:c r="N126" s="267">
        <x:v>0</x:v>
      </x:c>
      <x:c r="O126" s="267">
        <x:v>0</x:v>
      </x:c>
      <x:c r="P126" s="267">
        <x:v>0</x:v>
      </x:c>
      <x:c r="Q126" s="267">
        <x:v>0</x:v>
      </x:c>
      <x:c r="R126" s="267">
        <x:v>0</x:v>
      </x:c>
      <x:c r="S126" s="267">
        <x:v>0</x:v>
      </x:c>
      <x:c r="T126" s="267">
        <x:v>0</x:v>
      </x:c>
      <x:c r="U126" s="267">
        <x:v>0</x:v>
      </x:c>
      <x:c r="V126" s="267">
        <x:v>0</x:v>
      </x:c>
      <x:c r="W126" s="267">
        <x:v>0</x:v>
      </x:c>
      <x:c r="X126" s="267">
        <x:v>0</x:v>
      </x:c>
      <x:c r="Y126" s="269">
        <x:f t="shared" si="3"/>
        <x:v>0</x:v>
      </x:c>
    </x:row>
    <x:row r="127">
      <x:c r="A127" s="148" t="s">
        <x:v>105</x:v>
      </x:c>
      <x:c r="B127">
        <x:v>4</x:v>
      </x:c>
      <x:c r="C127" s="148" t="s">
        <x:v>115</x:v>
      </x:c>
      <x:c r="D127">
        <x:v>402</x:v>
      </x:c>
      <x:c r="E127" s="267">
        <x:v>0</x:v>
      </x:c>
      <x:c r="F127" s="267">
        <x:v>0</x:v>
      </x:c>
      <x:c r="G127" s="267">
        <x:v>0</x:v>
      </x:c>
      <x:c r="H127" s="267">
        <x:v>0</x:v>
      </x:c>
      <x:c r="I127" s="267">
        <x:v>0</x:v>
      </x:c>
      <x:c r="J127" s="267">
        <x:v>0</x:v>
      </x:c>
      <x:c r="K127" s="267">
        <x:v>0</x:v>
      </x:c>
      <x:c r="L127" s="267">
        <x:v>0</x:v>
      </x:c>
      <x:c r="M127" s="267">
        <x:v>0</x:v>
      </x:c>
      <x:c r="N127" s="267">
        <x:v>0</x:v>
      </x:c>
      <x:c r="O127" s="267">
        <x:v>0</x:v>
      </x:c>
      <x:c r="P127" s="267">
        <x:v>0</x:v>
      </x:c>
      <x:c r="Q127" s="267">
        <x:v>0</x:v>
      </x:c>
      <x:c r="R127" s="267">
        <x:v>0</x:v>
      </x:c>
      <x:c r="S127" s="267">
        <x:v>0</x:v>
      </x:c>
      <x:c r="T127" s="267">
        <x:v>0</x:v>
      </x:c>
      <x:c r="U127" s="267">
        <x:v>0</x:v>
      </x:c>
      <x:c r="V127" s="267">
        <x:v>0</x:v>
      </x:c>
      <x:c r="W127" s="267">
        <x:v>0</x:v>
      </x:c>
      <x:c r="X127" s="267">
        <x:v>0</x:v>
      </x:c>
      <x:c r="Y127" s="269">
        <x:f t="shared" si="3"/>
        <x:v>0</x:v>
      </x:c>
    </x:row>
    <x:row r="128">
      <x:c r="A128" s="148" t="s">
        <x:v>105</x:v>
      </x:c>
      <x:c r="B128">
        <x:v>4</x:v>
      </x:c>
      <x:c r="C128" s="148" t="s">
        <x:v>115</x:v>
      </x:c>
      <x:c r="D128">
        <x:v>403</x:v>
      </x:c>
      <x:c r="E128" s="267">
        <x:v>0</x:v>
      </x:c>
      <x:c r="F128" s="267">
        <x:v>0</x:v>
      </x:c>
      <x:c r="G128" s="267">
        <x:v>0</x:v>
      </x:c>
      <x:c r="H128" s="267">
        <x:v>0</x:v>
      </x:c>
      <x:c r="I128" s="267">
        <x:v>0</x:v>
      </x:c>
      <x:c r="J128" s="267">
        <x:v>0</x:v>
      </x:c>
      <x:c r="K128" s="267">
        <x:v>0</x:v>
      </x:c>
      <x:c r="L128" s="267">
        <x:v>0</x:v>
      </x:c>
      <x:c r="M128" s="267">
        <x:v>0</x:v>
      </x:c>
      <x:c r="N128" s="267">
        <x:v>0</x:v>
      </x:c>
      <x:c r="O128" s="267">
        <x:v>0</x:v>
      </x:c>
      <x:c r="P128" s="267">
        <x:v>0</x:v>
      </x:c>
      <x:c r="Q128" s="267">
        <x:v>0</x:v>
      </x:c>
      <x:c r="R128" s="267">
        <x:v>0</x:v>
      </x:c>
      <x:c r="S128" s="267">
        <x:v>0</x:v>
      </x:c>
      <x:c r="T128" s="267">
        <x:v>0</x:v>
      </x:c>
      <x:c r="U128" s="267">
        <x:v>0</x:v>
      </x:c>
      <x:c r="V128" s="267">
        <x:v>0</x:v>
      </x:c>
      <x:c r="W128" s="267">
        <x:v>0</x:v>
      </x:c>
      <x:c r="X128" s="267">
        <x:v>0</x:v>
      </x:c>
      <x:c r="Y128" s="269">
        <x:f t="shared" si="3"/>
        <x:v>0</x:v>
      </x:c>
    </x:row>
    <x:row r="129">
      <x:c r="A129" s="148" t="s">
        <x:v>105</x:v>
      </x:c>
      <x:c r="B129">
        <x:v>4</x:v>
      </x:c>
      <x:c r="C129" s="148" t="s">
        <x:v>115</x:v>
      </x:c>
      <x:c r="D129">
        <x:v>404</x:v>
      </x:c>
      <x:c r="E129" s="267">
        <x:v>0</x:v>
      </x:c>
      <x:c r="F129" s="267">
        <x:v>0</x:v>
      </x:c>
      <x:c r="G129" s="267">
        <x:v>0</x:v>
      </x:c>
      <x:c r="H129" s="267">
        <x:v>0</x:v>
      </x:c>
      <x:c r="I129" s="267">
        <x:v>0</x:v>
      </x:c>
      <x:c r="J129" s="267">
        <x:v>0</x:v>
      </x:c>
      <x:c r="K129" s="267">
        <x:v>0</x:v>
      </x:c>
      <x:c r="L129" s="267">
        <x:v>0</x:v>
      </x:c>
      <x:c r="M129" s="267">
        <x:v>0</x:v>
      </x:c>
      <x:c r="N129" s="267">
        <x:v>0</x:v>
      </x:c>
      <x:c r="O129" s="267">
        <x:v>0</x:v>
      </x:c>
      <x:c r="P129" s="267">
        <x:v>0</x:v>
      </x:c>
      <x:c r="Q129" s="267">
        <x:v>0</x:v>
      </x:c>
      <x:c r="R129" s="267">
        <x:v>0</x:v>
      </x:c>
      <x:c r="S129" s="267">
        <x:v>0</x:v>
      </x:c>
      <x:c r="T129" s="267">
        <x:v>0</x:v>
      </x:c>
      <x:c r="U129" s="267">
        <x:v>0</x:v>
      </x:c>
      <x:c r="V129" s="267">
        <x:v>0</x:v>
      </x:c>
      <x:c r="W129" s="267">
        <x:v>0</x:v>
      </x:c>
      <x:c r="X129" s="267">
        <x:v>0</x:v>
      </x:c>
      <x:c r="Y129" s="269">
        <x:f t="shared" si="3"/>
        <x:v>0</x:v>
      </x:c>
    </x:row>
    <x:row r="130">
      <x:c r="A130" s="148" t="s">
        <x:v>105</x:v>
      </x:c>
      <x:c r="B130">
        <x:v>4</x:v>
      </x:c>
      <x:c r="C130" s="148" t="s">
        <x:v>115</x:v>
      </x:c>
      <x:c r="D130">
        <x:v>405</x:v>
      </x:c>
      <x:c r="E130" s="267">
        <x:v>0</x:v>
      </x:c>
      <x:c r="F130" s="267">
        <x:v>0</x:v>
      </x:c>
      <x:c r="G130" s="267">
        <x:v>0</x:v>
      </x:c>
      <x:c r="H130" s="267">
        <x:v>0</x:v>
      </x:c>
      <x:c r="I130" s="267">
        <x:v>0</x:v>
      </x:c>
      <x:c r="J130" s="267">
        <x:v>0</x:v>
      </x:c>
      <x:c r="K130" s="267">
        <x:v>0</x:v>
      </x:c>
      <x:c r="L130" s="267">
        <x:v>0</x:v>
      </x:c>
      <x:c r="M130" s="267">
        <x:v>0</x:v>
      </x:c>
      <x:c r="N130" s="267">
        <x:v>0</x:v>
      </x:c>
      <x:c r="O130" s="267">
        <x:v>0</x:v>
      </x:c>
      <x:c r="P130" s="267">
        <x:v>0</x:v>
      </x:c>
      <x:c r="Q130" s="267">
        <x:v>0</x:v>
      </x:c>
      <x:c r="R130" s="267">
        <x:v>0</x:v>
      </x:c>
      <x:c r="S130" s="267">
        <x:v>0</x:v>
      </x:c>
      <x:c r="T130" s="267">
        <x:v>0</x:v>
      </x:c>
      <x:c r="U130" s="267">
        <x:v>0</x:v>
      </x:c>
      <x:c r="V130" s="267">
        <x:v>0</x:v>
      </x:c>
      <x:c r="W130" s="267">
        <x:v>0</x:v>
      </x:c>
      <x:c r="X130" s="267">
        <x:v>0</x:v>
      </x:c>
      <x:c r="Y130" s="269" t="n">
        <x:f t="shared" ref="Y130:Y193" si="5">AVERAGE(E130:X130)</x:f>
        <x:v>0</x:v>
      </x:c>
    </x:row>
    <x:row r="131">
      <x:c r="A131" s="148" t="s">
        <x:v>105</x:v>
      </x:c>
      <x:c r="B131">
        <x:v>4</x:v>
      </x:c>
      <x:c r="C131" s="148" t="s">
        <x:v>115</x:v>
      </x:c>
      <x:c r="D131">
        <x:v>406</x:v>
      </x:c>
      <x:c r="E131" s="267">
        <x:v>0</x:v>
      </x:c>
      <x:c r="F131" s="267">
        <x:v>0</x:v>
      </x:c>
      <x:c r="G131" s="267">
        <x:v>0</x:v>
      </x:c>
      <x:c r="H131" s="267">
        <x:v>0</x:v>
      </x:c>
      <x:c r="I131" s="267">
        <x:v>0</x:v>
      </x:c>
      <x:c r="J131" s="267">
        <x:v>0</x:v>
      </x:c>
      <x:c r="K131" s="267">
        <x:v>0</x:v>
      </x:c>
      <x:c r="L131" s="267">
        <x:v>0</x:v>
      </x:c>
      <x:c r="M131" s="267">
        <x:v>0</x:v>
      </x:c>
      <x:c r="N131" s="267">
        <x:v>0</x:v>
      </x:c>
      <x:c r="O131" s="267">
        <x:v>0</x:v>
      </x:c>
      <x:c r="P131" s="267">
        <x:v>0</x:v>
      </x:c>
      <x:c r="Q131" s="267">
        <x:v>0</x:v>
      </x:c>
      <x:c r="R131" s="267">
        <x:v>0</x:v>
      </x:c>
      <x:c r="S131" s="267">
        <x:v>0</x:v>
      </x:c>
      <x:c r="T131" s="267">
        <x:v>0</x:v>
      </x:c>
      <x:c r="U131" s="267">
        <x:v>0</x:v>
      </x:c>
      <x:c r="V131" s="267">
        <x:v>0</x:v>
      </x:c>
      <x:c r="W131" s="267">
        <x:v>0</x:v>
      </x:c>
      <x:c r="X131" s="267">
        <x:v>0</x:v>
      </x:c>
      <x:c r="Y131" s="269">
        <x:f t="shared" si="5"/>
        <x:v>0</x:v>
      </x:c>
    </x:row>
    <x:row r="132">
      <x:c r="A132" s="148" t="s">
        <x:v>105</x:v>
      </x:c>
      <x:c r="B132">
        <x:v>4</x:v>
      </x:c>
      <x:c r="C132" s="148" t="s">
        <x:v>115</x:v>
      </x:c>
      <x:c r="D132">
        <x:v>407</x:v>
      </x:c>
      <x:c r="E132" s="267">
        <x:v>0</x:v>
      </x:c>
      <x:c r="F132" s="267">
        <x:v>0</x:v>
      </x:c>
      <x:c r="G132" s="267">
        <x:v>0</x:v>
      </x:c>
      <x:c r="H132" s="267">
        <x:v>0</x:v>
      </x:c>
      <x:c r="I132" s="267">
        <x:v>0</x:v>
      </x:c>
      <x:c r="J132" s="267">
        <x:v>0</x:v>
      </x:c>
      <x:c r="K132" s="267">
        <x:v>0</x:v>
      </x:c>
      <x:c r="L132" s="267">
        <x:v>0</x:v>
      </x:c>
      <x:c r="M132" s="267">
        <x:v>0</x:v>
      </x:c>
      <x:c r="N132" s="267">
        <x:v>0</x:v>
      </x:c>
      <x:c r="O132" s="267">
        <x:v>0</x:v>
      </x:c>
      <x:c r="P132" s="267">
        <x:v>0</x:v>
      </x:c>
      <x:c r="Q132" s="267">
        <x:v>0</x:v>
      </x:c>
      <x:c r="R132" s="267">
        <x:v>0</x:v>
      </x:c>
      <x:c r="S132" s="267">
        <x:v>0</x:v>
      </x:c>
      <x:c r="T132" s="267">
        <x:v>0</x:v>
      </x:c>
      <x:c r="U132" s="267">
        <x:v>0</x:v>
      </x:c>
      <x:c r="V132" s="267">
        <x:v>0</x:v>
      </x:c>
      <x:c r="W132" s="267">
        <x:v>0</x:v>
      </x:c>
      <x:c r="X132" s="267">
        <x:v>0</x:v>
      </x:c>
      <x:c r="Y132" s="269">
        <x:f t="shared" si="5"/>
        <x:v>0</x:v>
      </x:c>
    </x:row>
    <x:row r="133">
      <x:c r="A133" s="148" t="s">
        <x:v>105</x:v>
      </x:c>
      <x:c r="B133">
        <x:v>4</x:v>
      </x:c>
      <x:c r="C133" s="148" t="s">
        <x:v>115</x:v>
      </x:c>
      <x:c r="D133">
        <x:v>408</x:v>
      </x:c>
      <x:c r="E133" s="267">
        <x:v>0</x:v>
      </x:c>
      <x:c r="F133" s="267">
        <x:v>0</x:v>
      </x:c>
      <x:c r="G133" s="267">
        <x:v>0</x:v>
      </x:c>
      <x:c r="H133" s="267">
        <x:v>0</x:v>
      </x:c>
      <x:c r="I133" s="267">
        <x:v>0</x:v>
      </x:c>
      <x:c r="J133" s="267">
        <x:v>0</x:v>
      </x:c>
      <x:c r="K133" s="267">
        <x:v>0</x:v>
      </x:c>
      <x:c r="L133" s="267">
        <x:v>0</x:v>
      </x:c>
      <x:c r="M133" s="267">
        <x:v>0</x:v>
      </x:c>
      <x:c r="N133" s="267">
        <x:v>0</x:v>
      </x:c>
      <x:c r="O133" s="267">
        <x:v>0</x:v>
      </x:c>
      <x:c r="P133" s="267">
        <x:v>0</x:v>
      </x:c>
      <x:c r="Q133" s="267">
        <x:v>0</x:v>
      </x:c>
      <x:c r="R133" s="267">
        <x:v>0</x:v>
      </x:c>
      <x:c r="S133" s="267">
        <x:v>0</x:v>
      </x:c>
      <x:c r="T133" s="267">
        <x:v>0</x:v>
      </x:c>
      <x:c r="U133" s="267">
        <x:v>0</x:v>
      </x:c>
      <x:c r="V133" s="267">
        <x:v>0</x:v>
      </x:c>
      <x:c r="W133" s="267">
        <x:v>0</x:v>
      </x:c>
      <x:c r="X133" s="267">
        <x:v>0</x:v>
      </x:c>
      <x:c r="Y133" s="269">
        <x:f t="shared" si="5"/>
        <x:v>0</x:v>
      </x:c>
    </x:row>
    <x:row r="134">
      <x:c r="A134" s="148" t="s">
        <x:v>105</x:v>
      </x:c>
      <x:c r="B134">
        <x:v>4</x:v>
      </x:c>
      <x:c r="C134" s="148" t="s">
        <x:v>115</x:v>
      </x:c>
      <x:c r="D134">
        <x:v>409</x:v>
      </x:c>
      <x:c r="E134" s="267">
        <x:v>0</x:v>
      </x:c>
      <x:c r="F134" s="267">
        <x:v>0</x:v>
      </x:c>
      <x:c r="G134" s="267">
        <x:v>0</x:v>
      </x:c>
      <x:c r="H134" s="267">
        <x:v>0</x:v>
      </x:c>
      <x:c r="I134" s="267">
        <x:v>0</x:v>
      </x:c>
      <x:c r="J134" s="267">
        <x:v>0</x:v>
      </x:c>
      <x:c r="K134" s="267">
        <x:v>0</x:v>
      </x:c>
      <x:c r="L134" s="267">
        <x:v>0</x:v>
      </x:c>
      <x:c r="M134" s="267">
        <x:v>0</x:v>
      </x:c>
      <x:c r="N134" s="267">
        <x:v>0</x:v>
      </x:c>
      <x:c r="O134" s="267">
        <x:v>0</x:v>
      </x:c>
      <x:c r="P134" s="267">
        <x:v>0</x:v>
      </x:c>
      <x:c r="Q134" s="267">
        <x:v>0</x:v>
      </x:c>
      <x:c r="R134" s="267">
        <x:v>0</x:v>
      </x:c>
      <x:c r="S134" s="267">
        <x:v>0</x:v>
      </x:c>
      <x:c r="T134" s="267">
        <x:v>0</x:v>
      </x:c>
      <x:c r="U134" s="267">
        <x:v>0</x:v>
      </x:c>
      <x:c r="V134" s="267">
        <x:v>0</x:v>
      </x:c>
      <x:c r="W134" s="267">
        <x:v>0</x:v>
      </x:c>
      <x:c r="X134" s="267">
        <x:v>0</x:v>
      </x:c>
      <x:c r="Y134" s="269">
        <x:f t="shared" si="5"/>
        <x:v>0</x:v>
      </x:c>
    </x:row>
    <x:row r="135">
      <x:c r="A135" s="148" t="s">
        <x:v>105</x:v>
      </x:c>
      <x:c r="B135">
        <x:v>4</x:v>
      </x:c>
      <x:c r="C135" s="148" t="s">
        <x:v>115</x:v>
      </x:c>
      <x:c r="D135">
        <x:v>410</x:v>
      </x:c>
      <x:c r="E135" s="267">
        <x:v>0</x:v>
      </x:c>
      <x:c r="F135" s="267">
        <x:v>0</x:v>
      </x:c>
      <x:c r="G135" s="267">
        <x:v>0</x:v>
      </x:c>
      <x:c r="H135" s="267">
        <x:v>0</x:v>
      </x:c>
      <x:c r="I135" s="267">
        <x:v>0</x:v>
      </x:c>
      <x:c r="J135" s="267">
        <x:v>0</x:v>
      </x:c>
      <x:c r="K135" s="267">
        <x:v>0</x:v>
      </x:c>
      <x:c r="L135" s="267">
        <x:v>0</x:v>
      </x:c>
      <x:c r="M135" s="267">
        <x:v>0</x:v>
      </x:c>
      <x:c r="N135" s="267">
        <x:v>0</x:v>
      </x:c>
      <x:c r="O135" s="267">
        <x:v>0</x:v>
      </x:c>
      <x:c r="P135" s="267">
        <x:v>0</x:v>
      </x:c>
      <x:c r="Q135" s="267">
        <x:v>0</x:v>
      </x:c>
      <x:c r="R135" s="267">
        <x:v>0</x:v>
      </x:c>
      <x:c r="S135" s="267">
        <x:v>0</x:v>
      </x:c>
      <x:c r="T135" s="267">
        <x:v>0</x:v>
      </x:c>
      <x:c r="U135" s="267">
        <x:v>0</x:v>
      </x:c>
      <x:c r="V135" s="267">
        <x:v>0</x:v>
      </x:c>
      <x:c r="W135" s="267">
        <x:v>0</x:v>
      </x:c>
      <x:c r="X135" s="267">
        <x:v>0</x:v>
      </x:c>
      <x:c r="Y135" s="269">
        <x:f t="shared" si="5"/>
        <x:v>0</x:v>
      </x:c>
    </x:row>
    <x:row r="136">
      <x:c r="A136" s="148" t="s">
        <x:v>105</x:v>
      </x:c>
      <x:c r="B136">
        <x:v>4</x:v>
      </x:c>
      <x:c r="C136" s="148" t="s">
        <x:v>115</x:v>
      </x:c>
      <x:c r="D136">
        <x:v>411</x:v>
      </x:c>
      <x:c r="E136" s="267">
        <x:v>0</x:v>
      </x:c>
      <x:c r="F136" s="267">
        <x:v>0</x:v>
      </x:c>
      <x:c r="G136" s="267">
        <x:v>0</x:v>
      </x:c>
      <x:c r="H136" s="267">
        <x:v>0</x:v>
      </x:c>
      <x:c r="I136" s="267">
        <x:v>0</x:v>
      </x:c>
      <x:c r="J136" s="267">
        <x:v>0</x:v>
      </x:c>
      <x:c r="K136" s="267">
        <x:v>0</x:v>
      </x:c>
      <x:c r="L136" s="267">
        <x:v>0</x:v>
      </x:c>
      <x:c r="M136" s="267">
        <x:v>0</x:v>
      </x:c>
      <x:c r="N136" s="267">
        <x:v>0</x:v>
      </x:c>
      <x:c r="O136" s="267">
        <x:v>0</x:v>
      </x:c>
      <x:c r="P136" s="267">
        <x:v>0</x:v>
      </x:c>
      <x:c r="Q136" s="267">
        <x:v>0</x:v>
      </x:c>
      <x:c r="R136" s="267">
        <x:v>0</x:v>
      </x:c>
      <x:c r="S136" s="267">
        <x:v>0</x:v>
      </x:c>
      <x:c r="T136" s="267">
        <x:v>0</x:v>
      </x:c>
      <x:c r="U136" s="267">
        <x:v>0</x:v>
      </x:c>
      <x:c r="V136" s="267">
        <x:v>0</x:v>
      </x:c>
      <x:c r="W136" s="267">
        <x:v>0</x:v>
      </x:c>
      <x:c r="X136" s="267">
        <x:v>0</x:v>
      </x:c>
      <x:c r="Y136" s="269">
        <x:f t="shared" si="5"/>
        <x:v>0</x:v>
      </x:c>
    </x:row>
    <x:row r="137">
      <x:c r="A137" s="148" t="s">
        <x:v>105</x:v>
      </x:c>
      <x:c r="B137">
        <x:v>4</x:v>
      </x:c>
      <x:c r="C137" s="148" t="s">
        <x:v>115</x:v>
      </x:c>
      <x:c r="D137">
        <x:v>412</x:v>
      </x:c>
      <x:c r="E137" s="267">
        <x:v>0</x:v>
      </x:c>
      <x:c r="F137" s="267">
        <x:v>0</x:v>
      </x:c>
      <x:c r="G137" s="267">
        <x:v>0</x:v>
      </x:c>
      <x:c r="H137" s="267">
        <x:v>0</x:v>
      </x:c>
      <x:c r="I137" s="267">
        <x:v>0</x:v>
      </x:c>
      <x:c r="J137" s="267">
        <x:v>0</x:v>
      </x:c>
      <x:c r="K137" s="267">
        <x:v>0</x:v>
      </x:c>
      <x:c r="L137" s="267">
        <x:v>0</x:v>
      </x:c>
      <x:c r="M137" s="267">
        <x:v>0</x:v>
      </x:c>
      <x:c r="N137" s="267">
        <x:v>0</x:v>
      </x:c>
      <x:c r="O137" s="267">
        <x:v>0</x:v>
      </x:c>
      <x:c r="P137" s="267">
        <x:v>0</x:v>
      </x:c>
      <x:c r="Q137" s="267">
        <x:v>0</x:v>
      </x:c>
      <x:c r="R137" s="267">
        <x:v>0</x:v>
      </x:c>
      <x:c r="S137" s="267">
        <x:v>0</x:v>
      </x:c>
      <x:c r="T137" s="267">
        <x:v>0</x:v>
      </x:c>
      <x:c r="U137" s="267">
        <x:v>0</x:v>
      </x:c>
      <x:c r="V137" s="267">
        <x:v>0</x:v>
      </x:c>
      <x:c r="W137" s="267">
        <x:v>0</x:v>
      </x:c>
      <x:c r="X137" s="267">
        <x:v>0</x:v>
      </x:c>
      <x:c r="Y137" s="269">
        <x:f t="shared" si="5"/>
        <x:v>0</x:v>
      </x:c>
    </x:row>
    <x:row r="138">
      <x:c r="A138" s="148" t="s">
        <x:v>105</x:v>
      </x:c>
      <x:c r="B138">
        <x:v>4</x:v>
      </x:c>
      <x:c r="C138" s="148" t="s">
        <x:v>115</x:v>
      </x:c>
      <x:c r="D138">
        <x:v>413</x:v>
      </x:c>
      <x:c r="E138" s="267">
        <x:v>0</x:v>
      </x:c>
      <x:c r="F138" s="267">
        <x:v>0</x:v>
      </x:c>
      <x:c r="G138" s="267">
        <x:v>0</x:v>
      </x:c>
      <x:c r="H138" s="267">
        <x:v>0</x:v>
      </x:c>
      <x:c r="I138" s="267">
        <x:v>0</x:v>
      </x:c>
      <x:c r="J138" s="267">
        <x:v>0</x:v>
      </x:c>
      <x:c r="K138" s="267">
        <x:v>0</x:v>
      </x:c>
      <x:c r="L138" s="267">
        <x:v>0</x:v>
      </x:c>
      <x:c r="M138" s="267">
        <x:v>0</x:v>
      </x:c>
      <x:c r="N138" s="267">
        <x:v>0</x:v>
      </x:c>
      <x:c r="O138" s="267">
        <x:v>0</x:v>
      </x:c>
      <x:c r="P138" s="267">
        <x:v>0</x:v>
      </x:c>
      <x:c r="Q138" s="267">
        <x:v>0</x:v>
      </x:c>
      <x:c r="R138" s="267">
        <x:v>0</x:v>
      </x:c>
      <x:c r="S138" s="267">
        <x:v>0</x:v>
      </x:c>
      <x:c r="T138" s="267">
        <x:v>0</x:v>
      </x:c>
      <x:c r="U138" s="267">
        <x:v>0</x:v>
      </x:c>
      <x:c r="V138" s="267">
        <x:v>0</x:v>
      </x:c>
      <x:c r="W138" s="267">
        <x:v>0</x:v>
      </x:c>
      <x:c r="X138" s="267">
        <x:v>0</x:v>
      </x:c>
      <x:c r="Y138" s="269">
        <x:f t="shared" si="5"/>
        <x:v>0</x:v>
      </x:c>
    </x:row>
    <x:row r="139">
      <x:c r="A139" s="148" t="s">
        <x:v>105</x:v>
      </x:c>
      <x:c r="B139">
        <x:v>4</x:v>
      </x:c>
      <x:c r="C139" s="148" t="s">
        <x:v>115</x:v>
      </x:c>
      <x:c r="D139">
        <x:v>414</x:v>
      </x:c>
      <x:c r="E139" s="267">
        <x:v>0</x:v>
      </x:c>
      <x:c r="F139" s="267">
        <x:v>0</x:v>
      </x:c>
      <x:c r="G139" s="267">
        <x:v>0</x:v>
      </x:c>
      <x:c r="H139" s="267">
        <x:v>0</x:v>
      </x:c>
      <x:c r="I139" s="267">
        <x:v>0</x:v>
      </x:c>
      <x:c r="J139" s="267">
        <x:v>0</x:v>
      </x:c>
      <x:c r="K139" s="267">
        <x:v>0</x:v>
      </x:c>
      <x:c r="L139" s="267">
        <x:v>0</x:v>
      </x:c>
      <x:c r="M139" s="267">
        <x:v>0</x:v>
      </x:c>
      <x:c r="N139" s="267">
        <x:v>0</x:v>
      </x:c>
      <x:c r="O139" s="267">
        <x:v>0</x:v>
      </x:c>
      <x:c r="P139" s="267">
        <x:v>0</x:v>
      </x:c>
      <x:c r="Q139" s="267">
        <x:v>0</x:v>
      </x:c>
      <x:c r="R139" s="267">
        <x:v>0</x:v>
      </x:c>
      <x:c r="S139" s="267">
        <x:v>0</x:v>
      </x:c>
      <x:c r="T139" s="267">
        <x:v>0</x:v>
      </x:c>
      <x:c r="U139" s="267">
        <x:v>0</x:v>
      </x:c>
      <x:c r="V139" s="267">
        <x:v>0</x:v>
      </x:c>
      <x:c r="W139" s="267">
        <x:v>0</x:v>
      </x:c>
      <x:c r="X139" s="267">
        <x:v>0</x:v>
      </x:c>
      <x:c r="Y139" s="269">
        <x:f t="shared" si="5"/>
        <x:v>0</x:v>
      </x:c>
    </x:row>
    <x:row r="140">
      <x:c r="A140" s="148" t="s">
        <x:v>105</x:v>
      </x:c>
      <x:c r="B140">
        <x:v>4</x:v>
      </x:c>
      <x:c r="C140" s="148" t="s">
        <x:v>115</x:v>
      </x:c>
      <x:c r="D140">
        <x:v>415</x:v>
      </x:c>
      <x:c r="E140" s="267">
        <x:v>0</x:v>
      </x:c>
      <x:c r="F140" s="267">
        <x:v>0</x:v>
      </x:c>
      <x:c r="G140" s="267">
        <x:v>0</x:v>
      </x:c>
      <x:c r="H140" s="267">
        <x:v>0</x:v>
      </x:c>
      <x:c r="I140" s="267">
        <x:v>0</x:v>
      </x:c>
      <x:c r="J140" s="267">
        <x:v>0</x:v>
      </x:c>
      <x:c r="K140" s="267">
        <x:v>0</x:v>
      </x:c>
      <x:c r="L140" s="267">
        <x:v>0</x:v>
      </x:c>
      <x:c r="M140" s="267">
        <x:v>0</x:v>
      </x:c>
      <x:c r="N140" s="267">
        <x:v>0</x:v>
      </x:c>
      <x:c r="O140" s="267">
        <x:v>0</x:v>
      </x:c>
      <x:c r="P140" s="267">
        <x:v>0</x:v>
      </x:c>
      <x:c r="Q140" s="267">
        <x:v>0</x:v>
      </x:c>
      <x:c r="R140" s="267">
        <x:v>0</x:v>
      </x:c>
      <x:c r="S140" s="267">
        <x:v>0</x:v>
      </x:c>
      <x:c r="T140" s="267">
        <x:v>0</x:v>
      </x:c>
      <x:c r="U140" s="267">
        <x:v>0</x:v>
      </x:c>
      <x:c r="V140" s="267">
        <x:v>0</x:v>
      </x:c>
      <x:c r="W140" s="267">
        <x:v>0</x:v>
      </x:c>
      <x:c r="X140" s="267">
        <x:v>0</x:v>
      </x:c>
      <x:c r="Y140" s="269">
        <x:f t="shared" si="5"/>
        <x:v>0</x:v>
      </x:c>
    </x:row>
    <x:row r="141">
      <x:c r="A141" s="148" t="s">
        <x:v>105</x:v>
      </x:c>
      <x:c r="B141">
        <x:v>4</x:v>
      </x:c>
      <x:c r="C141" s="148" t="s">
        <x:v>115</x:v>
      </x:c>
      <x:c r="D141">
        <x:v>416</x:v>
      </x:c>
      <x:c r="E141" s="267">
        <x:v>0</x:v>
      </x:c>
      <x:c r="F141" s="267">
        <x:v>0</x:v>
      </x:c>
      <x:c r="G141" s="267">
        <x:v>0</x:v>
      </x:c>
      <x:c r="H141" s="267">
        <x:v>0</x:v>
      </x:c>
      <x:c r="I141" s="267">
        <x:v>0</x:v>
      </x:c>
      <x:c r="J141" s="267">
        <x:v>0</x:v>
      </x:c>
      <x:c r="K141" s="267">
        <x:v>0</x:v>
      </x:c>
      <x:c r="L141" s="267">
        <x:v>0</x:v>
      </x:c>
      <x:c r="M141" s="267">
        <x:v>0</x:v>
      </x:c>
      <x:c r="N141" s="267">
        <x:v>0</x:v>
      </x:c>
      <x:c r="O141" s="267">
        <x:v>0</x:v>
      </x:c>
      <x:c r="P141" s="267">
        <x:v>0</x:v>
      </x:c>
      <x:c r="Q141" s="267">
        <x:v>0</x:v>
      </x:c>
      <x:c r="R141" s="267">
        <x:v>0</x:v>
      </x:c>
      <x:c r="S141" s="267">
        <x:v>0</x:v>
      </x:c>
      <x:c r="T141" s="267">
        <x:v>0</x:v>
      </x:c>
      <x:c r="U141" s="267">
        <x:v>0</x:v>
      </x:c>
      <x:c r="V141" s="267">
        <x:v>0</x:v>
      </x:c>
      <x:c r="W141" s="267">
        <x:v>0</x:v>
      </x:c>
      <x:c r="X141" s="267">
        <x:v>0</x:v>
      </x:c>
      <x:c r="Y141" s="269">
        <x:f t="shared" si="5"/>
        <x:v>0</x:v>
      </x:c>
    </x:row>
    <x:row r="142">
      <x:c r="A142" s="148" t="s">
        <x:v>105</x:v>
      </x:c>
      <x:c r="B142">
        <x:v>4</x:v>
      </x:c>
      <x:c r="C142" s="148" t="s">
        <x:v>115</x:v>
      </x:c>
      <x:c r="D142">
        <x:v>417</x:v>
      </x:c>
      <x:c r="E142" s="267">
        <x:v>0</x:v>
      </x:c>
      <x:c r="F142" s="267">
        <x:v>0</x:v>
      </x:c>
      <x:c r="G142" s="267">
        <x:v>0</x:v>
      </x:c>
      <x:c r="H142" s="267">
        <x:v>0</x:v>
      </x:c>
      <x:c r="I142" s="267">
        <x:v>0</x:v>
      </x:c>
      <x:c r="J142" s="267">
        <x:v>0</x:v>
      </x:c>
      <x:c r="K142" s="267">
        <x:v>0</x:v>
      </x:c>
      <x:c r="L142" s="267">
        <x:v>0</x:v>
      </x:c>
      <x:c r="M142" s="267">
        <x:v>0</x:v>
      </x:c>
      <x:c r="N142" s="267">
        <x:v>0</x:v>
      </x:c>
      <x:c r="O142" s="267">
        <x:v>0</x:v>
      </x:c>
      <x:c r="P142" s="267">
        <x:v>0</x:v>
      </x:c>
      <x:c r="Q142" s="267">
        <x:v>0</x:v>
      </x:c>
      <x:c r="R142" s="267">
        <x:v>0</x:v>
      </x:c>
      <x:c r="S142" s="267">
        <x:v>0</x:v>
      </x:c>
      <x:c r="T142" s="267">
        <x:v>0</x:v>
      </x:c>
      <x:c r="U142" s="267">
        <x:v>0</x:v>
      </x:c>
      <x:c r="V142" s="267">
        <x:v>0</x:v>
      </x:c>
      <x:c r="W142" s="267">
        <x:v>0</x:v>
      </x:c>
      <x:c r="X142" s="267">
        <x:v>0</x:v>
      </x:c>
      <x:c r="Y142" s="269">
        <x:f t="shared" si="5"/>
        <x:v>0</x:v>
      </x:c>
    </x:row>
    <x:row r="143">
      <x:c r="A143" s="148" t="s">
        <x:v>105</x:v>
      </x:c>
      <x:c r="B143">
        <x:v>4</x:v>
      </x:c>
      <x:c r="C143" s="148" t="s">
        <x:v>115</x:v>
      </x:c>
      <x:c r="D143">
        <x:v>418</x:v>
      </x:c>
      <x:c r="E143" s="267">
        <x:v>0</x:v>
      </x:c>
      <x:c r="F143" s="267">
        <x:v>0</x:v>
      </x:c>
      <x:c r="G143" s="267">
        <x:v>0</x:v>
      </x:c>
      <x:c r="H143" s="267">
        <x:v>0</x:v>
      </x:c>
      <x:c r="I143" s="267">
        <x:v>0</x:v>
      </x:c>
      <x:c r="J143" s="267">
        <x:v>0</x:v>
      </x:c>
      <x:c r="K143" s="267">
        <x:v>0</x:v>
      </x:c>
      <x:c r="L143" s="267">
        <x:v>0</x:v>
      </x:c>
      <x:c r="M143" s="267">
        <x:v>0</x:v>
      </x:c>
      <x:c r="N143" s="267">
        <x:v>0</x:v>
      </x:c>
      <x:c r="O143" s="267">
        <x:v>0</x:v>
      </x:c>
      <x:c r="P143" s="267">
        <x:v>0</x:v>
      </x:c>
      <x:c r="Q143" s="267">
        <x:v>0</x:v>
      </x:c>
      <x:c r="R143" s="267">
        <x:v>0</x:v>
      </x:c>
      <x:c r="S143" s="267">
        <x:v>0</x:v>
      </x:c>
      <x:c r="T143" s="267">
        <x:v>0</x:v>
      </x:c>
      <x:c r="U143" s="267">
        <x:v>0</x:v>
      </x:c>
      <x:c r="V143" s="267">
        <x:v>0</x:v>
      </x:c>
      <x:c r="W143" s="267">
        <x:v>0</x:v>
      </x:c>
      <x:c r="X143" s="267">
        <x:v>0</x:v>
      </x:c>
      <x:c r="Y143" s="269">
        <x:f t="shared" si="5"/>
        <x:v>0</x:v>
      </x:c>
    </x:row>
    <x:row r="144">
      <x:c r="A144" s="148" t="s">
        <x:v>105</x:v>
      </x:c>
      <x:c r="B144">
        <x:v>4</x:v>
      </x:c>
      <x:c r="C144" s="148" t="s">
        <x:v>115</x:v>
      </x:c>
      <x:c r="D144">
        <x:v>419</x:v>
      </x:c>
      <x:c r="E144" s="267">
        <x:v>0</x:v>
      </x:c>
      <x:c r="F144" s="267">
        <x:v>0</x:v>
      </x:c>
      <x:c r="G144" s="267">
        <x:v>0</x:v>
      </x:c>
      <x:c r="H144" s="267">
        <x:v>0</x:v>
      </x:c>
      <x:c r="I144" s="267">
        <x:v>0</x:v>
      </x:c>
      <x:c r="J144" s="267">
        <x:v>0</x:v>
      </x:c>
      <x:c r="K144" s="267">
        <x:v>0</x:v>
      </x:c>
      <x:c r="L144" s="267">
        <x:v>0</x:v>
      </x:c>
      <x:c r="M144" s="267">
        <x:v>0</x:v>
      </x:c>
      <x:c r="N144" s="267">
        <x:v>0</x:v>
      </x:c>
      <x:c r="O144" s="267">
        <x:v>0</x:v>
      </x:c>
      <x:c r="P144" s="267">
        <x:v>0</x:v>
      </x:c>
      <x:c r="Q144" s="267">
        <x:v>0</x:v>
      </x:c>
      <x:c r="R144" s="267">
        <x:v>0</x:v>
      </x:c>
      <x:c r="S144" s="267">
        <x:v>0</x:v>
      </x:c>
      <x:c r="T144" s="267">
        <x:v>0</x:v>
      </x:c>
      <x:c r="U144" s="267">
        <x:v>0</x:v>
      </x:c>
      <x:c r="V144" s="267">
        <x:v>0</x:v>
      </x:c>
      <x:c r="W144" s="267">
        <x:v>0</x:v>
      </x:c>
      <x:c r="X144" s="267">
        <x:v>0</x:v>
      </x:c>
      <x:c r="Y144" s="269">
        <x:f t="shared" si="5"/>
        <x:v>0</x:v>
      </x:c>
    </x:row>
    <x:row r="145">
      <x:c r="A145" s="148" t="s">
        <x:v>105</x:v>
      </x:c>
      <x:c r="B145">
        <x:v>4</x:v>
      </x:c>
      <x:c r="C145" s="148" t="s">
        <x:v>115</x:v>
      </x:c>
      <x:c r="D145">
        <x:v>420</x:v>
      </x:c>
      <x:c r="E145" s="267">
        <x:v>0</x:v>
      </x:c>
      <x:c r="F145" s="267">
        <x:v>0</x:v>
      </x:c>
      <x:c r="G145" s="267">
        <x:v>0</x:v>
      </x:c>
      <x:c r="H145" s="267">
        <x:v>0</x:v>
      </x:c>
      <x:c r="I145" s="267">
        <x:v>0</x:v>
      </x:c>
      <x:c r="J145" s="267">
        <x:v>0</x:v>
      </x:c>
      <x:c r="K145" s="267">
        <x:v>0</x:v>
      </x:c>
      <x:c r="L145" s="267">
        <x:v>0</x:v>
      </x:c>
      <x:c r="M145" s="267">
        <x:v>0</x:v>
      </x:c>
      <x:c r="N145" s="267">
        <x:v>0</x:v>
      </x:c>
      <x:c r="O145" s="267">
        <x:v>0</x:v>
      </x:c>
      <x:c r="P145" s="267">
        <x:v>0</x:v>
      </x:c>
      <x:c r="Q145" s="267">
        <x:v>0</x:v>
      </x:c>
      <x:c r="R145" s="267">
        <x:v>0</x:v>
      </x:c>
      <x:c r="S145" s="267">
        <x:v>0</x:v>
      </x:c>
      <x:c r="T145" s="267">
        <x:v>0</x:v>
      </x:c>
      <x:c r="U145" s="267">
        <x:v>0</x:v>
      </x:c>
      <x:c r="V145" s="267">
        <x:v>0</x:v>
      </x:c>
      <x:c r="W145" s="267">
        <x:v>0</x:v>
      </x:c>
      <x:c r="X145" s="267">
        <x:v>0</x:v>
      </x:c>
      <x:c r="Y145" s="269">
        <x:f t="shared" si="5"/>
        <x:v>0</x:v>
      </x:c>
    </x:row>
    <x:row r="146">
      <x:c r="A146" s="148" t="s">
        <x:v>105</x:v>
      </x:c>
      <x:c r="B146">
        <x:v>4</x:v>
      </x:c>
      <x:c r="C146" s="148" t="s">
        <x:v>115</x:v>
      </x:c>
      <x:c r="D146">
        <x:v>421</x:v>
      </x:c>
      <x:c r="E146" s="267">
        <x:v>0</x:v>
      </x:c>
      <x:c r="F146" s="267">
        <x:v>0</x:v>
      </x:c>
      <x:c r="G146" s="267">
        <x:v>0</x:v>
      </x:c>
      <x:c r="H146" s="267">
        <x:v>0</x:v>
      </x:c>
      <x:c r="I146" s="267">
        <x:v>0</x:v>
      </x:c>
      <x:c r="J146" s="267">
        <x:v>0</x:v>
      </x:c>
      <x:c r="K146" s="267">
        <x:v>0</x:v>
      </x:c>
      <x:c r="L146" s="267">
        <x:v>0</x:v>
      </x:c>
      <x:c r="M146" s="267">
        <x:v>0</x:v>
      </x:c>
      <x:c r="N146" s="267">
        <x:v>0</x:v>
      </x:c>
      <x:c r="O146" s="267">
        <x:v>0</x:v>
      </x:c>
      <x:c r="P146" s="267">
        <x:v>0</x:v>
      </x:c>
      <x:c r="Q146" s="267">
        <x:v>0</x:v>
      </x:c>
      <x:c r="R146" s="267">
        <x:v>0</x:v>
      </x:c>
      <x:c r="S146" s="267">
        <x:v>0</x:v>
      </x:c>
      <x:c r="T146" s="267">
        <x:v>0</x:v>
      </x:c>
      <x:c r="U146" s="267">
        <x:v>0</x:v>
      </x:c>
      <x:c r="V146" s="267">
        <x:v>0</x:v>
      </x:c>
      <x:c r="W146" s="267">
        <x:v>0</x:v>
      </x:c>
      <x:c r="X146" s="267">
        <x:v>0</x:v>
      </x:c>
      <x:c r="Y146" s="269">
        <x:f t="shared" si="5"/>
        <x:v>0</x:v>
      </x:c>
    </x:row>
    <x:row r="147">
      <x:c r="A147" s="148"/>
      <x:c r="B147"/>
      <x:c r="C147" s="148"/>
      <x:c r="D147" s="148"/>
      <x:c r="E147" s="267">
        <x:f t="shared" ref="E147:X147" si="6">AVERAGE(E103:E146)</x:f>
      </x:c>
      <x:c r="F147" s="267">
        <x:f t="shared" si="6"/>
      </x:c>
      <x:c r="G147" s="267">
        <x:f t="shared" si="6"/>
      </x:c>
      <x:c r="H147" s="267">
        <x:f t="shared" si="6"/>
      </x:c>
      <x:c r="I147" s="267">
        <x:f t="shared" si="6"/>
      </x:c>
      <x:c r="J147" s="267">
        <x:f t="shared" si="6"/>
      </x:c>
      <x:c r="K147" s="267">
        <x:f t="shared" si="6"/>
      </x:c>
      <x:c r="L147" s="267">
        <x:f t="shared" si="6"/>
      </x:c>
      <x:c r="M147" s="267">
        <x:f t="shared" si="6"/>
      </x:c>
      <x:c r="N147" s="267">
        <x:f t="shared" si="6"/>
      </x:c>
      <x:c r="O147" s="267">
        <x:f t="shared" si="6"/>
      </x:c>
      <x:c r="P147" s="267">
        <x:f t="shared" si="6"/>
      </x:c>
      <x:c r="Q147" s="267">
        <x:f t="shared" si="6"/>
      </x:c>
      <x:c r="R147" s="267">
        <x:f t="shared" si="6"/>
      </x:c>
      <x:c r="S147" s="267">
        <x:f t="shared" si="6"/>
      </x:c>
      <x:c r="T147" s="267">
        <x:f t="shared" si="6"/>
      </x:c>
      <x:c r="U147" s="267">
        <x:f t="shared" si="6"/>
      </x:c>
      <x:c r="V147" s="267">
        <x:f t="shared" si="6"/>
      </x:c>
      <x:c r="W147" s="267">
        <x:f t="shared" si="6"/>
      </x:c>
      <x:c r="X147" s="267">
        <x:f t="shared" si="6"/>
      </x:c>
      <x:c r="Y147" s="269">
        <x:f t="shared" si="5"/>
      </x:c>
    </x:row>
    <x:row r="148">
      <x:c r="A148" s="148" t="s">
        <x:v>105</x:v>
      </x:c>
      <x:c r="B148">
        <x:v>5</x:v>
      </x:c>
      <x:c r="C148" s="148" t="s">
        <x:v>116</x:v>
      </x:c>
      <x:c r="D148">
        <x:v>501</x:v>
      </x:c>
      <x:c r="E148" s="267">
        <x:v>0</x:v>
      </x:c>
      <x:c r="F148" s="267">
        <x:v>0</x:v>
      </x:c>
      <x:c r="G148" s="267">
        <x:v>0</x:v>
      </x:c>
      <x:c r="H148" s="267">
        <x:v>0</x:v>
      </x:c>
      <x:c r="I148" s="267">
        <x:v>0</x:v>
      </x:c>
      <x:c r="J148" s="267">
        <x:v>0</x:v>
      </x:c>
      <x:c r="K148" s="267">
        <x:v>0</x:v>
      </x:c>
      <x:c r="L148" s="267">
        <x:v>0</x:v>
      </x:c>
      <x:c r="M148" s="267">
        <x:v>0</x:v>
      </x:c>
      <x:c r="N148" s="267">
        <x:v>0</x:v>
      </x:c>
      <x:c r="O148" s="267">
        <x:v>0</x:v>
      </x:c>
      <x:c r="P148" s="267">
        <x:v>0</x:v>
      </x:c>
      <x:c r="Q148" s="267">
        <x:v>0</x:v>
      </x:c>
      <x:c r="R148" s="267">
        <x:v>0</x:v>
      </x:c>
      <x:c r="S148" s="267">
        <x:v>0</x:v>
      </x:c>
      <x:c r="T148" s="267">
        <x:v>0</x:v>
      </x:c>
      <x:c r="U148" s="267">
        <x:v>0</x:v>
      </x:c>
      <x:c r="V148" s="267">
        <x:v>0</x:v>
      </x:c>
      <x:c r="W148" s="267">
        <x:v>0</x:v>
      </x:c>
      <x:c r="X148" s="267">
        <x:v>0</x:v>
      </x:c>
      <x:c r="Y148" s="269">
        <x:f t="shared" si="5"/>
        <x:v>0</x:v>
      </x:c>
    </x:row>
    <x:row r="149">
      <x:c r="A149" s="148" t="s">
        <x:v>105</x:v>
      </x:c>
      <x:c r="B149">
        <x:v>5</x:v>
      </x:c>
      <x:c r="C149" s="148" t="s">
        <x:v>116</x:v>
      </x:c>
      <x:c r="D149">
        <x:v>502</x:v>
      </x:c>
      <x:c r="E149" s="267">
        <x:v>0</x:v>
      </x:c>
      <x:c r="F149" s="267">
        <x:v>0</x:v>
      </x:c>
      <x:c r="G149" s="267">
        <x:v>0</x:v>
      </x:c>
      <x:c r="H149" s="267">
        <x:v>0</x:v>
      </x:c>
      <x:c r="I149" s="267">
        <x:v>0</x:v>
      </x:c>
      <x:c r="J149" s="267">
        <x:v>0</x:v>
      </x:c>
      <x:c r="K149" s="267">
        <x:v>0</x:v>
      </x:c>
      <x:c r="L149" s="267">
        <x:v>0</x:v>
      </x:c>
      <x:c r="M149" s="267">
        <x:v>0</x:v>
      </x:c>
      <x:c r="N149" s="267">
        <x:v>0</x:v>
      </x:c>
      <x:c r="O149" s="267">
        <x:v>0</x:v>
      </x:c>
      <x:c r="P149" s="267">
        <x:v>0</x:v>
      </x:c>
      <x:c r="Q149" s="267">
        <x:v>0</x:v>
      </x:c>
      <x:c r="R149" s="267">
        <x:v>0</x:v>
      </x:c>
      <x:c r="S149" s="267">
        <x:v>0</x:v>
      </x:c>
      <x:c r="T149" s="267">
        <x:v>0</x:v>
      </x:c>
      <x:c r="U149" s="267">
        <x:v>0</x:v>
      </x:c>
      <x:c r="V149" s="267">
        <x:v>0</x:v>
      </x:c>
      <x:c r="W149" s="267">
        <x:v>0</x:v>
      </x:c>
      <x:c r="X149" s="267">
        <x:v>0</x:v>
      </x:c>
      <x:c r="Y149" s="269">
        <x:f t="shared" si="5"/>
        <x:v>0</x:v>
      </x:c>
    </x:row>
    <x:row r="150">
      <x:c r="A150" s="148" t="s">
        <x:v>105</x:v>
      </x:c>
      <x:c r="B150">
        <x:v>5</x:v>
      </x:c>
      <x:c r="C150" s="148" t="s">
        <x:v>116</x:v>
      </x:c>
      <x:c r="D150">
        <x:v>503</x:v>
      </x:c>
      <x:c r="E150" s="267">
        <x:v>0</x:v>
      </x:c>
      <x:c r="F150" s="267">
        <x:v>0</x:v>
      </x:c>
      <x:c r="G150" s="267">
        <x:v>0</x:v>
      </x:c>
      <x:c r="H150" s="267">
        <x:v>0</x:v>
      </x:c>
      <x:c r="I150" s="267">
        <x:v>0</x:v>
      </x:c>
      <x:c r="J150" s="267">
        <x:v>0</x:v>
      </x:c>
      <x:c r="K150" s="267">
        <x:v>0</x:v>
      </x:c>
      <x:c r="L150" s="267">
        <x:v>0</x:v>
      </x:c>
      <x:c r="M150" s="267">
        <x:v>0</x:v>
      </x:c>
      <x:c r="N150" s="267">
        <x:v>0</x:v>
      </x:c>
      <x:c r="O150" s="267">
        <x:v>0</x:v>
      </x:c>
      <x:c r="P150" s="267">
        <x:v>0</x:v>
      </x:c>
      <x:c r="Q150" s="267">
        <x:v>0</x:v>
      </x:c>
      <x:c r="R150" s="267">
        <x:v>0</x:v>
      </x:c>
      <x:c r="S150" s="267">
        <x:v>0</x:v>
      </x:c>
      <x:c r="T150" s="267">
        <x:v>0</x:v>
      </x:c>
      <x:c r="U150" s="267">
        <x:v>0</x:v>
      </x:c>
      <x:c r="V150" s="267">
        <x:v>0</x:v>
      </x:c>
      <x:c r="W150" s="267">
        <x:v>0</x:v>
      </x:c>
      <x:c r="X150" s="267">
        <x:v>0</x:v>
      </x:c>
      <x:c r="Y150" s="269">
        <x:f t="shared" si="5"/>
        <x:v>0</x:v>
      </x:c>
    </x:row>
    <x:row r="151">
      <x:c r="A151" s="148" t="s">
        <x:v>105</x:v>
      </x:c>
      <x:c r="B151">
        <x:v>5</x:v>
      </x:c>
      <x:c r="C151" s="148" t="s">
        <x:v>116</x:v>
      </x:c>
      <x:c r="D151">
        <x:v>504</x:v>
      </x:c>
      <x:c r="E151" s="267">
        <x:v>0</x:v>
      </x:c>
      <x:c r="F151" s="267">
        <x:v>0</x:v>
      </x:c>
      <x:c r="G151" s="267">
        <x:v>0</x:v>
      </x:c>
      <x:c r="H151" s="267">
        <x:v>0</x:v>
      </x:c>
      <x:c r="I151" s="267">
        <x:v>0</x:v>
      </x:c>
      <x:c r="J151" s="267">
        <x:v>0</x:v>
      </x:c>
      <x:c r="K151" s="267">
        <x:v>0</x:v>
      </x:c>
      <x:c r="L151" s="267">
        <x:v>0</x:v>
      </x:c>
      <x:c r="M151" s="267">
        <x:v>0</x:v>
      </x:c>
      <x:c r="N151" s="267">
        <x:v>0</x:v>
      </x:c>
      <x:c r="O151" s="267">
        <x:v>0</x:v>
      </x:c>
      <x:c r="P151" s="267">
        <x:v>0</x:v>
      </x:c>
      <x:c r="Q151" s="267">
        <x:v>0</x:v>
      </x:c>
      <x:c r="R151" s="267">
        <x:v>0</x:v>
      </x:c>
      <x:c r="S151" s="267">
        <x:v>0</x:v>
      </x:c>
      <x:c r="T151" s="267">
        <x:v>0</x:v>
      </x:c>
      <x:c r="U151" s="267">
        <x:v>0</x:v>
      </x:c>
      <x:c r="V151" s="267">
        <x:v>0</x:v>
      </x:c>
      <x:c r="W151" s="267">
        <x:v>0</x:v>
      </x:c>
      <x:c r="X151" s="267">
        <x:v>0</x:v>
      </x:c>
      <x:c r="Y151" s="269">
        <x:f t="shared" si="5"/>
        <x:v>0</x:v>
      </x:c>
    </x:row>
    <x:row r="152">
      <x:c r="A152" s="148" t="s">
        <x:v>105</x:v>
      </x:c>
      <x:c r="B152">
        <x:v>5</x:v>
      </x:c>
      <x:c r="C152" s="148" t="s">
        <x:v>116</x:v>
      </x:c>
      <x:c r="D152">
        <x:v>505</x:v>
      </x:c>
      <x:c r="E152" s="267">
        <x:v>0</x:v>
      </x:c>
      <x:c r="F152" s="267">
        <x:v>0</x:v>
      </x:c>
      <x:c r="G152" s="267">
        <x:v>0</x:v>
      </x:c>
      <x:c r="H152" s="267">
        <x:v>0</x:v>
      </x:c>
      <x:c r="I152" s="267">
        <x:v>0</x:v>
      </x:c>
      <x:c r="J152" s="267">
        <x:v>0</x:v>
      </x:c>
      <x:c r="K152" s="267">
        <x:v>0</x:v>
      </x:c>
      <x:c r="L152" s="267">
        <x:v>0</x:v>
      </x:c>
      <x:c r="M152" s="267">
        <x:v>0</x:v>
      </x:c>
      <x:c r="N152" s="267">
        <x:v>0</x:v>
      </x:c>
      <x:c r="O152" s="267">
        <x:v>0</x:v>
      </x:c>
      <x:c r="P152" s="267">
        <x:v>0</x:v>
      </x:c>
      <x:c r="Q152" s="267">
        <x:v>0</x:v>
      </x:c>
      <x:c r="R152" s="267">
        <x:v>0</x:v>
      </x:c>
      <x:c r="S152" s="267">
        <x:v>0</x:v>
      </x:c>
      <x:c r="T152" s="267">
        <x:v>0</x:v>
      </x:c>
      <x:c r="U152" s="267">
        <x:v>0</x:v>
      </x:c>
      <x:c r="V152" s="267">
        <x:v>0</x:v>
      </x:c>
      <x:c r="W152" s="267">
        <x:v>0</x:v>
      </x:c>
      <x:c r="X152" s="267">
        <x:v>0</x:v>
      </x:c>
      <x:c r="Y152" s="269">
        <x:f t="shared" si="5"/>
        <x:v>0</x:v>
      </x:c>
    </x:row>
    <x:row r="153">
      <x:c r="A153" s="148" t="s">
        <x:v>105</x:v>
      </x:c>
      <x:c r="B153">
        <x:v>5</x:v>
      </x:c>
      <x:c r="C153" s="148" t="s">
        <x:v>116</x:v>
      </x:c>
      <x:c r="D153">
        <x:v>506</x:v>
      </x:c>
      <x:c r="E153" s="267">
        <x:v>0</x:v>
      </x:c>
      <x:c r="F153" s="267">
        <x:v>0</x:v>
      </x:c>
      <x:c r="G153" s="267">
        <x:v>0</x:v>
      </x:c>
      <x:c r="H153" s="267">
        <x:v>0</x:v>
      </x:c>
      <x:c r="I153" s="267">
        <x:v>0</x:v>
      </x:c>
      <x:c r="J153" s="267">
        <x:v>0</x:v>
      </x:c>
      <x:c r="K153" s="267">
        <x:v>0</x:v>
      </x:c>
      <x:c r="L153" s="267">
        <x:v>0</x:v>
      </x:c>
      <x:c r="M153" s="267">
        <x:v>0</x:v>
      </x:c>
      <x:c r="N153" s="267">
        <x:v>0</x:v>
      </x:c>
      <x:c r="O153" s="267">
        <x:v>0</x:v>
      </x:c>
      <x:c r="P153" s="267">
        <x:v>0</x:v>
      </x:c>
      <x:c r="Q153" s="267">
        <x:v>0</x:v>
      </x:c>
      <x:c r="R153" s="267">
        <x:v>0</x:v>
      </x:c>
      <x:c r="S153" s="267">
        <x:v>0</x:v>
      </x:c>
      <x:c r="T153" s="267">
        <x:v>0</x:v>
      </x:c>
      <x:c r="U153" s="267">
        <x:v>0</x:v>
      </x:c>
      <x:c r="V153" s="267">
        <x:v>0</x:v>
      </x:c>
      <x:c r="W153" s="267">
        <x:v>0</x:v>
      </x:c>
      <x:c r="X153" s="267">
        <x:v>0</x:v>
      </x:c>
      <x:c r="Y153" s="269">
        <x:f t="shared" si="5"/>
        <x:v>0</x:v>
      </x:c>
    </x:row>
    <x:row r="154">
      <x:c r="A154" s="148" t="s">
        <x:v>105</x:v>
      </x:c>
      <x:c r="B154">
        <x:v>5</x:v>
      </x:c>
      <x:c r="C154" s="148" t="s">
        <x:v>116</x:v>
      </x:c>
      <x:c r="D154">
        <x:v>507</x:v>
      </x:c>
      <x:c r="E154" s="267">
        <x:v>0</x:v>
      </x:c>
      <x:c r="F154" s="267">
        <x:v>0</x:v>
      </x:c>
      <x:c r="G154" s="267">
        <x:v>0</x:v>
      </x:c>
      <x:c r="H154" s="267">
        <x:v>0</x:v>
      </x:c>
      <x:c r="I154" s="267">
        <x:v>0</x:v>
      </x:c>
      <x:c r="J154" s="267">
        <x:v>0</x:v>
      </x:c>
      <x:c r="K154" s="267">
        <x:v>0</x:v>
      </x:c>
      <x:c r="L154" s="267">
        <x:v>0</x:v>
      </x:c>
      <x:c r="M154" s="267">
        <x:v>0</x:v>
      </x:c>
      <x:c r="N154" s="267">
        <x:v>0</x:v>
      </x:c>
      <x:c r="O154" s="267">
        <x:v>0</x:v>
      </x:c>
      <x:c r="P154" s="267">
        <x:v>0</x:v>
      </x:c>
      <x:c r="Q154" s="267">
        <x:v>0</x:v>
      </x:c>
      <x:c r="R154" s="267">
        <x:v>0</x:v>
      </x:c>
      <x:c r="S154" s="267">
        <x:v>0</x:v>
      </x:c>
      <x:c r="T154" s="267">
        <x:v>0</x:v>
      </x:c>
      <x:c r="U154" s="267">
        <x:v>0</x:v>
      </x:c>
      <x:c r="V154" s="267">
        <x:v>0</x:v>
      </x:c>
      <x:c r="W154" s="267">
        <x:v>0</x:v>
      </x:c>
      <x:c r="X154" s="267">
        <x:v>0</x:v>
      </x:c>
      <x:c r="Y154" s="269">
        <x:f t="shared" si="5"/>
        <x:v>0</x:v>
      </x:c>
    </x:row>
    <x:row r="155">
      <x:c r="A155" s="148" t="s">
        <x:v>105</x:v>
      </x:c>
      <x:c r="B155">
        <x:v>5</x:v>
      </x:c>
      <x:c r="C155" s="148" t="s">
        <x:v>116</x:v>
      </x:c>
      <x:c r="D155">
        <x:v>508</x:v>
      </x:c>
      <x:c r="E155" s="267">
        <x:v>0</x:v>
      </x:c>
      <x:c r="F155" s="267">
        <x:v>0</x:v>
      </x:c>
      <x:c r="G155" s="267">
        <x:v>0</x:v>
      </x:c>
      <x:c r="H155" s="267">
        <x:v>0</x:v>
      </x:c>
      <x:c r="I155" s="267">
        <x:v>0</x:v>
      </x:c>
      <x:c r="J155" s="267">
        <x:v>0</x:v>
      </x:c>
      <x:c r="K155" s="267">
        <x:v>0</x:v>
      </x:c>
      <x:c r="L155" s="267">
        <x:v>0</x:v>
      </x:c>
      <x:c r="M155" s="267">
        <x:v>0</x:v>
      </x:c>
      <x:c r="N155" s="267">
        <x:v>0</x:v>
      </x:c>
      <x:c r="O155" s="267">
        <x:v>0</x:v>
      </x:c>
      <x:c r="P155" s="267">
        <x:v>0</x:v>
      </x:c>
      <x:c r="Q155" s="267">
        <x:v>0</x:v>
      </x:c>
      <x:c r="R155" s="267">
        <x:v>0</x:v>
      </x:c>
      <x:c r="S155" s="267">
        <x:v>0</x:v>
      </x:c>
      <x:c r="T155" s="267">
        <x:v>0</x:v>
      </x:c>
      <x:c r="U155" s="267">
        <x:v>0</x:v>
      </x:c>
      <x:c r="V155" s="267">
        <x:v>0</x:v>
      </x:c>
      <x:c r="W155" s="267">
        <x:v>0</x:v>
      </x:c>
      <x:c r="X155" s="267">
        <x:v>0</x:v>
      </x:c>
      <x:c r="Y155" s="269">
        <x:f t="shared" si="5"/>
        <x:v>0</x:v>
      </x:c>
    </x:row>
    <x:row r="156">
      <x:c r="A156" s="148" t="s">
        <x:v>105</x:v>
      </x:c>
      <x:c r="B156">
        <x:v>5</x:v>
      </x:c>
      <x:c r="C156" s="148" t="s">
        <x:v>116</x:v>
      </x:c>
      <x:c r="D156">
        <x:v>509</x:v>
      </x:c>
      <x:c r="E156" s="267">
        <x:v>0</x:v>
      </x:c>
      <x:c r="F156" s="267">
        <x:v>0</x:v>
      </x:c>
      <x:c r="G156" s="267">
        <x:v>0</x:v>
      </x:c>
      <x:c r="H156" s="267">
        <x:v>0</x:v>
      </x:c>
      <x:c r="I156" s="267">
        <x:v>0</x:v>
      </x:c>
      <x:c r="J156" s="267">
        <x:v>0</x:v>
      </x:c>
      <x:c r="K156" s="267">
        <x:v>0</x:v>
      </x:c>
      <x:c r="L156" s="267">
        <x:v>0</x:v>
      </x:c>
      <x:c r="M156" s="267">
        <x:v>0</x:v>
      </x:c>
      <x:c r="N156" s="267">
        <x:v>0</x:v>
      </x:c>
      <x:c r="O156" s="267">
        <x:v>0</x:v>
      </x:c>
      <x:c r="P156" s="267">
        <x:v>0</x:v>
      </x:c>
      <x:c r="Q156" s="267">
        <x:v>0</x:v>
      </x:c>
      <x:c r="R156" s="267">
        <x:v>0</x:v>
      </x:c>
      <x:c r="S156" s="267">
        <x:v>0</x:v>
      </x:c>
      <x:c r="T156" s="267">
        <x:v>0</x:v>
      </x:c>
      <x:c r="U156" s="267">
        <x:v>0</x:v>
      </x:c>
      <x:c r="V156" s="267">
        <x:v>0</x:v>
      </x:c>
      <x:c r="W156" s="267">
        <x:v>0</x:v>
      </x:c>
      <x:c r="X156" s="267">
        <x:v>0</x:v>
      </x:c>
      <x:c r="Y156" s="269">
        <x:f t="shared" si="5"/>
        <x:v>0</x:v>
      </x:c>
    </x:row>
    <x:row r="157">
      <x:c r="A157" s="148" t="s">
        <x:v>105</x:v>
      </x:c>
      <x:c r="B157">
        <x:v>5</x:v>
      </x:c>
      <x:c r="C157" s="148" t="s">
        <x:v>116</x:v>
      </x:c>
      <x:c r="D157">
        <x:v>510</x:v>
      </x:c>
      <x:c r="E157" s="267">
        <x:v>0</x:v>
      </x:c>
      <x:c r="F157" s="267">
        <x:v>0</x:v>
      </x:c>
      <x:c r="G157" s="267">
        <x:v>0</x:v>
      </x:c>
      <x:c r="H157" s="267">
        <x:v>0</x:v>
      </x:c>
      <x:c r="I157" s="267">
        <x:v>0</x:v>
      </x:c>
      <x:c r="J157" s="267">
        <x:v>0</x:v>
      </x:c>
      <x:c r="K157" s="267">
        <x:v>0</x:v>
      </x:c>
      <x:c r="L157" s="267">
        <x:v>0</x:v>
      </x:c>
      <x:c r="M157" s="267">
        <x:v>0</x:v>
      </x:c>
      <x:c r="N157" s="267">
        <x:v>0</x:v>
      </x:c>
      <x:c r="O157" s="267">
        <x:v>0</x:v>
      </x:c>
      <x:c r="P157" s="267">
        <x:v>0</x:v>
      </x:c>
      <x:c r="Q157" s="267">
        <x:v>0</x:v>
      </x:c>
      <x:c r="R157" s="267">
        <x:v>0</x:v>
      </x:c>
      <x:c r="S157" s="267">
        <x:v>0</x:v>
      </x:c>
      <x:c r="T157" s="267">
        <x:v>0</x:v>
      </x:c>
      <x:c r="U157" s="267">
        <x:v>0</x:v>
      </x:c>
      <x:c r="V157" s="267">
        <x:v>0</x:v>
      </x:c>
      <x:c r="W157" s="267">
        <x:v>0</x:v>
      </x:c>
      <x:c r="X157" s="267">
        <x:v>0</x:v>
      </x:c>
      <x:c r="Y157" s="269">
        <x:f t="shared" si="5"/>
        <x:v>0</x:v>
      </x:c>
    </x:row>
    <x:row r="158">
      <x:c r="A158" s="148" t="s">
        <x:v>105</x:v>
      </x:c>
      <x:c r="B158">
        <x:v>5</x:v>
      </x:c>
      <x:c r="C158" s="148" t="s">
        <x:v>116</x:v>
      </x:c>
      <x:c r="D158">
        <x:v>511</x:v>
      </x:c>
      <x:c r="E158" s="267">
        <x:v>0</x:v>
      </x:c>
      <x:c r="F158" s="267">
        <x:v>0</x:v>
      </x:c>
      <x:c r="G158" s="267">
        <x:v>0</x:v>
      </x:c>
      <x:c r="H158" s="267">
        <x:v>0</x:v>
      </x:c>
      <x:c r="I158" s="267">
        <x:v>0</x:v>
      </x:c>
      <x:c r="J158" s="267">
        <x:v>0</x:v>
      </x:c>
      <x:c r="K158" s="267">
        <x:v>0</x:v>
      </x:c>
      <x:c r="L158" s="267">
        <x:v>0</x:v>
      </x:c>
      <x:c r="M158" s="267">
        <x:v>0</x:v>
      </x:c>
      <x:c r="N158" s="267">
        <x:v>0</x:v>
      </x:c>
      <x:c r="O158" s="267">
        <x:v>0</x:v>
      </x:c>
      <x:c r="P158" s="267">
        <x:v>0</x:v>
      </x:c>
      <x:c r="Q158" s="267">
        <x:v>0</x:v>
      </x:c>
      <x:c r="R158" s="267">
        <x:v>0</x:v>
      </x:c>
      <x:c r="S158" s="267">
        <x:v>0</x:v>
      </x:c>
      <x:c r="T158" s="267">
        <x:v>0</x:v>
      </x:c>
      <x:c r="U158" s="267">
        <x:v>0</x:v>
      </x:c>
      <x:c r="V158" s="267">
        <x:v>0</x:v>
      </x:c>
      <x:c r="W158" s="267">
        <x:v>0</x:v>
      </x:c>
      <x:c r="X158" s="267">
        <x:v>0</x:v>
      </x:c>
      <x:c r="Y158" s="269">
        <x:f t="shared" si="5"/>
        <x:v>0</x:v>
      </x:c>
    </x:row>
    <x:row r="159">
      <x:c r="A159" s="148" t="s">
        <x:v>105</x:v>
      </x:c>
      <x:c r="B159">
        <x:v>5</x:v>
      </x:c>
      <x:c r="C159" s="148" t="s">
        <x:v>116</x:v>
      </x:c>
      <x:c r="D159">
        <x:v>512</x:v>
      </x:c>
      <x:c r="E159" s="267">
        <x:v>0</x:v>
      </x:c>
      <x:c r="F159" s="267">
        <x:v>0</x:v>
      </x:c>
      <x:c r="G159" s="267">
        <x:v>0</x:v>
      </x:c>
      <x:c r="H159" s="267">
        <x:v>0</x:v>
      </x:c>
      <x:c r="I159" s="267">
        <x:v>0</x:v>
      </x:c>
      <x:c r="J159" s="267">
        <x:v>0</x:v>
      </x:c>
      <x:c r="K159" s="267">
        <x:v>0</x:v>
      </x:c>
      <x:c r="L159" s="267">
        <x:v>0</x:v>
      </x:c>
      <x:c r="M159" s="267">
        <x:v>0</x:v>
      </x:c>
      <x:c r="N159" s="267">
        <x:v>0</x:v>
      </x:c>
      <x:c r="O159" s="267">
        <x:v>0</x:v>
      </x:c>
      <x:c r="P159" s="267">
        <x:v>0</x:v>
      </x:c>
      <x:c r="Q159" s="267">
        <x:v>0</x:v>
      </x:c>
      <x:c r="R159" s="267">
        <x:v>0</x:v>
      </x:c>
      <x:c r="S159" s="267">
        <x:v>0</x:v>
      </x:c>
      <x:c r="T159" s="267">
        <x:v>0</x:v>
      </x:c>
      <x:c r="U159" s="267">
        <x:v>0</x:v>
      </x:c>
      <x:c r="V159" s="267">
        <x:v>0</x:v>
      </x:c>
      <x:c r="W159" s="267">
        <x:v>0</x:v>
      </x:c>
      <x:c r="X159" s="267">
        <x:v>0</x:v>
      </x:c>
      <x:c r="Y159" s="269">
        <x:f t="shared" si="5"/>
        <x:v>0</x:v>
      </x:c>
    </x:row>
    <x:row r="160">
      <x:c r="A160" s="148" t="s">
        <x:v>105</x:v>
      </x:c>
      <x:c r="B160">
        <x:v>5</x:v>
      </x:c>
      <x:c r="C160" s="148" t="s">
        <x:v>116</x:v>
      </x:c>
      <x:c r="D160">
        <x:v>513</x:v>
      </x:c>
      <x:c r="E160" s="267">
        <x:v>0</x:v>
      </x:c>
      <x:c r="F160" s="267">
        <x:v>0</x:v>
      </x:c>
      <x:c r="G160" s="267">
        <x:v>0</x:v>
      </x:c>
      <x:c r="H160" s="267">
        <x:v>0</x:v>
      </x:c>
      <x:c r="I160" s="267">
        <x:v>0</x:v>
      </x:c>
      <x:c r="J160" s="267">
        <x:v>0</x:v>
      </x:c>
      <x:c r="K160" s="267">
        <x:v>0</x:v>
      </x:c>
      <x:c r="L160" s="267">
        <x:v>0</x:v>
      </x:c>
      <x:c r="M160" s="267">
        <x:v>0</x:v>
      </x:c>
      <x:c r="N160" s="267">
        <x:v>0</x:v>
      </x:c>
      <x:c r="O160" s="267">
        <x:v>0</x:v>
      </x:c>
      <x:c r="P160" s="267">
        <x:v>0</x:v>
      </x:c>
      <x:c r="Q160" s="267">
        <x:v>0</x:v>
      </x:c>
      <x:c r="R160" s="267">
        <x:v>0</x:v>
      </x:c>
      <x:c r="S160" s="267">
        <x:v>0</x:v>
      </x:c>
      <x:c r="T160" s="267">
        <x:v>0</x:v>
      </x:c>
      <x:c r="U160" s="267">
        <x:v>0</x:v>
      </x:c>
      <x:c r="V160" s="267">
        <x:v>0</x:v>
      </x:c>
      <x:c r="W160" s="267">
        <x:v>0</x:v>
      </x:c>
      <x:c r="X160" s="267">
        <x:v>0</x:v>
      </x:c>
      <x:c r="Y160" s="269">
        <x:f t="shared" si="5"/>
        <x:v>0</x:v>
      </x:c>
    </x:row>
    <x:row r="161">
      <x:c r="A161" s="148" t="s">
        <x:v>105</x:v>
      </x:c>
      <x:c r="B161">
        <x:v>5</x:v>
      </x:c>
      <x:c r="C161" s="148" t="s">
        <x:v>116</x:v>
      </x:c>
      <x:c r="D161">
        <x:v>514</x:v>
      </x:c>
      <x:c r="E161" s="267">
        <x:v>0</x:v>
      </x:c>
      <x:c r="F161" s="267">
        <x:v>0</x:v>
      </x:c>
      <x:c r="G161" s="267">
        <x:v>0</x:v>
      </x:c>
      <x:c r="H161" s="267">
        <x:v>0</x:v>
      </x:c>
      <x:c r="I161" s="267">
        <x:v>0</x:v>
      </x:c>
      <x:c r="J161" s="267">
        <x:v>0</x:v>
      </x:c>
      <x:c r="K161" s="267">
        <x:v>0</x:v>
      </x:c>
      <x:c r="L161" s="267">
        <x:v>0</x:v>
      </x:c>
      <x:c r="M161" s="267">
        <x:v>0</x:v>
      </x:c>
      <x:c r="N161" s="267">
        <x:v>0</x:v>
      </x:c>
      <x:c r="O161" s="267">
        <x:v>0</x:v>
      </x:c>
      <x:c r="P161" s="267">
        <x:v>0</x:v>
      </x:c>
      <x:c r="Q161" s="267">
        <x:v>0</x:v>
      </x:c>
      <x:c r="R161" s="267">
        <x:v>0</x:v>
      </x:c>
      <x:c r="S161" s="267">
        <x:v>0</x:v>
      </x:c>
      <x:c r="T161" s="267">
        <x:v>0</x:v>
      </x:c>
      <x:c r="U161" s="267">
        <x:v>0</x:v>
      </x:c>
      <x:c r="V161" s="267">
        <x:v>0</x:v>
      </x:c>
      <x:c r="W161" s="267">
        <x:v>0</x:v>
      </x:c>
      <x:c r="X161" s="267">
        <x:v>0</x:v>
      </x:c>
      <x:c r="Y161" s="269">
        <x:f t="shared" si="5"/>
        <x:v>0</x:v>
      </x:c>
    </x:row>
    <x:row r="162">
      <x:c r="A162" s="148" t="s">
        <x:v>105</x:v>
      </x:c>
      <x:c r="B162">
        <x:v>5</x:v>
      </x:c>
      <x:c r="C162" s="148" t="s">
        <x:v>116</x:v>
      </x:c>
      <x:c r="D162">
        <x:v>515</x:v>
      </x:c>
      <x:c r="E162" s="267">
        <x:v>0</x:v>
      </x:c>
      <x:c r="F162" s="267">
        <x:v>0</x:v>
      </x:c>
      <x:c r="G162" s="267">
        <x:v>0</x:v>
      </x:c>
      <x:c r="H162" s="267">
        <x:v>0</x:v>
      </x:c>
      <x:c r="I162" s="267">
        <x:v>0</x:v>
      </x:c>
      <x:c r="J162" s="267">
        <x:v>0</x:v>
      </x:c>
      <x:c r="K162" s="267">
        <x:v>0</x:v>
      </x:c>
      <x:c r="L162" s="267">
        <x:v>0</x:v>
      </x:c>
      <x:c r="M162" s="267">
        <x:v>0</x:v>
      </x:c>
      <x:c r="N162" s="267">
        <x:v>0</x:v>
      </x:c>
      <x:c r="O162" s="267">
        <x:v>0</x:v>
      </x:c>
      <x:c r="P162" s="267">
        <x:v>0</x:v>
      </x:c>
      <x:c r="Q162" s="267">
        <x:v>0</x:v>
      </x:c>
      <x:c r="R162" s="267">
        <x:v>0</x:v>
      </x:c>
      <x:c r="S162" s="267">
        <x:v>0</x:v>
      </x:c>
      <x:c r="T162" s="267">
        <x:v>0</x:v>
      </x:c>
      <x:c r="U162" s="267">
        <x:v>0</x:v>
      </x:c>
      <x:c r="V162" s="267">
        <x:v>0</x:v>
      </x:c>
      <x:c r="W162" s="267">
        <x:v>0</x:v>
      </x:c>
      <x:c r="X162" s="267">
        <x:v>0</x:v>
      </x:c>
      <x:c r="Y162" s="269">
        <x:f t="shared" si="5"/>
        <x:v>0</x:v>
      </x:c>
    </x:row>
    <x:row r="163">
      <x:c r="A163" s="148" t="s">
        <x:v>105</x:v>
      </x:c>
      <x:c r="B163">
        <x:v>5</x:v>
      </x:c>
      <x:c r="C163" s="148" t="s">
        <x:v>116</x:v>
      </x:c>
      <x:c r="D163">
        <x:v>516</x:v>
      </x:c>
      <x:c r="E163" s="267">
        <x:v>0</x:v>
      </x:c>
      <x:c r="F163" s="267">
        <x:v>0</x:v>
      </x:c>
      <x:c r="G163" s="267">
        <x:v>0</x:v>
      </x:c>
      <x:c r="H163" s="267">
        <x:v>0</x:v>
      </x:c>
      <x:c r="I163" s="267">
        <x:v>0</x:v>
      </x:c>
      <x:c r="J163" s="267">
        <x:v>0</x:v>
      </x:c>
      <x:c r="K163" s="267">
        <x:v>0</x:v>
      </x:c>
      <x:c r="L163" s="267">
        <x:v>0</x:v>
      </x:c>
      <x:c r="M163" s="267">
        <x:v>0</x:v>
      </x:c>
      <x:c r="N163" s="267">
        <x:v>0</x:v>
      </x:c>
      <x:c r="O163" s="267">
        <x:v>0</x:v>
      </x:c>
      <x:c r="P163" s="267">
        <x:v>0</x:v>
      </x:c>
      <x:c r="Q163" s="267">
        <x:v>0</x:v>
      </x:c>
      <x:c r="R163" s="267">
        <x:v>0</x:v>
      </x:c>
      <x:c r="S163" s="267">
        <x:v>0</x:v>
      </x:c>
      <x:c r="T163" s="267">
        <x:v>0</x:v>
      </x:c>
      <x:c r="U163" s="267">
        <x:v>0</x:v>
      </x:c>
      <x:c r="V163" s="267">
        <x:v>0</x:v>
      </x:c>
      <x:c r="W163" s="267">
        <x:v>0</x:v>
      </x:c>
      <x:c r="X163" s="267">
        <x:v>0</x:v>
      </x:c>
      <x:c r="Y163" s="269">
        <x:f t="shared" si="5"/>
        <x:v>0</x:v>
      </x:c>
    </x:row>
    <x:row r="164">
      <x:c r="A164" s="148" t="s">
        <x:v>105</x:v>
      </x:c>
      <x:c r="B164">
        <x:v>5</x:v>
      </x:c>
      <x:c r="C164" s="148" t="s">
        <x:v>116</x:v>
      </x:c>
      <x:c r="D164">
        <x:v>517</x:v>
      </x:c>
      <x:c r="E164" s="267">
        <x:v>0</x:v>
      </x:c>
      <x:c r="F164" s="267">
        <x:v>0</x:v>
      </x:c>
      <x:c r="G164" s="267">
        <x:v>0</x:v>
      </x:c>
      <x:c r="H164" s="267">
        <x:v>0</x:v>
      </x:c>
      <x:c r="I164" s="267">
        <x:v>0</x:v>
      </x:c>
      <x:c r="J164" s="267">
        <x:v>0</x:v>
      </x:c>
      <x:c r="K164" s="267">
        <x:v>0</x:v>
      </x:c>
      <x:c r="L164" s="267">
        <x:v>0</x:v>
      </x:c>
      <x:c r="M164" s="267">
        <x:v>0</x:v>
      </x:c>
      <x:c r="N164" s="267">
        <x:v>0</x:v>
      </x:c>
      <x:c r="O164" s="267">
        <x:v>0</x:v>
      </x:c>
      <x:c r="P164" s="267">
        <x:v>0</x:v>
      </x:c>
      <x:c r="Q164" s="267">
        <x:v>0</x:v>
      </x:c>
      <x:c r="R164" s="267">
        <x:v>0</x:v>
      </x:c>
      <x:c r="S164" s="267">
        <x:v>0</x:v>
      </x:c>
      <x:c r="T164" s="267">
        <x:v>0</x:v>
      </x:c>
      <x:c r="U164" s="267">
        <x:v>0</x:v>
      </x:c>
      <x:c r="V164" s="267">
        <x:v>0</x:v>
      </x:c>
      <x:c r="W164" s="267">
        <x:v>0</x:v>
      </x:c>
      <x:c r="X164" s="267">
        <x:v>0</x:v>
      </x:c>
      <x:c r="Y164" s="269">
        <x:f t="shared" si="5"/>
        <x:v>0</x:v>
      </x:c>
    </x:row>
    <x:row r="165">
      <x:c r="A165" s="148" t="s">
        <x:v>105</x:v>
      </x:c>
      <x:c r="B165">
        <x:v>5</x:v>
      </x:c>
      <x:c r="C165" s="148" t="s">
        <x:v>116</x:v>
      </x:c>
      <x:c r="D165">
        <x:v>518</x:v>
      </x:c>
      <x:c r="E165" s="267">
        <x:v>0</x:v>
      </x:c>
      <x:c r="F165" s="267">
        <x:v>0</x:v>
      </x:c>
      <x:c r="G165" s="267">
        <x:v>0</x:v>
      </x:c>
      <x:c r="H165" s="267">
        <x:v>0</x:v>
      </x:c>
      <x:c r="I165" s="267">
        <x:v>0</x:v>
      </x:c>
      <x:c r="J165" s="267">
        <x:v>0</x:v>
      </x:c>
      <x:c r="K165" s="267">
        <x:v>0</x:v>
      </x:c>
      <x:c r="L165" s="267">
        <x:v>0</x:v>
      </x:c>
      <x:c r="M165" s="267">
        <x:v>0</x:v>
      </x:c>
      <x:c r="N165" s="267">
        <x:v>0</x:v>
      </x:c>
      <x:c r="O165" s="267">
        <x:v>0</x:v>
      </x:c>
      <x:c r="P165" s="267">
        <x:v>0</x:v>
      </x:c>
      <x:c r="Q165" s="267">
        <x:v>0</x:v>
      </x:c>
      <x:c r="R165" s="267">
        <x:v>0</x:v>
      </x:c>
      <x:c r="S165" s="267">
        <x:v>0</x:v>
      </x:c>
      <x:c r="T165" s="267">
        <x:v>0</x:v>
      </x:c>
      <x:c r="U165" s="267">
        <x:v>0</x:v>
      </x:c>
      <x:c r="V165" s="267">
        <x:v>0</x:v>
      </x:c>
      <x:c r="W165" s="267">
        <x:v>0</x:v>
      </x:c>
      <x:c r="X165" s="267">
        <x:v>0</x:v>
      </x:c>
      <x:c r="Y165" s="269">
        <x:f t="shared" si="5"/>
        <x:v>0</x:v>
      </x:c>
    </x:row>
    <x:row r="166">
      <x:c r="A166" s="148" t="s">
        <x:v>105</x:v>
      </x:c>
      <x:c r="B166">
        <x:v>5</x:v>
      </x:c>
      <x:c r="C166" s="148" t="s">
        <x:v>116</x:v>
      </x:c>
      <x:c r="D166">
        <x:v>519</x:v>
      </x:c>
      <x:c r="E166" s="267">
        <x:v>0</x:v>
      </x:c>
      <x:c r="F166" s="267">
        <x:v>0</x:v>
      </x:c>
      <x:c r="G166" s="267">
        <x:v>0</x:v>
      </x:c>
      <x:c r="H166" s="267">
        <x:v>0</x:v>
      </x:c>
      <x:c r="I166" s="267">
        <x:v>0</x:v>
      </x:c>
      <x:c r="J166" s="267">
        <x:v>0</x:v>
      </x:c>
      <x:c r="K166" s="267">
        <x:v>0</x:v>
      </x:c>
      <x:c r="L166" s="267">
        <x:v>0</x:v>
      </x:c>
      <x:c r="M166" s="267">
        <x:v>0</x:v>
      </x:c>
      <x:c r="N166" s="267">
        <x:v>0</x:v>
      </x:c>
      <x:c r="O166" s="267">
        <x:v>0</x:v>
      </x:c>
      <x:c r="P166" s="267">
        <x:v>0</x:v>
      </x:c>
      <x:c r="Q166" s="267">
        <x:v>0</x:v>
      </x:c>
      <x:c r="R166" s="267">
        <x:v>0</x:v>
      </x:c>
      <x:c r="S166" s="267">
        <x:v>0</x:v>
      </x:c>
      <x:c r="T166" s="267">
        <x:v>0</x:v>
      </x:c>
      <x:c r="U166" s="267">
        <x:v>0</x:v>
      </x:c>
      <x:c r="V166" s="267">
        <x:v>0</x:v>
      </x:c>
      <x:c r="W166" s="267">
        <x:v>0</x:v>
      </x:c>
      <x:c r="X166" s="267">
        <x:v>0</x:v>
      </x:c>
      <x:c r="Y166" s="269">
        <x:f t="shared" si="5"/>
        <x:v>0</x:v>
      </x:c>
    </x:row>
    <x:row r="167">
      <x:c r="A167" s="148" t="s">
        <x:v>105</x:v>
      </x:c>
      <x:c r="B167">
        <x:v>5</x:v>
      </x:c>
      <x:c r="C167" s="148" t="s">
        <x:v>116</x:v>
      </x:c>
      <x:c r="D167">
        <x:v>520</x:v>
      </x:c>
      <x:c r="E167" s="267">
        <x:v>0</x:v>
      </x:c>
      <x:c r="F167" s="267">
        <x:v>0</x:v>
      </x:c>
      <x:c r="G167" s="267">
        <x:v>0</x:v>
      </x:c>
      <x:c r="H167" s="267">
        <x:v>0</x:v>
      </x:c>
      <x:c r="I167" s="267">
        <x:v>0</x:v>
      </x:c>
      <x:c r="J167" s="267">
        <x:v>0</x:v>
      </x:c>
      <x:c r="K167" s="267">
        <x:v>0</x:v>
      </x:c>
      <x:c r="L167" s="267">
        <x:v>0</x:v>
      </x:c>
      <x:c r="M167" s="267">
        <x:v>0</x:v>
      </x:c>
      <x:c r="N167" s="267">
        <x:v>0</x:v>
      </x:c>
      <x:c r="O167" s="267">
        <x:v>0</x:v>
      </x:c>
      <x:c r="P167" s="267">
        <x:v>0</x:v>
      </x:c>
      <x:c r="Q167" s="267">
        <x:v>0</x:v>
      </x:c>
      <x:c r="R167" s="267">
        <x:v>0</x:v>
      </x:c>
      <x:c r="S167" s="267">
        <x:v>0</x:v>
      </x:c>
      <x:c r="T167" s="267">
        <x:v>0</x:v>
      </x:c>
      <x:c r="U167" s="267">
        <x:v>0</x:v>
      </x:c>
      <x:c r="V167" s="267">
        <x:v>0</x:v>
      </x:c>
      <x:c r="W167" s="267">
        <x:v>0</x:v>
      </x:c>
      <x:c r="X167" s="267">
        <x:v>0</x:v>
      </x:c>
      <x:c r="Y167" s="269">
        <x:f t="shared" si="5"/>
        <x:v>0</x:v>
      </x:c>
    </x:row>
    <x:row r="168">
      <x:c r="A168" s="148" t="s">
        <x:v>105</x:v>
      </x:c>
      <x:c r="B168">
        <x:v>5</x:v>
      </x:c>
      <x:c r="C168" s="148" t="s">
        <x:v>116</x:v>
      </x:c>
      <x:c r="D168">
        <x:v>521</x:v>
      </x:c>
      <x:c r="E168" s="267">
        <x:v>0</x:v>
      </x:c>
      <x:c r="F168" s="267">
        <x:v>0</x:v>
      </x:c>
      <x:c r="G168" s="267">
        <x:v>0</x:v>
      </x:c>
      <x:c r="H168" s="267">
        <x:v>0</x:v>
      </x:c>
      <x:c r="I168" s="267">
        <x:v>0</x:v>
      </x:c>
      <x:c r="J168" s="267">
        <x:v>0</x:v>
      </x:c>
      <x:c r="K168" s="267">
        <x:v>0</x:v>
      </x:c>
      <x:c r="L168" s="267">
        <x:v>0</x:v>
      </x:c>
      <x:c r="M168" s="267">
        <x:v>0</x:v>
      </x:c>
      <x:c r="N168" s="267">
        <x:v>0</x:v>
      </x:c>
      <x:c r="O168" s="267">
        <x:v>0</x:v>
      </x:c>
      <x:c r="P168" s="267">
        <x:v>0</x:v>
      </x:c>
      <x:c r="Q168" s="267">
        <x:v>0</x:v>
      </x:c>
      <x:c r="R168" s="267">
        <x:v>0</x:v>
      </x:c>
      <x:c r="S168" s="267">
        <x:v>0</x:v>
      </x:c>
      <x:c r="T168" s="267">
        <x:v>0</x:v>
      </x:c>
      <x:c r="U168" s="267">
        <x:v>0</x:v>
      </x:c>
      <x:c r="V168" s="267">
        <x:v>0</x:v>
      </x:c>
      <x:c r="W168" s="267">
        <x:v>0</x:v>
      </x:c>
      <x:c r="X168" s="267">
        <x:v>0</x:v>
      </x:c>
      <x:c r="Y168" s="269">
        <x:f t="shared" si="5"/>
        <x:v>0</x:v>
      </x:c>
    </x:row>
    <x:row r="169">
      <x:c r="A169" s="148" t="s">
        <x:v>105</x:v>
      </x:c>
      <x:c r="B169">
        <x:v>5</x:v>
      </x:c>
      <x:c r="C169" s="148" t="s">
        <x:v>116</x:v>
      </x:c>
      <x:c r="D169">
        <x:v>522</x:v>
      </x:c>
      <x:c r="E169" s="267">
        <x:v>0</x:v>
      </x:c>
      <x:c r="F169" s="267">
        <x:v>0</x:v>
      </x:c>
      <x:c r="G169" s="267">
        <x:v>0</x:v>
      </x:c>
      <x:c r="H169" s="267">
        <x:v>0</x:v>
      </x:c>
      <x:c r="I169" s="267">
        <x:v>0</x:v>
      </x:c>
      <x:c r="J169" s="267">
        <x:v>0</x:v>
      </x:c>
      <x:c r="K169" s="267">
        <x:v>0</x:v>
      </x:c>
      <x:c r="L169" s="267">
        <x:v>0</x:v>
      </x:c>
      <x:c r="M169" s="267">
        <x:v>0</x:v>
      </x:c>
      <x:c r="N169" s="267">
        <x:v>0</x:v>
      </x:c>
      <x:c r="O169" s="267">
        <x:v>0</x:v>
      </x:c>
      <x:c r="P169" s="267">
        <x:v>0</x:v>
      </x:c>
      <x:c r="Q169" s="267">
        <x:v>0</x:v>
      </x:c>
      <x:c r="R169" s="267">
        <x:v>0</x:v>
      </x:c>
      <x:c r="S169" s="267">
        <x:v>0</x:v>
      </x:c>
      <x:c r="T169" s="267">
        <x:v>0</x:v>
      </x:c>
      <x:c r="U169" s="267">
        <x:v>0</x:v>
      </x:c>
      <x:c r="V169" s="267">
        <x:v>0</x:v>
      </x:c>
      <x:c r="W169" s="267">
        <x:v>0</x:v>
      </x:c>
      <x:c r="X169" s="267">
        <x:v>0</x:v>
      </x:c>
      <x:c r="Y169" s="269">
        <x:f t="shared" si="5"/>
        <x:v>0</x:v>
      </x:c>
    </x:row>
    <x:row r="170">
      <x:c r="A170" s="148" t="s">
        <x:v>105</x:v>
      </x:c>
      <x:c r="B170">
        <x:v>5</x:v>
      </x:c>
      <x:c r="C170" s="148" t="s">
        <x:v>116</x:v>
      </x:c>
      <x:c r="D170">
        <x:v>523</x:v>
      </x:c>
      <x:c r="E170" s="267">
        <x:v>0</x:v>
      </x:c>
      <x:c r="F170" s="267">
        <x:v>0</x:v>
      </x:c>
      <x:c r="G170" s="267">
        <x:v>0</x:v>
      </x:c>
      <x:c r="H170" s="267">
        <x:v>0</x:v>
      </x:c>
      <x:c r="I170" s="267">
        <x:v>0</x:v>
      </x:c>
      <x:c r="J170" s="267">
        <x:v>0</x:v>
      </x:c>
      <x:c r="K170" s="267">
        <x:v>0</x:v>
      </x:c>
      <x:c r="L170" s="267">
        <x:v>0</x:v>
      </x:c>
      <x:c r="M170" s="267">
        <x:v>0</x:v>
      </x:c>
      <x:c r="N170" s="267">
        <x:v>0</x:v>
      </x:c>
      <x:c r="O170" s="267">
        <x:v>0</x:v>
      </x:c>
      <x:c r="P170" s="267">
        <x:v>0</x:v>
      </x:c>
      <x:c r="Q170" s="267">
        <x:v>0</x:v>
      </x:c>
      <x:c r="R170" s="267">
        <x:v>0</x:v>
      </x:c>
      <x:c r="S170" s="267">
        <x:v>0</x:v>
      </x:c>
      <x:c r="T170" s="267">
        <x:v>0</x:v>
      </x:c>
      <x:c r="U170" s="267">
        <x:v>0</x:v>
      </x:c>
      <x:c r="V170" s="267">
        <x:v>0</x:v>
      </x:c>
      <x:c r="W170" s="267">
        <x:v>0</x:v>
      </x:c>
      <x:c r="X170" s="267">
        <x:v>0</x:v>
      </x:c>
      <x:c r="Y170" s="269">
        <x:f t="shared" si="5"/>
        <x:v>0</x:v>
      </x:c>
    </x:row>
    <x:row r="171">
      <x:c r="A171" s="148" t="s">
        <x:v>105</x:v>
      </x:c>
      <x:c r="B171">
        <x:v>5</x:v>
      </x:c>
      <x:c r="C171" s="148" t="s">
        <x:v>115</x:v>
      </x:c>
      <x:c r="D171">
        <x:v>501</x:v>
      </x:c>
      <x:c r="E171" s="267">
        <x:v>0</x:v>
      </x:c>
      <x:c r="F171" s="267">
        <x:v>0</x:v>
      </x:c>
      <x:c r="G171" s="267">
        <x:v>0</x:v>
      </x:c>
      <x:c r="H171" s="267">
        <x:v>0</x:v>
      </x:c>
      <x:c r="I171" s="267">
        <x:v>0</x:v>
      </x:c>
      <x:c r="J171" s="267">
        <x:v>0</x:v>
      </x:c>
      <x:c r="K171" s="267">
        <x:v>0</x:v>
      </x:c>
      <x:c r="L171" s="267">
        <x:v>0</x:v>
      </x:c>
      <x:c r="M171" s="267">
        <x:v>0</x:v>
      </x:c>
      <x:c r="N171" s="267">
        <x:v>0</x:v>
      </x:c>
      <x:c r="O171" s="267">
        <x:v>0</x:v>
      </x:c>
      <x:c r="P171" s="267">
        <x:v>0</x:v>
      </x:c>
      <x:c r="Q171" s="267">
        <x:v>0</x:v>
      </x:c>
      <x:c r="R171" s="267">
        <x:v>0</x:v>
      </x:c>
      <x:c r="S171" s="267">
        <x:v>0</x:v>
      </x:c>
      <x:c r="T171" s="267">
        <x:v>0</x:v>
      </x:c>
      <x:c r="U171" s="267">
        <x:v>0</x:v>
      </x:c>
      <x:c r="V171" s="267">
        <x:v>0</x:v>
      </x:c>
      <x:c r="W171" s="267">
        <x:v>0</x:v>
      </x:c>
      <x:c r="X171" s="267">
        <x:v>0</x:v>
      </x:c>
      <x:c r="Y171" s="269">
        <x:f t="shared" si="5"/>
        <x:v>0</x:v>
      </x:c>
    </x:row>
    <x:row r="172">
      <x:c r="A172" s="148" t="s">
        <x:v>105</x:v>
      </x:c>
      <x:c r="B172">
        <x:v>5</x:v>
      </x:c>
      <x:c r="C172" s="148" t="s">
        <x:v>115</x:v>
      </x:c>
      <x:c r="D172">
        <x:v>502</x:v>
      </x:c>
      <x:c r="E172" s="267">
        <x:v>0</x:v>
      </x:c>
      <x:c r="F172" s="267">
        <x:v>0</x:v>
      </x:c>
      <x:c r="G172" s="267">
        <x:v>0</x:v>
      </x:c>
      <x:c r="H172" s="267">
        <x:v>0</x:v>
      </x:c>
      <x:c r="I172" s="267">
        <x:v>0</x:v>
      </x:c>
      <x:c r="J172" s="267">
        <x:v>0</x:v>
      </x:c>
      <x:c r="K172" s="267">
        <x:v>0</x:v>
      </x:c>
      <x:c r="L172" s="267">
        <x:v>0</x:v>
      </x:c>
      <x:c r="M172" s="267">
        <x:v>0</x:v>
      </x:c>
      <x:c r="N172" s="267">
        <x:v>0</x:v>
      </x:c>
      <x:c r="O172" s="267">
        <x:v>0</x:v>
      </x:c>
      <x:c r="P172" s="267">
        <x:v>0</x:v>
      </x:c>
      <x:c r="Q172" s="267">
        <x:v>0</x:v>
      </x:c>
      <x:c r="R172" s="267">
        <x:v>0</x:v>
      </x:c>
      <x:c r="S172" s="267">
        <x:v>0</x:v>
      </x:c>
      <x:c r="T172" s="267">
        <x:v>0</x:v>
      </x:c>
      <x:c r="U172" s="267">
        <x:v>0</x:v>
      </x:c>
      <x:c r="V172" s="267">
        <x:v>0</x:v>
      </x:c>
      <x:c r="W172" s="267">
        <x:v>0</x:v>
      </x:c>
      <x:c r="X172" s="267">
        <x:v>0</x:v>
      </x:c>
      <x:c r="Y172" s="269">
        <x:f t="shared" si="5"/>
        <x:v>0</x:v>
      </x:c>
    </x:row>
    <x:row r="173">
      <x:c r="A173" s="148" t="s">
        <x:v>105</x:v>
      </x:c>
      <x:c r="B173">
        <x:v>5</x:v>
      </x:c>
      <x:c r="C173" s="148" t="s">
        <x:v>115</x:v>
      </x:c>
      <x:c r="D173">
        <x:v>503</x:v>
      </x:c>
      <x:c r="E173" s="267">
        <x:v>0</x:v>
      </x:c>
      <x:c r="F173" s="267">
        <x:v>0</x:v>
      </x:c>
      <x:c r="G173" s="267">
        <x:v>0</x:v>
      </x:c>
      <x:c r="H173" s="267">
        <x:v>0</x:v>
      </x:c>
      <x:c r="I173" s="267">
        <x:v>0</x:v>
      </x:c>
      <x:c r="J173" s="267">
        <x:v>0</x:v>
      </x:c>
      <x:c r="K173" s="267">
        <x:v>0</x:v>
      </x:c>
      <x:c r="L173" s="267">
        <x:v>0</x:v>
      </x:c>
      <x:c r="M173" s="267">
        <x:v>0</x:v>
      </x:c>
      <x:c r="N173" s="267">
        <x:v>0</x:v>
      </x:c>
      <x:c r="O173" s="267">
        <x:v>0</x:v>
      </x:c>
      <x:c r="P173" s="267">
        <x:v>0</x:v>
      </x:c>
      <x:c r="Q173" s="267">
        <x:v>0</x:v>
      </x:c>
      <x:c r="R173" s="267">
        <x:v>0</x:v>
      </x:c>
      <x:c r="S173" s="267">
        <x:v>0</x:v>
      </x:c>
      <x:c r="T173" s="267">
        <x:v>0</x:v>
      </x:c>
      <x:c r="U173" s="267">
        <x:v>0</x:v>
      </x:c>
      <x:c r="V173" s="267">
        <x:v>0</x:v>
      </x:c>
      <x:c r="W173" s="267">
        <x:v>0</x:v>
      </x:c>
      <x:c r="X173" s="267">
        <x:v>0</x:v>
      </x:c>
      <x:c r="Y173" s="269">
        <x:f t="shared" si="5"/>
        <x:v>0</x:v>
      </x:c>
    </x:row>
    <x:row r="174">
      <x:c r="A174" s="148" t="s">
        <x:v>105</x:v>
      </x:c>
      <x:c r="B174">
        <x:v>5</x:v>
      </x:c>
      <x:c r="C174" s="148" t="s">
        <x:v>115</x:v>
      </x:c>
      <x:c r="D174">
        <x:v>504</x:v>
      </x:c>
      <x:c r="E174" s="267">
        <x:v>0</x:v>
      </x:c>
      <x:c r="F174" s="267">
        <x:v>0</x:v>
      </x:c>
      <x:c r="G174" s="267">
        <x:v>0</x:v>
      </x:c>
      <x:c r="H174" s="267">
        <x:v>0</x:v>
      </x:c>
      <x:c r="I174" s="267">
        <x:v>0</x:v>
      </x:c>
      <x:c r="J174" s="267">
        <x:v>0</x:v>
      </x:c>
      <x:c r="K174" s="267">
        <x:v>0</x:v>
      </x:c>
      <x:c r="L174" s="267">
        <x:v>0</x:v>
      </x:c>
      <x:c r="M174" s="267">
        <x:v>0</x:v>
      </x:c>
      <x:c r="N174" s="267">
        <x:v>0</x:v>
      </x:c>
      <x:c r="O174" s="267">
        <x:v>0</x:v>
      </x:c>
      <x:c r="P174" s="267">
        <x:v>0</x:v>
      </x:c>
      <x:c r="Q174" s="267">
        <x:v>0</x:v>
      </x:c>
      <x:c r="R174" s="267">
        <x:v>0</x:v>
      </x:c>
      <x:c r="S174" s="267">
        <x:v>0</x:v>
      </x:c>
      <x:c r="T174" s="267">
        <x:v>0</x:v>
      </x:c>
      <x:c r="U174" s="267">
        <x:v>0</x:v>
      </x:c>
      <x:c r="V174" s="267">
        <x:v>0</x:v>
      </x:c>
      <x:c r="W174" s="267">
        <x:v>0</x:v>
      </x:c>
      <x:c r="X174" s="267">
        <x:v>0</x:v>
      </x:c>
      <x:c r="Y174" s="269">
        <x:f t="shared" si="5"/>
        <x:v>0</x:v>
      </x:c>
    </x:row>
    <x:row r="175">
      <x:c r="A175" s="148" t="s">
        <x:v>105</x:v>
      </x:c>
      <x:c r="B175">
        <x:v>5</x:v>
      </x:c>
      <x:c r="C175" s="148" t="s">
        <x:v>115</x:v>
      </x:c>
      <x:c r="D175">
        <x:v>505</x:v>
      </x:c>
      <x:c r="E175" s="267">
        <x:v>0</x:v>
      </x:c>
      <x:c r="F175" s="267">
        <x:v>0</x:v>
      </x:c>
      <x:c r="G175" s="267">
        <x:v>0</x:v>
      </x:c>
      <x:c r="H175" s="267">
        <x:v>0</x:v>
      </x:c>
      <x:c r="I175" s="267">
        <x:v>0</x:v>
      </x:c>
      <x:c r="J175" s="267">
        <x:v>0</x:v>
      </x:c>
      <x:c r="K175" s="267">
        <x:v>0</x:v>
      </x:c>
      <x:c r="L175" s="267">
        <x:v>0</x:v>
      </x:c>
      <x:c r="M175" s="267">
        <x:v>0</x:v>
      </x:c>
      <x:c r="N175" s="267">
        <x:v>0</x:v>
      </x:c>
      <x:c r="O175" s="267">
        <x:v>0</x:v>
      </x:c>
      <x:c r="P175" s="267">
        <x:v>0</x:v>
      </x:c>
      <x:c r="Q175" s="267">
        <x:v>0</x:v>
      </x:c>
      <x:c r="R175" s="267">
        <x:v>0</x:v>
      </x:c>
      <x:c r="S175" s="267">
        <x:v>0</x:v>
      </x:c>
      <x:c r="T175" s="267">
        <x:v>0</x:v>
      </x:c>
      <x:c r="U175" s="267">
        <x:v>0</x:v>
      </x:c>
      <x:c r="V175" s="267">
        <x:v>0</x:v>
      </x:c>
      <x:c r="W175" s="267">
        <x:v>0</x:v>
      </x:c>
      <x:c r="X175" s="267">
        <x:v>0</x:v>
      </x:c>
      <x:c r="Y175" s="269">
        <x:f t="shared" si="5"/>
        <x:v>0</x:v>
      </x:c>
    </x:row>
    <x:row r="176">
      <x:c r="A176" s="148" t="s">
        <x:v>105</x:v>
      </x:c>
      <x:c r="B176">
        <x:v>5</x:v>
      </x:c>
      <x:c r="C176" s="148" t="s">
        <x:v>115</x:v>
      </x:c>
      <x:c r="D176">
        <x:v>506</x:v>
      </x:c>
      <x:c r="E176" s="267">
        <x:v>0</x:v>
      </x:c>
      <x:c r="F176" s="267">
        <x:v>0</x:v>
      </x:c>
      <x:c r="G176" s="267">
        <x:v>0</x:v>
      </x:c>
      <x:c r="H176" s="267">
        <x:v>0</x:v>
      </x:c>
      <x:c r="I176" s="267">
        <x:v>0</x:v>
      </x:c>
      <x:c r="J176" s="267">
        <x:v>0</x:v>
      </x:c>
      <x:c r="K176" s="267">
        <x:v>0</x:v>
      </x:c>
      <x:c r="L176" s="267">
        <x:v>0</x:v>
      </x:c>
      <x:c r="M176" s="267">
        <x:v>0</x:v>
      </x:c>
      <x:c r="N176" s="267">
        <x:v>0</x:v>
      </x:c>
      <x:c r="O176" s="267">
        <x:v>0</x:v>
      </x:c>
      <x:c r="P176" s="267">
        <x:v>0</x:v>
      </x:c>
      <x:c r="Q176" s="267">
        <x:v>0</x:v>
      </x:c>
      <x:c r="R176" s="267">
        <x:v>0</x:v>
      </x:c>
      <x:c r="S176" s="267">
        <x:v>0</x:v>
      </x:c>
      <x:c r="T176" s="267">
        <x:v>0</x:v>
      </x:c>
      <x:c r="U176" s="267">
        <x:v>0</x:v>
      </x:c>
      <x:c r="V176" s="267">
        <x:v>0</x:v>
      </x:c>
      <x:c r="W176" s="267">
        <x:v>0</x:v>
      </x:c>
      <x:c r="X176" s="267">
        <x:v>0</x:v>
      </x:c>
      <x:c r="Y176" s="269">
        <x:f t="shared" si="5"/>
        <x:v>0</x:v>
      </x:c>
    </x:row>
    <x:row r="177">
      <x:c r="A177" s="148" t="s">
        <x:v>105</x:v>
      </x:c>
      <x:c r="B177">
        <x:v>5</x:v>
      </x:c>
      <x:c r="C177" s="148" t="s">
        <x:v>115</x:v>
      </x:c>
      <x:c r="D177">
        <x:v>507</x:v>
      </x:c>
      <x:c r="E177" s="267">
        <x:v>0</x:v>
      </x:c>
      <x:c r="F177" s="267">
        <x:v>0</x:v>
      </x:c>
      <x:c r="G177" s="267">
        <x:v>0</x:v>
      </x:c>
      <x:c r="H177" s="267">
        <x:v>0</x:v>
      </x:c>
      <x:c r="I177" s="267">
        <x:v>0</x:v>
      </x:c>
      <x:c r="J177" s="267">
        <x:v>0</x:v>
      </x:c>
      <x:c r="K177" s="267">
        <x:v>0</x:v>
      </x:c>
      <x:c r="L177" s="267">
        <x:v>0</x:v>
      </x:c>
      <x:c r="M177" s="267">
        <x:v>0</x:v>
      </x:c>
      <x:c r="N177" s="267">
        <x:v>0</x:v>
      </x:c>
      <x:c r="O177" s="267">
        <x:v>0</x:v>
      </x:c>
      <x:c r="P177" s="267">
        <x:v>0</x:v>
      </x:c>
      <x:c r="Q177" s="267">
        <x:v>0</x:v>
      </x:c>
      <x:c r="R177" s="267">
        <x:v>0</x:v>
      </x:c>
      <x:c r="S177" s="267">
        <x:v>0</x:v>
      </x:c>
      <x:c r="T177" s="267">
        <x:v>0</x:v>
      </x:c>
      <x:c r="U177" s="267">
        <x:v>0</x:v>
      </x:c>
      <x:c r="V177" s="267">
        <x:v>0</x:v>
      </x:c>
      <x:c r="W177" s="267">
        <x:v>0</x:v>
      </x:c>
      <x:c r="X177" s="267">
        <x:v>0</x:v>
      </x:c>
      <x:c r="Y177" s="269">
        <x:f t="shared" si="5"/>
        <x:v>0</x:v>
      </x:c>
    </x:row>
    <x:row r="178">
      <x:c r="A178" s="148" t="s">
        <x:v>105</x:v>
      </x:c>
      <x:c r="B178">
        <x:v>5</x:v>
      </x:c>
      <x:c r="C178" s="148" t="s">
        <x:v>115</x:v>
      </x:c>
      <x:c r="D178">
        <x:v>508</x:v>
      </x:c>
      <x:c r="E178" s="267">
        <x:v>0</x:v>
      </x:c>
      <x:c r="F178" s="267">
        <x:v>0</x:v>
      </x:c>
      <x:c r="G178" s="267">
        <x:v>0</x:v>
      </x:c>
      <x:c r="H178" s="267">
        <x:v>0</x:v>
      </x:c>
      <x:c r="I178" s="267">
        <x:v>0</x:v>
      </x:c>
      <x:c r="J178" s="267">
        <x:v>0</x:v>
      </x:c>
      <x:c r="K178" s="267">
        <x:v>0</x:v>
      </x:c>
      <x:c r="L178" s="267">
        <x:v>0</x:v>
      </x:c>
      <x:c r="M178" s="267">
        <x:v>0</x:v>
      </x:c>
      <x:c r="N178" s="267">
        <x:v>0</x:v>
      </x:c>
      <x:c r="O178" s="267">
        <x:v>0</x:v>
      </x:c>
      <x:c r="P178" s="267">
        <x:v>0</x:v>
      </x:c>
      <x:c r="Q178" s="267">
        <x:v>0</x:v>
      </x:c>
      <x:c r="R178" s="267">
        <x:v>0</x:v>
      </x:c>
      <x:c r="S178" s="267">
        <x:v>0</x:v>
      </x:c>
      <x:c r="T178" s="267">
        <x:v>0</x:v>
      </x:c>
      <x:c r="U178" s="267">
        <x:v>0</x:v>
      </x:c>
      <x:c r="V178" s="267">
        <x:v>0</x:v>
      </x:c>
      <x:c r="W178" s="267">
        <x:v>0</x:v>
      </x:c>
      <x:c r="X178" s="267">
        <x:v>0</x:v>
      </x:c>
      <x:c r="Y178" s="269">
        <x:f t="shared" si="5"/>
        <x:v>0</x:v>
      </x:c>
    </x:row>
    <x:row r="179">
      <x:c r="A179" s="148" t="s">
        <x:v>105</x:v>
      </x:c>
      <x:c r="B179">
        <x:v>5</x:v>
      </x:c>
      <x:c r="C179" s="148" t="s">
        <x:v>115</x:v>
      </x:c>
      <x:c r="D179">
        <x:v>509</x:v>
      </x:c>
      <x:c r="E179" s="267">
        <x:v>0</x:v>
      </x:c>
      <x:c r="F179" s="267">
        <x:v>0</x:v>
      </x:c>
      <x:c r="G179" s="267">
        <x:v>0</x:v>
      </x:c>
      <x:c r="H179" s="267">
        <x:v>0</x:v>
      </x:c>
      <x:c r="I179" s="267">
        <x:v>0</x:v>
      </x:c>
      <x:c r="J179" s="267">
        <x:v>0</x:v>
      </x:c>
      <x:c r="K179" s="267">
        <x:v>0</x:v>
      </x:c>
      <x:c r="L179" s="267">
        <x:v>0</x:v>
      </x:c>
      <x:c r="M179" s="267">
        <x:v>0</x:v>
      </x:c>
      <x:c r="N179" s="267">
        <x:v>0</x:v>
      </x:c>
      <x:c r="O179" s="267">
        <x:v>0</x:v>
      </x:c>
      <x:c r="P179" s="267">
        <x:v>0</x:v>
      </x:c>
      <x:c r="Q179" s="267">
        <x:v>0</x:v>
      </x:c>
      <x:c r="R179" s="267">
        <x:v>0</x:v>
      </x:c>
      <x:c r="S179" s="267">
        <x:v>0</x:v>
      </x:c>
      <x:c r="T179" s="267">
        <x:v>0</x:v>
      </x:c>
      <x:c r="U179" s="267">
        <x:v>0</x:v>
      </x:c>
      <x:c r="V179" s="267">
        <x:v>0</x:v>
      </x:c>
      <x:c r="W179" s="267">
        <x:v>0</x:v>
      </x:c>
      <x:c r="X179" s="267">
        <x:v>0</x:v>
      </x:c>
      <x:c r="Y179" s="269">
        <x:f t="shared" si="5"/>
        <x:v>0</x:v>
      </x:c>
    </x:row>
    <x:row r="180">
      <x:c r="A180" s="148" t="s">
        <x:v>105</x:v>
      </x:c>
      <x:c r="B180">
        <x:v>5</x:v>
      </x:c>
      <x:c r="C180" s="148" t="s">
        <x:v>115</x:v>
      </x:c>
      <x:c r="D180">
        <x:v>510</x:v>
      </x:c>
      <x:c r="E180" s="267">
        <x:v>0</x:v>
      </x:c>
      <x:c r="F180" s="267">
        <x:v>0</x:v>
      </x:c>
      <x:c r="G180" s="267">
        <x:v>0</x:v>
      </x:c>
      <x:c r="H180" s="267">
        <x:v>0</x:v>
      </x:c>
      <x:c r="I180" s="267">
        <x:v>0</x:v>
      </x:c>
      <x:c r="J180" s="267">
        <x:v>0</x:v>
      </x:c>
      <x:c r="K180" s="267">
        <x:v>0</x:v>
      </x:c>
      <x:c r="L180" s="267">
        <x:v>0</x:v>
      </x:c>
      <x:c r="M180" s="267">
        <x:v>0</x:v>
      </x:c>
      <x:c r="N180" s="267">
        <x:v>0</x:v>
      </x:c>
      <x:c r="O180" s="267">
        <x:v>0</x:v>
      </x:c>
      <x:c r="P180" s="267">
        <x:v>0</x:v>
      </x:c>
      <x:c r="Q180" s="267">
        <x:v>0</x:v>
      </x:c>
      <x:c r="R180" s="267">
        <x:v>0</x:v>
      </x:c>
      <x:c r="S180" s="267">
        <x:v>0</x:v>
      </x:c>
      <x:c r="T180" s="267">
        <x:v>0</x:v>
      </x:c>
      <x:c r="U180" s="267">
        <x:v>0</x:v>
      </x:c>
      <x:c r="V180" s="267">
        <x:v>0</x:v>
      </x:c>
      <x:c r="W180" s="267">
        <x:v>0</x:v>
      </x:c>
      <x:c r="X180" s="267">
        <x:v>0</x:v>
      </x:c>
      <x:c r="Y180" s="269">
        <x:f t="shared" si="5"/>
        <x:v>0</x:v>
      </x:c>
    </x:row>
    <x:row r="181">
      <x:c r="A181" s="148" t="s">
        <x:v>105</x:v>
      </x:c>
      <x:c r="B181">
        <x:v>5</x:v>
      </x:c>
      <x:c r="C181" s="148" t="s">
        <x:v>115</x:v>
      </x:c>
      <x:c r="D181">
        <x:v>511</x:v>
      </x:c>
      <x:c r="E181" s="267">
        <x:v>0</x:v>
      </x:c>
      <x:c r="F181" s="267">
        <x:v>0</x:v>
      </x:c>
      <x:c r="G181" s="267">
        <x:v>0</x:v>
      </x:c>
      <x:c r="H181" s="267">
        <x:v>0</x:v>
      </x:c>
      <x:c r="I181" s="267">
        <x:v>0</x:v>
      </x:c>
      <x:c r="J181" s="267">
        <x:v>0</x:v>
      </x:c>
      <x:c r="K181" s="267">
        <x:v>0</x:v>
      </x:c>
      <x:c r="L181" s="267">
        <x:v>0</x:v>
      </x:c>
      <x:c r="M181" s="267">
        <x:v>0</x:v>
      </x:c>
      <x:c r="N181" s="267">
        <x:v>0</x:v>
      </x:c>
      <x:c r="O181" s="267">
        <x:v>0</x:v>
      </x:c>
      <x:c r="P181" s="267">
        <x:v>0</x:v>
      </x:c>
      <x:c r="Q181" s="267">
        <x:v>0</x:v>
      </x:c>
      <x:c r="R181" s="267">
        <x:v>0</x:v>
      </x:c>
      <x:c r="S181" s="267">
        <x:v>0</x:v>
      </x:c>
      <x:c r="T181" s="267">
        <x:v>0</x:v>
      </x:c>
      <x:c r="U181" s="267">
        <x:v>0</x:v>
      </x:c>
      <x:c r="V181" s="267">
        <x:v>0</x:v>
      </x:c>
      <x:c r="W181" s="267">
        <x:v>0</x:v>
      </x:c>
      <x:c r="X181" s="267">
        <x:v>0</x:v>
      </x:c>
      <x:c r="Y181" s="269">
        <x:f t="shared" si="5"/>
        <x:v>0</x:v>
      </x:c>
    </x:row>
    <x:row r="182">
      <x:c r="A182" s="148" t="s">
        <x:v>105</x:v>
      </x:c>
      <x:c r="B182">
        <x:v>5</x:v>
      </x:c>
      <x:c r="C182" s="148" t="s">
        <x:v>115</x:v>
      </x:c>
      <x:c r="D182">
        <x:v>512</x:v>
      </x:c>
      <x:c r="E182" s="267">
        <x:v>0</x:v>
      </x:c>
      <x:c r="F182" s="267">
        <x:v>0</x:v>
      </x:c>
      <x:c r="G182" s="267">
        <x:v>0</x:v>
      </x:c>
      <x:c r="H182" s="267">
        <x:v>0</x:v>
      </x:c>
      <x:c r="I182" s="267">
        <x:v>0</x:v>
      </x:c>
      <x:c r="J182" s="267">
        <x:v>0</x:v>
      </x:c>
      <x:c r="K182" s="267">
        <x:v>0</x:v>
      </x:c>
      <x:c r="L182" s="267">
        <x:v>0</x:v>
      </x:c>
      <x:c r="M182" s="267">
        <x:v>0</x:v>
      </x:c>
      <x:c r="N182" s="267">
        <x:v>0</x:v>
      </x:c>
      <x:c r="O182" s="267">
        <x:v>0</x:v>
      </x:c>
      <x:c r="P182" s="267">
        <x:v>0</x:v>
      </x:c>
      <x:c r="Q182" s="267">
        <x:v>0</x:v>
      </x:c>
      <x:c r="R182" s="267">
        <x:v>0</x:v>
      </x:c>
      <x:c r="S182" s="267">
        <x:v>0</x:v>
      </x:c>
      <x:c r="T182" s="267">
        <x:v>0</x:v>
      </x:c>
      <x:c r="U182" s="267">
        <x:v>0</x:v>
      </x:c>
      <x:c r="V182" s="267">
        <x:v>0</x:v>
      </x:c>
      <x:c r="W182" s="267">
        <x:v>0</x:v>
      </x:c>
      <x:c r="X182" s="267">
        <x:v>0</x:v>
      </x:c>
      <x:c r="Y182" s="269">
        <x:f t="shared" si="5"/>
        <x:v>0</x:v>
      </x:c>
    </x:row>
    <x:row r="183">
      <x:c r="A183" s="148" t="s">
        <x:v>105</x:v>
      </x:c>
      <x:c r="B183">
        <x:v>5</x:v>
      </x:c>
      <x:c r="C183" s="148" t="s">
        <x:v>115</x:v>
      </x:c>
      <x:c r="D183">
        <x:v>513</x:v>
      </x:c>
      <x:c r="E183" s="267">
        <x:v>0</x:v>
      </x:c>
      <x:c r="F183" s="267">
        <x:v>0</x:v>
      </x:c>
      <x:c r="G183" s="267">
        <x:v>0</x:v>
      </x:c>
      <x:c r="H183" s="267">
        <x:v>0</x:v>
      </x:c>
      <x:c r="I183" s="267">
        <x:v>0</x:v>
      </x:c>
      <x:c r="J183" s="267">
        <x:v>0</x:v>
      </x:c>
      <x:c r="K183" s="267">
        <x:v>0</x:v>
      </x:c>
      <x:c r="L183" s="267">
        <x:v>0</x:v>
      </x:c>
      <x:c r="M183" s="267">
        <x:v>0</x:v>
      </x:c>
      <x:c r="N183" s="267">
        <x:v>0</x:v>
      </x:c>
      <x:c r="O183" s="267">
        <x:v>0</x:v>
      </x:c>
      <x:c r="P183" s="267">
        <x:v>0</x:v>
      </x:c>
      <x:c r="Q183" s="267">
        <x:v>0</x:v>
      </x:c>
      <x:c r="R183" s="267">
        <x:v>0</x:v>
      </x:c>
      <x:c r="S183" s="267">
        <x:v>0</x:v>
      </x:c>
      <x:c r="T183" s="267">
        <x:v>0</x:v>
      </x:c>
      <x:c r="U183" s="267">
        <x:v>0</x:v>
      </x:c>
      <x:c r="V183" s="267">
        <x:v>0</x:v>
      </x:c>
      <x:c r="W183" s="267">
        <x:v>0</x:v>
      </x:c>
      <x:c r="X183" s="267">
        <x:v>0</x:v>
      </x:c>
      <x:c r="Y183" s="269">
        <x:f t="shared" si="5"/>
        <x:v>0</x:v>
      </x:c>
    </x:row>
    <x:row r="184">
      <x:c r="A184" s="148" t="s">
        <x:v>105</x:v>
      </x:c>
      <x:c r="B184">
        <x:v>5</x:v>
      </x:c>
      <x:c r="C184" s="148" t="s">
        <x:v>115</x:v>
      </x:c>
      <x:c r="D184">
        <x:v>514</x:v>
      </x:c>
      <x:c r="E184" s="267">
        <x:v>0</x:v>
      </x:c>
      <x:c r="F184" s="267">
        <x:v>0</x:v>
      </x:c>
      <x:c r="G184" s="267">
        <x:v>0</x:v>
      </x:c>
      <x:c r="H184" s="267">
        <x:v>0</x:v>
      </x:c>
      <x:c r="I184" s="267">
        <x:v>0</x:v>
      </x:c>
      <x:c r="J184" s="267">
        <x:v>0</x:v>
      </x:c>
      <x:c r="K184" s="267">
        <x:v>0</x:v>
      </x:c>
      <x:c r="L184" s="267">
        <x:v>0</x:v>
      </x:c>
      <x:c r="M184" s="267">
        <x:v>0</x:v>
      </x:c>
      <x:c r="N184" s="267">
        <x:v>0</x:v>
      </x:c>
      <x:c r="O184" s="267">
        <x:v>0</x:v>
      </x:c>
      <x:c r="P184" s="267">
        <x:v>0</x:v>
      </x:c>
      <x:c r="Q184" s="267">
        <x:v>0</x:v>
      </x:c>
      <x:c r="R184" s="267">
        <x:v>0</x:v>
      </x:c>
      <x:c r="S184" s="267">
        <x:v>0</x:v>
      </x:c>
      <x:c r="T184" s="267">
        <x:v>0</x:v>
      </x:c>
      <x:c r="U184" s="267">
        <x:v>0</x:v>
      </x:c>
      <x:c r="V184" s="267">
        <x:v>0</x:v>
      </x:c>
      <x:c r="W184" s="267">
        <x:v>0</x:v>
      </x:c>
      <x:c r="X184" s="267">
        <x:v>0</x:v>
      </x:c>
      <x:c r="Y184" s="269">
        <x:f t="shared" si="5"/>
        <x:v>0</x:v>
      </x:c>
    </x:row>
    <x:row r="185">
      <x:c r="A185" s="148" t="s">
        <x:v>105</x:v>
      </x:c>
      <x:c r="B185">
        <x:v>5</x:v>
      </x:c>
      <x:c r="C185" s="148" t="s">
        <x:v>115</x:v>
      </x:c>
      <x:c r="D185">
        <x:v>515</x:v>
      </x:c>
      <x:c r="E185" s="267">
        <x:v>0</x:v>
      </x:c>
      <x:c r="F185" s="267">
        <x:v>0</x:v>
      </x:c>
      <x:c r="G185" s="267">
        <x:v>0</x:v>
      </x:c>
      <x:c r="H185" s="267">
        <x:v>0</x:v>
      </x:c>
      <x:c r="I185" s="267">
        <x:v>0</x:v>
      </x:c>
      <x:c r="J185" s="267">
        <x:v>0</x:v>
      </x:c>
      <x:c r="K185" s="267">
        <x:v>0</x:v>
      </x:c>
      <x:c r="L185" s="267">
        <x:v>0</x:v>
      </x:c>
      <x:c r="M185" s="267">
        <x:v>0</x:v>
      </x:c>
      <x:c r="N185" s="267">
        <x:v>0</x:v>
      </x:c>
      <x:c r="O185" s="267">
        <x:v>0</x:v>
      </x:c>
      <x:c r="P185" s="267">
        <x:v>0</x:v>
      </x:c>
      <x:c r="Q185" s="267">
        <x:v>0</x:v>
      </x:c>
      <x:c r="R185" s="267">
        <x:v>0</x:v>
      </x:c>
      <x:c r="S185" s="267">
        <x:v>0</x:v>
      </x:c>
      <x:c r="T185" s="267">
        <x:v>0</x:v>
      </x:c>
      <x:c r="U185" s="267">
        <x:v>0</x:v>
      </x:c>
      <x:c r="V185" s="267">
        <x:v>0</x:v>
      </x:c>
      <x:c r="W185" s="267">
        <x:v>0</x:v>
      </x:c>
      <x:c r="X185" s="267">
        <x:v>0</x:v>
      </x:c>
      <x:c r="Y185" s="269">
        <x:f t="shared" si="5"/>
        <x:v>0</x:v>
      </x:c>
    </x:row>
    <x:row r="186">
      <x:c r="A186" s="148" t="s">
        <x:v>105</x:v>
      </x:c>
      <x:c r="B186">
        <x:v>5</x:v>
      </x:c>
      <x:c r="C186" s="148" t="s">
        <x:v>115</x:v>
      </x:c>
      <x:c r="D186">
        <x:v>516</x:v>
      </x:c>
      <x:c r="E186" s="267">
        <x:v>0</x:v>
      </x:c>
      <x:c r="F186" s="267">
        <x:v>0</x:v>
      </x:c>
      <x:c r="G186" s="267">
        <x:v>0</x:v>
      </x:c>
      <x:c r="H186" s="267">
        <x:v>0</x:v>
      </x:c>
      <x:c r="I186" s="267">
        <x:v>0</x:v>
      </x:c>
      <x:c r="J186" s="267">
        <x:v>0</x:v>
      </x:c>
      <x:c r="K186" s="267">
        <x:v>0</x:v>
      </x:c>
      <x:c r="L186" s="267">
        <x:v>0</x:v>
      </x:c>
      <x:c r="M186" s="267">
        <x:v>0</x:v>
      </x:c>
      <x:c r="N186" s="267">
        <x:v>0</x:v>
      </x:c>
      <x:c r="O186" s="267">
        <x:v>0</x:v>
      </x:c>
      <x:c r="P186" s="267">
        <x:v>0</x:v>
      </x:c>
      <x:c r="Q186" s="267">
        <x:v>0</x:v>
      </x:c>
      <x:c r="R186" s="267">
        <x:v>0</x:v>
      </x:c>
      <x:c r="S186" s="267">
        <x:v>0</x:v>
      </x:c>
      <x:c r="T186" s="267">
        <x:v>0</x:v>
      </x:c>
      <x:c r="U186" s="267">
        <x:v>0</x:v>
      </x:c>
      <x:c r="V186" s="267">
        <x:v>0</x:v>
      </x:c>
      <x:c r="W186" s="267">
        <x:v>0</x:v>
      </x:c>
      <x:c r="X186" s="267">
        <x:v>0</x:v>
      </x:c>
      <x:c r="Y186" s="269">
        <x:f t="shared" si="5"/>
        <x:v>0</x:v>
      </x:c>
    </x:row>
    <x:row r="187">
      <x:c r="A187" s="148" t="s">
        <x:v>105</x:v>
      </x:c>
      <x:c r="B187">
        <x:v>5</x:v>
      </x:c>
      <x:c r="C187" s="148" t="s">
        <x:v>115</x:v>
      </x:c>
      <x:c r="D187">
        <x:v>517</x:v>
      </x:c>
      <x:c r="E187" s="267">
        <x:v>0</x:v>
      </x:c>
      <x:c r="F187" s="267">
        <x:v>0</x:v>
      </x:c>
      <x:c r="G187" s="267">
        <x:v>0</x:v>
      </x:c>
      <x:c r="H187" s="267">
        <x:v>0</x:v>
      </x:c>
      <x:c r="I187" s="267">
        <x:v>0</x:v>
      </x:c>
      <x:c r="J187" s="267">
        <x:v>0</x:v>
      </x:c>
      <x:c r="K187" s="267">
        <x:v>0</x:v>
      </x:c>
      <x:c r="L187" s="267">
        <x:v>0</x:v>
      </x:c>
      <x:c r="M187" s="267">
        <x:v>0</x:v>
      </x:c>
      <x:c r="N187" s="267">
        <x:v>0</x:v>
      </x:c>
      <x:c r="O187" s="267">
        <x:v>0</x:v>
      </x:c>
      <x:c r="P187" s="267">
        <x:v>0</x:v>
      </x:c>
      <x:c r="Q187" s="267">
        <x:v>0</x:v>
      </x:c>
      <x:c r="R187" s="267">
        <x:v>0</x:v>
      </x:c>
      <x:c r="S187" s="267">
        <x:v>0</x:v>
      </x:c>
      <x:c r="T187" s="267">
        <x:v>0</x:v>
      </x:c>
      <x:c r="U187" s="267">
        <x:v>0</x:v>
      </x:c>
      <x:c r="V187" s="267">
        <x:v>0</x:v>
      </x:c>
      <x:c r="W187" s="267">
        <x:v>0</x:v>
      </x:c>
      <x:c r="X187" s="267">
        <x:v>0</x:v>
      </x:c>
      <x:c r="Y187" s="269">
        <x:f t="shared" si="5"/>
        <x:v>0</x:v>
      </x:c>
    </x:row>
    <x:row r="188">
      <x:c r="A188" s="148" t="s">
        <x:v>105</x:v>
      </x:c>
      <x:c r="B188">
        <x:v>5</x:v>
      </x:c>
      <x:c r="C188" s="148" t="s">
        <x:v>115</x:v>
      </x:c>
      <x:c r="D188">
        <x:v>518</x:v>
      </x:c>
      <x:c r="E188" s="267">
        <x:v>0</x:v>
      </x:c>
      <x:c r="F188" s="267">
        <x:v>0</x:v>
      </x:c>
      <x:c r="G188" s="267">
        <x:v>0</x:v>
      </x:c>
      <x:c r="H188" s="267">
        <x:v>0</x:v>
      </x:c>
      <x:c r="I188" s="267">
        <x:v>0</x:v>
      </x:c>
      <x:c r="J188" s="267">
        <x:v>0</x:v>
      </x:c>
      <x:c r="K188" s="267">
        <x:v>0</x:v>
      </x:c>
      <x:c r="L188" s="267">
        <x:v>0</x:v>
      </x:c>
      <x:c r="M188" s="267">
        <x:v>0</x:v>
      </x:c>
      <x:c r="N188" s="267">
        <x:v>0</x:v>
      </x:c>
      <x:c r="O188" s="267">
        <x:v>0</x:v>
      </x:c>
      <x:c r="P188" s="267">
        <x:v>0</x:v>
      </x:c>
      <x:c r="Q188" s="267">
        <x:v>0</x:v>
      </x:c>
      <x:c r="R188" s="267">
        <x:v>0</x:v>
      </x:c>
      <x:c r="S188" s="267">
        <x:v>0</x:v>
      </x:c>
      <x:c r="T188" s="267">
        <x:v>0</x:v>
      </x:c>
      <x:c r="U188" s="267">
        <x:v>0</x:v>
      </x:c>
      <x:c r="V188" s="267">
        <x:v>0</x:v>
      </x:c>
      <x:c r="W188" s="267">
        <x:v>0</x:v>
      </x:c>
      <x:c r="X188" s="267">
        <x:v>0</x:v>
      </x:c>
      <x:c r="Y188" s="269">
        <x:f t="shared" si="5"/>
        <x:v>0</x:v>
      </x:c>
    </x:row>
    <x:row r="189">
      <x:c r="A189" s="148" t="s">
        <x:v>105</x:v>
      </x:c>
      <x:c r="B189">
        <x:v>5</x:v>
      </x:c>
      <x:c r="C189" s="148" t="s">
        <x:v>115</x:v>
      </x:c>
      <x:c r="D189">
        <x:v>519</x:v>
      </x:c>
      <x:c r="E189" s="267">
        <x:v>0</x:v>
      </x:c>
      <x:c r="F189" s="267">
        <x:v>0</x:v>
      </x:c>
      <x:c r="G189" s="267">
        <x:v>0</x:v>
      </x:c>
      <x:c r="H189" s="267">
        <x:v>0</x:v>
      </x:c>
      <x:c r="I189" s="267">
        <x:v>0</x:v>
      </x:c>
      <x:c r="J189" s="267">
        <x:v>0</x:v>
      </x:c>
      <x:c r="K189" s="267">
        <x:v>0</x:v>
      </x:c>
      <x:c r="L189" s="267">
        <x:v>0</x:v>
      </x:c>
      <x:c r="M189" s="267">
        <x:v>0</x:v>
      </x:c>
      <x:c r="N189" s="267">
        <x:v>0</x:v>
      </x:c>
      <x:c r="O189" s="267">
        <x:v>0</x:v>
      </x:c>
      <x:c r="P189" s="267">
        <x:v>0</x:v>
      </x:c>
      <x:c r="Q189" s="267">
        <x:v>0</x:v>
      </x:c>
      <x:c r="R189" s="267">
        <x:v>0</x:v>
      </x:c>
      <x:c r="S189" s="267">
        <x:v>0</x:v>
      </x:c>
      <x:c r="T189" s="267">
        <x:v>0</x:v>
      </x:c>
      <x:c r="U189" s="267">
        <x:v>0</x:v>
      </x:c>
      <x:c r="V189" s="267">
        <x:v>0</x:v>
      </x:c>
      <x:c r="W189" s="267">
        <x:v>0</x:v>
      </x:c>
      <x:c r="X189" s="267">
        <x:v>0</x:v>
      </x:c>
      <x:c r="Y189" s="269">
        <x:f t="shared" si="5"/>
        <x:v>0</x:v>
      </x:c>
    </x:row>
    <x:row r="190">
      <x:c r="A190" s="148" t="s">
        <x:v>105</x:v>
      </x:c>
      <x:c r="B190">
        <x:v>5</x:v>
      </x:c>
      <x:c r="C190" s="148" t="s">
        <x:v>115</x:v>
      </x:c>
      <x:c r="D190">
        <x:v>520</x:v>
      </x:c>
      <x:c r="E190" s="267">
        <x:v>0</x:v>
      </x:c>
      <x:c r="F190" s="267">
        <x:v>0</x:v>
      </x:c>
      <x:c r="G190" s="267">
        <x:v>0</x:v>
      </x:c>
      <x:c r="H190" s="267">
        <x:v>0</x:v>
      </x:c>
      <x:c r="I190" s="267">
        <x:v>0</x:v>
      </x:c>
      <x:c r="J190" s="267">
        <x:v>0</x:v>
      </x:c>
      <x:c r="K190" s="267">
        <x:v>0</x:v>
      </x:c>
      <x:c r="L190" s="267">
        <x:v>0</x:v>
      </x:c>
      <x:c r="M190" s="267">
        <x:v>0</x:v>
      </x:c>
      <x:c r="N190" s="267">
        <x:v>0</x:v>
      </x:c>
      <x:c r="O190" s="267">
        <x:v>0</x:v>
      </x:c>
      <x:c r="P190" s="267">
        <x:v>0</x:v>
      </x:c>
      <x:c r="Q190" s="267">
        <x:v>0</x:v>
      </x:c>
      <x:c r="R190" s="267">
        <x:v>0</x:v>
      </x:c>
      <x:c r="S190" s="267">
        <x:v>0</x:v>
      </x:c>
      <x:c r="T190" s="267">
        <x:v>0</x:v>
      </x:c>
      <x:c r="U190" s="267">
        <x:v>0</x:v>
      </x:c>
      <x:c r="V190" s="267">
        <x:v>0</x:v>
      </x:c>
      <x:c r="W190" s="267">
        <x:v>0</x:v>
      </x:c>
      <x:c r="X190" s="267">
        <x:v>0</x:v>
      </x:c>
      <x:c r="Y190" s="269">
        <x:f t="shared" si="5"/>
        <x:v>0</x:v>
      </x:c>
    </x:row>
    <x:row r="191">
      <x:c r="A191" s="148" t="s">
        <x:v>105</x:v>
      </x:c>
      <x:c r="B191">
        <x:v>5</x:v>
      </x:c>
      <x:c r="C191" s="148" t="s">
        <x:v>115</x:v>
      </x:c>
      <x:c r="D191">
        <x:v>521</x:v>
      </x:c>
      <x:c r="E191" s="267">
        <x:v>0</x:v>
      </x:c>
      <x:c r="F191" s="267">
        <x:v>0</x:v>
      </x:c>
      <x:c r="G191" s="267">
        <x:v>0</x:v>
      </x:c>
      <x:c r="H191" s="267">
        <x:v>0</x:v>
      </x:c>
      <x:c r="I191" s="267">
        <x:v>0</x:v>
      </x:c>
      <x:c r="J191" s="267">
        <x:v>0</x:v>
      </x:c>
      <x:c r="K191" s="267">
        <x:v>0</x:v>
      </x:c>
      <x:c r="L191" s="267">
        <x:v>0</x:v>
      </x:c>
      <x:c r="M191" s="267">
        <x:v>0</x:v>
      </x:c>
      <x:c r="N191" s="267">
        <x:v>0</x:v>
      </x:c>
      <x:c r="O191" s="267">
        <x:v>0</x:v>
      </x:c>
      <x:c r="P191" s="267">
        <x:v>0</x:v>
      </x:c>
      <x:c r="Q191" s="267">
        <x:v>0</x:v>
      </x:c>
      <x:c r="R191" s="267">
        <x:v>0</x:v>
      </x:c>
      <x:c r="S191" s="267">
        <x:v>0</x:v>
      </x:c>
      <x:c r="T191" s="267">
        <x:v>0</x:v>
      </x:c>
      <x:c r="U191" s="267">
        <x:v>0</x:v>
      </x:c>
      <x:c r="V191" s="267">
        <x:v>0</x:v>
      </x:c>
      <x:c r="W191" s="267">
        <x:v>0</x:v>
      </x:c>
      <x:c r="X191" s="267">
        <x:v>0</x:v>
      </x:c>
      <x:c r="Y191" s="269">
        <x:f t="shared" si="5"/>
        <x:v>0</x:v>
      </x:c>
    </x:row>
    <x:row r="192">
      <x:c r="A192" s="148"/>
      <x:c r="B192"/>
      <x:c r="C192" s="148"/>
      <x:c r="D192" s="148"/>
      <x:c r="E192" s="267">
        <x:f t="shared" ref="E192:X192" si="7">AVERAGE(E148:E191)</x:f>
      </x:c>
      <x:c r="F192" s="267">
        <x:f t="shared" si="7"/>
      </x:c>
      <x:c r="G192" s="267">
        <x:f t="shared" si="7"/>
      </x:c>
      <x:c r="H192" s="267">
        <x:f t="shared" si="7"/>
      </x:c>
      <x:c r="I192" s="267">
        <x:f t="shared" si="7"/>
      </x:c>
      <x:c r="J192" s="267">
        <x:f t="shared" si="7"/>
      </x:c>
      <x:c r="K192" s="267">
        <x:f t="shared" si="7"/>
      </x:c>
      <x:c r="L192" s="267">
        <x:f t="shared" si="7"/>
      </x:c>
      <x:c r="M192" s="267">
        <x:f t="shared" si="7"/>
      </x:c>
      <x:c r="N192" s="267">
        <x:f t="shared" si="7"/>
      </x:c>
      <x:c r="O192" s="267">
        <x:f t="shared" si="7"/>
      </x:c>
      <x:c r="P192" s="267">
        <x:f t="shared" si="7"/>
      </x:c>
      <x:c r="Q192" s="267">
        <x:f t="shared" si="7"/>
      </x:c>
      <x:c r="R192" s="267">
        <x:f t="shared" si="7"/>
      </x:c>
      <x:c r="S192" s="267">
        <x:f t="shared" si="7"/>
      </x:c>
      <x:c r="T192" s="267">
        <x:f t="shared" si="7"/>
      </x:c>
      <x:c r="U192" s="267">
        <x:f t="shared" si="7"/>
      </x:c>
      <x:c r="V192" s="267">
        <x:f t="shared" si="7"/>
      </x:c>
      <x:c r="W192" s="267">
        <x:f t="shared" si="7"/>
      </x:c>
      <x:c r="X192" s="267">
        <x:f t="shared" si="7"/>
      </x:c>
      <x:c r="Y192" s="269">
        <x:f t="shared" si="5"/>
      </x:c>
    </x:row>
    <x:row r="193">
      <x:c r="A193" s="148" t="s">
        <x:v>105</x:v>
      </x:c>
      <x:c r="B193">
        <x:v>6</x:v>
      </x:c>
      <x:c r="C193" s="148" t="s">
        <x:v>116</x:v>
      </x:c>
      <x:c r="D193">
        <x:v>601</x:v>
      </x:c>
      <x:c r="E193" s="267">
        <x:v>0</x:v>
      </x:c>
      <x:c r="F193" s="267">
        <x:v>0</x:v>
      </x:c>
      <x:c r="G193" s="267">
        <x:v>0</x:v>
      </x:c>
      <x:c r="H193" s="267">
        <x:v>0</x:v>
      </x:c>
      <x:c r="I193" s="267">
        <x:v>0</x:v>
      </x:c>
      <x:c r="J193" s="267">
        <x:v>0</x:v>
      </x:c>
      <x:c r="K193" s="267">
        <x:v>0</x:v>
      </x:c>
      <x:c r="L193" s="267">
        <x:v>0</x:v>
      </x:c>
      <x:c r="M193" s="267">
        <x:v>0</x:v>
      </x:c>
      <x:c r="N193" s="267">
        <x:v>0</x:v>
      </x:c>
      <x:c r="O193" s="267">
        <x:v>0</x:v>
      </x:c>
      <x:c r="P193" s="267">
        <x:v>0</x:v>
      </x:c>
      <x:c r="Q193" s="267">
        <x:v>0</x:v>
      </x:c>
      <x:c r="R193" s="267">
        <x:v>0</x:v>
      </x:c>
      <x:c r="S193" s="267">
        <x:v>0</x:v>
      </x:c>
      <x:c r="T193" s="267">
        <x:v>0</x:v>
      </x:c>
      <x:c r="U193" s="267">
        <x:v>0</x:v>
      </x:c>
      <x:c r="V193" s="267">
        <x:v>0</x:v>
      </x:c>
      <x:c r="W193" s="267">
        <x:v>0</x:v>
      </x:c>
      <x:c r="X193" s="267">
        <x:v>0</x:v>
      </x:c>
      <x:c r="Y193" s="269">
        <x:f t="shared" si="5"/>
        <x:v>0</x:v>
      </x:c>
    </x:row>
    <x:row r="194">
      <x:c r="A194" s="148" t="s">
        <x:v>105</x:v>
      </x:c>
      <x:c r="B194">
        <x:v>6</x:v>
      </x:c>
      <x:c r="C194" s="148" t="s">
        <x:v>116</x:v>
      </x:c>
      <x:c r="D194">
        <x:v>602</x:v>
      </x:c>
      <x:c r="E194" s="267">
        <x:v>0</x:v>
      </x:c>
      <x:c r="F194" s="267">
        <x:v>0</x:v>
      </x:c>
      <x:c r="G194" s="267">
        <x:v>0</x:v>
      </x:c>
      <x:c r="H194" s="267">
        <x:v>0</x:v>
      </x:c>
      <x:c r="I194" s="267">
        <x:v>0</x:v>
      </x:c>
      <x:c r="J194" s="267">
        <x:v>0</x:v>
      </x:c>
      <x:c r="K194" s="267">
        <x:v>0</x:v>
      </x:c>
      <x:c r="L194" s="267">
        <x:v>0</x:v>
      </x:c>
      <x:c r="M194" s="267">
        <x:v>0</x:v>
      </x:c>
      <x:c r="N194" s="267">
        <x:v>0</x:v>
      </x:c>
      <x:c r="O194" s="267">
        <x:v>0</x:v>
      </x:c>
      <x:c r="P194" s="267">
        <x:v>0</x:v>
      </x:c>
      <x:c r="Q194" s="267">
        <x:v>0</x:v>
      </x:c>
      <x:c r="R194" s="267">
        <x:v>0</x:v>
      </x:c>
      <x:c r="S194" s="267">
        <x:v>0</x:v>
      </x:c>
      <x:c r="T194" s="267">
        <x:v>0</x:v>
      </x:c>
      <x:c r="U194" s="267">
        <x:v>0</x:v>
      </x:c>
      <x:c r="V194" s="267">
        <x:v>0</x:v>
      </x:c>
      <x:c r="W194" s="267">
        <x:v>0</x:v>
      </x:c>
      <x:c r="X194" s="267">
        <x:v>0</x:v>
      </x:c>
      <x:c r="Y194" s="269" t="n">
        <x:f t="shared" ref="Y194:Y257" si="8">AVERAGE(E194:X194)</x:f>
        <x:v>0</x:v>
      </x:c>
    </x:row>
    <x:row r="195">
      <x:c r="A195" s="148" t="s">
        <x:v>105</x:v>
      </x:c>
      <x:c r="B195">
        <x:v>6</x:v>
      </x:c>
      <x:c r="C195" s="148" t="s">
        <x:v>116</x:v>
      </x:c>
      <x:c r="D195">
        <x:v>603</x:v>
      </x:c>
      <x:c r="E195" s="267">
        <x:v>0</x:v>
      </x:c>
      <x:c r="F195" s="267">
        <x:v>0</x:v>
      </x:c>
      <x:c r="G195" s="267">
        <x:v>0</x:v>
      </x:c>
      <x:c r="H195" s="267">
        <x:v>0</x:v>
      </x:c>
      <x:c r="I195" s="267">
        <x:v>0</x:v>
      </x:c>
      <x:c r="J195" s="267">
        <x:v>0</x:v>
      </x:c>
      <x:c r="K195" s="267">
        <x:v>0</x:v>
      </x:c>
      <x:c r="L195" s="267">
        <x:v>0</x:v>
      </x:c>
      <x:c r="M195" s="267">
        <x:v>0</x:v>
      </x:c>
      <x:c r="N195" s="267">
        <x:v>0</x:v>
      </x:c>
      <x:c r="O195" s="267">
        <x:v>0</x:v>
      </x:c>
      <x:c r="P195" s="267">
        <x:v>0</x:v>
      </x:c>
      <x:c r="Q195" s="267">
        <x:v>0</x:v>
      </x:c>
      <x:c r="R195" s="267">
        <x:v>0</x:v>
      </x:c>
      <x:c r="S195" s="267">
        <x:v>0</x:v>
      </x:c>
      <x:c r="T195" s="267">
        <x:v>0</x:v>
      </x:c>
      <x:c r="U195" s="267">
        <x:v>0</x:v>
      </x:c>
      <x:c r="V195" s="267">
        <x:v>0</x:v>
      </x:c>
      <x:c r="W195" s="267">
        <x:v>0</x:v>
      </x:c>
      <x:c r="X195" s="267">
        <x:v>0</x:v>
      </x:c>
      <x:c r="Y195" s="269">
        <x:f t="shared" si="8"/>
        <x:v>0</x:v>
      </x:c>
    </x:row>
    <x:row r="196">
      <x:c r="A196" s="148" t="s">
        <x:v>105</x:v>
      </x:c>
      <x:c r="B196">
        <x:v>6</x:v>
      </x:c>
      <x:c r="C196" s="148" t="s">
        <x:v>116</x:v>
      </x:c>
      <x:c r="D196">
        <x:v>604</x:v>
      </x:c>
      <x:c r="E196" s="267">
        <x:v>0</x:v>
      </x:c>
      <x:c r="F196" s="267">
        <x:v>0</x:v>
      </x:c>
      <x:c r="G196" s="267">
        <x:v>0</x:v>
      </x:c>
      <x:c r="H196" s="267">
        <x:v>0</x:v>
      </x:c>
      <x:c r="I196" s="267">
        <x:v>0</x:v>
      </x:c>
      <x:c r="J196" s="267">
        <x:v>0</x:v>
      </x:c>
      <x:c r="K196" s="267">
        <x:v>0</x:v>
      </x:c>
      <x:c r="L196" s="267">
        <x:v>0</x:v>
      </x:c>
      <x:c r="M196" s="267">
        <x:v>0</x:v>
      </x:c>
      <x:c r="N196" s="267">
        <x:v>0</x:v>
      </x:c>
      <x:c r="O196" s="267">
        <x:v>0</x:v>
      </x:c>
      <x:c r="P196" s="267">
        <x:v>0</x:v>
      </x:c>
      <x:c r="Q196" s="267">
        <x:v>0</x:v>
      </x:c>
      <x:c r="R196" s="267">
        <x:v>0</x:v>
      </x:c>
      <x:c r="S196" s="267">
        <x:v>0</x:v>
      </x:c>
      <x:c r="T196" s="267">
        <x:v>0</x:v>
      </x:c>
      <x:c r="U196" s="267">
        <x:v>0</x:v>
      </x:c>
      <x:c r="V196" s="267">
        <x:v>0</x:v>
      </x:c>
      <x:c r="W196" s="267">
        <x:v>0</x:v>
      </x:c>
      <x:c r="X196" s="267">
        <x:v>0</x:v>
      </x:c>
      <x:c r="Y196" s="269">
        <x:f t="shared" si="8"/>
        <x:v>0</x:v>
      </x:c>
    </x:row>
    <x:row r="197">
      <x:c r="A197" s="148" t="s">
        <x:v>105</x:v>
      </x:c>
      <x:c r="B197">
        <x:v>6</x:v>
      </x:c>
      <x:c r="C197" s="148" t="s">
        <x:v>116</x:v>
      </x:c>
      <x:c r="D197">
        <x:v>605</x:v>
      </x:c>
      <x:c r="E197" s="267">
        <x:v>0</x:v>
      </x:c>
      <x:c r="F197" s="267">
        <x:v>0</x:v>
      </x:c>
      <x:c r="G197" s="267">
        <x:v>0</x:v>
      </x:c>
      <x:c r="H197" s="267">
        <x:v>0</x:v>
      </x:c>
      <x:c r="I197" s="267">
        <x:v>0</x:v>
      </x:c>
      <x:c r="J197" s="267">
        <x:v>0</x:v>
      </x:c>
      <x:c r="K197" s="267">
        <x:v>0</x:v>
      </x:c>
      <x:c r="L197" s="267">
        <x:v>0</x:v>
      </x:c>
      <x:c r="M197" s="267">
        <x:v>0</x:v>
      </x:c>
      <x:c r="N197" s="267">
        <x:v>0</x:v>
      </x:c>
      <x:c r="O197" s="267">
        <x:v>0</x:v>
      </x:c>
      <x:c r="P197" s="267">
        <x:v>0</x:v>
      </x:c>
      <x:c r="Q197" s="267">
        <x:v>0</x:v>
      </x:c>
      <x:c r="R197" s="267">
        <x:v>0</x:v>
      </x:c>
      <x:c r="S197" s="267">
        <x:v>0</x:v>
      </x:c>
      <x:c r="T197" s="267">
        <x:v>0</x:v>
      </x:c>
      <x:c r="U197" s="267">
        <x:v>0</x:v>
      </x:c>
      <x:c r="V197" s="267">
        <x:v>0</x:v>
      </x:c>
      <x:c r="W197" s="267">
        <x:v>0</x:v>
      </x:c>
      <x:c r="X197" s="267">
        <x:v>0</x:v>
      </x:c>
      <x:c r="Y197" s="269">
        <x:f t="shared" si="8"/>
        <x:v>0</x:v>
      </x:c>
    </x:row>
    <x:row r="198">
      <x:c r="A198" s="148" t="s">
        <x:v>105</x:v>
      </x:c>
      <x:c r="B198">
        <x:v>6</x:v>
      </x:c>
      <x:c r="C198" s="148" t="s">
        <x:v>116</x:v>
      </x:c>
      <x:c r="D198">
        <x:v>606</x:v>
      </x:c>
      <x:c r="E198" s="267">
        <x:v>0</x:v>
      </x:c>
      <x:c r="F198" s="267">
        <x:v>0</x:v>
      </x:c>
      <x:c r="G198" s="267">
        <x:v>0</x:v>
      </x:c>
      <x:c r="H198" s="267">
        <x:v>0</x:v>
      </x:c>
      <x:c r="I198" s="267">
        <x:v>0</x:v>
      </x:c>
      <x:c r="J198" s="267">
        <x:v>0</x:v>
      </x:c>
      <x:c r="K198" s="267">
        <x:v>0</x:v>
      </x:c>
      <x:c r="L198" s="267">
        <x:v>0</x:v>
      </x:c>
      <x:c r="M198" s="267">
        <x:v>0</x:v>
      </x:c>
      <x:c r="N198" s="267">
        <x:v>0</x:v>
      </x:c>
      <x:c r="O198" s="267">
        <x:v>0</x:v>
      </x:c>
      <x:c r="P198" s="267">
        <x:v>0</x:v>
      </x:c>
      <x:c r="Q198" s="267">
        <x:v>0</x:v>
      </x:c>
      <x:c r="R198" s="267">
        <x:v>0</x:v>
      </x:c>
      <x:c r="S198" s="267">
        <x:v>0</x:v>
      </x:c>
      <x:c r="T198" s="267">
        <x:v>0</x:v>
      </x:c>
      <x:c r="U198" s="267">
        <x:v>0</x:v>
      </x:c>
      <x:c r="V198" s="267">
        <x:v>0</x:v>
      </x:c>
      <x:c r="W198" s="267">
        <x:v>0</x:v>
      </x:c>
      <x:c r="X198" s="267">
        <x:v>0</x:v>
      </x:c>
      <x:c r="Y198" s="269">
        <x:f t="shared" si="8"/>
        <x:v>0</x:v>
      </x:c>
    </x:row>
    <x:row r="199">
      <x:c r="A199" s="148" t="s">
        <x:v>105</x:v>
      </x:c>
      <x:c r="B199">
        <x:v>6</x:v>
      </x:c>
      <x:c r="C199" s="148" t="s">
        <x:v>116</x:v>
      </x:c>
      <x:c r="D199">
        <x:v>607</x:v>
      </x:c>
      <x:c r="E199" s="267">
        <x:v>0</x:v>
      </x:c>
      <x:c r="F199" s="267">
        <x:v>0</x:v>
      </x:c>
      <x:c r="G199" s="267">
        <x:v>0</x:v>
      </x:c>
      <x:c r="H199" s="267">
        <x:v>0</x:v>
      </x:c>
      <x:c r="I199" s="267">
        <x:v>0</x:v>
      </x:c>
      <x:c r="J199" s="267">
        <x:v>0</x:v>
      </x:c>
      <x:c r="K199" s="267">
        <x:v>0</x:v>
      </x:c>
      <x:c r="L199" s="267">
        <x:v>0</x:v>
      </x:c>
      <x:c r="M199" s="267">
        <x:v>0</x:v>
      </x:c>
      <x:c r="N199" s="267">
        <x:v>0</x:v>
      </x:c>
      <x:c r="O199" s="267">
        <x:v>0</x:v>
      </x:c>
      <x:c r="P199" s="267">
        <x:v>0</x:v>
      </x:c>
      <x:c r="Q199" s="267">
        <x:v>0</x:v>
      </x:c>
      <x:c r="R199" s="267">
        <x:v>0</x:v>
      </x:c>
      <x:c r="S199" s="267">
        <x:v>0</x:v>
      </x:c>
      <x:c r="T199" s="267">
        <x:v>0</x:v>
      </x:c>
      <x:c r="U199" s="267">
        <x:v>0</x:v>
      </x:c>
      <x:c r="V199" s="267">
        <x:v>0</x:v>
      </x:c>
      <x:c r="W199" s="267">
        <x:v>0</x:v>
      </x:c>
      <x:c r="X199" s="267">
        <x:v>0</x:v>
      </x:c>
      <x:c r="Y199" s="269">
        <x:f t="shared" si="8"/>
        <x:v>0</x:v>
      </x:c>
    </x:row>
    <x:row r="200">
      <x:c r="A200" s="148" t="s">
        <x:v>105</x:v>
      </x:c>
      <x:c r="B200">
        <x:v>6</x:v>
      </x:c>
      <x:c r="C200" s="148" t="s">
        <x:v>116</x:v>
      </x:c>
      <x:c r="D200">
        <x:v>608</x:v>
      </x:c>
      <x:c r="E200" s="267">
        <x:v>0</x:v>
      </x:c>
      <x:c r="F200" s="267">
        <x:v>0</x:v>
      </x:c>
      <x:c r="G200" s="267">
        <x:v>0</x:v>
      </x:c>
      <x:c r="H200" s="267">
        <x:v>0</x:v>
      </x:c>
      <x:c r="I200" s="267">
        <x:v>0</x:v>
      </x:c>
      <x:c r="J200" s="267">
        <x:v>0</x:v>
      </x:c>
      <x:c r="K200" s="267">
        <x:v>0</x:v>
      </x:c>
      <x:c r="L200" s="267">
        <x:v>0</x:v>
      </x:c>
      <x:c r="M200" s="267">
        <x:v>0</x:v>
      </x:c>
      <x:c r="N200" s="267">
        <x:v>0</x:v>
      </x:c>
      <x:c r="O200" s="267">
        <x:v>0</x:v>
      </x:c>
      <x:c r="P200" s="267">
        <x:v>0</x:v>
      </x:c>
      <x:c r="Q200" s="267">
        <x:v>0</x:v>
      </x:c>
      <x:c r="R200" s="267">
        <x:v>0</x:v>
      </x:c>
      <x:c r="S200" s="267">
        <x:v>0</x:v>
      </x:c>
      <x:c r="T200" s="267">
        <x:v>0</x:v>
      </x:c>
      <x:c r="U200" s="267">
        <x:v>0</x:v>
      </x:c>
      <x:c r="V200" s="267">
        <x:v>0</x:v>
      </x:c>
      <x:c r="W200" s="267">
        <x:v>0</x:v>
      </x:c>
      <x:c r="X200" s="267">
        <x:v>0</x:v>
      </x:c>
      <x:c r="Y200" s="269">
        <x:f t="shared" si="8"/>
        <x:v>0</x:v>
      </x:c>
    </x:row>
    <x:row r="201">
      <x:c r="A201" s="148" t="s">
        <x:v>105</x:v>
      </x:c>
      <x:c r="B201">
        <x:v>6</x:v>
      </x:c>
      <x:c r="C201" s="148" t="s">
        <x:v>116</x:v>
      </x:c>
      <x:c r="D201">
        <x:v>609</x:v>
      </x:c>
      <x:c r="E201" s="267">
        <x:v>0</x:v>
      </x:c>
      <x:c r="F201" s="267">
        <x:v>0</x:v>
      </x:c>
      <x:c r="G201" s="267">
        <x:v>0</x:v>
      </x:c>
      <x:c r="H201" s="267">
        <x:v>0</x:v>
      </x:c>
      <x:c r="I201" s="267">
        <x:v>0</x:v>
      </x:c>
      <x:c r="J201" s="267">
        <x:v>0</x:v>
      </x:c>
      <x:c r="K201" s="267">
        <x:v>0</x:v>
      </x:c>
      <x:c r="L201" s="267">
        <x:v>0</x:v>
      </x:c>
      <x:c r="M201" s="267">
        <x:v>0</x:v>
      </x:c>
      <x:c r="N201" s="267">
        <x:v>0</x:v>
      </x:c>
      <x:c r="O201" s="267">
        <x:v>0</x:v>
      </x:c>
      <x:c r="P201" s="267">
        <x:v>0</x:v>
      </x:c>
      <x:c r="Q201" s="267">
        <x:v>0</x:v>
      </x:c>
      <x:c r="R201" s="267">
        <x:v>0</x:v>
      </x:c>
      <x:c r="S201" s="267">
        <x:v>0</x:v>
      </x:c>
      <x:c r="T201" s="267">
        <x:v>0</x:v>
      </x:c>
      <x:c r="U201" s="267">
        <x:v>0</x:v>
      </x:c>
      <x:c r="V201" s="267">
        <x:v>0</x:v>
      </x:c>
      <x:c r="W201" s="267">
        <x:v>0</x:v>
      </x:c>
      <x:c r="X201" s="267">
        <x:v>0</x:v>
      </x:c>
      <x:c r="Y201" s="269">
        <x:f t="shared" si="8"/>
        <x:v>0</x:v>
      </x:c>
    </x:row>
    <x:row r="202">
      <x:c r="A202" s="148" t="s">
        <x:v>105</x:v>
      </x:c>
      <x:c r="B202">
        <x:v>6</x:v>
      </x:c>
      <x:c r="C202" s="148" t="s">
        <x:v>116</x:v>
      </x:c>
      <x:c r="D202">
        <x:v>610</x:v>
      </x:c>
      <x:c r="E202" s="267">
        <x:v>0</x:v>
      </x:c>
      <x:c r="F202" s="267">
        <x:v>0</x:v>
      </x:c>
      <x:c r="G202" s="267">
        <x:v>0</x:v>
      </x:c>
      <x:c r="H202" s="267">
        <x:v>0</x:v>
      </x:c>
      <x:c r="I202" s="267">
        <x:v>0</x:v>
      </x:c>
      <x:c r="J202" s="267">
        <x:v>0</x:v>
      </x:c>
      <x:c r="K202" s="267">
        <x:v>0</x:v>
      </x:c>
      <x:c r="L202" s="267">
        <x:v>0</x:v>
      </x:c>
      <x:c r="M202" s="267">
        <x:v>0</x:v>
      </x:c>
      <x:c r="N202" s="267">
        <x:v>0</x:v>
      </x:c>
      <x:c r="O202" s="267">
        <x:v>0</x:v>
      </x:c>
      <x:c r="P202" s="267">
        <x:v>0</x:v>
      </x:c>
      <x:c r="Q202" s="267">
        <x:v>0</x:v>
      </x:c>
      <x:c r="R202" s="267">
        <x:v>0</x:v>
      </x:c>
      <x:c r="S202" s="267">
        <x:v>0</x:v>
      </x:c>
      <x:c r="T202" s="267">
        <x:v>0</x:v>
      </x:c>
      <x:c r="U202" s="267">
        <x:v>0</x:v>
      </x:c>
      <x:c r="V202" s="267">
        <x:v>0</x:v>
      </x:c>
      <x:c r="W202" s="267">
        <x:v>0</x:v>
      </x:c>
      <x:c r="X202" s="267">
        <x:v>0</x:v>
      </x:c>
      <x:c r="Y202" s="269">
        <x:f t="shared" si="8"/>
        <x:v>0</x:v>
      </x:c>
    </x:row>
    <x:row r="203">
      <x:c r="A203" s="148" t="s">
        <x:v>105</x:v>
      </x:c>
      <x:c r="B203">
        <x:v>6</x:v>
      </x:c>
      <x:c r="C203" s="148" t="s">
        <x:v>116</x:v>
      </x:c>
      <x:c r="D203">
        <x:v>611</x:v>
      </x:c>
      <x:c r="E203" s="267">
        <x:v>0</x:v>
      </x:c>
      <x:c r="F203" s="267">
        <x:v>0</x:v>
      </x:c>
      <x:c r="G203" s="267">
        <x:v>0</x:v>
      </x:c>
      <x:c r="H203" s="267">
        <x:v>0</x:v>
      </x:c>
      <x:c r="I203" s="267">
        <x:v>0</x:v>
      </x:c>
      <x:c r="J203" s="267">
        <x:v>0</x:v>
      </x:c>
      <x:c r="K203" s="267">
        <x:v>0</x:v>
      </x:c>
      <x:c r="L203" s="267">
        <x:v>0</x:v>
      </x:c>
      <x:c r="M203" s="267">
        <x:v>0</x:v>
      </x:c>
      <x:c r="N203" s="267">
        <x:v>0</x:v>
      </x:c>
      <x:c r="O203" s="267">
        <x:v>0</x:v>
      </x:c>
      <x:c r="P203" s="267">
        <x:v>0</x:v>
      </x:c>
      <x:c r="Q203" s="267">
        <x:v>0</x:v>
      </x:c>
      <x:c r="R203" s="267">
        <x:v>0</x:v>
      </x:c>
      <x:c r="S203" s="267">
        <x:v>0</x:v>
      </x:c>
      <x:c r="T203" s="267">
        <x:v>0</x:v>
      </x:c>
      <x:c r="U203" s="267">
        <x:v>0</x:v>
      </x:c>
      <x:c r="V203" s="267">
        <x:v>0</x:v>
      </x:c>
      <x:c r="W203" s="267">
        <x:v>0</x:v>
      </x:c>
      <x:c r="X203" s="267">
        <x:v>0</x:v>
      </x:c>
      <x:c r="Y203" s="269">
        <x:f t="shared" si="8"/>
        <x:v>0</x:v>
      </x:c>
    </x:row>
    <x:row r="204">
      <x:c r="A204" s="148" t="s">
        <x:v>105</x:v>
      </x:c>
      <x:c r="B204">
        <x:v>6</x:v>
      </x:c>
      <x:c r="C204" s="148" t="s">
        <x:v>116</x:v>
      </x:c>
      <x:c r="D204">
        <x:v>612</x:v>
      </x:c>
      <x:c r="E204" s="267">
        <x:v>0</x:v>
      </x:c>
      <x:c r="F204" s="267">
        <x:v>0</x:v>
      </x:c>
      <x:c r="G204" s="267">
        <x:v>0</x:v>
      </x:c>
      <x:c r="H204" s="267">
        <x:v>0</x:v>
      </x:c>
      <x:c r="I204" s="267">
        <x:v>0</x:v>
      </x:c>
      <x:c r="J204" s="267">
        <x:v>0</x:v>
      </x:c>
      <x:c r="K204" s="267">
        <x:v>0</x:v>
      </x:c>
      <x:c r="L204" s="267">
        <x:v>0</x:v>
      </x:c>
      <x:c r="M204" s="267">
        <x:v>0</x:v>
      </x:c>
      <x:c r="N204" s="267">
        <x:v>0</x:v>
      </x:c>
      <x:c r="O204" s="267">
        <x:v>0</x:v>
      </x:c>
      <x:c r="P204" s="267">
        <x:v>0</x:v>
      </x:c>
      <x:c r="Q204" s="267">
        <x:v>0</x:v>
      </x:c>
      <x:c r="R204" s="267">
        <x:v>0</x:v>
      </x:c>
      <x:c r="S204" s="267">
        <x:v>0</x:v>
      </x:c>
      <x:c r="T204" s="267">
        <x:v>0</x:v>
      </x:c>
      <x:c r="U204" s="267">
        <x:v>0</x:v>
      </x:c>
      <x:c r="V204" s="267">
        <x:v>0</x:v>
      </x:c>
      <x:c r="W204" s="267">
        <x:v>0</x:v>
      </x:c>
      <x:c r="X204" s="267">
        <x:v>0</x:v>
      </x:c>
      <x:c r="Y204" s="269">
        <x:f t="shared" si="8"/>
        <x:v>0</x:v>
      </x:c>
    </x:row>
    <x:row r="205">
      <x:c r="A205" s="148" t="s">
        <x:v>105</x:v>
      </x:c>
      <x:c r="B205">
        <x:v>6</x:v>
      </x:c>
      <x:c r="C205" s="148" t="s">
        <x:v>116</x:v>
      </x:c>
      <x:c r="D205">
        <x:v>613</x:v>
      </x:c>
      <x:c r="E205" s="267">
        <x:v>0</x:v>
      </x:c>
      <x:c r="F205" s="267">
        <x:v>0</x:v>
      </x:c>
      <x:c r="G205" s="267">
        <x:v>0</x:v>
      </x:c>
      <x:c r="H205" s="267">
        <x:v>0</x:v>
      </x:c>
      <x:c r="I205" s="267">
        <x:v>0</x:v>
      </x:c>
      <x:c r="J205" s="267">
        <x:v>0</x:v>
      </x:c>
      <x:c r="K205" s="267">
        <x:v>0</x:v>
      </x:c>
      <x:c r="L205" s="267">
        <x:v>0</x:v>
      </x:c>
      <x:c r="M205" s="267">
        <x:v>0</x:v>
      </x:c>
      <x:c r="N205" s="267">
        <x:v>0</x:v>
      </x:c>
      <x:c r="O205" s="267">
        <x:v>0</x:v>
      </x:c>
      <x:c r="P205" s="267">
        <x:v>0</x:v>
      </x:c>
      <x:c r="Q205" s="267">
        <x:v>0</x:v>
      </x:c>
      <x:c r="R205" s="267">
        <x:v>0</x:v>
      </x:c>
      <x:c r="S205" s="267">
        <x:v>0</x:v>
      </x:c>
      <x:c r="T205" s="267">
        <x:v>0</x:v>
      </x:c>
      <x:c r="U205" s="267">
        <x:v>0</x:v>
      </x:c>
      <x:c r="V205" s="267">
        <x:v>0</x:v>
      </x:c>
      <x:c r="W205" s="267">
        <x:v>0</x:v>
      </x:c>
      <x:c r="X205" s="267">
        <x:v>0</x:v>
      </x:c>
      <x:c r="Y205" s="269">
        <x:f t="shared" si="8"/>
        <x:v>0</x:v>
      </x:c>
    </x:row>
    <x:row r="206">
      <x:c r="A206" s="148" t="s">
        <x:v>105</x:v>
      </x:c>
      <x:c r="B206">
        <x:v>6</x:v>
      </x:c>
      <x:c r="C206" s="148" t="s">
        <x:v>116</x:v>
      </x:c>
      <x:c r="D206">
        <x:v>614</x:v>
      </x:c>
      <x:c r="E206" s="267">
        <x:v>0</x:v>
      </x:c>
      <x:c r="F206" s="267">
        <x:v>0</x:v>
      </x:c>
      <x:c r="G206" s="267">
        <x:v>0</x:v>
      </x:c>
      <x:c r="H206" s="267">
        <x:v>0</x:v>
      </x:c>
      <x:c r="I206" s="267">
        <x:v>0</x:v>
      </x:c>
      <x:c r="J206" s="267">
        <x:v>0</x:v>
      </x:c>
      <x:c r="K206" s="267">
        <x:v>0</x:v>
      </x:c>
      <x:c r="L206" s="267">
        <x:v>0</x:v>
      </x:c>
      <x:c r="M206" s="267">
        <x:v>0</x:v>
      </x:c>
      <x:c r="N206" s="267">
        <x:v>0</x:v>
      </x:c>
      <x:c r="O206" s="267">
        <x:v>0</x:v>
      </x:c>
      <x:c r="P206" s="267">
        <x:v>0</x:v>
      </x:c>
      <x:c r="Q206" s="267">
        <x:v>0</x:v>
      </x:c>
      <x:c r="R206" s="267">
        <x:v>0</x:v>
      </x:c>
      <x:c r="S206" s="267">
        <x:v>0</x:v>
      </x:c>
      <x:c r="T206" s="267">
        <x:v>0</x:v>
      </x:c>
      <x:c r="U206" s="267">
        <x:v>0</x:v>
      </x:c>
      <x:c r="V206" s="267">
        <x:v>0</x:v>
      </x:c>
      <x:c r="W206" s="267">
        <x:v>0</x:v>
      </x:c>
      <x:c r="X206" s="267">
        <x:v>0</x:v>
      </x:c>
      <x:c r="Y206" s="269">
        <x:f t="shared" si="8"/>
        <x:v>0</x:v>
      </x:c>
    </x:row>
    <x:row r="207">
      <x:c r="A207" s="148" t="s">
        <x:v>105</x:v>
      </x:c>
      <x:c r="B207">
        <x:v>6</x:v>
      </x:c>
      <x:c r="C207" s="148" t="s">
        <x:v>116</x:v>
      </x:c>
      <x:c r="D207">
        <x:v>615</x:v>
      </x:c>
      <x:c r="E207" s="267">
        <x:v>0</x:v>
      </x:c>
      <x:c r="F207" s="267">
        <x:v>0</x:v>
      </x:c>
      <x:c r="G207" s="267">
        <x:v>0</x:v>
      </x:c>
      <x:c r="H207" s="267">
        <x:v>0</x:v>
      </x:c>
      <x:c r="I207" s="267">
        <x:v>0</x:v>
      </x:c>
      <x:c r="J207" s="267">
        <x:v>0</x:v>
      </x:c>
      <x:c r="K207" s="267">
        <x:v>0</x:v>
      </x:c>
      <x:c r="L207" s="267">
        <x:v>0</x:v>
      </x:c>
      <x:c r="M207" s="267">
        <x:v>0</x:v>
      </x:c>
      <x:c r="N207" s="267">
        <x:v>0</x:v>
      </x:c>
      <x:c r="O207" s="267">
        <x:v>0</x:v>
      </x:c>
      <x:c r="P207" s="267">
        <x:v>0</x:v>
      </x:c>
      <x:c r="Q207" s="267">
        <x:v>0</x:v>
      </x:c>
      <x:c r="R207" s="267">
        <x:v>0</x:v>
      </x:c>
      <x:c r="S207" s="267">
        <x:v>0</x:v>
      </x:c>
      <x:c r="T207" s="267">
        <x:v>0</x:v>
      </x:c>
      <x:c r="U207" s="267">
        <x:v>0</x:v>
      </x:c>
      <x:c r="V207" s="267">
        <x:v>0</x:v>
      </x:c>
      <x:c r="W207" s="267">
        <x:v>0</x:v>
      </x:c>
      <x:c r="X207" s="267">
        <x:v>0</x:v>
      </x:c>
      <x:c r="Y207" s="269">
        <x:f t="shared" si="8"/>
        <x:v>0</x:v>
      </x:c>
    </x:row>
    <x:row r="208">
      <x:c r="A208" s="148" t="s">
        <x:v>105</x:v>
      </x:c>
      <x:c r="B208">
        <x:v>6</x:v>
      </x:c>
      <x:c r="C208" s="148" t="s">
        <x:v>116</x:v>
      </x:c>
      <x:c r="D208">
        <x:v>616</x:v>
      </x:c>
      <x:c r="E208" s="267">
        <x:v>0</x:v>
      </x:c>
      <x:c r="F208" s="267">
        <x:v>0</x:v>
      </x:c>
      <x:c r="G208" s="267">
        <x:v>0</x:v>
      </x:c>
      <x:c r="H208" s="267">
        <x:v>0</x:v>
      </x:c>
      <x:c r="I208" s="267">
        <x:v>0</x:v>
      </x:c>
      <x:c r="J208" s="267">
        <x:v>0</x:v>
      </x:c>
      <x:c r="K208" s="267">
        <x:v>0</x:v>
      </x:c>
      <x:c r="L208" s="267">
        <x:v>0</x:v>
      </x:c>
      <x:c r="M208" s="267">
        <x:v>0</x:v>
      </x:c>
      <x:c r="N208" s="267">
        <x:v>0</x:v>
      </x:c>
      <x:c r="O208" s="267">
        <x:v>0</x:v>
      </x:c>
      <x:c r="P208" s="267">
        <x:v>0</x:v>
      </x:c>
      <x:c r="Q208" s="267">
        <x:v>0</x:v>
      </x:c>
      <x:c r="R208" s="267">
        <x:v>0</x:v>
      </x:c>
      <x:c r="S208" s="267">
        <x:v>0</x:v>
      </x:c>
      <x:c r="T208" s="267">
        <x:v>0</x:v>
      </x:c>
      <x:c r="U208" s="267">
        <x:v>0</x:v>
      </x:c>
      <x:c r="V208" s="267">
        <x:v>0</x:v>
      </x:c>
      <x:c r="W208" s="267">
        <x:v>0</x:v>
      </x:c>
      <x:c r="X208" s="267">
        <x:v>0</x:v>
      </x:c>
      <x:c r="Y208" s="269">
        <x:f t="shared" si="8"/>
        <x:v>0</x:v>
      </x:c>
    </x:row>
    <x:row r="209">
      <x:c r="A209" s="148" t="s">
        <x:v>105</x:v>
      </x:c>
      <x:c r="B209">
        <x:v>6</x:v>
      </x:c>
      <x:c r="C209" s="148" t="s">
        <x:v>116</x:v>
      </x:c>
      <x:c r="D209">
        <x:v>617</x:v>
      </x:c>
      <x:c r="E209" s="267">
        <x:v>0</x:v>
      </x:c>
      <x:c r="F209" s="267">
        <x:v>0</x:v>
      </x:c>
      <x:c r="G209" s="267">
        <x:v>0</x:v>
      </x:c>
      <x:c r="H209" s="267">
        <x:v>0</x:v>
      </x:c>
      <x:c r="I209" s="267">
        <x:v>0</x:v>
      </x:c>
      <x:c r="J209" s="267">
        <x:v>0</x:v>
      </x:c>
      <x:c r="K209" s="267">
        <x:v>0</x:v>
      </x:c>
      <x:c r="L209" s="267">
        <x:v>0</x:v>
      </x:c>
      <x:c r="M209" s="267">
        <x:v>0</x:v>
      </x:c>
      <x:c r="N209" s="267">
        <x:v>0</x:v>
      </x:c>
      <x:c r="O209" s="267">
        <x:v>0</x:v>
      </x:c>
      <x:c r="P209" s="267">
        <x:v>0</x:v>
      </x:c>
      <x:c r="Q209" s="267">
        <x:v>0</x:v>
      </x:c>
      <x:c r="R209" s="267">
        <x:v>0</x:v>
      </x:c>
      <x:c r="S209" s="267">
        <x:v>0</x:v>
      </x:c>
      <x:c r="T209" s="267">
        <x:v>0</x:v>
      </x:c>
      <x:c r="U209" s="267">
        <x:v>0</x:v>
      </x:c>
      <x:c r="V209" s="267">
        <x:v>0</x:v>
      </x:c>
      <x:c r="W209" s="267">
        <x:v>0</x:v>
      </x:c>
      <x:c r="X209" s="267">
        <x:v>0</x:v>
      </x:c>
      <x:c r="Y209" s="269">
        <x:f t="shared" si="8"/>
        <x:v>0</x:v>
      </x:c>
    </x:row>
    <x:row r="210">
      <x:c r="A210" s="148" t="s">
        <x:v>105</x:v>
      </x:c>
      <x:c r="B210">
        <x:v>6</x:v>
      </x:c>
      <x:c r="C210" s="148" t="s">
        <x:v>116</x:v>
      </x:c>
      <x:c r="D210">
        <x:v>618</x:v>
      </x:c>
      <x:c r="E210" s="267">
        <x:v>0</x:v>
      </x:c>
      <x:c r="F210" s="267">
        <x:v>0</x:v>
      </x:c>
      <x:c r="G210" s="267">
        <x:v>0</x:v>
      </x:c>
      <x:c r="H210" s="267">
        <x:v>0</x:v>
      </x:c>
      <x:c r="I210" s="267">
        <x:v>0</x:v>
      </x:c>
      <x:c r="J210" s="267">
        <x:v>0</x:v>
      </x:c>
      <x:c r="K210" s="267">
        <x:v>0</x:v>
      </x:c>
      <x:c r="L210" s="267">
        <x:v>0</x:v>
      </x:c>
      <x:c r="M210" s="267">
        <x:v>0</x:v>
      </x:c>
      <x:c r="N210" s="267">
        <x:v>0</x:v>
      </x:c>
      <x:c r="O210" s="267">
        <x:v>0</x:v>
      </x:c>
      <x:c r="P210" s="267">
        <x:v>0</x:v>
      </x:c>
      <x:c r="Q210" s="267">
        <x:v>0</x:v>
      </x:c>
      <x:c r="R210" s="267">
        <x:v>0</x:v>
      </x:c>
      <x:c r="S210" s="267">
        <x:v>0</x:v>
      </x:c>
      <x:c r="T210" s="267">
        <x:v>0</x:v>
      </x:c>
      <x:c r="U210" s="267">
        <x:v>0</x:v>
      </x:c>
      <x:c r="V210" s="267">
        <x:v>0</x:v>
      </x:c>
      <x:c r="W210" s="267">
        <x:v>0</x:v>
      </x:c>
      <x:c r="X210" s="267">
        <x:v>0</x:v>
      </x:c>
      <x:c r="Y210" s="269">
        <x:f t="shared" si="8"/>
        <x:v>0</x:v>
      </x:c>
    </x:row>
    <x:row r="211">
      <x:c r="A211" s="148" t="s">
        <x:v>105</x:v>
      </x:c>
      <x:c r="B211">
        <x:v>6</x:v>
      </x:c>
      <x:c r="C211" s="148" t="s">
        <x:v>116</x:v>
      </x:c>
      <x:c r="D211">
        <x:v>619</x:v>
      </x:c>
      <x:c r="E211" s="267">
        <x:v>0</x:v>
      </x:c>
      <x:c r="F211" s="267">
        <x:v>0</x:v>
      </x:c>
      <x:c r="G211" s="267">
        <x:v>0</x:v>
      </x:c>
      <x:c r="H211" s="267">
        <x:v>0</x:v>
      </x:c>
      <x:c r="I211" s="267">
        <x:v>0</x:v>
      </x:c>
      <x:c r="J211" s="267">
        <x:v>0</x:v>
      </x:c>
      <x:c r="K211" s="267">
        <x:v>0</x:v>
      </x:c>
      <x:c r="L211" s="267">
        <x:v>0</x:v>
      </x:c>
      <x:c r="M211" s="267">
        <x:v>0</x:v>
      </x:c>
      <x:c r="N211" s="267">
        <x:v>0</x:v>
      </x:c>
      <x:c r="O211" s="267">
        <x:v>0</x:v>
      </x:c>
      <x:c r="P211" s="267">
        <x:v>0</x:v>
      </x:c>
      <x:c r="Q211" s="267">
        <x:v>0</x:v>
      </x:c>
      <x:c r="R211" s="267">
        <x:v>0</x:v>
      </x:c>
      <x:c r="S211" s="267">
        <x:v>0</x:v>
      </x:c>
      <x:c r="T211" s="267">
        <x:v>0</x:v>
      </x:c>
      <x:c r="U211" s="267">
        <x:v>0</x:v>
      </x:c>
      <x:c r="V211" s="267">
        <x:v>0</x:v>
      </x:c>
      <x:c r="W211" s="267">
        <x:v>0</x:v>
      </x:c>
      <x:c r="X211" s="267">
        <x:v>0</x:v>
      </x:c>
      <x:c r="Y211" s="269">
        <x:f t="shared" si="8"/>
        <x:v>0</x:v>
      </x:c>
    </x:row>
    <x:row r="212">
      <x:c r="A212" s="148" t="s">
        <x:v>105</x:v>
      </x:c>
      <x:c r="B212">
        <x:v>6</x:v>
      </x:c>
      <x:c r="C212" s="148" t="s">
        <x:v>116</x:v>
      </x:c>
      <x:c r="D212">
        <x:v>620</x:v>
      </x:c>
      <x:c r="E212" s="267">
        <x:v>0</x:v>
      </x:c>
      <x:c r="F212" s="267">
        <x:v>0</x:v>
      </x:c>
      <x:c r="G212" s="267">
        <x:v>0</x:v>
      </x:c>
      <x:c r="H212" s="267">
        <x:v>0</x:v>
      </x:c>
      <x:c r="I212" s="267">
        <x:v>0</x:v>
      </x:c>
      <x:c r="J212" s="267">
        <x:v>0</x:v>
      </x:c>
      <x:c r="K212" s="267">
        <x:v>0</x:v>
      </x:c>
      <x:c r="L212" s="267">
        <x:v>0</x:v>
      </x:c>
      <x:c r="M212" s="267">
        <x:v>0</x:v>
      </x:c>
      <x:c r="N212" s="267">
        <x:v>0</x:v>
      </x:c>
      <x:c r="O212" s="267">
        <x:v>0</x:v>
      </x:c>
      <x:c r="P212" s="267">
        <x:v>0</x:v>
      </x:c>
      <x:c r="Q212" s="267">
        <x:v>0</x:v>
      </x:c>
      <x:c r="R212" s="267">
        <x:v>0</x:v>
      </x:c>
      <x:c r="S212" s="267">
        <x:v>0</x:v>
      </x:c>
      <x:c r="T212" s="267">
        <x:v>0</x:v>
      </x:c>
      <x:c r="U212" s="267">
        <x:v>0</x:v>
      </x:c>
      <x:c r="V212" s="267">
        <x:v>0</x:v>
      </x:c>
      <x:c r="W212" s="267">
        <x:v>0</x:v>
      </x:c>
      <x:c r="X212" s="267">
        <x:v>0</x:v>
      </x:c>
      <x:c r="Y212" s="269">
        <x:f t="shared" si="8"/>
        <x:v>0</x:v>
      </x:c>
    </x:row>
    <x:row r="213">
      <x:c r="A213" s="148" t="s">
        <x:v>105</x:v>
      </x:c>
      <x:c r="B213">
        <x:v>6</x:v>
      </x:c>
      <x:c r="C213" s="148" t="s">
        <x:v>116</x:v>
      </x:c>
      <x:c r="D213">
        <x:v>621</x:v>
      </x:c>
      <x:c r="E213" s="267">
        <x:v>0</x:v>
      </x:c>
      <x:c r="F213" s="267">
        <x:v>0</x:v>
      </x:c>
      <x:c r="G213" s="267">
        <x:v>0</x:v>
      </x:c>
      <x:c r="H213" s="267">
        <x:v>0</x:v>
      </x:c>
      <x:c r="I213" s="267">
        <x:v>0</x:v>
      </x:c>
      <x:c r="J213" s="267">
        <x:v>0</x:v>
      </x:c>
      <x:c r="K213" s="267">
        <x:v>0</x:v>
      </x:c>
      <x:c r="L213" s="267">
        <x:v>0</x:v>
      </x:c>
      <x:c r="M213" s="267">
        <x:v>0</x:v>
      </x:c>
      <x:c r="N213" s="267">
        <x:v>0</x:v>
      </x:c>
      <x:c r="O213" s="267">
        <x:v>0</x:v>
      </x:c>
      <x:c r="P213" s="267">
        <x:v>0</x:v>
      </x:c>
      <x:c r="Q213" s="267">
        <x:v>0</x:v>
      </x:c>
      <x:c r="R213" s="267">
        <x:v>0</x:v>
      </x:c>
      <x:c r="S213" s="267">
        <x:v>0</x:v>
      </x:c>
      <x:c r="T213" s="267">
        <x:v>0</x:v>
      </x:c>
      <x:c r="U213" s="267">
        <x:v>0</x:v>
      </x:c>
      <x:c r="V213" s="267">
        <x:v>0</x:v>
      </x:c>
      <x:c r="W213" s="267">
        <x:v>0</x:v>
      </x:c>
      <x:c r="X213" s="267">
        <x:v>0</x:v>
      </x:c>
      <x:c r="Y213" s="269">
        <x:f t="shared" si="8"/>
        <x:v>0</x:v>
      </x:c>
    </x:row>
    <x:row r="214">
      <x:c r="A214" s="148" t="s">
        <x:v>105</x:v>
      </x:c>
      <x:c r="B214">
        <x:v>6</x:v>
      </x:c>
      <x:c r="C214" s="148" t="s">
        <x:v>116</x:v>
      </x:c>
      <x:c r="D214">
        <x:v>622</x:v>
      </x:c>
      <x:c r="E214" s="267">
        <x:v>0</x:v>
      </x:c>
      <x:c r="F214" s="267">
        <x:v>0</x:v>
      </x:c>
      <x:c r="G214" s="267">
        <x:v>0</x:v>
      </x:c>
      <x:c r="H214" s="267">
        <x:v>0</x:v>
      </x:c>
      <x:c r="I214" s="267">
        <x:v>0</x:v>
      </x:c>
      <x:c r="J214" s="267">
        <x:v>0</x:v>
      </x:c>
      <x:c r="K214" s="267">
        <x:v>0</x:v>
      </x:c>
      <x:c r="L214" s="267">
        <x:v>0</x:v>
      </x:c>
      <x:c r="M214" s="267">
        <x:v>0</x:v>
      </x:c>
      <x:c r="N214" s="267">
        <x:v>0</x:v>
      </x:c>
      <x:c r="O214" s="267">
        <x:v>0</x:v>
      </x:c>
      <x:c r="P214" s="267">
        <x:v>0</x:v>
      </x:c>
      <x:c r="Q214" s="267">
        <x:v>0</x:v>
      </x:c>
      <x:c r="R214" s="267">
        <x:v>0</x:v>
      </x:c>
      <x:c r="S214" s="267">
        <x:v>0</x:v>
      </x:c>
      <x:c r="T214" s="267">
        <x:v>0</x:v>
      </x:c>
      <x:c r="U214" s="267">
        <x:v>0</x:v>
      </x:c>
      <x:c r="V214" s="267">
        <x:v>0</x:v>
      </x:c>
      <x:c r="W214" s="267">
        <x:v>0</x:v>
      </x:c>
      <x:c r="X214" s="267">
        <x:v>0</x:v>
      </x:c>
      <x:c r="Y214" s="269">
        <x:f t="shared" si="8"/>
        <x:v>0</x:v>
      </x:c>
    </x:row>
    <x:row r="215">
      <x:c r="A215" s="148" t="s">
        <x:v>105</x:v>
      </x:c>
      <x:c r="B215">
        <x:v>6</x:v>
      </x:c>
      <x:c r="C215" s="148" t="s">
        <x:v>116</x:v>
      </x:c>
      <x:c r="D215">
        <x:v>623</x:v>
      </x:c>
      <x:c r="E215" s="267">
        <x:v>0</x:v>
      </x:c>
      <x:c r="F215" s="267">
        <x:v>0</x:v>
      </x:c>
      <x:c r="G215" s="267">
        <x:v>0</x:v>
      </x:c>
      <x:c r="H215" s="267">
        <x:v>0</x:v>
      </x:c>
      <x:c r="I215" s="267">
        <x:v>0</x:v>
      </x:c>
      <x:c r="J215" s="267">
        <x:v>0</x:v>
      </x:c>
      <x:c r="K215" s="267">
        <x:v>0</x:v>
      </x:c>
      <x:c r="L215" s="267">
        <x:v>0</x:v>
      </x:c>
      <x:c r="M215" s="267">
        <x:v>0</x:v>
      </x:c>
      <x:c r="N215" s="267">
        <x:v>0</x:v>
      </x:c>
      <x:c r="O215" s="267">
        <x:v>0</x:v>
      </x:c>
      <x:c r="P215" s="267">
        <x:v>0</x:v>
      </x:c>
      <x:c r="Q215" s="267">
        <x:v>0</x:v>
      </x:c>
      <x:c r="R215" s="267">
        <x:v>0</x:v>
      </x:c>
      <x:c r="S215" s="267">
        <x:v>0</x:v>
      </x:c>
      <x:c r="T215" s="267">
        <x:v>0</x:v>
      </x:c>
      <x:c r="U215" s="267">
        <x:v>0</x:v>
      </x:c>
      <x:c r="V215" s="267">
        <x:v>0</x:v>
      </x:c>
      <x:c r="W215" s="267">
        <x:v>0</x:v>
      </x:c>
      <x:c r="X215" s="267">
        <x:v>0</x:v>
      </x:c>
      <x:c r="Y215" s="269">
        <x:f t="shared" si="8"/>
        <x:v>0</x:v>
      </x:c>
    </x:row>
    <x:row r="216">
      <x:c r="A216" s="148" t="s">
        <x:v>105</x:v>
      </x:c>
      <x:c r="B216">
        <x:v>6</x:v>
      </x:c>
      <x:c r="C216" s="148" t="s">
        <x:v>115</x:v>
      </x:c>
      <x:c r="D216">
        <x:v>601</x:v>
      </x:c>
      <x:c r="E216" s="267">
        <x:v>0</x:v>
      </x:c>
      <x:c r="F216" s="267">
        <x:v>0</x:v>
      </x:c>
      <x:c r="G216" s="267">
        <x:v>0</x:v>
      </x:c>
      <x:c r="H216" s="267">
        <x:v>0</x:v>
      </x:c>
      <x:c r="I216" s="267">
        <x:v>0</x:v>
      </x:c>
      <x:c r="J216" s="267">
        <x:v>0</x:v>
      </x:c>
      <x:c r="K216" s="267">
        <x:v>0</x:v>
      </x:c>
      <x:c r="L216" s="267">
        <x:v>0</x:v>
      </x:c>
      <x:c r="M216" s="267">
        <x:v>0</x:v>
      </x:c>
      <x:c r="N216" s="267">
        <x:v>0</x:v>
      </x:c>
      <x:c r="O216" s="267">
        <x:v>0</x:v>
      </x:c>
      <x:c r="P216" s="267">
        <x:v>0</x:v>
      </x:c>
      <x:c r="Q216" s="267">
        <x:v>0</x:v>
      </x:c>
      <x:c r="R216" s="267">
        <x:v>0</x:v>
      </x:c>
      <x:c r="S216" s="267">
        <x:v>0</x:v>
      </x:c>
      <x:c r="T216" s="267">
        <x:v>0</x:v>
      </x:c>
      <x:c r="U216" s="267">
        <x:v>0</x:v>
      </x:c>
      <x:c r="V216" s="267">
        <x:v>0</x:v>
      </x:c>
      <x:c r="W216" s="267">
        <x:v>0</x:v>
      </x:c>
      <x:c r="X216" s="267">
        <x:v>0</x:v>
      </x:c>
      <x:c r="Y216" s="269">
        <x:f t="shared" si="8"/>
        <x:v>0</x:v>
      </x:c>
    </x:row>
    <x:row r="217">
      <x:c r="A217" s="148" t="s">
        <x:v>105</x:v>
      </x:c>
      <x:c r="B217">
        <x:v>6</x:v>
      </x:c>
      <x:c r="C217" s="148" t="s">
        <x:v>115</x:v>
      </x:c>
      <x:c r="D217">
        <x:v>602</x:v>
      </x:c>
      <x:c r="E217" s="267">
        <x:v>0</x:v>
      </x:c>
      <x:c r="F217" s="267">
        <x:v>0</x:v>
      </x:c>
      <x:c r="G217" s="267">
        <x:v>0</x:v>
      </x:c>
      <x:c r="H217" s="267">
        <x:v>0</x:v>
      </x:c>
      <x:c r="I217" s="267">
        <x:v>0</x:v>
      </x:c>
      <x:c r="J217" s="267">
        <x:v>0</x:v>
      </x:c>
      <x:c r="K217" s="267">
        <x:v>0</x:v>
      </x:c>
      <x:c r="L217" s="267">
        <x:v>0</x:v>
      </x:c>
      <x:c r="M217" s="267">
        <x:v>0</x:v>
      </x:c>
      <x:c r="N217" s="267">
        <x:v>0</x:v>
      </x:c>
      <x:c r="O217" s="267">
        <x:v>0</x:v>
      </x:c>
      <x:c r="P217" s="267">
        <x:v>0</x:v>
      </x:c>
      <x:c r="Q217" s="267">
        <x:v>0</x:v>
      </x:c>
      <x:c r="R217" s="267">
        <x:v>0</x:v>
      </x:c>
      <x:c r="S217" s="267">
        <x:v>0</x:v>
      </x:c>
      <x:c r="T217" s="267">
        <x:v>0</x:v>
      </x:c>
      <x:c r="U217" s="267">
        <x:v>0</x:v>
      </x:c>
      <x:c r="V217" s="267">
        <x:v>0</x:v>
      </x:c>
      <x:c r="W217" s="267">
        <x:v>0</x:v>
      </x:c>
      <x:c r="X217" s="267">
        <x:v>0</x:v>
      </x:c>
      <x:c r="Y217" s="269">
        <x:f t="shared" si="8"/>
        <x:v>0</x:v>
      </x:c>
    </x:row>
    <x:row r="218">
      <x:c r="A218" s="148" t="s">
        <x:v>105</x:v>
      </x:c>
      <x:c r="B218">
        <x:v>6</x:v>
      </x:c>
      <x:c r="C218" s="148" t="s">
        <x:v>115</x:v>
      </x:c>
      <x:c r="D218">
        <x:v>603</x:v>
      </x:c>
      <x:c r="E218" s="267">
        <x:v>0</x:v>
      </x:c>
      <x:c r="F218" s="267">
        <x:v>0</x:v>
      </x:c>
      <x:c r="G218" s="267">
        <x:v>0</x:v>
      </x:c>
      <x:c r="H218" s="267">
        <x:v>0</x:v>
      </x:c>
      <x:c r="I218" s="267">
        <x:v>0</x:v>
      </x:c>
      <x:c r="J218" s="267">
        <x:v>0</x:v>
      </x:c>
      <x:c r="K218" s="267">
        <x:v>0</x:v>
      </x:c>
      <x:c r="L218" s="267">
        <x:v>0</x:v>
      </x:c>
      <x:c r="M218" s="267">
        <x:v>0</x:v>
      </x:c>
      <x:c r="N218" s="267">
        <x:v>0</x:v>
      </x:c>
      <x:c r="O218" s="267">
        <x:v>0</x:v>
      </x:c>
      <x:c r="P218" s="267">
        <x:v>0</x:v>
      </x:c>
      <x:c r="Q218" s="267">
        <x:v>0</x:v>
      </x:c>
      <x:c r="R218" s="267">
        <x:v>0</x:v>
      </x:c>
      <x:c r="S218" s="267">
        <x:v>0</x:v>
      </x:c>
      <x:c r="T218" s="267">
        <x:v>0</x:v>
      </x:c>
      <x:c r="U218" s="267">
        <x:v>0</x:v>
      </x:c>
      <x:c r="V218" s="267">
        <x:v>0</x:v>
      </x:c>
      <x:c r="W218" s="267">
        <x:v>0</x:v>
      </x:c>
      <x:c r="X218" s="267">
        <x:v>0</x:v>
      </x:c>
      <x:c r="Y218" s="269">
        <x:f t="shared" si="8"/>
        <x:v>0</x:v>
      </x:c>
    </x:row>
    <x:row r="219">
      <x:c r="A219" s="148" t="s">
        <x:v>105</x:v>
      </x:c>
      <x:c r="B219">
        <x:v>6</x:v>
      </x:c>
      <x:c r="C219" s="148" t="s">
        <x:v>115</x:v>
      </x:c>
      <x:c r="D219">
        <x:v>604</x:v>
      </x:c>
      <x:c r="E219" s="267">
        <x:v>0</x:v>
      </x:c>
      <x:c r="F219" s="267">
        <x:v>0</x:v>
      </x:c>
      <x:c r="G219" s="267">
        <x:v>0</x:v>
      </x:c>
      <x:c r="H219" s="267">
        <x:v>0</x:v>
      </x:c>
      <x:c r="I219" s="267">
        <x:v>0</x:v>
      </x:c>
      <x:c r="J219" s="267">
        <x:v>0</x:v>
      </x:c>
      <x:c r="K219" s="267">
        <x:v>0</x:v>
      </x:c>
      <x:c r="L219" s="267">
        <x:v>0</x:v>
      </x:c>
      <x:c r="M219" s="267">
        <x:v>0</x:v>
      </x:c>
      <x:c r="N219" s="267">
        <x:v>0</x:v>
      </x:c>
      <x:c r="O219" s="267">
        <x:v>0</x:v>
      </x:c>
      <x:c r="P219" s="267">
        <x:v>0</x:v>
      </x:c>
      <x:c r="Q219" s="267">
        <x:v>0</x:v>
      </x:c>
      <x:c r="R219" s="267">
        <x:v>0</x:v>
      </x:c>
      <x:c r="S219" s="267">
        <x:v>0</x:v>
      </x:c>
      <x:c r="T219" s="267">
        <x:v>0</x:v>
      </x:c>
      <x:c r="U219" s="267">
        <x:v>0</x:v>
      </x:c>
      <x:c r="V219" s="267">
        <x:v>0</x:v>
      </x:c>
      <x:c r="W219" s="267">
        <x:v>0</x:v>
      </x:c>
      <x:c r="X219" s="267">
        <x:v>0</x:v>
      </x:c>
      <x:c r="Y219" s="269">
        <x:f t="shared" si="8"/>
        <x:v>0</x:v>
      </x:c>
    </x:row>
    <x:row r="220">
      <x:c r="A220" s="148" t="s">
        <x:v>105</x:v>
      </x:c>
      <x:c r="B220">
        <x:v>6</x:v>
      </x:c>
      <x:c r="C220" s="148" t="s">
        <x:v>115</x:v>
      </x:c>
      <x:c r="D220">
        <x:v>605</x:v>
      </x:c>
      <x:c r="E220" s="267">
        <x:v>0</x:v>
      </x:c>
      <x:c r="F220" s="267">
        <x:v>0</x:v>
      </x:c>
      <x:c r="G220" s="267">
        <x:v>0</x:v>
      </x:c>
      <x:c r="H220" s="267">
        <x:v>0</x:v>
      </x:c>
      <x:c r="I220" s="267">
        <x:v>0</x:v>
      </x:c>
      <x:c r="J220" s="267">
        <x:v>0</x:v>
      </x:c>
      <x:c r="K220" s="267">
        <x:v>0</x:v>
      </x:c>
      <x:c r="L220" s="267">
        <x:v>0</x:v>
      </x:c>
      <x:c r="M220" s="267">
        <x:v>0</x:v>
      </x:c>
      <x:c r="N220" s="267">
        <x:v>0</x:v>
      </x:c>
      <x:c r="O220" s="267">
        <x:v>0</x:v>
      </x:c>
      <x:c r="P220" s="267">
        <x:v>0</x:v>
      </x:c>
      <x:c r="Q220" s="267">
        <x:v>0</x:v>
      </x:c>
      <x:c r="R220" s="267">
        <x:v>0</x:v>
      </x:c>
      <x:c r="S220" s="267">
        <x:v>0</x:v>
      </x:c>
      <x:c r="T220" s="267">
        <x:v>0</x:v>
      </x:c>
      <x:c r="U220" s="267">
        <x:v>0</x:v>
      </x:c>
      <x:c r="V220" s="267">
        <x:v>0</x:v>
      </x:c>
      <x:c r="W220" s="267">
        <x:v>0</x:v>
      </x:c>
      <x:c r="X220" s="267">
        <x:v>0</x:v>
      </x:c>
      <x:c r="Y220" s="269">
        <x:f t="shared" si="8"/>
        <x:v>0</x:v>
      </x:c>
    </x:row>
    <x:row r="221">
      <x:c r="A221" s="148" t="s">
        <x:v>105</x:v>
      </x:c>
      <x:c r="B221">
        <x:v>6</x:v>
      </x:c>
      <x:c r="C221" s="148" t="s">
        <x:v>115</x:v>
      </x:c>
      <x:c r="D221">
        <x:v>606</x:v>
      </x:c>
      <x:c r="E221" s="267">
        <x:v>0</x:v>
      </x:c>
      <x:c r="F221" s="267">
        <x:v>0</x:v>
      </x:c>
      <x:c r="G221" s="267">
        <x:v>0</x:v>
      </x:c>
      <x:c r="H221" s="267">
        <x:v>0</x:v>
      </x:c>
      <x:c r="I221" s="267">
        <x:v>0</x:v>
      </x:c>
      <x:c r="J221" s="267">
        <x:v>0</x:v>
      </x:c>
      <x:c r="K221" s="267">
        <x:v>0</x:v>
      </x:c>
      <x:c r="L221" s="267">
        <x:v>0</x:v>
      </x:c>
      <x:c r="M221" s="267">
        <x:v>0</x:v>
      </x:c>
      <x:c r="N221" s="267">
        <x:v>0</x:v>
      </x:c>
      <x:c r="O221" s="267">
        <x:v>0</x:v>
      </x:c>
      <x:c r="P221" s="267">
        <x:v>0</x:v>
      </x:c>
      <x:c r="Q221" s="267">
        <x:v>0</x:v>
      </x:c>
      <x:c r="R221" s="267">
        <x:v>0</x:v>
      </x:c>
      <x:c r="S221" s="267">
        <x:v>0</x:v>
      </x:c>
      <x:c r="T221" s="267">
        <x:v>0</x:v>
      </x:c>
      <x:c r="U221" s="267">
        <x:v>0</x:v>
      </x:c>
      <x:c r="V221" s="267">
        <x:v>0</x:v>
      </x:c>
      <x:c r="W221" s="267">
        <x:v>0</x:v>
      </x:c>
      <x:c r="X221" s="267">
        <x:v>0</x:v>
      </x:c>
      <x:c r="Y221" s="269">
        <x:f t="shared" si="8"/>
        <x:v>0</x:v>
      </x:c>
    </x:row>
    <x:row r="222">
      <x:c r="A222" s="148" t="s">
        <x:v>105</x:v>
      </x:c>
      <x:c r="B222">
        <x:v>6</x:v>
      </x:c>
      <x:c r="C222" s="148" t="s">
        <x:v>115</x:v>
      </x:c>
      <x:c r="D222">
        <x:v>607</x:v>
      </x:c>
      <x:c r="E222" s="267">
        <x:v>0</x:v>
      </x:c>
      <x:c r="F222" s="267">
        <x:v>0</x:v>
      </x:c>
      <x:c r="G222" s="267">
        <x:v>0</x:v>
      </x:c>
      <x:c r="H222" s="267">
        <x:v>0</x:v>
      </x:c>
      <x:c r="I222" s="267">
        <x:v>0</x:v>
      </x:c>
      <x:c r="J222" s="267">
        <x:v>0</x:v>
      </x:c>
      <x:c r="K222" s="267">
        <x:v>0</x:v>
      </x:c>
      <x:c r="L222" s="267">
        <x:v>0</x:v>
      </x:c>
      <x:c r="M222" s="267">
        <x:v>0</x:v>
      </x:c>
      <x:c r="N222" s="267">
        <x:v>0</x:v>
      </x:c>
      <x:c r="O222" s="267">
        <x:v>0</x:v>
      </x:c>
      <x:c r="P222" s="267">
        <x:v>0</x:v>
      </x:c>
      <x:c r="Q222" s="267">
        <x:v>0</x:v>
      </x:c>
      <x:c r="R222" s="267">
        <x:v>0</x:v>
      </x:c>
      <x:c r="S222" s="267">
        <x:v>0</x:v>
      </x:c>
      <x:c r="T222" s="267">
        <x:v>0</x:v>
      </x:c>
      <x:c r="U222" s="267">
        <x:v>0</x:v>
      </x:c>
      <x:c r="V222" s="267">
        <x:v>0</x:v>
      </x:c>
      <x:c r="W222" s="267">
        <x:v>0</x:v>
      </x:c>
      <x:c r="X222" s="267">
        <x:v>0</x:v>
      </x:c>
      <x:c r="Y222" s="269">
        <x:f t="shared" si="8"/>
        <x:v>0</x:v>
      </x:c>
    </x:row>
    <x:row r="223">
      <x:c r="A223" s="148" t="s">
        <x:v>105</x:v>
      </x:c>
      <x:c r="B223">
        <x:v>6</x:v>
      </x:c>
      <x:c r="C223" s="148" t="s">
        <x:v>115</x:v>
      </x:c>
      <x:c r="D223">
        <x:v>608</x:v>
      </x:c>
      <x:c r="E223" s="267">
        <x:v>0</x:v>
      </x:c>
      <x:c r="F223" s="267">
        <x:v>0</x:v>
      </x:c>
      <x:c r="G223" s="267">
        <x:v>0</x:v>
      </x:c>
      <x:c r="H223" s="267">
        <x:v>0</x:v>
      </x:c>
      <x:c r="I223" s="267">
        <x:v>0</x:v>
      </x:c>
      <x:c r="J223" s="267">
        <x:v>0</x:v>
      </x:c>
      <x:c r="K223" s="267">
        <x:v>0</x:v>
      </x:c>
      <x:c r="L223" s="267">
        <x:v>0</x:v>
      </x:c>
      <x:c r="M223" s="267">
        <x:v>0</x:v>
      </x:c>
      <x:c r="N223" s="267">
        <x:v>0</x:v>
      </x:c>
      <x:c r="O223" s="267">
        <x:v>0</x:v>
      </x:c>
      <x:c r="P223" s="267">
        <x:v>0</x:v>
      </x:c>
      <x:c r="Q223" s="267">
        <x:v>0</x:v>
      </x:c>
      <x:c r="R223" s="267">
        <x:v>0</x:v>
      </x:c>
      <x:c r="S223" s="267">
        <x:v>0</x:v>
      </x:c>
      <x:c r="T223" s="267">
        <x:v>0</x:v>
      </x:c>
      <x:c r="U223" s="267">
        <x:v>0</x:v>
      </x:c>
      <x:c r="V223" s="267">
        <x:v>0</x:v>
      </x:c>
      <x:c r="W223" s="267">
        <x:v>0</x:v>
      </x:c>
      <x:c r="X223" s="267">
        <x:v>0</x:v>
      </x:c>
      <x:c r="Y223" s="269">
        <x:f t="shared" si="8"/>
        <x:v>0</x:v>
      </x:c>
    </x:row>
    <x:row r="224">
      <x:c r="A224" s="148" t="s">
        <x:v>105</x:v>
      </x:c>
      <x:c r="B224">
        <x:v>6</x:v>
      </x:c>
      <x:c r="C224" s="148" t="s">
        <x:v>115</x:v>
      </x:c>
      <x:c r="D224">
        <x:v>609</x:v>
      </x:c>
      <x:c r="E224" s="267">
        <x:v>0</x:v>
      </x:c>
      <x:c r="F224" s="267">
        <x:v>0</x:v>
      </x:c>
      <x:c r="G224" s="267">
        <x:v>0</x:v>
      </x:c>
      <x:c r="H224" s="267">
        <x:v>0</x:v>
      </x:c>
      <x:c r="I224" s="267">
        <x:v>0</x:v>
      </x:c>
      <x:c r="J224" s="267">
        <x:v>0</x:v>
      </x:c>
      <x:c r="K224" s="267">
        <x:v>0</x:v>
      </x:c>
      <x:c r="L224" s="267">
        <x:v>0</x:v>
      </x:c>
      <x:c r="M224" s="267">
        <x:v>0</x:v>
      </x:c>
      <x:c r="N224" s="267">
        <x:v>0</x:v>
      </x:c>
      <x:c r="O224" s="267">
        <x:v>0</x:v>
      </x:c>
      <x:c r="P224" s="267">
        <x:v>0</x:v>
      </x:c>
      <x:c r="Q224" s="267">
        <x:v>0</x:v>
      </x:c>
      <x:c r="R224" s="267">
        <x:v>0</x:v>
      </x:c>
      <x:c r="S224" s="267">
        <x:v>0</x:v>
      </x:c>
      <x:c r="T224" s="267">
        <x:v>0</x:v>
      </x:c>
      <x:c r="U224" s="267">
        <x:v>0</x:v>
      </x:c>
      <x:c r="V224" s="267">
        <x:v>0</x:v>
      </x:c>
      <x:c r="W224" s="267">
        <x:v>0</x:v>
      </x:c>
      <x:c r="X224" s="267">
        <x:v>0</x:v>
      </x:c>
      <x:c r="Y224" s="269">
        <x:f t="shared" si="8"/>
        <x:v>0</x:v>
      </x:c>
    </x:row>
    <x:row r="225">
      <x:c r="A225" s="148" t="s">
        <x:v>105</x:v>
      </x:c>
      <x:c r="B225">
        <x:v>6</x:v>
      </x:c>
      <x:c r="C225" s="148" t="s">
        <x:v>115</x:v>
      </x:c>
      <x:c r="D225">
        <x:v>610</x:v>
      </x:c>
      <x:c r="E225" s="267">
        <x:v>0</x:v>
      </x:c>
      <x:c r="F225" s="267">
        <x:v>0</x:v>
      </x:c>
      <x:c r="G225" s="267">
        <x:v>0</x:v>
      </x:c>
      <x:c r="H225" s="267">
        <x:v>0</x:v>
      </x:c>
      <x:c r="I225" s="267">
        <x:v>0</x:v>
      </x:c>
      <x:c r="J225" s="267">
        <x:v>0</x:v>
      </x:c>
      <x:c r="K225" s="267">
        <x:v>0</x:v>
      </x:c>
      <x:c r="L225" s="267">
        <x:v>0</x:v>
      </x:c>
      <x:c r="M225" s="267">
        <x:v>0</x:v>
      </x:c>
      <x:c r="N225" s="267">
        <x:v>0</x:v>
      </x:c>
      <x:c r="O225" s="267">
        <x:v>0</x:v>
      </x:c>
      <x:c r="P225" s="267">
        <x:v>0</x:v>
      </x:c>
      <x:c r="Q225" s="267">
        <x:v>0</x:v>
      </x:c>
      <x:c r="R225" s="267">
        <x:v>0</x:v>
      </x:c>
      <x:c r="S225" s="267">
        <x:v>0</x:v>
      </x:c>
      <x:c r="T225" s="267">
        <x:v>0</x:v>
      </x:c>
      <x:c r="U225" s="267">
        <x:v>0</x:v>
      </x:c>
      <x:c r="V225" s="267">
        <x:v>0</x:v>
      </x:c>
      <x:c r="W225" s="267">
        <x:v>0</x:v>
      </x:c>
      <x:c r="X225" s="267">
        <x:v>0</x:v>
      </x:c>
      <x:c r="Y225" s="269">
        <x:f t="shared" si="8"/>
        <x:v>0</x:v>
      </x:c>
    </x:row>
    <x:row r="226">
      <x:c r="A226" s="148" t="s">
        <x:v>105</x:v>
      </x:c>
      <x:c r="B226">
        <x:v>6</x:v>
      </x:c>
      <x:c r="C226" s="148" t="s">
        <x:v>115</x:v>
      </x:c>
      <x:c r="D226">
        <x:v>611</x:v>
      </x:c>
      <x:c r="E226" s="267">
        <x:v>0</x:v>
      </x:c>
      <x:c r="F226" s="267">
        <x:v>0</x:v>
      </x:c>
      <x:c r="G226" s="267">
        <x:v>0</x:v>
      </x:c>
      <x:c r="H226" s="267">
        <x:v>0</x:v>
      </x:c>
      <x:c r="I226" s="267">
        <x:v>0</x:v>
      </x:c>
      <x:c r="J226" s="267">
        <x:v>0</x:v>
      </x:c>
      <x:c r="K226" s="267">
        <x:v>0</x:v>
      </x:c>
      <x:c r="L226" s="267">
        <x:v>0</x:v>
      </x:c>
      <x:c r="M226" s="267">
        <x:v>0</x:v>
      </x:c>
      <x:c r="N226" s="267">
        <x:v>0</x:v>
      </x:c>
      <x:c r="O226" s="267">
        <x:v>0</x:v>
      </x:c>
      <x:c r="P226" s="267">
        <x:v>0</x:v>
      </x:c>
      <x:c r="Q226" s="267">
        <x:v>0</x:v>
      </x:c>
      <x:c r="R226" s="267">
        <x:v>0</x:v>
      </x:c>
      <x:c r="S226" s="267">
        <x:v>0</x:v>
      </x:c>
      <x:c r="T226" s="267">
        <x:v>0</x:v>
      </x:c>
      <x:c r="U226" s="267">
        <x:v>0</x:v>
      </x:c>
      <x:c r="V226" s="267">
        <x:v>0</x:v>
      </x:c>
      <x:c r="W226" s="267">
        <x:v>0</x:v>
      </x:c>
      <x:c r="X226" s="267">
        <x:v>0</x:v>
      </x:c>
      <x:c r="Y226" s="269">
        <x:f t="shared" si="8"/>
        <x:v>0</x:v>
      </x:c>
    </x:row>
    <x:row r="227">
      <x:c r="A227" s="148" t="s">
        <x:v>105</x:v>
      </x:c>
      <x:c r="B227">
        <x:v>6</x:v>
      </x:c>
      <x:c r="C227" s="148" t="s">
        <x:v>115</x:v>
      </x:c>
      <x:c r="D227">
        <x:v>612</x:v>
      </x:c>
      <x:c r="E227" s="267">
        <x:v>0</x:v>
      </x:c>
      <x:c r="F227" s="267">
        <x:v>0</x:v>
      </x:c>
      <x:c r="G227" s="267">
        <x:v>0</x:v>
      </x:c>
      <x:c r="H227" s="267">
        <x:v>0</x:v>
      </x:c>
      <x:c r="I227" s="267">
        <x:v>0</x:v>
      </x:c>
      <x:c r="J227" s="267">
        <x:v>0</x:v>
      </x:c>
      <x:c r="K227" s="267">
        <x:v>0</x:v>
      </x:c>
      <x:c r="L227" s="267">
        <x:v>0</x:v>
      </x:c>
      <x:c r="M227" s="267">
        <x:v>0</x:v>
      </x:c>
      <x:c r="N227" s="267">
        <x:v>0</x:v>
      </x:c>
      <x:c r="O227" s="267">
        <x:v>0</x:v>
      </x:c>
      <x:c r="P227" s="267">
        <x:v>0</x:v>
      </x:c>
      <x:c r="Q227" s="267">
        <x:v>0</x:v>
      </x:c>
      <x:c r="R227" s="267">
        <x:v>0</x:v>
      </x:c>
      <x:c r="S227" s="267">
        <x:v>0</x:v>
      </x:c>
      <x:c r="T227" s="267">
        <x:v>0</x:v>
      </x:c>
      <x:c r="U227" s="267">
        <x:v>0</x:v>
      </x:c>
      <x:c r="V227" s="267">
        <x:v>0</x:v>
      </x:c>
      <x:c r="W227" s="267">
        <x:v>0</x:v>
      </x:c>
      <x:c r="X227" s="267">
        <x:v>0</x:v>
      </x:c>
      <x:c r="Y227" s="269">
        <x:f t="shared" si="8"/>
        <x:v>0</x:v>
      </x:c>
    </x:row>
    <x:row r="228">
      <x:c r="A228" s="148" t="s">
        <x:v>105</x:v>
      </x:c>
      <x:c r="B228">
        <x:v>6</x:v>
      </x:c>
      <x:c r="C228" s="148" t="s">
        <x:v>115</x:v>
      </x:c>
      <x:c r="D228">
        <x:v>613</x:v>
      </x:c>
      <x:c r="E228" s="267">
        <x:v>0</x:v>
      </x:c>
      <x:c r="F228" s="267">
        <x:v>0</x:v>
      </x:c>
      <x:c r="G228" s="267">
        <x:v>0</x:v>
      </x:c>
      <x:c r="H228" s="267">
        <x:v>0</x:v>
      </x:c>
      <x:c r="I228" s="267">
        <x:v>0</x:v>
      </x:c>
      <x:c r="J228" s="267">
        <x:v>0</x:v>
      </x:c>
      <x:c r="K228" s="267">
        <x:v>0</x:v>
      </x:c>
      <x:c r="L228" s="267">
        <x:v>0</x:v>
      </x:c>
      <x:c r="M228" s="267">
        <x:v>0</x:v>
      </x:c>
      <x:c r="N228" s="267">
        <x:v>0</x:v>
      </x:c>
      <x:c r="O228" s="267">
        <x:v>0</x:v>
      </x:c>
      <x:c r="P228" s="267">
        <x:v>0</x:v>
      </x:c>
      <x:c r="Q228" s="267">
        <x:v>0</x:v>
      </x:c>
      <x:c r="R228" s="267">
        <x:v>0</x:v>
      </x:c>
      <x:c r="S228" s="267">
        <x:v>0</x:v>
      </x:c>
      <x:c r="T228" s="267">
        <x:v>0</x:v>
      </x:c>
      <x:c r="U228" s="267">
        <x:v>0</x:v>
      </x:c>
      <x:c r="V228" s="267">
        <x:v>0</x:v>
      </x:c>
      <x:c r="W228" s="267">
        <x:v>0</x:v>
      </x:c>
      <x:c r="X228" s="267">
        <x:v>0</x:v>
      </x:c>
      <x:c r="Y228" s="269">
        <x:f t="shared" si="8"/>
        <x:v>0</x:v>
      </x:c>
    </x:row>
    <x:row r="229">
      <x:c r="A229" s="148" t="s">
        <x:v>105</x:v>
      </x:c>
      <x:c r="B229">
        <x:v>6</x:v>
      </x:c>
      <x:c r="C229" s="148" t="s">
        <x:v>115</x:v>
      </x:c>
      <x:c r="D229">
        <x:v>614</x:v>
      </x:c>
      <x:c r="E229" s="267">
        <x:v>0</x:v>
      </x:c>
      <x:c r="F229" s="267">
        <x:v>0</x:v>
      </x:c>
      <x:c r="G229" s="267">
        <x:v>0</x:v>
      </x:c>
      <x:c r="H229" s="267">
        <x:v>0</x:v>
      </x:c>
      <x:c r="I229" s="267">
        <x:v>0</x:v>
      </x:c>
      <x:c r="J229" s="267">
        <x:v>0</x:v>
      </x:c>
      <x:c r="K229" s="267">
        <x:v>0</x:v>
      </x:c>
      <x:c r="L229" s="267">
        <x:v>0</x:v>
      </x:c>
      <x:c r="M229" s="267">
        <x:v>0</x:v>
      </x:c>
      <x:c r="N229" s="267">
        <x:v>0</x:v>
      </x:c>
      <x:c r="O229" s="267">
        <x:v>0</x:v>
      </x:c>
      <x:c r="P229" s="267">
        <x:v>0</x:v>
      </x:c>
      <x:c r="Q229" s="267">
        <x:v>0</x:v>
      </x:c>
      <x:c r="R229" s="267">
        <x:v>0</x:v>
      </x:c>
      <x:c r="S229" s="267">
        <x:v>0</x:v>
      </x:c>
      <x:c r="T229" s="267">
        <x:v>0</x:v>
      </x:c>
      <x:c r="U229" s="267">
        <x:v>0</x:v>
      </x:c>
      <x:c r="V229" s="267">
        <x:v>0</x:v>
      </x:c>
      <x:c r="W229" s="267">
        <x:v>0</x:v>
      </x:c>
      <x:c r="X229" s="267">
        <x:v>0</x:v>
      </x:c>
      <x:c r="Y229" s="269">
        <x:f t="shared" si="8"/>
        <x:v>0</x:v>
      </x:c>
    </x:row>
    <x:row r="230">
      <x:c r="A230" s="148" t="s">
        <x:v>105</x:v>
      </x:c>
      <x:c r="B230">
        <x:v>6</x:v>
      </x:c>
      <x:c r="C230" s="148" t="s">
        <x:v>115</x:v>
      </x:c>
      <x:c r="D230">
        <x:v>615</x:v>
      </x:c>
      <x:c r="E230" s="267">
        <x:v>0</x:v>
      </x:c>
      <x:c r="F230" s="267">
        <x:v>0</x:v>
      </x:c>
      <x:c r="G230" s="267">
        <x:v>0</x:v>
      </x:c>
      <x:c r="H230" s="267">
        <x:v>0</x:v>
      </x:c>
      <x:c r="I230" s="267">
        <x:v>0</x:v>
      </x:c>
      <x:c r="J230" s="267">
        <x:v>0</x:v>
      </x:c>
      <x:c r="K230" s="267">
        <x:v>0</x:v>
      </x:c>
      <x:c r="L230" s="267">
        <x:v>0</x:v>
      </x:c>
      <x:c r="M230" s="267">
        <x:v>0</x:v>
      </x:c>
      <x:c r="N230" s="267">
        <x:v>0</x:v>
      </x:c>
      <x:c r="O230" s="267">
        <x:v>0</x:v>
      </x:c>
      <x:c r="P230" s="267">
        <x:v>0</x:v>
      </x:c>
      <x:c r="Q230" s="267">
        <x:v>0</x:v>
      </x:c>
      <x:c r="R230" s="267">
        <x:v>0</x:v>
      </x:c>
      <x:c r="S230" s="267">
        <x:v>0</x:v>
      </x:c>
      <x:c r="T230" s="267">
        <x:v>0</x:v>
      </x:c>
      <x:c r="U230" s="267">
        <x:v>0</x:v>
      </x:c>
      <x:c r="V230" s="267">
        <x:v>0</x:v>
      </x:c>
      <x:c r="W230" s="267">
        <x:v>0</x:v>
      </x:c>
      <x:c r="X230" s="267">
        <x:v>0</x:v>
      </x:c>
      <x:c r="Y230" s="269">
        <x:f t="shared" si="8"/>
        <x:v>0</x:v>
      </x:c>
    </x:row>
    <x:row r="231">
      <x:c r="A231" s="148" t="s">
        <x:v>105</x:v>
      </x:c>
      <x:c r="B231">
        <x:v>6</x:v>
      </x:c>
      <x:c r="C231" s="148" t="s">
        <x:v>115</x:v>
      </x:c>
      <x:c r="D231">
        <x:v>616</x:v>
      </x:c>
      <x:c r="E231" s="267">
        <x:v>0</x:v>
      </x:c>
      <x:c r="F231" s="267">
        <x:v>0</x:v>
      </x:c>
      <x:c r="G231" s="267">
        <x:v>0</x:v>
      </x:c>
      <x:c r="H231" s="267">
        <x:v>0</x:v>
      </x:c>
      <x:c r="I231" s="267">
        <x:v>0</x:v>
      </x:c>
      <x:c r="J231" s="267">
        <x:v>0</x:v>
      </x:c>
      <x:c r="K231" s="267">
        <x:v>0</x:v>
      </x:c>
      <x:c r="L231" s="267">
        <x:v>0</x:v>
      </x:c>
      <x:c r="M231" s="267">
        <x:v>0</x:v>
      </x:c>
      <x:c r="N231" s="267">
        <x:v>0</x:v>
      </x:c>
      <x:c r="O231" s="267">
        <x:v>0</x:v>
      </x:c>
      <x:c r="P231" s="267">
        <x:v>0</x:v>
      </x:c>
      <x:c r="Q231" s="267">
        <x:v>0</x:v>
      </x:c>
      <x:c r="R231" s="267">
        <x:v>0</x:v>
      </x:c>
      <x:c r="S231" s="267">
        <x:v>0</x:v>
      </x:c>
      <x:c r="T231" s="267">
        <x:v>0</x:v>
      </x:c>
      <x:c r="U231" s="267">
        <x:v>0</x:v>
      </x:c>
      <x:c r="V231" s="267">
        <x:v>0</x:v>
      </x:c>
      <x:c r="W231" s="267">
        <x:v>0</x:v>
      </x:c>
      <x:c r="X231" s="267">
        <x:v>0</x:v>
      </x:c>
      <x:c r="Y231" s="269">
        <x:f t="shared" si="8"/>
        <x:v>0</x:v>
      </x:c>
    </x:row>
    <x:row r="232">
      <x:c r="A232" s="148" t="s">
        <x:v>105</x:v>
      </x:c>
      <x:c r="B232">
        <x:v>6</x:v>
      </x:c>
      <x:c r="C232" s="148" t="s">
        <x:v>115</x:v>
      </x:c>
      <x:c r="D232">
        <x:v>617</x:v>
      </x:c>
      <x:c r="E232" s="267">
        <x:v>0</x:v>
      </x:c>
      <x:c r="F232" s="267">
        <x:v>0</x:v>
      </x:c>
      <x:c r="G232" s="267">
        <x:v>0</x:v>
      </x:c>
      <x:c r="H232" s="267">
        <x:v>0</x:v>
      </x:c>
      <x:c r="I232" s="267">
        <x:v>0</x:v>
      </x:c>
      <x:c r="J232" s="267">
        <x:v>0</x:v>
      </x:c>
      <x:c r="K232" s="267">
        <x:v>0</x:v>
      </x:c>
      <x:c r="L232" s="267">
        <x:v>0</x:v>
      </x:c>
      <x:c r="M232" s="267">
        <x:v>0</x:v>
      </x:c>
      <x:c r="N232" s="267">
        <x:v>0</x:v>
      </x:c>
      <x:c r="O232" s="267">
        <x:v>0</x:v>
      </x:c>
      <x:c r="P232" s="267">
        <x:v>0</x:v>
      </x:c>
      <x:c r="Q232" s="267">
        <x:v>0</x:v>
      </x:c>
      <x:c r="R232" s="267">
        <x:v>0</x:v>
      </x:c>
      <x:c r="S232" s="267">
        <x:v>0</x:v>
      </x:c>
      <x:c r="T232" s="267">
        <x:v>0</x:v>
      </x:c>
      <x:c r="U232" s="267">
        <x:v>0</x:v>
      </x:c>
      <x:c r="V232" s="267">
        <x:v>0</x:v>
      </x:c>
      <x:c r="W232" s="267">
        <x:v>0</x:v>
      </x:c>
      <x:c r="X232" s="267">
        <x:v>0</x:v>
      </x:c>
      <x:c r="Y232" s="269">
        <x:f t="shared" si="8"/>
        <x:v>0</x:v>
      </x:c>
    </x:row>
    <x:row r="233">
      <x:c r="A233" s="148" t="s">
        <x:v>105</x:v>
      </x:c>
      <x:c r="B233">
        <x:v>6</x:v>
      </x:c>
      <x:c r="C233" s="148" t="s">
        <x:v>115</x:v>
      </x:c>
      <x:c r="D233">
        <x:v>618</x:v>
      </x:c>
      <x:c r="E233" s="267">
        <x:v>0</x:v>
      </x:c>
      <x:c r="F233" s="267">
        <x:v>0</x:v>
      </x:c>
      <x:c r="G233" s="267">
        <x:v>0</x:v>
      </x:c>
      <x:c r="H233" s="267">
        <x:v>0</x:v>
      </x:c>
      <x:c r="I233" s="267">
        <x:v>0</x:v>
      </x:c>
      <x:c r="J233" s="267">
        <x:v>0</x:v>
      </x:c>
      <x:c r="K233" s="267">
        <x:v>0</x:v>
      </x:c>
      <x:c r="L233" s="267">
        <x:v>0</x:v>
      </x:c>
      <x:c r="M233" s="267">
        <x:v>0</x:v>
      </x:c>
      <x:c r="N233" s="267">
        <x:v>0</x:v>
      </x:c>
      <x:c r="O233" s="267">
        <x:v>0</x:v>
      </x:c>
      <x:c r="P233" s="267">
        <x:v>0</x:v>
      </x:c>
      <x:c r="Q233" s="267">
        <x:v>0</x:v>
      </x:c>
      <x:c r="R233" s="267">
        <x:v>0</x:v>
      </x:c>
      <x:c r="S233" s="267">
        <x:v>0</x:v>
      </x:c>
      <x:c r="T233" s="267">
        <x:v>0</x:v>
      </x:c>
      <x:c r="U233" s="267">
        <x:v>0</x:v>
      </x:c>
      <x:c r="V233" s="267">
        <x:v>0</x:v>
      </x:c>
      <x:c r="W233" s="267">
        <x:v>0</x:v>
      </x:c>
      <x:c r="X233" s="267">
        <x:v>0</x:v>
      </x:c>
      <x:c r="Y233" s="269">
        <x:f t="shared" si="8"/>
        <x:v>0</x:v>
      </x:c>
    </x:row>
    <x:row r="234">
      <x:c r="A234" s="148" t="s">
        <x:v>105</x:v>
      </x:c>
      <x:c r="B234">
        <x:v>6</x:v>
      </x:c>
      <x:c r="C234" s="148" t="s">
        <x:v>115</x:v>
      </x:c>
      <x:c r="D234">
        <x:v>619</x:v>
      </x:c>
      <x:c r="E234" s="267">
        <x:v>0</x:v>
      </x:c>
      <x:c r="F234" s="267">
        <x:v>0</x:v>
      </x:c>
      <x:c r="G234" s="267">
        <x:v>0</x:v>
      </x:c>
      <x:c r="H234" s="267">
        <x:v>0</x:v>
      </x:c>
      <x:c r="I234" s="267">
        <x:v>0</x:v>
      </x:c>
      <x:c r="J234" s="267">
        <x:v>0</x:v>
      </x:c>
      <x:c r="K234" s="267">
        <x:v>0</x:v>
      </x:c>
      <x:c r="L234" s="267">
        <x:v>0</x:v>
      </x:c>
      <x:c r="M234" s="267">
        <x:v>0</x:v>
      </x:c>
      <x:c r="N234" s="267">
        <x:v>0</x:v>
      </x:c>
      <x:c r="O234" s="267">
        <x:v>0</x:v>
      </x:c>
      <x:c r="P234" s="267">
        <x:v>0</x:v>
      </x:c>
      <x:c r="Q234" s="267">
        <x:v>0</x:v>
      </x:c>
      <x:c r="R234" s="267">
        <x:v>0</x:v>
      </x:c>
      <x:c r="S234" s="267">
        <x:v>0</x:v>
      </x:c>
      <x:c r="T234" s="267">
        <x:v>0</x:v>
      </x:c>
      <x:c r="U234" s="267">
        <x:v>0</x:v>
      </x:c>
      <x:c r="V234" s="267">
        <x:v>0</x:v>
      </x:c>
      <x:c r="W234" s="267">
        <x:v>0</x:v>
      </x:c>
      <x:c r="X234" s="267">
        <x:v>0</x:v>
      </x:c>
      <x:c r="Y234" s="269">
        <x:f t="shared" si="8"/>
        <x:v>0</x:v>
      </x:c>
    </x:row>
    <x:row r="235">
      <x:c r="A235" s="148" t="s">
        <x:v>105</x:v>
      </x:c>
      <x:c r="B235">
        <x:v>6</x:v>
      </x:c>
      <x:c r="C235" s="148" t="s">
        <x:v>115</x:v>
      </x:c>
      <x:c r="D235">
        <x:v>620</x:v>
      </x:c>
      <x:c r="E235" s="267">
        <x:v>0</x:v>
      </x:c>
      <x:c r="F235" s="267">
        <x:v>0</x:v>
      </x:c>
      <x:c r="G235" s="267">
        <x:v>0</x:v>
      </x:c>
      <x:c r="H235" s="267">
        <x:v>0</x:v>
      </x:c>
      <x:c r="I235" s="267">
        <x:v>0</x:v>
      </x:c>
      <x:c r="J235" s="267">
        <x:v>0</x:v>
      </x:c>
      <x:c r="K235" s="267">
        <x:v>0</x:v>
      </x:c>
      <x:c r="L235" s="267">
        <x:v>0</x:v>
      </x:c>
      <x:c r="M235" s="267">
        <x:v>0</x:v>
      </x:c>
      <x:c r="N235" s="267">
        <x:v>0</x:v>
      </x:c>
      <x:c r="O235" s="267">
        <x:v>0</x:v>
      </x:c>
      <x:c r="P235" s="267">
        <x:v>0</x:v>
      </x:c>
      <x:c r="Q235" s="267">
        <x:v>0</x:v>
      </x:c>
      <x:c r="R235" s="267">
        <x:v>0</x:v>
      </x:c>
      <x:c r="S235" s="267">
        <x:v>0</x:v>
      </x:c>
      <x:c r="T235" s="267">
        <x:v>0</x:v>
      </x:c>
      <x:c r="U235" s="267">
        <x:v>0</x:v>
      </x:c>
      <x:c r="V235" s="267">
        <x:v>0</x:v>
      </x:c>
      <x:c r="W235" s="267">
        <x:v>0</x:v>
      </x:c>
      <x:c r="X235" s="267">
        <x:v>0</x:v>
      </x:c>
      <x:c r="Y235" s="269">
        <x:f t="shared" si="8"/>
        <x:v>0</x:v>
      </x:c>
    </x:row>
    <x:row r="236">
      <x:c r="A236" s="148" t="s">
        <x:v>105</x:v>
      </x:c>
      <x:c r="B236">
        <x:v>6</x:v>
      </x:c>
      <x:c r="C236" s="148" t="s">
        <x:v>115</x:v>
      </x:c>
      <x:c r="D236">
        <x:v>621</x:v>
      </x:c>
      <x:c r="E236" s="267">
        <x:v>0</x:v>
      </x:c>
      <x:c r="F236" s="267">
        <x:v>0</x:v>
      </x:c>
      <x:c r="G236" s="267">
        <x:v>0</x:v>
      </x:c>
      <x:c r="H236" s="267">
        <x:v>0</x:v>
      </x:c>
      <x:c r="I236" s="267">
        <x:v>0</x:v>
      </x:c>
      <x:c r="J236" s="267">
        <x:v>0</x:v>
      </x:c>
      <x:c r="K236" s="267">
        <x:v>0</x:v>
      </x:c>
      <x:c r="L236" s="267">
        <x:v>0</x:v>
      </x:c>
      <x:c r="M236" s="267">
        <x:v>0</x:v>
      </x:c>
      <x:c r="N236" s="267">
        <x:v>0</x:v>
      </x:c>
      <x:c r="O236" s="267">
        <x:v>0</x:v>
      </x:c>
      <x:c r="P236" s="267">
        <x:v>0</x:v>
      </x:c>
      <x:c r="Q236" s="267">
        <x:v>0</x:v>
      </x:c>
      <x:c r="R236" s="267">
        <x:v>0</x:v>
      </x:c>
      <x:c r="S236" s="267">
        <x:v>0</x:v>
      </x:c>
      <x:c r="T236" s="267">
        <x:v>0</x:v>
      </x:c>
      <x:c r="U236" s="267">
        <x:v>0</x:v>
      </x:c>
      <x:c r="V236" s="267">
        <x:v>0</x:v>
      </x:c>
      <x:c r="W236" s="267">
        <x:v>0</x:v>
      </x:c>
      <x:c r="X236" s="267">
        <x:v>0</x:v>
      </x:c>
      <x:c r="Y236" s="269">
        <x:f t="shared" si="8"/>
        <x:v>0</x:v>
      </x:c>
    </x:row>
    <x:row r="237">
      <x:c r="A237" s="148"/>
      <x:c r="B237"/>
      <x:c r="C237" s="148"/>
      <x:c r="D237"/>
      <x:c r="E237" s="267">
        <x:f t="shared" ref="E237:X237" si="9">AVERAGE(E193:E236)</x:f>
      </x:c>
      <x:c r="F237" s="267">
        <x:f t="shared" si="9"/>
      </x:c>
      <x:c r="G237" s="267">
        <x:f t="shared" si="9"/>
      </x:c>
      <x:c r="H237" s="267">
        <x:f t="shared" si="9"/>
      </x:c>
      <x:c r="I237" s="267">
        <x:f t="shared" si="9"/>
      </x:c>
      <x:c r="J237" s="267">
        <x:f t="shared" si="9"/>
      </x:c>
      <x:c r="K237" s="267">
        <x:f t="shared" si="9"/>
      </x:c>
      <x:c r="L237" s="267">
        <x:f t="shared" si="9"/>
      </x:c>
      <x:c r="M237" s="267">
        <x:f t="shared" si="9"/>
      </x:c>
      <x:c r="N237" s="267">
        <x:f t="shared" si="9"/>
      </x:c>
      <x:c r="O237" s="267">
        <x:f t="shared" si="9"/>
      </x:c>
      <x:c r="P237" s="267">
        <x:f t="shared" si="9"/>
      </x:c>
      <x:c r="Q237" s="267">
        <x:f t="shared" si="9"/>
      </x:c>
      <x:c r="R237" s="267">
        <x:f t="shared" si="9"/>
      </x:c>
      <x:c r="S237" s="267">
        <x:f t="shared" si="9"/>
      </x:c>
      <x:c r="T237" s="267">
        <x:f t="shared" si="9"/>
      </x:c>
      <x:c r="U237" s="267">
        <x:f t="shared" si="9"/>
      </x:c>
      <x:c r="V237" s="267">
        <x:f t="shared" si="9"/>
      </x:c>
      <x:c r="W237" s="267">
        <x:f t="shared" si="9"/>
      </x:c>
      <x:c r="X237" s="267">
        <x:f t="shared" si="9"/>
      </x:c>
      <x:c r="Y237" s="269">
        <x:f t="shared" si="8"/>
      </x:c>
    </x:row>
    <x:row r="238">
      <x:c r="A238" s="148" t="s">
        <x:v>105</x:v>
      </x:c>
      <x:c r="B238">
        <x:v>7</x:v>
      </x:c>
      <x:c r="C238" s="148" t="s">
        <x:v>116</x:v>
      </x:c>
      <x:c r="D238">
        <x:v>701</x:v>
      </x:c>
      <x:c r="E238" s="267">
        <x:v>0</x:v>
      </x:c>
      <x:c r="F238" s="267">
        <x:v>0</x:v>
      </x:c>
      <x:c r="G238" s="267">
        <x:v>0</x:v>
      </x:c>
      <x:c r="H238" s="267">
        <x:v>0</x:v>
      </x:c>
      <x:c r="I238" s="267">
        <x:v>0</x:v>
      </x:c>
      <x:c r="J238" s="267">
        <x:v>0</x:v>
      </x:c>
      <x:c r="K238" s="267">
        <x:v>0</x:v>
      </x:c>
      <x:c r="L238" s="267">
        <x:v>0</x:v>
      </x:c>
      <x:c r="M238" s="267">
        <x:v>0</x:v>
      </x:c>
      <x:c r="N238" s="267">
        <x:v>0</x:v>
      </x:c>
      <x:c r="O238" s="267">
        <x:v>0</x:v>
      </x:c>
      <x:c r="P238" s="267">
        <x:v>0</x:v>
      </x:c>
      <x:c r="Q238" s="267">
        <x:v>0</x:v>
      </x:c>
      <x:c r="R238" s="267">
        <x:v>0</x:v>
      </x:c>
      <x:c r="S238" s="267">
        <x:v>0</x:v>
      </x:c>
      <x:c r="T238" s="267">
        <x:v>0</x:v>
      </x:c>
      <x:c r="U238" s="267">
        <x:v>0</x:v>
      </x:c>
      <x:c r="V238" s="267">
        <x:v>0</x:v>
      </x:c>
      <x:c r="W238" s="267">
        <x:v>0</x:v>
      </x:c>
      <x:c r="X238" s="267">
        <x:v>0</x:v>
      </x:c>
      <x:c r="Y238" s="269">
        <x:f t="shared" si="8"/>
        <x:v>0</x:v>
      </x:c>
    </x:row>
    <x:row r="239">
      <x:c r="A239" s="148" t="s">
        <x:v>105</x:v>
      </x:c>
      <x:c r="B239">
        <x:v>7</x:v>
      </x:c>
      <x:c r="C239" s="148" t="s">
        <x:v>116</x:v>
      </x:c>
      <x:c r="D239">
        <x:v>702</x:v>
      </x:c>
      <x:c r="E239" s="267">
        <x:v>0</x:v>
      </x:c>
      <x:c r="F239" s="267">
        <x:v>0</x:v>
      </x:c>
      <x:c r="G239" s="267">
        <x:v>0</x:v>
      </x:c>
      <x:c r="H239" s="267">
        <x:v>0</x:v>
      </x:c>
      <x:c r="I239" s="267">
        <x:v>0</x:v>
      </x:c>
      <x:c r="J239" s="267">
        <x:v>0</x:v>
      </x:c>
      <x:c r="K239" s="267">
        <x:v>0</x:v>
      </x:c>
      <x:c r="L239" s="267">
        <x:v>0</x:v>
      </x:c>
      <x:c r="M239" s="267">
        <x:v>0</x:v>
      </x:c>
      <x:c r="N239" s="267">
        <x:v>0</x:v>
      </x:c>
      <x:c r="O239" s="267">
        <x:v>0</x:v>
      </x:c>
      <x:c r="P239" s="267">
        <x:v>0</x:v>
      </x:c>
      <x:c r="Q239" s="267">
        <x:v>0</x:v>
      </x:c>
      <x:c r="R239" s="267">
        <x:v>0</x:v>
      </x:c>
      <x:c r="S239" s="267">
        <x:v>0</x:v>
      </x:c>
      <x:c r="T239" s="267">
        <x:v>0</x:v>
      </x:c>
      <x:c r="U239" s="267">
        <x:v>0</x:v>
      </x:c>
      <x:c r="V239" s="267">
        <x:v>0</x:v>
      </x:c>
      <x:c r="W239" s="267">
        <x:v>0</x:v>
      </x:c>
      <x:c r="X239" s="267">
        <x:v>0</x:v>
      </x:c>
      <x:c r="Y239" s="269">
        <x:f t="shared" si="8"/>
        <x:v>0</x:v>
      </x:c>
    </x:row>
    <x:row r="240">
      <x:c r="A240" s="148" t="s">
        <x:v>105</x:v>
      </x:c>
      <x:c r="B240">
        <x:v>7</x:v>
      </x:c>
      <x:c r="C240" s="148" t="s">
        <x:v>116</x:v>
      </x:c>
      <x:c r="D240">
        <x:v>703</x:v>
      </x:c>
      <x:c r="E240" s="267">
        <x:v>0</x:v>
      </x:c>
      <x:c r="F240" s="267">
        <x:v>0</x:v>
      </x:c>
      <x:c r="G240" s="267">
        <x:v>0</x:v>
      </x:c>
      <x:c r="H240" s="267">
        <x:v>0</x:v>
      </x:c>
      <x:c r="I240" s="267">
        <x:v>0</x:v>
      </x:c>
      <x:c r="J240" s="267">
        <x:v>0</x:v>
      </x:c>
      <x:c r="K240" s="267">
        <x:v>0</x:v>
      </x:c>
      <x:c r="L240" s="267">
        <x:v>0</x:v>
      </x:c>
      <x:c r="M240" s="267">
        <x:v>0</x:v>
      </x:c>
      <x:c r="N240" s="267">
        <x:v>0</x:v>
      </x:c>
      <x:c r="O240" s="267">
        <x:v>0</x:v>
      </x:c>
      <x:c r="P240" s="267">
        <x:v>0</x:v>
      </x:c>
      <x:c r="Q240" s="267">
        <x:v>0</x:v>
      </x:c>
      <x:c r="R240" s="267">
        <x:v>0</x:v>
      </x:c>
      <x:c r="S240" s="267">
        <x:v>0</x:v>
      </x:c>
      <x:c r="T240" s="267">
        <x:v>0</x:v>
      </x:c>
      <x:c r="U240" s="267">
        <x:v>0</x:v>
      </x:c>
      <x:c r="V240" s="267">
        <x:v>0</x:v>
      </x:c>
      <x:c r="W240" s="267">
        <x:v>0</x:v>
      </x:c>
      <x:c r="X240" s="267">
        <x:v>0</x:v>
      </x:c>
      <x:c r="Y240" s="269">
        <x:f t="shared" si="8"/>
        <x:v>0</x:v>
      </x:c>
    </x:row>
    <x:row r="241">
      <x:c r="A241" s="148" t="s">
        <x:v>105</x:v>
      </x:c>
      <x:c r="B241">
        <x:v>7</x:v>
      </x:c>
      <x:c r="C241" s="148" t="s">
        <x:v>116</x:v>
      </x:c>
      <x:c r="D241">
        <x:v>704</x:v>
      </x:c>
      <x:c r="E241" s="267">
        <x:v>0</x:v>
      </x:c>
      <x:c r="F241" s="267">
        <x:v>0</x:v>
      </x:c>
      <x:c r="G241" s="267">
        <x:v>0</x:v>
      </x:c>
      <x:c r="H241" s="267">
        <x:v>0</x:v>
      </x:c>
      <x:c r="I241" s="267">
        <x:v>0</x:v>
      </x:c>
      <x:c r="J241" s="267">
        <x:v>0</x:v>
      </x:c>
      <x:c r="K241" s="267">
        <x:v>0</x:v>
      </x:c>
      <x:c r="L241" s="267">
        <x:v>0</x:v>
      </x:c>
      <x:c r="M241" s="267">
        <x:v>0</x:v>
      </x:c>
      <x:c r="N241" s="267">
        <x:v>0</x:v>
      </x:c>
      <x:c r="O241" s="267">
        <x:v>0</x:v>
      </x:c>
      <x:c r="P241" s="267">
        <x:v>0</x:v>
      </x:c>
      <x:c r="Q241" s="267">
        <x:v>0</x:v>
      </x:c>
      <x:c r="R241" s="267">
        <x:v>0</x:v>
      </x:c>
      <x:c r="S241" s="267">
        <x:v>0</x:v>
      </x:c>
      <x:c r="T241" s="267">
        <x:v>0</x:v>
      </x:c>
      <x:c r="U241" s="267">
        <x:v>0</x:v>
      </x:c>
      <x:c r="V241" s="267">
        <x:v>0</x:v>
      </x:c>
      <x:c r="W241" s="267">
        <x:v>0</x:v>
      </x:c>
      <x:c r="X241" s="267">
        <x:v>0</x:v>
      </x:c>
      <x:c r="Y241" s="269">
        <x:f t="shared" si="8"/>
        <x:v>0</x:v>
      </x:c>
    </x:row>
    <x:row r="242">
      <x:c r="A242" s="148" t="s">
        <x:v>105</x:v>
      </x:c>
      <x:c r="B242">
        <x:v>7</x:v>
      </x:c>
      <x:c r="C242" s="148" t="s">
        <x:v>116</x:v>
      </x:c>
      <x:c r="D242">
        <x:v>705</x:v>
      </x:c>
      <x:c r="E242" s="267">
        <x:v>0</x:v>
      </x:c>
      <x:c r="F242" s="267">
        <x:v>0</x:v>
      </x:c>
      <x:c r="G242" s="267">
        <x:v>0</x:v>
      </x:c>
      <x:c r="H242" s="267">
        <x:v>0</x:v>
      </x:c>
      <x:c r="I242" s="267">
        <x:v>0</x:v>
      </x:c>
      <x:c r="J242" s="267">
        <x:v>0</x:v>
      </x:c>
      <x:c r="K242" s="267">
        <x:v>0</x:v>
      </x:c>
      <x:c r="L242" s="267">
        <x:v>0</x:v>
      </x:c>
      <x:c r="M242" s="267">
        <x:v>0</x:v>
      </x:c>
      <x:c r="N242" s="267">
        <x:v>0</x:v>
      </x:c>
      <x:c r="O242" s="267">
        <x:v>0</x:v>
      </x:c>
      <x:c r="P242" s="267">
        <x:v>0</x:v>
      </x:c>
      <x:c r="Q242" s="267">
        <x:v>0</x:v>
      </x:c>
      <x:c r="R242" s="267">
        <x:v>0</x:v>
      </x:c>
      <x:c r="S242" s="267">
        <x:v>0</x:v>
      </x:c>
      <x:c r="T242" s="267">
        <x:v>0</x:v>
      </x:c>
      <x:c r="U242" s="267">
        <x:v>0</x:v>
      </x:c>
      <x:c r="V242" s="267">
        <x:v>0</x:v>
      </x:c>
      <x:c r="W242" s="267">
        <x:v>0</x:v>
      </x:c>
      <x:c r="X242" s="267">
        <x:v>0</x:v>
      </x:c>
      <x:c r="Y242" s="269">
        <x:f t="shared" si="8"/>
        <x:v>0</x:v>
      </x:c>
    </x:row>
    <x:row r="243">
      <x:c r="A243" s="148" t="s">
        <x:v>105</x:v>
      </x:c>
      <x:c r="B243">
        <x:v>7</x:v>
      </x:c>
      <x:c r="C243" s="148" t="s">
        <x:v>116</x:v>
      </x:c>
      <x:c r="D243">
        <x:v>706</x:v>
      </x:c>
      <x:c r="E243" s="267">
        <x:v>0</x:v>
      </x:c>
      <x:c r="F243" s="267">
        <x:v>0</x:v>
      </x:c>
      <x:c r="G243" s="267">
        <x:v>0</x:v>
      </x:c>
      <x:c r="H243" s="267">
        <x:v>0</x:v>
      </x:c>
      <x:c r="I243" s="267">
        <x:v>0</x:v>
      </x:c>
      <x:c r="J243" s="267">
        <x:v>0</x:v>
      </x:c>
      <x:c r="K243" s="267">
        <x:v>0</x:v>
      </x:c>
      <x:c r="L243" s="267">
        <x:v>0</x:v>
      </x:c>
      <x:c r="M243" s="267">
        <x:v>0</x:v>
      </x:c>
      <x:c r="N243" s="267">
        <x:v>0</x:v>
      </x:c>
      <x:c r="O243" s="267">
        <x:v>0</x:v>
      </x:c>
      <x:c r="P243" s="267">
        <x:v>0</x:v>
      </x:c>
      <x:c r="Q243" s="267">
        <x:v>0</x:v>
      </x:c>
      <x:c r="R243" s="267">
        <x:v>0</x:v>
      </x:c>
      <x:c r="S243" s="267">
        <x:v>0</x:v>
      </x:c>
      <x:c r="T243" s="267">
        <x:v>0</x:v>
      </x:c>
      <x:c r="U243" s="267">
        <x:v>0</x:v>
      </x:c>
      <x:c r="V243" s="267">
        <x:v>0</x:v>
      </x:c>
      <x:c r="W243" s="267">
        <x:v>0</x:v>
      </x:c>
      <x:c r="X243" s="267">
        <x:v>0</x:v>
      </x:c>
      <x:c r="Y243" s="269">
        <x:f t="shared" si="8"/>
        <x:v>0</x:v>
      </x:c>
    </x:row>
    <x:row r="244">
      <x:c r="A244" s="148" t="s">
        <x:v>105</x:v>
      </x:c>
      <x:c r="B244">
        <x:v>7</x:v>
      </x:c>
      <x:c r="C244" s="148" t="s">
        <x:v>116</x:v>
      </x:c>
      <x:c r="D244">
        <x:v>707</x:v>
      </x:c>
      <x:c r="E244" s="267">
        <x:v>0</x:v>
      </x:c>
      <x:c r="F244" s="267">
        <x:v>0</x:v>
      </x:c>
      <x:c r="G244" s="267">
        <x:v>0</x:v>
      </x:c>
      <x:c r="H244" s="267">
        <x:v>0</x:v>
      </x:c>
      <x:c r="I244" s="267">
        <x:v>0</x:v>
      </x:c>
      <x:c r="J244" s="267">
        <x:v>0</x:v>
      </x:c>
      <x:c r="K244" s="267">
        <x:v>0</x:v>
      </x:c>
      <x:c r="L244" s="267">
        <x:v>0</x:v>
      </x:c>
      <x:c r="M244" s="267">
        <x:v>0</x:v>
      </x:c>
      <x:c r="N244" s="267">
        <x:v>0</x:v>
      </x:c>
      <x:c r="O244" s="267">
        <x:v>0</x:v>
      </x:c>
      <x:c r="P244" s="267">
        <x:v>0</x:v>
      </x:c>
      <x:c r="Q244" s="267">
        <x:v>0</x:v>
      </x:c>
      <x:c r="R244" s="267">
        <x:v>0</x:v>
      </x:c>
      <x:c r="S244" s="267">
        <x:v>0</x:v>
      </x:c>
      <x:c r="T244" s="267">
        <x:v>0</x:v>
      </x:c>
      <x:c r="U244" s="267">
        <x:v>0</x:v>
      </x:c>
      <x:c r="V244" s="267">
        <x:v>0</x:v>
      </x:c>
      <x:c r="W244" s="267">
        <x:v>0</x:v>
      </x:c>
      <x:c r="X244" s="267">
        <x:v>0</x:v>
      </x:c>
      <x:c r="Y244" s="269">
        <x:f t="shared" si="8"/>
        <x:v>0</x:v>
      </x:c>
    </x:row>
    <x:row r="245">
      <x:c r="A245" s="148" t="s">
        <x:v>105</x:v>
      </x:c>
      <x:c r="B245">
        <x:v>7</x:v>
      </x:c>
      <x:c r="C245" s="148" t="s">
        <x:v>116</x:v>
      </x:c>
      <x:c r="D245">
        <x:v>708</x:v>
      </x:c>
      <x:c r="E245" s="267">
        <x:v>0</x:v>
      </x:c>
      <x:c r="F245" s="267">
        <x:v>0</x:v>
      </x:c>
      <x:c r="G245" s="267">
        <x:v>0</x:v>
      </x:c>
      <x:c r="H245" s="267">
        <x:v>0</x:v>
      </x:c>
      <x:c r="I245" s="267">
        <x:v>0</x:v>
      </x:c>
      <x:c r="J245" s="267">
        <x:v>0</x:v>
      </x:c>
      <x:c r="K245" s="267">
        <x:v>0</x:v>
      </x:c>
      <x:c r="L245" s="267">
        <x:v>0</x:v>
      </x:c>
      <x:c r="M245" s="267">
        <x:v>0</x:v>
      </x:c>
      <x:c r="N245" s="267">
        <x:v>0</x:v>
      </x:c>
      <x:c r="O245" s="267">
        <x:v>0</x:v>
      </x:c>
      <x:c r="P245" s="267">
        <x:v>0</x:v>
      </x:c>
      <x:c r="Q245" s="267">
        <x:v>0</x:v>
      </x:c>
      <x:c r="R245" s="267">
        <x:v>0</x:v>
      </x:c>
      <x:c r="S245" s="267">
        <x:v>0</x:v>
      </x:c>
      <x:c r="T245" s="267">
        <x:v>0</x:v>
      </x:c>
      <x:c r="U245" s="267">
        <x:v>0</x:v>
      </x:c>
      <x:c r="V245" s="267">
        <x:v>0</x:v>
      </x:c>
      <x:c r="W245" s="267">
        <x:v>0</x:v>
      </x:c>
      <x:c r="X245" s="267">
        <x:v>0</x:v>
      </x:c>
      <x:c r="Y245" s="269">
        <x:f t="shared" si="8"/>
        <x:v>0</x:v>
      </x:c>
    </x:row>
    <x:row r="246">
      <x:c r="A246" s="148" t="s">
        <x:v>105</x:v>
      </x:c>
      <x:c r="B246">
        <x:v>7</x:v>
      </x:c>
      <x:c r="C246" s="148" t="s">
        <x:v>116</x:v>
      </x:c>
      <x:c r="D246">
        <x:v>709</x:v>
      </x:c>
      <x:c r="E246" s="267">
        <x:v>0</x:v>
      </x:c>
      <x:c r="F246" s="267">
        <x:v>0</x:v>
      </x:c>
      <x:c r="G246" s="267">
        <x:v>0</x:v>
      </x:c>
      <x:c r="H246" s="267">
        <x:v>0</x:v>
      </x:c>
      <x:c r="I246" s="267">
        <x:v>0</x:v>
      </x:c>
      <x:c r="J246" s="267">
        <x:v>0</x:v>
      </x:c>
      <x:c r="K246" s="267">
        <x:v>0</x:v>
      </x:c>
      <x:c r="L246" s="267">
        <x:v>0</x:v>
      </x:c>
      <x:c r="M246" s="267">
        <x:v>0</x:v>
      </x:c>
      <x:c r="N246" s="267">
        <x:v>0</x:v>
      </x:c>
      <x:c r="O246" s="267">
        <x:v>0</x:v>
      </x:c>
      <x:c r="P246" s="267">
        <x:v>0</x:v>
      </x:c>
      <x:c r="Q246" s="267">
        <x:v>0</x:v>
      </x:c>
      <x:c r="R246" s="267">
        <x:v>0</x:v>
      </x:c>
      <x:c r="S246" s="267">
        <x:v>0</x:v>
      </x:c>
      <x:c r="T246" s="267">
        <x:v>0</x:v>
      </x:c>
      <x:c r="U246" s="267">
        <x:v>0</x:v>
      </x:c>
      <x:c r="V246" s="267">
        <x:v>0</x:v>
      </x:c>
      <x:c r="W246" s="267">
        <x:v>0</x:v>
      </x:c>
      <x:c r="X246" s="267">
        <x:v>0</x:v>
      </x:c>
      <x:c r="Y246" s="269">
        <x:f t="shared" si="8"/>
        <x:v>0</x:v>
      </x:c>
    </x:row>
    <x:row r="247">
      <x:c r="A247" s="148" t="s">
        <x:v>105</x:v>
      </x:c>
      <x:c r="B247">
        <x:v>7</x:v>
      </x:c>
      <x:c r="C247" s="148" t="s">
        <x:v>116</x:v>
      </x:c>
      <x:c r="D247">
        <x:v>710</x:v>
      </x:c>
      <x:c r="E247" s="267">
        <x:v>0</x:v>
      </x:c>
      <x:c r="F247" s="267">
        <x:v>0</x:v>
      </x:c>
      <x:c r="G247" s="267">
        <x:v>0</x:v>
      </x:c>
      <x:c r="H247" s="267">
        <x:v>0</x:v>
      </x:c>
      <x:c r="I247" s="267">
        <x:v>0</x:v>
      </x:c>
      <x:c r="J247" s="267">
        <x:v>0</x:v>
      </x:c>
      <x:c r="K247" s="267">
        <x:v>0</x:v>
      </x:c>
      <x:c r="L247" s="267">
        <x:v>0</x:v>
      </x:c>
      <x:c r="M247" s="267">
        <x:v>0</x:v>
      </x:c>
      <x:c r="N247" s="267">
        <x:v>0</x:v>
      </x:c>
      <x:c r="O247" s="267">
        <x:v>0</x:v>
      </x:c>
      <x:c r="P247" s="267">
        <x:v>0</x:v>
      </x:c>
      <x:c r="Q247" s="267">
        <x:v>0</x:v>
      </x:c>
      <x:c r="R247" s="267">
        <x:v>0</x:v>
      </x:c>
      <x:c r="S247" s="267">
        <x:v>0</x:v>
      </x:c>
      <x:c r="T247" s="267">
        <x:v>0</x:v>
      </x:c>
      <x:c r="U247" s="267">
        <x:v>0</x:v>
      </x:c>
      <x:c r="V247" s="267">
        <x:v>0</x:v>
      </x:c>
      <x:c r="W247" s="267">
        <x:v>0</x:v>
      </x:c>
      <x:c r="X247" s="267">
        <x:v>0</x:v>
      </x:c>
      <x:c r="Y247" s="269">
        <x:f t="shared" si="8"/>
        <x:v>0</x:v>
      </x:c>
    </x:row>
    <x:row r="248">
      <x:c r="A248" s="148" t="s">
        <x:v>105</x:v>
      </x:c>
      <x:c r="B248">
        <x:v>7</x:v>
      </x:c>
      <x:c r="C248" s="148" t="s">
        <x:v>116</x:v>
      </x:c>
      <x:c r="D248">
        <x:v>711</x:v>
      </x:c>
      <x:c r="E248" s="267">
        <x:v>0</x:v>
      </x:c>
      <x:c r="F248" s="267">
        <x:v>0</x:v>
      </x:c>
      <x:c r="G248" s="267">
        <x:v>0</x:v>
      </x:c>
      <x:c r="H248" s="267">
        <x:v>0</x:v>
      </x:c>
      <x:c r="I248" s="267">
        <x:v>0</x:v>
      </x:c>
      <x:c r="J248" s="267">
        <x:v>0</x:v>
      </x:c>
      <x:c r="K248" s="267">
        <x:v>0</x:v>
      </x:c>
      <x:c r="L248" s="267">
        <x:v>0</x:v>
      </x:c>
      <x:c r="M248" s="267">
        <x:v>0</x:v>
      </x:c>
      <x:c r="N248" s="267">
        <x:v>0</x:v>
      </x:c>
      <x:c r="O248" s="267">
        <x:v>0</x:v>
      </x:c>
      <x:c r="P248" s="267">
        <x:v>0</x:v>
      </x:c>
      <x:c r="Q248" s="267">
        <x:v>0</x:v>
      </x:c>
      <x:c r="R248" s="267">
        <x:v>0</x:v>
      </x:c>
      <x:c r="S248" s="267">
        <x:v>0</x:v>
      </x:c>
      <x:c r="T248" s="267">
        <x:v>0</x:v>
      </x:c>
      <x:c r="U248" s="267">
        <x:v>0</x:v>
      </x:c>
      <x:c r="V248" s="267">
        <x:v>0</x:v>
      </x:c>
      <x:c r="W248" s="267">
        <x:v>0</x:v>
      </x:c>
      <x:c r="X248" s="267">
        <x:v>0</x:v>
      </x:c>
      <x:c r="Y248" s="269">
        <x:f t="shared" si="8"/>
        <x:v>0</x:v>
      </x:c>
    </x:row>
    <x:row r="249">
      <x:c r="A249" s="148" t="s">
        <x:v>105</x:v>
      </x:c>
      <x:c r="B249">
        <x:v>7</x:v>
      </x:c>
      <x:c r="C249" s="148" t="s">
        <x:v>116</x:v>
      </x:c>
      <x:c r="D249">
        <x:v>712</x:v>
      </x:c>
      <x:c r="E249" s="267">
        <x:v>0</x:v>
      </x:c>
      <x:c r="F249" s="267">
        <x:v>0</x:v>
      </x:c>
      <x:c r="G249" s="267">
        <x:v>0</x:v>
      </x:c>
      <x:c r="H249" s="267">
        <x:v>0</x:v>
      </x:c>
      <x:c r="I249" s="267">
        <x:v>0</x:v>
      </x:c>
      <x:c r="J249" s="267">
        <x:v>0</x:v>
      </x:c>
      <x:c r="K249" s="267">
        <x:v>0</x:v>
      </x:c>
      <x:c r="L249" s="267">
        <x:v>0</x:v>
      </x:c>
      <x:c r="M249" s="267">
        <x:v>0</x:v>
      </x:c>
      <x:c r="N249" s="267">
        <x:v>0</x:v>
      </x:c>
      <x:c r="O249" s="267">
        <x:v>0</x:v>
      </x:c>
      <x:c r="P249" s="267">
        <x:v>0</x:v>
      </x:c>
      <x:c r="Q249" s="267">
        <x:v>0</x:v>
      </x:c>
      <x:c r="R249" s="267">
        <x:v>0</x:v>
      </x:c>
      <x:c r="S249" s="267">
        <x:v>0</x:v>
      </x:c>
      <x:c r="T249" s="267">
        <x:v>0</x:v>
      </x:c>
      <x:c r="U249" s="267">
        <x:v>0</x:v>
      </x:c>
      <x:c r="V249" s="267">
        <x:v>0</x:v>
      </x:c>
      <x:c r="W249" s="267">
        <x:v>0</x:v>
      </x:c>
      <x:c r="X249" s="267">
        <x:v>0</x:v>
      </x:c>
      <x:c r="Y249" s="269">
        <x:f t="shared" si="8"/>
        <x:v>0</x:v>
      </x:c>
    </x:row>
    <x:row r="250">
      <x:c r="A250" s="148" t="s">
        <x:v>105</x:v>
      </x:c>
      <x:c r="B250">
        <x:v>7</x:v>
      </x:c>
      <x:c r="C250" s="148" t="s">
        <x:v>116</x:v>
      </x:c>
      <x:c r="D250">
        <x:v>713</x:v>
      </x:c>
      <x:c r="E250" s="267">
        <x:v>0</x:v>
      </x:c>
      <x:c r="F250" s="267">
        <x:v>0</x:v>
      </x:c>
      <x:c r="G250" s="267">
        <x:v>0</x:v>
      </x:c>
      <x:c r="H250" s="267">
        <x:v>0</x:v>
      </x:c>
      <x:c r="I250" s="267">
        <x:v>0</x:v>
      </x:c>
      <x:c r="J250" s="267">
        <x:v>0</x:v>
      </x:c>
      <x:c r="K250" s="267">
        <x:v>0</x:v>
      </x:c>
      <x:c r="L250" s="267">
        <x:v>0</x:v>
      </x:c>
      <x:c r="M250" s="267">
        <x:v>0</x:v>
      </x:c>
      <x:c r="N250" s="267">
        <x:v>0</x:v>
      </x:c>
      <x:c r="O250" s="267">
        <x:v>0</x:v>
      </x:c>
      <x:c r="P250" s="267">
        <x:v>0</x:v>
      </x:c>
      <x:c r="Q250" s="267">
        <x:v>0</x:v>
      </x:c>
      <x:c r="R250" s="267">
        <x:v>0</x:v>
      </x:c>
      <x:c r="S250" s="267">
        <x:v>0</x:v>
      </x:c>
      <x:c r="T250" s="267">
        <x:v>0</x:v>
      </x:c>
      <x:c r="U250" s="267">
        <x:v>0</x:v>
      </x:c>
      <x:c r="V250" s="267">
        <x:v>0</x:v>
      </x:c>
      <x:c r="W250" s="267">
        <x:v>0</x:v>
      </x:c>
      <x:c r="X250" s="267">
        <x:v>0</x:v>
      </x:c>
      <x:c r="Y250" s="269">
        <x:f t="shared" si="8"/>
        <x:v>0</x:v>
      </x:c>
    </x:row>
    <x:row r="251">
      <x:c r="A251" s="148" t="s">
        <x:v>105</x:v>
      </x:c>
      <x:c r="B251">
        <x:v>7</x:v>
      </x:c>
      <x:c r="C251" s="148" t="s">
        <x:v>116</x:v>
      </x:c>
      <x:c r="D251">
        <x:v>714</x:v>
      </x:c>
      <x:c r="E251" s="267">
        <x:v>0</x:v>
      </x:c>
      <x:c r="F251" s="267">
        <x:v>0</x:v>
      </x:c>
      <x:c r="G251" s="267">
        <x:v>0</x:v>
      </x:c>
      <x:c r="H251" s="267">
        <x:v>0</x:v>
      </x:c>
      <x:c r="I251" s="267">
        <x:v>0</x:v>
      </x:c>
      <x:c r="J251" s="267">
        <x:v>0</x:v>
      </x:c>
      <x:c r="K251" s="267">
        <x:v>0</x:v>
      </x:c>
      <x:c r="L251" s="267">
        <x:v>0</x:v>
      </x:c>
      <x:c r="M251" s="267">
        <x:v>0</x:v>
      </x:c>
      <x:c r="N251" s="267">
        <x:v>0</x:v>
      </x:c>
      <x:c r="O251" s="267">
        <x:v>0</x:v>
      </x:c>
      <x:c r="P251" s="267">
        <x:v>0</x:v>
      </x:c>
      <x:c r="Q251" s="267">
        <x:v>0</x:v>
      </x:c>
      <x:c r="R251" s="267">
        <x:v>0</x:v>
      </x:c>
      <x:c r="S251" s="267">
        <x:v>0</x:v>
      </x:c>
      <x:c r="T251" s="267">
        <x:v>0</x:v>
      </x:c>
      <x:c r="U251" s="267">
        <x:v>0</x:v>
      </x:c>
      <x:c r="V251" s="267">
        <x:v>0</x:v>
      </x:c>
      <x:c r="W251" s="267">
        <x:v>0</x:v>
      </x:c>
      <x:c r="X251" s="267">
        <x:v>0</x:v>
      </x:c>
      <x:c r="Y251" s="269">
        <x:f t="shared" si="8"/>
        <x:v>0</x:v>
      </x:c>
    </x:row>
    <x:row r="252">
      <x:c r="A252" s="148" t="s">
        <x:v>105</x:v>
      </x:c>
      <x:c r="B252">
        <x:v>7</x:v>
      </x:c>
      <x:c r="C252" s="148" t="s">
        <x:v>116</x:v>
      </x:c>
      <x:c r="D252">
        <x:v>715</x:v>
      </x:c>
      <x:c r="E252" s="267">
        <x:v>0</x:v>
      </x:c>
      <x:c r="F252" s="267">
        <x:v>0</x:v>
      </x:c>
      <x:c r="G252" s="267">
        <x:v>0</x:v>
      </x:c>
      <x:c r="H252" s="267">
        <x:v>0</x:v>
      </x:c>
      <x:c r="I252" s="267">
        <x:v>0</x:v>
      </x:c>
      <x:c r="J252" s="267">
        <x:v>0</x:v>
      </x:c>
      <x:c r="K252" s="267">
        <x:v>0</x:v>
      </x:c>
      <x:c r="L252" s="267">
        <x:v>0</x:v>
      </x:c>
      <x:c r="M252" s="267">
        <x:v>0</x:v>
      </x:c>
      <x:c r="N252" s="267">
        <x:v>0</x:v>
      </x:c>
      <x:c r="O252" s="267">
        <x:v>0</x:v>
      </x:c>
      <x:c r="P252" s="267">
        <x:v>0</x:v>
      </x:c>
      <x:c r="Q252" s="267">
        <x:v>0</x:v>
      </x:c>
      <x:c r="R252" s="267">
        <x:v>0</x:v>
      </x:c>
      <x:c r="S252" s="267">
        <x:v>0</x:v>
      </x:c>
      <x:c r="T252" s="267">
        <x:v>0</x:v>
      </x:c>
      <x:c r="U252" s="267">
        <x:v>0</x:v>
      </x:c>
      <x:c r="V252" s="267">
        <x:v>0</x:v>
      </x:c>
      <x:c r="W252" s="267">
        <x:v>0</x:v>
      </x:c>
      <x:c r="X252" s="267">
        <x:v>0</x:v>
      </x:c>
      <x:c r="Y252" s="269">
        <x:f t="shared" si="8"/>
        <x:v>0</x:v>
      </x:c>
    </x:row>
    <x:row r="253">
      <x:c r="A253" s="148" t="s">
        <x:v>105</x:v>
      </x:c>
      <x:c r="B253">
        <x:v>7</x:v>
      </x:c>
      <x:c r="C253" s="148" t="s">
        <x:v>116</x:v>
      </x:c>
      <x:c r="D253">
        <x:v>716</x:v>
      </x:c>
      <x:c r="E253" s="267">
        <x:v>0</x:v>
      </x:c>
      <x:c r="F253" s="267">
        <x:v>0</x:v>
      </x:c>
      <x:c r="G253" s="267">
        <x:v>0</x:v>
      </x:c>
      <x:c r="H253" s="267">
        <x:v>0</x:v>
      </x:c>
      <x:c r="I253" s="267">
        <x:v>0</x:v>
      </x:c>
      <x:c r="J253" s="267">
        <x:v>0</x:v>
      </x:c>
      <x:c r="K253" s="267">
        <x:v>0</x:v>
      </x:c>
      <x:c r="L253" s="267">
        <x:v>0</x:v>
      </x:c>
      <x:c r="M253" s="267">
        <x:v>0</x:v>
      </x:c>
      <x:c r="N253" s="267">
        <x:v>0</x:v>
      </x:c>
      <x:c r="O253" s="267">
        <x:v>0</x:v>
      </x:c>
      <x:c r="P253" s="267">
        <x:v>0</x:v>
      </x:c>
      <x:c r="Q253" s="267">
        <x:v>0</x:v>
      </x:c>
      <x:c r="R253" s="267">
        <x:v>0</x:v>
      </x:c>
      <x:c r="S253" s="267">
        <x:v>0</x:v>
      </x:c>
      <x:c r="T253" s="267">
        <x:v>0</x:v>
      </x:c>
      <x:c r="U253" s="267">
        <x:v>0</x:v>
      </x:c>
      <x:c r="V253" s="267">
        <x:v>0</x:v>
      </x:c>
      <x:c r="W253" s="267">
        <x:v>0</x:v>
      </x:c>
      <x:c r="X253" s="267">
        <x:v>0</x:v>
      </x:c>
      <x:c r="Y253" s="269">
        <x:f t="shared" si="8"/>
        <x:v>0</x:v>
      </x:c>
    </x:row>
    <x:row r="254">
      <x:c r="A254" s="148" t="s">
        <x:v>105</x:v>
      </x:c>
      <x:c r="B254">
        <x:v>7</x:v>
      </x:c>
      <x:c r="C254" s="148" t="s">
        <x:v>116</x:v>
      </x:c>
      <x:c r="D254">
        <x:v>717</x:v>
      </x:c>
      <x:c r="E254" s="267">
        <x:v>0</x:v>
      </x:c>
      <x:c r="F254" s="267">
        <x:v>0</x:v>
      </x:c>
      <x:c r="G254" s="267">
        <x:v>0</x:v>
      </x:c>
      <x:c r="H254" s="267">
        <x:v>0</x:v>
      </x:c>
      <x:c r="I254" s="267">
        <x:v>0</x:v>
      </x:c>
      <x:c r="J254" s="267">
        <x:v>0</x:v>
      </x:c>
      <x:c r="K254" s="267">
        <x:v>0</x:v>
      </x:c>
      <x:c r="L254" s="267">
        <x:v>0</x:v>
      </x:c>
      <x:c r="M254" s="267">
        <x:v>0</x:v>
      </x:c>
      <x:c r="N254" s="267">
        <x:v>0</x:v>
      </x:c>
      <x:c r="O254" s="267">
        <x:v>0</x:v>
      </x:c>
      <x:c r="P254" s="267">
        <x:v>0</x:v>
      </x:c>
      <x:c r="Q254" s="267">
        <x:v>0</x:v>
      </x:c>
      <x:c r="R254" s="267">
        <x:v>0</x:v>
      </x:c>
      <x:c r="S254" s="267">
        <x:v>0</x:v>
      </x:c>
      <x:c r="T254" s="267">
        <x:v>0</x:v>
      </x:c>
      <x:c r="U254" s="267">
        <x:v>0</x:v>
      </x:c>
      <x:c r="V254" s="267">
        <x:v>0</x:v>
      </x:c>
      <x:c r="W254" s="267">
        <x:v>0</x:v>
      </x:c>
      <x:c r="X254" s="267">
        <x:v>0</x:v>
      </x:c>
      <x:c r="Y254" s="269">
        <x:f t="shared" si="8"/>
        <x:v>0</x:v>
      </x:c>
    </x:row>
    <x:row r="255">
      <x:c r="A255" s="148" t="s">
        <x:v>105</x:v>
      </x:c>
      <x:c r="B255">
        <x:v>7</x:v>
      </x:c>
      <x:c r="C255" s="148" t="s">
        <x:v>116</x:v>
      </x:c>
      <x:c r="D255">
        <x:v>718</x:v>
      </x:c>
      <x:c r="E255" s="267">
        <x:v>0</x:v>
      </x:c>
      <x:c r="F255" s="267">
        <x:v>0</x:v>
      </x:c>
      <x:c r="G255" s="267">
        <x:v>0</x:v>
      </x:c>
      <x:c r="H255" s="267">
        <x:v>0</x:v>
      </x:c>
      <x:c r="I255" s="267">
        <x:v>0</x:v>
      </x:c>
      <x:c r="J255" s="267">
        <x:v>0</x:v>
      </x:c>
      <x:c r="K255" s="267">
        <x:v>0</x:v>
      </x:c>
      <x:c r="L255" s="267">
        <x:v>0</x:v>
      </x:c>
      <x:c r="M255" s="267">
        <x:v>0</x:v>
      </x:c>
      <x:c r="N255" s="267">
        <x:v>0</x:v>
      </x:c>
      <x:c r="O255" s="267">
        <x:v>0</x:v>
      </x:c>
      <x:c r="P255" s="267">
        <x:v>0</x:v>
      </x:c>
      <x:c r="Q255" s="267">
        <x:v>0</x:v>
      </x:c>
      <x:c r="R255" s="267">
        <x:v>0</x:v>
      </x:c>
      <x:c r="S255" s="267">
        <x:v>0</x:v>
      </x:c>
      <x:c r="T255" s="267">
        <x:v>0</x:v>
      </x:c>
      <x:c r="U255" s="267">
        <x:v>0</x:v>
      </x:c>
      <x:c r="V255" s="267">
        <x:v>0</x:v>
      </x:c>
      <x:c r="W255" s="267">
        <x:v>0</x:v>
      </x:c>
      <x:c r="X255" s="267">
        <x:v>0</x:v>
      </x:c>
      <x:c r="Y255" s="269">
        <x:f t="shared" si="8"/>
        <x:v>0</x:v>
      </x:c>
    </x:row>
    <x:row r="256">
      <x:c r="A256" s="148" t="s">
        <x:v>105</x:v>
      </x:c>
      <x:c r="B256">
        <x:v>7</x:v>
      </x:c>
      <x:c r="C256" s="148" t="s">
        <x:v>116</x:v>
      </x:c>
      <x:c r="D256">
        <x:v>719</x:v>
      </x:c>
      <x:c r="E256" s="267">
        <x:v>0</x:v>
      </x:c>
      <x:c r="F256" s="267">
        <x:v>0</x:v>
      </x:c>
      <x:c r="G256" s="267">
        <x:v>0</x:v>
      </x:c>
      <x:c r="H256" s="267">
        <x:v>0</x:v>
      </x:c>
      <x:c r="I256" s="267">
        <x:v>0</x:v>
      </x:c>
      <x:c r="J256" s="267">
        <x:v>0</x:v>
      </x:c>
      <x:c r="K256" s="267">
        <x:v>0</x:v>
      </x:c>
      <x:c r="L256" s="267">
        <x:v>0</x:v>
      </x:c>
      <x:c r="M256" s="267">
        <x:v>0</x:v>
      </x:c>
      <x:c r="N256" s="267">
        <x:v>0</x:v>
      </x:c>
      <x:c r="O256" s="267">
        <x:v>0</x:v>
      </x:c>
      <x:c r="P256" s="267">
        <x:v>0</x:v>
      </x:c>
      <x:c r="Q256" s="267">
        <x:v>0</x:v>
      </x:c>
      <x:c r="R256" s="267">
        <x:v>0</x:v>
      </x:c>
      <x:c r="S256" s="267">
        <x:v>0</x:v>
      </x:c>
      <x:c r="T256" s="267">
        <x:v>0</x:v>
      </x:c>
      <x:c r="U256" s="267">
        <x:v>0</x:v>
      </x:c>
      <x:c r="V256" s="267">
        <x:v>0</x:v>
      </x:c>
      <x:c r="W256" s="267">
        <x:v>0</x:v>
      </x:c>
      <x:c r="X256" s="267">
        <x:v>0</x:v>
      </x:c>
      <x:c r="Y256" s="269">
        <x:f t="shared" si="8"/>
        <x:v>0</x:v>
      </x:c>
    </x:row>
    <x:row r="257">
      <x:c r="A257" s="148" t="s">
        <x:v>105</x:v>
      </x:c>
      <x:c r="B257">
        <x:v>7</x:v>
      </x:c>
      <x:c r="C257" s="148" t="s">
        <x:v>116</x:v>
      </x:c>
      <x:c r="D257">
        <x:v>720</x:v>
      </x:c>
      <x:c r="E257" s="267">
        <x:v>0</x:v>
      </x:c>
      <x:c r="F257" s="267">
        <x:v>0</x:v>
      </x:c>
      <x:c r="G257" s="267">
        <x:v>0</x:v>
      </x:c>
      <x:c r="H257" s="267">
        <x:v>0</x:v>
      </x:c>
      <x:c r="I257" s="267">
        <x:v>0</x:v>
      </x:c>
      <x:c r="J257" s="267">
        <x:v>0</x:v>
      </x:c>
      <x:c r="K257" s="267">
        <x:v>0</x:v>
      </x:c>
      <x:c r="L257" s="267">
        <x:v>0</x:v>
      </x:c>
      <x:c r="M257" s="267">
        <x:v>0</x:v>
      </x:c>
      <x:c r="N257" s="267">
        <x:v>0</x:v>
      </x:c>
      <x:c r="O257" s="267">
        <x:v>0</x:v>
      </x:c>
      <x:c r="P257" s="267">
        <x:v>0</x:v>
      </x:c>
      <x:c r="Q257" s="267">
        <x:v>0</x:v>
      </x:c>
      <x:c r="R257" s="267">
        <x:v>0</x:v>
      </x:c>
      <x:c r="S257" s="267">
        <x:v>0</x:v>
      </x:c>
      <x:c r="T257" s="267">
        <x:v>0</x:v>
      </x:c>
      <x:c r="U257" s="267">
        <x:v>0</x:v>
      </x:c>
      <x:c r="V257" s="267">
        <x:v>0</x:v>
      </x:c>
      <x:c r="W257" s="267">
        <x:v>0</x:v>
      </x:c>
      <x:c r="X257" s="267">
        <x:v>0</x:v>
      </x:c>
      <x:c r="Y257" s="269">
        <x:f t="shared" si="8"/>
        <x:v>0</x:v>
      </x:c>
    </x:row>
    <x:row r="258">
      <x:c r="A258" s="148" t="s">
        <x:v>105</x:v>
      </x:c>
      <x:c r="B258">
        <x:v>7</x:v>
      </x:c>
      <x:c r="C258" s="148" t="s">
        <x:v>116</x:v>
      </x:c>
      <x:c r="D258">
        <x:v>721</x:v>
      </x:c>
      <x:c r="E258" s="267">
        <x:v>0</x:v>
      </x:c>
      <x:c r="F258" s="267">
        <x:v>0</x:v>
      </x:c>
      <x:c r="G258" s="267">
        <x:v>0</x:v>
      </x:c>
      <x:c r="H258" s="267">
        <x:v>0</x:v>
      </x:c>
      <x:c r="I258" s="267">
        <x:v>0</x:v>
      </x:c>
      <x:c r="J258" s="267">
        <x:v>0</x:v>
      </x:c>
      <x:c r="K258" s="267">
        <x:v>0</x:v>
      </x:c>
      <x:c r="L258" s="267">
        <x:v>0</x:v>
      </x:c>
      <x:c r="M258" s="267">
        <x:v>0</x:v>
      </x:c>
      <x:c r="N258" s="267">
        <x:v>0</x:v>
      </x:c>
      <x:c r="O258" s="267">
        <x:v>0</x:v>
      </x:c>
      <x:c r="P258" s="267">
        <x:v>0</x:v>
      </x:c>
      <x:c r="Q258" s="267">
        <x:v>0</x:v>
      </x:c>
      <x:c r="R258" s="267">
        <x:v>0</x:v>
      </x:c>
      <x:c r="S258" s="267">
        <x:v>0</x:v>
      </x:c>
      <x:c r="T258" s="267">
        <x:v>0</x:v>
      </x:c>
      <x:c r="U258" s="267">
        <x:v>0</x:v>
      </x:c>
      <x:c r="V258" s="267">
        <x:v>0</x:v>
      </x:c>
      <x:c r="W258" s="267">
        <x:v>0</x:v>
      </x:c>
      <x:c r="X258" s="267">
        <x:v>0</x:v>
      </x:c>
      <x:c r="Y258" s="269" t="n">
        <x:f t="shared" ref="Y258:Y321" si="10">AVERAGE(E258:X258)</x:f>
        <x:v>0</x:v>
      </x:c>
    </x:row>
    <x:row r="259">
      <x:c r="A259" s="148" t="s">
        <x:v>105</x:v>
      </x:c>
      <x:c r="B259">
        <x:v>7</x:v>
      </x:c>
      <x:c r="C259" s="148" t="s">
        <x:v>116</x:v>
      </x:c>
      <x:c r="D259">
        <x:v>722</x:v>
      </x:c>
      <x:c r="E259" s="267">
        <x:v>0</x:v>
      </x:c>
      <x:c r="F259" s="267">
        <x:v>0</x:v>
      </x:c>
      <x:c r="G259" s="267">
        <x:v>0</x:v>
      </x:c>
      <x:c r="H259" s="267">
        <x:v>0</x:v>
      </x:c>
      <x:c r="I259" s="267">
        <x:v>0</x:v>
      </x:c>
      <x:c r="J259" s="267">
        <x:v>0</x:v>
      </x:c>
      <x:c r="K259" s="267">
        <x:v>0</x:v>
      </x:c>
      <x:c r="L259" s="267">
        <x:v>0</x:v>
      </x:c>
      <x:c r="M259" s="267">
        <x:v>0</x:v>
      </x:c>
      <x:c r="N259" s="267">
        <x:v>0</x:v>
      </x:c>
      <x:c r="O259" s="267">
        <x:v>0</x:v>
      </x:c>
      <x:c r="P259" s="267">
        <x:v>0</x:v>
      </x:c>
      <x:c r="Q259" s="267">
        <x:v>0</x:v>
      </x:c>
      <x:c r="R259" s="267">
        <x:v>0</x:v>
      </x:c>
      <x:c r="S259" s="267">
        <x:v>0</x:v>
      </x:c>
      <x:c r="T259" s="267">
        <x:v>0</x:v>
      </x:c>
      <x:c r="U259" s="267">
        <x:v>0</x:v>
      </x:c>
      <x:c r="V259" s="267">
        <x:v>0</x:v>
      </x:c>
      <x:c r="W259" s="267">
        <x:v>0</x:v>
      </x:c>
      <x:c r="X259" s="267">
        <x:v>0</x:v>
      </x:c>
      <x:c r="Y259" s="269">
        <x:f t="shared" si="10"/>
        <x:v>0</x:v>
      </x:c>
    </x:row>
    <x:row r="260">
      <x:c r="A260" s="148" t="s">
        <x:v>105</x:v>
      </x:c>
      <x:c r="B260">
        <x:v>7</x:v>
      </x:c>
      <x:c r="C260" s="148" t="s">
        <x:v>116</x:v>
      </x:c>
      <x:c r="D260">
        <x:v>723</x:v>
      </x:c>
      <x:c r="E260" s="267">
        <x:v>0</x:v>
      </x:c>
      <x:c r="F260" s="267">
        <x:v>0</x:v>
      </x:c>
      <x:c r="G260" s="267">
        <x:v>0</x:v>
      </x:c>
      <x:c r="H260" s="267">
        <x:v>0</x:v>
      </x:c>
      <x:c r="I260" s="267">
        <x:v>0</x:v>
      </x:c>
      <x:c r="J260" s="267">
        <x:v>0</x:v>
      </x:c>
      <x:c r="K260" s="267">
        <x:v>0</x:v>
      </x:c>
      <x:c r="L260" s="267">
        <x:v>0</x:v>
      </x:c>
      <x:c r="M260" s="267">
        <x:v>0</x:v>
      </x:c>
      <x:c r="N260" s="267">
        <x:v>0</x:v>
      </x:c>
      <x:c r="O260" s="267">
        <x:v>0</x:v>
      </x:c>
      <x:c r="P260" s="267">
        <x:v>0</x:v>
      </x:c>
      <x:c r="Q260" s="267">
        <x:v>0</x:v>
      </x:c>
      <x:c r="R260" s="267">
        <x:v>0</x:v>
      </x:c>
      <x:c r="S260" s="267">
        <x:v>0</x:v>
      </x:c>
      <x:c r="T260" s="267">
        <x:v>0</x:v>
      </x:c>
      <x:c r="U260" s="267">
        <x:v>0</x:v>
      </x:c>
      <x:c r="V260" s="267">
        <x:v>0</x:v>
      </x:c>
      <x:c r="W260" s="267">
        <x:v>0</x:v>
      </x:c>
      <x:c r="X260" s="267">
        <x:v>0</x:v>
      </x:c>
      <x:c r="Y260" s="269">
        <x:f t="shared" si="10"/>
        <x:v>0</x:v>
      </x:c>
    </x:row>
    <x:row r="261">
      <x:c r="A261" s="148" t="s">
        <x:v>105</x:v>
      </x:c>
      <x:c r="B261">
        <x:v>7</x:v>
      </x:c>
      <x:c r="C261" s="148" t="s">
        <x:v>115</x:v>
      </x:c>
      <x:c r="D261">
        <x:v>701</x:v>
      </x:c>
      <x:c r="E261" s="267">
        <x:v>0</x:v>
      </x:c>
      <x:c r="F261" s="267">
        <x:v>0</x:v>
      </x:c>
      <x:c r="G261" s="267">
        <x:v>0</x:v>
      </x:c>
      <x:c r="H261" s="267">
        <x:v>0</x:v>
      </x:c>
      <x:c r="I261" s="267">
        <x:v>0</x:v>
      </x:c>
      <x:c r="J261" s="267">
        <x:v>0</x:v>
      </x:c>
      <x:c r="K261" s="267">
        <x:v>0</x:v>
      </x:c>
      <x:c r="L261" s="267">
        <x:v>0</x:v>
      </x:c>
      <x:c r="M261" s="267">
        <x:v>0</x:v>
      </x:c>
      <x:c r="N261" s="267">
        <x:v>0</x:v>
      </x:c>
      <x:c r="O261" s="267">
        <x:v>0</x:v>
      </x:c>
      <x:c r="P261" s="267">
        <x:v>0</x:v>
      </x:c>
      <x:c r="Q261" s="267">
        <x:v>0</x:v>
      </x:c>
      <x:c r="R261" s="267">
        <x:v>0</x:v>
      </x:c>
      <x:c r="S261" s="267">
        <x:v>0</x:v>
      </x:c>
      <x:c r="T261" s="267">
        <x:v>0</x:v>
      </x:c>
      <x:c r="U261" s="267">
        <x:v>0</x:v>
      </x:c>
      <x:c r="V261" s="267">
        <x:v>0</x:v>
      </x:c>
      <x:c r="W261" s="267">
        <x:v>0</x:v>
      </x:c>
      <x:c r="X261" s="267">
        <x:v>0</x:v>
      </x:c>
      <x:c r="Y261" s="269">
        <x:f t="shared" si="10"/>
        <x:v>0</x:v>
      </x:c>
    </x:row>
    <x:row r="262">
      <x:c r="A262" s="148" t="s">
        <x:v>105</x:v>
      </x:c>
      <x:c r="B262">
        <x:v>7</x:v>
      </x:c>
      <x:c r="C262" s="148" t="s">
        <x:v>115</x:v>
      </x:c>
      <x:c r="D262">
        <x:v>701</x:v>
      </x:c>
      <x:c r="E262" s="267">
        <x:v>0</x:v>
      </x:c>
      <x:c r="F262" s="267">
        <x:v>0</x:v>
      </x:c>
      <x:c r="G262" s="267">
        <x:v>0</x:v>
      </x:c>
      <x:c r="H262" s="267">
        <x:v>0</x:v>
      </x:c>
      <x:c r="I262" s="267">
        <x:v>0</x:v>
      </x:c>
      <x:c r="J262" s="267">
        <x:v>0</x:v>
      </x:c>
      <x:c r="K262" s="267">
        <x:v>0</x:v>
      </x:c>
      <x:c r="L262" s="267">
        <x:v>0</x:v>
      </x:c>
      <x:c r="M262" s="267">
        <x:v>0</x:v>
      </x:c>
      <x:c r="N262" s="267">
        <x:v>0</x:v>
      </x:c>
      <x:c r="O262" s="267">
        <x:v>0</x:v>
      </x:c>
      <x:c r="P262" s="267">
        <x:v>0</x:v>
      </x:c>
      <x:c r="Q262" s="267">
        <x:v>0</x:v>
      </x:c>
      <x:c r="R262" s="267">
        <x:v>0</x:v>
      </x:c>
      <x:c r="S262" s="267">
        <x:v>0</x:v>
      </x:c>
      <x:c r="T262" s="267">
        <x:v>0</x:v>
      </x:c>
      <x:c r="U262" s="267">
        <x:v>0</x:v>
      </x:c>
      <x:c r="V262" s="267">
        <x:v>0</x:v>
      </x:c>
      <x:c r="W262" s="267">
        <x:v>0</x:v>
      </x:c>
      <x:c r="X262" s="267">
        <x:v>0</x:v>
      </x:c>
      <x:c r="Y262" s="269">
        <x:f t="shared" si="10"/>
        <x:v>0</x:v>
      </x:c>
    </x:row>
    <x:row r="263">
      <x:c r="A263" s="148" t="s">
        <x:v>105</x:v>
      </x:c>
      <x:c r="B263">
        <x:v>7</x:v>
      </x:c>
      <x:c r="C263" s="148" t="s">
        <x:v>115</x:v>
      </x:c>
      <x:c r="D263">
        <x:v>701</x:v>
      </x:c>
      <x:c r="E263" s="267">
        <x:v>0</x:v>
      </x:c>
      <x:c r="F263" s="267">
        <x:v>0</x:v>
      </x:c>
      <x:c r="G263" s="267">
        <x:v>0</x:v>
      </x:c>
      <x:c r="H263" s="267">
        <x:v>0</x:v>
      </x:c>
      <x:c r="I263" s="267">
        <x:v>0</x:v>
      </x:c>
      <x:c r="J263" s="267">
        <x:v>0</x:v>
      </x:c>
      <x:c r="K263" s="267">
        <x:v>0</x:v>
      </x:c>
      <x:c r="L263" s="267">
        <x:v>0</x:v>
      </x:c>
      <x:c r="M263" s="267">
        <x:v>0</x:v>
      </x:c>
      <x:c r="N263" s="267">
        <x:v>0</x:v>
      </x:c>
      <x:c r="O263" s="267">
        <x:v>0</x:v>
      </x:c>
      <x:c r="P263" s="267">
        <x:v>0</x:v>
      </x:c>
      <x:c r="Q263" s="267">
        <x:v>0</x:v>
      </x:c>
      <x:c r="R263" s="267">
        <x:v>0</x:v>
      </x:c>
      <x:c r="S263" s="267">
        <x:v>0</x:v>
      </x:c>
      <x:c r="T263" s="267">
        <x:v>0</x:v>
      </x:c>
      <x:c r="U263" s="267">
        <x:v>0</x:v>
      </x:c>
      <x:c r="V263" s="267">
        <x:v>0</x:v>
      </x:c>
      <x:c r="W263" s="267">
        <x:v>0</x:v>
      </x:c>
      <x:c r="X263" s="267">
        <x:v>0</x:v>
      </x:c>
      <x:c r="Y263" s="269">
        <x:f t="shared" si="10"/>
        <x:v>0</x:v>
      </x:c>
    </x:row>
    <x:row r="264">
      <x:c r="A264" s="148" t="s">
        <x:v>105</x:v>
      </x:c>
      <x:c r="B264">
        <x:v>7</x:v>
      </x:c>
      <x:c r="C264" s="148" t="s">
        <x:v>115</x:v>
      </x:c>
      <x:c r="D264">
        <x:v>701</x:v>
      </x:c>
      <x:c r="E264" s="267">
        <x:v>0</x:v>
      </x:c>
      <x:c r="F264" s="267">
        <x:v>0</x:v>
      </x:c>
      <x:c r="G264" s="267">
        <x:v>0</x:v>
      </x:c>
      <x:c r="H264" s="267">
        <x:v>0</x:v>
      </x:c>
      <x:c r="I264" s="267">
        <x:v>0</x:v>
      </x:c>
      <x:c r="J264" s="267">
        <x:v>0</x:v>
      </x:c>
      <x:c r="K264" s="267">
        <x:v>0</x:v>
      </x:c>
      <x:c r="L264" s="267">
        <x:v>0</x:v>
      </x:c>
      <x:c r="M264" s="267">
        <x:v>0</x:v>
      </x:c>
      <x:c r="N264" s="267">
        <x:v>0</x:v>
      </x:c>
      <x:c r="O264" s="267">
        <x:v>0</x:v>
      </x:c>
      <x:c r="P264" s="267">
        <x:v>0</x:v>
      </x:c>
      <x:c r="Q264" s="267">
        <x:v>0</x:v>
      </x:c>
      <x:c r="R264" s="267">
        <x:v>0</x:v>
      </x:c>
      <x:c r="S264" s="267">
        <x:v>0</x:v>
      </x:c>
      <x:c r="T264" s="267">
        <x:v>0</x:v>
      </x:c>
      <x:c r="U264" s="267">
        <x:v>0</x:v>
      </x:c>
      <x:c r="V264" s="267">
        <x:v>0</x:v>
      </x:c>
      <x:c r="W264" s="267">
        <x:v>0</x:v>
      </x:c>
      <x:c r="X264" s="267">
        <x:v>0</x:v>
      </x:c>
      <x:c r="Y264" s="269">
        <x:f t="shared" si="10"/>
        <x:v>0</x:v>
      </x:c>
    </x:row>
    <x:row r="265">
      <x:c r="A265" s="148" t="s">
        <x:v>105</x:v>
      </x:c>
      <x:c r="B265">
        <x:v>7</x:v>
      </x:c>
      <x:c r="C265" s="148" t="s">
        <x:v>115</x:v>
      </x:c>
      <x:c r="D265">
        <x:v>701</x:v>
      </x:c>
      <x:c r="E265" s="267">
        <x:v>0</x:v>
      </x:c>
      <x:c r="F265" s="267">
        <x:v>0</x:v>
      </x:c>
      <x:c r="G265" s="267">
        <x:v>0</x:v>
      </x:c>
      <x:c r="H265" s="267">
        <x:v>0</x:v>
      </x:c>
      <x:c r="I265" s="267">
        <x:v>0</x:v>
      </x:c>
      <x:c r="J265" s="267">
        <x:v>0</x:v>
      </x:c>
      <x:c r="K265" s="267">
        <x:v>0</x:v>
      </x:c>
      <x:c r="L265" s="267">
        <x:v>0</x:v>
      </x:c>
      <x:c r="M265" s="267">
        <x:v>0</x:v>
      </x:c>
      <x:c r="N265" s="267">
        <x:v>0</x:v>
      </x:c>
      <x:c r="O265" s="267">
        <x:v>0</x:v>
      </x:c>
      <x:c r="P265" s="267">
        <x:v>0</x:v>
      </x:c>
      <x:c r="Q265" s="267">
        <x:v>0</x:v>
      </x:c>
      <x:c r="R265" s="267">
        <x:v>0</x:v>
      </x:c>
      <x:c r="S265" s="267">
        <x:v>0</x:v>
      </x:c>
      <x:c r="T265" s="267">
        <x:v>0</x:v>
      </x:c>
      <x:c r="U265" s="267">
        <x:v>0</x:v>
      </x:c>
      <x:c r="V265" s="267">
        <x:v>0</x:v>
      </x:c>
      <x:c r="W265" s="267">
        <x:v>0</x:v>
      </x:c>
      <x:c r="X265" s="267">
        <x:v>0</x:v>
      </x:c>
      <x:c r="Y265" s="269">
        <x:f t="shared" si="10"/>
        <x:v>0</x:v>
      </x:c>
    </x:row>
    <x:row r="266">
      <x:c r="A266" s="148" t="s">
        <x:v>105</x:v>
      </x:c>
      <x:c r="B266">
        <x:v>7</x:v>
      </x:c>
      <x:c r="C266" s="148" t="s">
        <x:v>115</x:v>
      </x:c>
      <x:c r="D266">
        <x:v>701</x:v>
      </x:c>
      <x:c r="E266" s="267">
        <x:v>0</x:v>
      </x:c>
      <x:c r="F266" s="267">
        <x:v>0</x:v>
      </x:c>
      <x:c r="G266" s="267">
        <x:v>0</x:v>
      </x:c>
      <x:c r="H266" s="267">
        <x:v>0</x:v>
      </x:c>
      <x:c r="I266" s="267">
        <x:v>0</x:v>
      </x:c>
      <x:c r="J266" s="267">
        <x:v>0</x:v>
      </x:c>
      <x:c r="K266" s="267">
        <x:v>0</x:v>
      </x:c>
      <x:c r="L266" s="267">
        <x:v>0</x:v>
      </x:c>
      <x:c r="M266" s="267">
        <x:v>0</x:v>
      </x:c>
      <x:c r="N266" s="267">
        <x:v>0</x:v>
      </x:c>
      <x:c r="O266" s="267">
        <x:v>0</x:v>
      </x:c>
      <x:c r="P266" s="267">
        <x:v>0</x:v>
      </x:c>
      <x:c r="Q266" s="267">
        <x:v>0</x:v>
      </x:c>
      <x:c r="R266" s="267">
        <x:v>0</x:v>
      </x:c>
      <x:c r="S266" s="267">
        <x:v>0</x:v>
      </x:c>
      <x:c r="T266" s="267">
        <x:v>0</x:v>
      </x:c>
      <x:c r="U266" s="267">
        <x:v>0</x:v>
      </x:c>
      <x:c r="V266" s="267">
        <x:v>0</x:v>
      </x:c>
      <x:c r="W266" s="267">
        <x:v>0</x:v>
      </x:c>
      <x:c r="X266" s="267">
        <x:v>0</x:v>
      </x:c>
      <x:c r="Y266" s="269">
        <x:f t="shared" si="10"/>
        <x:v>0</x:v>
      </x:c>
    </x:row>
    <x:row r="267">
      <x:c r="A267" s="148" t="s">
        <x:v>105</x:v>
      </x:c>
      <x:c r="B267">
        <x:v>7</x:v>
      </x:c>
      <x:c r="C267" s="148" t="s">
        <x:v>115</x:v>
      </x:c>
      <x:c r="D267">
        <x:v>701</x:v>
      </x:c>
      <x:c r="E267" s="267">
        <x:v>0</x:v>
      </x:c>
      <x:c r="F267" s="267">
        <x:v>0</x:v>
      </x:c>
      <x:c r="G267" s="267">
        <x:v>0</x:v>
      </x:c>
      <x:c r="H267" s="267">
        <x:v>0</x:v>
      </x:c>
      <x:c r="I267" s="267">
        <x:v>0</x:v>
      </x:c>
      <x:c r="J267" s="267">
        <x:v>0</x:v>
      </x:c>
      <x:c r="K267" s="267">
        <x:v>0</x:v>
      </x:c>
      <x:c r="L267" s="267">
        <x:v>0</x:v>
      </x:c>
      <x:c r="M267" s="267">
        <x:v>0</x:v>
      </x:c>
      <x:c r="N267" s="267">
        <x:v>0</x:v>
      </x:c>
      <x:c r="O267" s="267">
        <x:v>0</x:v>
      </x:c>
      <x:c r="P267" s="267">
        <x:v>0</x:v>
      </x:c>
      <x:c r="Q267" s="267">
        <x:v>0</x:v>
      </x:c>
      <x:c r="R267" s="267">
        <x:v>0</x:v>
      </x:c>
      <x:c r="S267" s="267">
        <x:v>0</x:v>
      </x:c>
      <x:c r="T267" s="267">
        <x:v>0</x:v>
      </x:c>
      <x:c r="U267" s="267">
        <x:v>0</x:v>
      </x:c>
      <x:c r="V267" s="267">
        <x:v>0</x:v>
      </x:c>
      <x:c r="W267" s="267">
        <x:v>0</x:v>
      </x:c>
      <x:c r="X267" s="267">
        <x:v>0</x:v>
      </x:c>
      <x:c r="Y267" s="269">
        <x:f t="shared" si="10"/>
        <x:v>0</x:v>
      </x:c>
    </x:row>
    <x:row r="268">
      <x:c r="A268" s="148" t="s">
        <x:v>105</x:v>
      </x:c>
      <x:c r="B268">
        <x:v>7</x:v>
      </x:c>
      <x:c r="C268" s="148" t="s">
        <x:v>115</x:v>
      </x:c>
      <x:c r="D268">
        <x:v>701</x:v>
      </x:c>
      <x:c r="E268" s="267">
        <x:v>0</x:v>
      </x:c>
      <x:c r="F268" s="267">
        <x:v>0</x:v>
      </x:c>
      <x:c r="G268" s="267">
        <x:v>0</x:v>
      </x:c>
      <x:c r="H268" s="267">
        <x:v>0</x:v>
      </x:c>
      <x:c r="I268" s="267">
        <x:v>0</x:v>
      </x:c>
      <x:c r="J268" s="267">
        <x:v>0</x:v>
      </x:c>
      <x:c r="K268" s="267">
        <x:v>0</x:v>
      </x:c>
      <x:c r="L268" s="267">
        <x:v>0</x:v>
      </x:c>
      <x:c r="M268" s="267">
        <x:v>0</x:v>
      </x:c>
      <x:c r="N268" s="267">
        <x:v>0</x:v>
      </x:c>
      <x:c r="O268" s="267">
        <x:v>0</x:v>
      </x:c>
      <x:c r="P268" s="267">
        <x:v>0</x:v>
      </x:c>
      <x:c r="Q268" s="267">
        <x:v>0</x:v>
      </x:c>
      <x:c r="R268" s="267">
        <x:v>0</x:v>
      </x:c>
      <x:c r="S268" s="267">
        <x:v>0</x:v>
      </x:c>
      <x:c r="T268" s="267">
        <x:v>0</x:v>
      </x:c>
      <x:c r="U268" s="267">
        <x:v>0</x:v>
      </x:c>
      <x:c r="V268" s="267">
        <x:v>0</x:v>
      </x:c>
      <x:c r="W268" s="267">
        <x:v>0</x:v>
      </x:c>
      <x:c r="X268" s="267">
        <x:v>0</x:v>
      </x:c>
      <x:c r="Y268" s="269">
        <x:f t="shared" si="10"/>
        <x:v>0</x:v>
      </x:c>
    </x:row>
    <x:row r="269">
      <x:c r="A269" s="148" t="s">
        <x:v>105</x:v>
      </x:c>
      <x:c r="B269">
        <x:v>7</x:v>
      </x:c>
      <x:c r="C269" s="148" t="s">
        <x:v>115</x:v>
      </x:c>
      <x:c r="D269">
        <x:v>701</x:v>
      </x:c>
      <x:c r="E269" s="267">
        <x:v>0</x:v>
      </x:c>
      <x:c r="F269" s="267">
        <x:v>0</x:v>
      </x:c>
      <x:c r="G269" s="267">
        <x:v>0</x:v>
      </x:c>
      <x:c r="H269" s="267">
        <x:v>0</x:v>
      </x:c>
      <x:c r="I269" s="267">
        <x:v>0</x:v>
      </x:c>
      <x:c r="J269" s="267">
        <x:v>0</x:v>
      </x:c>
      <x:c r="K269" s="267">
        <x:v>0</x:v>
      </x:c>
      <x:c r="L269" s="267">
        <x:v>0</x:v>
      </x:c>
      <x:c r="M269" s="267">
        <x:v>0</x:v>
      </x:c>
      <x:c r="N269" s="267">
        <x:v>0</x:v>
      </x:c>
      <x:c r="O269" s="267">
        <x:v>0</x:v>
      </x:c>
      <x:c r="P269" s="267">
        <x:v>0</x:v>
      </x:c>
      <x:c r="Q269" s="267">
        <x:v>0</x:v>
      </x:c>
      <x:c r="R269" s="267">
        <x:v>0</x:v>
      </x:c>
      <x:c r="S269" s="267">
        <x:v>0</x:v>
      </x:c>
      <x:c r="T269" s="267">
        <x:v>0</x:v>
      </x:c>
      <x:c r="U269" s="267">
        <x:v>0</x:v>
      </x:c>
      <x:c r="V269" s="267">
        <x:v>0</x:v>
      </x:c>
      <x:c r="W269" s="267">
        <x:v>0</x:v>
      </x:c>
      <x:c r="X269" s="267">
        <x:v>0</x:v>
      </x:c>
      <x:c r="Y269" s="269">
        <x:f t="shared" si="10"/>
        <x:v>0</x:v>
      </x:c>
    </x:row>
    <x:row r="270">
      <x:c r="A270" s="148" t="s">
        <x:v>105</x:v>
      </x:c>
      <x:c r="B270">
        <x:v>7</x:v>
      </x:c>
      <x:c r="C270" s="148" t="s">
        <x:v>115</x:v>
      </x:c>
      <x:c r="D270">
        <x:v>701</x:v>
      </x:c>
      <x:c r="E270" s="267">
        <x:v>0</x:v>
      </x:c>
      <x:c r="F270" s="267">
        <x:v>0</x:v>
      </x:c>
      <x:c r="G270" s="267">
        <x:v>0</x:v>
      </x:c>
      <x:c r="H270" s="267">
        <x:v>0</x:v>
      </x:c>
      <x:c r="I270" s="267">
        <x:v>0</x:v>
      </x:c>
      <x:c r="J270" s="267">
        <x:v>0</x:v>
      </x:c>
      <x:c r="K270" s="267">
        <x:v>0</x:v>
      </x:c>
      <x:c r="L270" s="267">
        <x:v>0</x:v>
      </x:c>
      <x:c r="M270" s="267">
        <x:v>0</x:v>
      </x:c>
      <x:c r="N270" s="267">
        <x:v>0</x:v>
      </x:c>
      <x:c r="O270" s="267">
        <x:v>0</x:v>
      </x:c>
      <x:c r="P270" s="267">
        <x:v>0</x:v>
      </x:c>
      <x:c r="Q270" s="267">
        <x:v>0</x:v>
      </x:c>
      <x:c r="R270" s="267">
        <x:v>0</x:v>
      </x:c>
      <x:c r="S270" s="267">
        <x:v>0</x:v>
      </x:c>
      <x:c r="T270" s="267">
        <x:v>0</x:v>
      </x:c>
      <x:c r="U270" s="267">
        <x:v>0</x:v>
      </x:c>
      <x:c r="V270" s="267">
        <x:v>0</x:v>
      </x:c>
      <x:c r="W270" s="267">
        <x:v>0</x:v>
      </x:c>
      <x:c r="X270" s="267">
        <x:v>0</x:v>
      </x:c>
      <x:c r="Y270" s="269">
        <x:f t="shared" si="10"/>
        <x:v>0</x:v>
      </x:c>
    </x:row>
    <x:row r="271">
      <x:c r="A271" s="148" t="s">
        <x:v>105</x:v>
      </x:c>
      <x:c r="B271">
        <x:v>7</x:v>
      </x:c>
      <x:c r="C271" s="148" t="s">
        <x:v>115</x:v>
      </x:c>
      <x:c r="D271">
        <x:v>701</x:v>
      </x:c>
      <x:c r="E271" s="267">
        <x:v>0</x:v>
      </x:c>
      <x:c r="F271" s="267">
        <x:v>0</x:v>
      </x:c>
      <x:c r="G271" s="267">
        <x:v>0</x:v>
      </x:c>
      <x:c r="H271" s="267">
        <x:v>0</x:v>
      </x:c>
      <x:c r="I271" s="267">
        <x:v>0</x:v>
      </x:c>
      <x:c r="J271" s="267">
        <x:v>0</x:v>
      </x:c>
      <x:c r="K271" s="267">
        <x:v>0</x:v>
      </x:c>
      <x:c r="L271" s="267">
        <x:v>0</x:v>
      </x:c>
      <x:c r="M271" s="267">
        <x:v>0</x:v>
      </x:c>
      <x:c r="N271" s="267">
        <x:v>0</x:v>
      </x:c>
      <x:c r="O271" s="267">
        <x:v>0</x:v>
      </x:c>
      <x:c r="P271" s="267">
        <x:v>0</x:v>
      </x:c>
      <x:c r="Q271" s="267">
        <x:v>0</x:v>
      </x:c>
      <x:c r="R271" s="267">
        <x:v>0</x:v>
      </x:c>
      <x:c r="S271" s="267">
        <x:v>0</x:v>
      </x:c>
      <x:c r="T271" s="267">
        <x:v>0</x:v>
      </x:c>
      <x:c r="U271" s="267">
        <x:v>0</x:v>
      </x:c>
      <x:c r="V271" s="267">
        <x:v>0</x:v>
      </x:c>
      <x:c r="W271" s="267">
        <x:v>0</x:v>
      </x:c>
      <x:c r="X271" s="267">
        <x:v>0</x:v>
      </x:c>
      <x:c r="Y271" s="269">
        <x:f t="shared" si="10"/>
        <x:v>0</x:v>
      </x:c>
    </x:row>
    <x:row r="272">
      <x:c r="A272" s="148" t="s">
        <x:v>105</x:v>
      </x:c>
      <x:c r="B272">
        <x:v>7</x:v>
      </x:c>
      <x:c r="C272" s="148" t="s">
        <x:v>115</x:v>
      </x:c>
      <x:c r="D272">
        <x:v>701</x:v>
      </x:c>
      <x:c r="E272" s="267">
        <x:v>0</x:v>
      </x:c>
      <x:c r="F272" s="267">
        <x:v>0</x:v>
      </x:c>
      <x:c r="G272" s="267">
        <x:v>0</x:v>
      </x:c>
      <x:c r="H272" s="267">
        <x:v>0</x:v>
      </x:c>
      <x:c r="I272" s="267">
        <x:v>0</x:v>
      </x:c>
      <x:c r="J272" s="267">
        <x:v>0</x:v>
      </x:c>
      <x:c r="K272" s="267">
        <x:v>0</x:v>
      </x:c>
      <x:c r="L272" s="267">
        <x:v>0</x:v>
      </x:c>
      <x:c r="M272" s="267">
        <x:v>0</x:v>
      </x:c>
      <x:c r="N272" s="267">
        <x:v>0</x:v>
      </x:c>
      <x:c r="O272" s="267">
        <x:v>0</x:v>
      </x:c>
      <x:c r="P272" s="267">
        <x:v>0</x:v>
      </x:c>
      <x:c r="Q272" s="267">
        <x:v>0</x:v>
      </x:c>
      <x:c r="R272" s="267">
        <x:v>0</x:v>
      </x:c>
      <x:c r="S272" s="267">
        <x:v>0</x:v>
      </x:c>
      <x:c r="T272" s="267">
        <x:v>0</x:v>
      </x:c>
      <x:c r="U272" s="267">
        <x:v>0</x:v>
      </x:c>
      <x:c r="V272" s="267">
        <x:v>0</x:v>
      </x:c>
      <x:c r="W272" s="267">
        <x:v>0</x:v>
      </x:c>
      <x:c r="X272" s="267">
        <x:v>0</x:v>
      </x:c>
      <x:c r="Y272" s="269">
        <x:f t="shared" si="10"/>
        <x:v>0</x:v>
      </x:c>
    </x:row>
    <x:row r="273">
      <x:c r="A273" s="148" t="s">
        <x:v>105</x:v>
      </x:c>
      <x:c r="B273">
        <x:v>7</x:v>
      </x:c>
      <x:c r="C273" s="148" t="s">
        <x:v>115</x:v>
      </x:c>
      <x:c r="D273">
        <x:v>701</x:v>
      </x:c>
      <x:c r="E273" s="267">
        <x:v>0</x:v>
      </x:c>
      <x:c r="F273" s="267">
        <x:v>0</x:v>
      </x:c>
      <x:c r="G273" s="267">
        <x:v>0</x:v>
      </x:c>
      <x:c r="H273" s="267">
        <x:v>0</x:v>
      </x:c>
      <x:c r="I273" s="267">
        <x:v>0</x:v>
      </x:c>
      <x:c r="J273" s="267">
        <x:v>0</x:v>
      </x:c>
      <x:c r="K273" s="267">
        <x:v>0</x:v>
      </x:c>
      <x:c r="L273" s="267">
        <x:v>0</x:v>
      </x:c>
      <x:c r="M273" s="267">
        <x:v>0</x:v>
      </x:c>
      <x:c r="N273" s="267">
        <x:v>0</x:v>
      </x:c>
      <x:c r="O273" s="267">
        <x:v>0</x:v>
      </x:c>
      <x:c r="P273" s="267">
        <x:v>0</x:v>
      </x:c>
      <x:c r="Q273" s="267">
        <x:v>0</x:v>
      </x:c>
      <x:c r="R273" s="267">
        <x:v>0</x:v>
      </x:c>
      <x:c r="S273" s="267">
        <x:v>0</x:v>
      </x:c>
      <x:c r="T273" s="267">
        <x:v>0</x:v>
      </x:c>
      <x:c r="U273" s="267">
        <x:v>0</x:v>
      </x:c>
      <x:c r="V273" s="267">
        <x:v>0</x:v>
      </x:c>
      <x:c r="W273" s="267">
        <x:v>0</x:v>
      </x:c>
      <x:c r="X273" s="267">
        <x:v>0</x:v>
      </x:c>
      <x:c r="Y273" s="269">
        <x:f t="shared" si="10"/>
        <x:v>0</x:v>
      </x:c>
    </x:row>
    <x:row r="274">
      <x:c r="A274" s="148" t="s">
        <x:v>105</x:v>
      </x:c>
      <x:c r="B274">
        <x:v>7</x:v>
      </x:c>
      <x:c r="C274" s="148" t="s">
        <x:v>115</x:v>
      </x:c>
      <x:c r="D274">
        <x:v>701</x:v>
      </x:c>
      <x:c r="E274" s="267">
        <x:v>0</x:v>
      </x:c>
      <x:c r="F274" s="267">
        <x:v>0</x:v>
      </x:c>
      <x:c r="G274" s="267">
        <x:v>0</x:v>
      </x:c>
      <x:c r="H274" s="267">
        <x:v>0</x:v>
      </x:c>
      <x:c r="I274" s="267">
        <x:v>0</x:v>
      </x:c>
      <x:c r="J274" s="267">
        <x:v>0</x:v>
      </x:c>
      <x:c r="K274" s="267">
        <x:v>0</x:v>
      </x:c>
      <x:c r="L274" s="267">
        <x:v>0</x:v>
      </x:c>
      <x:c r="M274" s="267">
        <x:v>0</x:v>
      </x:c>
      <x:c r="N274" s="267">
        <x:v>0</x:v>
      </x:c>
      <x:c r="O274" s="267">
        <x:v>0</x:v>
      </x:c>
      <x:c r="P274" s="267">
        <x:v>0</x:v>
      </x:c>
      <x:c r="Q274" s="267">
        <x:v>0</x:v>
      </x:c>
      <x:c r="R274" s="267">
        <x:v>0</x:v>
      </x:c>
      <x:c r="S274" s="267">
        <x:v>0</x:v>
      </x:c>
      <x:c r="T274" s="267">
        <x:v>0</x:v>
      </x:c>
      <x:c r="U274" s="267">
        <x:v>0</x:v>
      </x:c>
      <x:c r="V274" s="267">
        <x:v>0</x:v>
      </x:c>
      <x:c r="W274" s="267">
        <x:v>0</x:v>
      </x:c>
      <x:c r="X274" s="267">
        <x:v>0</x:v>
      </x:c>
      <x:c r="Y274" s="269">
        <x:f t="shared" si="10"/>
        <x:v>0</x:v>
      </x:c>
    </x:row>
    <x:row r="275">
      <x:c r="A275" s="148" t="s">
        <x:v>105</x:v>
      </x:c>
      <x:c r="B275">
        <x:v>7</x:v>
      </x:c>
      <x:c r="C275" s="148" t="s">
        <x:v>115</x:v>
      </x:c>
      <x:c r="D275">
        <x:v>701</x:v>
      </x:c>
      <x:c r="E275" s="267">
        <x:v>0</x:v>
      </x:c>
      <x:c r="F275" s="267">
        <x:v>0</x:v>
      </x:c>
      <x:c r="G275" s="267">
        <x:v>0</x:v>
      </x:c>
      <x:c r="H275" s="267">
        <x:v>0</x:v>
      </x:c>
      <x:c r="I275" s="267">
        <x:v>0</x:v>
      </x:c>
      <x:c r="J275" s="267">
        <x:v>0</x:v>
      </x:c>
      <x:c r="K275" s="267">
        <x:v>0</x:v>
      </x:c>
      <x:c r="L275" s="267">
        <x:v>0</x:v>
      </x:c>
      <x:c r="M275" s="267">
        <x:v>0</x:v>
      </x:c>
      <x:c r="N275" s="267">
        <x:v>0</x:v>
      </x:c>
      <x:c r="O275" s="267">
        <x:v>0</x:v>
      </x:c>
      <x:c r="P275" s="267">
        <x:v>0</x:v>
      </x:c>
      <x:c r="Q275" s="267">
        <x:v>0</x:v>
      </x:c>
      <x:c r="R275" s="267">
        <x:v>0</x:v>
      </x:c>
      <x:c r="S275" s="267">
        <x:v>0</x:v>
      </x:c>
      <x:c r="T275" s="267">
        <x:v>0</x:v>
      </x:c>
      <x:c r="U275" s="267">
        <x:v>0</x:v>
      </x:c>
      <x:c r="V275" s="267">
        <x:v>0</x:v>
      </x:c>
      <x:c r="W275" s="267">
        <x:v>0</x:v>
      </x:c>
      <x:c r="X275" s="267">
        <x:v>0</x:v>
      </x:c>
      <x:c r="Y275" s="269">
        <x:f t="shared" si="10"/>
        <x:v>0</x:v>
      </x:c>
    </x:row>
    <x:row r="276">
      <x:c r="A276" s="148" t="s">
        <x:v>105</x:v>
      </x:c>
      <x:c r="B276">
        <x:v>7</x:v>
      </x:c>
      <x:c r="C276" s="148" t="s">
        <x:v>115</x:v>
      </x:c>
      <x:c r="D276">
        <x:v>701</x:v>
      </x:c>
      <x:c r="E276" s="267">
        <x:v>0</x:v>
      </x:c>
      <x:c r="F276" s="267">
        <x:v>0</x:v>
      </x:c>
      <x:c r="G276" s="267">
        <x:v>0</x:v>
      </x:c>
      <x:c r="H276" s="267">
        <x:v>0</x:v>
      </x:c>
      <x:c r="I276" s="267">
        <x:v>0</x:v>
      </x:c>
      <x:c r="J276" s="267">
        <x:v>0</x:v>
      </x:c>
      <x:c r="K276" s="267">
        <x:v>0</x:v>
      </x:c>
      <x:c r="L276" s="267">
        <x:v>0</x:v>
      </x:c>
      <x:c r="M276" s="267">
        <x:v>0</x:v>
      </x:c>
      <x:c r="N276" s="267">
        <x:v>0</x:v>
      </x:c>
      <x:c r="O276" s="267">
        <x:v>0</x:v>
      </x:c>
      <x:c r="P276" s="267">
        <x:v>0</x:v>
      </x:c>
      <x:c r="Q276" s="267">
        <x:v>0</x:v>
      </x:c>
      <x:c r="R276" s="267">
        <x:v>0</x:v>
      </x:c>
      <x:c r="S276" s="267">
        <x:v>0</x:v>
      </x:c>
      <x:c r="T276" s="267">
        <x:v>0</x:v>
      </x:c>
      <x:c r="U276" s="267">
        <x:v>0</x:v>
      </x:c>
      <x:c r="V276" s="267">
        <x:v>0</x:v>
      </x:c>
      <x:c r="W276" s="267">
        <x:v>0</x:v>
      </x:c>
      <x:c r="X276" s="267">
        <x:v>0</x:v>
      </x:c>
      <x:c r="Y276" s="269">
        <x:f t="shared" si="10"/>
        <x:v>0</x:v>
      </x:c>
    </x:row>
    <x:row r="277">
      <x:c r="A277" s="148" t="s">
        <x:v>105</x:v>
      </x:c>
      <x:c r="B277">
        <x:v>7</x:v>
      </x:c>
      <x:c r="C277" s="148" t="s">
        <x:v>115</x:v>
      </x:c>
      <x:c r="D277">
        <x:v>701</x:v>
      </x:c>
      <x:c r="E277" s="267">
        <x:v>0</x:v>
      </x:c>
      <x:c r="F277" s="267">
        <x:v>0</x:v>
      </x:c>
      <x:c r="G277" s="267">
        <x:v>0</x:v>
      </x:c>
      <x:c r="H277" s="267">
        <x:v>0</x:v>
      </x:c>
      <x:c r="I277" s="267">
        <x:v>0</x:v>
      </x:c>
      <x:c r="J277" s="267">
        <x:v>0</x:v>
      </x:c>
      <x:c r="K277" s="267">
        <x:v>0</x:v>
      </x:c>
      <x:c r="L277" s="267">
        <x:v>0</x:v>
      </x:c>
      <x:c r="M277" s="267">
        <x:v>0</x:v>
      </x:c>
      <x:c r="N277" s="267">
        <x:v>0</x:v>
      </x:c>
      <x:c r="O277" s="267">
        <x:v>0</x:v>
      </x:c>
      <x:c r="P277" s="267">
        <x:v>0</x:v>
      </x:c>
      <x:c r="Q277" s="267">
        <x:v>0</x:v>
      </x:c>
      <x:c r="R277" s="267">
        <x:v>0</x:v>
      </x:c>
      <x:c r="S277" s="267">
        <x:v>0</x:v>
      </x:c>
      <x:c r="T277" s="267">
        <x:v>0</x:v>
      </x:c>
      <x:c r="U277" s="267">
        <x:v>0</x:v>
      </x:c>
      <x:c r="V277" s="267">
        <x:v>0</x:v>
      </x:c>
      <x:c r="W277" s="267">
        <x:v>0</x:v>
      </x:c>
      <x:c r="X277" s="267">
        <x:v>0</x:v>
      </x:c>
      <x:c r="Y277" s="269">
        <x:f t="shared" si="10"/>
        <x:v>0</x:v>
      </x:c>
    </x:row>
    <x:row r="278">
      <x:c r="A278" s="148" t="s">
        <x:v>105</x:v>
      </x:c>
      <x:c r="B278">
        <x:v>7</x:v>
      </x:c>
      <x:c r="C278" s="148" t="s">
        <x:v>115</x:v>
      </x:c>
      <x:c r="D278">
        <x:v>701</x:v>
      </x:c>
      <x:c r="E278" s="267">
        <x:v>0</x:v>
      </x:c>
      <x:c r="F278" s="267">
        <x:v>0</x:v>
      </x:c>
      <x:c r="G278" s="267">
        <x:v>0</x:v>
      </x:c>
      <x:c r="H278" s="267">
        <x:v>0</x:v>
      </x:c>
      <x:c r="I278" s="267">
        <x:v>0</x:v>
      </x:c>
      <x:c r="J278" s="267">
        <x:v>0</x:v>
      </x:c>
      <x:c r="K278" s="267">
        <x:v>0</x:v>
      </x:c>
      <x:c r="L278" s="267">
        <x:v>0</x:v>
      </x:c>
      <x:c r="M278" s="267">
        <x:v>0</x:v>
      </x:c>
      <x:c r="N278" s="267">
        <x:v>0</x:v>
      </x:c>
      <x:c r="O278" s="267">
        <x:v>0</x:v>
      </x:c>
      <x:c r="P278" s="267">
        <x:v>0</x:v>
      </x:c>
      <x:c r="Q278" s="267">
        <x:v>0</x:v>
      </x:c>
      <x:c r="R278" s="267">
        <x:v>0</x:v>
      </x:c>
      <x:c r="S278" s="267">
        <x:v>0</x:v>
      </x:c>
      <x:c r="T278" s="267">
        <x:v>0</x:v>
      </x:c>
      <x:c r="U278" s="267">
        <x:v>0</x:v>
      </x:c>
      <x:c r="V278" s="267">
        <x:v>0</x:v>
      </x:c>
      <x:c r="W278" s="267">
        <x:v>0</x:v>
      </x:c>
      <x:c r="X278" s="267">
        <x:v>0</x:v>
      </x:c>
      <x:c r="Y278" s="269">
        <x:f t="shared" si="10"/>
        <x:v>0</x:v>
      </x:c>
    </x:row>
    <x:row r="279">
      <x:c r="A279" s="148" t="s">
        <x:v>105</x:v>
      </x:c>
      <x:c r="B279">
        <x:v>7</x:v>
      </x:c>
      <x:c r="C279" s="148" t="s">
        <x:v>115</x:v>
      </x:c>
      <x:c r="D279">
        <x:v>701</x:v>
      </x:c>
      <x:c r="E279" s="267">
        <x:v>0</x:v>
      </x:c>
      <x:c r="F279" s="267">
        <x:v>0</x:v>
      </x:c>
      <x:c r="G279" s="267">
        <x:v>0</x:v>
      </x:c>
      <x:c r="H279" s="267">
        <x:v>0</x:v>
      </x:c>
      <x:c r="I279" s="267">
        <x:v>0</x:v>
      </x:c>
      <x:c r="J279" s="267">
        <x:v>0</x:v>
      </x:c>
      <x:c r="K279" s="267">
        <x:v>0</x:v>
      </x:c>
      <x:c r="L279" s="267">
        <x:v>0</x:v>
      </x:c>
      <x:c r="M279" s="267">
        <x:v>0</x:v>
      </x:c>
      <x:c r="N279" s="267">
        <x:v>0</x:v>
      </x:c>
      <x:c r="O279" s="267">
        <x:v>0</x:v>
      </x:c>
      <x:c r="P279" s="267">
        <x:v>0</x:v>
      </x:c>
      <x:c r="Q279" s="267">
        <x:v>0</x:v>
      </x:c>
      <x:c r="R279" s="267">
        <x:v>0</x:v>
      </x:c>
      <x:c r="S279" s="267">
        <x:v>0</x:v>
      </x:c>
      <x:c r="T279" s="267">
        <x:v>0</x:v>
      </x:c>
      <x:c r="U279" s="267">
        <x:v>0</x:v>
      </x:c>
      <x:c r="V279" s="267">
        <x:v>0</x:v>
      </x:c>
      <x:c r="W279" s="267">
        <x:v>0</x:v>
      </x:c>
      <x:c r="X279" s="267">
        <x:v>0</x:v>
      </x:c>
      <x:c r="Y279" s="269">
        <x:f t="shared" si="10"/>
        <x:v>0</x:v>
      </x:c>
    </x:row>
    <x:row r="280">
      <x:c r="A280" s="148" t="s">
        <x:v>105</x:v>
      </x:c>
      <x:c r="B280">
        <x:v>7</x:v>
      </x:c>
      <x:c r="C280" s="148" t="s">
        <x:v>115</x:v>
      </x:c>
      <x:c r="D280">
        <x:v>701</x:v>
      </x:c>
      <x:c r="E280" s="267">
        <x:v>0</x:v>
      </x:c>
      <x:c r="F280" s="267">
        <x:v>0</x:v>
      </x:c>
      <x:c r="G280" s="267">
        <x:v>0</x:v>
      </x:c>
      <x:c r="H280" s="267">
        <x:v>0</x:v>
      </x:c>
      <x:c r="I280" s="267">
        <x:v>0</x:v>
      </x:c>
      <x:c r="J280" s="267">
        <x:v>0</x:v>
      </x:c>
      <x:c r="K280" s="267">
        <x:v>0</x:v>
      </x:c>
      <x:c r="L280" s="267">
        <x:v>0</x:v>
      </x:c>
      <x:c r="M280" s="267">
        <x:v>0</x:v>
      </x:c>
      <x:c r="N280" s="267">
        <x:v>0</x:v>
      </x:c>
      <x:c r="O280" s="267">
        <x:v>0</x:v>
      </x:c>
      <x:c r="P280" s="267">
        <x:v>0</x:v>
      </x:c>
      <x:c r="Q280" s="267">
        <x:v>0</x:v>
      </x:c>
      <x:c r="R280" s="267">
        <x:v>0</x:v>
      </x:c>
      <x:c r="S280" s="267">
        <x:v>0</x:v>
      </x:c>
      <x:c r="T280" s="267">
        <x:v>0</x:v>
      </x:c>
      <x:c r="U280" s="267">
        <x:v>0</x:v>
      </x:c>
      <x:c r="V280" s="267">
        <x:v>0</x:v>
      </x:c>
      <x:c r="W280" s="267">
        <x:v>0</x:v>
      </x:c>
      <x:c r="X280" s="267">
        <x:v>0</x:v>
      </x:c>
      <x:c r="Y280" s="269">
        <x:f t="shared" si="10"/>
        <x:v>0</x:v>
      </x:c>
    </x:row>
    <x:row r="281">
      <x:c r="A281" s="148" t="s">
        <x:v>105</x:v>
      </x:c>
      <x:c r="B281">
        <x:v>7</x:v>
      </x:c>
      <x:c r="C281" s="148" t="s">
        <x:v>115</x:v>
      </x:c>
      <x:c r="D281">
        <x:v>701</x:v>
      </x:c>
      <x:c r="E281" s="267">
        <x:v>0</x:v>
      </x:c>
      <x:c r="F281" s="267">
        <x:v>0</x:v>
      </x:c>
      <x:c r="G281" s="267">
        <x:v>0</x:v>
      </x:c>
      <x:c r="H281" s="267">
        <x:v>0</x:v>
      </x:c>
      <x:c r="I281" s="267">
        <x:v>0</x:v>
      </x:c>
      <x:c r="J281" s="267">
        <x:v>0</x:v>
      </x:c>
      <x:c r="K281" s="267">
        <x:v>0</x:v>
      </x:c>
      <x:c r="L281" s="267">
        <x:v>0</x:v>
      </x:c>
      <x:c r="M281" s="267">
        <x:v>0</x:v>
      </x:c>
      <x:c r="N281" s="267">
        <x:v>0</x:v>
      </x:c>
      <x:c r="O281" s="267">
        <x:v>0</x:v>
      </x:c>
      <x:c r="P281" s="267">
        <x:v>0</x:v>
      </x:c>
      <x:c r="Q281" s="267">
        <x:v>0</x:v>
      </x:c>
      <x:c r="R281" s="267">
        <x:v>0</x:v>
      </x:c>
      <x:c r="S281" s="267">
        <x:v>0</x:v>
      </x:c>
      <x:c r="T281" s="267">
        <x:v>0</x:v>
      </x:c>
      <x:c r="U281" s="267">
        <x:v>0</x:v>
      </x:c>
      <x:c r="V281" s="267">
        <x:v>0</x:v>
      </x:c>
      <x:c r="W281" s="267">
        <x:v>0</x:v>
      </x:c>
      <x:c r="X281" s="267">
        <x:v>0</x:v>
      </x:c>
      <x:c r="Y281" s="269">
        <x:f t="shared" si="10"/>
        <x:v>0</x:v>
      </x:c>
    </x:row>
    <x:row r="282">
      <x:c r="A282" s="148"/>
      <x:c r="B282"/>
      <x:c r="C282" s="148"/>
      <x:c r="D282"/>
      <x:c r="E282" s="267">
        <x:f t="shared" ref="E282:X282" si="11">AVERAGE(E238:E281)</x:f>
      </x:c>
      <x:c r="F282" s="267">
        <x:f t="shared" si="11"/>
      </x:c>
      <x:c r="G282" s="267">
        <x:f t="shared" si="11"/>
      </x:c>
      <x:c r="H282" s="267">
        <x:f t="shared" si="11"/>
      </x:c>
      <x:c r="I282" s="267">
        <x:f t="shared" si="11"/>
      </x:c>
      <x:c r="J282" s="267">
        <x:f t="shared" si="11"/>
      </x:c>
      <x:c r="K282" s="267">
        <x:f t="shared" si="11"/>
      </x:c>
      <x:c r="L282" s="267">
        <x:f t="shared" si="11"/>
      </x:c>
      <x:c r="M282" s="267">
        <x:f t="shared" si="11"/>
      </x:c>
      <x:c r="N282" s="267">
        <x:f t="shared" si="11"/>
      </x:c>
      <x:c r="O282" s="267">
        <x:f t="shared" si="11"/>
      </x:c>
      <x:c r="P282" s="267">
        <x:f t="shared" si="11"/>
      </x:c>
      <x:c r="Q282" s="267">
        <x:f t="shared" si="11"/>
      </x:c>
      <x:c r="R282" s="267">
        <x:f t="shared" si="11"/>
      </x:c>
      <x:c r="S282" s="267">
        <x:f t="shared" si="11"/>
      </x:c>
      <x:c r="T282" s="267">
        <x:f t="shared" si="11"/>
      </x:c>
      <x:c r="U282" s="267">
        <x:f t="shared" si="11"/>
      </x:c>
      <x:c r="V282" s="267">
        <x:f t="shared" si="11"/>
      </x:c>
      <x:c r="W282" s="267">
        <x:f t="shared" si="11"/>
      </x:c>
      <x:c r="X282" s="267">
        <x:f t="shared" si="11"/>
      </x:c>
      <x:c r="Y282" s="269">
        <x:f t="shared" si="10"/>
      </x:c>
    </x:row>
    <x:row r="283">
      <x:c r="A283" s="148" t="s">
        <x:v>105</x:v>
      </x:c>
      <x:c r="B283">
        <x:v>8</x:v>
      </x:c>
      <x:c r="C283" s="148" t="s">
        <x:v>116</x:v>
      </x:c>
      <x:c r="D283">
        <x:v>801</x:v>
      </x:c>
      <x:c r="E283" s="267">
        <x:v>0</x:v>
      </x:c>
      <x:c r="F283" s="267">
        <x:v>0</x:v>
      </x:c>
      <x:c r="G283" s="267">
        <x:v>0</x:v>
      </x:c>
      <x:c r="H283" s="267">
        <x:v>0</x:v>
      </x:c>
      <x:c r="I283" s="267">
        <x:v>0</x:v>
      </x:c>
      <x:c r="J283" s="267">
        <x:v>0</x:v>
      </x:c>
      <x:c r="K283" s="267">
        <x:v>0</x:v>
      </x:c>
      <x:c r="L283" s="267">
        <x:v>0</x:v>
      </x:c>
      <x:c r="M283" s="267">
        <x:v>0</x:v>
      </x:c>
      <x:c r="N283" s="267">
        <x:v>0</x:v>
      </x:c>
      <x:c r="O283" s="267">
        <x:v>0</x:v>
      </x:c>
      <x:c r="P283" s="267">
        <x:v>0</x:v>
      </x:c>
      <x:c r="Q283" s="267">
        <x:v>0</x:v>
      </x:c>
      <x:c r="R283" s="267">
        <x:v>0</x:v>
      </x:c>
      <x:c r="S283" s="267">
        <x:v>0</x:v>
      </x:c>
      <x:c r="T283" s="267">
        <x:v>0</x:v>
      </x:c>
      <x:c r="U283" s="267">
        <x:v>0</x:v>
      </x:c>
      <x:c r="V283" s="267">
        <x:v>0</x:v>
      </x:c>
      <x:c r="W283" s="267">
        <x:v>0</x:v>
      </x:c>
      <x:c r="X283" s="267">
        <x:v>0</x:v>
      </x:c>
      <x:c r="Y283" s="269">
        <x:f t="shared" si="10"/>
        <x:v>0</x:v>
      </x:c>
    </x:row>
    <x:row r="284">
      <x:c r="A284" s="148" t="s">
        <x:v>105</x:v>
      </x:c>
      <x:c r="B284">
        <x:v>8</x:v>
      </x:c>
      <x:c r="C284" s="148" t="s">
        <x:v>116</x:v>
      </x:c>
      <x:c r="D284">
        <x:v>802</x:v>
      </x:c>
      <x:c r="E284" s="267">
        <x:v>0</x:v>
      </x:c>
      <x:c r="F284" s="267">
        <x:v>0</x:v>
      </x:c>
      <x:c r="G284" s="267">
        <x:v>0</x:v>
      </x:c>
      <x:c r="H284" s="267">
        <x:v>0</x:v>
      </x:c>
      <x:c r="I284" s="267">
        <x:v>0</x:v>
      </x:c>
      <x:c r="J284" s="267">
        <x:v>0</x:v>
      </x:c>
      <x:c r="K284" s="267">
        <x:v>0</x:v>
      </x:c>
      <x:c r="L284" s="267">
        <x:v>0</x:v>
      </x:c>
      <x:c r="M284" s="267">
        <x:v>0</x:v>
      </x:c>
      <x:c r="N284" s="267">
        <x:v>0</x:v>
      </x:c>
      <x:c r="O284" s="267">
        <x:v>0</x:v>
      </x:c>
      <x:c r="P284" s="267">
        <x:v>0</x:v>
      </x:c>
      <x:c r="Q284" s="267">
        <x:v>0</x:v>
      </x:c>
      <x:c r="R284" s="267">
        <x:v>0</x:v>
      </x:c>
      <x:c r="S284" s="267">
        <x:v>0</x:v>
      </x:c>
      <x:c r="T284" s="267">
        <x:v>0</x:v>
      </x:c>
      <x:c r="U284" s="267">
        <x:v>0</x:v>
      </x:c>
      <x:c r="V284" s="267">
        <x:v>0</x:v>
      </x:c>
      <x:c r="W284" s="267">
        <x:v>0</x:v>
      </x:c>
      <x:c r="X284" s="267">
        <x:v>0</x:v>
      </x:c>
      <x:c r="Y284" s="269">
        <x:f t="shared" si="10"/>
        <x:v>0</x:v>
      </x:c>
    </x:row>
    <x:row r="285">
      <x:c r="A285" s="148" t="s">
        <x:v>105</x:v>
      </x:c>
      <x:c r="B285">
        <x:v>8</x:v>
      </x:c>
      <x:c r="C285" s="148" t="s">
        <x:v>116</x:v>
      </x:c>
      <x:c r="D285">
        <x:v>803</x:v>
      </x:c>
      <x:c r="E285" s="267">
        <x:v>0</x:v>
      </x:c>
      <x:c r="F285" s="267">
        <x:v>0</x:v>
      </x:c>
      <x:c r="G285" s="267">
        <x:v>0</x:v>
      </x:c>
      <x:c r="H285" s="267">
        <x:v>0</x:v>
      </x:c>
      <x:c r="I285" s="267">
        <x:v>0</x:v>
      </x:c>
      <x:c r="J285" s="267">
        <x:v>0</x:v>
      </x:c>
      <x:c r="K285" s="267">
        <x:v>0</x:v>
      </x:c>
      <x:c r="L285" s="267">
        <x:v>0</x:v>
      </x:c>
      <x:c r="M285" s="267">
        <x:v>0</x:v>
      </x:c>
      <x:c r="N285" s="267">
        <x:v>0</x:v>
      </x:c>
      <x:c r="O285" s="267">
        <x:v>0</x:v>
      </x:c>
      <x:c r="P285" s="267">
        <x:v>0</x:v>
      </x:c>
      <x:c r="Q285" s="267">
        <x:v>0</x:v>
      </x:c>
      <x:c r="R285" s="267">
        <x:v>0</x:v>
      </x:c>
      <x:c r="S285" s="267">
        <x:v>0</x:v>
      </x:c>
      <x:c r="T285" s="267">
        <x:v>0</x:v>
      </x:c>
      <x:c r="U285" s="267">
        <x:v>0</x:v>
      </x:c>
      <x:c r="V285" s="267">
        <x:v>0</x:v>
      </x:c>
      <x:c r="W285" s="267">
        <x:v>0</x:v>
      </x:c>
      <x:c r="X285" s="267">
        <x:v>0</x:v>
      </x:c>
      <x:c r="Y285" s="269">
        <x:f t="shared" si="10"/>
        <x:v>0</x:v>
      </x:c>
    </x:row>
    <x:row r="286">
      <x:c r="A286" s="148" t="s">
        <x:v>105</x:v>
      </x:c>
      <x:c r="B286">
        <x:v>8</x:v>
      </x:c>
      <x:c r="C286" s="148" t="s">
        <x:v>116</x:v>
      </x:c>
      <x:c r="D286">
        <x:v>804</x:v>
      </x:c>
      <x:c r="E286" s="267">
        <x:v>0</x:v>
      </x:c>
      <x:c r="F286" s="267">
        <x:v>0</x:v>
      </x:c>
      <x:c r="G286" s="267">
        <x:v>0</x:v>
      </x:c>
      <x:c r="H286" s="267">
        <x:v>0</x:v>
      </x:c>
      <x:c r="I286" s="267">
        <x:v>0</x:v>
      </x:c>
      <x:c r="J286" s="267">
        <x:v>0</x:v>
      </x:c>
      <x:c r="K286" s="267">
        <x:v>0</x:v>
      </x:c>
      <x:c r="L286" s="267">
        <x:v>0</x:v>
      </x:c>
      <x:c r="M286" s="267">
        <x:v>0</x:v>
      </x:c>
      <x:c r="N286" s="267">
        <x:v>0</x:v>
      </x:c>
      <x:c r="O286" s="267">
        <x:v>0</x:v>
      </x:c>
      <x:c r="P286" s="267">
        <x:v>0</x:v>
      </x:c>
      <x:c r="Q286" s="267">
        <x:v>0</x:v>
      </x:c>
      <x:c r="R286" s="267">
        <x:v>0</x:v>
      </x:c>
      <x:c r="S286" s="267">
        <x:v>0</x:v>
      </x:c>
      <x:c r="T286" s="267">
        <x:v>0</x:v>
      </x:c>
      <x:c r="U286" s="267">
        <x:v>0</x:v>
      </x:c>
      <x:c r="V286" s="267">
        <x:v>0</x:v>
      </x:c>
      <x:c r="W286" s="267">
        <x:v>0</x:v>
      </x:c>
      <x:c r="X286" s="267">
        <x:v>0</x:v>
      </x:c>
      <x:c r="Y286" s="269">
        <x:f t="shared" si="10"/>
        <x:v>0</x:v>
      </x:c>
    </x:row>
    <x:row r="287">
      <x:c r="A287" s="148" t="s">
        <x:v>105</x:v>
      </x:c>
      <x:c r="B287">
        <x:v>8</x:v>
      </x:c>
      <x:c r="C287" s="148" t="s">
        <x:v>116</x:v>
      </x:c>
      <x:c r="D287">
        <x:v>805</x:v>
      </x:c>
      <x:c r="E287" s="267">
        <x:v>0</x:v>
      </x:c>
      <x:c r="F287" s="267">
        <x:v>0</x:v>
      </x:c>
      <x:c r="G287" s="267">
        <x:v>0</x:v>
      </x:c>
      <x:c r="H287" s="267">
        <x:v>0</x:v>
      </x:c>
      <x:c r="I287" s="267">
        <x:v>0</x:v>
      </x:c>
      <x:c r="J287" s="267">
        <x:v>0</x:v>
      </x:c>
      <x:c r="K287" s="267">
        <x:v>0</x:v>
      </x:c>
      <x:c r="L287" s="267">
        <x:v>0</x:v>
      </x:c>
      <x:c r="M287" s="267">
        <x:v>0</x:v>
      </x:c>
      <x:c r="N287" s="267">
        <x:v>0</x:v>
      </x:c>
      <x:c r="O287" s="267">
        <x:v>0</x:v>
      </x:c>
      <x:c r="P287" s="267">
        <x:v>0</x:v>
      </x:c>
      <x:c r="Q287" s="267">
        <x:v>0</x:v>
      </x:c>
      <x:c r="R287" s="267">
        <x:v>0</x:v>
      </x:c>
      <x:c r="S287" s="267">
        <x:v>0</x:v>
      </x:c>
      <x:c r="T287" s="267">
        <x:v>0</x:v>
      </x:c>
      <x:c r="U287" s="267">
        <x:v>0</x:v>
      </x:c>
      <x:c r="V287" s="267">
        <x:v>0</x:v>
      </x:c>
      <x:c r="W287" s="267">
        <x:v>0</x:v>
      </x:c>
      <x:c r="X287" s="267">
        <x:v>0</x:v>
      </x:c>
      <x:c r="Y287" s="269">
        <x:f t="shared" si="10"/>
        <x:v>0</x:v>
      </x:c>
    </x:row>
    <x:row r="288">
      <x:c r="A288" s="148" t="s">
        <x:v>105</x:v>
      </x:c>
      <x:c r="B288">
        <x:v>8</x:v>
      </x:c>
      <x:c r="C288" s="148" t="s">
        <x:v>116</x:v>
      </x:c>
      <x:c r="D288">
        <x:v>806</x:v>
      </x:c>
      <x:c r="E288" s="267">
        <x:v>0</x:v>
      </x:c>
      <x:c r="F288" s="267">
        <x:v>0</x:v>
      </x:c>
      <x:c r="G288" s="267">
        <x:v>0</x:v>
      </x:c>
      <x:c r="H288" s="267">
        <x:v>0</x:v>
      </x:c>
      <x:c r="I288" s="267">
        <x:v>0</x:v>
      </x:c>
      <x:c r="J288" s="267">
        <x:v>0</x:v>
      </x:c>
      <x:c r="K288" s="267">
        <x:v>0</x:v>
      </x:c>
      <x:c r="L288" s="267">
        <x:v>0</x:v>
      </x:c>
      <x:c r="M288" s="267">
        <x:v>0</x:v>
      </x:c>
      <x:c r="N288" s="267">
        <x:v>0</x:v>
      </x:c>
      <x:c r="O288" s="267">
        <x:v>0</x:v>
      </x:c>
      <x:c r="P288" s="267">
        <x:v>0</x:v>
      </x:c>
      <x:c r="Q288" s="267">
        <x:v>0</x:v>
      </x:c>
      <x:c r="R288" s="267">
        <x:v>0</x:v>
      </x:c>
      <x:c r="S288" s="267">
        <x:v>0</x:v>
      </x:c>
      <x:c r="T288" s="267">
        <x:v>0</x:v>
      </x:c>
      <x:c r="U288" s="267">
        <x:v>0</x:v>
      </x:c>
      <x:c r="V288" s="267">
        <x:v>0</x:v>
      </x:c>
      <x:c r="W288" s="267">
        <x:v>0</x:v>
      </x:c>
      <x:c r="X288" s="267">
        <x:v>0</x:v>
      </x:c>
      <x:c r="Y288" s="269">
        <x:f t="shared" si="10"/>
        <x:v>0</x:v>
      </x:c>
    </x:row>
    <x:row r="289">
      <x:c r="A289" s="148" t="s">
        <x:v>105</x:v>
      </x:c>
      <x:c r="B289">
        <x:v>8</x:v>
      </x:c>
      <x:c r="C289" s="148" t="s">
        <x:v>116</x:v>
      </x:c>
      <x:c r="D289">
        <x:v>807</x:v>
      </x:c>
      <x:c r="E289" s="267">
        <x:v>0</x:v>
      </x:c>
      <x:c r="F289" s="267">
        <x:v>0</x:v>
      </x:c>
      <x:c r="G289" s="267">
        <x:v>0</x:v>
      </x:c>
      <x:c r="H289" s="267">
        <x:v>0</x:v>
      </x:c>
      <x:c r="I289" s="267">
        <x:v>0</x:v>
      </x:c>
      <x:c r="J289" s="267">
        <x:v>0</x:v>
      </x:c>
      <x:c r="K289" s="267">
        <x:v>0</x:v>
      </x:c>
      <x:c r="L289" s="267">
        <x:v>0</x:v>
      </x:c>
      <x:c r="M289" s="267">
        <x:v>0</x:v>
      </x:c>
      <x:c r="N289" s="267">
        <x:v>0</x:v>
      </x:c>
      <x:c r="O289" s="267">
        <x:v>0</x:v>
      </x:c>
      <x:c r="P289" s="267">
        <x:v>0</x:v>
      </x:c>
      <x:c r="Q289" s="267">
        <x:v>0</x:v>
      </x:c>
      <x:c r="R289" s="267">
        <x:v>0</x:v>
      </x:c>
      <x:c r="S289" s="267">
        <x:v>0</x:v>
      </x:c>
      <x:c r="T289" s="267">
        <x:v>0</x:v>
      </x:c>
      <x:c r="U289" s="267">
        <x:v>0</x:v>
      </x:c>
      <x:c r="V289" s="267">
        <x:v>0</x:v>
      </x:c>
      <x:c r="W289" s="267">
        <x:v>0</x:v>
      </x:c>
      <x:c r="X289" s="267">
        <x:v>0</x:v>
      </x:c>
      <x:c r="Y289" s="269">
        <x:f t="shared" si="10"/>
        <x:v>0</x:v>
      </x:c>
    </x:row>
    <x:row r="290">
      <x:c r="A290" s="148" t="s">
        <x:v>105</x:v>
      </x:c>
      <x:c r="B290">
        <x:v>8</x:v>
      </x:c>
      <x:c r="C290" s="148" t="s">
        <x:v>116</x:v>
      </x:c>
      <x:c r="D290">
        <x:v>808</x:v>
      </x:c>
      <x:c r="E290" s="267">
        <x:v>0</x:v>
      </x:c>
      <x:c r="F290" s="267">
        <x:v>0</x:v>
      </x:c>
      <x:c r="G290" s="267">
        <x:v>0</x:v>
      </x:c>
      <x:c r="H290" s="267">
        <x:v>0</x:v>
      </x:c>
      <x:c r="I290" s="267">
        <x:v>0</x:v>
      </x:c>
      <x:c r="J290" s="267">
        <x:v>0</x:v>
      </x:c>
      <x:c r="K290" s="267">
        <x:v>0</x:v>
      </x:c>
      <x:c r="L290" s="267">
        <x:v>0</x:v>
      </x:c>
      <x:c r="M290" s="267">
        <x:v>0</x:v>
      </x:c>
      <x:c r="N290" s="267">
        <x:v>0</x:v>
      </x:c>
      <x:c r="O290" s="267">
        <x:v>0</x:v>
      </x:c>
      <x:c r="P290" s="267">
        <x:v>0</x:v>
      </x:c>
      <x:c r="Q290" s="267">
        <x:v>0</x:v>
      </x:c>
      <x:c r="R290" s="267">
        <x:v>0</x:v>
      </x:c>
      <x:c r="S290" s="267">
        <x:v>0</x:v>
      </x:c>
      <x:c r="T290" s="267">
        <x:v>0</x:v>
      </x:c>
      <x:c r="U290" s="267">
        <x:v>0</x:v>
      </x:c>
      <x:c r="V290" s="267">
        <x:v>0</x:v>
      </x:c>
      <x:c r="W290" s="267">
        <x:v>0</x:v>
      </x:c>
      <x:c r="X290" s="267">
        <x:v>0</x:v>
      </x:c>
      <x:c r="Y290" s="269">
        <x:f t="shared" si="10"/>
        <x:v>0</x:v>
      </x:c>
    </x:row>
    <x:row r="291">
      <x:c r="A291" s="148" t="s">
        <x:v>105</x:v>
      </x:c>
      <x:c r="B291">
        <x:v>8</x:v>
      </x:c>
      <x:c r="C291" s="148" t="s">
        <x:v>116</x:v>
      </x:c>
      <x:c r="D291">
        <x:v>809</x:v>
      </x:c>
      <x:c r="E291" s="267">
        <x:v>0</x:v>
      </x:c>
      <x:c r="F291" s="267">
        <x:v>0</x:v>
      </x:c>
      <x:c r="G291" s="267">
        <x:v>0</x:v>
      </x:c>
      <x:c r="H291" s="267">
        <x:v>0</x:v>
      </x:c>
      <x:c r="I291" s="267">
        <x:v>0</x:v>
      </x:c>
      <x:c r="J291" s="267">
        <x:v>0</x:v>
      </x:c>
      <x:c r="K291" s="267">
        <x:v>0</x:v>
      </x:c>
      <x:c r="L291" s="267">
        <x:v>0</x:v>
      </x:c>
      <x:c r="M291" s="267">
        <x:v>0</x:v>
      </x:c>
      <x:c r="N291" s="267">
        <x:v>0</x:v>
      </x:c>
      <x:c r="O291" s="267">
        <x:v>0</x:v>
      </x:c>
      <x:c r="P291" s="267">
        <x:v>0</x:v>
      </x:c>
      <x:c r="Q291" s="267">
        <x:v>0</x:v>
      </x:c>
      <x:c r="R291" s="267">
        <x:v>0</x:v>
      </x:c>
      <x:c r="S291" s="267">
        <x:v>0</x:v>
      </x:c>
      <x:c r="T291" s="267">
        <x:v>0</x:v>
      </x:c>
      <x:c r="U291" s="267">
        <x:v>0</x:v>
      </x:c>
      <x:c r="V291" s="267">
        <x:v>0</x:v>
      </x:c>
      <x:c r="W291" s="267">
        <x:v>0</x:v>
      </x:c>
      <x:c r="X291" s="267">
        <x:v>0</x:v>
      </x:c>
      <x:c r="Y291" s="269">
        <x:f t="shared" si="10"/>
        <x:v>0</x:v>
      </x:c>
    </x:row>
    <x:row r="292">
      <x:c r="A292" s="148" t="s">
        <x:v>105</x:v>
      </x:c>
      <x:c r="B292">
        <x:v>8</x:v>
      </x:c>
      <x:c r="C292" s="148" t="s">
        <x:v>116</x:v>
      </x:c>
      <x:c r="D292">
        <x:v>810</x:v>
      </x:c>
      <x:c r="E292" s="267">
        <x:v>0</x:v>
      </x:c>
      <x:c r="F292" s="267">
        <x:v>0</x:v>
      </x:c>
      <x:c r="G292" s="267">
        <x:v>0</x:v>
      </x:c>
      <x:c r="H292" s="267">
        <x:v>0</x:v>
      </x:c>
      <x:c r="I292" s="267">
        <x:v>0</x:v>
      </x:c>
      <x:c r="J292" s="267">
        <x:v>0</x:v>
      </x:c>
      <x:c r="K292" s="267">
        <x:v>0</x:v>
      </x:c>
      <x:c r="L292" s="267">
        <x:v>0</x:v>
      </x:c>
      <x:c r="M292" s="267">
        <x:v>0</x:v>
      </x:c>
      <x:c r="N292" s="267">
        <x:v>0</x:v>
      </x:c>
      <x:c r="O292" s="267">
        <x:v>0</x:v>
      </x:c>
      <x:c r="P292" s="267">
        <x:v>0</x:v>
      </x:c>
      <x:c r="Q292" s="267">
        <x:v>0</x:v>
      </x:c>
      <x:c r="R292" s="267">
        <x:v>0</x:v>
      </x:c>
      <x:c r="S292" s="267">
        <x:v>0</x:v>
      </x:c>
      <x:c r="T292" s="267">
        <x:v>0</x:v>
      </x:c>
      <x:c r="U292" s="267">
        <x:v>0</x:v>
      </x:c>
      <x:c r="V292" s="267">
        <x:v>0</x:v>
      </x:c>
      <x:c r="W292" s="267">
        <x:v>0</x:v>
      </x:c>
      <x:c r="X292" s="267">
        <x:v>0</x:v>
      </x:c>
      <x:c r="Y292" s="269">
        <x:f t="shared" si="10"/>
        <x:v>0</x:v>
      </x:c>
    </x:row>
    <x:row r="293">
      <x:c r="A293" s="148" t="s">
        <x:v>105</x:v>
      </x:c>
      <x:c r="B293">
        <x:v>8</x:v>
      </x:c>
      <x:c r="C293" s="148" t="s">
        <x:v>116</x:v>
      </x:c>
      <x:c r="D293">
        <x:v>811</x:v>
      </x:c>
      <x:c r="E293" s="267">
        <x:v>0</x:v>
      </x:c>
      <x:c r="F293" s="267">
        <x:v>0</x:v>
      </x:c>
      <x:c r="G293" s="267">
        <x:v>0</x:v>
      </x:c>
      <x:c r="H293" s="267">
        <x:v>0</x:v>
      </x:c>
      <x:c r="I293" s="267">
        <x:v>0</x:v>
      </x:c>
      <x:c r="J293" s="267">
        <x:v>0</x:v>
      </x:c>
      <x:c r="K293" s="267">
        <x:v>0</x:v>
      </x:c>
      <x:c r="L293" s="267">
        <x:v>0</x:v>
      </x:c>
      <x:c r="M293" s="267">
        <x:v>0</x:v>
      </x:c>
      <x:c r="N293" s="267">
        <x:v>0</x:v>
      </x:c>
      <x:c r="O293" s="267">
        <x:v>0</x:v>
      </x:c>
      <x:c r="P293" s="267">
        <x:v>0</x:v>
      </x:c>
      <x:c r="Q293" s="267">
        <x:v>0</x:v>
      </x:c>
      <x:c r="R293" s="267">
        <x:v>0</x:v>
      </x:c>
      <x:c r="S293" s="267">
        <x:v>0</x:v>
      </x:c>
      <x:c r="T293" s="267">
        <x:v>0</x:v>
      </x:c>
      <x:c r="U293" s="267">
        <x:v>0</x:v>
      </x:c>
      <x:c r="V293" s="267">
        <x:v>0</x:v>
      </x:c>
      <x:c r="W293" s="267">
        <x:v>0</x:v>
      </x:c>
      <x:c r="X293" s="267">
        <x:v>0</x:v>
      </x:c>
      <x:c r="Y293" s="269">
        <x:f t="shared" si="10"/>
        <x:v>0</x:v>
      </x:c>
    </x:row>
    <x:row r="294">
      <x:c r="A294" s="148" t="s">
        <x:v>105</x:v>
      </x:c>
      <x:c r="B294">
        <x:v>8</x:v>
      </x:c>
      <x:c r="C294" s="148" t="s">
        <x:v>116</x:v>
      </x:c>
      <x:c r="D294">
        <x:v>812</x:v>
      </x:c>
      <x:c r="E294" s="267">
        <x:v>0</x:v>
      </x:c>
      <x:c r="F294" s="267">
        <x:v>0</x:v>
      </x:c>
      <x:c r="G294" s="267">
        <x:v>0</x:v>
      </x:c>
      <x:c r="H294" s="267">
        <x:v>0</x:v>
      </x:c>
      <x:c r="I294" s="267">
        <x:v>0</x:v>
      </x:c>
      <x:c r="J294" s="267">
        <x:v>0</x:v>
      </x:c>
      <x:c r="K294" s="267">
        <x:v>0</x:v>
      </x:c>
      <x:c r="L294" s="267">
        <x:v>0</x:v>
      </x:c>
      <x:c r="M294" s="267">
        <x:v>0</x:v>
      </x:c>
      <x:c r="N294" s="267">
        <x:v>0</x:v>
      </x:c>
      <x:c r="O294" s="267">
        <x:v>0</x:v>
      </x:c>
      <x:c r="P294" s="267">
        <x:v>0</x:v>
      </x:c>
      <x:c r="Q294" s="267">
        <x:v>0</x:v>
      </x:c>
      <x:c r="R294" s="267">
        <x:v>0</x:v>
      </x:c>
      <x:c r="S294" s="267">
        <x:v>0</x:v>
      </x:c>
      <x:c r="T294" s="267">
        <x:v>0</x:v>
      </x:c>
      <x:c r="U294" s="267">
        <x:v>0</x:v>
      </x:c>
      <x:c r="V294" s="267">
        <x:v>0</x:v>
      </x:c>
      <x:c r="W294" s="267">
        <x:v>0</x:v>
      </x:c>
      <x:c r="X294" s="267">
        <x:v>0</x:v>
      </x:c>
      <x:c r="Y294" s="269">
        <x:f t="shared" si="10"/>
        <x:v>0</x:v>
      </x:c>
    </x:row>
    <x:row r="295">
      <x:c r="A295" s="148" t="s">
        <x:v>105</x:v>
      </x:c>
      <x:c r="B295">
        <x:v>8</x:v>
      </x:c>
      <x:c r="C295" s="148" t="s">
        <x:v>116</x:v>
      </x:c>
      <x:c r="D295">
        <x:v>813</x:v>
      </x:c>
      <x:c r="E295" s="267">
        <x:v>0</x:v>
      </x:c>
      <x:c r="F295" s="267">
        <x:v>0</x:v>
      </x:c>
      <x:c r="G295" s="267">
        <x:v>0</x:v>
      </x:c>
      <x:c r="H295" s="267">
        <x:v>0</x:v>
      </x:c>
      <x:c r="I295" s="267">
        <x:v>0</x:v>
      </x:c>
      <x:c r="J295" s="267">
        <x:v>0</x:v>
      </x:c>
      <x:c r="K295" s="267">
        <x:v>0</x:v>
      </x:c>
      <x:c r="L295" s="267">
        <x:v>0</x:v>
      </x:c>
      <x:c r="M295" s="267">
        <x:v>0</x:v>
      </x:c>
      <x:c r="N295" s="267">
        <x:v>0</x:v>
      </x:c>
      <x:c r="O295" s="267">
        <x:v>0</x:v>
      </x:c>
      <x:c r="P295" s="267">
        <x:v>0</x:v>
      </x:c>
      <x:c r="Q295" s="267">
        <x:v>0</x:v>
      </x:c>
      <x:c r="R295" s="267">
        <x:v>0</x:v>
      </x:c>
      <x:c r="S295" s="267">
        <x:v>0</x:v>
      </x:c>
      <x:c r="T295" s="267">
        <x:v>0</x:v>
      </x:c>
      <x:c r="U295" s="267">
        <x:v>0</x:v>
      </x:c>
      <x:c r="V295" s="267">
        <x:v>0</x:v>
      </x:c>
      <x:c r="W295" s="267">
        <x:v>0</x:v>
      </x:c>
      <x:c r="X295" s="267">
        <x:v>0</x:v>
      </x:c>
      <x:c r="Y295" s="269">
        <x:f t="shared" si="10"/>
        <x:v>0</x:v>
      </x:c>
    </x:row>
    <x:row r="296">
      <x:c r="A296" s="148" t="s">
        <x:v>105</x:v>
      </x:c>
      <x:c r="B296">
        <x:v>8</x:v>
      </x:c>
      <x:c r="C296" s="148" t="s">
        <x:v>116</x:v>
      </x:c>
      <x:c r="D296">
        <x:v>814</x:v>
      </x:c>
      <x:c r="E296" s="267">
        <x:v>0</x:v>
      </x:c>
      <x:c r="F296" s="267">
        <x:v>0</x:v>
      </x:c>
      <x:c r="G296" s="267">
        <x:v>0</x:v>
      </x:c>
      <x:c r="H296" s="267">
        <x:v>0</x:v>
      </x:c>
      <x:c r="I296" s="267">
        <x:v>0</x:v>
      </x:c>
      <x:c r="J296" s="267">
        <x:v>0</x:v>
      </x:c>
      <x:c r="K296" s="267">
        <x:v>0</x:v>
      </x:c>
      <x:c r="L296" s="267">
        <x:v>0</x:v>
      </x:c>
      <x:c r="M296" s="267">
        <x:v>0</x:v>
      </x:c>
      <x:c r="N296" s="267">
        <x:v>0</x:v>
      </x:c>
      <x:c r="O296" s="267">
        <x:v>0</x:v>
      </x:c>
      <x:c r="P296" s="267">
        <x:v>0</x:v>
      </x:c>
      <x:c r="Q296" s="267">
        <x:v>0</x:v>
      </x:c>
      <x:c r="R296" s="267">
        <x:v>0</x:v>
      </x:c>
      <x:c r="S296" s="267">
        <x:v>0</x:v>
      </x:c>
      <x:c r="T296" s="267">
        <x:v>0</x:v>
      </x:c>
      <x:c r="U296" s="267">
        <x:v>0</x:v>
      </x:c>
      <x:c r="V296" s="267">
        <x:v>0</x:v>
      </x:c>
      <x:c r="W296" s="267">
        <x:v>0</x:v>
      </x:c>
      <x:c r="X296" s="267">
        <x:v>0</x:v>
      </x:c>
      <x:c r="Y296" s="269">
        <x:f t="shared" si="10"/>
        <x:v>0</x:v>
      </x:c>
    </x:row>
    <x:row r="297">
      <x:c r="A297" s="148" t="s">
        <x:v>105</x:v>
      </x:c>
      <x:c r="B297">
        <x:v>8</x:v>
      </x:c>
      <x:c r="C297" s="148" t="s">
        <x:v>116</x:v>
      </x:c>
      <x:c r="D297">
        <x:v>815</x:v>
      </x:c>
      <x:c r="E297" s="267">
        <x:v>0</x:v>
      </x:c>
      <x:c r="F297" s="267">
        <x:v>0</x:v>
      </x:c>
      <x:c r="G297" s="267">
        <x:v>0</x:v>
      </x:c>
      <x:c r="H297" s="267">
        <x:v>0</x:v>
      </x:c>
      <x:c r="I297" s="267">
        <x:v>0</x:v>
      </x:c>
      <x:c r="J297" s="267">
        <x:v>0</x:v>
      </x:c>
      <x:c r="K297" s="267">
        <x:v>0</x:v>
      </x:c>
      <x:c r="L297" s="267">
        <x:v>0</x:v>
      </x:c>
      <x:c r="M297" s="267">
        <x:v>0</x:v>
      </x:c>
      <x:c r="N297" s="267">
        <x:v>0</x:v>
      </x:c>
      <x:c r="O297" s="267">
        <x:v>0</x:v>
      </x:c>
      <x:c r="P297" s="267">
        <x:v>0</x:v>
      </x:c>
      <x:c r="Q297" s="267">
        <x:v>0</x:v>
      </x:c>
      <x:c r="R297" s="267">
        <x:v>0</x:v>
      </x:c>
      <x:c r="S297" s="267">
        <x:v>0</x:v>
      </x:c>
      <x:c r="T297" s="267">
        <x:v>0</x:v>
      </x:c>
      <x:c r="U297" s="267">
        <x:v>0</x:v>
      </x:c>
      <x:c r="V297" s="267">
        <x:v>0</x:v>
      </x:c>
      <x:c r="W297" s="267">
        <x:v>0</x:v>
      </x:c>
      <x:c r="X297" s="267">
        <x:v>0</x:v>
      </x:c>
      <x:c r="Y297" s="269">
        <x:f t="shared" si="10"/>
        <x:v>0</x:v>
      </x:c>
    </x:row>
    <x:row r="298">
      <x:c r="A298" s="148" t="s">
        <x:v>105</x:v>
      </x:c>
      <x:c r="B298">
        <x:v>8</x:v>
      </x:c>
      <x:c r="C298" s="148" t="s">
        <x:v>116</x:v>
      </x:c>
      <x:c r="D298">
        <x:v>816</x:v>
      </x:c>
      <x:c r="E298" s="267">
        <x:v>0</x:v>
      </x:c>
      <x:c r="F298" s="267">
        <x:v>0</x:v>
      </x:c>
      <x:c r="G298" s="267">
        <x:v>0</x:v>
      </x:c>
      <x:c r="H298" s="267">
        <x:v>0</x:v>
      </x:c>
      <x:c r="I298" s="267">
        <x:v>0</x:v>
      </x:c>
      <x:c r="J298" s="267">
        <x:v>0</x:v>
      </x:c>
      <x:c r="K298" s="267">
        <x:v>0</x:v>
      </x:c>
      <x:c r="L298" s="267">
        <x:v>0</x:v>
      </x:c>
      <x:c r="M298" s="267">
        <x:v>0</x:v>
      </x:c>
      <x:c r="N298" s="267">
        <x:v>0</x:v>
      </x:c>
      <x:c r="O298" s="267">
        <x:v>0</x:v>
      </x:c>
      <x:c r="P298" s="267">
        <x:v>0</x:v>
      </x:c>
      <x:c r="Q298" s="267">
        <x:v>0</x:v>
      </x:c>
      <x:c r="R298" s="267">
        <x:v>0</x:v>
      </x:c>
      <x:c r="S298" s="267">
        <x:v>0</x:v>
      </x:c>
      <x:c r="T298" s="267">
        <x:v>0</x:v>
      </x:c>
      <x:c r="U298" s="267">
        <x:v>0</x:v>
      </x:c>
      <x:c r="V298" s="267">
        <x:v>0</x:v>
      </x:c>
      <x:c r="W298" s="267">
        <x:v>0</x:v>
      </x:c>
      <x:c r="X298" s="267">
        <x:v>0</x:v>
      </x:c>
      <x:c r="Y298" s="269">
        <x:f t="shared" si="10"/>
        <x:v>0</x:v>
      </x:c>
    </x:row>
    <x:row r="299">
      <x:c r="A299" s="148" t="s">
        <x:v>105</x:v>
      </x:c>
      <x:c r="B299">
        <x:v>8</x:v>
      </x:c>
      <x:c r="C299" s="148" t="s">
        <x:v>116</x:v>
      </x:c>
      <x:c r="D299">
        <x:v>817</x:v>
      </x:c>
      <x:c r="E299" s="267">
        <x:v>0</x:v>
      </x:c>
      <x:c r="F299" s="267">
        <x:v>0</x:v>
      </x:c>
      <x:c r="G299" s="267">
        <x:v>0</x:v>
      </x:c>
      <x:c r="H299" s="267">
        <x:v>0</x:v>
      </x:c>
      <x:c r="I299" s="267">
        <x:v>0</x:v>
      </x:c>
      <x:c r="J299" s="267">
        <x:v>0</x:v>
      </x:c>
      <x:c r="K299" s="267">
        <x:v>0</x:v>
      </x:c>
      <x:c r="L299" s="267">
        <x:v>0</x:v>
      </x:c>
      <x:c r="M299" s="267">
        <x:v>0</x:v>
      </x:c>
      <x:c r="N299" s="267">
        <x:v>0</x:v>
      </x:c>
      <x:c r="O299" s="267">
        <x:v>0</x:v>
      </x:c>
      <x:c r="P299" s="267">
        <x:v>0</x:v>
      </x:c>
      <x:c r="Q299" s="267">
        <x:v>0</x:v>
      </x:c>
      <x:c r="R299" s="267">
        <x:v>0</x:v>
      </x:c>
      <x:c r="S299" s="267">
        <x:v>0</x:v>
      </x:c>
      <x:c r="T299" s="267">
        <x:v>0</x:v>
      </x:c>
      <x:c r="U299" s="267">
        <x:v>0</x:v>
      </x:c>
      <x:c r="V299" s="267">
        <x:v>0</x:v>
      </x:c>
      <x:c r="W299" s="267">
        <x:v>0</x:v>
      </x:c>
      <x:c r="X299" s="267">
        <x:v>0</x:v>
      </x:c>
      <x:c r="Y299" s="269">
        <x:f t="shared" si="10"/>
        <x:v>0</x:v>
      </x:c>
    </x:row>
    <x:row r="300">
      <x:c r="A300" s="148" t="s">
        <x:v>105</x:v>
      </x:c>
      <x:c r="B300">
        <x:v>8</x:v>
      </x:c>
      <x:c r="C300" s="148" t="s">
        <x:v>116</x:v>
      </x:c>
      <x:c r="D300">
        <x:v>818</x:v>
      </x:c>
      <x:c r="E300" s="267">
        <x:v>0</x:v>
      </x:c>
      <x:c r="F300" s="267">
        <x:v>0</x:v>
      </x:c>
      <x:c r="G300" s="267">
        <x:v>0</x:v>
      </x:c>
      <x:c r="H300" s="267">
        <x:v>0</x:v>
      </x:c>
      <x:c r="I300" s="267">
        <x:v>0</x:v>
      </x:c>
      <x:c r="J300" s="267">
        <x:v>0</x:v>
      </x:c>
      <x:c r="K300" s="267">
        <x:v>0</x:v>
      </x:c>
      <x:c r="L300" s="267">
        <x:v>0</x:v>
      </x:c>
      <x:c r="M300" s="267">
        <x:v>0</x:v>
      </x:c>
      <x:c r="N300" s="267">
        <x:v>0</x:v>
      </x:c>
      <x:c r="O300" s="267">
        <x:v>0</x:v>
      </x:c>
      <x:c r="P300" s="267">
        <x:v>0</x:v>
      </x:c>
      <x:c r="Q300" s="267">
        <x:v>0</x:v>
      </x:c>
      <x:c r="R300" s="267">
        <x:v>0</x:v>
      </x:c>
      <x:c r="S300" s="267">
        <x:v>0</x:v>
      </x:c>
      <x:c r="T300" s="267">
        <x:v>0</x:v>
      </x:c>
      <x:c r="U300" s="267">
        <x:v>0</x:v>
      </x:c>
      <x:c r="V300" s="267">
        <x:v>0</x:v>
      </x:c>
      <x:c r="W300" s="267">
        <x:v>0</x:v>
      </x:c>
      <x:c r="X300" s="267">
        <x:v>0</x:v>
      </x:c>
      <x:c r="Y300" s="269">
        <x:f t="shared" si="10"/>
        <x:v>0</x:v>
      </x:c>
    </x:row>
    <x:row r="301">
      <x:c r="A301" s="148" t="s">
        <x:v>105</x:v>
      </x:c>
      <x:c r="B301">
        <x:v>8</x:v>
      </x:c>
      <x:c r="C301" s="148" t="s">
        <x:v>116</x:v>
      </x:c>
      <x:c r="D301">
        <x:v>819</x:v>
      </x:c>
      <x:c r="E301" s="267">
        <x:v>0</x:v>
      </x:c>
      <x:c r="F301" s="267">
        <x:v>0</x:v>
      </x:c>
      <x:c r="G301" s="267">
        <x:v>0</x:v>
      </x:c>
      <x:c r="H301" s="267">
        <x:v>0</x:v>
      </x:c>
      <x:c r="I301" s="267">
        <x:v>0</x:v>
      </x:c>
      <x:c r="J301" s="267">
        <x:v>0</x:v>
      </x:c>
      <x:c r="K301" s="267">
        <x:v>0</x:v>
      </x:c>
      <x:c r="L301" s="267">
        <x:v>0</x:v>
      </x:c>
      <x:c r="M301" s="267">
        <x:v>0</x:v>
      </x:c>
      <x:c r="N301" s="267">
        <x:v>0</x:v>
      </x:c>
      <x:c r="O301" s="267">
        <x:v>0</x:v>
      </x:c>
      <x:c r="P301" s="267">
        <x:v>0</x:v>
      </x:c>
      <x:c r="Q301" s="267">
        <x:v>0</x:v>
      </x:c>
      <x:c r="R301" s="267">
        <x:v>0</x:v>
      </x:c>
      <x:c r="S301" s="267">
        <x:v>0</x:v>
      </x:c>
      <x:c r="T301" s="267">
        <x:v>0</x:v>
      </x:c>
      <x:c r="U301" s="267">
        <x:v>0</x:v>
      </x:c>
      <x:c r="V301" s="267">
        <x:v>0</x:v>
      </x:c>
      <x:c r="W301" s="267">
        <x:v>0</x:v>
      </x:c>
      <x:c r="X301" s="267">
        <x:v>0</x:v>
      </x:c>
      <x:c r="Y301" s="269">
        <x:f t="shared" si="10"/>
        <x:v>0</x:v>
      </x:c>
    </x:row>
    <x:row r="302">
      <x:c r="A302" s="148" t="s">
        <x:v>105</x:v>
      </x:c>
      <x:c r="B302">
        <x:v>8</x:v>
      </x:c>
      <x:c r="C302" s="148" t="s">
        <x:v>116</x:v>
      </x:c>
      <x:c r="D302">
        <x:v>820</x:v>
      </x:c>
      <x:c r="E302" s="267">
        <x:v>0</x:v>
      </x:c>
      <x:c r="F302" s="267">
        <x:v>0</x:v>
      </x:c>
      <x:c r="G302" s="267">
        <x:v>0</x:v>
      </x:c>
      <x:c r="H302" s="267">
        <x:v>0</x:v>
      </x:c>
      <x:c r="I302" s="267">
        <x:v>0</x:v>
      </x:c>
      <x:c r="J302" s="267">
        <x:v>0</x:v>
      </x:c>
      <x:c r="K302" s="267">
        <x:v>0</x:v>
      </x:c>
      <x:c r="L302" s="267">
        <x:v>0</x:v>
      </x:c>
      <x:c r="M302" s="267">
        <x:v>0</x:v>
      </x:c>
      <x:c r="N302" s="267">
        <x:v>0</x:v>
      </x:c>
      <x:c r="O302" s="267">
        <x:v>0</x:v>
      </x:c>
      <x:c r="P302" s="267">
        <x:v>0</x:v>
      </x:c>
      <x:c r="Q302" s="267">
        <x:v>0</x:v>
      </x:c>
      <x:c r="R302" s="267">
        <x:v>0</x:v>
      </x:c>
      <x:c r="S302" s="267">
        <x:v>0</x:v>
      </x:c>
      <x:c r="T302" s="267">
        <x:v>0</x:v>
      </x:c>
      <x:c r="U302" s="267">
        <x:v>0</x:v>
      </x:c>
      <x:c r="V302" s="267">
        <x:v>0</x:v>
      </x:c>
      <x:c r="W302" s="267">
        <x:v>0</x:v>
      </x:c>
      <x:c r="X302" s="267">
        <x:v>0</x:v>
      </x:c>
      <x:c r="Y302" s="269">
        <x:f t="shared" si="10"/>
        <x:v>0</x:v>
      </x:c>
    </x:row>
    <x:row r="303">
      <x:c r="A303" s="148" t="s">
        <x:v>105</x:v>
      </x:c>
      <x:c r="B303">
        <x:v>8</x:v>
      </x:c>
      <x:c r="C303" s="148" t="s">
        <x:v>116</x:v>
      </x:c>
      <x:c r="D303">
        <x:v>821</x:v>
      </x:c>
      <x:c r="E303" s="267">
        <x:v>0</x:v>
      </x:c>
      <x:c r="F303" s="267">
        <x:v>0</x:v>
      </x:c>
      <x:c r="G303" s="267">
        <x:v>0</x:v>
      </x:c>
      <x:c r="H303" s="267">
        <x:v>0</x:v>
      </x:c>
      <x:c r="I303" s="267">
        <x:v>0</x:v>
      </x:c>
      <x:c r="J303" s="267">
        <x:v>0</x:v>
      </x:c>
      <x:c r="K303" s="267">
        <x:v>0</x:v>
      </x:c>
      <x:c r="L303" s="267">
        <x:v>0</x:v>
      </x:c>
      <x:c r="M303" s="267">
        <x:v>0</x:v>
      </x:c>
      <x:c r="N303" s="267">
        <x:v>0</x:v>
      </x:c>
      <x:c r="O303" s="267">
        <x:v>0</x:v>
      </x:c>
      <x:c r="P303" s="267">
        <x:v>0</x:v>
      </x:c>
      <x:c r="Q303" s="267">
        <x:v>0</x:v>
      </x:c>
      <x:c r="R303" s="267">
        <x:v>0</x:v>
      </x:c>
      <x:c r="S303" s="267">
        <x:v>0</x:v>
      </x:c>
      <x:c r="T303" s="267">
        <x:v>0</x:v>
      </x:c>
      <x:c r="U303" s="267">
        <x:v>0</x:v>
      </x:c>
      <x:c r="V303" s="267">
        <x:v>0</x:v>
      </x:c>
      <x:c r="W303" s="267">
        <x:v>0</x:v>
      </x:c>
      <x:c r="X303" s="267">
        <x:v>0</x:v>
      </x:c>
      <x:c r="Y303" s="269">
        <x:f t="shared" si="10"/>
        <x:v>0</x:v>
      </x:c>
    </x:row>
    <x:row r="304">
      <x:c r="A304" s="148" t="s">
        <x:v>105</x:v>
      </x:c>
      <x:c r="B304">
        <x:v>8</x:v>
      </x:c>
      <x:c r="C304" s="148" t="s">
        <x:v>116</x:v>
      </x:c>
      <x:c r="D304">
        <x:v>822</x:v>
      </x:c>
      <x:c r="E304" s="267">
        <x:v>0</x:v>
      </x:c>
      <x:c r="F304" s="267">
        <x:v>0</x:v>
      </x:c>
      <x:c r="G304" s="267">
        <x:v>0</x:v>
      </x:c>
      <x:c r="H304" s="267">
        <x:v>0</x:v>
      </x:c>
      <x:c r="I304" s="267">
        <x:v>0</x:v>
      </x:c>
      <x:c r="J304" s="267">
        <x:v>0</x:v>
      </x:c>
      <x:c r="K304" s="267">
        <x:v>0</x:v>
      </x:c>
      <x:c r="L304" s="267">
        <x:v>0</x:v>
      </x:c>
      <x:c r="M304" s="267">
        <x:v>0</x:v>
      </x:c>
      <x:c r="N304" s="267">
        <x:v>0</x:v>
      </x:c>
      <x:c r="O304" s="267">
        <x:v>0</x:v>
      </x:c>
      <x:c r="P304" s="267">
        <x:v>0</x:v>
      </x:c>
      <x:c r="Q304" s="267">
        <x:v>0</x:v>
      </x:c>
      <x:c r="R304" s="267">
        <x:v>0</x:v>
      </x:c>
      <x:c r="S304" s="267">
        <x:v>0</x:v>
      </x:c>
      <x:c r="T304" s="267">
        <x:v>0</x:v>
      </x:c>
      <x:c r="U304" s="267">
        <x:v>0</x:v>
      </x:c>
      <x:c r="V304" s="267">
        <x:v>0</x:v>
      </x:c>
      <x:c r="W304" s="267">
        <x:v>0</x:v>
      </x:c>
      <x:c r="X304" s="267">
        <x:v>0</x:v>
      </x:c>
      <x:c r="Y304" s="269">
        <x:f t="shared" si="10"/>
        <x:v>0</x:v>
      </x:c>
    </x:row>
    <x:row r="305">
      <x:c r="A305" s="148" t="s">
        <x:v>105</x:v>
      </x:c>
      <x:c r="B305">
        <x:v>8</x:v>
      </x:c>
      <x:c r="C305" s="148" t="s">
        <x:v>116</x:v>
      </x:c>
      <x:c r="D305">
        <x:v>823</x:v>
      </x:c>
      <x:c r="E305" s="267">
        <x:v>0</x:v>
      </x:c>
      <x:c r="F305" s="267">
        <x:v>0</x:v>
      </x:c>
      <x:c r="G305" s="267">
        <x:v>0</x:v>
      </x:c>
      <x:c r="H305" s="267">
        <x:v>0</x:v>
      </x:c>
      <x:c r="I305" s="267">
        <x:v>0</x:v>
      </x:c>
      <x:c r="J305" s="267">
        <x:v>0</x:v>
      </x:c>
      <x:c r="K305" s="267">
        <x:v>0</x:v>
      </x:c>
      <x:c r="L305" s="267">
        <x:v>0</x:v>
      </x:c>
      <x:c r="M305" s="267">
        <x:v>0</x:v>
      </x:c>
      <x:c r="N305" s="267">
        <x:v>0</x:v>
      </x:c>
      <x:c r="O305" s="267">
        <x:v>0</x:v>
      </x:c>
      <x:c r="P305" s="267">
        <x:v>0</x:v>
      </x:c>
      <x:c r="Q305" s="267">
        <x:v>0</x:v>
      </x:c>
      <x:c r="R305" s="267">
        <x:v>0</x:v>
      </x:c>
      <x:c r="S305" s="267">
        <x:v>0</x:v>
      </x:c>
      <x:c r="T305" s="267">
        <x:v>0</x:v>
      </x:c>
      <x:c r="U305" s="267">
        <x:v>0</x:v>
      </x:c>
      <x:c r="V305" s="267">
        <x:v>0</x:v>
      </x:c>
      <x:c r="W305" s="267">
        <x:v>0</x:v>
      </x:c>
      <x:c r="X305" s="267">
        <x:v>0</x:v>
      </x:c>
      <x:c r="Y305" s="269">
        <x:f t="shared" si="10"/>
        <x:v>0</x:v>
      </x:c>
    </x:row>
    <x:row r="306">
      <x:c r="A306" s="148" t="s">
        <x:v>105</x:v>
      </x:c>
      <x:c r="B306">
        <x:v>8</x:v>
      </x:c>
      <x:c r="C306" s="148" t="s">
        <x:v>115</x:v>
      </x:c>
      <x:c r="D306">
        <x:v>801</x:v>
      </x:c>
      <x:c r="E306" s="267">
        <x:v>0</x:v>
      </x:c>
      <x:c r="F306" s="267">
        <x:v>0</x:v>
      </x:c>
      <x:c r="G306" s="267">
        <x:v>0</x:v>
      </x:c>
      <x:c r="H306" s="267">
        <x:v>0</x:v>
      </x:c>
      <x:c r="I306" s="267">
        <x:v>0</x:v>
      </x:c>
      <x:c r="J306" s="267">
        <x:v>0</x:v>
      </x:c>
      <x:c r="K306" s="267">
        <x:v>0</x:v>
      </x:c>
      <x:c r="L306" s="267">
        <x:v>0</x:v>
      </x:c>
      <x:c r="M306" s="267">
        <x:v>0</x:v>
      </x:c>
      <x:c r="N306" s="267">
        <x:v>0</x:v>
      </x:c>
      <x:c r="O306" s="267">
        <x:v>0</x:v>
      </x:c>
      <x:c r="P306" s="267">
        <x:v>0</x:v>
      </x:c>
      <x:c r="Q306" s="267">
        <x:v>0</x:v>
      </x:c>
      <x:c r="R306" s="267">
        <x:v>0</x:v>
      </x:c>
      <x:c r="S306" s="267">
        <x:v>0</x:v>
      </x:c>
      <x:c r="T306" s="267">
        <x:v>0</x:v>
      </x:c>
      <x:c r="U306" s="267">
        <x:v>0</x:v>
      </x:c>
      <x:c r="V306" s="267">
        <x:v>0</x:v>
      </x:c>
      <x:c r="W306" s="267">
        <x:v>0</x:v>
      </x:c>
      <x:c r="X306" s="267">
        <x:v>0</x:v>
      </x:c>
      <x:c r="Y306" s="269">
        <x:f t="shared" si="10"/>
        <x:v>0</x:v>
      </x:c>
    </x:row>
    <x:row r="307">
      <x:c r="A307" s="148" t="s">
        <x:v>105</x:v>
      </x:c>
      <x:c r="B307">
        <x:v>8</x:v>
      </x:c>
      <x:c r="C307" s="148" t="s">
        <x:v>115</x:v>
      </x:c>
      <x:c r="D307">
        <x:v>802</x:v>
      </x:c>
      <x:c r="E307" s="267">
        <x:v>0</x:v>
      </x:c>
      <x:c r="F307" s="267">
        <x:v>0</x:v>
      </x:c>
      <x:c r="G307" s="267">
        <x:v>0</x:v>
      </x:c>
      <x:c r="H307" s="267">
        <x:v>0</x:v>
      </x:c>
      <x:c r="I307" s="267">
        <x:v>0</x:v>
      </x:c>
      <x:c r="J307" s="267">
        <x:v>0</x:v>
      </x:c>
      <x:c r="K307" s="267">
        <x:v>0</x:v>
      </x:c>
      <x:c r="L307" s="267">
        <x:v>0</x:v>
      </x:c>
      <x:c r="M307" s="267">
        <x:v>0</x:v>
      </x:c>
      <x:c r="N307" s="267">
        <x:v>0</x:v>
      </x:c>
      <x:c r="O307" s="267">
        <x:v>0</x:v>
      </x:c>
      <x:c r="P307" s="267">
        <x:v>0</x:v>
      </x:c>
      <x:c r="Q307" s="267">
        <x:v>0</x:v>
      </x:c>
      <x:c r="R307" s="267">
        <x:v>0</x:v>
      </x:c>
      <x:c r="S307" s="267">
        <x:v>0</x:v>
      </x:c>
      <x:c r="T307" s="267">
        <x:v>0</x:v>
      </x:c>
      <x:c r="U307" s="267">
        <x:v>0</x:v>
      </x:c>
      <x:c r="V307" s="267">
        <x:v>0</x:v>
      </x:c>
      <x:c r="W307" s="267">
        <x:v>0</x:v>
      </x:c>
      <x:c r="X307" s="267">
        <x:v>0</x:v>
      </x:c>
      <x:c r="Y307" s="269">
        <x:f t="shared" si="10"/>
        <x:v>0</x:v>
      </x:c>
    </x:row>
    <x:row r="308">
      <x:c r="A308" s="148" t="s">
        <x:v>105</x:v>
      </x:c>
      <x:c r="B308">
        <x:v>8</x:v>
      </x:c>
      <x:c r="C308" s="148" t="s">
        <x:v>115</x:v>
      </x:c>
      <x:c r="D308">
        <x:v>803</x:v>
      </x:c>
      <x:c r="E308" s="267">
        <x:v>0</x:v>
      </x:c>
      <x:c r="F308" s="267">
        <x:v>0</x:v>
      </x:c>
      <x:c r="G308" s="267">
        <x:v>0</x:v>
      </x:c>
      <x:c r="H308" s="267">
        <x:v>0</x:v>
      </x:c>
      <x:c r="I308" s="267">
        <x:v>0</x:v>
      </x:c>
      <x:c r="J308" s="267">
        <x:v>0</x:v>
      </x:c>
      <x:c r="K308" s="267">
        <x:v>0</x:v>
      </x:c>
      <x:c r="L308" s="267">
        <x:v>0</x:v>
      </x:c>
      <x:c r="M308" s="267">
        <x:v>0</x:v>
      </x:c>
      <x:c r="N308" s="267">
        <x:v>0</x:v>
      </x:c>
      <x:c r="O308" s="267">
        <x:v>0</x:v>
      </x:c>
      <x:c r="P308" s="267">
        <x:v>0</x:v>
      </x:c>
      <x:c r="Q308" s="267">
        <x:v>0</x:v>
      </x:c>
      <x:c r="R308" s="267">
        <x:v>0</x:v>
      </x:c>
      <x:c r="S308" s="267">
        <x:v>0</x:v>
      </x:c>
      <x:c r="T308" s="267">
        <x:v>0</x:v>
      </x:c>
      <x:c r="U308" s="267">
        <x:v>0</x:v>
      </x:c>
      <x:c r="V308" s="267">
        <x:v>0</x:v>
      </x:c>
      <x:c r="W308" s="267">
        <x:v>0</x:v>
      </x:c>
      <x:c r="X308" s="267">
        <x:v>0</x:v>
      </x:c>
      <x:c r="Y308" s="269">
        <x:f t="shared" si="10"/>
        <x:v>0</x:v>
      </x:c>
    </x:row>
    <x:row r="309">
      <x:c r="A309" s="148" t="s">
        <x:v>105</x:v>
      </x:c>
      <x:c r="B309">
        <x:v>8</x:v>
      </x:c>
      <x:c r="C309" s="148" t="s">
        <x:v>115</x:v>
      </x:c>
      <x:c r="D309">
        <x:v>804</x:v>
      </x:c>
      <x:c r="E309" s="267">
        <x:v>0</x:v>
      </x:c>
      <x:c r="F309" s="267">
        <x:v>0</x:v>
      </x:c>
      <x:c r="G309" s="267">
        <x:v>0</x:v>
      </x:c>
      <x:c r="H309" s="267">
        <x:v>0</x:v>
      </x:c>
      <x:c r="I309" s="267">
        <x:v>0</x:v>
      </x:c>
      <x:c r="J309" s="267">
        <x:v>0</x:v>
      </x:c>
      <x:c r="K309" s="267">
        <x:v>0</x:v>
      </x:c>
      <x:c r="L309" s="267">
        <x:v>0</x:v>
      </x:c>
      <x:c r="M309" s="267">
        <x:v>0</x:v>
      </x:c>
      <x:c r="N309" s="267">
        <x:v>0</x:v>
      </x:c>
      <x:c r="O309" s="267">
        <x:v>0</x:v>
      </x:c>
      <x:c r="P309" s="267">
        <x:v>0</x:v>
      </x:c>
      <x:c r="Q309" s="267">
        <x:v>0</x:v>
      </x:c>
      <x:c r="R309" s="267">
        <x:v>0</x:v>
      </x:c>
      <x:c r="S309" s="267">
        <x:v>0</x:v>
      </x:c>
      <x:c r="T309" s="267">
        <x:v>0</x:v>
      </x:c>
      <x:c r="U309" s="267">
        <x:v>0</x:v>
      </x:c>
      <x:c r="V309" s="267">
        <x:v>0</x:v>
      </x:c>
      <x:c r="W309" s="267">
        <x:v>0</x:v>
      </x:c>
      <x:c r="X309" s="267">
        <x:v>0</x:v>
      </x:c>
      <x:c r="Y309" s="269">
        <x:f t="shared" si="10"/>
        <x:v>0</x:v>
      </x:c>
    </x:row>
    <x:row r="310">
      <x:c r="A310" s="148" t="s">
        <x:v>105</x:v>
      </x:c>
      <x:c r="B310">
        <x:v>8</x:v>
      </x:c>
      <x:c r="C310" s="148" t="s">
        <x:v>115</x:v>
      </x:c>
      <x:c r="D310">
        <x:v>805</x:v>
      </x:c>
      <x:c r="E310" s="267">
        <x:v>0</x:v>
      </x:c>
      <x:c r="F310" s="267">
        <x:v>0</x:v>
      </x:c>
      <x:c r="G310" s="267">
        <x:v>0</x:v>
      </x:c>
      <x:c r="H310" s="267">
        <x:v>0</x:v>
      </x:c>
      <x:c r="I310" s="267">
        <x:v>0</x:v>
      </x:c>
      <x:c r="J310" s="267">
        <x:v>0</x:v>
      </x:c>
      <x:c r="K310" s="267">
        <x:v>0</x:v>
      </x:c>
      <x:c r="L310" s="267">
        <x:v>0</x:v>
      </x:c>
      <x:c r="M310" s="267">
        <x:v>0</x:v>
      </x:c>
      <x:c r="N310" s="267">
        <x:v>0</x:v>
      </x:c>
      <x:c r="O310" s="267">
        <x:v>0</x:v>
      </x:c>
      <x:c r="P310" s="267">
        <x:v>0</x:v>
      </x:c>
      <x:c r="Q310" s="267">
        <x:v>0</x:v>
      </x:c>
      <x:c r="R310" s="267">
        <x:v>0</x:v>
      </x:c>
      <x:c r="S310" s="267">
        <x:v>0</x:v>
      </x:c>
      <x:c r="T310" s="267">
        <x:v>0</x:v>
      </x:c>
      <x:c r="U310" s="267">
        <x:v>0</x:v>
      </x:c>
      <x:c r="V310" s="267">
        <x:v>0</x:v>
      </x:c>
      <x:c r="W310" s="267">
        <x:v>0</x:v>
      </x:c>
      <x:c r="X310" s="267">
        <x:v>0</x:v>
      </x:c>
      <x:c r="Y310" s="269">
        <x:f t="shared" si="10"/>
        <x:v>0</x:v>
      </x:c>
    </x:row>
    <x:row r="311">
      <x:c r="A311" s="148" t="s">
        <x:v>105</x:v>
      </x:c>
      <x:c r="B311">
        <x:v>8</x:v>
      </x:c>
      <x:c r="C311" s="148" t="s">
        <x:v>115</x:v>
      </x:c>
      <x:c r="D311">
        <x:v>806</x:v>
      </x:c>
      <x:c r="E311" s="267">
        <x:v>0</x:v>
      </x:c>
      <x:c r="F311" s="267">
        <x:v>0</x:v>
      </x:c>
      <x:c r="G311" s="267">
        <x:v>0</x:v>
      </x:c>
      <x:c r="H311" s="267">
        <x:v>0</x:v>
      </x:c>
      <x:c r="I311" s="267">
        <x:v>0</x:v>
      </x:c>
      <x:c r="J311" s="267">
        <x:v>0</x:v>
      </x:c>
      <x:c r="K311" s="267">
        <x:v>0</x:v>
      </x:c>
      <x:c r="L311" s="267">
        <x:v>0</x:v>
      </x:c>
      <x:c r="M311" s="267">
        <x:v>0</x:v>
      </x:c>
      <x:c r="N311" s="267">
        <x:v>0</x:v>
      </x:c>
      <x:c r="O311" s="267">
        <x:v>0</x:v>
      </x:c>
      <x:c r="P311" s="267">
        <x:v>0</x:v>
      </x:c>
      <x:c r="Q311" s="267">
        <x:v>0</x:v>
      </x:c>
      <x:c r="R311" s="267">
        <x:v>0</x:v>
      </x:c>
      <x:c r="S311" s="267">
        <x:v>0</x:v>
      </x:c>
      <x:c r="T311" s="267">
        <x:v>0</x:v>
      </x:c>
      <x:c r="U311" s="267">
        <x:v>0</x:v>
      </x:c>
      <x:c r="V311" s="267">
        <x:v>0</x:v>
      </x:c>
      <x:c r="W311" s="267">
        <x:v>0</x:v>
      </x:c>
      <x:c r="X311" s="267">
        <x:v>0</x:v>
      </x:c>
      <x:c r="Y311" s="269">
        <x:f t="shared" si="10"/>
        <x:v>0</x:v>
      </x:c>
    </x:row>
    <x:row r="312">
      <x:c r="A312" s="148" t="s">
        <x:v>105</x:v>
      </x:c>
      <x:c r="B312">
        <x:v>8</x:v>
      </x:c>
      <x:c r="C312" s="148" t="s">
        <x:v>115</x:v>
      </x:c>
      <x:c r="D312">
        <x:v>807</x:v>
      </x:c>
      <x:c r="E312" s="267">
        <x:v>0</x:v>
      </x:c>
      <x:c r="F312" s="267">
        <x:v>0</x:v>
      </x:c>
      <x:c r="G312" s="267">
        <x:v>0</x:v>
      </x:c>
      <x:c r="H312" s="267">
        <x:v>0</x:v>
      </x:c>
      <x:c r="I312" s="267">
        <x:v>0</x:v>
      </x:c>
      <x:c r="J312" s="267">
        <x:v>0</x:v>
      </x:c>
      <x:c r="K312" s="267">
        <x:v>0</x:v>
      </x:c>
      <x:c r="L312" s="267">
        <x:v>0</x:v>
      </x:c>
      <x:c r="M312" s="267">
        <x:v>0</x:v>
      </x:c>
      <x:c r="N312" s="267">
        <x:v>0</x:v>
      </x:c>
      <x:c r="O312" s="267">
        <x:v>0</x:v>
      </x:c>
      <x:c r="P312" s="267">
        <x:v>0</x:v>
      </x:c>
      <x:c r="Q312" s="267">
        <x:v>0</x:v>
      </x:c>
      <x:c r="R312" s="267">
        <x:v>0</x:v>
      </x:c>
      <x:c r="S312" s="267">
        <x:v>0</x:v>
      </x:c>
      <x:c r="T312" s="267">
        <x:v>0</x:v>
      </x:c>
      <x:c r="U312" s="267">
        <x:v>0</x:v>
      </x:c>
      <x:c r="V312" s="267">
        <x:v>0</x:v>
      </x:c>
      <x:c r="W312" s="267">
        <x:v>0</x:v>
      </x:c>
      <x:c r="X312" s="267">
        <x:v>0</x:v>
      </x:c>
      <x:c r="Y312" s="269">
        <x:f t="shared" si="10"/>
        <x:v>0</x:v>
      </x:c>
    </x:row>
    <x:row r="313">
      <x:c r="A313" s="148" t="s">
        <x:v>105</x:v>
      </x:c>
      <x:c r="B313">
        <x:v>8</x:v>
      </x:c>
      <x:c r="C313" s="148" t="s">
        <x:v>115</x:v>
      </x:c>
      <x:c r="D313">
        <x:v>808</x:v>
      </x:c>
      <x:c r="E313" s="267">
        <x:v>0</x:v>
      </x:c>
      <x:c r="F313" s="267">
        <x:v>0</x:v>
      </x:c>
      <x:c r="G313" s="267">
        <x:v>0</x:v>
      </x:c>
      <x:c r="H313" s="267">
        <x:v>0</x:v>
      </x:c>
      <x:c r="I313" s="267">
        <x:v>0</x:v>
      </x:c>
      <x:c r="J313" s="267">
        <x:v>0</x:v>
      </x:c>
      <x:c r="K313" s="267">
        <x:v>0</x:v>
      </x:c>
      <x:c r="L313" s="267">
        <x:v>0</x:v>
      </x:c>
      <x:c r="M313" s="267">
        <x:v>0</x:v>
      </x:c>
      <x:c r="N313" s="267">
        <x:v>0</x:v>
      </x:c>
      <x:c r="O313" s="267">
        <x:v>0</x:v>
      </x:c>
      <x:c r="P313" s="267">
        <x:v>0</x:v>
      </x:c>
      <x:c r="Q313" s="267">
        <x:v>0</x:v>
      </x:c>
      <x:c r="R313" s="267">
        <x:v>0</x:v>
      </x:c>
      <x:c r="S313" s="267">
        <x:v>0</x:v>
      </x:c>
      <x:c r="T313" s="267">
        <x:v>0</x:v>
      </x:c>
      <x:c r="U313" s="267">
        <x:v>0</x:v>
      </x:c>
      <x:c r="V313" s="267">
        <x:v>0</x:v>
      </x:c>
      <x:c r="W313" s="267">
        <x:v>0</x:v>
      </x:c>
      <x:c r="X313" s="267">
        <x:v>0</x:v>
      </x:c>
      <x:c r="Y313" s="269">
        <x:f t="shared" si="10"/>
        <x:v>0</x:v>
      </x:c>
    </x:row>
    <x:row r="314">
      <x:c r="A314" s="148" t="s">
        <x:v>105</x:v>
      </x:c>
      <x:c r="B314">
        <x:v>8</x:v>
      </x:c>
      <x:c r="C314" s="148" t="s">
        <x:v>115</x:v>
      </x:c>
      <x:c r="D314">
        <x:v>809</x:v>
      </x:c>
      <x:c r="E314" s="267">
        <x:v>0</x:v>
      </x:c>
      <x:c r="F314" s="267">
        <x:v>0</x:v>
      </x:c>
      <x:c r="G314" s="267">
        <x:v>0</x:v>
      </x:c>
      <x:c r="H314" s="267">
        <x:v>0</x:v>
      </x:c>
      <x:c r="I314" s="267">
        <x:v>0</x:v>
      </x:c>
      <x:c r="J314" s="267">
        <x:v>0</x:v>
      </x:c>
      <x:c r="K314" s="267">
        <x:v>0</x:v>
      </x:c>
      <x:c r="L314" s="267">
        <x:v>0</x:v>
      </x:c>
      <x:c r="M314" s="267">
        <x:v>0</x:v>
      </x:c>
      <x:c r="N314" s="267">
        <x:v>0</x:v>
      </x:c>
      <x:c r="O314" s="267">
        <x:v>0</x:v>
      </x:c>
      <x:c r="P314" s="267">
        <x:v>0</x:v>
      </x:c>
      <x:c r="Q314" s="267">
        <x:v>0</x:v>
      </x:c>
      <x:c r="R314" s="267">
        <x:v>0</x:v>
      </x:c>
      <x:c r="S314" s="267">
        <x:v>0</x:v>
      </x:c>
      <x:c r="T314" s="267">
        <x:v>0</x:v>
      </x:c>
      <x:c r="U314" s="267">
        <x:v>0</x:v>
      </x:c>
      <x:c r="V314" s="267">
        <x:v>0</x:v>
      </x:c>
      <x:c r="W314" s="267">
        <x:v>0</x:v>
      </x:c>
      <x:c r="X314" s="267">
        <x:v>0</x:v>
      </x:c>
      <x:c r="Y314" s="269">
        <x:f t="shared" si="10"/>
        <x:v>0</x:v>
      </x:c>
    </x:row>
    <x:row r="315">
      <x:c r="A315" s="148" t="s">
        <x:v>105</x:v>
      </x:c>
      <x:c r="B315">
        <x:v>8</x:v>
      </x:c>
      <x:c r="C315" s="148" t="s">
        <x:v>115</x:v>
      </x:c>
      <x:c r="D315">
        <x:v>810</x:v>
      </x:c>
      <x:c r="E315" s="267">
        <x:v>0</x:v>
      </x:c>
      <x:c r="F315" s="267">
        <x:v>0</x:v>
      </x:c>
      <x:c r="G315" s="267">
        <x:v>0</x:v>
      </x:c>
      <x:c r="H315" s="267">
        <x:v>0</x:v>
      </x:c>
      <x:c r="I315" s="267">
        <x:v>0</x:v>
      </x:c>
      <x:c r="J315" s="267">
        <x:v>0</x:v>
      </x:c>
      <x:c r="K315" s="267">
        <x:v>0</x:v>
      </x:c>
      <x:c r="L315" s="267">
        <x:v>0</x:v>
      </x:c>
      <x:c r="M315" s="267">
        <x:v>0</x:v>
      </x:c>
      <x:c r="N315" s="267">
        <x:v>0</x:v>
      </x:c>
      <x:c r="O315" s="267">
        <x:v>0</x:v>
      </x:c>
      <x:c r="P315" s="267">
        <x:v>0</x:v>
      </x:c>
      <x:c r="Q315" s="267">
        <x:v>0</x:v>
      </x:c>
      <x:c r="R315" s="267">
        <x:v>0</x:v>
      </x:c>
      <x:c r="S315" s="267">
        <x:v>0</x:v>
      </x:c>
      <x:c r="T315" s="267">
        <x:v>0</x:v>
      </x:c>
      <x:c r="U315" s="267">
        <x:v>0</x:v>
      </x:c>
      <x:c r="V315" s="267">
        <x:v>0</x:v>
      </x:c>
      <x:c r="W315" s="267">
        <x:v>0</x:v>
      </x:c>
      <x:c r="X315" s="267">
        <x:v>0</x:v>
      </x:c>
      <x:c r="Y315" s="269">
        <x:f t="shared" si="10"/>
        <x:v>0</x:v>
      </x:c>
    </x:row>
    <x:row r="316">
      <x:c r="A316" s="148" t="s">
        <x:v>105</x:v>
      </x:c>
      <x:c r="B316">
        <x:v>8</x:v>
      </x:c>
      <x:c r="C316" s="148" t="s">
        <x:v>115</x:v>
      </x:c>
      <x:c r="D316">
        <x:v>811</x:v>
      </x:c>
      <x:c r="E316" s="267">
        <x:v>0</x:v>
      </x:c>
      <x:c r="F316" s="267">
        <x:v>0</x:v>
      </x:c>
      <x:c r="G316" s="267">
        <x:v>0</x:v>
      </x:c>
      <x:c r="H316" s="267">
        <x:v>0</x:v>
      </x:c>
      <x:c r="I316" s="267">
        <x:v>0</x:v>
      </x:c>
      <x:c r="J316" s="267">
        <x:v>0</x:v>
      </x:c>
      <x:c r="K316" s="267">
        <x:v>0</x:v>
      </x:c>
      <x:c r="L316" s="267">
        <x:v>0</x:v>
      </x:c>
      <x:c r="M316" s="267">
        <x:v>0</x:v>
      </x:c>
      <x:c r="N316" s="267">
        <x:v>0</x:v>
      </x:c>
      <x:c r="O316" s="267">
        <x:v>0</x:v>
      </x:c>
      <x:c r="P316" s="267">
        <x:v>0</x:v>
      </x:c>
      <x:c r="Q316" s="267">
        <x:v>0</x:v>
      </x:c>
      <x:c r="R316" s="267">
        <x:v>0</x:v>
      </x:c>
      <x:c r="S316" s="267">
        <x:v>0</x:v>
      </x:c>
      <x:c r="T316" s="267">
        <x:v>0</x:v>
      </x:c>
      <x:c r="U316" s="267">
        <x:v>0</x:v>
      </x:c>
      <x:c r="V316" s="267">
        <x:v>0</x:v>
      </x:c>
      <x:c r="W316" s="267">
        <x:v>0</x:v>
      </x:c>
      <x:c r="X316" s="267">
        <x:v>0</x:v>
      </x:c>
      <x:c r="Y316" s="269">
        <x:f t="shared" si="10"/>
        <x:v>0</x:v>
      </x:c>
    </x:row>
    <x:row r="317">
      <x:c r="A317" s="148" t="s">
        <x:v>105</x:v>
      </x:c>
      <x:c r="B317">
        <x:v>8</x:v>
      </x:c>
      <x:c r="C317" s="148" t="s">
        <x:v>115</x:v>
      </x:c>
      <x:c r="D317">
        <x:v>812</x:v>
      </x:c>
      <x:c r="E317" s="267">
        <x:v>0</x:v>
      </x:c>
      <x:c r="F317" s="267">
        <x:v>0</x:v>
      </x:c>
      <x:c r="G317" s="267">
        <x:v>0</x:v>
      </x:c>
      <x:c r="H317" s="267">
        <x:v>0</x:v>
      </x:c>
      <x:c r="I317" s="267">
        <x:v>0</x:v>
      </x:c>
      <x:c r="J317" s="267">
        <x:v>0</x:v>
      </x:c>
      <x:c r="K317" s="267">
        <x:v>0</x:v>
      </x:c>
      <x:c r="L317" s="267">
        <x:v>0</x:v>
      </x:c>
      <x:c r="M317" s="267">
        <x:v>0</x:v>
      </x:c>
      <x:c r="N317" s="267">
        <x:v>0</x:v>
      </x:c>
      <x:c r="O317" s="267">
        <x:v>0</x:v>
      </x:c>
      <x:c r="P317" s="267">
        <x:v>0</x:v>
      </x:c>
      <x:c r="Q317" s="267">
        <x:v>0</x:v>
      </x:c>
      <x:c r="R317" s="267">
        <x:v>0</x:v>
      </x:c>
      <x:c r="S317" s="267">
        <x:v>0</x:v>
      </x:c>
      <x:c r="T317" s="267">
        <x:v>0</x:v>
      </x:c>
      <x:c r="U317" s="267">
        <x:v>0</x:v>
      </x:c>
      <x:c r="V317" s="267">
        <x:v>0</x:v>
      </x:c>
      <x:c r="W317" s="267">
        <x:v>0</x:v>
      </x:c>
      <x:c r="X317" s="267">
        <x:v>0</x:v>
      </x:c>
      <x:c r="Y317" s="269">
        <x:f t="shared" si="10"/>
        <x:v>0</x:v>
      </x:c>
    </x:row>
    <x:row r="318">
      <x:c r="A318" s="148" t="s">
        <x:v>105</x:v>
      </x:c>
      <x:c r="B318">
        <x:v>8</x:v>
      </x:c>
      <x:c r="C318" s="148" t="s">
        <x:v>115</x:v>
      </x:c>
      <x:c r="D318">
        <x:v>813</x:v>
      </x:c>
      <x:c r="E318" s="267">
        <x:v>0</x:v>
      </x:c>
      <x:c r="F318" s="267">
        <x:v>0</x:v>
      </x:c>
      <x:c r="G318" s="267">
        <x:v>0</x:v>
      </x:c>
      <x:c r="H318" s="267">
        <x:v>0</x:v>
      </x:c>
      <x:c r="I318" s="267">
        <x:v>0</x:v>
      </x:c>
      <x:c r="J318" s="267">
        <x:v>0</x:v>
      </x:c>
      <x:c r="K318" s="267">
        <x:v>0</x:v>
      </x:c>
      <x:c r="L318" s="267">
        <x:v>0</x:v>
      </x:c>
      <x:c r="M318" s="267">
        <x:v>0</x:v>
      </x:c>
      <x:c r="N318" s="267">
        <x:v>0</x:v>
      </x:c>
      <x:c r="O318" s="267">
        <x:v>0</x:v>
      </x:c>
      <x:c r="P318" s="267">
        <x:v>0</x:v>
      </x:c>
      <x:c r="Q318" s="267">
        <x:v>0</x:v>
      </x:c>
      <x:c r="R318" s="267">
        <x:v>0</x:v>
      </x:c>
      <x:c r="S318" s="267">
        <x:v>0</x:v>
      </x:c>
      <x:c r="T318" s="267">
        <x:v>0</x:v>
      </x:c>
      <x:c r="U318" s="267">
        <x:v>0</x:v>
      </x:c>
      <x:c r="V318" s="267">
        <x:v>0</x:v>
      </x:c>
      <x:c r="W318" s="267">
        <x:v>0</x:v>
      </x:c>
      <x:c r="X318" s="267">
        <x:v>0</x:v>
      </x:c>
      <x:c r="Y318" s="269">
        <x:f t="shared" si="10"/>
        <x:v>0</x:v>
      </x:c>
    </x:row>
    <x:row r="319">
      <x:c r="A319" s="148" t="s">
        <x:v>105</x:v>
      </x:c>
      <x:c r="B319">
        <x:v>8</x:v>
      </x:c>
      <x:c r="C319" s="148" t="s">
        <x:v>115</x:v>
      </x:c>
      <x:c r="D319">
        <x:v>814</x:v>
      </x:c>
      <x:c r="E319" s="267">
        <x:v>0</x:v>
      </x:c>
      <x:c r="F319" s="267">
        <x:v>0</x:v>
      </x:c>
      <x:c r="G319" s="267">
        <x:v>0</x:v>
      </x:c>
      <x:c r="H319" s="267">
        <x:v>0</x:v>
      </x:c>
      <x:c r="I319" s="267">
        <x:v>0</x:v>
      </x:c>
      <x:c r="J319" s="267">
        <x:v>0</x:v>
      </x:c>
      <x:c r="K319" s="267">
        <x:v>0</x:v>
      </x:c>
      <x:c r="L319" s="267">
        <x:v>0</x:v>
      </x:c>
      <x:c r="M319" s="267">
        <x:v>0</x:v>
      </x:c>
      <x:c r="N319" s="267">
        <x:v>0</x:v>
      </x:c>
      <x:c r="O319" s="267">
        <x:v>0</x:v>
      </x:c>
      <x:c r="P319" s="267">
        <x:v>0</x:v>
      </x:c>
      <x:c r="Q319" s="267">
        <x:v>0</x:v>
      </x:c>
      <x:c r="R319" s="267">
        <x:v>0</x:v>
      </x:c>
      <x:c r="S319" s="267">
        <x:v>0</x:v>
      </x:c>
      <x:c r="T319" s="267">
        <x:v>0</x:v>
      </x:c>
      <x:c r="U319" s="267">
        <x:v>0</x:v>
      </x:c>
      <x:c r="V319" s="267">
        <x:v>0</x:v>
      </x:c>
      <x:c r="W319" s="267">
        <x:v>0</x:v>
      </x:c>
      <x:c r="X319" s="267">
        <x:v>0</x:v>
      </x:c>
      <x:c r="Y319" s="269">
        <x:f t="shared" si="10"/>
        <x:v>0</x:v>
      </x:c>
    </x:row>
    <x:row r="320">
      <x:c r="A320" s="148" t="s">
        <x:v>105</x:v>
      </x:c>
      <x:c r="B320">
        <x:v>8</x:v>
      </x:c>
      <x:c r="C320" s="148" t="s">
        <x:v>115</x:v>
      </x:c>
      <x:c r="D320">
        <x:v>815</x:v>
      </x:c>
      <x:c r="E320" s="267">
        <x:v>0</x:v>
      </x:c>
      <x:c r="F320" s="267">
        <x:v>0</x:v>
      </x:c>
      <x:c r="G320" s="267">
        <x:v>0</x:v>
      </x:c>
      <x:c r="H320" s="267">
        <x:v>0</x:v>
      </x:c>
      <x:c r="I320" s="267">
        <x:v>0</x:v>
      </x:c>
      <x:c r="J320" s="267">
        <x:v>0</x:v>
      </x:c>
      <x:c r="K320" s="267">
        <x:v>0</x:v>
      </x:c>
      <x:c r="L320" s="267">
        <x:v>0</x:v>
      </x:c>
      <x:c r="M320" s="267">
        <x:v>0</x:v>
      </x:c>
      <x:c r="N320" s="267">
        <x:v>0</x:v>
      </x:c>
      <x:c r="O320" s="267">
        <x:v>0</x:v>
      </x:c>
      <x:c r="P320" s="267">
        <x:v>0</x:v>
      </x:c>
      <x:c r="Q320" s="267">
        <x:v>0</x:v>
      </x:c>
      <x:c r="R320" s="267">
        <x:v>0</x:v>
      </x:c>
      <x:c r="S320" s="267">
        <x:v>0</x:v>
      </x:c>
      <x:c r="T320" s="267">
        <x:v>0</x:v>
      </x:c>
      <x:c r="U320" s="267">
        <x:v>0</x:v>
      </x:c>
      <x:c r="V320" s="267">
        <x:v>0</x:v>
      </x:c>
      <x:c r="W320" s="267">
        <x:v>0</x:v>
      </x:c>
      <x:c r="X320" s="267">
        <x:v>0</x:v>
      </x:c>
      <x:c r="Y320" s="269">
        <x:f t="shared" si="10"/>
        <x:v>0</x:v>
      </x:c>
    </x:row>
    <x:row r="321">
      <x:c r="A321" s="148" t="s">
        <x:v>105</x:v>
      </x:c>
      <x:c r="B321">
        <x:v>8</x:v>
      </x:c>
      <x:c r="C321" s="148" t="s">
        <x:v>115</x:v>
      </x:c>
      <x:c r="D321">
        <x:v>816</x:v>
      </x:c>
      <x:c r="E321" s="267">
        <x:v>0</x:v>
      </x:c>
      <x:c r="F321" s="267">
        <x:v>0</x:v>
      </x:c>
      <x:c r="G321" s="267">
        <x:v>0</x:v>
      </x:c>
      <x:c r="H321" s="267">
        <x:v>0</x:v>
      </x:c>
      <x:c r="I321" s="267">
        <x:v>0</x:v>
      </x:c>
      <x:c r="J321" s="267">
        <x:v>0</x:v>
      </x:c>
      <x:c r="K321" s="267">
        <x:v>0</x:v>
      </x:c>
      <x:c r="L321" s="267">
        <x:v>0</x:v>
      </x:c>
      <x:c r="M321" s="267">
        <x:v>0</x:v>
      </x:c>
      <x:c r="N321" s="267">
        <x:v>0</x:v>
      </x:c>
      <x:c r="O321" s="267">
        <x:v>0</x:v>
      </x:c>
      <x:c r="P321" s="267">
        <x:v>0</x:v>
      </x:c>
      <x:c r="Q321" s="267">
        <x:v>0</x:v>
      </x:c>
      <x:c r="R321" s="267">
        <x:v>0</x:v>
      </x:c>
      <x:c r="S321" s="267">
        <x:v>0</x:v>
      </x:c>
      <x:c r="T321" s="267">
        <x:v>0</x:v>
      </x:c>
      <x:c r="U321" s="267">
        <x:v>0</x:v>
      </x:c>
      <x:c r="V321" s="267">
        <x:v>0</x:v>
      </x:c>
      <x:c r="W321" s="267">
        <x:v>0</x:v>
      </x:c>
      <x:c r="X321" s="267">
        <x:v>0</x:v>
      </x:c>
      <x:c r="Y321" s="269">
        <x:f t="shared" si="10"/>
        <x:v>0</x:v>
      </x:c>
    </x:row>
    <x:row r="322">
      <x:c r="A322" s="148" t="s">
        <x:v>105</x:v>
      </x:c>
      <x:c r="B322">
        <x:v>8</x:v>
      </x:c>
      <x:c r="C322" s="148" t="s">
        <x:v>115</x:v>
      </x:c>
      <x:c r="D322">
        <x:v>817</x:v>
      </x:c>
      <x:c r="E322" s="267">
        <x:v>0</x:v>
      </x:c>
      <x:c r="F322" s="267">
        <x:v>0</x:v>
      </x:c>
      <x:c r="G322" s="267">
        <x:v>0</x:v>
      </x:c>
      <x:c r="H322" s="267">
        <x:v>0</x:v>
      </x:c>
      <x:c r="I322" s="267">
        <x:v>0</x:v>
      </x:c>
      <x:c r="J322" s="267">
        <x:v>0</x:v>
      </x:c>
      <x:c r="K322" s="267">
        <x:v>0</x:v>
      </x:c>
      <x:c r="L322" s="267">
        <x:v>0</x:v>
      </x:c>
      <x:c r="M322" s="267">
        <x:v>0</x:v>
      </x:c>
      <x:c r="N322" s="267">
        <x:v>0</x:v>
      </x:c>
      <x:c r="O322" s="267">
        <x:v>0</x:v>
      </x:c>
      <x:c r="P322" s="267">
        <x:v>0</x:v>
      </x:c>
      <x:c r="Q322" s="267">
        <x:v>0</x:v>
      </x:c>
      <x:c r="R322" s="267">
        <x:v>0</x:v>
      </x:c>
      <x:c r="S322" s="267">
        <x:v>0</x:v>
      </x:c>
      <x:c r="T322" s="267">
        <x:v>0</x:v>
      </x:c>
      <x:c r="U322" s="267">
        <x:v>0</x:v>
      </x:c>
      <x:c r="V322" s="267">
        <x:v>0</x:v>
      </x:c>
      <x:c r="W322" s="267">
        <x:v>0</x:v>
      </x:c>
      <x:c r="X322" s="267">
        <x:v>0</x:v>
      </x:c>
      <x:c r="Y322" s="269" t="n">
        <x:f t="shared" ref="Y322:Y369" si="12">AVERAGE(E322:X322)</x:f>
        <x:v>0</x:v>
      </x:c>
    </x:row>
    <x:row r="323">
      <x:c r="A323" s="148" t="s">
        <x:v>105</x:v>
      </x:c>
      <x:c r="B323">
        <x:v>8</x:v>
      </x:c>
      <x:c r="C323" s="148" t="s">
        <x:v>115</x:v>
      </x:c>
      <x:c r="D323">
        <x:v>818</x:v>
      </x:c>
      <x:c r="E323" s="267">
        <x:v>0</x:v>
      </x:c>
      <x:c r="F323" s="267">
        <x:v>0</x:v>
      </x:c>
      <x:c r="G323" s="267">
        <x:v>0</x:v>
      </x:c>
      <x:c r="H323" s="267">
        <x:v>0</x:v>
      </x:c>
      <x:c r="I323" s="267">
        <x:v>0</x:v>
      </x:c>
      <x:c r="J323" s="267">
        <x:v>0</x:v>
      </x:c>
      <x:c r="K323" s="267">
        <x:v>0</x:v>
      </x:c>
      <x:c r="L323" s="267">
        <x:v>0</x:v>
      </x:c>
      <x:c r="M323" s="267">
        <x:v>0</x:v>
      </x:c>
      <x:c r="N323" s="267">
        <x:v>0</x:v>
      </x:c>
      <x:c r="O323" s="267">
        <x:v>0</x:v>
      </x:c>
      <x:c r="P323" s="267">
        <x:v>0</x:v>
      </x:c>
      <x:c r="Q323" s="267">
        <x:v>0</x:v>
      </x:c>
      <x:c r="R323" s="267">
        <x:v>0</x:v>
      </x:c>
      <x:c r="S323" s="267">
        <x:v>0</x:v>
      </x:c>
      <x:c r="T323" s="267">
        <x:v>0</x:v>
      </x:c>
      <x:c r="U323" s="267">
        <x:v>0</x:v>
      </x:c>
      <x:c r="V323" s="267">
        <x:v>0</x:v>
      </x:c>
      <x:c r="W323" s="267">
        <x:v>0</x:v>
      </x:c>
      <x:c r="X323" s="267">
        <x:v>0</x:v>
      </x:c>
      <x:c r="Y323" s="269">
        <x:f t="shared" si="12"/>
        <x:v>0</x:v>
      </x:c>
    </x:row>
    <x:row r="324">
      <x:c r="A324" s="148" t="s">
        <x:v>105</x:v>
      </x:c>
      <x:c r="B324">
        <x:v>8</x:v>
      </x:c>
      <x:c r="C324" s="148" t="s">
        <x:v>115</x:v>
      </x:c>
      <x:c r="D324">
        <x:v>819</x:v>
      </x:c>
      <x:c r="E324" s="267">
        <x:v>0</x:v>
      </x:c>
      <x:c r="F324" s="267">
        <x:v>0</x:v>
      </x:c>
      <x:c r="G324" s="267">
        <x:v>0</x:v>
      </x:c>
      <x:c r="H324" s="267">
        <x:v>0</x:v>
      </x:c>
      <x:c r="I324" s="267">
        <x:v>0</x:v>
      </x:c>
      <x:c r="J324" s="267">
        <x:v>0</x:v>
      </x:c>
      <x:c r="K324" s="267">
        <x:v>0</x:v>
      </x:c>
      <x:c r="L324" s="267">
        <x:v>0</x:v>
      </x:c>
      <x:c r="M324" s="267">
        <x:v>0</x:v>
      </x:c>
      <x:c r="N324" s="267">
        <x:v>0</x:v>
      </x:c>
      <x:c r="O324" s="267">
        <x:v>0</x:v>
      </x:c>
      <x:c r="P324" s="267">
        <x:v>0</x:v>
      </x:c>
      <x:c r="Q324" s="267">
        <x:v>0</x:v>
      </x:c>
      <x:c r="R324" s="267">
        <x:v>0</x:v>
      </x:c>
      <x:c r="S324" s="267">
        <x:v>0</x:v>
      </x:c>
      <x:c r="T324" s="267">
        <x:v>0</x:v>
      </x:c>
      <x:c r="U324" s="267">
        <x:v>0</x:v>
      </x:c>
      <x:c r="V324" s="267">
        <x:v>0</x:v>
      </x:c>
      <x:c r="W324" s="267">
        <x:v>0</x:v>
      </x:c>
      <x:c r="X324" s="267">
        <x:v>0</x:v>
      </x:c>
      <x:c r="Y324" s="269">
        <x:f t="shared" si="12"/>
        <x:v>0</x:v>
      </x:c>
    </x:row>
    <x:row r="325">
      <x:c r="A325" s="148" t="s">
        <x:v>105</x:v>
      </x:c>
      <x:c r="B325">
        <x:v>8</x:v>
      </x:c>
      <x:c r="C325" s="148" t="s">
        <x:v>115</x:v>
      </x:c>
      <x:c r="D325">
        <x:v>820</x:v>
      </x:c>
      <x:c r="E325" s="267">
        <x:v>0</x:v>
      </x:c>
      <x:c r="F325" s="267">
        <x:v>0</x:v>
      </x:c>
      <x:c r="G325" s="267">
        <x:v>0</x:v>
      </x:c>
      <x:c r="H325" s="267">
        <x:v>0</x:v>
      </x:c>
      <x:c r="I325" s="267">
        <x:v>0</x:v>
      </x:c>
      <x:c r="J325" s="267">
        <x:v>0</x:v>
      </x:c>
      <x:c r="K325" s="267">
        <x:v>0</x:v>
      </x:c>
      <x:c r="L325" s="267">
        <x:v>0</x:v>
      </x:c>
      <x:c r="M325" s="267">
        <x:v>0</x:v>
      </x:c>
      <x:c r="N325" s="267">
        <x:v>0</x:v>
      </x:c>
      <x:c r="O325" s="267">
        <x:v>0</x:v>
      </x:c>
      <x:c r="P325" s="267">
        <x:v>0</x:v>
      </x:c>
      <x:c r="Q325" s="267">
        <x:v>0</x:v>
      </x:c>
      <x:c r="R325" s="267">
        <x:v>0</x:v>
      </x:c>
      <x:c r="S325" s="267">
        <x:v>0</x:v>
      </x:c>
      <x:c r="T325" s="267">
        <x:v>0</x:v>
      </x:c>
      <x:c r="U325" s="267">
        <x:v>0</x:v>
      </x:c>
      <x:c r="V325" s="267">
        <x:v>0</x:v>
      </x:c>
      <x:c r="W325" s="267">
        <x:v>0</x:v>
      </x:c>
      <x:c r="X325" s="267">
        <x:v>0</x:v>
      </x:c>
      <x:c r="Y325" s="269">
        <x:f t="shared" si="12"/>
        <x:v>0</x:v>
      </x:c>
    </x:row>
    <x:row r="326">
      <x:c r="A326" s="148" t="s">
        <x:v>105</x:v>
      </x:c>
      <x:c r="B326">
        <x:v>8</x:v>
      </x:c>
      <x:c r="C326" s="148" t="s">
        <x:v>115</x:v>
      </x:c>
      <x:c r="D326">
        <x:v>821</x:v>
      </x:c>
      <x:c r="E326" s="267">
        <x:v>0</x:v>
      </x:c>
      <x:c r="F326" s="267">
        <x:v>0</x:v>
      </x:c>
      <x:c r="G326" s="267">
        <x:v>0</x:v>
      </x:c>
      <x:c r="H326" s="267">
        <x:v>0</x:v>
      </x:c>
      <x:c r="I326" s="267">
        <x:v>0</x:v>
      </x:c>
      <x:c r="J326" s="267">
        <x:v>0</x:v>
      </x:c>
      <x:c r="K326" s="267">
        <x:v>0</x:v>
      </x:c>
      <x:c r="L326" s="267">
        <x:v>0</x:v>
      </x:c>
      <x:c r="M326" s="267">
        <x:v>0</x:v>
      </x:c>
      <x:c r="N326" s="267">
        <x:v>0</x:v>
      </x:c>
      <x:c r="O326" s="267">
        <x:v>0</x:v>
      </x:c>
      <x:c r="P326" s="267">
        <x:v>0</x:v>
      </x:c>
      <x:c r="Q326" s="267">
        <x:v>0</x:v>
      </x:c>
      <x:c r="R326" s="267">
        <x:v>0</x:v>
      </x:c>
      <x:c r="S326" s="267">
        <x:v>0</x:v>
      </x:c>
      <x:c r="T326" s="267">
        <x:v>0</x:v>
      </x:c>
      <x:c r="U326" s="267">
        <x:v>0</x:v>
      </x:c>
      <x:c r="V326" s="267">
        <x:v>0</x:v>
      </x:c>
      <x:c r="W326" s="267">
        <x:v>0</x:v>
      </x:c>
      <x:c r="X326" s="267">
        <x:v>0</x:v>
      </x:c>
      <x:c r="Y326" s="269">
        <x:f t="shared" si="12"/>
        <x:v>0</x:v>
      </x:c>
    </x:row>
    <x:row r="327">
      <x:c r="A327" s="148"/>
      <x:c r="B327"/>
      <x:c r="C327" s="148"/>
      <x:c r="D327"/>
      <x:c r="E327" s="267">
        <x:f t="shared" ref="E327:X327" si="13">AVERAGE(E283:E326)</x:f>
      </x:c>
      <x:c r="F327" s="267">
        <x:f t="shared" si="13"/>
      </x:c>
      <x:c r="G327" s="267">
        <x:f t="shared" si="13"/>
      </x:c>
      <x:c r="H327" s="267">
        <x:f t="shared" si="13"/>
      </x:c>
      <x:c r="I327" s="267">
        <x:f t="shared" si="13"/>
      </x:c>
      <x:c r="J327" s="267">
        <x:f t="shared" si="13"/>
      </x:c>
      <x:c r="K327" s="267">
        <x:f t="shared" si="13"/>
      </x:c>
      <x:c r="L327" s="267">
        <x:f t="shared" si="13"/>
      </x:c>
      <x:c r="M327" s="267">
        <x:f t="shared" si="13"/>
      </x:c>
      <x:c r="N327" s="267">
        <x:f t="shared" si="13"/>
      </x:c>
      <x:c r="O327" s="267">
        <x:f t="shared" si="13"/>
      </x:c>
      <x:c r="P327" s="267">
        <x:f t="shared" si="13"/>
      </x:c>
      <x:c r="Q327" s="267">
        <x:f t="shared" si="13"/>
      </x:c>
      <x:c r="R327" s="267">
        <x:f t="shared" si="13"/>
      </x:c>
      <x:c r="S327" s="267">
        <x:f t="shared" si="13"/>
      </x:c>
      <x:c r="T327" s="267">
        <x:f t="shared" si="13"/>
      </x:c>
      <x:c r="U327" s="267">
        <x:f t="shared" si="13"/>
      </x:c>
      <x:c r="V327" s="267">
        <x:f t="shared" si="13"/>
      </x:c>
      <x:c r="W327" s="267">
        <x:f t="shared" si="13"/>
      </x:c>
      <x:c r="X327" s="267">
        <x:f t="shared" si="13"/>
      </x:c>
      <x:c r="Y327" s="269">
        <x:f t="shared" si="12"/>
      </x:c>
    </x:row>
    <x:row r="328">
      <x:c r="A328" s="148" t="s">
        <x:v>105</x:v>
      </x:c>
      <x:c r="B328">
        <x:v>9</x:v>
      </x:c>
      <x:c r="C328" s="148" t="s">
        <x:v>116</x:v>
      </x:c>
      <x:c r="D328">
        <x:v>901</x:v>
      </x:c>
      <x:c r="E328" s="267">
        <x:v>0</x:v>
      </x:c>
      <x:c r="F328" s="267">
        <x:v>0</x:v>
      </x:c>
      <x:c r="G328" s="267">
        <x:v>0</x:v>
      </x:c>
      <x:c r="H328" s="267">
        <x:v>0</x:v>
      </x:c>
      <x:c r="I328" s="267">
        <x:v>0</x:v>
      </x:c>
      <x:c r="J328" s="267">
        <x:v>0</x:v>
      </x:c>
      <x:c r="K328" s="267">
        <x:v>0</x:v>
      </x:c>
      <x:c r="L328" s="267">
        <x:v>0</x:v>
      </x:c>
      <x:c r="M328" s="267">
        <x:v>0</x:v>
      </x:c>
      <x:c r="N328" s="267">
        <x:v>0</x:v>
      </x:c>
      <x:c r="O328" s="267">
        <x:v>0</x:v>
      </x:c>
      <x:c r="P328" s="267">
        <x:v>0</x:v>
      </x:c>
      <x:c r="Q328" s="267">
        <x:v>0</x:v>
      </x:c>
      <x:c r="R328" s="267">
        <x:v>0</x:v>
      </x:c>
      <x:c r="S328" s="267">
        <x:v>0</x:v>
      </x:c>
      <x:c r="T328" s="267">
        <x:v>0</x:v>
      </x:c>
      <x:c r="U328" s="267">
        <x:v>0</x:v>
      </x:c>
      <x:c r="V328" s="267">
        <x:v>0</x:v>
      </x:c>
      <x:c r="W328" s="267">
        <x:v>0</x:v>
      </x:c>
      <x:c r="X328" s="267">
        <x:v>0</x:v>
      </x:c>
      <x:c r="Y328" s="269">
        <x:f t="shared" si="12"/>
        <x:v>0</x:v>
      </x:c>
    </x:row>
    <x:row r="329">
      <x:c r="A329" s="148" t="s">
        <x:v>105</x:v>
      </x:c>
      <x:c r="B329">
        <x:v>9</x:v>
      </x:c>
      <x:c r="C329" s="148" t="s">
        <x:v>116</x:v>
      </x:c>
      <x:c r="D329">
        <x:v>902</x:v>
      </x:c>
      <x:c r="E329" s="267">
        <x:v>0</x:v>
      </x:c>
      <x:c r="F329" s="267">
        <x:v>0</x:v>
      </x:c>
      <x:c r="G329" s="267">
        <x:v>0</x:v>
      </x:c>
      <x:c r="H329" s="267">
        <x:v>0</x:v>
      </x:c>
      <x:c r="I329" s="267">
        <x:v>0</x:v>
      </x:c>
      <x:c r="J329" s="267">
        <x:v>0</x:v>
      </x:c>
      <x:c r="K329" s="267">
        <x:v>0</x:v>
      </x:c>
      <x:c r="L329" s="267">
        <x:v>0</x:v>
      </x:c>
      <x:c r="M329" s="267">
        <x:v>0</x:v>
      </x:c>
      <x:c r="N329" s="267">
        <x:v>0</x:v>
      </x:c>
      <x:c r="O329" s="267">
        <x:v>0</x:v>
      </x:c>
      <x:c r="P329" s="267">
        <x:v>0</x:v>
      </x:c>
      <x:c r="Q329" s="267">
        <x:v>0</x:v>
      </x:c>
      <x:c r="R329" s="267">
        <x:v>0</x:v>
      </x:c>
      <x:c r="S329" s="267">
        <x:v>0</x:v>
      </x:c>
      <x:c r="T329" s="267">
        <x:v>0</x:v>
      </x:c>
      <x:c r="U329" s="267">
        <x:v>0</x:v>
      </x:c>
      <x:c r="V329" s="267">
        <x:v>0</x:v>
      </x:c>
      <x:c r="W329" s="267">
        <x:v>0</x:v>
      </x:c>
      <x:c r="X329" s="267">
        <x:v>0</x:v>
      </x:c>
      <x:c r="Y329" s="269">
        <x:f t="shared" si="12"/>
        <x:v>0</x:v>
      </x:c>
    </x:row>
    <x:row r="330">
      <x:c r="A330" s="148" t="s">
        <x:v>105</x:v>
      </x:c>
      <x:c r="B330">
        <x:v>9</x:v>
      </x:c>
      <x:c r="C330" s="148" t="s">
        <x:v>116</x:v>
      </x:c>
      <x:c r="D330">
        <x:v>903</x:v>
      </x:c>
      <x:c r="E330" s="267">
        <x:v>0</x:v>
      </x:c>
      <x:c r="F330" s="267">
        <x:v>0</x:v>
      </x:c>
      <x:c r="G330" s="267">
        <x:v>0</x:v>
      </x:c>
      <x:c r="H330" s="267">
        <x:v>0</x:v>
      </x:c>
      <x:c r="I330" s="267">
        <x:v>0</x:v>
      </x:c>
      <x:c r="J330" s="267">
        <x:v>0</x:v>
      </x:c>
      <x:c r="K330" s="267">
        <x:v>0</x:v>
      </x:c>
      <x:c r="L330" s="267">
        <x:v>0</x:v>
      </x:c>
      <x:c r="M330" s="267">
        <x:v>0</x:v>
      </x:c>
      <x:c r="N330" s="267">
        <x:v>0</x:v>
      </x:c>
      <x:c r="O330" s="267">
        <x:v>0</x:v>
      </x:c>
      <x:c r="P330" s="267">
        <x:v>0</x:v>
      </x:c>
      <x:c r="Q330" s="267">
        <x:v>0</x:v>
      </x:c>
      <x:c r="R330" s="267">
        <x:v>0</x:v>
      </x:c>
      <x:c r="S330" s="267">
        <x:v>0</x:v>
      </x:c>
      <x:c r="T330" s="267">
        <x:v>0</x:v>
      </x:c>
      <x:c r="U330" s="267">
        <x:v>0</x:v>
      </x:c>
      <x:c r="V330" s="267">
        <x:v>0</x:v>
      </x:c>
      <x:c r="W330" s="267">
        <x:v>0</x:v>
      </x:c>
      <x:c r="X330" s="267">
        <x:v>0</x:v>
      </x:c>
      <x:c r="Y330" s="269">
        <x:f t="shared" si="12"/>
        <x:v>0</x:v>
      </x:c>
    </x:row>
    <x:row r="331">
      <x:c r="A331" s="148" t="s">
        <x:v>105</x:v>
      </x:c>
      <x:c r="B331">
        <x:v>9</x:v>
      </x:c>
      <x:c r="C331" s="148" t="s">
        <x:v>116</x:v>
      </x:c>
      <x:c r="D331">
        <x:v>904</x:v>
      </x:c>
      <x:c r="E331" s="267">
        <x:v>0</x:v>
      </x:c>
      <x:c r="F331" s="267">
        <x:v>0</x:v>
      </x:c>
      <x:c r="G331" s="267">
        <x:v>0</x:v>
      </x:c>
      <x:c r="H331" s="267">
        <x:v>0</x:v>
      </x:c>
      <x:c r="I331" s="267">
        <x:v>0</x:v>
      </x:c>
      <x:c r="J331" s="267">
        <x:v>0</x:v>
      </x:c>
      <x:c r="K331" s="267">
        <x:v>0</x:v>
      </x:c>
      <x:c r="L331" s="267">
        <x:v>0</x:v>
      </x:c>
      <x:c r="M331" s="267">
        <x:v>0</x:v>
      </x:c>
      <x:c r="N331" s="267">
        <x:v>0</x:v>
      </x:c>
      <x:c r="O331" s="267">
        <x:v>0</x:v>
      </x:c>
      <x:c r="P331" s="267">
        <x:v>0</x:v>
      </x:c>
      <x:c r="Q331" s="267">
        <x:v>0</x:v>
      </x:c>
      <x:c r="R331" s="267">
        <x:v>0</x:v>
      </x:c>
      <x:c r="S331" s="267">
        <x:v>0</x:v>
      </x:c>
      <x:c r="T331" s="267">
        <x:v>0</x:v>
      </x:c>
      <x:c r="U331" s="267">
        <x:v>0</x:v>
      </x:c>
      <x:c r="V331" s="267">
        <x:v>0</x:v>
      </x:c>
      <x:c r="W331" s="267">
        <x:v>0</x:v>
      </x:c>
      <x:c r="X331" s="267">
        <x:v>0</x:v>
      </x:c>
      <x:c r="Y331" s="269">
        <x:f t="shared" si="12"/>
        <x:v>0</x:v>
      </x:c>
    </x:row>
    <x:row r="332">
      <x:c r="A332" s="148" t="s">
        <x:v>105</x:v>
      </x:c>
      <x:c r="B332">
        <x:v>9</x:v>
      </x:c>
      <x:c r="C332" s="148" t="s">
        <x:v>116</x:v>
      </x:c>
      <x:c r="D332">
        <x:v>905</x:v>
      </x:c>
      <x:c r="E332" s="267">
        <x:v>0</x:v>
      </x:c>
      <x:c r="F332" s="267">
        <x:v>0</x:v>
      </x:c>
      <x:c r="G332" s="267">
        <x:v>0</x:v>
      </x:c>
      <x:c r="H332" s="267">
        <x:v>0</x:v>
      </x:c>
      <x:c r="I332" s="267">
        <x:v>0</x:v>
      </x:c>
      <x:c r="J332" s="267">
        <x:v>0</x:v>
      </x:c>
      <x:c r="K332" s="267">
        <x:v>0</x:v>
      </x:c>
      <x:c r="L332" s="267">
        <x:v>0</x:v>
      </x:c>
      <x:c r="M332" s="267">
        <x:v>0</x:v>
      </x:c>
      <x:c r="N332" s="267">
        <x:v>0</x:v>
      </x:c>
      <x:c r="O332" s="267">
        <x:v>0</x:v>
      </x:c>
      <x:c r="P332" s="267">
        <x:v>0</x:v>
      </x:c>
      <x:c r="Q332" s="267">
        <x:v>0</x:v>
      </x:c>
      <x:c r="R332" s="267">
        <x:v>0</x:v>
      </x:c>
      <x:c r="S332" s="267">
        <x:v>0</x:v>
      </x:c>
      <x:c r="T332" s="267">
        <x:v>0</x:v>
      </x:c>
      <x:c r="U332" s="267">
        <x:v>0</x:v>
      </x:c>
      <x:c r="V332" s="267">
        <x:v>0</x:v>
      </x:c>
      <x:c r="W332" s="267">
        <x:v>0</x:v>
      </x:c>
      <x:c r="X332" s="267">
        <x:v>0</x:v>
      </x:c>
      <x:c r="Y332" s="269">
        <x:f t="shared" si="12"/>
        <x:v>0</x:v>
      </x:c>
    </x:row>
    <x:row r="333">
      <x:c r="A333" s="148" t="s">
        <x:v>105</x:v>
      </x:c>
      <x:c r="B333">
        <x:v>9</x:v>
      </x:c>
      <x:c r="C333" s="148" t="s">
        <x:v>116</x:v>
      </x:c>
      <x:c r="D333">
        <x:v>906</x:v>
      </x:c>
      <x:c r="E333" s="267">
        <x:v>0</x:v>
      </x:c>
      <x:c r="F333" s="267">
        <x:v>0</x:v>
      </x:c>
      <x:c r="G333" s="267">
        <x:v>0</x:v>
      </x:c>
      <x:c r="H333" s="267">
        <x:v>0</x:v>
      </x:c>
      <x:c r="I333" s="267">
        <x:v>0</x:v>
      </x:c>
      <x:c r="J333" s="267">
        <x:v>0</x:v>
      </x:c>
      <x:c r="K333" s="267">
        <x:v>0</x:v>
      </x:c>
      <x:c r="L333" s="267">
        <x:v>0</x:v>
      </x:c>
      <x:c r="M333" s="267">
        <x:v>0</x:v>
      </x:c>
      <x:c r="N333" s="267">
        <x:v>0</x:v>
      </x:c>
      <x:c r="O333" s="267">
        <x:v>0</x:v>
      </x:c>
      <x:c r="P333" s="267">
        <x:v>0</x:v>
      </x:c>
      <x:c r="Q333" s="267">
        <x:v>0</x:v>
      </x:c>
      <x:c r="R333" s="267">
        <x:v>0</x:v>
      </x:c>
      <x:c r="S333" s="267">
        <x:v>0</x:v>
      </x:c>
      <x:c r="T333" s="267">
        <x:v>0</x:v>
      </x:c>
      <x:c r="U333" s="267">
        <x:v>0</x:v>
      </x:c>
      <x:c r="V333" s="267">
        <x:v>0</x:v>
      </x:c>
      <x:c r="W333" s="267">
        <x:v>0</x:v>
      </x:c>
      <x:c r="X333" s="267">
        <x:v>0</x:v>
      </x:c>
      <x:c r="Y333" s="269">
        <x:f t="shared" si="12"/>
        <x:v>0</x:v>
      </x:c>
    </x:row>
    <x:row r="334">
      <x:c r="A334" s="148" t="s">
        <x:v>105</x:v>
      </x:c>
      <x:c r="B334">
        <x:v>9</x:v>
      </x:c>
      <x:c r="C334" s="148" t="s">
        <x:v>116</x:v>
      </x:c>
      <x:c r="D334">
        <x:v>907</x:v>
      </x:c>
      <x:c r="E334" s="267">
        <x:v>0</x:v>
      </x:c>
      <x:c r="F334" s="267">
        <x:v>0</x:v>
      </x:c>
      <x:c r="G334" s="267">
        <x:v>0</x:v>
      </x:c>
      <x:c r="H334" s="267">
        <x:v>0</x:v>
      </x:c>
      <x:c r="I334" s="267">
        <x:v>0</x:v>
      </x:c>
      <x:c r="J334" s="267">
        <x:v>0</x:v>
      </x:c>
      <x:c r="K334" s="267">
        <x:v>0</x:v>
      </x:c>
      <x:c r="L334" s="267">
        <x:v>0</x:v>
      </x:c>
      <x:c r="M334" s="267">
        <x:v>0</x:v>
      </x:c>
      <x:c r="N334" s="267">
        <x:v>0</x:v>
      </x:c>
      <x:c r="O334" s="267">
        <x:v>0</x:v>
      </x:c>
      <x:c r="P334" s="267">
        <x:v>0</x:v>
      </x:c>
      <x:c r="Q334" s="267">
        <x:v>0</x:v>
      </x:c>
      <x:c r="R334" s="267">
        <x:v>0</x:v>
      </x:c>
      <x:c r="S334" s="267">
        <x:v>0</x:v>
      </x:c>
      <x:c r="T334" s="267">
        <x:v>0</x:v>
      </x:c>
      <x:c r="U334" s="267">
        <x:v>0</x:v>
      </x:c>
      <x:c r="V334" s="267">
        <x:v>0</x:v>
      </x:c>
      <x:c r="W334" s="267">
        <x:v>0</x:v>
      </x:c>
      <x:c r="X334" s="267">
        <x:v>0</x:v>
      </x:c>
      <x:c r="Y334" s="269">
        <x:f t="shared" si="12"/>
        <x:v>0</x:v>
      </x:c>
    </x:row>
    <x:row r="335">
      <x:c r="A335" s="148" t="s">
        <x:v>105</x:v>
      </x:c>
      <x:c r="B335">
        <x:v>9</x:v>
      </x:c>
      <x:c r="C335" s="148" t="s">
        <x:v>116</x:v>
      </x:c>
      <x:c r="D335">
        <x:v>908</x:v>
      </x:c>
      <x:c r="E335" s="267">
        <x:v>0</x:v>
      </x:c>
      <x:c r="F335" s="267">
        <x:v>0</x:v>
      </x:c>
      <x:c r="G335" s="267">
        <x:v>0</x:v>
      </x:c>
      <x:c r="H335" s="267">
        <x:v>0</x:v>
      </x:c>
      <x:c r="I335" s="267">
        <x:v>0</x:v>
      </x:c>
      <x:c r="J335" s="267">
        <x:v>0</x:v>
      </x:c>
      <x:c r="K335" s="267">
        <x:v>0</x:v>
      </x:c>
      <x:c r="L335" s="267">
        <x:v>0</x:v>
      </x:c>
      <x:c r="M335" s="267">
        <x:v>0</x:v>
      </x:c>
      <x:c r="N335" s="267">
        <x:v>0</x:v>
      </x:c>
      <x:c r="O335" s="267">
        <x:v>0</x:v>
      </x:c>
      <x:c r="P335" s="267">
        <x:v>0</x:v>
      </x:c>
      <x:c r="Q335" s="267">
        <x:v>0</x:v>
      </x:c>
      <x:c r="R335" s="267">
        <x:v>0</x:v>
      </x:c>
      <x:c r="S335" s="267">
        <x:v>0</x:v>
      </x:c>
      <x:c r="T335" s="267">
        <x:v>0</x:v>
      </x:c>
      <x:c r="U335" s="267">
        <x:v>0</x:v>
      </x:c>
      <x:c r="V335" s="267">
        <x:v>0</x:v>
      </x:c>
      <x:c r="W335" s="267">
        <x:v>0</x:v>
      </x:c>
      <x:c r="X335" s="267">
        <x:v>0</x:v>
      </x:c>
      <x:c r="Y335" s="269">
        <x:f t="shared" si="12"/>
        <x:v>0</x:v>
      </x:c>
    </x:row>
    <x:row r="336">
      <x:c r="A336" s="148" t="s">
        <x:v>105</x:v>
      </x:c>
      <x:c r="B336">
        <x:v>9</x:v>
      </x:c>
      <x:c r="C336" s="148" t="s">
        <x:v>116</x:v>
      </x:c>
      <x:c r="D336">
        <x:v>909</x:v>
      </x:c>
      <x:c r="E336" s="267">
        <x:v>0</x:v>
      </x:c>
      <x:c r="F336" s="267">
        <x:v>0</x:v>
      </x:c>
      <x:c r="G336" s="267">
        <x:v>0</x:v>
      </x:c>
      <x:c r="H336" s="267">
        <x:v>0</x:v>
      </x:c>
      <x:c r="I336" s="267">
        <x:v>0</x:v>
      </x:c>
      <x:c r="J336" s="267">
        <x:v>0</x:v>
      </x:c>
      <x:c r="K336" s="267">
        <x:v>0</x:v>
      </x:c>
      <x:c r="L336" s="267">
        <x:v>0</x:v>
      </x:c>
      <x:c r="M336" s="267">
        <x:v>0</x:v>
      </x:c>
      <x:c r="N336" s="267">
        <x:v>0</x:v>
      </x:c>
      <x:c r="O336" s="267">
        <x:v>0</x:v>
      </x:c>
      <x:c r="P336" s="267">
        <x:v>0</x:v>
      </x:c>
      <x:c r="Q336" s="267">
        <x:v>0</x:v>
      </x:c>
      <x:c r="R336" s="267">
        <x:v>0</x:v>
      </x:c>
      <x:c r="S336" s="267">
        <x:v>0</x:v>
      </x:c>
      <x:c r="T336" s="267">
        <x:v>0</x:v>
      </x:c>
      <x:c r="U336" s="267">
        <x:v>0</x:v>
      </x:c>
      <x:c r="V336" s="267">
        <x:v>0</x:v>
      </x:c>
      <x:c r="W336" s="267">
        <x:v>0</x:v>
      </x:c>
      <x:c r="X336" s="267">
        <x:v>0</x:v>
      </x:c>
      <x:c r="Y336" s="269">
        <x:f t="shared" si="12"/>
        <x:v>0</x:v>
      </x:c>
    </x:row>
    <x:row r="337">
      <x:c r="A337" s="148" t="s">
        <x:v>105</x:v>
      </x:c>
      <x:c r="B337">
        <x:v>9</x:v>
      </x:c>
      <x:c r="C337" s="148" t="s">
        <x:v>116</x:v>
      </x:c>
      <x:c r="D337">
        <x:v>910</x:v>
      </x:c>
      <x:c r="E337" s="267">
        <x:v>0</x:v>
      </x:c>
      <x:c r="F337" s="267">
        <x:v>0</x:v>
      </x:c>
      <x:c r="G337" s="267">
        <x:v>0</x:v>
      </x:c>
      <x:c r="H337" s="267">
        <x:v>0</x:v>
      </x:c>
      <x:c r="I337" s="267">
        <x:v>0</x:v>
      </x:c>
      <x:c r="J337" s="267">
        <x:v>0</x:v>
      </x:c>
      <x:c r="K337" s="267">
        <x:v>0</x:v>
      </x:c>
      <x:c r="L337" s="267">
        <x:v>0</x:v>
      </x:c>
      <x:c r="M337" s="267">
        <x:v>0</x:v>
      </x:c>
      <x:c r="N337" s="267">
        <x:v>0</x:v>
      </x:c>
      <x:c r="O337" s="267">
        <x:v>0</x:v>
      </x:c>
      <x:c r="P337" s="267">
        <x:v>0</x:v>
      </x:c>
      <x:c r="Q337" s="267">
        <x:v>0</x:v>
      </x:c>
      <x:c r="R337" s="267">
        <x:v>0</x:v>
      </x:c>
      <x:c r="S337" s="267">
        <x:v>0</x:v>
      </x:c>
      <x:c r="T337" s="267">
        <x:v>0</x:v>
      </x:c>
      <x:c r="U337" s="267">
        <x:v>0</x:v>
      </x:c>
      <x:c r="V337" s="267">
        <x:v>0</x:v>
      </x:c>
      <x:c r="W337" s="267">
        <x:v>0</x:v>
      </x:c>
      <x:c r="X337" s="267">
        <x:v>0</x:v>
      </x:c>
      <x:c r="Y337" s="269">
        <x:f t="shared" si="12"/>
        <x:v>0</x:v>
      </x:c>
    </x:row>
    <x:row r="338">
      <x:c r="A338" s="148" t="s">
        <x:v>105</x:v>
      </x:c>
      <x:c r="B338">
        <x:v>9</x:v>
      </x:c>
      <x:c r="C338" s="148" t="s">
        <x:v>116</x:v>
      </x:c>
      <x:c r="D338">
        <x:v>911</x:v>
      </x:c>
      <x:c r="E338" s="267">
        <x:v>0</x:v>
      </x:c>
      <x:c r="F338" s="267">
        <x:v>0</x:v>
      </x:c>
      <x:c r="G338" s="267">
        <x:v>0</x:v>
      </x:c>
      <x:c r="H338" s="267">
        <x:v>0</x:v>
      </x:c>
      <x:c r="I338" s="267">
        <x:v>0</x:v>
      </x:c>
      <x:c r="J338" s="267">
        <x:v>0</x:v>
      </x:c>
      <x:c r="K338" s="267">
        <x:v>0</x:v>
      </x:c>
      <x:c r="L338" s="267">
        <x:v>0</x:v>
      </x:c>
      <x:c r="M338" s="267">
        <x:v>0</x:v>
      </x:c>
      <x:c r="N338" s="267">
        <x:v>0</x:v>
      </x:c>
      <x:c r="O338" s="267">
        <x:v>0</x:v>
      </x:c>
      <x:c r="P338" s="267">
        <x:v>0</x:v>
      </x:c>
      <x:c r="Q338" s="267">
        <x:v>0</x:v>
      </x:c>
      <x:c r="R338" s="267">
        <x:v>0</x:v>
      </x:c>
      <x:c r="S338" s="267">
        <x:v>0</x:v>
      </x:c>
      <x:c r="T338" s="267">
        <x:v>0</x:v>
      </x:c>
      <x:c r="U338" s="267">
        <x:v>0</x:v>
      </x:c>
      <x:c r="V338" s="267">
        <x:v>0</x:v>
      </x:c>
      <x:c r="W338" s="267">
        <x:v>0</x:v>
      </x:c>
      <x:c r="X338" s="267">
        <x:v>0</x:v>
      </x:c>
      <x:c r="Y338" s="269">
        <x:f t="shared" si="12"/>
        <x:v>0</x:v>
      </x:c>
    </x:row>
    <x:row r="339">
      <x:c r="A339" s="148" t="s">
        <x:v>105</x:v>
      </x:c>
      <x:c r="B339">
        <x:v>9</x:v>
      </x:c>
      <x:c r="C339" s="148" t="s">
        <x:v>116</x:v>
      </x:c>
      <x:c r="D339">
        <x:v>912</x:v>
      </x:c>
      <x:c r="E339" s="267">
        <x:v>0</x:v>
      </x:c>
      <x:c r="F339" s="267">
        <x:v>0</x:v>
      </x:c>
      <x:c r="G339" s="267">
        <x:v>0</x:v>
      </x:c>
      <x:c r="H339" s="267">
        <x:v>0</x:v>
      </x:c>
      <x:c r="I339" s="267">
        <x:v>0</x:v>
      </x:c>
      <x:c r="J339" s="267">
        <x:v>0</x:v>
      </x:c>
      <x:c r="K339" s="267">
        <x:v>0</x:v>
      </x:c>
      <x:c r="L339" s="267">
        <x:v>0</x:v>
      </x:c>
      <x:c r="M339" s="267">
        <x:v>0</x:v>
      </x:c>
      <x:c r="N339" s="267">
        <x:v>0</x:v>
      </x:c>
      <x:c r="O339" s="267">
        <x:v>0</x:v>
      </x:c>
      <x:c r="P339" s="267">
        <x:v>0</x:v>
      </x:c>
      <x:c r="Q339" s="267">
        <x:v>0</x:v>
      </x:c>
      <x:c r="R339" s="267">
        <x:v>0</x:v>
      </x:c>
      <x:c r="S339" s="267">
        <x:v>0</x:v>
      </x:c>
      <x:c r="T339" s="267">
        <x:v>0</x:v>
      </x:c>
      <x:c r="U339" s="267">
        <x:v>0</x:v>
      </x:c>
      <x:c r="V339" s="267">
        <x:v>0</x:v>
      </x:c>
      <x:c r="W339" s="267">
        <x:v>0</x:v>
      </x:c>
      <x:c r="X339" s="267">
        <x:v>0</x:v>
      </x:c>
      <x:c r="Y339" s="269">
        <x:f t="shared" si="12"/>
        <x:v>0</x:v>
      </x:c>
    </x:row>
    <x:row r="340">
      <x:c r="A340" s="148" t="s">
        <x:v>105</x:v>
      </x:c>
      <x:c r="B340">
        <x:v>9</x:v>
      </x:c>
      <x:c r="C340" s="148" t="s">
        <x:v>116</x:v>
      </x:c>
      <x:c r="D340">
        <x:v>913</x:v>
      </x:c>
      <x:c r="E340" s="267">
        <x:v>0</x:v>
      </x:c>
      <x:c r="F340" s="267">
        <x:v>0</x:v>
      </x:c>
      <x:c r="G340" s="267">
        <x:v>0</x:v>
      </x:c>
      <x:c r="H340" s="267">
        <x:v>0</x:v>
      </x:c>
      <x:c r="I340" s="267">
        <x:v>0</x:v>
      </x:c>
      <x:c r="J340" s="267">
        <x:v>0</x:v>
      </x:c>
      <x:c r="K340" s="267">
        <x:v>0</x:v>
      </x:c>
      <x:c r="L340" s="267">
        <x:v>0</x:v>
      </x:c>
      <x:c r="M340" s="267">
        <x:v>0</x:v>
      </x:c>
      <x:c r="N340" s="267">
        <x:v>0</x:v>
      </x:c>
      <x:c r="O340" s="267">
        <x:v>0</x:v>
      </x:c>
      <x:c r="P340" s="267">
        <x:v>0</x:v>
      </x:c>
      <x:c r="Q340" s="267">
        <x:v>0</x:v>
      </x:c>
      <x:c r="R340" s="267">
        <x:v>0</x:v>
      </x:c>
      <x:c r="S340" s="267">
        <x:v>0</x:v>
      </x:c>
      <x:c r="T340" s="267">
        <x:v>0</x:v>
      </x:c>
      <x:c r="U340" s="267">
        <x:v>0</x:v>
      </x:c>
      <x:c r="V340" s="267">
        <x:v>0</x:v>
      </x:c>
      <x:c r="W340" s="267">
        <x:v>0</x:v>
      </x:c>
      <x:c r="X340" s="267">
        <x:v>0</x:v>
      </x:c>
      <x:c r="Y340" s="269">
        <x:f t="shared" si="12"/>
        <x:v>0</x:v>
      </x:c>
    </x:row>
    <x:row r="341">
      <x:c r="A341" s="148" t="s">
        <x:v>105</x:v>
      </x:c>
      <x:c r="B341">
        <x:v>9</x:v>
      </x:c>
      <x:c r="C341" s="148" t="s">
        <x:v>116</x:v>
      </x:c>
      <x:c r="D341">
        <x:v>914</x:v>
      </x:c>
      <x:c r="E341" s="267">
        <x:v>0</x:v>
      </x:c>
      <x:c r="F341" s="267">
        <x:v>0</x:v>
      </x:c>
      <x:c r="G341" s="267">
        <x:v>0</x:v>
      </x:c>
      <x:c r="H341" s="267">
        <x:v>0</x:v>
      </x:c>
      <x:c r="I341" s="267">
        <x:v>0</x:v>
      </x:c>
      <x:c r="J341" s="267">
        <x:v>0</x:v>
      </x:c>
      <x:c r="K341" s="267">
        <x:v>0</x:v>
      </x:c>
      <x:c r="L341" s="267">
        <x:v>0</x:v>
      </x:c>
      <x:c r="M341" s="267">
        <x:v>0</x:v>
      </x:c>
      <x:c r="N341" s="267">
        <x:v>0</x:v>
      </x:c>
      <x:c r="O341" s="267">
        <x:v>0</x:v>
      </x:c>
      <x:c r="P341" s="267">
        <x:v>0</x:v>
      </x:c>
      <x:c r="Q341" s="267">
        <x:v>0</x:v>
      </x:c>
      <x:c r="R341" s="267">
        <x:v>0</x:v>
      </x:c>
      <x:c r="S341" s="267">
        <x:v>0</x:v>
      </x:c>
      <x:c r="T341" s="267">
        <x:v>0</x:v>
      </x:c>
      <x:c r="U341" s="267">
        <x:v>0</x:v>
      </x:c>
      <x:c r="V341" s="267">
        <x:v>0</x:v>
      </x:c>
      <x:c r="W341" s="267">
        <x:v>0</x:v>
      </x:c>
      <x:c r="X341" s="267">
        <x:v>0</x:v>
      </x:c>
      <x:c r="Y341" s="269">
        <x:f t="shared" si="12"/>
        <x:v>0</x:v>
      </x:c>
    </x:row>
    <x:row r="342">
      <x:c r="A342" s="148" t="s">
        <x:v>105</x:v>
      </x:c>
      <x:c r="B342">
        <x:v>9</x:v>
      </x:c>
      <x:c r="C342" s="148" t="s">
        <x:v>116</x:v>
      </x:c>
      <x:c r="D342">
        <x:v>915</x:v>
      </x:c>
      <x:c r="E342" s="267">
        <x:v>0</x:v>
      </x:c>
      <x:c r="F342" s="267">
        <x:v>0</x:v>
      </x:c>
      <x:c r="G342" s="267">
        <x:v>0</x:v>
      </x:c>
      <x:c r="H342" s="267">
        <x:v>0</x:v>
      </x:c>
      <x:c r="I342" s="267">
        <x:v>0</x:v>
      </x:c>
      <x:c r="J342" s="267">
        <x:v>0</x:v>
      </x:c>
      <x:c r="K342" s="267">
        <x:v>0</x:v>
      </x:c>
      <x:c r="L342" s="267">
        <x:v>0</x:v>
      </x:c>
      <x:c r="M342" s="267">
        <x:v>0</x:v>
      </x:c>
      <x:c r="N342" s="267">
        <x:v>0</x:v>
      </x:c>
      <x:c r="O342" s="267">
        <x:v>0</x:v>
      </x:c>
      <x:c r="P342" s="267">
        <x:v>0</x:v>
      </x:c>
      <x:c r="Q342" s="267">
        <x:v>0</x:v>
      </x:c>
      <x:c r="R342" s="267">
        <x:v>0</x:v>
      </x:c>
      <x:c r="S342" s="267">
        <x:v>0</x:v>
      </x:c>
      <x:c r="T342" s="267">
        <x:v>0</x:v>
      </x:c>
      <x:c r="U342" s="267">
        <x:v>0</x:v>
      </x:c>
      <x:c r="V342" s="267">
        <x:v>0</x:v>
      </x:c>
      <x:c r="W342" s="267">
        <x:v>0</x:v>
      </x:c>
      <x:c r="X342" s="267">
        <x:v>0</x:v>
      </x:c>
      <x:c r="Y342" s="269">
        <x:f t="shared" si="12"/>
        <x:v>0</x:v>
      </x:c>
    </x:row>
    <x:row r="343">
      <x:c r="A343" s="148" t="s">
        <x:v>105</x:v>
      </x:c>
      <x:c r="B343">
        <x:v>9</x:v>
      </x:c>
      <x:c r="C343" s="148" t="s">
        <x:v>116</x:v>
      </x:c>
      <x:c r="D343">
        <x:v>916</x:v>
      </x:c>
      <x:c r="E343" s="267">
        <x:v>0</x:v>
      </x:c>
      <x:c r="F343" s="267">
        <x:v>0</x:v>
      </x:c>
      <x:c r="G343" s="267">
        <x:v>0</x:v>
      </x:c>
      <x:c r="H343" s="267">
        <x:v>0</x:v>
      </x:c>
      <x:c r="I343" s="267">
        <x:v>0</x:v>
      </x:c>
      <x:c r="J343" s="267">
        <x:v>0</x:v>
      </x:c>
      <x:c r="K343" s="267">
        <x:v>0</x:v>
      </x:c>
      <x:c r="L343" s="267">
        <x:v>0</x:v>
      </x:c>
      <x:c r="M343" s="267">
        <x:v>0</x:v>
      </x:c>
      <x:c r="N343" s="267">
        <x:v>0</x:v>
      </x:c>
      <x:c r="O343" s="267">
        <x:v>0</x:v>
      </x:c>
      <x:c r="P343" s="267">
        <x:v>0</x:v>
      </x:c>
      <x:c r="Q343" s="267">
        <x:v>0</x:v>
      </x:c>
      <x:c r="R343" s="267">
        <x:v>0</x:v>
      </x:c>
      <x:c r="S343" s="267">
        <x:v>0</x:v>
      </x:c>
      <x:c r="T343" s="267">
        <x:v>0</x:v>
      </x:c>
      <x:c r="U343" s="267">
        <x:v>0</x:v>
      </x:c>
      <x:c r="V343" s="267">
        <x:v>0</x:v>
      </x:c>
      <x:c r="W343" s="267">
        <x:v>0</x:v>
      </x:c>
      <x:c r="X343" s="267">
        <x:v>0</x:v>
      </x:c>
      <x:c r="Y343" s="269">
        <x:f t="shared" si="12"/>
        <x:v>0</x:v>
      </x:c>
    </x:row>
    <x:row r="344">
      <x:c r="A344" s="148" t="s">
        <x:v>105</x:v>
      </x:c>
      <x:c r="B344">
        <x:v>9</x:v>
      </x:c>
      <x:c r="C344" s="148" t="s">
        <x:v>116</x:v>
      </x:c>
      <x:c r="D344">
        <x:v>917</x:v>
      </x:c>
      <x:c r="E344" s="267">
        <x:v>0</x:v>
      </x:c>
      <x:c r="F344" s="267">
        <x:v>0</x:v>
      </x:c>
      <x:c r="G344" s="267">
        <x:v>0</x:v>
      </x:c>
      <x:c r="H344" s="267">
        <x:v>0</x:v>
      </x:c>
      <x:c r="I344" s="267">
        <x:v>0</x:v>
      </x:c>
      <x:c r="J344" s="267">
        <x:v>0</x:v>
      </x:c>
      <x:c r="K344" s="267">
        <x:v>0</x:v>
      </x:c>
      <x:c r="L344" s="267">
        <x:v>0</x:v>
      </x:c>
      <x:c r="M344" s="267">
        <x:v>0</x:v>
      </x:c>
      <x:c r="N344" s="267">
        <x:v>0</x:v>
      </x:c>
      <x:c r="O344" s="267">
        <x:v>0</x:v>
      </x:c>
      <x:c r="P344" s="267">
        <x:v>0</x:v>
      </x:c>
      <x:c r="Q344" s="267">
        <x:v>0</x:v>
      </x:c>
      <x:c r="R344" s="267">
        <x:v>0</x:v>
      </x:c>
      <x:c r="S344" s="267">
        <x:v>0</x:v>
      </x:c>
      <x:c r="T344" s="267">
        <x:v>0</x:v>
      </x:c>
      <x:c r="U344" s="267">
        <x:v>0</x:v>
      </x:c>
      <x:c r="V344" s="267">
        <x:v>0</x:v>
      </x:c>
      <x:c r="W344" s="267">
        <x:v>0</x:v>
      </x:c>
      <x:c r="X344" s="267">
        <x:v>0</x:v>
      </x:c>
      <x:c r="Y344" s="269">
        <x:f t="shared" si="12"/>
        <x:v>0</x:v>
      </x:c>
    </x:row>
    <x:row r="345">
      <x:c r="A345" s="148" t="s">
        <x:v>105</x:v>
      </x:c>
      <x:c r="B345">
        <x:v>9</x:v>
      </x:c>
      <x:c r="C345" s="148" t="s">
        <x:v>116</x:v>
      </x:c>
      <x:c r="D345">
        <x:v>918</x:v>
      </x:c>
      <x:c r="E345" s="267">
        <x:v>0</x:v>
      </x:c>
      <x:c r="F345" s="267">
        <x:v>0</x:v>
      </x:c>
      <x:c r="G345" s="267">
        <x:v>0</x:v>
      </x:c>
      <x:c r="H345" s="267">
        <x:v>0</x:v>
      </x:c>
      <x:c r="I345" s="267">
        <x:v>0</x:v>
      </x:c>
      <x:c r="J345" s="267">
        <x:v>0</x:v>
      </x:c>
      <x:c r="K345" s="267">
        <x:v>0</x:v>
      </x:c>
      <x:c r="L345" s="267">
        <x:v>0</x:v>
      </x:c>
      <x:c r="M345" s="267">
        <x:v>0</x:v>
      </x:c>
      <x:c r="N345" s="267">
        <x:v>0</x:v>
      </x:c>
      <x:c r="O345" s="267">
        <x:v>0</x:v>
      </x:c>
      <x:c r="P345" s="267">
        <x:v>0</x:v>
      </x:c>
      <x:c r="Q345" s="267">
        <x:v>0</x:v>
      </x:c>
      <x:c r="R345" s="267">
        <x:v>0</x:v>
      </x:c>
      <x:c r="S345" s="267">
        <x:v>0</x:v>
      </x:c>
      <x:c r="T345" s="267">
        <x:v>0</x:v>
      </x:c>
      <x:c r="U345" s="267">
        <x:v>0</x:v>
      </x:c>
      <x:c r="V345" s="267">
        <x:v>0</x:v>
      </x:c>
      <x:c r="W345" s="267">
        <x:v>0</x:v>
      </x:c>
      <x:c r="X345" s="267">
        <x:v>0</x:v>
      </x:c>
      <x:c r="Y345" s="269">
        <x:f t="shared" si="12"/>
        <x:v>0</x:v>
      </x:c>
    </x:row>
    <x:row r="346">
      <x:c r="A346" s="148" t="s">
        <x:v>105</x:v>
      </x:c>
      <x:c r="B346">
        <x:v>9</x:v>
      </x:c>
      <x:c r="C346" s="148" t="s">
        <x:v>116</x:v>
      </x:c>
      <x:c r="D346">
        <x:v>919</x:v>
      </x:c>
      <x:c r="E346" s="267">
        <x:v>0</x:v>
      </x:c>
      <x:c r="F346" s="267">
        <x:v>0</x:v>
      </x:c>
      <x:c r="G346" s="267">
        <x:v>0</x:v>
      </x:c>
      <x:c r="H346" s="267">
        <x:v>0</x:v>
      </x:c>
      <x:c r="I346" s="267">
        <x:v>0</x:v>
      </x:c>
      <x:c r="J346" s="267">
        <x:v>0</x:v>
      </x:c>
      <x:c r="K346" s="267">
        <x:v>0</x:v>
      </x:c>
      <x:c r="L346" s="267">
        <x:v>0</x:v>
      </x:c>
      <x:c r="M346" s="267">
        <x:v>0</x:v>
      </x:c>
      <x:c r="N346" s="267">
        <x:v>0</x:v>
      </x:c>
      <x:c r="O346" s="267">
        <x:v>0</x:v>
      </x:c>
      <x:c r="P346" s="267">
        <x:v>0</x:v>
      </x:c>
      <x:c r="Q346" s="267">
        <x:v>0</x:v>
      </x:c>
      <x:c r="R346" s="267">
        <x:v>0</x:v>
      </x:c>
      <x:c r="S346" s="267">
        <x:v>0</x:v>
      </x:c>
      <x:c r="T346" s="267">
        <x:v>0</x:v>
      </x:c>
      <x:c r="U346" s="267">
        <x:v>0</x:v>
      </x:c>
      <x:c r="V346" s="267">
        <x:v>0</x:v>
      </x:c>
      <x:c r="W346" s="267">
        <x:v>0</x:v>
      </x:c>
      <x:c r="X346" s="267">
        <x:v>0</x:v>
      </x:c>
      <x:c r="Y346" s="269">
        <x:f t="shared" si="12"/>
        <x:v>0</x:v>
      </x:c>
    </x:row>
    <x:row r="347">
      <x:c r="A347" s="148" t="s">
        <x:v>105</x:v>
      </x:c>
      <x:c r="B347">
        <x:v>9</x:v>
      </x:c>
      <x:c r="C347" s="148" t="s">
        <x:v>116</x:v>
      </x:c>
      <x:c r="D347">
        <x:v>923</x:v>
      </x:c>
      <x:c r="E347" s="267">
        <x:v>0</x:v>
      </x:c>
      <x:c r="F347" s="267">
        <x:v>0</x:v>
      </x:c>
      <x:c r="G347" s="267">
        <x:v>0</x:v>
      </x:c>
      <x:c r="H347" s="267">
        <x:v>0</x:v>
      </x:c>
      <x:c r="I347" s="267">
        <x:v>0</x:v>
      </x:c>
      <x:c r="J347" s="267">
        <x:v>0</x:v>
      </x:c>
      <x:c r="K347" s="267">
        <x:v>0</x:v>
      </x:c>
      <x:c r="L347" s="267">
        <x:v>0</x:v>
      </x:c>
      <x:c r="M347" s="267">
        <x:v>0</x:v>
      </x:c>
      <x:c r="N347" s="267">
        <x:v>0</x:v>
      </x:c>
      <x:c r="O347" s="267">
        <x:v>0</x:v>
      </x:c>
      <x:c r="P347" s="267">
        <x:v>0</x:v>
      </x:c>
      <x:c r="Q347" s="267">
        <x:v>0</x:v>
      </x:c>
      <x:c r="R347" s="267">
        <x:v>0</x:v>
      </x:c>
      <x:c r="S347" s="267">
        <x:v>0</x:v>
      </x:c>
      <x:c r="T347" s="267">
        <x:v>0</x:v>
      </x:c>
      <x:c r="U347" s="267">
        <x:v>0</x:v>
      </x:c>
      <x:c r="V347" s="267">
        <x:v>0</x:v>
      </x:c>
      <x:c r="W347" s="267">
        <x:v>0</x:v>
      </x:c>
      <x:c r="X347" s="267">
        <x:v>0</x:v>
      </x:c>
      <x:c r="Y347" s="269">
        <x:f t="shared" si="12"/>
        <x:v>0</x:v>
      </x:c>
    </x:row>
    <x:row r="348">
      <x:c r="A348" s="148" t="s">
        <x:v>105</x:v>
      </x:c>
      <x:c r="B348">
        <x:v>9</x:v>
      </x:c>
      <x:c r="C348" s="148" t="s">
        <x:v>115</x:v>
      </x:c>
      <x:c r="D348">
        <x:v>901</x:v>
      </x:c>
      <x:c r="E348" s="267">
        <x:v>0</x:v>
      </x:c>
      <x:c r="F348" s="267">
        <x:v>0</x:v>
      </x:c>
      <x:c r="G348" s="267">
        <x:v>0</x:v>
      </x:c>
      <x:c r="H348" s="267">
        <x:v>0</x:v>
      </x:c>
      <x:c r="I348" s="267">
        <x:v>0</x:v>
      </x:c>
      <x:c r="J348" s="267">
        <x:v>0</x:v>
      </x:c>
      <x:c r="K348" s="267">
        <x:v>0</x:v>
      </x:c>
      <x:c r="L348" s="267">
        <x:v>0</x:v>
      </x:c>
      <x:c r="M348" s="267">
        <x:v>0</x:v>
      </x:c>
      <x:c r="N348" s="267">
        <x:v>0</x:v>
      </x:c>
      <x:c r="O348" s="267">
        <x:v>0</x:v>
      </x:c>
      <x:c r="P348" s="267">
        <x:v>0</x:v>
      </x:c>
      <x:c r="Q348" s="267">
        <x:v>0</x:v>
      </x:c>
      <x:c r="R348" s="267">
        <x:v>0</x:v>
      </x:c>
      <x:c r="S348" s="267">
        <x:v>0</x:v>
      </x:c>
      <x:c r="T348" s="267">
        <x:v>0</x:v>
      </x:c>
      <x:c r="U348" s="267">
        <x:v>0</x:v>
      </x:c>
      <x:c r="V348" s="267">
        <x:v>0</x:v>
      </x:c>
      <x:c r="W348" s="267">
        <x:v>0</x:v>
      </x:c>
      <x:c r="X348" s="267">
        <x:v>0</x:v>
      </x:c>
      <x:c r="Y348" s="269">
        <x:f t="shared" si="12"/>
        <x:v>0</x:v>
      </x:c>
    </x:row>
    <x:row r="349">
      <x:c r="A349" s="148" t="s">
        <x:v>105</x:v>
      </x:c>
      <x:c r="B349">
        <x:v>9</x:v>
      </x:c>
      <x:c r="C349" s="148" t="s">
        <x:v>115</x:v>
      </x:c>
      <x:c r="D349">
        <x:v>902</x:v>
      </x:c>
      <x:c r="E349" s="267">
        <x:v>0</x:v>
      </x:c>
      <x:c r="F349" s="267">
        <x:v>0</x:v>
      </x:c>
      <x:c r="G349" s="267">
        <x:v>0</x:v>
      </x:c>
      <x:c r="H349" s="267">
        <x:v>0</x:v>
      </x:c>
      <x:c r="I349" s="267">
        <x:v>0</x:v>
      </x:c>
      <x:c r="J349" s="267">
        <x:v>0</x:v>
      </x:c>
      <x:c r="K349" s="267">
        <x:v>0</x:v>
      </x:c>
      <x:c r="L349" s="267">
        <x:v>0</x:v>
      </x:c>
      <x:c r="M349" s="267">
        <x:v>0</x:v>
      </x:c>
      <x:c r="N349" s="267">
        <x:v>0</x:v>
      </x:c>
      <x:c r="O349" s="267">
        <x:v>0</x:v>
      </x:c>
      <x:c r="P349" s="267">
        <x:v>0</x:v>
      </x:c>
      <x:c r="Q349" s="267">
        <x:v>0</x:v>
      </x:c>
      <x:c r="R349" s="267">
        <x:v>0</x:v>
      </x:c>
      <x:c r="S349" s="267">
        <x:v>0</x:v>
      </x:c>
      <x:c r="T349" s="267">
        <x:v>0</x:v>
      </x:c>
      <x:c r="U349" s="267">
        <x:v>0</x:v>
      </x:c>
      <x:c r="V349" s="267">
        <x:v>0</x:v>
      </x:c>
      <x:c r="W349" s="267">
        <x:v>0</x:v>
      </x:c>
      <x:c r="X349" s="267">
        <x:v>0</x:v>
      </x:c>
      <x:c r="Y349" s="269">
        <x:f t="shared" si="12"/>
        <x:v>0</x:v>
      </x:c>
    </x:row>
    <x:row r="350">
      <x:c r="A350" s="148" t="s">
        <x:v>105</x:v>
      </x:c>
      <x:c r="B350">
        <x:v>9</x:v>
      </x:c>
      <x:c r="C350" s="148" t="s">
        <x:v>115</x:v>
      </x:c>
      <x:c r="D350">
        <x:v>903</x:v>
      </x:c>
      <x:c r="E350" s="267">
        <x:v>0</x:v>
      </x:c>
      <x:c r="F350" s="267">
        <x:v>0</x:v>
      </x:c>
      <x:c r="G350" s="267">
        <x:v>0</x:v>
      </x:c>
      <x:c r="H350" s="267">
        <x:v>0</x:v>
      </x:c>
      <x:c r="I350" s="267">
        <x:v>0</x:v>
      </x:c>
      <x:c r="J350" s="267">
        <x:v>0</x:v>
      </x:c>
      <x:c r="K350" s="267">
        <x:v>0</x:v>
      </x:c>
      <x:c r="L350" s="267">
        <x:v>0</x:v>
      </x:c>
      <x:c r="M350" s="267">
        <x:v>0</x:v>
      </x:c>
      <x:c r="N350" s="267">
        <x:v>0</x:v>
      </x:c>
      <x:c r="O350" s="267">
        <x:v>0</x:v>
      </x:c>
      <x:c r="P350" s="267">
        <x:v>0</x:v>
      </x:c>
      <x:c r="Q350" s="267">
        <x:v>0</x:v>
      </x:c>
      <x:c r="R350" s="267">
        <x:v>0</x:v>
      </x:c>
      <x:c r="S350" s="267">
        <x:v>0</x:v>
      </x:c>
      <x:c r="T350" s="267">
        <x:v>0</x:v>
      </x:c>
      <x:c r="U350" s="267">
        <x:v>0</x:v>
      </x:c>
      <x:c r="V350" s="267">
        <x:v>0</x:v>
      </x:c>
      <x:c r="W350" s="267">
        <x:v>0</x:v>
      </x:c>
      <x:c r="X350" s="267">
        <x:v>0</x:v>
      </x:c>
      <x:c r="Y350" s="269">
        <x:f t="shared" si="12"/>
        <x:v>0</x:v>
      </x:c>
    </x:row>
    <x:row r="351">
      <x:c r="A351" s="148" t="s">
        <x:v>105</x:v>
      </x:c>
      <x:c r="B351">
        <x:v>9</x:v>
      </x:c>
      <x:c r="C351" s="148" t="s">
        <x:v>115</x:v>
      </x:c>
      <x:c r="D351">
        <x:v>904</x:v>
      </x:c>
      <x:c r="E351" s="267">
        <x:v>0</x:v>
      </x:c>
      <x:c r="F351" s="267">
        <x:v>0</x:v>
      </x:c>
      <x:c r="G351" s="267">
        <x:v>0</x:v>
      </x:c>
      <x:c r="H351" s="267">
        <x:v>0</x:v>
      </x:c>
      <x:c r="I351" s="267">
        <x:v>0</x:v>
      </x:c>
      <x:c r="J351" s="267">
        <x:v>0</x:v>
      </x:c>
      <x:c r="K351" s="267">
        <x:v>0</x:v>
      </x:c>
      <x:c r="L351" s="267">
        <x:v>0</x:v>
      </x:c>
      <x:c r="M351" s="267">
        <x:v>0</x:v>
      </x:c>
      <x:c r="N351" s="267">
        <x:v>0</x:v>
      </x:c>
      <x:c r="O351" s="267">
        <x:v>0</x:v>
      </x:c>
      <x:c r="P351" s="267">
        <x:v>0</x:v>
      </x:c>
      <x:c r="Q351" s="267">
        <x:v>0</x:v>
      </x:c>
      <x:c r="R351" s="267">
        <x:v>0</x:v>
      </x:c>
      <x:c r="S351" s="267">
        <x:v>0</x:v>
      </x:c>
      <x:c r="T351" s="267">
        <x:v>0</x:v>
      </x:c>
      <x:c r="U351" s="267">
        <x:v>0</x:v>
      </x:c>
      <x:c r="V351" s="267">
        <x:v>0</x:v>
      </x:c>
      <x:c r="W351" s="267">
        <x:v>0</x:v>
      </x:c>
      <x:c r="X351" s="267">
        <x:v>0</x:v>
      </x:c>
      <x:c r="Y351" s="269">
        <x:f t="shared" si="12"/>
        <x:v>0</x:v>
      </x:c>
    </x:row>
    <x:row r="352">
      <x:c r="A352" s="148" t="s">
        <x:v>105</x:v>
      </x:c>
      <x:c r="B352">
        <x:v>9</x:v>
      </x:c>
      <x:c r="C352" s="148" t="s">
        <x:v>115</x:v>
      </x:c>
      <x:c r="D352">
        <x:v>905</x:v>
      </x:c>
      <x:c r="E352" s="267">
        <x:v>0</x:v>
      </x:c>
      <x:c r="F352" s="267">
        <x:v>0</x:v>
      </x:c>
      <x:c r="G352" s="267">
        <x:v>0</x:v>
      </x:c>
      <x:c r="H352" s="267">
        <x:v>0</x:v>
      </x:c>
      <x:c r="I352" s="267">
        <x:v>0</x:v>
      </x:c>
      <x:c r="J352" s="267">
        <x:v>0</x:v>
      </x:c>
      <x:c r="K352" s="267">
        <x:v>0</x:v>
      </x:c>
      <x:c r="L352" s="267">
        <x:v>0</x:v>
      </x:c>
      <x:c r="M352" s="267">
        <x:v>0</x:v>
      </x:c>
      <x:c r="N352" s="267">
        <x:v>0</x:v>
      </x:c>
      <x:c r="O352" s="267">
        <x:v>0</x:v>
      </x:c>
      <x:c r="P352" s="267">
        <x:v>0</x:v>
      </x:c>
      <x:c r="Q352" s="267">
        <x:v>0</x:v>
      </x:c>
      <x:c r="R352" s="267">
        <x:v>0</x:v>
      </x:c>
      <x:c r="S352" s="267">
        <x:v>0</x:v>
      </x:c>
      <x:c r="T352" s="267">
        <x:v>0</x:v>
      </x:c>
      <x:c r="U352" s="267">
        <x:v>0</x:v>
      </x:c>
      <x:c r="V352" s="267">
        <x:v>0</x:v>
      </x:c>
      <x:c r="W352" s="267">
        <x:v>0</x:v>
      </x:c>
      <x:c r="X352" s="267">
        <x:v>0</x:v>
      </x:c>
      <x:c r="Y352" s="269">
        <x:f t="shared" si="12"/>
        <x:v>0</x:v>
      </x:c>
    </x:row>
    <x:row r="353">
      <x:c r="A353" s="148" t="s">
        <x:v>105</x:v>
      </x:c>
      <x:c r="B353">
        <x:v>9</x:v>
      </x:c>
      <x:c r="C353" s="148" t="s">
        <x:v>115</x:v>
      </x:c>
      <x:c r="D353">
        <x:v>906</x:v>
      </x:c>
      <x:c r="E353" s="267">
        <x:v>0</x:v>
      </x:c>
      <x:c r="F353" s="267">
        <x:v>0</x:v>
      </x:c>
      <x:c r="G353" s="267">
        <x:v>0</x:v>
      </x:c>
      <x:c r="H353" s="267">
        <x:v>0</x:v>
      </x:c>
      <x:c r="I353" s="267">
        <x:v>0</x:v>
      </x:c>
      <x:c r="J353" s="267">
        <x:v>0</x:v>
      </x:c>
      <x:c r="K353" s="267">
        <x:v>0</x:v>
      </x:c>
      <x:c r="L353" s="267">
        <x:v>0</x:v>
      </x:c>
      <x:c r="M353" s="267">
        <x:v>0</x:v>
      </x:c>
      <x:c r="N353" s="267">
        <x:v>0</x:v>
      </x:c>
      <x:c r="O353" s="267">
        <x:v>0</x:v>
      </x:c>
      <x:c r="P353" s="267">
        <x:v>0</x:v>
      </x:c>
      <x:c r="Q353" s="267">
        <x:v>0</x:v>
      </x:c>
      <x:c r="R353" s="267">
        <x:v>0</x:v>
      </x:c>
      <x:c r="S353" s="267">
        <x:v>0</x:v>
      </x:c>
      <x:c r="T353" s="267">
        <x:v>0</x:v>
      </x:c>
      <x:c r="U353" s="267">
        <x:v>0</x:v>
      </x:c>
      <x:c r="V353" s="267">
        <x:v>0</x:v>
      </x:c>
      <x:c r="W353" s="267">
        <x:v>0</x:v>
      </x:c>
      <x:c r="X353" s="267">
        <x:v>0</x:v>
      </x:c>
      <x:c r="Y353" s="269">
        <x:f t="shared" si="12"/>
        <x:v>0</x:v>
      </x:c>
    </x:row>
    <x:row r="354">
      <x:c r="A354" s="148" t="s">
        <x:v>105</x:v>
      </x:c>
      <x:c r="B354">
        <x:v>9</x:v>
      </x:c>
      <x:c r="C354" s="148" t="s">
        <x:v>115</x:v>
      </x:c>
      <x:c r="D354">
        <x:v>907</x:v>
      </x:c>
      <x:c r="E354" s="267">
        <x:v>0</x:v>
      </x:c>
      <x:c r="F354" s="267">
        <x:v>0</x:v>
      </x:c>
      <x:c r="G354" s="267">
        <x:v>0</x:v>
      </x:c>
      <x:c r="H354" s="267">
        <x:v>0</x:v>
      </x:c>
      <x:c r="I354" s="267">
        <x:v>0</x:v>
      </x:c>
      <x:c r="J354" s="267">
        <x:v>0</x:v>
      </x:c>
      <x:c r="K354" s="267">
        <x:v>0</x:v>
      </x:c>
      <x:c r="L354" s="267">
        <x:v>0</x:v>
      </x:c>
      <x:c r="M354" s="267">
        <x:v>0</x:v>
      </x:c>
      <x:c r="N354" s="267">
        <x:v>0</x:v>
      </x:c>
      <x:c r="O354" s="267">
        <x:v>0</x:v>
      </x:c>
      <x:c r="P354" s="267">
        <x:v>0</x:v>
      </x:c>
      <x:c r="Q354" s="267">
        <x:v>0</x:v>
      </x:c>
      <x:c r="R354" s="267">
        <x:v>0</x:v>
      </x:c>
      <x:c r="S354" s="267">
        <x:v>0</x:v>
      </x:c>
      <x:c r="T354" s="267">
        <x:v>0</x:v>
      </x:c>
      <x:c r="U354" s="267">
        <x:v>0</x:v>
      </x:c>
      <x:c r="V354" s="267">
        <x:v>0</x:v>
      </x:c>
      <x:c r="W354" s="267">
        <x:v>0</x:v>
      </x:c>
      <x:c r="X354" s="267">
        <x:v>0</x:v>
      </x:c>
      <x:c r="Y354" s="269">
        <x:f t="shared" si="12"/>
        <x:v>0</x:v>
      </x:c>
    </x:row>
    <x:row r="355">
      <x:c r="A355" s="148" t="s">
        <x:v>105</x:v>
      </x:c>
      <x:c r="B355">
        <x:v>9</x:v>
      </x:c>
      <x:c r="C355" s="148" t="s">
        <x:v>115</x:v>
      </x:c>
      <x:c r="D355">
        <x:v>908</x:v>
      </x:c>
      <x:c r="E355" s="267">
        <x:v>0</x:v>
      </x:c>
      <x:c r="F355" s="267">
        <x:v>0</x:v>
      </x:c>
      <x:c r="G355" s="267">
        <x:v>0</x:v>
      </x:c>
      <x:c r="H355" s="267">
        <x:v>0</x:v>
      </x:c>
      <x:c r="I355" s="267">
        <x:v>0</x:v>
      </x:c>
      <x:c r="J355" s="267">
        <x:v>0</x:v>
      </x:c>
      <x:c r="K355" s="267">
        <x:v>0</x:v>
      </x:c>
      <x:c r="L355" s="267">
        <x:v>0</x:v>
      </x:c>
      <x:c r="M355" s="267">
        <x:v>0</x:v>
      </x:c>
      <x:c r="N355" s="267">
        <x:v>0</x:v>
      </x:c>
      <x:c r="O355" s="267">
        <x:v>0</x:v>
      </x:c>
      <x:c r="P355" s="267">
        <x:v>0</x:v>
      </x:c>
      <x:c r="Q355" s="267">
        <x:v>0</x:v>
      </x:c>
      <x:c r="R355" s="267">
        <x:v>0</x:v>
      </x:c>
      <x:c r="S355" s="267">
        <x:v>0</x:v>
      </x:c>
      <x:c r="T355" s="267">
        <x:v>0</x:v>
      </x:c>
      <x:c r="U355" s="267">
        <x:v>0</x:v>
      </x:c>
      <x:c r="V355" s="267">
        <x:v>0</x:v>
      </x:c>
      <x:c r="W355" s="267">
        <x:v>0</x:v>
      </x:c>
      <x:c r="X355" s="267">
        <x:v>0</x:v>
      </x:c>
      <x:c r="Y355" s="269">
        <x:f t="shared" si="12"/>
        <x:v>0</x:v>
      </x:c>
    </x:row>
    <x:row r="356">
      <x:c r="A356" s="148" t="s">
        <x:v>105</x:v>
      </x:c>
      <x:c r="B356">
        <x:v>9</x:v>
      </x:c>
      <x:c r="C356" s="148" t="s">
        <x:v>115</x:v>
      </x:c>
      <x:c r="D356">
        <x:v>909</x:v>
      </x:c>
      <x:c r="E356" s="267">
        <x:v>0</x:v>
      </x:c>
      <x:c r="F356" s="267">
        <x:v>0</x:v>
      </x:c>
      <x:c r="G356" s="267">
        <x:v>0</x:v>
      </x:c>
      <x:c r="H356" s="267">
        <x:v>0</x:v>
      </x:c>
      <x:c r="I356" s="267">
        <x:v>0</x:v>
      </x:c>
      <x:c r="J356" s="267">
        <x:v>0</x:v>
      </x:c>
      <x:c r="K356" s="267">
        <x:v>0</x:v>
      </x:c>
      <x:c r="L356" s="267">
        <x:v>0</x:v>
      </x:c>
      <x:c r="M356" s="267">
        <x:v>0</x:v>
      </x:c>
      <x:c r="N356" s="267">
        <x:v>0</x:v>
      </x:c>
      <x:c r="O356" s="267">
        <x:v>0</x:v>
      </x:c>
      <x:c r="P356" s="267">
        <x:v>0</x:v>
      </x:c>
      <x:c r="Q356" s="267">
        <x:v>0</x:v>
      </x:c>
      <x:c r="R356" s="267">
        <x:v>0</x:v>
      </x:c>
      <x:c r="S356" s="267">
        <x:v>0</x:v>
      </x:c>
      <x:c r="T356" s="267">
        <x:v>0</x:v>
      </x:c>
      <x:c r="U356" s="267">
        <x:v>0</x:v>
      </x:c>
      <x:c r="V356" s="267">
        <x:v>0</x:v>
      </x:c>
      <x:c r="W356" s="267">
        <x:v>0</x:v>
      </x:c>
      <x:c r="X356" s="267">
        <x:v>0</x:v>
      </x:c>
      <x:c r="Y356" s="269">
        <x:f t="shared" si="12"/>
        <x:v>0</x:v>
      </x:c>
    </x:row>
    <x:row r="357">
      <x:c r="A357" s="148" t="s">
        <x:v>105</x:v>
      </x:c>
      <x:c r="B357">
        <x:v>9</x:v>
      </x:c>
      <x:c r="C357" s="148" t="s">
        <x:v>115</x:v>
      </x:c>
      <x:c r="D357">
        <x:v>910</x:v>
      </x:c>
      <x:c r="E357" s="267">
        <x:v>0</x:v>
      </x:c>
      <x:c r="F357" s="267">
        <x:v>0</x:v>
      </x:c>
      <x:c r="G357" s="267">
        <x:v>0</x:v>
      </x:c>
      <x:c r="H357" s="267">
        <x:v>0</x:v>
      </x:c>
      <x:c r="I357" s="267">
        <x:v>0</x:v>
      </x:c>
      <x:c r="J357" s="267">
        <x:v>0</x:v>
      </x:c>
      <x:c r="K357" s="267">
        <x:v>0</x:v>
      </x:c>
      <x:c r="L357" s="267">
        <x:v>0</x:v>
      </x:c>
      <x:c r="M357" s="267">
        <x:v>0</x:v>
      </x:c>
      <x:c r="N357" s="267">
        <x:v>0</x:v>
      </x:c>
      <x:c r="O357" s="267">
        <x:v>0</x:v>
      </x:c>
      <x:c r="P357" s="267">
        <x:v>0</x:v>
      </x:c>
      <x:c r="Q357" s="267">
        <x:v>0</x:v>
      </x:c>
      <x:c r="R357" s="267">
        <x:v>0</x:v>
      </x:c>
      <x:c r="S357" s="267">
        <x:v>0</x:v>
      </x:c>
      <x:c r="T357" s="267">
        <x:v>0</x:v>
      </x:c>
      <x:c r="U357" s="267">
        <x:v>0</x:v>
      </x:c>
      <x:c r="V357" s="267">
        <x:v>0</x:v>
      </x:c>
      <x:c r="W357" s="267">
        <x:v>0</x:v>
      </x:c>
      <x:c r="X357" s="267">
        <x:v>0</x:v>
      </x:c>
      <x:c r="Y357" s="269">
        <x:f t="shared" si="12"/>
        <x:v>0</x:v>
      </x:c>
    </x:row>
    <x:row r="358">
      <x:c r="A358" s="148" t="s">
        <x:v>105</x:v>
      </x:c>
      <x:c r="B358">
        <x:v>9</x:v>
      </x:c>
      <x:c r="C358" s="148" t="s">
        <x:v>115</x:v>
      </x:c>
      <x:c r="D358">
        <x:v>911</x:v>
      </x:c>
      <x:c r="E358" s="267">
        <x:v>0</x:v>
      </x:c>
      <x:c r="F358" s="267">
        <x:v>0</x:v>
      </x:c>
      <x:c r="G358" s="267">
        <x:v>0</x:v>
      </x:c>
      <x:c r="H358" s="267">
        <x:v>0</x:v>
      </x:c>
      <x:c r="I358" s="267">
        <x:v>0</x:v>
      </x:c>
      <x:c r="J358" s="267">
        <x:v>0</x:v>
      </x:c>
      <x:c r="K358" s="267">
        <x:v>0</x:v>
      </x:c>
      <x:c r="L358" s="267">
        <x:v>0</x:v>
      </x:c>
      <x:c r="M358" s="267">
        <x:v>0</x:v>
      </x:c>
      <x:c r="N358" s="267">
        <x:v>0</x:v>
      </x:c>
      <x:c r="O358" s="267">
        <x:v>0</x:v>
      </x:c>
      <x:c r="P358" s="267">
        <x:v>0</x:v>
      </x:c>
      <x:c r="Q358" s="267">
        <x:v>0</x:v>
      </x:c>
      <x:c r="R358" s="267">
        <x:v>0</x:v>
      </x:c>
      <x:c r="S358" s="267">
        <x:v>0</x:v>
      </x:c>
      <x:c r="T358" s="267">
        <x:v>0</x:v>
      </x:c>
      <x:c r="U358" s="267">
        <x:v>0</x:v>
      </x:c>
      <x:c r="V358" s="267">
        <x:v>0</x:v>
      </x:c>
      <x:c r="W358" s="267">
        <x:v>0</x:v>
      </x:c>
      <x:c r="X358" s="267">
        <x:v>0</x:v>
      </x:c>
      <x:c r="Y358" s="269">
        <x:f t="shared" si="12"/>
        <x:v>0</x:v>
      </x:c>
    </x:row>
    <x:row r="359">
      <x:c r="A359" s="148" t="s">
        <x:v>105</x:v>
      </x:c>
      <x:c r="B359">
        <x:v>9</x:v>
      </x:c>
      <x:c r="C359" s="148" t="s">
        <x:v>115</x:v>
      </x:c>
      <x:c r="D359">
        <x:v>912</x:v>
      </x:c>
      <x:c r="E359" s="267">
        <x:v>0</x:v>
      </x:c>
      <x:c r="F359" s="267">
        <x:v>0</x:v>
      </x:c>
      <x:c r="G359" s="267">
        <x:v>0</x:v>
      </x:c>
      <x:c r="H359" s="267">
        <x:v>0</x:v>
      </x:c>
      <x:c r="I359" s="267">
        <x:v>0</x:v>
      </x:c>
      <x:c r="J359" s="267">
        <x:v>0</x:v>
      </x:c>
      <x:c r="K359" s="267">
        <x:v>0</x:v>
      </x:c>
      <x:c r="L359" s="267">
        <x:v>0</x:v>
      </x:c>
      <x:c r="M359" s="267">
        <x:v>0</x:v>
      </x:c>
      <x:c r="N359" s="267">
        <x:v>0</x:v>
      </x:c>
      <x:c r="O359" s="267">
        <x:v>0</x:v>
      </x:c>
      <x:c r="P359" s="267">
        <x:v>0</x:v>
      </x:c>
      <x:c r="Q359" s="267">
        <x:v>0</x:v>
      </x:c>
      <x:c r="R359" s="267">
        <x:v>0</x:v>
      </x:c>
      <x:c r="S359" s="267">
        <x:v>0</x:v>
      </x:c>
      <x:c r="T359" s="267">
        <x:v>0</x:v>
      </x:c>
      <x:c r="U359" s="267">
        <x:v>0</x:v>
      </x:c>
      <x:c r="V359" s="267">
        <x:v>0</x:v>
      </x:c>
      <x:c r="W359" s="267">
        <x:v>0</x:v>
      </x:c>
      <x:c r="X359" s="267">
        <x:v>0</x:v>
      </x:c>
      <x:c r="Y359" s="269">
        <x:f t="shared" si="12"/>
        <x:v>0</x:v>
      </x:c>
    </x:row>
    <x:row r="360">
      <x:c r="A360" s="148" t="s">
        <x:v>105</x:v>
      </x:c>
      <x:c r="B360">
        <x:v>9</x:v>
      </x:c>
      <x:c r="C360" s="148" t="s">
        <x:v>115</x:v>
      </x:c>
      <x:c r="D360">
        <x:v>913</x:v>
      </x:c>
      <x:c r="E360" s="267">
        <x:v>0</x:v>
      </x:c>
      <x:c r="F360" s="267">
        <x:v>0</x:v>
      </x:c>
      <x:c r="G360" s="267">
        <x:v>0</x:v>
      </x:c>
      <x:c r="H360" s="267">
        <x:v>0</x:v>
      </x:c>
      <x:c r="I360" s="267">
        <x:v>0</x:v>
      </x:c>
      <x:c r="J360" s="267">
        <x:v>0</x:v>
      </x:c>
      <x:c r="K360" s="267">
        <x:v>0</x:v>
      </x:c>
      <x:c r="L360" s="267">
        <x:v>0</x:v>
      </x:c>
      <x:c r="M360" s="267">
        <x:v>0</x:v>
      </x:c>
      <x:c r="N360" s="267">
        <x:v>0</x:v>
      </x:c>
      <x:c r="O360" s="267">
        <x:v>0</x:v>
      </x:c>
      <x:c r="P360" s="267">
        <x:v>0</x:v>
      </x:c>
      <x:c r="Q360" s="267">
        <x:v>0</x:v>
      </x:c>
      <x:c r="R360" s="267">
        <x:v>0</x:v>
      </x:c>
      <x:c r="S360" s="267">
        <x:v>0</x:v>
      </x:c>
      <x:c r="T360" s="267">
        <x:v>0</x:v>
      </x:c>
      <x:c r="U360" s="267">
        <x:v>0</x:v>
      </x:c>
      <x:c r="V360" s="267">
        <x:v>0</x:v>
      </x:c>
      <x:c r="W360" s="267">
        <x:v>0</x:v>
      </x:c>
      <x:c r="X360" s="267">
        <x:v>0</x:v>
      </x:c>
      <x:c r="Y360" s="269">
        <x:f t="shared" si="12"/>
        <x:v>0</x:v>
      </x:c>
    </x:row>
    <x:row r="361">
      <x:c r="A361" s="148" t="s">
        <x:v>105</x:v>
      </x:c>
      <x:c r="B361">
        <x:v>9</x:v>
      </x:c>
      <x:c r="C361" s="148" t="s">
        <x:v>115</x:v>
      </x:c>
      <x:c r="D361">
        <x:v>914</x:v>
      </x:c>
      <x:c r="E361" s="267">
        <x:v>0</x:v>
      </x:c>
      <x:c r="F361" s="267">
        <x:v>0</x:v>
      </x:c>
      <x:c r="G361" s="267">
        <x:v>0</x:v>
      </x:c>
      <x:c r="H361" s="267">
        <x:v>0</x:v>
      </x:c>
      <x:c r="I361" s="267">
        <x:v>0</x:v>
      </x:c>
      <x:c r="J361" s="267">
        <x:v>0</x:v>
      </x:c>
      <x:c r="K361" s="267">
        <x:v>0</x:v>
      </x:c>
      <x:c r="L361" s="267">
        <x:v>0</x:v>
      </x:c>
      <x:c r="M361" s="267">
        <x:v>0</x:v>
      </x:c>
      <x:c r="N361" s="267">
        <x:v>0</x:v>
      </x:c>
      <x:c r="O361" s="267">
        <x:v>0</x:v>
      </x:c>
      <x:c r="P361" s="267">
        <x:v>0</x:v>
      </x:c>
      <x:c r="Q361" s="267">
        <x:v>0</x:v>
      </x:c>
      <x:c r="R361" s="267">
        <x:v>0</x:v>
      </x:c>
      <x:c r="S361" s="267">
        <x:v>0</x:v>
      </x:c>
      <x:c r="T361" s="267">
        <x:v>0</x:v>
      </x:c>
      <x:c r="U361" s="267">
        <x:v>0</x:v>
      </x:c>
      <x:c r="V361" s="267">
        <x:v>0</x:v>
      </x:c>
      <x:c r="W361" s="267">
        <x:v>0</x:v>
      </x:c>
      <x:c r="X361" s="267">
        <x:v>0</x:v>
      </x:c>
      <x:c r="Y361" s="269">
        <x:f t="shared" si="12"/>
        <x:v>0</x:v>
      </x:c>
    </x:row>
    <x:row r="362">
      <x:c r="A362" s="148" t="s">
        <x:v>105</x:v>
      </x:c>
      <x:c r="B362">
        <x:v>9</x:v>
      </x:c>
      <x:c r="C362" s="148" t="s">
        <x:v>115</x:v>
      </x:c>
      <x:c r="D362">
        <x:v>915</x:v>
      </x:c>
      <x:c r="E362" s="267">
        <x:v>0</x:v>
      </x:c>
      <x:c r="F362" s="267">
        <x:v>0</x:v>
      </x:c>
      <x:c r="G362" s="267">
        <x:v>0</x:v>
      </x:c>
      <x:c r="H362" s="267">
        <x:v>0</x:v>
      </x:c>
      <x:c r="I362" s="267">
        <x:v>0</x:v>
      </x:c>
      <x:c r="J362" s="267">
        <x:v>0</x:v>
      </x:c>
      <x:c r="K362" s="267">
        <x:v>0</x:v>
      </x:c>
      <x:c r="L362" s="267">
        <x:v>0</x:v>
      </x:c>
      <x:c r="M362" s="267">
        <x:v>0</x:v>
      </x:c>
      <x:c r="N362" s="267">
        <x:v>0</x:v>
      </x:c>
      <x:c r="O362" s="267">
        <x:v>0</x:v>
      </x:c>
      <x:c r="P362" s="267">
        <x:v>0</x:v>
      </x:c>
      <x:c r="Q362" s="267">
        <x:v>0</x:v>
      </x:c>
      <x:c r="R362" s="267">
        <x:v>0</x:v>
      </x:c>
      <x:c r="S362" s="267">
        <x:v>0</x:v>
      </x:c>
      <x:c r="T362" s="267">
        <x:v>0</x:v>
      </x:c>
      <x:c r="U362" s="267">
        <x:v>0</x:v>
      </x:c>
      <x:c r="V362" s="267">
        <x:v>0</x:v>
      </x:c>
      <x:c r="W362" s="267">
        <x:v>0</x:v>
      </x:c>
      <x:c r="X362" s="267">
        <x:v>0</x:v>
      </x:c>
      <x:c r="Y362" s="269">
        <x:f t="shared" si="12"/>
        <x:v>0</x:v>
      </x:c>
    </x:row>
    <x:row r="363">
      <x:c r="A363" s="148" t="s">
        <x:v>105</x:v>
      </x:c>
      <x:c r="B363">
        <x:v>9</x:v>
      </x:c>
      <x:c r="C363" s="148" t="s">
        <x:v>115</x:v>
      </x:c>
      <x:c r="D363">
        <x:v>916</x:v>
      </x:c>
      <x:c r="E363" s="267">
        <x:v>0</x:v>
      </x:c>
      <x:c r="F363" s="267">
        <x:v>0</x:v>
      </x:c>
      <x:c r="G363" s="267">
        <x:v>0</x:v>
      </x:c>
      <x:c r="H363" s="267">
        <x:v>0</x:v>
      </x:c>
      <x:c r="I363" s="267">
        <x:v>0</x:v>
      </x:c>
      <x:c r="J363" s="267">
        <x:v>0</x:v>
      </x:c>
      <x:c r="K363" s="267">
        <x:v>0</x:v>
      </x:c>
      <x:c r="L363" s="267">
        <x:v>0</x:v>
      </x:c>
      <x:c r="M363" s="267">
        <x:v>0</x:v>
      </x:c>
      <x:c r="N363" s="267">
        <x:v>0</x:v>
      </x:c>
      <x:c r="O363" s="267">
        <x:v>0</x:v>
      </x:c>
      <x:c r="P363" s="267">
        <x:v>0</x:v>
      </x:c>
      <x:c r="Q363" s="267">
        <x:v>0</x:v>
      </x:c>
      <x:c r="R363" s="267">
        <x:v>0</x:v>
      </x:c>
      <x:c r="S363" s="267">
        <x:v>0</x:v>
      </x:c>
      <x:c r="T363" s="267">
        <x:v>0</x:v>
      </x:c>
      <x:c r="U363" s="267">
        <x:v>0</x:v>
      </x:c>
      <x:c r="V363" s="267">
        <x:v>0</x:v>
      </x:c>
      <x:c r="W363" s="267">
        <x:v>0</x:v>
      </x:c>
      <x:c r="X363" s="267">
        <x:v>0</x:v>
      </x:c>
      <x:c r="Y363" s="269">
        <x:f t="shared" si="12"/>
        <x:v>0</x:v>
      </x:c>
    </x:row>
    <x:row r="364">
      <x:c r="A364" s="148" t="s">
        <x:v>105</x:v>
      </x:c>
      <x:c r="B364">
        <x:v>9</x:v>
      </x:c>
      <x:c r="C364" s="148" t="s">
        <x:v>115</x:v>
      </x:c>
      <x:c r="D364">
        <x:v>917</x:v>
      </x:c>
      <x:c r="E364" s="267">
        <x:v>0</x:v>
      </x:c>
      <x:c r="F364" s="267">
        <x:v>0</x:v>
      </x:c>
      <x:c r="G364" s="267">
        <x:v>0</x:v>
      </x:c>
      <x:c r="H364" s="267">
        <x:v>0</x:v>
      </x:c>
      <x:c r="I364" s="267">
        <x:v>0</x:v>
      </x:c>
      <x:c r="J364" s="267">
        <x:v>0</x:v>
      </x:c>
      <x:c r="K364" s="267">
        <x:v>0</x:v>
      </x:c>
      <x:c r="L364" s="267">
        <x:v>0</x:v>
      </x:c>
      <x:c r="M364" s="267">
        <x:v>0</x:v>
      </x:c>
      <x:c r="N364" s="267">
        <x:v>0</x:v>
      </x:c>
      <x:c r="O364" s="267">
        <x:v>0</x:v>
      </x:c>
      <x:c r="P364" s="267">
        <x:v>0</x:v>
      </x:c>
      <x:c r="Q364" s="267">
        <x:v>0</x:v>
      </x:c>
      <x:c r="R364" s="267">
        <x:v>0</x:v>
      </x:c>
      <x:c r="S364" s="267">
        <x:v>0</x:v>
      </x:c>
      <x:c r="T364" s="267">
        <x:v>0</x:v>
      </x:c>
      <x:c r="U364" s="267">
        <x:v>0</x:v>
      </x:c>
      <x:c r="V364" s="267">
        <x:v>0</x:v>
      </x:c>
      <x:c r="W364" s="267">
        <x:v>0</x:v>
      </x:c>
      <x:c r="X364" s="267">
        <x:v>0</x:v>
      </x:c>
      <x:c r="Y364" s="269">
        <x:f t="shared" si="12"/>
        <x:v>0</x:v>
      </x:c>
    </x:row>
    <x:row r="365">
      <x:c r="A365" s="148" t="s">
        <x:v>105</x:v>
      </x:c>
      <x:c r="B365">
        <x:v>9</x:v>
      </x:c>
      <x:c r="C365" s="148" t="s">
        <x:v>115</x:v>
      </x:c>
      <x:c r="D365">
        <x:v>918</x:v>
      </x:c>
      <x:c r="E365" s="267">
        <x:v>0</x:v>
      </x:c>
      <x:c r="F365" s="267">
        <x:v>0</x:v>
      </x:c>
      <x:c r="G365" s="267">
        <x:v>0</x:v>
      </x:c>
      <x:c r="H365" s="267">
        <x:v>0</x:v>
      </x:c>
      <x:c r="I365" s="267">
        <x:v>0</x:v>
      </x:c>
      <x:c r="J365" s="267">
        <x:v>0</x:v>
      </x:c>
      <x:c r="K365" s="267">
        <x:v>0</x:v>
      </x:c>
      <x:c r="L365" s="267">
        <x:v>0</x:v>
      </x:c>
      <x:c r="M365" s="267">
        <x:v>0</x:v>
      </x:c>
      <x:c r="N365" s="267">
        <x:v>0</x:v>
      </x:c>
      <x:c r="O365" s="267">
        <x:v>0</x:v>
      </x:c>
      <x:c r="P365" s="267">
        <x:v>0</x:v>
      </x:c>
      <x:c r="Q365" s="267">
        <x:v>0</x:v>
      </x:c>
      <x:c r="R365" s="267">
        <x:v>0</x:v>
      </x:c>
      <x:c r="S365" s="267">
        <x:v>0</x:v>
      </x:c>
      <x:c r="T365" s="267">
        <x:v>0</x:v>
      </x:c>
      <x:c r="U365" s="267">
        <x:v>0</x:v>
      </x:c>
      <x:c r="V365" s="267">
        <x:v>0</x:v>
      </x:c>
      <x:c r="W365" s="267">
        <x:v>0</x:v>
      </x:c>
      <x:c r="X365" s="267">
        <x:v>0</x:v>
      </x:c>
      <x:c r="Y365" s="269">
        <x:f t="shared" si="12"/>
        <x:v>0</x:v>
      </x:c>
    </x:row>
    <x:row r="366">
      <x:c r="A366" s="148" t="s">
        <x:v>105</x:v>
      </x:c>
      <x:c r="B366">
        <x:v>9</x:v>
      </x:c>
      <x:c r="C366" s="148" t="s">
        <x:v>115</x:v>
      </x:c>
      <x:c r="D366">
        <x:v>919</x:v>
      </x:c>
      <x:c r="E366" s="267">
        <x:v>0</x:v>
      </x:c>
      <x:c r="F366" s="267">
        <x:v>0</x:v>
      </x:c>
      <x:c r="G366" s="267">
        <x:v>0</x:v>
      </x:c>
      <x:c r="H366" s="267">
        <x:v>0</x:v>
      </x:c>
      <x:c r="I366" s="267">
        <x:v>0</x:v>
      </x:c>
      <x:c r="J366" s="267">
        <x:v>0</x:v>
      </x:c>
      <x:c r="K366" s="267">
        <x:v>0</x:v>
      </x:c>
      <x:c r="L366" s="267">
        <x:v>0</x:v>
      </x:c>
      <x:c r="M366" s="267">
        <x:v>0</x:v>
      </x:c>
      <x:c r="N366" s="267">
        <x:v>0</x:v>
      </x:c>
      <x:c r="O366" s="267">
        <x:v>0</x:v>
      </x:c>
      <x:c r="P366" s="267">
        <x:v>0</x:v>
      </x:c>
      <x:c r="Q366" s="267">
        <x:v>0</x:v>
      </x:c>
      <x:c r="R366" s="267">
        <x:v>0</x:v>
      </x:c>
      <x:c r="S366" s="267">
        <x:v>0</x:v>
      </x:c>
      <x:c r="T366" s="267">
        <x:v>0</x:v>
      </x:c>
      <x:c r="U366" s="267">
        <x:v>0</x:v>
      </x:c>
      <x:c r="V366" s="267">
        <x:v>0</x:v>
      </x:c>
      <x:c r="W366" s="267">
        <x:v>0</x:v>
      </x:c>
      <x:c r="X366" s="267">
        <x:v>0</x:v>
      </x:c>
      <x:c r="Y366" s="269">
        <x:f t="shared" si="12"/>
        <x:v>0</x:v>
      </x:c>
    </x:row>
    <x:row r="367">
      <x:c r="A367" s="148" t="s">
        <x:v>105</x:v>
      </x:c>
      <x:c r="B367">
        <x:v>9</x:v>
      </x:c>
      <x:c r="C367" s="148" t="s">
        <x:v>115</x:v>
      </x:c>
      <x:c r="D367">
        <x:v>920</x:v>
      </x:c>
      <x:c r="E367" s="267">
        <x:v>0</x:v>
      </x:c>
      <x:c r="F367" s="267">
        <x:v>0</x:v>
      </x:c>
      <x:c r="G367" s="267">
        <x:v>0</x:v>
      </x:c>
      <x:c r="H367" s="267">
        <x:v>0</x:v>
      </x:c>
      <x:c r="I367" s="267">
        <x:v>0</x:v>
      </x:c>
      <x:c r="J367" s="267">
        <x:v>0</x:v>
      </x:c>
      <x:c r="K367" s="267">
        <x:v>0</x:v>
      </x:c>
      <x:c r="L367" s="267">
        <x:v>0</x:v>
      </x:c>
      <x:c r="M367" s="267">
        <x:v>0</x:v>
      </x:c>
      <x:c r="N367" s="267">
        <x:v>0</x:v>
      </x:c>
      <x:c r="O367" s="267">
        <x:v>0</x:v>
      </x:c>
      <x:c r="P367" s="267">
        <x:v>0</x:v>
      </x:c>
      <x:c r="Q367" s="267">
        <x:v>0</x:v>
      </x:c>
      <x:c r="R367" s="267">
        <x:v>0</x:v>
      </x:c>
      <x:c r="S367" s="267">
        <x:v>0</x:v>
      </x:c>
      <x:c r="T367" s="267">
        <x:v>0</x:v>
      </x:c>
      <x:c r="U367" s="267">
        <x:v>0</x:v>
      </x:c>
      <x:c r="V367" s="267">
        <x:v>0</x:v>
      </x:c>
      <x:c r="W367" s="267">
        <x:v>0</x:v>
      </x:c>
      <x:c r="X367" s="267">
        <x:v>0</x:v>
      </x:c>
      <x:c r="Y367" s="269">
        <x:f t="shared" si="12"/>
        <x:v>0</x:v>
      </x:c>
    </x:row>
    <x:row r="368">
      <x:c r="A368" s="148" t="s">
        <x:v>105</x:v>
      </x:c>
      <x:c r="B368">
        <x:v>9</x:v>
      </x:c>
      <x:c r="C368" s="148" t="s">
        <x:v>115</x:v>
      </x:c>
      <x:c r="D368">
        <x:v>921</x:v>
      </x:c>
      <x:c r="E368" s="267">
        <x:v>0</x:v>
      </x:c>
      <x:c r="F368" s="267">
        <x:v>0</x:v>
      </x:c>
      <x:c r="G368" s="267">
        <x:v>0</x:v>
      </x:c>
      <x:c r="H368" s="267">
        <x:v>0</x:v>
      </x:c>
      <x:c r="I368" s="267">
        <x:v>0</x:v>
      </x:c>
      <x:c r="J368" s="267">
        <x:v>0</x:v>
      </x:c>
      <x:c r="K368" s="267">
        <x:v>0</x:v>
      </x:c>
      <x:c r="L368" s="267">
        <x:v>0</x:v>
      </x:c>
      <x:c r="M368" s="267">
        <x:v>0</x:v>
      </x:c>
      <x:c r="N368" s="267">
        <x:v>0</x:v>
      </x:c>
      <x:c r="O368" s="267">
        <x:v>0</x:v>
      </x:c>
      <x:c r="P368" s="267">
        <x:v>0</x:v>
      </x:c>
      <x:c r="Q368" s="267">
        <x:v>0</x:v>
      </x:c>
      <x:c r="R368" s="267">
        <x:v>0</x:v>
      </x:c>
      <x:c r="S368" s="267">
        <x:v>0</x:v>
      </x:c>
      <x:c r="T368" s="267">
        <x:v>0</x:v>
      </x:c>
      <x:c r="U368" s="267">
        <x:v>0</x:v>
      </x:c>
      <x:c r="V368" s="267">
        <x:v>0</x:v>
      </x:c>
      <x:c r="W368" s="267">
        <x:v>0</x:v>
      </x:c>
      <x:c r="X368" s="267">
        <x:v>0</x:v>
      </x:c>
      <x:c r="Y368" s="269">
        <x:f t="shared" si="12"/>
        <x:v>0</x:v>
      </x:c>
    </x:row>
    <x:row r="369">
      <x:c r="A369" s="148"/>
      <x:c r="B369"/>
      <x:c r="C369" s="148"/>
      <x:c r="D369"/>
      <x:c r="E369" s="267">
        <x:f t="shared" ref="E369:X369" si="14">AVERAGE(E328:E368)</x:f>
      </x:c>
      <x:c r="F369" s="267">
        <x:f t="shared" si="14"/>
      </x:c>
      <x:c r="G369" s="267">
        <x:f t="shared" si="14"/>
      </x:c>
      <x:c r="H369" s="267">
        <x:f t="shared" si="14"/>
      </x:c>
      <x:c r="I369" s="267">
        <x:f t="shared" si="14"/>
      </x:c>
      <x:c r="J369" s="267">
        <x:f t="shared" si="14"/>
      </x:c>
      <x:c r="K369" s="267">
        <x:f t="shared" si="14"/>
      </x:c>
      <x:c r="L369" s="267">
        <x:f t="shared" si="14"/>
      </x:c>
      <x:c r="M369" s="267">
        <x:f t="shared" si="14"/>
      </x:c>
      <x:c r="N369" s="267">
        <x:f t="shared" si="14"/>
      </x:c>
      <x:c r="O369" s="267">
        <x:f t="shared" si="14"/>
      </x:c>
      <x:c r="P369" s="267">
        <x:f t="shared" si="14"/>
      </x:c>
      <x:c r="Q369" s="267">
        <x:f t="shared" si="14"/>
      </x:c>
      <x:c r="R369" s="267">
        <x:f t="shared" si="14"/>
      </x:c>
      <x:c r="S369" s="267">
        <x:f t="shared" si="14"/>
      </x:c>
      <x:c r="T369" s="267">
        <x:f t="shared" si="14"/>
      </x:c>
      <x:c r="U369" s="267">
        <x:f t="shared" si="14"/>
      </x:c>
      <x:c r="V369" s="267">
        <x:f t="shared" si="14"/>
      </x:c>
      <x:c r="W369" s="267">
        <x:f t="shared" si="14"/>
      </x:c>
      <x:c r="X369" s="267">
        <x:f t="shared" si="14"/>
      </x:c>
      <x:c r="Y369" s="269">
        <x:f t="shared" si="12"/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theme="5"/>
  </x:sheetPr>
  <x:sheetFormatPr baseColWidth="10" defaultRowHeight="12.75"/>
  <x:cols>
    <x:col min="5" max="5" width="7.85546875" style="325" customWidth="1"/>
    <x:col min="6" max="7" width="5.7109375" style="325" customWidth="1"/>
    <x:col min="8" max="8" width="27.5703125" style="325" customWidth="1"/>
    <x:col min="9" max="19" width="5.7109375" style="325" customWidth="1"/>
    <x:col min="20" max="20" width="11.42578125" style="257" customWidth="0"/>
  </x:cols>
  <x:sheetData>
    <x:row r="1" ht="158.25">
      <x:c r="A1" s="148" t="s">
        <x:v>95</x:v>
      </x:c>
      <x:c r="B1" s="148" t="s">
        <x:v>111</x:v>
      </x:c>
      <x:c r="C1" s="148" t="s">
        <x:v>112</x:v>
      </x:c>
      <x:c r="D1" s="148" t="s">
        <x:v>113</x:v>
      </x:c>
      <x:c r="E1" s="324" t="s">
        <x:v>42</x:v>
      </x:c>
      <x:c r="F1" s="324" t="s">
        <x:v>43</x:v>
      </x:c>
      <x:c r="G1" s="324" t="s">
        <x:v>44</x:v>
      </x:c>
      <x:c r="H1" s="324" t="s">
        <x:v>45</x:v>
      </x:c>
      <x:c r="I1" s="324" t="s">
        <x:v>46</x:v>
      </x:c>
      <x:c r="J1" s="324" t="s">
        <x:v>47</x:v>
      </x:c>
      <x:c r="K1" s="325" t="s">
        <x:v>48</x:v>
      </x:c>
      <x:c r="L1" s="325" t="s">
        <x:v>49</x:v>
      </x:c>
      <x:c r="M1" s="325" t="s">
        <x:v>50</x:v>
      </x:c>
      <x:c r="N1" s="325" t="s">
        <x:v>51</x:v>
      </x:c>
      <x:c r="O1" s="325" t="s">
        <x:v>52</x:v>
      </x:c>
      <x:c r="P1" s="325" t="s">
        <x:v>53</x:v>
      </x:c>
      <x:c r="Q1" s="325" t="s">
        <x:v>54</x:v>
      </x:c>
      <x:c r="R1" s="325" t="s">
        <x:v>55</x:v>
      </x:c>
      <x:c r="S1" s="325" t="s">
        <x:v>56</x:v>
      </x:c>
      <x:c r="T1" s="326" t="s">
        <x:v>114</x:v>
      </x:c>
    </x:row>
    <x:row r="2">
      <x:c r="A2" s="148" t="s">
        <x:v>106</x:v>
      </x:c>
      <x:c r="B2">
        <x:v>1</x:v>
      </x:c>
      <x:c r="C2" s="148" t="s">
        <x:v>115</x:v>
      </x:c>
      <x:c r="D2">
        <x:v>102</x:v>
      </x:c>
      <x:c r="E2" s="324">
        <x:v>0.7</x:v>
      </x:c>
      <x:c r="F2" s="324">
        <x:v>0</x:v>
      </x:c>
      <x:c r="G2" s="324">
        <x:v>0</x:v>
      </x:c>
      <x:c r="H2" s="324">
        <x:v>0.8</x:v>
      </x:c>
      <x:c r="I2" s="324">
        <x:v>0.9</x:v>
      </x:c>
      <x:c r="J2" s="324">
        <x:v>0.9</x:v>
      </x:c>
      <x:c r="K2" s="324">
        <x:v>0</x:v>
      </x:c>
      <x:c r="L2" s="324">
        <x:v>0</x:v>
      </x:c>
      <x:c r="M2" s="324">
        <x:v>0</x:v>
      </x:c>
      <x:c r="N2" s="324">
        <x:v>0.1</x:v>
      </x:c>
      <x:c r="O2" s="324">
        <x:v>0</x:v>
      </x:c>
      <x:c r="P2" s="324">
        <x:v>0</x:v>
      </x:c>
      <x:c r="Q2" s="324">
        <x:v>0</x:v>
      </x:c>
      <x:c r="R2" s="324">
        <x:v>0</x:v>
      </x:c>
      <x:c r="S2" s="324">
        <x:v>0.9</x:v>
      </x:c>
      <x:c r="T2" s="257" t="n">
        <x:f>AVERAGE(E2:S2)</x:f>
        <x:v>0.2866666666666667</x:v>
      </x:c>
    </x:row>
    <x:row r="3">
      <x:c r="A3" s="148" t="s">
        <x:v>106</x:v>
      </x:c>
      <x:c r="B3">
        <x:v>1</x:v>
      </x:c>
      <x:c r="C3" s="148" t="s">
        <x:v>115</x:v>
      </x:c>
      <x:c r="D3">
        <x:v>103</x:v>
      </x:c>
      <x:c r="E3" s="324">
        <x:v>0</x:v>
      </x:c>
      <x:c r="F3" s="324">
        <x:v>0</x:v>
      </x:c>
      <x:c r="G3" s="324">
        <x:v>0</x:v>
      </x:c>
      <x:c r="H3" s="324">
        <x:v>0.8</x:v>
      </x:c>
      <x:c r="I3" s="324">
        <x:v>1</x:v>
      </x:c>
      <x:c r="J3" s="324">
        <x:v>0.9</x:v>
      </x:c>
      <x:c r="K3" s="324">
        <x:v>0</x:v>
      </x:c>
      <x:c r="L3" s="324">
        <x:v>0</x:v>
      </x:c>
      <x:c r="M3" s="324">
        <x:v>0</x:v>
      </x:c>
      <x:c r="N3" s="324">
        <x:v>0.1</x:v>
      </x:c>
      <x:c r="O3" s="324">
        <x:v>0</x:v>
      </x:c>
      <x:c r="P3" s="324">
        <x:v>0</x:v>
      </x:c>
      <x:c r="Q3" s="324">
        <x:v>0</x:v>
      </x:c>
      <x:c r="R3" s="324">
        <x:v>0</x:v>
      </x:c>
      <x:c r="S3" s="324">
        <x:v>1</x:v>
      </x:c>
      <x:c r="T3" s="257" t="n">
        <x:f t="shared" ref="T3:T66" si="0">AVERAGE(E3:S3)</x:f>
        <x:v>0.25333333333333335</x:v>
      </x:c>
    </x:row>
    <x:row r="4">
      <x:c r="A4" s="148" t="s">
        <x:v>106</x:v>
      </x:c>
      <x:c r="B4">
        <x:v>1</x:v>
      </x:c>
      <x:c r="C4" s="148" t="s">
        <x:v>115</x:v>
      </x:c>
      <x:c r="D4">
        <x:v>104</x:v>
      </x:c>
      <x:c r="E4" s="324">
        <x:v>0.9</x:v>
      </x:c>
      <x:c r="F4" s="324">
        <x:v>0</x:v>
      </x:c>
      <x:c r="G4" s="324">
        <x:v>0</x:v>
      </x:c>
      <x:c r="H4" s="324">
        <x:v>0.8</x:v>
      </x:c>
      <x:c r="I4" s="324">
        <x:v>1</x:v>
      </x:c>
      <x:c r="J4" s="324">
        <x:v>0.9</x:v>
      </x:c>
      <x:c r="K4" s="324">
        <x:v>0</x:v>
      </x:c>
      <x:c r="L4" s="324">
        <x:v>0</x:v>
      </x:c>
      <x:c r="M4" s="324">
        <x:v>0</x:v>
      </x:c>
      <x:c r="N4" s="324">
        <x:v>0.1</x:v>
      </x:c>
      <x:c r="O4" s="324">
        <x:v>0</x:v>
      </x:c>
      <x:c r="P4" s="324">
        <x:v>0</x:v>
      </x:c>
      <x:c r="Q4" s="324">
        <x:v>0</x:v>
      </x:c>
      <x:c r="R4" s="324">
        <x:v>0</x:v>
      </x:c>
      <x:c r="S4" s="324">
        <x:v>1</x:v>
      </x:c>
      <x:c r="T4" s="257">
        <x:f t="shared" si="0"/>
        <x:v>0.31333333333333335</x:v>
      </x:c>
    </x:row>
    <x:row r="5">
      <x:c r="A5" s="148" t="s">
        <x:v>106</x:v>
      </x:c>
      <x:c r="B5">
        <x:v>1</x:v>
      </x:c>
      <x:c r="C5" s="148" t="s">
        <x:v>115</x:v>
      </x:c>
      <x:c r="D5">
        <x:v>105</x:v>
      </x:c>
      <x:c r="E5" s="324">
        <x:v>0.9</x:v>
      </x:c>
      <x:c r="F5" s="324">
        <x:v>0</x:v>
      </x:c>
      <x:c r="G5" s="324">
        <x:v>0</x:v>
      </x:c>
      <x:c r="H5" s="324">
        <x:v>0.8</x:v>
      </x:c>
      <x:c r="I5" s="324">
        <x:v>0.9</x:v>
      </x:c>
      <x:c r="J5" s="324">
        <x:v>0.9</x:v>
      </x:c>
      <x:c r="K5" s="324">
        <x:v>0</x:v>
      </x:c>
      <x:c r="L5" s="324">
        <x:v>0</x:v>
      </x:c>
      <x:c r="M5" s="324">
        <x:v>0</x:v>
      </x:c>
      <x:c r="N5" s="324">
        <x:v>0.1</x:v>
      </x:c>
      <x:c r="O5" s="324">
        <x:v>0</x:v>
      </x:c>
      <x:c r="P5" s="324">
        <x:v>0</x:v>
      </x:c>
      <x:c r="Q5" s="324">
        <x:v>0</x:v>
      </x:c>
      <x:c r="R5" s="324">
        <x:v>0</x:v>
      </x:c>
      <x:c r="S5" s="324">
        <x:v>0.9</x:v>
      </x:c>
      <x:c r="T5" s="257">
        <x:f t="shared" si="0"/>
        <x:v>0.3</x:v>
      </x:c>
    </x:row>
    <x:row r="6">
      <x:c r="A6" s="148" t="s">
        <x:v>106</x:v>
      </x:c>
      <x:c r="B6">
        <x:v>1</x:v>
      </x:c>
      <x:c r="C6" s="148" t="s">
        <x:v>115</x:v>
      </x:c>
      <x:c r="D6">
        <x:v>106</x:v>
      </x:c>
      <x:c r="E6" s="324">
        <x:v>0</x:v>
      </x:c>
      <x:c r="F6" s="324">
        <x:v>0</x:v>
      </x:c>
      <x:c r="G6" s="324">
        <x:v>0</x:v>
      </x:c>
      <x:c r="H6" s="324">
        <x:v>0.8</x:v>
      </x:c>
      <x:c r="I6" s="324">
        <x:v>0.9</x:v>
      </x:c>
      <x:c r="J6" s="324">
        <x:v>0.9</x:v>
      </x:c>
      <x:c r="K6" s="324">
        <x:v>0</x:v>
      </x:c>
      <x:c r="L6" s="324">
        <x:v>0</x:v>
      </x:c>
      <x:c r="M6" s="324">
        <x:v>0</x:v>
      </x:c>
      <x:c r="N6" s="324">
        <x:v>0.1</x:v>
      </x:c>
      <x:c r="O6" s="324">
        <x:v>0</x:v>
      </x:c>
      <x:c r="P6" s="324">
        <x:v>0</x:v>
      </x:c>
      <x:c r="Q6" s="324">
        <x:v>0</x:v>
      </x:c>
      <x:c r="R6" s="324">
        <x:v>0</x:v>
      </x:c>
      <x:c r="S6" s="324">
        <x:v>0.9</x:v>
      </x:c>
      <x:c r="T6" s="257">
        <x:f t="shared" si="0"/>
        <x:v>0.24000000000000002</x:v>
      </x:c>
    </x:row>
    <x:row r="7">
      <x:c r="A7" s="148" t="s">
        <x:v>106</x:v>
      </x:c>
      <x:c r="B7">
        <x:v>1</x:v>
      </x:c>
      <x:c r="C7" s="148" t="s">
        <x:v>115</x:v>
      </x:c>
      <x:c r="D7">
        <x:v>107</x:v>
      </x:c>
      <x:c r="E7" s="324">
        <x:v>0.7</x:v>
      </x:c>
      <x:c r="F7" s="324">
        <x:v>0</x:v>
      </x:c>
      <x:c r="G7" s="324">
        <x:v>0</x:v>
      </x:c>
      <x:c r="H7" s="324">
        <x:v>0.8</x:v>
      </x:c>
      <x:c r="I7" s="324">
        <x:v>0.9</x:v>
      </x:c>
      <x:c r="J7" s="324">
        <x:v>0.9</x:v>
      </x:c>
      <x:c r="K7" s="324">
        <x:v>0</x:v>
      </x:c>
      <x:c r="L7" s="324">
        <x:v>0</x:v>
      </x:c>
      <x:c r="M7" s="324">
        <x:v>0</x:v>
      </x:c>
      <x:c r="N7" s="324">
        <x:v>0.1</x:v>
      </x:c>
      <x:c r="O7" s="324">
        <x:v>0</x:v>
      </x:c>
      <x:c r="P7" s="324">
        <x:v>0</x:v>
      </x:c>
      <x:c r="Q7" s="324">
        <x:v>0</x:v>
      </x:c>
      <x:c r="R7" s="324">
        <x:v>0</x:v>
      </x:c>
      <x:c r="S7" s="324">
        <x:v>0.9</x:v>
      </x:c>
      <x:c r="T7" s="257">
        <x:f t="shared" si="0"/>
        <x:v>0.28666666666666668</x:v>
      </x:c>
    </x:row>
    <x:row r="8">
      <x:c r="A8" s="148" t="s">
        <x:v>106</x:v>
      </x:c>
      <x:c r="B8">
        <x:v>1</x:v>
      </x:c>
      <x:c r="C8" s="148" t="s">
        <x:v>115</x:v>
      </x:c>
      <x:c r="D8">
        <x:v>108</x:v>
      </x:c>
      <x:c r="E8" s="324">
        <x:v>0</x:v>
      </x:c>
      <x:c r="F8" s="324">
        <x:v>0</x:v>
      </x:c>
      <x:c r="G8" s="324">
        <x:v>0</x:v>
      </x:c>
      <x:c r="H8" s="324">
        <x:v>0</x:v>
      </x:c>
      <x:c r="I8" s="324">
        <x:v>0</x:v>
      </x:c>
      <x:c r="J8" s="324">
        <x:v>0.9</x:v>
      </x:c>
      <x:c r="K8" s="324">
        <x:v>0</x:v>
      </x:c>
      <x:c r="L8" s="324">
        <x:v>0</x:v>
      </x:c>
      <x:c r="M8" s="324">
        <x:v>0</x:v>
      </x:c>
      <x:c r="N8" s="324">
        <x:v>0.1</x:v>
      </x:c>
      <x:c r="O8" s="324">
        <x:v>0</x:v>
      </x:c>
      <x:c r="P8" s="324">
        <x:v>0</x:v>
      </x:c>
      <x:c r="Q8" s="324">
        <x:v>0</x:v>
      </x:c>
      <x:c r="R8" s="324">
        <x:v>0</x:v>
      </x:c>
      <x:c r="S8" s="324">
        <x:v>0</x:v>
      </x:c>
      <x:c r="T8" s="257">
        <x:f t="shared" si="0"/>
        <x:v>6.6666666666666666E-2</x:v>
      </x:c>
    </x:row>
    <x:row r="9">
      <x:c r="A9" s="148" t="s">
        <x:v>106</x:v>
      </x:c>
      <x:c r="B9">
        <x:v>1</x:v>
      </x:c>
      <x:c r="C9" s="148" t="s">
        <x:v>115</x:v>
      </x:c>
      <x:c r="D9">
        <x:v>118</x:v>
      </x:c>
      <x:c r="E9" s="324">
        <x:v>0</x:v>
      </x:c>
      <x:c r="F9" s="324">
        <x:v>0</x:v>
      </x:c>
      <x:c r="G9" s="324">
        <x:v>0</x:v>
      </x:c>
      <x:c r="H9" s="324">
        <x:v>0</x:v>
      </x:c>
      <x:c r="I9" s="324">
        <x:v>0</x:v>
      </x:c>
      <x:c r="J9" s="324">
        <x:v>0</x:v>
      </x:c>
      <x:c r="K9" s="324">
        <x:v>0</x:v>
      </x:c>
      <x:c r="L9" s="324">
        <x:v>0</x:v>
      </x:c>
      <x:c r="M9" s="324">
        <x:v>0</x:v>
      </x:c>
      <x:c r="N9" s="324">
        <x:v>0.1</x:v>
      </x:c>
      <x:c r="O9" s="324">
        <x:v>0</x:v>
      </x:c>
      <x:c r="P9" s="324">
        <x:v>0</x:v>
      </x:c>
      <x:c r="Q9" s="324">
        <x:v>0</x:v>
      </x:c>
      <x:c r="R9" s="324">
        <x:v>0</x:v>
      </x:c>
      <x:c r="S9" s="324">
        <x:v>0</x:v>
      </x:c>
      <x:c r="T9" s="257">
        <x:f t="shared" si="0"/>
        <x:v>6.6666666666666671E-3</x:v>
      </x:c>
    </x:row>
    <x:row r="10">
      <x:c r="A10" s="148" t="s">
        <x:v>106</x:v>
      </x:c>
      <x:c r="B10">
        <x:v>1</x:v>
      </x:c>
      <x:c r="C10" s="148" t="s">
        <x:v>115</x:v>
      </x:c>
      <x:c r="D10">
        <x:v>119</x:v>
      </x:c>
      <x:c r="E10" s="324">
        <x:v>0</x:v>
      </x:c>
      <x:c r="F10" s="324">
        <x:v>0</x:v>
      </x:c>
      <x:c r="G10" s="324">
        <x:v>0</x:v>
      </x:c>
      <x:c r="H10" s="324">
        <x:v>0</x:v>
      </x:c>
      <x:c r="I10" s="324">
        <x:v>0</x:v>
      </x:c>
      <x:c r="J10" s="324">
        <x:v>0</x:v>
      </x:c>
      <x:c r="K10" s="324">
        <x:v>0</x:v>
      </x:c>
      <x:c r="L10" s="324">
        <x:v>0</x:v>
      </x:c>
      <x:c r="M10" s="324">
        <x:v>0</x:v>
      </x:c>
      <x:c r="N10" s="324">
        <x:v>0.1</x:v>
      </x:c>
      <x:c r="O10" s="324">
        <x:v>0</x:v>
      </x:c>
      <x:c r="P10" s="324">
        <x:v>0</x:v>
      </x:c>
      <x:c r="Q10" s="324">
        <x:v>0</x:v>
      </x:c>
      <x:c r="R10" s="324">
        <x:v>0</x:v>
      </x:c>
      <x:c r="S10" s="324">
        <x:v>0</x:v>
      </x:c>
      <x:c r="T10" s="257">
        <x:f t="shared" si="0"/>
        <x:v>6.6666666666666671E-3</x:v>
      </x:c>
    </x:row>
    <x:row r="11">
      <x:c r="A11" s="148" t="s">
        <x:v>106</x:v>
      </x:c>
      <x:c r="B11">
        <x:v>1</x:v>
      </x:c>
      <x:c r="C11" s="148" t="s">
        <x:v>115</x:v>
      </x:c>
      <x:c r="D11">
        <x:v>120</x:v>
      </x:c>
      <x:c r="E11" s="324">
        <x:v>1</x:v>
      </x:c>
      <x:c r="F11" s="324">
        <x:v>1</x:v>
      </x:c>
      <x:c r="G11" s="324">
        <x:v>1</x:v>
      </x:c>
      <x:c r="H11" s="324">
        <x:v>1</x:v>
      </x:c>
      <x:c r="I11" s="324">
        <x:v>1</x:v>
      </x:c>
      <x:c r="J11" s="324">
        <x:v>1</x:v>
      </x:c>
      <x:c r="K11" s="324">
        <x:v>1</x:v>
      </x:c>
      <x:c r="L11" s="324">
        <x:v>1</x:v>
      </x:c>
      <x:c r="M11" s="324">
        <x:v>1</x:v>
      </x:c>
      <x:c r="N11" s="324">
        <x:v>1</x:v>
      </x:c>
      <x:c r="O11" s="324">
        <x:v>0</x:v>
      </x:c>
      <x:c r="P11" s="324">
        <x:v>0</x:v>
      </x:c>
      <x:c r="Q11" s="324">
        <x:v>0</x:v>
      </x:c>
      <x:c r="R11" s="324">
        <x:v>0</x:v>
      </x:c>
      <x:c r="S11" s="324">
        <x:v>1</x:v>
      </x:c>
      <x:c r="T11" s="257">
        <x:f t="shared" si="0"/>
        <x:v>0.73333333333333328</x:v>
      </x:c>
    </x:row>
    <x:row r="12">
      <x:c r="A12" s="148" t="s">
        <x:v>106</x:v>
      </x:c>
      <x:c r="B12">
        <x:v>1</x:v>
      </x:c>
      <x:c r="C12" s="148" t="s">
        <x:v>115</x:v>
      </x:c>
      <x:c r="D12">
        <x:v>121</x:v>
      </x:c>
      <x:c r="E12" s="324">
        <x:v>1</x:v>
      </x:c>
      <x:c r="F12" s="324">
        <x:v>1</x:v>
      </x:c>
      <x:c r="G12" s="324">
        <x:v>1</x:v>
      </x:c>
      <x:c r="H12" s="324">
        <x:v>1</x:v>
      </x:c>
      <x:c r="I12" s="324">
        <x:v>1</x:v>
      </x:c>
      <x:c r="J12" s="324">
        <x:v>1</x:v>
      </x:c>
      <x:c r="K12" s="324">
        <x:v>1</x:v>
      </x:c>
      <x:c r="L12" s="324">
        <x:v>1</x:v>
      </x:c>
      <x:c r="M12" s="324">
        <x:v>1</x:v>
      </x:c>
      <x:c r="N12" s="324">
        <x:v>1</x:v>
      </x:c>
      <x:c r="O12" s="324">
        <x:v>1</x:v>
      </x:c>
      <x:c r="P12" s="324">
        <x:v>1</x:v>
      </x:c>
      <x:c r="Q12" s="324">
        <x:v>0</x:v>
      </x:c>
      <x:c r="R12" s="324">
        <x:v>1</x:v>
      </x:c>
      <x:c r="S12" s="324">
        <x:v>1</x:v>
      </x:c>
      <x:c r="T12" s="257">
        <x:f t="shared" si="0"/>
        <x:v>0.93333333333333335</x:v>
      </x:c>
    </x:row>
    <x:row r="13">
      <x:c r="A13" s="148"/>
      <x:c r="B13"/>
      <x:c r="C13" s="148"/>
      <x:c r="D13" s="148"/>
      <x:c r="E13" s="324"/>
      <x:c r="F13" s="324">
        <x:f t="shared" ref="F13:S13" si="1">AVERAGE(F2:F12)</x:f>
      </x:c>
      <x:c r="G13" s="324">
        <x:f t="shared" si="1"/>
      </x:c>
      <x:c r="H13" s="324">
        <x:f t="shared" si="1"/>
      </x:c>
      <x:c r="I13" s="324">
        <x:f t="shared" si="1"/>
      </x:c>
      <x:c r="J13" s="324">
        <x:f t="shared" si="1"/>
      </x:c>
      <x:c r="K13" s="324">
        <x:f t="shared" si="1"/>
      </x:c>
      <x:c r="L13" s="324">
        <x:f t="shared" si="1"/>
      </x:c>
      <x:c r="M13" s="324">
        <x:f t="shared" si="1"/>
      </x:c>
      <x:c r="N13" s="324">
        <x:f t="shared" si="1"/>
      </x:c>
      <x:c r="O13" s="324">
        <x:f t="shared" si="1"/>
      </x:c>
      <x:c r="P13" s="324">
        <x:f t="shared" si="1"/>
      </x:c>
      <x:c r="Q13" s="324">
        <x:f t="shared" si="1"/>
      </x:c>
      <x:c r="R13" s="324">
        <x:f t="shared" si="1"/>
      </x:c>
      <x:c r="S13" s="324">
        <x:f t="shared" si="1"/>
      </x:c>
      <x:c r="T13" s="257">
        <x:f t="shared" si="0"/>
      </x:c>
    </x:row>
    <x:row r="14">
      <x:c r="A14" s="148" t="s">
        <x:v>106</x:v>
      </x:c>
      <x:c r="B14">
        <x:v>2</x:v>
      </x:c>
      <x:c r="C14" s="148" t="s">
        <x:v>116</x:v>
      </x:c>
      <x:c r="D14">
        <x:v>202</x:v>
      </x:c>
      <x:c r="E14" s="324">
        <x:v>0</x:v>
      </x:c>
      <x:c r="F14" s="324">
        <x:v>0</x:v>
      </x:c>
      <x:c r="G14" s="324">
        <x:v>0</x:v>
      </x:c>
      <x:c r="H14" s="324">
        <x:v>0</x:v>
      </x:c>
      <x:c r="I14" s="324">
        <x:v>0</x:v>
      </x:c>
      <x:c r="J14" s="324">
        <x:v>0</x:v>
      </x:c>
      <x:c r="K14" s="324">
        <x:v>0</x:v>
      </x:c>
      <x:c r="L14" s="324">
        <x:v>0</x:v>
      </x:c>
      <x:c r="M14" s="324">
        <x:v>0</x:v>
      </x:c>
      <x:c r="N14" s="324">
        <x:v>0</x:v>
      </x:c>
      <x:c r="O14" s="324">
        <x:v>0</x:v>
      </x:c>
      <x:c r="P14" s="324">
        <x:v>0</x:v>
      </x:c>
      <x:c r="Q14" s="324">
        <x:v>0</x:v>
      </x:c>
      <x:c r="R14" s="324">
        <x:v>0</x:v>
      </x:c>
      <x:c r="S14" s="324">
        <x:v>0</x:v>
      </x:c>
      <x:c r="T14" s="257">
        <x:f t="shared" si="0"/>
        <x:v>0</x:v>
      </x:c>
    </x:row>
    <x:row r="15">
      <x:c r="A15" s="148" t="s">
        <x:v>106</x:v>
      </x:c>
      <x:c r="B15">
        <x:v>2</x:v>
      </x:c>
      <x:c r="C15" s="148" t="s">
        <x:v>116</x:v>
      </x:c>
      <x:c r="D15">
        <x:v>203</x:v>
      </x:c>
      <x:c r="E15" s="324">
        <x:v>0</x:v>
      </x:c>
      <x:c r="F15" s="324">
        <x:v>0</x:v>
      </x:c>
      <x:c r="G15" s="324">
        <x:v>0</x:v>
      </x:c>
      <x:c r="H15" s="324">
        <x:v>0.3</x:v>
      </x:c>
      <x:c r="I15" s="324">
        <x:v>0</x:v>
      </x:c>
      <x:c r="J15" s="324">
        <x:v>0</x:v>
      </x:c>
      <x:c r="K15" s="324">
        <x:v>0</x:v>
      </x:c>
      <x:c r="L15" s="324">
        <x:v>0</x:v>
      </x:c>
      <x:c r="M15" s="324">
        <x:v>0</x:v>
      </x:c>
      <x:c r="N15" s="324">
        <x:v>0</x:v>
      </x:c>
      <x:c r="O15" s="324">
        <x:v>0</x:v>
      </x:c>
      <x:c r="P15" s="324">
        <x:v>0</x:v>
      </x:c>
      <x:c r="Q15" s="324">
        <x:v>0</x:v>
      </x:c>
      <x:c r="R15" s="324">
        <x:v>0</x:v>
      </x:c>
      <x:c r="S15" s="324">
        <x:v>0</x:v>
      </x:c>
      <x:c r="T15" s="257">
        <x:f t="shared" si="0"/>
        <x:v>0.02</x:v>
      </x:c>
    </x:row>
    <x:row r="16">
      <x:c r="A16" s="148" t="s">
        <x:v>106</x:v>
      </x:c>
      <x:c r="B16">
        <x:v>2</x:v>
      </x:c>
      <x:c r="C16" s="148" t="s">
        <x:v>116</x:v>
      </x:c>
      <x:c r="D16">
        <x:v>204</x:v>
      </x:c>
      <x:c r="E16" s="324">
        <x:v>0</x:v>
      </x:c>
      <x:c r="F16" s="324">
        <x:v>0</x:v>
      </x:c>
      <x:c r="G16" s="324">
        <x:v>0</x:v>
      </x:c>
      <x:c r="H16" s="324">
        <x:v>0.3</x:v>
      </x:c>
      <x:c r="I16" s="324">
        <x:v>0</x:v>
      </x:c>
      <x:c r="J16" s="324">
        <x:v>0</x:v>
      </x:c>
      <x:c r="K16" s="324">
        <x:v>0</x:v>
      </x:c>
      <x:c r="L16" s="324">
        <x:v>0</x:v>
      </x:c>
      <x:c r="M16" s="324">
        <x:v>0</x:v>
      </x:c>
      <x:c r="N16" s="324">
        <x:v>0</x:v>
      </x:c>
      <x:c r="O16" s="324">
        <x:v>0</x:v>
      </x:c>
      <x:c r="P16" s="324">
        <x:v>0</x:v>
      </x:c>
      <x:c r="Q16" s="324">
        <x:v>0</x:v>
      </x:c>
      <x:c r="R16" s="324">
        <x:v>0</x:v>
      </x:c>
      <x:c r="S16" s="324">
        <x:v>0</x:v>
      </x:c>
      <x:c r="T16" s="257">
        <x:f t="shared" si="0"/>
        <x:v>0.02</x:v>
      </x:c>
    </x:row>
    <x:row r="17">
      <x:c r="A17" s="148" t="s">
        <x:v>106</x:v>
      </x:c>
      <x:c r="B17">
        <x:v>2</x:v>
      </x:c>
      <x:c r="C17" s="148" t="s">
        <x:v>116</x:v>
      </x:c>
      <x:c r="D17">
        <x:v>205</x:v>
      </x:c>
      <x:c r="E17" s="324">
        <x:v>0</x:v>
      </x:c>
      <x:c r="F17" s="324">
        <x:v>0</x:v>
      </x:c>
      <x:c r="G17" s="324">
        <x:v>0</x:v>
      </x:c>
      <x:c r="H17" s="324">
        <x:v>0.3</x:v>
      </x:c>
      <x:c r="I17" s="324">
        <x:v>0</x:v>
      </x:c>
      <x:c r="J17" s="324">
        <x:v>0</x:v>
      </x:c>
      <x:c r="K17" s="324">
        <x:v>0</x:v>
      </x:c>
      <x:c r="L17" s="324">
        <x:v>0</x:v>
      </x:c>
      <x:c r="M17" s="324">
        <x:v>0</x:v>
      </x:c>
      <x:c r="N17" s="324">
        <x:v>0</x:v>
      </x:c>
      <x:c r="O17" s="324">
        <x:v>0</x:v>
      </x:c>
      <x:c r="P17" s="324">
        <x:v>0</x:v>
      </x:c>
      <x:c r="Q17" s="324">
        <x:v>0</x:v>
      </x:c>
      <x:c r="R17" s="324">
        <x:v>0</x:v>
      </x:c>
      <x:c r="S17" s="324">
        <x:v>0</x:v>
      </x:c>
      <x:c r="T17" s="257">
        <x:f t="shared" si="0"/>
        <x:v>0.02</x:v>
      </x:c>
    </x:row>
    <x:row r="18">
      <x:c r="A18" s="148" t="s">
        <x:v>106</x:v>
      </x:c>
      <x:c r="B18">
        <x:v>2</x:v>
      </x:c>
      <x:c r="C18" s="148" t="s">
        <x:v>116</x:v>
      </x:c>
      <x:c r="D18">
        <x:v>206</x:v>
      </x:c>
      <x:c r="E18" s="324">
        <x:v>0</x:v>
      </x:c>
      <x:c r="F18" s="324">
        <x:v>0</x:v>
      </x:c>
      <x:c r="G18" s="324">
        <x:v>0</x:v>
      </x:c>
      <x:c r="H18" s="324">
        <x:v>0.3</x:v>
      </x:c>
      <x:c r="I18" s="324">
        <x:v>0</x:v>
      </x:c>
      <x:c r="J18" s="324">
        <x:v>0</x:v>
      </x:c>
      <x:c r="K18" s="324">
        <x:v>0</x:v>
      </x:c>
      <x:c r="L18" s="324">
        <x:v>0</x:v>
      </x:c>
      <x:c r="M18" s="324">
        <x:v>0</x:v>
      </x:c>
      <x:c r="N18" s="324">
        <x:v>0</x:v>
      </x:c>
      <x:c r="O18" s="324">
        <x:v>0</x:v>
      </x:c>
      <x:c r="P18" s="324">
        <x:v>0</x:v>
      </x:c>
      <x:c r="Q18" s="324">
        <x:v>0</x:v>
      </x:c>
      <x:c r="R18" s="324">
        <x:v>0</x:v>
      </x:c>
      <x:c r="S18" s="324">
        <x:v>0</x:v>
      </x:c>
      <x:c r="T18" s="257">
        <x:f t="shared" si="0"/>
        <x:v>0.02</x:v>
      </x:c>
    </x:row>
    <x:row r="19">
      <x:c r="A19" s="148" t="s">
        <x:v>106</x:v>
      </x:c>
      <x:c r="B19">
        <x:v>2</x:v>
      </x:c>
      <x:c r="C19" s="148" t="s">
        <x:v>116</x:v>
      </x:c>
      <x:c r="D19">
        <x:v>207</x:v>
      </x:c>
      <x:c r="E19" s="324">
        <x:v>0</x:v>
      </x:c>
      <x:c r="F19" s="324">
        <x:v>0</x:v>
      </x:c>
      <x:c r="G19" s="324">
        <x:v>0</x:v>
      </x:c>
      <x:c r="H19" s="324">
        <x:v>0.3</x:v>
      </x:c>
      <x:c r="I19" s="324">
        <x:v>0</x:v>
      </x:c>
      <x:c r="J19" s="324">
        <x:v>0</x:v>
      </x:c>
      <x:c r="K19" s="324">
        <x:v>0</x:v>
      </x:c>
      <x:c r="L19" s="324">
        <x:v>0</x:v>
      </x:c>
      <x:c r="M19" s="324">
        <x:v>0</x:v>
      </x:c>
      <x:c r="N19" s="324">
        <x:v>0</x:v>
      </x:c>
      <x:c r="O19" s="324">
        <x:v>0</x:v>
      </x:c>
      <x:c r="P19" s="324">
        <x:v>0</x:v>
      </x:c>
      <x:c r="Q19" s="324">
        <x:v>0</x:v>
      </x:c>
      <x:c r="R19" s="324">
        <x:v>0</x:v>
      </x:c>
      <x:c r="S19" s="324">
        <x:v>0</x:v>
      </x:c>
      <x:c r="T19" s="257">
        <x:f t="shared" si="0"/>
        <x:v>0.02</x:v>
      </x:c>
    </x:row>
    <x:row r="20">
      <x:c r="A20" s="148" t="s">
        <x:v>106</x:v>
      </x:c>
      <x:c r="B20">
        <x:v>2</x:v>
      </x:c>
      <x:c r="C20" s="148" t="s">
        <x:v>116</x:v>
      </x:c>
      <x:c r="D20">
        <x:v>208</x:v>
      </x:c>
      <x:c r="E20" s="324">
        <x:v>0</x:v>
      </x:c>
      <x:c r="F20" s="324">
        <x:v>0</x:v>
      </x:c>
      <x:c r="G20" s="324">
        <x:v>0</x:v>
      </x:c>
      <x:c r="H20" s="324">
        <x:v>0.3</x:v>
      </x:c>
      <x:c r="I20" s="324">
        <x:v>0</x:v>
      </x:c>
      <x:c r="J20" s="324">
        <x:v>0</x:v>
      </x:c>
      <x:c r="K20" s="324">
        <x:v>0</x:v>
      </x:c>
      <x:c r="L20" s="324">
        <x:v>0</x:v>
      </x:c>
      <x:c r="M20" s="324">
        <x:v>0</x:v>
      </x:c>
      <x:c r="N20" s="324">
        <x:v>0</x:v>
      </x:c>
      <x:c r="O20" s="324">
        <x:v>0</x:v>
      </x:c>
      <x:c r="P20" s="324">
        <x:v>0</x:v>
      </x:c>
      <x:c r="Q20" s="324">
        <x:v>0</x:v>
      </x:c>
      <x:c r="R20" s="324">
        <x:v>0</x:v>
      </x:c>
      <x:c r="S20" s="324">
        <x:v>0</x:v>
      </x:c>
      <x:c r="T20" s="257">
        <x:f t="shared" si="0"/>
        <x:v>0.02</x:v>
      </x:c>
    </x:row>
    <x:row r="21">
      <x:c r="A21" s="148" t="s">
        <x:v>106</x:v>
      </x:c>
      <x:c r="B21">
        <x:v>2</x:v>
      </x:c>
      <x:c r="C21" s="148" t="s">
        <x:v>116</x:v>
      </x:c>
      <x:c r="D21">
        <x:v>209</x:v>
      </x:c>
      <x:c r="E21" s="324">
        <x:v>0</x:v>
      </x:c>
      <x:c r="F21" s="324">
        <x:v>0</x:v>
      </x:c>
      <x:c r="G21" s="324">
        <x:v>0</x:v>
      </x:c>
      <x:c r="H21" s="324">
        <x:v>0.3</x:v>
      </x:c>
      <x:c r="I21" s="324">
        <x:v>0</x:v>
      </x:c>
      <x:c r="J21" s="324">
        <x:v>0</x:v>
      </x:c>
      <x:c r="K21" s="324">
        <x:v>0</x:v>
      </x:c>
      <x:c r="L21" s="324">
        <x:v>0</x:v>
      </x:c>
      <x:c r="M21" s="324">
        <x:v>0</x:v>
      </x:c>
      <x:c r="N21" s="324">
        <x:v>0</x:v>
      </x:c>
      <x:c r="O21" s="324">
        <x:v>0</x:v>
      </x:c>
      <x:c r="P21" s="324">
        <x:v>0</x:v>
      </x:c>
      <x:c r="Q21" s="324">
        <x:v>0</x:v>
      </x:c>
      <x:c r="R21" s="324">
        <x:v>0</x:v>
      </x:c>
      <x:c r="S21" s="324">
        <x:v>0</x:v>
      </x:c>
      <x:c r="T21" s="257">
        <x:f t="shared" si="0"/>
        <x:v>0.02</x:v>
      </x:c>
    </x:row>
    <x:row r="22">
      <x:c r="A22" s="148" t="s">
        <x:v>106</x:v>
      </x:c>
      <x:c r="B22">
        <x:v>2</x:v>
      </x:c>
      <x:c r="C22" s="148" t="s">
        <x:v>116</x:v>
      </x:c>
      <x:c r="D22">
        <x:v>210</x:v>
      </x:c>
      <x:c r="E22" s="324">
        <x:v>0</x:v>
      </x:c>
      <x:c r="F22" s="324">
        <x:v>0</x:v>
      </x:c>
      <x:c r="G22" s="324">
        <x:v>0</x:v>
      </x:c>
      <x:c r="H22" s="324">
        <x:v>0.3</x:v>
      </x:c>
      <x:c r="I22" s="324">
        <x:v>0</x:v>
      </x:c>
      <x:c r="J22" s="324">
        <x:v>0</x:v>
      </x:c>
      <x:c r="K22" s="324">
        <x:v>0</x:v>
      </x:c>
      <x:c r="L22" s="324">
        <x:v>0</x:v>
      </x:c>
      <x:c r="M22" s="324">
        <x:v>0</x:v>
      </x:c>
      <x:c r="N22" s="324">
        <x:v>0</x:v>
      </x:c>
      <x:c r="O22" s="324">
        <x:v>0</x:v>
      </x:c>
      <x:c r="P22" s="324">
        <x:v>0</x:v>
      </x:c>
      <x:c r="Q22" s="324">
        <x:v>0</x:v>
      </x:c>
      <x:c r="R22" s="324">
        <x:v>0</x:v>
      </x:c>
      <x:c r="S22" s="324">
        <x:v>0</x:v>
      </x:c>
      <x:c r="T22" s="257">
        <x:f t="shared" si="0"/>
        <x:v>0.02</x:v>
      </x:c>
    </x:row>
    <x:row r="23">
      <x:c r="A23" s="148" t="s">
        <x:v>106</x:v>
      </x:c>
      <x:c r="B23">
        <x:v>2</x:v>
      </x:c>
      <x:c r="C23" s="148" t="s">
        <x:v>116</x:v>
      </x:c>
      <x:c r="D23">
        <x:v>211</x:v>
      </x:c>
      <x:c r="E23" s="324">
        <x:v>0</x:v>
      </x:c>
      <x:c r="F23" s="324">
        <x:v>0</x:v>
      </x:c>
      <x:c r="G23" s="324">
        <x:v>0</x:v>
      </x:c>
      <x:c r="H23" s="324">
        <x:v>0.3</x:v>
      </x:c>
      <x:c r="I23" s="324">
        <x:v>0</x:v>
      </x:c>
      <x:c r="J23" s="324">
        <x:v>0</x:v>
      </x:c>
      <x:c r="K23" s="324">
        <x:v>0</x:v>
      </x:c>
      <x:c r="L23" s="324">
        <x:v>0</x:v>
      </x:c>
      <x:c r="M23" s="324">
        <x:v>0</x:v>
      </x:c>
      <x:c r="N23" s="324">
        <x:v>0</x:v>
      </x:c>
      <x:c r="O23" s="324">
        <x:v>0</x:v>
      </x:c>
      <x:c r="P23" s="324">
        <x:v>0</x:v>
      </x:c>
      <x:c r="Q23" s="324">
        <x:v>0</x:v>
      </x:c>
      <x:c r="R23" s="324">
        <x:v>0</x:v>
      </x:c>
      <x:c r="S23" s="324">
        <x:v>0</x:v>
      </x:c>
      <x:c r="T23" s="257">
        <x:f t="shared" si="0"/>
        <x:v>0.02</x:v>
      </x:c>
    </x:row>
    <x:row r="24">
      <x:c r="A24" s="148" t="s">
        <x:v>106</x:v>
      </x:c>
      <x:c r="B24">
        <x:v>2</x:v>
      </x:c>
      <x:c r="C24" s="148" t="s">
        <x:v>116</x:v>
      </x:c>
      <x:c r="D24">
        <x:v>212</x:v>
      </x:c>
      <x:c r="E24" s="324">
        <x:v>0</x:v>
      </x:c>
      <x:c r="F24" s="324">
        <x:v>0</x:v>
      </x:c>
      <x:c r="G24" s="324">
        <x:v>0</x:v>
      </x:c>
      <x:c r="H24" s="324">
        <x:v>0</x:v>
      </x:c>
      <x:c r="I24" s="324">
        <x:v>0</x:v>
      </x:c>
      <x:c r="J24" s="324">
        <x:v>0</x:v>
      </x:c>
      <x:c r="K24" s="324">
        <x:v>0</x:v>
      </x:c>
      <x:c r="L24" s="324">
        <x:v>0</x:v>
      </x:c>
      <x:c r="M24" s="324">
        <x:v>0</x:v>
      </x:c>
      <x:c r="N24" s="324">
        <x:v>0</x:v>
      </x:c>
      <x:c r="O24" s="324">
        <x:v>0</x:v>
      </x:c>
      <x:c r="P24" s="324">
        <x:v>0</x:v>
      </x:c>
      <x:c r="Q24" s="324">
        <x:v>0</x:v>
      </x:c>
      <x:c r="R24" s="324">
        <x:v>0</x:v>
      </x:c>
      <x:c r="S24" s="324">
        <x:v>0</x:v>
      </x:c>
      <x:c r="T24" s="257">
        <x:f t="shared" si="0"/>
        <x:v>0</x:v>
      </x:c>
    </x:row>
    <x:row r="25">
      <x:c r="A25" s="148" t="s">
        <x:v>106</x:v>
      </x:c>
      <x:c r="B25">
        <x:v>2</x:v>
      </x:c>
      <x:c r="C25" s="148" t="s">
        <x:v>116</x:v>
      </x:c>
      <x:c r="D25">
        <x:v>213</x:v>
      </x:c>
      <x:c r="E25" s="324">
        <x:v>0</x:v>
      </x:c>
      <x:c r="F25" s="324">
        <x:v>0</x:v>
      </x:c>
      <x:c r="G25" s="324">
        <x:v>0</x:v>
      </x:c>
      <x:c r="H25" s="324">
        <x:v>0.3</x:v>
      </x:c>
      <x:c r="I25" s="324">
        <x:v>0</x:v>
      </x:c>
      <x:c r="J25" s="324">
        <x:v>0</x:v>
      </x:c>
      <x:c r="K25" s="324">
        <x:v>0</x:v>
      </x:c>
      <x:c r="L25" s="324">
        <x:v>0</x:v>
      </x:c>
      <x:c r="M25" s="324">
        <x:v>0</x:v>
      </x:c>
      <x:c r="N25" s="324">
        <x:v>0</x:v>
      </x:c>
      <x:c r="O25" s="324">
        <x:v>0</x:v>
      </x:c>
      <x:c r="P25" s="324">
        <x:v>0</x:v>
      </x:c>
      <x:c r="Q25" s="324">
        <x:v>0</x:v>
      </x:c>
      <x:c r="R25" s="324">
        <x:v>0</x:v>
      </x:c>
      <x:c r="S25" s="324">
        <x:v>0</x:v>
      </x:c>
      <x:c r="T25" s="257">
        <x:f t="shared" si="0"/>
        <x:v>0.02</x:v>
      </x:c>
    </x:row>
    <x:row r="26">
      <x:c r="A26" s="148" t="s">
        <x:v>106</x:v>
      </x:c>
      <x:c r="B26">
        <x:v>2</x:v>
      </x:c>
      <x:c r="C26" s="148" t="s">
        <x:v>116</x:v>
      </x:c>
      <x:c r="D26">
        <x:v>214</x:v>
      </x:c>
      <x:c r="E26" s="324">
        <x:v>0</x:v>
      </x:c>
      <x:c r="F26" s="324">
        <x:v>0</x:v>
      </x:c>
      <x:c r="G26" s="324">
        <x:v>0</x:v>
      </x:c>
      <x:c r="H26" s="324">
        <x:v>0.3</x:v>
      </x:c>
      <x:c r="I26" s="324">
        <x:v>0</x:v>
      </x:c>
      <x:c r="J26" s="324">
        <x:v>0</x:v>
      </x:c>
      <x:c r="K26" s="324">
        <x:v>0</x:v>
      </x:c>
      <x:c r="L26" s="324">
        <x:v>0</x:v>
      </x:c>
      <x:c r="M26" s="324">
        <x:v>0</x:v>
      </x:c>
      <x:c r="N26" s="324">
        <x:v>0</x:v>
      </x:c>
      <x:c r="O26" s="324">
        <x:v>0</x:v>
      </x:c>
      <x:c r="P26" s="324">
        <x:v>0</x:v>
      </x:c>
      <x:c r="Q26" s="324">
        <x:v>0</x:v>
      </x:c>
      <x:c r="R26" s="324">
        <x:v>0</x:v>
      </x:c>
      <x:c r="S26" s="324">
        <x:v>0</x:v>
      </x:c>
      <x:c r="T26" s="257">
        <x:f t="shared" si="0"/>
        <x:v>0.02</x:v>
      </x:c>
    </x:row>
    <x:row r="27">
      <x:c r="A27" s="148" t="s">
        <x:v>106</x:v>
      </x:c>
      <x:c r="B27">
        <x:v>2</x:v>
      </x:c>
      <x:c r="C27" s="148" t="s">
        <x:v>116</x:v>
      </x:c>
      <x:c r="D27">
        <x:v>215</x:v>
      </x:c>
      <x:c r="E27" s="324">
        <x:v>0</x:v>
      </x:c>
      <x:c r="F27" s="324">
        <x:v>0</x:v>
      </x:c>
      <x:c r="G27" s="324">
        <x:v>0</x:v>
      </x:c>
      <x:c r="H27" s="324">
        <x:v>0</x:v>
      </x:c>
      <x:c r="I27" s="324">
        <x:v>0</x:v>
      </x:c>
      <x:c r="J27" s="324">
        <x:v>0</x:v>
      </x:c>
      <x:c r="K27" s="324">
        <x:v>0</x:v>
      </x:c>
      <x:c r="L27" s="324">
        <x:v>0</x:v>
      </x:c>
      <x:c r="M27" s="324">
        <x:v>0</x:v>
      </x:c>
      <x:c r="N27" s="324">
        <x:v>0</x:v>
      </x:c>
      <x:c r="O27" s="324">
        <x:v>0</x:v>
      </x:c>
      <x:c r="P27" s="324">
        <x:v>0</x:v>
      </x:c>
      <x:c r="Q27" s="324">
        <x:v>0</x:v>
      </x:c>
      <x:c r="R27" s="324">
        <x:v>0</x:v>
      </x:c>
      <x:c r="S27" s="324">
        <x:v>0</x:v>
      </x:c>
      <x:c r="T27" s="257">
        <x:f t="shared" si="0"/>
        <x:v>0</x:v>
      </x:c>
    </x:row>
    <x:row r="28">
      <x:c r="A28" s="148" t="s">
        <x:v>106</x:v>
      </x:c>
      <x:c r="B28">
        <x:v>2</x:v>
      </x:c>
      <x:c r="C28" s="148" t="s">
        <x:v>116</x:v>
      </x:c>
      <x:c r="D28">
        <x:v>216</x:v>
      </x:c>
      <x:c r="E28" s="324">
        <x:v>0</x:v>
      </x:c>
      <x:c r="F28" s="324">
        <x:v>0</x:v>
      </x:c>
      <x:c r="G28" s="324">
        <x:v>0</x:v>
      </x:c>
      <x:c r="H28" s="324">
        <x:v>0</x:v>
      </x:c>
      <x:c r="I28" s="324">
        <x:v>0</x:v>
      </x:c>
      <x:c r="J28" s="324">
        <x:v>0</x:v>
      </x:c>
      <x:c r="K28" s="324">
        <x:v>0</x:v>
      </x:c>
      <x:c r="L28" s="324">
        <x:v>0</x:v>
      </x:c>
      <x:c r="M28" s="324">
        <x:v>0</x:v>
      </x:c>
      <x:c r="N28" s="324">
        <x:v>0</x:v>
      </x:c>
      <x:c r="O28" s="324">
        <x:v>0</x:v>
      </x:c>
      <x:c r="P28" s="324">
        <x:v>0</x:v>
      </x:c>
      <x:c r="Q28" s="324">
        <x:v>0</x:v>
      </x:c>
      <x:c r="R28" s="324">
        <x:v>0</x:v>
      </x:c>
      <x:c r="S28" s="324">
        <x:v>0</x:v>
      </x:c>
      <x:c r="T28" s="257">
        <x:f t="shared" si="0"/>
        <x:v>0</x:v>
      </x:c>
    </x:row>
    <x:row r="29">
      <x:c r="A29" s="148" t="s">
        <x:v>106</x:v>
      </x:c>
      <x:c r="B29">
        <x:v>2</x:v>
      </x:c>
      <x:c r="C29" s="148" t="s">
        <x:v>116</x:v>
      </x:c>
      <x:c r="D29">
        <x:v>217</x:v>
      </x:c>
      <x:c r="E29" s="324">
        <x:v>0</x:v>
      </x:c>
      <x:c r="F29" s="324">
        <x:v>0</x:v>
      </x:c>
      <x:c r="G29" s="324">
        <x:v>0</x:v>
      </x:c>
      <x:c r="H29" s="324">
        <x:v>0</x:v>
      </x:c>
      <x:c r="I29" s="324">
        <x:v>0</x:v>
      </x:c>
      <x:c r="J29" s="324">
        <x:v>0</x:v>
      </x:c>
      <x:c r="K29" s="324">
        <x:v>0</x:v>
      </x:c>
      <x:c r="L29" s="324">
        <x:v>0</x:v>
      </x:c>
      <x:c r="M29" s="324">
        <x:v>0</x:v>
      </x:c>
      <x:c r="N29" s="324">
        <x:v>0</x:v>
      </x:c>
      <x:c r="O29" s="324">
        <x:v>0</x:v>
      </x:c>
      <x:c r="P29" s="324">
        <x:v>0</x:v>
      </x:c>
      <x:c r="Q29" s="324">
        <x:v>0</x:v>
      </x:c>
      <x:c r="R29" s="324">
        <x:v>0</x:v>
      </x:c>
      <x:c r="S29" s="324">
        <x:v>0</x:v>
      </x:c>
      <x:c r="T29" s="257">
        <x:f t="shared" si="0"/>
        <x:v>0</x:v>
      </x:c>
    </x:row>
    <x:row r="30">
      <x:c r="A30" s="148" t="s">
        <x:v>106</x:v>
      </x:c>
      <x:c r="B30">
        <x:v>2</x:v>
      </x:c>
      <x:c r="C30" s="148" t="s">
        <x:v>116</x:v>
      </x:c>
      <x:c r="D30">
        <x:v>218</x:v>
      </x:c>
      <x:c r="E30" s="324">
        <x:v>0</x:v>
      </x:c>
      <x:c r="F30" s="324">
        <x:v>0</x:v>
      </x:c>
      <x:c r="G30" s="324">
        <x:v>0</x:v>
      </x:c>
      <x:c r="H30" s="324">
        <x:v>0</x:v>
      </x:c>
      <x:c r="I30" s="324">
        <x:v>0</x:v>
      </x:c>
      <x:c r="J30" s="324">
        <x:v>0</x:v>
      </x:c>
      <x:c r="K30" s="324">
        <x:v>0</x:v>
      </x:c>
      <x:c r="L30" s="324">
        <x:v>0</x:v>
      </x:c>
      <x:c r="M30" s="324">
        <x:v>0</x:v>
      </x:c>
      <x:c r="N30" s="324">
        <x:v>0</x:v>
      </x:c>
      <x:c r="O30" s="324">
        <x:v>0</x:v>
      </x:c>
      <x:c r="P30" s="324">
        <x:v>0</x:v>
      </x:c>
      <x:c r="Q30" s="324">
        <x:v>0</x:v>
      </x:c>
      <x:c r="R30" s="324">
        <x:v>0</x:v>
      </x:c>
      <x:c r="S30" s="324">
        <x:v>0</x:v>
      </x:c>
      <x:c r="T30" s="257">
        <x:f t="shared" si="0"/>
        <x:v>0</x:v>
      </x:c>
    </x:row>
    <x:row r="31">
      <x:c r="A31" s="148" t="s">
        <x:v>106</x:v>
      </x:c>
      <x:c r="B31">
        <x:v>2</x:v>
      </x:c>
      <x:c r="C31" s="148" t="s">
        <x:v>116</x:v>
      </x:c>
      <x:c r="D31">
        <x:v>219</x:v>
      </x:c>
      <x:c r="E31" s="324">
        <x:v>0</x:v>
      </x:c>
      <x:c r="F31" s="324">
        <x:v>0</x:v>
      </x:c>
      <x:c r="G31" s="324">
        <x:v>0</x:v>
      </x:c>
      <x:c r="H31" s="324">
        <x:v>0</x:v>
      </x:c>
      <x:c r="I31" s="324">
        <x:v>0</x:v>
      </x:c>
      <x:c r="J31" s="324">
        <x:v>0</x:v>
      </x:c>
      <x:c r="K31" s="324">
        <x:v>0</x:v>
      </x:c>
      <x:c r="L31" s="324">
        <x:v>0</x:v>
      </x:c>
      <x:c r="M31" s="324">
        <x:v>0</x:v>
      </x:c>
      <x:c r="N31" s="324">
        <x:v>0</x:v>
      </x:c>
      <x:c r="O31" s="324">
        <x:v>0</x:v>
      </x:c>
      <x:c r="P31" s="324">
        <x:v>0</x:v>
      </x:c>
      <x:c r="Q31" s="324">
        <x:v>0</x:v>
      </x:c>
      <x:c r="R31" s="324">
        <x:v>0</x:v>
      </x:c>
      <x:c r="S31" s="324">
        <x:v>0</x:v>
      </x:c>
      <x:c r="T31" s="257">
        <x:f t="shared" si="0"/>
        <x:v>0</x:v>
      </x:c>
    </x:row>
    <x:row r="32">
      <x:c r="A32" s="148" t="s">
        <x:v>106</x:v>
      </x:c>
      <x:c r="B32">
        <x:v>2</x:v>
      </x:c>
      <x:c r="C32" s="148" t="s">
        <x:v>116</x:v>
      </x:c>
      <x:c r="D32">
        <x:v>220</x:v>
      </x:c>
      <x:c r="E32" s="324">
        <x:v>0</x:v>
      </x:c>
      <x:c r="F32" s="324">
        <x:v>0</x:v>
      </x:c>
      <x:c r="G32" s="324">
        <x:v>0</x:v>
      </x:c>
      <x:c r="H32" s="324">
        <x:v>0</x:v>
      </x:c>
      <x:c r="I32" s="324">
        <x:v>0</x:v>
      </x:c>
      <x:c r="J32" s="324">
        <x:v>0</x:v>
      </x:c>
      <x:c r="K32" s="324">
        <x:v>0</x:v>
      </x:c>
      <x:c r="L32" s="324">
        <x:v>0</x:v>
      </x:c>
      <x:c r="M32" s="324">
        <x:v>0</x:v>
      </x:c>
      <x:c r="N32" s="324">
        <x:v>0</x:v>
      </x:c>
      <x:c r="O32" s="324">
        <x:v>0</x:v>
      </x:c>
      <x:c r="P32" s="324">
        <x:v>0</x:v>
      </x:c>
      <x:c r="Q32" s="324">
        <x:v>0</x:v>
      </x:c>
      <x:c r="R32" s="324">
        <x:v>0</x:v>
      </x:c>
      <x:c r="S32" s="324">
        <x:v>0</x:v>
      </x:c>
      <x:c r="T32" s="257">
        <x:f t="shared" si="0"/>
        <x:v>0</x:v>
      </x:c>
    </x:row>
    <x:row r="33">
      <x:c r="A33" s="148" t="s">
        <x:v>106</x:v>
      </x:c>
      <x:c r="B33">
        <x:v>2</x:v>
      </x:c>
      <x:c r="C33" s="148" t="s">
        <x:v>116</x:v>
      </x:c>
      <x:c r="D33">
        <x:v>221</x:v>
      </x:c>
      <x:c r="E33" s="324">
        <x:v>0</x:v>
      </x:c>
      <x:c r="F33" s="324">
        <x:v>0</x:v>
      </x:c>
      <x:c r="G33" s="324">
        <x:v>0</x:v>
      </x:c>
      <x:c r="H33" s="324">
        <x:v>0</x:v>
      </x:c>
      <x:c r="I33" s="324">
        <x:v>0</x:v>
      </x:c>
      <x:c r="J33" s="324">
        <x:v>0</x:v>
      </x:c>
      <x:c r="K33" s="324">
        <x:v>0</x:v>
      </x:c>
      <x:c r="L33" s="324">
        <x:v>0</x:v>
      </x:c>
      <x:c r="M33" s="324">
        <x:v>0</x:v>
      </x:c>
      <x:c r="N33" s="324">
        <x:v>0</x:v>
      </x:c>
      <x:c r="O33" s="324">
        <x:v>0</x:v>
      </x:c>
      <x:c r="P33" s="324">
        <x:v>0</x:v>
      </x:c>
      <x:c r="Q33" s="324">
        <x:v>0</x:v>
      </x:c>
      <x:c r="R33" s="324">
        <x:v>0</x:v>
      </x:c>
      <x:c r="S33" s="324">
        <x:v>0</x:v>
      </x:c>
      <x:c r="T33" s="257">
        <x:f t="shared" si="0"/>
        <x:v>0</x:v>
      </x:c>
    </x:row>
    <x:row r="34">
      <x:c r="A34" s="148" t="s">
        <x:v>106</x:v>
      </x:c>
      <x:c r="B34">
        <x:v>2</x:v>
      </x:c>
      <x:c r="C34" s="148" t="s">
        <x:v>116</x:v>
      </x:c>
      <x:c r="D34">
        <x:v>222</x:v>
      </x:c>
      <x:c r="E34" s="324">
        <x:v>0</x:v>
      </x:c>
      <x:c r="F34" s="324">
        <x:v>0</x:v>
      </x:c>
      <x:c r="G34" s="324">
        <x:v>0</x:v>
      </x:c>
      <x:c r="H34" s="324">
        <x:v>0</x:v>
      </x:c>
      <x:c r="I34" s="324">
        <x:v>0</x:v>
      </x:c>
      <x:c r="J34" s="324">
        <x:v>0</x:v>
      </x:c>
      <x:c r="K34" s="324">
        <x:v>0</x:v>
      </x:c>
      <x:c r="L34" s="324">
        <x:v>0</x:v>
      </x:c>
      <x:c r="M34" s="324">
        <x:v>0</x:v>
      </x:c>
      <x:c r="N34" s="324">
        <x:v>0</x:v>
      </x:c>
      <x:c r="O34" s="324">
        <x:v>0</x:v>
      </x:c>
      <x:c r="P34" s="324">
        <x:v>0</x:v>
      </x:c>
      <x:c r="Q34" s="324">
        <x:v>0</x:v>
      </x:c>
      <x:c r="R34" s="324">
        <x:v>0</x:v>
      </x:c>
      <x:c r="S34" s="324">
        <x:v>0</x:v>
      </x:c>
      <x:c r="T34" s="257">
        <x:f t="shared" si="0"/>
        <x:v>0</x:v>
      </x:c>
    </x:row>
    <x:row r="35">
      <x:c r="A35" s="148" t="s">
        <x:v>106</x:v>
      </x:c>
      <x:c r="B35">
        <x:v>2</x:v>
      </x:c>
      <x:c r="C35" s="148" t="s">
        <x:v>116</x:v>
      </x:c>
      <x:c r="D35">
        <x:v>223</x:v>
      </x:c>
      <x:c r="E35" s="324">
        <x:v>0</x:v>
      </x:c>
      <x:c r="F35" s="324">
        <x:v>0</x:v>
      </x:c>
      <x:c r="G35" s="324">
        <x:v>0</x:v>
      </x:c>
      <x:c r="H35" s="324">
        <x:v>0</x:v>
      </x:c>
      <x:c r="I35" s="324">
        <x:v>0</x:v>
      </x:c>
      <x:c r="J35" s="324">
        <x:v>0</x:v>
      </x:c>
      <x:c r="K35" s="324">
        <x:v>0</x:v>
      </x:c>
      <x:c r="L35" s="324">
        <x:v>0</x:v>
      </x:c>
      <x:c r="M35" s="324">
        <x:v>0</x:v>
      </x:c>
      <x:c r="N35" s="324">
        <x:v>0</x:v>
      </x:c>
      <x:c r="O35" s="324">
        <x:v>0</x:v>
      </x:c>
      <x:c r="P35" s="324">
        <x:v>0</x:v>
      </x:c>
      <x:c r="Q35" s="324">
        <x:v>0</x:v>
      </x:c>
      <x:c r="R35" s="324">
        <x:v>0</x:v>
      </x:c>
      <x:c r="S35" s="324">
        <x:v>0</x:v>
      </x:c>
      <x:c r="T35" s="257">
        <x:f t="shared" si="0"/>
        <x:v>0</x:v>
      </x:c>
    </x:row>
    <x:row r="36">
      <x:c r="A36" s="148" t="s">
        <x:v>106</x:v>
      </x:c>
      <x:c r="B36">
        <x:v>2</x:v>
      </x:c>
      <x:c r="C36" s="148" t="s">
        <x:v>115</x:v>
      </x:c>
      <x:c r="D36">
        <x:v>201</x:v>
      </x:c>
      <x:c r="E36" s="324">
        <x:v>0</x:v>
      </x:c>
      <x:c r="F36" s="324">
        <x:v>0</x:v>
      </x:c>
      <x:c r="G36" s="324">
        <x:v>0</x:v>
      </x:c>
      <x:c r="H36" s="324">
        <x:v>0</x:v>
      </x:c>
      <x:c r="I36" s="324">
        <x:v>0</x:v>
      </x:c>
      <x:c r="J36" s="324">
        <x:v>0.9</x:v>
      </x:c>
      <x:c r="K36" s="324">
        <x:v>0</x:v>
      </x:c>
      <x:c r="L36" s="324">
        <x:v>0</x:v>
      </x:c>
      <x:c r="M36" s="324">
        <x:v>0</x:v>
      </x:c>
      <x:c r="N36" s="324">
        <x:v>0.1</x:v>
      </x:c>
      <x:c r="O36" s="324">
        <x:v>0</x:v>
      </x:c>
      <x:c r="P36" s="324">
        <x:v>0</x:v>
      </x:c>
      <x:c r="Q36" s="324">
        <x:v>0.8</x:v>
      </x:c>
      <x:c r="R36" s="324">
        <x:v>0</x:v>
      </x:c>
      <x:c r="S36" s="324">
        <x:v>0</x:v>
      </x:c>
      <x:c r="T36" s="257">
        <x:f t="shared" si="0"/>
        <x:v>0.12000000000000001</x:v>
      </x:c>
    </x:row>
    <x:row r="37">
      <x:c r="A37" s="148" t="s">
        <x:v>106</x:v>
      </x:c>
      <x:c r="B37">
        <x:v>2</x:v>
      </x:c>
      <x:c r="C37" s="148" t="s">
        <x:v>115</x:v>
      </x:c>
      <x:c r="D37">
        <x:v>202</x:v>
      </x:c>
      <x:c r="E37" s="324">
        <x:v>0</x:v>
      </x:c>
      <x:c r="F37" s="324">
        <x:v>0</x:v>
      </x:c>
      <x:c r="G37" s="324">
        <x:v>0</x:v>
      </x:c>
      <x:c r="H37" s="324">
        <x:v>0</x:v>
      </x:c>
      <x:c r="I37" s="324">
        <x:v>0</x:v>
      </x:c>
      <x:c r="J37" s="324">
        <x:v>0.9</x:v>
      </x:c>
      <x:c r="K37" s="324">
        <x:v>0</x:v>
      </x:c>
      <x:c r="L37" s="324">
        <x:v>0</x:v>
      </x:c>
      <x:c r="M37" s="324">
        <x:v>0</x:v>
      </x:c>
      <x:c r="N37" s="324">
        <x:v>0.1</x:v>
      </x:c>
      <x:c r="O37" s="324">
        <x:v>0</x:v>
      </x:c>
      <x:c r="P37" s="324">
        <x:v>0</x:v>
      </x:c>
      <x:c r="Q37" s="324">
        <x:v>0.8</x:v>
      </x:c>
      <x:c r="R37" s="324">
        <x:v>0</x:v>
      </x:c>
      <x:c r="S37" s="324">
        <x:v>0</x:v>
      </x:c>
      <x:c r="T37" s="257">
        <x:f t="shared" si="0"/>
        <x:v>0.12000000000000001</x:v>
      </x:c>
    </x:row>
    <x:row r="38">
      <x:c r="A38" s="148" t="s">
        <x:v>106</x:v>
      </x:c>
      <x:c r="B38">
        <x:v>2</x:v>
      </x:c>
      <x:c r="C38" s="148" t="s">
        <x:v>115</x:v>
      </x:c>
      <x:c r="D38">
        <x:v>203</x:v>
      </x:c>
      <x:c r="E38" s="324">
        <x:v>0</x:v>
      </x:c>
      <x:c r="F38" s="324">
        <x:v>0</x:v>
      </x:c>
      <x:c r="G38" s="324">
        <x:v>0</x:v>
      </x:c>
      <x:c r="H38" s="324">
        <x:v>0</x:v>
      </x:c>
      <x:c r="I38" s="324">
        <x:v>0</x:v>
      </x:c>
      <x:c r="J38" s="324">
        <x:v>0.9</x:v>
      </x:c>
      <x:c r="K38" s="324">
        <x:v>0</x:v>
      </x:c>
      <x:c r="L38" s="324">
        <x:v>0</x:v>
      </x:c>
      <x:c r="M38" s="324">
        <x:v>0</x:v>
      </x:c>
      <x:c r="N38" s="324">
        <x:v>0.1</x:v>
      </x:c>
      <x:c r="O38" s="324">
        <x:v>0</x:v>
      </x:c>
      <x:c r="P38" s="324">
        <x:v>0</x:v>
      </x:c>
      <x:c r="Q38" s="324">
        <x:v>0.8</x:v>
      </x:c>
      <x:c r="R38" s="324">
        <x:v>0</x:v>
      </x:c>
      <x:c r="S38" s="324">
        <x:v>0</x:v>
      </x:c>
      <x:c r="T38" s="257">
        <x:f t="shared" si="0"/>
        <x:v>0.12000000000000001</x:v>
      </x:c>
    </x:row>
    <x:row r="39">
      <x:c r="A39" s="148" t="s">
        <x:v>106</x:v>
      </x:c>
      <x:c r="B39">
        <x:v>2</x:v>
      </x:c>
      <x:c r="C39" s="148" t="s">
        <x:v>115</x:v>
      </x:c>
      <x:c r="D39">
        <x:v>204</x:v>
      </x:c>
      <x:c r="E39" s="324">
        <x:v>0</x:v>
      </x:c>
      <x:c r="F39" s="324">
        <x:v>0</x:v>
      </x:c>
      <x:c r="G39" s="324">
        <x:v>0</x:v>
      </x:c>
      <x:c r="H39" s="324">
        <x:v>0</x:v>
      </x:c>
      <x:c r="I39" s="324">
        <x:v>0</x:v>
      </x:c>
      <x:c r="J39" s="324">
        <x:v>0.9</x:v>
      </x:c>
      <x:c r="K39" s="324">
        <x:v>0</x:v>
      </x:c>
      <x:c r="L39" s="324">
        <x:v>0</x:v>
      </x:c>
      <x:c r="M39" s="324">
        <x:v>0</x:v>
      </x:c>
      <x:c r="N39" s="324">
        <x:v>0.1</x:v>
      </x:c>
      <x:c r="O39" s="324">
        <x:v>0</x:v>
      </x:c>
      <x:c r="P39" s="324">
        <x:v>0</x:v>
      </x:c>
      <x:c r="Q39" s="324">
        <x:v>0.8</x:v>
      </x:c>
      <x:c r="R39" s="324">
        <x:v>0</x:v>
      </x:c>
      <x:c r="S39" s="324">
        <x:v>0</x:v>
      </x:c>
      <x:c r="T39" s="257">
        <x:f t="shared" si="0"/>
        <x:v>0.12000000000000001</x:v>
      </x:c>
    </x:row>
    <x:row r="40">
      <x:c r="A40" s="148" t="s">
        <x:v>106</x:v>
      </x:c>
      <x:c r="B40">
        <x:v>2</x:v>
      </x:c>
      <x:c r="C40" s="148" t="s">
        <x:v>115</x:v>
      </x:c>
      <x:c r="D40">
        <x:v>205</x:v>
      </x:c>
      <x:c r="E40" s="324">
        <x:v>0</x:v>
      </x:c>
      <x:c r="F40" s="324">
        <x:v>0</x:v>
      </x:c>
      <x:c r="G40" s="324">
        <x:v>0</x:v>
      </x:c>
      <x:c r="H40" s="324">
        <x:v>0</x:v>
      </x:c>
      <x:c r="I40" s="324">
        <x:v>0</x:v>
      </x:c>
      <x:c r="J40" s="324">
        <x:v>0.9</x:v>
      </x:c>
      <x:c r="K40" s="324">
        <x:v>0</x:v>
      </x:c>
      <x:c r="L40" s="324">
        <x:v>0</x:v>
      </x:c>
      <x:c r="M40" s="324">
        <x:v>0</x:v>
      </x:c>
      <x:c r="N40" s="324">
        <x:v>0.1</x:v>
      </x:c>
      <x:c r="O40" s="324">
        <x:v>0</x:v>
      </x:c>
      <x:c r="P40" s="324">
        <x:v>0</x:v>
      </x:c>
      <x:c r="Q40" s="324">
        <x:v>0.8</x:v>
      </x:c>
      <x:c r="R40" s="324">
        <x:v>0</x:v>
      </x:c>
      <x:c r="S40" s="324">
        <x:v>0</x:v>
      </x:c>
      <x:c r="T40" s="257">
        <x:f t="shared" si="0"/>
        <x:v>0.12000000000000001</x:v>
      </x:c>
    </x:row>
    <x:row r="41">
      <x:c r="A41" s="148" t="s">
        <x:v>106</x:v>
      </x:c>
      <x:c r="B41">
        <x:v>2</x:v>
      </x:c>
      <x:c r="C41" s="148" t="s">
        <x:v>115</x:v>
      </x:c>
      <x:c r="D41">
        <x:v>206</x:v>
      </x:c>
      <x:c r="E41" s="324">
        <x:v>0</x:v>
      </x:c>
      <x:c r="F41" s="324">
        <x:v>0</x:v>
      </x:c>
      <x:c r="G41" s="324">
        <x:v>0</x:v>
      </x:c>
      <x:c r="H41" s="324">
        <x:v>0</x:v>
      </x:c>
      <x:c r="I41" s="324">
        <x:v>0</x:v>
      </x:c>
      <x:c r="J41" s="324">
        <x:v>0.9</x:v>
      </x:c>
      <x:c r="K41" s="324">
        <x:v>0</x:v>
      </x:c>
      <x:c r="L41" s="324">
        <x:v>0</x:v>
      </x:c>
      <x:c r="M41" s="324">
        <x:v>0</x:v>
      </x:c>
      <x:c r="N41" s="324">
        <x:v>0.1</x:v>
      </x:c>
      <x:c r="O41" s="324">
        <x:v>0</x:v>
      </x:c>
      <x:c r="P41" s="324">
        <x:v>0</x:v>
      </x:c>
      <x:c r="Q41" s="324">
        <x:v>0.8</x:v>
      </x:c>
      <x:c r="R41" s="324">
        <x:v>0</x:v>
      </x:c>
      <x:c r="S41" s="324">
        <x:v>0</x:v>
      </x:c>
      <x:c r="T41" s="257">
        <x:f t="shared" si="0"/>
        <x:v>0.12000000000000001</x:v>
      </x:c>
    </x:row>
    <x:row r="42">
      <x:c r="A42" s="148" t="s">
        <x:v>106</x:v>
      </x:c>
      <x:c r="B42">
        <x:v>2</x:v>
      </x:c>
      <x:c r="C42" s="148" t="s">
        <x:v>115</x:v>
      </x:c>
      <x:c r="D42">
        <x:v>207</x:v>
      </x:c>
      <x:c r="E42" s="324">
        <x:v>0</x:v>
      </x:c>
      <x:c r="F42" s="324">
        <x:v>0</x:v>
      </x:c>
      <x:c r="G42" s="324">
        <x:v>0</x:v>
      </x:c>
      <x:c r="H42" s="324">
        <x:v>0</x:v>
      </x:c>
      <x:c r="I42" s="324">
        <x:v>0</x:v>
      </x:c>
      <x:c r="J42" s="324">
        <x:v>0.9</x:v>
      </x:c>
      <x:c r="K42" s="324">
        <x:v>0</x:v>
      </x:c>
      <x:c r="L42" s="324">
        <x:v>0</x:v>
      </x:c>
      <x:c r="M42" s="324">
        <x:v>0</x:v>
      </x:c>
      <x:c r="N42" s="324">
        <x:v>0.1</x:v>
      </x:c>
      <x:c r="O42" s="324">
        <x:v>0</x:v>
      </x:c>
      <x:c r="P42" s="324">
        <x:v>0</x:v>
      </x:c>
      <x:c r="Q42" s="324">
        <x:v>0.8</x:v>
      </x:c>
      <x:c r="R42" s="324">
        <x:v>0</x:v>
      </x:c>
      <x:c r="S42" s="324">
        <x:v>0</x:v>
      </x:c>
      <x:c r="T42" s="257">
        <x:f t="shared" si="0"/>
        <x:v>0.12000000000000001</x:v>
      </x:c>
    </x:row>
    <x:row r="43">
      <x:c r="A43" s="148" t="s">
        <x:v>106</x:v>
      </x:c>
      <x:c r="B43">
        <x:v>2</x:v>
      </x:c>
      <x:c r="C43" s="148" t="s">
        <x:v>115</x:v>
      </x:c>
      <x:c r="D43">
        <x:v>208</x:v>
      </x:c>
      <x:c r="E43" s="324">
        <x:v>0</x:v>
      </x:c>
      <x:c r="F43" s="324">
        <x:v>0</x:v>
      </x:c>
      <x:c r="G43" s="324">
        <x:v>0</x:v>
      </x:c>
      <x:c r="H43" s="324">
        <x:v>0</x:v>
      </x:c>
      <x:c r="I43" s="324">
        <x:v>0</x:v>
      </x:c>
      <x:c r="J43" s="324">
        <x:v>0.9</x:v>
      </x:c>
      <x:c r="K43" s="324">
        <x:v>0</x:v>
      </x:c>
      <x:c r="L43" s="324">
        <x:v>0</x:v>
      </x:c>
      <x:c r="M43" s="324">
        <x:v>0</x:v>
      </x:c>
      <x:c r="N43" s="324">
        <x:v>0.1</x:v>
      </x:c>
      <x:c r="O43" s="324">
        <x:v>0</x:v>
      </x:c>
      <x:c r="P43" s="324">
        <x:v>0</x:v>
      </x:c>
      <x:c r="Q43" s="324">
        <x:v>0.8</x:v>
      </x:c>
      <x:c r="R43" s="324">
        <x:v>0</x:v>
      </x:c>
      <x:c r="S43" s="324">
        <x:v>0</x:v>
      </x:c>
      <x:c r="T43" s="257">
        <x:f t="shared" si="0"/>
        <x:v>0.12000000000000001</x:v>
      </x:c>
    </x:row>
    <x:row r="44">
      <x:c r="A44" s="148" t="s">
        <x:v>106</x:v>
      </x:c>
      <x:c r="B44">
        <x:v>2</x:v>
      </x:c>
      <x:c r="C44" s="148" t="s">
        <x:v>115</x:v>
      </x:c>
      <x:c r="D44">
        <x:v>209</x:v>
      </x:c>
      <x:c r="E44" s="324">
        <x:v>0</x:v>
      </x:c>
      <x:c r="F44" s="324">
        <x:v>0</x:v>
      </x:c>
      <x:c r="G44" s="324">
        <x:v>0</x:v>
      </x:c>
      <x:c r="H44" s="324">
        <x:v>0.3</x:v>
      </x:c>
      <x:c r="I44" s="324">
        <x:v>0</x:v>
      </x:c>
      <x:c r="J44" s="324">
        <x:v>0.9</x:v>
      </x:c>
      <x:c r="K44" s="324">
        <x:v>0</x:v>
      </x:c>
      <x:c r="L44" s="324">
        <x:v>0</x:v>
      </x:c>
      <x:c r="M44" s="324">
        <x:v>0</x:v>
      </x:c>
      <x:c r="N44" s="324">
        <x:v>0</x:v>
      </x:c>
      <x:c r="O44" s="324">
        <x:v>0</x:v>
      </x:c>
      <x:c r="P44" s="324">
        <x:v>0</x:v>
      </x:c>
      <x:c r="Q44" s="324">
        <x:v>0</x:v>
      </x:c>
      <x:c r="R44" s="324">
        <x:v>0</x:v>
      </x:c>
      <x:c r="S44" s="324">
        <x:v>0</x:v>
      </x:c>
      <x:c r="T44" s="257">
        <x:f t="shared" si="0"/>
        <x:v>0.08</x:v>
      </x:c>
    </x:row>
    <x:row r="45">
      <x:c r="A45" s="148" t="s">
        <x:v>106</x:v>
      </x:c>
      <x:c r="B45">
        <x:v>2</x:v>
      </x:c>
      <x:c r="C45" s="148" t="s">
        <x:v>115</x:v>
      </x:c>
      <x:c r="D45">
        <x:v>210</x:v>
      </x:c>
      <x:c r="E45" s="324">
        <x:v>0</x:v>
      </x:c>
      <x:c r="F45" s="324">
        <x:v>0</x:v>
      </x:c>
      <x:c r="G45" s="324">
        <x:v>0</x:v>
      </x:c>
      <x:c r="H45" s="324">
        <x:v>0.3</x:v>
      </x:c>
      <x:c r="I45" s="324">
        <x:v>0</x:v>
      </x:c>
      <x:c r="J45" s="324">
        <x:v>0.9</x:v>
      </x:c>
      <x:c r="K45" s="324">
        <x:v>0</x:v>
      </x:c>
      <x:c r="L45" s="324">
        <x:v>0</x:v>
      </x:c>
      <x:c r="M45" s="324">
        <x:v>0</x:v>
      </x:c>
      <x:c r="N45" s="324">
        <x:v>0</x:v>
      </x:c>
      <x:c r="O45" s="324">
        <x:v>0</x:v>
      </x:c>
      <x:c r="P45" s="324">
        <x:v>0</x:v>
      </x:c>
      <x:c r="Q45" s="324">
        <x:v>0</x:v>
      </x:c>
      <x:c r="R45" s="324">
        <x:v>0</x:v>
      </x:c>
      <x:c r="S45" s="324">
        <x:v>0</x:v>
      </x:c>
      <x:c r="T45" s="257">
        <x:f t="shared" si="0"/>
        <x:v>0.08</x:v>
      </x:c>
    </x:row>
    <x:row r="46">
      <x:c r="A46" s="148" t="s">
        <x:v>106</x:v>
      </x:c>
      <x:c r="B46">
        <x:v>2</x:v>
      </x:c>
      <x:c r="C46" s="148" t="s">
        <x:v>115</x:v>
      </x:c>
      <x:c r="D46">
        <x:v>211</x:v>
      </x:c>
      <x:c r="E46" s="324">
        <x:v>0</x:v>
      </x:c>
      <x:c r="F46" s="324">
        <x:v>0</x:v>
      </x:c>
      <x:c r="G46" s="324">
        <x:v>0</x:v>
      </x:c>
      <x:c r="H46" s="324">
        <x:v>0.3</x:v>
      </x:c>
      <x:c r="I46" s="324">
        <x:v>0</x:v>
      </x:c>
      <x:c r="J46" s="324">
        <x:v>0.9</x:v>
      </x:c>
      <x:c r="K46" s="324">
        <x:v>0</x:v>
      </x:c>
      <x:c r="L46" s="324">
        <x:v>0</x:v>
      </x:c>
      <x:c r="M46" s="324">
        <x:v>0</x:v>
      </x:c>
      <x:c r="N46" s="324">
        <x:v>0</x:v>
      </x:c>
      <x:c r="O46" s="324">
        <x:v>0</x:v>
      </x:c>
      <x:c r="P46" s="324">
        <x:v>0</x:v>
      </x:c>
      <x:c r="Q46" s="324">
        <x:v>0</x:v>
      </x:c>
      <x:c r="R46" s="324">
        <x:v>0</x:v>
      </x:c>
      <x:c r="S46" s="324">
        <x:v>0</x:v>
      </x:c>
      <x:c r="T46" s="257">
        <x:f t="shared" si="0"/>
        <x:v>0.08</x:v>
      </x:c>
    </x:row>
    <x:row r="47">
      <x:c r="A47" s="148" t="s">
        <x:v>106</x:v>
      </x:c>
      <x:c r="B47">
        <x:v>2</x:v>
      </x:c>
      <x:c r="C47" s="148" t="s">
        <x:v>115</x:v>
      </x:c>
      <x:c r="D47">
        <x:v>212</x:v>
      </x:c>
      <x:c r="E47" s="324">
        <x:v>0</x:v>
      </x:c>
      <x:c r="F47" s="324">
        <x:v>0</x:v>
      </x:c>
      <x:c r="G47" s="324">
        <x:v>0</x:v>
      </x:c>
      <x:c r="H47" s="324">
        <x:v>0.3</x:v>
      </x:c>
      <x:c r="I47" s="324">
        <x:v>0</x:v>
      </x:c>
      <x:c r="J47" s="324">
        <x:v>0.9</x:v>
      </x:c>
      <x:c r="K47" s="324">
        <x:v>0</x:v>
      </x:c>
      <x:c r="L47" s="324">
        <x:v>0</x:v>
      </x:c>
      <x:c r="M47" s="324">
        <x:v>0</x:v>
      </x:c>
      <x:c r="N47" s="324">
        <x:v>0</x:v>
      </x:c>
      <x:c r="O47" s="324">
        <x:v>0</x:v>
      </x:c>
      <x:c r="P47" s="324">
        <x:v>0</x:v>
      </x:c>
      <x:c r="Q47" s="324">
        <x:v>0.8</x:v>
      </x:c>
      <x:c r="R47" s="324">
        <x:v>0</x:v>
      </x:c>
      <x:c r="S47" s="324">
        <x:v>0</x:v>
      </x:c>
      <x:c r="T47" s="257">
        <x:f t="shared" si="0"/>
        <x:v>0.13333333333333333</x:v>
      </x:c>
    </x:row>
    <x:row r="48">
      <x:c r="A48" s="148" t="s">
        <x:v>106</x:v>
      </x:c>
      <x:c r="B48">
        <x:v>2</x:v>
      </x:c>
      <x:c r="C48" s="148" t="s">
        <x:v>115</x:v>
      </x:c>
      <x:c r="D48">
        <x:v>213</x:v>
      </x:c>
      <x:c r="E48" s="324">
        <x:v>0</x:v>
      </x:c>
      <x:c r="F48" s="324">
        <x:v>0</x:v>
      </x:c>
      <x:c r="G48" s="324">
        <x:v>0</x:v>
      </x:c>
      <x:c r="H48" s="324">
        <x:v>0.3</x:v>
      </x:c>
      <x:c r="I48" s="324">
        <x:v>0</x:v>
      </x:c>
      <x:c r="J48" s="324">
        <x:v>0.9</x:v>
      </x:c>
      <x:c r="K48" s="324">
        <x:v>0</x:v>
      </x:c>
      <x:c r="L48" s="324">
        <x:v>0</x:v>
      </x:c>
      <x:c r="M48" s="324">
        <x:v>0</x:v>
      </x:c>
      <x:c r="N48" s="324">
        <x:v>0</x:v>
      </x:c>
      <x:c r="O48" s="324">
        <x:v>0</x:v>
      </x:c>
      <x:c r="P48" s="324">
        <x:v>0</x:v>
      </x:c>
      <x:c r="Q48" s="324">
        <x:v>0</x:v>
      </x:c>
      <x:c r="R48" s="324">
        <x:v>0</x:v>
      </x:c>
      <x:c r="S48" s="324">
        <x:v>0</x:v>
      </x:c>
      <x:c r="T48" s="257">
        <x:f t="shared" si="0"/>
        <x:v>0.08</x:v>
      </x:c>
    </x:row>
    <x:row r="49">
      <x:c r="A49" s="148" t="s">
        <x:v>106</x:v>
      </x:c>
      <x:c r="B49">
        <x:v>2</x:v>
      </x:c>
      <x:c r="C49" s="148" t="s">
        <x:v>115</x:v>
      </x:c>
      <x:c r="D49">
        <x:v>214</x:v>
      </x:c>
      <x:c r="E49" s="324">
        <x:v>0</x:v>
      </x:c>
      <x:c r="F49" s="324">
        <x:v>0</x:v>
      </x:c>
      <x:c r="G49" s="324">
        <x:v>0</x:v>
      </x:c>
      <x:c r="H49" s="324">
        <x:v>0.3</x:v>
      </x:c>
      <x:c r="I49" s="324">
        <x:v>0</x:v>
      </x:c>
      <x:c r="J49" s="324">
        <x:v>0</x:v>
      </x:c>
      <x:c r="K49" s="324">
        <x:v>0</x:v>
      </x:c>
      <x:c r="L49" s="324">
        <x:v>0</x:v>
      </x:c>
      <x:c r="M49" s="324">
        <x:v>0</x:v>
      </x:c>
      <x:c r="N49" s="324">
        <x:v>0</x:v>
      </x:c>
      <x:c r="O49" s="324">
        <x:v>0</x:v>
      </x:c>
      <x:c r="P49" s="324">
        <x:v>0</x:v>
      </x:c>
      <x:c r="Q49" s="324">
        <x:v>0.3</x:v>
      </x:c>
      <x:c r="R49" s="324">
        <x:v>0</x:v>
      </x:c>
      <x:c r="S49" s="324">
        <x:v>0</x:v>
      </x:c>
      <x:c r="T49" s="257">
        <x:f t="shared" si="0"/>
        <x:v>0.04</x:v>
      </x:c>
    </x:row>
    <x:row r="50">
      <x:c r="A50" s="148" t="s">
        <x:v>106</x:v>
      </x:c>
      <x:c r="B50">
        <x:v>2</x:v>
      </x:c>
      <x:c r="C50" s="148" t="s">
        <x:v>115</x:v>
      </x:c>
      <x:c r="D50">
        <x:v>215</x:v>
      </x:c>
      <x:c r="E50" s="324">
        <x:v>0</x:v>
      </x:c>
      <x:c r="F50" s="324">
        <x:v>0</x:v>
      </x:c>
      <x:c r="G50" s="324">
        <x:v>0</x:v>
      </x:c>
      <x:c r="H50" s="324">
        <x:v>0.3</x:v>
      </x:c>
      <x:c r="I50" s="324">
        <x:v>0</x:v>
      </x:c>
      <x:c r="J50" s="324">
        <x:v>0</x:v>
      </x:c>
      <x:c r="K50" s="324">
        <x:v>0</x:v>
      </x:c>
      <x:c r="L50" s="324">
        <x:v>0</x:v>
      </x:c>
      <x:c r="M50" s="324">
        <x:v>0</x:v>
      </x:c>
      <x:c r="N50" s="324">
        <x:v>0</x:v>
      </x:c>
      <x:c r="O50" s="324">
        <x:v>0</x:v>
      </x:c>
      <x:c r="P50" s="324">
        <x:v>0</x:v>
      </x:c>
      <x:c r="Q50" s="324">
        <x:v>0.3</x:v>
      </x:c>
      <x:c r="R50" s="324">
        <x:v>0</x:v>
      </x:c>
      <x:c r="S50" s="324">
        <x:v>0</x:v>
      </x:c>
      <x:c r="T50" s="257">
        <x:f t="shared" si="0"/>
        <x:v>0.04</x:v>
      </x:c>
    </x:row>
    <x:row r="51">
      <x:c r="A51" s="148" t="s">
        <x:v>106</x:v>
      </x:c>
      <x:c r="B51">
        <x:v>2</x:v>
      </x:c>
      <x:c r="C51" s="148" t="s">
        <x:v>115</x:v>
      </x:c>
      <x:c r="D51">
        <x:v>216</x:v>
      </x:c>
      <x:c r="E51" s="324">
        <x:v>0</x:v>
      </x:c>
      <x:c r="F51" s="324">
        <x:v>0</x:v>
      </x:c>
      <x:c r="G51" s="324">
        <x:v>0</x:v>
      </x:c>
      <x:c r="H51" s="324">
        <x:v>0</x:v>
      </x:c>
      <x:c r="I51" s="324">
        <x:v>0</x:v>
      </x:c>
      <x:c r="J51" s="324">
        <x:v>0</x:v>
      </x:c>
      <x:c r="K51" s="324">
        <x:v>0</x:v>
      </x:c>
      <x:c r="L51" s="324">
        <x:v>0</x:v>
      </x:c>
      <x:c r="M51" s="324">
        <x:v>0</x:v>
      </x:c>
      <x:c r="N51" s="324">
        <x:v>0</x:v>
      </x:c>
      <x:c r="O51" s="324">
        <x:v>0</x:v>
      </x:c>
      <x:c r="P51" s="324">
        <x:v>0</x:v>
      </x:c>
      <x:c r="Q51" s="324">
        <x:v>0.3</x:v>
      </x:c>
      <x:c r="R51" s="324">
        <x:v>0</x:v>
      </x:c>
      <x:c r="S51" s="324">
        <x:v>0</x:v>
      </x:c>
      <x:c r="T51" s="257">
        <x:f t="shared" si="0"/>
        <x:v>0.02</x:v>
      </x:c>
    </x:row>
    <x:row r="52">
      <x:c r="A52" s="148" t="s">
        <x:v>106</x:v>
      </x:c>
      <x:c r="B52">
        <x:v>2</x:v>
      </x:c>
      <x:c r="C52" s="148" t="s">
        <x:v>115</x:v>
      </x:c>
      <x:c r="D52">
        <x:v>217</x:v>
      </x:c>
      <x:c r="E52" s="324">
        <x:v>0</x:v>
      </x:c>
      <x:c r="F52" s="324">
        <x:v>0</x:v>
      </x:c>
      <x:c r="G52" s="324">
        <x:v>0</x:v>
      </x:c>
      <x:c r="H52" s="324">
        <x:v>0.2</x:v>
      </x:c>
      <x:c r="I52" s="324">
        <x:v>0</x:v>
      </x:c>
      <x:c r="J52" s="324">
        <x:v>0</x:v>
      </x:c>
      <x:c r="K52" s="324">
        <x:v>0</x:v>
      </x:c>
      <x:c r="L52" s="324">
        <x:v>0</x:v>
      </x:c>
      <x:c r="M52" s="324">
        <x:v>0</x:v>
      </x:c>
      <x:c r="N52" s="324">
        <x:v>0</x:v>
      </x:c>
      <x:c r="O52" s="324">
        <x:v>0</x:v>
      </x:c>
      <x:c r="P52" s="324">
        <x:v>0</x:v>
      </x:c>
      <x:c r="Q52" s="324">
        <x:v>0</x:v>
      </x:c>
      <x:c r="R52" s="324">
        <x:v>0</x:v>
      </x:c>
      <x:c r="S52" s="324">
        <x:v>0</x:v>
      </x:c>
      <x:c r="T52" s="257">
        <x:f t="shared" si="0"/>
        <x:v>1.3333333333333334E-2</x:v>
      </x:c>
    </x:row>
    <x:row r="53">
      <x:c r="A53" s="148" t="s">
        <x:v>106</x:v>
      </x:c>
      <x:c r="B53">
        <x:v>2</x:v>
      </x:c>
      <x:c r="C53" s="148" t="s">
        <x:v>115</x:v>
      </x:c>
      <x:c r="D53">
        <x:v>218</x:v>
      </x:c>
      <x:c r="E53" s="324">
        <x:v>0</x:v>
      </x:c>
      <x:c r="F53" s="324">
        <x:v>0</x:v>
      </x:c>
      <x:c r="G53" s="324">
        <x:v>0</x:v>
      </x:c>
      <x:c r="H53" s="324">
        <x:v>0</x:v>
      </x:c>
      <x:c r="I53" s="324">
        <x:v>0</x:v>
      </x:c>
      <x:c r="J53" s="324">
        <x:v>0</x:v>
      </x:c>
      <x:c r="K53" s="324">
        <x:v>0</x:v>
      </x:c>
      <x:c r="L53" s="324">
        <x:v>0</x:v>
      </x:c>
      <x:c r="M53" s="324">
        <x:v>0</x:v>
      </x:c>
      <x:c r="N53" s="324">
        <x:v>0</x:v>
      </x:c>
      <x:c r="O53" s="324">
        <x:v>0</x:v>
      </x:c>
      <x:c r="P53" s="324">
        <x:v>0</x:v>
      </x:c>
      <x:c r="Q53" s="324">
        <x:v>0</x:v>
      </x:c>
      <x:c r="R53" s="324">
        <x:v>0</x:v>
      </x:c>
      <x:c r="S53" s="324">
        <x:v>0</x:v>
      </x:c>
      <x:c r="T53" s="257">
        <x:f t="shared" si="0"/>
        <x:v>0</x:v>
      </x:c>
    </x:row>
    <x:row r="54">
      <x:c r="A54" s="148" t="s">
        <x:v>106</x:v>
      </x:c>
      <x:c r="B54">
        <x:v>2</x:v>
      </x:c>
      <x:c r="C54" s="148" t="s">
        <x:v>115</x:v>
      </x:c>
      <x:c r="D54">
        <x:v>219</x:v>
      </x:c>
      <x:c r="E54" s="324">
        <x:v>0</x:v>
      </x:c>
      <x:c r="F54" s="324">
        <x:v>0</x:v>
      </x:c>
      <x:c r="G54" s="324">
        <x:v>0</x:v>
      </x:c>
      <x:c r="H54" s="324">
        <x:v>0.3</x:v>
      </x:c>
      <x:c r="I54" s="324">
        <x:v>0</x:v>
      </x:c>
      <x:c r="J54" s="324">
        <x:v>0</x:v>
      </x:c>
      <x:c r="K54" s="324">
        <x:v>0</x:v>
      </x:c>
      <x:c r="L54" s="324">
        <x:v>0</x:v>
      </x:c>
      <x:c r="M54" s="324">
        <x:v>0</x:v>
      </x:c>
      <x:c r="N54" s="324">
        <x:v>0</x:v>
      </x:c>
      <x:c r="O54" s="324">
        <x:v>0</x:v>
      </x:c>
      <x:c r="P54" s="324">
        <x:v>0</x:v>
      </x:c>
      <x:c r="Q54" s="324">
        <x:v>0</x:v>
      </x:c>
      <x:c r="R54" s="324">
        <x:v>0</x:v>
      </x:c>
      <x:c r="S54" s="324">
        <x:v>0</x:v>
      </x:c>
      <x:c r="T54" s="257">
        <x:f t="shared" si="0"/>
        <x:v>0.02</x:v>
      </x:c>
    </x:row>
    <x:row r="55">
      <x:c r="A55" s="148" t="s">
        <x:v>106</x:v>
      </x:c>
      <x:c r="B55">
        <x:v>2</x:v>
      </x:c>
      <x:c r="C55" s="148" t="s">
        <x:v>115</x:v>
      </x:c>
      <x:c r="D55">
        <x:v>220</x:v>
      </x:c>
      <x:c r="E55" s="324">
        <x:v>0</x:v>
      </x:c>
      <x:c r="F55" s="324">
        <x:v>0</x:v>
      </x:c>
      <x:c r="G55" s="324">
        <x:v>0</x:v>
      </x:c>
      <x:c r="H55" s="324">
        <x:v>0.3</x:v>
      </x:c>
      <x:c r="I55" s="324">
        <x:v>0</x:v>
      </x:c>
      <x:c r="J55" s="324">
        <x:v>0</x:v>
      </x:c>
      <x:c r="K55" s="324">
        <x:v>0</x:v>
      </x:c>
      <x:c r="L55" s="324">
        <x:v>0</x:v>
      </x:c>
      <x:c r="M55" s="324">
        <x:v>0</x:v>
      </x:c>
      <x:c r="N55" s="324">
        <x:v>0</x:v>
      </x:c>
      <x:c r="O55" s="324">
        <x:v>0</x:v>
      </x:c>
      <x:c r="P55" s="324">
        <x:v>0</x:v>
      </x:c>
      <x:c r="Q55" s="324">
        <x:v>0.8</x:v>
      </x:c>
      <x:c r="R55" s="324">
        <x:v>0</x:v>
      </x:c>
      <x:c r="S55" s="324">
        <x:v>0</x:v>
      </x:c>
      <x:c r="T55" s="257">
        <x:f t="shared" si="0"/>
        <x:v>7.3333333333333334E-2</x:v>
      </x:c>
    </x:row>
    <x:row r="56">
      <x:c r="A56" s="148" t="s">
        <x:v>106</x:v>
      </x:c>
      <x:c r="B56">
        <x:v>2</x:v>
      </x:c>
      <x:c r="C56" s="148" t="s">
        <x:v>115</x:v>
      </x:c>
      <x:c r="D56">
        <x:v>221</x:v>
      </x:c>
      <x:c r="E56" s="324">
        <x:v>0</x:v>
      </x:c>
      <x:c r="F56" s="324">
        <x:v>0</x:v>
      </x:c>
      <x:c r="G56" s="324">
        <x:v>0</x:v>
      </x:c>
      <x:c r="H56" s="324">
        <x:v>0.3</x:v>
      </x:c>
      <x:c r="I56" s="324">
        <x:v>0</x:v>
      </x:c>
      <x:c r="J56" s="324">
        <x:v>0.9</x:v>
      </x:c>
      <x:c r="K56" s="324">
        <x:v>0</x:v>
      </x:c>
      <x:c r="L56" s="324">
        <x:v>0</x:v>
      </x:c>
      <x:c r="M56" s="324">
        <x:v>0</x:v>
      </x:c>
      <x:c r="N56" s="324">
        <x:v>0</x:v>
      </x:c>
      <x:c r="O56" s="324">
        <x:v>0</x:v>
      </x:c>
      <x:c r="P56" s="324">
        <x:v>0</x:v>
      </x:c>
      <x:c r="Q56" s="324">
        <x:v>0</x:v>
      </x:c>
      <x:c r="R56" s="324">
        <x:v>0</x:v>
      </x:c>
      <x:c r="S56" s="324">
        <x:v>0</x:v>
      </x:c>
      <x:c r="T56" s="257">
        <x:f t="shared" si="0"/>
        <x:v>0.08</x:v>
      </x:c>
    </x:row>
    <x:row r="57">
      <x:c r="A57" s="148"/>
      <x:c r="B57"/>
      <x:c r="C57" s="148"/>
      <x:c r="D57" s="148"/>
      <x:c r="E57" s="324"/>
      <x:c r="F57" s="324">
        <x:f t="shared" ref="F57:S57" si="2">AVERAGE(F14:F56)</x:f>
      </x:c>
      <x:c r="G57" s="324">
        <x:f t="shared" si="2"/>
      </x:c>
      <x:c r="H57" s="324">
        <x:f t="shared" si="2"/>
      </x:c>
      <x:c r="I57" s="324">
        <x:f t="shared" si="2"/>
      </x:c>
      <x:c r="J57" s="324">
        <x:f t="shared" si="2"/>
      </x:c>
      <x:c r="K57" s="324">
        <x:f t="shared" si="2"/>
      </x:c>
      <x:c r="L57" s="324">
        <x:f t="shared" si="2"/>
      </x:c>
      <x:c r="M57" s="324">
        <x:f t="shared" si="2"/>
      </x:c>
      <x:c r="N57" s="324">
        <x:f t="shared" si="2"/>
      </x:c>
      <x:c r="O57" s="324">
        <x:f t="shared" si="2"/>
      </x:c>
      <x:c r="P57" s="324">
        <x:f t="shared" si="2"/>
      </x:c>
      <x:c r="Q57" s="324">
        <x:f t="shared" si="2"/>
      </x:c>
      <x:c r="R57" s="324">
        <x:f t="shared" si="2"/>
      </x:c>
      <x:c r="S57" s="324">
        <x:f t="shared" si="2"/>
      </x:c>
      <x:c r="T57" s="257">
        <x:f t="shared" si="0"/>
      </x:c>
    </x:row>
    <x:row r="58">
      <x:c r="A58" s="148" t="s">
        <x:v>106</x:v>
      </x:c>
      <x:c r="B58">
        <x:v>3</x:v>
      </x:c>
      <x:c r="C58" s="148" t="s">
        <x:v>116</x:v>
      </x:c>
      <x:c r="D58">
        <x:v>301</x:v>
      </x:c>
      <x:c r="E58" s="324">
        <x:v>0</x:v>
      </x:c>
      <x:c r="F58" s="324">
        <x:v>0</x:v>
      </x:c>
      <x:c r="G58" s="324">
        <x:v>0</x:v>
      </x:c>
      <x:c r="H58" s="324">
        <x:v>0</x:v>
      </x:c>
      <x:c r="I58" s="324">
        <x:v>0</x:v>
      </x:c>
      <x:c r="J58" s="324">
        <x:v>0</x:v>
      </x:c>
      <x:c r="K58" s="324">
        <x:v>0</x:v>
      </x:c>
      <x:c r="L58" s="324">
        <x:v>0</x:v>
      </x:c>
      <x:c r="M58" s="324">
        <x:v>0</x:v>
      </x:c>
      <x:c r="N58" s="324">
        <x:v>0</x:v>
      </x:c>
      <x:c r="O58" s="324">
        <x:v>0</x:v>
      </x:c>
      <x:c r="P58" s="324">
        <x:v>0</x:v>
      </x:c>
      <x:c r="Q58" s="324">
        <x:v>0</x:v>
      </x:c>
      <x:c r="R58" s="324">
        <x:v>0</x:v>
      </x:c>
      <x:c r="S58" s="324">
        <x:v>0</x:v>
      </x:c>
      <x:c r="T58" s="257">
        <x:f t="shared" si="0"/>
        <x:v>0</x:v>
      </x:c>
    </x:row>
    <x:row r="59">
      <x:c r="A59" s="148" t="s">
        <x:v>106</x:v>
      </x:c>
      <x:c r="B59">
        <x:v>3</x:v>
      </x:c>
      <x:c r="C59" s="148" t="s">
        <x:v>116</x:v>
      </x:c>
      <x:c r="D59">
        <x:v>302</x:v>
      </x:c>
      <x:c r="E59" s="324">
        <x:v>0</x:v>
      </x:c>
      <x:c r="F59" s="324">
        <x:v>0</x:v>
      </x:c>
      <x:c r="G59" s="324">
        <x:v>0</x:v>
      </x:c>
      <x:c r="H59" s="324">
        <x:v>0</x:v>
      </x:c>
      <x:c r="I59" s="324">
        <x:v>0</x:v>
      </x:c>
      <x:c r="J59" s="324">
        <x:v>0</x:v>
      </x:c>
      <x:c r="K59" s="324">
        <x:v>0</x:v>
      </x:c>
      <x:c r="L59" s="324">
        <x:v>0</x:v>
      </x:c>
      <x:c r="M59" s="324">
        <x:v>0</x:v>
      </x:c>
      <x:c r="N59" s="324">
        <x:v>0</x:v>
      </x:c>
      <x:c r="O59" s="324">
        <x:v>0</x:v>
      </x:c>
      <x:c r="P59" s="324">
        <x:v>0</x:v>
      </x:c>
      <x:c r="Q59" s="324">
        <x:v>0</x:v>
      </x:c>
      <x:c r="R59" s="324">
        <x:v>0</x:v>
      </x:c>
      <x:c r="S59" s="324">
        <x:v>0</x:v>
      </x:c>
      <x:c r="T59" s="257">
        <x:f t="shared" si="0"/>
        <x:v>0</x:v>
      </x:c>
    </x:row>
    <x:row r="60">
      <x:c r="A60" s="148" t="s">
        <x:v>106</x:v>
      </x:c>
      <x:c r="B60">
        <x:v>3</x:v>
      </x:c>
      <x:c r="C60" s="148" t="s">
        <x:v>116</x:v>
      </x:c>
      <x:c r="D60">
        <x:v>303</x:v>
      </x:c>
      <x:c r="E60" s="324">
        <x:v>0</x:v>
      </x:c>
      <x:c r="F60" s="324">
        <x:v>0</x:v>
      </x:c>
      <x:c r="G60" s="324">
        <x:v>0</x:v>
      </x:c>
      <x:c r="H60" s="324">
        <x:v>0</x:v>
      </x:c>
      <x:c r="I60" s="324">
        <x:v>0</x:v>
      </x:c>
      <x:c r="J60" s="324">
        <x:v>0</x:v>
      </x:c>
      <x:c r="K60" s="324">
        <x:v>0</x:v>
      </x:c>
      <x:c r="L60" s="324">
        <x:v>0</x:v>
      </x:c>
      <x:c r="M60" s="324">
        <x:v>0</x:v>
      </x:c>
      <x:c r="N60" s="324">
        <x:v>0</x:v>
      </x:c>
      <x:c r="O60" s="324">
        <x:v>0</x:v>
      </x:c>
      <x:c r="P60" s="324">
        <x:v>0</x:v>
      </x:c>
      <x:c r="Q60" s="324">
        <x:v>0</x:v>
      </x:c>
      <x:c r="R60" s="324">
        <x:v>0</x:v>
      </x:c>
      <x:c r="S60" s="324">
        <x:v>0</x:v>
      </x:c>
      <x:c r="T60" s="257">
        <x:f t="shared" si="0"/>
        <x:v>0</x:v>
      </x:c>
    </x:row>
    <x:row r="61">
      <x:c r="A61" s="148" t="s">
        <x:v>106</x:v>
      </x:c>
      <x:c r="B61">
        <x:v>3</x:v>
      </x:c>
      <x:c r="C61" s="148" t="s">
        <x:v>116</x:v>
      </x:c>
      <x:c r="D61">
        <x:v>304</x:v>
      </x:c>
      <x:c r="E61" s="324">
        <x:v>0</x:v>
      </x:c>
      <x:c r="F61" s="324">
        <x:v>0</x:v>
      </x:c>
      <x:c r="G61" s="324">
        <x:v>0</x:v>
      </x:c>
      <x:c r="H61" s="324">
        <x:v>0</x:v>
      </x:c>
      <x:c r="I61" s="324">
        <x:v>0</x:v>
      </x:c>
      <x:c r="J61" s="324">
        <x:v>0</x:v>
      </x:c>
      <x:c r="K61" s="324">
        <x:v>0</x:v>
      </x:c>
      <x:c r="L61" s="324">
        <x:v>0</x:v>
      </x:c>
      <x:c r="M61" s="324">
        <x:v>0</x:v>
      </x:c>
      <x:c r="N61" s="324">
        <x:v>0</x:v>
      </x:c>
      <x:c r="O61" s="324">
        <x:v>0</x:v>
      </x:c>
      <x:c r="P61" s="324">
        <x:v>0</x:v>
      </x:c>
      <x:c r="Q61" s="324">
        <x:v>0</x:v>
      </x:c>
      <x:c r="R61" s="324">
        <x:v>0</x:v>
      </x:c>
      <x:c r="S61" s="324">
        <x:v>0</x:v>
      </x:c>
      <x:c r="T61" s="257">
        <x:f t="shared" si="0"/>
        <x:v>0</x:v>
      </x:c>
    </x:row>
    <x:row r="62">
      <x:c r="A62" s="148" t="s">
        <x:v>106</x:v>
      </x:c>
      <x:c r="B62">
        <x:v>3</x:v>
      </x:c>
      <x:c r="C62" s="148" t="s">
        <x:v>116</x:v>
      </x:c>
      <x:c r="D62">
        <x:v>305</x:v>
      </x:c>
      <x:c r="E62" s="324">
        <x:v>0.9</x:v>
      </x:c>
      <x:c r="F62" s="324">
        <x:v>0</x:v>
      </x:c>
      <x:c r="G62" s="324">
        <x:v>0</x:v>
      </x:c>
      <x:c r="H62" s="324">
        <x:v>0</x:v>
      </x:c>
      <x:c r="I62" s="324">
        <x:v>0</x:v>
      </x:c>
      <x:c r="J62" s="324">
        <x:v>0</x:v>
      </x:c>
      <x:c r="K62" s="324">
        <x:v>0</x:v>
      </x:c>
      <x:c r="L62" s="324">
        <x:v>0</x:v>
      </x:c>
      <x:c r="M62" s="324">
        <x:v>0</x:v>
      </x:c>
      <x:c r="N62" s="324">
        <x:v>0.1</x:v>
      </x:c>
      <x:c r="O62" s="324">
        <x:v>0</x:v>
      </x:c>
      <x:c r="P62" s="324">
        <x:v>0</x:v>
      </x:c>
      <x:c r="Q62" s="324">
        <x:v>0</x:v>
      </x:c>
      <x:c r="R62" s="324">
        <x:v>0</x:v>
      </x:c>
      <x:c r="S62" s="324">
        <x:v>0</x:v>
      </x:c>
      <x:c r="T62" s="257">
        <x:f t="shared" si="0"/>
        <x:v>6.6666666666666666E-2</x:v>
      </x:c>
    </x:row>
    <x:row r="63">
      <x:c r="A63" s="148" t="s">
        <x:v>106</x:v>
      </x:c>
      <x:c r="B63">
        <x:v>3</x:v>
      </x:c>
      <x:c r="C63" s="148" t="s">
        <x:v>116</x:v>
      </x:c>
      <x:c r="D63">
        <x:v>306</x:v>
      </x:c>
      <x:c r="E63" s="324">
        <x:v>0</x:v>
      </x:c>
      <x:c r="F63" s="324">
        <x:v>0</x:v>
      </x:c>
      <x:c r="G63" s="324">
        <x:v>0</x:v>
      </x:c>
      <x:c r="H63" s="324">
        <x:v>0</x:v>
      </x:c>
      <x:c r="I63" s="324">
        <x:v>0</x:v>
      </x:c>
      <x:c r="J63" s="324">
        <x:v>0</x:v>
      </x:c>
      <x:c r="K63" s="324">
        <x:v>0</x:v>
      </x:c>
      <x:c r="L63" s="324">
        <x:v>0</x:v>
      </x:c>
      <x:c r="M63" s="324">
        <x:v>0</x:v>
      </x:c>
      <x:c r="N63" s="324">
        <x:v>0</x:v>
      </x:c>
      <x:c r="O63" s="324">
        <x:v>0</x:v>
      </x:c>
      <x:c r="P63" s="324">
        <x:v>0</x:v>
      </x:c>
      <x:c r="Q63" s="324">
        <x:v>0</x:v>
      </x:c>
      <x:c r="R63" s="324">
        <x:v>0</x:v>
      </x:c>
      <x:c r="S63" s="324">
        <x:v>0</x:v>
      </x:c>
      <x:c r="T63" s="257">
        <x:f t="shared" si="0"/>
        <x:v>0</x:v>
      </x:c>
    </x:row>
    <x:row r="64">
      <x:c r="A64" s="148" t="s">
        <x:v>106</x:v>
      </x:c>
      <x:c r="B64">
        <x:v>3</x:v>
      </x:c>
      <x:c r="C64" s="148" t="s">
        <x:v>116</x:v>
      </x:c>
      <x:c r="D64">
        <x:v>307</x:v>
      </x:c>
      <x:c r="E64" s="324">
        <x:v>0</x:v>
      </x:c>
      <x:c r="F64" s="324">
        <x:v>0</x:v>
      </x:c>
      <x:c r="G64" s="324">
        <x:v>0</x:v>
      </x:c>
      <x:c r="H64" s="324">
        <x:v>0</x:v>
      </x:c>
      <x:c r="I64" s="324">
        <x:v>0</x:v>
      </x:c>
      <x:c r="J64" s="324">
        <x:v>0</x:v>
      </x:c>
      <x:c r="K64" s="324">
        <x:v>0</x:v>
      </x:c>
      <x:c r="L64" s="324">
        <x:v>0</x:v>
      </x:c>
      <x:c r="M64" s="324">
        <x:v>0</x:v>
      </x:c>
      <x:c r="N64" s="324">
        <x:v>0</x:v>
      </x:c>
      <x:c r="O64" s="324">
        <x:v>0</x:v>
      </x:c>
      <x:c r="P64" s="324">
        <x:v>0</x:v>
      </x:c>
      <x:c r="Q64" s="324">
        <x:v>0</x:v>
      </x:c>
      <x:c r="R64" s="324">
        <x:v>0</x:v>
      </x:c>
      <x:c r="S64" s="324">
        <x:v>0</x:v>
      </x:c>
      <x:c r="T64" s="257">
        <x:f t="shared" si="0"/>
        <x:v>0</x:v>
      </x:c>
    </x:row>
    <x:row r="65">
      <x:c r="A65" s="148" t="s">
        <x:v>106</x:v>
      </x:c>
      <x:c r="B65">
        <x:v>3</x:v>
      </x:c>
      <x:c r="C65" s="148" t="s">
        <x:v>116</x:v>
      </x:c>
      <x:c r="D65">
        <x:v>308</x:v>
      </x:c>
      <x:c r="E65" s="324">
        <x:v>0</x:v>
      </x:c>
      <x:c r="F65" s="324">
        <x:v>0</x:v>
      </x:c>
      <x:c r="G65" s="324">
        <x:v>0</x:v>
      </x:c>
      <x:c r="H65" s="324">
        <x:v>0</x:v>
      </x:c>
      <x:c r="I65" s="324">
        <x:v>0</x:v>
      </x:c>
      <x:c r="J65" s="324">
        <x:v>0</x:v>
      </x:c>
      <x:c r="K65" s="324">
        <x:v>0</x:v>
      </x:c>
      <x:c r="L65" s="324">
        <x:v>0</x:v>
      </x:c>
      <x:c r="M65" s="324">
        <x:v>0</x:v>
      </x:c>
      <x:c r="N65" s="324">
        <x:v>0</x:v>
      </x:c>
      <x:c r="O65" s="324">
        <x:v>0</x:v>
      </x:c>
      <x:c r="P65" s="324">
        <x:v>0</x:v>
      </x:c>
      <x:c r="Q65" s="324">
        <x:v>0</x:v>
      </x:c>
      <x:c r="R65" s="324">
        <x:v>0</x:v>
      </x:c>
      <x:c r="S65" s="324">
        <x:v>0</x:v>
      </x:c>
      <x:c r="T65" s="257">
        <x:f t="shared" si="0"/>
        <x:v>0</x:v>
      </x:c>
    </x:row>
    <x:row r="66">
      <x:c r="A66" s="148" t="s">
        <x:v>106</x:v>
      </x:c>
      <x:c r="B66">
        <x:v>3</x:v>
      </x:c>
      <x:c r="C66" s="148" t="s">
        <x:v>116</x:v>
      </x:c>
      <x:c r="D66">
        <x:v>309</x:v>
      </x:c>
      <x:c r="E66" s="324">
        <x:v>0</x:v>
      </x:c>
      <x:c r="F66" s="324">
        <x:v>0</x:v>
      </x:c>
      <x:c r="G66" s="324">
        <x:v>0</x:v>
      </x:c>
      <x:c r="H66" s="324">
        <x:v>0</x:v>
      </x:c>
      <x:c r="I66" s="324">
        <x:v>0</x:v>
      </x:c>
      <x:c r="J66" s="324">
        <x:v>0</x:v>
      </x:c>
      <x:c r="K66" s="324">
        <x:v>0</x:v>
      </x:c>
      <x:c r="L66" s="324">
        <x:v>0</x:v>
      </x:c>
      <x:c r="M66" s="324">
        <x:v>0</x:v>
      </x:c>
      <x:c r="N66" s="324">
        <x:v>0</x:v>
      </x:c>
      <x:c r="O66" s="324">
        <x:v>0</x:v>
      </x:c>
      <x:c r="P66" s="324">
        <x:v>0</x:v>
      </x:c>
      <x:c r="Q66" s="324">
        <x:v>0</x:v>
      </x:c>
      <x:c r="R66" s="324">
        <x:v>0</x:v>
      </x:c>
      <x:c r="S66" s="324">
        <x:v>0</x:v>
      </x:c>
      <x:c r="T66" s="257">
        <x:f t="shared" si="0"/>
        <x:v>0</x:v>
      </x:c>
    </x:row>
    <x:row r="67">
      <x:c r="A67" s="148" t="s">
        <x:v>106</x:v>
      </x:c>
      <x:c r="B67">
        <x:v>3</x:v>
      </x:c>
      <x:c r="C67" s="148" t="s">
        <x:v>116</x:v>
      </x:c>
      <x:c r="D67">
        <x:v>310</x:v>
      </x:c>
      <x:c r="E67" s="324">
        <x:v>0</x:v>
      </x:c>
      <x:c r="F67" s="324">
        <x:v>0</x:v>
      </x:c>
      <x:c r="G67" s="324">
        <x:v>0</x:v>
      </x:c>
      <x:c r="H67" s="324">
        <x:v>0</x:v>
      </x:c>
      <x:c r="I67" s="324">
        <x:v>0</x:v>
      </x:c>
      <x:c r="J67" s="324">
        <x:v>0</x:v>
      </x:c>
      <x:c r="K67" s="324">
        <x:v>0</x:v>
      </x:c>
      <x:c r="L67" s="324">
        <x:v>0</x:v>
      </x:c>
      <x:c r="M67" s="324">
        <x:v>0</x:v>
      </x:c>
      <x:c r="N67" s="324">
        <x:v>0</x:v>
      </x:c>
      <x:c r="O67" s="324">
        <x:v>0</x:v>
      </x:c>
      <x:c r="P67" s="324">
        <x:v>0</x:v>
      </x:c>
      <x:c r="Q67" s="324">
        <x:v>0</x:v>
      </x:c>
      <x:c r="R67" s="324">
        <x:v>0</x:v>
      </x:c>
      <x:c r="S67" s="324">
        <x:v>0</x:v>
      </x:c>
      <x:c r="T67" s="257" t="n">
        <x:f t="shared" ref="T67:T130" si="3">AVERAGE(E67:S67)</x:f>
        <x:v>0</x:v>
      </x:c>
    </x:row>
    <x:row r="68">
      <x:c r="A68" s="148" t="s">
        <x:v>106</x:v>
      </x:c>
      <x:c r="B68">
        <x:v>3</x:v>
      </x:c>
      <x:c r="C68" s="148" t="s">
        <x:v>116</x:v>
      </x:c>
      <x:c r="D68">
        <x:v>311</x:v>
      </x:c>
      <x:c r="E68" s="324">
        <x:v>0</x:v>
      </x:c>
      <x:c r="F68" s="324">
        <x:v>0</x:v>
      </x:c>
      <x:c r="G68" s="324">
        <x:v>0</x:v>
      </x:c>
      <x:c r="H68" s="324">
        <x:v>0</x:v>
      </x:c>
      <x:c r="I68" s="324">
        <x:v>0</x:v>
      </x:c>
      <x:c r="J68" s="324">
        <x:v>0</x:v>
      </x:c>
      <x:c r="K68" s="324">
        <x:v>0</x:v>
      </x:c>
      <x:c r="L68" s="324">
        <x:v>0</x:v>
      </x:c>
      <x:c r="M68" s="324">
        <x:v>0</x:v>
      </x:c>
      <x:c r="N68" s="324">
        <x:v>0</x:v>
      </x:c>
      <x:c r="O68" s="324">
        <x:v>0</x:v>
      </x:c>
      <x:c r="P68" s="324">
        <x:v>0</x:v>
      </x:c>
      <x:c r="Q68" s="324">
        <x:v>0</x:v>
      </x:c>
      <x:c r="R68" s="324">
        <x:v>0</x:v>
      </x:c>
      <x:c r="S68" s="324">
        <x:v>0</x:v>
      </x:c>
      <x:c r="T68" s="257">
        <x:f t="shared" si="3"/>
        <x:v>0</x:v>
      </x:c>
    </x:row>
    <x:row r="69">
      <x:c r="A69" s="148" t="s">
        <x:v>106</x:v>
      </x:c>
      <x:c r="B69">
        <x:v>3</x:v>
      </x:c>
      <x:c r="C69" s="148" t="s">
        <x:v>116</x:v>
      </x:c>
      <x:c r="D69">
        <x:v>312</x:v>
      </x:c>
      <x:c r="E69" s="324">
        <x:v>0</x:v>
      </x:c>
      <x:c r="F69" s="324">
        <x:v>0</x:v>
      </x:c>
      <x:c r="G69" s="324">
        <x:v>0</x:v>
      </x:c>
      <x:c r="H69" s="324">
        <x:v>0</x:v>
      </x:c>
      <x:c r="I69" s="324">
        <x:v>0</x:v>
      </x:c>
      <x:c r="J69" s="324">
        <x:v>0</x:v>
      </x:c>
      <x:c r="K69" s="324">
        <x:v>0</x:v>
      </x:c>
      <x:c r="L69" s="324">
        <x:v>0</x:v>
      </x:c>
      <x:c r="M69" s="324">
        <x:v>0</x:v>
      </x:c>
      <x:c r="N69" s="324">
        <x:v>0</x:v>
      </x:c>
      <x:c r="O69" s="324">
        <x:v>0</x:v>
      </x:c>
      <x:c r="P69" s="324">
        <x:v>0</x:v>
      </x:c>
      <x:c r="Q69" s="324">
        <x:v>0</x:v>
      </x:c>
      <x:c r="R69" s="324">
        <x:v>0</x:v>
      </x:c>
      <x:c r="S69" s="324">
        <x:v>0</x:v>
      </x:c>
      <x:c r="T69" s="257">
        <x:f t="shared" si="3"/>
        <x:v>0</x:v>
      </x:c>
    </x:row>
    <x:row r="70">
      <x:c r="A70" s="148" t="s">
        <x:v>106</x:v>
      </x:c>
      <x:c r="B70">
        <x:v>3</x:v>
      </x:c>
      <x:c r="C70" s="148" t="s">
        <x:v>116</x:v>
      </x:c>
      <x:c r="D70">
        <x:v>313</x:v>
      </x:c>
      <x:c r="E70" s="324">
        <x:v>0</x:v>
      </x:c>
      <x:c r="F70" s="324">
        <x:v>0</x:v>
      </x:c>
      <x:c r="G70" s="324">
        <x:v>0</x:v>
      </x:c>
      <x:c r="H70" s="324">
        <x:v>0</x:v>
      </x:c>
      <x:c r="I70" s="324">
        <x:v>0</x:v>
      </x:c>
      <x:c r="J70" s="324">
        <x:v>0</x:v>
      </x:c>
      <x:c r="K70" s="324">
        <x:v>0</x:v>
      </x:c>
      <x:c r="L70" s="324">
        <x:v>0</x:v>
      </x:c>
      <x:c r="M70" s="324">
        <x:v>0</x:v>
      </x:c>
      <x:c r="N70" s="324">
        <x:v>0</x:v>
      </x:c>
      <x:c r="O70" s="324">
        <x:v>0</x:v>
      </x:c>
      <x:c r="P70" s="324">
        <x:v>0</x:v>
      </x:c>
      <x:c r="Q70" s="324">
        <x:v>0</x:v>
      </x:c>
      <x:c r="R70" s="324">
        <x:v>0</x:v>
      </x:c>
      <x:c r="S70" s="324">
        <x:v>0</x:v>
      </x:c>
      <x:c r="T70" s="257">
        <x:f t="shared" si="3"/>
        <x:v>0</x:v>
      </x:c>
    </x:row>
    <x:row r="71">
      <x:c r="A71" s="148" t="s">
        <x:v>106</x:v>
      </x:c>
      <x:c r="B71">
        <x:v>3</x:v>
      </x:c>
      <x:c r="C71" s="148" t="s">
        <x:v>116</x:v>
      </x:c>
      <x:c r="D71">
        <x:v>314</x:v>
      </x:c>
      <x:c r="E71" s="324">
        <x:v>0</x:v>
      </x:c>
      <x:c r="F71" s="324">
        <x:v>0</x:v>
      </x:c>
      <x:c r="G71" s="324">
        <x:v>0</x:v>
      </x:c>
      <x:c r="H71" s="324">
        <x:v>0</x:v>
      </x:c>
      <x:c r="I71" s="324">
        <x:v>0</x:v>
      </x:c>
      <x:c r="J71" s="324">
        <x:v>0</x:v>
      </x:c>
      <x:c r="K71" s="324">
        <x:v>0</x:v>
      </x:c>
      <x:c r="L71" s="324">
        <x:v>0</x:v>
      </x:c>
      <x:c r="M71" s="324">
        <x:v>0</x:v>
      </x:c>
      <x:c r="N71" s="324">
        <x:v>0</x:v>
      </x:c>
      <x:c r="O71" s="324">
        <x:v>0</x:v>
      </x:c>
      <x:c r="P71" s="324">
        <x:v>0</x:v>
      </x:c>
      <x:c r="Q71" s="324">
        <x:v>0</x:v>
      </x:c>
      <x:c r="R71" s="324">
        <x:v>0</x:v>
      </x:c>
      <x:c r="S71" s="324">
        <x:v>0</x:v>
      </x:c>
      <x:c r="T71" s="257">
        <x:f t="shared" si="3"/>
        <x:v>0</x:v>
      </x:c>
    </x:row>
    <x:row r="72">
      <x:c r="A72" s="148" t="s">
        <x:v>106</x:v>
      </x:c>
      <x:c r="B72">
        <x:v>3</x:v>
      </x:c>
      <x:c r="C72" s="148" t="s">
        <x:v>116</x:v>
      </x:c>
      <x:c r="D72">
        <x:v>315</x:v>
      </x:c>
      <x:c r="E72" s="324">
        <x:v>0</x:v>
      </x:c>
      <x:c r="F72" s="324">
        <x:v>0</x:v>
      </x:c>
      <x:c r="G72" s="324">
        <x:v>0</x:v>
      </x:c>
      <x:c r="H72" s="324">
        <x:v>0</x:v>
      </x:c>
      <x:c r="I72" s="324">
        <x:v>0</x:v>
      </x:c>
      <x:c r="J72" s="324">
        <x:v>0</x:v>
      </x:c>
      <x:c r="K72" s="324">
        <x:v>0</x:v>
      </x:c>
      <x:c r="L72" s="324">
        <x:v>0</x:v>
      </x:c>
      <x:c r="M72" s="324">
        <x:v>0</x:v>
      </x:c>
      <x:c r="N72" s="324">
        <x:v>0</x:v>
      </x:c>
      <x:c r="O72" s="324">
        <x:v>0</x:v>
      </x:c>
      <x:c r="P72" s="324">
        <x:v>0</x:v>
      </x:c>
      <x:c r="Q72" s="324">
        <x:v>0</x:v>
      </x:c>
      <x:c r="R72" s="324">
        <x:v>0</x:v>
      </x:c>
      <x:c r="S72" s="324">
        <x:v>0</x:v>
      </x:c>
      <x:c r="T72" s="257">
        <x:f t="shared" si="3"/>
        <x:v>0</x:v>
      </x:c>
    </x:row>
    <x:row r="73">
      <x:c r="A73" s="148" t="s">
        <x:v>106</x:v>
      </x:c>
      <x:c r="B73">
        <x:v>3</x:v>
      </x:c>
      <x:c r="C73" s="148" t="s">
        <x:v>116</x:v>
      </x:c>
      <x:c r="D73">
        <x:v>316</x:v>
      </x:c>
      <x:c r="E73" s="324">
        <x:v>0</x:v>
      </x:c>
      <x:c r="F73" s="324">
        <x:v>0</x:v>
      </x:c>
      <x:c r="G73" s="324">
        <x:v>0</x:v>
      </x:c>
      <x:c r="H73" s="324">
        <x:v>0</x:v>
      </x:c>
      <x:c r="I73" s="324">
        <x:v>0</x:v>
      </x:c>
      <x:c r="J73" s="324">
        <x:v>0</x:v>
      </x:c>
      <x:c r="K73" s="324">
        <x:v>0</x:v>
      </x:c>
      <x:c r="L73" s="324">
        <x:v>0</x:v>
      </x:c>
      <x:c r="M73" s="324">
        <x:v>0</x:v>
      </x:c>
      <x:c r="N73" s="324">
        <x:v>0</x:v>
      </x:c>
      <x:c r="O73" s="324">
        <x:v>0</x:v>
      </x:c>
      <x:c r="P73" s="324">
        <x:v>0</x:v>
      </x:c>
      <x:c r="Q73" s="324">
        <x:v>0</x:v>
      </x:c>
      <x:c r="R73" s="324">
        <x:v>0</x:v>
      </x:c>
      <x:c r="S73" s="324">
        <x:v>0</x:v>
      </x:c>
      <x:c r="T73" s="257">
        <x:f t="shared" si="3"/>
        <x:v>0</x:v>
      </x:c>
    </x:row>
    <x:row r="74">
      <x:c r="A74" s="148" t="s">
        <x:v>106</x:v>
      </x:c>
      <x:c r="B74">
        <x:v>3</x:v>
      </x:c>
      <x:c r="C74" s="148" t="s">
        <x:v>116</x:v>
      </x:c>
      <x:c r="D74">
        <x:v>317</x:v>
      </x:c>
      <x:c r="E74" s="324">
        <x:v>0</x:v>
      </x:c>
      <x:c r="F74" s="324">
        <x:v>0</x:v>
      </x:c>
      <x:c r="G74" s="324">
        <x:v>0</x:v>
      </x:c>
      <x:c r="H74" s="324">
        <x:v>0</x:v>
      </x:c>
      <x:c r="I74" s="324">
        <x:v>0</x:v>
      </x:c>
      <x:c r="J74" s="324">
        <x:v>0</x:v>
      </x:c>
      <x:c r="K74" s="324">
        <x:v>0</x:v>
      </x:c>
      <x:c r="L74" s="324">
        <x:v>0</x:v>
      </x:c>
      <x:c r="M74" s="324">
        <x:v>0</x:v>
      </x:c>
      <x:c r="N74" s="324">
        <x:v>0</x:v>
      </x:c>
      <x:c r="O74" s="324">
        <x:v>0</x:v>
      </x:c>
      <x:c r="P74" s="324">
        <x:v>0</x:v>
      </x:c>
      <x:c r="Q74" s="324">
        <x:v>0</x:v>
      </x:c>
      <x:c r="R74" s="324">
        <x:v>0</x:v>
      </x:c>
      <x:c r="S74" s="324">
        <x:v>0</x:v>
      </x:c>
      <x:c r="T74" s="257">
        <x:f t="shared" si="3"/>
        <x:v>0</x:v>
      </x:c>
    </x:row>
    <x:row r="75">
      <x:c r="A75" s="148" t="s">
        <x:v>106</x:v>
      </x:c>
      <x:c r="B75">
        <x:v>3</x:v>
      </x:c>
      <x:c r="C75" s="148" t="s">
        <x:v>116</x:v>
      </x:c>
      <x:c r="D75">
        <x:v>318</x:v>
      </x:c>
      <x:c r="E75" s="324">
        <x:v>0</x:v>
      </x:c>
      <x:c r="F75" s="324">
        <x:v>0</x:v>
      </x:c>
      <x:c r="G75" s="324">
        <x:v>0</x:v>
      </x:c>
      <x:c r="H75" s="324">
        <x:v>0</x:v>
      </x:c>
      <x:c r="I75" s="324">
        <x:v>0</x:v>
      </x:c>
      <x:c r="J75" s="324">
        <x:v>0</x:v>
      </x:c>
      <x:c r="K75" s="324">
        <x:v>0</x:v>
      </x:c>
      <x:c r="L75" s="324">
        <x:v>0</x:v>
      </x:c>
      <x:c r="M75" s="324">
        <x:v>0</x:v>
      </x:c>
      <x:c r="N75" s="324">
        <x:v>0</x:v>
      </x:c>
      <x:c r="O75" s="324">
        <x:v>0</x:v>
      </x:c>
      <x:c r="P75" s="324">
        <x:v>0</x:v>
      </x:c>
      <x:c r="Q75" s="324">
        <x:v>0</x:v>
      </x:c>
      <x:c r="R75" s="324">
        <x:v>0</x:v>
      </x:c>
      <x:c r="S75" s="324">
        <x:v>0</x:v>
      </x:c>
      <x:c r="T75" s="257">
        <x:f t="shared" si="3"/>
        <x:v>0</x:v>
      </x:c>
    </x:row>
    <x:row r="76">
      <x:c r="A76" s="148" t="s">
        <x:v>106</x:v>
      </x:c>
      <x:c r="B76">
        <x:v>3</x:v>
      </x:c>
      <x:c r="C76" s="148" t="s">
        <x:v>116</x:v>
      </x:c>
      <x:c r="D76">
        <x:v>319</x:v>
      </x:c>
      <x:c r="E76" s="324">
        <x:v>0</x:v>
      </x:c>
      <x:c r="F76" s="324">
        <x:v>0</x:v>
      </x:c>
      <x:c r="G76" s="324">
        <x:v>0</x:v>
      </x:c>
      <x:c r="H76" s="324">
        <x:v>0</x:v>
      </x:c>
      <x:c r="I76" s="324">
        <x:v>0</x:v>
      </x:c>
      <x:c r="J76" s="324">
        <x:v>0</x:v>
      </x:c>
      <x:c r="K76" s="324">
        <x:v>0</x:v>
      </x:c>
      <x:c r="L76" s="324">
        <x:v>0</x:v>
      </x:c>
      <x:c r="M76" s="324">
        <x:v>0</x:v>
      </x:c>
      <x:c r="N76" s="324">
        <x:v>0</x:v>
      </x:c>
      <x:c r="O76" s="324">
        <x:v>0</x:v>
      </x:c>
      <x:c r="P76" s="324">
        <x:v>0</x:v>
      </x:c>
      <x:c r="Q76" s="324">
        <x:v>0</x:v>
      </x:c>
      <x:c r="R76" s="324">
        <x:v>0</x:v>
      </x:c>
      <x:c r="S76" s="324">
        <x:v>0</x:v>
      </x:c>
      <x:c r="T76" s="257">
        <x:f t="shared" si="3"/>
        <x:v>0</x:v>
      </x:c>
    </x:row>
    <x:row r="77">
      <x:c r="A77" s="148" t="s">
        <x:v>106</x:v>
      </x:c>
      <x:c r="B77">
        <x:v>3</x:v>
      </x:c>
      <x:c r="C77" s="148" t="s">
        <x:v>116</x:v>
      </x:c>
      <x:c r="D77">
        <x:v>320</x:v>
      </x:c>
      <x:c r="E77" s="324">
        <x:v>0</x:v>
      </x:c>
      <x:c r="F77" s="324">
        <x:v>0</x:v>
      </x:c>
      <x:c r="G77" s="324">
        <x:v>0</x:v>
      </x:c>
      <x:c r="H77" s="324">
        <x:v>0</x:v>
      </x:c>
      <x:c r="I77" s="324">
        <x:v>0</x:v>
      </x:c>
      <x:c r="J77" s="324">
        <x:v>0</x:v>
      </x:c>
      <x:c r="K77" s="324">
        <x:v>0</x:v>
      </x:c>
      <x:c r="L77" s="324">
        <x:v>0</x:v>
      </x:c>
      <x:c r="M77" s="324">
        <x:v>0</x:v>
      </x:c>
      <x:c r="N77" s="324">
        <x:v>0</x:v>
      </x:c>
      <x:c r="O77" s="324">
        <x:v>0</x:v>
      </x:c>
      <x:c r="P77" s="324">
        <x:v>0</x:v>
      </x:c>
      <x:c r="Q77" s="324">
        <x:v>0</x:v>
      </x:c>
      <x:c r="R77" s="324">
        <x:v>0</x:v>
      </x:c>
      <x:c r="S77" s="324">
        <x:v>0</x:v>
      </x:c>
      <x:c r="T77" s="257">
        <x:f t="shared" si="3"/>
        <x:v>0</x:v>
      </x:c>
    </x:row>
    <x:row r="78">
      <x:c r="A78" s="148" t="s">
        <x:v>106</x:v>
      </x:c>
      <x:c r="B78">
        <x:v>3</x:v>
      </x:c>
      <x:c r="C78" s="148" t="s">
        <x:v>116</x:v>
      </x:c>
      <x:c r="D78">
        <x:v>321</x:v>
      </x:c>
      <x:c r="E78" s="324">
        <x:v>0</x:v>
      </x:c>
      <x:c r="F78" s="324">
        <x:v>0</x:v>
      </x:c>
      <x:c r="G78" s="324">
        <x:v>0</x:v>
      </x:c>
      <x:c r="H78" s="324">
        <x:v>0</x:v>
      </x:c>
      <x:c r="I78" s="324">
        <x:v>0</x:v>
      </x:c>
      <x:c r="J78" s="324">
        <x:v>0</x:v>
      </x:c>
      <x:c r="K78" s="324">
        <x:v>0</x:v>
      </x:c>
      <x:c r="L78" s="324">
        <x:v>0</x:v>
      </x:c>
      <x:c r="M78" s="324">
        <x:v>0</x:v>
      </x:c>
      <x:c r="N78" s="324">
        <x:v>0</x:v>
      </x:c>
      <x:c r="O78" s="324">
        <x:v>0</x:v>
      </x:c>
      <x:c r="P78" s="324">
        <x:v>0</x:v>
      </x:c>
      <x:c r="Q78" s="324">
        <x:v>0</x:v>
      </x:c>
      <x:c r="R78" s="324">
        <x:v>0</x:v>
      </x:c>
      <x:c r="S78" s="324">
        <x:v>0</x:v>
      </x:c>
      <x:c r="T78" s="257">
        <x:f t="shared" si="3"/>
        <x:v>0</x:v>
      </x:c>
    </x:row>
    <x:row r="79">
      <x:c r="A79" s="148" t="s">
        <x:v>106</x:v>
      </x:c>
      <x:c r="B79">
        <x:v>3</x:v>
      </x:c>
      <x:c r="C79" s="148" t="s">
        <x:v>116</x:v>
      </x:c>
      <x:c r="D79">
        <x:v>322</x:v>
      </x:c>
      <x:c r="E79" s="324">
        <x:v>0</x:v>
      </x:c>
      <x:c r="F79" s="324">
        <x:v>0</x:v>
      </x:c>
      <x:c r="G79" s="324">
        <x:v>0</x:v>
      </x:c>
      <x:c r="H79" s="324">
        <x:v>0</x:v>
      </x:c>
      <x:c r="I79" s="324">
        <x:v>0</x:v>
      </x:c>
      <x:c r="J79" s="324">
        <x:v>0</x:v>
      </x:c>
      <x:c r="K79" s="324">
        <x:v>0</x:v>
      </x:c>
      <x:c r="L79" s="324">
        <x:v>0</x:v>
      </x:c>
      <x:c r="M79" s="324">
        <x:v>0</x:v>
      </x:c>
      <x:c r="N79" s="324">
        <x:v>0</x:v>
      </x:c>
      <x:c r="O79" s="324">
        <x:v>0</x:v>
      </x:c>
      <x:c r="P79" s="324">
        <x:v>0</x:v>
      </x:c>
      <x:c r="Q79" s="324">
        <x:v>0</x:v>
      </x:c>
      <x:c r="R79" s="324">
        <x:v>0</x:v>
      </x:c>
      <x:c r="S79" s="324">
        <x:v>0</x:v>
      </x:c>
      <x:c r="T79" s="257">
        <x:f t="shared" si="3"/>
        <x:v>0</x:v>
      </x:c>
    </x:row>
    <x:row r="80">
      <x:c r="A80" s="148" t="s">
        <x:v>106</x:v>
      </x:c>
      <x:c r="B80">
        <x:v>3</x:v>
      </x:c>
      <x:c r="C80" s="148" t="s">
        <x:v>116</x:v>
      </x:c>
      <x:c r="D80">
        <x:v>323</x:v>
      </x:c>
      <x:c r="E80" s="324">
        <x:v>0</x:v>
      </x:c>
      <x:c r="F80" s="324">
        <x:v>0</x:v>
      </x:c>
      <x:c r="G80" s="324">
        <x:v>0</x:v>
      </x:c>
      <x:c r="H80" s="324">
        <x:v>0</x:v>
      </x:c>
      <x:c r="I80" s="324">
        <x:v>0</x:v>
      </x:c>
      <x:c r="J80" s="324">
        <x:v>0</x:v>
      </x:c>
      <x:c r="K80" s="324">
        <x:v>0</x:v>
      </x:c>
      <x:c r="L80" s="324">
        <x:v>0</x:v>
      </x:c>
      <x:c r="M80" s="324">
        <x:v>0</x:v>
      </x:c>
      <x:c r="N80" s="324">
        <x:v>0</x:v>
      </x:c>
      <x:c r="O80" s="324">
        <x:v>0</x:v>
      </x:c>
      <x:c r="P80" s="324">
        <x:v>0</x:v>
      </x:c>
      <x:c r="Q80" s="324">
        <x:v>0</x:v>
      </x:c>
      <x:c r="R80" s="324">
        <x:v>0</x:v>
      </x:c>
      <x:c r="S80" s="324">
        <x:v>0</x:v>
      </x:c>
      <x:c r="T80" s="257">
        <x:f t="shared" si="3"/>
        <x:v>0</x:v>
      </x:c>
    </x:row>
    <x:row r="81">
      <x:c r="A81" s="148" t="s">
        <x:v>106</x:v>
      </x:c>
      <x:c r="B81">
        <x:v>3</x:v>
      </x:c>
      <x:c r="C81" s="148" t="s">
        <x:v>115</x:v>
      </x:c>
      <x:c r="D81">
        <x:v>301</x:v>
      </x:c>
      <x:c r="E81" s="324">
        <x:v>0</x:v>
      </x:c>
      <x:c r="F81" s="324">
        <x:v>0</x:v>
      </x:c>
      <x:c r="G81" s="324">
        <x:v>0</x:v>
      </x:c>
      <x:c r="H81" s="324">
        <x:v>0</x:v>
      </x:c>
      <x:c r="I81" s="324">
        <x:v>0</x:v>
      </x:c>
      <x:c r="J81" s="324">
        <x:v>0</x:v>
      </x:c>
      <x:c r="K81" s="324">
        <x:v>0</x:v>
      </x:c>
      <x:c r="L81" s="324">
        <x:v>0</x:v>
      </x:c>
      <x:c r="M81" s="324">
        <x:v>0</x:v>
      </x:c>
      <x:c r="N81" s="324">
        <x:v>0</x:v>
      </x:c>
      <x:c r="O81" s="324">
        <x:v>0</x:v>
      </x:c>
      <x:c r="P81" s="324">
        <x:v>0</x:v>
      </x:c>
      <x:c r="Q81" s="324">
        <x:v>0</x:v>
      </x:c>
      <x:c r="R81" s="324">
        <x:v>0</x:v>
      </x:c>
      <x:c r="S81" s="324">
        <x:v>0</x:v>
      </x:c>
      <x:c r="T81" s="257">
        <x:f t="shared" si="3"/>
        <x:v>0</x:v>
      </x:c>
    </x:row>
    <x:row r="82">
      <x:c r="A82" s="148" t="s">
        <x:v>106</x:v>
      </x:c>
      <x:c r="B82">
        <x:v>3</x:v>
      </x:c>
      <x:c r="C82" s="148" t="s">
        <x:v>115</x:v>
      </x:c>
      <x:c r="D82">
        <x:v>302</x:v>
      </x:c>
      <x:c r="E82" s="324">
        <x:v>0</x:v>
      </x:c>
      <x:c r="F82" s="324">
        <x:v>0</x:v>
      </x:c>
      <x:c r="G82" s="324">
        <x:v>0</x:v>
      </x:c>
      <x:c r="H82" s="324">
        <x:v>0</x:v>
      </x:c>
      <x:c r="I82" s="324">
        <x:v>0</x:v>
      </x:c>
      <x:c r="J82" s="324">
        <x:v>0</x:v>
      </x:c>
      <x:c r="K82" s="324">
        <x:v>0</x:v>
      </x:c>
      <x:c r="L82" s="324">
        <x:v>0</x:v>
      </x:c>
      <x:c r="M82" s="324">
        <x:v>0</x:v>
      </x:c>
      <x:c r="N82" s="324">
        <x:v>0</x:v>
      </x:c>
      <x:c r="O82" s="324">
        <x:v>0</x:v>
      </x:c>
      <x:c r="P82" s="324">
        <x:v>0</x:v>
      </x:c>
      <x:c r="Q82" s="324">
        <x:v>0</x:v>
      </x:c>
      <x:c r="R82" s="324">
        <x:v>0</x:v>
      </x:c>
      <x:c r="S82" s="324">
        <x:v>0</x:v>
      </x:c>
      <x:c r="T82" s="257">
        <x:f t="shared" si="3"/>
        <x:v>0</x:v>
      </x:c>
    </x:row>
    <x:row r="83">
      <x:c r="A83" s="148" t="s">
        <x:v>106</x:v>
      </x:c>
      <x:c r="B83">
        <x:v>3</x:v>
      </x:c>
      <x:c r="C83" s="148" t="s">
        <x:v>115</x:v>
      </x:c>
      <x:c r="D83">
        <x:v>303</x:v>
      </x:c>
      <x:c r="E83" s="324">
        <x:v>0</x:v>
      </x:c>
      <x:c r="F83" s="324">
        <x:v>0</x:v>
      </x:c>
      <x:c r="G83" s="324">
        <x:v>0</x:v>
      </x:c>
      <x:c r="H83" s="324">
        <x:v>0</x:v>
      </x:c>
      <x:c r="I83" s="324">
        <x:v>0</x:v>
      </x:c>
      <x:c r="J83" s="324">
        <x:v>0</x:v>
      </x:c>
      <x:c r="K83" s="324">
        <x:v>0</x:v>
      </x:c>
      <x:c r="L83" s="324">
        <x:v>0</x:v>
      </x:c>
      <x:c r="M83" s="324">
        <x:v>0</x:v>
      </x:c>
      <x:c r="N83" s="324">
        <x:v>0</x:v>
      </x:c>
      <x:c r="O83" s="324">
        <x:v>0</x:v>
      </x:c>
      <x:c r="P83" s="324">
        <x:v>0</x:v>
      </x:c>
      <x:c r="Q83" s="324">
        <x:v>0</x:v>
      </x:c>
      <x:c r="R83" s="324">
        <x:v>0</x:v>
      </x:c>
      <x:c r="S83" s="324">
        <x:v>0</x:v>
      </x:c>
      <x:c r="T83" s="257">
        <x:f t="shared" si="3"/>
        <x:v>0</x:v>
      </x:c>
    </x:row>
    <x:row r="84">
      <x:c r="A84" s="148" t="s">
        <x:v>106</x:v>
      </x:c>
      <x:c r="B84">
        <x:v>3</x:v>
      </x:c>
      <x:c r="C84" s="148" t="s">
        <x:v>115</x:v>
      </x:c>
      <x:c r="D84">
        <x:v>304</x:v>
      </x:c>
      <x:c r="E84" s="324">
        <x:v>0</x:v>
      </x:c>
      <x:c r="F84" s="324">
        <x:v>0</x:v>
      </x:c>
      <x:c r="G84" s="324">
        <x:v>0</x:v>
      </x:c>
      <x:c r="H84" s="324">
        <x:v>0</x:v>
      </x:c>
      <x:c r="I84" s="324">
        <x:v>0</x:v>
      </x:c>
      <x:c r="J84" s="324">
        <x:v>0</x:v>
      </x:c>
      <x:c r="K84" s="324">
        <x:v>0</x:v>
      </x:c>
      <x:c r="L84" s="324">
        <x:v>0</x:v>
      </x:c>
      <x:c r="M84" s="324">
        <x:v>0</x:v>
      </x:c>
      <x:c r="N84" s="324">
        <x:v>0</x:v>
      </x:c>
      <x:c r="O84" s="324">
        <x:v>0</x:v>
      </x:c>
      <x:c r="P84" s="324">
        <x:v>0</x:v>
      </x:c>
      <x:c r="Q84" s="324">
        <x:v>0</x:v>
      </x:c>
      <x:c r="R84" s="324">
        <x:v>0</x:v>
      </x:c>
      <x:c r="S84" s="324">
        <x:v>0</x:v>
      </x:c>
      <x:c r="T84" s="257">
        <x:f t="shared" si="3"/>
        <x:v>0</x:v>
      </x:c>
    </x:row>
    <x:row r="85">
      <x:c r="A85" s="148" t="s">
        <x:v>106</x:v>
      </x:c>
      <x:c r="B85">
        <x:v>3</x:v>
      </x:c>
      <x:c r="C85" s="148" t="s">
        <x:v>115</x:v>
      </x:c>
      <x:c r="D85">
        <x:v>305</x:v>
      </x:c>
      <x:c r="E85" s="324">
        <x:v>0</x:v>
      </x:c>
      <x:c r="F85" s="324">
        <x:v>0</x:v>
      </x:c>
      <x:c r="G85" s="324">
        <x:v>0</x:v>
      </x:c>
      <x:c r="H85" s="324">
        <x:v>0</x:v>
      </x:c>
      <x:c r="I85" s="324">
        <x:v>0</x:v>
      </x:c>
      <x:c r="J85" s="324">
        <x:v>0</x:v>
      </x:c>
      <x:c r="K85" s="324">
        <x:v>0</x:v>
      </x:c>
      <x:c r="L85" s="324">
        <x:v>0</x:v>
      </x:c>
      <x:c r="M85" s="324">
        <x:v>0</x:v>
      </x:c>
      <x:c r="N85" s="324">
        <x:v>0</x:v>
      </x:c>
      <x:c r="O85" s="324">
        <x:v>0</x:v>
      </x:c>
      <x:c r="P85" s="324">
        <x:v>0</x:v>
      </x:c>
      <x:c r="Q85" s="324">
        <x:v>0</x:v>
      </x:c>
      <x:c r="R85" s="324">
        <x:v>0</x:v>
      </x:c>
      <x:c r="S85" s="324">
        <x:v>0</x:v>
      </x:c>
      <x:c r="T85" s="257">
        <x:f t="shared" si="3"/>
        <x:v>0</x:v>
      </x:c>
    </x:row>
    <x:row r="86">
      <x:c r="A86" s="148" t="s">
        <x:v>106</x:v>
      </x:c>
      <x:c r="B86">
        <x:v>3</x:v>
      </x:c>
      <x:c r="C86" s="148" t="s">
        <x:v>115</x:v>
      </x:c>
      <x:c r="D86">
        <x:v>306</x:v>
      </x:c>
      <x:c r="E86" s="324">
        <x:v>0</x:v>
      </x:c>
      <x:c r="F86" s="324">
        <x:v>0</x:v>
      </x:c>
      <x:c r="G86" s="324">
        <x:v>0</x:v>
      </x:c>
      <x:c r="H86" s="324">
        <x:v>0</x:v>
      </x:c>
      <x:c r="I86" s="324">
        <x:v>0</x:v>
      </x:c>
      <x:c r="J86" s="324">
        <x:v>0</x:v>
      </x:c>
      <x:c r="K86" s="324">
        <x:v>0</x:v>
      </x:c>
      <x:c r="L86" s="324">
        <x:v>0</x:v>
      </x:c>
      <x:c r="M86" s="324">
        <x:v>0</x:v>
      </x:c>
      <x:c r="N86" s="324">
        <x:v>0</x:v>
      </x:c>
      <x:c r="O86" s="324">
        <x:v>0</x:v>
      </x:c>
      <x:c r="P86" s="324">
        <x:v>0</x:v>
      </x:c>
      <x:c r="Q86" s="324">
        <x:v>0</x:v>
      </x:c>
      <x:c r="R86" s="324">
        <x:v>0</x:v>
      </x:c>
      <x:c r="S86" s="324">
        <x:v>0</x:v>
      </x:c>
      <x:c r="T86" s="257">
        <x:f t="shared" si="3"/>
        <x:v>0</x:v>
      </x:c>
    </x:row>
    <x:row r="87">
      <x:c r="A87" s="148" t="s">
        <x:v>106</x:v>
      </x:c>
      <x:c r="B87">
        <x:v>3</x:v>
      </x:c>
      <x:c r="C87" s="148" t="s">
        <x:v>115</x:v>
      </x:c>
      <x:c r="D87">
        <x:v>307</x:v>
      </x:c>
      <x:c r="E87" s="324">
        <x:v>0</x:v>
      </x:c>
      <x:c r="F87" s="324">
        <x:v>0</x:v>
      </x:c>
      <x:c r="G87" s="324">
        <x:v>0</x:v>
      </x:c>
      <x:c r="H87" s="324">
        <x:v>0</x:v>
      </x:c>
      <x:c r="I87" s="324">
        <x:v>0</x:v>
      </x:c>
      <x:c r="J87" s="324">
        <x:v>0</x:v>
      </x:c>
      <x:c r="K87" s="324">
        <x:v>0</x:v>
      </x:c>
      <x:c r="L87" s="324">
        <x:v>0</x:v>
      </x:c>
      <x:c r="M87" s="324">
        <x:v>0</x:v>
      </x:c>
      <x:c r="N87" s="324">
        <x:v>0</x:v>
      </x:c>
      <x:c r="O87" s="324">
        <x:v>0</x:v>
      </x:c>
      <x:c r="P87" s="324">
        <x:v>0</x:v>
      </x:c>
      <x:c r="Q87" s="324">
        <x:v>0</x:v>
      </x:c>
      <x:c r="R87" s="324">
        <x:v>0</x:v>
      </x:c>
      <x:c r="S87" s="324">
        <x:v>0</x:v>
      </x:c>
      <x:c r="T87" s="257">
        <x:f t="shared" si="3"/>
        <x:v>0</x:v>
      </x:c>
    </x:row>
    <x:row r="88">
      <x:c r="A88" s="148" t="s">
        <x:v>106</x:v>
      </x:c>
      <x:c r="B88">
        <x:v>3</x:v>
      </x:c>
      <x:c r="C88" s="148" t="s">
        <x:v>115</x:v>
      </x:c>
      <x:c r="D88">
        <x:v>308</x:v>
      </x:c>
      <x:c r="E88" s="324">
        <x:v>0</x:v>
      </x:c>
      <x:c r="F88" s="324">
        <x:v>0</x:v>
      </x:c>
      <x:c r="G88" s="324">
        <x:v>0</x:v>
      </x:c>
      <x:c r="H88" s="324">
        <x:v>0</x:v>
      </x:c>
      <x:c r="I88" s="324">
        <x:v>0</x:v>
      </x:c>
      <x:c r="J88" s="324">
        <x:v>0</x:v>
      </x:c>
      <x:c r="K88" s="324">
        <x:v>0</x:v>
      </x:c>
      <x:c r="L88" s="324">
        <x:v>0</x:v>
      </x:c>
      <x:c r="M88" s="324">
        <x:v>0</x:v>
      </x:c>
      <x:c r="N88" s="324">
        <x:v>0</x:v>
      </x:c>
      <x:c r="O88" s="324">
        <x:v>0</x:v>
      </x:c>
      <x:c r="P88" s="324">
        <x:v>0</x:v>
      </x:c>
      <x:c r="Q88" s="324">
        <x:v>0</x:v>
      </x:c>
      <x:c r="R88" s="324">
        <x:v>0</x:v>
      </x:c>
      <x:c r="S88" s="324">
        <x:v>0</x:v>
      </x:c>
      <x:c r="T88" s="257">
        <x:f t="shared" si="3"/>
        <x:v>0</x:v>
      </x:c>
    </x:row>
    <x:row r="89">
      <x:c r="A89" s="148" t="s">
        <x:v>106</x:v>
      </x:c>
      <x:c r="B89">
        <x:v>3</x:v>
      </x:c>
      <x:c r="C89" s="148" t="s">
        <x:v>115</x:v>
      </x:c>
      <x:c r="D89">
        <x:v>309</x:v>
      </x:c>
      <x:c r="E89" s="324">
        <x:v>0</x:v>
      </x:c>
      <x:c r="F89" s="324">
        <x:v>0</x:v>
      </x:c>
      <x:c r="G89" s="324">
        <x:v>0</x:v>
      </x:c>
      <x:c r="H89" s="324">
        <x:v>0</x:v>
      </x:c>
      <x:c r="I89" s="324">
        <x:v>0</x:v>
      </x:c>
      <x:c r="J89" s="324">
        <x:v>0</x:v>
      </x:c>
      <x:c r="K89" s="324">
        <x:v>0</x:v>
      </x:c>
      <x:c r="L89" s="324">
        <x:v>0</x:v>
      </x:c>
      <x:c r="M89" s="324">
        <x:v>0</x:v>
      </x:c>
      <x:c r="N89" s="324">
        <x:v>0</x:v>
      </x:c>
      <x:c r="O89" s="324">
        <x:v>0</x:v>
      </x:c>
      <x:c r="P89" s="324">
        <x:v>0</x:v>
      </x:c>
      <x:c r="Q89" s="324">
        <x:v>0</x:v>
      </x:c>
      <x:c r="R89" s="324">
        <x:v>0</x:v>
      </x:c>
      <x:c r="S89" s="324">
        <x:v>0</x:v>
      </x:c>
      <x:c r="T89" s="257">
        <x:f t="shared" si="3"/>
        <x:v>0</x:v>
      </x:c>
    </x:row>
    <x:row r="90">
      <x:c r="A90" s="148" t="s">
        <x:v>106</x:v>
      </x:c>
      <x:c r="B90">
        <x:v>3</x:v>
      </x:c>
      <x:c r="C90" s="148" t="s">
        <x:v>115</x:v>
      </x:c>
      <x:c r="D90">
        <x:v>310</x:v>
      </x:c>
      <x:c r="E90" s="324">
        <x:v>0</x:v>
      </x:c>
      <x:c r="F90" s="324">
        <x:v>0</x:v>
      </x:c>
      <x:c r="G90" s="324">
        <x:v>0</x:v>
      </x:c>
      <x:c r="H90" s="324">
        <x:v>0</x:v>
      </x:c>
      <x:c r="I90" s="324">
        <x:v>0</x:v>
      </x:c>
      <x:c r="J90" s="324">
        <x:v>0</x:v>
      </x:c>
      <x:c r="K90" s="324">
        <x:v>0</x:v>
      </x:c>
      <x:c r="L90" s="324">
        <x:v>0</x:v>
      </x:c>
      <x:c r="M90" s="324">
        <x:v>0</x:v>
      </x:c>
      <x:c r="N90" s="324">
        <x:v>0</x:v>
      </x:c>
      <x:c r="O90" s="324">
        <x:v>0</x:v>
      </x:c>
      <x:c r="P90" s="324">
        <x:v>0</x:v>
      </x:c>
      <x:c r="Q90" s="324">
        <x:v>0</x:v>
      </x:c>
      <x:c r="R90" s="324">
        <x:v>0</x:v>
      </x:c>
      <x:c r="S90" s="324">
        <x:v>0</x:v>
      </x:c>
      <x:c r="T90" s="257">
        <x:f t="shared" si="3"/>
        <x:v>0</x:v>
      </x:c>
    </x:row>
    <x:row r="91">
      <x:c r="A91" s="148" t="s">
        <x:v>106</x:v>
      </x:c>
      <x:c r="B91">
        <x:v>3</x:v>
      </x:c>
      <x:c r="C91" s="148" t="s">
        <x:v>115</x:v>
      </x:c>
      <x:c r="D91">
        <x:v>311</x:v>
      </x:c>
      <x:c r="E91" s="324">
        <x:v>0</x:v>
      </x:c>
      <x:c r="F91" s="324">
        <x:v>0</x:v>
      </x:c>
      <x:c r="G91" s="324">
        <x:v>0</x:v>
      </x:c>
      <x:c r="H91" s="324">
        <x:v>0</x:v>
      </x:c>
      <x:c r="I91" s="324">
        <x:v>0</x:v>
      </x:c>
      <x:c r="J91" s="324">
        <x:v>0</x:v>
      </x:c>
      <x:c r="K91" s="324">
        <x:v>0</x:v>
      </x:c>
      <x:c r="L91" s="324">
        <x:v>0</x:v>
      </x:c>
      <x:c r="M91" s="324">
        <x:v>0</x:v>
      </x:c>
      <x:c r="N91" s="324">
        <x:v>0</x:v>
      </x:c>
      <x:c r="O91" s="324">
        <x:v>0</x:v>
      </x:c>
      <x:c r="P91" s="324">
        <x:v>0</x:v>
      </x:c>
      <x:c r="Q91" s="324">
        <x:v>0</x:v>
      </x:c>
      <x:c r="R91" s="324">
        <x:v>0</x:v>
      </x:c>
      <x:c r="S91" s="324">
        <x:v>0</x:v>
      </x:c>
      <x:c r="T91" s="257">
        <x:f t="shared" si="3"/>
        <x:v>0</x:v>
      </x:c>
    </x:row>
    <x:row r="92">
      <x:c r="A92" s="148" t="s">
        <x:v>106</x:v>
      </x:c>
      <x:c r="B92">
        <x:v>3</x:v>
      </x:c>
      <x:c r="C92" s="148" t="s">
        <x:v>115</x:v>
      </x:c>
      <x:c r="D92">
        <x:v>312</x:v>
      </x:c>
      <x:c r="E92" s="324">
        <x:v>0</x:v>
      </x:c>
      <x:c r="F92" s="324">
        <x:v>0</x:v>
      </x:c>
      <x:c r="G92" s="324">
        <x:v>0</x:v>
      </x:c>
      <x:c r="H92" s="324">
        <x:v>0</x:v>
      </x:c>
      <x:c r="I92" s="324">
        <x:v>0</x:v>
      </x:c>
      <x:c r="J92" s="324">
        <x:v>0</x:v>
      </x:c>
      <x:c r="K92" s="324">
        <x:v>0</x:v>
      </x:c>
      <x:c r="L92" s="324">
        <x:v>0</x:v>
      </x:c>
      <x:c r="M92" s="324">
        <x:v>0</x:v>
      </x:c>
      <x:c r="N92" s="324">
        <x:v>0</x:v>
      </x:c>
      <x:c r="O92" s="324">
        <x:v>0</x:v>
      </x:c>
      <x:c r="P92" s="324">
        <x:v>0</x:v>
      </x:c>
      <x:c r="Q92" s="324">
        <x:v>0</x:v>
      </x:c>
      <x:c r="R92" s="324">
        <x:v>0</x:v>
      </x:c>
      <x:c r="S92" s="324">
        <x:v>0</x:v>
      </x:c>
      <x:c r="T92" s="257">
        <x:f t="shared" si="3"/>
        <x:v>0</x:v>
      </x:c>
    </x:row>
    <x:row r="93">
      <x:c r="A93" s="148" t="s">
        <x:v>106</x:v>
      </x:c>
      <x:c r="B93">
        <x:v>3</x:v>
      </x:c>
      <x:c r="C93" s="148" t="s">
        <x:v>115</x:v>
      </x:c>
      <x:c r="D93">
        <x:v>313</x:v>
      </x:c>
      <x:c r="E93" s="324">
        <x:v>0</x:v>
      </x:c>
      <x:c r="F93" s="324">
        <x:v>0</x:v>
      </x:c>
      <x:c r="G93" s="324">
        <x:v>0</x:v>
      </x:c>
      <x:c r="H93" s="324">
        <x:v>0</x:v>
      </x:c>
      <x:c r="I93" s="324">
        <x:v>0</x:v>
      </x:c>
      <x:c r="J93" s="324">
        <x:v>0</x:v>
      </x:c>
      <x:c r="K93" s="324">
        <x:v>0</x:v>
      </x:c>
      <x:c r="L93" s="324">
        <x:v>0</x:v>
      </x:c>
      <x:c r="M93" s="324">
        <x:v>0</x:v>
      </x:c>
      <x:c r="N93" s="324">
        <x:v>0</x:v>
      </x:c>
      <x:c r="O93" s="324">
        <x:v>0</x:v>
      </x:c>
      <x:c r="P93" s="324">
        <x:v>0</x:v>
      </x:c>
      <x:c r="Q93" s="324">
        <x:v>0</x:v>
      </x:c>
      <x:c r="R93" s="324">
        <x:v>0</x:v>
      </x:c>
      <x:c r="S93" s="324">
        <x:v>0</x:v>
      </x:c>
      <x:c r="T93" s="257">
        <x:f t="shared" si="3"/>
        <x:v>0</x:v>
      </x:c>
    </x:row>
    <x:row r="94">
      <x:c r="A94" s="148" t="s">
        <x:v>106</x:v>
      </x:c>
      <x:c r="B94">
        <x:v>3</x:v>
      </x:c>
      <x:c r="C94" s="148" t="s">
        <x:v>115</x:v>
      </x:c>
      <x:c r="D94">
        <x:v>314</x:v>
      </x:c>
      <x:c r="E94" s="324">
        <x:v>0</x:v>
      </x:c>
      <x:c r="F94" s="324">
        <x:v>0</x:v>
      </x:c>
      <x:c r="G94" s="324">
        <x:v>0</x:v>
      </x:c>
      <x:c r="H94" s="324">
        <x:v>0</x:v>
      </x:c>
      <x:c r="I94" s="324">
        <x:v>0</x:v>
      </x:c>
      <x:c r="J94" s="324">
        <x:v>0</x:v>
      </x:c>
      <x:c r="K94" s="324">
        <x:v>0</x:v>
      </x:c>
      <x:c r="L94" s="324">
        <x:v>0</x:v>
      </x:c>
      <x:c r="M94" s="324">
        <x:v>0</x:v>
      </x:c>
      <x:c r="N94" s="324">
        <x:v>0</x:v>
      </x:c>
      <x:c r="O94" s="324">
        <x:v>0</x:v>
      </x:c>
      <x:c r="P94" s="324">
        <x:v>0</x:v>
      </x:c>
      <x:c r="Q94" s="324">
        <x:v>0</x:v>
      </x:c>
      <x:c r="R94" s="324">
        <x:v>0</x:v>
      </x:c>
      <x:c r="S94" s="324">
        <x:v>0</x:v>
      </x:c>
      <x:c r="T94" s="257">
        <x:f t="shared" si="3"/>
        <x:v>0</x:v>
      </x:c>
    </x:row>
    <x:row r="95">
      <x:c r="A95" s="148" t="s">
        <x:v>106</x:v>
      </x:c>
      <x:c r="B95">
        <x:v>3</x:v>
      </x:c>
      <x:c r="C95" s="148" t="s">
        <x:v>115</x:v>
      </x:c>
      <x:c r="D95">
        <x:v>315</x:v>
      </x:c>
      <x:c r="E95" s="324">
        <x:v>0</x:v>
      </x:c>
      <x:c r="F95" s="324">
        <x:v>0</x:v>
      </x:c>
      <x:c r="G95" s="324">
        <x:v>0</x:v>
      </x:c>
      <x:c r="H95" s="324">
        <x:v>0</x:v>
      </x:c>
      <x:c r="I95" s="324">
        <x:v>0</x:v>
      </x:c>
      <x:c r="J95" s="324">
        <x:v>0</x:v>
      </x:c>
      <x:c r="K95" s="324">
        <x:v>0</x:v>
      </x:c>
      <x:c r="L95" s="324">
        <x:v>0</x:v>
      </x:c>
      <x:c r="M95" s="324">
        <x:v>0</x:v>
      </x:c>
      <x:c r="N95" s="324">
        <x:v>0</x:v>
      </x:c>
      <x:c r="O95" s="324">
        <x:v>0</x:v>
      </x:c>
      <x:c r="P95" s="324">
        <x:v>0</x:v>
      </x:c>
      <x:c r="Q95" s="324">
        <x:v>0</x:v>
      </x:c>
      <x:c r="R95" s="324">
        <x:v>0</x:v>
      </x:c>
      <x:c r="S95" s="324">
        <x:v>0</x:v>
      </x:c>
      <x:c r="T95" s="257">
        <x:f t="shared" si="3"/>
        <x:v>0</x:v>
      </x:c>
    </x:row>
    <x:row r="96">
      <x:c r="A96" s="148" t="s">
        <x:v>106</x:v>
      </x:c>
      <x:c r="B96">
        <x:v>3</x:v>
      </x:c>
      <x:c r="C96" s="148" t="s">
        <x:v>115</x:v>
      </x:c>
      <x:c r="D96">
        <x:v>316</x:v>
      </x:c>
      <x:c r="E96" s="324">
        <x:v>0</x:v>
      </x:c>
      <x:c r="F96" s="324">
        <x:v>0</x:v>
      </x:c>
      <x:c r="G96" s="324">
        <x:v>0</x:v>
      </x:c>
      <x:c r="H96" s="324">
        <x:v>0</x:v>
      </x:c>
      <x:c r="I96" s="324">
        <x:v>0</x:v>
      </x:c>
      <x:c r="J96" s="324">
        <x:v>0</x:v>
      </x:c>
      <x:c r="K96" s="324">
        <x:v>0</x:v>
      </x:c>
      <x:c r="L96" s="324">
        <x:v>0</x:v>
      </x:c>
      <x:c r="M96" s="324">
        <x:v>0</x:v>
      </x:c>
      <x:c r="N96" s="324">
        <x:v>0</x:v>
      </x:c>
      <x:c r="O96" s="324">
        <x:v>0</x:v>
      </x:c>
      <x:c r="P96" s="324">
        <x:v>0</x:v>
      </x:c>
      <x:c r="Q96" s="324">
        <x:v>0</x:v>
      </x:c>
      <x:c r="R96" s="324">
        <x:v>0</x:v>
      </x:c>
      <x:c r="S96" s="324">
        <x:v>0</x:v>
      </x:c>
      <x:c r="T96" s="257">
        <x:f t="shared" si="3"/>
        <x:v>0</x:v>
      </x:c>
    </x:row>
    <x:row r="97">
      <x:c r="A97" s="148" t="s">
        <x:v>106</x:v>
      </x:c>
      <x:c r="B97">
        <x:v>3</x:v>
      </x:c>
      <x:c r="C97" s="148" t="s">
        <x:v>115</x:v>
      </x:c>
      <x:c r="D97">
        <x:v>317</x:v>
      </x:c>
      <x:c r="E97" s="324">
        <x:v>0</x:v>
      </x:c>
      <x:c r="F97" s="324">
        <x:v>0</x:v>
      </x:c>
      <x:c r="G97" s="324">
        <x:v>0</x:v>
      </x:c>
      <x:c r="H97" s="324">
        <x:v>0</x:v>
      </x:c>
      <x:c r="I97" s="324">
        <x:v>0</x:v>
      </x:c>
      <x:c r="J97" s="324">
        <x:v>0</x:v>
      </x:c>
      <x:c r="K97" s="324">
        <x:v>0</x:v>
      </x:c>
      <x:c r="L97" s="324">
        <x:v>0</x:v>
      </x:c>
      <x:c r="M97" s="324">
        <x:v>0</x:v>
      </x:c>
      <x:c r="N97" s="324">
        <x:v>0</x:v>
      </x:c>
      <x:c r="O97" s="324">
        <x:v>0</x:v>
      </x:c>
      <x:c r="P97" s="324">
        <x:v>0</x:v>
      </x:c>
      <x:c r="Q97" s="324">
        <x:v>0</x:v>
      </x:c>
      <x:c r="R97" s="324">
        <x:v>0</x:v>
      </x:c>
      <x:c r="S97" s="324">
        <x:v>0</x:v>
      </x:c>
      <x:c r="T97" s="257">
        <x:f t="shared" si="3"/>
        <x:v>0</x:v>
      </x:c>
    </x:row>
    <x:row r="98">
      <x:c r="A98" s="148" t="s">
        <x:v>106</x:v>
      </x:c>
      <x:c r="B98">
        <x:v>3</x:v>
      </x:c>
      <x:c r="C98" s="148" t="s">
        <x:v>115</x:v>
      </x:c>
      <x:c r="D98">
        <x:v>318</x:v>
      </x:c>
      <x:c r="E98" s="324">
        <x:v>0</x:v>
      </x:c>
      <x:c r="F98" s="324">
        <x:v>0</x:v>
      </x:c>
      <x:c r="G98" s="324">
        <x:v>0</x:v>
      </x:c>
      <x:c r="H98" s="324">
        <x:v>0</x:v>
      </x:c>
      <x:c r="I98" s="324">
        <x:v>0</x:v>
      </x:c>
      <x:c r="J98" s="324">
        <x:v>0</x:v>
      </x:c>
      <x:c r="K98" s="324">
        <x:v>0</x:v>
      </x:c>
      <x:c r="L98" s="324">
        <x:v>0</x:v>
      </x:c>
      <x:c r="M98" s="324">
        <x:v>0</x:v>
      </x:c>
      <x:c r="N98" s="324">
        <x:v>0</x:v>
      </x:c>
      <x:c r="O98" s="324">
        <x:v>0</x:v>
      </x:c>
      <x:c r="P98" s="324">
        <x:v>0</x:v>
      </x:c>
      <x:c r="Q98" s="324">
        <x:v>0</x:v>
      </x:c>
      <x:c r="R98" s="324">
        <x:v>0</x:v>
      </x:c>
      <x:c r="S98" s="324">
        <x:v>0</x:v>
      </x:c>
      <x:c r="T98" s="257">
        <x:f t="shared" si="3"/>
        <x:v>0</x:v>
      </x:c>
    </x:row>
    <x:row r="99">
      <x:c r="A99" s="148" t="s">
        <x:v>106</x:v>
      </x:c>
      <x:c r="B99">
        <x:v>3</x:v>
      </x:c>
      <x:c r="C99" s="148" t="s">
        <x:v>115</x:v>
      </x:c>
      <x:c r="D99">
        <x:v>319</x:v>
      </x:c>
      <x:c r="E99" s="324">
        <x:v>0</x:v>
      </x:c>
      <x:c r="F99" s="324">
        <x:v>0</x:v>
      </x:c>
      <x:c r="G99" s="324">
        <x:v>0</x:v>
      </x:c>
      <x:c r="H99" s="324">
        <x:v>0</x:v>
      </x:c>
      <x:c r="I99" s="324">
        <x:v>0</x:v>
      </x:c>
      <x:c r="J99" s="324">
        <x:v>0</x:v>
      </x:c>
      <x:c r="K99" s="324">
        <x:v>0</x:v>
      </x:c>
      <x:c r="L99" s="324">
        <x:v>0</x:v>
      </x:c>
      <x:c r="M99" s="324">
        <x:v>0</x:v>
      </x:c>
      <x:c r="N99" s="324">
        <x:v>0</x:v>
      </x:c>
      <x:c r="O99" s="324">
        <x:v>0</x:v>
      </x:c>
      <x:c r="P99" s="324">
        <x:v>0</x:v>
      </x:c>
      <x:c r="Q99" s="324">
        <x:v>0</x:v>
      </x:c>
      <x:c r="R99" s="324">
        <x:v>0</x:v>
      </x:c>
      <x:c r="S99" s="324">
        <x:v>0</x:v>
      </x:c>
      <x:c r="T99" s="257">
        <x:f t="shared" si="3"/>
        <x:v>0</x:v>
      </x:c>
    </x:row>
    <x:row r="100">
      <x:c r="A100" s="148" t="s">
        <x:v>106</x:v>
      </x:c>
      <x:c r="B100">
        <x:v>3</x:v>
      </x:c>
      <x:c r="C100" s="148" t="s">
        <x:v>115</x:v>
      </x:c>
      <x:c r="D100">
        <x:v>320</x:v>
      </x:c>
      <x:c r="E100" s="324">
        <x:v>0</x:v>
      </x:c>
      <x:c r="F100" s="324">
        <x:v>0</x:v>
      </x:c>
      <x:c r="G100" s="324">
        <x:v>0</x:v>
      </x:c>
      <x:c r="H100" s="324">
        <x:v>0</x:v>
      </x:c>
      <x:c r="I100" s="324">
        <x:v>0</x:v>
      </x:c>
      <x:c r="J100" s="324">
        <x:v>0</x:v>
      </x:c>
      <x:c r="K100" s="324">
        <x:v>0</x:v>
      </x:c>
      <x:c r="L100" s="324">
        <x:v>0</x:v>
      </x:c>
      <x:c r="M100" s="324">
        <x:v>0</x:v>
      </x:c>
      <x:c r="N100" s="324">
        <x:v>0</x:v>
      </x:c>
      <x:c r="O100" s="324">
        <x:v>0</x:v>
      </x:c>
      <x:c r="P100" s="324">
        <x:v>0</x:v>
      </x:c>
      <x:c r="Q100" s="324">
        <x:v>0</x:v>
      </x:c>
      <x:c r="R100" s="324">
        <x:v>0</x:v>
      </x:c>
      <x:c r="S100" s="324">
        <x:v>0</x:v>
      </x:c>
      <x:c r="T100" s="257">
        <x:f t="shared" si="3"/>
        <x:v>0</x:v>
      </x:c>
    </x:row>
    <x:row r="101">
      <x:c r="A101" s="148" t="s">
        <x:v>106</x:v>
      </x:c>
      <x:c r="B101">
        <x:v>3</x:v>
      </x:c>
      <x:c r="C101" s="148" t="s">
        <x:v>115</x:v>
      </x:c>
      <x:c r="D101">
        <x:v>321</x:v>
      </x:c>
      <x:c r="E101" s="324">
        <x:v>0</x:v>
      </x:c>
      <x:c r="F101" s="324">
        <x:v>0</x:v>
      </x:c>
      <x:c r="G101" s="324">
        <x:v>0</x:v>
      </x:c>
      <x:c r="H101" s="324">
        <x:v>0</x:v>
      </x:c>
      <x:c r="I101" s="324">
        <x:v>0</x:v>
      </x:c>
      <x:c r="J101" s="324">
        <x:v>0</x:v>
      </x:c>
      <x:c r="K101" s="324">
        <x:v>0</x:v>
      </x:c>
      <x:c r="L101" s="324">
        <x:v>0</x:v>
      </x:c>
      <x:c r="M101" s="324">
        <x:v>0</x:v>
      </x:c>
      <x:c r="N101" s="324">
        <x:v>0</x:v>
      </x:c>
      <x:c r="O101" s="324">
        <x:v>0</x:v>
      </x:c>
      <x:c r="P101" s="324">
        <x:v>0</x:v>
      </x:c>
      <x:c r="Q101" s="324">
        <x:v>0</x:v>
      </x:c>
      <x:c r="R101" s="324">
        <x:v>0</x:v>
      </x:c>
      <x:c r="S101" s="324">
        <x:v>0</x:v>
      </x:c>
      <x:c r="T101" s="257">
        <x:f t="shared" si="3"/>
        <x:v>0</x:v>
      </x:c>
    </x:row>
    <x:row r="102">
      <x:c r="A102" s="148"/>
      <x:c r="B102"/>
      <x:c r="C102" s="148"/>
      <x:c r="D102" s="148"/>
      <x:c r="E102" s="324"/>
      <x:c r="F102" s="324">
        <x:f t="shared" ref="F102:S102" si="4">AVERAGE(F58:F101)</x:f>
      </x:c>
      <x:c r="G102" s="324">
        <x:f t="shared" si="4"/>
      </x:c>
      <x:c r="H102" s="324">
        <x:f t="shared" si="4"/>
      </x:c>
      <x:c r="I102" s="324">
        <x:f t="shared" si="4"/>
      </x:c>
      <x:c r="J102" s="324">
        <x:f t="shared" si="4"/>
      </x:c>
      <x:c r="K102" s="324">
        <x:f t="shared" si="4"/>
      </x:c>
      <x:c r="L102" s="324">
        <x:f t="shared" si="4"/>
      </x:c>
      <x:c r="M102" s="324">
        <x:f t="shared" si="4"/>
      </x:c>
      <x:c r="N102" s="324">
        <x:f t="shared" si="4"/>
      </x:c>
      <x:c r="O102" s="324">
        <x:f t="shared" si="4"/>
      </x:c>
      <x:c r="P102" s="324">
        <x:f t="shared" si="4"/>
      </x:c>
      <x:c r="Q102" s="324">
        <x:f t="shared" si="4"/>
      </x:c>
      <x:c r="R102" s="324">
        <x:f t="shared" si="4"/>
      </x:c>
      <x:c r="S102" s="324">
        <x:f t="shared" si="4"/>
      </x:c>
      <x:c r="T102" s="257">
        <x:f t="shared" si="3"/>
      </x:c>
    </x:row>
    <x:row r="103">
      <x:c r="A103" s="148" t="s">
        <x:v>106</x:v>
      </x:c>
      <x:c r="B103">
        <x:v>4</x:v>
      </x:c>
      <x:c r="C103" s="148" t="s">
        <x:v>116</x:v>
      </x:c>
      <x:c r="D103">
        <x:v>401</x:v>
      </x:c>
      <x:c r="E103" s="324">
        <x:v>0</x:v>
      </x:c>
      <x:c r="F103" s="324">
        <x:v>0</x:v>
      </x:c>
      <x:c r="G103" s="324">
        <x:v>0</x:v>
      </x:c>
      <x:c r="H103" s="324">
        <x:v>0</x:v>
      </x:c>
      <x:c r="I103" s="324">
        <x:v>0</x:v>
      </x:c>
      <x:c r="J103" s="324">
        <x:v>0</x:v>
      </x:c>
      <x:c r="K103" s="324">
        <x:v>0</x:v>
      </x:c>
      <x:c r="L103" s="324">
        <x:v>0</x:v>
      </x:c>
      <x:c r="M103" s="324">
        <x:v>0</x:v>
      </x:c>
      <x:c r="N103" s="324">
        <x:v>0</x:v>
      </x:c>
      <x:c r="O103" s="324">
        <x:v>0</x:v>
      </x:c>
      <x:c r="P103" s="324">
        <x:v>0</x:v>
      </x:c>
      <x:c r="Q103" s="324">
        <x:v>0</x:v>
      </x:c>
      <x:c r="R103" s="324">
        <x:v>0</x:v>
      </x:c>
      <x:c r="S103" s="324">
        <x:v>0</x:v>
      </x:c>
      <x:c r="T103" s="257">
        <x:f t="shared" si="3"/>
        <x:v>0</x:v>
      </x:c>
    </x:row>
    <x:row r="104">
      <x:c r="A104" s="148" t="s">
        <x:v>106</x:v>
      </x:c>
      <x:c r="B104">
        <x:v>4</x:v>
      </x:c>
      <x:c r="C104" s="148" t="s">
        <x:v>116</x:v>
      </x:c>
      <x:c r="D104">
        <x:v>402</x:v>
      </x:c>
      <x:c r="E104" s="324">
        <x:v>0</x:v>
      </x:c>
      <x:c r="F104" s="324">
        <x:v>0</x:v>
      </x:c>
      <x:c r="G104" s="324">
        <x:v>0</x:v>
      </x:c>
      <x:c r="H104" s="324">
        <x:v>0</x:v>
      </x:c>
      <x:c r="I104" s="324">
        <x:v>0</x:v>
      </x:c>
      <x:c r="J104" s="324">
        <x:v>0</x:v>
      </x:c>
      <x:c r="K104" s="324">
        <x:v>0</x:v>
      </x:c>
      <x:c r="L104" s="324">
        <x:v>0</x:v>
      </x:c>
      <x:c r="M104" s="324">
        <x:v>0</x:v>
      </x:c>
      <x:c r="N104" s="324">
        <x:v>0</x:v>
      </x:c>
      <x:c r="O104" s="324">
        <x:v>0</x:v>
      </x:c>
      <x:c r="P104" s="324">
        <x:v>0</x:v>
      </x:c>
      <x:c r="Q104" s="324">
        <x:v>0</x:v>
      </x:c>
      <x:c r="R104" s="324">
        <x:v>0</x:v>
      </x:c>
      <x:c r="S104" s="324">
        <x:v>0</x:v>
      </x:c>
      <x:c r="T104" s="257">
        <x:f t="shared" si="3"/>
        <x:v>0</x:v>
      </x:c>
    </x:row>
    <x:row r="105">
      <x:c r="A105" s="148" t="s">
        <x:v>106</x:v>
      </x:c>
      <x:c r="B105">
        <x:v>4</x:v>
      </x:c>
      <x:c r="C105" s="148" t="s">
        <x:v>116</x:v>
      </x:c>
      <x:c r="D105">
        <x:v>403</x:v>
      </x:c>
      <x:c r="E105" s="324">
        <x:v>0</x:v>
      </x:c>
      <x:c r="F105" s="324">
        <x:v>0</x:v>
      </x:c>
      <x:c r="G105" s="324">
        <x:v>0</x:v>
      </x:c>
      <x:c r="H105" s="324">
        <x:v>0</x:v>
      </x:c>
      <x:c r="I105" s="324">
        <x:v>0</x:v>
      </x:c>
      <x:c r="J105" s="324">
        <x:v>0</x:v>
      </x:c>
      <x:c r="K105" s="324">
        <x:v>0</x:v>
      </x:c>
      <x:c r="L105" s="324">
        <x:v>0</x:v>
      </x:c>
      <x:c r="M105" s="324">
        <x:v>0</x:v>
      </x:c>
      <x:c r="N105" s="324">
        <x:v>0</x:v>
      </x:c>
      <x:c r="O105" s="324">
        <x:v>0</x:v>
      </x:c>
      <x:c r="P105" s="324">
        <x:v>0</x:v>
      </x:c>
      <x:c r="Q105" s="324">
        <x:v>0</x:v>
      </x:c>
      <x:c r="R105" s="324">
        <x:v>0</x:v>
      </x:c>
      <x:c r="S105" s="324">
        <x:v>0</x:v>
      </x:c>
      <x:c r="T105" s="257">
        <x:f t="shared" si="3"/>
        <x:v>0</x:v>
      </x:c>
    </x:row>
    <x:row r="106">
      <x:c r="A106" s="148" t="s">
        <x:v>106</x:v>
      </x:c>
      <x:c r="B106">
        <x:v>4</x:v>
      </x:c>
      <x:c r="C106" s="148" t="s">
        <x:v>116</x:v>
      </x:c>
      <x:c r="D106">
        <x:v>404</x:v>
      </x:c>
      <x:c r="E106" s="324">
        <x:v>0</x:v>
      </x:c>
      <x:c r="F106" s="324">
        <x:v>0</x:v>
      </x:c>
      <x:c r="G106" s="324">
        <x:v>0</x:v>
      </x:c>
      <x:c r="H106" s="324">
        <x:v>0</x:v>
      </x:c>
      <x:c r="I106" s="324">
        <x:v>0</x:v>
      </x:c>
      <x:c r="J106" s="324">
        <x:v>0</x:v>
      </x:c>
      <x:c r="K106" s="324">
        <x:v>0</x:v>
      </x:c>
      <x:c r="L106" s="324">
        <x:v>0</x:v>
      </x:c>
      <x:c r="M106" s="324">
        <x:v>0</x:v>
      </x:c>
      <x:c r="N106" s="324">
        <x:v>0</x:v>
      </x:c>
      <x:c r="O106" s="324">
        <x:v>0</x:v>
      </x:c>
      <x:c r="P106" s="324">
        <x:v>0</x:v>
      </x:c>
      <x:c r="Q106" s="324">
        <x:v>0</x:v>
      </x:c>
      <x:c r="R106" s="324">
        <x:v>0</x:v>
      </x:c>
      <x:c r="S106" s="324">
        <x:v>0</x:v>
      </x:c>
      <x:c r="T106" s="257">
        <x:f t="shared" si="3"/>
        <x:v>0</x:v>
      </x:c>
    </x:row>
    <x:row r="107">
      <x:c r="A107" s="148" t="s">
        <x:v>106</x:v>
      </x:c>
      <x:c r="B107">
        <x:v>4</x:v>
      </x:c>
      <x:c r="C107" s="148" t="s">
        <x:v>116</x:v>
      </x:c>
      <x:c r="D107">
        <x:v>405</x:v>
      </x:c>
      <x:c r="E107" s="324">
        <x:v>0</x:v>
      </x:c>
      <x:c r="F107" s="324">
        <x:v>0</x:v>
      </x:c>
      <x:c r="G107" s="324">
        <x:v>0</x:v>
      </x:c>
      <x:c r="H107" s="324">
        <x:v>0</x:v>
      </x:c>
      <x:c r="I107" s="324">
        <x:v>0</x:v>
      </x:c>
      <x:c r="J107" s="324">
        <x:v>0</x:v>
      </x:c>
      <x:c r="K107" s="324">
        <x:v>0</x:v>
      </x:c>
      <x:c r="L107" s="324">
        <x:v>0</x:v>
      </x:c>
      <x:c r="M107" s="324">
        <x:v>0</x:v>
      </x:c>
      <x:c r="N107" s="324">
        <x:v>0</x:v>
      </x:c>
      <x:c r="O107" s="324">
        <x:v>0</x:v>
      </x:c>
      <x:c r="P107" s="324">
        <x:v>0</x:v>
      </x:c>
      <x:c r="Q107" s="324">
        <x:v>0</x:v>
      </x:c>
      <x:c r="R107" s="324">
        <x:v>0</x:v>
      </x:c>
      <x:c r="S107" s="324">
        <x:v>0</x:v>
      </x:c>
      <x:c r="T107" s="257">
        <x:f t="shared" si="3"/>
        <x:v>0</x:v>
      </x:c>
    </x:row>
    <x:row r="108">
      <x:c r="A108" s="148" t="s">
        <x:v>106</x:v>
      </x:c>
      <x:c r="B108">
        <x:v>4</x:v>
      </x:c>
      <x:c r="C108" s="148" t="s">
        <x:v>116</x:v>
      </x:c>
      <x:c r="D108">
        <x:v>406</x:v>
      </x:c>
      <x:c r="E108" s="324">
        <x:v>0</x:v>
      </x:c>
      <x:c r="F108" s="324">
        <x:v>0</x:v>
      </x:c>
      <x:c r="G108" s="324">
        <x:v>0</x:v>
      </x:c>
      <x:c r="H108" s="324">
        <x:v>0</x:v>
      </x:c>
      <x:c r="I108" s="324">
        <x:v>0</x:v>
      </x:c>
      <x:c r="J108" s="324">
        <x:v>0</x:v>
      </x:c>
      <x:c r="K108" s="324">
        <x:v>0</x:v>
      </x:c>
      <x:c r="L108" s="324">
        <x:v>0</x:v>
      </x:c>
      <x:c r="M108" s="324">
        <x:v>0</x:v>
      </x:c>
      <x:c r="N108" s="324">
        <x:v>0</x:v>
      </x:c>
      <x:c r="O108" s="324">
        <x:v>0</x:v>
      </x:c>
      <x:c r="P108" s="324">
        <x:v>0</x:v>
      </x:c>
      <x:c r="Q108" s="324">
        <x:v>0</x:v>
      </x:c>
      <x:c r="R108" s="324">
        <x:v>0</x:v>
      </x:c>
      <x:c r="S108" s="324">
        <x:v>0</x:v>
      </x:c>
      <x:c r="T108" s="257">
        <x:f t="shared" si="3"/>
        <x:v>0</x:v>
      </x:c>
    </x:row>
    <x:row r="109">
      <x:c r="A109" s="148" t="s">
        <x:v>106</x:v>
      </x:c>
      <x:c r="B109">
        <x:v>4</x:v>
      </x:c>
      <x:c r="C109" s="148" t="s">
        <x:v>116</x:v>
      </x:c>
      <x:c r="D109">
        <x:v>407</x:v>
      </x:c>
      <x:c r="E109" s="324">
        <x:v>0</x:v>
      </x:c>
      <x:c r="F109" s="324">
        <x:v>0</x:v>
      </x:c>
      <x:c r="G109" s="324">
        <x:v>0</x:v>
      </x:c>
      <x:c r="H109" s="324">
        <x:v>0</x:v>
      </x:c>
      <x:c r="I109" s="324">
        <x:v>0</x:v>
      </x:c>
      <x:c r="J109" s="324">
        <x:v>0</x:v>
      </x:c>
      <x:c r="K109" s="324">
        <x:v>0</x:v>
      </x:c>
      <x:c r="L109" s="324">
        <x:v>0</x:v>
      </x:c>
      <x:c r="M109" s="324">
        <x:v>0</x:v>
      </x:c>
      <x:c r="N109" s="324">
        <x:v>0</x:v>
      </x:c>
      <x:c r="O109" s="324">
        <x:v>0</x:v>
      </x:c>
      <x:c r="P109" s="324">
        <x:v>0</x:v>
      </x:c>
      <x:c r="Q109" s="324">
        <x:v>0</x:v>
      </x:c>
      <x:c r="R109" s="324">
        <x:v>0</x:v>
      </x:c>
      <x:c r="S109" s="324">
        <x:v>0</x:v>
      </x:c>
      <x:c r="T109" s="257">
        <x:f t="shared" si="3"/>
        <x:v>0</x:v>
      </x:c>
    </x:row>
    <x:row r="110">
      <x:c r="A110" s="148" t="s">
        <x:v>106</x:v>
      </x:c>
      <x:c r="B110">
        <x:v>4</x:v>
      </x:c>
      <x:c r="C110" s="148" t="s">
        <x:v>116</x:v>
      </x:c>
      <x:c r="D110">
        <x:v>408</x:v>
      </x:c>
      <x:c r="E110" s="324">
        <x:v>0</x:v>
      </x:c>
      <x:c r="F110" s="324">
        <x:v>0</x:v>
      </x:c>
      <x:c r="G110" s="324">
        <x:v>0</x:v>
      </x:c>
      <x:c r="H110" s="324">
        <x:v>0</x:v>
      </x:c>
      <x:c r="I110" s="324">
        <x:v>0</x:v>
      </x:c>
      <x:c r="J110" s="324">
        <x:v>0</x:v>
      </x:c>
      <x:c r="K110" s="324">
        <x:v>0</x:v>
      </x:c>
      <x:c r="L110" s="324">
        <x:v>0</x:v>
      </x:c>
      <x:c r="M110" s="324">
        <x:v>0</x:v>
      </x:c>
      <x:c r="N110" s="324">
        <x:v>0</x:v>
      </x:c>
      <x:c r="O110" s="324">
        <x:v>0</x:v>
      </x:c>
      <x:c r="P110" s="324">
        <x:v>0</x:v>
      </x:c>
      <x:c r="Q110" s="324">
        <x:v>0</x:v>
      </x:c>
      <x:c r="R110" s="324">
        <x:v>0</x:v>
      </x:c>
      <x:c r="S110" s="324">
        <x:v>0</x:v>
      </x:c>
      <x:c r="T110" s="257">
        <x:f t="shared" si="3"/>
        <x:v>0</x:v>
      </x:c>
    </x:row>
    <x:row r="111">
      <x:c r="A111" s="148" t="s">
        <x:v>106</x:v>
      </x:c>
      <x:c r="B111">
        <x:v>4</x:v>
      </x:c>
      <x:c r="C111" s="148" t="s">
        <x:v>116</x:v>
      </x:c>
      <x:c r="D111">
        <x:v>409</x:v>
      </x:c>
      <x:c r="E111" s="324">
        <x:v>0</x:v>
      </x:c>
      <x:c r="F111" s="324">
        <x:v>0</x:v>
      </x:c>
      <x:c r="G111" s="324">
        <x:v>0</x:v>
      </x:c>
      <x:c r="H111" s="324">
        <x:v>0</x:v>
      </x:c>
      <x:c r="I111" s="324">
        <x:v>0</x:v>
      </x:c>
      <x:c r="J111" s="324">
        <x:v>0</x:v>
      </x:c>
      <x:c r="K111" s="324">
        <x:v>0</x:v>
      </x:c>
      <x:c r="L111" s="324">
        <x:v>0</x:v>
      </x:c>
      <x:c r="M111" s="324">
        <x:v>0</x:v>
      </x:c>
      <x:c r="N111" s="324">
        <x:v>0</x:v>
      </x:c>
      <x:c r="O111" s="324">
        <x:v>0</x:v>
      </x:c>
      <x:c r="P111" s="324">
        <x:v>0</x:v>
      </x:c>
      <x:c r="Q111" s="324">
        <x:v>0</x:v>
      </x:c>
      <x:c r="R111" s="324">
        <x:v>0</x:v>
      </x:c>
      <x:c r="S111" s="324">
        <x:v>0</x:v>
      </x:c>
      <x:c r="T111" s="257">
        <x:f t="shared" si="3"/>
        <x:v>0</x:v>
      </x:c>
    </x:row>
    <x:row r="112">
      <x:c r="A112" s="148" t="s">
        <x:v>106</x:v>
      </x:c>
      <x:c r="B112">
        <x:v>4</x:v>
      </x:c>
      <x:c r="C112" s="148" t="s">
        <x:v>116</x:v>
      </x:c>
      <x:c r="D112">
        <x:v>410</x:v>
      </x:c>
      <x:c r="E112" s="324">
        <x:v>0</x:v>
      </x:c>
      <x:c r="F112" s="324">
        <x:v>0</x:v>
      </x:c>
      <x:c r="G112" s="324">
        <x:v>0</x:v>
      </x:c>
      <x:c r="H112" s="324">
        <x:v>0</x:v>
      </x:c>
      <x:c r="I112" s="324">
        <x:v>0</x:v>
      </x:c>
      <x:c r="J112" s="324">
        <x:v>0</x:v>
      </x:c>
      <x:c r="K112" s="324">
        <x:v>0</x:v>
      </x:c>
      <x:c r="L112" s="324">
        <x:v>0</x:v>
      </x:c>
      <x:c r="M112" s="324">
        <x:v>0</x:v>
      </x:c>
      <x:c r="N112" s="324">
        <x:v>0</x:v>
      </x:c>
      <x:c r="O112" s="324">
        <x:v>0</x:v>
      </x:c>
      <x:c r="P112" s="324">
        <x:v>0</x:v>
      </x:c>
      <x:c r="Q112" s="324">
        <x:v>0</x:v>
      </x:c>
      <x:c r="R112" s="324">
        <x:v>0</x:v>
      </x:c>
      <x:c r="S112" s="324">
        <x:v>0</x:v>
      </x:c>
      <x:c r="T112" s="257">
        <x:f t="shared" si="3"/>
        <x:v>0</x:v>
      </x:c>
    </x:row>
    <x:row r="113">
      <x:c r="A113" s="148" t="s">
        <x:v>106</x:v>
      </x:c>
      <x:c r="B113">
        <x:v>4</x:v>
      </x:c>
      <x:c r="C113" s="148" t="s">
        <x:v>116</x:v>
      </x:c>
      <x:c r="D113">
        <x:v>411</x:v>
      </x:c>
      <x:c r="E113" s="324">
        <x:v>0</x:v>
      </x:c>
      <x:c r="F113" s="324">
        <x:v>0</x:v>
      </x:c>
      <x:c r="G113" s="324">
        <x:v>0</x:v>
      </x:c>
      <x:c r="H113" s="324">
        <x:v>0</x:v>
      </x:c>
      <x:c r="I113" s="324">
        <x:v>0</x:v>
      </x:c>
      <x:c r="J113" s="324">
        <x:v>0</x:v>
      </x:c>
      <x:c r="K113" s="324">
        <x:v>0</x:v>
      </x:c>
      <x:c r="L113" s="324">
        <x:v>0</x:v>
      </x:c>
      <x:c r="M113" s="324">
        <x:v>0</x:v>
      </x:c>
      <x:c r="N113" s="324">
        <x:v>0</x:v>
      </x:c>
      <x:c r="O113" s="324">
        <x:v>0</x:v>
      </x:c>
      <x:c r="P113" s="324">
        <x:v>0</x:v>
      </x:c>
      <x:c r="Q113" s="324">
        <x:v>0</x:v>
      </x:c>
      <x:c r="R113" s="324">
        <x:v>0</x:v>
      </x:c>
      <x:c r="S113" s="324">
        <x:v>0</x:v>
      </x:c>
      <x:c r="T113" s="257">
        <x:f t="shared" si="3"/>
        <x:v>0</x:v>
      </x:c>
    </x:row>
    <x:row r="114">
      <x:c r="A114" s="148" t="s">
        <x:v>106</x:v>
      </x:c>
      <x:c r="B114">
        <x:v>4</x:v>
      </x:c>
      <x:c r="C114" s="148" t="s">
        <x:v>116</x:v>
      </x:c>
      <x:c r="D114">
        <x:v>412</x:v>
      </x:c>
      <x:c r="E114" s="324">
        <x:v>0</x:v>
      </x:c>
      <x:c r="F114" s="324">
        <x:v>0</x:v>
      </x:c>
      <x:c r="G114" s="324">
        <x:v>0</x:v>
      </x:c>
      <x:c r="H114" s="324">
        <x:v>0</x:v>
      </x:c>
      <x:c r="I114" s="324">
        <x:v>0</x:v>
      </x:c>
      <x:c r="J114" s="324">
        <x:v>0</x:v>
      </x:c>
      <x:c r="K114" s="324">
        <x:v>0</x:v>
      </x:c>
      <x:c r="L114" s="324">
        <x:v>0</x:v>
      </x:c>
      <x:c r="M114" s="324">
        <x:v>0</x:v>
      </x:c>
      <x:c r="N114" s="324">
        <x:v>0</x:v>
      </x:c>
      <x:c r="O114" s="324">
        <x:v>0</x:v>
      </x:c>
      <x:c r="P114" s="324">
        <x:v>0</x:v>
      </x:c>
      <x:c r="Q114" s="324">
        <x:v>0</x:v>
      </x:c>
      <x:c r="R114" s="324">
        <x:v>0</x:v>
      </x:c>
      <x:c r="S114" s="324">
        <x:v>0</x:v>
      </x:c>
      <x:c r="T114" s="257">
        <x:f t="shared" si="3"/>
        <x:v>0</x:v>
      </x:c>
    </x:row>
    <x:row r="115">
      <x:c r="A115" s="148" t="s">
        <x:v>106</x:v>
      </x:c>
      <x:c r="B115">
        <x:v>4</x:v>
      </x:c>
      <x:c r="C115" s="148" t="s">
        <x:v>116</x:v>
      </x:c>
      <x:c r="D115">
        <x:v>413</x:v>
      </x:c>
      <x:c r="E115" s="324">
        <x:v>0</x:v>
      </x:c>
      <x:c r="F115" s="324">
        <x:v>0</x:v>
      </x:c>
      <x:c r="G115" s="324">
        <x:v>0</x:v>
      </x:c>
      <x:c r="H115" s="324">
        <x:v>0</x:v>
      </x:c>
      <x:c r="I115" s="324">
        <x:v>0</x:v>
      </x:c>
      <x:c r="J115" s="324">
        <x:v>0</x:v>
      </x:c>
      <x:c r="K115" s="324">
        <x:v>0</x:v>
      </x:c>
      <x:c r="L115" s="324">
        <x:v>0</x:v>
      </x:c>
      <x:c r="M115" s="324">
        <x:v>0</x:v>
      </x:c>
      <x:c r="N115" s="324">
        <x:v>0</x:v>
      </x:c>
      <x:c r="O115" s="324">
        <x:v>0</x:v>
      </x:c>
      <x:c r="P115" s="324">
        <x:v>0</x:v>
      </x:c>
      <x:c r="Q115" s="324">
        <x:v>0</x:v>
      </x:c>
      <x:c r="R115" s="324">
        <x:v>0</x:v>
      </x:c>
      <x:c r="S115" s="324">
        <x:v>0</x:v>
      </x:c>
      <x:c r="T115" s="257">
        <x:f t="shared" si="3"/>
        <x:v>0</x:v>
      </x:c>
    </x:row>
    <x:row r="116">
      <x:c r="A116" s="148" t="s">
        <x:v>106</x:v>
      </x:c>
      <x:c r="B116">
        <x:v>4</x:v>
      </x:c>
      <x:c r="C116" s="148" t="s">
        <x:v>116</x:v>
      </x:c>
      <x:c r="D116">
        <x:v>414</x:v>
      </x:c>
      <x:c r="E116" s="324">
        <x:v>0</x:v>
      </x:c>
      <x:c r="F116" s="324">
        <x:v>0</x:v>
      </x:c>
      <x:c r="G116" s="324">
        <x:v>0</x:v>
      </x:c>
      <x:c r="H116" s="324">
        <x:v>0</x:v>
      </x:c>
      <x:c r="I116" s="324">
        <x:v>0</x:v>
      </x:c>
      <x:c r="J116" s="324">
        <x:v>0</x:v>
      </x:c>
      <x:c r="K116" s="324">
        <x:v>0</x:v>
      </x:c>
      <x:c r="L116" s="324">
        <x:v>0</x:v>
      </x:c>
      <x:c r="M116" s="324">
        <x:v>0</x:v>
      </x:c>
      <x:c r="N116" s="324">
        <x:v>0</x:v>
      </x:c>
      <x:c r="O116" s="324">
        <x:v>0</x:v>
      </x:c>
      <x:c r="P116" s="324">
        <x:v>0</x:v>
      </x:c>
      <x:c r="Q116" s="324">
        <x:v>0</x:v>
      </x:c>
      <x:c r="R116" s="324">
        <x:v>0</x:v>
      </x:c>
      <x:c r="S116" s="324">
        <x:v>0</x:v>
      </x:c>
      <x:c r="T116" s="257">
        <x:f t="shared" si="3"/>
        <x:v>0</x:v>
      </x:c>
    </x:row>
    <x:row r="117">
      <x:c r="A117" s="148" t="s">
        <x:v>106</x:v>
      </x:c>
      <x:c r="B117">
        <x:v>4</x:v>
      </x:c>
      <x:c r="C117" s="148" t="s">
        <x:v>116</x:v>
      </x:c>
      <x:c r="D117">
        <x:v>415</x:v>
      </x:c>
      <x:c r="E117" s="324">
        <x:v>0</x:v>
      </x:c>
      <x:c r="F117" s="324">
        <x:v>0</x:v>
      </x:c>
      <x:c r="G117" s="324">
        <x:v>0</x:v>
      </x:c>
      <x:c r="H117" s="324">
        <x:v>0</x:v>
      </x:c>
      <x:c r="I117" s="324">
        <x:v>0</x:v>
      </x:c>
      <x:c r="J117" s="324">
        <x:v>0</x:v>
      </x:c>
      <x:c r="K117" s="324">
        <x:v>0</x:v>
      </x:c>
      <x:c r="L117" s="324">
        <x:v>0</x:v>
      </x:c>
      <x:c r="M117" s="324">
        <x:v>0</x:v>
      </x:c>
      <x:c r="N117" s="324">
        <x:v>0</x:v>
      </x:c>
      <x:c r="O117" s="324">
        <x:v>0</x:v>
      </x:c>
      <x:c r="P117" s="324">
        <x:v>0</x:v>
      </x:c>
      <x:c r="Q117" s="324">
        <x:v>0</x:v>
      </x:c>
      <x:c r="R117" s="324">
        <x:v>0</x:v>
      </x:c>
      <x:c r="S117" s="324">
        <x:v>0</x:v>
      </x:c>
      <x:c r="T117" s="257">
        <x:f t="shared" si="3"/>
        <x:v>0</x:v>
      </x:c>
    </x:row>
    <x:row r="118">
      <x:c r="A118" s="148" t="s">
        <x:v>106</x:v>
      </x:c>
      <x:c r="B118">
        <x:v>4</x:v>
      </x:c>
      <x:c r="C118" s="148" t="s">
        <x:v>116</x:v>
      </x:c>
      <x:c r="D118">
        <x:v>416</x:v>
      </x:c>
      <x:c r="E118" s="324">
        <x:v>0</x:v>
      </x:c>
      <x:c r="F118" s="324">
        <x:v>0</x:v>
      </x:c>
      <x:c r="G118" s="324">
        <x:v>0</x:v>
      </x:c>
      <x:c r="H118" s="324">
        <x:v>0</x:v>
      </x:c>
      <x:c r="I118" s="324">
        <x:v>0</x:v>
      </x:c>
      <x:c r="J118" s="324">
        <x:v>0</x:v>
      </x:c>
      <x:c r="K118" s="324">
        <x:v>0</x:v>
      </x:c>
      <x:c r="L118" s="324">
        <x:v>0</x:v>
      </x:c>
      <x:c r="M118" s="324">
        <x:v>0</x:v>
      </x:c>
      <x:c r="N118" s="324">
        <x:v>0</x:v>
      </x:c>
      <x:c r="O118" s="324">
        <x:v>0</x:v>
      </x:c>
      <x:c r="P118" s="324">
        <x:v>0</x:v>
      </x:c>
      <x:c r="Q118" s="324">
        <x:v>0</x:v>
      </x:c>
      <x:c r="R118" s="324">
        <x:v>0</x:v>
      </x:c>
      <x:c r="S118" s="324">
        <x:v>0</x:v>
      </x:c>
      <x:c r="T118" s="257">
        <x:f t="shared" si="3"/>
        <x:v>0</x:v>
      </x:c>
    </x:row>
    <x:row r="119">
      <x:c r="A119" s="148" t="s">
        <x:v>106</x:v>
      </x:c>
      <x:c r="B119">
        <x:v>4</x:v>
      </x:c>
      <x:c r="C119" s="148" t="s">
        <x:v>116</x:v>
      </x:c>
      <x:c r="D119">
        <x:v>417</x:v>
      </x:c>
      <x:c r="E119" s="324">
        <x:v>0</x:v>
      </x:c>
      <x:c r="F119" s="324">
        <x:v>0</x:v>
      </x:c>
      <x:c r="G119" s="324">
        <x:v>0</x:v>
      </x:c>
      <x:c r="H119" s="324">
        <x:v>0</x:v>
      </x:c>
      <x:c r="I119" s="324">
        <x:v>0</x:v>
      </x:c>
      <x:c r="J119" s="324">
        <x:v>0</x:v>
      </x:c>
      <x:c r="K119" s="324">
        <x:v>0</x:v>
      </x:c>
      <x:c r="L119" s="324">
        <x:v>0</x:v>
      </x:c>
      <x:c r="M119" s="324">
        <x:v>0</x:v>
      </x:c>
      <x:c r="N119" s="324">
        <x:v>0</x:v>
      </x:c>
      <x:c r="O119" s="324">
        <x:v>0</x:v>
      </x:c>
      <x:c r="P119" s="324">
        <x:v>0</x:v>
      </x:c>
      <x:c r="Q119" s="324">
        <x:v>0</x:v>
      </x:c>
      <x:c r="R119" s="324">
        <x:v>0</x:v>
      </x:c>
      <x:c r="S119" s="324">
        <x:v>0</x:v>
      </x:c>
      <x:c r="T119" s="257">
        <x:f t="shared" si="3"/>
        <x:v>0</x:v>
      </x:c>
    </x:row>
    <x:row r="120">
      <x:c r="A120" s="148" t="s">
        <x:v>106</x:v>
      </x:c>
      <x:c r="B120">
        <x:v>4</x:v>
      </x:c>
      <x:c r="C120" s="148" t="s">
        <x:v>116</x:v>
      </x:c>
      <x:c r="D120">
        <x:v>418</x:v>
      </x:c>
      <x:c r="E120" s="324">
        <x:v>0</x:v>
      </x:c>
      <x:c r="F120" s="324">
        <x:v>0</x:v>
      </x:c>
      <x:c r="G120" s="324">
        <x:v>0</x:v>
      </x:c>
      <x:c r="H120" s="324">
        <x:v>0</x:v>
      </x:c>
      <x:c r="I120" s="324">
        <x:v>0</x:v>
      </x:c>
      <x:c r="J120" s="324">
        <x:v>0</x:v>
      </x:c>
      <x:c r="K120" s="324">
        <x:v>0</x:v>
      </x:c>
      <x:c r="L120" s="324">
        <x:v>0</x:v>
      </x:c>
      <x:c r="M120" s="324">
        <x:v>0</x:v>
      </x:c>
      <x:c r="N120" s="324">
        <x:v>0</x:v>
      </x:c>
      <x:c r="O120" s="324">
        <x:v>0</x:v>
      </x:c>
      <x:c r="P120" s="324">
        <x:v>0</x:v>
      </x:c>
      <x:c r="Q120" s="324">
        <x:v>0</x:v>
      </x:c>
      <x:c r="R120" s="324">
        <x:v>0</x:v>
      </x:c>
      <x:c r="S120" s="324">
        <x:v>0</x:v>
      </x:c>
      <x:c r="T120" s="257">
        <x:f t="shared" si="3"/>
        <x:v>0</x:v>
      </x:c>
    </x:row>
    <x:row r="121">
      <x:c r="A121" s="148" t="s">
        <x:v>106</x:v>
      </x:c>
      <x:c r="B121">
        <x:v>4</x:v>
      </x:c>
      <x:c r="C121" s="148" t="s">
        <x:v>116</x:v>
      </x:c>
      <x:c r="D121">
        <x:v>419</x:v>
      </x:c>
      <x:c r="E121" s="324">
        <x:v>0</x:v>
      </x:c>
      <x:c r="F121" s="324">
        <x:v>0</x:v>
      </x:c>
      <x:c r="G121" s="324">
        <x:v>0</x:v>
      </x:c>
      <x:c r="H121" s="324">
        <x:v>0</x:v>
      </x:c>
      <x:c r="I121" s="324">
        <x:v>0</x:v>
      </x:c>
      <x:c r="J121" s="324">
        <x:v>0</x:v>
      </x:c>
      <x:c r="K121" s="324">
        <x:v>0</x:v>
      </x:c>
      <x:c r="L121" s="324">
        <x:v>0</x:v>
      </x:c>
      <x:c r="M121" s="324">
        <x:v>0</x:v>
      </x:c>
      <x:c r="N121" s="324">
        <x:v>0</x:v>
      </x:c>
      <x:c r="O121" s="324">
        <x:v>0</x:v>
      </x:c>
      <x:c r="P121" s="324">
        <x:v>0</x:v>
      </x:c>
      <x:c r="Q121" s="324">
        <x:v>0</x:v>
      </x:c>
      <x:c r="R121" s="324">
        <x:v>0</x:v>
      </x:c>
      <x:c r="S121" s="324">
        <x:v>0</x:v>
      </x:c>
      <x:c r="T121" s="257">
        <x:f t="shared" si="3"/>
        <x:v>0</x:v>
      </x:c>
    </x:row>
    <x:row r="122">
      <x:c r="A122" s="148" t="s">
        <x:v>106</x:v>
      </x:c>
      <x:c r="B122">
        <x:v>4</x:v>
      </x:c>
      <x:c r="C122" s="148" t="s">
        <x:v>116</x:v>
      </x:c>
      <x:c r="D122">
        <x:v>420</x:v>
      </x:c>
      <x:c r="E122" s="324">
        <x:v>0</x:v>
      </x:c>
      <x:c r="F122" s="324">
        <x:v>0</x:v>
      </x:c>
      <x:c r="G122" s="324">
        <x:v>0</x:v>
      </x:c>
      <x:c r="H122" s="324">
        <x:v>0</x:v>
      </x:c>
      <x:c r="I122" s="324">
        <x:v>0</x:v>
      </x:c>
      <x:c r="J122" s="324">
        <x:v>0</x:v>
      </x:c>
      <x:c r="K122" s="324">
        <x:v>0</x:v>
      </x:c>
      <x:c r="L122" s="324">
        <x:v>0</x:v>
      </x:c>
      <x:c r="M122" s="324">
        <x:v>0</x:v>
      </x:c>
      <x:c r="N122" s="324">
        <x:v>0</x:v>
      </x:c>
      <x:c r="O122" s="324">
        <x:v>0</x:v>
      </x:c>
      <x:c r="P122" s="324">
        <x:v>0</x:v>
      </x:c>
      <x:c r="Q122" s="324">
        <x:v>0</x:v>
      </x:c>
      <x:c r="R122" s="324">
        <x:v>0</x:v>
      </x:c>
      <x:c r="S122" s="324">
        <x:v>0</x:v>
      </x:c>
      <x:c r="T122" s="257">
        <x:f t="shared" si="3"/>
        <x:v>0</x:v>
      </x:c>
    </x:row>
    <x:row r="123">
      <x:c r="A123" s="148" t="s">
        <x:v>106</x:v>
      </x:c>
      <x:c r="B123">
        <x:v>4</x:v>
      </x:c>
      <x:c r="C123" s="148" t="s">
        <x:v>116</x:v>
      </x:c>
      <x:c r="D123">
        <x:v>421</x:v>
      </x:c>
      <x:c r="E123" s="324">
        <x:v>0</x:v>
      </x:c>
      <x:c r="F123" s="324">
        <x:v>0</x:v>
      </x:c>
      <x:c r="G123" s="324">
        <x:v>0</x:v>
      </x:c>
      <x:c r="H123" s="324">
        <x:v>0</x:v>
      </x:c>
      <x:c r="I123" s="324">
        <x:v>0</x:v>
      </x:c>
      <x:c r="J123" s="324">
        <x:v>0</x:v>
      </x:c>
      <x:c r="K123" s="324">
        <x:v>0</x:v>
      </x:c>
      <x:c r="L123" s="324">
        <x:v>0</x:v>
      </x:c>
      <x:c r="M123" s="324">
        <x:v>0</x:v>
      </x:c>
      <x:c r="N123" s="324">
        <x:v>0</x:v>
      </x:c>
      <x:c r="O123" s="324">
        <x:v>0</x:v>
      </x:c>
      <x:c r="P123" s="324">
        <x:v>0</x:v>
      </x:c>
      <x:c r="Q123" s="324">
        <x:v>0</x:v>
      </x:c>
      <x:c r="R123" s="324">
        <x:v>0</x:v>
      </x:c>
      <x:c r="S123" s="324">
        <x:v>0</x:v>
      </x:c>
      <x:c r="T123" s="257">
        <x:f t="shared" si="3"/>
        <x:v>0</x:v>
      </x:c>
    </x:row>
    <x:row r="124">
      <x:c r="A124" s="148" t="s">
        <x:v>106</x:v>
      </x:c>
      <x:c r="B124">
        <x:v>4</x:v>
      </x:c>
      <x:c r="C124" s="148" t="s">
        <x:v>116</x:v>
      </x:c>
      <x:c r="D124">
        <x:v>422</x:v>
      </x:c>
      <x:c r="E124" s="324">
        <x:v>0</x:v>
      </x:c>
      <x:c r="F124" s="324">
        <x:v>0</x:v>
      </x:c>
      <x:c r="G124" s="324">
        <x:v>0</x:v>
      </x:c>
      <x:c r="H124" s="324">
        <x:v>0</x:v>
      </x:c>
      <x:c r="I124" s="324">
        <x:v>0</x:v>
      </x:c>
      <x:c r="J124" s="324">
        <x:v>0</x:v>
      </x:c>
      <x:c r="K124" s="324">
        <x:v>0</x:v>
      </x:c>
      <x:c r="L124" s="324">
        <x:v>0</x:v>
      </x:c>
      <x:c r="M124" s="324">
        <x:v>0</x:v>
      </x:c>
      <x:c r="N124" s="324">
        <x:v>0</x:v>
      </x:c>
      <x:c r="O124" s="324">
        <x:v>0</x:v>
      </x:c>
      <x:c r="P124" s="324">
        <x:v>0</x:v>
      </x:c>
      <x:c r="Q124" s="324">
        <x:v>0</x:v>
      </x:c>
      <x:c r="R124" s="324">
        <x:v>0</x:v>
      </x:c>
      <x:c r="S124" s="324">
        <x:v>0</x:v>
      </x:c>
      <x:c r="T124" s="257">
        <x:f t="shared" si="3"/>
        <x:v>0</x:v>
      </x:c>
    </x:row>
    <x:row r="125">
      <x:c r="A125" s="148" t="s">
        <x:v>106</x:v>
      </x:c>
      <x:c r="B125">
        <x:v>4</x:v>
      </x:c>
      <x:c r="C125" s="148" t="s">
        <x:v>116</x:v>
      </x:c>
      <x:c r="D125">
        <x:v>423</x:v>
      </x:c>
      <x:c r="E125" s="324">
        <x:v>0</x:v>
      </x:c>
      <x:c r="F125" s="324">
        <x:v>0</x:v>
      </x:c>
      <x:c r="G125" s="324">
        <x:v>0</x:v>
      </x:c>
      <x:c r="H125" s="324">
        <x:v>0</x:v>
      </x:c>
      <x:c r="I125" s="324">
        <x:v>0</x:v>
      </x:c>
      <x:c r="J125" s="324">
        <x:v>0</x:v>
      </x:c>
      <x:c r="K125" s="324">
        <x:v>0</x:v>
      </x:c>
      <x:c r="L125" s="324">
        <x:v>0</x:v>
      </x:c>
      <x:c r="M125" s="324">
        <x:v>0</x:v>
      </x:c>
      <x:c r="N125" s="324">
        <x:v>0</x:v>
      </x:c>
      <x:c r="O125" s="324">
        <x:v>0</x:v>
      </x:c>
      <x:c r="P125" s="324">
        <x:v>0</x:v>
      </x:c>
      <x:c r="Q125" s="324">
        <x:v>0</x:v>
      </x:c>
      <x:c r="R125" s="324">
        <x:v>0</x:v>
      </x:c>
      <x:c r="S125" s="324">
        <x:v>0</x:v>
      </x:c>
      <x:c r="T125" s="257">
        <x:f t="shared" si="3"/>
        <x:v>0</x:v>
      </x:c>
    </x:row>
    <x:row r="126">
      <x:c r="A126" s="148" t="s">
        <x:v>106</x:v>
      </x:c>
      <x:c r="B126">
        <x:v>4</x:v>
      </x:c>
      <x:c r="C126" s="148" t="s">
        <x:v>115</x:v>
      </x:c>
      <x:c r="D126">
        <x:v>401</x:v>
      </x:c>
      <x:c r="E126" s="324">
        <x:v>0</x:v>
      </x:c>
      <x:c r="F126" s="324">
        <x:v>0</x:v>
      </x:c>
      <x:c r="G126" s="324">
        <x:v>0</x:v>
      </x:c>
      <x:c r="H126" s="324">
        <x:v>0</x:v>
      </x:c>
      <x:c r="I126" s="324">
        <x:v>0</x:v>
      </x:c>
      <x:c r="J126" s="324">
        <x:v>0</x:v>
      </x:c>
      <x:c r="K126" s="324">
        <x:v>0</x:v>
      </x:c>
      <x:c r="L126" s="324">
        <x:v>0</x:v>
      </x:c>
      <x:c r="M126" s="324">
        <x:v>0</x:v>
      </x:c>
      <x:c r="N126" s="324">
        <x:v>0</x:v>
      </x:c>
      <x:c r="O126" s="324">
        <x:v>0</x:v>
      </x:c>
      <x:c r="P126" s="324">
        <x:v>0</x:v>
      </x:c>
      <x:c r="Q126" s="324">
        <x:v>0</x:v>
      </x:c>
      <x:c r="R126" s="324">
        <x:v>0</x:v>
      </x:c>
      <x:c r="S126" s="324">
        <x:v>0</x:v>
      </x:c>
      <x:c r="T126" s="257">
        <x:f t="shared" si="3"/>
        <x:v>0</x:v>
      </x:c>
    </x:row>
    <x:row r="127">
      <x:c r="A127" s="148" t="s">
        <x:v>106</x:v>
      </x:c>
      <x:c r="B127">
        <x:v>4</x:v>
      </x:c>
      <x:c r="C127" s="148" t="s">
        <x:v>115</x:v>
      </x:c>
      <x:c r="D127">
        <x:v>402</x:v>
      </x:c>
      <x:c r="E127" s="324">
        <x:v>0</x:v>
      </x:c>
      <x:c r="F127" s="324">
        <x:v>0</x:v>
      </x:c>
      <x:c r="G127" s="324">
        <x:v>0</x:v>
      </x:c>
      <x:c r="H127" s="324">
        <x:v>0</x:v>
      </x:c>
      <x:c r="I127" s="324">
        <x:v>0</x:v>
      </x:c>
      <x:c r="J127" s="324">
        <x:v>0</x:v>
      </x:c>
      <x:c r="K127" s="324">
        <x:v>0</x:v>
      </x:c>
      <x:c r="L127" s="324">
        <x:v>0</x:v>
      </x:c>
      <x:c r="M127" s="324">
        <x:v>0</x:v>
      </x:c>
      <x:c r="N127" s="324">
        <x:v>0</x:v>
      </x:c>
      <x:c r="O127" s="324">
        <x:v>0</x:v>
      </x:c>
      <x:c r="P127" s="324">
        <x:v>0</x:v>
      </x:c>
      <x:c r="Q127" s="324">
        <x:v>0</x:v>
      </x:c>
      <x:c r="R127" s="324">
        <x:v>0</x:v>
      </x:c>
      <x:c r="S127" s="324">
        <x:v>0</x:v>
      </x:c>
      <x:c r="T127" s="257">
        <x:f t="shared" si="3"/>
        <x:v>0</x:v>
      </x:c>
    </x:row>
    <x:row r="128">
      <x:c r="A128" s="148" t="s">
        <x:v>106</x:v>
      </x:c>
      <x:c r="B128">
        <x:v>4</x:v>
      </x:c>
      <x:c r="C128" s="148" t="s">
        <x:v>115</x:v>
      </x:c>
      <x:c r="D128">
        <x:v>403</x:v>
      </x:c>
      <x:c r="E128" s="324">
        <x:v>0</x:v>
      </x:c>
      <x:c r="F128" s="324">
        <x:v>0</x:v>
      </x:c>
      <x:c r="G128" s="324">
        <x:v>0</x:v>
      </x:c>
      <x:c r="H128" s="324">
        <x:v>0</x:v>
      </x:c>
      <x:c r="I128" s="324">
        <x:v>0</x:v>
      </x:c>
      <x:c r="J128" s="324">
        <x:v>0</x:v>
      </x:c>
      <x:c r="K128" s="324">
        <x:v>0</x:v>
      </x:c>
      <x:c r="L128" s="324">
        <x:v>0</x:v>
      </x:c>
      <x:c r="M128" s="324">
        <x:v>0</x:v>
      </x:c>
      <x:c r="N128" s="324">
        <x:v>0</x:v>
      </x:c>
      <x:c r="O128" s="324">
        <x:v>0</x:v>
      </x:c>
      <x:c r="P128" s="324">
        <x:v>0</x:v>
      </x:c>
      <x:c r="Q128" s="324">
        <x:v>0</x:v>
      </x:c>
      <x:c r="R128" s="324">
        <x:v>0</x:v>
      </x:c>
      <x:c r="S128" s="324">
        <x:v>0</x:v>
      </x:c>
      <x:c r="T128" s="257">
        <x:f t="shared" si="3"/>
        <x:v>0</x:v>
      </x:c>
    </x:row>
    <x:row r="129">
      <x:c r="A129" s="148" t="s">
        <x:v>106</x:v>
      </x:c>
      <x:c r="B129">
        <x:v>4</x:v>
      </x:c>
      <x:c r="C129" s="148" t="s">
        <x:v>115</x:v>
      </x:c>
      <x:c r="D129">
        <x:v>404</x:v>
      </x:c>
      <x:c r="E129" s="324">
        <x:v>0</x:v>
      </x:c>
      <x:c r="F129" s="324">
        <x:v>0</x:v>
      </x:c>
      <x:c r="G129" s="324">
        <x:v>0</x:v>
      </x:c>
      <x:c r="H129" s="324">
        <x:v>0</x:v>
      </x:c>
      <x:c r="I129" s="324">
        <x:v>0</x:v>
      </x:c>
      <x:c r="J129" s="324">
        <x:v>0</x:v>
      </x:c>
      <x:c r="K129" s="324">
        <x:v>0</x:v>
      </x:c>
      <x:c r="L129" s="324">
        <x:v>0</x:v>
      </x:c>
      <x:c r="M129" s="324">
        <x:v>0</x:v>
      </x:c>
      <x:c r="N129" s="324">
        <x:v>0</x:v>
      </x:c>
      <x:c r="O129" s="324">
        <x:v>0</x:v>
      </x:c>
      <x:c r="P129" s="324">
        <x:v>0</x:v>
      </x:c>
      <x:c r="Q129" s="324">
        <x:v>0</x:v>
      </x:c>
      <x:c r="R129" s="324">
        <x:v>0</x:v>
      </x:c>
      <x:c r="S129" s="324">
        <x:v>0</x:v>
      </x:c>
      <x:c r="T129" s="257">
        <x:f t="shared" si="3"/>
        <x:v>0</x:v>
      </x:c>
    </x:row>
    <x:row r="130">
      <x:c r="A130" s="148" t="s">
        <x:v>106</x:v>
      </x:c>
      <x:c r="B130">
        <x:v>4</x:v>
      </x:c>
      <x:c r="C130" s="148" t="s">
        <x:v>115</x:v>
      </x:c>
      <x:c r="D130">
        <x:v>405</x:v>
      </x:c>
      <x:c r="E130" s="324">
        <x:v>0</x:v>
      </x:c>
      <x:c r="F130" s="324">
        <x:v>0</x:v>
      </x:c>
      <x:c r="G130" s="324">
        <x:v>0</x:v>
      </x:c>
      <x:c r="H130" s="324">
        <x:v>0</x:v>
      </x:c>
      <x:c r="I130" s="324">
        <x:v>0</x:v>
      </x:c>
      <x:c r="J130" s="324">
        <x:v>0</x:v>
      </x:c>
      <x:c r="K130" s="324">
        <x:v>0</x:v>
      </x:c>
      <x:c r="L130" s="324">
        <x:v>0</x:v>
      </x:c>
      <x:c r="M130" s="324">
        <x:v>0</x:v>
      </x:c>
      <x:c r="N130" s="324">
        <x:v>0</x:v>
      </x:c>
      <x:c r="O130" s="324">
        <x:v>0</x:v>
      </x:c>
      <x:c r="P130" s="324">
        <x:v>0</x:v>
      </x:c>
      <x:c r="Q130" s="324">
        <x:v>0</x:v>
      </x:c>
      <x:c r="R130" s="324">
        <x:v>0</x:v>
      </x:c>
      <x:c r="S130" s="324">
        <x:v>0</x:v>
      </x:c>
      <x:c r="T130" s="257">
        <x:f t="shared" si="3"/>
        <x:v>0</x:v>
      </x:c>
    </x:row>
    <x:row r="131">
      <x:c r="A131" s="148" t="s">
        <x:v>106</x:v>
      </x:c>
      <x:c r="B131">
        <x:v>4</x:v>
      </x:c>
      <x:c r="C131" s="148" t="s">
        <x:v>115</x:v>
      </x:c>
      <x:c r="D131">
        <x:v>406</x:v>
      </x:c>
      <x:c r="E131" s="324">
        <x:v>0</x:v>
      </x:c>
      <x:c r="F131" s="324">
        <x:v>0</x:v>
      </x:c>
      <x:c r="G131" s="324">
        <x:v>0</x:v>
      </x:c>
      <x:c r="H131" s="324">
        <x:v>0</x:v>
      </x:c>
      <x:c r="I131" s="324">
        <x:v>0</x:v>
      </x:c>
      <x:c r="J131" s="324">
        <x:v>0</x:v>
      </x:c>
      <x:c r="K131" s="324">
        <x:v>0</x:v>
      </x:c>
      <x:c r="L131" s="324">
        <x:v>0</x:v>
      </x:c>
      <x:c r="M131" s="324">
        <x:v>0</x:v>
      </x:c>
      <x:c r="N131" s="324">
        <x:v>0</x:v>
      </x:c>
      <x:c r="O131" s="324">
        <x:v>0</x:v>
      </x:c>
      <x:c r="P131" s="324">
        <x:v>0</x:v>
      </x:c>
      <x:c r="Q131" s="324">
        <x:v>0</x:v>
      </x:c>
      <x:c r="R131" s="324">
        <x:v>0</x:v>
      </x:c>
      <x:c r="S131" s="324">
        <x:v>0</x:v>
      </x:c>
      <x:c r="T131" s="257" t="n">
        <x:f t="shared" ref="T131:T194" si="5">AVERAGE(E131:S131)</x:f>
        <x:v>0</x:v>
      </x:c>
    </x:row>
    <x:row r="132">
      <x:c r="A132" s="148" t="s">
        <x:v>106</x:v>
      </x:c>
      <x:c r="B132">
        <x:v>4</x:v>
      </x:c>
      <x:c r="C132" s="148" t="s">
        <x:v>115</x:v>
      </x:c>
      <x:c r="D132">
        <x:v>407</x:v>
      </x:c>
      <x:c r="E132" s="324">
        <x:v>0</x:v>
      </x:c>
      <x:c r="F132" s="324">
        <x:v>0</x:v>
      </x:c>
      <x:c r="G132" s="324">
        <x:v>0</x:v>
      </x:c>
      <x:c r="H132" s="324">
        <x:v>0</x:v>
      </x:c>
      <x:c r="I132" s="324">
        <x:v>0</x:v>
      </x:c>
      <x:c r="J132" s="324">
        <x:v>0</x:v>
      </x:c>
      <x:c r="K132" s="324">
        <x:v>0</x:v>
      </x:c>
      <x:c r="L132" s="324">
        <x:v>0</x:v>
      </x:c>
      <x:c r="M132" s="324">
        <x:v>0</x:v>
      </x:c>
      <x:c r="N132" s="324">
        <x:v>0</x:v>
      </x:c>
      <x:c r="O132" s="324">
        <x:v>0</x:v>
      </x:c>
      <x:c r="P132" s="324">
        <x:v>0</x:v>
      </x:c>
      <x:c r="Q132" s="324">
        <x:v>0</x:v>
      </x:c>
      <x:c r="R132" s="324">
        <x:v>0</x:v>
      </x:c>
      <x:c r="S132" s="324">
        <x:v>0</x:v>
      </x:c>
      <x:c r="T132" s="257">
        <x:f t="shared" si="5"/>
        <x:v>0</x:v>
      </x:c>
    </x:row>
    <x:row r="133">
      <x:c r="A133" s="148" t="s">
        <x:v>106</x:v>
      </x:c>
      <x:c r="B133">
        <x:v>4</x:v>
      </x:c>
      <x:c r="C133" s="148" t="s">
        <x:v>115</x:v>
      </x:c>
      <x:c r="D133">
        <x:v>408</x:v>
      </x:c>
      <x:c r="E133" s="324">
        <x:v>0</x:v>
      </x:c>
      <x:c r="F133" s="324">
        <x:v>0</x:v>
      </x:c>
      <x:c r="G133" s="324">
        <x:v>0</x:v>
      </x:c>
      <x:c r="H133" s="324">
        <x:v>0</x:v>
      </x:c>
      <x:c r="I133" s="324">
        <x:v>0</x:v>
      </x:c>
      <x:c r="J133" s="324">
        <x:v>0</x:v>
      </x:c>
      <x:c r="K133" s="324">
        <x:v>0</x:v>
      </x:c>
      <x:c r="L133" s="324">
        <x:v>0</x:v>
      </x:c>
      <x:c r="M133" s="324">
        <x:v>0</x:v>
      </x:c>
      <x:c r="N133" s="324">
        <x:v>0</x:v>
      </x:c>
      <x:c r="O133" s="324">
        <x:v>0</x:v>
      </x:c>
      <x:c r="P133" s="324">
        <x:v>0</x:v>
      </x:c>
      <x:c r="Q133" s="324">
        <x:v>0</x:v>
      </x:c>
      <x:c r="R133" s="324">
        <x:v>0</x:v>
      </x:c>
      <x:c r="S133" s="324">
        <x:v>0</x:v>
      </x:c>
      <x:c r="T133" s="257">
        <x:f t="shared" si="5"/>
        <x:v>0</x:v>
      </x:c>
    </x:row>
    <x:row r="134">
      <x:c r="A134" s="148" t="s">
        <x:v>106</x:v>
      </x:c>
      <x:c r="B134">
        <x:v>4</x:v>
      </x:c>
      <x:c r="C134" s="148" t="s">
        <x:v>115</x:v>
      </x:c>
      <x:c r="D134">
        <x:v>409</x:v>
      </x:c>
      <x:c r="E134" s="324">
        <x:v>0</x:v>
      </x:c>
      <x:c r="F134" s="324">
        <x:v>0</x:v>
      </x:c>
      <x:c r="G134" s="324">
        <x:v>0</x:v>
      </x:c>
      <x:c r="H134" s="324">
        <x:v>0</x:v>
      </x:c>
      <x:c r="I134" s="324">
        <x:v>0</x:v>
      </x:c>
      <x:c r="J134" s="324">
        <x:v>0</x:v>
      </x:c>
      <x:c r="K134" s="324">
        <x:v>0</x:v>
      </x:c>
      <x:c r="L134" s="324">
        <x:v>0</x:v>
      </x:c>
      <x:c r="M134" s="324">
        <x:v>0</x:v>
      </x:c>
      <x:c r="N134" s="324">
        <x:v>0</x:v>
      </x:c>
      <x:c r="O134" s="324">
        <x:v>0</x:v>
      </x:c>
      <x:c r="P134" s="324">
        <x:v>0</x:v>
      </x:c>
      <x:c r="Q134" s="324">
        <x:v>0</x:v>
      </x:c>
      <x:c r="R134" s="324">
        <x:v>0</x:v>
      </x:c>
      <x:c r="S134" s="324">
        <x:v>0</x:v>
      </x:c>
      <x:c r="T134" s="257">
        <x:f t="shared" si="5"/>
        <x:v>0</x:v>
      </x:c>
    </x:row>
    <x:row r="135">
      <x:c r="A135" s="148" t="s">
        <x:v>106</x:v>
      </x:c>
      <x:c r="B135">
        <x:v>4</x:v>
      </x:c>
      <x:c r="C135" s="148" t="s">
        <x:v>115</x:v>
      </x:c>
      <x:c r="D135">
        <x:v>410</x:v>
      </x:c>
      <x:c r="E135" s="324">
        <x:v>0</x:v>
      </x:c>
      <x:c r="F135" s="324">
        <x:v>0</x:v>
      </x:c>
      <x:c r="G135" s="324">
        <x:v>0</x:v>
      </x:c>
      <x:c r="H135" s="324">
        <x:v>0</x:v>
      </x:c>
      <x:c r="I135" s="324">
        <x:v>0</x:v>
      </x:c>
      <x:c r="J135" s="324">
        <x:v>0</x:v>
      </x:c>
      <x:c r="K135" s="324">
        <x:v>0</x:v>
      </x:c>
      <x:c r="L135" s="324">
        <x:v>0</x:v>
      </x:c>
      <x:c r="M135" s="324">
        <x:v>0</x:v>
      </x:c>
      <x:c r="N135" s="324">
        <x:v>0</x:v>
      </x:c>
      <x:c r="O135" s="324">
        <x:v>0</x:v>
      </x:c>
      <x:c r="P135" s="324">
        <x:v>0</x:v>
      </x:c>
      <x:c r="Q135" s="324">
        <x:v>0</x:v>
      </x:c>
      <x:c r="R135" s="324">
        <x:v>0</x:v>
      </x:c>
      <x:c r="S135" s="324">
        <x:v>0</x:v>
      </x:c>
      <x:c r="T135" s="257">
        <x:f t="shared" si="5"/>
        <x:v>0</x:v>
      </x:c>
    </x:row>
    <x:row r="136">
      <x:c r="A136" s="148" t="s">
        <x:v>106</x:v>
      </x:c>
      <x:c r="B136">
        <x:v>4</x:v>
      </x:c>
      <x:c r="C136" s="148" t="s">
        <x:v>115</x:v>
      </x:c>
      <x:c r="D136">
        <x:v>411</x:v>
      </x:c>
      <x:c r="E136" s="324">
        <x:v>0</x:v>
      </x:c>
      <x:c r="F136" s="324">
        <x:v>0</x:v>
      </x:c>
      <x:c r="G136" s="324">
        <x:v>0</x:v>
      </x:c>
      <x:c r="H136" s="324">
        <x:v>0</x:v>
      </x:c>
      <x:c r="I136" s="324">
        <x:v>0</x:v>
      </x:c>
      <x:c r="J136" s="324">
        <x:v>0</x:v>
      </x:c>
      <x:c r="K136" s="324">
        <x:v>0</x:v>
      </x:c>
      <x:c r="L136" s="324">
        <x:v>0</x:v>
      </x:c>
      <x:c r="M136" s="324">
        <x:v>0</x:v>
      </x:c>
      <x:c r="N136" s="324">
        <x:v>0</x:v>
      </x:c>
      <x:c r="O136" s="324">
        <x:v>0</x:v>
      </x:c>
      <x:c r="P136" s="324">
        <x:v>0</x:v>
      </x:c>
      <x:c r="Q136" s="324">
        <x:v>0</x:v>
      </x:c>
      <x:c r="R136" s="324">
        <x:v>0</x:v>
      </x:c>
      <x:c r="S136" s="324">
        <x:v>0</x:v>
      </x:c>
      <x:c r="T136" s="257">
        <x:f t="shared" si="5"/>
        <x:v>0</x:v>
      </x:c>
    </x:row>
    <x:row r="137">
      <x:c r="A137" s="148" t="s">
        <x:v>106</x:v>
      </x:c>
      <x:c r="B137">
        <x:v>4</x:v>
      </x:c>
      <x:c r="C137" s="148" t="s">
        <x:v>115</x:v>
      </x:c>
      <x:c r="D137">
        <x:v>412</x:v>
      </x:c>
      <x:c r="E137" s="324">
        <x:v>0</x:v>
      </x:c>
      <x:c r="F137" s="324">
        <x:v>0</x:v>
      </x:c>
      <x:c r="G137" s="324">
        <x:v>0</x:v>
      </x:c>
      <x:c r="H137" s="324">
        <x:v>0</x:v>
      </x:c>
      <x:c r="I137" s="324">
        <x:v>0</x:v>
      </x:c>
      <x:c r="J137" s="324">
        <x:v>0</x:v>
      </x:c>
      <x:c r="K137" s="324">
        <x:v>0</x:v>
      </x:c>
      <x:c r="L137" s="324">
        <x:v>0</x:v>
      </x:c>
      <x:c r="M137" s="324">
        <x:v>0</x:v>
      </x:c>
      <x:c r="N137" s="324">
        <x:v>0</x:v>
      </x:c>
      <x:c r="O137" s="324">
        <x:v>0</x:v>
      </x:c>
      <x:c r="P137" s="324">
        <x:v>0</x:v>
      </x:c>
      <x:c r="Q137" s="324">
        <x:v>0</x:v>
      </x:c>
      <x:c r="R137" s="324">
        <x:v>0</x:v>
      </x:c>
      <x:c r="S137" s="324">
        <x:v>0</x:v>
      </x:c>
      <x:c r="T137" s="257">
        <x:f t="shared" si="5"/>
        <x:v>0</x:v>
      </x:c>
    </x:row>
    <x:row r="138">
      <x:c r="A138" s="148" t="s">
        <x:v>106</x:v>
      </x:c>
      <x:c r="B138">
        <x:v>4</x:v>
      </x:c>
      <x:c r="C138" s="148" t="s">
        <x:v>115</x:v>
      </x:c>
      <x:c r="D138">
        <x:v>413</x:v>
      </x:c>
      <x:c r="E138" s="324">
        <x:v>0</x:v>
      </x:c>
      <x:c r="F138" s="324">
        <x:v>0</x:v>
      </x:c>
      <x:c r="G138" s="324">
        <x:v>0</x:v>
      </x:c>
      <x:c r="H138" s="324">
        <x:v>0</x:v>
      </x:c>
      <x:c r="I138" s="324">
        <x:v>0</x:v>
      </x:c>
      <x:c r="J138" s="324">
        <x:v>0</x:v>
      </x:c>
      <x:c r="K138" s="324">
        <x:v>0</x:v>
      </x:c>
      <x:c r="L138" s="324">
        <x:v>0</x:v>
      </x:c>
      <x:c r="M138" s="324">
        <x:v>0</x:v>
      </x:c>
      <x:c r="N138" s="324">
        <x:v>0</x:v>
      </x:c>
      <x:c r="O138" s="324">
        <x:v>0</x:v>
      </x:c>
      <x:c r="P138" s="324">
        <x:v>0</x:v>
      </x:c>
      <x:c r="Q138" s="324">
        <x:v>0</x:v>
      </x:c>
      <x:c r="R138" s="324">
        <x:v>0</x:v>
      </x:c>
      <x:c r="S138" s="324">
        <x:v>0</x:v>
      </x:c>
      <x:c r="T138" s="257">
        <x:f t="shared" si="5"/>
        <x:v>0</x:v>
      </x:c>
    </x:row>
    <x:row r="139">
      <x:c r="A139" s="148" t="s">
        <x:v>106</x:v>
      </x:c>
      <x:c r="B139">
        <x:v>4</x:v>
      </x:c>
      <x:c r="C139" s="148" t="s">
        <x:v>115</x:v>
      </x:c>
      <x:c r="D139">
        <x:v>414</x:v>
      </x:c>
      <x:c r="E139" s="324">
        <x:v>0</x:v>
      </x:c>
      <x:c r="F139" s="324">
        <x:v>0</x:v>
      </x:c>
      <x:c r="G139" s="324">
        <x:v>0</x:v>
      </x:c>
      <x:c r="H139" s="324">
        <x:v>0</x:v>
      </x:c>
      <x:c r="I139" s="324">
        <x:v>0</x:v>
      </x:c>
      <x:c r="J139" s="324">
        <x:v>0</x:v>
      </x:c>
      <x:c r="K139" s="324">
        <x:v>0</x:v>
      </x:c>
      <x:c r="L139" s="324">
        <x:v>0</x:v>
      </x:c>
      <x:c r="M139" s="324">
        <x:v>0</x:v>
      </x:c>
      <x:c r="N139" s="324">
        <x:v>0</x:v>
      </x:c>
      <x:c r="O139" s="324">
        <x:v>0</x:v>
      </x:c>
      <x:c r="P139" s="324">
        <x:v>0</x:v>
      </x:c>
      <x:c r="Q139" s="324">
        <x:v>0</x:v>
      </x:c>
      <x:c r="R139" s="324">
        <x:v>0</x:v>
      </x:c>
      <x:c r="S139" s="324">
        <x:v>0</x:v>
      </x:c>
      <x:c r="T139" s="257">
        <x:f t="shared" si="5"/>
        <x:v>0</x:v>
      </x:c>
    </x:row>
    <x:row r="140">
      <x:c r="A140" s="148" t="s">
        <x:v>106</x:v>
      </x:c>
      <x:c r="B140">
        <x:v>4</x:v>
      </x:c>
      <x:c r="C140" s="148" t="s">
        <x:v>115</x:v>
      </x:c>
      <x:c r="D140">
        <x:v>415</x:v>
      </x:c>
      <x:c r="E140" s="324">
        <x:v>0</x:v>
      </x:c>
      <x:c r="F140" s="324">
        <x:v>0</x:v>
      </x:c>
      <x:c r="G140" s="324">
        <x:v>0</x:v>
      </x:c>
      <x:c r="H140" s="324">
        <x:v>0</x:v>
      </x:c>
      <x:c r="I140" s="324">
        <x:v>0</x:v>
      </x:c>
      <x:c r="J140" s="324">
        <x:v>0</x:v>
      </x:c>
      <x:c r="K140" s="324">
        <x:v>0</x:v>
      </x:c>
      <x:c r="L140" s="324">
        <x:v>0</x:v>
      </x:c>
      <x:c r="M140" s="324">
        <x:v>0</x:v>
      </x:c>
      <x:c r="N140" s="324">
        <x:v>0</x:v>
      </x:c>
      <x:c r="O140" s="324">
        <x:v>0</x:v>
      </x:c>
      <x:c r="P140" s="324">
        <x:v>0</x:v>
      </x:c>
      <x:c r="Q140" s="324">
        <x:v>0</x:v>
      </x:c>
      <x:c r="R140" s="324">
        <x:v>0</x:v>
      </x:c>
      <x:c r="S140" s="324">
        <x:v>0</x:v>
      </x:c>
      <x:c r="T140" s="257">
        <x:f t="shared" si="5"/>
        <x:v>0</x:v>
      </x:c>
    </x:row>
    <x:row r="141">
      <x:c r="A141" s="148" t="s">
        <x:v>106</x:v>
      </x:c>
      <x:c r="B141">
        <x:v>4</x:v>
      </x:c>
      <x:c r="C141" s="148" t="s">
        <x:v>115</x:v>
      </x:c>
      <x:c r="D141">
        <x:v>416</x:v>
      </x:c>
      <x:c r="E141" s="324">
        <x:v>0</x:v>
      </x:c>
      <x:c r="F141" s="324">
        <x:v>0</x:v>
      </x:c>
      <x:c r="G141" s="324">
        <x:v>0</x:v>
      </x:c>
      <x:c r="H141" s="324">
        <x:v>0</x:v>
      </x:c>
      <x:c r="I141" s="324">
        <x:v>0</x:v>
      </x:c>
      <x:c r="J141" s="324">
        <x:v>0</x:v>
      </x:c>
      <x:c r="K141" s="324">
        <x:v>0</x:v>
      </x:c>
      <x:c r="L141" s="324">
        <x:v>0</x:v>
      </x:c>
      <x:c r="M141" s="324">
        <x:v>0</x:v>
      </x:c>
      <x:c r="N141" s="324">
        <x:v>0</x:v>
      </x:c>
      <x:c r="O141" s="324">
        <x:v>0</x:v>
      </x:c>
      <x:c r="P141" s="324">
        <x:v>0</x:v>
      </x:c>
      <x:c r="Q141" s="324">
        <x:v>0</x:v>
      </x:c>
      <x:c r="R141" s="324">
        <x:v>0</x:v>
      </x:c>
      <x:c r="S141" s="324">
        <x:v>0</x:v>
      </x:c>
      <x:c r="T141" s="257">
        <x:f t="shared" si="5"/>
        <x:v>0</x:v>
      </x:c>
    </x:row>
    <x:row r="142">
      <x:c r="A142" s="148" t="s">
        <x:v>106</x:v>
      </x:c>
      <x:c r="B142">
        <x:v>4</x:v>
      </x:c>
      <x:c r="C142" s="148" t="s">
        <x:v>115</x:v>
      </x:c>
      <x:c r="D142">
        <x:v>417</x:v>
      </x:c>
      <x:c r="E142" s="324">
        <x:v>0</x:v>
      </x:c>
      <x:c r="F142" s="324">
        <x:v>0</x:v>
      </x:c>
      <x:c r="G142" s="324">
        <x:v>0</x:v>
      </x:c>
      <x:c r="H142" s="324">
        <x:v>0</x:v>
      </x:c>
      <x:c r="I142" s="324">
        <x:v>0</x:v>
      </x:c>
      <x:c r="J142" s="324">
        <x:v>0</x:v>
      </x:c>
      <x:c r="K142" s="324">
        <x:v>0</x:v>
      </x:c>
      <x:c r="L142" s="324">
        <x:v>0</x:v>
      </x:c>
      <x:c r="M142" s="324">
        <x:v>0</x:v>
      </x:c>
      <x:c r="N142" s="324">
        <x:v>0</x:v>
      </x:c>
      <x:c r="O142" s="324">
        <x:v>0</x:v>
      </x:c>
      <x:c r="P142" s="324">
        <x:v>0</x:v>
      </x:c>
      <x:c r="Q142" s="324">
        <x:v>0</x:v>
      </x:c>
      <x:c r="R142" s="324">
        <x:v>0</x:v>
      </x:c>
      <x:c r="S142" s="324">
        <x:v>0</x:v>
      </x:c>
      <x:c r="T142" s="257">
        <x:f t="shared" si="5"/>
        <x:v>0</x:v>
      </x:c>
    </x:row>
    <x:row r="143">
      <x:c r="A143" s="148" t="s">
        <x:v>106</x:v>
      </x:c>
      <x:c r="B143">
        <x:v>4</x:v>
      </x:c>
      <x:c r="C143" s="148" t="s">
        <x:v>115</x:v>
      </x:c>
      <x:c r="D143">
        <x:v>418</x:v>
      </x:c>
      <x:c r="E143" s="324">
        <x:v>0</x:v>
      </x:c>
      <x:c r="F143" s="324">
        <x:v>0</x:v>
      </x:c>
      <x:c r="G143" s="324">
        <x:v>0</x:v>
      </x:c>
      <x:c r="H143" s="324">
        <x:v>0</x:v>
      </x:c>
      <x:c r="I143" s="324">
        <x:v>0</x:v>
      </x:c>
      <x:c r="J143" s="324">
        <x:v>0</x:v>
      </x:c>
      <x:c r="K143" s="324">
        <x:v>0</x:v>
      </x:c>
      <x:c r="L143" s="324">
        <x:v>0</x:v>
      </x:c>
      <x:c r="M143" s="324">
        <x:v>0</x:v>
      </x:c>
      <x:c r="N143" s="324">
        <x:v>0</x:v>
      </x:c>
      <x:c r="O143" s="324">
        <x:v>0</x:v>
      </x:c>
      <x:c r="P143" s="324">
        <x:v>0</x:v>
      </x:c>
      <x:c r="Q143" s="324">
        <x:v>0</x:v>
      </x:c>
      <x:c r="R143" s="324">
        <x:v>0</x:v>
      </x:c>
      <x:c r="S143" s="324">
        <x:v>0</x:v>
      </x:c>
      <x:c r="T143" s="257">
        <x:f t="shared" si="5"/>
        <x:v>0</x:v>
      </x:c>
    </x:row>
    <x:row r="144">
      <x:c r="A144" s="148" t="s">
        <x:v>106</x:v>
      </x:c>
      <x:c r="B144">
        <x:v>4</x:v>
      </x:c>
      <x:c r="C144" s="148" t="s">
        <x:v>115</x:v>
      </x:c>
      <x:c r="D144">
        <x:v>419</x:v>
      </x:c>
      <x:c r="E144" s="324">
        <x:v>0</x:v>
      </x:c>
      <x:c r="F144" s="324">
        <x:v>0</x:v>
      </x:c>
      <x:c r="G144" s="324">
        <x:v>0</x:v>
      </x:c>
      <x:c r="H144" s="324">
        <x:v>0</x:v>
      </x:c>
      <x:c r="I144" s="324">
        <x:v>0</x:v>
      </x:c>
      <x:c r="J144" s="324">
        <x:v>0</x:v>
      </x:c>
      <x:c r="K144" s="324">
        <x:v>0</x:v>
      </x:c>
      <x:c r="L144" s="324">
        <x:v>0</x:v>
      </x:c>
      <x:c r="M144" s="324">
        <x:v>0</x:v>
      </x:c>
      <x:c r="N144" s="324">
        <x:v>0</x:v>
      </x:c>
      <x:c r="O144" s="324">
        <x:v>0</x:v>
      </x:c>
      <x:c r="P144" s="324">
        <x:v>0</x:v>
      </x:c>
      <x:c r="Q144" s="324">
        <x:v>0</x:v>
      </x:c>
      <x:c r="R144" s="324">
        <x:v>0</x:v>
      </x:c>
      <x:c r="S144" s="324">
        <x:v>0</x:v>
      </x:c>
      <x:c r="T144" s="257">
        <x:f t="shared" si="5"/>
        <x:v>0</x:v>
      </x:c>
    </x:row>
    <x:row r="145">
      <x:c r="A145" s="148" t="s">
        <x:v>106</x:v>
      </x:c>
      <x:c r="B145">
        <x:v>4</x:v>
      </x:c>
      <x:c r="C145" s="148" t="s">
        <x:v>115</x:v>
      </x:c>
      <x:c r="D145">
        <x:v>420</x:v>
      </x:c>
      <x:c r="E145" s="324">
        <x:v>0</x:v>
      </x:c>
      <x:c r="F145" s="324">
        <x:v>0</x:v>
      </x:c>
      <x:c r="G145" s="324">
        <x:v>0</x:v>
      </x:c>
      <x:c r="H145" s="324">
        <x:v>0</x:v>
      </x:c>
      <x:c r="I145" s="324">
        <x:v>0</x:v>
      </x:c>
      <x:c r="J145" s="324">
        <x:v>0</x:v>
      </x:c>
      <x:c r="K145" s="324">
        <x:v>0</x:v>
      </x:c>
      <x:c r="L145" s="324">
        <x:v>0</x:v>
      </x:c>
      <x:c r="M145" s="324">
        <x:v>0</x:v>
      </x:c>
      <x:c r="N145" s="324">
        <x:v>0</x:v>
      </x:c>
      <x:c r="O145" s="324">
        <x:v>0</x:v>
      </x:c>
      <x:c r="P145" s="324">
        <x:v>0</x:v>
      </x:c>
      <x:c r="Q145" s="324">
        <x:v>0</x:v>
      </x:c>
      <x:c r="R145" s="324">
        <x:v>0</x:v>
      </x:c>
      <x:c r="S145" s="324">
        <x:v>0</x:v>
      </x:c>
      <x:c r="T145" s="257">
        <x:f t="shared" si="5"/>
        <x:v>0</x:v>
      </x:c>
    </x:row>
    <x:row r="146">
      <x:c r="A146" s="148" t="s">
        <x:v>106</x:v>
      </x:c>
      <x:c r="B146">
        <x:v>4</x:v>
      </x:c>
      <x:c r="C146" s="148" t="s">
        <x:v>115</x:v>
      </x:c>
      <x:c r="D146">
        <x:v>421</x:v>
      </x:c>
      <x:c r="E146" s="324">
        <x:v>0</x:v>
      </x:c>
      <x:c r="F146" s="324">
        <x:v>0</x:v>
      </x:c>
      <x:c r="G146" s="324">
        <x:v>0</x:v>
      </x:c>
      <x:c r="H146" s="324">
        <x:v>0</x:v>
      </x:c>
      <x:c r="I146" s="324">
        <x:v>0</x:v>
      </x:c>
      <x:c r="J146" s="324">
        <x:v>0</x:v>
      </x:c>
      <x:c r="K146" s="324">
        <x:v>0</x:v>
      </x:c>
      <x:c r="L146" s="324">
        <x:v>0</x:v>
      </x:c>
      <x:c r="M146" s="324">
        <x:v>0</x:v>
      </x:c>
      <x:c r="N146" s="324">
        <x:v>0</x:v>
      </x:c>
      <x:c r="O146" s="324">
        <x:v>0</x:v>
      </x:c>
      <x:c r="P146" s="324">
        <x:v>0</x:v>
      </x:c>
      <x:c r="Q146" s="324">
        <x:v>0</x:v>
      </x:c>
      <x:c r="R146" s="324">
        <x:v>0</x:v>
      </x:c>
      <x:c r="S146" s="324">
        <x:v>0</x:v>
      </x:c>
      <x:c r="T146" s="257">
        <x:f t="shared" si="5"/>
        <x:v>0</x:v>
      </x:c>
    </x:row>
    <x:row r="147">
      <x:c r="A147" s="148"/>
      <x:c r="B147"/>
      <x:c r="C147" s="148"/>
      <x:c r="D147" s="148"/>
      <x:c r="E147" s="324"/>
      <x:c r="F147" s="324">
        <x:f t="shared" ref="F147:S147" si="6">AVERAGE(F103:F146)</x:f>
      </x:c>
      <x:c r="G147" s="324">
        <x:f t="shared" si="6"/>
      </x:c>
      <x:c r="H147" s="324">
        <x:f t="shared" si="6"/>
      </x:c>
      <x:c r="I147" s="324">
        <x:f t="shared" si="6"/>
      </x:c>
      <x:c r="J147" s="324">
        <x:f t="shared" si="6"/>
      </x:c>
      <x:c r="K147" s="324">
        <x:f t="shared" si="6"/>
      </x:c>
      <x:c r="L147" s="324">
        <x:f t="shared" si="6"/>
      </x:c>
      <x:c r="M147" s="324">
        <x:f t="shared" si="6"/>
      </x:c>
      <x:c r="N147" s="324">
        <x:f t="shared" si="6"/>
      </x:c>
      <x:c r="O147" s="324">
        <x:f t="shared" si="6"/>
      </x:c>
      <x:c r="P147" s="324">
        <x:f t="shared" si="6"/>
      </x:c>
      <x:c r="Q147" s="324">
        <x:f t="shared" si="6"/>
      </x:c>
      <x:c r="R147" s="324">
        <x:f t="shared" si="6"/>
      </x:c>
      <x:c r="S147" s="324">
        <x:f t="shared" si="6"/>
      </x:c>
      <x:c r="T147" s="257">
        <x:f t="shared" si="5"/>
      </x:c>
    </x:row>
    <x:row r="148">
      <x:c r="A148" s="148" t="s">
        <x:v>106</x:v>
      </x:c>
      <x:c r="B148">
        <x:v>5</x:v>
      </x:c>
      <x:c r="C148" s="148" t="s">
        <x:v>116</x:v>
      </x:c>
      <x:c r="D148">
        <x:v>501</x:v>
      </x:c>
      <x:c r="E148" s="324">
        <x:v>0</x:v>
      </x:c>
      <x:c r="F148" s="324">
        <x:v>0</x:v>
      </x:c>
      <x:c r="G148" s="324">
        <x:v>0</x:v>
      </x:c>
      <x:c r="H148" s="324">
        <x:v>0</x:v>
      </x:c>
      <x:c r="I148" s="324">
        <x:v>0</x:v>
      </x:c>
      <x:c r="J148" s="324">
        <x:v>0</x:v>
      </x:c>
      <x:c r="K148" s="324">
        <x:v>0</x:v>
      </x:c>
      <x:c r="L148" s="324">
        <x:v>0</x:v>
      </x:c>
      <x:c r="M148" s="324">
        <x:v>0</x:v>
      </x:c>
      <x:c r="N148" s="324">
        <x:v>0</x:v>
      </x:c>
      <x:c r="O148" s="324">
        <x:v>0</x:v>
      </x:c>
      <x:c r="P148" s="324">
        <x:v>0</x:v>
      </x:c>
      <x:c r="Q148" s="324">
        <x:v>0</x:v>
      </x:c>
      <x:c r="R148" s="324">
        <x:v>0</x:v>
      </x:c>
      <x:c r="S148" s="324">
        <x:v>0</x:v>
      </x:c>
      <x:c r="T148" s="257">
        <x:f t="shared" si="5"/>
        <x:v>0</x:v>
      </x:c>
    </x:row>
    <x:row r="149">
      <x:c r="A149" s="148" t="s">
        <x:v>106</x:v>
      </x:c>
      <x:c r="B149">
        <x:v>5</x:v>
      </x:c>
      <x:c r="C149" s="148" t="s">
        <x:v>116</x:v>
      </x:c>
      <x:c r="D149">
        <x:v>502</x:v>
      </x:c>
      <x:c r="E149" s="324">
        <x:v>0</x:v>
      </x:c>
      <x:c r="F149" s="324">
        <x:v>0</x:v>
      </x:c>
      <x:c r="G149" s="324">
        <x:v>0</x:v>
      </x:c>
      <x:c r="H149" s="324">
        <x:v>0</x:v>
      </x:c>
      <x:c r="I149" s="324">
        <x:v>0</x:v>
      </x:c>
      <x:c r="J149" s="324">
        <x:v>0</x:v>
      </x:c>
      <x:c r="K149" s="324">
        <x:v>0</x:v>
      </x:c>
      <x:c r="L149" s="324">
        <x:v>0</x:v>
      </x:c>
      <x:c r="M149" s="324">
        <x:v>0</x:v>
      </x:c>
      <x:c r="N149" s="324">
        <x:v>0</x:v>
      </x:c>
      <x:c r="O149" s="324">
        <x:v>0</x:v>
      </x:c>
      <x:c r="P149" s="324">
        <x:v>0</x:v>
      </x:c>
      <x:c r="Q149" s="324">
        <x:v>0</x:v>
      </x:c>
      <x:c r="R149" s="324">
        <x:v>0</x:v>
      </x:c>
      <x:c r="S149" s="324">
        <x:v>0</x:v>
      </x:c>
      <x:c r="T149" s="257">
        <x:f t="shared" si="5"/>
        <x:v>0</x:v>
      </x:c>
    </x:row>
    <x:row r="150">
      <x:c r="A150" s="148" t="s">
        <x:v>106</x:v>
      </x:c>
      <x:c r="B150">
        <x:v>5</x:v>
      </x:c>
      <x:c r="C150" s="148" t="s">
        <x:v>116</x:v>
      </x:c>
      <x:c r="D150">
        <x:v>503</x:v>
      </x:c>
      <x:c r="E150" s="324">
        <x:v>0</x:v>
      </x:c>
      <x:c r="F150" s="324">
        <x:v>0</x:v>
      </x:c>
      <x:c r="G150" s="324">
        <x:v>0</x:v>
      </x:c>
      <x:c r="H150" s="324">
        <x:v>0</x:v>
      </x:c>
      <x:c r="I150" s="324">
        <x:v>0</x:v>
      </x:c>
      <x:c r="J150" s="324">
        <x:v>0</x:v>
      </x:c>
      <x:c r="K150" s="324">
        <x:v>0</x:v>
      </x:c>
      <x:c r="L150" s="324">
        <x:v>0</x:v>
      </x:c>
      <x:c r="M150" s="324">
        <x:v>0</x:v>
      </x:c>
      <x:c r="N150" s="324">
        <x:v>0</x:v>
      </x:c>
      <x:c r="O150" s="324">
        <x:v>0</x:v>
      </x:c>
      <x:c r="P150" s="324">
        <x:v>0</x:v>
      </x:c>
      <x:c r="Q150" s="324">
        <x:v>0</x:v>
      </x:c>
      <x:c r="R150" s="324">
        <x:v>0</x:v>
      </x:c>
      <x:c r="S150" s="324">
        <x:v>0</x:v>
      </x:c>
      <x:c r="T150" s="257">
        <x:f t="shared" si="5"/>
        <x:v>0</x:v>
      </x:c>
    </x:row>
    <x:row r="151">
      <x:c r="A151" s="148" t="s">
        <x:v>106</x:v>
      </x:c>
      <x:c r="B151">
        <x:v>5</x:v>
      </x:c>
      <x:c r="C151" s="148" t="s">
        <x:v>116</x:v>
      </x:c>
      <x:c r="D151">
        <x:v>504</x:v>
      </x:c>
      <x:c r="E151" s="324">
        <x:v>0</x:v>
      </x:c>
      <x:c r="F151" s="324">
        <x:v>0</x:v>
      </x:c>
      <x:c r="G151" s="324">
        <x:v>0</x:v>
      </x:c>
      <x:c r="H151" s="324">
        <x:v>0</x:v>
      </x:c>
      <x:c r="I151" s="324">
        <x:v>0</x:v>
      </x:c>
      <x:c r="J151" s="324">
        <x:v>0</x:v>
      </x:c>
      <x:c r="K151" s="324">
        <x:v>0</x:v>
      </x:c>
      <x:c r="L151" s="324">
        <x:v>0</x:v>
      </x:c>
      <x:c r="M151" s="324">
        <x:v>0</x:v>
      </x:c>
      <x:c r="N151" s="324">
        <x:v>0</x:v>
      </x:c>
      <x:c r="O151" s="324">
        <x:v>0</x:v>
      </x:c>
      <x:c r="P151" s="324">
        <x:v>0</x:v>
      </x:c>
      <x:c r="Q151" s="324">
        <x:v>0</x:v>
      </x:c>
      <x:c r="R151" s="324">
        <x:v>0</x:v>
      </x:c>
      <x:c r="S151" s="324">
        <x:v>0</x:v>
      </x:c>
      <x:c r="T151" s="257">
        <x:f t="shared" si="5"/>
        <x:v>0</x:v>
      </x:c>
    </x:row>
    <x:row r="152">
      <x:c r="A152" s="148" t="s">
        <x:v>106</x:v>
      </x:c>
      <x:c r="B152">
        <x:v>5</x:v>
      </x:c>
      <x:c r="C152" s="148" t="s">
        <x:v>116</x:v>
      </x:c>
      <x:c r="D152">
        <x:v>505</x:v>
      </x:c>
      <x:c r="E152" s="324">
        <x:v>0</x:v>
      </x:c>
      <x:c r="F152" s="324">
        <x:v>0</x:v>
      </x:c>
      <x:c r="G152" s="324">
        <x:v>0</x:v>
      </x:c>
      <x:c r="H152" s="324">
        <x:v>0</x:v>
      </x:c>
      <x:c r="I152" s="324">
        <x:v>0</x:v>
      </x:c>
      <x:c r="J152" s="324">
        <x:v>0</x:v>
      </x:c>
      <x:c r="K152" s="324">
        <x:v>0</x:v>
      </x:c>
      <x:c r="L152" s="324">
        <x:v>0</x:v>
      </x:c>
      <x:c r="M152" s="324">
        <x:v>0</x:v>
      </x:c>
      <x:c r="N152" s="324">
        <x:v>0</x:v>
      </x:c>
      <x:c r="O152" s="324">
        <x:v>0</x:v>
      </x:c>
      <x:c r="P152" s="324">
        <x:v>0</x:v>
      </x:c>
      <x:c r="Q152" s="324">
        <x:v>0</x:v>
      </x:c>
      <x:c r="R152" s="324">
        <x:v>0</x:v>
      </x:c>
      <x:c r="S152" s="324">
        <x:v>0</x:v>
      </x:c>
      <x:c r="T152" s="257">
        <x:f t="shared" si="5"/>
        <x:v>0</x:v>
      </x:c>
    </x:row>
    <x:row r="153">
      <x:c r="A153" s="148" t="s">
        <x:v>106</x:v>
      </x:c>
      <x:c r="B153">
        <x:v>5</x:v>
      </x:c>
      <x:c r="C153" s="148" t="s">
        <x:v>116</x:v>
      </x:c>
      <x:c r="D153">
        <x:v>506</x:v>
      </x:c>
      <x:c r="E153" s="324">
        <x:v>0</x:v>
      </x:c>
      <x:c r="F153" s="324">
        <x:v>0</x:v>
      </x:c>
      <x:c r="G153" s="324">
        <x:v>0</x:v>
      </x:c>
      <x:c r="H153" s="324">
        <x:v>0</x:v>
      </x:c>
      <x:c r="I153" s="324">
        <x:v>0</x:v>
      </x:c>
      <x:c r="J153" s="324">
        <x:v>0</x:v>
      </x:c>
      <x:c r="K153" s="324">
        <x:v>0</x:v>
      </x:c>
      <x:c r="L153" s="324">
        <x:v>0</x:v>
      </x:c>
      <x:c r="M153" s="324">
        <x:v>0</x:v>
      </x:c>
      <x:c r="N153" s="324">
        <x:v>0</x:v>
      </x:c>
      <x:c r="O153" s="324">
        <x:v>0</x:v>
      </x:c>
      <x:c r="P153" s="324">
        <x:v>0</x:v>
      </x:c>
      <x:c r="Q153" s="324">
        <x:v>0</x:v>
      </x:c>
      <x:c r="R153" s="324">
        <x:v>0</x:v>
      </x:c>
      <x:c r="S153" s="324">
        <x:v>0</x:v>
      </x:c>
      <x:c r="T153" s="257">
        <x:f t="shared" si="5"/>
        <x:v>0</x:v>
      </x:c>
    </x:row>
    <x:row r="154">
      <x:c r="A154" s="148" t="s">
        <x:v>106</x:v>
      </x:c>
      <x:c r="B154">
        <x:v>5</x:v>
      </x:c>
      <x:c r="C154" s="148" t="s">
        <x:v>116</x:v>
      </x:c>
      <x:c r="D154">
        <x:v>507</x:v>
      </x:c>
      <x:c r="E154" s="324">
        <x:v>0</x:v>
      </x:c>
      <x:c r="F154" s="324">
        <x:v>0</x:v>
      </x:c>
      <x:c r="G154" s="324">
        <x:v>0</x:v>
      </x:c>
      <x:c r="H154" s="324">
        <x:v>0</x:v>
      </x:c>
      <x:c r="I154" s="324">
        <x:v>0</x:v>
      </x:c>
      <x:c r="J154" s="324">
        <x:v>0</x:v>
      </x:c>
      <x:c r="K154" s="324">
        <x:v>0</x:v>
      </x:c>
      <x:c r="L154" s="324">
        <x:v>0</x:v>
      </x:c>
      <x:c r="M154" s="324">
        <x:v>0</x:v>
      </x:c>
      <x:c r="N154" s="324">
        <x:v>0</x:v>
      </x:c>
      <x:c r="O154" s="324">
        <x:v>0</x:v>
      </x:c>
      <x:c r="P154" s="324">
        <x:v>0</x:v>
      </x:c>
      <x:c r="Q154" s="324">
        <x:v>0</x:v>
      </x:c>
      <x:c r="R154" s="324">
        <x:v>0</x:v>
      </x:c>
      <x:c r="S154" s="324">
        <x:v>0</x:v>
      </x:c>
      <x:c r="T154" s="257">
        <x:f t="shared" si="5"/>
        <x:v>0</x:v>
      </x:c>
    </x:row>
    <x:row r="155">
      <x:c r="A155" s="148" t="s">
        <x:v>106</x:v>
      </x:c>
      <x:c r="B155">
        <x:v>5</x:v>
      </x:c>
      <x:c r="C155" s="148" t="s">
        <x:v>116</x:v>
      </x:c>
      <x:c r="D155">
        <x:v>508</x:v>
      </x:c>
      <x:c r="E155" s="324">
        <x:v>0</x:v>
      </x:c>
      <x:c r="F155" s="324">
        <x:v>0</x:v>
      </x:c>
      <x:c r="G155" s="324">
        <x:v>0</x:v>
      </x:c>
      <x:c r="H155" s="324">
        <x:v>0</x:v>
      </x:c>
      <x:c r="I155" s="324">
        <x:v>0</x:v>
      </x:c>
      <x:c r="J155" s="324">
        <x:v>0</x:v>
      </x:c>
      <x:c r="K155" s="324">
        <x:v>0</x:v>
      </x:c>
      <x:c r="L155" s="324">
        <x:v>0</x:v>
      </x:c>
      <x:c r="M155" s="324">
        <x:v>0</x:v>
      </x:c>
      <x:c r="N155" s="324">
        <x:v>0</x:v>
      </x:c>
      <x:c r="O155" s="324">
        <x:v>0</x:v>
      </x:c>
      <x:c r="P155" s="324">
        <x:v>0</x:v>
      </x:c>
      <x:c r="Q155" s="324">
        <x:v>0</x:v>
      </x:c>
      <x:c r="R155" s="324">
        <x:v>0</x:v>
      </x:c>
      <x:c r="S155" s="324">
        <x:v>0</x:v>
      </x:c>
      <x:c r="T155" s="257">
        <x:f t="shared" si="5"/>
        <x:v>0</x:v>
      </x:c>
    </x:row>
    <x:row r="156">
      <x:c r="A156" s="148" t="s">
        <x:v>106</x:v>
      </x:c>
      <x:c r="B156">
        <x:v>5</x:v>
      </x:c>
      <x:c r="C156" s="148" t="s">
        <x:v>116</x:v>
      </x:c>
      <x:c r="D156">
        <x:v>509</x:v>
      </x:c>
      <x:c r="E156" s="324">
        <x:v>0</x:v>
      </x:c>
      <x:c r="F156" s="324">
        <x:v>0</x:v>
      </x:c>
      <x:c r="G156" s="324">
        <x:v>0</x:v>
      </x:c>
      <x:c r="H156" s="324">
        <x:v>0</x:v>
      </x:c>
      <x:c r="I156" s="324">
        <x:v>0</x:v>
      </x:c>
      <x:c r="J156" s="324">
        <x:v>0</x:v>
      </x:c>
      <x:c r="K156" s="324">
        <x:v>0</x:v>
      </x:c>
      <x:c r="L156" s="324">
        <x:v>0</x:v>
      </x:c>
      <x:c r="M156" s="324">
        <x:v>0</x:v>
      </x:c>
      <x:c r="N156" s="324">
        <x:v>0</x:v>
      </x:c>
      <x:c r="O156" s="324">
        <x:v>0</x:v>
      </x:c>
      <x:c r="P156" s="324">
        <x:v>0</x:v>
      </x:c>
      <x:c r="Q156" s="324">
        <x:v>0</x:v>
      </x:c>
      <x:c r="R156" s="324">
        <x:v>0</x:v>
      </x:c>
      <x:c r="S156" s="324">
        <x:v>0</x:v>
      </x:c>
      <x:c r="T156" s="257">
        <x:f t="shared" si="5"/>
        <x:v>0</x:v>
      </x:c>
    </x:row>
    <x:row r="157">
      <x:c r="A157" s="148" t="s">
        <x:v>106</x:v>
      </x:c>
      <x:c r="B157">
        <x:v>5</x:v>
      </x:c>
      <x:c r="C157" s="148" t="s">
        <x:v>116</x:v>
      </x:c>
      <x:c r="D157">
        <x:v>510</x:v>
      </x:c>
      <x:c r="E157" s="324">
        <x:v>0</x:v>
      </x:c>
      <x:c r="F157" s="324">
        <x:v>0</x:v>
      </x:c>
      <x:c r="G157" s="324">
        <x:v>0</x:v>
      </x:c>
      <x:c r="H157" s="324">
        <x:v>0</x:v>
      </x:c>
      <x:c r="I157" s="324">
        <x:v>0</x:v>
      </x:c>
      <x:c r="J157" s="324">
        <x:v>0</x:v>
      </x:c>
      <x:c r="K157" s="324">
        <x:v>0</x:v>
      </x:c>
      <x:c r="L157" s="324">
        <x:v>0</x:v>
      </x:c>
      <x:c r="M157" s="324">
        <x:v>0</x:v>
      </x:c>
      <x:c r="N157" s="324">
        <x:v>0</x:v>
      </x:c>
      <x:c r="O157" s="324">
        <x:v>0</x:v>
      </x:c>
      <x:c r="P157" s="324">
        <x:v>0</x:v>
      </x:c>
      <x:c r="Q157" s="324">
        <x:v>0</x:v>
      </x:c>
      <x:c r="R157" s="324">
        <x:v>0</x:v>
      </x:c>
      <x:c r="S157" s="324">
        <x:v>0</x:v>
      </x:c>
      <x:c r="T157" s="257">
        <x:f t="shared" si="5"/>
        <x:v>0</x:v>
      </x:c>
    </x:row>
    <x:row r="158">
      <x:c r="A158" s="148" t="s">
        <x:v>106</x:v>
      </x:c>
      <x:c r="B158">
        <x:v>5</x:v>
      </x:c>
      <x:c r="C158" s="148" t="s">
        <x:v>116</x:v>
      </x:c>
      <x:c r="D158">
        <x:v>511</x:v>
      </x:c>
      <x:c r="E158" s="324">
        <x:v>0</x:v>
      </x:c>
      <x:c r="F158" s="324">
        <x:v>0</x:v>
      </x:c>
      <x:c r="G158" s="324">
        <x:v>0</x:v>
      </x:c>
      <x:c r="H158" s="324">
        <x:v>0</x:v>
      </x:c>
      <x:c r="I158" s="324">
        <x:v>0</x:v>
      </x:c>
      <x:c r="J158" s="324">
        <x:v>0</x:v>
      </x:c>
      <x:c r="K158" s="324">
        <x:v>0</x:v>
      </x:c>
      <x:c r="L158" s="324">
        <x:v>0</x:v>
      </x:c>
      <x:c r="M158" s="324">
        <x:v>0</x:v>
      </x:c>
      <x:c r="N158" s="324">
        <x:v>0</x:v>
      </x:c>
      <x:c r="O158" s="324">
        <x:v>0</x:v>
      </x:c>
      <x:c r="P158" s="324">
        <x:v>0</x:v>
      </x:c>
      <x:c r="Q158" s="324">
        <x:v>0</x:v>
      </x:c>
      <x:c r="R158" s="324">
        <x:v>0</x:v>
      </x:c>
      <x:c r="S158" s="324">
        <x:v>0</x:v>
      </x:c>
      <x:c r="T158" s="257">
        <x:f t="shared" si="5"/>
        <x:v>0</x:v>
      </x:c>
    </x:row>
    <x:row r="159">
      <x:c r="A159" s="148" t="s">
        <x:v>106</x:v>
      </x:c>
      <x:c r="B159">
        <x:v>5</x:v>
      </x:c>
      <x:c r="C159" s="148" t="s">
        <x:v>116</x:v>
      </x:c>
      <x:c r="D159">
        <x:v>512</x:v>
      </x:c>
      <x:c r="E159" s="324">
        <x:v>0</x:v>
      </x:c>
      <x:c r="F159" s="324">
        <x:v>0</x:v>
      </x:c>
      <x:c r="G159" s="324">
        <x:v>0</x:v>
      </x:c>
      <x:c r="H159" s="324">
        <x:v>0</x:v>
      </x:c>
      <x:c r="I159" s="324">
        <x:v>0</x:v>
      </x:c>
      <x:c r="J159" s="324">
        <x:v>0</x:v>
      </x:c>
      <x:c r="K159" s="324">
        <x:v>0</x:v>
      </x:c>
      <x:c r="L159" s="324">
        <x:v>0</x:v>
      </x:c>
      <x:c r="M159" s="324">
        <x:v>0</x:v>
      </x:c>
      <x:c r="N159" s="324">
        <x:v>0</x:v>
      </x:c>
      <x:c r="O159" s="324">
        <x:v>0</x:v>
      </x:c>
      <x:c r="P159" s="324">
        <x:v>0</x:v>
      </x:c>
      <x:c r="Q159" s="324">
        <x:v>0</x:v>
      </x:c>
      <x:c r="R159" s="324">
        <x:v>0</x:v>
      </x:c>
      <x:c r="S159" s="324">
        <x:v>0</x:v>
      </x:c>
      <x:c r="T159" s="257">
        <x:f t="shared" si="5"/>
        <x:v>0</x:v>
      </x:c>
    </x:row>
    <x:row r="160">
      <x:c r="A160" s="148" t="s">
        <x:v>106</x:v>
      </x:c>
      <x:c r="B160">
        <x:v>5</x:v>
      </x:c>
      <x:c r="C160" s="148" t="s">
        <x:v>116</x:v>
      </x:c>
      <x:c r="D160">
        <x:v>513</x:v>
      </x:c>
      <x:c r="E160" s="324">
        <x:v>0</x:v>
      </x:c>
      <x:c r="F160" s="324">
        <x:v>0</x:v>
      </x:c>
      <x:c r="G160" s="324">
        <x:v>0</x:v>
      </x:c>
      <x:c r="H160" s="324">
        <x:v>0</x:v>
      </x:c>
      <x:c r="I160" s="324">
        <x:v>0</x:v>
      </x:c>
      <x:c r="J160" s="324">
        <x:v>0</x:v>
      </x:c>
      <x:c r="K160" s="324">
        <x:v>0</x:v>
      </x:c>
      <x:c r="L160" s="324">
        <x:v>0</x:v>
      </x:c>
      <x:c r="M160" s="324">
        <x:v>0</x:v>
      </x:c>
      <x:c r="N160" s="324">
        <x:v>0</x:v>
      </x:c>
      <x:c r="O160" s="324">
        <x:v>0</x:v>
      </x:c>
      <x:c r="P160" s="324">
        <x:v>0</x:v>
      </x:c>
      <x:c r="Q160" s="324">
        <x:v>0</x:v>
      </x:c>
      <x:c r="R160" s="324">
        <x:v>0</x:v>
      </x:c>
      <x:c r="S160" s="324">
        <x:v>0</x:v>
      </x:c>
      <x:c r="T160" s="257">
        <x:f t="shared" si="5"/>
        <x:v>0</x:v>
      </x:c>
    </x:row>
    <x:row r="161">
      <x:c r="A161" s="148" t="s">
        <x:v>106</x:v>
      </x:c>
      <x:c r="B161">
        <x:v>5</x:v>
      </x:c>
      <x:c r="C161" s="148" t="s">
        <x:v>116</x:v>
      </x:c>
      <x:c r="D161">
        <x:v>514</x:v>
      </x:c>
      <x:c r="E161" s="324">
        <x:v>0</x:v>
      </x:c>
      <x:c r="F161" s="324">
        <x:v>0</x:v>
      </x:c>
      <x:c r="G161" s="324">
        <x:v>0</x:v>
      </x:c>
      <x:c r="H161" s="324">
        <x:v>0</x:v>
      </x:c>
      <x:c r="I161" s="324">
        <x:v>0</x:v>
      </x:c>
      <x:c r="J161" s="324">
        <x:v>0</x:v>
      </x:c>
      <x:c r="K161" s="324">
        <x:v>0</x:v>
      </x:c>
      <x:c r="L161" s="324">
        <x:v>0</x:v>
      </x:c>
      <x:c r="M161" s="324">
        <x:v>0</x:v>
      </x:c>
      <x:c r="N161" s="324">
        <x:v>0</x:v>
      </x:c>
      <x:c r="O161" s="324">
        <x:v>0</x:v>
      </x:c>
      <x:c r="P161" s="324">
        <x:v>0</x:v>
      </x:c>
      <x:c r="Q161" s="324">
        <x:v>0</x:v>
      </x:c>
      <x:c r="R161" s="324">
        <x:v>0</x:v>
      </x:c>
      <x:c r="S161" s="324">
        <x:v>0</x:v>
      </x:c>
      <x:c r="T161" s="257">
        <x:f t="shared" si="5"/>
        <x:v>0</x:v>
      </x:c>
    </x:row>
    <x:row r="162">
      <x:c r="A162" s="148" t="s">
        <x:v>106</x:v>
      </x:c>
      <x:c r="B162">
        <x:v>5</x:v>
      </x:c>
      <x:c r="C162" s="148" t="s">
        <x:v>116</x:v>
      </x:c>
      <x:c r="D162">
        <x:v>515</x:v>
      </x:c>
      <x:c r="E162" s="324">
        <x:v>0</x:v>
      </x:c>
      <x:c r="F162" s="324">
        <x:v>0</x:v>
      </x:c>
      <x:c r="G162" s="324">
        <x:v>0</x:v>
      </x:c>
      <x:c r="H162" s="324">
        <x:v>0</x:v>
      </x:c>
      <x:c r="I162" s="324">
        <x:v>0</x:v>
      </x:c>
      <x:c r="J162" s="324">
        <x:v>0</x:v>
      </x:c>
      <x:c r="K162" s="324">
        <x:v>0</x:v>
      </x:c>
      <x:c r="L162" s="324">
        <x:v>0</x:v>
      </x:c>
      <x:c r="M162" s="324">
        <x:v>0</x:v>
      </x:c>
      <x:c r="N162" s="324">
        <x:v>0</x:v>
      </x:c>
      <x:c r="O162" s="324">
        <x:v>0</x:v>
      </x:c>
      <x:c r="P162" s="324">
        <x:v>0</x:v>
      </x:c>
      <x:c r="Q162" s="324">
        <x:v>0</x:v>
      </x:c>
      <x:c r="R162" s="324">
        <x:v>0</x:v>
      </x:c>
      <x:c r="S162" s="324">
        <x:v>0</x:v>
      </x:c>
      <x:c r="T162" s="257">
        <x:f t="shared" si="5"/>
        <x:v>0</x:v>
      </x:c>
    </x:row>
    <x:row r="163">
      <x:c r="A163" s="148" t="s">
        <x:v>106</x:v>
      </x:c>
      <x:c r="B163">
        <x:v>5</x:v>
      </x:c>
      <x:c r="C163" s="148" t="s">
        <x:v>116</x:v>
      </x:c>
      <x:c r="D163">
        <x:v>516</x:v>
      </x:c>
      <x:c r="E163" s="324">
        <x:v>0</x:v>
      </x:c>
      <x:c r="F163" s="324">
        <x:v>0</x:v>
      </x:c>
      <x:c r="G163" s="324">
        <x:v>0</x:v>
      </x:c>
      <x:c r="H163" s="324">
        <x:v>0</x:v>
      </x:c>
      <x:c r="I163" s="324">
        <x:v>0</x:v>
      </x:c>
      <x:c r="J163" s="324">
        <x:v>0</x:v>
      </x:c>
      <x:c r="K163" s="324">
        <x:v>0</x:v>
      </x:c>
      <x:c r="L163" s="324">
        <x:v>0</x:v>
      </x:c>
      <x:c r="M163" s="324">
        <x:v>0</x:v>
      </x:c>
      <x:c r="N163" s="324">
        <x:v>0</x:v>
      </x:c>
      <x:c r="O163" s="324">
        <x:v>0</x:v>
      </x:c>
      <x:c r="P163" s="324">
        <x:v>0</x:v>
      </x:c>
      <x:c r="Q163" s="324">
        <x:v>0</x:v>
      </x:c>
      <x:c r="R163" s="324">
        <x:v>0</x:v>
      </x:c>
      <x:c r="S163" s="324">
        <x:v>0</x:v>
      </x:c>
      <x:c r="T163" s="257">
        <x:f t="shared" si="5"/>
        <x:v>0</x:v>
      </x:c>
    </x:row>
    <x:row r="164">
      <x:c r="A164" s="148" t="s">
        <x:v>106</x:v>
      </x:c>
      <x:c r="B164">
        <x:v>5</x:v>
      </x:c>
      <x:c r="C164" s="148" t="s">
        <x:v>116</x:v>
      </x:c>
      <x:c r="D164">
        <x:v>517</x:v>
      </x:c>
      <x:c r="E164" s="324">
        <x:v>0</x:v>
      </x:c>
      <x:c r="F164" s="324">
        <x:v>0</x:v>
      </x:c>
      <x:c r="G164" s="324">
        <x:v>0</x:v>
      </x:c>
      <x:c r="H164" s="324">
        <x:v>0</x:v>
      </x:c>
      <x:c r="I164" s="324">
        <x:v>0</x:v>
      </x:c>
      <x:c r="J164" s="324">
        <x:v>0</x:v>
      </x:c>
      <x:c r="K164" s="324">
        <x:v>0</x:v>
      </x:c>
      <x:c r="L164" s="324">
        <x:v>0</x:v>
      </x:c>
      <x:c r="M164" s="324">
        <x:v>0</x:v>
      </x:c>
      <x:c r="N164" s="324">
        <x:v>0</x:v>
      </x:c>
      <x:c r="O164" s="324">
        <x:v>0</x:v>
      </x:c>
      <x:c r="P164" s="324">
        <x:v>0</x:v>
      </x:c>
      <x:c r="Q164" s="324">
        <x:v>0</x:v>
      </x:c>
      <x:c r="R164" s="324">
        <x:v>0</x:v>
      </x:c>
      <x:c r="S164" s="324">
        <x:v>0</x:v>
      </x:c>
      <x:c r="T164" s="257">
        <x:f t="shared" si="5"/>
        <x:v>0</x:v>
      </x:c>
    </x:row>
    <x:row r="165">
      <x:c r="A165" s="148" t="s">
        <x:v>106</x:v>
      </x:c>
      <x:c r="B165">
        <x:v>5</x:v>
      </x:c>
      <x:c r="C165" s="148" t="s">
        <x:v>116</x:v>
      </x:c>
      <x:c r="D165">
        <x:v>518</x:v>
      </x:c>
      <x:c r="E165" s="324">
        <x:v>0</x:v>
      </x:c>
      <x:c r="F165" s="324">
        <x:v>0</x:v>
      </x:c>
      <x:c r="G165" s="324">
        <x:v>0</x:v>
      </x:c>
      <x:c r="H165" s="324">
        <x:v>0</x:v>
      </x:c>
      <x:c r="I165" s="324">
        <x:v>0</x:v>
      </x:c>
      <x:c r="J165" s="324">
        <x:v>0</x:v>
      </x:c>
      <x:c r="K165" s="324">
        <x:v>0</x:v>
      </x:c>
      <x:c r="L165" s="324">
        <x:v>0</x:v>
      </x:c>
      <x:c r="M165" s="324">
        <x:v>0</x:v>
      </x:c>
      <x:c r="N165" s="324">
        <x:v>0</x:v>
      </x:c>
      <x:c r="O165" s="324">
        <x:v>0</x:v>
      </x:c>
      <x:c r="P165" s="324">
        <x:v>0</x:v>
      </x:c>
      <x:c r="Q165" s="324">
        <x:v>0</x:v>
      </x:c>
      <x:c r="R165" s="324">
        <x:v>0</x:v>
      </x:c>
      <x:c r="S165" s="324">
        <x:v>0</x:v>
      </x:c>
      <x:c r="T165" s="257">
        <x:f t="shared" si="5"/>
        <x:v>0</x:v>
      </x:c>
    </x:row>
    <x:row r="166">
      <x:c r="A166" s="148" t="s">
        <x:v>106</x:v>
      </x:c>
      <x:c r="B166">
        <x:v>5</x:v>
      </x:c>
      <x:c r="C166" s="148" t="s">
        <x:v>116</x:v>
      </x:c>
      <x:c r="D166">
        <x:v>519</x:v>
      </x:c>
      <x:c r="E166" s="324">
        <x:v>0</x:v>
      </x:c>
      <x:c r="F166" s="324">
        <x:v>0</x:v>
      </x:c>
      <x:c r="G166" s="324">
        <x:v>0</x:v>
      </x:c>
      <x:c r="H166" s="324">
        <x:v>0</x:v>
      </x:c>
      <x:c r="I166" s="324">
        <x:v>0</x:v>
      </x:c>
      <x:c r="J166" s="324">
        <x:v>0</x:v>
      </x:c>
      <x:c r="K166" s="324">
        <x:v>0</x:v>
      </x:c>
      <x:c r="L166" s="324">
        <x:v>0</x:v>
      </x:c>
      <x:c r="M166" s="324">
        <x:v>0</x:v>
      </x:c>
      <x:c r="N166" s="324">
        <x:v>0</x:v>
      </x:c>
      <x:c r="O166" s="324">
        <x:v>0</x:v>
      </x:c>
      <x:c r="P166" s="324">
        <x:v>0</x:v>
      </x:c>
      <x:c r="Q166" s="324">
        <x:v>0</x:v>
      </x:c>
      <x:c r="R166" s="324">
        <x:v>0</x:v>
      </x:c>
      <x:c r="S166" s="324">
        <x:v>0</x:v>
      </x:c>
      <x:c r="T166" s="257">
        <x:f t="shared" si="5"/>
        <x:v>0</x:v>
      </x:c>
    </x:row>
    <x:row r="167">
      <x:c r="A167" s="148" t="s">
        <x:v>106</x:v>
      </x:c>
      <x:c r="B167">
        <x:v>5</x:v>
      </x:c>
      <x:c r="C167" s="148" t="s">
        <x:v>116</x:v>
      </x:c>
      <x:c r="D167">
        <x:v>520</x:v>
      </x:c>
      <x:c r="E167" s="324">
        <x:v>0</x:v>
      </x:c>
      <x:c r="F167" s="324">
        <x:v>0</x:v>
      </x:c>
      <x:c r="G167" s="324">
        <x:v>0</x:v>
      </x:c>
      <x:c r="H167" s="324">
        <x:v>0</x:v>
      </x:c>
      <x:c r="I167" s="324">
        <x:v>0</x:v>
      </x:c>
      <x:c r="J167" s="324">
        <x:v>0</x:v>
      </x:c>
      <x:c r="K167" s="324">
        <x:v>0</x:v>
      </x:c>
      <x:c r="L167" s="324">
        <x:v>0</x:v>
      </x:c>
      <x:c r="M167" s="324">
        <x:v>0</x:v>
      </x:c>
      <x:c r="N167" s="324">
        <x:v>0</x:v>
      </x:c>
      <x:c r="O167" s="324">
        <x:v>0</x:v>
      </x:c>
      <x:c r="P167" s="324">
        <x:v>0</x:v>
      </x:c>
      <x:c r="Q167" s="324">
        <x:v>0</x:v>
      </x:c>
      <x:c r="R167" s="324">
        <x:v>0</x:v>
      </x:c>
      <x:c r="S167" s="324">
        <x:v>0</x:v>
      </x:c>
      <x:c r="T167" s="257">
        <x:f t="shared" si="5"/>
        <x:v>0</x:v>
      </x:c>
    </x:row>
    <x:row r="168">
      <x:c r="A168" s="148" t="s">
        <x:v>106</x:v>
      </x:c>
      <x:c r="B168">
        <x:v>5</x:v>
      </x:c>
      <x:c r="C168" s="148" t="s">
        <x:v>116</x:v>
      </x:c>
      <x:c r="D168">
        <x:v>521</x:v>
      </x:c>
      <x:c r="E168" s="324">
        <x:v>0</x:v>
      </x:c>
      <x:c r="F168" s="324">
        <x:v>0</x:v>
      </x:c>
      <x:c r="G168" s="324">
        <x:v>0</x:v>
      </x:c>
      <x:c r="H168" s="324">
        <x:v>0</x:v>
      </x:c>
      <x:c r="I168" s="324">
        <x:v>0</x:v>
      </x:c>
      <x:c r="J168" s="324">
        <x:v>0</x:v>
      </x:c>
      <x:c r="K168" s="324">
        <x:v>0</x:v>
      </x:c>
      <x:c r="L168" s="324">
        <x:v>0</x:v>
      </x:c>
      <x:c r="M168" s="324">
        <x:v>0</x:v>
      </x:c>
      <x:c r="N168" s="324">
        <x:v>0</x:v>
      </x:c>
      <x:c r="O168" s="324">
        <x:v>0</x:v>
      </x:c>
      <x:c r="P168" s="324">
        <x:v>0</x:v>
      </x:c>
      <x:c r="Q168" s="324">
        <x:v>0</x:v>
      </x:c>
      <x:c r="R168" s="324">
        <x:v>0</x:v>
      </x:c>
      <x:c r="S168" s="324">
        <x:v>0</x:v>
      </x:c>
      <x:c r="T168" s="257">
        <x:f t="shared" si="5"/>
        <x:v>0</x:v>
      </x:c>
    </x:row>
    <x:row r="169">
      <x:c r="A169" s="148" t="s">
        <x:v>106</x:v>
      </x:c>
      <x:c r="B169">
        <x:v>5</x:v>
      </x:c>
      <x:c r="C169" s="148" t="s">
        <x:v>116</x:v>
      </x:c>
      <x:c r="D169">
        <x:v>522</x:v>
      </x:c>
      <x:c r="E169" s="324">
        <x:v>0</x:v>
      </x:c>
      <x:c r="F169" s="324">
        <x:v>0</x:v>
      </x:c>
      <x:c r="G169" s="324">
        <x:v>0</x:v>
      </x:c>
      <x:c r="H169" s="324">
        <x:v>0</x:v>
      </x:c>
      <x:c r="I169" s="324">
        <x:v>0</x:v>
      </x:c>
      <x:c r="J169" s="324">
        <x:v>0</x:v>
      </x:c>
      <x:c r="K169" s="324">
        <x:v>0</x:v>
      </x:c>
      <x:c r="L169" s="324">
        <x:v>0</x:v>
      </x:c>
      <x:c r="M169" s="324">
        <x:v>0</x:v>
      </x:c>
      <x:c r="N169" s="324">
        <x:v>0</x:v>
      </x:c>
      <x:c r="O169" s="324">
        <x:v>0</x:v>
      </x:c>
      <x:c r="P169" s="324">
        <x:v>0</x:v>
      </x:c>
      <x:c r="Q169" s="324">
        <x:v>0</x:v>
      </x:c>
      <x:c r="R169" s="324">
        <x:v>0</x:v>
      </x:c>
      <x:c r="S169" s="324">
        <x:v>0</x:v>
      </x:c>
      <x:c r="T169" s="257">
        <x:f t="shared" si="5"/>
        <x:v>0</x:v>
      </x:c>
    </x:row>
    <x:row r="170">
      <x:c r="A170" s="148" t="s">
        <x:v>106</x:v>
      </x:c>
      <x:c r="B170">
        <x:v>5</x:v>
      </x:c>
      <x:c r="C170" s="148" t="s">
        <x:v>116</x:v>
      </x:c>
      <x:c r="D170">
        <x:v>523</x:v>
      </x:c>
      <x:c r="E170" s="324">
        <x:v>0</x:v>
      </x:c>
      <x:c r="F170" s="324">
        <x:v>0</x:v>
      </x:c>
      <x:c r="G170" s="324">
        <x:v>0</x:v>
      </x:c>
      <x:c r="H170" s="324">
        <x:v>0</x:v>
      </x:c>
      <x:c r="I170" s="324">
        <x:v>0</x:v>
      </x:c>
      <x:c r="J170" s="324">
        <x:v>0</x:v>
      </x:c>
      <x:c r="K170" s="324">
        <x:v>0</x:v>
      </x:c>
      <x:c r="L170" s="324">
        <x:v>0</x:v>
      </x:c>
      <x:c r="M170" s="324">
        <x:v>0</x:v>
      </x:c>
      <x:c r="N170" s="324">
        <x:v>0</x:v>
      </x:c>
      <x:c r="O170" s="324">
        <x:v>0</x:v>
      </x:c>
      <x:c r="P170" s="324">
        <x:v>0</x:v>
      </x:c>
      <x:c r="Q170" s="324">
        <x:v>0</x:v>
      </x:c>
      <x:c r="R170" s="324">
        <x:v>0</x:v>
      </x:c>
      <x:c r="S170" s="324">
        <x:v>0</x:v>
      </x:c>
      <x:c r="T170" s="257">
        <x:f t="shared" si="5"/>
        <x:v>0</x:v>
      </x:c>
    </x:row>
    <x:row r="171">
      <x:c r="A171" s="148" t="s">
        <x:v>106</x:v>
      </x:c>
      <x:c r="B171">
        <x:v>5</x:v>
      </x:c>
      <x:c r="C171" s="148" t="s">
        <x:v>115</x:v>
      </x:c>
      <x:c r="D171">
        <x:v>501</x:v>
      </x:c>
      <x:c r="E171" s="324">
        <x:v>0</x:v>
      </x:c>
      <x:c r="F171" s="324">
        <x:v>0</x:v>
      </x:c>
      <x:c r="G171" s="324">
        <x:v>0</x:v>
      </x:c>
      <x:c r="H171" s="324">
        <x:v>0</x:v>
      </x:c>
      <x:c r="I171" s="324">
        <x:v>0</x:v>
      </x:c>
      <x:c r="J171" s="324">
        <x:v>0</x:v>
      </x:c>
      <x:c r="K171" s="324">
        <x:v>0</x:v>
      </x:c>
      <x:c r="L171" s="324">
        <x:v>0</x:v>
      </x:c>
      <x:c r="M171" s="324">
        <x:v>0</x:v>
      </x:c>
      <x:c r="N171" s="324">
        <x:v>0</x:v>
      </x:c>
      <x:c r="O171" s="324">
        <x:v>0</x:v>
      </x:c>
      <x:c r="P171" s="324">
        <x:v>0</x:v>
      </x:c>
      <x:c r="Q171" s="324">
        <x:v>0</x:v>
      </x:c>
      <x:c r="R171" s="324">
        <x:v>0</x:v>
      </x:c>
      <x:c r="S171" s="324">
        <x:v>0</x:v>
      </x:c>
      <x:c r="T171" s="257">
        <x:f t="shared" si="5"/>
        <x:v>0</x:v>
      </x:c>
    </x:row>
    <x:row r="172">
      <x:c r="A172" s="148" t="s">
        <x:v>106</x:v>
      </x:c>
      <x:c r="B172">
        <x:v>5</x:v>
      </x:c>
      <x:c r="C172" s="148" t="s">
        <x:v>115</x:v>
      </x:c>
      <x:c r="D172">
        <x:v>502</x:v>
      </x:c>
      <x:c r="E172" s="324">
        <x:v>0</x:v>
      </x:c>
      <x:c r="F172" s="324">
        <x:v>0</x:v>
      </x:c>
      <x:c r="G172" s="324">
        <x:v>0</x:v>
      </x:c>
      <x:c r="H172" s="324">
        <x:v>0</x:v>
      </x:c>
      <x:c r="I172" s="324">
        <x:v>0</x:v>
      </x:c>
      <x:c r="J172" s="324">
        <x:v>0</x:v>
      </x:c>
      <x:c r="K172" s="324">
        <x:v>0</x:v>
      </x:c>
      <x:c r="L172" s="324">
        <x:v>0</x:v>
      </x:c>
      <x:c r="M172" s="324">
        <x:v>0</x:v>
      </x:c>
      <x:c r="N172" s="324">
        <x:v>0</x:v>
      </x:c>
      <x:c r="O172" s="324">
        <x:v>0</x:v>
      </x:c>
      <x:c r="P172" s="324">
        <x:v>0</x:v>
      </x:c>
      <x:c r="Q172" s="324">
        <x:v>0</x:v>
      </x:c>
      <x:c r="R172" s="324">
        <x:v>0</x:v>
      </x:c>
      <x:c r="S172" s="324">
        <x:v>0</x:v>
      </x:c>
      <x:c r="T172" s="257">
        <x:f t="shared" si="5"/>
        <x:v>0</x:v>
      </x:c>
    </x:row>
    <x:row r="173">
      <x:c r="A173" s="148" t="s">
        <x:v>106</x:v>
      </x:c>
      <x:c r="B173">
        <x:v>5</x:v>
      </x:c>
      <x:c r="C173" s="148" t="s">
        <x:v>115</x:v>
      </x:c>
      <x:c r="D173">
        <x:v>503</x:v>
      </x:c>
      <x:c r="E173" s="324">
        <x:v>0</x:v>
      </x:c>
      <x:c r="F173" s="324">
        <x:v>0</x:v>
      </x:c>
      <x:c r="G173" s="324">
        <x:v>0</x:v>
      </x:c>
      <x:c r="H173" s="324">
        <x:v>0</x:v>
      </x:c>
      <x:c r="I173" s="324">
        <x:v>0</x:v>
      </x:c>
      <x:c r="J173" s="324">
        <x:v>0</x:v>
      </x:c>
      <x:c r="K173" s="324">
        <x:v>0</x:v>
      </x:c>
      <x:c r="L173" s="324">
        <x:v>0</x:v>
      </x:c>
      <x:c r="M173" s="324">
        <x:v>0</x:v>
      </x:c>
      <x:c r="N173" s="324">
        <x:v>0</x:v>
      </x:c>
      <x:c r="O173" s="324">
        <x:v>0</x:v>
      </x:c>
      <x:c r="P173" s="324">
        <x:v>0</x:v>
      </x:c>
      <x:c r="Q173" s="324">
        <x:v>0</x:v>
      </x:c>
      <x:c r="R173" s="324">
        <x:v>0</x:v>
      </x:c>
      <x:c r="S173" s="324">
        <x:v>0</x:v>
      </x:c>
      <x:c r="T173" s="257">
        <x:f t="shared" si="5"/>
        <x:v>0</x:v>
      </x:c>
    </x:row>
    <x:row r="174">
      <x:c r="A174" s="148" t="s">
        <x:v>106</x:v>
      </x:c>
      <x:c r="B174">
        <x:v>5</x:v>
      </x:c>
      <x:c r="C174" s="148" t="s">
        <x:v>115</x:v>
      </x:c>
      <x:c r="D174">
        <x:v>504</x:v>
      </x:c>
      <x:c r="E174" s="324">
        <x:v>0</x:v>
      </x:c>
      <x:c r="F174" s="324">
        <x:v>0</x:v>
      </x:c>
      <x:c r="G174" s="324">
        <x:v>0</x:v>
      </x:c>
      <x:c r="H174" s="324">
        <x:v>0</x:v>
      </x:c>
      <x:c r="I174" s="324">
        <x:v>0</x:v>
      </x:c>
      <x:c r="J174" s="324">
        <x:v>0</x:v>
      </x:c>
      <x:c r="K174" s="324">
        <x:v>0</x:v>
      </x:c>
      <x:c r="L174" s="324">
        <x:v>0</x:v>
      </x:c>
      <x:c r="M174" s="324">
        <x:v>0</x:v>
      </x:c>
      <x:c r="N174" s="324">
        <x:v>0</x:v>
      </x:c>
      <x:c r="O174" s="324">
        <x:v>0</x:v>
      </x:c>
      <x:c r="P174" s="324">
        <x:v>0</x:v>
      </x:c>
      <x:c r="Q174" s="324">
        <x:v>0</x:v>
      </x:c>
      <x:c r="R174" s="324">
        <x:v>0</x:v>
      </x:c>
      <x:c r="S174" s="324">
        <x:v>0</x:v>
      </x:c>
      <x:c r="T174" s="257">
        <x:f t="shared" si="5"/>
        <x:v>0</x:v>
      </x:c>
    </x:row>
    <x:row r="175">
      <x:c r="A175" s="148" t="s">
        <x:v>106</x:v>
      </x:c>
      <x:c r="B175">
        <x:v>5</x:v>
      </x:c>
      <x:c r="C175" s="148" t="s">
        <x:v>115</x:v>
      </x:c>
      <x:c r="D175">
        <x:v>505</x:v>
      </x:c>
      <x:c r="E175" s="324">
        <x:v>0</x:v>
      </x:c>
      <x:c r="F175" s="324">
        <x:v>0</x:v>
      </x:c>
      <x:c r="G175" s="324">
        <x:v>0</x:v>
      </x:c>
      <x:c r="H175" s="324">
        <x:v>0</x:v>
      </x:c>
      <x:c r="I175" s="324">
        <x:v>0</x:v>
      </x:c>
      <x:c r="J175" s="324">
        <x:v>0</x:v>
      </x:c>
      <x:c r="K175" s="324">
        <x:v>0</x:v>
      </x:c>
      <x:c r="L175" s="324">
        <x:v>0</x:v>
      </x:c>
      <x:c r="M175" s="324">
        <x:v>0</x:v>
      </x:c>
      <x:c r="N175" s="324">
        <x:v>0</x:v>
      </x:c>
      <x:c r="O175" s="324">
        <x:v>0</x:v>
      </x:c>
      <x:c r="P175" s="324">
        <x:v>0</x:v>
      </x:c>
      <x:c r="Q175" s="324">
        <x:v>0</x:v>
      </x:c>
      <x:c r="R175" s="324">
        <x:v>0</x:v>
      </x:c>
      <x:c r="S175" s="324">
        <x:v>0</x:v>
      </x:c>
      <x:c r="T175" s="257">
        <x:f t="shared" si="5"/>
        <x:v>0</x:v>
      </x:c>
    </x:row>
    <x:row r="176">
      <x:c r="A176" s="148" t="s">
        <x:v>106</x:v>
      </x:c>
      <x:c r="B176">
        <x:v>5</x:v>
      </x:c>
      <x:c r="C176" s="148" t="s">
        <x:v>115</x:v>
      </x:c>
      <x:c r="D176">
        <x:v>506</x:v>
      </x:c>
      <x:c r="E176" s="324">
        <x:v>0</x:v>
      </x:c>
      <x:c r="F176" s="324">
        <x:v>0</x:v>
      </x:c>
      <x:c r="G176" s="324">
        <x:v>0</x:v>
      </x:c>
      <x:c r="H176" s="324">
        <x:v>0</x:v>
      </x:c>
      <x:c r="I176" s="324">
        <x:v>0</x:v>
      </x:c>
      <x:c r="J176" s="324">
        <x:v>0</x:v>
      </x:c>
      <x:c r="K176" s="324">
        <x:v>0</x:v>
      </x:c>
      <x:c r="L176" s="324">
        <x:v>0</x:v>
      </x:c>
      <x:c r="M176" s="324">
        <x:v>0</x:v>
      </x:c>
      <x:c r="N176" s="324">
        <x:v>0</x:v>
      </x:c>
      <x:c r="O176" s="324">
        <x:v>0</x:v>
      </x:c>
      <x:c r="P176" s="324">
        <x:v>0</x:v>
      </x:c>
      <x:c r="Q176" s="324">
        <x:v>0</x:v>
      </x:c>
      <x:c r="R176" s="324">
        <x:v>0</x:v>
      </x:c>
      <x:c r="S176" s="324">
        <x:v>0</x:v>
      </x:c>
      <x:c r="T176" s="257">
        <x:f t="shared" si="5"/>
        <x:v>0</x:v>
      </x:c>
    </x:row>
    <x:row r="177">
      <x:c r="A177" s="148" t="s">
        <x:v>106</x:v>
      </x:c>
      <x:c r="B177">
        <x:v>5</x:v>
      </x:c>
      <x:c r="C177" s="148" t="s">
        <x:v>115</x:v>
      </x:c>
      <x:c r="D177">
        <x:v>507</x:v>
      </x:c>
      <x:c r="E177" s="324">
        <x:v>0</x:v>
      </x:c>
      <x:c r="F177" s="324">
        <x:v>0</x:v>
      </x:c>
      <x:c r="G177" s="324">
        <x:v>0</x:v>
      </x:c>
      <x:c r="H177" s="324">
        <x:v>0</x:v>
      </x:c>
      <x:c r="I177" s="324">
        <x:v>0</x:v>
      </x:c>
      <x:c r="J177" s="324">
        <x:v>0</x:v>
      </x:c>
      <x:c r="K177" s="324">
        <x:v>0</x:v>
      </x:c>
      <x:c r="L177" s="324">
        <x:v>0</x:v>
      </x:c>
      <x:c r="M177" s="324">
        <x:v>0</x:v>
      </x:c>
      <x:c r="N177" s="324">
        <x:v>0</x:v>
      </x:c>
      <x:c r="O177" s="324">
        <x:v>0</x:v>
      </x:c>
      <x:c r="P177" s="324">
        <x:v>0</x:v>
      </x:c>
      <x:c r="Q177" s="324">
        <x:v>0</x:v>
      </x:c>
      <x:c r="R177" s="324">
        <x:v>0</x:v>
      </x:c>
      <x:c r="S177" s="324">
        <x:v>0</x:v>
      </x:c>
      <x:c r="T177" s="257">
        <x:f t="shared" si="5"/>
        <x:v>0</x:v>
      </x:c>
    </x:row>
    <x:row r="178">
      <x:c r="A178" s="148" t="s">
        <x:v>106</x:v>
      </x:c>
      <x:c r="B178">
        <x:v>5</x:v>
      </x:c>
      <x:c r="C178" s="148" t="s">
        <x:v>115</x:v>
      </x:c>
      <x:c r="D178">
        <x:v>508</x:v>
      </x:c>
      <x:c r="E178" s="324">
        <x:v>0</x:v>
      </x:c>
      <x:c r="F178" s="324">
        <x:v>0</x:v>
      </x:c>
      <x:c r="G178" s="324">
        <x:v>0</x:v>
      </x:c>
      <x:c r="H178" s="324">
        <x:v>0</x:v>
      </x:c>
      <x:c r="I178" s="324">
        <x:v>0</x:v>
      </x:c>
      <x:c r="J178" s="324">
        <x:v>0</x:v>
      </x:c>
      <x:c r="K178" s="324">
        <x:v>0</x:v>
      </x:c>
      <x:c r="L178" s="324">
        <x:v>0</x:v>
      </x:c>
      <x:c r="M178" s="324">
        <x:v>0</x:v>
      </x:c>
      <x:c r="N178" s="324">
        <x:v>0</x:v>
      </x:c>
      <x:c r="O178" s="324">
        <x:v>0</x:v>
      </x:c>
      <x:c r="P178" s="324">
        <x:v>0</x:v>
      </x:c>
      <x:c r="Q178" s="324">
        <x:v>0</x:v>
      </x:c>
      <x:c r="R178" s="324">
        <x:v>0</x:v>
      </x:c>
      <x:c r="S178" s="324">
        <x:v>0</x:v>
      </x:c>
      <x:c r="T178" s="257">
        <x:f t="shared" si="5"/>
        <x:v>0</x:v>
      </x:c>
    </x:row>
    <x:row r="179">
      <x:c r="A179" s="148" t="s">
        <x:v>106</x:v>
      </x:c>
      <x:c r="B179">
        <x:v>5</x:v>
      </x:c>
      <x:c r="C179" s="148" t="s">
        <x:v>115</x:v>
      </x:c>
      <x:c r="D179">
        <x:v>509</x:v>
      </x:c>
      <x:c r="E179" s="324">
        <x:v>0</x:v>
      </x:c>
      <x:c r="F179" s="324">
        <x:v>0</x:v>
      </x:c>
      <x:c r="G179" s="324">
        <x:v>0</x:v>
      </x:c>
      <x:c r="H179" s="324">
        <x:v>0</x:v>
      </x:c>
      <x:c r="I179" s="324">
        <x:v>0</x:v>
      </x:c>
      <x:c r="J179" s="324">
        <x:v>0</x:v>
      </x:c>
      <x:c r="K179" s="324">
        <x:v>0</x:v>
      </x:c>
      <x:c r="L179" s="324">
        <x:v>0</x:v>
      </x:c>
      <x:c r="M179" s="324">
        <x:v>0</x:v>
      </x:c>
      <x:c r="N179" s="324">
        <x:v>0</x:v>
      </x:c>
      <x:c r="O179" s="324">
        <x:v>0</x:v>
      </x:c>
      <x:c r="P179" s="324">
        <x:v>0</x:v>
      </x:c>
      <x:c r="Q179" s="324">
        <x:v>0</x:v>
      </x:c>
      <x:c r="R179" s="324">
        <x:v>0</x:v>
      </x:c>
      <x:c r="S179" s="324">
        <x:v>0</x:v>
      </x:c>
      <x:c r="T179" s="257">
        <x:f t="shared" si="5"/>
        <x:v>0</x:v>
      </x:c>
    </x:row>
    <x:row r="180">
      <x:c r="A180" s="148" t="s">
        <x:v>106</x:v>
      </x:c>
      <x:c r="B180">
        <x:v>5</x:v>
      </x:c>
      <x:c r="C180" s="148" t="s">
        <x:v>115</x:v>
      </x:c>
      <x:c r="D180">
        <x:v>510</x:v>
      </x:c>
      <x:c r="E180" s="324">
        <x:v>0</x:v>
      </x:c>
      <x:c r="F180" s="324">
        <x:v>0</x:v>
      </x:c>
      <x:c r="G180" s="324">
        <x:v>0</x:v>
      </x:c>
      <x:c r="H180" s="324">
        <x:v>0</x:v>
      </x:c>
      <x:c r="I180" s="324">
        <x:v>0</x:v>
      </x:c>
      <x:c r="J180" s="324">
        <x:v>0</x:v>
      </x:c>
      <x:c r="K180" s="324">
        <x:v>0</x:v>
      </x:c>
      <x:c r="L180" s="324">
        <x:v>0</x:v>
      </x:c>
      <x:c r="M180" s="324">
        <x:v>0</x:v>
      </x:c>
      <x:c r="N180" s="324">
        <x:v>0</x:v>
      </x:c>
      <x:c r="O180" s="324">
        <x:v>0</x:v>
      </x:c>
      <x:c r="P180" s="324">
        <x:v>0</x:v>
      </x:c>
      <x:c r="Q180" s="324">
        <x:v>0</x:v>
      </x:c>
      <x:c r="R180" s="324">
        <x:v>0</x:v>
      </x:c>
      <x:c r="S180" s="324">
        <x:v>0</x:v>
      </x:c>
      <x:c r="T180" s="257">
        <x:f t="shared" si="5"/>
        <x:v>0</x:v>
      </x:c>
    </x:row>
    <x:row r="181">
      <x:c r="A181" s="148" t="s">
        <x:v>106</x:v>
      </x:c>
      <x:c r="B181">
        <x:v>5</x:v>
      </x:c>
      <x:c r="C181" s="148" t="s">
        <x:v>115</x:v>
      </x:c>
      <x:c r="D181">
        <x:v>511</x:v>
      </x:c>
      <x:c r="E181" s="324">
        <x:v>0</x:v>
      </x:c>
      <x:c r="F181" s="324">
        <x:v>0</x:v>
      </x:c>
      <x:c r="G181" s="324">
        <x:v>0</x:v>
      </x:c>
      <x:c r="H181" s="324">
        <x:v>0</x:v>
      </x:c>
      <x:c r="I181" s="324">
        <x:v>0</x:v>
      </x:c>
      <x:c r="J181" s="324">
        <x:v>0</x:v>
      </x:c>
      <x:c r="K181" s="324">
        <x:v>0</x:v>
      </x:c>
      <x:c r="L181" s="324">
        <x:v>0</x:v>
      </x:c>
      <x:c r="M181" s="324">
        <x:v>0</x:v>
      </x:c>
      <x:c r="N181" s="324">
        <x:v>0</x:v>
      </x:c>
      <x:c r="O181" s="324">
        <x:v>0</x:v>
      </x:c>
      <x:c r="P181" s="324">
        <x:v>0</x:v>
      </x:c>
      <x:c r="Q181" s="324">
        <x:v>0</x:v>
      </x:c>
      <x:c r="R181" s="324">
        <x:v>0</x:v>
      </x:c>
      <x:c r="S181" s="324">
        <x:v>0</x:v>
      </x:c>
      <x:c r="T181" s="257">
        <x:f t="shared" si="5"/>
        <x:v>0</x:v>
      </x:c>
    </x:row>
    <x:row r="182">
      <x:c r="A182" s="148" t="s">
        <x:v>106</x:v>
      </x:c>
      <x:c r="B182">
        <x:v>5</x:v>
      </x:c>
      <x:c r="C182" s="148" t="s">
        <x:v>115</x:v>
      </x:c>
      <x:c r="D182">
        <x:v>512</x:v>
      </x:c>
      <x:c r="E182" s="324">
        <x:v>0</x:v>
      </x:c>
      <x:c r="F182" s="324">
        <x:v>0</x:v>
      </x:c>
      <x:c r="G182" s="324">
        <x:v>0</x:v>
      </x:c>
      <x:c r="H182" s="324">
        <x:v>0</x:v>
      </x:c>
      <x:c r="I182" s="324">
        <x:v>0</x:v>
      </x:c>
      <x:c r="J182" s="324">
        <x:v>0</x:v>
      </x:c>
      <x:c r="K182" s="324">
        <x:v>0</x:v>
      </x:c>
      <x:c r="L182" s="324">
        <x:v>0</x:v>
      </x:c>
      <x:c r="M182" s="324">
        <x:v>0</x:v>
      </x:c>
      <x:c r="N182" s="324">
        <x:v>0</x:v>
      </x:c>
      <x:c r="O182" s="324">
        <x:v>0</x:v>
      </x:c>
      <x:c r="P182" s="324">
        <x:v>0</x:v>
      </x:c>
      <x:c r="Q182" s="324">
        <x:v>0</x:v>
      </x:c>
      <x:c r="R182" s="324">
        <x:v>0</x:v>
      </x:c>
      <x:c r="S182" s="324">
        <x:v>0</x:v>
      </x:c>
      <x:c r="T182" s="257">
        <x:f t="shared" si="5"/>
        <x:v>0</x:v>
      </x:c>
    </x:row>
    <x:row r="183">
      <x:c r="A183" s="148" t="s">
        <x:v>106</x:v>
      </x:c>
      <x:c r="B183">
        <x:v>5</x:v>
      </x:c>
      <x:c r="C183" s="148" t="s">
        <x:v>115</x:v>
      </x:c>
      <x:c r="D183">
        <x:v>513</x:v>
      </x:c>
      <x:c r="E183" s="324">
        <x:v>0</x:v>
      </x:c>
      <x:c r="F183" s="324">
        <x:v>0</x:v>
      </x:c>
      <x:c r="G183" s="324">
        <x:v>0</x:v>
      </x:c>
      <x:c r="H183" s="324">
        <x:v>0</x:v>
      </x:c>
      <x:c r="I183" s="324">
        <x:v>0</x:v>
      </x:c>
      <x:c r="J183" s="324">
        <x:v>0</x:v>
      </x:c>
      <x:c r="K183" s="324">
        <x:v>0</x:v>
      </x:c>
      <x:c r="L183" s="324">
        <x:v>0</x:v>
      </x:c>
      <x:c r="M183" s="324">
        <x:v>0</x:v>
      </x:c>
      <x:c r="N183" s="324">
        <x:v>0</x:v>
      </x:c>
      <x:c r="O183" s="324">
        <x:v>0</x:v>
      </x:c>
      <x:c r="P183" s="324">
        <x:v>0</x:v>
      </x:c>
      <x:c r="Q183" s="324">
        <x:v>0</x:v>
      </x:c>
      <x:c r="R183" s="324">
        <x:v>0</x:v>
      </x:c>
      <x:c r="S183" s="324">
        <x:v>0</x:v>
      </x:c>
      <x:c r="T183" s="257">
        <x:f t="shared" si="5"/>
        <x:v>0</x:v>
      </x:c>
    </x:row>
    <x:row r="184">
      <x:c r="A184" s="148" t="s">
        <x:v>106</x:v>
      </x:c>
      <x:c r="B184">
        <x:v>5</x:v>
      </x:c>
      <x:c r="C184" s="148" t="s">
        <x:v>115</x:v>
      </x:c>
      <x:c r="D184">
        <x:v>514</x:v>
      </x:c>
      <x:c r="E184" s="324">
        <x:v>0</x:v>
      </x:c>
      <x:c r="F184" s="324">
        <x:v>0</x:v>
      </x:c>
      <x:c r="G184" s="324">
        <x:v>0</x:v>
      </x:c>
      <x:c r="H184" s="324">
        <x:v>0</x:v>
      </x:c>
      <x:c r="I184" s="324">
        <x:v>0</x:v>
      </x:c>
      <x:c r="J184" s="324">
        <x:v>0</x:v>
      </x:c>
      <x:c r="K184" s="324">
        <x:v>0</x:v>
      </x:c>
      <x:c r="L184" s="324">
        <x:v>0</x:v>
      </x:c>
      <x:c r="M184" s="324">
        <x:v>0</x:v>
      </x:c>
      <x:c r="N184" s="324">
        <x:v>0</x:v>
      </x:c>
      <x:c r="O184" s="324">
        <x:v>0</x:v>
      </x:c>
      <x:c r="P184" s="324">
        <x:v>0</x:v>
      </x:c>
      <x:c r="Q184" s="324">
        <x:v>0</x:v>
      </x:c>
      <x:c r="R184" s="324">
        <x:v>0</x:v>
      </x:c>
      <x:c r="S184" s="324">
        <x:v>0</x:v>
      </x:c>
      <x:c r="T184" s="257">
        <x:f t="shared" si="5"/>
        <x:v>0</x:v>
      </x:c>
    </x:row>
    <x:row r="185">
      <x:c r="A185" s="148" t="s">
        <x:v>106</x:v>
      </x:c>
      <x:c r="B185">
        <x:v>5</x:v>
      </x:c>
      <x:c r="C185" s="148" t="s">
        <x:v>115</x:v>
      </x:c>
      <x:c r="D185">
        <x:v>515</x:v>
      </x:c>
      <x:c r="E185" s="324">
        <x:v>0</x:v>
      </x:c>
      <x:c r="F185" s="324">
        <x:v>0</x:v>
      </x:c>
      <x:c r="G185" s="324">
        <x:v>0</x:v>
      </x:c>
      <x:c r="H185" s="324">
        <x:v>0</x:v>
      </x:c>
      <x:c r="I185" s="324">
        <x:v>0</x:v>
      </x:c>
      <x:c r="J185" s="324">
        <x:v>0</x:v>
      </x:c>
      <x:c r="K185" s="324">
        <x:v>0</x:v>
      </x:c>
      <x:c r="L185" s="324">
        <x:v>0</x:v>
      </x:c>
      <x:c r="M185" s="324">
        <x:v>0</x:v>
      </x:c>
      <x:c r="N185" s="324">
        <x:v>0</x:v>
      </x:c>
      <x:c r="O185" s="324">
        <x:v>0</x:v>
      </x:c>
      <x:c r="P185" s="324">
        <x:v>0</x:v>
      </x:c>
      <x:c r="Q185" s="324">
        <x:v>0</x:v>
      </x:c>
      <x:c r="R185" s="324">
        <x:v>0</x:v>
      </x:c>
      <x:c r="S185" s="324">
        <x:v>0</x:v>
      </x:c>
      <x:c r="T185" s="257">
        <x:f t="shared" si="5"/>
        <x:v>0</x:v>
      </x:c>
    </x:row>
    <x:row r="186">
      <x:c r="A186" s="148" t="s">
        <x:v>106</x:v>
      </x:c>
      <x:c r="B186">
        <x:v>5</x:v>
      </x:c>
      <x:c r="C186" s="148" t="s">
        <x:v>115</x:v>
      </x:c>
      <x:c r="D186">
        <x:v>516</x:v>
      </x:c>
      <x:c r="E186" s="324">
        <x:v>0</x:v>
      </x:c>
      <x:c r="F186" s="324">
        <x:v>0</x:v>
      </x:c>
      <x:c r="G186" s="324">
        <x:v>0</x:v>
      </x:c>
      <x:c r="H186" s="324">
        <x:v>0</x:v>
      </x:c>
      <x:c r="I186" s="324">
        <x:v>0</x:v>
      </x:c>
      <x:c r="J186" s="324">
        <x:v>0</x:v>
      </x:c>
      <x:c r="K186" s="324">
        <x:v>0</x:v>
      </x:c>
      <x:c r="L186" s="324">
        <x:v>0</x:v>
      </x:c>
      <x:c r="M186" s="324">
        <x:v>0</x:v>
      </x:c>
      <x:c r="N186" s="324">
        <x:v>0</x:v>
      </x:c>
      <x:c r="O186" s="324">
        <x:v>0</x:v>
      </x:c>
      <x:c r="P186" s="324">
        <x:v>0</x:v>
      </x:c>
      <x:c r="Q186" s="324">
        <x:v>0</x:v>
      </x:c>
      <x:c r="R186" s="324">
        <x:v>0</x:v>
      </x:c>
      <x:c r="S186" s="324">
        <x:v>0</x:v>
      </x:c>
      <x:c r="T186" s="257">
        <x:f t="shared" si="5"/>
        <x:v>0</x:v>
      </x:c>
    </x:row>
    <x:row r="187">
      <x:c r="A187" s="148" t="s">
        <x:v>106</x:v>
      </x:c>
      <x:c r="B187">
        <x:v>5</x:v>
      </x:c>
      <x:c r="C187" s="148" t="s">
        <x:v>115</x:v>
      </x:c>
      <x:c r="D187">
        <x:v>517</x:v>
      </x:c>
      <x:c r="E187" s="324">
        <x:v>0</x:v>
      </x:c>
      <x:c r="F187" s="324">
        <x:v>0</x:v>
      </x:c>
      <x:c r="G187" s="324">
        <x:v>0</x:v>
      </x:c>
      <x:c r="H187" s="324">
        <x:v>0</x:v>
      </x:c>
      <x:c r="I187" s="324">
        <x:v>0</x:v>
      </x:c>
      <x:c r="J187" s="324">
        <x:v>0</x:v>
      </x:c>
      <x:c r="K187" s="324">
        <x:v>0</x:v>
      </x:c>
      <x:c r="L187" s="324">
        <x:v>0</x:v>
      </x:c>
      <x:c r="M187" s="324">
        <x:v>0</x:v>
      </x:c>
      <x:c r="N187" s="324">
        <x:v>0</x:v>
      </x:c>
      <x:c r="O187" s="324">
        <x:v>0</x:v>
      </x:c>
      <x:c r="P187" s="324">
        <x:v>0</x:v>
      </x:c>
      <x:c r="Q187" s="324">
        <x:v>0</x:v>
      </x:c>
      <x:c r="R187" s="324">
        <x:v>0</x:v>
      </x:c>
      <x:c r="S187" s="324">
        <x:v>0</x:v>
      </x:c>
      <x:c r="T187" s="257">
        <x:f t="shared" si="5"/>
        <x:v>0</x:v>
      </x:c>
    </x:row>
    <x:row r="188">
      <x:c r="A188" s="148" t="s">
        <x:v>106</x:v>
      </x:c>
      <x:c r="B188">
        <x:v>5</x:v>
      </x:c>
      <x:c r="C188" s="148" t="s">
        <x:v>115</x:v>
      </x:c>
      <x:c r="D188">
        <x:v>518</x:v>
      </x:c>
      <x:c r="E188" s="324">
        <x:v>0</x:v>
      </x:c>
      <x:c r="F188" s="324">
        <x:v>0</x:v>
      </x:c>
      <x:c r="G188" s="324">
        <x:v>0</x:v>
      </x:c>
      <x:c r="H188" s="324">
        <x:v>0</x:v>
      </x:c>
      <x:c r="I188" s="324">
        <x:v>0</x:v>
      </x:c>
      <x:c r="J188" s="324">
        <x:v>0</x:v>
      </x:c>
      <x:c r="K188" s="324">
        <x:v>0</x:v>
      </x:c>
      <x:c r="L188" s="324">
        <x:v>0</x:v>
      </x:c>
      <x:c r="M188" s="324">
        <x:v>0</x:v>
      </x:c>
      <x:c r="N188" s="324">
        <x:v>0</x:v>
      </x:c>
      <x:c r="O188" s="324">
        <x:v>0</x:v>
      </x:c>
      <x:c r="P188" s="324">
        <x:v>0</x:v>
      </x:c>
      <x:c r="Q188" s="324">
        <x:v>0</x:v>
      </x:c>
      <x:c r="R188" s="324">
        <x:v>0</x:v>
      </x:c>
      <x:c r="S188" s="324">
        <x:v>0</x:v>
      </x:c>
      <x:c r="T188" s="257">
        <x:f t="shared" si="5"/>
        <x:v>0</x:v>
      </x:c>
    </x:row>
    <x:row r="189">
      <x:c r="A189" s="148" t="s">
        <x:v>106</x:v>
      </x:c>
      <x:c r="B189">
        <x:v>5</x:v>
      </x:c>
      <x:c r="C189" s="148" t="s">
        <x:v>115</x:v>
      </x:c>
      <x:c r="D189">
        <x:v>519</x:v>
      </x:c>
      <x:c r="E189" s="324">
        <x:v>0</x:v>
      </x:c>
      <x:c r="F189" s="324">
        <x:v>0</x:v>
      </x:c>
      <x:c r="G189" s="324">
        <x:v>0</x:v>
      </x:c>
      <x:c r="H189" s="324">
        <x:v>0</x:v>
      </x:c>
      <x:c r="I189" s="324">
        <x:v>0</x:v>
      </x:c>
      <x:c r="J189" s="324">
        <x:v>0</x:v>
      </x:c>
      <x:c r="K189" s="324">
        <x:v>0</x:v>
      </x:c>
      <x:c r="L189" s="324">
        <x:v>0</x:v>
      </x:c>
      <x:c r="M189" s="324">
        <x:v>0</x:v>
      </x:c>
      <x:c r="N189" s="324">
        <x:v>0</x:v>
      </x:c>
      <x:c r="O189" s="324">
        <x:v>0</x:v>
      </x:c>
      <x:c r="P189" s="324">
        <x:v>0</x:v>
      </x:c>
      <x:c r="Q189" s="324">
        <x:v>0</x:v>
      </x:c>
      <x:c r="R189" s="324">
        <x:v>0</x:v>
      </x:c>
      <x:c r="S189" s="324">
        <x:v>0</x:v>
      </x:c>
      <x:c r="T189" s="257">
        <x:f t="shared" si="5"/>
        <x:v>0</x:v>
      </x:c>
    </x:row>
    <x:row r="190">
      <x:c r="A190" s="148" t="s">
        <x:v>106</x:v>
      </x:c>
      <x:c r="B190">
        <x:v>5</x:v>
      </x:c>
      <x:c r="C190" s="148" t="s">
        <x:v>115</x:v>
      </x:c>
      <x:c r="D190">
        <x:v>520</x:v>
      </x:c>
      <x:c r="E190" s="324">
        <x:v>0</x:v>
      </x:c>
      <x:c r="F190" s="324">
        <x:v>0</x:v>
      </x:c>
      <x:c r="G190" s="324">
        <x:v>0</x:v>
      </x:c>
      <x:c r="H190" s="324">
        <x:v>0</x:v>
      </x:c>
      <x:c r="I190" s="324">
        <x:v>0</x:v>
      </x:c>
      <x:c r="J190" s="324">
        <x:v>0</x:v>
      </x:c>
      <x:c r="K190" s="324">
        <x:v>0</x:v>
      </x:c>
      <x:c r="L190" s="324">
        <x:v>0</x:v>
      </x:c>
      <x:c r="M190" s="324">
        <x:v>0</x:v>
      </x:c>
      <x:c r="N190" s="324">
        <x:v>0</x:v>
      </x:c>
      <x:c r="O190" s="324">
        <x:v>0</x:v>
      </x:c>
      <x:c r="P190" s="324">
        <x:v>0</x:v>
      </x:c>
      <x:c r="Q190" s="324">
        <x:v>0</x:v>
      </x:c>
      <x:c r="R190" s="324">
        <x:v>0</x:v>
      </x:c>
      <x:c r="S190" s="324">
        <x:v>0</x:v>
      </x:c>
      <x:c r="T190" s="257">
        <x:f t="shared" si="5"/>
        <x:v>0</x:v>
      </x:c>
    </x:row>
    <x:row r="191">
      <x:c r="A191" s="148" t="s">
        <x:v>106</x:v>
      </x:c>
      <x:c r="B191">
        <x:v>5</x:v>
      </x:c>
      <x:c r="C191" s="148" t="s">
        <x:v>115</x:v>
      </x:c>
      <x:c r="D191">
        <x:v>521</x:v>
      </x:c>
      <x:c r="E191" s="324">
        <x:v>0</x:v>
      </x:c>
      <x:c r="F191" s="324">
        <x:v>0</x:v>
      </x:c>
      <x:c r="G191" s="324">
        <x:v>0</x:v>
      </x:c>
      <x:c r="H191" s="324">
        <x:v>0</x:v>
      </x:c>
      <x:c r="I191" s="324">
        <x:v>0</x:v>
      </x:c>
      <x:c r="J191" s="324">
        <x:v>0</x:v>
      </x:c>
      <x:c r="K191" s="324">
        <x:v>0</x:v>
      </x:c>
      <x:c r="L191" s="324">
        <x:v>0</x:v>
      </x:c>
      <x:c r="M191" s="324">
        <x:v>0</x:v>
      </x:c>
      <x:c r="N191" s="324">
        <x:v>0</x:v>
      </x:c>
      <x:c r="O191" s="324">
        <x:v>0</x:v>
      </x:c>
      <x:c r="P191" s="324">
        <x:v>0</x:v>
      </x:c>
      <x:c r="Q191" s="324">
        <x:v>0</x:v>
      </x:c>
      <x:c r="R191" s="324">
        <x:v>0</x:v>
      </x:c>
      <x:c r="S191" s="324">
        <x:v>0</x:v>
      </x:c>
      <x:c r="T191" s="257">
        <x:f t="shared" si="5"/>
        <x:v>0</x:v>
      </x:c>
    </x:row>
    <x:row r="192">
      <x:c r="A192" s="148"/>
      <x:c r="B192"/>
      <x:c r="C192" s="148"/>
      <x:c r="D192" s="148"/>
      <x:c r="E192" s="324"/>
      <x:c r="F192" s="324">
        <x:f t="shared" ref="F192:S192" si="7">AVERAGE(F148:F191)</x:f>
      </x:c>
      <x:c r="G192" s="324">
        <x:f t="shared" si="7"/>
      </x:c>
      <x:c r="H192" s="324">
        <x:f t="shared" si="7"/>
      </x:c>
      <x:c r="I192" s="324">
        <x:f t="shared" si="7"/>
      </x:c>
      <x:c r="J192" s="324">
        <x:f t="shared" si="7"/>
      </x:c>
      <x:c r="K192" s="324">
        <x:f t="shared" si="7"/>
      </x:c>
      <x:c r="L192" s="324">
        <x:f t="shared" si="7"/>
      </x:c>
      <x:c r="M192" s="324">
        <x:f t="shared" si="7"/>
      </x:c>
      <x:c r="N192" s="324">
        <x:f t="shared" si="7"/>
      </x:c>
      <x:c r="O192" s="324">
        <x:f t="shared" si="7"/>
      </x:c>
      <x:c r="P192" s="324">
        <x:f t="shared" si="7"/>
      </x:c>
      <x:c r="Q192" s="324">
        <x:f t="shared" si="7"/>
      </x:c>
      <x:c r="R192" s="324">
        <x:f t="shared" si="7"/>
      </x:c>
      <x:c r="S192" s="324">
        <x:f t="shared" si="7"/>
      </x:c>
      <x:c r="T192" s="257">
        <x:f t="shared" si="5"/>
      </x:c>
    </x:row>
    <x:row r="193">
      <x:c r="A193" s="148" t="s">
        <x:v>106</x:v>
      </x:c>
      <x:c r="B193">
        <x:v>6</x:v>
      </x:c>
      <x:c r="C193" s="148" t="s">
        <x:v>116</x:v>
      </x:c>
      <x:c r="D193">
        <x:v>601</x:v>
      </x:c>
      <x:c r="E193" s="324">
        <x:v>0</x:v>
      </x:c>
      <x:c r="F193" s="324">
        <x:v>0</x:v>
      </x:c>
      <x:c r="G193" s="324">
        <x:v>0</x:v>
      </x:c>
      <x:c r="H193" s="324">
        <x:v>0</x:v>
      </x:c>
      <x:c r="I193" s="324">
        <x:v>0</x:v>
      </x:c>
      <x:c r="J193" s="324">
        <x:v>0</x:v>
      </x:c>
      <x:c r="K193" s="324">
        <x:v>0</x:v>
      </x:c>
      <x:c r="L193" s="324">
        <x:v>0</x:v>
      </x:c>
      <x:c r="M193" s="324">
        <x:v>0</x:v>
      </x:c>
      <x:c r="N193" s="324">
        <x:v>0</x:v>
      </x:c>
      <x:c r="O193" s="324">
        <x:v>0</x:v>
      </x:c>
      <x:c r="P193" s="324">
        <x:v>0</x:v>
      </x:c>
      <x:c r="Q193" s="324">
        <x:v>0</x:v>
      </x:c>
      <x:c r="R193" s="324">
        <x:v>0</x:v>
      </x:c>
      <x:c r="S193" s="324">
        <x:v>0</x:v>
      </x:c>
      <x:c r="T193" s="257">
        <x:f t="shared" si="5"/>
        <x:v>0</x:v>
      </x:c>
    </x:row>
    <x:row r="194">
      <x:c r="A194" s="148" t="s">
        <x:v>106</x:v>
      </x:c>
      <x:c r="B194">
        <x:v>6</x:v>
      </x:c>
      <x:c r="C194" s="148" t="s">
        <x:v>116</x:v>
      </x:c>
      <x:c r="D194">
        <x:v>602</x:v>
      </x:c>
      <x:c r="E194" s="324">
        <x:v>0</x:v>
      </x:c>
      <x:c r="F194" s="324">
        <x:v>0</x:v>
      </x:c>
      <x:c r="G194" s="324">
        <x:v>0</x:v>
      </x:c>
      <x:c r="H194" s="324">
        <x:v>0</x:v>
      </x:c>
      <x:c r="I194" s="324">
        <x:v>0</x:v>
      </x:c>
      <x:c r="J194" s="324">
        <x:v>0</x:v>
      </x:c>
      <x:c r="K194" s="324">
        <x:v>0</x:v>
      </x:c>
      <x:c r="L194" s="324">
        <x:v>0</x:v>
      </x:c>
      <x:c r="M194" s="324">
        <x:v>0</x:v>
      </x:c>
      <x:c r="N194" s="324">
        <x:v>0</x:v>
      </x:c>
      <x:c r="O194" s="324">
        <x:v>0</x:v>
      </x:c>
      <x:c r="P194" s="324">
        <x:v>0</x:v>
      </x:c>
      <x:c r="Q194" s="324">
        <x:v>0</x:v>
      </x:c>
      <x:c r="R194" s="324">
        <x:v>0</x:v>
      </x:c>
      <x:c r="S194" s="324">
        <x:v>0</x:v>
      </x:c>
      <x:c r="T194" s="257">
        <x:f t="shared" si="5"/>
        <x:v>0</x:v>
      </x:c>
    </x:row>
    <x:row r="195">
      <x:c r="A195" s="148" t="s">
        <x:v>106</x:v>
      </x:c>
      <x:c r="B195">
        <x:v>6</x:v>
      </x:c>
      <x:c r="C195" s="148" t="s">
        <x:v>116</x:v>
      </x:c>
      <x:c r="D195">
        <x:v>603</x:v>
      </x:c>
      <x:c r="E195" s="324">
        <x:v>0</x:v>
      </x:c>
      <x:c r="F195" s="324">
        <x:v>0</x:v>
      </x:c>
      <x:c r="G195" s="324">
        <x:v>0</x:v>
      </x:c>
      <x:c r="H195" s="324">
        <x:v>0</x:v>
      </x:c>
      <x:c r="I195" s="324">
        <x:v>0</x:v>
      </x:c>
      <x:c r="J195" s="324">
        <x:v>0</x:v>
      </x:c>
      <x:c r="K195" s="324">
        <x:v>0</x:v>
      </x:c>
      <x:c r="L195" s="324">
        <x:v>0</x:v>
      </x:c>
      <x:c r="M195" s="324">
        <x:v>0</x:v>
      </x:c>
      <x:c r="N195" s="324">
        <x:v>0</x:v>
      </x:c>
      <x:c r="O195" s="324">
        <x:v>0</x:v>
      </x:c>
      <x:c r="P195" s="324">
        <x:v>0</x:v>
      </x:c>
      <x:c r="Q195" s="324">
        <x:v>0</x:v>
      </x:c>
      <x:c r="R195" s="324">
        <x:v>0</x:v>
      </x:c>
      <x:c r="S195" s="324">
        <x:v>0</x:v>
      </x:c>
      <x:c r="T195" s="257" t="n">
        <x:f t="shared" ref="T195:T258" si="8">AVERAGE(E195:S195)</x:f>
        <x:v>0</x:v>
      </x:c>
    </x:row>
    <x:row r="196">
      <x:c r="A196" s="148" t="s">
        <x:v>106</x:v>
      </x:c>
      <x:c r="B196">
        <x:v>6</x:v>
      </x:c>
      <x:c r="C196" s="148" t="s">
        <x:v>116</x:v>
      </x:c>
      <x:c r="D196">
        <x:v>604</x:v>
      </x:c>
      <x:c r="E196" s="324">
        <x:v>0</x:v>
      </x:c>
      <x:c r="F196" s="324">
        <x:v>0</x:v>
      </x:c>
      <x:c r="G196" s="324">
        <x:v>0</x:v>
      </x:c>
      <x:c r="H196" s="324">
        <x:v>0</x:v>
      </x:c>
      <x:c r="I196" s="324">
        <x:v>0</x:v>
      </x:c>
      <x:c r="J196" s="324">
        <x:v>0</x:v>
      </x:c>
      <x:c r="K196" s="324">
        <x:v>0</x:v>
      </x:c>
      <x:c r="L196" s="324">
        <x:v>0</x:v>
      </x:c>
      <x:c r="M196" s="324">
        <x:v>0</x:v>
      </x:c>
      <x:c r="N196" s="324">
        <x:v>0</x:v>
      </x:c>
      <x:c r="O196" s="324">
        <x:v>0</x:v>
      </x:c>
      <x:c r="P196" s="324">
        <x:v>0</x:v>
      </x:c>
      <x:c r="Q196" s="324">
        <x:v>0</x:v>
      </x:c>
      <x:c r="R196" s="324">
        <x:v>0</x:v>
      </x:c>
      <x:c r="S196" s="324">
        <x:v>0</x:v>
      </x:c>
      <x:c r="T196" s="257">
        <x:f t="shared" si="8"/>
        <x:v>0</x:v>
      </x:c>
    </x:row>
    <x:row r="197">
      <x:c r="A197" s="148" t="s">
        <x:v>106</x:v>
      </x:c>
      <x:c r="B197">
        <x:v>6</x:v>
      </x:c>
      <x:c r="C197" s="148" t="s">
        <x:v>116</x:v>
      </x:c>
      <x:c r="D197">
        <x:v>605</x:v>
      </x:c>
      <x:c r="E197" s="324">
        <x:v>0</x:v>
      </x:c>
      <x:c r="F197" s="324">
        <x:v>0</x:v>
      </x:c>
      <x:c r="G197" s="324">
        <x:v>0</x:v>
      </x:c>
      <x:c r="H197" s="324">
        <x:v>0</x:v>
      </x:c>
      <x:c r="I197" s="324">
        <x:v>0</x:v>
      </x:c>
      <x:c r="J197" s="324">
        <x:v>0</x:v>
      </x:c>
      <x:c r="K197" s="324">
        <x:v>0</x:v>
      </x:c>
      <x:c r="L197" s="324">
        <x:v>0</x:v>
      </x:c>
      <x:c r="M197" s="324">
        <x:v>0</x:v>
      </x:c>
      <x:c r="N197" s="324">
        <x:v>0</x:v>
      </x:c>
      <x:c r="O197" s="324">
        <x:v>0</x:v>
      </x:c>
      <x:c r="P197" s="324">
        <x:v>0</x:v>
      </x:c>
      <x:c r="Q197" s="324">
        <x:v>0</x:v>
      </x:c>
      <x:c r="R197" s="324">
        <x:v>0</x:v>
      </x:c>
      <x:c r="S197" s="324">
        <x:v>0</x:v>
      </x:c>
      <x:c r="T197" s="257">
        <x:f t="shared" si="8"/>
        <x:v>0</x:v>
      </x:c>
    </x:row>
    <x:row r="198">
      <x:c r="A198" s="148" t="s">
        <x:v>106</x:v>
      </x:c>
      <x:c r="B198">
        <x:v>6</x:v>
      </x:c>
      <x:c r="C198" s="148" t="s">
        <x:v>116</x:v>
      </x:c>
      <x:c r="D198">
        <x:v>606</x:v>
      </x:c>
      <x:c r="E198" s="324">
        <x:v>0</x:v>
      </x:c>
      <x:c r="F198" s="324">
        <x:v>0</x:v>
      </x:c>
      <x:c r="G198" s="324">
        <x:v>0</x:v>
      </x:c>
      <x:c r="H198" s="324">
        <x:v>0</x:v>
      </x:c>
      <x:c r="I198" s="324">
        <x:v>0</x:v>
      </x:c>
      <x:c r="J198" s="324">
        <x:v>0</x:v>
      </x:c>
      <x:c r="K198" s="324">
        <x:v>0</x:v>
      </x:c>
      <x:c r="L198" s="324">
        <x:v>0</x:v>
      </x:c>
      <x:c r="M198" s="324">
        <x:v>0</x:v>
      </x:c>
      <x:c r="N198" s="324">
        <x:v>0</x:v>
      </x:c>
      <x:c r="O198" s="324">
        <x:v>0</x:v>
      </x:c>
      <x:c r="P198" s="324">
        <x:v>0</x:v>
      </x:c>
      <x:c r="Q198" s="324">
        <x:v>0</x:v>
      </x:c>
      <x:c r="R198" s="324">
        <x:v>0</x:v>
      </x:c>
      <x:c r="S198" s="324">
        <x:v>0</x:v>
      </x:c>
      <x:c r="T198" s="257">
        <x:f t="shared" si="8"/>
        <x:v>0</x:v>
      </x:c>
    </x:row>
    <x:row r="199">
      <x:c r="A199" s="148" t="s">
        <x:v>106</x:v>
      </x:c>
      <x:c r="B199">
        <x:v>6</x:v>
      </x:c>
      <x:c r="C199" s="148" t="s">
        <x:v>116</x:v>
      </x:c>
      <x:c r="D199">
        <x:v>607</x:v>
      </x:c>
      <x:c r="E199" s="324">
        <x:v>0</x:v>
      </x:c>
      <x:c r="F199" s="324">
        <x:v>0</x:v>
      </x:c>
      <x:c r="G199" s="324">
        <x:v>0</x:v>
      </x:c>
      <x:c r="H199" s="324">
        <x:v>0</x:v>
      </x:c>
      <x:c r="I199" s="324">
        <x:v>0</x:v>
      </x:c>
      <x:c r="J199" s="324">
        <x:v>0</x:v>
      </x:c>
      <x:c r="K199" s="324">
        <x:v>0</x:v>
      </x:c>
      <x:c r="L199" s="324">
        <x:v>0</x:v>
      </x:c>
      <x:c r="M199" s="324">
        <x:v>0</x:v>
      </x:c>
      <x:c r="N199" s="324">
        <x:v>0</x:v>
      </x:c>
      <x:c r="O199" s="324">
        <x:v>0</x:v>
      </x:c>
      <x:c r="P199" s="324">
        <x:v>0</x:v>
      </x:c>
      <x:c r="Q199" s="324">
        <x:v>0</x:v>
      </x:c>
      <x:c r="R199" s="324">
        <x:v>0</x:v>
      </x:c>
      <x:c r="S199" s="324">
        <x:v>0</x:v>
      </x:c>
      <x:c r="T199" s="257">
        <x:f t="shared" si="8"/>
        <x:v>0</x:v>
      </x:c>
    </x:row>
    <x:row r="200">
      <x:c r="A200" s="148" t="s">
        <x:v>106</x:v>
      </x:c>
      <x:c r="B200">
        <x:v>6</x:v>
      </x:c>
      <x:c r="C200" s="148" t="s">
        <x:v>116</x:v>
      </x:c>
      <x:c r="D200">
        <x:v>608</x:v>
      </x:c>
      <x:c r="E200" s="324">
        <x:v>0</x:v>
      </x:c>
      <x:c r="F200" s="324">
        <x:v>0</x:v>
      </x:c>
      <x:c r="G200" s="324">
        <x:v>0</x:v>
      </x:c>
      <x:c r="H200" s="324">
        <x:v>0</x:v>
      </x:c>
      <x:c r="I200" s="324">
        <x:v>0</x:v>
      </x:c>
      <x:c r="J200" s="324">
        <x:v>0</x:v>
      </x:c>
      <x:c r="K200" s="324">
        <x:v>0</x:v>
      </x:c>
      <x:c r="L200" s="324">
        <x:v>0</x:v>
      </x:c>
      <x:c r="M200" s="324">
        <x:v>0</x:v>
      </x:c>
      <x:c r="N200" s="324">
        <x:v>0</x:v>
      </x:c>
      <x:c r="O200" s="324">
        <x:v>0</x:v>
      </x:c>
      <x:c r="P200" s="324">
        <x:v>0</x:v>
      </x:c>
      <x:c r="Q200" s="324">
        <x:v>0</x:v>
      </x:c>
      <x:c r="R200" s="324">
        <x:v>0</x:v>
      </x:c>
      <x:c r="S200" s="324">
        <x:v>0</x:v>
      </x:c>
      <x:c r="T200" s="257">
        <x:f t="shared" si="8"/>
        <x:v>0</x:v>
      </x:c>
    </x:row>
    <x:row r="201">
      <x:c r="A201" s="148" t="s">
        <x:v>106</x:v>
      </x:c>
      <x:c r="B201">
        <x:v>6</x:v>
      </x:c>
      <x:c r="C201" s="148" t="s">
        <x:v>116</x:v>
      </x:c>
      <x:c r="D201">
        <x:v>609</x:v>
      </x:c>
      <x:c r="E201" s="324">
        <x:v>0</x:v>
      </x:c>
      <x:c r="F201" s="324">
        <x:v>0</x:v>
      </x:c>
      <x:c r="G201" s="324">
        <x:v>0</x:v>
      </x:c>
      <x:c r="H201" s="324">
        <x:v>0</x:v>
      </x:c>
      <x:c r="I201" s="324">
        <x:v>0</x:v>
      </x:c>
      <x:c r="J201" s="324">
        <x:v>0</x:v>
      </x:c>
      <x:c r="K201" s="324">
        <x:v>0</x:v>
      </x:c>
      <x:c r="L201" s="324">
        <x:v>0</x:v>
      </x:c>
      <x:c r="M201" s="324">
        <x:v>0</x:v>
      </x:c>
      <x:c r="N201" s="324">
        <x:v>0</x:v>
      </x:c>
      <x:c r="O201" s="324">
        <x:v>0</x:v>
      </x:c>
      <x:c r="P201" s="324">
        <x:v>0</x:v>
      </x:c>
      <x:c r="Q201" s="324">
        <x:v>0</x:v>
      </x:c>
      <x:c r="R201" s="324">
        <x:v>0</x:v>
      </x:c>
      <x:c r="S201" s="324">
        <x:v>0</x:v>
      </x:c>
      <x:c r="T201" s="257">
        <x:f t="shared" si="8"/>
        <x:v>0</x:v>
      </x:c>
    </x:row>
    <x:row r="202">
      <x:c r="A202" s="148" t="s">
        <x:v>106</x:v>
      </x:c>
      <x:c r="B202">
        <x:v>6</x:v>
      </x:c>
      <x:c r="C202" s="148" t="s">
        <x:v>116</x:v>
      </x:c>
      <x:c r="D202">
        <x:v>610</x:v>
      </x:c>
      <x:c r="E202" s="324">
        <x:v>0</x:v>
      </x:c>
      <x:c r="F202" s="324">
        <x:v>0</x:v>
      </x:c>
      <x:c r="G202" s="324">
        <x:v>0</x:v>
      </x:c>
      <x:c r="H202" s="324">
        <x:v>0</x:v>
      </x:c>
      <x:c r="I202" s="324">
        <x:v>0</x:v>
      </x:c>
      <x:c r="J202" s="324">
        <x:v>0</x:v>
      </x:c>
      <x:c r="K202" s="324">
        <x:v>0</x:v>
      </x:c>
      <x:c r="L202" s="324">
        <x:v>0</x:v>
      </x:c>
      <x:c r="M202" s="324">
        <x:v>0</x:v>
      </x:c>
      <x:c r="N202" s="324">
        <x:v>0</x:v>
      </x:c>
      <x:c r="O202" s="324">
        <x:v>0</x:v>
      </x:c>
      <x:c r="P202" s="324">
        <x:v>0</x:v>
      </x:c>
      <x:c r="Q202" s="324">
        <x:v>0</x:v>
      </x:c>
      <x:c r="R202" s="324">
        <x:v>0</x:v>
      </x:c>
      <x:c r="S202" s="324">
        <x:v>0</x:v>
      </x:c>
      <x:c r="T202" s="257">
        <x:f t="shared" si="8"/>
        <x:v>0</x:v>
      </x:c>
    </x:row>
    <x:row r="203">
      <x:c r="A203" s="148" t="s">
        <x:v>106</x:v>
      </x:c>
      <x:c r="B203">
        <x:v>6</x:v>
      </x:c>
      <x:c r="C203" s="148" t="s">
        <x:v>116</x:v>
      </x:c>
      <x:c r="D203">
        <x:v>611</x:v>
      </x:c>
      <x:c r="E203" s="324">
        <x:v>0</x:v>
      </x:c>
      <x:c r="F203" s="324">
        <x:v>0</x:v>
      </x:c>
      <x:c r="G203" s="324">
        <x:v>0</x:v>
      </x:c>
      <x:c r="H203" s="324">
        <x:v>0</x:v>
      </x:c>
      <x:c r="I203" s="324">
        <x:v>0</x:v>
      </x:c>
      <x:c r="J203" s="324">
        <x:v>0</x:v>
      </x:c>
      <x:c r="K203" s="324">
        <x:v>0</x:v>
      </x:c>
      <x:c r="L203" s="324">
        <x:v>0</x:v>
      </x:c>
      <x:c r="M203" s="324">
        <x:v>0</x:v>
      </x:c>
      <x:c r="N203" s="324">
        <x:v>0</x:v>
      </x:c>
      <x:c r="O203" s="324">
        <x:v>0</x:v>
      </x:c>
      <x:c r="P203" s="324">
        <x:v>0</x:v>
      </x:c>
      <x:c r="Q203" s="324">
        <x:v>0</x:v>
      </x:c>
      <x:c r="R203" s="324">
        <x:v>0</x:v>
      </x:c>
      <x:c r="S203" s="324">
        <x:v>0</x:v>
      </x:c>
      <x:c r="T203" s="257">
        <x:f t="shared" si="8"/>
        <x:v>0</x:v>
      </x:c>
    </x:row>
    <x:row r="204">
      <x:c r="A204" s="148" t="s">
        <x:v>106</x:v>
      </x:c>
      <x:c r="B204">
        <x:v>6</x:v>
      </x:c>
      <x:c r="C204" s="148" t="s">
        <x:v>116</x:v>
      </x:c>
      <x:c r="D204">
        <x:v>612</x:v>
      </x:c>
      <x:c r="E204" s="324">
        <x:v>0</x:v>
      </x:c>
      <x:c r="F204" s="324">
        <x:v>0</x:v>
      </x:c>
      <x:c r="G204" s="324">
        <x:v>0</x:v>
      </x:c>
      <x:c r="H204" s="324">
        <x:v>0</x:v>
      </x:c>
      <x:c r="I204" s="324">
        <x:v>0</x:v>
      </x:c>
      <x:c r="J204" s="324">
        <x:v>0</x:v>
      </x:c>
      <x:c r="K204" s="324">
        <x:v>0</x:v>
      </x:c>
      <x:c r="L204" s="324">
        <x:v>0</x:v>
      </x:c>
      <x:c r="M204" s="324">
        <x:v>0</x:v>
      </x:c>
      <x:c r="N204" s="324">
        <x:v>0</x:v>
      </x:c>
      <x:c r="O204" s="324">
        <x:v>0</x:v>
      </x:c>
      <x:c r="P204" s="324">
        <x:v>0</x:v>
      </x:c>
      <x:c r="Q204" s="324">
        <x:v>0</x:v>
      </x:c>
      <x:c r="R204" s="324">
        <x:v>0</x:v>
      </x:c>
      <x:c r="S204" s="324">
        <x:v>0</x:v>
      </x:c>
      <x:c r="T204" s="257">
        <x:f t="shared" si="8"/>
        <x:v>0</x:v>
      </x:c>
    </x:row>
    <x:row r="205">
      <x:c r="A205" s="148" t="s">
        <x:v>106</x:v>
      </x:c>
      <x:c r="B205">
        <x:v>6</x:v>
      </x:c>
      <x:c r="C205" s="148" t="s">
        <x:v>116</x:v>
      </x:c>
      <x:c r="D205">
        <x:v>613</x:v>
      </x:c>
      <x:c r="E205" s="324">
        <x:v>0</x:v>
      </x:c>
      <x:c r="F205" s="324">
        <x:v>0</x:v>
      </x:c>
      <x:c r="G205" s="324">
        <x:v>0</x:v>
      </x:c>
      <x:c r="H205" s="324">
        <x:v>0</x:v>
      </x:c>
      <x:c r="I205" s="324">
        <x:v>0</x:v>
      </x:c>
      <x:c r="J205" s="324">
        <x:v>0</x:v>
      </x:c>
      <x:c r="K205" s="324">
        <x:v>0</x:v>
      </x:c>
      <x:c r="L205" s="324">
        <x:v>0</x:v>
      </x:c>
      <x:c r="M205" s="324">
        <x:v>0</x:v>
      </x:c>
      <x:c r="N205" s="324">
        <x:v>0</x:v>
      </x:c>
      <x:c r="O205" s="324">
        <x:v>0</x:v>
      </x:c>
      <x:c r="P205" s="324">
        <x:v>0</x:v>
      </x:c>
      <x:c r="Q205" s="324">
        <x:v>0</x:v>
      </x:c>
      <x:c r="R205" s="324">
        <x:v>0</x:v>
      </x:c>
      <x:c r="S205" s="324">
        <x:v>0</x:v>
      </x:c>
      <x:c r="T205" s="257">
        <x:f t="shared" si="8"/>
        <x:v>0</x:v>
      </x:c>
    </x:row>
    <x:row r="206">
      <x:c r="A206" s="148" t="s">
        <x:v>106</x:v>
      </x:c>
      <x:c r="B206">
        <x:v>6</x:v>
      </x:c>
      <x:c r="C206" s="148" t="s">
        <x:v>116</x:v>
      </x:c>
      <x:c r="D206">
        <x:v>614</x:v>
      </x:c>
      <x:c r="E206" s="324">
        <x:v>0</x:v>
      </x:c>
      <x:c r="F206" s="324">
        <x:v>0</x:v>
      </x:c>
      <x:c r="G206" s="324">
        <x:v>0</x:v>
      </x:c>
      <x:c r="H206" s="324">
        <x:v>0</x:v>
      </x:c>
      <x:c r="I206" s="324">
        <x:v>0</x:v>
      </x:c>
      <x:c r="J206" s="324">
        <x:v>0</x:v>
      </x:c>
      <x:c r="K206" s="324">
        <x:v>0</x:v>
      </x:c>
      <x:c r="L206" s="324">
        <x:v>0</x:v>
      </x:c>
      <x:c r="M206" s="324">
        <x:v>0</x:v>
      </x:c>
      <x:c r="N206" s="324">
        <x:v>0</x:v>
      </x:c>
      <x:c r="O206" s="324">
        <x:v>0</x:v>
      </x:c>
      <x:c r="P206" s="324">
        <x:v>0</x:v>
      </x:c>
      <x:c r="Q206" s="324">
        <x:v>0</x:v>
      </x:c>
      <x:c r="R206" s="324">
        <x:v>0</x:v>
      </x:c>
      <x:c r="S206" s="324">
        <x:v>0</x:v>
      </x:c>
      <x:c r="T206" s="257">
        <x:f t="shared" si="8"/>
        <x:v>0</x:v>
      </x:c>
    </x:row>
    <x:row r="207">
      <x:c r="A207" s="148" t="s">
        <x:v>106</x:v>
      </x:c>
      <x:c r="B207">
        <x:v>6</x:v>
      </x:c>
      <x:c r="C207" s="148" t="s">
        <x:v>116</x:v>
      </x:c>
      <x:c r="D207">
        <x:v>615</x:v>
      </x:c>
      <x:c r="E207" s="324">
        <x:v>0</x:v>
      </x:c>
      <x:c r="F207" s="324">
        <x:v>0</x:v>
      </x:c>
      <x:c r="G207" s="324">
        <x:v>0</x:v>
      </x:c>
      <x:c r="H207" s="324">
        <x:v>0</x:v>
      </x:c>
      <x:c r="I207" s="324">
        <x:v>0</x:v>
      </x:c>
      <x:c r="J207" s="324">
        <x:v>0</x:v>
      </x:c>
      <x:c r="K207" s="324">
        <x:v>0</x:v>
      </x:c>
      <x:c r="L207" s="324">
        <x:v>0</x:v>
      </x:c>
      <x:c r="M207" s="324">
        <x:v>0</x:v>
      </x:c>
      <x:c r="N207" s="324">
        <x:v>0</x:v>
      </x:c>
      <x:c r="O207" s="324">
        <x:v>0</x:v>
      </x:c>
      <x:c r="P207" s="324">
        <x:v>0</x:v>
      </x:c>
      <x:c r="Q207" s="324">
        <x:v>0</x:v>
      </x:c>
      <x:c r="R207" s="324">
        <x:v>0</x:v>
      </x:c>
      <x:c r="S207" s="324">
        <x:v>0</x:v>
      </x:c>
      <x:c r="T207" s="257">
        <x:f t="shared" si="8"/>
        <x:v>0</x:v>
      </x:c>
    </x:row>
    <x:row r="208">
      <x:c r="A208" s="148" t="s">
        <x:v>106</x:v>
      </x:c>
      <x:c r="B208">
        <x:v>6</x:v>
      </x:c>
      <x:c r="C208" s="148" t="s">
        <x:v>116</x:v>
      </x:c>
      <x:c r="D208">
        <x:v>616</x:v>
      </x:c>
      <x:c r="E208" s="324">
        <x:v>0</x:v>
      </x:c>
      <x:c r="F208" s="324">
        <x:v>0</x:v>
      </x:c>
      <x:c r="G208" s="324">
        <x:v>0</x:v>
      </x:c>
      <x:c r="H208" s="324">
        <x:v>0</x:v>
      </x:c>
      <x:c r="I208" s="324">
        <x:v>0</x:v>
      </x:c>
      <x:c r="J208" s="324">
        <x:v>0</x:v>
      </x:c>
      <x:c r="K208" s="324">
        <x:v>0</x:v>
      </x:c>
      <x:c r="L208" s="324">
        <x:v>0</x:v>
      </x:c>
      <x:c r="M208" s="324">
        <x:v>0</x:v>
      </x:c>
      <x:c r="N208" s="324">
        <x:v>0</x:v>
      </x:c>
      <x:c r="O208" s="324">
        <x:v>0</x:v>
      </x:c>
      <x:c r="P208" s="324">
        <x:v>0</x:v>
      </x:c>
      <x:c r="Q208" s="324">
        <x:v>0</x:v>
      </x:c>
      <x:c r="R208" s="324">
        <x:v>0</x:v>
      </x:c>
      <x:c r="S208" s="324">
        <x:v>0</x:v>
      </x:c>
      <x:c r="T208" s="257">
        <x:f t="shared" si="8"/>
        <x:v>0</x:v>
      </x:c>
    </x:row>
    <x:row r="209">
      <x:c r="A209" s="148" t="s">
        <x:v>106</x:v>
      </x:c>
      <x:c r="B209">
        <x:v>6</x:v>
      </x:c>
      <x:c r="C209" s="148" t="s">
        <x:v>116</x:v>
      </x:c>
      <x:c r="D209">
        <x:v>617</x:v>
      </x:c>
      <x:c r="E209" s="324">
        <x:v>0</x:v>
      </x:c>
      <x:c r="F209" s="324">
        <x:v>0</x:v>
      </x:c>
      <x:c r="G209" s="324">
        <x:v>0</x:v>
      </x:c>
      <x:c r="H209" s="324">
        <x:v>0</x:v>
      </x:c>
      <x:c r="I209" s="324">
        <x:v>0</x:v>
      </x:c>
      <x:c r="J209" s="324">
        <x:v>0</x:v>
      </x:c>
      <x:c r="K209" s="324">
        <x:v>0</x:v>
      </x:c>
      <x:c r="L209" s="324">
        <x:v>0</x:v>
      </x:c>
      <x:c r="M209" s="324">
        <x:v>0</x:v>
      </x:c>
      <x:c r="N209" s="324">
        <x:v>0</x:v>
      </x:c>
      <x:c r="O209" s="324">
        <x:v>0</x:v>
      </x:c>
      <x:c r="P209" s="324">
        <x:v>0</x:v>
      </x:c>
      <x:c r="Q209" s="324">
        <x:v>0</x:v>
      </x:c>
      <x:c r="R209" s="324">
        <x:v>0</x:v>
      </x:c>
      <x:c r="S209" s="324">
        <x:v>0</x:v>
      </x:c>
      <x:c r="T209" s="257">
        <x:f t="shared" si="8"/>
        <x:v>0</x:v>
      </x:c>
    </x:row>
    <x:row r="210">
      <x:c r="A210" s="148" t="s">
        <x:v>106</x:v>
      </x:c>
      <x:c r="B210">
        <x:v>6</x:v>
      </x:c>
      <x:c r="C210" s="148" t="s">
        <x:v>116</x:v>
      </x:c>
      <x:c r="D210">
        <x:v>618</x:v>
      </x:c>
      <x:c r="E210" s="324">
        <x:v>0</x:v>
      </x:c>
      <x:c r="F210" s="324">
        <x:v>0</x:v>
      </x:c>
      <x:c r="G210" s="324">
        <x:v>0</x:v>
      </x:c>
      <x:c r="H210" s="324">
        <x:v>0</x:v>
      </x:c>
      <x:c r="I210" s="324">
        <x:v>0</x:v>
      </x:c>
      <x:c r="J210" s="324">
        <x:v>0</x:v>
      </x:c>
      <x:c r="K210" s="324">
        <x:v>0</x:v>
      </x:c>
      <x:c r="L210" s="324">
        <x:v>0</x:v>
      </x:c>
      <x:c r="M210" s="324">
        <x:v>0</x:v>
      </x:c>
      <x:c r="N210" s="324">
        <x:v>0</x:v>
      </x:c>
      <x:c r="O210" s="324">
        <x:v>0</x:v>
      </x:c>
      <x:c r="P210" s="324">
        <x:v>0</x:v>
      </x:c>
      <x:c r="Q210" s="324">
        <x:v>0</x:v>
      </x:c>
      <x:c r="R210" s="324">
        <x:v>0</x:v>
      </x:c>
      <x:c r="S210" s="324">
        <x:v>0</x:v>
      </x:c>
      <x:c r="T210" s="257">
        <x:f t="shared" si="8"/>
        <x:v>0</x:v>
      </x:c>
    </x:row>
    <x:row r="211">
      <x:c r="A211" s="148" t="s">
        <x:v>106</x:v>
      </x:c>
      <x:c r="B211">
        <x:v>6</x:v>
      </x:c>
      <x:c r="C211" s="148" t="s">
        <x:v>116</x:v>
      </x:c>
      <x:c r="D211">
        <x:v>619</x:v>
      </x:c>
      <x:c r="E211" s="324">
        <x:v>0</x:v>
      </x:c>
      <x:c r="F211" s="324">
        <x:v>0</x:v>
      </x:c>
      <x:c r="G211" s="324">
        <x:v>0</x:v>
      </x:c>
      <x:c r="H211" s="324">
        <x:v>0</x:v>
      </x:c>
      <x:c r="I211" s="324">
        <x:v>0</x:v>
      </x:c>
      <x:c r="J211" s="324">
        <x:v>0</x:v>
      </x:c>
      <x:c r="K211" s="324">
        <x:v>0</x:v>
      </x:c>
      <x:c r="L211" s="324">
        <x:v>0</x:v>
      </x:c>
      <x:c r="M211" s="324">
        <x:v>0</x:v>
      </x:c>
      <x:c r="N211" s="324">
        <x:v>0</x:v>
      </x:c>
      <x:c r="O211" s="324">
        <x:v>0</x:v>
      </x:c>
      <x:c r="P211" s="324">
        <x:v>0</x:v>
      </x:c>
      <x:c r="Q211" s="324">
        <x:v>0</x:v>
      </x:c>
      <x:c r="R211" s="324">
        <x:v>0</x:v>
      </x:c>
      <x:c r="S211" s="324">
        <x:v>0</x:v>
      </x:c>
      <x:c r="T211" s="257">
        <x:f t="shared" si="8"/>
        <x:v>0</x:v>
      </x:c>
    </x:row>
    <x:row r="212">
      <x:c r="A212" s="148" t="s">
        <x:v>106</x:v>
      </x:c>
      <x:c r="B212">
        <x:v>6</x:v>
      </x:c>
      <x:c r="C212" s="148" t="s">
        <x:v>116</x:v>
      </x:c>
      <x:c r="D212">
        <x:v>620</x:v>
      </x:c>
      <x:c r="E212" s="324">
        <x:v>0</x:v>
      </x:c>
      <x:c r="F212" s="324">
        <x:v>0</x:v>
      </x:c>
      <x:c r="G212" s="324">
        <x:v>0</x:v>
      </x:c>
      <x:c r="H212" s="324">
        <x:v>0</x:v>
      </x:c>
      <x:c r="I212" s="324">
        <x:v>0</x:v>
      </x:c>
      <x:c r="J212" s="324">
        <x:v>0</x:v>
      </x:c>
      <x:c r="K212" s="324">
        <x:v>0</x:v>
      </x:c>
      <x:c r="L212" s="324">
        <x:v>0</x:v>
      </x:c>
      <x:c r="M212" s="324">
        <x:v>0</x:v>
      </x:c>
      <x:c r="N212" s="324">
        <x:v>0</x:v>
      </x:c>
      <x:c r="O212" s="324">
        <x:v>0</x:v>
      </x:c>
      <x:c r="P212" s="324">
        <x:v>0</x:v>
      </x:c>
      <x:c r="Q212" s="324">
        <x:v>0</x:v>
      </x:c>
      <x:c r="R212" s="324">
        <x:v>0</x:v>
      </x:c>
      <x:c r="S212" s="324">
        <x:v>0</x:v>
      </x:c>
      <x:c r="T212" s="257">
        <x:f t="shared" si="8"/>
        <x:v>0</x:v>
      </x:c>
    </x:row>
    <x:row r="213">
      <x:c r="A213" s="148" t="s">
        <x:v>106</x:v>
      </x:c>
      <x:c r="B213">
        <x:v>6</x:v>
      </x:c>
      <x:c r="C213" s="148" t="s">
        <x:v>116</x:v>
      </x:c>
      <x:c r="D213">
        <x:v>621</x:v>
      </x:c>
      <x:c r="E213" s="324">
        <x:v>0</x:v>
      </x:c>
      <x:c r="F213" s="324">
        <x:v>0</x:v>
      </x:c>
      <x:c r="G213" s="324">
        <x:v>0</x:v>
      </x:c>
      <x:c r="H213" s="324">
        <x:v>0</x:v>
      </x:c>
      <x:c r="I213" s="324">
        <x:v>0</x:v>
      </x:c>
      <x:c r="J213" s="324">
        <x:v>0</x:v>
      </x:c>
      <x:c r="K213" s="324">
        <x:v>0</x:v>
      </x:c>
      <x:c r="L213" s="324">
        <x:v>0</x:v>
      </x:c>
      <x:c r="M213" s="324">
        <x:v>0</x:v>
      </x:c>
      <x:c r="N213" s="324">
        <x:v>0</x:v>
      </x:c>
      <x:c r="O213" s="324">
        <x:v>0</x:v>
      </x:c>
      <x:c r="P213" s="324">
        <x:v>0</x:v>
      </x:c>
      <x:c r="Q213" s="324">
        <x:v>0</x:v>
      </x:c>
      <x:c r="R213" s="324">
        <x:v>0</x:v>
      </x:c>
      <x:c r="S213" s="324">
        <x:v>0</x:v>
      </x:c>
      <x:c r="T213" s="257">
        <x:f t="shared" si="8"/>
        <x:v>0</x:v>
      </x:c>
    </x:row>
    <x:row r="214">
      <x:c r="A214" s="148" t="s">
        <x:v>106</x:v>
      </x:c>
      <x:c r="B214">
        <x:v>6</x:v>
      </x:c>
      <x:c r="C214" s="148" t="s">
        <x:v>116</x:v>
      </x:c>
      <x:c r="D214">
        <x:v>622</x:v>
      </x:c>
      <x:c r="E214" s="324">
        <x:v>0</x:v>
      </x:c>
      <x:c r="F214" s="324">
        <x:v>0</x:v>
      </x:c>
      <x:c r="G214" s="324">
        <x:v>0</x:v>
      </x:c>
      <x:c r="H214" s="324">
        <x:v>0</x:v>
      </x:c>
      <x:c r="I214" s="324">
        <x:v>0</x:v>
      </x:c>
      <x:c r="J214" s="324">
        <x:v>0</x:v>
      </x:c>
      <x:c r="K214" s="324">
        <x:v>0</x:v>
      </x:c>
      <x:c r="L214" s="324">
        <x:v>0</x:v>
      </x:c>
      <x:c r="M214" s="324">
        <x:v>0</x:v>
      </x:c>
      <x:c r="N214" s="324">
        <x:v>0</x:v>
      </x:c>
      <x:c r="O214" s="324">
        <x:v>0</x:v>
      </x:c>
      <x:c r="P214" s="324">
        <x:v>0</x:v>
      </x:c>
      <x:c r="Q214" s="324">
        <x:v>0</x:v>
      </x:c>
      <x:c r="R214" s="324">
        <x:v>0</x:v>
      </x:c>
      <x:c r="S214" s="324">
        <x:v>0</x:v>
      </x:c>
      <x:c r="T214" s="257">
        <x:f t="shared" si="8"/>
        <x:v>0</x:v>
      </x:c>
    </x:row>
    <x:row r="215">
      <x:c r="A215" s="148" t="s">
        <x:v>106</x:v>
      </x:c>
      <x:c r="B215">
        <x:v>6</x:v>
      </x:c>
      <x:c r="C215" s="148" t="s">
        <x:v>116</x:v>
      </x:c>
      <x:c r="D215">
        <x:v>623</x:v>
      </x:c>
      <x:c r="E215" s="324">
        <x:v>0</x:v>
      </x:c>
      <x:c r="F215" s="324">
        <x:v>0</x:v>
      </x:c>
      <x:c r="G215" s="324">
        <x:v>0</x:v>
      </x:c>
      <x:c r="H215" s="324">
        <x:v>0</x:v>
      </x:c>
      <x:c r="I215" s="324">
        <x:v>0</x:v>
      </x:c>
      <x:c r="J215" s="324">
        <x:v>0</x:v>
      </x:c>
      <x:c r="K215" s="324">
        <x:v>0</x:v>
      </x:c>
      <x:c r="L215" s="324">
        <x:v>0</x:v>
      </x:c>
      <x:c r="M215" s="324">
        <x:v>0</x:v>
      </x:c>
      <x:c r="N215" s="324">
        <x:v>0</x:v>
      </x:c>
      <x:c r="O215" s="324">
        <x:v>0</x:v>
      </x:c>
      <x:c r="P215" s="324">
        <x:v>0</x:v>
      </x:c>
      <x:c r="Q215" s="324">
        <x:v>0</x:v>
      </x:c>
      <x:c r="R215" s="324">
        <x:v>0</x:v>
      </x:c>
      <x:c r="S215" s="324">
        <x:v>0</x:v>
      </x:c>
      <x:c r="T215" s="257">
        <x:f t="shared" si="8"/>
        <x:v>0</x:v>
      </x:c>
    </x:row>
    <x:row r="216">
      <x:c r="A216" s="148" t="s">
        <x:v>106</x:v>
      </x:c>
      <x:c r="B216">
        <x:v>6</x:v>
      </x:c>
      <x:c r="C216" s="148" t="s">
        <x:v>115</x:v>
      </x:c>
      <x:c r="D216">
        <x:v>601</x:v>
      </x:c>
      <x:c r="E216" s="324">
        <x:v>0</x:v>
      </x:c>
      <x:c r="F216" s="324">
        <x:v>0</x:v>
      </x:c>
      <x:c r="G216" s="324">
        <x:v>0</x:v>
      </x:c>
      <x:c r="H216" s="324">
        <x:v>0</x:v>
      </x:c>
      <x:c r="I216" s="324">
        <x:v>0</x:v>
      </x:c>
      <x:c r="J216" s="324">
        <x:v>0</x:v>
      </x:c>
      <x:c r="K216" s="324">
        <x:v>0</x:v>
      </x:c>
      <x:c r="L216" s="324">
        <x:v>0</x:v>
      </x:c>
      <x:c r="M216" s="324">
        <x:v>0</x:v>
      </x:c>
      <x:c r="N216" s="324">
        <x:v>0</x:v>
      </x:c>
      <x:c r="O216" s="324">
        <x:v>0</x:v>
      </x:c>
      <x:c r="P216" s="324">
        <x:v>0</x:v>
      </x:c>
      <x:c r="Q216" s="324">
        <x:v>0</x:v>
      </x:c>
      <x:c r="R216" s="324">
        <x:v>0</x:v>
      </x:c>
      <x:c r="S216" s="324">
        <x:v>0</x:v>
      </x:c>
      <x:c r="T216" s="257">
        <x:f t="shared" si="8"/>
        <x:v>0</x:v>
      </x:c>
    </x:row>
    <x:row r="217">
      <x:c r="A217" s="148" t="s">
        <x:v>106</x:v>
      </x:c>
      <x:c r="B217">
        <x:v>6</x:v>
      </x:c>
      <x:c r="C217" s="148" t="s">
        <x:v>115</x:v>
      </x:c>
      <x:c r="D217">
        <x:v>602</x:v>
      </x:c>
      <x:c r="E217" s="324">
        <x:v>0</x:v>
      </x:c>
      <x:c r="F217" s="324">
        <x:v>0</x:v>
      </x:c>
      <x:c r="G217" s="324">
        <x:v>0</x:v>
      </x:c>
      <x:c r="H217" s="324">
        <x:v>0</x:v>
      </x:c>
      <x:c r="I217" s="324">
        <x:v>0</x:v>
      </x:c>
      <x:c r="J217" s="324">
        <x:v>0</x:v>
      </x:c>
      <x:c r="K217" s="324">
        <x:v>0</x:v>
      </x:c>
      <x:c r="L217" s="324">
        <x:v>0</x:v>
      </x:c>
      <x:c r="M217" s="324">
        <x:v>0</x:v>
      </x:c>
      <x:c r="N217" s="324">
        <x:v>0</x:v>
      </x:c>
      <x:c r="O217" s="324">
        <x:v>0</x:v>
      </x:c>
      <x:c r="P217" s="324">
        <x:v>0</x:v>
      </x:c>
      <x:c r="Q217" s="324">
        <x:v>0</x:v>
      </x:c>
      <x:c r="R217" s="324">
        <x:v>0</x:v>
      </x:c>
      <x:c r="S217" s="324">
        <x:v>0</x:v>
      </x:c>
      <x:c r="T217" s="257">
        <x:f t="shared" si="8"/>
        <x:v>0</x:v>
      </x:c>
    </x:row>
    <x:row r="218">
      <x:c r="A218" s="148" t="s">
        <x:v>106</x:v>
      </x:c>
      <x:c r="B218">
        <x:v>6</x:v>
      </x:c>
      <x:c r="C218" s="148" t="s">
        <x:v>115</x:v>
      </x:c>
      <x:c r="D218">
        <x:v>603</x:v>
      </x:c>
      <x:c r="E218" s="324">
        <x:v>0</x:v>
      </x:c>
      <x:c r="F218" s="324">
        <x:v>0</x:v>
      </x:c>
      <x:c r="G218" s="324">
        <x:v>0</x:v>
      </x:c>
      <x:c r="H218" s="324">
        <x:v>0</x:v>
      </x:c>
      <x:c r="I218" s="324">
        <x:v>0</x:v>
      </x:c>
      <x:c r="J218" s="324">
        <x:v>0</x:v>
      </x:c>
      <x:c r="K218" s="324">
        <x:v>0</x:v>
      </x:c>
      <x:c r="L218" s="324">
        <x:v>0</x:v>
      </x:c>
      <x:c r="M218" s="324">
        <x:v>0</x:v>
      </x:c>
      <x:c r="N218" s="324">
        <x:v>0</x:v>
      </x:c>
      <x:c r="O218" s="324">
        <x:v>0</x:v>
      </x:c>
      <x:c r="P218" s="324">
        <x:v>0</x:v>
      </x:c>
      <x:c r="Q218" s="324">
        <x:v>0</x:v>
      </x:c>
      <x:c r="R218" s="324">
        <x:v>0</x:v>
      </x:c>
      <x:c r="S218" s="324">
        <x:v>0</x:v>
      </x:c>
      <x:c r="T218" s="257">
        <x:f t="shared" si="8"/>
        <x:v>0</x:v>
      </x:c>
    </x:row>
    <x:row r="219">
      <x:c r="A219" s="148" t="s">
        <x:v>106</x:v>
      </x:c>
      <x:c r="B219">
        <x:v>6</x:v>
      </x:c>
      <x:c r="C219" s="148" t="s">
        <x:v>115</x:v>
      </x:c>
      <x:c r="D219">
        <x:v>604</x:v>
      </x:c>
      <x:c r="E219" s="324">
        <x:v>0</x:v>
      </x:c>
      <x:c r="F219" s="324">
        <x:v>0</x:v>
      </x:c>
      <x:c r="G219" s="324">
        <x:v>0</x:v>
      </x:c>
      <x:c r="H219" s="324">
        <x:v>0</x:v>
      </x:c>
      <x:c r="I219" s="324">
        <x:v>0</x:v>
      </x:c>
      <x:c r="J219" s="324">
        <x:v>0</x:v>
      </x:c>
      <x:c r="K219" s="324">
        <x:v>0</x:v>
      </x:c>
      <x:c r="L219" s="324">
        <x:v>0</x:v>
      </x:c>
      <x:c r="M219" s="324">
        <x:v>0</x:v>
      </x:c>
      <x:c r="N219" s="324">
        <x:v>0</x:v>
      </x:c>
      <x:c r="O219" s="324">
        <x:v>0</x:v>
      </x:c>
      <x:c r="P219" s="324">
        <x:v>0</x:v>
      </x:c>
      <x:c r="Q219" s="324">
        <x:v>0</x:v>
      </x:c>
      <x:c r="R219" s="324">
        <x:v>0</x:v>
      </x:c>
      <x:c r="S219" s="324">
        <x:v>0</x:v>
      </x:c>
      <x:c r="T219" s="257">
        <x:f t="shared" si="8"/>
        <x:v>0</x:v>
      </x:c>
    </x:row>
    <x:row r="220">
      <x:c r="A220" s="148" t="s">
        <x:v>106</x:v>
      </x:c>
      <x:c r="B220">
        <x:v>6</x:v>
      </x:c>
      <x:c r="C220" s="148" t="s">
        <x:v>115</x:v>
      </x:c>
      <x:c r="D220">
        <x:v>605</x:v>
      </x:c>
      <x:c r="E220" s="324">
        <x:v>0</x:v>
      </x:c>
      <x:c r="F220" s="324">
        <x:v>0</x:v>
      </x:c>
      <x:c r="G220" s="324">
        <x:v>0</x:v>
      </x:c>
      <x:c r="H220" s="324">
        <x:v>0</x:v>
      </x:c>
      <x:c r="I220" s="324">
        <x:v>0</x:v>
      </x:c>
      <x:c r="J220" s="324">
        <x:v>0</x:v>
      </x:c>
      <x:c r="K220" s="324">
        <x:v>0</x:v>
      </x:c>
      <x:c r="L220" s="324">
        <x:v>0</x:v>
      </x:c>
      <x:c r="M220" s="324">
        <x:v>0</x:v>
      </x:c>
      <x:c r="N220" s="324">
        <x:v>0</x:v>
      </x:c>
      <x:c r="O220" s="324">
        <x:v>0</x:v>
      </x:c>
      <x:c r="P220" s="324">
        <x:v>0</x:v>
      </x:c>
      <x:c r="Q220" s="324">
        <x:v>0</x:v>
      </x:c>
      <x:c r="R220" s="324">
        <x:v>0</x:v>
      </x:c>
      <x:c r="S220" s="324">
        <x:v>0</x:v>
      </x:c>
      <x:c r="T220" s="257">
        <x:f t="shared" si="8"/>
        <x:v>0</x:v>
      </x:c>
    </x:row>
    <x:row r="221">
      <x:c r="A221" s="148" t="s">
        <x:v>106</x:v>
      </x:c>
      <x:c r="B221">
        <x:v>6</x:v>
      </x:c>
      <x:c r="C221" s="148" t="s">
        <x:v>115</x:v>
      </x:c>
      <x:c r="D221">
        <x:v>606</x:v>
      </x:c>
      <x:c r="E221" s="324">
        <x:v>0</x:v>
      </x:c>
      <x:c r="F221" s="324">
        <x:v>0</x:v>
      </x:c>
      <x:c r="G221" s="324">
        <x:v>0</x:v>
      </x:c>
      <x:c r="H221" s="324">
        <x:v>0</x:v>
      </x:c>
      <x:c r="I221" s="324">
        <x:v>0</x:v>
      </x:c>
      <x:c r="J221" s="324">
        <x:v>0</x:v>
      </x:c>
      <x:c r="K221" s="324">
        <x:v>0</x:v>
      </x:c>
      <x:c r="L221" s="324">
        <x:v>0</x:v>
      </x:c>
      <x:c r="M221" s="324">
        <x:v>0</x:v>
      </x:c>
      <x:c r="N221" s="324">
        <x:v>0</x:v>
      </x:c>
      <x:c r="O221" s="324">
        <x:v>0</x:v>
      </x:c>
      <x:c r="P221" s="324">
        <x:v>0</x:v>
      </x:c>
      <x:c r="Q221" s="324">
        <x:v>0</x:v>
      </x:c>
      <x:c r="R221" s="324">
        <x:v>0</x:v>
      </x:c>
      <x:c r="S221" s="324">
        <x:v>0</x:v>
      </x:c>
      <x:c r="T221" s="257">
        <x:f t="shared" si="8"/>
        <x:v>0</x:v>
      </x:c>
    </x:row>
    <x:row r="222">
      <x:c r="A222" s="148" t="s">
        <x:v>106</x:v>
      </x:c>
      <x:c r="B222">
        <x:v>6</x:v>
      </x:c>
      <x:c r="C222" s="148" t="s">
        <x:v>115</x:v>
      </x:c>
      <x:c r="D222">
        <x:v>607</x:v>
      </x:c>
      <x:c r="E222" s="324">
        <x:v>0</x:v>
      </x:c>
      <x:c r="F222" s="324">
        <x:v>0</x:v>
      </x:c>
      <x:c r="G222" s="324">
        <x:v>0</x:v>
      </x:c>
      <x:c r="H222" s="324">
        <x:v>0</x:v>
      </x:c>
      <x:c r="I222" s="324">
        <x:v>0</x:v>
      </x:c>
      <x:c r="J222" s="324">
        <x:v>0</x:v>
      </x:c>
      <x:c r="K222" s="324">
        <x:v>0</x:v>
      </x:c>
      <x:c r="L222" s="324">
        <x:v>0</x:v>
      </x:c>
      <x:c r="M222" s="324">
        <x:v>0</x:v>
      </x:c>
      <x:c r="N222" s="324">
        <x:v>0</x:v>
      </x:c>
      <x:c r="O222" s="324">
        <x:v>0</x:v>
      </x:c>
      <x:c r="P222" s="324">
        <x:v>0</x:v>
      </x:c>
      <x:c r="Q222" s="324">
        <x:v>0</x:v>
      </x:c>
      <x:c r="R222" s="324">
        <x:v>0</x:v>
      </x:c>
      <x:c r="S222" s="324">
        <x:v>0</x:v>
      </x:c>
      <x:c r="T222" s="257">
        <x:f t="shared" si="8"/>
        <x:v>0</x:v>
      </x:c>
    </x:row>
    <x:row r="223">
      <x:c r="A223" s="148" t="s">
        <x:v>106</x:v>
      </x:c>
      <x:c r="B223">
        <x:v>6</x:v>
      </x:c>
      <x:c r="C223" s="148" t="s">
        <x:v>115</x:v>
      </x:c>
      <x:c r="D223">
        <x:v>608</x:v>
      </x:c>
      <x:c r="E223" s="324">
        <x:v>0</x:v>
      </x:c>
      <x:c r="F223" s="324">
        <x:v>0</x:v>
      </x:c>
      <x:c r="G223" s="324">
        <x:v>0</x:v>
      </x:c>
      <x:c r="H223" s="324">
        <x:v>0</x:v>
      </x:c>
      <x:c r="I223" s="324">
        <x:v>0</x:v>
      </x:c>
      <x:c r="J223" s="324">
        <x:v>0</x:v>
      </x:c>
      <x:c r="K223" s="324">
        <x:v>0</x:v>
      </x:c>
      <x:c r="L223" s="324">
        <x:v>0</x:v>
      </x:c>
      <x:c r="M223" s="324">
        <x:v>0</x:v>
      </x:c>
      <x:c r="N223" s="324">
        <x:v>0</x:v>
      </x:c>
      <x:c r="O223" s="324">
        <x:v>0</x:v>
      </x:c>
      <x:c r="P223" s="324">
        <x:v>0</x:v>
      </x:c>
      <x:c r="Q223" s="324">
        <x:v>0</x:v>
      </x:c>
      <x:c r="R223" s="324">
        <x:v>0</x:v>
      </x:c>
      <x:c r="S223" s="324">
        <x:v>0</x:v>
      </x:c>
      <x:c r="T223" s="257">
        <x:f t="shared" si="8"/>
        <x:v>0</x:v>
      </x:c>
    </x:row>
    <x:row r="224">
      <x:c r="A224" s="148" t="s">
        <x:v>106</x:v>
      </x:c>
      <x:c r="B224">
        <x:v>6</x:v>
      </x:c>
      <x:c r="C224" s="148" t="s">
        <x:v>115</x:v>
      </x:c>
      <x:c r="D224">
        <x:v>609</x:v>
      </x:c>
      <x:c r="E224" s="324">
        <x:v>0</x:v>
      </x:c>
      <x:c r="F224" s="324">
        <x:v>0</x:v>
      </x:c>
      <x:c r="G224" s="324">
        <x:v>0</x:v>
      </x:c>
      <x:c r="H224" s="324">
        <x:v>0</x:v>
      </x:c>
      <x:c r="I224" s="324">
        <x:v>0</x:v>
      </x:c>
      <x:c r="J224" s="324">
        <x:v>0</x:v>
      </x:c>
      <x:c r="K224" s="324">
        <x:v>0</x:v>
      </x:c>
      <x:c r="L224" s="324">
        <x:v>0</x:v>
      </x:c>
      <x:c r="M224" s="324">
        <x:v>0</x:v>
      </x:c>
      <x:c r="N224" s="324">
        <x:v>0</x:v>
      </x:c>
      <x:c r="O224" s="324">
        <x:v>0</x:v>
      </x:c>
      <x:c r="P224" s="324">
        <x:v>0</x:v>
      </x:c>
      <x:c r="Q224" s="324">
        <x:v>0</x:v>
      </x:c>
      <x:c r="R224" s="324">
        <x:v>0</x:v>
      </x:c>
      <x:c r="S224" s="324">
        <x:v>0</x:v>
      </x:c>
      <x:c r="T224" s="257">
        <x:f t="shared" si="8"/>
        <x:v>0</x:v>
      </x:c>
    </x:row>
    <x:row r="225">
      <x:c r="A225" s="148" t="s">
        <x:v>106</x:v>
      </x:c>
      <x:c r="B225">
        <x:v>6</x:v>
      </x:c>
      <x:c r="C225" s="148" t="s">
        <x:v>115</x:v>
      </x:c>
      <x:c r="D225">
        <x:v>610</x:v>
      </x:c>
      <x:c r="E225" s="324">
        <x:v>0</x:v>
      </x:c>
      <x:c r="F225" s="324">
        <x:v>0</x:v>
      </x:c>
      <x:c r="G225" s="324">
        <x:v>0</x:v>
      </x:c>
      <x:c r="H225" s="324">
        <x:v>0</x:v>
      </x:c>
      <x:c r="I225" s="324">
        <x:v>0</x:v>
      </x:c>
      <x:c r="J225" s="324">
        <x:v>0</x:v>
      </x:c>
      <x:c r="K225" s="324">
        <x:v>0</x:v>
      </x:c>
      <x:c r="L225" s="324">
        <x:v>0</x:v>
      </x:c>
      <x:c r="M225" s="324">
        <x:v>0</x:v>
      </x:c>
      <x:c r="N225" s="324">
        <x:v>0</x:v>
      </x:c>
      <x:c r="O225" s="324">
        <x:v>0</x:v>
      </x:c>
      <x:c r="P225" s="324">
        <x:v>0</x:v>
      </x:c>
      <x:c r="Q225" s="324">
        <x:v>0</x:v>
      </x:c>
      <x:c r="R225" s="324">
        <x:v>0</x:v>
      </x:c>
      <x:c r="S225" s="324">
        <x:v>0</x:v>
      </x:c>
      <x:c r="T225" s="257">
        <x:f t="shared" si="8"/>
        <x:v>0</x:v>
      </x:c>
    </x:row>
    <x:row r="226">
      <x:c r="A226" s="148" t="s">
        <x:v>106</x:v>
      </x:c>
      <x:c r="B226">
        <x:v>6</x:v>
      </x:c>
      <x:c r="C226" s="148" t="s">
        <x:v>115</x:v>
      </x:c>
      <x:c r="D226">
        <x:v>611</x:v>
      </x:c>
      <x:c r="E226" s="324">
        <x:v>0</x:v>
      </x:c>
      <x:c r="F226" s="324">
        <x:v>0</x:v>
      </x:c>
      <x:c r="G226" s="324">
        <x:v>0</x:v>
      </x:c>
      <x:c r="H226" s="324">
        <x:v>0</x:v>
      </x:c>
      <x:c r="I226" s="324">
        <x:v>0</x:v>
      </x:c>
      <x:c r="J226" s="324">
        <x:v>0</x:v>
      </x:c>
      <x:c r="K226" s="324">
        <x:v>0</x:v>
      </x:c>
      <x:c r="L226" s="324">
        <x:v>0</x:v>
      </x:c>
      <x:c r="M226" s="324">
        <x:v>0</x:v>
      </x:c>
      <x:c r="N226" s="324">
        <x:v>0</x:v>
      </x:c>
      <x:c r="O226" s="324">
        <x:v>0</x:v>
      </x:c>
      <x:c r="P226" s="324">
        <x:v>0</x:v>
      </x:c>
      <x:c r="Q226" s="324">
        <x:v>0</x:v>
      </x:c>
      <x:c r="R226" s="324">
        <x:v>0</x:v>
      </x:c>
      <x:c r="S226" s="324">
        <x:v>0</x:v>
      </x:c>
      <x:c r="T226" s="257">
        <x:f t="shared" si="8"/>
        <x:v>0</x:v>
      </x:c>
    </x:row>
    <x:row r="227">
      <x:c r="A227" s="148" t="s">
        <x:v>106</x:v>
      </x:c>
      <x:c r="B227">
        <x:v>6</x:v>
      </x:c>
      <x:c r="C227" s="148" t="s">
        <x:v>115</x:v>
      </x:c>
      <x:c r="D227">
        <x:v>612</x:v>
      </x:c>
      <x:c r="E227" s="324">
        <x:v>0</x:v>
      </x:c>
      <x:c r="F227" s="324">
        <x:v>0</x:v>
      </x:c>
      <x:c r="G227" s="324">
        <x:v>0</x:v>
      </x:c>
      <x:c r="H227" s="324">
        <x:v>0</x:v>
      </x:c>
      <x:c r="I227" s="324">
        <x:v>0</x:v>
      </x:c>
      <x:c r="J227" s="324">
        <x:v>0</x:v>
      </x:c>
      <x:c r="K227" s="324">
        <x:v>0</x:v>
      </x:c>
      <x:c r="L227" s="324">
        <x:v>0</x:v>
      </x:c>
      <x:c r="M227" s="324">
        <x:v>0</x:v>
      </x:c>
      <x:c r="N227" s="324">
        <x:v>0</x:v>
      </x:c>
      <x:c r="O227" s="324">
        <x:v>0</x:v>
      </x:c>
      <x:c r="P227" s="324">
        <x:v>0</x:v>
      </x:c>
      <x:c r="Q227" s="324">
        <x:v>0</x:v>
      </x:c>
      <x:c r="R227" s="324">
        <x:v>0</x:v>
      </x:c>
      <x:c r="S227" s="324">
        <x:v>0</x:v>
      </x:c>
      <x:c r="T227" s="257">
        <x:f t="shared" si="8"/>
        <x:v>0</x:v>
      </x:c>
    </x:row>
    <x:row r="228">
      <x:c r="A228" s="148" t="s">
        <x:v>106</x:v>
      </x:c>
      <x:c r="B228">
        <x:v>6</x:v>
      </x:c>
      <x:c r="C228" s="148" t="s">
        <x:v>115</x:v>
      </x:c>
      <x:c r="D228">
        <x:v>613</x:v>
      </x:c>
      <x:c r="E228" s="324">
        <x:v>0</x:v>
      </x:c>
      <x:c r="F228" s="324">
        <x:v>0</x:v>
      </x:c>
      <x:c r="G228" s="324">
        <x:v>0</x:v>
      </x:c>
      <x:c r="H228" s="324">
        <x:v>0</x:v>
      </x:c>
      <x:c r="I228" s="324">
        <x:v>0</x:v>
      </x:c>
      <x:c r="J228" s="324">
        <x:v>0</x:v>
      </x:c>
      <x:c r="K228" s="324">
        <x:v>0</x:v>
      </x:c>
      <x:c r="L228" s="324">
        <x:v>0</x:v>
      </x:c>
      <x:c r="M228" s="324">
        <x:v>0</x:v>
      </x:c>
      <x:c r="N228" s="324">
        <x:v>0</x:v>
      </x:c>
      <x:c r="O228" s="324">
        <x:v>0</x:v>
      </x:c>
      <x:c r="P228" s="324">
        <x:v>0</x:v>
      </x:c>
      <x:c r="Q228" s="324">
        <x:v>0</x:v>
      </x:c>
      <x:c r="R228" s="324">
        <x:v>0</x:v>
      </x:c>
      <x:c r="S228" s="324">
        <x:v>0</x:v>
      </x:c>
      <x:c r="T228" s="257">
        <x:f t="shared" si="8"/>
        <x:v>0</x:v>
      </x:c>
    </x:row>
    <x:row r="229">
      <x:c r="A229" s="148" t="s">
        <x:v>106</x:v>
      </x:c>
      <x:c r="B229">
        <x:v>6</x:v>
      </x:c>
      <x:c r="C229" s="148" t="s">
        <x:v>115</x:v>
      </x:c>
      <x:c r="D229">
        <x:v>614</x:v>
      </x:c>
      <x:c r="E229" s="324">
        <x:v>0</x:v>
      </x:c>
      <x:c r="F229" s="324">
        <x:v>0</x:v>
      </x:c>
      <x:c r="G229" s="324">
        <x:v>0</x:v>
      </x:c>
      <x:c r="H229" s="324">
        <x:v>0</x:v>
      </x:c>
      <x:c r="I229" s="324">
        <x:v>0</x:v>
      </x:c>
      <x:c r="J229" s="324">
        <x:v>0</x:v>
      </x:c>
      <x:c r="K229" s="324">
        <x:v>0</x:v>
      </x:c>
      <x:c r="L229" s="324">
        <x:v>0</x:v>
      </x:c>
      <x:c r="M229" s="324">
        <x:v>0</x:v>
      </x:c>
      <x:c r="N229" s="324">
        <x:v>0</x:v>
      </x:c>
      <x:c r="O229" s="324">
        <x:v>0</x:v>
      </x:c>
      <x:c r="P229" s="324">
        <x:v>0</x:v>
      </x:c>
      <x:c r="Q229" s="324">
        <x:v>0</x:v>
      </x:c>
      <x:c r="R229" s="324">
        <x:v>0</x:v>
      </x:c>
      <x:c r="S229" s="324">
        <x:v>0</x:v>
      </x:c>
      <x:c r="T229" s="257">
        <x:f t="shared" si="8"/>
        <x:v>0</x:v>
      </x:c>
    </x:row>
    <x:row r="230">
      <x:c r="A230" s="148" t="s">
        <x:v>106</x:v>
      </x:c>
      <x:c r="B230">
        <x:v>6</x:v>
      </x:c>
      <x:c r="C230" s="148" t="s">
        <x:v>115</x:v>
      </x:c>
      <x:c r="D230">
        <x:v>615</x:v>
      </x:c>
      <x:c r="E230" s="324">
        <x:v>0</x:v>
      </x:c>
      <x:c r="F230" s="324">
        <x:v>0</x:v>
      </x:c>
      <x:c r="G230" s="324">
        <x:v>0</x:v>
      </x:c>
      <x:c r="H230" s="324">
        <x:v>0</x:v>
      </x:c>
      <x:c r="I230" s="324">
        <x:v>0</x:v>
      </x:c>
      <x:c r="J230" s="324">
        <x:v>0</x:v>
      </x:c>
      <x:c r="K230" s="324">
        <x:v>0</x:v>
      </x:c>
      <x:c r="L230" s="324">
        <x:v>0</x:v>
      </x:c>
      <x:c r="M230" s="324">
        <x:v>0</x:v>
      </x:c>
      <x:c r="N230" s="324">
        <x:v>0</x:v>
      </x:c>
      <x:c r="O230" s="324">
        <x:v>0</x:v>
      </x:c>
      <x:c r="P230" s="324">
        <x:v>0</x:v>
      </x:c>
      <x:c r="Q230" s="324">
        <x:v>0</x:v>
      </x:c>
      <x:c r="R230" s="324">
        <x:v>0</x:v>
      </x:c>
      <x:c r="S230" s="324">
        <x:v>0</x:v>
      </x:c>
      <x:c r="T230" s="257">
        <x:f t="shared" si="8"/>
        <x:v>0</x:v>
      </x:c>
    </x:row>
    <x:row r="231">
      <x:c r="A231" s="148" t="s">
        <x:v>106</x:v>
      </x:c>
      <x:c r="B231">
        <x:v>6</x:v>
      </x:c>
      <x:c r="C231" s="148" t="s">
        <x:v>115</x:v>
      </x:c>
      <x:c r="D231">
        <x:v>616</x:v>
      </x:c>
      <x:c r="E231" s="324">
        <x:v>0</x:v>
      </x:c>
      <x:c r="F231" s="324">
        <x:v>0</x:v>
      </x:c>
      <x:c r="G231" s="324">
        <x:v>0</x:v>
      </x:c>
      <x:c r="H231" s="324">
        <x:v>0</x:v>
      </x:c>
      <x:c r="I231" s="324">
        <x:v>0</x:v>
      </x:c>
      <x:c r="J231" s="324">
        <x:v>0</x:v>
      </x:c>
      <x:c r="K231" s="324">
        <x:v>0</x:v>
      </x:c>
      <x:c r="L231" s="324">
        <x:v>0</x:v>
      </x:c>
      <x:c r="M231" s="324">
        <x:v>0</x:v>
      </x:c>
      <x:c r="N231" s="324">
        <x:v>0</x:v>
      </x:c>
      <x:c r="O231" s="324">
        <x:v>0</x:v>
      </x:c>
      <x:c r="P231" s="324">
        <x:v>0</x:v>
      </x:c>
      <x:c r="Q231" s="324">
        <x:v>0</x:v>
      </x:c>
      <x:c r="R231" s="324">
        <x:v>0</x:v>
      </x:c>
      <x:c r="S231" s="324">
        <x:v>0</x:v>
      </x:c>
      <x:c r="T231" s="257">
        <x:f t="shared" si="8"/>
        <x:v>0</x:v>
      </x:c>
    </x:row>
    <x:row r="232">
      <x:c r="A232" s="148" t="s">
        <x:v>106</x:v>
      </x:c>
      <x:c r="B232">
        <x:v>6</x:v>
      </x:c>
      <x:c r="C232" s="148" t="s">
        <x:v>115</x:v>
      </x:c>
      <x:c r="D232">
        <x:v>617</x:v>
      </x:c>
      <x:c r="E232" s="324">
        <x:v>0</x:v>
      </x:c>
      <x:c r="F232" s="324">
        <x:v>0</x:v>
      </x:c>
      <x:c r="G232" s="324">
        <x:v>0</x:v>
      </x:c>
      <x:c r="H232" s="324">
        <x:v>0</x:v>
      </x:c>
      <x:c r="I232" s="324">
        <x:v>0</x:v>
      </x:c>
      <x:c r="J232" s="324">
        <x:v>0</x:v>
      </x:c>
      <x:c r="K232" s="324">
        <x:v>0</x:v>
      </x:c>
      <x:c r="L232" s="324">
        <x:v>0</x:v>
      </x:c>
      <x:c r="M232" s="324">
        <x:v>0</x:v>
      </x:c>
      <x:c r="N232" s="324">
        <x:v>0</x:v>
      </x:c>
      <x:c r="O232" s="324">
        <x:v>0</x:v>
      </x:c>
      <x:c r="P232" s="324">
        <x:v>0</x:v>
      </x:c>
      <x:c r="Q232" s="324">
        <x:v>0</x:v>
      </x:c>
      <x:c r="R232" s="324">
        <x:v>0</x:v>
      </x:c>
      <x:c r="S232" s="324">
        <x:v>0</x:v>
      </x:c>
      <x:c r="T232" s="257">
        <x:f t="shared" si="8"/>
        <x:v>0</x:v>
      </x:c>
    </x:row>
    <x:row r="233">
      <x:c r="A233" s="148" t="s">
        <x:v>106</x:v>
      </x:c>
      <x:c r="B233">
        <x:v>6</x:v>
      </x:c>
      <x:c r="C233" s="148" t="s">
        <x:v>115</x:v>
      </x:c>
      <x:c r="D233">
        <x:v>618</x:v>
      </x:c>
      <x:c r="E233" s="324">
        <x:v>0</x:v>
      </x:c>
      <x:c r="F233" s="324">
        <x:v>0</x:v>
      </x:c>
      <x:c r="G233" s="324">
        <x:v>0</x:v>
      </x:c>
      <x:c r="H233" s="324">
        <x:v>0</x:v>
      </x:c>
      <x:c r="I233" s="324">
        <x:v>0</x:v>
      </x:c>
      <x:c r="J233" s="324">
        <x:v>0</x:v>
      </x:c>
      <x:c r="K233" s="324">
        <x:v>0</x:v>
      </x:c>
      <x:c r="L233" s="324">
        <x:v>0</x:v>
      </x:c>
      <x:c r="M233" s="324">
        <x:v>0</x:v>
      </x:c>
      <x:c r="N233" s="324">
        <x:v>0</x:v>
      </x:c>
      <x:c r="O233" s="324">
        <x:v>0</x:v>
      </x:c>
      <x:c r="P233" s="324">
        <x:v>0</x:v>
      </x:c>
      <x:c r="Q233" s="324">
        <x:v>0</x:v>
      </x:c>
      <x:c r="R233" s="324">
        <x:v>0</x:v>
      </x:c>
      <x:c r="S233" s="324">
        <x:v>0</x:v>
      </x:c>
      <x:c r="T233" s="257">
        <x:f t="shared" si="8"/>
        <x:v>0</x:v>
      </x:c>
    </x:row>
    <x:row r="234">
      <x:c r="A234" s="148" t="s">
        <x:v>106</x:v>
      </x:c>
      <x:c r="B234">
        <x:v>6</x:v>
      </x:c>
      <x:c r="C234" s="148" t="s">
        <x:v>115</x:v>
      </x:c>
      <x:c r="D234">
        <x:v>619</x:v>
      </x:c>
      <x:c r="E234" s="324">
        <x:v>0</x:v>
      </x:c>
      <x:c r="F234" s="324">
        <x:v>0</x:v>
      </x:c>
      <x:c r="G234" s="324">
        <x:v>0</x:v>
      </x:c>
      <x:c r="H234" s="324">
        <x:v>0</x:v>
      </x:c>
      <x:c r="I234" s="324">
        <x:v>0</x:v>
      </x:c>
      <x:c r="J234" s="324">
        <x:v>0</x:v>
      </x:c>
      <x:c r="K234" s="324">
        <x:v>0</x:v>
      </x:c>
      <x:c r="L234" s="324">
        <x:v>0</x:v>
      </x:c>
      <x:c r="M234" s="324">
        <x:v>0</x:v>
      </x:c>
      <x:c r="N234" s="324">
        <x:v>0</x:v>
      </x:c>
      <x:c r="O234" s="324">
        <x:v>0</x:v>
      </x:c>
      <x:c r="P234" s="324">
        <x:v>0</x:v>
      </x:c>
      <x:c r="Q234" s="324">
        <x:v>0</x:v>
      </x:c>
      <x:c r="R234" s="324">
        <x:v>0</x:v>
      </x:c>
      <x:c r="S234" s="324">
        <x:v>0</x:v>
      </x:c>
      <x:c r="T234" s="257">
        <x:f t="shared" si="8"/>
        <x:v>0</x:v>
      </x:c>
    </x:row>
    <x:row r="235">
      <x:c r="A235" s="148" t="s">
        <x:v>106</x:v>
      </x:c>
      <x:c r="B235">
        <x:v>6</x:v>
      </x:c>
      <x:c r="C235" s="148" t="s">
        <x:v>115</x:v>
      </x:c>
      <x:c r="D235">
        <x:v>620</x:v>
      </x:c>
      <x:c r="E235" s="324">
        <x:v>0</x:v>
      </x:c>
      <x:c r="F235" s="324">
        <x:v>0</x:v>
      </x:c>
      <x:c r="G235" s="324">
        <x:v>0</x:v>
      </x:c>
      <x:c r="H235" s="324">
        <x:v>0</x:v>
      </x:c>
      <x:c r="I235" s="324">
        <x:v>0</x:v>
      </x:c>
      <x:c r="J235" s="324">
        <x:v>0</x:v>
      </x:c>
      <x:c r="K235" s="324">
        <x:v>0</x:v>
      </x:c>
      <x:c r="L235" s="324">
        <x:v>0</x:v>
      </x:c>
      <x:c r="M235" s="324">
        <x:v>0</x:v>
      </x:c>
      <x:c r="N235" s="324">
        <x:v>0</x:v>
      </x:c>
      <x:c r="O235" s="324">
        <x:v>0</x:v>
      </x:c>
      <x:c r="P235" s="324">
        <x:v>0</x:v>
      </x:c>
      <x:c r="Q235" s="324">
        <x:v>0</x:v>
      </x:c>
      <x:c r="R235" s="324">
        <x:v>0</x:v>
      </x:c>
      <x:c r="S235" s="324">
        <x:v>0</x:v>
      </x:c>
      <x:c r="T235" s="257">
        <x:f t="shared" si="8"/>
        <x:v>0</x:v>
      </x:c>
    </x:row>
    <x:row r="236">
      <x:c r="A236" s="148" t="s">
        <x:v>106</x:v>
      </x:c>
      <x:c r="B236">
        <x:v>6</x:v>
      </x:c>
      <x:c r="C236" s="148" t="s">
        <x:v>115</x:v>
      </x:c>
      <x:c r="D236">
        <x:v>621</x:v>
      </x:c>
      <x:c r="E236" s="324">
        <x:v>0</x:v>
      </x:c>
      <x:c r="F236" s="324">
        <x:v>0</x:v>
      </x:c>
      <x:c r="G236" s="324">
        <x:v>0</x:v>
      </x:c>
      <x:c r="H236" s="324">
        <x:v>0</x:v>
      </x:c>
      <x:c r="I236" s="324">
        <x:v>0</x:v>
      </x:c>
      <x:c r="J236" s="324">
        <x:v>0</x:v>
      </x:c>
      <x:c r="K236" s="324">
        <x:v>0</x:v>
      </x:c>
      <x:c r="L236" s="324">
        <x:v>0</x:v>
      </x:c>
      <x:c r="M236" s="324">
        <x:v>0</x:v>
      </x:c>
      <x:c r="N236" s="324">
        <x:v>0</x:v>
      </x:c>
      <x:c r="O236" s="324">
        <x:v>0</x:v>
      </x:c>
      <x:c r="P236" s="324">
        <x:v>0</x:v>
      </x:c>
      <x:c r="Q236" s="324">
        <x:v>0</x:v>
      </x:c>
      <x:c r="R236" s="324">
        <x:v>0</x:v>
      </x:c>
      <x:c r="S236" s="324">
        <x:v>0</x:v>
      </x:c>
      <x:c r="T236" s="257">
        <x:f t="shared" si="8"/>
        <x:v>0</x:v>
      </x:c>
    </x:row>
    <x:row r="237">
      <x:c r="A237" s="148"/>
      <x:c r="B237"/>
      <x:c r="C237" s="148"/>
      <x:c r="D237"/>
      <x:c r="E237" s="324"/>
      <x:c r="F237" s="324">
        <x:f t="shared" ref="F237:S237" si="9">AVERAGE(F193:F236)</x:f>
      </x:c>
      <x:c r="G237" s="324">
        <x:f t="shared" si="9"/>
      </x:c>
      <x:c r="H237" s="324">
        <x:f t="shared" si="9"/>
      </x:c>
      <x:c r="I237" s="324">
        <x:f t="shared" si="9"/>
      </x:c>
      <x:c r="J237" s="324">
        <x:f t="shared" si="9"/>
      </x:c>
      <x:c r="K237" s="324">
        <x:f t="shared" si="9"/>
      </x:c>
      <x:c r="L237" s="324">
        <x:f t="shared" si="9"/>
      </x:c>
      <x:c r="M237" s="324">
        <x:f t="shared" si="9"/>
      </x:c>
      <x:c r="N237" s="324">
        <x:f t="shared" si="9"/>
      </x:c>
      <x:c r="O237" s="324">
        <x:f t="shared" si="9"/>
      </x:c>
      <x:c r="P237" s="324">
        <x:f t="shared" si="9"/>
      </x:c>
      <x:c r="Q237" s="324">
        <x:f t="shared" si="9"/>
      </x:c>
      <x:c r="R237" s="324">
        <x:f t="shared" si="9"/>
      </x:c>
      <x:c r="S237" s="324">
        <x:f t="shared" si="9"/>
      </x:c>
      <x:c r="T237" s="257">
        <x:f t="shared" si="8"/>
      </x:c>
    </x:row>
    <x:row r="238">
      <x:c r="A238" s="148" t="s">
        <x:v>106</x:v>
      </x:c>
      <x:c r="B238">
        <x:v>7</x:v>
      </x:c>
      <x:c r="C238" s="148" t="s">
        <x:v>116</x:v>
      </x:c>
      <x:c r="D238">
        <x:v>701</x:v>
      </x:c>
      <x:c r="E238" s="324">
        <x:v>0</x:v>
      </x:c>
      <x:c r="F238" s="324">
        <x:v>0</x:v>
      </x:c>
      <x:c r="G238" s="324">
        <x:v>0</x:v>
      </x:c>
      <x:c r="H238" s="324">
        <x:v>0</x:v>
      </x:c>
      <x:c r="I238" s="324">
        <x:v>0</x:v>
      </x:c>
      <x:c r="J238" s="324">
        <x:v>0</x:v>
      </x:c>
      <x:c r="K238" s="324">
        <x:v>0</x:v>
      </x:c>
      <x:c r="L238" s="324">
        <x:v>0</x:v>
      </x:c>
      <x:c r="M238" s="324">
        <x:v>0</x:v>
      </x:c>
      <x:c r="N238" s="324">
        <x:v>0</x:v>
      </x:c>
      <x:c r="O238" s="324">
        <x:v>0</x:v>
      </x:c>
      <x:c r="P238" s="324">
        <x:v>0</x:v>
      </x:c>
      <x:c r="Q238" s="324">
        <x:v>0</x:v>
      </x:c>
      <x:c r="R238" s="324">
        <x:v>0</x:v>
      </x:c>
      <x:c r="S238" s="324">
        <x:v>0</x:v>
      </x:c>
      <x:c r="T238" s="257">
        <x:f t="shared" si="8"/>
        <x:v>0</x:v>
      </x:c>
    </x:row>
    <x:row r="239">
      <x:c r="A239" s="148" t="s">
        <x:v>106</x:v>
      </x:c>
      <x:c r="B239">
        <x:v>7</x:v>
      </x:c>
      <x:c r="C239" s="148" t="s">
        <x:v>116</x:v>
      </x:c>
      <x:c r="D239">
        <x:v>702</x:v>
      </x:c>
      <x:c r="E239" s="324">
        <x:v>0</x:v>
      </x:c>
      <x:c r="F239" s="324">
        <x:v>0</x:v>
      </x:c>
      <x:c r="G239" s="324">
        <x:v>0</x:v>
      </x:c>
      <x:c r="H239" s="324">
        <x:v>0</x:v>
      </x:c>
      <x:c r="I239" s="324">
        <x:v>0</x:v>
      </x:c>
      <x:c r="J239" s="324">
        <x:v>0</x:v>
      </x:c>
      <x:c r="K239" s="324">
        <x:v>0</x:v>
      </x:c>
      <x:c r="L239" s="324">
        <x:v>0</x:v>
      </x:c>
      <x:c r="M239" s="324">
        <x:v>0</x:v>
      </x:c>
      <x:c r="N239" s="324">
        <x:v>0</x:v>
      </x:c>
      <x:c r="O239" s="324">
        <x:v>0</x:v>
      </x:c>
      <x:c r="P239" s="324">
        <x:v>0</x:v>
      </x:c>
      <x:c r="Q239" s="324">
        <x:v>0</x:v>
      </x:c>
      <x:c r="R239" s="324">
        <x:v>0</x:v>
      </x:c>
      <x:c r="S239" s="324">
        <x:v>0</x:v>
      </x:c>
      <x:c r="T239" s="257">
        <x:f t="shared" si="8"/>
        <x:v>0</x:v>
      </x:c>
    </x:row>
    <x:row r="240">
      <x:c r="A240" s="148" t="s">
        <x:v>106</x:v>
      </x:c>
      <x:c r="B240">
        <x:v>7</x:v>
      </x:c>
      <x:c r="C240" s="148" t="s">
        <x:v>116</x:v>
      </x:c>
      <x:c r="D240">
        <x:v>703</x:v>
      </x:c>
      <x:c r="E240" s="324">
        <x:v>0</x:v>
      </x:c>
      <x:c r="F240" s="324">
        <x:v>0</x:v>
      </x:c>
      <x:c r="G240" s="324">
        <x:v>0</x:v>
      </x:c>
      <x:c r="H240" s="324">
        <x:v>0</x:v>
      </x:c>
      <x:c r="I240" s="324">
        <x:v>0</x:v>
      </x:c>
      <x:c r="J240" s="324">
        <x:v>0</x:v>
      </x:c>
      <x:c r="K240" s="324">
        <x:v>0</x:v>
      </x:c>
      <x:c r="L240" s="324">
        <x:v>0</x:v>
      </x:c>
      <x:c r="M240" s="324">
        <x:v>0</x:v>
      </x:c>
      <x:c r="N240" s="324">
        <x:v>0</x:v>
      </x:c>
      <x:c r="O240" s="324">
        <x:v>0</x:v>
      </x:c>
      <x:c r="P240" s="324">
        <x:v>0</x:v>
      </x:c>
      <x:c r="Q240" s="324">
        <x:v>0</x:v>
      </x:c>
      <x:c r="R240" s="324">
        <x:v>0</x:v>
      </x:c>
      <x:c r="S240" s="324">
        <x:v>0</x:v>
      </x:c>
      <x:c r="T240" s="257">
        <x:f t="shared" si="8"/>
        <x:v>0</x:v>
      </x:c>
    </x:row>
    <x:row r="241">
      <x:c r="A241" s="148" t="s">
        <x:v>106</x:v>
      </x:c>
      <x:c r="B241">
        <x:v>7</x:v>
      </x:c>
      <x:c r="C241" s="148" t="s">
        <x:v>116</x:v>
      </x:c>
      <x:c r="D241">
        <x:v>704</x:v>
      </x:c>
      <x:c r="E241" s="324">
        <x:v>0</x:v>
      </x:c>
      <x:c r="F241" s="324">
        <x:v>0</x:v>
      </x:c>
      <x:c r="G241" s="324">
        <x:v>0</x:v>
      </x:c>
      <x:c r="H241" s="324">
        <x:v>0</x:v>
      </x:c>
      <x:c r="I241" s="324">
        <x:v>0</x:v>
      </x:c>
      <x:c r="J241" s="324">
        <x:v>0</x:v>
      </x:c>
      <x:c r="K241" s="324">
        <x:v>0</x:v>
      </x:c>
      <x:c r="L241" s="324">
        <x:v>0</x:v>
      </x:c>
      <x:c r="M241" s="324">
        <x:v>0</x:v>
      </x:c>
      <x:c r="N241" s="324">
        <x:v>0</x:v>
      </x:c>
      <x:c r="O241" s="324">
        <x:v>0</x:v>
      </x:c>
      <x:c r="P241" s="324">
        <x:v>0</x:v>
      </x:c>
      <x:c r="Q241" s="324">
        <x:v>0</x:v>
      </x:c>
      <x:c r="R241" s="324">
        <x:v>0</x:v>
      </x:c>
      <x:c r="S241" s="324">
        <x:v>0</x:v>
      </x:c>
      <x:c r="T241" s="257">
        <x:f t="shared" si="8"/>
        <x:v>0</x:v>
      </x:c>
    </x:row>
    <x:row r="242">
      <x:c r="A242" s="148" t="s">
        <x:v>106</x:v>
      </x:c>
      <x:c r="B242">
        <x:v>7</x:v>
      </x:c>
      <x:c r="C242" s="148" t="s">
        <x:v>116</x:v>
      </x:c>
      <x:c r="D242">
        <x:v>705</x:v>
      </x:c>
      <x:c r="E242" s="324">
        <x:v>0</x:v>
      </x:c>
      <x:c r="F242" s="324">
        <x:v>0</x:v>
      </x:c>
      <x:c r="G242" s="324">
        <x:v>0</x:v>
      </x:c>
      <x:c r="H242" s="324">
        <x:v>0</x:v>
      </x:c>
      <x:c r="I242" s="324">
        <x:v>0</x:v>
      </x:c>
      <x:c r="J242" s="324">
        <x:v>0</x:v>
      </x:c>
      <x:c r="K242" s="324">
        <x:v>0</x:v>
      </x:c>
      <x:c r="L242" s="324">
        <x:v>0</x:v>
      </x:c>
      <x:c r="M242" s="324">
        <x:v>0</x:v>
      </x:c>
      <x:c r="N242" s="324">
        <x:v>0</x:v>
      </x:c>
      <x:c r="O242" s="324">
        <x:v>0</x:v>
      </x:c>
      <x:c r="P242" s="324">
        <x:v>0</x:v>
      </x:c>
      <x:c r="Q242" s="324">
        <x:v>0</x:v>
      </x:c>
      <x:c r="R242" s="324">
        <x:v>0</x:v>
      </x:c>
      <x:c r="S242" s="324">
        <x:v>0</x:v>
      </x:c>
      <x:c r="T242" s="257">
        <x:f t="shared" si="8"/>
        <x:v>0</x:v>
      </x:c>
    </x:row>
    <x:row r="243">
      <x:c r="A243" s="148" t="s">
        <x:v>106</x:v>
      </x:c>
      <x:c r="B243">
        <x:v>7</x:v>
      </x:c>
      <x:c r="C243" s="148" t="s">
        <x:v>116</x:v>
      </x:c>
      <x:c r="D243">
        <x:v>706</x:v>
      </x:c>
      <x:c r="E243" s="324">
        <x:v>0</x:v>
      </x:c>
      <x:c r="F243" s="324">
        <x:v>0</x:v>
      </x:c>
      <x:c r="G243" s="324">
        <x:v>0</x:v>
      </x:c>
      <x:c r="H243" s="324">
        <x:v>0</x:v>
      </x:c>
      <x:c r="I243" s="324">
        <x:v>0</x:v>
      </x:c>
      <x:c r="J243" s="324">
        <x:v>0</x:v>
      </x:c>
      <x:c r="K243" s="324">
        <x:v>0</x:v>
      </x:c>
      <x:c r="L243" s="324">
        <x:v>0</x:v>
      </x:c>
      <x:c r="M243" s="324">
        <x:v>0</x:v>
      </x:c>
      <x:c r="N243" s="324">
        <x:v>0</x:v>
      </x:c>
      <x:c r="O243" s="324">
        <x:v>0</x:v>
      </x:c>
      <x:c r="P243" s="324">
        <x:v>0</x:v>
      </x:c>
      <x:c r="Q243" s="324">
        <x:v>0</x:v>
      </x:c>
      <x:c r="R243" s="324">
        <x:v>0</x:v>
      </x:c>
      <x:c r="S243" s="324">
        <x:v>0</x:v>
      </x:c>
      <x:c r="T243" s="257">
        <x:f t="shared" si="8"/>
        <x:v>0</x:v>
      </x:c>
    </x:row>
    <x:row r="244">
      <x:c r="A244" s="148" t="s">
        <x:v>106</x:v>
      </x:c>
      <x:c r="B244">
        <x:v>7</x:v>
      </x:c>
      <x:c r="C244" s="148" t="s">
        <x:v>116</x:v>
      </x:c>
      <x:c r="D244">
        <x:v>707</x:v>
      </x:c>
      <x:c r="E244" s="324">
        <x:v>0</x:v>
      </x:c>
      <x:c r="F244" s="324">
        <x:v>0</x:v>
      </x:c>
      <x:c r="G244" s="324">
        <x:v>0</x:v>
      </x:c>
      <x:c r="H244" s="324">
        <x:v>0</x:v>
      </x:c>
      <x:c r="I244" s="324">
        <x:v>0</x:v>
      </x:c>
      <x:c r="J244" s="324">
        <x:v>0</x:v>
      </x:c>
      <x:c r="K244" s="324">
        <x:v>0</x:v>
      </x:c>
      <x:c r="L244" s="324">
        <x:v>0</x:v>
      </x:c>
      <x:c r="M244" s="324">
        <x:v>0</x:v>
      </x:c>
      <x:c r="N244" s="324">
        <x:v>0</x:v>
      </x:c>
      <x:c r="O244" s="324">
        <x:v>0</x:v>
      </x:c>
      <x:c r="P244" s="324">
        <x:v>0</x:v>
      </x:c>
      <x:c r="Q244" s="324">
        <x:v>0</x:v>
      </x:c>
      <x:c r="R244" s="324">
        <x:v>0</x:v>
      </x:c>
      <x:c r="S244" s="324">
        <x:v>0</x:v>
      </x:c>
      <x:c r="T244" s="257">
        <x:f t="shared" si="8"/>
        <x:v>0</x:v>
      </x:c>
    </x:row>
    <x:row r="245">
      <x:c r="A245" s="148" t="s">
        <x:v>106</x:v>
      </x:c>
      <x:c r="B245">
        <x:v>7</x:v>
      </x:c>
      <x:c r="C245" s="148" t="s">
        <x:v>116</x:v>
      </x:c>
      <x:c r="D245">
        <x:v>708</x:v>
      </x:c>
      <x:c r="E245" s="324">
        <x:v>0</x:v>
      </x:c>
      <x:c r="F245" s="324">
        <x:v>0</x:v>
      </x:c>
      <x:c r="G245" s="324">
        <x:v>0</x:v>
      </x:c>
      <x:c r="H245" s="324">
        <x:v>0</x:v>
      </x:c>
      <x:c r="I245" s="324">
        <x:v>0</x:v>
      </x:c>
      <x:c r="J245" s="324">
        <x:v>0</x:v>
      </x:c>
      <x:c r="K245" s="324">
        <x:v>0</x:v>
      </x:c>
      <x:c r="L245" s="324">
        <x:v>0</x:v>
      </x:c>
      <x:c r="M245" s="324">
        <x:v>0</x:v>
      </x:c>
      <x:c r="N245" s="324">
        <x:v>0</x:v>
      </x:c>
      <x:c r="O245" s="324">
        <x:v>0</x:v>
      </x:c>
      <x:c r="P245" s="324">
        <x:v>0</x:v>
      </x:c>
      <x:c r="Q245" s="324">
        <x:v>0</x:v>
      </x:c>
      <x:c r="R245" s="324">
        <x:v>0</x:v>
      </x:c>
      <x:c r="S245" s="324">
        <x:v>0</x:v>
      </x:c>
      <x:c r="T245" s="257">
        <x:f t="shared" si="8"/>
        <x:v>0</x:v>
      </x:c>
    </x:row>
    <x:row r="246">
      <x:c r="A246" s="148" t="s">
        <x:v>106</x:v>
      </x:c>
      <x:c r="B246">
        <x:v>7</x:v>
      </x:c>
      <x:c r="C246" s="148" t="s">
        <x:v>116</x:v>
      </x:c>
      <x:c r="D246">
        <x:v>709</x:v>
      </x:c>
      <x:c r="E246" s="324">
        <x:v>0</x:v>
      </x:c>
      <x:c r="F246" s="324">
        <x:v>0</x:v>
      </x:c>
      <x:c r="G246" s="324">
        <x:v>0</x:v>
      </x:c>
      <x:c r="H246" s="324">
        <x:v>0</x:v>
      </x:c>
      <x:c r="I246" s="324">
        <x:v>0</x:v>
      </x:c>
      <x:c r="J246" s="324">
        <x:v>0</x:v>
      </x:c>
      <x:c r="K246" s="324">
        <x:v>0</x:v>
      </x:c>
      <x:c r="L246" s="324">
        <x:v>0</x:v>
      </x:c>
      <x:c r="M246" s="324">
        <x:v>0</x:v>
      </x:c>
      <x:c r="N246" s="324">
        <x:v>0</x:v>
      </x:c>
      <x:c r="O246" s="324">
        <x:v>0</x:v>
      </x:c>
      <x:c r="P246" s="324">
        <x:v>0</x:v>
      </x:c>
      <x:c r="Q246" s="324">
        <x:v>0</x:v>
      </x:c>
      <x:c r="R246" s="324">
        <x:v>0</x:v>
      </x:c>
      <x:c r="S246" s="324">
        <x:v>0</x:v>
      </x:c>
      <x:c r="T246" s="257">
        <x:f t="shared" si="8"/>
        <x:v>0</x:v>
      </x:c>
    </x:row>
    <x:row r="247">
      <x:c r="A247" s="148" t="s">
        <x:v>106</x:v>
      </x:c>
      <x:c r="B247">
        <x:v>7</x:v>
      </x:c>
      <x:c r="C247" s="148" t="s">
        <x:v>116</x:v>
      </x:c>
      <x:c r="D247">
        <x:v>710</x:v>
      </x:c>
      <x:c r="E247" s="324">
        <x:v>0</x:v>
      </x:c>
      <x:c r="F247" s="324">
        <x:v>0</x:v>
      </x:c>
      <x:c r="G247" s="324">
        <x:v>0</x:v>
      </x:c>
      <x:c r="H247" s="324">
        <x:v>0</x:v>
      </x:c>
      <x:c r="I247" s="324">
        <x:v>0</x:v>
      </x:c>
      <x:c r="J247" s="324">
        <x:v>0</x:v>
      </x:c>
      <x:c r="K247" s="324">
        <x:v>0</x:v>
      </x:c>
      <x:c r="L247" s="324">
        <x:v>0</x:v>
      </x:c>
      <x:c r="M247" s="324">
        <x:v>0</x:v>
      </x:c>
      <x:c r="N247" s="324">
        <x:v>0</x:v>
      </x:c>
      <x:c r="O247" s="324">
        <x:v>0</x:v>
      </x:c>
      <x:c r="P247" s="324">
        <x:v>0</x:v>
      </x:c>
      <x:c r="Q247" s="324">
        <x:v>0</x:v>
      </x:c>
      <x:c r="R247" s="324">
        <x:v>0</x:v>
      </x:c>
      <x:c r="S247" s="324">
        <x:v>0</x:v>
      </x:c>
      <x:c r="T247" s="257">
        <x:f t="shared" si="8"/>
        <x:v>0</x:v>
      </x:c>
    </x:row>
    <x:row r="248">
      <x:c r="A248" s="148" t="s">
        <x:v>106</x:v>
      </x:c>
      <x:c r="B248">
        <x:v>7</x:v>
      </x:c>
      <x:c r="C248" s="148" t="s">
        <x:v>116</x:v>
      </x:c>
      <x:c r="D248">
        <x:v>711</x:v>
      </x:c>
      <x:c r="E248" s="324">
        <x:v>0</x:v>
      </x:c>
      <x:c r="F248" s="324">
        <x:v>0</x:v>
      </x:c>
      <x:c r="G248" s="324">
        <x:v>0</x:v>
      </x:c>
      <x:c r="H248" s="324">
        <x:v>0</x:v>
      </x:c>
      <x:c r="I248" s="324">
        <x:v>0</x:v>
      </x:c>
      <x:c r="J248" s="324">
        <x:v>0</x:v>
      </x:c>
      <x:c r="K248" s="324">
        <x:v>0</x:v>
      </x:c>
      <x:c r="L248" s="324">
        <x:v>0</x:v>
      </x:c>
      <x:c r="M248" s="324">
        <x:v>0</x:v>
      </x:c>
      <x:c r="N248" s="324">
        <x:v>0</x:v>
      </x:c>
      <x:c r="O248" s="324">
        <x:v>0</x:v>
      </x:c>
      <x:c r="P248" s="324">
        <x:v>0</x:v>
      </x:c>
      <x:c r="Q248" s="324">
        <x:v>0</x:v>
      </x:c>
      <x:c r="R248" s="324">
        <x:v>0</x:v>
      </x:c>
      <x:c r="S248" s="324">
        <x:v>0</x:v>
      </x:c>
      <x:c r="T248" s="257">
        <x:f t="shared" si="8"/>
        <x:v>0</x:v>
      </x:c>
    </x:row>
    <x:row r="249">
      <x:c r="A249" s="148" t="s">
        <x:v>106</x:v>
      </x:c>
      <x:c r="B249">
        <x:v>7</x:v>
      </x:c>
      <x:c r="C249" s="148" t="s">
        <x:v>116</x:v>
      </x:c>
      <x:c r="D249">
        <x:v>712</x:v>
      </x:c>
      <x:c r="E249" s="324">
        <x:v>0</x:v>
      </x:c>
      <x:c r="F249" s="324">
        <x:v>0</x:v>
      </x:c>
      <x:c r="G249" s="324">
        <x:v>0</x:v>
      </x:c>
      <x:c r="H249" s="324">
        <x:v>0</x:v>
      </x:c>
      <x:c r="I249" s="324">
        <x:v>0</x:v>
      </x:c>
      <x:c r="J249" s="324">
        <x:v>0</x:v>
      </x:c>
      <x:c r="K249" s="324">
        <x:v>0</x:v>
      </x:c>
      <x:c r="L249" s="324">
        <x:v>0</x:v>
      </x:c>
      <x:c r="M249" s="324">
        <x:v>0</x:v>
      </x:c>
      <x:c r="N249" s="324">
        <x:v>0</x:v>
      </x:c>
      <x:c r="O249" s="324">
        <x:v>0</x:v>
      </x:c>
      <x:c r="P249" s="324">
        <x:v>0</x:v>
      </x:c>
      <x:c r="Q249" s="324">
        <x:v>0</x:v>
      </x:c>
      <x:c r="R249" s="324">
        <x:v>0</x:v>
      </x:c>
      <x:c r="S249" s="324">
        <x:v>0</x:v>
      </x:c>
      <x:c r="T249" s="257">
        <x:f t="shared" si="8"/>
        <x:v>0</x:v>
      </x:c>
    </x:row>
    <x:row r="250">
      <x:c r="A250" s="148" t="s">
        <x:v>106</x:v>
      </x:c>
      <x:c r="B250">
        <x:v>7</x:v>
      </x:c>
      <x:c r="C250" s="148" t="s">
        <x:v>116</x:v>
      </x:c>
      <x:c r="D250">
        <x:v>713</x:v>
      </x:c>
      <x:c r="E250" s="324">
        <x:v>0</x:v>
      </x:c>
      <x:c r="F250" s="324">
        <x:v>0</x:v>
      </x:c>
      <x:c r="G250" s="324">
        <x:v>0</x:v>
      </x:c>
      <x:c r="H250" s="324">
        <x:v>0</x:v>
      </x:c>
      <x:c r="I250" s="324">
        <x:v>0</x:v>
      </x:c>
      <x:c r="J250" s="324">
        <x:v>0</x:v>
      </x:c>
      <x:c r="K250" s="324">
        <x:v>0</x:v>
      </x:c>
      <x:c r="L250" s="324">
        <x:v>0</x:v>
      </x:c>
      <x:c r="M250" s="324">
        <x:v>0</x:v>
      </x:c>
      <x:c r="N250" s="324">
        <x:v>0</x:v>
      </x:c>
      <x:c r="O250" s="324">
        <x:v>0</x:v>
      </x:c>
      <x:c r="P250" s="324">
        <x:v>0</x:v>
      </x:c>
      <x:c r="Q250" s="324">
        <x:v>0</x:v>
      </x:c>
      <x:c r="R250" s="324">
        <x:v>0</x:v>
      </x:c>
      <x:c r="S250" s="324">
        <x:v>0</x:v>
      </x:c>
      <x:c r="T250" s="257">
        <x:f t="shared" si="8"/>
        <x:v>0</x:v>
      </x:c>
    </x:row>
    <x:row r="251">
      <x:c r="A251" s="148" t="s">
        <x:v>106</x:v>
      </x:c>
      <x:c r="B251">
        <x:v>7</x:v>
      </x:c>
      <x:c r="C251" s="148" t="s">
        <x:v>116</x:v>
      </x:c>
      <x:c r="D251">
        <x:v>714</x:v>
      </x:c>
      <x:c r="E251" s="324">
        <x:v>0</x:v>
      </x:c>
      <x:c r="F251" s="324">
        <x:v>0</x:v>
      </x:c>
      <x:c r="G251" s="324">
        <x:v>0</x:v>
      </x:c>
      <x:c r="H251" s="324">
        <x:v>0</x:v>
      </x:c>
      <x:c r="I251" s="324">
        <x:v>0</x:v>
      </x:c>
      <x:c r="J251" s="324">
        <x:v>0</x:v>
      </x:c>
      <x:c r="K251" s="324">
        <x:v>0</x:v>
      </x:c>
      <x:c r="L251" s="324">
        <x:v>0</x:v>
      </x:c>
      <x:c r="M251" s="324">
        <x:v>0</x:v>
      </x:c>
      <x:c r="N251" s="324">
        <x:v>0</x:v>
      </x:c>
      <x:c r="O251" s="324">
        <x:v>0</x:v>
      </x:c>
      <x:c r="P251" s="324">
        <x:v>0</x:v>
      </x:c>
      <x:c r="Q251" s="324">
        <x:v>0</x:v>
      </x:c>
      <x:c r="R251" s="324">
        <x:v>0</x:v>
      </x:c>
      <x:c r="S251" s="324">
        <x:v>0</x:v>
      </x:c>
      <x:c r="T251" s="257">
        <x:f t="shared" si="8"/>
        <x:v>0</x:v>
      </x:c>
    </x:row>
    <x:row r="252">
      <x:c r="A252" s="148" t="s">
        <x:v>106</x:v>
      </x:c>
      <x:c r="B252">
        <x:v>7</x:v>
      </x:c>
      <x:c r="C252" s="148" t="s">
        <x:v>116</x:v>
      </x:c>
      <x:c r="D252">
        <x:v>715</x:v>
      </x:c>
      <x:c r="E252" s="324">
        <x:v>0</x:v>
      </x:c>
      <x:c r="F252" s="324">
        <x:v>0</x:v>
      </x:c>
      <x:c r="G252" s="324">
        <x:v>0</x:v>
      </x:c>
      <x:c r="H252" s="324">
        <x:v>0</x:v>
      </x:c>
      <x:c r="I252" s="324">
        <x:v>0</x:v>
      </x:c>
      <x:c r="J252" s="324">
        <x:v>0</x:v>
      </x:c>
      <x:c r="K252" s="324">
        <x:v>0</x:v>
      </x:c>
      <x:c r="L252" s="324">
        <x:v>0</x:v>
      </x:c>
      <x:c r="M252" s="324">
        <x:v>0</x:v>
      </x:c>
      <x:c r="N252" s="324">
        <x:v>0</x:v>
      </x:c>
      <x:c r="O252" s="324">
        <x:v>0</x:v>
      </x:c>
      <x:c r="P252" s="324">
        <x:v>0</x:v>
      </x:c>
      <x:c r="Q252" s="324">
        <x:v>0</x:v>
      </x:c>
      <x:c r="R252" s="324">
        <x:v>0</x:v>
      </x:c>
      <x:c r="S252" s="324">
        <x:v>0</x:v>
      </x:c>
      <x:c r="T252" s="257">
        <x:f t="shared" si="8"/>
        <x:v>0</x:v>
      </x:c>
    </x:row>
    <x:row r="253">
      <x:c r="A253" s="148" t="s">
        <x:v>106</x:v>
      </x:c>
      <x:c r="B253">
        <x:v>7</x:v>
      </x:c>
      <x:c r="C253" s="148" t="s">
        <x:v>116</x:v>
      </x:c>
      <x:c r="D253">
        <x:v>716</x:v>
      </x:c>
      <x:c r="E253" s="324">
        <x:v>0</x:v>
      </x:c>
      <x:c r="F253" s="324">
        <x:v>0</x:v>
      </x:c>
      <x:c r="G253" s="324">
        <x:v>0</x:v>
      </x:c>
      <x:c r="H253" s="324">
        <x:v>0</x:v>
      </x:c>
      <x:c r="I253" s="324">
        <x:v>0</x:v>
      </x:c>
      <x:c r="J253" s="324">
        <x:v>0</x:v>
      </x:c>
      <x:c r="K253" s="324">
        <x:v>0</x:v>
      </x:c>
      <x:c r="L253" s="324">
        <x:v>0</x:v>
      </x:c>
      <x:c r="M253" s="324">
        <x:v>0</x:v>
      </x:c>
      <x:c r="N253" s="324">
        <x:v>0</x:v>
      </x:c>
      <x:c r="O253" s="324">
        <x:v>0</x:v>
      </x:c>
      <x:c r="P253" s="324">
        <x:v>0</x:v>
      </x:c>
      <x:c r="Q253" s="324">
        <x:v>0</x:v>
      </x:c>
      <x:c r="R253" s="324">
        <x:v>0</x:v>
      </x:c>
      <x:c r="S253" s="324">
        <x:v>0</x:v>
      </x:c>
      <x:c r="T253" s="257">
        <x:f t="shared" si="8"/>
        <x:v>0</x:v>
      </x:c>
    </x:row>
    <x:row r="254">
      <x:c r="A254" s="148" t="s">
        <x:v>106</x:v>
      </x:c>
      <x:c r="B254">
        <x:v>7</x:v>
      </x:c>
      <x:c r="C254" s="148" t="s">
        <x:v>116</x:v>
      </x:c>
      <x:c r="D254">
        <x:v>717</x:v>
      </x:c>
      <x:c r="E254" s="324">
        <x:v>0</x:v>
      </x:c>
      <x:c r="F254" s="324">
        <x:v>0</x:v>
      </x:c>
      <x:c r="G254" s="324">
        <x:v>0</x:v>
      </x:c>
      <x:c r="H254" s="324">
        <x:v>0</x:v>
      </x:c>
      <x:c r="I254" s="324">
        <x:v>0</x:v>
      </x:c>
      <x:c r="J254" s="324">
        <x:v>0</x:v>
      </x:c>
      <x:c r="K254" s="324">
        <x:v>0</x:v>
      </x:c>
      <x:c r="L254" s="324">
        <x:v>0</x:v>
      </x:c>
      <x:c r="M254" s="324">
        <x:v>0</x:v>
      </x:c>
      <x:c r="N254" s="324">
        <x:v>0</x:v>
      </x:c>
      <x:c r="O254" s="324">
        <x:v>0</x:v>
      </x:c>
      <x:c r="P254" s="324">
        <x:v>0</x:v>
      </x:c>
      <x:c r="Q254" s="324">
        <x:v>0</x:v>
      </x:c>
      <x:c r="R254" s="324">
        <x:v>0</x:v>
      </x:c>
      <x:c r="S254" s="324">
        <x:v>0</x:v>
      </x:c>
      <x:c r="T254" s="257">
        <x:f t="shared" si="8"/>
        <x:v>0</x:v>
      </x:c>
    </x:row>
    <x:row r="255">
      <x:c r="A255" s="148" t="s">
        <x:v>106</x:v>
      </x:c>
      <x:c r="B255">
        <x:v>7</x:v>
      </x:c>
      <x:c r="C255" s="148" t="s">
        <x:v>116</x:v>
      </x:c>
      <x:c r="D255">
        <x:v>718</x:v>
      </x:c>
      <x:c r="E255" s="324">
        <x:v>0</x:v>
      </x:c>
      <x:c r="F255" s="324">
        <x:v>0</x:v>
      </x:c>
      <x:c r="G255" s="324">
        <x:v>0</x:v>
      </x:c>
      <x:c r="H255" s="324">
        <x:v>0</x:v>
      </x:c>
      <x:c r="I255" s="324">
        <x:v>0</x:v>
      </x:c>
      <x:c r="J255" s="324">
        <x:v>0</x:v>
      </x:c>
      <x:c r="K255" s="324">
        <x:v>0</x:v>
      </x:c>
      <x:c r="L255" s="324">
        <x:v>0</x:v>
      </x:c>
      <x:c r="M255" s="324">
        <x:v>0</x:v>
      </x:c>
      <x:c r="N255" s="324">
        <x:v>0</x:v>
      </x:c>
      <x:c r="O255" s="324">
        <x:v>0</x:v>
      </x:c>
      <x:c r="P255" s="324">
        <x:v>0</x:v>
      </x:c>
      <x:c r="Q255" s="324">
        <x:v>0</x:v>
      </x:c>
      <x:c r="R255" s="324">
        <x:v>0</x:v>
      </x:c>
      <x:c r="S255" s="324">
        <x:v>0</x:v>
      </x:c>
      <x:c r="T255" s="257">
        <x:f t="shared" si="8"/>
        <x:v>0</x:v>
      </x:c>
    </x:row>
    <x:row r="256">
      <x:c r="A256" s="148" t="s">
        <x:v>106</x:v>
      </x:c>
      <x:c r="B256">
        <x:v>7</x:v>
      </x:c>
      <x:c r="C256" s="148" t="s">
        <x:v>116</x:v>
      </x:c>
      <x:c r="D256">
        <x:v>719</x:v>
      </x:c>
      <x:c r="E256" s="324">
        <x:v>0</x:v>
      </x:c>
      <x:c r="F256" s="324">
        <x:v>0</x:v>
      </x:c>
      <x:c r="G256" s="324">
        <x:v>0</x:v>
      </x:c>
      <x:c r="H256" s="324">
        <x:v>0</x:v>
      </x:c>
      <x:c r="I256" s="324">
        <x:v>0</x:v>
      </x:c>
      <x:c r="J256" s="324">
        <x:v>0</x:v>
      </x:c>
      <x:c r="K256" s="324">
        <x:v>0</x:v>
      </x:c>
      <x:c r="L256" s="324">
        <x:v>0</x:v>
      </x:c>
      <x:c r="M256" s="324">
        <x:v>0</x:v>
      </x:c>
      <x:c r="N256" s="324">
        <x:v>0</x:v>
      </x:c>
      <x:c r="O256" s="324">
        <x:v>0</x:v>
      </x:c>
      <x:c r="P256" s="324">
        <x:v>0</x:v>
      </x:c>
      <x:c r="Q256" s="324">
        <x:v>0</x:v>
      </x:c>
      <x:c r="R256" s="324">
        <x:v>0</x:v>
      </x:c>
      <x:c r="S256" s="324">
        <x:v>0</x:v>
      </x:c>
      <x:c r="T256" s="257">
        <x:f t="shared" si="8"/>
        <x:v>0</x:v>
      </x:c>
    </x:row>
    <x:row r="257">
      <x:c r="A257" s="148" t="s">
        <x:v>106</x:v>
      </x:c>
      <x:c r="B257">
        <x:v>7</x:v>
      </x:c>
      <x:c r="C257" s="148" t="s">
        <x:v>116</x:v>
      </x:c>
      <x:c r="D257">
        <x:v>720</x:v>
      </x:c>
      <x:c r="E257" s="324">
        <x:v>0</x:v>
      </x:c>
      <x:c r="F257" s="324">
        <x:v>0</x:v>
      </x:c>
      <x:c r="G257" s="324">
        <x:v>0</x:v>
      </x:c>
      <x:c r="H257" s="324">
        <x:v>0</x:v>
      </x:c>
      <x:c r="I257" s="324">
        <x:v>0</x:v>
      </x:c>
      <x:c r="J257" s="324">
        <x:v>0</x:v>
      </x:c>
      <x:c r="K257" s="324">
        <x:v>0</x:v>
      </x:c>
      <x:c r="L257" s="324">
        <x:v>0</x:v>
      </x:c>
      <x:c r="M257" s="324">
        <x:v>0</x:v>
      </x:c>
      <x:c r="N257" s="324">
        <x:v>0</x:v>
      </x:c>
      <x:c r="O257" s="324">
        <x:v>0</x:v>
      </x:c>
      <x:c r="P257" s="324">
        <x:v>0</x:v>
      </x:c>
      <x:c r="Q257" s="324">
        <x:v>0</x:v>
      </x:c>
      <x:c r="R257" s="324">
        <x:v>0</x:v>
      </x:c>
      <x:c r="S257" s="324">
        <x:v>0</x:v>
      </x:c>
      <x:c r="T257" s="257">
        <x:f t="shared" si="8"/>
        <x:v>0</x:v>
      </x:c>
    </x:row>
    <x:row r="258">
      <x:c r="A258" s="148" t="s">
        <x:v>106</x:v>
      </x:c>
      <x:c r="B258">
        <x:v>7</x:v>
      </x:c>
      <x:c r="C258" s="148" t="s">
        <x:v>116</x:v>
      </x:c>
      <x:c r="D258">
        <x:v>721</x:v>
      </x:c>
      <x:c r="E258" s="324">
        <x:v>0</x:v>
      </x:c>
      <x:c r="F258" s="324">
        <x:v>0</x:v>
      </x:c>
      <x:c r="G258" s="324">
        <x:v>0</x:v>
      </x:c>
      <x:c r="H258" s="324">
        <x:v>0</x:v>
      </x:c>
      <x:c r="I258" s="324">
        <x:v>0</x:v>
      </x:c>
      <x:c r="J258" s="324">
        <x:v>0</x:v>
      </x:c>
      <x:c r="K258" s="324">
        <x:v>0</x:v>
      </x:c>
      <x:c r="L258" s="324">
        <x:v>0</x:v>
      </x:c>
      <x:c r="M258" s="324">
        <x:v>0</x:v>
      </x:c>
      <x:c r="N258" s="324">
        <x:v>0</x:v>
      </x:c>
      <x:c r="O258" s="324">
        <x:v>0</x:v>
      </x:c>
      <x:c r="P258" s="324">
        <x:v>0</x:v>
      </x:c>
      <x:c r="Q258" s="324">
        <x:v>0</x:v>
      </x:c>
      <x:c r="R258" s="324">
        <x:v>0</x:v>
      </x:c>
      <x:c r="S258" s="324">
        <x:v>0</x:v>
      </x:c>
      <x:c r="T258" s="257">
        <x:f t="shared" si="8"/>
        <x:v>0</x:v>
      </x:c>
    </x:row>
    <x:row r="259">
      <x:c r="A259" s="148" t="s">
        <x:v>106</x:v>
      </x:c>
      <x:c r="B259">
        <x:v>7</x:v>
      </x:c>
      <x:c r="C259" s="148" t="s">
        <x:v>116</x:v>
      </x:c>
      <x:c r="D259">
        <x:v>722</x:v>
      </x:c>
      <x:c r="E259" s="324">
        <x:v>0</x:v>
      </x:c>
      <x:c r="F259" s="324">
        <x:v>0</x:v>
      </x:c>
      <x:c r="G259" s="324">
        <x:v>0</x:v>
      </x:c>
      <x:c r="H259" s="324">
        <x:v>0</x:v>
      </x:c>
      <x:c r="I259" s="324">
        <x:v>0</x:v>
      </x:c>
      <x:c r="J259" s="324">
        <x:v>0</x:v>
      </x:c>
      <x:c r="K259" s="324">
        <x:v>0</x:v>
      </x:c>
      <x:c r="L259" s="324">
        <x:v>0</x:v>
      </x:c>
      <x:c r="M259" s="324">
        <x:v>0</x:v>
      </x:c>
      <x:c r="N259" s="324">
        <x:v>0</x:v>
      </x:c>
      <x:c r="O259" s="324">
        <x:v>0</x:v>
      </x:c>
      <x:c r="P259" s="324">
        <x:v>0</x:v>
      </x:c>
      <x:c r="Q259" s="324">
        <x:v>0</x:v>
      </x:c>
      <x:c r="R259" s="324">
        <x:v>0</x:v>
      </x:c>
      <x:c r="S259" s="324">
        <x:v>0</x:v>
      </x:c>
      <x:c r="T259" s="257" t="n">
        <x:f t="shared" ref="T259:T322" si="10">AVERAGE(E259:S259)</x:f>
        <x:v>0</x:v>
      </x:c>
    </x:row>
    <x:row r="260">
      <x:c r="A260" s="148" t="s">
        <x:v>106</x:v>
      </x:c>
      <x:c r="B260">
        <x:v>7</x:v>
      </x:c>
      <x:c r="C260" s="148" t="s">
        <x:v>116</x:v>
      </x:c>
      <x:c r="D260">
        <x:v>723</x:v>
      </x:c>
      <x:c r="E260" s="324">
        <x:v>0</x:v>
      </x:c>
      <x:c r="F260" s="324">
        <x:v>0</x:v>
      </x:c>
      <x:c r="G260" s="324">
        <x:v>0</x:v>
      </x:c>
      <x:c r="H260" s="324">
        <x:v>0</x:v>
      </x:c>
      <x:c r="I260" s="324">
        <x:v>0</x:v>
      </x:c>
      <x:c r="J260" s="324">
        <x:v>0</x:v>
      </x:c>
      <x:c r="K260" s="324">
        <x:v>0</x:v>
      </x:c>
      <x:c r="L260" s="324">
        <x:v>0</x:v>
      </x:c>
      <x:c r="M260" s="324">
        <x:v>0</x:v>
      </x:c>
      <x:c r="N260" s="324">
        <x:v>0</x:v>
      </x:c>
      <x:c r="O260" s="324">
        <x:v>0</x:v>
      </x:c>
      <x:c r="P260" s="324">
        <x:v>0</x:v>
      </x:c>
      <x:c r="Q260" s="324">
        <x:v>0</x:v>
      </x:c>
      <x:c r="R260" s="324">
        <x:v>0</x:v>
      </x:c>
      <x:c r="S260" s="324">
        <x:v>0</x:v>
      </x:c>
      <x:c r="T260" s="257">
        <x:f t="shared" si="10"/>
        <x:v>0</x:v>
      </x:c>
    </x:row>
    <x:row r="261">
      <x:c r="A261" s="148" t="s">
        <x:v>106</x:v>
      </x:c>
      <x:c r="B261">
        <x:v>7</x:v>
      </x:c>
      <x:c r="C261" s="148" t="s">
        <x:v>115</x:v>
      </x:c>
      <x:c r="D261">
        <x:v>701</x:v>
      </x:c>
      <x:c r="E261" s="324">
        <x:v>0</x:v>
      </x:c>
      <x:c r="F261" s="324">
        <x:v>0</x:v>
      </x:c>
      <x:c r="G261" s="324">
        <x:v>0</x:v>
      </x:c>
      <x:c r="H261" s="324">
        <x:v>0</x:v>
      </x:c>
      <x:c r="I261" s="324">
        <x:v>0</x:v>
      </x:c>
      <x:c r="J261" s="324">
        <x:v>0</x:v>
      </x:c>
      <x:c r="K261" s="324">
        <x:v>0</x:v>
      </x:c>
      <x:c r="L261" s="324">
        <x:v>0</x:v>
      </x:c>
      <x:c r="M261" s="324">
        <x:v>0</x:v>
      </x:c>
      <x:c r="N261" s="324">
        <x:v>0</x:v>
      </x:c>
      <x:c r="O261" s="324">
        <x:v>0</x:v>
      </x:c>
      <x:c r="P261" s="324">
        <x:v>0</x:v>
      </x:c>
      <x:c r="Q261" s="324">
        <x:v>0</x:v>
      </x:c>
      <x:c r="R261" s="324">
        <x:v>0</x:v>
      </x:c>
      <x:c r="S261" s="324">
        <x:v>0</x:v>
      </x:c>
      <x:c r="T261" s="257">
        <x:f t="shared" si="10"/>
        <x:v>0</x:v>
      </x:c>
    </x:row>
    <x:row r="262">
      <x:c r="A262" s="148" t="s">
        <x:v>106</x:v>
      </x:c>
      <x:c r="B262">
        <x:v>7</x:v>
      </x:c>
      <x:c r="C262" s="148" t="s">
        <x:v>115</x:v>
      </x:c>
      <x:c r="D262">
        <x:v>701</x:v>
      </x:c>
      <x:c r="E262" s="324">
        <x:v>0</x:v>
      </x:c>
      <x:c r="F262" s="324">
        <x:v>0</x:v>
      </x:c>
      <x:c r="G262" s="324">
        <x:v>0</x:v>
      </x:c>
      <x:c r="H262" s="324">
        <x:v>0</x:v>
      </x:c>
      <x:c r="I262" s="324">
        <x:v>0</x:v>
      </x:c>
      <x:c r="J262" s="324">
        <x:v>0</x:v>
      </x:c>
      <x:c r="K262" s="324">
        <x:v>0</x:v>
      </x:c>
      <x:c r="L262" s="324">
        <x:v>0</x:v>
      </x:c>
      <x:c r="M262" s="324">
        <x:v>0</x:v>
      </x:c>
      <x:c r="N262" s="324">
        <x:v>0</x:v>
      </x:c>
      <x:c r="O262" s="324">
        <x:v>0</x:v>
      </x:c>
      <x:c r="P262" s="324">
        <x:v>0</x:v>
      </x:c>
      <x:c r="Q262" s="324">
        <x:v>0</x:v>
      </x:c>
      <x:c r="R262" s="324">
        <x:v>0</x:v>
      </x:c>
      <x:c r="S262" s="324">
        <x:v>0</x:v>
      </x:c>
      <x:c r="T262" s="257">
        <x:f t="shared" si="10"/>
        <x:v>0</x:v>
      </x:c>
    </x:row>
    <x:row r="263">
      <x:c r="A263" s="148" t="s">
        <x:v>106</x:v>
      </x:c>
      <x:c r="B263">
        <x:v>7</x:v>
      </x:c>
      <x:c r="C263" s="148" t="s">
        <x:v>115</x:v>
      </x:c>
      <x:c r="D263">
        <x:v>701</x:v>
      </x:c>
      <x:c r="E263" s="324">
        <x:v>0</x:v>
      </x:c>
      <x:c r="F263" s="324">
        <x:v>0</x:v>
      </x:c>
      <x:c r="G263" s="324">
        <x:v>0</x:v>
      </x:c>
      <x:c r="H263" s="324">
        <x:v>0</x:v>
      </x:c>
      <x:c r="I263" s="324">
        <x:v>0</x:v>
      </x:c>
      <x:c r="J263" s="324">
        <x:v>0</x:v>
      </x:c>
      <x:c r="K263" s="324">
        <x:v>0</x:v>
      </x:c>
      <x:c r="L263" s="324">
        <x:v>0</x:v>
      </x:c>
      <x:c r="M263" s="324">
        <x:v>0</x:v>
      </x:c>
      <x:c r="N263" s="324">
        <x:v>0</x:v>
      </x:c>
      <x:c r="O263" s="324">
        <x:v>0</x:v>
      </x:c>
      <x:c r="P263" s="324">
        <x:v>0</x:v>
      </x:c>
      <x:c r="Q263" s="324">
        <x:v>0</x:v>
      </x:c>
      <x:c r="R263" s="324">
        <x:v>0</x:v>
      </x:c>
      <x:c r="S263" s="324">
        <x:v>0</x:v>
      </x:c>
      <x:c r="T263" s="257">
        <x:f t="shared" si="10"/>
        <x:v>0</x:v>
      </x:c>
    </x:row>
    <x:row r="264">
      <x:c r="A264" s="148" t="s">
        <x:v>106</x:v>
      </x:c>
      <x:c r="B264">
        <x:v>7</x:v>
      </x:c>
      <x:c r="C264" s="148" t="s">
        <x:v>115</x:v>
      </x:c>
      <x:c r="D264">
        <x:v>701</x:v>
      </x:c>
      <x:c r="E264" s="324">
        <x:v>0</x:v>
      </x:c>
      <x:c r="F264" s="324">
        <x:v>0</x:v>
      </x:c>
      <x:c r="G264" s="324">
        <x:v>0</x:v>
      </x:c>
      <x:c r="H264" s="324">
        <x:v>0</x:v>
      </x:c>
      <x:c r="I264" s="324">
        <x:v>0</x:v>
      </x:c>
      <x:c r="J264" s="324">
        <x:v>0</x:v>
      </x:c>
      <x:c r="K264" s="324">
        <x:v>0</x:v>
      </x:c>
      <x:c r="L264" s="324">
        <x:v>0</x:v>
      </x:c>
      <x:c r="M264" s="324">
        <x:v>0</x:v>
      </x:c>
      <x:c r="N264" s="324">
        <x:v>0</x:v>
      </x:c>
      <x:c r="O264" s="324">
        <x:v>0</x:v>
      </x:c>
      <x:c r="P264" s="324">
        <x:v>0</x:v>
      </x:c>
      <x:c r="Q264" s="324">
        <x:v>0</x:v>
      </x:c>
      <x:c r="R264" s="324">
        <x:v>0</x:v>
      </x:c>
      <x:c r="S264" s="324">
        <x:v>0</x:v>
      </x:c>
      <x:c r="T264" s="257">
        <x:f t="shared" si="10"/>
        <x:v>0</x:v>
      </x:c>
    </x:row>
    <x:row r="265">
      <x:c r="A265" s="148" t="s">
        <x:v>106</x:v>
      </x:c>
      <x:c r="B265">
        <x:v>7</x:v>
      </x:c>
      <x:c r="C265" s="148" t="s">
        <x:v>115</x:v>
      </x:c>
      <x:c r="D265">
        <x:v>701</x:v>
      </x:c>
      <x:c r="E265" s="324">
        <x:v>0</x:v>
      </x:c>
      <x:c r="F265" s="324">
        <x:v>0</x:v>
      </x:c>
      <x:c r="G265" s="324">
        <x:v>0</x:v>
      </x:c>
      <x:c r="H265" s="324">
        <x:v>0</x:v>
      </x:c>
      <x:c r="I265" s="324">
        <x:v>0</x:v>
      </x:c>
      <x:c r="J265" s="324">
        <x:v>0</x:v>
      </x:c>
      <x:c r="K265" s="324">
        <x:v>0</x:v>
      </x:c>
      <x:c r="L265" s="324">
        <x:v>0</x:v>
      </x:c>
      <x:c r="M265" s="324">
        <x:v>0</x:v>
      </x:c>
      <x:c r="N265" s="324">
        <x:v>0</x:v>
      </x:c>
      <x:c r="O265" s="324">
        <x:v>0</x:v>
      </x:c>
      <x:c r="P265" s="324">
        <x:v>0</x:v>
      </x:c>
      <x:c r="Q265" s="324">
        <x:v>0</x:v>
      </x:c>
      <x:c r="R265" s="324">
        <x:v>0</x:v>
      </x:c>
      <x:c r="S265" s="324">
        <x:v>0</x:v>
      </x:c>
      <x:c r="T265" s="257">
        <x:f t="shared" si="10"/>
        <x:v>0</x:v>
      </x:c>
    </x:row>
    <x:row r="266">
      <x:c r="A266" s="148" t="s">
        <x:v>106</x:v>
      </x:c>
      <x:c r="B266">
        <x:v>7</x:v>
      </x:c>
      <x:c r="C266" s="148" t="s">
        <x:v>115</x:v>
      </x:c>
      <x:c r="D266">
        <x:v>701</x:v>
      </x:c>
      <x:c r="E266" s="324">
        <x:v>0</x:v>
      </x:c>
      <x:c r="F266" s="324">
        <x:v>0</x:v>
      </x:c>
      <x:c r="G266" s="324">
        <x:v>0</x:v>
      </x:c>
      <x:c r="H266" s="324">
        <x:v>0</x:v>
      </x:c>
      <x:c r="I266" s="324">
        <x:v>0</x:v>
      </x:c>
      <x:c r="J266" s="324">
        <x:v>0</x:v>
      </x:c>
      <x:c r="K266" s="324">
        <x:v>0</x:v>
      </x:c>
      <x:c r="L266" s="324">
        <x:v>0</x:v>
      </x:c>
      <x:c r="M266" s="324">
        <x:v>0</x:v>
      </x:c>
      <x:c r="N266" s="324">
        <x:v>0</x:v>
      </x:c>
      <x:c r="O266" s="324">
        <x:v>0</x:v>
      </x:c>
      <x:c r="P266" s="324">
        <x:v>0</x:v>
      </x:c>
      <x:c r="Q266" s="324">
        <x:v>0</x:v>
      </x:c>
      <x:c r="R266" s="324">
        <x:v>0</x:v>
      </x:c>
      <x:c r="S266" s="324">
        <x:v>0</x:v>
      </x:c>
      <x:c r="T266" s="257">
        <x:f t="shared" si="10"/>
        <x:v>0</x:v>
      </x:c>
    </x:row>
    <x:row r="267">
      <x:c r="A267" s="148" t="s">
        <x:v>106</x:v>
      </x:c>
      <x:c r="B267">
        <x:v>7</x:v>
      </x:c>
      <x:c r="C267" s="148" t="s">
        <x:v>115</x:v>
      </x:c>
      <x:c r="D267">
        <x:v>701</x:v>
      </x:c>
      <x:c r="E267" s="324">
        <x:v>0</x:v>
      </x:c>
      <x:c r="F267" s="324">
        <x:v>0</x:v>
      </x:c>
      <x:c r="G267" s="324">
        <x:v>0</x:v>
      </x:c>
      <x:c r="H267" s="324">
        <x:v>0</x:v>
      </x:c>
      <x:c r="I267" s="324">
        <x:v>0</x:v>
      </x:c>
      <x:c r="J267" s="324">
        <x:v>0</x:v>
      </x:c>
      <x:c r="K267" s="324">
        <x:v>0</x:v>
      </x:c>
      <x:c r="L267" s="324">
        <x:v>0</x:v>
      </x:c>
      <x:c r="M267" s="324">
        <x:v>0</x:v>
      </x:c>
      <x:c r="N267" s="324">
        <x:v>0</x:v>
      </x:c>
      <x:c r="O267" s="324">
        <x:v>0</x:v>
      </x:c>
      <x:c r="P267" s="324">
        <x:v>0</x:v>
      </x:c>
      <x:c r="Q267" s="324">
        <x:v>0</x:v>
      </x:c>
      <x:c r="R267" s="324">
        <x:v>0</x:v>
      </x:c>
      <x:c r="S267" s="324">
        <x:v>0</x:v>
      </x:c>
      <x:c r="T267" s="257">
        <x:f t="shared" si="10"/>
        <x:v>0</x:v>
      </x:c>
    </x:row>
    <x:row r="268">
      <x:c r="A268" s="148" t="s">
        <x:v>106</x:v>
      </x:c>
      <x:c r="B268">
        <x:v>7</x:v>
      </x:c>
      <x:c r="C268" s="148" t="s">
        <x:v>115</x:v>
      </x:c>
      <x:c r="D268">
        <x:v>701</x:v>
      </x:c>
      <x:c r="E268" s="324">
        <x:v>0</x:v>
      </x:c>
      <x:c r="F268" s="324">
        <x:v>0</x:v>
      </x:c>
      <x:c r="G268" s="324">
        <x:v>0</x:v>
      </x:c>
      <x:c r="H268" s="324">
        <x:v>0</x:v>
      </x:c>
      <x:c r="I268" s="324">
        <x:v>0</x:v>
      </x:c>
      <x:c r="J268" s="324">
        <x:v>0</x:v>
      </x:c>
      <x:c r="K268" s="324">
        <x:v>0</x:v>
      </x:c>
      <x:c r="L268" s="324">
        <x:v>0</x:v>
      </x:c>
      <x:c r="M268" s="324">
        <x:v>0</x:v>
      </x:c>
      <x:c r="N268" s="324">
        <x:v>0</x:v>
      </x:c>
      <x:c r="O268" s="324">
        <x:v>0</x:v>
      </x:c>
      <x:c r="P268" s="324">
        <x:v>0</x:v>
      </x:c>
      <x:c r="Q268" s="324">
        <x:v>0</x:v>
      </x:c>
      <x:c r="R268" s="324">
        <x:v>0</x:v>
      </x:c>
      <x:c r="S268" s="324">
        <x:v>0</x:v>
      </x:c>
      <x:c r="T268" s="257">
        <x:f t="shared" si="10"/>
        <x:v>0</x:v>
      </x:c>
    </x:row>
    <x:row r="269">
      <x:c r="A269" s="148" t="s">
        <x:v>106</x:v>
      </x:c>
      <x:c r="B269">
        <x:v>7</x:v>
      </x:c>
      <x:c r="C269" s="148" t="s">
        <x:v>115</x:v>
      </x:c>
      <x:c r="D269">
        <x:v>701</x:v>
      </x:c>
      <x:c r="E269" s="324">
        <x:v>0</x:v>
      </x:c>
      <x:c r="F269" s="324">
        <x:v>0</x:v>
      </x:c>
      <x:c r="G269" s="324">
        <x:v>0</x:v>
      </x:c>
      <x:c r="H269" s="324">
        <x:v>0</x:v>
      </x:c>
      <x:c r="I269" s="324">
        <x:v>0</x:v>
      </x:c>
      <x:c r="J269" s="324">
        <x:v>0</x:v>
      </x:c>
      <x:c r="K269" s="324">
        <x:v>0</x:v>
      </x:c>
      <x:c r="L269" s="324">
        <x:v>0</x:v>
      </x:c>
      <x:c r="M269" s="324">
        <x:v>0</x:v>
      </x:c>
      <x:c r="N269" s="324">
        <x:v>0</x:v>
      </x:c>
      <x:c r="O269" s="324">
        <x:v>0</x:v>
      </x:c>
      <x:c r="P269" s="324">
        <x:v>0</x:v>
      </x:c>
      <x:c r="Q269" s="324">
        <x:v>0</x:v>
      </x:c>
      <x:c r="R269" s="324">
        <x:v>0</x:v>
      </x:c>
      <x:c r="S269" s="324">
        <x:v>0</x:v>
      </x:c>
      <x:c r="T269" s="257">
        <x:f t="shared" si="10"/>
        <x:v>0</x:v>
      </x:c>
    </x:row>
    <x:row r="270">
      <x:c r="A270" s="148" t="s">
        <x:v>106</x:v>
      </x:c>
      <x:c r="B270">
        <x:v>7</x:v>
      </x:c>
      <x:c r="C270" s="148" t="s">
        <x:v>115</x:v>
      </x:c>
      <x:c r="D270">
        <x:v>701</x:v>
      </x:c>
      <x:c r="E270" s="324">
        <x:v>0</x:v>
      </x:c>
      <x:c r="F270" s="324">
        <x:v>0</x:v>
      </x:c>
      <x:c r="G270" s="324">
        <x:v>0</x:v>
      </x:c>
      <x:c r="H270" s="324">
        <x:v>0</x:v>
      </x:c>
      <x:c r="I270" s="324">
        <x:v>0</x:v>
      </x:c>
      <x:c r="J270" s="324">
        <x:v>0</x:v>
      </x:c>
      <x:c r="K270" s="324">
        <x:v>0</x:v>
      </x:c>
      <x:c r="L270" s="324">
        <x:v>0</x:v>
      </x:c>
      <x:c r="M270" s="324">
        <x:v>0</x:v>
      </x:c>
      <x:c r="N270" s="324">
        <x:v>0</x:v>
      </x:c>
      <x:c r="O270" s="324">
        <x:v>0</x:v>
      </x:c>
      <x:c r="P270" s="324">
        <x:v>0</x:v>
      </x:c>
      <x:c r="Q270" s="324">
        <x:v>0</x:v>
      </x:c>
      <x:c r="R270" s="324">
        <x:v>0</x:v>
      </x:c>
      <x:c r="S270" s="324">
        <x:v>0</x:v>
      </x:c>
      <x:c r="T270" s="257">
        <x:f t="shared" si="10"/>
        <x:v>0</x:v>
      </x:c>
    </x:row>
    <x:row r="271">
      <x:c r="A271" s="148" t="s">
        <x:v>106</x:v>
      </x:c>
      <x:c r="B271">
        <x:v>7</x:v>
      </x:c>
      <x:c r="C271" s="148" t="s">
        <x:v>115</x:v>
      </x:c>
      <x:c r="D271">
        <x:v>701</x:v>
      </x:c>
      <x:c r="E271" s="324">
        <x:v>0</x:v>
      </x:c>
      <x:c r="F271" s="324">
        <x:v>0</x:v>
      </x:c>
      <x:c r="G271" s="324">
        <x:v>0</x:v>
      </x:c>
      <x:c r="H271" s="324">
        <x:v>0</x:v>
      </x:c>
      <x:c r="I271" s="324">
        <x:v>0</x:v>
      </x:c>
      <x:c r="J271" s="324">
        <x:v>0</x:v>
      </x:c>
      <x:c r="K271" s="324">
        <x:v>0</x:v>
      </x:c>
      <x:c r="L271" s="324">
        <x:v>0</x:v>
      </x:c>
      <x:c r="M271" s="324">
        <x:v>0</x:v>
      </x:c>
      <x:c r="N271" s="324">
        <x:v>0</x:v>
      </x:c>
      <x:c r="O271" s="324">
        <x:v>0</x:v>
      </x:c>
      <x:c r="P271" s="324">
        <x:v>0</x:v>
      </x:c>
      <x:c r="Q271" s="324">
        <x:v>0</x:v>
      </x:c>
      <x:c r="R271" s="324">
        <x:v>0</x:v>
      </x:c>
      <x:c r="S271" s="324">
        <x:v>0</x:v>
      </x:c>
      <x:c r="T271" s="257">
        <x:f t="shared" si="10"/>
        <x:v>0</x:v>
      </x:c>
    </x:row>
    <x:row r="272">
      <x:c r="A272" s="148" t="s">
        <x:v>106</x:v>
      </x:c>
      <x:c r="B272">
        <x:v>7</x:v>
      </x:c>
      <x:c r="C272" s="148" t="s">
        <x:v>115</x:v>
      </x:c>
      <x:c r="D272">
        <x:v>701</x:v>
      </x:c>
      <x:c r="E272" s="324">
        <x:v>0</x:v>
      </x:c>
      <x:c r="F272" s="324">
        <x:v>0</x:v>
      </x:c>
      <x:c r="G272" s="324">
        <x:v>0</x:v>
      </x:c>
      <x:c r="H272" s="324">
        <x:v>0</x:v>
      </x:c>
      <x:c r="I272" s="324">
        <x:v>0</x:v>
      </x:c>
      <x:c r="J272" s="324">
        <x:v>0</x:v>
      </x:c>
      <x:c r="K272" s="324">
        <x:v>0</x:v>
      </x:c>
      <x:c r="L272" s="324">
        <x:v>0</x:v>
      </x:c>
      <x:c r="M272" s="324">
        <x:v>0</x:v>
      </x:c>
      <x:c r="N272" s="324">
        <x:v>0</x:v>
      </x:c>
      <x:c r="O272" s="324">
        <x:v>0</x:v>
      </x:c>
      <x:c r="P272" s="324">
        <x:v>0</x:v>
      </x:c>
      <x:c r="Q272" s="324">
        <x:v>0</x:v>
      </x:c>
      <x:c r="R272" s="324">
        <x:v>0</x:v>
      </x:c>
      <x:c r="S272" s="324">
        <x:v>0</x:v>
      </x:c>
      <x:c r="T272" s="257">
        <x:f t="shared" si="10"/>
        <x:v>0</x:v>
      </x:c>
    </x:row>
    <x:row r="273">
      <x:c r="A273" s="148" t="s">
        <x:v>106</x:v>
      </x:c>
      <x:c r="B273">
        <x:v>7</x:v>
      </x:c>
      <x:c r="C273" s="148" t="s">
        <x:v>115</x:v>
      </x:c>
      <x:c r="D273">
        <x:v>701</x:v>
      </x:c>
      <x:c r="E273" s="324">
        <x:v>0</x:v>
      </x:c>
      <x:c r="F273" s="324">
        <x:v>0</x:v>
      </x:c>
      <x:c r="G273" s="324">
        <x:v>0</x:v>
      </x:c>
      <x:c r="H273" s="324">
        <x:v>0</x:v>
      </x:c>
      <x:c r="I273" s="324">
        <x:v>0</x:v>
      </x:c>
      <x:c r="J273" s="324">
        <x:v>0</x:v>
      </x:c>
      <x:c r="K273" s="324">
        <x:v>0</x:v>
      </x:c>
      <x:c r="L273" s="324">
        <x:v>0</x:v>
      </x:c>
      <x:c r="M273" s="324">
        <x:v>0</x:v>
      </x:c>
      <x:c r="N273" s="324">
        <x:v>0</x:v>
      </x:c>
      <x:c r="O273" s="324">
        <x:v>0</x:v>
      </x:c>
      <x:c r="P273" s="324">
        <x:v>0</x:v>
      </x:c>
      <x:c r="Q273" s="324">
        <x:v>0</x:v>
      </x:c>
      <x:c r="R273" s="324">
        <x:v>0</x:v>
      </x:c>
      <x:c r="S273" s="324">
        <x:v>0</x:v>
      </x:c>
      <x:c r="T273" s="257">
        <x:f t="shared" si="10"/>
        <x:v>0</x:v>
      </x:c>
    </x:row>
    <x:row r="274">
      <x:c r="A274" s="148" t="s">
        <x:v>106</x:v>
      </x:c>
      <x:c r="B274">
        <x:v>7</x:v>
      </x:c>
      <x:c r="C274" s="148" t="s">
        <x:v>115</x:v>
      </x:c>
      <x:c r="D274">
        <x:v>701</x:v>
      </x:c>
      <x:c r="E274" s="324">
        <x:v>0</x:v>
      </x:c>
      <x:c r="F274" s="324">
        <x:v>0</x:v>
      </x:c>
      <x:c r="G274" s="324">
        <x:v>0</x:v>
      </x:c>
      <x:c r="H274" s="324">
        <x:v>0</x:v>
      </x:c>
      <x:c r="I274" s="324">
        <x:v>0</x:v>
      </x:c>
      <x:c r="J274" s="324">
        <x:v>0</x:v>
      </x:c>
      <x:c r="K274" s="324">
        <x:v>0</x:v>
      </x:c>
      <x:c r="L274" s="324">
        <x:v>0</x:v>
      </x:c>
      <x:c r="M274" s="324">
        <x:v>0</x:v>
      </x:c>
      <x:c r="N274" s="324">
        <x:v>0</x:v>
      </x:c>
      <x:c r="O274" s="324">
        <x:v>0</x:v>
      </x:c>
      <x:c r="P274" s="324">
        <x:v>0</x:v>
      </x:c>
      <x:c r="Q274" s="324">
        <x:v>0</x:v>
      </x:c>
      <x:c r="R274" s="324">
        <x:v>0</x:v>
      </x:c>
      <x:c r="S274" s="324">
        <x:v>0</x:v>
      </x:c>
      <x:c r="T274" s="257">
        <x:f t="shared" si="10"/>
        <x:v>0</x:v>
      </x:c>
    </x:row>
    <x:row r="275">
      <x:c r="A275" s="148" t="s">
        <x:v>106</x:v>
      </x:c>
      <x:c r="B275">
        <x:v>7</x:v>
      </x:c>
      <x:c r="C275" s="148" t="s">
        <x:v>115</x:v>
      </x:c>
      <x:c r="D275">
        <x:v>701</x:v>
      </x:c>
      <x:c r="E275" s="324">
        <x:v>0</x:v>
      </x:c>
      <x:c r="F275" s="324">
        <x:v>0</x:v>
      </x:c>
      <x:c r="G275" s="324">
        <x:v>0</x:v>
      </x:c>
      <x:c r="H275" s="324">
        <x:v>0</x:v>
      </x:c>
      <x:c r="I275" s="324">
        <x:v>0</x:v>
      </x:c>
      <x:c r="J275" s="324">
        <x:v>0</x:v>
      </x:c>
      <x:c r="K275" s="324">
        <x:v>0</x:v>
      </x:c>
      <x:c r="L275" s="324">
        <x:v>0</x:v>
      </x:c>
      <x:c r="M275" s="324">
        <x:v>0</x:v>
      </x:c>
      <x:c r="N275" s="324">
        <x:v>0</x:v>
      </x:c>
      <x:c r="O275" s="324">
        <x:v>0</x:v>
      </x:c>
      <x:c r="P275" s="324">
        <x:v>0</x:v>
      </x:c>
      <x:c r="Q275" s="324">
        <x:v>0</x:v>
      </x:c>
      <x:c r="R275" s="324">
        <x:v>0</x:v>
      </x:c>
      <x:c r="S275" s="324">
        <x:v>0</x:v>
      </x:c>
      <x:c r="T275" s="257">
        <x:f t="shared" si="10"/>
        <x:v>0</x:v>
      </x:c>
    </x:row>
    <x:row r="276">
      <x:c r="A276" s="148" t="s">
        <x:v>106</x:v>
      </x:c>
      <x:c r="B276">
        <x:v>7</x:v>
      </x:c>
      <x:c r="C276" s="148" t="s">
        <x:v>115</x:v>
      </x:c>
      <x:c r="D276">
        <x:v>701</x:v>
      </x:c>
      <x:c r="E276" s="324">
        <x:v>0</x:v>
      </x:c>
      <x:c r="F276" s="324">
        <x:v>0</x:v>
      </x:c>
      <x:c r="G276" s="324">
        <x:v>0</x:v>
      </x:c>
      <x:c r="H276" s="324">
        <x:v>0</x:v>
      </x:c>
      <x:c r="I276" s="324">
        <x:v>0</x:v>
      </x:c>
      <x:c r="J276" s="324">
        <x:v>0</x:v>
      </x:c>
      <x:c r="K276" s="324">
        <x:v>0</x:v>
      </x:c>
      <x:c r="L276" s="324">
        <x:v>0</x:v>
      </x:c>
      <x:c r="M276" s="324">
        <x:v>0</x:v>
      </x:c>
      <x:c r="N276" s="324">
        <x:v>0</x:v>
      </x:c>
      <x:c r="O276" s="324">
        <x:v>0</x:v>
      </x:c>
      <x:c r="P276" s="324">
        <x:v>0</x:v>
      </x:c>
      <x:c r="Q276" s="324">
        <x:v>0</x:v>
      </x:c>
      <x:c r="R276" s="324">
        <x:v>0</x:v>
      </x:c>
      <x:c r="S276" s="324">
        <x:v>0</x:v>
      </x:c>
      <x:c r="T276" s="257">
        <x:f t="shared" si="10"/>
        <x:v>0</x:v>
      </x:c>
    </x:row>
    <x:row r="277">
      <x:c r="A277" s="148" t="s">
        <x:v>106</x:v>
      </x:c>
      <x:c r="B277">
        <x:v>7</x:v>
      </x:c>
      <x:c r="C277" s="148" t="s">
        <x:v>115</x:v>
      </x:c>
      <x:c r="D277">
        <x:v>701</x:v>
      </x:c>
      <x:c r="E277" s="324">
        <x:v>0</x:v>
      </x:c>
      <x:c r="F277" s="324">
        <x:v>0</x:v>
      </x:c>
      <x:c r="G277" s="324">
        <x:v>0</x:v>
      </x:c>
      <x:c r="H277" s="324">
        <x:v>0</x:v>
      </x:c>
      <x:c r="I277" s="324">
        <x:v>0</x:v>
      </x:c>
      <x:c r="J277" s="324">
        <x:v>0</x:v>
      </x:c>
      <x:c r="K277" s="324">
        <x:v>0</x:v>
      </x:c>
      <x:c r="L277" s="324">
        <x:v>0</x:v>
      </x:c>
      <x:c r="M277" s="324">
        <x:v>0</x:v>
      </x:c>
      <x:c r="N277" s="324">
        <x:v>0</x:v>
      </x:c>
      <x:c r="O277" s="324">
        <x:v>0</x:v>
      </x:c>
      <x:c r="P277" s="324">
        <x:v>0</x:v>
      </x:c>
      <x:c r="Q277" s="324">
        <x:v>0</x:v>
      </x:c>
      <x:c r="R277" s="324">
        <x:v>0</x:v>
      </x:c>
      <x:c r="S277" s="324">
        <x:v>0</x:v>
      </x:c>
      <x:c r="T277" s="257">
        <x:f t="shared" si="10"/>
        <x:v>0</x:v>
      </x:c>
    </x:row>
    <x:row r="278">
      <x:c r="A278" s="148" t="s">
        <x:v>106</x:v>
      </x:c>
      <x:c r="B278">
        <x:v>7</x:v>
      </x:c>
      <x:c r="C278" s="148" t="s">
        <x:v>115</x:v>
      </x:c>
      <x:c r="D278">
        <x:v>701</x:v>
      </x:c>
      <x:c r="E278" s="324">
        <x:v>0</x:v>
      </x:c>
      <x:c r="F278" s="324">
        <x:v>0</x:v>
      </x:c>
      <x:c r="G278" s="324">
        <x:v>0</x:v>
      </x:c>
      <x:c r="H278" s="324">
        <x:v>0</x:v>
      </x:c>
      <x:c r="I278" s="324">
        <x:v>0</x:v>
      </x:c>
      <x:c r="J278" s="324">
        <x:v>0</x:v>
      </x:c>
      <x:c r="K278" s="324">
        <x:v>0</x:v>
      </x:c>
      <x:c r="L278" s="324">
        <x:v>0</x:v>
      </x:c>
      <x:c r="M278" s="324">
        <x:v>0</x:v>
      </x:c>
      <x:c r="N278" s="324">
        <x:v>0</x:v>
      </x:c>
      <x:c r="O278" s="324">
        <x:v>0</x:v>
      </x:c>
      <x:c r="P278" s="324">
        <x:v>0</x:v>
      </x:c>
      <x:c r="Q278" s="324">
        <x:v>0</x:v>
      </x:c>
      <x:c r="R278" s="324">
        <x:v>0</x:v>
      </x:c>
      <x:c r="S278" s="324">
        <x:v>0</x:v>
      </x:c>
      <x:c r="T278" s="257">
        <x:f t="shared" si="10"/>
        <x:v>0</x:v>
      </x:c>
    </x:row>
    <x:row r="279">
      <x:c r="A279" s="148" t="s">
        <x:v>106</x:v>
      </x:c>
      <x:c r="B279">
        <x:v>7</x:v>
      </x:c>
      <x:c r="C279" s="148" t="s">
        <x:v>115</x:v>
      </x:c>
      <x:c r="D279">
        <x:v>701</x:v>
      </x:c>
      <x:c r="E279" s="324">
        <x:v>0</x:v>
      </x:c>
      <x:c r="F279" s="324">
        <x:v>0</x:v>
      </x:c>
      <x:c r="G279" s="324">
        <x:v>0</x:v>
      </x:c>
      <x:c r="H279" s="324">
        <x:v>0</x:v>
      </x:c>
      <x:c r="I279" s="324">
        <x:v>0</x:v>
      </x:c>
      <x:c r="J279" s="324">
        <x:v>0</x:v>
      </x:c>
      <x:c r="K279" s="324">
        <x:v>0</x:v>
      </x:c>
      <x:c r="L279" s="324">
        <x:v>0</x:v>
      </x:c>
      <x:c r="M279" s="324">
        <x:v>0</x:v>
      </x:c>
      <x:c r="N279" s="324">
        <x:v>0</x:v>
      </x:c>
      <x:c r="O279" s="324">
        <x:v>0</x:v>
      </x:c>
      <x:c r="P279" s="324">
        <x:v>0</x:v>
      </x:c>
      <x:c r="Q279" s="324">
        <x:v>0</x:v>
      </x:c>
      <x:c r="R279" s="324">
        <x:v>0</x:v>
      </x:c>
      <x:c r="S279" s="324">
        <x:v>0</x:v>
      </x:c>
      <x:c r="T279" s="257">
        <x:f t="shared" si="10"/>
        <x:v>0</x:v>
      </x:c>
    </x:row>
    <x:row r="280">
      <x:c r="A280" s="148" t="s">
        <x:v>106</x:v>
      </x:c>
      <x:c r="B280">
        <x:v>7</x:v>
      </x:c>
      <x:c r="C280" s="148" t="s">
        <x:v>115</x:v>
      </x:c>
      <x:c r="D280">
        <x:v>701</x:v>
      </x:c>
      <x:c r="E280" s="324">
        <x:v>0</x:v>
      </x:c>
      <x:c r="F280" s="324">
        <x:v>0</x:v>
      </x:c>
      <x:c r="G280" s="324">
        <x:v>0</x:v>
      </x:c>
      <x:c r="H280" s="324">
        <x:v>0</x:v>
      </x:c>
      <x:c r="I280" s="324">
        <x:v>0</x:v>
      </x:c>
      <x:c r="J280" s="324">
        <x:v>0</x:v>
      </x:c>
      <x:c r="K280" s="324">
        <x:v>0</x:v>
      </x:c>
      <x:c r="L280" s="324">
        <x:v>0</x:v>
      </x:c>
      <x:c r="M280" s="324">
        <x:v>0</x:v>
      </x:c>
      <x:c r="N280" s="324">
        <x:v>0</x:v>
      </x:c>
      <x:c r="O280" s="324">
        <x:v>0</x:v>
      </x:c>
      <x:c r="P280" s="324">
        <x:v>0</x:v>
      </x:c>
      <x:c r="Q280" s="324">
        <x:v>0</x:v>
      </x:c>
      <x:c r="R280" s="324">
        <x:v>0</x:v>
      </x:c>
      <x:c r="S280" s="324">
        <x:v>0</x:v>
      </x:c>
      <x:c r="T280" s="257">
        <x:f t="shared" si="10"/>
        <x:v>0</x:v>
      </x:c>
    </x:row>
    <x:row r="281">
      <x:c r="A281" s="148" t="s">
        <x:v>106</x:v>
      </x:c>
      <x:c r="B281">
        <x:v>7</x:v>
      </x:c>
      <x:c r="C281" s="148" t="s">
        <x:v>115</x:v>
      </x:c>
      <x:c r="D281">
        <x:v>701</x:v>
      </x:c>
      <x:c r="E281" s="324">
        <x:v>0</x:v>
      </x:c>
      <x:c r="F281" s="324">
        <x:v>0</x:v>
      </x:c>
      <x:c r="G281" s="324">
        <x:v>0</x:v>
      </x:c>
      <x:c r="H281" s="324">
        <x:v>0</x:v>
      </x:c>
      <x:c r="I281" s="324">
        <x:v>0</x:v>
      </x:c>
      <x:c r="J281" s="324">
        <x:v>0</x:v>
      </x:c>
      <x:c r="K281" s="324">
        <x:v>0</x:v>
      </x:c>
      <x:c r="L281" s="324">
        <x:v>0</x:v>
      </x:c>
      <x:c r="M281" s="324">
        <x:v>0</x:v>
      </x:c>
      <x:c r="N281" s="324">
        <x:v>0</x:v>
      </x:c>
      <x:c r="O281" s="324">
        <x:v>0</x:v>
      </x:c>
      <x:c r="P281" s="324">
        <x:v>0</x:v>
      </x:c>
      <x:c r="Q281" s="324">
        <x:v>0</x:v>
      </x:c>
      <x:c r="R281" s="324">
        <x:v>0</x:v>
      </x:c>
      <x:c r="S281" s="324">
        <x:v>0</x:v>
      </x:c>
      <x:c r="T281" s="257">
        <x:f t="shared" si="10"/>
        <x:v>0</x:v>
      </x:c>
    </x:row>
    <x:row r="282">
      <x:c r="A282" s="148"/>
      <x:c r="B282"/>
      <x:c r="C282" s="148"/>
      <x:c r="D282"/>
      <x:c r="E282" s="324"/>
      <x:c r="F282" s="324">
        <x:f t="shared" ref="F282:S282" si="11">AVERAGE(F238:F281)</x:f>
      </x:c>
      <x:c r="G282" s="324">
        <x:f t="shared" si="11"/>
      </x:c>
      <x:c r="H282" s="324">
        <x:f t="shared" si="11"/>
      </x:c>
      <x:c r="I282" s="324">
        <x:f t="shared" si="11"/>
      </x:c>
      <x:c r="J282" s="324">
        <x:f t="shared" si="11"/>
      </x:c>
      <x:c r="K282" s="324">
        <x:f t="shared" si="11"/>
      </x:c>
      <x:c r="L282" s="324">
        <x:f t="shared" si="11"/>
      </x:c>
      <x:c r="M282" s="324">
        <x:f t="shared" si="11"/>
      </x:c>
      <x:c r="N282" s="324">
        <x:f t="shared" si="11"/>
      </x:c>
      <x:c r="O282" s="324">
        <x:f t="shared" si="11"/>
      </x:c>
      <x:c r="P282" s="324">
        <x:f t="shared" si="11"/>
      </x:c>
      <x:c r="Q282" s="324">
        <x:f t="shared" si="11"/>
      </x:c>
      <x:c r="R282" s="324">
        <x:f t="shared" si="11"/>
      </x:c>
      <x:c r="S282" s="324">
        <x:f t="shared" si="11"/>
      </x:c>
      <x:c r="T282" s="257">
        <x:f t="shared" si="10"/>
      </x:c>
    </x:row>
    <x:row r="283">
      <x:c r="A283" s="148" t="s">
        <x:v>106</x:v>
      </x:c>
      <x:c r="B283">
        <x:v>8</x:v>
      </x:c>
      <x:c r="C283" s="148" t="s">
        <x:v>116</x:v>
      </x:c>
      <x:c r="D283">
        <x:v>801</x:v>
      </x:c>
      <x:c r="E283" s="324">
        <x:v>0</x:v>
      </x:c>
      <x:c r="F283" s="324">
        <x:v>0</x:v>
      </x:c>
      <x:c r="G283" s="324">
        <x:v>0</x:v>
      </x:c>
      <x:c r="H283" s="324">
        <x:v>0</x:v>
      </x:c>
      <x:c r="I283" s="324">
        <x:v>0</x:v>
      </x:c>
      <x:c r="J283" s="324">
        <x:v>0</x:v>
      </x:c>
      <x:c r="K283" s="324">
        <x:v>0</x:v>
      </x:c>
      <x:c r="L283" s="324">
        <x:v>0</x:v>
      </x:c>
      <x:c r="M283" s="324">
        <x:v>0</x:v>
      </x:c>
      <x:c r="N283" s="324">
        <x:v>0</x:v>
      </x:c>
      <x:c r="O283" s="324">
        <x:v>0</x:v>
      </x:c>
      <x:c r="P283" s="324">
        <x:v>0</x:v>
      </x:c>
      <x:c r="Q283" s="324">
        <x:v>0</x:v>
      </x:c>
      <x:c r="R283" s="324">
        <x:v>0</x:v>
      </x:c>
      <x:c r="S283" s="324">
        <x:v>0</x:v>
      </x:c>
      <x:c r="T283" s="257">
        <x:f t="shared" si="10"/>
        <x:v>0</x:v>
      </x:c>
    </x:row>
    <x:row r="284">
      <x:c r="A284" s="148" t="s">
        <x:v>106</x:v>
      </x:c>
      <x:c r="B284">
        <x:v>8</x:v>
      </x:c>
      <x:c r="C284" s="148" t="s">
        <x:v>116</x:v>
      </x:c>
      <x:c r="D284">
        <x:v>802</x:v>
      </x:c>
      <x:c r="E284" s="324">
        <x:v>0</x:v>
      </x:c>
      <x:c r="F284" s="324">
        <x:v>0</x:v>
      </x:c>
      <x:c r="G284" s="324">
        <x:v>0</x:v>
      </x:c>
      <x:c r="H284" s="324">
        <x:v>0</x:v>
      </x:c>
      <x:c r="I284" s="324">
        <x:v>0</x:v>
      </x:c>
      <x:c r="J284" s="324">
        <x:v>0</x:v>
      </x:c>
      <x:c r="K284" s="324">
        <x:v>0</x:v>
      </x:c>
      <x:c r="L284" s="324">
        <x:v>0</x:v>
      </x:c>
      <x:c r="M284" s="324">
        <x:v>0</x:v>
      </x:c>
      <x:c r="N284" s="324">
        <x:v>0</x:v>
      </x:c>
      <x:c r="O284" s="324">
        <x:v>0</x:v>
      </x:c>
      <x:c r="P284" s="324">
        <x:v>0</x:v>
      </x:c>
      <x:c r="Q284" s="324">
        <x:v>0</x:v>
      </x:c>
      <x:c r="R284" s="324">
        <x:v>0</x:v>
      </x:c>
      <x:c r="S284" s="324">
        <x:v>0</x:v>
      </x:c>
      <x:c r="T284" s="257">
        <x:f t="shared" si="10"/>
        <x:v>0</x:v>
      </x:c>
    </x:row>
    <x:row r="285">
      <x:c r="A285" s="148" t="s">
        <x:v>106</x:v>
      </x:c>
      <x:c r="B285">
        <x:v>8</x:v>
      </x:c>
      <x:c r="C285" s="148" t="s">
        <x:v>116</x:v>
      </x:c>
      <x:c r="D285">
        <x:v>803</x:v>
      </x:c>
      <x:c r="E285" s="324">
        <x:v>0</x:v>
      </x:c>
      <x:c r="F285" s="324">
        <x:v>0</x:v>
      </x:c>
      <x:c r="G285" s="324">
        <x:v>0</x:v>
      </x:c>
      <x:c r="H285" s="324">
        <x:v>0</x:v>
      </x:c>
      <x:c r="I285" s="324">
        <x:v>0</x:v>
      </x:c>
      <x:c r="J285" s="324">
        <x:v>0</x:v>
      </x:c>
      <x:c r="K285" s="324">
        <x:v>0</x:v>
      </x:c>
      <x:c r="L285" s="324">
        <x:v>0</x:v>
      </x:c>
      <x:c r="M285" s="324">
        <x:v>0</x:v>
      </x:c>
      <x:c r="N285" s="324">
        <x:v>0</x:v>
      </x:c>
      <x:c r="O285" s="324">
        <x:v>0</x:v>
      </x:c>
      <x:c r="P285" s="324">
        <x:v>0</x:v>
      </x:c>
      <x:c r="Q285" s="324">
        <x:v>0</x:v>
      </x:c>
      <x:c r="R285" s="324">
        <x:v>0</x:v>
      </x:c>
      <x:c r="S285" s="324">
        <x:v>0</x:v>
      </x:c>
      <x:c r="T285" s="257">
        <x:f t="shared" si="10"/>
        <x:v>0</x:v>
      </x:c>
    </x:row>
    <x:row r="286">
      <x:c r="A286" s="148" t="s">
        <x:v>106</x:v>
      </x:c>
      <x:c r="B286">
        <x:v>8</x:v>
      </x:c>
      <x:c r="C286" s="148" t="s">
        <x:v>116</x:v>
      </x:c>
      <x:c r="D286">
        <x:v>804</x:v>
      </x:c>
      <x:c r="E286" s="324">
        <x:v>0</x:v>
      </x:c>
      <x:c r="F286" s="324">
        <x:v>0</x:v>
      </x:c>
      <x:c r="G286" s="324">
        <x:v>0</x:v>
      </x:c>
      <x:c r="H286" s="324">
        <x:v>0</x:v>
      </x:c>
      <x:c r="I286" s="324">
        <x:v>0</x:v>
      </x:c>
      <x:c r="J286" s="324">
        <x:v>0</x:v>
      </x:c>
      <x:c r="K286" s="324">
        <x:v>0</x:v>
      </x:c>
      <x:c r="L286" s="324">
        <x:v>0</x:v>
      </x:c>
      <x:c r="M286" s="324">
        <x:v>0</x:v>
      </x:c>
      <x:c r="N286" s="324">
        <x:v>0</x:v>
      </x:c>
      <x:c r="O286" s="324">
        <x:v>0</x:v>
      </x:c>
      <x:c r="P286" s="324">
        <x:v>0</x:v>
      </x:c>
      <x:c r="Q286" s="324">
        <x:v>0</x:v>
      </x:c>
      <x:c r="R286" s="324">
        <x:v>0</x:v>
      </x:c>
      <x:c r="S286" s="324">
        <x:v>0</x:v>
      </x:c>
      <x:c r="T286" s="257">
        <x:f t="shared" si="10"/>
        <x:v>0</x:v>
      </x:c>
    </x:row>
    <x:row r="287">
      <x:c r="A287" s="148" t="s">
        <x:v>106</x:v>
      </x:c>
      <x:c r="B287">
        <x:v>8</x:v>
      </x:c>
      <x:c r="C287" s="148" t="s">
        <x:v>116</x:v>
      </x:c>
      <x:c r="D287">
        <x:v>805</x:v>
      </x:c>
      <x:c r="E287" s="324">
        <x:v>0</x:v>
      </x:c>
      <x:c r="F287" s="324">
        <x:v>0</x:v>
      </x:c>
      <x:c r="G287" s="324">
        <x:v>0</x:v>
      </x:c>
      <x:c r="H287" s="324">
        <x:v>0</x:v>
      </x:c>
      <x:c r="I287" s="324">
        <x:v>0</x:v>
      </x:c>
      <x:c r="J287" s="324">
        <x:v>0</x:v>
      </x:c>
      <x:c r="K287" s="324">
        <x:v>0</x:v>
      </x:c>
      <x:c r="L287" s="324">
        <x:v>0</x:v>
      </x:c>
      <x:c r="M287" s="324">
        <x:v>0</x:v>
      </x:c>
      <x:c r="N287" s="324">
        <x:v>0</x:v>
      </x:c>
      <x:c r="O287" s="324">
        <x:v>0</x:v>
      </x:c>
      <x:c r="P287" s="324">
        <x:v>0</x:v>
      </x:c>
      <x:c r="Q287" s="324">
        <x:v>0</x:v>
      </x:c>
      <x:c r="R287" s="324">
        <x:v>0</x:v>
      </x:c>
      <x:c r="S287" s="324">
        <x:v>0</x:v>
      </x:c>
      <x:c r="T287" s="257">
        <x:f t="shared" si="10"/>
        <x:v>0</x:v>
      </x:c>
    </x:row>
    <x:row r="288">
      <x:c r="A288" s="148" t="s">
        <x:v>106</x:v>
      </x:c>
      <x:c r="B288">
        <x:v>8</x:v>
      </x:c>
      <x:c r="C288" s="148" t="s">
        <x:v>116</x:v>
      </x:c>
      <x:c r="D288">
        <x:v>806</x:v>
      </x:c>
      <x:c r="E288" s="324">
        <x:v>0</x:v>
      </x:c>
      <x:c r="F288" s="324">
        <x:v>0</x:v>
      </x:c>
      <x:c r="G288" s="324">
        <x:v>0</x:v>
      </x:c>
      <x:c r="H288" s="324">
        <x:v>0</x:v>
      </x:c>
      <x:c r="I288" s="324">
        <x:v>0</x:v>
      </x:c>
      <x:c r="J288" s="324">
        <x:v>0</x:v>
      </x:c>
      <x:c r="K288" s="324">
        <x:v>0</x:v>
      </x:c>
      <x:c r="L288" s="324">
        <x:v>0</x:v>
      </x:c>
      <x:c r="M288" s="324">
        <x:v>0</x:v>
      </x:c>
      <x:c r="N288" s="324">
        <x:v>0</x:v>
      </x:c>
      <x:c r="O288" s="324">
        <x:v>0</x:v>
      </x:c>
      <x:c r="P288" s="324">
        <x:v>0</x:v>
      </x:c>
      <x:c r="Q288" s="324">
        <x:v>0</x:v>
      </x:c>
      <x:c r="R288" s="324">
        <x:v>0</x:v>
      </x:c>
      <x:c r="S288" s="324">
        <x:v>0</x:v>
      </x:c>
      <x:c r="T288" s="257">
        <x:f t="shared" si="10"/>
        <x:v>0</x:v>
      </x:c>
    </x:row>
    <x:row r="289">
      <x:c r="A289" s="148" t="s">
        <x:v>106</x:v>
      </x:c>
      <x:c r="B289">
        <x:v>8</x:v>
      </x:c>
      <x:c r="C289" s="148" t="s">
        <x:v>116</x:v>
      </x:c>
      <x:c r="D289">
        <x:v>807</x:v>
      </x:c>
      <x:c r="E289" s="324">
        <x:v>0</x:v>
      </x:c>
      <x:c r="F289" s="324">
        <x:v>0</x:v>
      </x:c>
      <x:c r="G289" s="324">
        <x:v>0</x:v>
      </x:c>
      <x:c r="H289" s="324">
        <x:v>0</x:v>
      </x:c>
      <x:c r="I289" s="324">
        <x:v>0</x:v>
      </x:c>
      <x:c r="J289" s="324">
        <x:v>0</x:v>
      </x:c>
      <x:c r="K289" s="324">
        <x:v>0</x:v>
      </x:c>
      <x:c r="L289" s="324">
        <x:v>0</x:v>
      </x:c>
      <x:c r="M289" s="324">
        <x:v>0</x:v>
      </x:c>
      <x:c r="N289" s="324">
        <x:v>0</x:v>
      </x:c>
      <x:c r="O289" s="324">
        <x:v>0</x:v>
      </x:c>
      <x:c r="P289" s="324">
        <x:v>0</x:v>
      </x:c>
      <x:c r="Q289" s="324">
        <x:v>0</x:v>
      </x:c>
      <x:c r="R289" s="324">
        <x:v>0</x:v>
      </x:c>
      <x:c r="S289" s="324">
        <x:v>0</x:v>
      </x:c>
      <x:c r="T289" s="257">
        <x:f t="shared" si="10"/>
        <x:v>0</x:v>
      </x:c>
    </x:row>
    <x:row r="290">
      <x:c r="A290" s="148" t="s">
        <x:v>106</x:v>
      </x:c>
      <x:c r="B290">
        <x:v>8</x:v>
      </x:c>
      <x:c r="C290" s="148" t="s">
        <x:v>116</x:v>
      </x:c>
      <x:c r="D290">
        <x:v>808</x:v>
      </x:c>
      <x:c r="E290" s="324">
        <x:v>0</x:v>
      </x:c>
      <x:c r="F290" s="324">
        <x:v>0</x:v>
      </x:c>
      <x:c r="G290" s="324">
        <x:v>0</x:v>
      </x:c>
      <x:c r="H290" s="324">
        <x:v>0</x:v>
      </x:c>
      <x:c r="I290" s="324">
        <x:v>0</x:v>
      </x:c>
      <x:c r="J290" s="324">
        <x:v>0</x:v>
      </x:c>
      <x:c r="K290" s="324">
        <x:v>0</x:v>
      </x:c>
      <x:c r="L290" s="324">
        <x:v>0</x:v>
      </x:c>
      <x:c r="M290" s="324">
        <x:v>0</x:v>
      </x:c>
      <x:c r="N290" s="324">
        <x:v>0</x:v>
      </x:c>
      <x:c r="O290" s="324">
        <x:v>0</x:v>
      </x:c>
      <x:c r="P290" s="324">
        <x:v>0</x:v>
      </x:c>
      <x:c r="Q290" s="324">
        <x:v>0</x:v>
      </x:c>
      <x:c r="R290" s="324">
        <x:v>0</x:v>
      </x:c>
      <x:c r="S290" s="324">
        <x:v>0</x:v>
      </x:c>
      <x:c r="T290" s="257">
        <x:f t="shared" si="10"/>
        <x:v>0</x:v>
      </x:c>
    </x:row>
    <x:row r="291">
      <x:c r="A291" s="148" t="s">
        <x:v>106</x:v>
      </x:c>
      <x:c r="B291">
        <x:v>8</x:v>
      </x:c>
      <x:c r="C291" s="148" t="s">
        <x:v>116</x:v>
      </x:c>
      <x:c r="D291">
        <x:v>809</x:v>
      </x:c>
      <x:c r="E291" s="324">
        <x:v>0</x:v>
      </x:c>
      <x:c r="F291" s="324">
        <x:v>0</x:v>
      </x:c>
      <x:c r="G291" s="324">
        <x:v>0</x:v>
      </x:c>
      <x:c r="H291" s="324">
        <x:v>0</x:v>
      </x:c>
      <x:c r="I291" s="324">
        <x:v>0</x:v>
      </x:c>
      <x:c r="J291" s="324">
        <x:v>0</x:v>
      </x:c>
      <x:c r="K291" s="324">
        <x:v>0</x:v>
      </x:c>
      <x:c r="L291" s="324">
        <x:v>0</x:v>
      </x:c>
      <x:c r="M291" s="324">
        <x:v>0</x:v>
      </x:c>
      <x:c r="N291" s="324">
        <x:v>0</x:v>
      </x:c>
      <x:c r="O291" s="324">
        <x:v>0</x:v>
      </x:c>
      <x:c r="P291" s="324">
        <x:v>0</x:v>
      </x:c>
      <x:c r="Q291" s="324">
        <x:v>0</x:v>
      </x:c>
      <x:c r="R291" s="324">
        <x:v>0</x:v>
      </x:c>
      <x:c r="S291" s="324">
        <x:v>0</x:v>
      </x:c>
      <x:c r="T291" s="257">
        <x:f t="shared" si="10"/>
        <x:v>0</x:v>
      </x:c>
    </x:row>
    <x:row r="292">
      <x:c r="A292" s="148" t="s">
        <x:v>106</x:v>
      </x:c>
      <x:c r="B292">
        <x:v>8</x:v>
      </x:c>
      <x:c r="C292" s="148" t="s">
        <x:v>116</x:v>
      </x:c>
      <x:c r="D292">
        <x:v>810</x:v>
      </x:c>
      <x:c r="E292" s="324">
        <x:v>0</x:v>
      </x:c>
      <x:c r="F292" s="324">
        <x:v>0</x:v>
      </x:c>
      <x:c r="G292" s="324">
        <x:v>0</x:v>
      </x:c>
      <x:c r="H292" s="324">
        <x:v>0</x:v>
      </x:c>
      <x:c r="I292" s="324">
        <x:v>0</x:v>
      </x:c>
      <x:c r="J292" s="324">
        <x:v>0</x:v>
      </x:c>
      <x:c r="K292" s="324">
        <x:v>0</x:v>
      </x:c>
      <x:c r="L292" s="324">
        <x:v>0</x:v>
      </x:c>
      <x:c r="M292" s="324">
        <x:v>0</x:v>
      </x:c>
      <x:c r="N292" s="324">
        <x:v>0</x:v>
      </x:c>
      <x:c r="O292" s="324">
        <x:v>0</x:v>
      </x:c>
      <x:c r="P292" s="324">
        <x:v>0</x:v>
      </x:c>
      <x:c r="Q292" s="324">
        <x:v>0</x:v>
      </x:c>
      <x:c r="R292" s="324">
        <x:v>0</x:v>
      </x:c>
      <x:c r="S292" s="324">
        <x:v>0</x:v>
      </x:c>
      <x:c r="T292" s="257">
        <x:f t="shared" si="10"/>
        <x:v>0</x:v>
      </x:c>
    </x:row>
    <x:row r="293">
      <x:c r="A293" s="148" t="s">
        <x:v>106</x:v>
      </x:c>
      <x:c r="B293">
        <x:v>8</x:v>
      </x:c>
      <x:c r="C293" s="148" t="s">
        <x:v>116</x:v>
      </x:c>
      <x:c r="D293">
        <x:v>811</x:v>
      </x:c>
      <x:c r="E293" s="324">
        <x:v>0</x:v>
      </x:c>
      <x:c r="F293" s="324">
        <x:v>0</x:v>
      </x:c>
      <x:c r="G293" s="324">
        <x:v>0</x:v>
      </x:c>
      <x:c r="H293" s="324">
        <x:v>0</x:v>
      </x:c>
      <x:c r="I293" s="324">
        <x:v>0</x:v>
      </x:c>
      <x:c r="J293" s="324">
        <x:v>0</x:v>
      </x:c>
      <x:c r="K293" s="324">
        <x:v>0</x:v>
      </x:c>
      <x:c r="L293" s="324">
        <x:v>0</x:v>
      </x:c>
      <x:c r="M293" s="324">
        <x:v>0</x:v>
      </x:c>
      <x:c r="N293" s="324">
        <x:v>0</x:v>
      </x:c>
      <x:c r="O293" s="324">
        <x:v>0</x:v>
      </x:c>
      <x:c r="P293" s="324">
        <x:v>0</x:v>
      </x:c>
      <x:c r="Q293" s="324">
        <x:v>0</x:v>
      </x:c>
      <x:c r="R293" s="324">
        <x:v>0</x:v>
      </x:c>
      <x:c r="S293" s="324">
        <x:v>0</x:v>
      </x:c>
      <x:c r="T293" s="257">
        <x:f t="shared" si="10"/>
        <x:v>0</x:v>
      </x:c>
    </x:row>
    <x:row r="294">
      <x:c r="A294" s="148" t="s">
        <x:v>106</x:v>
      </x:c>
      <x:c r="B294">
        <x:v>8</x:v>
      </x:c>
      <x:c r="C294" s="148" t="s">
        <x:v>116</x:v>
      </x:c>
      <x:c r="D294">
        <x:v>812</x:v>
      </x:c>
      <x:c r="E294" s="324">
        <x:v>0</x:v>
      </x:c>
      <x:c r="F294" s="324">
        <x:v>0</x:v>
      </x:c>
      <x:c r="G294" s="324">
        <x:v>0</x:v>
      </x:c>
      <x:c r="H294" s="324">
        <x:v>0</x:v>
      </x:c>
      <x:c r="I294" s="324">
        <x:v>0</x:v>
      </x:c>
      <x:c r="J294" s="324">
        <x:v>0</x:v>
      </x:c>
      <x:c r="K294" s="324">
        <x:v>0</x:v>
      </x:c>
      <x:c r="L294" s="324">
        <x:v>0</x:v>
      </x:c>
      <x:c r="M294" s="324">
        <x:v>0</x:v>
      </x:c>
      <x:c r="N294" s="324">
        <x:v>0</x:v>
      </x:c>
      <x:c r="O294" s="324">
        <x:v>0</x:v>
      </x:c>
      <x:c r="P294" s="324">
        <x:v>0</x:v>
      </x:c>
      <x:c r="Q294" s="324">
        <x:v>0</x:v>
      </x:c>
      <x:c r="R294" s="324">
        <x:v>0</x:v>
      </x:c>
      <x:c r="S294" s="324">
        <x:v>0</x:v>
      </x:c>
      <x:c r="T294" s="257">
        <x:f t="shared" si="10"/>
        <x:v>0</x:v>
      </x:c>
    </x:row>
    <x:row r="295">
      <x:c r="A295" s="148" t="s">
        <x:v>106</x:v>
      </x:c>
      <x:c r="B295">
        <x:v>8</x:v>
      </x:c>
      <x:c r="C295" s="148" t="s">
        <x:v>116</x:v>
      </x:c>
      <x:c r="D295">
        <x:v>813</x:v>
      </x:c>
      <x:c r="E295" s="324">
        <x:v>0</x:v>
      </x:c>
      <x:c r="F295" s="324">
        <x:v>0</x:v>
      </x:c>
      <x:c r="G295" s="324">
        <x:v>0</x:v>
      </x:c>
      <x:c r="H295" s="324">
        <x:v>0</x:v>
      </x:c>
      <x:c r="I295" s="324">
        <x:v>0</x:v>
      </x:c>
      <x:c r="J295" s="324">
        <x:v>0</x:v>
      </x:c>
      <x:c r="K295" s="324">
        <x:v>0</x:v>
      </x:c>
      <x:c r="L295" s="324">
        <x:v>0</x:v>
      </x:c>
      <x:c r="M295" s="324">
        <x:v>0</x:v>
      </x:c>
      <x:c r="N295" s="324">
        <x:v>0</x:v>
      </x:c>
      <x:c r="O295" s="324">
        <x:v>0</x:v>
      </x:c>
      <x:c r="P295" s="324">
        <x:v>0</x:v>
      </x:c>
      <x:c r="Q295" s="324">
        <x:v>0</x:v>
      </x:c>
      <x:c r="R295" s="324">
        <x:v>0</x:v>
      </x:c>
      <x:c r="S295" s="324">
        <x:v>0</x:v>
      </x:c>
      <x:c r="T295" s="257">
        <x:f t="shared" si="10"/>
        <x:v>0</x:v>
      </x:c>
    </x:row>
    <x:row r="296">
      <x:c r="A296" s="148" t="s">
        <x:v>106</x:v>
      </x:c>
      <x:c r="B296">
        <x:v>8</x:v>
      </x:c>
      <x:c r="C296" s="148" t="s">
        <x:v>116</x:v>
      </x:c>
      <x:c r="D296">
        <x:v>814</x:v>
      </x:c>
      <x:c r="E296" s="324">
        <x:v>0</x:v>
      </x:c>
      <x:c r="F296" s="324">
        <x:v>0</x:v>
      </x:c>
      <x:c r="G296" s="324">
        <x:v>0</x:v>
      </x:c>
      <x:c r="H296" s="324">
        <x:v>0</x:v>
      </x:c>
      <x:c r="I296" s="324">
        <x:v>0</x:v>
      </x:c>
      <x:c r="J296" s="324">
        <x:v>0</x:v>
      </x:c>
      <x:c r="K296" s="324">
        <x:v>0</x:v>
      </x:c>
      <x:c r="L296" s="324">
        <x:v>0</x:v>
      </x:c>
      <x:c r="M296" s="324">
        <x:v>0</x:v>
      </x:c>
      <x:c r="N296" s="324">
        <x:v>0</x:v>
      </x:c>
      <x:c r="O296" s="324">
        <x:v>0</x:v>
      </x:c>
      <x:c r="P296" s="324">
        <x:v>0</x:v>
      </x:c>
      <x:c r="Q296" s="324">
        <x:v>0</x:v>
      </x:c>
      <x:c r="R296" s="324">
        <x:v>0</x:v>
      </x:c>
      <x:c r="S296" s="324">
        <x:v>0</x:v>
      </x:c>
      <x:c r="T296" s="257">
        <x:f t="shared" si="10"/>
        <x:v>0</x:v>
      </x:c>
    </x:row>
    <x:row r="297">
      <x:c r="A297" s="148" t="s">
        <x:v>106</x:v>
      </x:c>
      <x:c r="B297">
        <x:v>8</x:v>
      </x:c>
      <x:c r="C297" s="148" t="s">
        <x:v>116</x:v>
      </x:c>
      <x:c r="D297">
        <x:v>815</x:v>
      </x:c>
      <x:c r="E297" s="324">
        <x:v>0</x:v>
      </x:c>
      <x:c r="F297" s="324">
        <x:v>0</x:v>
      </x:c>
      <x:c r="G297" s="324">
        <x:v>0</x:v>
      </x:c>
      <x:c r="H297" s="324">
        <x:v>0</x:v>
      </x:c>
      <x:c r="I297" s="324">
        <x:v>0</x:v>
      </x:c>
      <x:c r="J297" s="324">
        <x:v>0</x:v>
      </x:c>
      <x:c r="K297" s="324">
        <x:v>0</x:v>
      </x:c>
      <x:c r="L297" s="324">
        <x:v>0</x:v>
      </x:c>
      <x:c r="M297" s="324">
        <x:v>0</x:v>
      </x:c>
      <x:c r="N297" s="324">
        <x:v>0</x:v>
      </x:c>
      <x:c r="O297" s="324">
        <x:v>0</x:v>
      </x:c>
      <x:c r="P297" s="324">
        <x:v>0</x:v>
      </x:c>
      <x:c r="Q297" s="324">
        <x:v>0</x:v>
      </x:c>
      <x:c r="R297" s="324">
        <x:v>0</x:v>
      </x:c>
      <x:c r="S297" s="324">
        <x:v>0</x:v>
      </x:c>
      <x:c r="T297" s="257">
        <x:f t="shared" si="10"/>
        <x:v>0</x:v>
      </x:c>
    </x:row>
    <x:row r="298">
      <x:c r="A298" s="148" t="s">
        <x:v>106</x:v>
      </x:c>
      <x:c r="B298">
        <x:v>8</x:v>
      </x:c>
      <x:c r="C298" s="148" t="s">
        <x:v>116</x:v>
      </x:c>
      <x:c r="D298">
        <x:v>816</x:v>
      </x:c>
      <x:c r="E298" s="324">
        <x:v>0</x:v>
      </x:c>
      <x:c r="F298" s="324">
        <x:v>0</x:v>
      </x:c>
      <x:c r="G298" s="324">
        <x:v>0</x:v>
      </x:c>
      <x:c r="H298" s="324">
        <x:v>0</x:v>
      </x:c>
      <x:c r="I298" s="324">
        <x:v>0</x:v>
      </x:c>
      <x:c r="J298" s="324">
        <x:v>0</x:v>
      </x:c>
      <x:c r="K298" s="324">
        <x:v>0</x:v>
      </x:c>
      <x:c r="L298" s="324">
        <x:v>0</x:v>
      </x:c>
      <x:c r="M298" s="324">
        <x:v>0</x:v>
      </x:c>
      <x:c r="N298" s="324">
        <x:v>0</x:v>
      </x:c>
      <x:c r="O298" s="324">
        <x:v>0</x:v>
      </x:c>
      <x:c r="P298" s="324">
        <x:v>0</x:v>
      </x:c>
      <x:c r="Q298" s="324">
        <x:v>0</x:v>
      </x:c>
      <x:c r="R298" s="324">
        <x:v>0</x:v>
      </x:c>
      <x:c r="S298" s="324">
        <x:v>0</x:v>
      </x:c>
      <x:c r="T298" s="257">
        <x:f t="shared" si="10"/>
        <x:v>0</x:v>
      </x:c>
    </x:row>
    <x:row r="299">
      <x:c r="A299" s="148" t="s">
        <x:v>106</x:v>
      </x:c>
      <x:c r="B299">
        <x:v>8</x:v>
      </x:c>
      <x:c r="C299" s="148" t="s">
        <x:v>116</x:v>
      </x:c>
      <x:c r="D299">
        <x:v>817</x:v>
      </x:c>
      <x:c r="E299" s="324">
        <x:v>0</x:v>
      </x:c>
      <x:c r="F299" s="324">
        <x:v>0</x:v>
      </x:c>
      <x:c r="G299" s="324">
        <x:v>0</x:v>
      </x:c>
      <x:c r="H299" s="324">
        <x:v>0</x:v>
      </x:c>
      <x:c r="I299" s="324">
        <x:v>0</x:v>
      </x:c>
      <x:c r="J299" s="324">
        <x:v>0</x:v>
      </x:c>
      <x:c r="K299" s="324">
        <x:v>0</x:v>
      </x:c>
      <x:c r="L299" s="324">
        <x:v>0</x:v>
      </x:c>
      <x:c r="M299" s="324">
        <x:v>0</x:v>
      </x:c>
      <x:c r="N299" s="324">
        <x:v>0</x:v>
      </x:c>
      <x:c r="O299" s="324">
        <x:v>0</x:v>
      </x:c>
      <x:c r="P299" s="324">
        <x:v>0</x:v>
      </x:c>
      <x:c r="Q299" s="324">
        <x:v>0</x:v>
      </x:c>
      <x:c r="R299" s="324">
        <x:v>0</x:v>
      </x:c>
      <x:c r="S299" s="324">
        <x:v>0</x:v>
      </x:c>
      <x:c r="T299" s="257">
        <x:f t="shared" si="10"/>
        <x:v>0</x:v>
      </x:c>
    </x:row>
    <x:row r="300">
      <x:c r="A300" s="148" t="s">
        <x:v>106</x:v>
      </x:c>
      <x:c r="B300">
        <x:v>8</x:v>
      </x:c>
      <x:c r="C300" s="148" t="s">
        <x:v>116</x:v>
      </x:c>
      <x:c r="D300">
        <x:v>818</x:v>
      </x:c>
      <x:c r="E300" s="324">
        <x:v>0</x:v>
      </x:c>
      <x:c r="F300" s="324">
        <x:v>0</x:v>
      </x:c>
      <x:c r="G300" s="324">
        <x:v>0</x:v>
      </x:c>
      <x:c r="H300" s="324">
        <x:v>0</x:v>
      </x:c>
      <x:c r="I300" s="324">
        <x:v>0</x:v>
      </x:c>
      <x:c r="J300" s="324">
        <x:v>0</x:v>
      </x:c>
      <x:c r="K300" s="324">
        <x:v>0</x:v>
      </x:c>
      <x:c r="L300" s="324">
        <x:v>0</x:v>
      </x:c>
      <x:c r="M300" s="324">
        <x:v>0</x:v>
      </x:c>
      <x:c r="N300" s="324">
        <x:v>0</x:v>
      </x:c>
      <x:c r="O300" s="324">
        <x:v>0</x:v>
      </x:c>
      <x:c r="P300" s="324">
        <x:v>0</x:v>
      </x:c>
      <x:c r="Q300" s="324">
        <x:v>0</x:v>
      </x:c>
      <x:c r="R300" s="324">
        <x:v>0</x:v>
      </x:c>
      <x:c r="S300" s="324">
        <x:v>0</x:v>
      </x:c>
      <x:c r="T300" s="257">
        <x:f t="shared" si="10"/>
        <x:v>0</x:v>
      </x:c>
    </x:row>
    <x:row r="301">
      <x:c r="A301" s="148" t="s">
        <x:v>106</x:v>
      </x:c>
      <x:c r="B301">
        <x:v>8</x:v>
      </x:c>
      <x:c r="C301" s="148" t="s">
        <x:v>116</x:v>
      </x:c>
      <x:c r="D301">
        <x:v>819</x:v>
      </x:c>
      <x:c r="E301" s="324">
        <x:v>0</x:v>
      </x:c>
      <x:c r="F301" s="324">
        <x:v>0</x:v>
      </x:c>
      <x:c r="G301" s="324">
        <x:v>0</x:v>
      </x:c>
      <x:c r="H301" s="324">
        <x:v>0</x:v>
      </x:c>
      <x:c r="I301" s="324">
        <x:v>0</x:v>
      </x:c>
      <x:c r="J301" s="324">
        <x:v>0</x:v>
      </x:c>
      <x:c r="K301" s="324">
        <x:v>0</x:v>
      </x:c>
      <x:c r="L301" s="324">
        <x:v>0</x:v>
      </x:c>
      <x:c r="M301" s="324">
        <x:v>0</x:v>
      </x:c>
      <x:c r="N301" s="324">
        <x:v>0</x:v>
      </x:c>
      <x:c r="O301" s="324">
        <x:v>0</x:v>
      </x:c>
      <x:c r="P301" s="324">
        <x:v>0</x:v>
      </x:c>
      <x:c r="Q301" s="324">
        <x:v>0</x:v>
      </x:c>
      <x:c r="R301" s="324">
        <x:v>0</x:v>
      </x:c>
      <x:c r="S301" s="324">
        <x:v>0</x:v>
      </x:c>
      <x:c r="T301" s="257">
        <x:f t="shared" si="10"/>
        <x:v>0</x:v>
      </x:c>
    </x:row>
    <x:row r="302">
      <x:c r="A302" s="148" t="s">
        <x:v>106</x:v>
      </x:c>
      <x:c r="B302">
        <x:v>8</x:v>
      </x:c>
      <x:c r="C302" s="148" t="s">
        <x:v>116</x:v>
      </x:c>
      <x:c r="D302">
        <x:v>820</x:v>
      </x:c>
      <x:c r="E302" s="324">
        <x:v>0</x:v>
      </x:c>
      <x:c r="F302" s="324">
        <x:v>0</x:v>
      </x:c>
      <x:c r="G302" s="324">
        <x:v>0</x:v>
      </x:c>
      <x:c r="H302" s="324">
        <x:v>0</x:v>
      </x:c>
      <x:c r="I302" s="324">
        <x:v>0</x:v>
      </x:c>
      <x:c r="J302" s="324">
        <x:v>0</x:v>
      </x:c>
      <x:c r="K302" s="324">
        <x:v>0</x:v>
      </x:c>
      <x:c r="L302" s="324">
        <x:v>0</x:v>
      </x:c>
      <x:c r="M302" s="324">
        <x:v>0</x:v>
      </x:c>
      <x:c r="N302" s="324">
        <x:v>0</x:v>
      </x:c>
      <x:c r="O302" s="324">
        <x:v>0</x:v>
      </x:c>
      <x:c r="P302" s="324">
        <x:v>0</x:v>
      </x:c>
      <x:c r="Q302" s="324">
        <x:v>0</x:v>
      </x:c>
      <x:c r="R302" s="324">
        <x:v>0</x:v>
      </x:c>
      <x:c r="S302" s="324">
        <x:v>0</x:v>
      </x:c>
      <x:c r="T302" s="257">
        <x:f t="shared" si="10"/>
        <x:v>0</x:v>
      </x:c>
    </x:row>
    <x:row r="303">
      <x:c r="A303" s="148" t="s">
        <x:v>106</x:v>
      </x:c>
      <x:c r="B303">
        <x:v>8</x:v>
      </x:c>
      <x:c r="C303" s="148" t="s">
        <x:v>116</x:v>
      </x:c>
      <x:c r="D303">
        <x:v>821</x:v>
      </x:c>
      <x:c r="E303" s="324">
        <x:v>0</x:v>
      </x:c>
      <x:c r="F303" s="324">
        <x:v>0</x:v>
      </x:c>
      <x:c r="G303" s="324">
        <x:v>0</x:v>
      </x:c>
      <x:c r="H303" s="324">
        <x:v>0</x:v>
      </x:c>
      <x:c r="I303" s="324">
        <x:v>0</x:v>
      </x:c>
      <x:c r="J303" s="324">
        <x:v>0</x:v>
      </x:c>
      <x:c r="K303" s="324">
        <x:v>0</x:v>
      </x:c>
      <x:c r="L303" s="324">
        <x:v>0</x:v>
      </x:c>
      <x:c r="M303" s="324">
        <x:v>0</x:v>
      </x:c>
      <x:c r="N303" s="324">
        <x:v>0</x:v>
      </x:c>
      <x:c r="O303" s="324">
        <x:v>0</x:v>
      </x:c>
      <x:c r="P303" s="324">
        <x:v>0</x:v>
      </x:c>
      <x:c r="Q303" s="324">
        <x:v>0</x:v>
      </x:c>
      <x:c r="R303" s="324">
        <x:v>0</x:v>
      </x:c>
      <x:c r="S303" s="324">
        <x:v>0</x:v>
      </x:c>
      <x:c r="T303" s="257">
        <x:f t="shared" si="10"/>
        <x:v>0</x:v>
      </x:c>
    </x:row>
    <x:row r="304">
      <x:c r="A304" s="148" t="s">
        <x:v>106</x:v>
      </x:c>
      <x:c r="B304">
        <x:v>8</x:v>
      </x:c>
      <x:c r="C304" s="148" t="s">
        <x:v>116</x:v>
      </x:c>
      <x:c r="D304">
        <x:v>822</x:v>
      </x:c>
      <x:c r="E304" s="324">
        <x:v>0</x:v>
      </x:c>
      <x:c r="F304" s="324">
        <x:v>0</x:v>
      </x:c>
      <x:c r="G304" s="324">
        <x:v>0</x:v>
      </x:c>
      <x:c r="H304" s="324">
        <x:v>0</x:v>
      </x:c>
      <x:c r="I304" s="324">
        <x:v>0</x:v>
      </x:c>
      <x:c r="J304" s="324">
        <x:v>0</x:v>
      </x:c>
      <x:c r="K304" s="324">
        <x:v>0</x:v>
      </x:c>
      <x:c r="L304" s="324">
        <x:v>0</x:v>
      </x:c>
      <x:c r="M304" s="324">
        <x:v>0</x:v>
      </x:c>
      <x:c r="N304" s="324">
        <x:v>0</x:v>
      </x:c>
      <x:c r="O304" s="324">
        <x:v>0</x:v>
      </x:c>
      <x:c r="P304" s="324">
        <x:v>0</x:v>
      </x:c>
      <x:c r="Q304" s="324">
        <x:v>0</x:v>
      </x:c>
      <x:c r="R304" s="324">
        <x:v>0</x:v>
      </x:c>
      <x:c r="S304" s="324">
        <x:v>0</x:v>
      </x:c>
      <x:c r="T304" s="257">
        <x:f t="shared" si="10"/>
        <x:v>0</x:v>
      </x:c>
    </x:row>
    <x:row r="305">
      <x:c r="A305" s="148" t="s">
        <x:v>106</x:v>
      </x:c>
      <x:c r="B305">
        <x:v>8</x:v>
      </x:c>
      <x:c r="C305" s="148" t="s">
        <x:v>116</x:v>
      </x:c>
      <x:c r="D305">
        <x:v>823</x:v>
      </x:c>
      <x:c r="E305" s="324">
        <x:v>0</x:v>
      </x:c>
      <x:c r="F305" s="324">
        <x:v>0</x:v>
      </x:c>
      <x:c r="G305" s="324">
        <x:v>0</x:v>
      </x:c>
      <x:c r="H305" s="324">
        <x:v>0</x:v>
      </x:c>
      <x:c r="I305" s="324">
        <x:v>0</x:v>
      </x:c>
      <x:c r="J305" s="324">
        <x:v>0</x:v>
      </x:c>
      <x:c r="K305" s="324">
        <x:v>0</x:v>
      </x:c>
      <x:c r="L305" s="324">
        <x:v>0</x:v>
      </x:c>
      <x:c r="M305" s="324">
        <x:v>0</x:v>
      </x:c>
      <x:c r="N305" s="324">
        <x:v>0</x:v>
      </x:c>
      <x:c r="O305" s="324">
        <x:v>0</x:v>
      </x:c>
      <x:c r="P305" s="324">
        <x:v>0</x:v>
      </x:c>
      <x:c r="Q305" s="324">
        <x:v>0</x:v>
      </x:c>
      <x:c r="R305" s="324">
        <x:v>0</x:v>
      </x:c>
      <x:c r="S305" s="324">
        <x:v>0</x:v>
      </x:c>
      <x:c r="T305" s="257">
        <x:f t="shared" si="10"/>
        <x:v>0</x:v>
      </x:c>
    </x:row>
    <x:row r="306">
      <x:c r="A306" s="148" t="s">
        <x:v>106</x:v>
      </x:c>
      <x:c r="B306">
        <x:v>8</x:v>
      </x:c>
      <x:c r="C306" s="148" t="s">
        <x:v>115</x:v>
      </x:c>
      <x:c r="D306">
        <x:v>801</x:v>
      </x:c>
      <x:c r="E306" s="324">
        <x:v>0</x:v>
      </x:c>
      <x:c r="F306" s="324">
        <x:v>0</x:v>
      </x:c>
      <x:c r="G306" s="324">
        <x:v>0</x:v>
      </x:c>
      <x:c r="H306" s="324">
        <x:v>0</x:v>
      </x:c>
      <x:c r="I306" s="324">
        <x:v>0</x:v>
      </x:c>
      <x:c r="J306" s="324">
        <x:v>0</x:v>
      </x:c>
      <x:c r="K306" s="324">
        <x:v>0</x:v>
      </x:c>
      <x:c r="L306" s="324">
        <x:v>0</x:v>
      </x:c>
      <x:c r="M306" s="324">
        <x:v>0</x:v>
      </x:c>
      <x:c r="N306" s="324">
        <x:v>0</x:v>
      </x:c>
      <x:c r="O306" s="324">
        <x:v>0</x:v>
      </x:c>
      <x:c r="P306" s="324">
        <x:v>0</x:v>
      </x:c>
      <x:c r="Q306" s="324">
        <x:v>0</x:v>
      </x:c>
      <x:c r="R306" s="324">
        <x:v>0</x:v>
      </x:c>
      <x:c r="S306" s="324">
        <x:v>0</x:v>
      </x:c>
      <x:c r="T306" s="257">
        <x:f t="shared" si="10"/>
        <x:v>0</x:v>
      </x:c>
    </x:row>
    <x:row r="307">
      <x:c r="A307" s="148" t="s">
        <x:v>106</x:v>
      </x:c>
      <x:c r="B307">
        <x:v>8</x:v>
      </x:c>
      <x:c r="C307" s="148" t="s">
        <x:v>115</x:v>
      </x:c>
      <x:c r="D307">
        <x:v>802</x:v>
      </x:c>
      <x:c r="E307" s="324">
        <x:v>0</x:v>
      </x:c>
      <x:c r="F307" s="324">
        <x:v>0</x:v>
      </x:c>
      <x:c r="G307" s="324">
        <x:v>0</x:v>
      </x:c>
      <x:c r="H307" s="324">
        <x:v>0</x:v>
      </x:c>
      <x:c r="I307" s="324">
        <x:v>0</x:v>
      </x:c>
      <x:c r="J307" s="324">
        <x:v>0</x:v>
      </x:c>
      <x:c r="K307" s="324">
        <x:v>0</x:v>
      </x:c>
      <x:c r="L307" s="324">
        <x:v>0</x:v>
      </x:c>
      <x:c r="M307" s="324">
        <x:v>0</x:v>
      </x:c>
      <x:c r="N307" s="324">
        <x:v>0</x:v>
      </x:c>
      <x:c r="O307" s="324">
        <x:v>0</x:v>
      </x:c>
      <x:c r="P307" s="324">
        <x:v>0</x:v>
      </x:c>
      <x:c r="Q307" s="324">
        <x:v>0</x:v>
      </x:c>
      <x:c r="R307" s="324">
        <x:v>0</x:v>
      </x:c>
      <x:c r="S307" s="324">
        <x:v>0</x:v>
      </x:c>
      <x:c r="T307" s="257">
        <x:f t="shared" si="10"/>
        <x:v>0</x:v>
      </x:c>
    </x:row>
    <x:row r="308">
      <x:c r="A308" s="148" t="s">
        <x:v>106</x:v>
      </x:c>
      <x:c r="B308">
        <x:v>8</x:v>
      </x:c>
      <x:c r="C308" s="148" t="s">
        <x:v>115</x:v>
      </x:c>
      <x:c r="D308">
        <x:v>803</x:v>
      </x:c>
      <x:c r="E308" s="324">
        <x:v>0</x:v>
      </x:c>
      <x:c r="F308" s="324">
        <x:v>0</x:v>
      </x:c>
      <x:c r="G308" s="324">
        <x:v>0</x:v>
      </x:c>
      <x:c r="H308" s="324">
        <x:v>0</x:v>
      </x:c>
      <x:c r="I308" s="324">
        <x:v>0</x:v>
      </x:c>
      <x:c r="J308" s="324">
        <x:v>0</x:v>
      </x:c>
      <x:c r="K308" s="324">
        <x:v>0</x:v>
      </x:c>
      <x:c r="L308" s="324">
        <x:v>0</x:v>
      </x:c>
      <x:c r="M308" s="324">
        <x:v>0</x:v>
      </x:c>
      <x:c r="N308" s="324">
        <x:v>0</x:v>
      </x:c>
      <x:c r="O308" s="324">
        <x:v>0</x:v>
      </x:c>
      <x:c r="P308" s="324">
        <x:v>0</x:v>
      </x:c>
      <x:c r="Q308" s="324">
        <x:v>0</x:v>
      </x:c>
      <x:c r="R308" s="324">
        <x:v>0</x:v>
      </x:c>
      <x:c r="S308" s="324">
        <x:v>0</x:v>
      </x:c>
      <x:c r="T308" s="257">
        <x:f t="shared" si="10"/>
        <x:v>0</x:v>
      </x:c>
    </x:row>
    <x:row r="309">
      <x:c r="A309" s="148" t="s">
        <x:v>106</x:v>
      </x:c>
      <x:c r="B309">
        <x:v>8</x:v>
      </x:c>
      <x:c r="C309" s="148" t="s">
        <x:v>115</x:v>
      </x:c>
      <x:c r="D309">
        <x:v>804</x:v>
      </x:c>
      <x:c r="E309" s="324">
        <x:v>0</x:v>
      </x:c>
      <x:c r="F309" s="324">
        <x:v>0</x:v>
      </x:c>
      <x:c r="G309" s="324">
        <x:v>0</x:v>
      </x:c>
      <x:c r="H309" s="324">
        <x:v>0</x:v>
      </x:c>
      <x:c r="I309" s="324">
        <x:v>0</x:v>
      </x:c>
      <x:c r="J309" s="324">
        <x:v>0</x:v>
      </x:c>
      <x:c r="K309" s="324">
        <x:v>0</x:v>
      </x:c>
      <x:c r="L309" s="324">
        <x:v>0</x:v>
      </x:c>
      <x:c r="M309" s="324">
        <x:v>0</x:v>
      </x:c>
      <x:c r="N309" s="324">
        <x:v>0</x:v>
      </x:c>
      <x:c r="O309" s="324">
        <x:v>0</x:v>
      </x:c>
      <x:c r="P309" s="324">
        <x:v>0</x:v>
      </x:c>
      <x:c r="Q309" s="324">
        <x:v>0</x:v>
      </x:c>
      <x:c r="R309" s="324">
        <x:v>0</x:v>
      </x:c>
      <x:c r="S309" s="324">
        <x:v>0</x:v>
      </x:c>
      <x:c r="T309" s="257">
        <x:f t="shared" si="10"/>
        <x:v>0</x:v>
      </x:c>
    </x:row>
    <x:row r="310">
      <x:c r="A310" s="148" t="s">
        <x:v>106</x:v>
      </x:c>
      <x:c r="B310">
        <x:v>8</x:v>
      </x:c>
      <x:c r="C310" s="148" t="s">
        <x:v>115</x:v>
      </x:c>
      <x:c r="D310">
        <x:v>805</x:v>
      </x:c>
      <x:c r="E310" s="324">
        <x:v>0</x:v>
      </x:c>
      <x:c r="F310" s="324">
        <x:v>0</x:v>
      </x:c>
      <x:c r="G310" s="324">
        <x:v>0</x:v>
      </x:c>
      <x:c r="H310" s="324">
        <x:v>0</x:v>
      </x:c>
      <x:c r="I310" s="324">
        <x:v>0</x:v>
      </x:c>
      <x:c r="J310" s="324">
        <x:v>0</x:v>
      </x:c>
      <x:c r="K310" s="324">
        <x:v>0</x:v>
      </x:c>
      <x:c r="L310" s="324">
        <x:v>0</x:v>
      </x:c>
      <x:c r="M310" s="324">
        <x:v>0</x:v>
      </x:c>
      <x:c r="N310" s="324">
        <x:v>0</x:v>
      </x:c>
      <x:c r="O310" s="324">
        <x:v>0</x:v>
      </x:c>
      <x:c r="P310" s="324">
        <x:v>0</x:v>
      </x:c>
      <x:c r="Q310" s="324">
        <x:v>0</x:v>
      </x:c>
      <x:c r="R310" s="324">
        <x:v>0</x:v>
      </x:c>
      <x:c r="S310" s="324">
        <x:v>0</x:v>
      </x:c>
      <x:c r="T310" s="257">
        <x:f t="shared" si="10"/>
        <x:v>0</x:v>
      </x:c>
    </x:row>
    <x:row r="311">
      <x:c r="A311" s="148" t="s">
        <x:v>106</x:v>
      </x:c>
      <x:c r="B311">
        <x:v>8</x:v>
      </x:c>
      <x:c r="C311" s="148" t="s">
        <x:v>115</x:v>
      </x:c>
      <x:c r="D311">
        <x:v>806</x:v>
      </x:c>
      <x:c r="E311" s="324">
        <x:v>0</x:v>
      </x:c>
      <x:c r="F311" s="324">
        <x:v>0</x:v>
      </x:c>
      <x:c r="G311" s="324">
        <x:v>0</x:v>
      </x:c>
      <x:c r="H311" s="324">
        <x:v>0</x:v>
      </x:c>
      <x:c r="I311" s="324">
        <x:v>0</x:v>
      </x:c>
      <x:c r="J311" s="324">
        <x:v>0</x:v>
      </x:c>
      <x:c r="K311" s="324">
        <x:v>0</x:v>
      </x:c>
      <x:c r="L311" s="324">
        <x:v>0</x:v>
      </x:c>
      <x:c r="M311" s="324">
        <x:v>0</x:v>
      </x:c>
      <x:c r="N311" s="324">
        <x:v>0</x:v>
      </x:c>
      <x:c r="O311" s="324">
        <x:v>0</x:v>
      </x:c>
      <x:c r="P311" s="324">
        <x:v>0</x:v>
      </x:c>
      <x:c r="Q311" s="324">
        <x:v>0</x:v>
      </x:c>
      <x:c r="R311" s="324">
        <x:v>0</x:v>
      </x:c>
      <x:c r="S311" s="324">
        <x:v>0</x:v>
      </x:c>
      <x:c r="T311" s="257">
        <x:f t="shared" si="10"/>
        <x:v>0</x:v>
      </x:c>
    </x:row>
    <x:row r="312">
      <x:c r="A312" s="148" t="s">
        <x:v>106</x:v>
      </x:c>
      <x:c r="B312">
        <x:v>8</x:v>
      </x:c>
      <x:c r="C312" s="148" t="s">
        <x:v>115</x:v>
      </x:c>
      <x:c r="D312">
        <x:v>807</x:v>
      </x:c>
      <x:c r="E312" s="324">
        <x:v>0</x:v>
      </x:c>
      <x:c r="F312" s="324">
        <x:v>0</x:v>
      </x:c>
      <x:c r="G312" s="324">
        <x:v>0</x:v>
      </x:c>
      <x:c r="H312" s="324">
        <x:v>0</x:v>
      </x:c>
      <x:c r="I312" s="324">
        <x:v>0</x:v>
      </x:c>
      <x:c r="J312" s="324">
        <x:v>0</x:v>
      </x:c>
      <x:c r="K312" s="324">
        <x:v>0</x:v>
      </x:c>
      <x:c r="L312" s="324">
        <x:v>0</x:v>
      </x:c>
      <x:c r="M312" s="324">
        <x:v>0</x:v>
      </x:c>
      <x:c r="N312" s="324">
        <x:v>0</x:v>
      </x:c>
      <x:c r="O312" s="324">
        <x:v>0</x:v>
      </x:c>
      <x:c r="P312" s="324">
        <x:v>0</x:v>
      </x:c>
      <x:c r="Q312" s="324">
        <x:v>0</x:v>
      </x:c>
      <x:c r="R312" s="324">
        <x:v>0</x:v>
      </x:c>
      <x:c r="S312" s="324">
        <x:v>0</x:v>
      </x:c>
      <x:c r="T312" s="257">
        <x:f t="shared" si="10"/>
        <x:v>0</x:v>
      </x:c>
    </x:row>
    <x:row r="313">
      <x:c r="A313" s="148" t="s">
        <x:v>106</x:v>
      </x:c>
      <x:c r="B313">
        <x:v>8</x:v>
      </x:c>
      <x:c r="C313" s="148" t="s">
        <x:v>115</x:v>
      </x:c>
      <x:c r="D313">
        <x:v>808</x:v>
      </x:c>
      <x:c r="E313" s="324">
        <x:v>0</x:v>
      </x:c>
      <x:c r="F313" s="324">
        <x:v>0</x:v>
      </x:c>
      <x:c r="G313" s="324">
        <x:v>0</x:v>
      </x:c>
      <x:c r="H313" s="324">
        <x:v>0</x:v>
      </x:c>
      <x:c r="I313" s="324">
        <x:v>0</x:v>
      </x:c>
      <x:c r="J313" s="324">
        <x:v>0</x:v>
      </x:c>
      <x:c r="K313" s="324">
        <x:v>0</x:v>
      </x:c>
      <x:c r="L313" s="324">
        <x:v>0</x:v>
      </x:c>
      <x:c r="M313" s="324">
        <x:v>0</x:v>
      </x:c>
      <x:c r="N313" s="324">
        <x:v>0</x:v>
      </x:c>
      <x:c r="O313" s="324">
        <x:v>0</x:v>
      </x:c>
      <x:c r="P313" s="324">
        <x:v>0</x:v>
      </x:c>
      <x:c r="Q313" s="324">
        <x:v>0</x:v>
      </x:c>
      <x:c r="R313" s="324">
        <x:v>0</x:v>
      </x:c>
      <x:c r="S313" s="324">
        <x:v>0</x:v>
      </x:c>
      <x:c r="T313" s="257">
        <x:f t="shared" si="10"/>
        <x:v>0</x:v>
      </x:c>
    </x:row>
    <x:row r="314">
      <x:c r="A314" s="148" t="s">
        <x:v>106</x:v>
      </x:c>
      <x:c r="B314">
        <x:v>8</x:v>
      </x:c>
      <x:c r="C314" s="148" t="s">
        <x:v>115</x:v>
      </x:c>
      <x:c r="D314">
        <x:v>809</x:v>
      </x:c>
      <x:c r="E314" s="324">
        <x:v>0</x:v>
      </x:c>
      <x:c r="F314" s="324">
        <x:v>0</x:v>
      </x:c>
      <x:c r="G314" s="324">
        <x:v>0</x:v>
      </x:c>
      <x:c r="H314" s="324">
        <x:v>0</x:v>
      </x:c>
      <x:c r="I314" s="324">
        <x:v>0</x:v>
      </x:c>
      <x:c r="J314" s="324">
        <x:v>0</x:v>
      </x:c>
      <x:c r="K314" s="324">
        <x:v>0</x:v>
      </x:c>
      <x:c r="L314" s="324">
        <x:v>0</x:v>
      </x:c>
      <x:c r="M314" s="324">
        <x:v>0</x:v>
      </x:c>
      <x:c r="N314" s="324">
        <x:v>0</x:v>
      </x:c>
      <x:c r="O314" s="324">
        <x:v>0</x:v>
      </x:c>
      <x:c r="P314" s="324">
        <x:v>0</x:v>
      </x:c>
      <x:c r="Q314" s="324">
        <x:v>0</x:v>
      </x:c>
      <x:c r="R314" s="324">
        <x:v>0</x:v>
      </x:c>
      <x:c r="S314" s="324">
        <x:v>0</x:v>
      </x:c>
      <x:c r="T314" s="257">
        <x:f t="shared" si="10"/>
        <x:v>0</x:v>
      </x:c>
    </x:row>
    <x:row r="315">
      <x:c r="A315" s="148" t="s">
        <x:v>106</x:v>
      </x:c>
      <x:c r="B315">
        <x:v>8</x:v>
      </x:c>
      <x:c r="C315" s="148" t="s">
        <x:v>115</x:v>
      </x:c>
      <x:c r="D315">
        <x:v>810</x:v>
      </x:c>
      <x:c r="E315" s="324">
        <x:v>0</x:v>
      </x:c>
      <x:c r="F315" s="324">
        <x:v>0</x:v>
      </x:c>
      <x:c r="G315" s="324">
        <x:v>0</x:v>
      </x:c>
      <x:c r="H315" s="324">
        <x:v>0</x:v>
      </x:c>
      <x:c r="I315" s="324">
        <x:v>0</x:v>
      </x:c>
      <x:c r="J315" s="324">
        <x:v>0</x:v>
      </x:c>
      <x:c r="K315" s="324">
        <x:v>0</x:v>
      </x:c>
      <x:c r="L315" s="324">
        <x:v>0</x:v>
      </x:c>
      <x:c r="M315" s="324">
        <x:v>0</x:v>
      </x:c>
      <x:c r="N315" s="324">
        <x:v>0</x:v>
      </x:c>
      <x:c r="O315" s="324">
        <x:v>0</x:v>
      </x:c>
      <x:c r="P315" s="324">
        <x:v>0</x:v>
      </x:c>
      <x:c r="Q315" s="324">
        <x:v>0</x:v>
      </x:c>
      <x:c r="R315" s="324">
        <x:v>0</x:v>
      </x:c>
      <x:c r="S315" s="324">
        <x:v>0</x:v>
      </x:c>
      <x:c r="T315" s="257">
        <x:f t="shared" si="10"/>
        <x:v>0</x:v>
      </x:c>
    </x:row>
    <x:row r="316">
      <x:c r="A316" s="148" t="s">
        <x:v>106</x:v>
      </x:c>
      <x:c r="B316">
        <x:v>8</x:v>
      </x:c>
      <x:c r="C316" s="148" t="s">
        <x:v>115</x:v>
      </x:c>
      <x:c r="D316">
        <x:v>811</x:v>
      </x:c>
      <x:c r="E316" s="324">
        <x:v>0</x:v>
      </x:c>
      <x:c r="F316" s="324">
        <x:v>0</x:v>
      </x:c>
      <x:c r="G316" s="324">
        <x:v>0</x:v>
      </x:c>
      <x:c r="H316" s="324">
        <x:v>0</x:v>
      </x:c>
      <x:c r="I316" s="324">
        <x:v>0</x:v>
      </x:c>
      <x:c r="J316" s="324">
        <x:v>0</x:v>
      </x:c>
      <x:c r="K316" s="324">
        <x:v>0</x:v>
      </x:c>
      <x:c r="L316" s="324">
        <x:v>0</x:v>
      </x:c>
      <x:c r="M316" s="324">
        <x:v>0</x:v>
      </x:c>
      <x:c r="N316" s="324">
        <x:v>0</x:v>
      </x:c>
      <x:c r="O316" s="324">
        <x:v>0</x:v>
      </x:c>
      <x:c r="P316" s="324">
        <x:v>0</x:v>
      </x:c>
      <x:c r="Q316" s="324">
        <x:v>0</x:v>
      </x:c>
      <x:c r="R316" s="324">
        <x:v>0</x:v>
      </x:c>
      <x:c r="S316" s="324">
        <x:v>0</x:v>
      </x:c>
      <x:c r="T316" s="257">
        <x:f t="shared" si="10"/>
        <x:v>0</x:v>
      </x:c>
    </x:row>
    <x:row r="317">
      <x:c r="A317" s="148" t="s">
        <x:v>106</x:v>
      </x:c>
      <x:c r="B317">
        <x:v>8</x:v>
      </x:c>
      <x:c r="C317" s="148" t="s">
        <x:v>115</x:v>
      </x:c>
      <x:c r="D317">
        <x:v>812</x:v>
      </x:c>
      <x:c r="E317" s="324">
        <x:v>0</x:v>
      </x:c>
      <x:c r="F317" s="324">
        <x:v>0</x:v>
      </x:c>
      <x:c r="G317" s="324">
        <x:v>0</x:v>
      </x:c>
      <x:c r="H317" s="324">
        <x:v>0</x:v>
      </x:c>
      <x:c r="I317" s="324">
        <x:v>0</x:v>
      </x:c>
      <x:c r="J317" s="324">
        <x:v>0</x:v>
      </x:c>
      <x:c r="K317" s="324">
        <x:v>0</x:v>
      </x:c>
      <x:c r="L317" s="324">
        <x:v>0</x:v>
      </x:c>
      <x:c r="M317" s="324">
        <x:v>0</x:v>
      </x:c>
      <x:c r="N317" s="324">
        <x:v>0</x:v>
      </x:c>
      <x:c r="O317" s="324">
        <x:v>0</x:v>
      </x:c>
      <x:c r="P317" s="324">
        <x:v>0</x:v>
      </x:c>
      <x:c r="Q317" s="324">
        <x:v>0</x:v>
      </x:c>
      <x:c r="R317" s="324">
        <x:v>0</x:v>
      </x:c>
      <x:c r="S317" s="324">
        <x:v>0</x:v>
      </x:c>
      <x:c r="T317" s="257">
        <x:f t="shared" si="10"/>
        <x:v>0</x:v>
      </x:c>
    </x:row>
    <x:row r="318">
      <x:c r="A318" s="148" t="s">
        <x:v>106</x:v>
      </x:c>
      <x:c r="B318">
        <x:v>8</x:v>
      </x:c>
      <x:c r="C318" s="148" t="s">
        <x:v>115</x:v>
      </x:c>
      <x:c r="D318">
        <x:v>813</x:v>
      </x:c>
      <x:c r="E318" s="324">
        <x:v>0</x:v>
      </x:c>
      <x:c r="F318" s="324">
        <x:v>0</x:v>
      </x:c>
      <x:c r="G318" s="324">
        <x:v>0</x:v>
      </x:c>
      <x:c r="H318" s="324">
        <x:v>0</x:v>
      </x:c>
      <x:c r="I318" s="324">
        <x:v>0</x:v>
      </x:c>
      <x:c r="J318" s="324">
        <x:v>0</x:v>
      </x:c>
      <x:c r="K318" s="324">
        <x:v>0</x:v>
      </x:c>
      <x:c r="L318" s="324">
        <x:v>0</x:v>
      </x:c>
      <x:c r="M318" s="324">
        <x:v>0</x:v>
      </x:c>
      <x:c r="N318" s="324">
        <x:v>0</x:v>
      </x:c>
      <x:c r="O318" s="324">
        <x:v>0</x:v>
      </x:c>
      <x:c r="P318" s="324">
        <x:v>0</x:v>
      </x:c>
      <x:c r="Q318" s="324">
        <x:v>0</x:v>
      </x:c>
      <x:c r="R318" s="324">
        <x:v>0</x:v>
      </x:c>
      <x:c r="S318" s="324">
        <x:v>0</x:v>
      </x:c>
      <x:c r="T318" s="257">
        <x:f t="shared" si="10"/>
        <x:v>0</x:v>
      </x:c>
    </x:row>
    <x:row r="319">
      <x:c r="A319" s="148" t="s">
        <x:v>106</x:v>
      </x:c>
      <x:c r="B319">
        <x:v>8</x:v>
      </x:c>
      <x:c r="C319" s="148" t="s">
        <x:v>115</x:v>
      </x:c>
      <x:c r="D319">
        <x:v>814</x:v>
      </x:c>
      <x:c r="E319" s="324">
        <x:v>0</x:v>
      </x:c>
      <x:c r="F319" s="324">
        <x:v>0</x:v>
      </x:c>
      <x:c r="G319" s="324">
        <x:v>0</x:v>
      </x:c>
      <x:c r="H319" s="324">
        <x:v>0</x:v>
      </x:c>
      <x:c r="I319" s="324">
        <x:v>0</x:v>
      </x:c>
      <x:c r="J319" s="324">
        <x:v>0</x:v>
      </x:c>
      <x:c r="K319" s="324">
        <x:v>0</x:v>
      </x:c>
      <x:c r="L319" s="324">
        <x:v>0</x:v>
      </x:c>
      <x:c r="M319" s="324">
        <x:v>0</x:v>
      </x:c>
      <x:c r="N319" s="324">
        <x:v>0</x:v>
      </x:c>
      <x:c r="O319" s="324">
        <x:v>0</x:v>
      </x:c>
      <x:c r="P319" s="324">
        <x:v>0</x:v>
      </x:c>
      <x:c r="Q319" s="324">
        <x:v>0</x:v>
      </x:c>
      <x:c r="R319" s="324">
        <x:v>0</x:v>
      </x:c>
      <x:c r="S319" s="324">
        <x:v>0</x:v>
      </x:c>
      <x:c r="T319" s="257">
        <x:f t="shared" si="10"/>
        <x:v>0</x:v>
      </x:c>
    </x:row>
    <x:row r="320">
      <x:c r="A320" s="148" t="s">
        <x:v>106</x:v>
      </x:c>
      <x:c r="B320">
        <x:v>8</x:v>
      </x:c>
      <x:c r="C320" s="148" t="s">
        <x:v>115</x:v>
      </x:c>
      <x:c r="D320">
        <x:v>815</x:v>
      </x:c>
      <x:c r="E320" s="324">
        <x:v>0</x:v>
      </x:c>
      <x:c r="F320" s="324">
        <x:v>0</x:v>
      </x:c>
      <x:c r="G320" s="324">
        <x:v>0</x:v>
      </x:c>
      <x:c r="H320" s="324">
        <x:v>0</x:v>
      </x:c>
      <x:c r="I320" s="324">
        <x:v>0</x:v>
      </x:c>
      <x:c r="J320" s="324">
        <x:v>0</x:v>
      </x:c>
      <x:c r="K320" s="324">
        <x:v>0</x:v>
      </x:c>
      <x:c r="L320" s="324">
        <x:v>0</x:v>
      </x:c>
      <x:c r="M320" s="324">
        <x:v>0</x:v>
      </x:c>
      <x:c r="N320" s="324">
        <x:v>0</x:v>
      </x:c>
      <x:c r="O320" s="324">
        <x:v>0</x:v>
      </x:c>
      <x:c r="P320" s="324">
        <x:v>0</x:v>
      </x:c>
      <x:c r="Q320" s="324">
        <x:v>0</x:v>
      </x:c>
      <x:c r="R320" s="324">
        <x:v>0</x:v>
      </x:c>
      <x:c r="S320" s="324">
        <x:v>0</x:v>
      </x:c>
      <x:c r="T320" s="257">
        <x:f t="shared" si="10"/>
        <x:v>0</x:v>
      </x:c>
    </x:row>
    <x:row r="321">
      <x:c r="A321" s="148" t="s">
        <x:v>106</x:v>
      </x:c>
      <x:c r="B321">
        <x:v>8</x:v>
      </x:c>
      <x:c r="C321" s="148" t="s">
        <x:v>115</x:v>
      </x:c>
      <x:c r="D321">
        <x:v>816</x:v>
      </x:c>
      <x:c r="E321" s="324">
        <x:v>0</x:v>
      </x:c>
      <x:c r="F321" s="324">
        <x:v>0</x:v>
      </x:c>
      <x:c r="G321" s="324">
        <x:v>0</x:v>
      </x:c>
      <x:c r="H321" s="324">
        <x:v>0</x:v>
      </x:c>
      <x:c r="I321" s="324">
        <x:v>0</x:v>
      </x:c>
      <x:c r="J321" s="324">
        <x:v>0</x:v>
      </x:c>
      <x:c r="K321" s="324">
        <x:v>0</x:v>
      </x:c>
      <x:c r="L321" s="324">
        <x:v>0</x:v>
      </x:c>
      <x:c r="M321" s="324">
        <x:v>0</x:v>
      </x:c>
      <x:c r="N321" s="324">
        <x:v>0</x:v>
      </x:c>
      <x:c r="O321" s="324">
        <x:v>0</x:v>
      </x:c>
      <x:c r="P321" s="324">
        <x:v>0</x:v>
      </x:c>
      <x:c r="Q321" s="324">
        <x:v>0</x:v>
      </x:c>
      <x:c r="R321" s="324">
        <x:v>0</x:v>
      </x:c>
      <x:c r="S321" s="324">
        <x:v>0</x:v>
      </x:c>
      <x:c r="T321" s="257">
        <x:f t="shared" si="10"/>
        <x:v>0</x:v>
      </x:c>
    </x:row>
    <x:row r="322">
      <x:c r="A322" s="148" t="s">
        <x:v>106</x:v>
      </x:c>
      <x:c r="B322">
        <x:v>8</x:v>
      </x:c>
      <x:c r="C322" s="148" t="s">
        <x:v>115</x:v>
      </x:c>
      <x:c r="D322">
        <x:v>817</x:v>
      </x:c>
      <x:c r="E322" s="324">
        <x:v>0</x:v>
      </x:c>
      <x:c r="F322" s="324">
        <x:v>0</x:v>
      </x:c>
      <x:c r="G322" s="324">
        <x:v>0</x:v>
      </x:c>
      <x:c r="H322" s="324">
        <x:v>0</x:v>
      </x:c>
      <x:c r="I322" s="324">
        <x:v>0</x:v>
      </x:c>
      <x:c r="J322" s="324">
        <x:v>0</x:v>
      </x:c>
      <x:c r="K322" s="324">
        <x:v>0</x:v>
      </x:c>
      <x:c r="L322" s="324">
        <x:v>0</x:v>
      </x:c>
      <x:c r="M322" s="324">
        <x:v>0</x:v>
      </x:c>
      <x:c r="N322" s="324">
        <x:v>0</x:v>
      </x:c>
      <x:c r="O322" s="324">
        <x:v>0</x:v>
      </x:c>
      <x:c r="P322" s="324">
        <x:v>0</x:v>
      </x:c>
      <x:c r="Q322" s="324">
        <x:v>0</x:v>
      </x:c>
      <x:c r="R322" s="324">
        <x:v>0</x:v>
      </x:c>
      <x:c r="S322" s="324">
        <x:v>0</x:v>
      </x:c>
      <x:c r="T322" s="257">
        <x:f t="shared" si="10"/>
        <x:v>0</x:v>
      </x:c>
    </x:row>
    <x:row r="323">
      <x:c r="A323" s="148" t="s">
        <x:v>106</x:v>
      </x:c>
      <x:c r="B323">
        <x:v>8</x:v>
      </x:c>
      <x:c r="C323" s="148" t="s">
        <x:v>115</x:v>
      </x:c>
      <x:c r="D323">
        <x:v>818</x:v>
      </x:c>
      <x:c r="E323" s="324">
        <x:v>0</x:v>
      </x:c>
      <x:c r="F323" s="324">
        <x:v>0</x:v>
      </x:c>
      <x:c r="G323" s="324">
        <x:v>0</x:v>
      </x:c>
      <x:c r="H323" s="324">
        <x:v>0</x:v>
      </x:c>
      <x:c r="I323" s="324">
        <x:v>0</x:v>
      </x:c>
      <x:c r="J323" s="324">
        <x:v>0</x:v>
      </x:c>
      <x:c r="K323" s="324">
        <x:v>0</x:v>
      </x:c>
      <x:c r="L323" s="324">
        <x:v>0</x:v>
      </x:c>
      <x:c r="M323" s="324">
        <x:v>0</x:v>
      </x:c>
      <x:c r="N323" s="324">
        <x:v>0</x:v>
      </x:c>
      <x:c r="O323" s="324">
        <x:v>0</x:v>
      </x:c>
      <x:c r="P323" s="324">
        <x:v>0</x:v>
      </x:c>
      <x:c r="Q323" s="324">
        <x:v>0</x:v>
      </x:c>
      <x:c r="R323" s="324">
        <x:v>0</x:v>
      </x:c>
      <x:c r="S323" s="324">
        <x:v>0</x:v>
      </x:c>
      <x:c r="T323" s="257" t="n">
        <x:f t="shared" ref="T323:T369" si="12">AVERAGE(E323:S323)</x:f>
        <x:v>0</x:v>
      </x:c>
    </x:row>
    <x:row r="324">
      <x:c r="A324" s="148" t="s">
        <x:v>106</x:v>
      </x:c>
      <x:c r="B324">
        <x:v>8</x:v>
      </x:c>
      <x:c r="C324" s="148" t="s">
        <x:v>115</x:v>
      </x:c>
      <x:c r="D324">
        <x:v>819</x:v>
      </x:c>
      <x:c r="E324" s="324">
        <x:v>0</x:v>
      </x:c>
      <x:c r="F324" s="324">
        <x:v>0</x:v>
      </x:c>
      <x:c r="G324" s="324">
        <x:v>0</x:v>
      </x:c>
      <x:c r="H324" s="324">
        <x:v>0</x:v>
      </x:c>
      <x:c r="I324" s="324">
        <x:v>0</x:v>
      </x:c>
      <x:c r="J324" s="324">
        <x:v>0</x:v>
      </x:c>
      <x:c r="K324" s="324">
        <x:v>0</x:v>
      </x:c>
      <x:c r="L324" s="324">
        <x:v>0</x:v>
      </x:c>
      <x:c r="M324" s="324">
        <x:v>0</x:v>
      </x:c>
      <x:c r="N324" s="324">
        <x:v>0</x:v>
      </x:c>
      <x:c r="O324" s="324">
        <x:v>0</x:v>
      </x:c>
      <x:c r="P324" s="324">
        <x:v>0</x:v>
      </x:c>
      <x:c r="Q324" s="324">
        <x:v>0</x:v>
      </x:c>
      <x:c r="R324" s="324">
        <x:v>0</x:v>
      </x:c>
      <x:c r="S324" s="324">
        <x:v>0</x:v>
      </x:c>
      <x:c r="T324" s="257">
        <x:f t="shared" si="12"/>
        <x:v>0</x:v>
      </x:c>
    </x:row>
    <x:row r="325">
      <x:c r="A325" s="148" t="s">
        <x:v>106</x:v>
      </x:c>
      <x:c r="B325">
        <x:v>8</x:v>
      </x:c>
      <x:c r="C325" s="148" t="s">
        <x:v>115</x:v>
      </x:c>
      <x:c r="D325">
        <x:v>820</x:v>
      </x:c>
      <x:c r="E325" s="324">
        <x:v>0</x:v>
      </x:c>
      <x:c r="F325" s="324">
        <x:v>0</x:v>
      </x:c>
      <x:c r="G325" s="324">
        <x:v>0</x:v>
      </x:c>
      <x:c r="H325" s="324">
        <x:v>0</x:v>
      </x:c>
      <x:c r="I325" s="324">
        <x:v>0</x:v>
      </x:c>
      <x:c r="J325" s="324">
        <x:v>0</x:v>
      </x:c>
      <x:c r="K325" s="324">
        <x:v>0</x:v>
      </x:c>
      <x:c r="L325" s="324">
        <x:v>0</x:v>
      </x:c>
      <x:c r="M325" s="324">
        <x:v>0</x:v>
      </x:c>
      <x:c r="N325" s="324">
        <x:v>0</x:v>
      </x:c>
      <x:c r="O325" s="324">
        <x:v>0</x:v>
      </x:c>
      <x:c r="P325" s="324">
        <x:v>0</x:v>
      </x:c>
      <x:c r="Q325" s="324">
        <x:v>0</x:v>
      </x:c>
      <x:c r="R325" s="324">
        <x:v>0</x:v>
      </x:c>
      <x:c r="S325" s="324">
        <x:v>0</x:v>
      </x:c>
      <x:c r="T325" s="257">
        <x:f t="shared" si="12"/>
        <x:v>0</x:v>
      </x:c>
    </x:row>
    <x:row r="326">
      <x:c r="A326" s="148" t="s">
        <x:v>106</x:v>
      </x:c>
      <x:c r="B326">
        <x:v>8</x:v>
      </x:c>
      <x:c r="C326" s="148" t="s">
        <x:v>115</x:v>
      </x:c>
      <x:c r="D326">
        <x:v>821</x:v>
      </x:c>
      <x:c r="E326" s="324">
        <x:v>0</x:v>
      </x:c>
      <x:c r="F326" s="324">
        <x:v>0</x:v>
      </x:c>
      <x:c r="G326" s="324">
        <x:v>0</x:v>
      </x:c>
      <x:c r="H326" s="324">
        <x:v>0</x:v>
      </x:c>
      <x:c r="I326" s="324">
        <x:v>0</x:v>
      </x:c>
      <x:c r="J326" s="324">
        <x:v>0</x:v>
      </x:c>
      <x:c r="K326" s="324">
        <x:v>0</x:v>
      </x:c>
      <x:c r="L326" s="324">
        <x:v>0</x:v>
      </x:c>
      <x:c r="M326" s="324">
        <x:v>0</x:v>
      </x:c>
      <x:c r="N326" s="324">
        <x:v>0</x:v>
      </x:c>
      <x:c r="O326" s="324">
        <x:v>0</x:v>
      </x:c>
      <x:c r="P326" s="324">
        <x:v>0</x:v>
      </x:c>
      <x:c r="Q326" s="324">
        <x:v>0</x:v>
      </x:c>
      <x:c r="R326" s="324">
        <x:v>0</x:v>
      </x:c>
      <x:c r="S326" s="324">
        <x:v>0</x:v>
      </x:c>
      <x:c r="T326" s="257">
        <x:f t="shared" si="12"/>
        <x:v>0</x:v>
      </x:c>
    </x:row>
    <x:row r="327">
      <x:c r="A327" s="148"/>
      <x:c r="B327"/>
      <x:c r="C327" s="148"/>
      <x:c r="D327"/>
      <x:c r="E327" s="324"/>
      <x:c r="F327" s="324">
        <x:f t="shared" ref="F327:S327" si="13">AVERAGE(F283:F326)</x:f>
      </x:c>
      <x:c r="G327" s="324">
        <x:f t="shared" si="13"/>
      </x:c>
      <x:c r="H327" s="324">
        <x:f t="shared" si="13"/>
      </x:c>
      <x:c r="I327" s="324">
        <x:f t="shared" si="13"/>
      </x:c>
      <x:c r="J327" s="324">
        <x:f t="shared" si="13"/>
      </x:c>
      <x:c r="K327" s="324">
        <x:f t="shared" si="13"/>
      </x:c>
      <x:c r="L327" s="324">
        <x:f t="shared" si="13"/>
      </x:c>
      <x:c r="M327" s="324">
        <x:f t="shared" si="13"/>
      </x:c>
      <x:c r="N327" s="324">
        <x:f t="shared" si="13"/>
      </x:c>
      <x:c r="O327" s="324">
        <x:f t="shared" si="13"/>
      </x:c>
      <x:c r="P327" s="324">
        <x:f t="shared" si="13"/>
      </x:c>
      <x:c r="Q327" s="324">
        <x:f t="shared" si="13"/>
      </x:c>
      <x:c r="R327" s="324">
        <x:f t="shared" si="13"/>
      </x:c>
      <x:c r="S327" s="324">
        <x:f t="shared" si="13"/>
      </x:c>
      <x:c r="T327" s="257">
        <x:f t="shared" si="12"/>
      </x:c>
    </x:row>
    <x:row r="328">
      <x:c r="A328" s="148" t="s">
        <x:v>106</x:v>
      </x:c>
      <x:c r="B328">
        <x:v>9</x:v>
      </x:c>
      <x:c r="C328" s="148" t="s">
        <x:v>116</x:v>
      </x:c>
      <x:c r="D328">
        <x:v>901</x:v>
      </x:c>
      <x:c r="E328" s="324">
        <x:v>0</x:v>
      </x:c>
      <x:c r="F328" s="324">
        <x:v>0</x:v>
      </x:c>
      <x:c r="G328" s="324">
        <x:v>0</x:v>
      </x:c>
      <x:c r="H328" s="324">
        <x:v>0</x:v>
      </x:c>
      <x:c r="I328" s="324">
        <x:v>0</x:v>
      </x:c>
      <x:c r="J328" s="324">
        <x:v>0</x:v>
      </x:c>
      <x:c r="K328" s="324">
        <x:v>0</x:v>
      </x:c>
      <x:c r="L328" s="324">
        <x:v>0</x:v>
      </x:c>
      <x:c r="M328" s="324">
        <x:v>0</x:v>
      </x:c>
      <x:c r="N328" s="324">
        <x:v>0</x:v>
      </x:c>
      <x:c r="O328" s="324">
        <x:v>0</x:v>
      </x:c>
      <x:c r="P328" s="324">
        <x:v>0</x:v>
      </x:c>
      <x:c r="Q328" s="324">
        <x:v>0</x:v>
      </x:c>
      <x:c r="R328" s="324">
        <x:v>0</x:v>
      </x:c>
      <x:c r="S328" s="324">
        <x:v>0</x:v>
      </x:c>
      <x:c r="T328" s="257">
        <x:f t="shared" si="12"/>
        <x:v>0</x:v>
      </x:c>
    </x:row>
    <x:row r="329">
      <x:c r="A329" s="148" t="s">
        <x:v>106</x:v>
      </x:c>
      <x:c r="B329">
        <x:v>9</x:v>
      </x:c>
      <x:c r="C329" s="148" t="s">
        <x:v>116</x:v>
      </x:c>
      <x:c r="D329">
        <x:v>902</x:v>
      </x:c>
      <x:c r="E329" s="324">
        <x:v>0</x:v>
      </x:c>
      <x:c r="F329" s="324">
        <x:v>0</x:v>
      </x:c>
      <x:c r="G329" s="324">
        <x:v>0</x:v>
      </x:c>
      <x:c r="H329" s="324">
        <x:v>0</x:v>
      </x:c>
      <x:c r="I329" s="324">
        <x:v>0</x:v>
      </x:c>
      <x:c r="J329" s="324">
        <x:v>0</x:v>
      </x:c>
      <x:c r="K329" s="324">
        <x:v>0</x:v>
      </x:c>
      <x:c r="L329" s="324">
        <x:v>0</x:v>
      </x:c>
      <x:c r="M329" s="324">
        <x:v>0</x:v>
      </x:c>
      <x:c r="N329" s="324">
        <x:v>0</x:v>
      </x:c>
      <x:c r="O329" s="324">
        <x:v>0</x:v>
      </x:c>
      <x:c r="P329" s="324">
        <x:v>0</x:v>
      </x:c>
      <x:c r="Q329" s="324">
        <x:v>0</x:v>
      </x:c>
      <x:c r="R329" s="324">
        <x:v>0</x:v>
      </x:c>
      <x:c r="S329" s="324">
        <x:v>0</x:v>
      </x:c>
      <x:c r="T329" s="257">
        <x:f t="shared" si="12"/>
        <x:v>0</x:v>
      </x:c>
    </x:row>
    <x:row r="330">
      <x:c r="A330" s="148" t="s">
        <x:v>106</x:v>
      </x:c>
      <x:c r="B330">
        <x:v>9</x:v>
      </x:c>
      <x:c r="C330" s="148" t="s">
        <x:v>116</x:v>
      </x:c>
      <x:c r="D330">
        <x:v>903</x:v>
      </x:c>
      <x:c r="E330" s="324">
        <x:v>0</x:v>
      </x:c>
      <x:c r="F330" s="324">
        <x:v>0</x:v>
      </x:c>
      <x:c r="G330" s="324">
        <x:v>0</x:v>
      </x:c>
      <x:c r="H330" s="324">
        <x:v>0</x:v>
      </x:c>
      <x:c r="I330" s="324">
        <x:v>0</x:v>
      </x:c>
      <x:c r="J330" s="324">
        <x:v>0</x:v>
      </x:c>
      <x:c r="K330" s="324">
        <x:v>0</x:v>
      </x:c>
      <x:c r="L330" s="324">
        <x:v>0</x:v>
      </x:c>
      <x:c r="M330" s="324">
        <x:v>0</x:v>
      </x:c>
      <x:c r="N330" s="324">
        <x:v>0</x:v>
      </x:c>
      <x:c r="O330" s="324">
        <x:v>0</x:v>
      </x:c>
      <x:c r="P330" s="324">
        <x:v>0</x:v>
      </x:c>
      <x:c r="Q330" s="324">
        <x:v>0</x:v>
      </x:c>
      <x:c r="R330" s="324">
        <x:v>0</x:v>
      </x:c>
      <x:c r="S330" s="324">
        <x:v>0</x:v>
      </x:c>
      <x:c r="T330" s="257">
        <x:f t="shared" si="12"/>
        <x:v>0</x:v>
      </x:c>
    </x:row>
    <x:row r="331">
      <x:c r="A331" s="148" t="s">
        <x:v>106</x:v>
      </x:c>
      <x:c r="B331">
        <x:v>9</x:v>
      </x:c>
      <x:c r="C331" s="148" t="s">
        <x:v>116</x:v>
      </x:c>
      <x:c r="D331">
        <x:v>904</x:v>
      </x:c>
      <x:c r="E331" s="324">
        <x:v>0</x:v>
      </x:c>
      <x:c r="F331" s="324">
        <x:v>0</x:v>
      </x:c>
      <x:c r="G331" s="324">
        <x:v>0</x:v>
      </x:c>
      <x:c r="H331" s="324">
        <x:v>0</x:v>
      </x:c>
      <x:c r="I331" s="324">
        <x:v>0</x:v>
      </x:c>
      <x:c r="J331" s="324">
        <x:v>0</x:v>
      </x:c>
      <x:c r="K331" s="324">
        <x:v>0</x:v>
      </x:c>
      <x:c r="L331" s="324">
        <x:v>0</x:v>
      </x:c>
      <x:c r="M331" s="324">
        <x:v>0</x:v>
      </x:c>
      <x:c r="N331" s="324">
        <x:v>0</x:v>
      </x:c>
      <x:c r="O331" s="324">
        <x:v>0</x:v>
      </x:c>
      <x:c r="P331" s="324">
        <x:v>0</x:v>
      </x:c>
      <x:c r="Q331" s="324">
        <x:v>0</x:v>
      </x:c>
      <x:c r="R331" s="324">
        <x:v>0</x:v>
      </x:c>
      <x:c r="S331" s="324">
        <x:v>0</x:v>
      </x:c>
      <x:c r="T331" s="257">
        <x:f t="shared" si="12"/>
        <x:v>0</x:v>
      </x:c>
    </x:row>
    <x:row r="332">
      <x:c r="A332" s="148" t="s">
        <x:v>106</x:v>
      </x:c>
      <x:c r="B332">
        <x:v>9</x:v>
      </x:c>
      <x:c r="C332" s="148" t="s">
        <x:v>116</x:v>
      </x:c>
      <x:c r="D332">
        <x:v>905</x:v>
      </x:c>
      <x:c r="E332" s="324">
        <x:v>0</x:v>
      </x:c>
      <x:c r="F332" s="324">
        <x:v>0</x:v>
      </x:c>
      <x:c r="G332" s="324">
        <x:v>0</x:v>
      </x:c>
      <x:c r="H332" s="324">
        <x:v>0</x:v>
      </x:c>
      <x:c r="I332" s="324">
        <x:v>0</x:v>
      </x:c>
      <x:c r="J332" s="324">
        <x:v>0</x:v>
      </x:c>
      <x:c r="K332" s="324">
        <x:v>0</x:v>
      </x:c>
      <x:c r="L332" s="324">
        <x:v>0</x:v>
      </x:c>
      <x:c r="M332" s="324">
        <x:v>0</x:v>
      </x:c>
      <x:c r="N332" s="324">
        <x:v>0</x:v>
      </x:c>
      <x:c r="O332" s="324">
        <x:v>0</x:v>
      </x:c>
      <x:c r="P332" s="324">
        <x:v>0</x:v>
      </x:c>
      <x:c r="Q332" s="324">
        <x:v>0</x:v>
      </x:c>
      <x:c r="R332" s="324">
        <x:v>0</x:v>
      </x:c>
      <x:c r="S332" s="324">
        <x:v>0</x:v>
      </x:c>
      <x:c r="T332" s="257">
        <x:f t="shared" si="12"/>
        <x:v>0</x:v>
      </x:c>
    </x:row>
    <x:row r="333">
      <x:c r="A333" s="148" t="s">
        <x:v>106</x:v>
      </x:c>
      <x:c r="B333">
        <x:v>9</x:v>
      </x:c>
      <x:c r="C333" s="148" t="s">
        <x:v>116</x:v>
      </x:c>
      <x:c r="D333">
        <x:v>906</x:v>
      </x:c>
      <x:c r="E333" s="324">
        <x:v>0</x:v>
      </x:c>
      <x:c r="F333" s="324">
        <x:v>0</x:v>
      </x:c>
      <x:c r="G333" s="324">
        <x:v>0</x:v>
      </x:c>
      <x:c r="H333" s="324">
        <x:v>0</x:v>
      </x:c>
      <x:c r="I333" s="324">
        <x:v>0</x:v>
      </x:c>
      <x:c r="J333" s="324">
        <x:v>0</x:v>
      </x:c>
      <x:c r="K333" s="324">
        <x:v>0</x:v>
      </x:c>
      <x:c r="L333" s="324">
        <x:v>0</x:v>
      </x:c>
      <x:c r="M333" s="324">
        <x:v>0</x:v>
      </x:c>
      <x:c r="N333" s="324">
        <x:v>0</x:v>
      </x:c>
      <x:c r="O333" s="324">
        <x:v>0</x:v>
      </x:c>
      <x:c r="P333" s="324">
        <x:v>0</x:v>
      </x:c>
      <x:c r="Q333" s="324">
        <x:v>0</x:v>
      </x:c>
      <x:c r="R333" s="324">
        <x:v>0</x:v>
      </x:c>
      <x:c r="S333" s="324">
        <x:v>0</x:v>
      </x:c>
      <x:c r="T333" s="257">
        <x:f t="shared" si="12"/>
        <x:v>0</x:v>
      </x:c>
    </x:row>
    <x:row r="334">
      <x:c r="A334" s="148" t="s">
        <x:v>106</x:v>
      </x:c>
      <x:c r="B334">
        <x:v>9</x:v>
      </x:c>
      <x:c r="C334" s="148" t="s">
        <x:v>116</x:v>
      </x:c>
      <x:c r="D334">
        <x:v>907</x:v>
      </x:c>
      <x:c r="E334" s="324">
        <x:v>0</x:v>
      </x:c>
      <x:c r="F334" s="324">
        <x:v>0</x:v>
      </x:c>
      <x:c r="G334" s="324">
        <x:v>0</x:v>
      </x:c>
      <x:c r="H334" s="324">
        <x:v>0</x:v>
      </x:c>
      <x:c r="I334" s="324">
        <x:v>0</x:v>
      </x:c>
      <x:c r="J334" s="324">
        <x:v>0</x:v>
      </x:c>
      <x:c r="K334" s="324">
        <x:v>0</x:v>
      </x:c>
      <x:c r="L334" s="324">
        <x:v>0</x:v>
      </x:c>
      <x:c r="M334" s="324">
        <x:v>0</x:v>
      </x:c>
      <x:c r="N334" s="324">
        <x:v>0</x:v>
      </x:c>
      <x:c r="O334" s="324">
        <x:v>0</x:v>
      </x:c>
      <x:c r="P334" s="324">
        <x:v>0</x:v>
      </x:c>
      <x:c r="Q334" s="324">
        <x:v>0</x:v>
      </x:c>
      <x:c r="R334" s="324">
        <x:v>0</x:v>
      </x:c>
      <x:c r="S334" s="324">
        <x:v>0</x:v>
      </x:c>
      <x:c r="T334" s="257">
        <x:f t="shared" si="12"/>
        <x:v>0</x:v>
      </x:c>
    </x:row>
    <x:row r="335">
      <x:c r="A335" s="148" t="s">
        <x:v>106</x:v>
      </x:c>
      <x:c r="B335">
        <x:v>9</x:v>
      </x:c>
      <x:c r="C335" s="148" t="s">
        <x:v>116</x:v>
      </x:c>
      <x:c r="D335">
        <x:v>908</x:v>
      </x:c>
      <x:c r="E335" s="324">
        <x:v>0</x:v>
      </x:c>
      <x:c r="F335" s="324">
        <x:v>0</x:v>
      </x:c>
      <x:c r="G335" s="324">
        <x:v>0</x:v>
      </x:c>
      <x:c r="H335" s="324">
        <x:v>0</x:v>
      </x:c>
      <x:c r="I335" s="324">
        <x:v>0</x:v>
      </x:c>
      <x:c r="J335" s="324">
        <x:v>0</x:v>
      </x:c>
      <x:c r="K335" s="324">
        <x:v>0</x:v>
      </x:c>
      <x:c r="L335" s="324">
        <x:v>0</x:v>
      </x:c>
      <x:c r="M335" s="324">
        <x:v>0</x:v>
      </x:c>
      <x:c r="N335" s="324">
        <x:v>0</x:v>
      </x:c>
      <x:c r="O335" s="324">
        <x:v>0</x:v>
      </x:c>
      <x:c r="P335" s="324">
        <x:v>0</x:v>
      </x:c>
      <x:c r="Q335" s="324">
        <x:v>0</x:v>
      </x:c>
      <x:c r="R335" s="324">
        <x:v>0</x:v>
      </x:c>
      <x:c r="S335" s="324">
        <x:v>0</x:v>
      </x:c>
      <x:c r="T335" s="257">
        <x:f t="shared" si="12"/>
        <x:v>0</x:v>
      </x:c>
    </x:row>
    <x:row r="336">
      <x:c r="A336" s="148" t="s">
        <x:v>106</x:v>
      </x:c>
      <x:c r="B336">
        <x:v>9</x:v>
      </x:c>
      <x:c r="C336" s="148" t="s">
        <x:v>116</x:v>
      </x:c>
      <x:c r="D336">
        <x:v>909</x:v>
      </x:c>
      <x:c r="E336" s="324">
        <x:v>0</x:v>
      </x:c>
      <x:c r="F336" s="324">
        <x:v>0</x:v>
      </x:c>
      <x:c r="G336" s="324">
        <x:v>0</x:v>
      </x:c>
      <x:c r="H336" s="324">
        <x:v>0</x:v>
      </x:c>
      <x:c r="I336" s="324">
        <x:v>0</x:v>
      </x:c>
      <x:c r="J336" s="324">
        <x:v>0</x:v>
      </x:c>
      <x:c r="K336" s="324">
        <x:v>0</x:v>
      </x:c>
      <x:c r="L336" s="324">
        <x:v>0</x:v>
      </x:c>
      <x:c r="M336" s="324">
        <x:v>0</x:v>
      </x:c>
      <x:c r="N336" s="324">
        <x:v>0</x:v>
      </x:c>
      <x:c r="O336" s="324">
        <x:v>0</x:v>
      </x:c>
      <x:c r="P336" s="324">
        <x:v>0</x:v>
      </x:c>
      <x:c r="Q336" s="324">
        <x:v>0</x:v>
      </x:c>
      <x:c r="R336" s="324">
        <x:v>0</x:v>
      </x:c>
      <x:c r="S336" s="324">
        <x:v>0</x:v>
      </x:c>
      <x:c r="T336" s="257">
        <x:f t="shared" si="12"/>
        <x:v>0</x:v>
      </x:c>
    </x:row>
    <x:row r="337">
      <x:c r="A337" s="148" t="s">
        <x:v>106</x:v>
      </x:c>
      <x:c r="B337">
        <x:v>9</x:v>
      </x:c>
      <x:c r="C337" s="148" t="s">
        <x:v>116</x:v>
      </x:c>
      <x:c r="D337">
        <x:v>910</x:v>
      </x:c>
      <x:c r="E337" s="324">
        <x:v>0</x:v>
      </x:c>
      <x:c r="F337" s="324">
        <x:v>0</x:v>
      </x:c>
      <x:c r="G337" s="324">
        <x:v>0</x:v>
      </x:c>
      <x:c r="H337" s="324">
        <x:v>0</x:v>
      </x:c>
      <x:c r="I337" s="324">
        <x:v>0</x:v>
      </x:c>
      <x:c r="J337" s="324">
        <x:v>0</x:v>
      </x:c>
      <x:c r="K337" s="324">
        <x:v>0</x:v>
      </x:c>
      <x:c r="L337" s="324">
        <x:v>0</x:v>
      </x:c>
      <x:c r="M337" s="324">
        <x:v>0</x:v>
      </x:c>
      <x:c r="N337" s="324">
        <x:v>0</x:v>
      </x:c>
      <x:c r="O337" s="324">
        <x:v>0</x:v>
      </x:c>
      <x:c r="P337" s="324">
        <x:v>0</x:v>
      </x:c>
      <x:c r="Q337" s="324">
        <x:v>0</x:v>
      </x:c>
      <x:c r="R337" s="324">
        <x:v>0</x:v>
      </x:c>
      <x:c r="S337" s="324">
        <x:v>0</x:v>
      </x:c>
      <x:c r="T337" s="257">
        <x:f t="shared" si="12"/>
        <x:v>0</x:v>
      </x:c>
    </x:row>
    <x:row r="338">
      <x:c r="A338" s="148" t="s">
        <x:v>106</x:v>
      </x:c>
      <x:c r="B338">
        <x:v>9</x:v>
      </x:c>
      <x:c r="C338" s="148" t="s">
        <x:v>116</x:v>
      </x:c>
      <x:c r="D338">
        <x:v>911</x:v>
      </x:c>
      <x:c r="E338" s="324">
        <x:v>0</x:v>
      </x:c>
      <x:c r="F338" s="324">
        <x:v>0</x:v>
      </x:c>
      <x:c r="G338" s="324">
        <x:v>0</x:v>
      </x:c>
      <x:c r="H338" s="324">
        <x:v>0</x:v>
      </x:c>
      <x:c r="I338" s="324">
        <x:v>0</x:v>
      </x:c>
      <x:c r="J338" s="324">
        <x:v>0</x:v>
      </x:c>
      <x:c r="K338" s="324">
        <x:v>0</x:v>
      </x:c>
      <x:c r="L338" s="324">
        <x:v>0</x:v>
      </x:c>
      <x:c r="M338" s="324">
        <x:v>0</x:v>
      </x:c>
      <x:c r="N338" s="324">
        <x:v>0</x:v>
      </x:c>
      <x:c r="O338" s="324">
        <x:v>0</x:v>
      </x:c>
      <x:c r="P338" s="324">
        <x:v>0</x:v>
      </x:c>
      <x:c r="Q338" s="324">
        <x:v>0</x:v>
      </x:c>
      <x:c r="R338" s="324">
        <x:v>0</x:v>
      </x:c>
      <x:c r="S338" s="324">
        <x:v>0</x:v>
      </x:c>
      <x:c r="T338" s="257">
        <x:f t="shared" si="12"/>
        <x:v>0</x:v>
      </x:c>
    </x:row>
    <x:row r="339">
      <x:c r="A339" s="148" t="s">
        <x:v>106</x:v>
      </x:c>
      <x:c r="B339">
        <x:v>9</x:v>
      </x:c>
      <x:c r="C339" s="148" t="s">
        <x:v>116</x:v>
      </x:c>
      <x:c r="D339">
        <x:v>912</x:v>
      </x:c>
      <x:c r="E339" s="324">
        <x:v>0</x:v>
      </x:c>
      <x:c r="F339" s="324">
        <x:v>0</x:v>
      </x:c>
      <x:c r="G339" s="324">
        <x:v>0</x:v>
      </x:c>
      <x:c r="H339" s="324">
        <x:v>0</x:v>
      </x:c>
      <x:c r="I339" s="324">
        <x:v>0</x:v>
      </x:c>
      <x:c r="J339" s="324">
        <x:v>0</x:v>
      </x:c>
      <x:c r="K339" s="324">
        <x:v>0</x:v>
      </x:c>
      <x:c r="L339" s="324">
        <x:v>0</x:v>
      </x:c>
      <x:c r="M339" s="324">
        <x:v>0</x:v>
      </x:c>
      <x:c r="N339" s="324">
        <x:v>0</x:v>
      </x:c>
      <x:c r="O339" s="324">
        <x:v>0</x:v>
      </x:c>
      <x:c r="P339" s="324">
        <x:v>0</x:v>
      </x:c>
      <x:c r="Q339" s="324">
        <x:v>0</x:v>
      </x:c>
      <x:c r="R339" s="324">
        <x:v>0</x:v>
      </x:c>
      <x:c r="S339" s="324">
        <x:v>0</x:v>
      </x:c>
      <x:c r="T339" s="257">
        <x:f t="shared" si="12"/>
        <x:v>0</x:v>
      </x:c>
    </x:row>
    <x:row r="340">
      <x:c r="A340" s="148" t="s">
        <x:v>106</x:v>
      </x:c>
      <x:c r="B340">
        <x:v>9</x:v>
      </x:c>
      <x:c r="C340" s="148" t="s">
        <x:v>116</x:v>
      </x:c>
      <x:c r="D340">
        <x:v>913</x:v>
      </x:c>
      <x:c r="E340" s="324">
        <x:v>0</x:v>
      </x:c>
      <x:c r="F340" s="324">
        <x:v>0</x:v>
      </x:c>
      <x:c r="G340" s="324">
        <x:v>0</x:v>
      </x:c>
      <x:c r="H340" s="324">
        <x:v>0</x:v>
      </x:c>
      <x:c r="I340" s="324">
        <x:v>0</x:v>
      </x:c>
      <x:c r="J340" s="324">
        <x:v>0</x:v>
      </x:c>
      <x:c r="K340" s="324">
        <x:v>0</x:v>
      </x:c>
      <x:c r="L340" s="324">
        <x:v>0</x:v>
      </x:c>
      <x:c r="M340" s="324">
        <x:v>0</x:v>
      </x:c>
      <x:c r="N340" s="324">
        <x:v>0</x:v>
      </x:c>
      <x:c r="O340" s="324">
        <x:v>0</x:v>
      </x:c>
      <x:c r="P340" s="324">
        <x:v>0</x:v>
      </x:c>
      <x:c r="Q340" s="324">
        <x:v>0</x:v>
      </x:c>
      <x:c r="R340" s="324">
        <x:v>0</x:v>
      </x:c>
      <x:c r="S340" s="324">
        <x:v>0</x:v>
      </x:c>
      <x:c r="T340" s="257">
        <x:f t="shared" si="12"/>
        <x:v>0</x:v>
      </x:c>
    </x:row>
    <x:row r="341">
      <x:c r="A341" s="148" t="s">
        <x:v>106</x:v>
      </x:c>
      <x:c r="B341">
        <x:v>9</x:v>
      </x:c>
      <x:c r="C341" s="148" t="s">
        <x:v>116</x:v>
      </x:c>
      <x:c r="D341">
        <x:v>914</x:v>
      </x:c>
      <x:c r="E341" s="324">
        <x:v>0</x:v>
      </x:c>
      <x:c r="F341" s="324">
        <x:v>0</x:v>
      </x:c>
      <x:c r="G341" s="324">
        <x:v>0</x:v>
      </x:c>
      <x:c r="H341" s="324">
        <x:v>0</x:v>
      </x:c>
      <x:c r="I341" s="324">
        <x:v>0</x:v>
      </x:c>
      <x:c r="J341" s="324">
        <x:v>0</x:v>
      </x:c>
      <x:c r="K341" s="324">
        <x:v>0</x:v>
      </x:c>
      <x:c r="L341" s="324">
        <x:v>0</x:v>
      </x:c>
      <x:c r="M341" s="324">
        <x:v>0</x:v>
      </x:c>
      <x:c r="N341" s="324">
        <x:v>0</x:v>
      </x:c>
      <x:c r="O341" s="324">
        <x:v>0</x:v>
      </x:c>
      <x:c r="P341" s="324">
        <x:v>0</x:v>
      </x:c>
      <x:c r="Q341" s="324">
        <x:v>0</x:v>
      </x:c>
      <x:c r="R341" s="324">
        <x:v>0</x:v>
      </x:c>
      <x:c r="S341" s="324">
        <x:v>0</x:v>
      </x:c>
      <x:c r="T341" s="257">
        <x:f t="shared" si="12"/>
        <x:v>0</x:v>
      </x:c>
    </x:row>
    <x:row r="342">
      <x:c r="A342" s="148" t="s">
        <x:v>106</x:v>
      </x:c>
      <x:c r="B342">
        <x:v>9</x:v>
      </x:c>
      <x:c r="C342" s="148" t="s">
        <x:v>116</x:v>
      </x:c>
      <x:c r="D342">
        <x:v>915</x:v>
      </x:c>
      <x:c r="E342" s="324">
        <x:v>0</x:v>
      </x:c>
      <x:c r="F342" s="324">
        <x:v>0</x:v>
      </x:c>
      <x:c r="G342" s="324">
        <x:v>0</x:v>
      </x:c>
      <x:c r="H342" s="324">
        <x:v>0</x:v>
      </x:c>
      <x:c r="I342" s="324">
        <x:v>0</x:v>
      </x:c>
      <x:c r="J342" s="324">
        <x:v>0</x:v>
      </x:c>
      <x:c r="K342" s="324">
        <x:v>0</x:v>
      </x:c>
      <x:c r="L342" s="324">
        <x:v>0</x:v>
      </x:c>
      <x:c r="M342" s="324">
        <x:v>0</x:v>
      </x:c>
      <x:c r="N342" s="324">
        <x:v>0</x:v>
      </x:c>
      <x:c r="O342" s="324">
        <x:v>0</x:v>
      </x:c>
      <x:c r="P342" s="324">
        <x:v>0</x:v>
      </x:c>
      <x:c r="Q342" s="324">
        <x:v>0</x:v>
      </x:c>
      <x:c r="R342" s="324">
        <x:v>0</x:v>
      </x:c>
      <x:c r="S342" s="324">
        <x:v>0</x:v>
      </x:c>
      <x:c r="T342" s="257">
        <x:f t="shared" si="12"/>
        <x:v>0</x:v>
      </x:c>
    </x:row>
    <x:row r="343">
      <x:c r="A343" s="148" t="s">
        <x:v>106</x:v>
      </x:c>
      <x:c r="B343">
        <x:v>9</x:v>
      </x:c>
      <x:c r="C343" s="148" t="s">
        <x:v>116</x:v>
      </x:c>
      <x:c r="D343">
        <x:v>916</x:v>
      </x:c>
      <x:c r="E343" s="324">
        <x:v>0</x:v>
      </x:c>
      <x:c r="F343" s="324">
        <x:v>0</x:v>
      </x:c>
      <x:c r="G343" s="324">
        <x:v>0</x:v>
      </x:c>
      <x:c r="H343" s="324">
        <x:v>0</x:v>
      </x:c>
      <x:c r="I343" s="324">
        <x:v>0</x:v>
      </x:c>
      <x:c r="J343" s="324">
        <x:v>0</x:v>
      </x:c>
      <x:c r="K343" s="324">
        <x:v>0</x:v>
      </x:c>
      <x:c r="L343" s="324">
        <x:v>0</x:v>
      </x:c>
      <x:c r="M343" s="324">
        <x:v>0</x:v>
      </x:c>
      <x:c r="N343" s="324">
        <x:v>0</x:v>
      </x:c>
      <x:c r="O343" s="324">
        <x:v>0</x:v>
      </x:c>
      <x:c r="P343" s="324">
        <x:v>0</x:v>
      </x:c>
      <x:c r="Q343" s="324">
        <x:v>0</x:v>
      </x:c>
      <x:c r="R343" s="324">
        <x:v>0</x:v>
      </x:c>
      <x:c r="S343" s="324">
        <x:v>0</x:v>
      </x:c>
      <x:c r="T343" s="257">
        <x:f t="shared" si="12"/>
        <x:v>0</x:v>
      </x:c>
    </x:row>
    <x:row r="344">
      <x:c r="A344" s="148" t="s">
        <x:v>106</x:v>
      </x:c>
      <x:c r="B344">
        <x:v>9</x:v>
      </x:c>
      <x:c r="C344" s="148" t="s">
        <x:v>116</x:v>
      </x:c>
      <x:c r="D344">
        <x:v>917</x:v>
      </x:c>
      <x:c r="E344" s="324">
        <x:v>0</x:v>
      </x:c>
      <x:c r="F344" s="324">
        <x:v>0</x:v>
      </x:c>
      <x:c r="G344" s="324">
        <x:v>0</x:v>
      </x:c>
      <x:c r="H344" s="324">
        <x:v>0</x:v>
      </x:c>
      <x:c r="I344" s="324">
        <x:v>0</x:v>
      </x:c>
      <x:c r="J344" s="324">
        <x:v>0</x:v>
      </x:c>
      <x:c r="K344" s="324">
        <x:v>0</x:v>
      </x:c>
      <x:c r="L344" s="324">
        <x:v>0</x:v>
      </x:c>
      <x:c r="M344" s="324">
        <x:v>0</x:v>
      </x:c>
      <x:c r="N344" s="324">
        <x:v>0</x:v>
      </x:c>
      <x:c r="O344" s="324">
        <x:v>0</x:v>
      </x:c>
      <x:c r="P344" s="324">
        <x:v>0</x:v>
      </x:c>
      <x:c r="Q344" s="324">
        <x:v>0</x:v>
      </x:c>
      <x:c r="R344" s="324">
        <x:v>0</x:v>
      </x:c>
      <x:c r="S344" s="324">
        <x:v>0</x:v>
      </x:c>
      <x:c r="T344" s="257">
        <x:f t="shared" si="12"/>
        <x:v>0</x:v>
      </x:c>
    </x:row>
    <x:row r="345">
      <x:c r="A345" s="148" t="s">
        <x:v>106</x:v>
      </x:c>
      <x:c r="B345">
        <x:v>9</x:v>
      </x:c>
      <x:c r="C345" s="148" t="s">
        <x:v>116</x:v>
      </x:c>
      <x:c r="D345">
        <x:v>918</x:v>
      </x:c>
      <x:c r="E345" s="324">
        <x:v>0</x:v>
      </x:c>
      <x:c r="F345" s="324">
        <x:v>0</x:v>
      </x:c>
      <x:c r="G345" s="324">
        <x:v>0</x:v>
      </x:c>
      <x:c r="H345" s="324">
        <x:v>0</x:v>
      </x:c>
      <x:c r="I345" s="324">
        <x:v>0</x:v>
      </x:c>
      <x:c r="J345" s="324">
        <x:v>0</x:v>
      </x:c>
      <x:c r="K345" s="324">
        <x:v>0</x:v>
      </x:c>
      <x:c r="L345" s="324">
        <x:v>0</x:v>
      </x:c>
      <x:c r="M345" s="324">
        <x:v>0</x:v>
      </x:c>
      <x:c r="N345" s="324">
        <x:v>0</x:v>
      </x:c>
      <x:c r="O345" s="324">
        <x:v>0</x:v>
      </x:c>
      <x:c r="P345" s="324">
        <x:v>0</x:v>
      </x:c>
      <x:c r="Q345" s="324">
        <x:v>0</x:v>
      </x:c>
      <x:c r="R345" s="324">
        <x:v>0</x:v>
      </x:c>
      <x:c r="S345" s="324">
        <x:v>0</x:v>
      </x:c>
      <x:c r="T345" s="257">
        <x:f t="shared" si="12"/>
        <x:v>0</x:v>
      </x:c>
    </x:row>
    <x:row r="346">
      <x:c r="A346" s="148" t="s">
        <x:v>106</x:v>
      </x:c>
      <x:c r="B346">
        <x:v>9</x:v>
      </x:c>
      <x:c r="C346" s="148" t="s">
        <x:v>116</x:v>
      </x:c>
      <x:c r="D346">
        <x:v>919</x:v>
      </x:c>
      <x:c r="E346" s="324">
        <x:v>0</x:v>
      </x:c>
      <x:c r="F346" s="324">
        <x:v>0</x:v>
      </x:c>
      <x:c r="G346" s="324">
        <x:v>0</x:v>
      </x:c>
      <x:c r="H346" s="324">
        <x:v>0</x:v>
      </x:c>
      <x:c r="I346" s="324">
        <x:v>0</x:v>
      </x:c>
      <x:c r="J346" s="324">
        <x:v>0</x:v>
      </x:c>
      <x:c r="K346" s="324">
        <x:v>0</x:v>
      </x:c>
      <x:c r="L346" s="324">
        <x:v>0</x:v>
      </x:c>
      <x:c r="M346" s="324">
        <x:v>0</x:v>
      </x:c>
      <x:c r="N346" s="324">
        <x:v>0</x:v>
      </x:c>
      <x:c r="O346" s="324">
        <x:v>0</x:v>
      </x:c>
      <x:c r="P346" s="324">
        <x:v>0</x:v>
      </x:c>
      <x:c r="Q346" s="324">
        <x:v>0</x:v>
      </x:c>
      <x:c r="R346" s="324">
        <x:v>0</x:v>
      </x:c>
      <x:c r="S346" s="324">
        <x:v>0</x:v>
      </x:c>
      <x:c r="T346" s="257">
        <x:f t="shared" si="12"/>
        <x:v>0</x:v>
      </x:c>
    </x:row>
    <x:row r="347">
      <x:c r="A347" s="148" t="s">
        <x:v>106</x:v>
      </x:c>
      <x:c r="B347">
        <x:v>9</x:v>
      </x:c>
      <x:c r="C347" s="148" t="s">
        <x:v>116</x:v>
      </x:c>
      <x:c r="D347">
        <x:v>923</x:v>
      </x:c>
      <x:c r="E347" s="324">
        <x:v>0</x:v>
      </x:c>
      <x:c r="F347" s="324">
        <x:v>0</x:v>
      </x:c>
      <x:c r="G347" s="324">
        <x:v>0</x:v>
      </x:c>
      <x:c r="H347" s="324">
        <x:v>0</x:v>
      </x:c>
      <x:c r="I347" s="324">
        <x:v>0</x:v>
      </x:c>
      <x:c r="J347" s="324">
        <x:v>0</x:v>
      </x:c>
      <x:c r="K347" s="324">
        <x:v>0</x:v>
      </x:c>
      <x:c r="L347" s="324">
        <x:v>0</x:v>
      </x:c>
      <x:c r="M347" s="324">
        <x:v>0</x:v>
      </x:c>
      <x:c r="N347" s="324">
        <x:v>0</x:v>
      </x:c>
      <x:c r="O347" s="324">
        <x:v>0</x:v>
      </x:c>
      <x:c r="P347" s="324">
        <x:v>0</x:v>
      </x:c>
      <x:c r="Q347" s="324">
        <x:v>0</x:v>
      </x:c>
      <x:c r="R347" s="324">
        <x:v>0</x:v>
      </x:c>
      <x:c r="S347" s="324">
        <x:v>0</x:v>
      </x:c>
      <x:c r="T347" s="257">
        <x:f t="shared" si="12"/>
        <x:v>0</x:v>
      </x:c>
    </x:row>
    <x:row r="348">
      <x:c r="A348" s="148" t="s">
        <x:v>106</x:v>
      </x:c>
      <x:c r="B348">
        <x:v>9</x:v>
      </x:c>
      <x:c r="C348" s="148" t="s">
        <x:v>115</x:v>
      </x:c>
      <x:c r="D348">
        <x:v>901</x:v>
      </x:c>
      <x:c r="E348" s="324">
        <x:v>0</x:v>
      </x:c>
      <x:c r="F348" s="324">
        <x:v>0</x:v>
      </x:c>
      <x:c r="G348" s="324">
        <x:v>0</x:v>
      </x:c>
      <x:c r="H348" s="324">
        <x:v>0</x:v>
      </x:c>
      <x:c r="I348" s="324">
        <x:v>0</x:v>
      </x:c>
      <x:c r="J348" s="324">
        <x:v>0</x:v>
      </x:c>
      <x:c r="K348" s="324">
        <x:v>0</x:v>
      </x:c>
      <x:c r="L348" s="324">
        <x:v>0</x:v>
      </x:c>
      <x:c r="M348" s="324">
        <x:v>0</x:v>
      </x:c>
      <x:c r="N348" s="324">
        <x:v>0</x:v>
      </x:c>
      <x:c r="O348" s="324">
        <x:v>0</x:v>
      </x:c>
      <x:c r="P348" s="324">
        <x:v>0</x:v>
      </x:c>
      <x:c r="Q348" s="324">
        <x:v>0</x:v>
      </x:c>
      <x:c r="R348" s="324">
        <x:v>0</x:v>
      </x:c>
      <x:c r="S348" s="324">
        <x:v>0</x:v>
      </x:c>
      <x:c r="T348" s="257">
        <x:f t="shared" si="12"/>
        <x:v>0</x:v>
      </x:c>
    </x:row>
    <x:row r="349">
      <x:c r="A349" s="148" t="s">
        <x:v>106</x:v>
      </x:c>
      <x:c r="B349">
        <x:v>9</x:v>
      </x:c>
      <x:c r="C349" s="148" t="s">
        <x:v>115</x:v>
      </x:c>
      <x:c r="D349">
        <x:v>902</x:v>
      </x:c>
      <x:c r="E349" s="324">
        <x:v>0</x:v>
      </x:c>
      <x:c r="F349" s="324">
        <x:v>0</x:v>
      </x:c>
      <x:c r="G349" s="324">
        <x:v>0</x:v>
      </x:c>
      <x:c r="H349" s="324">
        <x:v>0</x:v>
      </x:c>
      <x:c r="I349" s="324">
        <x:v>0</x:v>
      </x:c>
      <x:c r="J349" s="324">
        <x:v>0</x:v>
      </x:c>
      <x:c r="K349" s="324">
        <x:v>0</x:v>
      </x:c>
      <x:c r="L349" s="324">
        <x:v>0</x:v>
      </x:c>
      <x:c r="M349" s="324">
        <x:v>0</x:v>
      </x:c>
      <x:c r="N349" s="324">
        <x:v>0</x:v>
      </x:c>
      <x:c r="O349" s="324">
        <x:v>0</x:v>
      </x:c>
      <x:c r="P349" s="324">
        <x:v>0</x:v>
      </x:c>
      <x:c r="Q349" s="324">
        <x:v>0</x:v>
      </x:c>
      <x:c r="R349" s="324">
        <x:v>0</x:v>
      </x:c>
      <x:c r="S349" s="324">
        <x:v>0</x:v>
      </x:c>
      <x:c r="T349" s="257">
        <x:f t="shared" si="12"/>
        <x:v>0</x:v>
      </x:c>
    </x:row>
    <x:row r="350">
      <x:c r="A350" s="148" t="s">
        <x:v>106</x:v>
      </x:c>
      <x:c r="B350">
        <x:v>9</x:v>
      </x:c>
      <x:c r="C350" s="148" t="s">
        <x:v>115</x:v>
      </x:c>
      <x:c r="D350">
        <x:v>903</x:v>
      </x:c>
      <x:c r="E350" s="324">
        <x:v>0</x:v>
      </x:c>
      <x:c r="F350" s="324">
        <x:v>0</x:v>
      </x:c>
      <x:c r="G350" s="324">
        <x:v>0</x:v>
      </x:c>
      <x:c r="H350" s="324">
        <x:v>0</x:v>
      </x:c>
      <x:c r="I350" s="324">
        <x:v>0</x:v>
      </x:c>
      <x:c r="J350" s="324">
        <x:v>0</x:v>
      </x:c>
      <x:c r="K350" s="324">
        <x:v>0</x:v>
      </x:c>
      <x:c r="L350" s="324">
        <x:v>0</x:v>
      </x:c>
      <x:c r="M350" s="324">
        <x:v>0</x:v>
      </x:c>
      <x:c r="N350" s="324">
        <x:v>0</x:v>
      </x:c>
      <x:c r="O350" s="324">
        <x:v>0</x:v>
      </x:c>
      <x:c r="P350" s="324">
        <x:v>0</x:v>
      </x:c>
      <x:c r="Q350" s="324">
        <x:v>0</x:v>
      </x:c>
      <x:c r="R350" s="324">
        <x:v>0</x:v>
      </x:c>
      <x:c r="S350" s="324">
        <x:v>0</x:v>
      </x:c>
      <x:c r="T350" s="257">
        <x:f t="shared" si="12"/>
        <x:v>0</x:v>
      </x:c>
    </x:row>
    <x:row r="351">
      <x:c r="A351" s="148" t="s">
        <x:v>106</x:v>
      </x:c>
      <x:c r="B351">
        <x:v>9</x:v>
      </x:c>
      <x:c r="C351" s="148" t="s">
        <x:v>115</x:v>
      </x:c>
      <x:c r="D351">
        <x:v>904</x:v>
      </x:c>
      <x:c r="E351" s="324">
        <x:v>0</x:v>
      </x:c>
      <x:c r="F351" s="324">
        <x:v>0</x:v>
      </x:c>
      <x:c r="G351" s="324">
        <x:v>0</x:v>
      </x:c>
      <x:c r="H351" s="324">
        <x:v>0</x:v>
      </x:c>
      <x:c r="I351" s="324">
        <x:v>0</x:v>
      </x:c>
      <x:c r="J351" s="324">
        <x:v>0</x:v>
      </x:c>
      <x:c r="K351" s="324">
        <x:v>0</x:v>
      </x:c>
      <x:c r="L351" s="324">
        <x:v>0</x:v>
      </x:c>
      <x:c r="M351" s="324">
        <x:v>0</x:v>
      </x:c>
      <x:c r="N351" s="324">
        <x:v>0</x:v>
      </x:c>
      <x:c r="O351" s="324">
        <x:v>0</x:v>
      </x:c>
      <x:c r="P351" s="324">
        <x:v>0</x:v>
      </x:c>
      <x:c r="Q351" s="324">
        <x:v>0</x:v>
      </x:c>
      <x:c r="R351" s="324">
        <x:v>0</x:v>
      </x:c>
      <x:c r="S351" s="324">
        <x:v>0</x:v>
      </x:c>
      <x:c r="T351" s="257">
        <x:f t="shared" si="12"/>
        <x:v>0</x:v>
      </x:c>
    </x:row>
    <x:row r="352">
      <x:c r="A352" s="148" t="s">
        <x:v>106</x:v>
      </x:c>
      <x:c r="B352">
        <x:v>9</x:v>
      </x:c>
      <x:c r="C352" s="148" t="s">
        <x:v>115</x:v>
      </x:c>
      <x:c r="D352">
        <x:v>905</x:v>
      </x:c>
      <x:c r="E352" s="324">
        <x:v>0</x:v>
      </x:c>
      <x:c r="F352" s="324">
        <x:v>0</x:v>
      </x:c>
      <x:c r="G352" s="324">
        <x:v>0</x:v>
      </x:c>
      <x:c r="H352" s="324">
        <x:v>0</x:v>
      </x:c>
      <x:c r="I352" s="324">
        <x:v>0</x:v>
      </x:c>
      <x:c r="J352" s="324">
        <x:v>0</x:v>
      </x:c>
      <x:c r="K352" s="324">
        <x:v>0</x:v>
      </x:c>
      <x:c r="L352" s="324">
        <x:v>0</x:v>
      </x:c>
      <x:c r="M352" s="324">
        <x:v>0</x:v>
      </x:c>
      <x:c r="N352" s="324">
        <x:v>0</x:v>
      </x:c>
      <x:c r="O352" s="324">
        <x:v>0</x:v>
      </x:c>
      <x:c r="P352" s="324">
        <x:v>0</x:v>
      </x:c>
      <x:c r="Q352" s="324">
        <x:v>0</x:v>
      </x:c>
      <x:c r="R352" s="324">
        <x:v>0</x:v>
      </x:c>
      <x:c r="S352" s="324">
        <x:v>0</x:v>
      </x:c>
      <x:c r="T352" s="257">
        <x:f t="shared" si="12"/>
        <x:v>0</x:v>
      </x:c>
    </x:row>
    <x:row r="353">
      <x:c r="A353" s="148" t="s">
        <x:v>106</x:v>
      </x:c>
      <x:c r="B353">
        <x:v>9</x:v>
      </x:c>
      <x:c r="C353" s="148" t="s">
        <x:v>115</x:v>
      </x:c>
      <x:c r="D353">
        <x:v>906</x:v>
      </x:c>
      <x:c r="E353" s="324">
        <x:v>0</x:v>
      </x:c>
      <x:c r="F353" s="324">
        <x:v>0</x:v>
      </x:c>
      <x:c r="G353" s="324">
        <x:v>0</x:v>
      </x:c>
      <x:c r="H353" s="324">
        <x:v>0</x:v>
      </x:c>
      <x:c r="I353" s="324">
        <x:v>0</x:v>
      </x:c>
      <x:c r="J353" s="324">
        <x:v>0</x:v>
      </x:c>
      <x:c r="K353" s="324">
        <x:v>0</x:v>
      </x:c>
      <x:c r="L353" s="324">
        <x:v>0</x:v>
      </x:c>
      <x:c r="M353" s="324">
        <x:v>0</x:v>
      </x:c>
      <x:c r="N353" s="324">
        <x:v>0</x:v>
      </x:c>
      <x:c r="O353" s="324">
        <x:v>0</x:v>
      </x:c>
      <x:c r="P353" s="324">
        <x:v>0</x:v>
      </x:c>
      <x:c r="Q353" s="324">
        <x:v>0</x:v>
      </x:c>
      <x:c r="R353" s="324">
        <x:v>0</x:v>
      </x:c>
      <x:c r="S353" s="324">
        <x:v>0</x:v>
      </x:c>
      <x:c r="T353" s="257">
        <x:f t="shared" si="12"/>
        <x:v>0</x:v>
      </x:c>
    </x:row>
    <x:row r="354">
      <x:c r="A354" s="148" t="s">
        <x:v>106</x:v>
      </x:c>
      <x:c r="B354">
        <x:v>9</x:v>
      </x:c>
      <x:c r="C354" s="148" t="s">
        <x:v>115</x:v>
      </x:c>
      <x:c r="D354">
        <x:v>907</x:v>
      </x:c>
      <x:c r="E354" s="324">
        <x:v>0</x:v>
      </x:c>
      <x:c r="F354" s="324">
        <x:v>0</x:v>
      </x:c>
      <x:c r="G354" s="324">
        <x:v>0</x:v>
      </x:c>
      <x:c r="H354" s="324">
        <x:v>0</x:v>
      </x:c>
      <x:c r="I354" s="324">
        <x:v>0</x:v>
      </x:c>
      <x:c r="J354" s="324">
        <x:v>0</x:v>
      </x:c>
      <x:c r="K354" s="324">
        <x:v>0</x:v>
      </x:c>
      <x:c r="L354" s="324">
        <x:v>0</x:v>
      </x:c>
      <x:c r="M354" s="324">
        <x:v>0</x:v>
      </x:c>
      <x:c r="N354" s="324">
        <x:v>0</x:v>
      </x:c>
      <x:c r="O354" s="324">
        <x:v>0</x:v>
      </x:c>
      <x:c r="P354" s="324">
        <x:v>0</x:v>
      </x:c>
      <x:c r="Q354" s="324">
        <x:v>0</x:v>
      </x:c>
      <x:c r="R354" s="324">
        <x:v>0</x:v>
      </x:c>
      <x:c r="S354" s="324">
        <x:v>0</x:v>
      </x:c>
      <x:c r="T354" s="257">
        <x:f t="shared" si="12"/>
        <x:v>0</x:v>
      </x:c>
    </x:row>
    <x:row r="355">
      <x:c r="A355" s="148" t="s">
        <x:v>106</x:v>
      </x:c>
      <x:c r="B355">
        <x:v>9</x:v>
      </x:c>
      <x:c r="C355" s="148" t="s">
        <x:v>115</x:v>
      </x:c>
      <x:c r="D355">
        <x:v>908</x:v>
      </x:c>
      <x:c r="E355" s="324">
        <x:v>0</x:v>
      </x:c>
      <x:c r="F355" s="324">
        <x:v>0</x:v>
      </x:c>
      <x:c r="G355" s="324">
        <x:v>0</x:v>
      </x:c>
      <x:c r="H355" s="324">
        <x:v>0</x:v>
      </x:c>
      <x:c r="I355" s="324">
        <x:v>0</x:v>
      </x:c>
      <x:c r="J355" s="324">
        <x:v>0</x:v>
      </x:c>
      <x:c r="K355" s="324">
        <x:v>0</x:v>
      </x:c>
      <x:c r="L355" s="324">
        <x:v>0</x:v>
      </x:c>
      <x:c r="M355" s="324">
        <x:v>0</x:v>
      </x:c>
      <x:c r="N355" s="324">
        <x:v>0</x:v>
      </x:c>
      <x:c r="O355" s="324">
        <x:v>0</x:v>
      </x:c>
      <x:c r="P355" s="324">
        <x:v>0</x:v>
      </x:c>
      <x:c r="Q355" s="324">
        <x:v>0</x:v>
      </x:c>
      <x:c r="R355" s="324">
        <x:v>0</x:v>
      </x:c>
      <x:c r="S355" s="324">
        <x:v>0</x:v>
      </x:c>
      <x:c r="T355" s="257">
        <x:f t="shared" si="12"/>
        <x:v>0</x:v>
      </x:c>
    </x:row>
    <x:row r="356">
      <x:c r="A356" s="148" t="s">
        <x:v>106</x:v>
      </x:c>
      <x:c r="B356">
        <x:v>9</x:v>
      </x:c>
      <x:c r="C356" s="148" t="s">
        <x:v>115</x:v>
      </x:c>
      <x:c r="D356">
        <x:v>909</x:v>
      </x:c>
      <x:c r="E356" s="324">
        <x:v>0</x:v>
      </x:c>
      <x:c r="F356" s="324">
        <x:v>0</x:v>
      </x:c>
      <x:c r="G356" s="324">
        <x:v>0</x:v>
      </x:c>
      <x:c r="H356" s="324">
        <x:v>0</x:v>
      </x:c>
      <x:c r="I356" s="324">
        <x:v>0</x:v>
      </x:c>
      <x:c r="J356" s="324">
        <x:v>0</x:v>
      </x:c>
      <x:c r="K356" s="324">
        <x:v>0</x:v>
      </x:c>
      <x:c r="L356" s="324">
        <x:v>0</x:v>
      </x:c>
      <x:c r="M356" s="324">
        <x:v>0</x:v>
      </x:c>
      <x:c r="N356" s="324">
        <x:v>0</x:v>
      </x:c>
      <x:c r="O356" s="324">
        <x:v>0</x:v>
      </x:c>
      <x:c r="P356" s="324">
        <x:v>0</x:v>
      </x:c>
      <x:c r="Q356" s="324">
        <x:v>0</x:v>
      </x:c>
      <x:c r="R356" s="324">
        <x:v>0</x:v>
      </x:c>
      <x:c r="S356" s="324">
        <x:v>0</x:v>
      </x:c>
      <x:c r="T356" s="257">
        <x:f t="shared" si="12"/>
        <x:v>0</x:v>
      </x:c>
    </x:row>
    <x:row r="357">
      <x:c r="A357" s="148" t="s">
        <x:v>106</x:v>
      </x:c>
      <x:c r="B357">
        <x:v>9</x:v>
      </x:c>
      <x:c r="C357" s="148" t="s">
        <x:v>115</x:v>
      </x:c>
      <x:c r="D357">
        <x:v>910</x:v>
      </x:c>
      <x:c r="E357" s="324">
        <x:v>0</x:v>
      </x:c>
      <x:c r="F357" s="324">
        <x:v>0</x:v>
      </x:c>
      <x:c r="G357" s="324">
        <x:v>0</x:v>
      </x:c>
      <x:c r="H357" s="324">
        <x:v>0</x:v>
      </x:c>
      <x:c r="I357" s="324">
        <x:v>0</x:v>
      </x:c>
      <x:c r="J357" s="324">
        <x:v>0</x:v>
      </x:c>
      <x:c r="K357" s="324">
        <x:v>0</x:v>
      </x:c>
      <x:c r="L357" s="324">
        <x:v>0</x:v>
      </x:c>
      <x:c r="M357" s="324">
        <x:v>0</x:v>
      </x:c>
      <x:c r="N357" s="324">
        <x:v>0</x:v>
      </x:c>
      <x:c r="O357" s="324">
        <x:v>0</x:v>
      </x:c>
      <x:c r="P357" s="324">
        <x:v>0</x:v>
      </x:c>
      <x:c r="Q357" s="324">
        <x:v>0</x:v>
      </x:c>
      <x:c r="R357" s="324">
        <x:v>0</x:v>
      </x:c>
      <x:c r="S357" s="324">
        <x:v>0</x:v>
      </x:c>
      <x:c r="T357" s="257">
        <x:f t="shared" si="12"/>
        <x:v>0</x:v>
      </x:c>
    </x:row>
    <x:row r="358">
      <x:c r="A358" s="148" t="s">
        <x:v>106</x:v>
      </x:c>
      <x:c r="B358">
        <x:v>9</x:v>
      </x:c>
      <x:c r="C358" s="148" t="s">
        <x:v>115</x:v>
      </x:c>
      <x:c r="D358">
        <x:v>911</x:v>
      </x:c>
      <x:c r="E358" s="324">
        <x:v>0</x:v>
      </x:c>
      <x:c r="F358" s="324">
        <x:v>0</x:v>
      </x:c>
      <x:c r="G358" s="324">
        <x:v>0</x:v>
      </x:c>
      <x:c r="H358" s="324">
        <x:v>0</x:v>
      </x:c>
      <x:c r="I358" s="324">
        <x:v>0</x:v>
      </x:c>
      <x:c r="J358" s="324">
        <x:v>0</x:v>
      </x:c>
      <x:c r="K358" s="324">
        <x:v>0</x:v>
      </x:c>
      <x:c r="L358" s="324">
        <x:v>0</x:v>
      </x:c>
      <x:c r="M358" s="324">
        <x:v>0</x:v>
      </x:c>
      <x:c r="N358" s="324">
        <x:v>0</x:v>
      </x:c>
      <x:c r="O358" s="324">
        <x:v>0</x:v>
      </x:c>
      <x:c r="P358" s="324">
        <x:v>0</x:v>
      </x:c>
      <x:c r="Q358" s="324">
        <x:v>0</x:v>
      </x:c>
      <x:c r="R358" s="324">
        <x:v>0</x:v>
      </x:c>
      <x:c r="S358" s="324">
        <x:v>0</x:v>
      </x:c>
      <x:c r="T358" s="257">
        <x:f t="shared" si="12"/>
        <x:v>0</x:v>
      </x:c>
    </x:row>
    <x:row r="359">
      <x:c r="A359" s="148" t="s">
        <x:v>106</x:v>
      </x:c>
      <x:c r="B359">
        <x:v>9</x:v>
      </x:c>
      <x:c r="C359" s="148" t="s">
        <x:v>115</x:v>
      </x:c>
      <x:c r="D359">
        <x:v>912</x:v>
      </x:c>
      <x:c r="E359" s="324">
        <x:v>0</x:v>
      </x:c>
      <x:c r="F359" s="324">
        <x:v>0</x:v>
      </x:c>
      <x:c r="G359" s="324">
        <x:v>0</x:v>
      </x:c>
      <x:c r="H359" s="324">
        <x:v>0</x:v>
      </x:c>
      <x:c r="I359" s="324">
        <x:v>0</x:v>
      </x:c>
      <x:c r="J359" s="324">
        <x:v>0</x:v>
      </x:c>
      <x:c r="K359" s="324">
        <x:v>0</x:v>
      </x:c>
      <x:c r="L359" s="324">
        <x:v>0</x:v>
      </x:c>
      <x:c r="M359" s="324">
        <x:v>0</x:v>
      </x:c>
      <x:c r="N359" s="324">
        <x:v>0</x:v>
      </x:c>
      <x:c r="O359" s="324">
        <x:v>0</x:v>
      </x:c>
      <x:c r="P359" s="324">
        <x:v>0</x:v>
      </x:c>
      <x:c r="Q359" s="324">
        <x:v>0</x:v>
      </x:c>
      <x:c r="R359" s="324">
        <x:v>0</x:v>
      </x:c>
      <x:c r="S359" s="324">
        <x:v>0</x:v>
      </x:c>
      <x:c r="T359" s="257">
        <x:f t="shared" si="12"/>
        <x:v>0</x:v>
      </x:c>
    </x:row>
    <x:row r="360">
      <x:c r="A360" s="148" t="s">
        <x:v>106</x:v>
      </x:c>
      <x:c r="B360">
        <x:v>9</x:v>
      </x:c>
      <x:c r="C360" s="148" t="s">
        <x:v>115</x:v>
      </x:c>
      <x:c r="D360">
        <x:v>913</x:v>
      </x:c>
      <x:c r="E360" s="324">
        <x:v>0</x:v>
      </x:c>
      <x:c r="F360" s="324">
        <x:v>0</x:v>
      </x:c>
      <x:c r="G360" s="324">
        <x:v>0</x:v>
      </x:c>
      <x:c r="H360" s="324">
        <x:v>0</x:v>
      </x:c>
      <x:c r="I360" s="324">
        <x:v>0</x:v>
      </x:c>
      <x:c r="J360" s="324">
        <x:v>0</x:v>
      </x:c>
      <x:c r="K360" s="324">
        <x:v>0</x:v>
      </x:c>
      <x:c r="L360" s="324">
        <x:v>0</x:v>
      </x:c>
      <x:c r="M360" s="324">
        <x:v>0</x:v>
      </x:c>
      <x:c r="N360" s="324">
        <x:v>0</x:v>
      </x:c>
      <x:c r="O360" s="324">
        <x:v>0</x:v>
      </x:c>
      <x:c r="P360" s="324">
        <x:v>0</x:v>
      </x:c>
      <x:c r="Q360" s="324">
        <x:v>0</x:v>
      </x:c>
      <x:c r="R360" s="324">
        <x:v>0</x:v>
      </x:c>
      <x:c r="S360" s="324">
        <x:v>0</x:v>
      </x:c>
      <x:c r="T360" s="257">
        <x:f t="shared" si="12"/>
        <x:v>0</x:v>
      </x:c>
    </x:row>
    <x:row r="361">
      <x:c r="A361" s="148" t="s">
        <x:v>106</x:v>
      </x:c>
      <x:c r="B361">
        <x:v>9</x:v>
      </x:c>
      <x:c r="C361" s="148" t="s">
        <x:v>115</x:v>
      </x:c>
      <x:c r="D361">
        <x:v>914</x:v>
      </x:c>
      <x:c r="E361" s="324">
        <x:v>0</x:v>
      </x:c>
      <x:c r="F361" s="324">
        <x:v>0</x:v>
      </x:c>
      <x:c r="G361" s="324">
        <x:v>0</x:v>
      </x:c>
      <x:c r="H361" s="324">
        <x:v>0</x:v>
      </x:c>
      <x:c r="I361" s="324">
        <x:v>0</x:v>
      </x:c>
      <x:c r="J361" s="324">
        <x:v>0</x:v>
      </x:c>
      <x:c r="K361" s="324">
        <x:v>0</x:v>
      </x:c>
      <x:c r="L361" s="324">
        <x:v>0</x:v>
      </x:c>
      <x:c r="M361" s="324">
        <x:v>0</x:v>
      </x:c>
      <x:c r="N361" s="324">
        <x:v>0</x:v>
      </x:c>
      <x:c r="O361" s="324">
        <x:v>0</x:v>
      </x:c>
      <x:c r="P361" s="324">
        <x:v>0</x:v>
      </x:c>
      <x:c r="Q361" s="324">
        <x:v>0</x:v>
      </x:c>
      <x:c r="R361" s="324">
        <x:v>0</x:v>
      </x:c>
      <x:c r="S361" s="324">
        <x:v>0</x:v>
      </x:c>
      <x:c r="T361" s="257">
        <x:f t="shared" si="12"/>
        <x:v>0</x:v>
      </x:c>
    </x:row>
    <x:row r="362">
      <x:c r="A362" s="148" t="s">
        <x:v>106</x:v>
      </x:c>
      <x:c r="B362">
        <x:v>9</x:v>
      </x:c>
      <x:c r="C362" s="148" t="s">
        <x:v>115</x:v>
      </x:c>
      <x:c r="D362">
        <x:v>915</x:v>
      </x:c>
      <x:c r="E362" s="324">
        <x:v>0</x:v>
      </x:c>
      <x:c r="F362" s="324">
        <x:v>0</x:v>
      </x:c>
      <x:c r="G362" s="324">
        <x:v>0</x:v>
      </x:c>
      <x:c r="H362" s="324">
        <x:v>0</x:v>
      </x:c>
      <x:c r="I362" s="324">
        <x:v>0</x:v>
      </x:c>
      <x:c r="J362" s="324">
        <x:v>0</x:v>
      </x:c>
      <x:c r="K362" s="324">
        <x:v>0</x:v>
      </x:c>
      <x:c r="L362" s="324">
        <x:v>0</x:v>
      </x:c>
      <x:c r="M362" s="324">
        <x:v>0</x:v>
      </x:c>
      <x:c r="N362" s="324">
        <x:v>0</x:v>
      </x:c>
      <x:c r="O362" s="324">
        <x:v>0</x:v>
      </x:c>
      <x:c r="P362" s="324">
        <x:v>0</x:v>
      </x:c>
      <x:c r="Q362" s="324">
        <x:v>0</x:v>
      </x:c>
      <x:c r="R362" s="324">
        <x:v>0</x:v>
      </x:c>
      <x:c r="S362" s="324">
        <x:v>0</x:v>
      </x:c>
      <x:c r="T362" s="257">
        <x:f t="shared" si="12"/>
        <x:v>0</x:v>
      </x:c>
    </x:row>
    <x:row r="363">
      <x:c r="A363" s="148" t="s">
        <x:v>106</x:v>
      </x:c>
      <x:c r="B363">
        <x:v>9</x:v>
      </x:c>
      <x:c r="C363" s="148" t="s">
        <x:v>115</x:v>
      </x:c>
      <x:c r="D363">
        <x:v>916</x:v>
      </x:c>
      <x:c r="E363" s="324">
        <x:v>0</x:v>
      </x:c>
      <x:c r="F363" s="324">
        <x:v>0</x:v>
      </x:c>
      <x:c r="G363" s="324">
        <x:v>0</x:v>
      </x:c>
      <x:c r="H363" s="324">
        <x:v>0</x:v>
      </x:c>
      <x:c r="I363" s="324">
        <x:v>0</x:v>
      </x:c>
      <x:c r="J363" s="324">
        <x:v>0</x:v>
      </x:c>
      <x:c r="K363" s="324">
        <x:v>0</x:v>
      </x:c>
      <x:c r="L363" s="324">
        <x:v>0</x:v>
      </x:c>
      <x:c r="M363" s="324">
        <x:v>0</x:v>
      </x:c>
      <x:c r="N363" s="324">
        <x:v>0</x:v>
      </x:c>
      <x:c r="O363" s="324">
        <x:v>0</x:v>
      </x:c>
      <x:c r="P363" s="324">
        <x:v>0</x:v>
      </x:c>
      <x:c r="Q363" s="324">
        <x:v>0</x:v>
      </x:c>
      <x:c r="R363" s="324">
        <x:v>0</x:v>
      </x:c>
      <x:c r="S363" s="324">
        <x:v>0</x:v>
      </x:c>
      <x:c r="T363" s="257">
        <x:f t="shared" si="12"/>
        <x:v>0</x:v>
      </x:c>
    </x:row>
    <x:row r="364">
      <x:c r="A364" s="148" t="s">
        <x:v>106</x:v>
      </x:c>
      <x:c r="B364">
        <x:v>9</x:v>
      </x:c>
      <x:c r="C364" s="148" t="s">
        <x:v>115</x:v>
      </x:c>
      <x:c r="D364">
        <x:v>917</x:v>
      </x:c>
      <x:c r="E364" s="324">
        <x:v>0</x:v>
      </x:c>
      <x:c r="F364" s="324">
        <x:v>0</x:v>
      </x:c>
      <x:c r="G364" s="324">
        <x:v>0</x:v>
      </x:c>
      <x:c r="H364" s="324">
        <x:v>0</x:v>
      </x:c>
      <x:c r="I364" s="324">
        <x:v>0</x:v>
      </x:c>
      <x:c r="J364" s="324">
        <x:v>0</x:v>
      </x:c>
      <x:c r="K364" s="324">
        <x:v>0</x:v>
      </x:c>
      <x:c r="L364" s="324">
        <x:v>0</x:v>
      </x:c>
      <x:c r="M364" s="324">
        <x:v>0</x:v>
      </x:c>
      <x:c r="N364" s="324">
        <x:v>0</x:v>
      </x:c>
      <x:c r="O364" s="324">
        <x:v>0</x:v>
      </x:c>
      <x:c r="P364" s="324">
        <x:v>0</x:v>
      </x:c>
      <x:c r="Q364" s="324">
        <x:v>0</x:v>
      </x:c>
      <x:c r="R364" s="324">
        <x:v>0</x:v>
      </x:c>
      <x:c r="S364" s="324">
        <x:v>0</x:v>
      </x:c>
      <x:c r="T364" s="257">
        <x:f t="shared" si="12"/>
        <x:v>0</x:v>
      </x:c>
    </x:row>
    <x:row r="365">
      <x:c r="A365" s="148" t="s">
        <x:v>106</x:v>
      </x:c>
      <x:c r="B365">
        <x:v>9</x:v>
      </x:c>
      <x:c r="C365" s="148" t="s">
        <x:v>115</x:v>
      </x:c>
      <x:c r="D365">
        <x:v>918</x:v>
      </x:c>
      <x:c r="E365" s="324">
        <x:v>0</x:v>
      </x:c>
      <x:c r="F365" s="324">
        <x:v>0</x:v>
      </x:c>
      <x:c r="G365" s="324">
        <x:v>0</x:v>
      </x:c>
      <x:c r="H365" s="324">
        <x:v>0</x:v>
      </x:c>
      <x:c r="I365" s="324">
        <x:v>0</x:v>
      </x:c>
      <x:c r="J365" s="324">
        <x:v>0</x:v>
      </x:c>
      <x:c r="K365" s="324">
        <x:v>0</x:v>
      </x:c>
      <x:c r="L365" s="324">
        <x:v>0</x:v>
      </x:c>
      <x:c r="M365" s="324">
        <x:v>0</x:v>
      </x:c>
      <x:c r="N365" s="324">
        <x:v>0</x:v>
      </x:c>
      <x:c r="O365" s="324">
        <x:v>0</x:v>
      </x:c>
      <x:c r="P365" s="324">
        <x:v>0</x:v>
      </x:c>
      <x:c r="Q365" s="324">
        <x:v>0</x:v>
      </x:c>
      <x:c r="R365" s="324">
        <x:v>0</x:v>
      </x:c>
      <x:c r="S365" s="324">
        <x:v>0</x:v>
      </x:c>
      <x:c r="T365" s="257">
        <x:f t="shared" si="12"/>
        <x:v>0</x:v>
      </x:c>
    </x:row>
    <x:row r="366">
      <x:c r="A366" s="148" t="s">
        <x:v>106</x:v>
      </x:c>
      <x:c r="B366">
        <x:v>9</x:v>
      </x:c>
      <x:c r="C366" s="148" t="s">
        <x:v>115</x:v>
      </x:c>
      <x:c r="D366">
        <x:v>919</x:v>
      </x:c>
      <x:c r="E366" s="324">
        <x:v>0</x:v>
      </x:c>
      <x:c r="F366" s="324">
        <x:v>0</x:v>
      </x:c>
      <x:c r="G366" s="324">
        <x:v>0</x:v>
      </x:c>
      <x:c r="H366" s="324">
        <x:v>0</x:v>
      </x:c>
      <x:c r="I366" s="324">
        <x:v>0</x:v>
      </x:c>
      <x:c r="J366" s="324">
        <x:v>0</x:v>
      </x:c>
      <x:c r="K366" s="324">
        <x:v>0</x:v>
      </x:c>
      <x:c r="L366" s="324">
        <x:v>0</x:v>
      </x:c>
      <x:c r="M366" s="324">
        <x:v>0</x:v>
      </x:c>
      <x:c r="N366" s="324">
        <x:v>0</x:v>
      </x:c>
      <x:c r="O366" s="324">
        <x:v>0</x:v>
      </x:c>
      <x:c r="P366" s="324">
        <x:v>0</x:v>
      </x:c>
      <x:c r="Q366" s="324">
        <x:v>0</x:v>
      </x:c>
      <x:c r="R366" s="324">
        <x:v>0</x:v>
      </x:c>
      <x:c r="S366" s="324">
        <x:v>0</x:v>
      </x:c>
      <x:c r="T366" s="257">
        <x:f t="shared" si="12"/>
        <x:v>0</x:v>
      </x:c>
    </x:row>
    <x:row r="367">
      <x:c r="A367" s="148" t="s">
        <x:v>106</x:v>
      </x:c>
      <x:c r="B367">
        <x:v>9</x:v>
      </x:c>
      <x:c r="C367" s="148" t="s">
        <x:v>115</x:v>
      </x:c>
      <x:c r="D367">
        <x:v>920</x:v>
      </x:c>
      <x:c r="E367" s="324">
        <x:v>0</x:v>
      </x:c>
      <x:c r="F367" s="324">
        <x:v>0</x:v>
      </x:c>
      <x:c r="G367" s="324">
        <x:v>0</x:v>
      </x:c>
      <x:c r="H367" s="324">
        <x:v>0</x:v>
      </x:c>
      <x:c r="I367" s="324">
        <x:v>0</x:v>
      </x:c>
      <x:c r="J367" s="324">
        <x:v>0</x:v>
      </x:c>
      <x:c r="K367" s="324">
        <x:v>0</x:v>
      </x:c>
      <x:c r="L367" s="324">
        <x:v>0</x:v>
      </x:c>
      <x:c r="M367" s="324">
        <x:v>0</x:v>
      </x:c>
      <x:c r="N367" s="324">
        <x:v>0</x:v>
      </x:c>
      <x:c r="O367" s="324">
        <x:v>0</x:v>
      </x:c>
      <x:c r="P367" s="324">
        <x:v>0</x:v>
      </x:c>
      <x:c r="Q367" s="324">
        <x:v>0</x:v>
      </x:c>
      <x:c r="R367" s="324">
        <x:v>0</x:v>
      </x:c>
      <x:c r="S367" s="324">
        <x:v>0</x:v>
      </x:c>
      <x:c r="T367" s="257">
        <x:f t="shared" si="12"/>
        <x:v>0</x:v>
      </x:c>
    </x:row>
    <x:row r="368">
      <x:c r="A368" s="148" t="s">
        <x:v>106</x:v>
      </x:c>
      <x:c r="B368">
        <x:v>9</x:v>
      </x:c>
      <x:c r="C368" s="148" t="s">
        <x:v>115</x:v>
      </x:c>
      <x:c r="D368">
        <x:v>921</x:v>
      </x:c>
      <x:c r="E368" s="324">
        <x:v>0</x:v>
      </x:c>
      <x:c r="F368" s="324">
        <x:v>0</x:v>
      </x:c>
      <x:c r="G368" s="324">
        <x:v>0</x:v>
      </x:c>
      <x:c r="H368" s="324">
        <x:v>0</x:v>
      </x:c>
      <x:c r="I368" s="324">
        <x:v>0</x:v>
      </x:c>
      <x:c r="J368" s="324">
        <x:v>0</x:v>
      </x:c>
      <x:c r="K368" s="324">
        <x:v>0</x:v>
      </x:c>
      <x:c r="L368" s="324">
        <x:v>0</x:v>
      </x:c>
      <x:c r="M368" s="324">
        <x:v>0</x:v>
      </x:c>
      <x:c r="N368" s="324">
        <x:v>0</x:v>
      </x:c>
      <x:c r="O368" s="324">
        <x:v>0</x:v>
      </x:c>
      <x:c r="P368" s="324">
        <x:v>0</x:v>
      </x:c>
      <x:c r="Q368" s="324">
        <x:v>0</x:v>
      </x:c>
      <x:c r="R368" s="324">
        <x:v>0</x:v>
      </x:c>
      <x:c r="S368" s="324">
        <x:v>0</x:v>
      </x:c>
      <x:c r="T368" s="257">
        <x:f t="shared" si="12"/>
        <x:v>0</x:v>
      </x:c>
    </x:row>
    <x:row r="369">
      <x:c r="A369" s="148"/>
      <x:c r="B369"/>
      <x:c r="C369" s="148"/>
      <x:c r="D369"/>
      <x:c r="E369" s="324"/>
      <x:c r="F369" s="324">
        <x:f t="shared" ref="F369:S369" si="14">AVERAGE(F328:F368)</x:f>
      </x:c>
      <x:c r="G369" s="324">
        <x:f t="shared" si="14"/>
      </x:c>
      <x:c r="H369" s="324">
        <x:f t="shared" si="14"/>
      </x:c>
      <x:c r="I369" s="324">
        <x:f t="shared" si="14"/>
      </x:c>
      <x:c r="J369" s="324">
        <x:f t="shared" si="14"/>
      </x:c>
      <x:c r="K369" s="324">
        <x:f t="shared" si="14"/>
      </x:c>
      <x:c r="L369" s="324">
        <x:f t="shared" si="14"/>
      </x:c>
      <x:c r="M369" s="324">
        <x:f t="shared" si="14"/>
      </x:c>
      <x:c r="N369" s="324">
        <x:f t="shared" si="14"/>
      </x:c>
      <x:c r="O369" s="324">
        <x:f t="shared" si="14"/>
      </x:c>
      <x:c r="P369" s="324">
        <x:f t="shared" si="14"/>
      </x:c>
      <x:c r="Q369" s="324">
        <x:f t="shared" si="14"/>
      </x:c>
      <x:c r="R369" s="324">
        <x:f t="shared" si="14"/>
      </x:c>
      <x:c r="S369" s="324">
        <x:f t="shared" si="14"/>
      </x:c>
      <x:c r="T369" s="257">
        <x:f t="shared" si="12"/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theme="6"/>
  </x:sheetPr>
  <x:sheetFormatPr baseColWidth="10" defaultRowHeight="12.75"/>
  <x:cols>
    <x:col min="5" max="25" width="5.7109375" style="324" customWidth="1"/>
    <x:col min="26" max="26" width="11.42578125" style="257" customWidth="0"/>
  </x:cols>
  <x:sheetData>
    <x:row r="1" ht="174">
      <x:c r="A1" s="148" t="s">
        <x:v>95</x:v>
      </x:c>
      <x:c r="B1" s="148" t="s">
        <x:v>111</x:v>
      </x:c>
      <x:c r="C1" s="148" t="s">
        <x:v>112</x:v>
      </x:c>
      <x:c r="D1" s="148" t="s">
        <x:v>113</x:v>
      </x:c>
      <x:c r="E1" s="325" t="s">
        <x:v>58</x:v>
      </x:c>
      <x:c r="F1" s="325" t="s">
        <x:v>59</x:v>
      </x:c>
      <x:c r="G1" s="325" t="s">
        <x:v>60</x:v>
      </x:c>
      <x:c r="H1" s="325" t="s">
        <x:v>61</x:v>
      </x:c>
      <x:c r="I1" s="325" t="s">
        <x:v>62</x:v>
      </x:c>
      <x:c r="J1" s="325" t="s">
        <x:v>63</x:v>
      </x:c>
      <x:c r="K1" s="325" t="s">
        <x:v>64</x:v>
      </x:c>
      <x:c r="L1" s="325" t="s">
        <x:v>65</x:v>
      </x:c>
      <x:c r="M1" s="325" t="s">
        <x:v>66</x:v>
      </x:c>
      <x:c r="N1" s="325" t="s">
        <x:v>67</x:v>
      </x:c>
      <x:c r="O1" s="325" t="s">
        <x:v>68</x:v>
      </x:c>
      <x:c r="P1" s="325" t="s">
        <x:v>69</x:v>
      </x:c>
      <x:c r="Q1" s="325" t="s">
        <x:v>70</x:v>
      </x:c>
      <x:c r="R1" s="325" t="s">
        <x:v>71</x:v>
      </x:c>
      <x:c r="S1" s="325" t="s">
        <x:v>72</x:v>
      </x:c>
      <x:c r="T1" s="325" t="s">
        <x:v>73</x:v>
      </x:c>
      <x:c r="U1" s="325" t="s">
        <x:v>74</x:v>
      </x:c>
      <x:c r="V1" s="325" t="s">
        <x:v>75</x:v>
      </x:c>
      <x:c r="W1" s="325" t="s">
        <x:v>76</x:v>
      </x:c>
      <x:c r="X1" s="325" t="s">
        <x:v>77</x:v>
      </x:c>
      <x:c r="Y1" s="325" t="s">
        <x:v>78</x:v>
      </x:c>
      <x:c r="Z1" s="326" t="s">
        <x:v>114</x:v>
      </x:c>
    </x:row>
    <x:row r="2">
      <x:c r="A2" s="148" t="s">
        <x:v>107</x:v>
      </x:c>
      <x:c r="B2">
        <x:v>1</x:v>
      </x:c>
      <x:c r="C2" s="148" t="s">
        <x:v>115</x:v>
      </x:c>
      <x:c r="D2">
        <x:v>102</x:v>
      </x:c>
      <x:c r="E2" s="324">
        <x:v>0</x:v>
      </x:c>
      <x:c r="F2" s="324">
        <x:v>0</x:v>
      </x:c>
      <x:c r="G2" s="324">
        <x:v>1</x:v>
      </x:c>
      <x:c r="H2" s="324">
        <x:v>0</x:v>
      </x:c>
      <x:c r="I2" s="324">
        <x:v>0</x:v>
      </x:c>
      <x:c r="J2" s="324">
        <x:v>0</x:v>
      </x:c>
      <x:c r="K2" s="324">
        <x:v>0</x:v>
      </x:c>
      <x:c r="L2" s="324">
        <x:v>0</x:v>
      </x:c>
      <x:c r="M2" s="324">
        <x:v>0</x:v>
      </x:c>
      <x:c r="N2" s="324">
        <x:v>0</x:v>
      </x:c>
      <x:c r="O2" s="324">
        <x:v>0</x:v>
      </x:c>
      <x:c r="P2" s="324">
        <x:v>0</x:v>
      </x:c>
      <x:c r="Q2" s="324">
        <x:v>0</x:v>
      </x:c>
      <x:c r="R2" s="324">
        <x:v>0</x:v>
      </x:c>
      <x:c r="S2" s="324">
        <x:v>0</x:v>
      </x:c>
      <x:c r="T2" s="324">
        <x:v>0</x:v>
      </x:c>
      <x:c r="U2" s="324">
        <x:v>0</x:v>
      </x:c>
      <x:c r="V2" s="324">
        <x:v>0</x:v>
      </x:c>
      <x:c r="W2" s="324">
        <x:v>0</x:v>
      </x:c>
      <x:c r="X2" s="324">
        <x:v>0</x:v>
      </x:c>
      <x:c r="Y2" s="324">
        <x:v>0</x:v>
      </x:c>
      <x:c r="Z2" s="257" t="n">
        <x:f>AVERAGE(E2:Y2)</x:f>
        <x:v>0.047619047619047616</x:v>
      </x:c>
    </x:row>
    <x:row r="3">
      <x:c r="A3" s="148" t="s">
        <x:v>107</x:v>
      </x:c>
      <x:c r="B3">
        <x:v>1</x:v>
      </x:c>
      <x:c r="C3" s="148" t="s">
        <x:v>115</x:v>
      </x:c>
      <x:c r="D3">
        <x:v>103</x:v>
      </x:c>
      <x:c r="E3" s="324">
        <x:v>0</x:v>
      </x:c>
      <x:c r="F3" s="324">
        <x:v>0</x:v>
      </x:c>
      <x:c r="G3" s="324">
        <x:v>1</x:v>
      </x:c>
      <x:c r="H3" s="324">
        <x:v>0</x:v>
      </x:c>
      <x:c r="I3" s="324">
        <x:v>0</x:v>
      </x:c>
      <x:c r="J3" s="324">
        <x:v>0</x:v>
      </x:c>
      <x:c r="K3" s="324">
        <x:v>0</x:v>
      </x:c>
      <x:c r="L3" s="324">
        <x:v>0</x:v>
      </x:c>
      <x:c r="M3" s="324">
        <x:v>0</x:v>
      </x:c>
      <x:c r="N3" s="324">
        <x:v>0</x:v>
      </x:c>
      <x:c r="O3" s="324">
        <x:v>0</x:v>
      </x:c>
      <x:c r="P3" s="324">
        <x:v>0</x:v>
      </x:c>
      <x:c r="Q3" s="324">
        <x:v>0</x:v>
      </x:c>
      <x:c r="R3" s="324">
        <x:v>0</x:v>
      </x:c>
      <x:c r="S3" s="324">
        <x:v>0</x:v>
      </x:c>
      <x:c r="T3" s="324">
        <x:v>0</x:v>
      </x:c>
      <x:c r="U3" s="324">
        <x:v>0</x:v>
      </x:c>
      <x:c r="V3" s="324">
        <x:v>0</x:v>
      </x:c>
      <x:c r="W3" s="324">
        <x:v>0</x:v>
      </x:c>
      <x:c r="X3" s="324">
        <x:v>0</x:v>
      </x:c>
      <x:c r="Y3" s="324">
        <x:v>0</x:v>
      </x:c>
      <x:c r="Z3" s="257" t="n">
        <x:f t="shared" ref="Z3:Z66" si="0">AVERAGE(E3:Y3)</x:f>
        <x:v>0.047619047619047616</x:v>
      </x:c>
    </x:row>
    <x:row r="4">
      <x:c r="A4" s="148" t="s">
        <x:v>107</x:v>
      </x:c>
      <x:c r="B4">
        <x:v>1</x:v>
      </x:c>
      <x:c r="C4" s="148" t="s">
        <x:v>115</x:v>
      </x:c>
      <x:c r="D4">
        <x:v>104</x:v>
      </x:c>
      <x:c r="E4" s="324">
        <x:v>0</x:v>
      </x:c>
      <x:c r="F4" s="324">
        <x:v>0</x:v>
      </x:c>
      <x:c r="G4" s="324">
        <x:v>1</x:v>
      </x:c>
      <x:c r="H4" s="324">
        <x:v>0</x:v>
      </x:c>
      <x:c r="I4" s="324">
        <x:v>0</x:v>
      </x:c>
      <x:c r="J4" s="324">
        <x:v>0</x:v>
      </x:c>
      <x:c r="K4" s="324">
        <x:v>0</x:v>
      </x:c>
      <x:c r="L4" s="324">
        <x:v>0</x:v>
      </x:c>
      <x:c r="M4" s="324">
        <x:v>0</x:v>
      </x:c>
      <x:c r="N4" s="324">
        <x:v>0</x:v>
      </x:c>
      <x:c r="O4" s="324">
        <x:v>0</x:v>
      </x:c>
      <x:c r="P4" s="324">
        <x:v>0</x:v>
      </x:c>
      <x:c r="Q4" s="324">
        <x:v>0</x:v>
      </x:c>
      <x:c r="R4" s="324">
        <x:v>0</x:v>
      </x:c>
      <x:c r="S4" s="324">
        <x:v>0</x:v>
      </x:c>
      <x:c r="T4" s="324">
        <x:v>0</x:v>
      </x:c>
      <x:c r="U4" s="324">
        <x:v>0</x:v>
      </x:c>
      <x:c r="V4" s="324">
        <x:v>0</x:v>
      </x:c>
      <x:c r="W4" s="324">
        <x:v>0</x:v>
      </x:c>
      <x:c r="X4" s="324">
        <x:v>0</x:v>
      </x:c>
      <x:c r="Y4" s="324">
        <x:v>0</x:v>
      </x:c>
      <x:c r="Z4" s="257">
        <x:f t="shared" si="0"/>
        <x:v>4.7619047619047616E-2</x:v>
      </x:c>
    </x:row>
    <x:row r="5">
      <x:c r="A5" s="148" t="s">
        <x:v>107</x:v>
      </x:c>
      <x:c r="B5">
        <x:v>1</x:v>
      </x:c>
      <x:c r="C5" s="148" t="s">
        <x:v>115</x:v>
      </x:c>
      <x:c r="D5">
        <x:v>105</x:v>
      </x:c>
      <x:c r="E5" s="324">
        <x:v>0</x:v>
      </x:c>
      <x:c r="F5" s="324">
        <x:v>0</x:v>
      </x:c>
      <x:c r="G5" s="324">
        <x:v>1</x:v>
      </x:c>
      <x:c r="H5" s="324">
        <x:v>0</x:v>
      </x:c>
      <x:c r="I5" s="324">
        <x:v>0</x:v>
      </x:c>
      <x:c r="J5" s="324">
        <x:v>0</x:v>
      </x:c>
      <x:c r="K5" s="324">
        <x:v>0</x:v>
      </x:c>
      <x:c r="L5" s="324">
        <x:v>0</x:v>
      </x:c>
      <x:c r="M5" s="324">
        <x:v>0</x:v>
      </x:c>
      <x:c r="N5" s="324">
        <x:v>0</x:v>
      </x:c>
      <x:c r="O5" s="324">
        <x:v>0</x:v>
      </x:c>
      <x:c r="P5" s="324">
        <x:v>0</x:v>
      </x:c>
      <x:c r="Q5" s="324">
        <x:v>0</x:v>
      </x:c>
      <x:c r="R5" s="324">
        <x:v>0</x:v>
      </x:c>
      <x:c r="S5" s="324">
        <x:v>0</x:v>
      </x:c>
      <x:c r="T5" s="324">
        <x:v>0</x:v>
      </x:c>
      <x:c r="U5" s="324">
        <x:v>0</x:v>
      </x:c>
      <x:c r="V5" s="324">
        <x:v>0</x:v>
      </x:c>
      <x:c r="W5" s="324">
        <x:v>0</x:v>
      </x:c>
      <x:c r="X5" s="324">
        <x:v>0</x:v>
      </x:c>
      <x:c r="Y5" s="324">
        <x:v>0</x:v>
      </x:c>
      <x:c r="Z5" s="257">
        <x:f t="shared" si="0"/>
        <x:v>4.7619047619047616E-2</x:v>
      </x:c>
    </x:row>
    <x:row r="6">
      <x:c r="A6" s="148" t="s">
        <x:v>107</x:v>
      </x:c>
      <x:c r="B6">
        <x:v>1</x:v>
      </x:c>
      <x:c r="C6" s="148" t="s">
        <x:v>115</x:v>
      </x:c>
      <x:c r="D6">
        <x:v>106</x:v>
      </x:c>
      <x:c r="E6" s="324">
        <x:v>0</x:v>
      </x:c>
      <x:c r="F6" s="324">
        <x:v>0</x:v>
      </x:c>
      <x:c r="G6" s="324">
        <x:v>1</x:v>
      </x:c>
      <x:c r="H6" s="324">
        <x:v>0</x:v>
      </x:c>
      <x:c r="I6" s="324">
        <x:v>0</x:v>
      </x:c>
      <x:c r="J6" s="324">
        <x:v>0</x:v>
      </x:c>
      <x:c r="K6" s="324">
        <x:v>0</x:v>
      </x:c>
      <x:c r="L6" s="324">
        <x:v>0</x:v>
      </x:c>
      <x:c r="M6" s="324">
        <x:v>0</x:v>
      </x:c>
      <x:c r="N6" s="324">
        <x:v>0</x:v>
      </x:c>
      <x:c r="O6" s="324">
        <x:v>0</x:v>
      </x:c>
      <x:c r="P6" s="324">
        <x:v>0</x:v>
      </x:c>
      <x:c r="Q6" s="324">
        <x:v>0</x:v>
      </x:c>
      <x:c r="R6" s="324">
        <x:v>0</x:v>
      </x:c>
      <x:c r="S6" s="324">
        <x:v>0</x:v>
      </x:c>
      <x:c r="T6" s="324">
        <x:v>0</x:v>
      </x:c>
      <x:c r="U6" s="324">
        <x:v>0</x:v>
      </x:c>
      <x:c r="V6" s="324">
        <x:v>0</x:v>
      </x:c>
      <x:c r="W6" s="324">
        <x:v>0</x:v>
      </x:c>
      <x:c r="X6" s="324">
        <x:v>0</x:v>
      </x:c>
      <x:c r="Y6" s="324">
        <x:v>0</x:v>
      </x:c>
      <x:c r="Z6" s="257">
        <x:f t="shared" si="0"/>
        <x:v>4.7619047619047616E-2</x:v>
      </x:c>
    </x:row>
    <x:row r="7">
      <x:c r="A7" s="148" t="s">
        <x:v>107</x:v>
      </x:c>
      <x:c r="B7">
        <x:v>1</x:v>
      </x:c>
      <x:c r="C7" s="148" t="s">
        <x:v>115</x:v>
      </x:c>
      <x:c r="D7">
        <x:v>107</x:v>
      </x:c>
      <x:c r="E7" s="324">
        <x:v>0</x:v>
      </x:c>
      <x:c r="F7" s="324">
        <x:v>0</x:v>
      </x:c>
      <x:c r="G7" s="324">
        <x:v>1</x:v>
      </x:c>
      <x:c r="H7" s="324">
        <x:v>0</x:v>
      </x:c>
      <x:c r="I7" s="324">
        <x:v>0</x:v>
      </x:c>
      <x:c r="J7" s="324">
        <x:v>0</x:v>
      </x:c>
      <x:c r="K7" s="324">
        <x:v>0</x:v>
      </x:c>
      <x:c r="L7" s="324">
        <x:v>0</x:v>
      </x:c>
      <x:c r="M7" s="324">
        <x:v>0</x:v>
      </x:c>
      <x:c r="N7" s="324">
        <x:v>0</x:v>
      </x:c>
      <x:c r="O7" s="324">
        <x:v>0</x:v>
      </x:c>
      <x:c r="P7" s="324">
        <x:v>0</x:v>
      </x:c>
      <x:c r="Q7" s="324">
        <x:v>0</x:v>
      </x:c>
      <x:c r="R7" s="324">
        <x:v>0</x:v>
      </x:c>
      <x:c r="S7" s="324">
        <x:v>0</x:v>
      </x:c>
      <x:c r="T7" s="324">
        <x:v>0</x:v>
      </x:c>
      <x:c r="U7" s="324">
        <x:v>0</x:v>
      </x:c>
      <x:c r="V7" s="324">
        <x:v>0</x:v>
      </x:c>
      <x:c r="W7" s="324">
        <x:v>0</x:v>
      </x:c>
      <x:c r="X7" s="324">
        <x:v>0</x:v>
      </x:c>
      <x:c r="Y7" s="324">
        <x:v>0</x:v>
      </x:c>
      <x:c r="Z7" s="257">
        <x:f t="shared" si="0"/>
        <x:v>4.7619047619047616E-2</x:v>
      </x:c>
    </x:row>
    <x:row r="8">
      <x:c r="A8" s="148" t="s">
        <x:v>107</x:v>
      </x:c>
      <x:c r="B8">
        <x:v>1</x:v>
      </x:c>
      <x:c r="C8" s="148" t="s">
        <x:v>115</x:v>
      </x:c>
      <x:c r="D8">
        <x:v>108</x:v>
      </x:c>
      <x:c r="E8" s="324">
        <x:v>0</x:v>
      </x:c>
      <x:c r="F8" s="324">
        <x:v>0</x:v>
      </x:c>
      <x:c r="G8" s="324">
        <x:v>1</x:v>
      </x:c>
      <x:c r="H8" s="324">
        <x:v>0</x:v>
      </x:c>
      <x:c r="I8" s="324">
        <x:v>0</x:v>
      </x:c>
      <x:c r="J8" s="324">
        <x:v>0</x:v>
      </x:c>
      <x:c r="K8" s="324">
        <x:v>0</x:v>
      </x:c>
      <x:c r="L8" s="324">
        <x:v>0</x:v>
      </x:c>
      <x:c r="M8" s="324">
        <x:v>0</x:v>
      </x:c>
      <x:c r="N8" s="324">
        <x:v>0</x:v>
      </x:c>
      <x:c r="O8" s="324">
        <x:v>0</x:v>
      </x:c>
      <x:c r="P8" s="324">
        <x:v>0</x:v>
      </x:c>
      <x:c r="Q8" s="324">
        <x:v>0</x:v>
      </x:c>
      <x:c r="R8" s="324">
        <x:v>0</x:v>
      </x:c>
      <x:c r="S8" s="324">
        <x:v>0</x:v>
      </x:c>
      <x:c r="T8" s="324">
        <x:v>0</x:v>
      </x:c>
      <x:c r="U8" s="324">
        <x:v>0</x:v>
      </x:c>
      <x:c r="V8" s="324">
        <x:v>0</x:v>
      </x:c>
      <x:c r="W8" s="324">
        <x:v>0</x:v>
      </x:c>
      <x:c r="X8" s="324">
        <x:v>0</x:v>
      </x:c>
      <x:c r="Y8" s="324">
        <x:v>0</x:v>
      </x:c>
      <x:c r="Z8" s="257">
        <x:f t="shared" si="0"/>
        <x:v>4.7619047619047616E-2</x:v>
      </x:c>
    </x:row>
    <x:row r="9">
      <x:c r="A9" s="148" t="s">
        <x:v>107</x:v>
      </x:c>
      <x:c r="B9">
        <x:v>1</x:v>
      </x:c>
      <x:c r="C9" s="148" t="s">
        <x:v>115</x:v>
      </x:c>
      <x:c r="D9">
        <x:v>118</x:v>
      </x:c>
      <x:c r="E9" s="324">
        <x:v>0</x:v>
      </x:c>
      <x:c r="F9" s="324">
        <x:v>0</x:v>
      </x:c>
      <x:c r="G9" s="324">
        <x:v>0</x:v>
      </x:c>
      <x:c r="H9" s="324">
        <x:v>0</x:v>
      </x:c>
      <x:c r="I9" s="324">
        <x:v>0</x:v>
      </x:c>
      <x:c r="J9" s="324">
        <x:v>0</x:v>
      </x:c>
      <x:c r="K9" s="324">
        <x:v>0</x:v>
      </x:c>
      <x:c r="L9" s="324">
        <x:v>0</x:v>
      </x:c>
      <x:c r="M9" s="324">
        <x:v>0</x:v>
      </x:c>
      <x:c r="N9" s="324">
        <x:v>0</x:v>
      </x:c>
      <x:c r="O9" s="324">
        <x:v>0</x:v>
      </x:c>
      <x:c r="P9" s="324">
        <x:v>0</x:v>
      </x:c>
      <x:c r="Q9" s="324">
        <x:v>0</x:v>
      </x:c>
      <x:c r="R9" s="324">
        <x:v>0</x:v>
      </x:c>
      <x:c r="S9" s="324">
        <x:v>0</x:v>
      </x:c>
      <x:c r="T9" s="324">
        <x:v>0</x:v>
      </x:c>
      <x:c r="U9" s="324">
        <x:v>0</x:v>
      </x:c>
      <x:c r="V9" s="324">
        <x:v>0</x:v>
      </x:c>
      <x:c r="W9" s="324">
        <x:v>0</x:v>
      </x:c>
      <x:c r="X9" s="324">
        <x:v>0</x:v>
      </x:c>
      <x:c r="Y9" s="324">
        <x:v>0</x:v>
      </x:c>
      <x:c r="Z9" s="257">
        <x:f t="shared" si="0"/>
        <x:v>0</x:v>
      </x:c>
    </x:row>
    <x:row r="10">
      <x:c r="A10" s="148" t="s">
        <x:v>107</x:v>
      </x:c>
      <x:c r="B10">
        <x:v>1</x:v>
      </x:c>
      <x:c r="C10" s="148" t="s">
        <x:v>115</x:v>
      </x:c>
      <x:c r="D10">
        <x:v>119</x:v>
      </x:c>
      <x:c r="E10" s="324">
        <x:v>0</x:v>
      </x:c>
      <x:c r="F10" s="324">
        <x:v>0</x:v>
      </x:c>
      <x:c r="G10" s="324">
        <x:v>0</x:v>
      </x:c>
      <x:c r="H10" s="324">
        <x:v>0</x:v>
      </x:c>
      <x:c r="I10" s="324">
        <x:v>0</x:v>
      </x:c>
      <x:c r="J10" s="324">
        <x:v>0</x:v>
      </x:c>
      <x:c r="K10" s="324">
        <x:v>0</x:v>
      </x:c>
      <x:c r="L10" s="324">
        <x:v>0</x:v>
      </x:c>
      <x:c r="M10" s="324">
        <x:v>0</x:v>
      </x:c>
      <x:c r="N10" s="324">
        <x:v>0</x:v>
      </x:c>
      <x:c r="O10" s="324">
        <x:v>0</x:v>
      </x:c>
      <x:c r="P10" s="324">
        <x:v>0</x:v>
      </x:c>
      <x:c r="Q10" s="324">
        <x:v>0</x:v>
      </x:c>
      <x:c r="R10" s="324">
        <x:v>0</x:v>
      </x:c>
      <x:c r="S10" s="324">
        <x:v>0</x:v>
      </x:c>
      <x:c r="T10" s="324">
        <x:v>0</x:v>
      </x:c>
      <x:c r="U10" s="324">
        <x:v>0</x:v>
      </x:c>
      <x:c r="V10" s="324">
        <x:v>0</x:v>
      </x:c>
      <x:c r="W10" s="324">
        <x:v>0</x:v>
      </x:c>
      <x:c r="X10" s="324">
        <x:v>0</x:v>
      </x:c>
      <x:c r="Y10" s="324">
        <x:v>0</x:v>
      </x:c>
      <x:c r="Z10" s="257">
        <x:f t="shared" si="0"/>
        <x:v>0</x:v>
      </x:c>
    </x:row>
    <x:row r="11">
      <x:c r="A11" s="148" t="s">
        <x:v>107</x:v>
      </x:c>
      <x:c r="B11">
        <x:v>1</x:v>
      </x:c>
      <x:c r="C11" s="148" t="s">
        <x:v>115</x:v>
      </x:c>
      <x:c r="D11">
        <x:v>120</x:v>
      </x:c>
      <x:c r="E11" s="324">
        <x:v>0</x:v>
      </x:c>
      <x:c r="F11" s="324">
        <x:v>1</x:v>
      </x:c>
      <x:c r="G11" s="324">
        <x:v>1</x:v>
      </x:c>
      <x:c r="H11" s="324">
        <x:v>1</x:v>
      </x:c>
      <x:c r="I11" s="324">
        <x:v>1</x:v>
      </x:c>
      <x:c r="J11" s="324">
        <x:v>0</x:v>
      </x:c>
      <x:c r="K11" s="324">
        <x:v>1</x:v>
      </x:c>
      <x:c r="L11" s="324">
        <x:v>1</x:v>
      </x:c>
      <x:c r="M11" s="324">
        <x:v>0</x:v>
      </x:c>
      <x:c r="N11" s="324">
        <x:v>1</x:v>
      </x:c>
      <x:c r="O11" s="324">
        <x:v>1</x:v>
      </x:c>
      <x:c r="P11" s="324">
        <x:v>1</x:v>
      </x:c>
      <x:c r="Q11" s="324">
        <x:v>1</x:v>
      </x:c>
      <x:c r="R11" s="324">
        <x:v>1</x:v>
      </x:c>
      <x:c r="S11" s="324">
        <x:v>1</x:v>
      </x:c>
      <x:c r="T11" s="324">
        <x:v>1</x:v>
      </x:c>
      <x:c r="U11" s="324">
        <x:v>1</x:v>
      </x:c>
      <x:c r="V11" s="324">
        <x:v>1</x:v>
      </x:c>
      <x:c r="W11" s="324">
        <x:v>1</x:v>
      </x:c>
      <x:c r="X11" s="324">
        <x:v>1</x:v>
      </x:c>
      <x:c r="Y11" s="324">
        <x:v>0</x:v>
      </x:c>
      <x:c r="Z11" s="257">
        <x:f t="shared" si="0"/>
        <x:v>0.80952380952380953</x:v>
      </x:c>
    </x:row>
    <x:row r="12">
      <x:c r="A12" s="148" t="s">
        <x:v>107</x:v>
      </x:c>
      <x:c r="B12">
        <x:v>1</x:v>
      </x:c>
      <x:c r="C12" s="148" t="s">
        <x:v>115</x:v>
      </x:c>
      <x:c r="D12">
        <x:v>121</x:v>
      </x:c>
      <x:c r="E12" s="324">
        <x:v>0</x:v>
      </x:c>
      <x:c r="F12" s="324">
        <x:v>1</x:v>
      </x:c>
      <x:c r="G12" s="324">
        <x:v>1</x:v>
      </x:c>
      <x:c r="H12" s="324">
        <x:v>1</x:v>
      </x:c>
      <x:c r="I12" s="324">
        <x:v>1</x:v>
      </x:c>
      <x:c r="J12" s="324">
        <x:v>0</x:v>
      </x:c>
      <x:c r="K12" s="324">
        <x:v>1</x:v>
      </x:c>
      <x:c r="L12" s="324">
        <x:v>1</x:v>
      </x:c>
      <x:c r="M12" s="324">
        <x:v>0</x:v>
      </x:c>
      <x:c r="N12" s="324">
        <x:v>1</x:v>
      </x:c>
      <x:c r="O12" s="324">
        <x:v>1</x:v>
      </x:c>
      <x:c r="P12" s="324">
        <x:v>1</x:v>
      </x:c>
      <x:c r="Q12" s="324">
        <x:v>1</x:v>
      </x:c>
      <x:c r="R12" s="324">
        <x:v>1</x:v>
      </x:c>
      <x:c r="S12" s="324">
        <x:v>1</x:v>
      </x:c>
      <x:c r="T12" s="324">
        <x:v>1</x:v>
      </x:c>
      <x:c r="U12" s="324">
        <x:v>1</x:v>
      </x:c>
      <x:c r="V12" s="324">
        <x:v>1</x:v>
      </x:c>
      <x:c r="W12" s="324">
        <x:v>1</x:v>
      </x:c>
      <x:c r="X12" s="324">
        <x:v>1</x:v>
      </x:c>
      <x:c r="Y12" s="324">
        <x:v>0</x:v>
      </x:c>
      <x:c r="Z12" s="257">
        <x:f t="shared" si="0"/>
        <x:v>0.80952380952380953</x:v>
      </x:c>
    </x:row>
    <x:row r="13">
      <x:c r="A13" s="148"/>
      <x:c r="B13"/>
      <x:c r="C13" s="148"/>
      <x:c r="D13" s="148"/>
      <x:c r="E13" s="324"/>
      <x:c r="F13" s="324">
        <x:f t="shared" ref="F13:Y13" si="1">AVERAGE(F2:F12)</x:f>
      </x:c>
      <x:c r="G13" s="324">
        <x:f t="shared" si="1"/>
      </x:c>
      <x:c r="H13" s="324">
        <x:f t="shared" si="1"/>
      </x:c>
      <x:c r="I13" s="324">
        <x:f t="shared" si="1"/>
      </x:c>
      <x:c r="J13" s="324">
        <x:f t="shared" si="1"/>
      </x:c>
      <x:c r="K13" s="324">
        <x:f t="shared" si="1"/>
      </x:c>
      <x:c r="L13" s="324">
        <x:f t="shared" si="1"/>
      </x:c>
      <x:c r="M13" s="324">
        <x:f t="shared" si="1"/>
      </x:c>
      <x:c r="N13" s="324">
        <x:f t="shared" si="1"/>
      </x:c>
      <x:c r="O13" s="324">
        <x:f t="shared" si="1"/>
      </x:c>
      <x:c r="P13" s="324">
        <x:f t="shared" si="1"/>
      </x:c>
      <x:c r="Q13" s="324">
        <x:f t="shared" si="1"/>
      </x:c>
      <x:c r="R13" s="324">
        <x:f t="shared" si="1"/>
      </x:c>
      <x:c r="S13" s="324">
        <x:f t="shared" si="1"/>
      </x:c>
      <x:c r="T13" s="324">
        <x:f t="shared" si="1"/>
      </x:c>
      <x:c r="U13" s="324">
        <x:f t="shared" si="1"/>
      </x:c>
      <x:c r="V13" s="324">
        <x:f t="shared" si="1"/>
      </x:c>
      <x:c r="W13" s="324">
        <x:f t="shared" si="1"/>
      </x:c>
      <x:c r="X13" s="324">
        <x:f t="shared" si="1"/>
      </x:c>
      <x:c r="Y13" s="324">
        <x:f t="shared" si="1"/>
      </x:c>
      <x:c r="Z13" s="257">
        <x:f t="shared" si="0"/>
      </x:c>
    </x:row>
    <x:row r="14">
      <x:c r="A14" s="148" t="s">
        <x:v>107</x:v>
      </x:c>
      <x:c r="B14">
        <x:v>2</x:v>
      </x:c>
      <x:c r="C14" s="148" t="s">
        <x:v>116</x:v>
      </x:c>
      <x:c r="D14">
        <x:v>202</x:v>
      </x:c>
      <x:c r="E14" s="324">
        <x:v>0</x:v>
      </x:c>
      <x:c r="F14" s="324">
        <x:v>0</x:v>
      </x:c>
      <x:c r="G14" s="324">
        <x:v>0</x:v>
      </x:c>
      <x:c r="H14" s="324">
        <x:v>0</x:v>
      </x:c>
      <x:c r="I14" s="324">
        <x:v>0</x:v>
      </x:c>
      <x:c r="J14" s="324">
        <x:v>0</x:v>
      </x:c>
      <x:c r="K14" s="324">
        <x:v>0</x:v>
      </x:c>
      <x:c r="L14" s="324">
        <x:v>0</x:v>
      </x:c>
      <x:c r="M14" s="324">
        <x:v>0</x:v>
      </x:c>
      <x:c r="N14" s="324">
        <x:v>0</x:v>
      </x:c>
      <x:c r="O14" s="324">
        <x:v>0</x:v>
      </x:c>
      <x:c r="P14" s="324">
        <x:v>0</x:v>
      </x:c>
      <x:c r="Q14" s="324">
        <x:v>0</x:v>
      </x:c>
      <x:c r="R14" s="324">
        <x:v>0</x:v>
      </x:c>
      <x:c r="S14" s="324">
        <x:v>0</x:v>
      </x:c>
      <x:c r="T14" s="324">
        <x:v>0</x:v>
      </x:c>
      <x:c r="U14" s="324">
        <x:v>0</x:v>
      </x:c>
      <x:c r="V14" s="324">
        <x:v>0</x:v>
      </x:c>
      <x:c r="W14" s="324">
        <x:v>0</x:v>
      </x:c>
      <x:c r="X14" s="324">
        <x:v>0</x:v>
      </x:c>
      <x:c r="Y14" s="324">
        <x:v>0</x:v>
      </x:c>
      <x:c r="Z14" s="257">
        <x:f t="shared" si="0"/>
        <x:v>0</x:v>
      </x:c>
    </x:row>
    <x:row r="15">
      <x:c r="A15" s="148" t="s">
        <x:v>107</x:v>
      </x:c>
      <x:c r="B15">
        <x:v>2</x:v>
      </x:c>
      <x:c r="C15" s="148" t="s">
        <x:v>116</x:v>
      </x:c>
      <x:c r="D15">
        <x:v>203</x:v>
      </x:c>
      <x:c r="E15" s="324">
        <x:v>0</x:v>
      </x:c>
      <x:c r="F15" s="324">
        <x:v>0</x:v>
      </x:c>
      <x:c r="G15" s="324">
        <x:v>0</x:v>
      </x:c>
      <x:c r="H15" s="324">
        <x:v>0</x:v>
      </x:c>
      <x:c r="I15" s="324">
        <x:v>0</x:v>
      </x:c>
      <x:c r="J15" s="324">
        <x:v>0</x:v>
      </x:c>
      <x:c r="K15" s="324">
        <x:v>0</x:v>
      </x:c>
      <x:c r="L15" s="324">
        <x:v>0</x:v>
      </x:c>
      <x:c r="M15" s="324">
        <x:v>0</x:v>
      </x:c>
      <x:c r="N15" s="324">
        <x:v>0</x:v>
      </x:c>
      <x:c r="O15" s="324">
        <x:v>0</x:v>
      </x:c>
      <x:c r="P15" s="324">
        <x:v>0</x:v>
      </x:c>
      <x:c r="Q15" s="324">
        <x:v>0</x:v>
      </x:c>
      <x:c r="R15" s="324">
        <x:v>0</x:v>
      </x:c>
      <x:c r="S15" s="324">
        <x:v>0</x:v>
      </x:c>
      <x:c r="T15" s="324">
        <x:v>0</x:v>
      </x:c>
      <x:c r="U15" s="324">
        <x:v>0</x:v>
      </x:c>
      <x:c r="V15" s="324">
        <x:v>0</x:v>
      </x:c>
      <x:c r="W15" s="324">
        <x:v>0</x:v>
      </x:c>
      <x:c r="X15" s="324">
        <x:v>0</x:v>
      </x:c>
      <x:c r="Y15" s="324">
        <x:v>0</x:v>
      </x:c>
      <x:c r="Z15" s="257">
        <x:f t="shared" si="0"/>
        <x:v>0</x:v>
      </x:c>
    </x:row>
    <x:row r="16">
      <x:c r="A16" s="148" t="s">
        <x:v>107</x:v>
      </x:c>
      <x:c r="B16">
        <x:v>2</x:v>
      </x:c>
      <x:c r="C16" s="148" t="s">
        <x:v>116</x:v>
      </x:c>
      <x:c r="D16">
        <x:v>204</x:v>
      </x:c>
      <x:c r="E16" s="324">
        <x:v>0</x:v>
      </x:c>
      <x:c r="F16" s="324">
        <x:v>0</x:v>
      </x:c>
      <x:c r="G16" s="324">
        <x:v>0</x:v>
      </x:c>
      <x:c r="H16" s="324">
        <x:v>0</x:v>
      </x:c>
      <x:c r="I16" s="324">
        <x:v>0</x:v>
      </x:c>
      <x:c r="J16" s="324">
        <x:v>0</x:v>
      </x:c>
      <x:c r="K16" s="324">
        <x:v>0</x:v>
      </x:c>
      <x:c r="L16" s="324">
        <x:v>0</x:v>
      </x:c>
      <x:c r="M16" s="324">
        <x:v>0</x:v>
      </x:c>
      <x:c r="N16" s="324">
        <x:v>0</x:v>
      </x:c>
      <x:c r="O16" s="324">
        <x:v>0</x:v>
      </x:c>
      <x:c r="P16" s="324">
        <x:v>0</x:v>
      </x:c>
      <x:c r="Q16" s="324">
        <x:v>0</x:v>
      </x:c>
      <x:c r="R16" s="324">
        <x:v>0</x:v>
      </x:c>
      <x:c r="S16" s="324">
        <x:v>0</x:v>
      </x:c>
      <x:c r="T16" s="324">
        <x:v>0</x:v>
      </x:c>
      <x:c r="U16" s="324">
        <x:v>0</x:v>
      </x:c>
      <x:c r="V16" s="324">
        <x:v>0</x:v>
      </x:c>
      <x:c r="W16" s="324">
        <x:v>0</x:v>
      </x:c>
      <x:c r="X16" s="324">
        <x:v>0</x:v>
      </x:c>
      <x:c r="Y16" s="324">
        <x:v>0</x:v>
      </x:c>
      <x:c r="Z16" s="257">
        <x:f t="shared" si="0"/>
        <x:v>0</x:v>
      </x:c>
    </x:row>
    <x:row r="17">
      <x:c r="A17" s="148" t="s">
        <x:v>107</x:v>
      </x:c>
      <x:c r="B17">
        <x:v>2</x:v>
      </x:c>
      <x:c r="C17" s="148" t="s">
        <x:v>116</x:v>
      </x:c>
      <x:c r="D17">
        <x:v>205</x:v>
      </x:c>
      <x:c r="E17" s="324">
        <x:v>0</x:v>
      </x:c>
      <x:c r="F17" s="324">
        <x:v>0</x:v>
      </x:c>
      <x:c r="G17" s="324">
        <x:v>0</x:v>
      </x:c>
      <x:c r="H17" s="324">
        <x:v>0</x:v>
      </x:c>
      <x:c r="I17" s="324">
        <x:v>0</x:v>
      </x:c>
      <x:c r="J17" s="324">
        <x:v>0</x:v>
      </x:c>
      <x:c r="K17" s="324">
        <x:v>0</x:v>
      </x:c>
      <x:c r="L17" s="324">
        <x:v>0</x:v>
      </x:c>
      <x:c r="M17" s="324">
        <x:v>0</x:v>
      </x:c>
      <x:c r="N17" s="324">
        <x:v>0</x:v>
      </x:c>
      <x:c r="O17" s="324">
        <x:v>0</x:v>
      </x:c>
      <x:c r="P17" s="324">
        <x:v>0</x:v>
      </x:c>
      <x:c r="Q17" s="324">
        <x:v>0</x:v>
      </x:c>
      <x:c r="R17" s="324">
        <x:v>0</x:v>
      </x:c>
      <x:c r="S17" s="324">
        <x:v>0</x:v>
      </x:c>
      <x:c r="T17" s="324">
        <x:v>0</x:v>
      </x:c>
      <x:c r="U17" s="324">
        <x:v>0</x:v>
      </x:c>
      <x:c r="V17" s="324">
        <x:v>0</x:v>
      </x:c>
      <x:c r="W17" s="324">
        <x:v>0</x:v>
      </x:c>
      <x:c r="X17" s="324">
        <x:v>0</x:v>
      </x:c>
      <x:c r="Y17" s="324">
        <x:v>0</x:v>
      </x:c>
      <x:c r="Z17" s="257">
        <x:f t="shared" si="0"/>
        <x:v>0</x:v>
      </x:c>
    </x:row>
    <x:row r="18">
      <x:c r="A18" s="148" t="s">
        <x:v>107</x:v>
      </x:c>
      <x:c r="B18">
        <x:v>2</x:v>
      </x:c>
      <x:c r="C18" s="148" t="s">
        <x:v>116</x:v>
      </x:c>
      <x:c r="D18">
        <x:v>206</x:v>
      </x:c>
      <x:c r="E18" s="324">
        <x:v>0</x:v>
      </x:c>
      <x:c r="F18" s="324">
        <x:v>0</x:v>
      </x:c>
      <x:c r="G18" s="324">
        <x:v>0</x:v>
      </x:c>
      <x:c r="H18" s="324">
        <x:v>0</x:v>
      </x:c>
      <x:c r="I18" s="324">
        <x:v>0</x:v>
      </x:c>
      <x:c r="J18" s="324">
        <x:v>0</x:v>
      </x:c>
      <x:c r="K18" s="324">
        <x:v>0</x:v>
      </x:c>
      <x:c r="L18" s="324">
        <x:v>0</x:v>
      </x:c>
      <x:c r="M18" s="324">
        <x:v>0</x:v>
      </x:c>
      <x:c r="N18" s="324">
        <x:v>0</x:v>
      </x:c>
      <x:c r="O18" s="324">
        <x:v>0</x:v>
      </x:c>
      <x:c r="P18" s="324">
        <x:v>0</x:v>
      </x:c>
      <x:c r="Q18" s="324">
        <x:v>0</x:v>
      </x:c>
      <x:c r="R18" s="324">
        <x:v>0</x:v>
      </x:c>
      <x:c r="S18" s="324">
        <x:v>0</x:v>
      </x:c>
      <x:c r="T18" s="324">
        <x:v>0</x:v>
      </x:c>
      <x:c r="U18" s="324">
        <x:v>0</x:v>
      </x:c>
      <x:c r="V18" s="324">
        <x:v>0</x:v>
      </x:c>
      <x:c r="W18" s="324">
        <x:v>0</x:v>
      </x:c>
      <x:c r="X18" s="324">
        <x:v>0</x:v>
      </x:c>
      <x:c r="Y18" s="324">
        <x:v>0</x:v>
      </x:c>
      <x:c r="Z18" s="257">
        <x:f t="shared" si="0"/>
        <x:v>0</x:v>
      </x:c>
    </x:row>
    <x:row r="19">
      <x:c r="A19" s="148" t="s">
        <x:v>107</x:v>
      </x:c>
      <x:c r="B19">
        <x:v>2</x:v>
      </x:c>
      <x:c r="C19" s="148" t="s">
        <x:v>116</x:v>
      </x:c>
      <x:c r="D19">
        <x:v>207</x:v>
      </x:c>
      <x:c r="E19" s="324">
        <x:v>0</x:v>
      </x:c>
      <x:c r="F19" s="324">
        <x:v>0</x:v>
      </x:c>
      <x:c r="G19" s="324">
        <x:v>0</x:v>
      </x:c>
      <x:c r="H19" s="324">
        <x:v>0</x:v>
      </x:c>
      <x:c r="I19" s="324">
        <x:v>0</x:v>
      </x:c>
      <x:c r="J19" s="324">
        <x:v>0</x:v>
      </x:c>
      <x:c r="K19" s="324">
        <x:v>0</x:v>
      </x:c>
      <x:c r="L19" s="324">
        <x:v>0</x:v>
      </x:c>
      <x:c r="M19" s="324">
        <x:v>0</x:v>
      </x:c>
      <x:c r="N19" s="324">
        <x:v>0</x:v>
      </x:c>
      <x:c r="O19" s="324">
        <x:v>0</x:v>
      </x:c>
      <x:c r="P19" s="324">
        <x:v>0</x:v>
      </x:c>
      <x:c r="Q19" s="324">
        <x:v>0</x:v>
      </x:c>
      <x:c r="R19" s="324">
        <x:v>0</x:v>
      </x:c>
      <x:c r="S19" s="324">
        <x:v>0</x:v>
      </x:c>
      <x:c r="T19" s="324">
        <x:v>0</x:v>
      </x:c>
      <x:c r="U19" s="324">
        <x:v>0</x:v>
      </x:c>
      <x:c r="V19" s="324">
        <x:v>0</x:v>
      </x:c>
      <x:c r="W19" s="324">
        <x:v>0</x:v>
      </x:c>
      <x:c r="X19" s="324">
        <x:v>0</x:v>
      </x:c>
      <x:c r="Y19" s="324">
        <x:v>0</x:v>
      </x:c>
      <x:c r="Z19" s="257">
        <x:f t="shared" si="0"/>
        <x:v>0</x:v>
      </x:c>
    </x:row>
    <x:row r="20">
      <x:c r="A20" s="148" t="s">
        <x:v>107</x:v>
      </x:c>
      <x:c r="B20">
        <x:v>2</x:v>
      </x:c>
      <x:c r="C20" s="148" t="s">
        <x:v>116</x:v>
      </x:c>
      <x:c r="D20">
        <x:v>208</x:v>
      </x:c>
      <x:c r="E20" s="324">
        <x:v>0</x:v>
      </x:c>
      <x:c r="F20" s="324">
        <x:v>0</x:v>
      </x:c>
      <x:c r="G20" s="324">
        <x:v>0</x:v>
      </x:c>
      <x:c r="H20" s="324">
        <x:v>0</x:v>
      </x:c>
      <x:c r="I20" s="324">
        <x:v>0</x:v>
      </x:c>
      <x:c r="J20" s="324">
        <x:v>0</x:v>
      </x:c>
      <x:c r="K20" s="324">
        <x:v>0</x:v>
      </x:c>
      <x:c r="L20" s="324">
        <x:v>0</x:v>
      </x:c>
      <x:c r="M20" s="324">
        <x:v>0</x:v>
      </x:c>
      <x:c r="N20" s="324">
        <x:v>0</x:v>
      </x:c>
      <x:c r="O20" s="324">
        <x:v>0</x:v>
      </x:c>
      <x:c r="P20" s="324">
        <x:v>0</x:v>
      </x:c>
      <x:c r="Q20" s="324">
        <x:v>0</x:v>
      </x:c>
      <x:c r="R20" s="324">
        <x:v>0</x:v>
      </x:c>
      <x:c r="S20" s="324">
        <x:v>0</x:v>
      </x:c>
      <x:c r="T20" s="324">
        <x:v>0</x:v>
      </x:c>
      <x:c r="U20" s="324">
        <x:v>0</x:v>
      </x:c>
      <x:c r="V20" s="324">
        <x:v>0</x:v>
      </x:c>
      <x:c r="W20" s="324">
        <x:v>0</x:v>
      </x:c>
      <x:c r="X20" s="324">
        <x:v>0</x:v>
      </x:c>
      <x:c r="Y20" s="324">
        <x:v>0</x:v>
      </x:c>
      <x:c r="Z20" s="257">
        <x:f t="shared" si="0"/>
        <x:v>0</x:v>
      </x:c>
    </x:row>
    <x:row r="21">
      <x:c r="A21" s="148" t="s">
        <x:v>107</x:v>
      </x:c>
      <x:c r="B21">
        <x:v>2</x:v>
      </x:c>
      <x:c r="C21" s="148" t="s">
        <x:v>116</x:v>
      </x:c>
      <x:c r="D21">
        <x:v>209</x:v>
      </x:c>
      <x:c r="E21" s="324">
        <x:v>0</x:v>
      </x:c>
      <x:c r="F21" s="324">
        <x:v>0</x:v>
      </x:c>
      <x:c r="G21" s="324">
        <x:v>0</x:v>
      </x:c>
      <x:c r="H21" s="324">
        <x:v>0</x:v>
      </x:c>
      <x:c r="I21" s="324">
        <x:v>0</x:v>
      </x:c>
      <x:c r="J21" s="324">
        <x:v>0</x:v>
      </x:c>
      <x:c r="K21" s="324">
        <x:v>0</x:v>
      </x:c>
      <x:c r="L21" s="324">
        <x:v>0</x:v>
      </x:c>
      <x:c r="M21" s="324">
        <x:v>0</x:v>
      </x:c>
      <x:c r="N21" s="324">
        <x:v>0</x:v>
      </x:c>
      <x:c r="O21" s="324">
        <x:v>0</x:v>
      </x:c>
      <x:c r="P21" s="324">
        <x:v>0</x:v>
      </x:c>
      <x:c r="Q21" s="324">
        <x:v>0</x:v>
      </x:c>
      <x:c r="R21" s="324">
        <x:v>0</x:v>
      </x:c>
      <x:c r="S21" s="324">
        <x:v>0</x:v>
      </x:c>
      <x:c r="T21" s="324">
        <x:v>0</x:v>
      </x:c>
      <x:c r="U21" s="324">
        <x:v>0</x:v>
      </x:c>
      <x:c r="V21" s="324">
        <x:v>0</x:v>
      </x:c>
      <x:c r="W21" s="324">
        <x:v>0</x:v>
      </x:c>
      <x:c r="X21" s="324">
        <x:v>0</x:v>
      </x:c>
      <x:c r="Y21" s="324">
        <x:v>0</x:v>
      </x:c>
      <x:c r="Z21" s="257">
        <x:f t="shared" si="0"/>
        <x:v>0</x:v>
      </x:c>
    </x:row>
    <x:row r="22">
      <x:c r="A22" s="148" t="s">
        <x:v>107</x:v>
      </x:c>
      <x:c r="B22">
        <x:v>2</x:v>
      </x:c>
      <x:c r="C22" s="148" t="s">
        <x:v>116</x:v>
      </x:c>
      <x:c r="D22">
        <x:v>210</x:v>
      </x:c>
      <x:c r="E22" s="324">
        <x:v>0</x:v>
      </x:c>
      <x:c r="F22" s="324">
        <x:v>0</x:v>
      </x:c>
      <x:c r="G22" s="324">
        <x:v>0</x:v>
      </x:c>
      <x:c r="H22" s="324">
        <x:v>0</x:v>
      </x:c>
      <x:c r="I22" s="324">
        <x:v>0</x:v>
      </x:c>
      <x:c r="J22" s="324">
        <x:v>0</x:v>
      </x:c>
      <x:c r="K22" s="324">
        <x:v>0</x:v>
      </x:c>
      <x:c r="L22" s="324">
        <x:v>0</x:v>
      </x:c>
      <x:c r="M22" s="324">
        <x:v>0</x:v>
      </x:c>
      <x:c r="N22" s="324">
        <x:v>0</x:v>
      </x:c>
      <x:c r="O22" s="324">
        <x:v>0</x:v>
      </x:c>
      <x:c r="P22" s="324">
        <x:v>0</x:v>
      </x:c>
      <x:c r="Q22" s="324">
        <x:v>0</x:v>
      </x:c>
      <x:c r="R22" s="324">
        <x:v>0</x:v>
      </x:c>
      <x:c r="S22" s="324">
        <x:v>0</x:v>
      </x:c>
      <x:c r="T22" s="324">
        <x:v>0</x:v>
      </x:c>
      <x:c r="U22" s="324">
        <x:v>0</x:v>
      </x:c>
      <x:c r="V22" s="324">
        <x:v>0</x:v>
      </x:c>
      <x:c r="W22" s="324">
        <x:v>0</x:v>
      </x:c>
      <x:c r="X22" s="324">
        <x:v>0</x:v>
      </x:c>
      <x:c r="Y22" s="324">
        <x:v>0</x:v>
      </x:c>
      <x:c r="Z22" s="257">
        <x:f t="shared" si="0"/>
        <x:v>0</x:v>
      </x:c>
    </x:row>
    <x:row r="23">
      <x:c r="A23" s="148" t="s">
        <x:v>107</x:v>
      </x:c>
      <x:c r="B23">
        <x:v>2</x:v>
      </x:c>
      <x:c r="C23" s="148" t="s">
        <x:v>116</x:v>
      </x:c>
      <x:c r="D23">
        <x:v>211</x:v>
      </x:c>
      <x:c r="E23" s="324">
        <x:v>0</x:v>
      </x:c>
      <x:c r="F23" s="324">
        <x:v>0</x:v>
      </x:c>
      <x:c r="G23" s="324">
        <x:v>0</x:v>
      </x:c>
      <x:c r="H23" s="324">
        <x:v>0</x:v>
      </x:c>
      <x:c r="I23" s="324">
        <x:v>0</x:v>
      </x:c>
      <x:c r="J23" s="324">
        <x:v>0</x:v>
      </x:c>
      <x:c r="K23" s="324">
        <x:v>0</x:v>
      </x:c>
      <x:c r="L23" s="324">
        <x:v>0</x:v>
      </x:c>
      <x:c r="M23" s="324">
        <x:v>0</x:v>
      </x:c>
      <x:c r="N23" s="324">
        <x:v>0</x:v>
      </x:c>
      <x:c r="O23" s="324">
        <x:v>0</x:v>
      </x:c>
      <x:c r="P23" s="324">
        <x:v>0</x:v>
      </x:c>
      <x:c r="Q23" s="324">
        <x:v>0</x:v>
      </x:c>
      <x:c r="R23" s="324">
        <x:v>0</x:v>
      </x:c>
      <x:c r="S23" s="324">
        <x:v>0</x:v>
      </x:c>
      <x:c r="T23" s="324">
        <x:v>0</x:v>
      </x:c>
      <x:c r="U23" s="324">
        <x:v>0</x:v>
      </x:c>
      <x:c r="V23" s="324">
        <x:v>0</x:v>
      </x:c>
      <x:c r="W23" s="324">
        <x:v>0</x:v>
      </x:c>
      <x:c r="X23" s="324">
        <x:v>0</x:v>
      </x:c>
      <x:c r="Y23" s="324">
        <x:v>0</x:v>
      </x:c>
      <x:c r="Z23" s="257">
        <x:f t="shared" si="0"/>
        <x:v>0</x:v>
      </x:c>
    </x:row>
    <x:row r="24">
      <x:c r="A24" s="148" t="s">
        <x:v>107</x:v>
      </x:c>
      <x:c r="B24">
        <x:v>2</x:v>
      </x:c>
      <x:c r="C24" s="148" t="s">
        <x:v>116</x:v>
      </x:c>
      <x:c r="D24">
        <x:v>212</x:v>
      </x:c>
      <x:c r="E24" s="324">
        <x:v>0</x:v>
      </x:c>
      <x:c r="F24" s="324">
        <x:v>0</x:v>
      </x:c>
      <x:c r="G24" s="324">
        <x:v>0</x:v>
      </x:c>
      <x:c r="H24" s="324">
        <x:v>0</x:v>
      </x:c>
      <x:c r="I24" s="324">
        <x:v>0</x:v>
      </x:c>
      <x:c r="J24" s="324">
        <x:v>0</x:v>
      </x:c>
      <x:c r="K24" s="324">
        <x:v>0</x:v>
      </x:c>
      <x:c r="L24" s="324">
        <x:v>0</x:v>
      </x:c>
      <x:c r="M24" s="324">
        <x:v>0</x:v>
      </x:c>
      <x:c r="N24" s="324">
        <x:v>0</x:v>
      </x:c>
      <x:c r="O24" s="324">
        <x:v>0</x:v>
      </x:c>
      <x:c r="P24" s="324">
        <x:v>0</x:v>
      </x:c>
      <x:c r="Q24" s="324">
        <x:v>0</x:v>
      </x:c>
      <x:c r="R24" s="324">
        <x:v>0</x:v>
      </x:c>
      <x:c r="S24" s="324">
        <x:v>0</x:v>
      </x:c>
      <x:c r="T24" s="324">
        <x:v>0</x:v>
      </x:c>
      <x:c r="U24" s="324">
        <x:v>0</x:v>
      </x:c>
      <x:c r="V24" s="324">
        <x:v>0</x:v>
      </x:c>
      <x:c r="W24" s="324">
        <x:v>0</x:v>
      </x:c>
      <x:c r="X24" s="324">
        <x:v>0</x:v>
      </x:c>
      <x:c r="Y24" s="324">
        <x:v>0</x:v>
      </x:c>
      <x:c r="Z24" s="257">
        <x:f t="shared" si="0"/>
        <x:v>0</x:v>
      </x:c>
    </x:row>
    <x:row r="25">
      <x:c r="A25" s="148" t="s">
        <x:v>107</x:v>
      </x:c>
      <x:c r="B25">
        <x:v>2</x:v>
      </x:c>
      <x:c r="C25" s="148" t="s">
        <x:v>116</x:v>
      </x:c>
      <x:c r="D25">
        <x:v>213</x:v>
      </x:c>
      <x:c r="E25" s="324">
        <x:v>0</x:v>
      </x:c>
      <x:c r="F25" s="324">
        <x:v>0</x:v>
      </x:c>
      <x:c r="G25" s="324">
        <x:v>0</x:v>
      </x:c>
      <x:c r="H25" s="324">
        <x:v>0</x:v>
      </x:c>
      <x:c r="I25" s="324">
        <x:v>0</x:v>
      </x:c>
      <x:c r="J25" s="324">
        <x:v>0</x:v>
      </x:c>
      <x:c r="K25" s="324">
        <x:v>0</x:v>
      </x:c>
      <x:c r="L25" s="324">
        <x:v>0</x:v>
      </x:c>
      <x:c r="M25" s="324">
        <x:v>0</x:v>
      </x:c>
      <x:c r="N25" s="324">
        <x:v>0</x:v>
      </x:c>
      <x:c r="O25" s="324">
        <x:v>0</x:v>
      </x:c>
      <x:c r="P25" s="324">
        <x:v>0</x:v>
      </x:c>
      <x:c r="Q25" s="324">
        <x:v>0</x:v>
      </x:c>
      <x:c r="R25" s="324">
        <x:v>0</x:v>
      </x:c>
      <x:c r="S25" s="324">
        <x:v>0</x:v>
      </x:c>
      <x:c r="T25" s="324">
        <x:v>0</x:v>
      </x:c>
      <x:c r="U25" s="324">
        <x:v>0</x:v>
      </x:c>
      <x:c r="V25" s="324">
        <x:v>0</x:v>
      </x:c>
      <x:c r="W25" s="324">
        <x:v>0</x:v>
      </x:c>
      <x:c r="X25" s="324">
        <x:v>0</x:v>
      </x:c>
      <x:c r="Y25" s="324">
        <x:v>0</x:v>
      </x:c>
      <x:c r="Z25" s="257">
        <x:f t="shared" si="0"/>
        <x:v>0</x:v>
      </x:c>
    </x:row>
    <x:row r="26">
      <x:c r="A26" s="148" t="s">
        <x:v>107</x:v>
      </x:c>
      <x:c r="B26">
        <x:v>2</x:v>
      </x:c>
      <x:c r="C26" s="148" t="s">
        <x:v>116</x:v>
      </x:c>
      <x:c r="D26">
        <x:v>214</x:v>
      </x:c>
      <x:c r="E26" s="324">
        <x:v>0</x:v>
      </x:c>
      <x:c r="F26" s="324">
        <x:v>0</x:v>
      </x:c>
      <x:c r="G26" s="324">
        <x:v>0</x:v>
      </x:c>
      <x:c r="H26" s="324">
        <x:v>0</x:v>
      </x:c>
      <x:c r="I26" s="324">
        <x:v>0</x:v>
      </x:c>
      <x:c r="J26" s="324">
        <x:v>0</x:v>
      </x:c>
      <x:c r="K26" s="324">
        <x:v>0</x:v>
      </x:c>
      <x:c r="L26" s="324">
        <x:v>0</x:v>
      </x:c>
      <x:c r="M26" s="324">
        <x:v>0</x:v>
      </x:c>
      <x:c r="N26" s="324">
        <x:v>0</x:v>
      </x:c>
      <x:c r="O26" s="324">
        <x:v>0</x:v>
      </x:c>
      <x:c r="P26" s="324">
        <x:v>0</x:v>
      </x:c>
      <x:c r="Q26" s="324">
        <x:v>0</x:v>
      </x:c>
      <x:c r="R26" s="324">
        <x:v>0</x:v>
      </x:c>
      <x:c r="S26" s="324">
        <x:v>0</x:v>
      </x:c>
      <x:c r="T26" s="324">
        <x:v>0</x:v>
      </x:c>
      <x:c r="U26" s="324">
        <x:v>0</x:v>
      </x:c>
      <x:c r="V26" s="324">
        <x:v>0</x:v>
      </x:c>
      <x:c r="W26" s="324">
        <x:v>0</x:v>
      </x:c>
      <x:c r="X26" s="324">
        <x:v>0</x:v>
      </x:c>
      <x:c r="Y26" s="324">
        <x:v>0</x:v>
      </x:c>
      <x:c r="Z26" s="257">
        <x:f t="shared" si="0"/>
        <x:v>0</x:v>
      </x:c>
    </x:row>
    <x:row r="27">
      <x:c r="A27" s="148" t="s">
        <x:v>107</x:v>
      </x:c>
      <x:c r="B27">
        <x:v>2</x:v>
      </x:c>
      <x:c r="C27" s="148" t="s">
        <x:v>116</x:v>
      </x:c>
      <x:c r="D27">
        <x:v>215</x:v>
      </x:c>
      <x:c r="E27" s="324">
        <x:v>0</x:v>
      </x:c>
      <x:c r="F27" s="324">
        <x:v>0</x:v>
      </x:c>
      <x:c r="G27" s="324">
        <x:v>0</x:v>
      </x:c>
      <x:c r="H27" s="324">
        <x:v>0</x:v>
      </x:c>
      <x:c r="I27" s="324">
        <x:v>0</x:v>
      </x:c>
      <x:c r="J27" s="324">
        <x:v>0</x:v>
      </x:c>
      <x:c r="K27" s="324">
        <x:v>0</x:v>
      </x:c>
      <x:c r="L27" s="324">
        <x:v>0</x:v>
      </x:c>
      <x:c r="M27" s="324">
        <x:v>0</x:v>
      </x:c>
      <x:c r="N27" s="324">
        <x:v>0</x:v>
      </x:c>
      <x:c r="O27" s="324">
        <x:v>0</x:v>
      </x:c>
      <x:c r="P27" s="324">
        <x:v>0</x:v>
      </x:c>
      <x:c r="Q27" s="324">
        <x:v>0</x:v>
      </x:c>
      <x:c r="R27" s="324">
        <x:v>0</x:v>
      </x:c>
      <x:c r="S27" s="324">
        <x:v>0</x:v>
      </x:c>
      <x:c r="T27" s="324">
        <x:v>0</x:v>
      </x:c>
      <x:c r="U27" s="324">
        <x:v>0</x:v>
      </x:c>
      <x:c r="V27" s="324">
        <x:v>0</x:v>
      </x:c>
      <x:c r="W27" s="324">
        <x:v>0</x:v>
      </x:c>
      <x:c r="X27" s="324">
        <x:v>0</x:v>
      </x:c>
      <x:c r="Y27" s="324">
        <x:v>0</x:v>
      </x:c>
      <x:c r="Z27" s="257">
        <x:f t="shared" si="0"/>
        <x:v>0</x:v>
      </x:c>
    </x:row>
    <x:row r="28">
      <x:c r="A28" s="148" t="s">
        <x:v>107</x:v>
      </x:c>
      <x:c r="B28">
        <x:v>2</x:v>
      </x:c>
      <x:c r="C28" s="148" t="s">
        <x:v>116</x:v>
      </x:c>
      <x:c r="D28">
        <x:v>216</x:v>
      </x:c>
      <x:c r="E28" s="324">
        <x:v>0</x:v>
      </x:c>
      <x:c r="F28" s="324">
        <x:v>0</x:v>
      </x:c>
      <x:c r="G28" s="324">
        <x:v>0</x:v>
      </x:c>
      <x:c r="H28" s="324">
        <x:v>0</x:v>
      </x:c>
      <x:c r="I28" s="324">
        <x:v>0</x:v>
      </x:c>
      <x:c r="J28" s="324">
        <x:v>0</x:v>
      </x:c>
      <x:c r="K28" s="324">
        <x:v>0</x:v>
      </x:c>
      <x:c r="L28" s="324">
        <x:v>0</x:v>
      </x:c>
      <x:c r="M28" s="324">
        <x:v>0</x:v>
      </x:c>
      <x:c r="N28" s="324">
        <x:v>0</x:v>
      </x:c>
      <x:c r="O28" s="324">
        <x:v>0</x:v>
      </x:c>
      <x:c r="P28" s="324">
        <x:v>0</x:v>
      </x:c>
      <x:c r="Q28" s="324">
        <x:v>0</x:v>
      </x:c>
      <x:c r="R28" s="324">
        <x:v>0</x:v>
      </x:c>
      <x:c r="S28" s="324">
        <x:v>0</x:v>
      </x:c>
      <x:c r="T28" s="324">
        <x:v>0</x:v>
      </x:c>
      <x:c r="U28" s="324">
        <x:v>0</x:v>
      </x:c>
      <x:c r="V28" s="324">
        <x:v>0</x:v>
      </x:c>
      <x:c r="W28" s="324">
        <x:v>0</x:v>
      </x:c>
      <x:c r="X28" s="324">
        <x:v>0</x:v>
      </x:c>
      <x:c r="Y28" s="324">
        <x:v>0</x:v>
      </x:c>
      <x:c r="Z28" s="257">
        <x:f t="shared" si="0"/>
        <x:v>0</x:v>
      </x:c>
    </x:row>
    <x:row r="29">
      <x:c r="A29" s="148" t="s">
        <x:v>107</x:v>
      </x:c>
      <x:c r="B29">
        <x:v>2</x:v>
      </x:c>
      <x:c r="C29" s="148" t="s">
        <x:v>116</x:v>
      </x:c>
      <x:c r="D29">
        <x:v>217</x:v>
      </x:c>
      <x:c r="E29" s="324">
        <x:v>0</x:v>
      </x:c>
      <x:c r="F29" s="324">
        <x:v>0</x:v>
      </x:c>
      <x:c r="G29" s="324">
        <x:v>0</x:v>
      </x:c>
      <x:c r="H29" s="324">
        <x:v>0</x:v>
      </x:c>
      <x:c r="I29" s="324">
        <x:v>0</x:v>
      </x:c>
      <x:c r="J29" s="324">
        <x:v>0</x:v>
      </x:c>
      <x:c r="K29" s="324">
        <x:v>0</x:v>
      </x:c>
      <x:c r="L29" s="324">
        <x:v>0</x:v>
      </x:c>
      <x:c r="M29" s="324">
        <x:v>0</x:v>
      </x:c>
      <x:c r="N29" s="324">
        <x:v>0</x:v>
      </x:c>
      <x:c r="O29" s="324">
        <x:v>0</x:v>
      </x:c>
      <x:c r="P29" s="324">
        <x:v>0</x:v>
      </x:c>
      <x:c r="Q29" s="324">
        <x:v>0</x:v>
      </x:c>
      <x:c r="R29" s="324">
        <x:v>0</x:v>
      </x:c>
      <x:c r="S29" s="324">
        <x:v>0</x:v>
      </x:c>
      <x:c r="T29" s="324">
        <x:v>0</x:v>
      </x:c>
      <x:c r="U29" s="324">
        <x:v>0</x:v>
      </x:c>
      <x:c r="V29" s="324">
        <x:v>0</x:v>
      </x:c>
      <x:c r="W29" s="324">
        <x:v>0</x:v>
      </x:c>
      <x:c r="X29" s="324">
        <x:v>0</x:v>
      </x:c>
      <x:c r="Y29" s="324">
        <x:v>0</x:v>
      </x:c>
      <x:c r="Z29" s="257">
        <x:f t="shared" si="0"/>
        <x:v>0</x:v>
      </x:c>
    </x:row>
    <x:row r="30">
      <x:c r="A30" s="148" t="s">
        <x:v>107</x:v>
      </x:c>
      <x:c r="B30">
        <x:v>2</x:v>
      </x:c>
      <x:c r="C30" s="148" t="s">
        <x:v>116</x:v>
      </x:c>
      <x:c r="D30">
        <x:v>218</x:v>
      </x:c>
      <x:c r="E30" s="324">
        <x:v>0</x:v>
      </x:c>
      <x:c r="F30" s="324">
        <x:v>0</x:v>
      </x:c>
      <x:c r="G30" s="324">
        <x:v>0</x:v>
      </x:c>
      <x:c r="H30" s="324">
        <x:v>0</x:v>
      </x:c>
      <x:c r="I30" s="324">
        <x:v>0</x:v>
      </x:c>
      <x:c r="J30" s="324">
        <x:v>0</x:v>
      </x:c>
      <x:c r="K30" s="324">
        <x:v>0</x:v>
      </x:c>
      <x:c r="L30" s="324">
        <x:v>0</x:v>
      </x:c>
      <x:c r="M30" s="324">
        <x:v>0</x:v>
      </x:c>
      <x:c r="N30" s="324">
        <x:v>0</x:v>
      </x:c>
      <x:c r="O30" s="324">
        <x:v>0</x:v>
      </x:c>
      <x:c r="P30" s="324">
        <x:v>0</x:v>
      </x:c>
      <x:c r="Q30" s="324">
        <x:v>0</x:v>
      </x:c>
      <x:c r="R30" s="324">
        <x:v>0</x:v>
      </x:c>
      <x:c r="S30" s="324">
        <x:v>0</x:v>
      </x:c>
      <x:c r="T30" s="324">
        <x:v>0</x:v>
      </x:c>
      <x:c r="U30" s="324">
        <x:v>0</x:v>
      </x:c>
      <x:c r="V30" s="324">
        <x:v>0</x:v>
      </x:c>
      <x:c r="W30" s="324">
        <x:v>0</x:v>
      </x:c>
      <x:c r="X30" s="324">
        <x:v>0</x:v>
      </x:c>
      <x:c r="Y30" s="324">
        <x:v>0</x:v>
      </x:c>
      <x:c r="Z30" s="257">
        <x:f t="shared" si="0"/>
        <x:v>0</x:v>
      </x:c>
    </x:row>
    <x:row r="31">
      <x:c r="A31" s="148" t="s">
        <x:v>107</x:v>
      </x:c>
      <x:c r="B31">
        <x:v>2</x:v>
      </x:c>
      <x:c r="C31" s="148" t="s">
        <x:v>116</x:v>
      </x:c>
      <x:c r="D31">
        <x:v>219</x:v>
      </x:c>
      <x:c r="E31" s="324">
        <x:v>0</x:v>
      </x:c>
      <x:c r="F31" s="324">
        <x:v>0</x:v>
      </x:c>
      <x:c r="G31" s="324">
        <x:v>0</x:v>
      </x:c>
      <x:c r="H31" s="324">
        <x:v>0</x:v>
      </x:c>
      <x:c r="I31" s="324">
        <x:v>0</x:v>
      </x:c>
      <x:c r="J31" s="324">
        <x:v>0</x:v>
      </x:c>
      <x:c r="K31" s="324">
        <x:v>0</x:v>
      </x:c>
      <x:c r="L31" s="324">
        <x:v>0</x:v>
      </x:c>
      <x:c r="M31" s="324">
        <x:v>0</x:v>
      </x:c>
      <x:c r="N31" s="324">
        <x:v>0</x:v>
      </x:c>
      <x:c r="O31" s="324">
        <x:v>0</x:v>
      </x:c>
      <x:c r="P31" s="324">
        <x:v>0</x:v>
      </x:c>
      <x:c r="Q31" s="324">
        <x:v>0</x:v>
      </x:c>
      <x:c r="R31" s="324">
        <x:v>0</x:v>
      </x:c>
      <x:c r="S31" s="324">
        <x:v>0</x:v>
      </x:c>
      <x:c r="T31" s="324">
        <x:v>0</x:v>
      </x:c>
      <x:c r="U31" s="324">
        <x:v>0</x:v>
      </x:c>
      <x:c r="V31" s="324">
        <x:v>0</x:v>
      </x:c>
      <x:c r="W31" s="324">
        <x:v>0</x:v>
      </x:c>
      <x:c r="X31" s="324">
        <x:v>0</x:v>
      </x:c>
      <x:c r="Y31" s="324">
        <x:v>0</x:v>
      </x:c>
      <x:c r="Z31" s="257">
        <x:f t="shared" si="0"/>
        <x:v>0</x:v>
      </x:c>
    </x:row>
    <x:row r="32">
      <x:c r="A32" s="148" t="s">
        <x:v>107</x:v>
      </x:c>
      <x:c r="B32">
        <x:v>2</x:v>
      </x:c>
      <x:c r="C32" s="148" t="s">
        <x:v>116</x:v>
      </x:c>
      <x:c r="D32">
        <x:v>220</x:v>
      </x:c>
      <x:c r="E32" s="324">
        <x:v>0</x:v>
      </x:c>
      <x:c r="F32" s="324">
        <x:v>0</x:v>
      </x:c>
      <x:c r="G32" s="324">
        <x:v>0</x:v>
      </x:c>
      <x:c r="H32" s="324">
        <x:v>0</x:v>
      </x:c>
      <x:c r="I32" s="324">
        <x:v>0</x:v>
      </x:c>
      <x:c r="J32" s="324">
        <x:v>0</x:v>
      </x:c>
      <x:c r="K32" s="324">
        <x:v>0</x:v>
      </x:c>
      <x:c r="L32" s="324">
        <x:v>0</x:v>
      </x:c>
      <x:c r="M32" s="324">
        <x:v>0</x:v>
      </x:c>
      <x:c r="N32" s="324">
        <x:v>0</x:v>
      </x:c>
      <x:c r="O32" s="324">
        <x:v>0</x:v>
      </x:c>
      <x:c r="P32" s="324">
        <x:v>0</x:v>
      </x:c>
      <x:c r="Q32" s="324">
        <x:v>0</x:v>
      </x:c>
      <x:c r="R32" s="324">
        <x:v>0</x:v>
      </x:c>
      <x:c r="S32" s="324">
        <x:v>0</x:v>
      </x:c>
      <x:c r="T32" s="324">
        <x:v>0</x:v>
      </x:c>
      <x:c r="U32" s="324">
        <x:v>0</x:v>
      </x:c>
      <x:c r="V32" s="324">
        <x:v>0</x:v>
      </x:c>
      <x:c r="W32" s="324">
        <x:v>0</x:v>
      </x:c>
      <x:c r="X32" s="324">
        <x:v>0</x:v>
      </x:c>
      <x:c r="Y32" s="324">
        <x:v>0</x:v>
      </x:c>
      <x:c r="Z32" s="257">
        <x:f t="shared" si="0"/>
        <x:v>0</x:v>
      </x:c>
    </x:row>
    <x:row r="33">
      <x:c r="A33" s="148" t="s">
        <x:v>107</x:v>
      </x:c>
      <x:c r="B33">
        <x:v>2</x:v>
      </x:c>
      <x:c r="C33" s="148" t="s">
        <x:v>116</x:v>
      </x:c>
      <x:c r="D33">
        <x:v>221</x:v>
      </x:c>
      <x:c r="E33" s="324">
        <x:v>0</x:v>
      </x:c>
      <x:c r="F33" s="324">
        <x:v>0</x:v>
      </x:c>
      <x:c r="G33" s="324">
        <x:v>0</x:v>
      </x:c>
      <x:c r="H33" s="324">
        <x:v>0</x:v>
      </x:c>
      <x:c r="I33" s="324">
        <x:v>0</x:v>
      </x:c>
      <x:c r="J33" s="324">
        <x:v>0</x:v>
      </x:c>
      <x:c r="K33" s="324">
        <x:v>0</x:v>
      </x:c>
      <x:c r="L33" s="324">
        <x:v>0</x:v>
      </x:c>
      <x:c r="M33" s="324">
        <x:v>0</x:v>
      </x:c>
      <x:c r="N33" s="324">
        <x:v>0</x:v>
      </x:c>
      <x:c r="O33" s="324">
        <x:v>0</x:v>
      </x:c>
      <x:c r="P33" s="324">
        <x:v>0</x:v>
      </x:c>
      <x:c r="Q33" s="324">
        <x:v>0</x:v>
      </x:c>
      <x:c r="R33" s="324">
        <x:v>0</x:v>
      </x:c>
      <x:c r="S33" s="324">
        <x:v>0</x:v>
      </x:c>
      <x:c r="T33" s="324">
        <x:v>0</x:v>
      </x:c>
      <x:c r="U33" s="324">
        <x:v>0</x:v>
      </x:c>
      <x:c r="V33" s="324">
        <x:v>0</x:v>
      </x:c>
      <x:c r="W33" s="324">
        <x:v>0</x:v>
      </x:c>
      <x:c r="X33" s="324">
        <x:v>0</x:v>
      </x:c>
      <x:c r="Y33" s="324">
        <x:v>0</x:v>
      </x:c>
      <x:c r="Z33" s="257">
        <x:f t="shared" si="0"/>
        <x:v>0</x:v>
      </x:c>
    </x:row>
    <x:row r="34">
      <x:c r="A34" s="148" t="s">
        <x:v>107</x:v>
      </x:c>
      <x:c r="B34">
        <x:v>2</x:v>
      </x:c>
      <x:c r="C34" s="148" t="s">
        <x:v>116</x:v>
      </x:c>
      <x:c r="D34">
        <x:v>222</x:v>
      </x:c>
      <x:c r="E34" s="324">
        <x:v>0</x:v>
      </x:c>
      <x:c r="F34" s="324">
        <x:v>0</x:v>
      </x:c>
      <x:c r="G34" s="324">
        <x:v>0</x:v>
      </x:c>
      <x:c r="H34" s="324">
        <x:v>0</x:v>
      </x:c>
      <x:c r="I34" s="324">
        <x:v>0</x:v>
      </x:c>
      <x:c r="J34" s="324">
        <x:v>0</x:v>
      </x:c>
      <x:c r="K34" s="324">
        <x:v>0</x:v>
      </x:c>
      <x:c r="L34" s="324">
        <x:v>0</x:v>
      </x:c>
      <x:c r="M34" s="324">
        <x:v>0</x:v>
      </x:c>
      <x:c r="N34" s="324">
        <x:v>0</x:v>
      </x:c>
      <x:c r="O34" s="324">
        <x:v>0</x:v>
      </x:c>
      <x:c r="P34" s="324">
        <x:v>0</x:v>
      </x:c>
      <x:c r="Q34" s="324">
        <x:v>0</x:v>
      </x:c>
      <x:c r="R34" s="324">
        <x:v>0</x:v>
      </x:c>
      <x:c r="S34" s="324">
        <x:v>0</x:v>
      </x:c>
      <x:c r="T34" s="324">
        <x:v>0</x:v>
      </x:c>
      <x:c r="U34" s="324">
        <x:v>0</x:v>
      </x:c>
      <x:c r="V34" s="324">
        <x:v>0</x:v>
      </x:c>
      <x:c r="W34" s="324">
        <x:v>0</x:v>
      </x:c>
      <x:c r="X34" s="324">
        <x:v>0</x:v>
      </x:c>
      <x:c r="Y34" s="324">
        <x:v>0</x:v>
      </x:c>
      <x:c r="Z34" s="257">
        <x:f t="shared" si="0"/>
        <x:v>0</x:v>
      </x:c>
    </x:row>
    <x:row r="35">
      <x:c r="A35" s="148" t="s">
        <x:v>107</x:v>
      </x:c>
      <x:c r="B35">
        <x:v>2</x:v>
      </x:c>
      <x:c r="C35" s="148" t="s">
        <x:v>116</x:v>
      </x:c>
      <x:c r="D35">
        <x:v>223</x:v>
      </x:c>
      <x:c r="E35" s="324">
        <x:v>0</x:v>
      </x:c>
      <x:c r="F35" s="324">
        <x:v>0</x:v>
      </x:c>
      <x:c r="G35" s="324">
        <x:v>0</x:v>
      </x:c>
      <x:c r="H35" s="324">
        <x:v>0</x:v>
      </x:c>
      <x:c r="I35" s="324">
        <x:v>0</x:v>
      </x:c>
      <x:c r="J35" s="324">
        <x:v>0</x:v>
      </x:c>
      <x:c r="K35" s="324">
        <x:v>0</x:v>
      </x:c>
      <x:c r="L35" s="324">
        <x:v>0</x:v>
      </x:c>
      <x:c r="M35" s="324">
        <x:v>0</x:v>
      </x:c>
      <x:c r="N35" s="324">
        <x:v>0</x:v>
      </x:c>
      <x:c r="O35" s="324">
        <x:v>0</x:v>
      </x:c>
      <x:c r="P35" s="324">
        <x:v>0</x:v>
      </x:c>
      <x:c r="Q35" s="324">
        <x:v>0</x:v>
      </x:c>
      <x:c r="R35" s="324">
        <x:v>0</x:v>
      </x:c>
      <x:c r="S35" s="324">
        <x:v>0</x:v>
      </x:c>
      <x:c r="T35" s="324">
        <x:v>0</x:v>
      </x:c>
      <x:c r="U35" s="324">
        <x:v>0</x:v>
      </x:c>
      <x:c r="V35" s="324">
        <x:v>0</x:v>
      </x:c>
      <x:c r="W35" s="324">
        <x:v>0</x:v>
      </x:c>
      <x:c r="X35" s="324">
        <x:v>0</x:v>
      </x:c>
      <x:c r="Y35" s="324">
        <x:v>0</x:v>
      </x:c>
      <x:c r="Z35" s="257">
        <x:f t="shared" si="0"/>
        <x:v>0</x:v>
      </x:c>
    </x:row>
    <x:row r="36">
      <x:c r="A36" s="148" t="s">
        <x:v>107</x:v>
      </x:c>
      <x:c r="B36">
        <x:v>2</x:v>
      </x:c>
      <x:c r="C36" s="148" t="s">
        <x:v>115</x:v>
      </x:c>
      <x:c r="D36">
        <x:v>201</x:v>
      </x:c>
      <x:c r="E36" s="324">
        <x:v>0</x:v>
      </x:c>
      <x:c r="F36" s="324">
        <x:v>0</x:v>
      </x:c>
      <x:c r="G36" s="324">
        <x:v>0</x:v>
      </x:c>
      <x:c r="H36" s="324">
        <x:v>0</x:v>
      </x:c>
      <x:c r="I36" s="324">
        <x:v>0</x:v>
      </x:c>
      <x:c r="J36" s="324">
        <x:v>0</x:v>
      </x:c>
      <x:c r="K36" s="324">
        <x:v>0</x:v>
      </x:c>
      <x:c r="L36" s="324">
        <x:v>0</x:v>
      </x:c>
      <x:c r="M36" s="324">
        <x:v>0</x:v>
      </x:c>
      <x:c r="N36" s="324">
        <x:v>0</x:v>
      </x:c>
      <x:c r="O36" s="324">
        <x:v>0</x:v>
      </x:c>
      <x:c r="P36" s="324">
        <x:v>0</x:v>
      </x:c>
      <x:c r="Q36" s="324">
        <x:v>0</x:v>
      </x:c>
      <x:c r="R36" s="324">
        <x:v>0</x:v>
      </x:c>
      <x:c r="S36" s="324">
        <x:v>0</x:v>
      </x:c>
      <x:c r="T36" s="324">
        <x:v>0</x:v>
      </x:c>
      <x:c r="U36" s="324">
        <x:v>0</x:v>
      </x:c>
      <x:c r="V36" s="324">
        <x:v>0</x:v>
      </x:c>
      <x:c r="W36" s="324">
        <x:v>0</x:v>
      </x:c>
      <x:c r="X36" s="324">
        <x:v>0</x:v>
      </x:c>
      <x:c r="Y36" s="324">
        <x:v>0</x:v>
      </x:c>
      <x:c r="Z36" s="257">
        <x:f t="shared" si="0"/>
        <x:v>0</x:v>
      </x:c>
    </x:row>
    <x:row r="37">
      <x:c r="A37" s="148" t="s">
        <x:v>107</x:v>
      </x:c>
      <x:c r="B37">
        <x:v>2</x:v>
      </x:c>
      <x:c r="C37" s="148" t="s">
        <x:v>115</x:v>
      </x:c>
      <x:c r="D37">
        <x:v>202</x:v>
      </x:c>
      <x:c r="E37" s="324">
        <x:v>0</x:v>
      </x:c>
      <x:c r="F37" s="324">
        <x:v>0</x:v>
      </x:c>
      <x:c r="G37" s="324">
        <x:v>0</x:v>
      </x:c>
      <x:c r="H37" s="324">
        <x:v>0</x:v>
      </x:c>
      <x:c r="I37" s="324">
        <x:v>0</x:v>
      </x:c>
      <x:c r="J37" s="324">
        <x:v>0</x:v>
      </x:c>
      <x:c r="K37" s="324">
        <x:v>0</x:v>
      </x:c>
      <x:c r="L37" s="324">
        <x:v>0</x:v>
      </x:c>
      <x:c r="M37" s="324">
        <x:v>0</x:v>
      </x:c>
      <x:c r="N37" s="324">
        <x:v>0</x:v>
      </x:c>
      <x:c r="O37" s="324">
        <x:v>0</x:v>
      </x:c>
      <x:c r="P37" s="324">
        <x:v>0</x:v>
      </x:c>
      <x:c r="Q37" s="324">
        <x:v>0</x:v>
      </x:c>
      <x:c r="R37" s="324">
        <x:v>0</x:v>
      </x:c>
      <x:c r="S37" s="324">
        <x:v>0</x:v>
      </x:c>
      <x:c r="T37" s="324">
        <x:v>0</x:v>
      </x:c>
      <x:c r="U37" s="324">
        <x:v>0</x:v>
      </x:c>
      <x:c r="V37" s="324">
        <x:v>0</x:v>
      </x:c>
      <x:c r="W37" s="324">
        <x:v>0</x:v>
      </x:c>
      <x:c r="X37" s="324">
        <x:v>0</x:v>
      </x:c>
      <x:c r="Y37" s="324">
        <x:v>0</x:v>
      </x:c>
      <x:c r="Z37" s="257">
        <x:f t="shared" si="0"/>
        <x:v>0</x:v>
      </x:c>
    </x:row>
    <x:row r="38">
      <x:c r="A38" s="148" t="s">
        <x:v>107</x:v>
      </x:c>
      <x:c r="B38">
        <x:v>2</x:v>
      </x:c>
      <x:c r="C38" s="148" t="s">
        <x:v>115</x:v>
      </x:c>
      <x:c r="D38">
        <x:v>203</x:v>
      </x:c>
      <x:c r="E38" s="324">
        <x:v>0</x:v>
      </x:c>
      <x:c r="F38" s="324">
        <x:v>0</x:v>
      </x:c>
      <x:c r="G38" s="324">
        <x:v>0</x:v>
      </x:c>
      <x:c r="H38" s="324">
        <x:v>0</x:v>
      </x:c>
      <x:c r="I38" s="324">
        <x:v>0</x:v>
      </x:c>
      <x:c r="J38" s="324">
        <x:v>0</x:v>
      </x:c>
      <x:c r="K38" s="324">
        <x:v>0</x:v>
      </x:c>
      <x:c r="L38" s="324">
        <x:v>0</x:v>
      </x:c>
      <x:c r="M38" s="324">
        <x:v>0</x:v>
      </x:c>
      <x:c r="N38" s="324">
        <x:v>0</x:v>
      </x:c>
      <x:c r="O38" s="324">
        <x:v>0</x:v>
      </x:c>
      <x:c r="P38" s="324">
        <x:v>0</x:v>
      </x:c>
      <x:c r="Q38" s="324">
        <x:v>0</x:v>
      </x:c>
      <x:c r="R38" s="324">
        <x:v>0</x:v>
      </x:c>
      <x:c r="S38" s="324">
        <x:v>0</x:v>
      </x:c>
      <x:c r="T38" s="324">
        <x:v>0</x:v>
      </x:c>
      <x:c r="U38" s="324">
        <x:v>0</x:v>
      </x:c>
      <x:c r="V38" s="324">
        <x:v>0</x:v>
      </x:c>
      <x:c r="W38" s="324">
        <x:v>0</x:v>
      </x:c>
      <x:c r="X38" s="324">
        <x:v>0</x:v>
      </x:c>
      <x:c r="Y38" s="324">
        <x:v>0</x:v>
      </x:c>
      <x:c r="Z38" s="257">
        <x:f t="shared" si="0"/>
        <x:v>0</x:v>
      </x:c>
    </x:row>
    <x:row r="39">
      <x:c r="A39" s="148" t="s">
        <x:v>107</x:v>
      </x:c>
      <x:c r="B39">
        <x:v>2</x:v>
      </x:c>
      <x:c r="C39" s="148" t="s">
        <x:v>115</x:v>
      </x:c>
      <x:c r="D39">
        <x:v>204</x:v>
      </x:c>
      <x:c r="E39" s="324">
        <x:v>0</x:v>
      </x:c>
      <x:c r="F39" s="324">
        <x:v>0</x:v>
      </x:c>
      <x:c r="G39" s="324">
        <x:v>0</x:v>
      </x:c>
      <x:c r="H39" s="324">
        <x:v>0</x:v>
      </x:c>
      <x:c r="I39" s="324">
        <x:v>0</x:v>
      </x:c>
      <x:c r="J39" s="324">
        <x:v>0</x:v>
      </x:c>
      <x:c r="K39" s="324">
        <x:v>0</x:v>
      </x:c>
      <x:c r="L39" s="324">
        <x:v>0</x:v>
      </x:c>
      <x:c r="M39" s="324">
        <x:v>0</x:v>
      </x:c>
      <x:c r="N39" s="324">
        <x:v>0</x:v>
      </x:c>
      <x:c r="O39" s="324">
        <x:v>0</x:v>
      </x:c>
      <x:c r="P39" s="324">
        <x:v>0</x:v>
      </x:c>
      <x:c r="Q39" s="324">
        <x:v>0</x:v>
      </x:c>
      <x:c r="R39" s="324">
        <x:v>0</x:v>
      </x:c>
      <x:c r="S39" s="324">
        <x:v>0</x:v>
      </x:c>
      <x:c r="T39" s="324">
        <x:v>0</x:v>
      </x:c>
      <x:c r="U39" s="324">
        <x:v>0</x:v>
      </x:c>
      <x:c r="V39" s="324">
        <x:v>0</x:v>
      </x:c>
      <x:c r="W39" s="324">
        <x:v>0</x:v>
      </x:c>
      <x:c r="X39" s="324">
        <x:v>0</x:v>
      </x:c>
      <x:c r="Y39" s="324">
        <x:v>0</x:v>
      </x:c>
      <x:c r="Z39" s="257">
        <x:f t="shared" si="0"/>
        <x:v>0</x:v>
      </x:c>
    </x:row>
    <x:row r="40">
      <x:c r="A40" s="148" t="s">
        <x:v>107</x:v>
      </x:c>
      <x:c r="B40">
        <x:v>2</x:v>
      </x:c>
      <x:c r="C40" s="148" t="s">
        <x:v>115</x:v>
      </x:c>
      <x:c r="D40">
        <x:v>205</x:v>
      </x:c>
      <x:c r="E40" s="324">
        <x:v>0</x:v>
      </x:c>
      <x:c r="F40" s="324">
        <x:v>0</x:v>
      </x:c>
      <x:c r="G40" s="324">
        <x:v>0</x:v>
      </x:c>
      <x:c r="H40" s="324">
        <x:v>0</x:v>
      </x:c>
      <x:c r="I40" s="324">
        <x:v>0</x:v>
      </x:c>
      <x:c r="J40" s="324">
        <x:v>0</x:v>
      </x:c>
      <x:c r="K40" s="324">
        <x:v>0</x:v>
      </x:c>
      <x:c r="L40" s="324">
        <x:v>0</x:v>
      </x:c>
      <x:c r="M40" s="324">
        <x:v>0</x:v>
      </x:c>
      <x:c r="N40" s="324">
        <x:v>0</x:v>
      </x:c>
      <x:c r="O40" s="324">
        <x:v>0</x:v>
      </x:c>
      <x:c r="P40" s="324">
        <x:v>0</x:v>
      </x:c>
      <x:c r="Q40" s="324">
        <x:v>0</x:v>
      </x:c>
      <x:c r="R40" s="324">
        <x:v>0</x:v>
      </x:c>
      <x:c r="S40" s="324">
        <x:v>0</x:v>
      </x:c>
      <x:c r="T40" s="324">
        <x:v>0</x:v>
      </x:c>
      <x:c r="U40" s="324">
        <x:v>0</x:v>
      </x:c>
      <x:c r="V40" s="324">
        <x:v>0</x:v>
      </x:c>
      <x:c r="W40" s="324">
        <x:v>0</x:v>
      </x:c>
      <x:c r="X40" s="324">
        <x:v>0</x:v>
      </x:c>
      <x:c r="Y40" s="324">
        <x:v>0</x:v>
      </x:c>
      <x:c r="Z40" s="257">
        <x:f t="shared" si="0"/>
        <x:v>0</x:v>
      </x:c>
    </x:row>
    <x:row r="41">
      <x:c r="A41" s="148" t="s">
        <x:v>107</x:v>
      </x:c>
      <x:c r="B41">
        <x:v>2</x:v>
      </x:c>
      <x:c r="C41" s="148" t="s">
        <x:v>115</x:v>
      </x:c>
      <x:c r="D41">
        <x:v>206</x:v>
      </x:c>
      <x:c r="E41" s="324">
        <x:v>0</x:v>
      </x:c>
      <x:c r="F41" s="324">
        <x:v>0</x:v>
      </x:c>
      <x:c r="G41" s="324">
        <x:v>0</x:v>
      </x:c>
      <x:c r="H41" s="324">
        <x:v>0</x:v>
      </x:c>
      <x:c r="I41" s="324">
        <x:v>0</x:v>
      </x:c>
      <x:c r="J41" s="324">
        <x:v>0</x:v>
      </x:c>
      <x:c r="K41" s="324">
        <x:v>0</x:v>
      </x:c>
      <x:c r="L41" s="324">
        <x:v>0</x:v>
      </x:c>
      <x:c r="M41" s="324">
        <x:v>0</x:v>
      </x:c>
      <x:c r="N41" s="324">
        <x:v>0</x:v>
      </x:c>
      <x:c r="O41" s="324">
        <x:v>0</x:v>
      </x:c>
      <x:c r="P41" s="324">
        <x:v>0</x:v>
      </x:c>
      <x:c r="Q41" s="324">
        <x:v>0</x:v>
      </x:c>
      <x:c r="R41" s="324">
        <x:v>0</x:v>
      </x:c>
      <x:c r="S41" s="324">
        <x:v>0</x:v>
      </x:c>
      <x:c r="T41" s="324">
        <x:v>0</x:v>
      </x:c>
      <x:c r="U41" s="324">
        <x:v>0</x:v>
      </x:c>
      <x:c r="V41" s="324">
        <x:v>0</x:v>
      </x:c>
      <x:c r="W41" s="324">
        <x:v>0</x:v>
      </x:c>
      <x:c r="X41" s="324">
        <x:v>0</x:v>
      </x:c>
      <x:c r="Y41" s="324">
        <x:v>0</x:v>
      </x:c>
      <x:c r="Z41" s="257">
        <x:f t="shared" si="0"/>
        <x:v>0</x:v>
      </x:c>
    </x:row>
    <x:row r="42">
      <x:c r="A42" s="148" t="s">
        <x:v>107</x:v>
      </x:c>
      <x:c r="B42">
        <x:v>2</x:v>
      </x:c>
      <x:c r="C42" s="148" t="s">
        <x:v>115</x:v>
      </x:c>
      <x:c r="D42">
        <x:v>207</x:v>
      </x:c>
      <x:c r="E42" s="324">
        <x:v>0</x:v>
      </x:c>
      <x:c r="F42" s="324">
        <x:v>0</x:v>
      </x:c>
      <x:c r="G42" s="324">
        <x:v>0</x:v>
      </x:c>
      <x:c r="H42" s="324">
        <x:v>0</x:v>
      </x:c>
      <x:c r="I42" s="324">
        <x:v>0</x:v>
      </x:c>
      <x:c r="J42" s="324">
        <x:v>0</x:v>
      </x:c>
      <x:c r="K42" s="324">
        <x:v>0</x:v>
      </x:c>
      <x:c r="L42" s="324">
        <x:v>0</x:v>
      </x:c>
      <x:c r="M42" s="324">
        <x:v>0</x:v>
      </x:c>
      <x:c r="N42" s="324">
        <x:v>0</x:v>
      </x:c>
      <x:c r="O42" s="324">
        <x:v>0</x:v>
      </x:c>
      <x:c r="P42" s="324">
        <x:v>0</x:v>
      </x:c>
      <x:c r="Q42" s="324">
        <x:v>0</x:v>
      </x:c>
      <x:c r="R42" s="324">
        <x:v>0</x:v>
      </x:c>
      <x:c r="S42" s="324">
        <x:v>0</x:v>
      </x:c>
      <x:c r="T42" s="324">
        <x:v>0</x:v>
      </x:c>
      <x:c r="U42" s="324">
        <x:v>0</x:v>
      </x:c>
      <x:c r="V42" s="324">
        <x:v>0</x:v>
      </x:c>
      <x:c r="W42" s="324">
        <x:v>0</x:v>
      </x:c>
      <x:c r="X42" s="324">
        <x:v>0</x:v>
      </x:c>
      <x:c r="Y42" s="324">
        <x:v>0</x:v>
      </x:c>
      <x:c r="Z42" s="257">
        <x:f t="shared" si="0"/>
        <x:v>0</x:v>
      </x:c>
    </x:row>
    <x:row r="43">
      <x:c r="A43" s="148" t="s">
        <x:v>107</x:v>
      </x:c>
      <x:c r="B43">
        <x:v>2</x:v>
      </x:c>
      <x:c r="C43" s="148" t="s">
        <x:v>115</x:v>
      </x:c>
      <x:c r="D43">
        <x:v>208</x:v>
      </x:c>
      <x:c r="E43" s="324">
        <x:v>0</x:v>
      </x:c>
      <x:c r="F43" s="324">
        <x:v>0</x:v>
      </x:c>
      <x:c r="G43" s="324">
        <x:v>0</x:v>
      </x:c>
      <x:c r="H43" s="324">
        <x:v>0</x:v>
      </x:c>
      <x:c r="I43" s="324">
        <x:v>0</x:v>
      </x:c>
      <x:c r="J43" s="324">
        <x:v>0</x:v>
      </x:c>
      <x:c r="K43" s="324">
        <x:v>0</x:v>
      </x:c>
      <x:c r="L43" s="324">
        <x:v>0</x:v>
      </x:c>
      <x:c r="M43" s="324">
        <x:v>0</x:v>
      </x:c>
      <x:c r="N43" s="324">
        <x:v>0</x:v>
      </x:c>
      <x:c r="O43" s="324">
        <x:v>0</x:v>
      </x:c>
      <x:c r="P43" s="324">
        <x:v>0</x:v>
      </x:c>
      <x:c r="Q43" s="324">
        <x:v>0</x:v>
      </x:c>
      <x:c r="R43" s="324">
        <x:v>0</x:v>
      </x:c>
      <x:c r="S43" s="324">
        <x:v>0</x:v>
      </x:c>
      <x:c r="T43" s="324">
        <x:v>0</x:v>
      </x:c>
      <x:c r="U43" s="324">
        <x:v>0</x:v>
      </x:c>
      <x:c r="V43" s="324">
        <x:v>0</x:v>
      </x:c>
      <x:c r="W43" s="324">
        <x:v>0</x:v>
      </x:c>
      <x:c r="X43" s="324">
        <x:v>0</x:v>
      </x:c>
      <x:c r="Y43" s="324">
        <x:v>0</x:v>
      </x:c>
      <x:c r="Z43" s="257">
        <x:f t="shared" si="0"/>
        <x:v>0</x:v>
      </x:c>
    </x:row>
    <x:row r="44">
      <x:c r="A44" s="148" t="s">
        <x:v>107</x:v>
      </x:c>
      <x:c r="B44">
        <x:v>2</x:v>
      </x:c>
      <x:c r="C44" s="148" t="s">
        <x:v>115</x:v>
      </x:c>
      <x:c r="D44">
        <x:v>209</x:v>
      </x:c>
      <x:c r="E44" s="324">
        <x:v>0</x:v>
      </x:c>
      <x:c r="F44" s="324">
        <x:v>0</x:v>
      </x:c>
      <x:c r="G44" s="324">
        <x:v>0</x:v>
      </x:c>
      <x:c r="H44" s="324">
        <x:v>0</x:v>
      </x:c>
      <x:c r="I44" s="324">
        <x:v>0</x:v>
      </x:c>
      <x:c r="J44" s="324">
        <x:v>0</x:v>
      </x:c>
      <x:c r="K44" s="324">
        <x:v>0</x:v>
      </x:c>
      <x:c r="L44" s="324">
        <x:v>0</x:v>
      </x:c>
      <x:c r="M44" s="324">
        <x:v>0</x:v>
      </x:c>
      <x:c r="N44" s="324">
        <x:v>0</x:v>
      </x:c>
      <x:c r="O44" s="324">
        <x:v>0</x:v>
      </x:c>
      <x:c r="P44" s="324">
        <x:v>0</x:v>
      </x:c>
      <x:c r="Q44" s="324">
        <x:v>0</x:v>
      </x:c>
      <x:c r="R44" s="324">
        <x:v>0</x:v>
      </x:c>
      <x:c r="S44" s="324">
        <x:v>0</x:v>
      </x:c>
      <x:c r="T44" s="324">
        <x:v>0</x:v>
      </x:c>
      <x:c r="U44" s="324">
        <x:v>0</x:v>
      </x:c>
      <x:c r="V44" s="324">
        <x:v>0</x:v>
      </x:c>
      <x:c r="W44" s="324">
        <x:v>0</x:v>
      </x:c>
      <x:c r="X44" s="324">
        <x:v>0</x:v>
      </x:c>
      <x:c r="Y44" s="324">
        <x:v>0</x:v>
      </x:c>
      <x:c r="Z44" s="257">
        <x:f t="shared" si="0"/>
        <x:v>0</x:v>
      </x:c>
    </x:row>
    <x:row r="45">
      <x:c r="A45" s="148" t="s">
        <x:v>107</x:v>
      </x:c>
      <x:c r="B45">
        <x:v>2</x:v>
      </x:c>
      <x:c r="C45" s="148" t="s">
        <x:v>115</x:v>
      </x:c>
      <x:c r="D45">
        <x:v>210</x:v>
      </x:c>
      <x:c r="E45" s="324">
        <x:v>0</x:v>
      </x:c>
      <x:c r="F45" s="324">
        <x:v>0</x:v>
      </x:c>
      <x:c r="G45" s="324">
        <x:v>0</x:v>
      </x:c>
      <x:c r="H45" s="324">
        <x:v>0</x:v>
      </x:c>
      <x:c r="I45" s="324">
        <x:v>0</x:v>
      </x:c>
      <x:c r="J45" s="324">
        <x:v>0</x:v>
      </x:c>
      <x:c r="K45" s="324">
        <x:v>0</x:v>
      </x:c>
      <x:c r="L45" s="324">
        <x:v>0</x:v>
      </x:c>
      <x:c r="M45" s="324">
        <x:v>0</x:v>
      </x:c>
      <x:c r="N45" s="324">
        <x:v>0</x:v>
      </x:c>
      <x:c r="O45" s="324">
        <x:v>0</x:v>
      </x:c>
      <x:c r="P45" s="324">
        <x:v>0</x:v>
      </x:c>
      <x:c r="Q45" s="324">
        <x:v>0</x:v>
      </x:c>
      <x:c r="R45" s="324">
        <x:v>0</x:v>
      </x:c>
      <x:c r="S45" s="324">
        <x:v>0</x:v>
      </x:c>
      <x:c r="T45" s="324">
        <x:v>0</x:v>
      </x:c>
      <x:c r="U45" s="324">
        <x:v>0</x:v>
      </x:c>
      <x:c r="V45" s="324">
        <x:v>0</x:v>
      </x:c>
      <x:c r="W45" s="324">
        <x:v>0</x:v>
      </x:c>
      <x:c r="X45" s="324">
        <x:v>0</x:v>
      </x:c>
      <x:c r="Y45" s="324">
        <x:v>0</x:v>
      </x:c>
      <x:c r="Z45" s="257">
        <x:f t="shared" si="0"/>
        <x:v>0</x:v>
      </x:c>
    </x:row>
    <x:row r="46">
      <x:c r="A46" s="148" t="s">
        <x:v>107</x:v>
      </x:c>
      <x:c r="B46">
        <x:v>2</x:v>
      </x:c>
      <x:c r="C46" s="148" t="s">
        <x:v>115</x:v>
      </x:c>
      <x:c r="D46">
        <x:v>211</x:v>
      </x:c>
      <x:c r="E46" s="324">
        <x:v>0</x:v>
      </x:c>
      <x:c r="F46" s="324">
        <x:v>0</x:v>
      </x:c>
      <x:c r="G46" s="324">
        <x:v>0</x:v>
      </x:c>
      <x:c r="H46" s="324">
        <x:v>0</x:v>
      </x:c>
      <x:c r="I46" s="324">
        <x:v>0</x:v>
      </x:c>
      <x:c r="J46" s="324">
        <x:v>0</x:v>
      </x:c>
      <x:c r="K46" s="324">
        <x:v>0</x:v>
      </x:c>
      <x:c r="L46" s="324">
        <x:v>0</x:v>
      </x:c>
      <x:c r="M46" s="324">
        <x:v>0</x:v>
      </x:c>
      <x:c r="N46" s="324">
        <x:v>0</x:v>
      </x:c>
      <x:c r="O46" s="324">
        <x:v>0</x:v>
      </x:c>
      <x:c r="P46" s="324">
        <x:v>0</x:v>
      </x:c>
      <x:c r="Q46" s="324">
        <x:v>0</x:v>
      </x:c>
      <x:c r="R46" s="324">
        <x:v>0</x:v>
      </x:c>
      <x:c r="S46" s="324">
        <x:v>0</x:v>
      </x:c>
      <x:c r="T46" s="324">
        <x:v>0</x:v>
      </x:c>
      <x:c r="U46" s="324">
        <x:v>0</x:v>
      </x:c>
      <x:c r="V46" s="324">
        <x:v>0</x:v>
      </x:c>
      <x:c r="W46" s="324">
        <x:v>0</x:v>
      </x:c>
      <x:c r="X46" s="324">
        <x:v>0</x:v>
      </x:c>
      <x:c r="Y46" s="324">
        <x:v>0</x:v>
      </x:c>
      <x:c r="Z46" s="257">
        <x:f t="shared" si="0"/>
        <x:v>0</x:v>
      </x:c>
    </x:row>
    <x:row r="47">
      <x:c r="A47" s="148" t="s">
        <x:v>107</x:v>
      </x:c>
      <x:c r="B47">
        <x:v>2</x:v>
      </x:c>
      <x:c r="C47" s="148" t="s">
        <x:v>115</x:v>
      </x:c>
      <x:c r="D47">
        <x:v>212</x:v>
      </x:c>
      <x:c r="E47" s="324">
        <x:v>0</x:v>
      </x:c>
      <x:c r="F47" s="324">
        <x:v>0</x:v>
      </x:c>
      <x:c r="G47" s="324">
        <x:v>0</x:v>
      </x:c>
      <x:c r="H47" s="324">
        <x:v>0</x:v>
      </x:c>
      <x:c r="I47" s="324">
        <x:v>0</x:v>
      </x:c>
      <x:c r="J47" s="324">
        <x:v>0</x:v>
      </x:c>
      <x:c r="K47" s="324">
        <x:v>0</x:v>
      </x:c>
      <x:c r="L47" s="324">
        <x:v>0</x:v>
      </x:c>
      <x:c r="M47" s="324">
        <x:v>0</x:v>
      </x:c>
      <x:c r="N47" s="324">
        <x:v>0</x:v>
      </x:c>
      <x:c r="O47" s="324">
        <x:v>0</x:v>
      </x:c>
      <x:c r="P47" s="324">
        <x:v>0</x:v>
      </x:c>
      <x:c r="Q47" s="324">
        <x:v>0</x:v>
      </x:c>
      <x:c r="R47" s="324">
        <x:v>0</x:v>
      </x:c>
      <x:c r="S47" s="324">
        <x:v>0</x:v>
      </x:c>
      <x:c r="T47" s="324">
        <x:v>0</x:v>
      </x:c>
      <x:c r="U47" s="324">
        <x:v>0</x:v>
      </x:c>
      <x:c r="V47" s="324">
        <x:v>0</x:v>
      </x:c>
      <x:c r="W47" s="324">
        <x:v>0</x:v>
      </x:c>
      <x:c r="X47" s="324">
        <x:v>0</x:v>
      </x:c>
      <x:c r="Y47" s="324">
        <x:v>0</x:v>
      </x:c>
      <x:c r="Z47" s="257">
        <x:f t="shared" si="0"/>
        <x:v>0</x:v>
      </x:c>
    </x:row>
    <x:row r="48">
      <x:c r="A48" s="148" t="s">
        <x:v>107</x:v>
      </x:c>
      <x:c r="B48">
        <x:v>2</x:v>
      </x:c>
      <x:c r="C48" s="148" t="s">
        <x:v>115</x:v>
      </x:c>
      <x:c r="D48">
        <x:v>213</x:v>
      </x:c>
      <x:c r="E48" s="324">
        <x:v>0</x:v>
      </x:c>
      <x:c r="F48" s="324">
        <x:v>0</x:v>
      </x:c>
      <x:c r="G48" s="324">
        <x:v>0</x:v>
      </x:c>
      <x:c r="H48" s="324">
        <x:v>0</x:v>
      </x:c>
      <x:c r="I48" s="324">
        <x:v>0</x:v>
      </x:c>
      <x:c r="J48" s="324">
        <x:v>0</x:v>
      </x:c>
      <x:c r="K48" s="324">
        <x:v>0</x:v>
      </x:c>
      <x:c r="L48" s="324">
        <x:v>0</x:v>
      </x:c>
      <x:c r="M48" s="324">
        <x:v>0</x:v>
      </x:c>
      <x:c r="N48" s="324">
        <x:v>0</x:v>
      </x:c>
      <x:c r="O48" s="324">
        <x:v>0</x:v>
      </x:c>
      <x:c r="P48" s="324">
        <x:v>0</x:v>
      </x:c>
      <x:c r="Q48" s="324">
        <x:v>0</x:v>
      </x:c>
      <x:c r="R48" s="324">
        <x:v>0</x:v>
      </x:c>
      <x:c r="S48" s="324">
        <x:v>0</x:v>
      </x:c>
      <x:c r="T48" s="324">
        <x:v>0</x:v>
      </x:c>
      <x:c r="U48" s="324">
        <x:v>0</x:v>
      </x:c>
      <x:c r="V48" s="324">
        <x:v>0</x:v>
      </x:c>
      <x:c r="W48" s="324">
        <x:v>0</x:v>
      </x:c>
      <x:c r="X48" s="324">
        <x:v>0</x:v>
      </x:c>
      <x:c r="Y48" s="324">
        <x:v>0</x:v>
      </x:c>
      <x:c r="Z48" s="257">
        <x:f t="shared" si="0"/>
        <x:v>0</x:v>
      </x:c>
    </x:row>
    <x:row r="49">
      <x:c r="A49" s="148" t="s">
        <x:v>107</x:v>
      </x:c>
      <x:c r="B49">
        <x:v>2</x:v>
      </x:c>
      <x:c r="C49" s="148" t="s">
        <x:v>115</x:v>
      </x:c>
      <x:c r="D49">
        <x:v>214</x:v>
      </x:c>
      <x:c r="E49" s="324">
        <x:v>0</x:v>
      </x:c>
      <x:c r="F49" s="324">
        <x:v>0</x:v>
      </x:c>
      <x:c r="G49" s="324">
        <x:v>0</x:v>
      </x:c>
      <x:c r="H49" s="324">
        <x:v>0</x:v>
      </x:c>
      <x:c r="I49" s="324">
        <x:v>0</x:v>
      </x:c>
      <x:c r="J49" s="324">
        <x:v>0</x:v>
      </x:c>
      <x:c r="K49" s="324">
        <x:v>0</x:v>
      </x:c>
      <x:c r="L49" s="324">
        <x:v>0</x:v>
      </x:c>
      <x:c r="M49" s="324">
        <x:v>0</x:v>
      </x:c>
      <x:c r="N49" s="324">
        <x:v>0</x:v>
      </x:c>
      <x:c r="O49" s="324">
        <x:v>0</x:v>
      </x:c>
      <x:c r="P49" s="324">
        <x:v>0</x:v>
      </x:c>
      <x:c r="Q49" s="324">
        <x:v>0</x:v>
      </x:c>
      <x:c r="R49" s="324">
        <x:v>0</x:v>
      </x:c>
      <x:c r="S49" s="324">
        <x:v>0</x:v>
      </x:c>
      <x:c r="T49" s="324">
        <x:v>0</x:v>
      </x:c>
      <x:c r="U49" s="324">
        <x:v>0</x:v>
      </x:c>
      <x:c r="V49" s="324">
        <x:v>0</x:v>
      </x:c>
      <x:c r="W49" s="324">
        <x:v>0</x:v>
      </x:c>
      <x:c r="X49" s="324">
        <x:v>0</x:v>
      </x:c>
      <x:c r="Y49" s="324">
        <x:v>0</x:v>
      </x:c>
      <x:c r="Z49" s="257">
        <x:f t="shared" si="0"/>
        <x:v>0</x:v>
      </x:c>
    </x:row>
    <x:row r="50">
      <x:c r="A50" s="148" t="s">
        <x:v>107</x:v>
      </x:c>
      <x:c r="B50">
        <x:v>2</x:v>
      </x:c>
      <x:c r="C50" s="148" t="s">
        <x:v>115</x:v>
      </x:c>
      <x:c r="D50">
        <x:v>215</x:v>
      </x:c>
      <x:c r="E50" s="324">
        <x:v>0</x:v>
      </x:c>
      <x:c r="F50" s="324">
        <x:v>0</x:v>
      </x:c>
      <x:c r="G50" s="324">
        <x:v>0</x:v>
      </x:c>
      <x:c r="H50" s="324">
        <x:v>0</x:v>
      </x:c>
      <x:c r="I50" s="324">
        <x:v>0</x:v>
      </x:c>
      <x:c r="J50" s="324">
        <x:v>0</x:v>
      </x:c>
      <x:c r="K50" s="324">
        <x:v>0</x:v>
      </x:c>
      <x:c r="L50" s="324">
        <x:v>0</x:v>
      </x:c>
      <x:c r="M50" s="324">
        <x:v>0</x:v>
      </x:c>
      <x:c r="N50" s="324">
        <x:v>0</x:v>
      </x:c>
      <x:c r="O50" s="324">
        <x:v>0</x:v>
      </x:c>
      <x:c r="P50" s="324">
        <x:v>0</x:v>
      </x:c>
      <x:c r="Q50" s="324">
        <x:v>0</x:v>
      </x:c>
      <x:c r="R50" s="324">
        <x:v>0</x:v>
      </x:c>
      <x:c r="S50" s="324">
        <x:v>0</x:v>
      </x:c>
      <x:c r="T50" s="324">
        <x:v>0</x:v>
      </x:c>
      <x:c r="U50" s="324">
        <x:v>0</x:v>
      </x:c>
      <x:c r="V50" s="324">
        <x:v>0</x:v>
      </x:c>
      <x:c r="W50" s="324">
        <x:v>0</x:v>
      </x:c>
      <x:c r="X50" s="324">
        <x:v>0</x:v>
      </x:c>
      <x:c r="Y50" s="324">
        <x:v>0</x:v>
      </x:c>
      <x:c r="Z50" s="257">
        <x:f t="shared" si="0"/>
        <x:v>0</x:v>
      </x:c>
    </x:row>
    <x:row r="51">
      <x:c r="A51" s="148" t="s">
        <x:v>107</x:v>
      </x:c>
      <x:c r="B51">
        <x:v>2</x:v>
      </x:c>
      <x:c r="C51" s="148" t="s">
        <x:v>115</x:v>
      </x:c>
      <x:c r="D51">
        <x:v>216</x:v>
      </x:c>
      <x:c r="E51" s="324">
        <x:v>0</x:v>
      </x:c>
      <x:c r="F51" s="324">
        <x:v>0</x:v>
      </x:c>
      <x:c r="G51" s="324">
        <x:v>0</x:v>
      </x:c>
      <x:c r="H51" s="324">
        <x:v>0</x:v>
      </x:c>
      <x:c r="I51" s="324">
        <x:v>0</x:v>
      </x:c>
      <x:c r="J51" s="324">
        <x:v>0</x:v>
      </x:c>
      <x:c r="K51" s="324">
        <x:v>0</x:v>
      </x:c>
      <x:c r="L51" s="324">
        <x:v>0</x:v>
      </x:c>
      <x:c r="M51" s="324">
        <x:v>0</x:v>
      </x:c>
      <x:c r="N51" s="324">
        <x:v>0</x:v>
      </x:c>
      <x:c r="O51" s="324">
        <x:v>0</x:v>
      </x:c>
      <x:c r="P51" s="324">
        <x:v>0</x:v>
      </x:c>
      <x:c r="Q51" s="324">
        <x:v>0</x:v>
      </x:c>
      <x:c r="R51" s="324">
        <x:v>0</x:v>
      </x:c>
      <x:c r="S51" s="324">
        <x:v>0</x:v>
      </x:c>
      <x:c r="T51" s="324">
        <x:v>0</x:v>
      </x:c>
      <x:c r="U51" s="324">
        <x:v>0</x:v>
      </x:c>
      <x:c r="V51" s="324">
        <x:v>0</x:v>
      </x:c>
      <x:c r="W51" s="324">
        <x:v>0</x:v>
      </x:c>
      <x:c r="X51" s="324">
        <x:v>0</x:v>
      </x:c>
      <x:c r="Y51" s="324">
        <x:v>0</x:v>
      </x:c>
      <x:c r="Z51" s="257">
        <x:f t="shared" si="0"/>
        <x:v>0</x:v>
      </x:c>
    </x:row>
    <x:row r="52">
      <x:c r="A52" s="148" t="s">
        <x:v>107</x:v>
      </x:c>
      <x:c r="B52">
        <x:v>2</x:v>
      </x:c>
      <x:c r="C52" s="148" t="s">
        <x:v>115</x:v>
      </x:c>
      <x:c r="D52">
        <x:v>217</x:v>
      </x:c>
      <x:c r="E52" s="324">
        <x:v>0</x:v>
      </x:c>
      <x:c r="F52" s="324">
        <x:v>0</x:v>
      </x:c>
      <x:c r="G52" s="324">
        <x:v>0</x:v>
      </x:c>
      <x:c r="H52" s="324">
        <x:v>0</x:v>
      </x:c>
      <x:c r="I52" s="324">
        <x:v>0</x:v>
      </x:c>
      <x:c r="J52" s="324">
        <x:v>0</x:v>
      </x:c>
      <x:c r="K52" s="324">
        <x:v>0</x:v>
      </x:c>
      <x:c r="L52" s="324">
        <x:v>0</x:v>
      </x:c>
      <x:c r="M52" s="324">
        <x:v>0</x:v>
      </x:c>
      <x:c r="N52" s="324">
        <x:v>0</x:v>
      </x:c>
      <x:c r="O52" s="324">
        <x:v>0</x:v>
      </x:c>
      <x:c r="P52" s="324">
        <x:v>0</x:v>
      </x:c>
      <x:c r="Q52" s="324">
        <x:v>0</x:v>
      </x:c>
      <x:c r="R52" s="324">
        <x:v>0</x:v>
      </x:c>
      <x:c r="S52" s="324">
        <x:v>0</x:v>
      </x:c>
      <x:c r="T52" s="324">
        <x:v>0</x:v>
      </x:c>
      <x:c r="U52" s="324">
        <x:v>0</x:v>
      </x:c>
      <x:c r="V52" s="324">
        <x:v>0</x:v>
      </x:c>
      <x:c r="W52" s="324">
        <x:v>0</x:v>
      </x:c>
      <x:c r="X52" s="324">
        <x:v>0</x:v>
      </x:c>
      <x:c r="Y52" s="324">
        <x:v>0</x:v>
      </x:c>
      <x:c r="Z52" s="257">
        <x:f t="shared" si="0"/>
        <x:v>0</x:v>
      </x:c>
    </x:row>
    <x:row r="53">
      <x:c r="A53" s="148" t="s">
        <x:v>107</x:v>
      </x:c>
      <x:c r="B53">
        <x:v>2</x:v>
      </x:c>
      <x:c r="C53" s="148" t="s">
        <x:v>115</x:v>
      </x:c>
      <x:c r="D53">
        <x:v>218</x:v>
      </x:c>
      <x:c r="E53" s="324">
        <x:v>0</x:v>
      </x:c>
      <x:c r="F53" s="324">
        <x:v>0</x:v>
      </x:c>
      <x:c r="G53" s="324">
        <x:v>0</x:v>
      </x:c>
      <x:c r="H53" s="324">
        <x:v>0</x:v>
      </x:c>
      <x:c r="I53" s="324">
        <x:v>0</x:v>
      </x:c>
      <x:c r="J53" s="324">
        <x:v>0</x:v>
      </x:c>
      <x:c r="K53" s="324">
        <x:v>0</x:v>
      </x:c>
      <x:c r="L53" s="324">
        <x:v>0</x:v>
      </x:c>
      <x:c r="M53" s="324">
        <x:v>0</x:v>
      </x:c>
      <x:c r="N53" s="324">
        <x:v>0</x:v>
      </x:c>
      <x:c r="O53" s="324">
        <x:v>0</x:v>
      </x:c>
      <x:c r="P53" s="324">
        <x:v>0</x:v>
      </x:c>
      <x:c r="Q53" s="324">
        <x:v>0</x:v>
      </x:c>
      <x:c r="R53" s="324">
        <x:v>0</x:v>
      </x:c>
      <x:c r="S53" s="324">
        <x:v>0</x:v>
      </x:c>
      <x:c r="T53" s="324">
        <x:v>0</x:v>
      </x:c>
      <x:c r="U53" s="324">
        <x:v>0</x:v>
      </x:c>
      <x:c r="V53" s="324">
        <x:v>0</x:v>
      </x:c>
      <x:c r="W53" s="324">
        <x:v>0</x:v>
      </x:c>
      <x:c r="X53" s="324">
        <x:v>0</x:v>
      </x:c>
      <x:c r="Y53" s="324">
        <x:v>0</x:v>
      </x:c>
      <x:c r="Z53" s="257">
        <x:f t="shared" si="0"/>
        <x:v>0</x:v>
      </x:c>
    </x:row>
    <x:row r="54">
      <x:c r="A54" s="148" t="s">
        <x:v>107</x:v>
      </x:c>
      <x:c r="B54">
        <x:v>2</x:v>
      </x:c>
      <x:c r="C54" s="148" t="s">
        <x:v>115</x:v>
      </x:c>
      <x:c r="D54">
        <x:v>219</x:v>
      </x:c>
      <x:c r="E54" s="324">
        <x:v>0</x:v>
      </x:c>
      <x:c r="F54" s="324">
        <x:v>0</x:v>
      </x:c>
      <x:c r="G54" s="324">
        <x:v>0</x:v>
      </x:c>
      <x:c r="H54" s="324">
        <x:v>0</x:v>
      </x:c>
      <x:c r="I54" s="324">
        <x:v>0</x:v>
      </x:c>
      <x:c r="J54" s="324">
        <x:v>0</x:v>
      </x:c>
      <x:c r="K54" s="324">
        <x:v>0</x:v>
      </x:c>
      <x:c r="L54" s="324">
        <x:v>0</x:v>
      </x:c>
      <x:c r="M54" s="324">
        <x:v>0</x:v>
      </x:c>
      <x:c r="N54" s="324">
        <x:v>0</x:v>
      </x:c>
      <x:c r="O54" s="324">
        <x:v>0</x:v>
      </x:c>
      <x:c r="P54" s="324">
        <x:v>0</x:v>
      </x:c>
      <x:c r="Q54" s="324">
        <x:v>0</x:v>
      </x:c>
      <x:c r="R54" s="324">
        <x:v>0</x:v>
      </x:c>
      <x:c r="S54" s="324">
        <x:v>0</x:v>
      </x:c>
      <x:c r="T54" s="324">
        <x:v>0</x:v>
      </x:c>
      <x:c r="U54" s="324">
        <x:v>0</x:v>
      </x:c>
      <x:c r="V54" s="324">
        <x:v>0</x:v>
      </x:c>
      <x:c r="W54" s="324">
        <x:v>0</x:v>
      </x:c>
      <x:c r="X54" s="324">
        <x:v>0</x:v>
      </x:c>
      <x:c r="Y54" s="324">
        <x:v>0</x:v>
      </x:c>
      <x:c r="Z54" s="257">
        <x:f t="shared" si="0"/>
        <x:v>0</x:v>
      </x:c>
    </x:row>
    <x:row r="55">
      <x:c r="A55" s="148" t="s">
        <x:v>107</x:v>
      </x:c>
      <x:c r="B55">
        <x:v>2</x:v>
      </x:c>
      <x:c r="C55" s="148" t="s">
        <x:v>115</x:v>
      </x:c>
      <x:c r="D55">
        <x:v>220</x:v>
      </x:c>
      <x:c r="E55" s="324">
        <x:v>0</x:v>
      </x:c>
      <x:c r="F55" s="324">
        <x:v>0</x:v>
      </x:c>
      <x:c r="G55" s="324">
        <x:v>0</x:v>
      </x:c>
      <x:c r="H55" s="324">
        <x:v>0</x:v>
      </x:c>
      <x:c r="I55" s="324">
        <x:v>0</x:v>
      </x:c>
      <x:c r="J55" s="324">
        <x:v>0</x:v>
      </x:c>
      <x:c r="K55" s="324">
        <x:v>0</x:v>
      </x:c>
      <x:c r="L55" s="324">
        <x:v>0</x:v>
      </x:c>
      <x:c r="M55" s="324">
        <x:v>0</x:v>
      </x:c>
      <x:c r="N55" s="324">
        <x:v>0</x:v>
      </x:c>
      <x:c r="O55" s="324">
        <x:v>0</x:v>
      </x:c>
      <x:c r="P55" s="324">
        <x:v>0</x:v>
      </x:c>
      <x:c r="Q55" s="324">
        <x:v>0</x:v>
      </x:c>
      <x:c r="R55" s="324">
        <x:v>0</x:v>
      </x:c>
      <x:c r="S55" s="324">
        <x:v>0</x:v>
      </x:c>
      <x:c r="T55" s="324">
        <x:v>0</x:v>
      </x:c>
      <x:c r="U55" s="324">
        <x:v>0</x:v>
      </x:c>
      <x:c r="V55" s="324">
        <x:v>0</x:v>
      </x:c>
      <x:c r="W55" s="324">
        <x:v>0</x:v>
      </x:c>
      <x:c r="X55" s="324">
        <x:v>0</x:v>
      </x:c>
      <x:c r="Y55" s="324">
        <x:v>0</x:v>
      </x:c>
      <x:c r="Z55" s="257">
        <x:f t="shared" si="0"/>
        <x:v>0</x:v>
      </x:c>
    </x:row>
    <x:row r="56">
      <x:c r="A56" s="148" t="s">
        <x:v>107</x:v>
      </x:c>
      <x:c r="B56">
        <x:v>2</x:v>
      </x:c>
      <x:c r="C56" s="148" t="s">
        <x:v>115</x:v>
      </x:c>
      <x:c r="D56">
        <x:v>221</x:v>
      </x:c>
      <x:c r="E56" s="324">
        <x:v>0</x:v>
      </x:c>
      <x:c r="F56" s="324">
        <x:v>0</x:v>
      </x:c>
      <x:c r="G56" s="324">
        <x:v>0</x:v>
      </x:c>
      <x:c r="H56" s="324">
        <x:v>0</x:v>
      </x:c>
      <x:c r="I56" s="324">
        <x:v>0</x:v>
      </x:c>
      <x:c r="J56" s="324">
        <x:v>0</x:v>
      </x:c>
      <x:c r="K56" s="324">
        <x:v>0</x:v>
      </x:c>
      <x:c r="L56" s="324">
        <x:v>0</x:v>
      </x:c>
      <x:c r="M56" s="324">
        <x:v>0</x:v>
      </x:c>
      <x:c r="N56" s="324">
        <x:v>0</x:v>
      </x:c>
      <x:c r="O56" s="324">
        <x:v>0</x:v>
      </x:c>
      <x:c r="P56" s="324">
        <x:v>0</x:v>
      </x:c>
      <x:c r="Q56" s="324">
        <x:v>0</x:v>
      </x:c>
      <x:c r="R56" s="324">
        <x:v>0</x:v>
      </x:c>
      <x:c r="S56" s="324">
        <x:v>0</x:v>
      </x:c>
      <x:c r="T56" s="324">
        <x:v>0</x:v>
      </x:c>
      <x:c r="U56" s="324">
        <x:v>0</x:v>
      </x:c>
      <x:c r="V56" s="324">
        <x:v>0</x:v>
      </x:c>
      <x:c r="W56" s="324">
        <x:v>0</x:v>
      </x:c>
      <x:c r="X56" s="324">
        <x:v>0</x:v>
      </x:c>
      <x:c r="Y56" s="324">
        <x:v>0</x:v>
      </x:c>
      <x:c r="Z56" s="257">
        <x:f t="shared" si="0"/>
        <x:v>0</x:v>
      </x:c>
    </x:row>
    <x:row r="57">
      <x:c r="A57" s="148"/>
      <x:c r="B57"/>
      <x:c r="C57" s="148"/>
      <x:c r="D57" s="148"/>
      <x:c r="E57" s="324"/>
      <x:c r="F57" s="324">
        <x:f t="shared" ref="F57:Y57" si="2">AVERAGE(F14:F56)</x:f>
      </x:c>
      <x:c r="G57" s="324">
        <x:f t="shared" si="2"/>
      </x:c>
      <x:c r="H57" s="324">
        <x:f t="shared" si="2"/>
      </x:c>
      <x:c r="I57" s="324">
        <x:f t="shared" si="2"/>
      </x:c>
      <x:c r="J57" s="324">
        <x:f t="shared" si="2"/>
      </x:c>
      <x:c r="K57" s="324">
        <x:f t="shared" si="2"/>
      </x:c>
      <x:c r="L57" s="324">
        <x:f t="shared" si="2"/>
      </x:c>
      <x:c r="M57" s="324">
        <x:f t="shared" si="2"/>
      </x:c>
      <x:c r="N57" s="324">
        <x:f t="shared" si="2"/>
      </x:c>
      <x:c r="O57" s="324">
        <x:f t="shared" si="2"/>
      </x:c>
      <x:c r="P57" s="324">
        <x:f t="shared" si="2"/>
      </x:c>
      <x:c r="Q57" s="324">
        <x:f t="shared" si="2"/>
      </x:c>
      <x:c r="R57" s="324">
        <x:f t="shared" si="2"/>
      </x:c>
      <x:c r="S57" s="324">
        <x:f t="shared" si="2"/>
      </x:c>
      <x:c r="T57" s="324">
        <x:f t="shared" si="2"/>
      </x:c>
      <x:c r="U57" s="324">
        <x:f t="shared" si="2"/>
      </x:c>
      <x:c r="V57" s="324">
        <x:f t="shared" si="2"/>
      </x:c>
      <x:c r="W57" s="324">
        <x:f t="shared" si="2"/>
      </x:c>
      <x:c r="X57" s="324">
        <x:f t="shared" si="2"/>
      </x:c>
      <x:c r="Y57" s="324">
        <x:f t="shared" si="2"/>
      </x:c>
      <x:c r="Z57" s="257">
        <x:f t="shared" si="0"/>
      </x:c>
    </x:row>
    <x:row r="58">
      <x:c r="A58" s="148" t="s">
        <x:v>107</x:v>
      </x:c>
      <x:c r="B58">
        <x:v>3</x:v>
      </x:c>
      <x:c r="C58" s="148" t="s">
        <x:v>116</x:v>
      </x:c>
      <x:c r="D58">
        <x:v>301</x:v>
      </x:c>
      <x:c r="E58" s="324">
        <x:v>0</x:v>
      </x:c>
      <x:c r="F58" s="324">
        <x:v>0</x:v>
      </x:c>
      <x:c r="G58" s="324">
        <x:v>0</x:v>
      </x:c>
      <x:c r="H58" s="324">
        <x:v>0</x:v>
      </x:c>
      <x:c r="I58" s="324">
        <x:v>0</x:v>
      </x:c>
      <x:c r="J58" s="324">
        <x:v>0</x:v>
      </x:c>
      <x:c r="K58" s="324">
        <x:v>0</x:v>
      </x:c>
      <x:c r="L58" s="324">
        <x:v>0</x:v>
      </x:c>
      <x:c r="M58" s="324">
        <x:v>0</x:v>
      </x:c>
      <x:c r="N58" s="324">
        <x:v>0</x:v>
      </x:c>
      <x:c r="O58" s="324">
        <x:v>0</x:v>
      </x:c>
      <x:c r="P58" s="324">
        <x:v>0</x:v>
      </x:c>
      <x:c r="Q58" s="324">
        <x:v>0</x:v>
      </x:c>
      <x:c r="R58" s="324">
        <x:v>0</x:v>
      </x:c>
      <x:c r="S58" s="324">
        <x:v>0</x:v>
      </x:c>
      <x:c r="T58" s="324">
        <x:v>0</x:v>
      </x:c>
      <x:c r="U58" s="324">
        <x:v>0</x:v>
      </x:c>
      <x:c r="V58" s="324">
        <x:v>0</x:v>
      </x:c>
      <x:c r="W58" s="324">
        <x:v>0</x:v>
      </x:c>
      <x:c r="X58" s="324">
        <x:v>0</x:v>
      </x:c>
      <x:c r="Y58" s="324">
        <x:v>0</x:v>
      </x:c>
      <x:c r="Z58" s="257">
        <x:f t="shared" si="0"/>
        <x:v>0</x:v>
      </x:c>
    </x:row>
    <x:row r="59">
      <x:c r="A59" s="148" t="s">
        <x:v>107</x:v>
      </x:c>
      <x:c r="B59">
        <x:v>3</x:v>
      </x:c>
      <x:c r="C59" s="148" t="s">
        <x:v>116</x:v>
      </x:c>
      <x:c r="D59">
        <x:v>302</x:v>
      </x:c>
      <x:c r="E59" s="324">
        <x:v>0</x:v>
      </x:c>
      <x:c r="F59" s="324">
        <x:v>0</x:v>
      </x:c>
      <x:c r="G59" s="324">
        <x:v>0</x:v>
      </x:c>
      <x:c r="H59" s="324">
        <x:v>0</x:v>
      </x:c>
      <x:c r="I59" s="324">
        <x:v>0</x:v>
      </x:c>
      <x:c r="J59" s="324">
        <x:v>0</x:v>
      </x:c>
      <x:c r="K59" s="324">
        <x:v>0</x:v>
      </x:c>
      <x:c r="L59" s="324">
        <x:v>0</x:v>
      </x:c>
      <x:c r="M59" s="324">
        <x:v>0</x:v>
      </x:c>
      <x:c r="N59" s="324">
        <x:v>0</x:v>
      </x:c>
      <x:c r="O59" s="324">
        <x:v>0</x:v>
      </x:c>
      <x:c r="P59" s="324">
        <x:v>0</x:v>
      </x:c>
      <x:c r="Q59" s="324">
        <x:v>0</x:v>
      </x:c>
      <x:c r="R59" s="324">
        <x:v>0</x:v>
      </x:c>
      <x:c r="S59" s="324">
        <x:v>0</x:v>
      </x:c>
      <x:c r="T59" s="324">
        <x:v>0</x:v>
      </x:c>
      <x:c r="U59" s="324">
        <x:v>0</x:v>
      </x:c>
      <x:c r="V59" s="324">
        <x:v>0</x:v>
      </x:c>
      <x:c r="W59" s="324">
        <x:v>0</x:v>
      </x:c>
      <x:c r="X59" s="324">
        <x:v>0</x:v>
      </x:c>
      <x:c r="Y59" s="324">
        <x:v>0</x:v>
      </x:c>
      <x:c r="Z59" s="257">
        <x:f t="shared" si="0"/>
        <x:v>0</x:v>
      </x:c>
    </x:row>
    <x:row r="60">
      <x:c r="A60" s="148" t="s">
        <x:v>107</x:v>
      </x:c>
      <x:c r="B60">
        <x:v>3</x:v>
      </x:c>
      <x:c r="C60" s="148" t="s">
        <x:v>116</x:v>
      </x:c>
      <x:c r="D60">
        <x:v>303</x:v>
      </x:c>
      <x:c r="E60" s="324">
        <x:v>0</x:v>
      </x:c>
      <x:c r="F60" s="324">
        <x:v>0</x:v>
      </x:c>
      <x:c r="G60" s="324">
        <x:v>0</x:v>
      </x:c>
      <x:c r="H60" s="324">
        <x:v>0</x:v>
      </x:c>
      <x:c r="I60" s="324">
        <x:v>0</x:v>
      </x:c>
      <x:c r="J60" s="324">
        <x:v>0</x:v>
      </x:c>
      <x:c r="K60" s="324">
        <x:v>0</x:v>
      </x:c>
      <x:c r="L60" s="324">
        <x:v>0</x:v>
      </x:c>
      <x:c r="M60" s="324">
        <x:v>0</x:v>
      </x:c>
      <x:c r="N60" s="324">
        <x:v>0</x:v>
      </x:c>
      <x:c r="O60" s="324">
        <x:v>0</x:v>
      </x:c>
      <x:c r="P60" s="324">
        <x:v>0</x:v>
      </x:c>
      <x:c r="Q60" s="324">
        <x:v>0</x:v>
      </x:c>
      <x:c r="R60" s="324">
        <x:v>0</x:v>
      </x:c>
      <x:c r="S60" s="324">
        <x:v>0</x:v>
      </x:c>
      <x:c r="T60" s="324">
        <x:v>0</x:v>
      </x:c>
      <x:c r="U60" s="324">
        <x:v>0</x:v>
      </x:c>
      <x:c r="V60" s="324">
        <x:v>0</x:v>
      </x:c>
      <x:c r="W60" s="324">
        <x:v>0</x:v>
      </x:c>
      <x:c r="X60" s="324">
        <x:v>0</x:v>
      </x:c>
      <x:c r="Y60" s="324">
        <x:v>0</x:v>
      </x:c>
      <x:c r="Z60" s="257">
        <x:f t="shared" si="0"/>
        <x:v>0</x:v>
      </x:c>
    </x:row>
    <x:row r="61">
      <x:c r="A61" s="148" t="s">
        <x:v>107</x:v>
      </x:c>
      <x:c r="B61">
        <x:v>3</x:v>
      </x:c>
      <x:c r="C61" s="148" t="s">
        <x:v>116</x:v>
      </x:c>
      <x:c r="D61">
        <x:v>304</x:v>
      </x:c>
      <x:c r="E61" s="324">
        <x:v>0</x:v>
      </x:c>
      <x:c r="F61" s="324">
        <x:v>0</x:v>
      </x:c>
      <x:c r="G61" s="324">
        <x:v>0</x:v>
      </x:c>
      <x:c r="H61" s="324">
        <x:v>0</x:v>
      </x:c>
      <x:c r="I61" s="324">
        <x:v>0</x:v>
      </x:c>
      <x:c r="J61" s="324">
        <x:v>0</x:v>
      </x:c>
      <x:c r="K61" s="324">
        <x:v>0</x:v>
      </x:c>
      <x:c r="L61" s="324">
        <x:v>0</x:v>
      </x:c>
      <x:c r="M61" s="324">
        <x:v>0</x:v>
      </x:c>
      <x:c r="N61" s="324">
        <x:v>0</x:v>
      </x:c>
      <x:c r="O61" s="324">
        <x:v>0</x:v>
      </x:c>
      <x:c r="P61" s="324">
        <x:v>0</x:v>
      </x:c>
      <x:c r="Q61" s="324">
        <x:v>0</x:v>
      </x:c>
      <x:c r="R61" s="324">
        <x:v>0</x:v>
      </x:c>
      <x:c r="S61" s="324">
        <x:v>0</x:v>
      </x:c>
      <x:c r="T61" s="324">
        <x:v>0</x:v>
      </x:c>
      <x:c r="U61" s="324">
        <x:v>0</x:v>
      </x:c>
      <x:c r="V61" s="324">
        <x:v>0</x:v>
      </x:c>
      <x:c r="W61" s="324">
        <x:v>0</x:v>
      </x:c>
      <x:c r="X61" s="324">
        <x:v>0</x:v>
      </x:c>
      <x:c r="Y61" s="324">
        <x:v>0</x:v>
      </x:c>
      <x:c r="Z61" s="257">
        <x:f t="shared" si="0"/>
        <x:v>0</x:v>
      </x:c>
    </x:row>
    <x:row r="62">
      <x:c r="A62" s="148" t="s">
        <x:v>107</x:v>
      </x:c>
      <x:c r="B62">
        <x:v>3</x:v>
      </x:c>
      <x:c r="C62" s="148" t="s">
        <x:v>116</x:v>
      </x:c>
      <x:c r="D62">
        <x:v>305</x:v>
      </x:c>
      <x:c r="E62" s="324">
        <x:v>0</x:v>
      </x:c>
      <x:c r="F62" s="324">
        <x:v>0</x:v>
      </x:c>
      <x:c r="G62" s="324">
        <x:v>0</x:v>
      </x:c>
      <x:c r="H62" s="324">
        <x:v>0</x:v>
      </x:c>
      <x:c r="I62" s="324">
        <x:v>0</x:v>
      </x:c>
      <x:c r="J62" s="324">
        <x:v>0</x:v>
      </x:c>
      <x:c r="K62" s="324">
        <x:v>0</x:v>
      </x:c>
      <x:c r="L62" s="324">
        <x:v>0</x:v>
      </x:c>
      <x:c r="M62" s="324">
        <x:v>0</x:v>
      </x:c>
      <x:c r="N62" s="324">
        <x:v>0</x:v>
      </x:c>
      <x:c r="O62" s="324">
        <x:v>0</x:v>
      </x:c>
      <x:c r="P62" s="324">
        <x:v>0</x:v>
      </x:c>
      <x:c r="Q62" s="324">
        <x:v>0</x:v>
      </x:c>
      <x:c r="R62" s="324">
        <x:v>0</x:v>
      </x:c>
      <x:c r="S62" s="324">
        <x:v>0</x:v>
      </x:c>
      <x:c r="T62" s="324">
        <x:v>0</x:v>
      </x:c>
      <x:c r="U62" s="324">
        <x:v>0</x:v>
      </x:c>
      <x:c r="V62" s="324">
        <x:v>0</x:v>
      </x:c>
      <x:c r="W62" s="324">
        <x:v>0</x:v>
      </x:c>
      <x:c r="X62" s="324">
        <x:v>0</x:v>
      </x:c>
      <x:c r="Y62" s="324">
        <x:v>0</x:v>
      </x:c>
      <x:c r="Z62" s="257">
        <x:f t="shared" si="0"/>
        <x:v>0</x:v>
      </x:c>
    </x:row>
    <x:row r="63">
      <x:c r="A63" s="148" t="s">
        <x:v>107</x:v>
      </x:c>
      <x:c r="B63">
        <x:v>3</x:v>
      </x:c>
      <x:c r="C63" s="148" t="s">
        <x:v>116</x:v>
      </x:c>
      <x:c r="D63">
        <x:v>306</x:v>
      </x:c>
      <x:c r="E63" s="324">
        <x:v>0</x:v>
      </x:c>
      <x:c r="F63" s="324">
        <x:v>0</x:v>
      </x:c>
      <x:c r="G63" s="324">
        <x:v>0</x:v>
      </x:c>
      <x:c r="H63" s="324">
        <x:v>0</x:v>
      </x:c>
      <x:c r="I63" s="324">
        <x:v>0</x:v>
      </x:c>
      <x:c r="J63" s="324">
        <x:v>0</x:v>
      </x:c>
      <x:c r="K63" s="324">
        <x:v>0</x:v>
      </x:c>
      <x:c r="L63" s="324">
        <x:v>0</x:v>
      </x:c>
      <x:c r="M63" s="324">
        <x:v>0</x:v>
      </x:c>
      <x:c r="N63" s="324">
        <x:v>0</x:v>
      </x:c>
      <x:c r="O63" s="324">
        <x:v>0</x:v>
      </x:c>
      <x:c r="P63" s="324">
        <x:v>0</x:v>
      </x:c>
      <x:c r="Q63" s="324">
        <x:v>0</x:v>
      </x:c>
      <x:c r="R63" s="324">
        <x:v>0</x:v>
      </x:c>
      <x:c r="S63" s="324">
        <x:v>0</x:v>
      </x:c>
      <x:c r="T63" s="324">
        <x:v>0</x:v>
      </x:c>
      <x:c r="U63" s="324">
        <x:v>0</x:v>
      </x:c>
      <x:c r="V63" s="324">
        <x:v>0</x:v>
      </x:c>
      <x:c r="W63" s="324">
        <x:v>0</x:v>
      </x:c>
      <x:c r="X63" s="324">
        <x:v>0</x:v>
      </x:c>
      <x:c r="Y63" s="324">
        <x:v>0</x:v>
      </x:c>
      <x:c r="Z63" s="257">
        <x:f t="shared" si="0"/>
        <x:v>0</x:v>
      </x:c>
    </x:row>
    <x:row r="64">
      <x:c r="A64" s="148" t="s">
        <x:v>107</x:v>
      </x:c>
      <x:c r="B64">
        <x:v>3</x:v>
      </x:c>
      <x:c r="C64" s="148" t="s">
        <x:v>116</x:v>
      </x:c>
      <x:c r="D64">
        <x:v>307</x:v>
      </x:c>
      <x:c r="E64" s="324">
        <x:v>0</x:v>
      </x:c>
      <x:c r="F64" s="324">
        <x:v>0</x:v>
      </x:c>
      <x:c r="G64" s="324">
        <x:v>0</x:v>
      </x:c>
      <x:c r="H64" s="324">
        <x:v>0</x:v>
      </x:c>
      <x:c r="I64" s="324">
        <x:v>0</x:v>
      </x:c>
      <x:c r="J64" s="324">
        <x:v>0</x:v>
      </x:c>
      <x:c r="K64" s="324">
        <x:v>0</x:v>
      </x:c>
      <x:c r="L64" s="324">
        <x:v>0</x:v>
      </x:c>
      <x:c r="M64" s="324">
        <x:v>0</x:v>
      </x:c>
      <x:c r="N64" s="324">
        <x:v>0</x:v>
      </x:c>
      <x:c r="O64" s="324">
        <x:v>0</x:v>
      </x:c>
      <x:c r="P64" s="324">
        <x:v>0</x:v>
      </x:c>
      <x:c r="Q64" s="324">
        <x:v>0</x:v>
      </x:c>
      <x:c r="R64" s="324">
        <x:v>0</x:v>
      </x:c>
      <x:c r="S64" s="324">
        <x:v>0</x:v>
      </x:c>
      <x:c r="T64" s="324">
        <x:v>0</x:v>
      </x:c>
      <x:c r="U64" s="324">
        <x:v>0</x:v>
      </x:c>
      <x:c r="V64" s="324">
        <x:v>0</x:v>
      </x:c>
      <x:c r="W64" s="324">
        <x:v>0</x:v>
      </x:c>
      <x:c r="X64" s="324">
        <x:v>0</x:v>
      </x:c>
      <x:c r="Y64" s="324">
        <x:v>0</x:v>
      </x:c>
      <x:c r="Z64" s="257">
        <x:f t="shared" si="0"/>
        <x:v>0</x:v>
      </x:c>
    </x:row>
    <x:row r="65">
      <x:c r="A65" s="148" t="s">
        <x:v>107</x:v>
      </x:c>
      <x:c r="B65">
        <x:v>3</x:v>
      </x:c>
      <x:c r="C65" s="148" t="s">
        <x:v>116</x:v>
      </x:c>
      <x:c r="D65">
        <x:v>308</x:v>
      </x:c>
      <x:c r="E65" s="324">
        <x:v>0</x:v>
      </x:c>
      <x:c r="F65" s="324">
        <x:v>0</x:v>
      </x:c>
      <x:c r="G65" s="324">
        <x:v>0</x:v>
      </x:c>
      <x:c r="H65" s="324">
        <x:v>0</x:v>
      </x:c>
      <x:c r="I65" s="324">
        <x:v>0</x:v>
      </x:c>
      <x:c r="J65" s="324">
        <x:v>0</x:v>
      </x:c>
      <x:c r="K65" s="324">
        <x:v>0</x:v>
      </x:c>
      <x:c r="L65" s="324">
        <x:v>0</x:v>
      </x:c>
      <x:c r="M65" s="324">
        <x:v>0</x:v>
      </x:c>
      <x:c r="N65" s="324">
        <x:v>0</x:v>
      </x:c>
      <x:c r="O65" s="324">
        <x:v>0</x:v>
      </x:c>
      <x:c r="P65" s="324">
        <x:v>0</x:v>
      </x:c>
      <x:c r="Q65" s="324">
        <x:v>0</x:v>
      </x:c>
      <x:c r="R65" s="324">
        <x:v>0</x:v>
      </x:c>
      <x:c r="S65" s="324">
        <x:v>0</x:v>
      </x:c>
      <x:c r="T65" s="324">
        <x:v>0</x:v>
      </x:c>
      <x:c r="U65" s="324">
        <x:v>0</x:v>
      </x:c>
      <x:c r="V65" s="324">
        <x:v>0</x:v>
      </x:c>
      <x:c r="W65" s="324">
        <x:v>0</x:v>
      </x:c>
      <x:c r="X65" s="324">
        <x:v>0</x:v>
      </x:c>
      <x:c r="Y65" s="324">
        <x:v>0</x:v>
      </x:c>
      <x:c r="Z65" s="257">
        <x:f t="shared" si="0"/>
        <x:v>0</x:v>
      </x:c>
    </x:row>
    <x:row r="66">
      <x:c r="A66" s="148" t="s">
        <x:v>107</x:v>
      </x:c>
      <x:c r="B66">
        <x:v>3</x:v>
      </x:c>
      <x:c r="C66" s="148" t="s">
        <x:v>116</x:v>
      </x:c>
      <x:c r="D66">
        <x:v>309</x:v>
      </x:c>
      <x:c r="E66" s="324">
        <x:v>0</x:v>
      </x:c>
      <x:c r="F66" s="324">
        <x:v>0</x:v>
      </x:c>
      <x:c r="G66" s="324">
        <x:v>0</x:v>
      </x:c>
      <x:c r="H66" s="324">
        <x:v>0</x:v>
      </x:c>
      <x:c r="I66" s="324">
        <x:v>0</x:v>
      </x:c>
      <x:c r="J66" s="324">
        <x:v>0</x:v>
      </x:c>
      <x:c r="K66" s="324">
        <x:v>0</x:v>
      </x:c>
      <x:c r="L66" s="324">
        <x:v>0</x:v>
      </x:c>
      <x:c r="M66" s="324">
        <x:v>0</x:v>
      </x:c>
      <x:c r="N66" s="324">
        <x:v>0</x:v>
      </x:c>
      <x:c r="O66" s="324">
        <x:v>0</x:v>
      </x:c>
      <x:c r="P66" s="324">
        <x:v>0</x:v>
      </x:c>
      <x:c r="Q66" s="324">
        <x:v>0</x:v>
      </x:c>
      <x:c r="R66" s="324">
        <x:v>0</x:v>
      </x:c>
      <x:c r="S66" s="324">
        <x:v>0</x:v>
      </x:c>
      <x:c r="T66" s="324">
        <x:v>0</x:v>
      </x:c>
      <x:c r="U66" s="324">
        <x:v>0</x:v>
      </x:c>
      <x:c r="V66" s="324">
        <x:v>0</x:v>
      </x:c>
      <x:c r="W66" s="324">
        <x:v>0</x:v>
      </x:c>
      <x:c r="X66" s="324">
        <x:v>0</x:v>
      </x:c>
      <x:c r="Y66" s="324">
        <x:v>0</x:v>
      </x:c>
      <x:c r="Z66" s="257">
        <x:f t="shared" si="0"/>
        <x:v>0</x:v>
      </x:c>
    </x:row>
    <x:row r="67">
      <x:c r="A67" s="148" t="s">
        <x:v>107</x:v>
      </x:c>
      <x:c r="B67">
        <x:v>3</x:v>
      </x:c>
      <x:c r="C67" s="148" t="s">
        <x:v>116</x:v>
      </x:c>
      <x:c r="D67">
        <x:v>310</x:v>
      </x:c>
      <x:c r="E67" s="324">
        <x:v>0</x:v>
      </x:c>
      <x:c r="F67" s="324">
        <x:v>0</x:v>
      </x:c>
      <x:c r="G67" s="324">
        <x:v>0</x:v>
      </x:c>
      <x:c r="H67" s="324">
        <x:v>0</x:v>
      </x:c>
      <x:c r="I67" s="324">
        <x:v>0</x:v>
      </x:c>
      <x:c r="J67" s="324">
        <x:v>0</x:v>
      </x:c>
      <x:c r="K67" s="324">
        <x:v>0</x:v>
      </x:c>
      <x:c r="L67" s="324">
        <x:v>0</x:v>
      </x:c>
      <x:c r="M67" s="324">
        <x:v>0</x:v>
      </x:c>
      <x:c r="N67" s="324">
        <x:v>0</x:v>
      </x:c>
      <x:c r="O67" s="324">
        <x:v>0</x:v>
      </x:c>
      <x:c r="P67" s="324">
        <x:v>0</x:v>
      </x:c>
      <x:c r="Q67" s="324">
        <x:v>0</x:v>
      </x:c>
      <x:c r="R67" s="324">
        <x:v>0</x:v>
      </x:c>
      <x:c r="S67" s="324">
        <x:v>0</x:v>
      </x:c>
      <x:c r="T67" s="324">
        <x:v>0</x:v>
      </x:c>
      <x:c r="U67" s="324">
        <x:v>0</x:v>
      </x:c>
      <x:c r="V67" s="324">
        <x:v>0</x:v>
      </x:c>
      <x:c r="W67" s="324">
        <x:v>0</x:v>
      </x:c>
      <x:c r="X67" s="324">
        <x:v>0</x:v>
      </x:c>
      <x:c r="Y67" s="324">
        <x:v>0</x:v>
      </x:c>
      <x:c r="Z67" s="257" t="n">
        <x:f t="shared" ref="Z67:Z130" si="3">AVERAGE(E67:Y67)</x:f>
        <x:v>0</x:v>
      </x:c>
    </x:row>
    <x:row r="68">
      <x:c r="A68" s="148" t="s">
        <x:v>107</x:v>
      </x:c>
      <x:c r="B68">
        <x:v>3</x:v>
      </x:c>
      <x:c r="C68" s="148" t="s">
        <x:v>116</x:v>
      </x:c>
      <x:c r="D68">
        <x:v>311</x:v>
      </x:c>
      <x:c r="E68" s="324">
        <x:v>0</x:v>
      </x:c>
      <x:c r="F68" s="324">
        <x:v>0</x:v>
      </x:c>
      <x:c r="G68" s="324">
        <x:v>0</x:v>
      </x:c>
      <x:c r="H68" s="324">
        <x:v>0</x:v>
      </x:c>
      <x:c r="I68" s="324">
        <x:v>0</x:v>
      </x:c>
      <x:c r="J68" s="324">
        <x:v>0</x:v>
      </x:c>
      <x:c r="K68" s="324">
        <x:v>0</x:v>
      </x:c>
      <x:c r="L68" s="324">
        <x:v>0</x:v>
      </x:c>
      <x:c r="M68" s="324">
        <x:v>0</x:v>
      </x:c>
      <x:c r="N68" s="324">
        <x:v>0</x:v>
      </x:c>
      <x:c r="O68" s="324">
        <x:v>0</x:v>
      </x:c>
      <x:c r="P68" s="324">
        <x:v>0</x:v>
      </x:c>
      <x:c r="Q68" s="324">
        <x:v>0</x:v>
      </x:c>
      <x:c r="R68" s="324">
        <x:v>0</x:v>
      </x:c>
      <x:c r="S68" s="324">
        <x:v>0</x:v>
      </x:c>
      <x:c r="T68" s="324">
        <x:v>0</x:v>
      </x:c>
      <x:c r="U68" s="324">
        <x:v>0</x:v>
      </x:c>
      <x:c r="V68" s="324">
        <x:v>0</x:v>
      </x:c>
      <x:c r="W68" s="324">
        <x:v>0</x:v>
      </x:c>
      <x:c r="X68" s="324">
        <x:v>0</x:v>
      </x:c>
      <x:c r="Y68" s="324">
        <x:v>0</x:v>
      </x:c>
      <x:c r="Z68" s="257">
        <x:f t="shared" si="3"/>
        <x:v>0</x:v>
      </x:c>
    </x:row>
    <x:row r="69">
      <x:c r="A69" s="148" t="s">
        <x:v>107</x:v>
      </x:c>
      <x:c r="B69">
        <x:v>3</x:v>
      </x:c>
      <x:c r="C69" s="148" t="s">
        <x:v>116</x:v>
      </x:c>
      <x:c r="D69">
        <x:v>312</x:v>
      </x:c>
      <x:c r="E69" s="324">
        <x:v>0</x:v>
      </x:c>
      <x:c r="F69" s="324">
        <x:v>0</x:v>
      </x:c>
      <x:c r="G69" s="324">
        <x:v>0</x:v>
      </x:c>
      <x:c r="H69" s="324">
        <x:v>0</x:v>
      </x:c>
      <x:c r="I69" s="324">
        <x:v>0</x:v>
      </x:c>
      <x:c r="J69" s="324">
        <x:v>0</x:v>
      </x:c>
      <x:c r="K69" s="324">
        <x:v>0</x:v>
      </x:c>
      <x:c r="L69" s="324">
        <x:v>0</x:v>
      </x:c>
      <x:c r="M69" s="324">
        <x:v>0</x:v>
      </x:c>
      <x:c r="N69" s="324">
        <x:v>0</x:v>
      </x:c>
      <x:c r="O69" s="324">
        <x:v>0</x:v>
      </x:c>
      <x:c r="P69" s="324">
        <x:v>0</x:v>
      </x:c>
      <x:c r="Q69" s="324">
        <x:v>0</x:v>
      </x:c>
      <x:c r="R69" s="324">
        <x:v>0</x:v>
      </x:c>
      <x:c r="S69" s="324">
        <x:v>0</x:v>
      </x:c>
      <x:c r="T69" s="324">
        <x:v>0</x:v>
      </x:c>
      <x:c r="U69" s="324">
        <x:v>0</x:v>
      </x:c>
      <x:c r="V69" s="324">
        <x:v>0</x:v>
      </x:c>
      <x:c r="W69" s="324">
        <x:v>0</x:v>
      </x:c>
      <x:c r="X69" s="324">
        <x:v>0</x:v>
      </x:c>
      <x:c r="Y69" s="324">
        <x:v>0</x:v>
      </x:c>
      <x:c r="Z69" s="257">
        <x:f t="shared" si="3"/>
        <x:v>0</x:v>
      </x:c>
    </x:row>
    <x:row r="70">
      <x:c r="A70" s="148" t="s">
        <x:v>107</x:v>
      </x:c>
      <x:c r="B70">
        <x:v>3</x:v>
      </x:c>
      <x:c r="C70" s="148" t="s">
        <x:v>116</x:v>
      </x:c>
      <x:c r="D70">
        <x:v>313</x:v>
      </x:c>
      <x:c r="E70" s="324">
        <x:v>0</x:v>
      </x:c>
      <x:c r="F70" s="324">
        <x:v>0</x:v>
      </x:c>
      <x:c r="G70" s="324">
        <x:v>0</x:v>
      </x:c>
      <x:c r="H70" s="324">
        <x:v>0</x:v>
      </x:c>
      <x:c r="I70" s="324">
        <x:v>0</x:v>
      </x:c>
      <x:c r="J70" s="324">
        <x:v>0</x:v>
      </x:c>
      <x:c r="K70" s="324">
        <x:v>0</x:v>
      </x:c>
      <x:c r="L70" s="324">
        <x:v>0</x:v>
      </x:c>
      <x:c r="M70" s="324">
        <x:v>0</x:v>
      </x:c>
      <x:c r="N70" s="324">
        <x:v>0</x:v>
      </x:c>
      <x:c r="O70" s="324">
        <x:v>0</x:v>
      </x:c>
      <x:c r="P70" s="324">
        <x:v>0</x:v>
      </x:c>
      <x:c r="Q70" s="324">
        <x:v>0</x:v>
      </x:c>
      <x:c r="R70" s="324">
        <x:v>0</x:v>
      </x:c>
      <x:c r="S70" s="324">
        <x:v>0</x:v>
      </x:c>
      <x:c r="T70" s="324">
        <x:v>0</x:v>
      </x:c>
      <x:c r="U70" s="324">
        <x:v>0</x:v>
      </x:c>
      <x:c r="V70" s="324">
        <x:v>0</x:v>
      </x:c>
      <x:c r="W70" s="324">
        <x:v>0</x:v>
      </x:c>
      <x:c r="X70" s="324">
        <x:v>0</x:v>
      </x:c>
      <x:c r="Y70" s="324">
        <x:v>0</x:v>
      </x:c>
      <x:c r="Z70" s="257">
        <x:f t="shared" si="3"/>
        <x:v>0</x:v>
      </x:c>
    </x:row>
    <x:row r="71">
      <x:c r="A71" s="148" t="s">
        <x:v>107</x:v>
      </x:c>
      <x:c r="B71">
        <x:v>3</x:v>
      </x:c>
      <x:c r="C71" s="148" t="s">
        <x:v>116</x:v>
      </x:c>
      <x:c r="D71">
        <x:v>314</x:v>
      </x:c>
      <x:c r="E71" s="324">
        <x:v>0</x:v>
      </x:c>
      <x:c r="F71" s="324">
        <x:v>0</x:v>
      </x:c>
      <x:c r="G71" s="324">
        <x:v>0</x:v>
      </x:c>
      <x:c r="H71" s="324">
        <x:v>0</x:v>
      </x:c>
      <x:c r="I71" s="324">
        <x:v>0</x:v>
      </x:c>
      <x:c r="J71" s="324">
        <x:v>0</x:v>
      </x:c>
      <x:c r="K71" s="324">
        <x:v>0</x:v>
      </x:c>
      <x:c r="L71" s="324">
        <x:v>0</x:v>
      </x:c>
      <x:c r="M71" s="324">
        <x:v>0</x:v>
      </x:c>
      <x:c r="N71" s="324">
        <x:v>0</x:v>
      </x:c>
      <x:c r="O71" s="324">
        <x:v>0</x:v>
      </x:c>
      <x:c r="P71" s="324">
        <x:v>0</x:v>
      </x:c>
      <x:c r="Q71" s="324">
        <x:v>0</x:v>
      </x:c>
      <x:c r="R71" s="324">
        <x:v>0</x:v>
      </x:c>
      <x:c r="S71" s="324">
        <x:v>0</x:v>
      </x:c>
      <x:c r="T71" s="324">
        <x:v>0</x:v>
      </x:c>
      <x:c r="U71" s="324">
        <x:v>0</x:v>
      </x:c>
      <x:c r="V71" s="324">
        <x:v>0</x:v>
      </x:c>
      <x:c r="W71" s="324">
        <x:v>0</x:v>
      </x:c>
      <x:c r="X71" s="324">
        <x:v>0</x:v>
      </x:c>
      <x:c r="Y71" s="324">
        <x:v>0</x:v>
      </x:c>
      <x:c r="Z71" s="257">
        <x:f t="shared" si="3"/>
        <x:v>0</x:v>
      </x:c>
    </x:row>
    <x:row r="72">
      <x:c r="A72" s="148" t="s">
        <x:v>107</x:v>
      </x:c>
      <x:c r="B72">
        <x:v>3</x:v>
      </x:c>
      <x:c r="C72" s="148" t="s">
        <x:v>116</x:v>
      </x:c>
      <x:c r="D72">
        <x:v>315</x:v>
      </x:c>
      <x:c r="E72" s="324">
        <x:v>0</x:v>
      </x:c>
      <x:c r="F72" s="324">
        <x:v>0</x:v>
      </x:c>
      <x:c r="G72" s="324">
        <x:v>0</x:v>
      </x:c>
      <x:c r="H72" s="324">
        <x:v>0</x:v>
      </x:c>
      <x:c r="I72" s="324">
        <x:v>0</x:v>
      </x:c>
      <x:c r="J72" s="324">
        <x:v>0</x:v>
      </x:c>
      <x:c r="K72" s="324">
        <x:v>0</x:v>
      </x:c>
      <x:c r="L72" s="324">
        <x:v>0</x:v>
      </x:c>
      <x:c r="M72" s="324">
        <x:v>0</x:v>
      </x:c>
      <x:c r="N72" s="324">
        <x:v>0</x:v>
      </x:c>
      <x:c r="O72" s="324">
        <x:v>0</x:v>
      </x:c>
      <x:c r="P72" s="324">
        <x:v>0</x:v>
      </x:c>
      <x:c r="Q72" s="324">
        <x:v>0</x:v>
      </x:c>
      <x:c r="R72" s="324">
        <x:v>0</x:v>
      </x:c>
      <x:c r="S72" s="324">
        <x:v>0</x:v>
      </x:c>
      <x:c r="T72" s="324">
        <x:v>0</x:v>
      </x:c>
      <x:c r="U72" s="324">
        <x:v>0</x:v>
      </x:c>
      <x:c r="V72" s="324">
        <x:v>0</x:v>
      </x:c>
      <x:c r="W72" s="324">
        <x:v>0</x:v>
      </x:c>
      <x:c r="X72" s="324">
        <x:v>0</x:v>
      </x:c>
      <x:c r="Y72" s="324">
        <x:v>0</x:v>
      </x:c>
      <x:c r="Z72" s="257">
        <x:f t="shared" si="3"/>
        <x:v>0</x:v>
      </x:c>
    </x:row>
    <x:row r="73">
      <x:c r="A73" s="148" t="s">
        <x:v>107</x:v>
      </x:c>
      <x:c r="B73">
        <x:v>3</x:v>
      </x:c>
      <x:c r="C73" s="148" t="s">
        <x:v>116</x:v>
      </x:c>
      <x:c r="D73">
        <x:v>316</x:v>
      </x:c>
      <x:c r="E73" s="324">
        <x:v>0</x:v>
      </x:c>
      <x:c r="F73" s="324">
        <x:v>0</x:v>
      </x:c>
      <x:c r="G73" s="324">
        <x:v>0</x:v>
      </x:c>
      <x:c r="H73" s="324">
        <x:v>0</x:v>
      </x:c>
      <x:c r="I73" s="324">
        <x:v>0</x:v>
      </x:c>
      <x:c r="J73" s="324">
        <x:v>0</x:v>
      </x:c>
      <x:c r="K73" s="324">
        <x:v>0</x:v>
      </x:c>
      <x:c r="L73" s="324">
        <x:v>0</x:v>
      </x:c>
      <x:c r="M73" s="324">
        <x:v>0</x:v>
      </x:c>
      <x:c r="N73" s="324">
        <x:v>0</x:v>
      </x:c>
      <x:c r="O73" s="324">
        <x:v>0</x:v>
      </x:c>
      <x:c r="P73" s="324">
        <x:v>0</x:v>
      </x:c>
      <x:c r="Q73" s="324">
        <x:v>0</x:v>
      </x:c>
      <x:c r="R73" s="324">
        <x:v>0</x:v>
      </x:c>
      <x:c r="S73" s="324">
        <x:v>0</x:v>
      </x:c>
      <x:c r="T73" s="324">
        <x:v>0</x:v>
      </x:c>
      <x:c r="U73" s="324">
        <x:v>0</x:v>
      </x:c>
      <x:c r="V73" s="324">
        <x:v>0</x:v>
      </x:c>
      <x:c r="W73" s="324">
        <x:v>0</x:v>
      </x:c>
      <x:c r="X73" s="324">
        <x:v>0</x:v>
      </x:c>
      <x:c r="Y73" s="324">
        <x:v>0</x:v>
      </x:c>
      <x:c r="Z73" s="257">
        <x:f t="shared" si="3"/>
        <x:v>0</x:v>
      </x:c>
    </x:row>
    <x:row r="74">
      <x:c r="A74" s="148" t="s">
        <x:v>107</x:v>
      </x:c>
      <x:c r="B74">
        <x:v>3</x:v>
      </x:c>
      <x:c r="C74" s="148" t="s">
        <x:v>116</x:v>
      </x:c>
      <x:c r="D74">
        <x:v>317</x:v>
      </x:c>
      <x:c r="E74" s="324">
        <x:v>0</x:v>
      </x:c>
      <x:c r="F74" s="324">
        <x:v>0</x:v>
      </x:c>
      <x:c r="G74" s="324">
        <x:v>0</x:v>
      </x:c>
      <x:c r="H74" s="324">
        <x:v>0</x:v>
      </x:c>
      <x:c r="I74" s="324">
        <x:v>0</x:v>
      </x:c>
      <x:c r="J74" s="324">
        <x:v>0</x:v>
      </x:c>
      <x:c r="K74" s="324">
        <x:v>0</x:v>
      </x:c>
      <x:c r="L74" s="324">
        <x:v>0</x:v>
      </x:c>
      <x:c r="M74" s="324">
        <x:v>0</x:v>
      </x:c>
      <x:c r="N74" s="324">
        <x:v>0</x:v>
      </x:c>
      <x:c r="O74" s="324">
        <x:v>0</x:v>
      </x:c>
      <x:c r="P74" s="324">
        <x:v>0</x:v>
      </x:c>
      <x:c r="Q74" s="324">
        <x:v>0</x:v>
      </x:c>
      <x:c r="R74" s="324">
        <x:v>0</x:v>
      </x:c>
      <x:c r="S74" s="324">
        <x:v>0</x:v>
      </x:c>
      <x:c r="T74" s="324">
        <x:v>0</x:v>
      </x:c>
      <x:c r="U74" s="324">
        <x:v>0</x:v>
      </x:c>
      <x:c r="V74" s="324">
        <x:v>0</x:v>
      </x:c>
      <x:c r="W74" s="324">
        <x:v>0</x:v>
      </x:c>
      <x:c r="X74" s="324">
        <x:v>0</x:v>
      </x:c>
      <x:c r="Y74" s="324">
        <x:v>0</x:v>
      </x:c>
      <x:c r="Z74" s="257">
        <x:f t="shared" si="3"/>
        <x:v>0</x:v>
      </x:c>
    </x:row>
    <x:row r="75">
      <x:c r="A75" s="148" t="s">
        <x:v>107</x:v>
      </x:c>
      <x:c r="B75">
        <x:v>3</x:v>
      </x:c>
      <x:c r="C75" s="148" t="s">
        <x:v>116</x:v>
      </x:c>
      <x:c r="D75">
        <x:v>318</x:v>
      </x:c>
      <x:c r="E75" s="324">
        <x:v>0</x:v>
      </x:c>
      <x:c r="F75" s="324">
        <x:v>0</x:v>
      </x:c>
      <x:c r="G75" s="324">
        <x:v>0</x:v>
      </x:c>
      <x:c r="H75" s="324">
        <x:v>0</x:v>
      </x:c>
      <x:c r="I75" s="324">
        <x:v>0</x:v>
      </x:c>
      <x:c r="J75" s="324">
        <x:v>0</x:v>
      </x:c>
      <x:c r="K75" s="324">
        <x:v>0</x:v>
      </x:c>
      <x:c r="L75" s="324">
        <x:v>0</x:v>
      </x:c>
      <x:c r="M75" s="324">
        <x:v>0</x:v>
      </x:c>
      <x:c r="N75" s="324">
        <x:v>0</x:v>
      </x:c>
      <x:c r="O75" s="324">
        <x:v>0</x:v>
      </x:c>
      <x:c r="P75" s="324">
        <x:v>0</x:v>
      </x:c>
      <x:c r="Q75" s="324">
        <x:v>0</x:v>
      </x:c>
      <x:c r="R75" s="324">
        <x:v>0</x:v>
      </x:c>
      <x:c r="S75" s="324">
        <x:v>0</x:v>
      </x:c>
      <x:c r="T75" s="324">
        <x:v>0</x:v>
      </x:c>
      <x:c r="U75" s="324">
        <x:v>0</x:v>
      </x:c>
      <x:c r="V75" s="324">
        <x:v>0</x:v>
      </x:c>
      <x:c r="W75" s="324">
        <x:v>0</x:v>
      </x:c>
      <x:c r="X75" s="324">
        <x:v>0</x:v>
      </x:c>
      <x:c r="Y75" s="324">
        <x:v>0</x:v>
      </x:c>
      <x:c r="Z75" s="257">
        <x:f t="shared" si="3"/>
        <x:v>0</x:v>
      </x:c>
    </x:row>
    <x:row r="76">
      <x:c r="A76" s="148" t="s">
        <x:v>107</x:v>
      </x:c>
      <x:c r="B76">
        <x:v>3</x:v>
      </x:c>
      <x:c r="C76" s="148" t="s">
        <x:v>116</x:v>
      </x:c>
      <x:c r="D76">
        <x:v>319</x:v>
      </x:c>
      <x:c r="E76" s="324">
        <x:v>0</x:v>
      </x:c>
      <x:c r="F76" s="324">
        <x:v>0</x:v>
      </x:c>
      <x:c r="G76" s="324">
        <x:v>0</x:v>
      </x:c>
      <x:c r="H76" s="324">
        <x:v>0</x:v>
      </x:c>
      <x:c r="I76" s="324">
        <x:v>0</x:v>
      </x:c>
      <x:c r="J76" s="324">
        <x:v>0</x:v>
      </x:c>
      <x:c r="K76" s="324">
        <x:v>0</x:v>
      </x:c>
      <x:c r="L76" s="324">
        <x:v>0</x:v>
      </x:c>
      <x:c r="M76" s="324">
        <x:v>0</x:v>
      </x:c>
      <x:c r="N76" s="324">
        <x:v>0</x:v>
      </x:c>
      <x:c r="O76" s="324">
        <x:v>0</x:v>
      </x:c>
      <x:c r="P76" s="324">
        <x:v>0</x:v>
      </x:c>
      <x:c r="Q76" s="324">
        <x:v>0</x:v>
      </x:c>
      <x:c r="R76" s="324">
        <x:v>0</x:v>
      </x:c>
      <x:c r="S76" s="324">
        <x:v>0</x:v>
      </x:c>
      <x:c r="T76" s="324">
        <x:v>0</x:v>
      </x:c>
      <x:c r="U76" s="324">
        <x:v>0</x:v>
      </x:c>
      <x:c r="V76" s="324">
        <x:v>0</x:v>
      </x:c>
      <x:c r="W76" s="324">
        <x:v>0</x:v>
      </x:c>
      <x:c r="X76" s="324">
        <x:v>0</x:v>
      </x:c>
      <x:c r="Y76" s="324">
        <x:v>0</x:v>
      </x:c>
      <x:c r="Z76" s="257">
        <x:f t="shared" si="3"/>
        <x:v>0</x:v>
      </x:c>
    </x:row>
    <x:row r="77">
      <x:c r="A77" s="148" t="s">
        <x:v>107</x:v>
      </x:c>
      <x:c r="B77">
        <x:v>3</x:v>
      </x:c>
      <x:c r="C77" s="148" t="s">
        <x:v>116</x:v>
      </x:c>
      <x:c r="D77">
        <x:v>320</x:v>
      </x:c>
      <x:c r="E77" s="324">
        <x:v>0</x:v>
      </x:c>
      <x:c r="F77" s="324">
        <x:v>0</x:v>
      </x:c>
      <x:c r="G77" s="324">
        <x:v>0</x:v>
      </x:c>
      <x:c r="H77" s="324">
        <x:v>0</x:v>
      </x:c>
      <x:c r="I77" s="324">
        <x:v>0</x:v>
      </x:c>
      <x:c r="J77" s="324">
        <x:v>0</x:v>
      </x:c>
      <x:c r="K77" s="324">
        <x:v>0</x:v>
      </x:c>
      <x:c r="L77" s="324">
        <x:v>0</x:v>
      </x:c>
      <x:c r="M77" s="324">
        <x:v>0</x:v>
      </x:c>
      <x:c r="N77" s="324">
        <x:v>0</x:v>
      </x:c>
      <x:c r="O77" s="324">
        <x:v>0</x:v>
      </x:c>
      <x:c r="P77" s="324">
        <x:v>0</x:v>
      </x:c>
      <x:c r="Q77" s="324">
        <x:v>0</x:v>
      </x:c>
      <x:c r="R77" s="324">
        <x:v>0</x:v>
      </x:c>
      <x:c r="S77" s="324">
        <x:v>0</x:v>
      </x:c>
      <x:c r="T77" s="324">
        <x:v>0</x:v>
      </x:c>
      <x:c r="U77" s="324">
        <x:v>0</x:v>
      </x:c>
      <x:c r="V77" s="324">
        <x:v>0</x:v>
      </x:c>
      <x:c r="W77" s="324">
        <x:v>0</x:v>
      </x:c>
      <x:c r="X77" s="324">
        <x:v>0</x:v>
      </x:c>
      <x:c r="Y77" s="324">
        <x:v>0</x:v>
      </x:c>
      <x:c r="Z77" s="257">
        <x:f t="shared" si="3"/>
        <x:v>0</x:v>
      </x:c>
    </x:row>
    <x:row r="78">
      <x:c r="A78" s="148" t="s">
        <x:v>107</x:v>
      </x:c>
      <x:c r="B78">
        <x:v>3</x:v>
      </x:c>
      <x:c r="C78" s="148" t="s">
        <x:v>116</x:v>
      </x:c>
      <x:c r="D78">
        <x:v>321</x:v>
      </x:c>
      <x:c r="E78" s="324">
        <x:v>0</x:v>
      </x:c>
      <x:c r="F78" s="324">
        <x:v>0</x:v>
      </x:c>
      <x:c r="G78" s="324">
        <x:v>0</x:v>
      </x:c>
      <x:c r="H78" s="324">
        <x:v>0</x:v>
      </x:c>
      <x:c r="I78" s="324">
        <x:v>0</x:v>
      </x:c>
      <x:c r="J78" s="324">
        <x:v>0</x:v>
      </x:c>
      <x:c r="K78" s="324">
        <x:v>0</x:v>
      </x:c>
      <x:c r="L78" s="324">
        <x:v>0</x:v>
      </x:c>
      <x:c r="M78" s="324">
        <x:v>0</x:v>
      </x:c>
      <x:c r="N78" s="324">
        <x:v>0</x:v>
      </x:c>
      <x:c r="O78" s="324">
        <x:v>0</x:v>
      </x:c>
      <x:c r="P78" s="324">
        <x:v>0</x:v>
      </x:c>
      <x:c r="Q78" s="324">
        <x:v>0</x:v>
      </x:c>
      <x:c r="R78" s="324">
        <x:v>0</x:v>
      </x:c>
      <x:c r="S78" s="324">
        <x:v>0</x:v>
      </x:c>
      <x:c r="T78" s="324">
        <x:v>0</x:v>
      </x:c>
      <x:c r="U78" s="324">
        <x:v>0</x:v>
      </x:c>
      <x:c r="V78" s="324">
        <x:v>0</x:v>
      </x:c>
      <x:c r="W78" s="324">
        <x:v>0</x:v>
      </x:c>
      <x:c r="X78" s="324">
        <x:v>0</x:v>
      </x:c>
      <x:c r="Y78" s="324">
        <x:v>0</x:v>
      </x:c>
      <x:c r="Z78" s="257">
        <x:f t="shared" si="3"/>
        <x:v>0</x:v>
      </x:c>
    </x:row>
    <x:row r="79">
      <x:c r="A79" s="148" t="s">
        <x:v>107</x:v>
      </x:c>
      <x:c r="B79">
        <x:v>3</x:v>
      </x:c>
      <x:c r="C79" s="148" t="s">
        <x:v>116</x:v>
      </x:c>
      <x:c r="D79">
        <x:v>322</x:v>
      </x:c>
      <x:c r="E79" s="324">
        <x:v>0</x:v>
      </x:c>
      <x:c r="F79" s="324">
        <x:v>0</x:v>
      </x:c>
      <x:c r="G79" s="324">
        <x:v>0</x:v>
      </x:c>
      <x:c r="H79" s="324">
        <x:v>0</x:v>
      </x:c>
      <x:c r="I79" s="324">
        <x:v>0</x:v>
      </x:c>
      <x:c r="J79" s="324">
        <x:v>0</x:v>
      </x:c>
      <x:c r="K79" s="324">
        <x:v>0</x:v>
      </x:c>
      <x:c r="L79" s="324">
        <x:v>0</x:v>
      </x:c>
      <x:c r="M79" s="324">
        <x:v>0</x:v>
      </x:c>
      <x:c r="N79" s="324">
        <x:v>0</x:v>
      </x:c>
      <x:c r="O79" s="324">
        <x:v>0</x:v>
      </x:c>
      <x:c r="P79" s="324">
        <x:v>0</x:v>
      </x:c>
      <x:c r="Q79" s="324">
        <x:v>0</x:v>
      </x:c>
      <x:c r="R79" s="324">
        <x:v>0</x:v>
      </x:c>
      <x:c r="S79" s="324">
        <x:v>0</x:v>
      </x:c>
      <x:c r="T79" s="324">
        <x:v>0</x:v>
      </x:c>
      <x:c r="U79" s="324">
        <x:v>0</x:v>
      </x:c>
      <x:c r="V79" s="324">
        <x:v>0</x:v>
      </x:c>
      <x:c r="W79" s="324">
        <x:v>0</x:v>
      </x:c>
      <x:c r="X79" s="324">
        <x:v>0</x:v>
      </x:c>
      <x:c r="Y79" s="324">
        <x:v>0</x:v>
      </x:c>
      <x:c r="Z79" s="257">
        <x:f t="shared" si="3"/>
        <x:v>0</x:v>
      </x:c>
    </x:row>
    <x:row r="80">
      <x:c r="A80" s="148" t="s">
        <x:v>107</x:v>
      </x:c>
      <x:c r="B80">
        <x:v>3</x:v>
      </x:c>
      <x:c r="C80" s="148" t="s">
        <x:v>116</x:v>
      </x:c>
      <x:c r="D80">
        <x:v>323</x:v>
      </x:c>
      <x:c r="E80" s="324">
        <x:v>0</x:v>
      </x:c>
      <x:c r="F80" s="324">
        <x:v>0</x:v>
      </x:c>
      <x:c r="G80" s="324">
        <x:v>0</x:v>
      </x:c>
      <x:c r="H80" s="324">
        <x:v>0</x:v>
      </x:c>
      <x:c r="I80" s="324">
        <x:v>0</x:v>
      </x:c>
      <x:c r="J80" s="324">
        <x:v>0</x:v>
      </x:c>
      <x:c r="K80" s="324">
        <x:v>0</x:v>
      </x:c>
      <x:c r="L80" s="324">
        <x:v>0</x:v>
      </x:c>
      <x:c r="M80" s="324">
        <x:v>0</x:v>
      </x:c>
      <x:c r="N80" s="324">
        <x:v>0</x:v>
      </x:c>
      <x:c r="O80" s="324">
        <x:v>0</x:v>
      </x:c>
      <x:c r="P80" s="324">
        <x:v>0</x:v>
      </x:c>
      <x:c r="Q80" s="324">
        <x:v>0</x:v>
      </x:c>
      <x:c r="R80" s="324">
        <x:v>0</x:v>
      </x:c>
      <x:c r="S80" s="324">
        <x:v>0</x:v>
      </x:c>
      <x:c r="T80" s="324">
        <x:v>0</x:v>
      </x:c>
      <x:c r="U80" s="324">
        <x:v>0</x:v>
      </x:c>
      <x:c r="V80" s="324">
        <x:v>0</x:v>
      </x:c>
      <x:c r="W80" s="324">
        <x:v>0</x:v>
      </x:c>
      <x:c r="X80" s="324">
        <x:v>0</x:v>
      </x:c>
      <x:c r="Y80" s="324">
        <x:v>0</x:v>
      </x:c>
      <x:c r="Z80" s="257">
        <x:f t="shared" si="3"/>
        <x:v>0</x:v>
      </x:c>
    </x:row>
    <x:row r="81">
      <x:c r="A81" s="148" t="s">
        <x:v>107</x:v>
      </x:c>
      <x:c r="B81">
        <x:v>3</x:v>
      </x:c>
      <x:c r="C81" s="148" t="s">
        <x:v>115</x:v>
      </x:c>
      <x:c r="D81">
        <x:v>301</x:v>
      </x:c>
      <x:c r="E81" s="324">
        <x:v>0</x:v>
      </x:c>
      <x:c r="F81" s="324">
        <x:v>0</x:v>
      </x:c>
      <x:c r="G81" s="324">
        <x:v>0</x:v>
      </x:c>
      <x:c r="H81" s="324">
        <x:v>0</x:v>
      </x:c>
      <x:c r="I81" s="324">
        <x:v>0</x:v>
      </x:c>
      <x:c r="J81" s="324">
        <x:v>0</x:v>
      </x:c>
      <x:c r="K81" s="324">
        <x:v>0</x:v>
      </x:c>
      <x:c r="L81" s="324">
        <x:v>0</x:v>
      </x:c>
      <x:c r="M81" s="324">
        <x:v>0</x:v>
      </x:c>
      <x:c r="N81" s="324">
        <x:v>0</x:v>
      </x:c>
      <x:c r="O81" s="324">
        <x:v>0</x:v>
      </x:c>
      <x:c r="P81" s="324">
        <x:v>0</x:v>
      </x:c>
      <x:c r="Q81" s="324">
        <x:v>0</x:v>
      </x:c>
      <x:c r="R81" s="324">
        <x:v>0</x:v>
      </x:c>
      <x:c r="S81" s="324">
        <x:v>0</x:v>
      </x:c>
      <x:c r="T81" s="324">
        <x:v>0</x:v>
      </x:c>
      <x:c r="U81" s="324">
        <x:v>0</x:v>
      </x:c>
      <x:c r="V81" s="324">
        <x:v>0</x:v>
      </x:c>
      <x:c r="W81" s="324">
        <x:v>0</x:v>
      </x:c>
      <x:c r="X81" s="324">
        <x:v>0</x:v>
      </x:c>
      <x:c r="Y81" s="324">
        <x:v>0</x:v>
      </x:c>
      <x:c r="Z81" s="257">
        <x:f t="shared" si="3"/>
        <x:v>0</x:v>
      </x:c>
    </x:row>
    <x:row r="82">
      <x:c r="A82" s="148" t="s">
        <x:v>107</x:v>
      </x:c>
      <x:c r="B82">
        <x:v>3</x:v>
      </x:c>
      <x:c r="C82" s="148" t="s">
        <x:v>115</x:v>
      </x:c>
      <x:c r="D82">
        <x:v>302</x:v>
      </x:c>
      <x:c r="E82" s="324">
        <x:v>0</x:v>
      </x:c>
      <x:c r="F82" s="324">
        <x:v>0</x:v>
      </x:c>
      <x:c r="G82" s="324">
        <x:v>0</x:v>
      </x:c>
      <x:c r="H82" s="324">
        <x:v>0</x:v>
      </x:c>
      <x:c r="I82" s="324">
        <x:v>0</x:v>
      </x:c>
      <x:c r="J82" s="324">
        <x:v>0</x:v>
      </x:c>
      <x:c r="K82" s="324">
        <x:v>0</x:v>
      </x:c>
      <x:c r="L82" s="324">
        <x:v>0</x:v>
      </x:c>
      <x:c r="M82" s="324">
        <x:v>0</x:v>
      </x:c>
      <x:c r="N82" s="324">
        <x:v>0</x:v>
      </x:c>
      <x:c r="O82" s="324">
        <x:v>0</x:v>
      </x:c>
      <x:c r="P82" s="324">
        <x:v>0</x:v>
      </x:c>
      <x:c r="Q82" s="324">
        <x:v>0</x:v>
      </x:c>
      <x:c r="R82" s="324">
        <x:v>0</x:v>
      </x:c>
      <x:c r="S82" s="324">
        <x:v>0</x:v>
      </x:c>
      <x:c r="T82" s="324">
        <x:v>0</x:v>
      </x:c>
      <x:c r="U82" s="324">
        <x:v>0</x:v>
      </x:c>
      <x:c r="V82" s="324">
        <x:v>0</x:v>
      </x:c>
      <x:c r="W82" s="324">
        <x:v>0</x:v>
      </x:c>
      <x:c r="X82" s="324">
        <x:v>0</x:v>
      </x:c>
      <x:c r="Y82" s="324">
        <x:v>0</x:v>
      </x:c>
      <x:c r="Z82" s="257">
        <x:f t="shared" si="3"/>
        <x:v>0</x:v>
      </x:c>
    </x:row>
    <x:row r="83">
      <x:c r="A83" s="148" t="s">
        <x:v>107</x:v>
      </x:c>
      <x:c r="B83">
        <x:v>3</x:v>
      </x:c>
      <x:c r="C83" s="148" t="s">
        <x:v>115</x:v>
      </x:c>
      <x:c r="D83">
        <x:v>303</x:v>
      </x:c>
      <x:c r="E83" s="324">
        <x:v>0</x:v>
      </x:c>
      <x:c r="F83" s="324">
        <x:v>0</x:v>
      </x:c>
      <x:c r="G83" s="324">
        <x:v>0</x:v>
      </x:c>
      <x:c r="H83" s="324">
        <x:v>0</x:v>
      </x:c>
      <x:c r="I83" s="324">
        <x:v>0</x:v>
      </x:c>
      <x:c r="J83" s="324">
        <x:v>0</x:v>
      </x:c>
      <x:c r="K83" s="324">
        <x:v>0</x:v>
      </x:c>
      <x:c r="L83" s="324">
        <x:v>0</x:v>
      </x:c>
      <x:c r="M83" s="324">
        <x:v>0</x:v>
      </x:c>
      <x:c r="N83" s="324">
        <x:v>0</x:v>
      </x:c>
      <x:c r="O83" s="324">
        <x:v>0</x:v>
      </x:c>
      <x:c r="P83" s="324">
        <x:v>0</x:v>
      </x:c>
      <x:c r="Q83" s="324">
        <x:v>0</x:v>
      </x:c>
      <x:c r="R83" s="324">
        <x:v>0</x:v>
      </x:c>
      <x:c r="S83" s="324">
        <x:v>0</x:v>
      </x:c>
      <x:c r="T83" s="324">
        <x:v>0</x:v>
      </x:c>
      <x:c r="U83" s="324">
        <x:v>0</x:v>
      </x:c>
      <x:c r="V83" s="324">
        <x:v>0</x:v>
      </x:c>
      <x:c r="W83" s="324">
        <x:v>0</x:v>
      </x:c>
      <x:c r="X83" s="324">
        <x:v>0</x:v>
      </x:c>
      <x:c r="Y83" s="324">
        <x:v>0</x:v>
      </x:c>
      <x:c r="Z83" s="257">
        <x:f t="shared" si="3"/>
        <x:v>0</x:v>
      </x:c>
    </x:row>
    <x:row r="84">
      <x:c r="A84" s="148" t="s">
        <x:v>107</x:v>
      </x:c>
      <x:c r="B84">
        <x:v>3</x:v>
      </x:c>
      <x:c r="C84" s="148" t="s">
        <x:v>115</x:v>
      </x:c>
      <x:c r="D84">
        <x:v>304</x:v>
      </x:c>
      <x:c r="E84" s="324">
        <x:v>0</x:v>
      </x:c>
      <x:c r="F84" s="324">
        <x:v>0</x:v>
      </x:c>
      <x:c r="G84" s="324">
        <x:v>0</x:v>
      </x:c>
      <x:c r="H84" s="324">
        <x:v>0</x:v>
      </x:c>
      <x:c r="I84" s="324">
        <x:v>0</x:v>
      </x:c>
      <x:c r="J84" s="324">
        <x:v>0</x:v>
      </x:c>
      <x:c r="K84" s="324">
        <x:v>0</x:v>
      </x:c>
      <x:c r="L84" s="324">
        <x:v>0</x:v>
      </x:c>
      <x:c r="M84" s="324">
        <x:v>0</x:v>
      </x:c>
      <x:c r="N84" s="324">
        <x:v>0</x:v>
      </x:c>
      <x:c r="O84" s="324">
        <x:v>0</x:v>
      </x:c>
      <x:c r="P84" s="324">
        <x:v>0</x:v>
      </x:c>
      <x:c r="Q84" s="324">
        <x:v>0</x:v>
      </x:c>
      <x:c r="R84" s="324">
        <x:v>0</x:v>
      </x:c>
      <x:c r="S84" s="324">
        <x:v>0</x:v>
      </x:c>
      <x:c r="T84" s="324">
        <x:v>0</x:v>
      </x:c>
      <x:c r="U84" s="324">
        <x:v>0</x:v>
      </x:c>
      <x:c r="V84" s="324">
        <x:v>0</x:v>
      </x:c>
      <x:c r="W84" s="324">
        <x:v>0</x:v>
      </x:c>
      <x:c r="X84" s="324">
        <x:v>0</x:v>
      </x:c>
      <x:c r="Y84" s="324">
        <x:v>0</x:v>
      </x:c>
      <x:c r="Z84" s="257">
        <x:f t="shared" si="3"/>
        <x:v>0</x:v>
      </x:c>
    </x:row>
    <x:row r="85">
      <x:c r="A85" s="148" t="s">
        <x:v>107</x:v>
      </x:c>
      <x:c r="B85">
        <x:v>3</x:v>
      </x:c>
      <x:c r="C85" s="148" t="s">
        <x:v>115</x:v>
      </x:c>
      <x:c r="D85">
        <x:v>305</x:v>
      </x:c>
      <x:c r="E85" s="324">
        <x:v>0</x:v>
      </x:c>
      <x:c r="F85" s="324">
        <x:v>0</x:v>
      </x:c>
      <x:c r="G85" s="324">
        <x:v>0</x:v>
      </x:c>
      <x:c r="H85" s="324">
        <x:v>0</x:v>
      </x:c>
      <x:c r="I85" s="324">
        <x:v>0</x:v>
      </x:c>
      <x:c r="J85" s="324">
        <x:v>0</x:v>
      </x:c>
      <x:c r="K85" s="324">
        <x:v>0</x:v>
      </x:c>
      <x:c r="L85" s="324">
        <x:v>0</x:v>
      </x:c>
      <x:c r="M85" s="324">
        <x:v>0</x:v>
      </x:c>
      <x:c r="N85" s="324">
        <x:v>0</x:v>
      </x:c>
      <x:c r="O85" s="324">
        <x:v>0</x:v>
      </x:c>
      <x:c r="P85" s="324">
        <x:v>0</x:v>
      </x:c>
      <x:c r="Q85" s="324">
        <x:v>0</x:v>
      </x:c>
      <x:c r="R85" s="324">
        <x:v>0</x:v>
      </x:c>
      <x:c r="S85" s="324">
        <x:v>0</x:v>
      </x:c>
      <x:c r="T85" s="324">
        <x:v>0</x:v>
      </x:c>
      <x:c r="U85" s="324">
        <x:v>0</x:v>
      </x:c>
      <x:c r="V85" s="324">
        <x:v>0</x:v>
      </x:c>
      <x:c r="W85" s="324">
        <x:v>0</x:v>
      </x:c>
      <x:c r="X85" s="324">
        <x:v>0</x:v>
      </x:c>
      <x:c r="Y85" s="324">
        <x:v>0</x:v>
      </x:c>
      <x:c r="Z85" s="257">
        <x:f t="shared" si="3"/>
        <x:v>0</x:v>
      </x:c>
    </x:row>
    <x:row r="86">
      <x:c r="A86" s="148" t="s">
        <x:v>107</x:v>
      </x:c>
      <x:c r="B86">
        <x:v>3</x:v>
      </x:c>
      <x:c r="C86" s="148" t="s">
        <x:v>115</x:v>
      </x:c>
      <x:c r="D86">
        <x:v>306</x:v>
      </x:c>
      <x:c r="E86" s="324">
        <x:v>0</x:v>
      </x:c>
      <x:c r="F86" s="324">
        <x:v>0</x:v>
      </x:c>
      <x:c r="G86" s="324">
        <x:v>0</x:v>
      </x:c>
      <x:c r="H86" s="324">
        <x:v>0</x:v>
      </x:c>
      <x:c r="I86" s="324">
        <x:v>0</x:v>
      </x:c>
      <x:c r="J86" s="324">
        <x:v>0</x:v>
      </x:c>
      <x:c r="K86" s="324">
        <x:v>0</x:v>
      </x:c>
      <x:c r="L86" s="324">
        <x:v>0</x:v>
      </x:c>
      <x:c r="M86" s="324">
        <x:v>0</x:v>
      </x:c>
      <x:c r="N86" s="324">
        <x:v>0</x:v>
      </x:c>
      <x:c r="O86" s="324">
        <x:v>0</x:v>
      </x:c>
      <x:c r="P86" s="324">
        <x:v>0</x:v>
      </x:c>
      <x:c r="Q86" s="324">
        <x:v>0</x:v>
      </x:c>
      <x:c r="R86" s="324">
        <x:v>0</x:v>
      </x:c>
      <x:c r="S86" s="324">
        <x:v>0</x:v>
      </x:c>
      <x:c r="T86" s="324">
        <x:v>0</x:v>
      </x:c>
      <x:c r="U86" s="324">
        <x:v>0</x:v>
      </x:c>
      <x:c r="V86" s="324">
        <x:v>0</x:v>
      </x:c>
      <x:c r="W86" s="324">
        <x:v>0</x:v>
      </x:c>
      <x:c r="X86" s="324">
        <x:v>0</x:v>
      </x:c>
      <x:c r="Y86" s="324">
        <x:v>0</x:v>
      </x:c>
      <x:c r="Z86" s="257">
        <x:f t="shared" si="3"/>
        <x:v>0</x:v>
      </x:c>
    </x:row>
    <x:row r="87">
      <x:c r="A87" s="148" t="s">
        <x:v>107</x:v>
      </x:c>
      <x:c r="B87">
        <x:v>3</x:v>
      </x:c>
      <x:c r="C87" s="148" t="s">
        <x:v>115</x:v>
      </x:c>
      <x:c r="D87">
        <x:v>307</x:v>
      </x:c>
      <x:c r="E87" s="324">
        <x:v>0</x:v>
      </x:c>
      <x:c r="F87" s="324">
        <x:v>0</x:v>
      </x:c>
      <x:c r="G87" s="324">
        <x:v>0</x:v>
      </x:c>
      <x:c r="H87" s="324">
        <x:v>0</x:v>
      </x:c>
      <x:c r="I87" s="324">
        <x:v>0</x:v>
      </x:c>
      <x:c r="J87" s="324">
        <x:v>0</x:v>
      </x:c>
      <x:c r="K87" s="324">
        <x:v>0</x:v>
      </x:c>
      <x:c r="L87" s="324">
        <x:v>0</x:v>
      </x:c>
      <x:c r="M87" s="324">
        <x:v>0</x:v>
      </x:c>
      <x:c r="N87" s="324">
        <x:v>0</x:v>
      </x:c>
      <x:c r="O87" s="324">
        <x:v>0</x:v>
      </x:c>
      <x:c r="P87" s="324">
        <x:v>0</x:v>
      </x:c>
      <x:c r="Q87" s="324">
        <x:v>0</x:v>
      </x:c>
      <x:c r="R87" s="324">
        <x:v>0</x:v>
      </x:c>
      <x:c r="S87" s="324">
        <x:v>0</x:v>
      </x:c>
      <x:c r="T87" s="324">
        <x:v>0</x:v>
      </x:c>
      <x:c r="U87" s="324">
        <x:v>0</x:v>
      </x:c>
      <x:c r="V87" s="324">
        <x:v>0</x:v>
      </x:c>
      <x:c r="W87" s="324">
        <x:v>0</x:v>
      </x:c>
      <x:c r="X87" s="324">
        <x:v>0</x:v>
      </x:c>
      <x:c r="Y87" s="324">
        <x:v>0</x:v>
      </x:c>
      <x:c r="Z87" s="257">
        <x:f t="shared" si="3"/>
        <x:v>0</x:v>
      </x:c>
    </x:row>
    <x:row r="88">
      <x:c r="A88" s="148" t="s">
        <x:v>107</x:v>
      </x:c>
      <x:c r="B88">
        <x:v>3</x:v>
      </x:c>
      <x:c r="C88" s="148" t="s">
        <x:v>115</x:v>
      </x:c>
      <x:c r="D88">
        <x:v>308</x:v>
      </x:c>
      <x:c r="E88" s="324">
        <x:v>0</x:v>
      </x:c>
      <x:c r="F88" s="324">
        <x:v>0</x:v>
      </x:c>
      <x:c r="G88" s="324">
        <x:v>0</x:v>
      </x:c>
      <x:c r="H88" s="324">
        <x:v>0</x:v>
      </x:c>
      <x:c r="I88" s="324">
        <x:v>0</x:v>
      </x:c>
      <x:c r="J88" s="324">
        <x:v>0</x:v>
      </x:c>
      <x:c r="K88" s="324">
        <x:v>0</x:v>
      </x:c>
      <x:c r="L88" s="324">
        <x:v>0</x:v>
      </x:c>
      <x:c r="M88" s="324">
        <x:v>0</x:v>
      </x:c>
      <x:c r="N88" s="324">
        <x:v>0</x:v>
      </x:c>
      <x:c r="O88" s="324">
        <x:v>0</x:v>
      </x:c>
      <x:c r="P88" s="324">
        <x:v>0</x:v>
      </x:c>
      <x:c r="Q88" s="324">
        <x:v>0</x:v>
      </x:c>
      <x:c r="R88" s="324">
        <x:v>0</x:v>
      </x:c>
      <x:c r="S88" s="324">
        <x:v>0</x:v>
      </x:c>
      <x:c r="T88" s="324">
        <x:v>0</x:v>
      </x:c>
      <x:c r="U88" s="324">
        <x:v>0</x:v>
      </x:c>
      <x:c r="V88" s="324">
        <x:v>0</x:v>
      </x:c>
      <x:c r="W88" s="324">
        <x:v>0</x:v>
      </x:c>
      <x:c r="X88" s="324">
        <x:v>0</x:v>
      </x:c>
      <x:c r="Y88" s="324">
        <x:v>0</x:v>
      </x:c>
      <x:c r="Z88" s="257">
        <x:f t="shared" si="3"/>
        <x:v>0</x:v>
      </x:c>
    </x:row>
    <x:row r="89">
      <x:c r="A89" s="148" t="s">
        <x:v>107</x:v>
      </x:c>
      <x:c r="B89">
        <x:v>3</x:v>
      </x:c>
      <x:c r="C89" s="148" t="s">
        <x:v>115</x:v>
      </x:c>
      <x:c r="D89">
        <x:v>309</x:v>
      </x:c>
      <x:c r="E89" s="324">
        <x:v>0</x:v>
      </x:c>
      <x:c r="F89" s="324">
        <x:v>0</x:v>
      </x:c>
      <x:c r="G89" s="324">
        <x:v>0</x:v>
      </x:c>
      <x:c r="H89" s="324">
        <x:v>0</x:v>
      </x:c>
      <x:c r="I89" s="324">
        <x:v>0</x:v>
      </x:c>
      <x:c r="J89" s="324">
        <x:v>0</x:v>
      </x:c>
      <x:c r="K89" s="324">
        <x:v>0</x:v>
      </x:c>
      <x:c r="L89" s="324">
        <x:v>0</x:v>
      </x:c>
      <x:c r="M89" s="324">
        <x:v>0</x:v>
      </x:c>
      <x:c r="N89" s="324">
        <x:v>0</x:v>
      </x:c>
      <x:c r="O89" s="324">
        <x:v>0</x:v>
      </x:c>
      <x:c r="P89" s="324">
        <x:v>0</x:v>
      </x:c>
      <x:c r="Q89" s="324">
        <x:v>0</x:v>
      </x:c>
      <x:c r="R89" s="324">
        <x:v>0</x:v>
      </x:c>
      <x:c r="S89" s="324">
        <x:v>0</x:v>
      </x:c>
      <x:c r="T89" s="324">
        <x:v>0</x:v>
      </x:c>
      <x:c r="U89" s="324">
        <x:v>0</x:v>
      </x:c>
      <x:c r="V89" s="324">
        <x:v>0</x:v>
      </x:c>
      <x:c r="W89" s="324">
        <x:v>0</x:v>
      </x:c>
      <x:c r="X89" s="324">
        <x:v>0</x:v>
      </x:c>
      <x:c r="Y89" s="324">
        <x:v>0</x:v>
      </x:c>
      <x:c r="Z89" s="257">
        <x:f t="shared" si="3"/>
        <x:v>0</x:v>
      </x:c>
    </x:row>
    <x:row r="90">
      <x:c r="A90" s="148" t="s">
        <x:v>107</x:v>
      </x:c>
      <x:c r="B90">
        <x:v>3</x:v>
      </x:c>
      <x:c r="C90" s="148" t="s">
        <x:v>115</x:v>
      </x:c>
      <x:c r="D90">
        <x:v>310</x:v>
      </x:c>
      <x:c r="E90" s="324">
        <x:v>0</x:v>
      </x:c>
      <x:c r="F90" s="324">
        <x:v>0</x:v>
      </x:c>
      <x:c r="G90" s="324">
        <x:v>0</x:v>
      </x:c>
      <x:c r="H90" s="324">
        <x:v>0</x:v>
      </x:c>
      <x:c r="I90" s="324">
        <x:v>0</x:v>
      </x:c>
      <x:c r="J90" s="324">
        <x:v>0</x:v>
      </x:c>
      <x:c r="K90" s="324">
        <x:v>0</x:v>
      </x:c>
      <x:c r="L90" s="324">
        <x:v>0</x:v>
      </x:c>
      <x:c r="M90" s="324">
        <x:v>0</x:v>
      </x:c>
      <x:c r="N90" s="324">
        <x:v>0</x:v>
      </x:c>
      <x:c r="O90" s="324">
        <x:v>0</x:v>
      </x:c>
      <x:c r="P90" s="324">
        <x:v>0</x:v>
      </x:c>
      <x:c r="Q90" s="324">
        <x:v>0</x:v>
      </x:c>
      <x:c r="R90" s="324">
        <x:v>0</x:v>
      </x:c>
      <x:c r="S90" s="324">
        <x:v>0</x:v>
      </x:c>
      <x:c r="T90" s="324">
        <x:v>0</x:v>
      </x:c>
      <x:c r="U90" s="324">
        <x:v>0</x:v>
      </x:c>
      <x:c r="V90" s="324">
        <x:v>0</x:v>
      </x:c>
      <x:c r="W90" s="324">
        <x:v>0</x:v>
      </x:c>
      <x:c r="X90" s="324">
        <x:v>0</x:v>
      </x:c>
      <x:c r="Y90" s="324">
        <x:v>0</x:v>
      </x:c>
      <x:c r="Z90" s="257">
        <x:f t="shared" si="3"/>
        <x:v>0</x:v>
      </x:c>
    </x:row>
    <x:row r="91">
      <x:c r="A91" s="148" t="s">
        <x:v>107</x:v>
      </x:c>
      <x:c r="B91">
        <x:v>3</x:v>
      </x:c>
      <x:c r="C91" s="148" t="s">
        <x:v>115</x:v>
      </x:c>
      <x:c r="D91">
        <x:v>311</x:v>
      </x:c>
      <x:c r="E91" s="324">
        <x:v>0</x:v>
      </x:c>
      <x:c r="F91" s="324">
        <x:v>0</x:v>
      </x:c>
      <x:c r="G91" s="324">
        <x:v>0</x:v>
      </x:c>
      <x:c r="H91" s="324">
        <x:v>0</x:v>
      </x:c>
      <x:c r="I91" s="324">
        <x:v>0</x:v>
      </x:c>
      <x:c r="J91" s="324">
        <x:v>0</x:v>
      </x:c>
      <x:c r="K91" s="324">
        <x:v>0</x:v>
      </x:c>
      <x:c r="L91" s="324">
        <x:v>0</x:v>
      </x:c>
      <x:c r="M91" s="324">
        <x:v>0</x:v>
      </x:c>
      <x:c r="N91" s="324">
        <x:v>0</x:v>
      </x:c>
      <x:c r="O91" s="324">
        <x:v>0</x:v>
      </x:c>
      <x:c r="P91" s="324">
        <x:v>0</x:v>
      </x:c>
      <x:c r="Q91" s="324">
        <x:v>0</x:v>
      </x:c>
      <x:c r="R91" s="324">
        <x:v>0</x:v>
      </x:c>
      <x:c r="S91" s="324">
        <x:v>0</x:v>
      </x:c>
      <x:c r="T91" s="324">
        <x:v>0</x:v>
      </x:c>
      <x:c r="U91" s="324">
        <x:v>0</x:v>
      </x:c>
      <x:c r="V91" s="324">
        <x:v>0</x:v>
      </x:c>
      <x:c r="W91" s="324">
        <x:v>0</x:v>
      </x:c>
      <x:c r="X91" s="324">
        <x:v>0</x:v>
      </x:c>
      <x:c r="Y91" s="324">
        <x:v>0</x:v>
      </x:c>
      <x:c r="Z91" s="257">
        <x:f t="shared" si="3"/>
        <x:v>0</x:v>
      </x:c>
    </x:row>
    <x:row r="92">
      <x:c r="A92" s="148" t="s">
        <x:v>107</x:v>
      </x:c>
      <x:c r="B92">
        <x:v>3</x:v>
      </x:c>
      <x:c r="C92" s="148" t="s">
        <x:v>115</x:v>
      </x:c>
      <x:c r="D92">
        <x:v>312</x:v>
      </x:c>
      <x:c r="E92" s="324">
        <x:v>0</x:v>
      </x:c>
      <x:c r="F92" s="324">
        <x:v>0</x:v>
      </x:c>
      <x:c r="G92" s="324">
        <x:v>0</x:v>
      </x:c>
      <x:c r="H92" s="324">
        <x:v>0</x:v>
      </x:c>
      <x:c r="I92" s="324">
        <x:v>0</x:v>
      </x:c>
      <x:c r="J92" s="324">
        <x:v>0</x:v>
      </x:c>
      <x:c r="K92" s="324">
        <x:v>0</x:v>
      </x:c>
      <x:c r="L92" s="324">
        <x:v>0</x:v>
      </x:c>
      <x:c r="M92" s="324">
        <x:v>0</x:v>
      </x:c>
      <x:c r="N92" s="324">
        <x:v>0</x:v>
      </x:c>
      <x:c r="O92" s="324">
        <x:v>0</x:v>
      </x:c>
      <x:c r="P92" s="324">
        <x:v>0</x:v>
      </x:c>
      <x:c r="Q92" s="324">
        <x:v>0</x:v>
      </x:c>
      <x:c r="R92" s="324">
        <x:v>0</x:v>
      </x:c>
      <x:c r="S92" s="324">
        <x:v>0</x:v>
      </x:c>
      <x:c r="T92" s="324">
        <x:v>0</x:v>
      </x:c>
      <x:c r="U92" s="324">
        <x:v>0</x:v>
      </x:c>
      <x:c r="V92" s="324">
        <x:v>0</x:v>
      </x:c>
      <x:c r="W92" s="324">
        <x:v>0</x:v>
      </x:c>
      <x:c r="X92" s="324">
        <x:v>0</x:v>
      </x:c>
      <x:c r="Y92" s="324">
        <x:v>0</x:v>
      </x:c>
      <x:c r="Z92" s="257">
        <x:f t="shared" si="3"/>
        <x:v>0</x:v>
      </x:c>
    </x:row>
    <x:row r="93">
      <x:c r="A93" s="148" t="s">
        <x:v>107</x:v>
      </x:c>
      <x:c r="B93">
        <x:v>3</x:v>
      </x:c>
      <x:c r="C93" s="148" t="s">
        <x:v>115</x:v>
      </x:c>
      <x:c r="D93">
        <x:v>313</x:v>
      </x:c>
      <x:c r="E93" s="324">
        <x:v>0</x:v>
      </x:c>
      <x:c r="F93" s="324">
        <x:v>0</x:v>
      </x:c>
      <x:c r="G93" s="324">
        <x:v>0</x:v>
      </x:c>
      <x:c r="H93" s="324">
        <x:v>0</x:v>
      </x:c>
      <x:c r="I93" s="324">
        <x:v>0</x:v>
      </x:c>
      <x:c r="J93" s="324">
        <x:v>0</x:v>
      </x:c>
      <x:c r="K93" s="324">
        <x:v>0</x:v>
      </x:c>
      <x:c r="L93" s="324">
        <x:v>0</x:v>
      </x:c>
      <x:c r="M93" s="324">
        <x:v>0</x:v>
      </x:c>
      <x:c r="N93" s="324">
        <x:v>0</x:v>
      </x:c>
      <x:c r="O93" s="324">
        <x:v>0</x:v>
      </x:c>
      <x:c r="P93" s="324">
        <x:v>0</x:v>
      </x:c>
      <x:c r="Q93" s="324">
        <x:v>0</x:v>
      </x:c>
      <x:c r="R93" s="324">
        <x:v>0</x:v>
      </x:c>
      <x:c r="S93" s="324">
        <x:v>0</x:v>
      </x:c>
      <x:c r="T93" s="324">
        <x:v>0</x:v>
      </x:c>
      <x:c r="U93" s="324">
        <x:v>0</x:v>
      </x:c>
      <x:c r="V93" s="324">
        <x:v>0</x:v>
      </x:c>
      <x:c r="W93" s="324">
        <x:v>0</x:v>
      </x:c>
      <x:c r="X93" s="324">
        <x:v>0</x:v>
      </x:c>
      <x:c r="Y93" s="324">
        <x:v>0</x:v>
      </x:c>
      <x:c r="Z93" s="257">
        <x:f t="shared" si="3"/>
        <x:v>0</x:v>
      </x:c>
    </x:row>
    <x:row r="94">
      <x:c r="A94" s="148" t="s">
        <x:v>107</x:v>
      </x:c>
      <x:c r="B94">
        <x:v>3</x:v>
      </x:c>
      <x:c r="C94" s="148" t="s">
        <x:v>115</x:v>
      </x:c>
      <x:c r="D94">
        <x:v>314</x:v>
      </x:c>
      <x:c r="E94" s="324">
        <x:v>0</x:v>
      </x:c>
      <x:c r="F94" s="324">
        <x:v>0</x:v>
      </x:c>
      <x:c r="G94" s="324">
        <x:v>0</x:v>
      </x:c>
      <x:c r="H94" s="324">
        <x:v>0</x:v>
      </x:c>
      <x:c r="I94" s="324">
        <x:v>0</x:v>
      </x:c>
      <x:c r="J94" s="324">
        <x:v>0</x:v>
      </x:c>
      <x:c r="K94" s="324">
        <x:v>0</x:v>
      </x:c>
      <x:c r="L94" s="324">
        <x:v>0</x:v>
      </x:c>
      <x:c r="M94" s="324">
        <x:v>0</x:v>
      </x:c>
      <x:c r="N94" s="324">
        <x:v>0</x:v>
      </x:c>
      <x:c r="O94" s="324">
        <x:v>0</x:v>
      </x:c>
      <x:c r="P94" s="324">
        <x:v>0</x:v>
      </x:c>
      <x:c r="Q94" s="324">
        <x:v>0</x:v>
      </x:c>
      <x:c r="R94" s="324">
        <x:v>0</x:v>
      </x:c>
      <x:c r="S94" s="324">
        <x:v>0</x:v>
      </x:c>
      <x:c r="T94" s="324">
        <x:v>0</x:v>
      </x:c>
      <x:c r="U94" s="324">
        <x:v>0</x:v>
      </x:c>
      <x:c r="V94" s="324">
        <x:v>0</x:v>
      </x:c>
      <x:c r="W94" s="324">
        <x:v>0</x:v>
      </x:c>
      <x:c r="X94" s="324">
        <x:v>0</x:v>
      </x:c>
      <x:c r="Y94" s="324">
        <x:v>0</x:v>
      </x:c>
      <x:c r="Z94" s="257">
        <x:f t="shared" si="3"/>
        <x:v>0</x:v>
      </x:c>
    </x:row>
    <x:row r="95">
      <x:c r="A95" s="148" t="s">
        <x:v>107</x:v>
      </x:c>
      <x:c r="B95">
        <x:v>3</x:v>
      </x:c>
      <x:c r="C95" s="148" t="s">
        <x:v>115</x:v>
      </x:c>
      <x:c r="D95">
        <x:v>315</x:v>
      </x:c>
      <x:c r="E95" s="324">
        <x:v>0</x:v>
      </x:c>
      <x:c r="F95" s="324">
        <x:v>0</x:v>
      </x:c>
      <x:c r="G95" s="324">
        <x:v>0</x:v>
      </x:c>
      <x:c r="H95" s="324">
        <x:v>0</x:v>
      </x:c>
      <x:c r="I95" s="324">
        <x:v>0</x:v>
      </x:c>
      <x:c r="J95" s="324">
        <x:v>0</x:v>
      </x:c>
      <x:c r="K95" s="324">
        <x:v>0</x:v>
      </x:c>
      <x:c r="L95" s="324">
        <x:v>0</x:v>
      </x:c>
      <x:c r="M95" s="324">
        <x:v>0</x:v>
      </x:c>
      <x:c r="N95" s="324">
        <x:v>0</x:v>
      </x:c>
      <x:c r="O95" s="324">
        <x:v>0</x:v>
      </x:c>
      <x:c r="P95" s="324">
        <x:v>0</x:v>
      </x:c>
      <x:c r="Q95" s="324">
        <x:v>0</x:v>
      </x:c>
      <x:c r="R95" s="324">
        <x:v>0</x:v>
      </x:c>
      <x:c r="S95" s="324">
        <x:v>0</x:v>
      </x:c>
      <x:c r="T95" s="324">
        <x:v>0</x:v>
      </x:c>
      <x:c r="U95" s="324">
        <x:v>0</x:v>
      </x:c>
      <x:c r="V95" s="324">
        <x:v>0</x:v>
      </x:c>
      <x:c r="W95" s="324">
        <x:v>0</x:v>
      </x:c>
      <x:c r="X95" s="324">
        <x:v>0</x:v>
      </x:c>
      <x:c r="Y95" s="324">
        <x:v>0</x:v>
      </x:c>
      <x:c r="Z95" s="257">
        <x:f t="shared" si="3"/>
        <x:v>0</x:v>
      </x:c>
    </x:row>
    <x:row r="96">
      <x:c r="A96" s="148" t="s">
        <x:v>107</x:v>
      </x:c>
      <x:c r="B96">
        <x:v>3</x:v>
      </x:c>
      <x:c r="C96" s="148" t="s">
        <x:v>115</x:v>
      </x:c>
      <x:c r="D96">
        <x:v>316</x:v>
      </x:c>
      <x:c r="E96" s="324">
        <x:v>0</x:v>
      </x:c>
      <x:c r="F96" s="324">
        <x:v>0</x:v>
      </x:c>
      <x:c r="G96" s="324">
        <x:v>0</x:v>
      </x:c>
      <x:c r="H96" s="324">
        <x:v>0</x:v>
      </x:c>
      <x:c r="I96" s="324">
        <x:v>0</x:v>
      </x:c>
      <x:c r="J96" s="324">
        <x:v>0</x:v>
      </x:c>
      <x:c r="K96" s="324">
        <x:v>0</x:v>
      </x:c>
      <x:c r="L96" s="324">
        <x:v>0</x:v>
      </x:c>
      <x:c r="M96" s="324">
        <x:v>0</x:v>
      </x:c>
      <x:c r="N96" s="324">
        <x:v>0</x:v>
      </x:c>
      <x:c r="O96" s="324">
        <x:v>0</x:v>
      </x:c>
      <x:c r="P96" s="324">
        <x:v>0</x:v>
      </x:c>
      <x:c r="Q96" s="324">
        <x:v>0</x:v>
      </x:c>
      <x:c r="R96" s="324">
        <x:v>0</x:v>
      </x:c>
      <x:c r="S96" s="324">
        <x:v>0</x:v>
      </x:c>
      <x:c r="T96" s="324">
        <x:v>0</x:v>
      </x:c>
      <x:c r="U96" s="324">
        <x:v>0</x:v>
      </x:c>
      <x:c r="V96" s="324">
        <x:v>0</x:v>
      </x:c>
      <x:c r="W96" s="324">
        <x:v>0</x:v>
      </x:c>
      <x:c r="X96" s="324">
        <x:v>0</x:v>
      </x:c>
      <x:c r="Y96" s="324">
        <x:v>0</x:v>
      </x:c>
      <x:c r="Z96" s="257">
        <x:f t="shared" si="3"/>
        <x:v>0</x:v>
      </x:c>
    </x:row>
    <x:row r="97">
      <x:c r="A97" s="148" t="s">
        <x:v>107</x:v>
      </x:c>
      <x:c r="B97">
        <x:v>3</x:v>
      </x:c>
      <x:c r="C97" s="148" t="s">
        <x:v>115</x:v>
      </x:c>
      <x:c r="D97">
        <x:v>317</x:v>
      </x:c>
      <x:c r="E97" s="324">
        <x:v>0</x:v>
      </x:c>
      <x:c r="F97" s="324">
        <x:v>0</x:v>
      </x:c>
      <x:c r="G97" s="324">
        <x:v>0</x:v>
      </x:c>
      <x:c r="H97" s="324">
        <x:v>0</x:v>
      </x:c>
      <x:c r="I97" s="324">
        <x:v>0</x:v>
      </x:c>
      <x:c r="J97" s="324">
        <x:v>0</x:v>
      </x:c>
      <x:c r="K97" s="324">
        <x:v>0</x:v>
      </x:c>
      <x:c r="L97" s="324">
        <x:v>0</x:v>
      </x:c>
      <x:c r="M97" s="324">
        <x:v>0</x:v>
      </x:c>
      <x:c r="N97" s="324">
        <x:v>0</x:v>
      </x:c>
      <x:c r="O97" s="324">
        <x:v>0</x:v>
      </x:c>
      <x:c r="P97" s="324">
        <x:v>0</x:v>
      </x:c>
      <x:c r="Q97" s="324">
        <x:v>0</x:v>
      </x:c>
      <x:c r="R97" s="324">
        <x:v>0</x:v>
      </x:c>
      <x:c r="S97" s="324">
        <x:v>0</x:v>
      </x:c>
      <x:c r="T97" s="324">
        <x:v>0</x:v>
      </x:c>
      <x:c r="U97" s="324">
        <x:v>0</x:v>
      </x:c>
      <x:c r="V97" s="324">
        <x:v>0</x:v>
      </x:c>
      <x:c r="W97" s="324">
        <x:v>0</x:v>
      </x:c>
      <x:c r="X97" s="324">
        <x:v>0</x:v>
      </x:c>
      <x:c r="Y97" s="324">
        <x:v>0</x:v>
      </x:c>
      <x:c r="Z97" s="257">
        <x:f t="shared" si="3"/>
        <x:v>0</x:v>
      </x:c>
    </x:row>
    <x:row r="98">
      <x:c r="A98" s="148" t="s">
        <x:v>107</x:v>
      </x:c>
      <x:c r="B98">
        <x:v>3</x:v>
      </x:c>
      <x:c r="C98" s="148" t="s">
        <x:v>115</x:v>
      </x:c>
      <x:c r="D98">
        <x:v>318</x:v>
      </x:c>
      <x:c r="E98" s="324">
        <x:v>0</x:v>
      </x:c>
      <x:c r="F98" s="324">
        <x:v>0</x:v>
      </x:c>
      <x:c r="G98" s="324">
        <x:v>0</x:v>
      </x:c>
      <x:c r="H98" s="324">
        <x:v>0</x:v>
      </x:c>
      <x:c r="I98" s="324">
        <x:v>0</x:v>
      </x:c>
      <x:c r="J98" s="324">
        <x:v>0</x:v>
      </x:c>
      <x:c r="K98" s="324">
        <x:v>0</x:v>
      </x:c>
      <x:c r="L98" s="324">
        <x:v>0</x:v>
      </x:c>
      <x:c r="M98" s="324">
        <x:v>0</x:v>
      </x:c>
      <x:c r="N98" s="324">
        <x:v>0</x:v>
      </x:c>
      <x:c r="O98" s="324">
        <x:v>0</x:v>
      </x:c>
      <x:c r="P98" s="324">
        <x:v>0</x:v>
      </x:c>
      <x:c r="Q98" s="324">
        <x:v>0</x:v>
      </x:c>
      <x:c r="R98" s="324">
        <x:v>0</x:v>
      </x:c>
      <x:c r="S98" s="324">
        <x:v>0</x:v>
      </x:c>
      <x:c r="T98" s="324">
        <x:v>0</x:v>
      </x:c>
      <x:c r="U98" s="324">
        <x:v>0</x:v>
      </x:c>
      <x:c r="V98" s="324">
        <x:v>0</x:v>
      </x:c>
      <x:c r="W98" s="324">
        <x:v>0</x:v>
      </x:c>
      <x:c r="X98" s="324">
        <x:v>0</x:v>
      </x:c>
      <x:c r="Y98" s="324">
        <x:v>0</x:v>
      </x:c>
      <x:c r="Z98" s="257">
        <x:f t="shared" si="3"/>
        <x:v>0</x:v>
      </x:c>
    </x:row>
    <x:row r="99">
      <x:c r="A99" s="148" t="s">
        <x:v>107</x:v>
      </x:c>
      <x:c r="B99">
        <x:v>3</x:v>
      </x:c>
      <x:c r="C99" s="148" t="s">
        <x:v>115</x:v>
      </x:c>
      <x:c r="D99">
        <x:v>319</x:v>
      </x:c>
      <x:c r="E99" s="324">
        <x:v>0</x:v>
      </x:c>
      <x:c r="F99" s="324">
        <x:v>0</x:v>
      </x:c>
      <x:c r="G99" s="324">
        <x:v>0</x:v>
      </x:c>
      <x:c r="H99" s="324">
        <x:v>0</x:v>
      </x:c>
      <x:c r="I99" s="324">
        <x:v>0</x:v>
      </x:c>
      <x:c r="J99" s="324">
        <x:v>0</x:v>
      </x:c>
      <x:c r="K99" s="324">
        <x:v>0</x:v>
      </x:c>
      <x:c r="L99" s="324">
        <x:v>0</x:v>
      </x:c>
      <x:c r="M99" s="324">
        <x:v>0</x:v>
      </x:c>
      <x:c r="N99" s="324">
        <x:v>0</x:v>
      </x:c>
      <x:c r="O99" s="324">
        <x:v>0</x:v>
      </x:c>
      <x:c r="P99" s="324">
        <x:v>0</x:v>
      </x:c>
      <x:c r="Q99" s="324">
        <x:v>0</x:v>
      </x:c>
      <x:c r="R99" s="324">
        <x:v>0</x:v>
      </x:c>
      <x:c r="S99" s="324">
        <x:v>0</x:v>
      </x:c>
      <x:c r="T99" s="324">
        <x:v>0</x:v>
      </x:c>
      <x:c r="U99" s="324">
        <x:v>0</x:v>
      </x:c>
      <x:c r="V99" s="324">
        <x:v>0</x:v>
      </x:c>
      <x:c r="W99" s="324">
        <x:v>0</x:v>
      </x:c>
      <x:c r="X99" s="324">
        <x:v>0</x:v>
      </x:c>
      <x:c r="Y99" s="324">
        <x:v>0</x:v>
      </x:c>
      <x:c r="Z99" s="257">
        <x:f t="shared" si="3"/>
        <x:v>0</x:v>
      </x:c>
    </x:row>
    <x:row r="100">
      <x:c r="A100" s="148" t="s">
        <x:v>107</x:v>
      </x:c>
      <x:c r="B100">
        <x:v>3</x:v>
      </x:c>
      <x:c r="C100" s="148" t="s">
        <x:v>115</x:v>
      </x:c>
      <x:c r="D100">
        <x:v>320</x:v>
      </x:c>
      <x:c r="E100" s="324">
        <x:v>0</x:v>
      </x:c>
      <x:c r="F100" s="324">
        <x:v>0</x:v>
      </x:c>
      <x:c r="G100" s="324">
        <x:v>0</x:v>
      </x:c>
      <x:c r="H100" s="324">
        <x:v>0</x:v>
      </x:c>
      <x:c r="I100" s="324">
        <x:v>0</x:v>
      </x:c>
      <x:c r="J100" s="324">
        <x:v>0</x:v>
      </x:c>
      <x:c r="K100" s="324">
        <x:v>0</x:v>
      </x:c>
      <x:c r="L100" s="324">
        <x:v>0</x:v>
      </x:c>
      <x:c r="M100" s="324">
        <x:v>0</x:v>
      </x:c>
      <x:c r="N100" s="324">
        <x:v>0</x:v>
      </x:c>
      <x:c r="O100" s="324">
        <x:v>0</x:v>
      </x:c>
      <x:c r="P100" s="324">
        <x:v>0</x:v>
      </x:c>
      <x:c r="Q100" s="324">
        <x:v>0</x:v>
      </x:c>
      <x:c r="R100" s="324">
        <x:v>0</x:v>
      </x:c>
      <x:c r="S100" s="324">
        <x:v>0</x:v>
      </x:c>
      <x:c r="T100" s="324">
        <x:v>0</x:v>
      </x:c>
      <x:c r="U100" s="324">
        <x:v>0</x:v>
      </x:c>
      <x:c r="V100" s="324">
        <x:v>0</x:v>
      </x:c>
      <x:c r="W100" s="324">
        <x:v>0</x:v>
      </x:c>
      <x:c r="X100" s="324">
        <x:v>0</x:v>
      </x:c>
      <x:c r="Y100" s="324">
        <x:v>0</x:v>
      </x:c>
      <x:c r="Z100" s="257">
        <x:f t="shared" si="3"/>
        <x:v>0</x:v>
      </x:c>
    </x:row>
    <x:row r="101">
      <x:c r="A101" s="148" t="s">
        <x:v>107</x:v>
      </x:c>
      <x:c r="B101">
        <x:v>3</x:v>
      </x:c>
      <x:c r="C101" s="148" t="s">
        <x:v>115</x:v>
      </x:c>
      <x:c r="D101">
        <x:v>321</x:v>
      </x:c>
      <x:c r="E101" s="324">
        <x:v>0</x:v>
      </x:c>
      <x:c r="F101" s="324">
        <x:v>0</x:v>
      </x:c>
      <x:c r="G101" s="324">
        <x:v>0</x:v>
      </x:c>
      <x:c r="H101" s="324">
        <x:v>0</x:v>
      </x:c>
      <x:c r="I101" s="324">
        <x:v>0</x:v>
      </x:c>
      <x:c r="J101" s="324">
        <x:v>0</x:v>
      </x:c>
      <x:c r="K101" s="324">
        <x:v>0</x:v>
      </x:c>
      <x:c r="L101" s="324">
        <x:v>0</x:v>
      </x:c>
      <x:c r="M101" s="324">
        <x:v>0</x:v>
      </x:c>
      <x:c r="N101" s="324">
        <x:v>0</x:v>
      </x:c>
      <x:c r="O101" s="324">
        <x:v>0</x:v>
      </x:c>
      <x:c r="P101" s="324">
        <x:v>0</x:v>
      </x:c>
      <x:c r="Q101" s="324">
        <x:v>0</x:v>
      </x:c>
      <x:c r="R101" s="324">
        <x:v>0</x:v>
      </x:c>
      <x:c r="S101" s="324">
        <x:v>0</x:v>
      </x:c>
      <x:c r="T101" s="324">
        <x:v>0</x:v>
      </x:c>
      <x:c r="U101" s="324">
        <x:v>0</x:v>
      </x:c>
      <x:c r="V101" s="324">
        <x:v>0</x:v>
      </x:c>
      <x:c r="W101" s="324">
        <x:v>0</x:v>
      </x:c>
      <x:c r="X101" s="324">
        <x:v>0</x:v>
      </x:c>
      <x:c r="Y101" s="324">
        <x:v>0</x:v>
      </x:c>
      <x:c r="Z101" s="257">
        <x:f t="shared" si="3"/>
        <x:v>0</x:v>
      </x:c>
    </x:row>
    <x:row r="102">
      <x:c r="A102" s="148"/>
      <x:c r="B102"/>
      <x:c r="C102" s="148"/>
      <x:c r="D102" s="148"/>
      <x:c r="E102" s="324"/>
      <x:c r="F102" s="324">
        <x:f t="shared" ref="F102:Y102" si="4">AVERAGE(F58:F101)</x:f>
      </x:c>
      <x:c r="G102" s="324">
        <x:f t="shared" si="4"/>
      </x:c>
      <x:c r="H102" s="324">
        <x:f t="shared" si="4"/>
      </x:c>
      <x:c r="I102" s="324">
        <x:f t="shared" si="4"/>
      </x:c>
      <x:c r="J102" s="324">
        <x:f t="shared" si="4"/>
      </x:c>
      <x:c r="K102" s="324">
        <x:f t="shared" si="4"/>
      </x:c>
      <x:c r="L102" s="324">
        <x:f t="shared" si="4"/>
      </x:c>
      <x:c r="M102" s="324">
        <x:f t="shared" si="4"/>
      </x:c>
      <x:c r="N102" s="324">
        <x:f t="shared" si="4"/>
      </x:c>
      <x:c r="O102" s="324">
        <x:f t="shared" si="4"/>
      </x:c>
      <x:c r="P102" s="324">
        <x:f t="shared" si="4"/>
      </x:c>
      <x:c r="Q102" s="324">
        <x:f t="shared" si="4"/>
      </x:c>
      <x:c r="R102" s="324">
        <x:f t="shared" si="4"/>
      </x:c>
      <x:c r="S102" s="324">
        <x:f t="shared" si="4"/>
      </x:c>
      <x:c r="T102" s="324">
        <x:f t="shared" si="4"/>
      </x:c>
      <x:c r="U102" s="324">
        <x:f t="shared" si="4"/>
      </x:c>
      <x:c r="V102" s="324">
        <x:f t="shared" si="4"/>
      </x:c>
      <x:c r="W102" s="324">
        <x:f t="shared" si="4"/>
      </x:c>
      <x:c r="X102" s="324">
        <x:f t="shared" si="4"/>
      </x:c>
      <x:c r="Y102" s="324">
        <x:f t="shared" si="4"/>
      </x:c>
      <x:c r="Z102" s="257">
        <x:f t="shared" si="3"/>
      </x:c>
    </x:row>
    <x:row r="103">
      <x:c r="A103" s="148" t="s">
        <x:v>107</x:v>
      </x:c>
      <x:c r="B103">
        <x:v>4</x:v>
      </x:c>
      <x:c r="C103" s="148" t="s">
        <x:v>116</x:v>
      </x:c>
      <x:c r="D103">
        <x:v>401</x:v>
      </x:c>
      <x:c r="E103" s="324">
        <x:v>0</x:v>
      </x:c>
      <x:c r="F103" s="324">
        <x:v>0</x:v>
      </x:c>
      <x:c r="G103" s="324">
        <x:v>0</x:v>
      </x:c>
      <x:c r="H103" s="324">
        <x:v>0</x:v>
      </x:c>
      <x:c r="I103" s="324">
        <x:v>0</x:v>
      </x:c>
      <x:c r="J103" s="324">
        <x:v>0</x:v>
      </x:c>
      <x:c r="K103" s="324">
        <x:v>0</x:v>
      </x:c>
      <x:c r="L103" s="324">
        <x:v>0</x:v>
      </x:c>
      <x:c r="M103" s="324">
        <x:v>0</x:v>
      </x:c>
      <x:c r="N103" s="324">
        <x:v>0</x:v>
      </x:c>
      <x:c r="O103" s="324">
        <x:v>0</x:v>
      </x:c>
      <x:c r="P103" s="324">
        <x:v>0</x:v>
      </x:c>
      <x:c r="Q103" s="324">
        <x:v>0</x:v>
      </x:c>
      <x:c r="R103" s="324">
        <x:v>0</x:v>
      </x:c>
      <x:c r="S103" s="324">
        <x:v>0</x:v>
      </x:c>
      <x:c r="T103" s="324">
        <x:v>0</x:v>
      </x:c>
      <x:c r="U103" s="324">
        <x:v>0</x:v>
      </x:c>
      <x:c r="V103" s="324">
        <x:v>0</x:v>
      </x:c>
      <x:c r="W103" s="324">
        <x:v>0</x:v>
      </x:c>
      <x:c r="X103" s="324">
        <x:v>0</x:v>
      </x:c>
      <x:c r="Y103" s="324">
        <x:v>0</x:v>
      </x:c>
      <x:c r="Z103" s="257">
        <x:f t="shared" si="3"/>
        <x:v>0</x:v>
      </x:c>
    </x:row>
    <x:row r="104">
      <x:c r="A104" s="148" t="s">
        <x:v>107</x:v>
      </x:c>
      <x:c r="B104">
        <x:v>4</x:v>
      </x:c>
      <x:c r="C104" s="148" t="s">
        <x:v>116</x:v>
      </x:c>
      <x:c r="D104">
        <x:v>402</x:v>
      </x:c>
      <x:c r="E104" s="324">
        <x:v>0</x:v>
      </x:c>
      <x:c r="F104" s="324">
        <x:v>0</x:v>
      </x:c>
      <x:c r="G104" s="324">
        <x:v>0</x:v>
      </x:c>
      <x:c r="H104" s="324">
        <x:v>0</x:v>
      </x:c>
      <x:c r="I104" s="324">
        <x:v>0</x:v>
      </x:c>
      <x:c r="J104" s="324">
        <x:v>0</x:v>
      </x:c>
      <x:c r="K104" s="324">
        <x:v>0</x:v>
      </x:c>
      <x:c r="L104" s="324">
        <x:v>0</x:v>
      </x:c>
      <x:c r="M104" s="324">
        <x:v>0</x:v>
      </x:c>
      <x:c r="N104" s="324">
        <x:v>0</x:v>
      </x:c>
      <x:c r="O104" s="324">
        <x:v>0</x:v>
      </x:c>
      <x:c r="P104" s="324">
        <x:v>0</x:v>
      </x:c>
      <x:c r="Q104" s="324">
        <x:v>0</x:v>
      </x:c>
      <x:c r="R104" s="324">
        <x:v>0</x:v>
      </x:c>
      <x:c r="S104" s="324">
        <x:v>0</x:v>
      </x:c>
      <x:c r="T104" s="324">
        <x:v>0</x:v>
      </x:c>
      <x:c r="U104" s="324">
        <x:v>0</x:v>
      </x:c>
      <x:c r="V104" s="324">
        <x:v>0</x:v>
      </x:c>
      <x:c r="W104" s="324">
        <x:v>0</x:v>
      </x:c>
      <x:c r="X104" s="324">
        <x:v>0</x:v>
      </x:c>
      <x:c r="Y104" s="324">
        <x:v>0</x:v>
      </x:c>
      <x:c r="Z104" s="257">
        <x:f t="shared" si="3"/>
        <x:v>0</x:v>
      </x:c>
    </x:row>
    <x:row r="105">
      <x:c r="A105" s="148" t="s">
        <x:v>107</x:v>
      </x:c>
      <x:c r="B105">
        <x:v>4</x:v>
      </x:c>
      <x:c r="C105" s="148" t="s">
        <x:v>116</x:v>
      </x:c>
      <x:c r="D105">
        <x:v>403</x:v>
      </x:c>
      <x:c r="E105" s="324">
        <x:v>0</x:v>
      </x:c>
      <x:c r="F105" s="324">
        <x:v>0</x:v>
      </x:c>
      <x:c r="G105" s="324">
        <x:v>0</x:v>
      </x:c>
      <x:c r="H105" s="324">
        <x:v>0</x:v>
      </x:c>
      <x:c r="I105" s="324">
        <x:v>0</x:v>
      </x:c>
      <x:c r="J105" s="324">
        <x:v>0</x:v>
      </x:c>
      <x:c r="K105" s="324">
        <x:v>0</x:v>
      </x:c>
      <x:c r="L105" s="324">
        <x:v>0</x:v>
      </x:c>
      <x:c r="M105" s="324">
        <x:v>0</x:v>
      </x:c>
      <x:c r="N105" s="324">
        <x:v>0</x:v>
      </x:c>
      <x:c r="O105" s="324">
        <x:v>0</x:v>
      </x:c>
      <x:c r="P105" s="324">
        <x:v>0</x:v>
      </x:c>
      <x:c r="Q105" s="324">
        <x:v>0</x:v>
      </x:c>
      <x:c r="R105" s="324">
        <x:v>0</x:v>
      </x:c>
      <x:c r="S105" s="324">
        <x:v>0</x:v>
      </x:c>
      <x:c r="T105" s="324">
        <x:v>0</x:v>
      </x:c>
      <x:c r="U105" s="324">
        <x:v>0</x:v>
      </x:c>
      <x:c r="V105" s="324">
        <x:v>0</x:v>
      </x:c>
      <x:c r="W105" s="324">
        <x:v>0</x:v>
      </x:c>
      <x:c r="X105" s="324">
        <x:v>0</x:v>
      </x:c>
      <x:c r="Y105" s="324">
        <x:v>0</x:v>
      </x:c>
      <x:c r="Z105" s="257">
        <x:f t="shared" si="3"/>
        <x:v>0</x:v>
      </x:c>
    </x:row>
    <x:row r="106">
      <x:c r="A106" s="148" t="s">
        <x:v>107</x:v>
      </x:c>
      <x:c r="B106">
        <x:v>4</x:v>
      </x:c>
      <x:c r="C106" s="148" t="s">
        <x:v>116</x:v>
      </x:c>
      <x:c r="D106">
        <x:v>404</x:v>
      </x:c>
      <x:c r="E106" s="324">
        <x:v>0</x:v>
      </x:c>
      <x:c r="F106" s="324">
        <x:v>0</x:v>
      </x:c>
      <x:c r="G106" s="324">
        <x:v>0</x:v>
      </x:c>
      <x:c r="H106" s="324">
        <x:v>0</x:v>
      </x:c>
      <x:c r="I106" s="324">
        <x:v>0</x:v>
      </x:c>
      <x:c r="J106" s="324">
        <x:v>0</x:v>
      </x:c>
      <x:c r="K106" s="324">
        <x:v>0</x:v>
      </x:c>
      <x:c r="L106" s="324">
        <x:v>0</x:v>
      </x:c>
      <x:c r="M106" s="324">
        <x:v>0</x:v>
      </x:c>
      <x:c r="N106" s="324">
        <x:v>0</x:v>
      </x:c>
      <x:c r="O106" s="324">
        <x:v>0</x:v>
      </x:c>
      <x:c r="P106" s="324">
        <x:v>0</x:v>
      </x:c>
      <x:c r="Q106" s="324">
        <x:v>0</x:v>
      </x:c>
      <x:c r="R106" s="324">
        <x:v>0</x:v>
      </x:c>
      <x:c r="S106" s="324">
        <x:v>0</x:v>
      </x:c>
      <x:c r="T106" s="324">
        <x:v>0</x:v>
      </x:c>
      <x:c r="U106" s="324">
        <x:v>0</x:v>
      </x:c>
      <x:c r="V106" s="324">
        <x:v>0</x:v>
      </x:c>
      <x:c r="W106" s="324">
        <x:v>0</x:v>
      </x:c>
      <x:c r="X106" s="324">
        <x:v>0</x:v>
      </x:c>
      <x:c r="Y106" s="324">
        <x:v>0</x:v>
      </x:c>
      <x:c r="Z106" s="257">
        <x:f t="shared" si="3"/>
        <x:v>0</x:v>
      </x:c>
    </x:row>
    <x:row r="107">
      <x:c r="A107" s="148" t="s">
        <x:v>107</x:v>
      </x:c>
      <x:c r="B107">
        <x:v>4</x:v>
      </x:c>
      <x:c r="C107" s="148" t="s">
        <x:v>116</x:v>
      </x:c>
      <x:c r="D107">
        <x:v>405</x:v>
      </x:c>
      <x:c r="E107" s="324">
        <x:v>0</x:v>
      </x:c>
      <x:c r="F107" s="324">
        <x:v>0</x:v>
      </x:c>
      <x:c r="G107" s="324">
        <x:v>0</x:v>
      </x:c>
      <x:c r="H107" s="324">
        <x:v>0</x:v>
      </x:c>
      <x:c r="I107" s="324">
        <x:v>0</x:v>
      </x:c>
      <x:c r="J107" s="324">
        <x:v>0</x:v>
      </x:c>
      <x:c r="K107" s="324">
        <x:v>0</x:v>
      </x:c>
      <x:c r="L107" s="324">
        <x:v>0</x:v>
      </x:c>
      <x:c r="M107" s="324">
        <x:v>0</x:v>
      </x:c>
      <x:c r="N107" s="324">
        <x:v>0</x:v>
      </x:c>
      <x:c r="O107" s="324">
        <x:v>0</x:v>
      </x:c>
      <x:c r="P107" s="324">
        <x:v>0</x:v>
      </x:c>
      <x:c r="Q107" s="324">
        <x:v>0</x:v>
      </x:c>
      <x:c r="R107" s="324">
        <x:v>0</x:v>
      </x:c>
      <x:c r="S107" s="324">
        <x:v>0</x:v>
      </x:c>
      <x:c r="T107" s="324">
        <x:v>0</x:v>
      </x:c>
      <x:c r="U107" s="324">
        <x:v>0</x:v>
      </x:c>
      <x:c r="V107" s="324">
        <x:v>0</x:v>
      </x:c>
      <x:c r="W107" s="324">
        <x:v>0</x:v>
      </x:c>
      <x:c r="X107" s="324">
        <x:v>0</x:v>
      </x:c>
      <x:c r="Y107" s="324">
        <x:v>0</x:v>
      </x:c>
      <x:c r="Z107" s="257">
        <x:f t="shared" si="3"/>
        <x:v>0</x:v>
      </x:c>
    </x:row>
    <x:row r="108">
      <x:c r="A108" s="148" t="s">
        <x:v>107</x:v>
      </x:c>
      <x:c r="B108">
        <x:v>4</x:v>
      </x:c>
      <x:c r="C108" s="148" t="s">
        <x:v>116</x:v>
      </x:c>
      <x:c r="D108">
        <x:v>406</x:v>
      </x:c>
      <x:c r="E108" s="324">
        <x:v>0</x:v>
      </x:c>
      <x:c r="F108" s="324">
        <x:v>0</x:v>
      </x:c>
      <x:c r="G108" s="324">
        <x:v>0</x:v>
      </x:c>
      <x:c r="H108" s="324">
        <x:v>0</x:v>
      </x:c>
      <x:c r="I108" s="324">
        <x:v>0</x:v>
      </x:c>
      <x:c r="J108" s="324">
        <x:v>0</x:v>
      </x:c>
      <x:c r="K108" s="324">
        <x:v>0</x:v>
      </x:c>
      <x:c r="L108" s="324">
        <x:v>0</x:v>
      </x:c>
      <x:c r="M108" s="324">
        <x:v>0</x:v>
      </x:c>
      <x:c r="N108" s="324">
        <x:v>0</x:v>
      </x:c>
      <x:c r="O108" s="324">
        <x:v>0</x:v>
      </x:c>
      <x:c r="P108" s="324">
        <x:v>0</x:v>
      </x:c>
      <x:c r="Q108" s="324">
        <x:v>0</x:v>
      </x:c>
      <x:c r="R108" s="324">
        <x:v>0</x:v>
      </x:c>
      <x:c r="S108" s="324">
        <x:v>0</x:v>
      </x:c>
      <x:c r="T108" s="324">
        <x:v>0</x:v>
      </x:c>
      <x:c r="U108" s="324">
        <x:v>0</x:v>
      </x:c>
      <x:c r="V108" s="324">
        <x:v>0</x:v>
      </x:c>
      <x:c r="W108" s="324">
        <x:v>0</x:v>
      </x:c>
      <x:c r="X108" s="324">
        <x:v>0</x:v>
      </x:c>
      <x:c r="Y108" s="324">
        <x:v>0</x:v>
      </x:c>
      <x:c r="Z108" s="257">
        <x:f t="shared" si="3"/>
        <x:v>0</x:v>
      </x:c>
    </x:row>
    <x:row r="109">
      <x:c r="A109" s="148" t="s">
        <x:v>107</x:v>
      </x:c>
      <x:c r="B109">
        <x:v>4</x:v>
      </x:c>
      <x:c r="C109" s="148" t="s">
        <x:v>116</x:v>
      </x:c>
      <x:c r="D109">
        <x:v>407</x:v>
      </x:c>
      <x:c r="E109" s="324">
        <x:v>0</x:v>
      </x:c>
      <x:c r="F109" s="324">
        <x:v>0</x:v>
      </x:c>
      <x:c r="G109" s="324">
        <x:v>0</x:v>
      </x:c>
      <x:c r="H109" s="324">
        <x:v>0</x:v>
      </x:c>
      <x:c r="I109" s="324">
        <x:v>0</x:v>
      </x:c>
      <x:c r="J109" s="324">
        <x:v>0</x:v>
      </x:c>
      <x:c r="K109" s="324">
        <x:v>0</x:v>
      </x:c>
      <x:c r="L109" s="324">
        <x:v>0</x:v>
      </x:c>
      <x:c r="M109" s="324">
        <x:v>0</x:v>
      </x:c>
      <x:c r="N109" s="324">
        <x:v>0</x:v>
      </x:c>
      <x:c r="O109" s="324">
        <x:v>0</x:v>
      </x:c>
      <x:c r="P109" s="324">
        <x:v>0</x:v>
      </x:c>
      <x:c r="Q109" s="324">
        <x:v>0</x:v>
      </x:c>
      <x:c r="R109" s="324">
        <x:v>0</x:v>
      </x:c>
      <x:c r="S109" s="324">
        <x:v>0</x:v>
      </x:c>
      <x:c r="T109" s="324">
        <x:v>0</x:v>
      </x:c>
      <x:c r="U109" s="324">
        <x:v>0</x:v>
      </x:c>
      <x:c r="V109" s="324">
        <x:v>0</x:v>
      </x:c>
      <x:c r="W109" s="324">
        <x:v>0</x:v>
      </x:c>
      <x:c r="X109" s="324">
        <x:v>0</x:v>
      </x:c>
      <x:c r="Y109" s="324">
        <x:v>0</x:v>
      </x:c>
      <x:c r="Z109" s="257">
        <x:f t="shared" si="3"/>
        <x:v>0</x:v>
      </x:c>
    </x:row>
    <x:row r="110">
      <x:c r="A110" s="148" t="s">
        <x:v>107</x:v>
      </x:c>
      <x:c r="B110">
        <x:v>4</x:v>
      </x:c>
      <x:c r="C110" s="148" t="s">
        <x:v>116</x:v>
      </x:c>
      <x:c r="D110">
        <x:v>408</x:v>
      </x:c>
      <x:c r="E110" s="324">
        <x:v>0</x:v>
      </x:c>
      <x:c r="F110" s="324">
        <x:v>0</x:v>
      </x:c>
      <x:c r="G110" s="324">
        <x:v>0</x:v>
      </x:c>
      <x:c r="H110" s="324">
        <x:v>0</x:v>
      </x:c>
      <x:c r="I110" s="324">
        <x:v>0</x:v>
      </x:c>
      <x:c r="J110" s="324">
        <x:v>0</x:v>
      </x:c>
      <x:c r="K110" s="324">
        <x:v>0</x:v>
      </x:c>
      <x:c r="L110" s="324">
        <x:v>0</x:v>
      </x:c>
      <x:c r="M110" s="324">
        <x:v>0</x:v>
      </x:c>
      <x:c r="N110" s="324">
        <x:v>0</x:v>
      </x:c>
      <x:c r="O110" s="324">
        <x:v>0</x:v>
      </x:c>
      <x:c r="P110" s="324">
        <x:v>0</x:v>
      </x:c>
      <x:c r="Q110" s="324">
        <x:v>0</x:v>
      </x:c>
      <x:c r="R110" s="324">
        <x:v>0</x:v>
      </x:c>
      <x:c r="S110" s="324">
        <x:v>0</x:v>
      </x:c>
      <x:c r="T110" s="324">
        <x:v>0</x:v>
      </x:c>
      <x:c r="U110" s="324">
        <x:v>0</x:v>
      </x:c>
      <x:c r="V110" s="324">
        <x:v>0</x:v>
      </x:c>
      <x:c r="W110" s="324">
        <x:v>0</x:v>
      </x:c>
      <x:c r="X110" s="324">
        <x:v>0</x:v>
      </x:c>
      <x:c r="Y110" s="324">
        <x:v>0</x:v>
      </x:c>
      <x:c r="Z110" s="257">
        <x:f t="shared" si="3"/>
        <x:v>0</x:v>
      </x:c>
    </x:row>
    <x:row r="111">
      <x:c r="A111" s="148" t="s">
        <x:v>107</x:v>
      </x:c>
      <x:c r="B111">
        <x:v>4</x:v>
      </x:c>
      <x:c r="C111" s="148" t="s">
        <x:v>116</x:v>
      </x:c>
      <x:c r="D111">
        <x:v>409</x:v>
      </x:c>
      <x:c r="E111" s="324">
        <x:v>0</x:v>
      </x:c>
      <x:c r="F111" s="324">
        <x:v>0</x:v>
      </x:c>
      <x:c r="G111" s="324">
        <x:v>0</x:v>
      </x:c>
      <x:c r="H111" s="324">
        <x:v>0</x:v>
      </x:c>
      <x:c r="I111" s="324">
        <x:v>0</x:v>
      </x:c>
      <x:c r="J111" s="324">
        <x:v>0</x:v>
      </x:c>
      <x:c r="K111" s="324">
        <x:v>0</x:v>
      </x:c>
      <x:c r="L111" s="324">
        <x:v>0</x:v>
      </x:c>
      <x:c r="M111" s="324">
        <x:v>0</x:v>
      </x:c>
      <x:c r="N111" s="324">
        <x:v>0</x:v>
      </x:c>
      <x:c r="O111" s="324">
        <x:v>0</x:v>
      </x:c>
      <x:c r="P111" s="324">
        <x:v>0</x:v>
      </x:c>
      <x:c r="Q111" s="324">
        <x:v>0</x:v>
      </x:c>
      <x:c r="R111" s="324">
        <x:v>0</x:v>
      </x:c>
      <x:c r="S111" s="324">
        <x:v>0</x:v>
      </x:c>
      <x:c r="T111" s="324">
        <x:v>0</x:v>
      </x:c>
      <x:c r="U111" s="324">
        <x:v>0</x:v>
      </x:c>
      <x:c r="V111" s="324">
        <x:v>0</x:v>
      </x:c>
      <x:c r="W111" s="324">
        <x:v>0</x:v>
      </x:c>
      <x:c r="X111" s="324">
        <x:v>0</x:v>
      </x:c>
      <x:c r="Y111" s="324">
        <x:v>0</x:v>
      </x:c>
      <x:c r="Z111" s="257">
        <x:f t="shared" si="3"/>
        <x:v>0</x:v>
      </x:c>
    </x:row>
    <x:row r="112">
      <x:c r="A112" s="148" t="s">
        <x:v>107</x:v>
      </x:c>
      <x:c r="B112">
        <x:v>4</x:v>
      </x:c>
      <x:c r="C112" s="148" t="s">
        <x:v>116</x:v>
      </x:c>
      <x:c r="D112">
        <x:v>410</x:v>
      </x:c>
      <x:c r="E112" s="324">
        <x:v>0</x:v>
      </x:c>
      <x:c r="F112" s="324">
        <x:v>0</x:v>
      </x:c>
      <x:c r="G112" s="324">
        <x:v>0</x:v>
      </x:c>
      <x:c r="H112" s="324">
        <x:v>0</x:v>
      </x:c>
      <x:c r="I112" s="324">
        <x:v>0</x:v>
      </x:c>
      <x:c r="J112" s="324">
        <x:v>0</x:v>
      </x:c>
      <x:c r="K112" s="324">
        <x:v>0</x:v>
      </x:c>
      <x:c r="L112" s="324">
        <x:v>0</x:v>
      </x:c>
      <x:c r="M112" s="324">
        <x:v>0</x:v>
      </x:c>
      <x:c r="N112" s="324">
        <x:v>0</x:v>
      </x:c>
      <x:c r="O112" s="324">
        <x:v>0</x:v>
      </x:c>
      <x:c r="P112" s="324">
        <x:v>0</x:v>
      </x:c>
      <x:c r="Q112" s="324">
        <x:v>0</x:v>
      </x:c>
      <x:c r="R112" s="324">
        <x:v>0</x:v>
      </x:c>
      <x:c r="S112" s="324">
        <x:v>0</x:v>
      </x:c>
      <x:c r="T112" s="324">
        <x:v>0</x:v>
      </x:c>
      <x:c r="U112" s="324">
        <x:v>0</x:v>
      </x:c>
      <x:c r="V112" s="324">
        <x:v>0</x:v>
      </x:c>
      <x:c r="W112" s="324">
        <x:v>0</x:v>
      </x:c>
      <x:c r="X112" s="324">
        <x:v>0</x:v>
      </x:c>
      <x:c r="Y112" s="324">
        <x:v>0</x:v>
      </x:c>
      <x:c r="Z112" s="257">
        <x:f t="shared" si="3"/>
        <x:v>0</x:v>
      </x:c>
    </x:row>
    <x:row r="113">
      <x:c r="A113" s="148" t="s">
        <x:v>107</x:v>
      </x:c>
      <x:c r="B113">
        <x:v>4</x:v>
      </x:c>
      <x:c r="C113" s="148" t="s">
        <x:v>116</x:v>
      </x:c>
      <x:c r="D113">
        <x:v>411</x:v>
      </x:c>
      <x:c r="E113" s="324">
        <x:v>0</x:v>
      </x:c>
      <x:c r="F113" s="324">
        <x:v>0</x:v>
      </x:c>
      <x:c r="G113" s="324">
        <x:v>0</x:v>
      </x:c>
      <x:c r="H113" s="324">
        <x:v>0</x:v>
      </x:c>
      <x:c r="I113" s="324">
        <x:v>0</x:v>
      </x:c>
      <x:c r="J113" s="324">
        <x:v>0</x:v>
      </x:c>
      <x:c r="K113" s="324">
        <x:v>0</x:v>
      </x:c>
      <x:c r="L113" s="324">
        <x:v>0</x:v>
      </x:c>
      <x:c r="M113" s="324">
        <x:v>0</x:v>
      </x:c>
      <x:c r="N113" s="324">
        <x:v>0</x:v>
      </x:c>
      <x:c r="O113" s="324">
        <x:v>0</x:v>
      </x:c>
      <x:c r="P113" s="324">
        <x:v>0</x:v>
      </x:c>
      <x:c r="Q113" s="324">
        <x:v>0</x:v>
      </x:c>
      <x:c r="R113" s="324">
        <x:v>0</x:v>
      </x:c>
      <x:c r="S113" s="324">
        <x:v>0</x:v>
      </x:c>
      <x:c r="T113" s="324">
        <x:v>0</x:v>
      </x:c>
      <x:c r="U113" s="324">
        <x:v>0</x:v>
      </x:c>
      <x:c r="V113" s="324">
        <x:v>0</x:v>
      </x:c>
      <x:c r="W113" s="324">
        <x:v>0</x:v>
      </x:c>
      <x:c r="X113" s="324">
        <x:v>0</x:v>
      </x:c>
      <x:c r="Y113" s="324">
        <x:v>0</x:v>
      </x:c>
      <x:c r="Z113" s="257">
        <x:f t="shared" si="3"/>
        <x:v>0</x:v>
      </x:c>
    </x:row>
    <x:row r="114">
      <x:c r="A114" s="148" t="s">
        <x:v>107</x:v>
      </x:c>
      <x:c r="B114">
        <x:v>4</x:v>
      </x:c>
      <x:c r="C114" s="148" t="s">
        <x:v>116</x:v>
      </x:c>
      <x:c r="D114">
        <x:v>412</x:v>
      </x:c>
      <x:c r="E114" s="324">
        <x:v>0</x:v>
      </x:c>
      <x:c r="F114" s="324">
        <x:v>0</x:v>
      </x:c>
      <x:c r="G114" s="324">
        <x:v>0</x:v>
      </x:c>
      <x:c r="H114" s="324">
        <x:v>0</x:v>
      </x:c>
      <x:c r="I114" s="324">
        <x:v>0</x:v>
      </x:c>
      <x:c r="J114" s="324">
        <x:v>0</x:v>
      </x:c>
      <x:c r="K114" s="324">
        <x:v>0</x:v>
      </x:c>
      <x:c r="L114" s="324">
        <x:v>0</x:v>
      </x:c>
      <x:c r="M114" s="324">
        <x:v>0</x:v>
      </x:c>
      <x:c r="N114" s="324">
        <x:v>0</x:v>
      </x:c>
      <x:c r="O114" s="324">
        <x:v>0</x:v>
      </x:c>
      <x:c r="P114" s="324">
        <x:v>0</x:v>
      </x:c>
      <x:c r="Q114" s="324">
        <x:v>0</x:v>
      </x:c>
      <x:c r="R114" s="324">
        <x:v>0</x:v>
      </x:c>
      <x:c r="S114" s="324">
        <x:v>0</x:v>
      </x:c>
      <x:c r="T114" s="324">
        <x:v>0</x:v>
      </x:c>
      <x:c r="U114" s="324">
        <x:v>0</x:v>
      </x:c>
      <x:c r="V114" s="324">
        <x:v>0</x:v>
      </x:c>
      <x:c r="W114" s="324">
        <x:v>0</x:v>
      </x:c>
      <x:c r="X114" s="324">
        <x:v>0</x:v>
      </x:c>
      <x:c r="Y114" s="324">
        <x:v>0</x:v>
      </x:c>
      <x:c r="Z114" s="257">
        <x:f t="shared" si="3"/>
        <x:v>0</x:v>
      </x:c>
    </x:row>
    <x:row r="115">
      <x:c r="A115" s="148" t="s">
        <x:v>107</x:v>
      </x:c>
      <x:c r="B115">
        <x:v>4</x:v>
      </x:c>
      <x:c r="C115" s="148" t="s">
        <x:v>116</x:v>
      </x:c>
      <x:c r="D115">
        <x:v>413</x:v>
      </x:c>
      <x:c r="E115" s="324">
        <x:v>0</x:v>
      </x:c>
      <x:c r="F115" s="324">
        <x:v>0</x:v>
      </x:c>
      <x:c r="G115" s="324">
        <x:v>0</x:v>
      </x:c>
      <x:c r="H115" s="324">
        <x:v>0</x:v>
      </x:c>
      <x:c r="I115" s="324">
        <x:v>0</x:v>
      </x:c>
      <x:c r="J115" s="324">
        <x:v>0</x:v>
      </x:c>
      <x:c r="K115" s="324">
        <x:v>0</x:v>
      </x:c>
      <x:c r="L115" s="324">
        <x:v>0</x:v>
      </x:c>
      <x:c r="M115" s="324">
        <x:v>0</x:v>
      </x:c>
      <x:c r="N115" s="324">
        <x:v>0</x:v>
      </x:c>
      <x:c r="O115" s="324">
        <x:v>0</x:v>
      </x:c>
      <x:c r="P115" s="324">
        <x:v>0</x:v>
      </x:c>
      <x:c r="Q115" s="324">
        <x:v>0</x:v>
      </x:c>
      <x:c r="R115" s="324">
        <x:v>0</x:v>
      </x:c>
      <x:c r="S115" s="324">
        <x:v>0</x:v>
      </x:c>
      <x:c r="T115" s="324">
        <x:v>0</x:v>
      </x:c>
      <x:c r="U115" s="324">
        <x:v>0</x:v>
      </x:c>
      <x:c r="V115" s="324">
        <x:v>0</x:v>
      </x:c>
      <x:c r="W115" s="324">
        <x:v>0</x:v>
      </x:c>
      <x:c r="X115" s="324">
        <x:v>0</x:v>
      </x:c>
      <x:c r="Y115" s="324">
        <x:v>0</x:v>
      </x:c>
      <x:c r="Z115" s="257">
        <x:f t="shared" si="3"/>
        <x:v>0</x:v>
      </x:c>
    </x:row>
    <x:row r="116">
      <x:c r="A116" s="148" t="s">
        <x:v>107</x:v>
      </x:c>
      <x:c r="B116">
        <x:v>4</x:v>
      </x:c>
      <x:c r="C116" s="148" t="s">
        <x:v>116</x:v>
      </x:c>
      <x:c r="D116">
        <x:v>414</x:v>
      </x:c>
      <x:c r="E116" s="324">
        <x:v>0</x:v>
      </x:c>
      <x:c r="F116" s="324">
        <x:v>0</x:v>
      </x:c>
      <x:c r="G116" s="324">
        <x:v>0</x:v>
      </x:c>
      <x:c r="H116" s="324">
        <x:v>0</x:v>
      </x:c>
      <x:c r="I116" s="324">
        <x:v>0</x:v>
      </x:c>
      <x:c r="J116" s="324">
        <x:v>0</x:v>
      </x:c>
      <x:c r="K116" s="324">
        <x:v>0</x:v>
      </x:c>
      <x:c r="L116" s="324">
        <x:v>0</x:v>
      </x:c>
      <x:c r="M116" s="324">
        <x:v>0</x:v>
      </x:c>
      <x:c r="N116" s="324">
        <x:v>0</x:v>
      </x:c>
      <x:c r="O116" s="324">
        <x:v>0</x:v>
      </x:c>
      <x:c r="P116" s="324">
        <x:v>0</x:v>
      </x:c>
      <x:c r="Q116" s="324">
        <x:v>0</x:v>
      </x:c>
      <x:c r="R116" s="324">
        <x:v>0</x:v>
      </x:c>
      <x:c r="S116" s="324">
        <x:v>0</x:v>
      </x:c>
      <x:c r="T116" s="324">
        <x:v>0</x:v>
      </x:c>
      <x:c r="U116" s="324">
        <x:v>0</x:v>
      </x:c>
      <x:c r="V116" s="324">
        <x:v>0</x:v>
      </x:c>
      <x:c r="W116" s="324">
        <x:v>0</x:v>
      </x:c>
      <x:c r="X116" s="324">
        <x:v>0</x:v>
      </x:c>
      <x:c r="Y116" s="324">
        <x:v>0</x:v>
      </x:c>
      <x:c r="Z116" s="257">
        <x:f t="shared" si="3"/>
        <x:v>0</x:v>
      </x:c>
    </x:row>
    <x:row r="117">
      <x:c r="A117" s="148" t="s">
        <x:v>107</x:v>
      </x:c>
      <x:c r="B117">
        <x:v>4</x:v>
      </x:c>
      <x:c r="C117" s="148" t="s">
        <x:v>116</x:v>
      </x:c>
      <x:c r="D117">
        <x:v>415</x:v>
      </x:c>
      <x:c r="E117" s="324">
        <x:v>0</x:v>
      </x:c>
      <x:c r="F117" s="324">
        <x:v>0</x:v>
      </x:c>
      <x:c r="G117" s="324">
        <x:v>0</x:v>
      </x:c>
      <x:c r="H117" s="324">
        <x:v>0</x:v>
      </x:c>
      <x:c r="I117" s="324">
        <x:v>0</x:v>
      </x:c>
      <x:c r="J117" s="324">
        <x:v>0</x:v>
      </x:c>
      <x:c r="K117" s="324">
        <x:v>0</x:v>
      </x:c>
      <x:c r="L117" s="324">
        <x:v>0</x:v>
      </x:c>
      <x:c r="M117" s="324">
        <x:v>0</x:v>
      </x:c>
      <x:c r="N117" s="324">
        <x:v>0</x:v>
      </x:c>
      <x:c r="O117" s="324">
        <x:v>0</x:v>
      </x:c>
      <x:c r="P117" s="324">
        <x:v>0</x:v>
      </x:c>
      <x:c r="Q117" s="324">
        <x:v>0</x:v>
      </x:c>
      <x:c r="R117" s="324">
        <x:v>0</x:v>
      </x:c>
      <x:c r="S117" s="324">
        <x:v>0</x:v>
      </x:c>
      <x:c r="T117" s="324">
        <x:v>0</x:v>
      </x:c>
      <x:c r="U117" s="324">
        <x:v>0</x:v>
      </x:c>
      <x:c r="V117" s="324">
        <x:v>0</x:v>
      </x:c>
      <x:c r="W117" s="324">
        <x:v>0</x:v>
      </x:c>
      <x:c r="X117" s="324">
        <x:v>0</x:v>
      </x:c>
      <x:c r="Y117" s="324">
        <x:v>0</x:v>
      </x:c>
      <x:c r="Z117" s="257">
        <x:f t="shared" si="3"/>
        <x:v>0</x:v>
      </x:c>
    </x:row>
    <x:row r="118">
      <x:c r="A118" s="148" t="s">
        <x:v>107</x:v>
      </x:c>
      <x:c r="B118">
        <x:v>4</x:v>
      </x:c>
      <x:c r="C118" s="148" t="s">
        <x:v>116</x:v>
      </x:c>
      <x:c r="D118">
        <x:v>416</x:v>
      </x:c>
      <x:c r="E118" s="324">
        <x:v>0</x:v>
      </x:c>
      <x:c r="F118" s="324">
        <x:v>0</x:v>
      </x:c>
      <x:c r="G118" s="324">
        <x:v>0</x:v>
      </x:c>
      <x:c r="H118" s="324">
        <x:v>0</x:v>
      </x:c>
      <x:c r="I118" s="324">
        <x:v>0</x:v>
      </x:c>
      <x:c r="J118" s="324">
        <x:v>0</x:v>
      </x:c>
      <x:c r="K118" s="324">
        <x:v>0</x:v>
      </x:c>
      <x:c r="L118" s="324">
        <x:v>0</x:v>
      </x:c>
      <x:c r="M118" s="324">
        <x:v>0</x:v>
      </x:c>
      <x:c r="N118" s="324">
        <x:v>0</x:v>
      </x:c>
      <x:c r="O118" s="324">
        <x:v>0</x:v>
      </x:c>
      <x:c r="P118" s="324">
        <x:v>0</x:v>
      </x:c>
      <x:c r="Q118" s="324">
        <x:v>0</x:v>
      </x:c>
      <x:c r="R118" s="324">
        <x:v>0</x:v>
      </x:c>
      <x:c r="S118" s="324">
        <x:v>0</x:v>
      </x:c>
      <x:c r="T118" s="324">
        <x:v>0</x:v>
      </x:c>
      <x:c r="U118" s="324">
        <x:v>0</x:v>
      </x:c>
      <x:c r="V118" s="324">
        <x:v>0</x:v>
      </x:c>
      <x:c r="W118" s="324">
        <x:v>0</x:v>
      </x:c>
      <x:c r="X118" s="324">
        <x:v>0</x:v>
      </x:c>
      <x:c r="Y118" s="324">
        <x:v>0</x:v>
      </x:c>
      <x:c r="Z118" s="257">
        <x:f t="shared" si="3"/>
        <x:v>0</x:v>
      </x:c>
    </x:row>
    <x:row r="119">
      <x:c r="A119" s="148" t="s">
        <x:v>107</x:v>
      </x:c>
      <x:c r="B119">
        <x:v>4</x:v>
      </x:c>
      <x:c r="C119" s="148" t="s">
        <x:v>116</x:v>
      </x:c>
      <x:c r="D119">
        <x:v>417</x:v>
      </x:c>
      <x:c r="E119" s="324">
        <x:v>0</x:v>
      </x:c>
      <x:c r="F119" s="324">
        <x:v>0</x:v>
      </x:c>
      <x:c r="G119" s="324">
        <x:v>0</x:v>
      </x:c>
      <x:c r="H119" s="324">
        <x:v>0</x:v>
      </x:c>
      <x:c r="I119" s="324">
        <x:v>0</x:v>
      </x:c>
      <x:c r="J119" s="324">
        <x:v>0</x:v>
      </x:c>
      <x:c r="K119" s="324">
        <x:v>0</x:v>
      </x:c>
      <x:c r="L119" s="324">
        <x:v>0</x:v>
      </x:c>
      <x:c r="M119" s="324">
        <x:v>0</x:v>
      </x:c>
      <x:c r="N119" s="324">
        <x:v>0</x:v>
      </x:c>
      <x:c r="O119" s="324">
        <x:v>0</x:v>
      </x:c>
      <x:c r="P119" s="324">
        <x:v>0</x:v>
      </x:c>
      <x:c r="Q119" s="324">
        <x:v>0</x:v>
      </x:c>
      <x:c r="R119" s="324">
        <x:v>0</x:v>
      </x:c>
      <x:c r="S119" s="324">
        <x:v>0</x:v>
      </x:c>
      <x:c r="T119" s="324">
        <x:v>0</x:v>
      </x:c>
      <x:c r="U119" s="324">
        <x:v>0</x:v>
      </x:c>
      <x:c r="V119" s="324">
        <x:v>0</x:v>
      </x:c>
      <x:c r="W119" s="324">
        <x:v>0</x:v>
      </x:c>
      <x:c r="X119" s="324">
        <x:v>0</x:v>
      </x:c>
      <x:c r="Y119" s="324">
        <x:v>0</x:v>
      </x:c>
      <x:c r="Z119" s="257">
        <x:f t="shared" si="3"/>
        <x:v>0</x:v>
      </x:c>
    </x:row>
    <x:row r="120">
      <x:c r="A120" s="148" t="s">
        <x:v>107</x:v>
      </x:c>
      <x:c r="B120">
        <x:v>4</x:v>
      </x:c>
      <x:c r="C120" s="148" t="s">
        <x:v>116</x:v>
      </x:c>
      <x:c r="D120">
        <x:v>418</x:v>
      </x:c>
      <x:c r="E120" s="324">
        <x:v>0</x:v>
      </x:c>
      <x:c r="F120" s="324">
        <x:v>0</x:v>
      </x:c>
      <x:c r="G120" s="324">
        <x:v>0</x:v>
      </x:c>
      <x:c r="H120" s="324">
        <x:v>0</x:v>
      </x:c>
      <x:c r="I120" s="324">
        <x:v>0</x:v>
      </x:c>
      <x:c r="J120" s="324">
        <x:v>0</x:v>
      </x:c>
      <x:c r="K120" s="324">
        <x:v>0</x:v>
      </x:c>
      <x:c r="L120" s="324">
        <x:v>0</x:v>
      </x:c>
      <x:c r="M120" s="324">
        <x:v>0</x:v>
      </x:c>
      <x:c r="N120" s="324">
        <x:v>0</x:v>
      </x:c>
      <x:c r="O120" s="324">
        <x:v>0</x:v>
      </x:c>
      <x:c r="P120" s="324">
        <x:v>0</x:v>
      </x:c>
      <x:c r="Q120" s="324">
        <x:v>0</x:v>
      </x:c>
      <x:c r="R120" s="324">
        <x:v>0</x:v>
      </x:c>
      <x:c r="S120" s="324">
        <x:v>0</x:v>
      </x:c>
      <x:c r="T120" s="324">
        <x:v>0</x:v>
      </x:c>
      <x:c r="U120" s="324">
        <x:v>0</x:v>
      </x:c>
      <x:c r="V120" s="324">
        <x:v>0</x:v>
      </x:c>
      <x:c r="W120" s="324">
        <x:v>0</x:v>
      </x:c>
      <x:c r="X120" s="324">
        <x:v>0</x:v>
      </x:c>
      <x:c r="Y120" s="324">
        <x:v>0</x:v>
      </x:c>
      <x:c r="Z120" s="257">
        <x:f t="shared" si="3"/>
        <x:v>0</x:v>
      </x:c>
    </x:row>
    <x:row r="121">
      <x:c r="A121" s="148" t="s">
        <x:v>107</x:v>
      </x:c>
      <x:c r="B121">
        <x:v>4</x:v>
      </x:c>
      <x:c r="C121" s="148" t="s">
        <x:v>116</x:v>
      </x:c>
      <x:c r="D121">
        <x:v>419</x:v>
      </x:c>
      <x:c r="E121" s="324">
        <x:v>0</x:v>
      </x:c>
      <x:c r="F121" s="324">
        <x:v>0</x:v>
      </x:c>
      <x:c r="G121" s="324">
        <x:v>0</x:v>
      </x:c>
      <x:c r="H121" s="324">
        <x:v>0</x:v>
      </x:c>
      <x:c r="I121" s="324">
        <x:v>0</x:v>
      </x:c>
      <x:c r="J121" s="324">
        <x:v>0</x:v>
      </x:c>
      <x:c r="K121" s="324">
        <x:v>0</x:v>
      </x:c>
      <x:c r="L121" s="324">
        <x:v>0</x:v>
      </x:c>
      <x:c r="M121" s="324">
        <x:v>0</x:v>
      </x:c>
      <x:c r="N121" s="324">
        <x:v>0</x:v>
      </x:c>
      <x:c r="O121" s="324">
        <x:v>0</x:v>
      </x:c>
      <x:c r="P121" s="324">
        <x:v>0</x:v>
      </x:c>
      <x:c r="Q121" s="324">
        <x:v>0</x:v>
      </x:c>
      <x:c r="R121" s="324">
        <x:v>0</x:v>
      </x:c>
      <x:c r="S121" s="324">
        <x:v>0</x:v>
      </x:c>
      <x:c r="T121" s="324">
        <x:v>0</x:v>
      </x:c>
      <x:c r="U121" s="324">
        <x:v>0</x:v>
      </x:c>
      <x:c r="V121" s="324">
        <x:v>0</x:v>
      </x:c>
      <x:c r="W121" s="324">
        <x:v>0</x:v>
      </x:c>
      <x:c r="X121" s="324">
        <x:v>0</x:v>
      </x:c>
      <x:c r="Y121" s="324">
        <x:v>0</x:v>
      </x:c>
      <x:c r="Z121" s="257">
        <x:f t="shared" si="3"/>
        <x:v>0</x:v>
      </x:c>
    </x:row>
    <x:row r="122">
      <x:c r="A122" s="148" t="s">
        <x:v>107</x:v>
      </x:c>
      <x:c r="B122">
        <x:v>4</x:v>
      </x:c>
      <x:c r="C122" s="148" t="s">
        <x:v>116</x:v>
      </x:c>
      <x:c r="D122">
        <x:v>420</x:v>
      </x:c>
      <x:c r="E122" s="324">
        <x:v>0</x:v>
      </x:c>
      <x:c r="F122" s="324">
        <x:v>0</x:v>
      </x:c>
      <x:c r="G122" s="324">
        <x:v>0</x:v>
      </x:c>
      <x:c r="H122" s="324">
        <x:v>0</x:v>
      </x:c>
      <x:c r="I122" s="324">
        <x:v>0</x:v>
      </x:c>
      <x:c r="J122" s="324">
        <x:v>0</x:v>
      </x:c>
      <x:c r="K122" s="324">
        <x:v>0</x:v>
      </x:c>
      <x:c r="L122" s="324">
        <x:v>0</x:v>
      </x:c>
      <x:c r="M122" s="324">
        <x:v>0</x:v>
      </x:c>
      <x:c r="N122" s="324">
        <x:v>0</x:v>
      </x:c>
      <x:c r="O122" s="324">
        <x:v>0</x:v>
      </x:c>
      <x:c r="P122" s="324">
        <x:v>0</x:v>
      </x:c>
      <x:c r="Q122" s="324">
        <x:v>0</x:v>
      </x:c>
      <x:c r="R122" s="324">
        <x:v>0</x:v>
      </x:c>
      <x:c r="S122" s="324">
        <x:v>0</x:v>
      </x:c>
      <x:c r="T122" s="324">
        <x:v>0</x:v>
      </x:c>
      <x:c r="U122" s="324">
        <x:v>0</x:v>
      </x:c>
      <x:c r="V122" s="324">
        <x:v>0</x:v>
      </x:c>
      <x:c r="W122" s="324">
        <x:v>0</x:v>
      </x:c>
      <x:c r="X122" s="324">
        <x:v>0</x:v>
      </x:c>
      <x:c r="Y122" s="324">
        <x:v>0</x:v>
      </x:c>
      <x:c r="Z122" s="257">
        <x:f t="shared" si="3"/>
        <x:v>0</x:v>
      </x:c>
    </x:row>
    <x:row r="123">
      <x:c r="A123" s="148" t="s">
        <x:v>107</x:v>
      </x:c>
      <x:c r="B123">
        <x:v>4</x:v>
      </x:c>
      <x:c r="C123" s="148" t="s">
        <x:v>116</x:v>
      </x:c>
      <x:c r="D123">
        <x:v>421</x:v>
      </x:c>
      <x:c r="E123" s="324">
        <x:v>0</x:v>
      </x:c>
      <x:c r="F123" s="324">
        <x:v>0</x:v>
      </x:c>
      <x:c r="G123" s="324">
        <x:v>0</x:v>
      </x:c>
      <x:c r="H123" s="324">
        <x:v>0</x:v>
      </x:c>
      <x:c r="I123" s="324">
        <x:v>0</x:v>
      </x:c>
      <x:c r="J123" s="324">
        <x:v>0</x:v>
      </x:c>
      <x:c r="K123" s="324">
        <x:v>0</x:v>
      </x:c>
      <x:c r="L123" s="324">
        <x:v>0</x:v>
      </x:c>
      <x:c r="M123" s="324">
        <x:v>0</x:v>
      </x:c>
      <x:c r="N123" s="324">
        <x:v>0</x:v>
      </x:c>
      <x:c r="O123" s="324">
        <x:v>0</x:v>
      </x:c>
      <x:c r="P123" s="324">
        <x:v>0</x:v>
      </x:c>
      <x:c r="Q123" s="324">
        <x:v>0</x:v>
      </x:c>
      <x:c r="R123" s="324">
        <x:v>0</x:v>
      </x:c>
      <x:c r="S123" s="324">
        <x:v>0</x:v>
      </x:c>
      <x:c r="T123" s="324">
        <x:v>0</x:v>
      </x:c>
      <x:c r="U123" s="324">
        <x:v>0</x:v>
      </x:c>
      <x:c r="V123" s="324">
        <x:v>0</x:v>
      </x:c>
      <x:c r="W123" s="324">
        <x:v>0</x:v>
      </x:c>
      <x:c r="X123" s="324">
        <x:v>0</x:v>
      </x:c>
      <x:c r="Y123" s="324">
        <x:v>0</x:v>
      </x:c>
      <x:c r="Z123" s="257">
        <x:f t="shared" si="3"/>
        <x:v>0</x:v>
      </x:c>
    </x:row>
    <x:row r="124">
      <x:c r="A124" s="148" t="s">
        <x:v>107</x:v>
      </x:c>
      <x:c r="B124">
        <x:v>4</x:v>
      </x:c>
      <x:c r="C124" s="148" t="s">
        <x:v>116</x:v>
      </x:c>
      <x:c r="D124">
        <x:v>422</x:v>
      </x:c>
      <x:c r="E124" s="324">
        <x:v>0</x:v>
      </x:c>
      <x:c r="F124" s="324">
        <x:v>0</x:v>
      </x:c>
      <x:c r="G124" s="324">
        <x:v>0</x:v>
      </x:c>
      <x:c r="H124" s="324">
        <x:v>0</x:v>
      </x:c>
      <x:c r="I124" s="324">
        <x:v>0</x:v>
      </x:c>
      <x:c r="J124" s="324">
        <x:v>0</x:v>
      </x:c>
      <x:c r="K124" s="324">
        <x:v>0</x:v>
      </x:c>
      <x:c r="L124" s="324">
        <x:v>0</x:v>
      </x:c>
      <x:c r="M124" s="324">
        <x:v>0</x:v>
      </x:c>
      <x:c r="N124" s="324">
        <x:v>0</x:v>
      </x:c>
      <x:c r="O124" s="324">
        <x:v>0</x:v>
      </x:c>
      <x:c r="P124" s="324">
        <x:v>0</x:v>
      </x:c>
      <x:c r="Q124" s="324">
        <x:v>0</x:v>
      </x:c>
      <x:c r="R124" s="324">
        <x:v>0</x:v>
      </x:c>
      <x:c r="S124" s="324">
        <x:v>0</x:v>
      </x:c>
      <x:c r="T124" s="324">
        <x:v>0</x:v>
      </x:c>
      <x:c r="U124" s="324">
        <x:v>0</x:v>
      </x:c>
      <x:c r="V124" s="324">
        <x:v>0</x:v>
      </x:c>
      <x:c r="W124" s="324">
        <x:v>0</x:v>
      </x:c>
      <x:c r="X124" s="324">
        <x:v>0</x:v>
      </x:c>
      <x:c r="Y124" s="324">
        <x:v>0</x:v>
      </x:c>
      <x:c r="Z124" s="257">
        <x:f t="shared" si="3"/>
        <x:v>0</x:v>
      </x:c>
    </x:row>
    <x:row r="125">
      <x:c r="A125" s="148" t="s">
        <x:v>107</x:v>
      </x:c>
      <x:c r="B125">
        <x:v>4</x:v>
      </x:c>
      <x:c r="C125" s="148" t="s">
        <x:v>116</x:v>
      </x:c>
      <x:c r="D125">
        <x:v>423</x:v>
      </x:c>
      <x:c r="E125" s="324">
        <x:v>0</x:v>
      </x:c>
      <x:c r="F125" s="324">
        <x:v>0</x:v>
      </x:c>
      <x:c r="G125" s="324">
        <x:v>0</x:v>
      </x:c>
      <x:c r="H125" s="324">
        <x:v>0</x:v>
      </x:c>
      <x:c r="I125" s="324">
        <x:v>0</x:v>
      </x:c>
      <x:c r="J125" s="324">
        <x:v>0</x:v>
      </x:c>
      <x:c r="K125" s="324">
        <x:v>0</x:v>
      </x:c>
      <x:c r="L125" s="324">
        <x:v>0</x:v>
      </x:c>
      <x:c r="M125" s="324">
        <x:v>0</x:v>
      </x:c>
      <x:c r="N125" s="324">
        <x:v>0</x:v>
      </x:c>
      <x:c r="O125" s="324">
        <x:v>0</x:v>
      </x:c>
      <x:c r="P125" s="324">
        <x:v>0</x:v>
      </x:c>
      <x:c r="Q125" s="324">
        <x:v>0</x:v>
      </x:c>
      <x:c r="R125" s="324">
        <x:v>0</x:v>
      </x:c>
      <x:c r="S125" s="324">
        <x:v>0</x:v>
      </x:c>
      <x:c r="T125" s="324">
        <x:v>0</x:v>
      </x:c>
      <x:c r="U125" s="324">
        <x:v>0</x:v>
      </x:c>
      <x:c r="V125" s="324">
        <x:v>0</x:v>
      </x:c>
      <x:c r="W125" s="324">
        <x:v>0</x:v>
      </x:c>
      <x:c r="X125" s="324">
        <x:v>0</x:v>
      </x:c>
      <x:c r="Y125" s="324">
        <x:v>0</x:v>
      </x:c>
      <x:c r="Z125" s="257">
        <x:f t="shared" si="3"/>
        <x:v>0</x:v>
      </x:c>
    </x:row>
    <x:row r="126">
      <x:c r="A126" s="148" t="s">
        <x:v>107</x:v>
      </x:c>
      <x:c r="B126">
        <x:v>4</x:v>
      </x:c>
      <x:c r="C126" s="148" t="s">
        <x:v>115</x:v>
      </x:c>
      <x:c r="D126">
        <x:v>401</x:v>
      </x:c>
      <x:c r="E126" s="324">
        <x:v>0</x:v>
      </x:c>
      <x:c r="F126" s="324">
        <x:v>0</x:v>
      </x:c>
      <x:c r="G126" s="324">
        <x:v>0</x:v>
      </x:c>
      <x:c r="H126" s="324">
        <x:v>0</x:v>
      </x:c>
      <x:c r="I126" s="324">
        <x:v>0</x:v>
      </x:c>
      <x:c r="J126" s="324">
        <x:v>0</x:v>
      </x:c>
      <x:c r="K126" s="324">
        <x:v>0</x:v>
      </x:c>
      <x:c r="L126" s="324">
        <x:v>0</x:v>
      </x:c>
      <x:c r="M126" s="324">
        <x:v>0</x:v>
      </x:c>
      <x:c r="N126" s="324">
        <x:v>0</x:v>
      </x:c>
      <x:c r="O126" s="324">
        <x:v>0</x:v>
      </x:c>
      <x:c r="P126" s="324">
        <x:v>0</x:v>
      </x:c>
      <x:c r="Q126" s="324">
        <x:v>0</x:v>
      </x:c>
      <x:c r="R126" s="324">
        <x:v>0</x:v>
      </x:c>
      <x:c r="S126" s="324">
        <x:v>0</x:v>
      </x:c>
      <x:c r="T126" s="324">
        <x:v>0</x:v>
      </x:c>
      <x:c r="U126" s="324">
        <x:v>0</x:v>
      </x:c>
      <x:c r="V126" s="324">
        <x:v>0</x:v>
      </x:c>
      <x:c r="W126" s="324">
        <x:v>0</x:v>
      </x:c>
      <x:c r="X126" s="324">
        <x:v>0</x:v>
      </x:c>
      <x:c r="Y126" s="324">
        <x:v>0</x:v>
      </x:c>
      <x:c r="Z126" s="257">
        <x:f t="shared" si="3"/>
        <x:v>0</x:v>
      </x:c>
    </x:row>
    <x:row r="127">
      <x:c r="A127" s="148" t="s">
        <x:v>107</x:v>
      </x:c>
      <x:c r="B127">
        <x:v>4</x:v>
      </x:c>
      <x:c r="C127" s="148" t="s">
        <x:v>115</x:v>
      </x:c>
      <x:c r="D127">
        <x:v>402</x:v>
      </x:c>
      <x:c r="E127" s="324">
        <x:v>0</x:v>
      </x:c>
      <x:c r="F127" s="324">
        <x:v>0</x:v>
      </x:c>
      <x:c r="G127" s="324">
        <x:v>0</x:v>
      </x:c>
      <x:c r="H127" s="324">
        <x:v>0</x:v>
      </x:c>
      <x:c r="I127" s="324">
        <x:v>0</x:v>
      </x:c>
      <x:c r="J127" s="324">
        <x:v>0</x:v>
      </x:c>
      <x:c r="K127" s="324">
        <x:v>0</x:v>
      </x:c>
      <x:c r="L127" s="324">
        <x:v>0</x:v>
      </x:c>
      <x:c r="M127" s="324">
        <x:v>0</x:v>
      </x:c>
      <x:c r="N127" s="324">
        <x:v>0</x:v>
      </x:c>
      <x:c r="O127" s="324">
        <x:v>0</x:v>
      </x:c>
      <x:c r="P127" s="324">
        <x:v>0</x:v>
      </x:c>
      <x:c r="Q127" s="324">
        <x:v>0</x:v>
      </x:c>
      <x:c r="R127" s="324">
        <x:v>0</x:v>
      </x:c>
      <x:c r="S127" s="324">
        <x:v>0</x:v>
      </x:c>
      <x:c r="T127" s="324">
        <x:v>0</x:v>
      </x:c>
      <x:c r="U127" s="324">
        <x:v>0</x:v>
      </x:c>
      <x:c r="V127" s="324">
        <x:v>0</x:v>
      </x:c>
      <x:c r="W127" s="324">
        <x:v>0</x:v>
      </x:c>
      <x:c r="X127" s="324">
        <x:v>0</x:v>
      </x:c>
      <x:c r="Y127" s="324">
        <x:v>0</x:v>
      </x:c>
      <x:c r="Z127" s="257">
        <x:f t="shared" si="3"/>
        <x:v>0</x:v>
      </x:c>
    </x:row>
    <x:row r="128">
      <x:c r="A128" s="148" t="s">
        <x:v>107</x:v>
      </x:c>
      <x:c r="B128">
        <x:v>4</x:v>
      </x:c>
      <x:c r="C128" s="148" t="s">
        <x:v>115</x:v>
      </x:c>
      <x:c r="D128">
        <x:v>403</x:v>
      </x:c>
      <x:c r="E128" s="324">
        <x:v>0</x:v>
      </x:c>
      <x:c r="F128" s="324">
        <x:v>0</x:v>
      </x:c>
      <x:c r="G128" s="324">
        <x:v>0</x:v>
      </x:c>
      <x:c r="H128" s="324">
        <x:v>0</x:v>
      </x:c>
      <x:c r="I128" s="324">
        <x:v>0</x:v>
      </x:c>
      <x:c r="J128" s="324">
        <x:v>0</x:v>
      </x:c>
      <x:c r="K128" s="324">
        <x:v>0</x:v>
      </x:c>
      <x:c r="L128" s="324">
        <x:v>0</x:v>
      </x:c>
      <x:c r="M128" s="324">
        <x:v>0</x:v>
      </x:c>
      <x:c r="N128" s="324">
        <x:v>0</x:v>
      </x:c>
      <x:c r="O128" s="324">
        <x:v>0</x:v>
      </x:c>
      <x:c r="P128" s="324">
        <x:v>0</x:v>
      </x:c>
      <x:c r="Q128" s="324">
        <x:v>0</x:v>
      </x:c>
      <x:c r="R128" s="324">
        <x:v>0</x:v>
      </x:c>
      <x:c r="S128" s="324">
        <x:v>0</x:v>
      </x:c>
      <x:c r="T128" s="324">
        <x:v>0</x:v>
      </x:c>
      <x:c r="U128" s="324">
        <x:v>0</x:v>
      </x:c>
      <x:c r="V128" s="324">
        <x:v>0</x:v>
      </x:c>
      <x:c r="W128" s="324">
        <x:v>0</x:v>
      </x:c>
      <x:c r="X128" s="324">
        <x:v>0</x:v>
      </x:c>
      <x:c r="Y128" s="324">
        <x:v>0</x:v>
      </x:c>
      <x:c r="Z128" s="257">
        <x:f t="shared" si="3"/>
        <x:v>0</x:v>
      </x:c>
    </x:row>
    <x:row r="129">
      <x:c r="A129" s="148" t="s">
        <x:v>107</x:v>
      </x:c>
      <x:c r="B129">
        <x:v>4</x:v>
      </x:c>
      <x:c r="C129" s="148" t="s">
        <x:v>115</x:v>
      </x:c>
      <x:c r="D129">
        <x:v>404</x:v>
      </x:c>
      <x:c r="E129" s="324">
        <x:v>0</x:v>
      </x:c>
      <x:c r="F129" s="324">
        <x:v>0</x:v>
      </x:c>
      <x:c r="G129" s="324">
        <x:v>0</x:v>
      </x:c>
      <x:c r="H129" s="324">
        <x:v>0</x:v>
      </x:c>
      <x:c r="I129" s="324">
        <x:v>0</x:v>
      </x:c>
      <x:c r="J129" s="324">
        <x:v>0</x:v>
      </x:c>
      <x:c r="K129" s="324">
        <x:v>0</x:v>
      </x:c>
      <x:c r="L129" s="324">
        <x:v>0</x:v>
      </x:c>
      <x:c r="M129" s="324">
        <x:v>0</x:v>
      </x:c>
      <x:c r="N129" s="324">
        <x:v>0</x:v>
      </x:c>
      <x:c r="O129" s="324">
        <x:v>0</x:v>
      </x:c>
      <x:c r="P129" s="324">
        <x:v>0</x:v>
      </x:c>
      <x:c r="Q129" s="324">
        <x:v>0</x:v>
      </x:c>
      <x:c r="R129" s="324">
        <x:v>0</x:v>
      </x:c>
      <x:c r="S129" s="324">
        <x:v>0</x:v>
      </x:c>
      <x:c r="T129" s="324">
        <x:v>0</x:v>
      </x:c>
      <x:c r="U129" s="324">
        <x:v>0</x:v>
      </x:c>
      <x:c r="V129" s="324">
        <x:v>0</x:v>
      </x:c>
      <x:c r="W129" s="324">
        <x:v>0</x:v>
      </x:c>
      <x:c r="X129" s="324">
        <x:v>0</x:v>
      </x:c>
      <x:c r="Y129" s="324">
        <x:v>0</x:v>
      </x:c>
      <x:c r="Z129" s="257">
        <x:f t="shared" si="3"/>
        <x:v>0</x:v>
      </x:c>
    </x:row>
    <x:row r="130">
      <x:c r="A130" s="148" t="s">
        <x:v>107</x:v>
      </x:c>
      <x:c r="B130">
        <x:v>4</x:v>
      </x:c>
      <x:c r="C130" s="148" t="s">
        <x:v>115</x:v>
      </x:c>
      <x:c r="D130">
        <x:v>405</x:v>
      </x:c>
      <x:c r="E130" s="324">
        <x:v>0</x:v>
      </x:c>
      <x:c r="F130" s="324">
        <x:v>0</x:v>
      </x:c>
      <x:c r="G130" s="324">
        <x:v>0</x:v>
      </x:c>
      <x:c r="H130" s="324">
        <x:v>0</x:v>
      </x:c>
      <x:c r="I130" s="324">
        <x:v>0</x:v>
      </x:c>
      <x:c r="J130" s="324">
        <x:v>0</x:v>
      </x:c>
      <x:c r="K130" s="324">
        <x:v>0</x:v>
      </x:c>
      <x:c r="L130" s="324">
        <x:v>0</x:v>
      </x:c>
      <x:c r="M130" s="324">
        <x:v>0</x:v>
      </x:c>
      <x:c r="N130" s="324">
        <x:v>0</x:v>
      </x:c>
      <x:c r="O130" s="324">
        <x:v>0</x:v>
      </x:c>
      <x:c r="P130" s="324">
        <x:v>0</x:v>
      </x:c>
      <x:c r="Q130" s="324">
        <x:v>0</x:v>
      </x:c>
      <x:c r="R130" s="324">
        <x:v>0</x:v>
      </x:c>
      <x:c r="S130" s="324">
        <x:v>0</x:v>
      </x:c>
      <x:c r="T130" s="324">
        <x:v>0</x:v>
      </x:c>
      <x:c r="U130" s="324">
        <x:v>0</x:v>
      </x:c>
      <x:c r="V130" s="324">
        <x:v>0</x:v>
      </x:c>
      <x:c r="W130" s="324">
        <x:v>0</x:v>
      </x:c>
      <x:c r="X130" s="324">
        <x:v>0</x:v>
      </x:c>
      <x:c r="Y130" s="324">
        <x:v>0</x:v>
      </x:c>
      <x:c r="Z130" s="257">
        <x:f t="shared" si="3"/>
        <x:v>0</x:v>
      </x:c>
    </x:row>
    <x:row r="131">
      <x:c r="A131" s="148" t="s">
        <x:v>107</x:v>
      </x:c>
      <x:c r="B131">
        <x:v>4</x:v>
      </x:c>
      <x:c r="C131" s="148" t="s">
        <x:v>115</x:v>
      </x:c>
      <x:c r="D131">
        <x:v>406</x:v>
      </x:c>
      <x:c r="E131" s="324">
        <x:v>0</x:v>
      </x:c>
      <x:c r="F131" s="324">
        <x:v>0</x:v>
      </x:c>
      <x:c r="G131" s="324">
        <x:v>0</x:v>
      </x:c>
      <x:c r="H131" s="324">
        <x:v>0</x:v>
      </x:c>
      <x:c r="I131" s="324">
        <x:v>0</x:v>
      </x:c>
      <x:c r="J131" s="324">
        <x:v>0</x:v>
      </x:c>
      <x:c r="K131" s="324">
        <x:v>0</x:v>
      </x:c>
      <x:c r="L131" s="324">
        <x:v>0</x:v>
      </x:c>
      <x:c r="M131" s="324">
        <x:v>0</x:v>
      </x:c>
      <x:c r="N131" s="324">
        <x:v>0</x:v>
      </x:c>
      <x:c r="O131" s="324">
        <x:v>0</x:v>
      </x:c>
      <x:c r="P131" s="324">
        <x:v>0</x:v>
      </x:c>
      <x:c r="Q131" s="324">
        <x:v>0</x:v>
      </x:c>
      <x:c r="R131" s="324">
        <x:v>0</x:v>
      </x:c>
      <x:c r="S131" s="324">
        <x:v>0</x:v>
      </x:c>
      <x:c r="T131" s="324">
        <x:v>0</x:v>
      </x:c>
      <x:c r="U131" s="324">
        <x:v>0</x:v>
      </x:c>
      <x:c r="V131" s="324">
        <x:v>0</x:v>
      </x:c>
      <x:c r="W131" s="324">
        <x:v>0</x:v>
      </x:c>
      <x:c r="X131" s="324">
        <x:v>0</x:v>
      </x:c>
      <x:c r="Y131" s="324">
        <x:v>0</x:v>
      </x:c>
      <x:c r="Z131" s="257" t="n">
        <x:f t="shared" ref="Z131:Z194" si="5">AVERAGE(E131:Y131)</x:f>
        <x:v>0</x:v>
      </x:c>
    </x:row>
    <x:row r="132">
      <x:c r="A132" s="148" t="s">
        <x:v>107</x:v>
      </x:c>
      <x:c r="B132">
        <x:v>4</x:v>
      </x:c>
      <x:c r="C132" s="148" t="s">
        <x:v>115</x:v>
      </x:c>
      <x:c r="D132">
        <x:v>407</x:v>
      </x:c>
      <x:c r="E132" s="324">
        <x:v>0</x:v>
      </x:c>
      <x:c r="F132" s="324">
        <x:v>0</x:v>
      </x:c>
      <x:c r="G132" s="324">
        <x:v>0</x:v>
      </x:c>
      <x:c r="H132" s="324">
        <x:v>0</x:v>
      </x:c>
      <x:c r="I132" s="324">
        <x:v>0</x:v>
      </x:c>
      <x:c r="J132" s="324">
        <x:v>0</x:v>
      </x:c>
      <x:c r="K132" s="324">
        <x:v>0</x:v>
      </x:c>
      <x:c r="L132" s="324">
        <x:v>0</x:v>
      </x:c>
      <x:c r="M132" s="324">
        <x:v>0</x:v>
      </x:c>
      <x:c r="N132" s="324">
        <x:v>0</x:v>
      </x:c>
      <x:c r="O132" s="324">
        <x:v>0</x:v>
      </x:c>
      <x:c r="P132" s="324">
        <x:v>0</x:v>
      </x:c>
      <x:c r="Q132" s="324">
        <x:v>0</x:v>
      </x:c>
      <x:c r="R132" s="324">
        <x:v>0</x:v>
      </x:c>
      <x:c r="S132" s="324">
        <x:v>0</x:v>
      </x:c>
      <x:c r="T132" s="324">
        <x:v>0</x:v>
      </x:c>
      <x:c r="U132" s="324">
        <x:v>0</x:v>
      </x:c>
      <x:c r="V132" s="324">
        <x:v>0</x:v>
      </x:c>
      <x:c r="W132" s="324">
        <x:v>0</x:v>
      </x:c>
      <x:c r="X132" s="324">
        <x:v>0</x:v>
      </x:c>
      <x:c r="Y132" s="324">
        <x:v>0</x:v>
      </x:c>
      <x:c r="Z132" s="257">
        <x:f t="shared" si="5"/>
        <x:v>0</x:v>
      </x:c>
    </x:row>
    <x:row r="133">
      <x:c r="A133" s="148" t="s">
        <x:v>107</x:v>
      </x:c>
      <x:c r="B133">
        <x:v>4</x:v>
      </x:c>
      <x:c r="C133" s="148" t="s">
        <x:v>115</x:v>
      </x:c>
      <x:c r="D133">
        <x:v>408</x:v>
      </x:c>
      <x:c r="E133" s="324">
        <x:v>0</x:v>
      </x:c>
      <x:c r="F133" s="324">
        <x:v>0</x:v>
      </x:c>
      <x:c r="G133" s="324">
        <x:v>0</x:v>
      </x:c>
      <x:c r="H133" s="324">
        <x:v>0</x:v>
      </x:c>
      <x:c r="I133" s="324">
        <x:v>0</x:v>
      </x:c>
      <x:c r="J133" s="324">
        <x:v>0</x:v>
      </x:c>
      <x:c r="K133" s="324">
        <x:v>0</x:v>
      </x:c>
      <x:c r="L133" s="324">
        <x:v>0</x:v>
      </x:c>
      <x:c r="M133" s="324">
        <x:v>0</x:v>
      </x:c>
      <x:c r="N133" s="324">
        <x:v>0</x:v>
      </x:c>
      <x:c r="O133" s="324">
        <x:v>0</x:v>
      </x:c>
      <x:c r="P133" s="324">
        <x:v>0</x:v>
      </x:c>
      <x:c r="Q133" s="324">
        <x:v>0</x:v>
      </x:c>
      <x:c r="R133" s="324">
        <x:v>0</x:v>
      </x:c>
      <x:c r="S133" s="324">
        <x:v>0</x:v>
      </x:c>
      <x:c r="T133" s="324">
        <x:v>0</x:v>
      </x:c>
      <x:c r="U133" s="324">
        <x:v>0</x:v>
      </x:c>
      <x:c r="V133" s="324">
        <x:v>0</x:v>
      </x:c>
      <x:c r="W133" s="324">
        <x:v>0</x:v>
      </x:c>
      <x:c r="X133" s="324">
        <x:v>0</x:v>
      </x:c>
      <x:c r="Y133" s="324">
        <x:v>0</x:v>
      </x:c>
      <x:c r="Z133" s="257">
        <x:f t="shared" si="5"/>
        <x:v>0</x:v>
      </x:c>
    </x:row>
    <x:row r="134">
      <x:c r="A134" s="148" t="s">
        <x:v>107</x:v>
      </x:c>
      <x:c r="B134">
        <x:v>4</x:v>
      </x:c>
      <x:c r="C134" s="148" t="s">
        <x:v>115</x:v>
      </x:c>
      <x:c r="D134">
        <x:v>409</x:v>
      </x:c>
      <x:c r="E134" s="324">
        <x:v>0</x:v>
      </x:c>
      <x:c r="F134" s="324">
        <x:v>0</x:v>
      </x:c>
      <x:c r="G134" s="324">
        <x:v>0</x:v>
      </x:c>
      <x:c r="H134" s="324">
        <x:v>0</x:v>
      </x:c>
      <x:c r="I134" s="324">
        <x:v>0</x:v>
      </x:c>
      <x:c r="J134" s="324">
        <x:v>0</x:v>
      </x:c>
      <x:c r="K134" s="324">
        <x:v>0</x:v>
      </x:c>
      <x:c r="L134" s="324">
        <x:v>0</x:v>
      </x:c>
      <x:c r="M134" s="324">
        <x:v>0</x:v>
      </x:c>
      <x:c r="N134" s="324">
        <x:v>0</x:v>
      </x:c>
      <x:c r="O134" s="324">
        <x:v>0</x:v>
      </x:c>
      <x:c r="P134" s="324">
        <x:v>0</x:v>
      </x:c>
      <x:c r="Q134" s="324">
        <x:v>0</x:v>
      </x:c>
      <x:c r="R134" s="324">
        <x:v>0</x:v>
      </x:c>
      <x:c r="S134" s="324">
        <x:v>0</x:v>
      </x:c>
      <x:c r="T134" s="324">
        <x:v>0</x:v>
      </x:c>
      <x:c r="U134" s="324">
        <x:v>0</x:v>
      </x:c>
      <x:c r="V134" s="324">
        <x:v>0</x:v>
      </x:c>
      <x:c r="W134" s="324">
        <x:v>0</x:v>
      </x:c>
      <x:c r="X134" s="324">
        <x:v>0</x:v>
      </x:c>
      <x:c r="Y134" s="324">
        <x:v>0</x:v>
      </x:c>
      <x:c r="Z134" s="257">
        <x:f t="shared" si="5"/>
        <x:v>0</x:v>
      </x:c>
    </x:row>
    <x:row r="135">
      <x:c r="A135" s="148" t="s">
        <x:v>107</x:v>
      </x:c>
      <x:c r="B135">
        <x:v>4</x:v>
      </x:c>
      <x:c r="C135" s="148" t="s">
        <x:v>115</x:v>
      </x:c>
      <x:c r="D135">
        <x:v>410</x:v>
      </x:c>
      <x:c r="E135" s="324">
        <x:v>0</x:v>
      </x:c>
      <x:c r="F135" s="324">
        <x:v>0</x:v>
      </x:c>
      <x:c r="G135" s="324">
        <x:v>0</x:v>
      </x:c>
      <x:c r="H135" s="324">
        <x:v>0</x:v>
      </x:c>
      <x:c r="I135" s="324">
        <x:v>0</x:v>
      </x:c>
      <x:c r="J135" s="324">
        <x:v>0</x:v>
      </x:c>
      <x:c r="K135" s="324">
        <x:v>0</x:v>
      </x:c>
      <x:c r="L135" s="324">
        <x:v>0</x:v>
      </x:c>
      <x:c r="M135" s="324">
        <x:v>0</x:v>
      </x:c>
      <x:c r="N135" s="324">
        <x:v>0</x:v>
      </x:c>
      <x:c r="O135" s="324">
        <x:v>0</x:v>
      </x:c>
      <x:c r="P135" s="324">
        <x:v>0</x:v>
      </x:c>
      <x:c r="Q135" s="324">
        <x:v>0</x:v>
      </x:c>
      <x:c r="R135" s="324">
        <x:v>0</x:v>
      </x:c>
      <x:c r="S135" s="324">
        <x:v>0</x:v>
      </x:c>
      <x:c r="T135" s="324">
        <x:v>0</x:v>
      </x:c>
      <x:c r="U135" s="324">
        <x:v>0</x:v>
      </x:c>
      <x:c r="V135" s="324">
        <x:v>0</x:v>
      </x:c>
      <x:c r="W135" s="324">
        <x:v>0</x:v>
      </x:c>
      <x:c r="X135" s="324">
        <x:v>0</x:v>
      </x:c>
      <x:c r="Y135" s="324">
        <x:v>0</x:v>
      </x:c>
      <x:c r="Z135" s="257">
        <x:f t="shared" si="5"/>
        <x:v>0</x:v>
      </x:c>
    </x:row>
    <x:row r="136">
      <x:c r="A136" s="148" t="s">
        <x:v>107</x:v>
      </x:c>
      <x:c r="B136">
        <x:v>4</x:v>
      </x:c>
      <x:c r="C136" s="148" t="s">
        <x:v>115</x:v>
      </x:c>
      <x:c r="D136">
        <x:v>411</x:v>
      </x:c>
      <x:c r="E136" s="324">
        <x:v>0</x:v>
      </x:c>
      <x:c r="F136" s="324">
        <x:v>0</x:v>
      </x:c>
      <x:c r="G136" s="324">
        <x:v>0</x:v>
      </x:c>
      <x:c r="H136" s="324">
        <x:v>0</x:v>
      </x:c>
      <x:c r="I136" s="324">
        <x:v>0</x:v>
      </x:c>
      <x:c r="J136" s="324">
        <x:v>0</x:v>
      </x:c>
      <x:c r="K136" s="324">
        <x:v>0</x:v>
      </x:c>
      <x:c r="L136" s="324">
        <x:v>0</x:v>
      </x:c>
      <x:c r="M136" s="324">
        <x:v>0</x:v>
      </x:c>
      <x:c r="N136" s="324">
        <x:v>0</x:v>
      </x:c>
      <x:c r="O136" s="324">
        <x:v>0</x:v>
      </x:c>
      <x:c r="P136" s="324">
        <x:v>0</x:v>
      </x:c>
      <x:c r="Q136" s="324">
        <x:v>0</x:v>
      </x:c>
      <x:c r="R136" s="324">
        <x:v>0</x:v>
      </x:c>
      <x:c r="S136" s="324">
        <x:v>0</x:v>
      </x:c>
      <x:c r="T136" s="324">
        <x:v>0</x:v>
      </x:c>
      <x:c r="U136" s="324">
        <x:v>0</x:v>
      </x:c>
      <x:c r="V136" s="324">
        <x:v>0</x:v>
      </x:c>
      <x:c r="W136" s="324">
        <x:v>0</x:v>
      </x:c>
      <x:c r="X136" s="324">
        <x:v>0</x:v>
      </x:c>
      <x:c r="Y136" s="324">
        <x:v>0</x:v>
      </x:c>
      <x:c r="Z136" s="257">
        <x:f t="shared" si="5"/>
        <x:v>0</x:v>
      </x:c>
    </x:row>
    <x:row r="137">
      <x:c r="A137" s="148" t="s">
        <x:v>107</x:v>
      </x:c>
      <x:c r="B137">
        <x:v>4</x:v>
      </x:c>
      <x:c r="C137" s="148" t="s">
        <x:v>115</x:v>
      </x:c>
      <x:c r="D137">
        <x:v>412</x:v>
      </x:c>
      <x:c r="E137" s="324">
        <x:v>0</x:v>
      </x:c>
      <x:c r="F137" s="324">
        <x:v>0</x:v>
      </x:c>
      <x:c r="G137" s="324">
        <x:v>0</x:v>
      </x:c>
      <x:c r="H137" s="324">
        <x:v>0</x:v>
      </x:c>
      <x:c r="I137" s="324">
        <x:v>0</x:v>
      </x:c>
      <x:c r="J137" s="324">
        <x:v>0</x:v>
      </x:c>
      <x:c r="K137" s="324">
        <x:v>0</x:v>
      </x:c>
      <x:c r="L137" s="324">
        <x:v>0</x:v>
      </x:c>
      <x:c r="M137" s="324">
        <x:v>0</x:v>
      </x:c>
      <x:c r="N137" s="324">
        <x:v>0</x:v>
      </x:c>
      <x:c r="O137" s="324">
        <x:v>0</x:v>
      </x:c>
      <x:c r="P137" s="324">
        <x:v>0</x:v>
      </x:c>
      <x:c r="Q137" s="324">
        <x:v>0</x:v>
      </x:c>
      <x:c r="R137" s="324">
        <x:v>0</x:v>
      </x:c>
      <x:c r="S137" s="324">
        <x:v>0</x:v>
      </x:c>
      <x:c r="T137" s="324">
        <x:v>0</x:v>
      </x:c>
      <x:c r="U137" s="324">
        <x:v>0</x:v>
      </x:c>
      <x:c r="V137" s="324">
        <x:v>0</x:v>
      </x:c>
      <x:c r="W137" s="324">
        <x:v>0</x:v>
      </x:c>
      <x:c r="X137" s="324">
        <x:v>0</x:v>
      </x:c>
      <x:c r="Y137" s="324">
        <x:v>0</x:v>
      </x:c>
      <x:c r="Z137" s="257">
        <x:f t="shared" si="5"/>
        <x:v>0</x:v>
      </x:c>
    </x:row>
    <x:row r="138">
      <x:c r="A138" s="148" t="s">
        <x:v>107</x:v>
      </x:c>
      <x:c r="B138">
        <x:v>4</x:v>
      </x:c>
      <x:c r="C138" s="148" t="s">
        <x:v>115</x:v>
      </x:c>
      <x:c r="D138">
        <x:v>413</x:v>
      </x:c>
      <x:c r="E138" s="324">
        <x:v>0</x:v>
      </x:c>
      <x:c r="F138" s="324">
        <x:v>0</x:v>
      </x:c>
      <x:c r="G138" s="324">
        <x:v>0</x:v>
      </x:c>
      <x:c r="H138" s="324">
        <x:v>0</x:v>
      </x:c>
      <x:c r="I138" s="324">
        <x:v>0</x:v>
      </x:c>
      <x:c r="J138" s="324">
        <x:v>0</x:v>
      </x:c>
      <x:c r="K138" s="324">
        <x:v>0</x:v>
      </x:c>
      <x:c r="L138" s="324">
        <x:v>0</x:v>
      </x:c>
      <x:c r="M138" s="324">
        <x:v>0</x:v>
      </x:c>
      <x:c r="N138" s="324">
        <x:v>0</x:v>
      </x:c>
      <x:c r="O138" s="324">
        <x:v>0</x:v>
      </x:c>
      <x:c r="P138" s="324">
        <x:v>0</x:v>
      </x:c>
      <x:c r="Q138" s="324">
        <x:v>0</x:v>
      </x:c>
      <x:c r="R138" s="324">
        <x:v>0</x:v>
      </x:c>
      <x:c r="S138" s="324">
        <x:v>0</x:v>
      </x:c>
      <x:c r="T138" s="324">
        <x:v>0</x:v>
      </x:c>
      <x:c r="U138" s="324">
        <x:v>0</x:v>
      </x:c>
      <x:c r="V138" s="324">
        <x:v>0</x:v>
      </x:c>
      <x:c r="W138" s="324">
        <x:v>0</x:v>
      </x:c>
      <x:c r="X138" s="324">
        <x:v>0</x:v>
      </x:c>
      <x:c r="Y138" s="324">
        <x:v>0</x:v>
      </x:c>
      <x:c r="Z138" s="257">
        <x:f t="shared" si="5"/>
        <x:v>0</x:v>
      </x:c>
    </x:row>
    <x:row r="139">
      <x:c r="A139" s="148" t="s">
        <x:v>107</x:v>
      </x:c>
      <x:c r="B139">
        <x:v>4</x:v>
      </x:c>
      <x:c r="C139" s="148" t="s">
        <x:v>115</x:v>
      </x:c>
      <x:c r="D139">
        <x:v>414</x:v>
      </x:c>
      <x:c r="E139" s="324">
        <x:v>0</x:v>
      </x:c>
      <x:c r="F139" s="324">
        <x:v>0</x:v>
      </x:c>
      <x:c r="G139" s="324">
        <x:v>0</x:v>
      </x:c>
      <x:c r="H139" s="324">
        <x:v>0</x:v>
      </x:c>
      <x:c r="I139" s="324">
        <x:v>0</x:v>
      </x:c>
      <x:c r="J139" s="324">
        <x:v>0</x:v>
      </x:c>
      <x:c r="K139" s="324">
        <x:v>0</x:v>
      </x:c>
      <x:c r="L139" s="324">
        <x:v>0</x:v>
      </x:c>
      <x:c r="M139" s="324">
        <x:v>0</x:v>
      </x:c>
      <x:c r="N139" s="324">
        <x:v>0</x:v>
      </x:c>
      <x:c r="O139" s="324">
        <x:v>0</x:v>
      </x:c>
      <x:c r="P139" s="324">
        <x:v>0</x:v>
      </x:c>
      <x:c r="Q139" s="324">
        <x:v>0</x:v>
      </x:c>
      <x:c r="R139" s="324">
        <x:v>0</x:v>
      </x:c>
      <x:c r="S139" s="324">
        <x:v>0</x:v>
      </x:c>
      <x:c r="T139" s="324">
        <x:v>0</x:v>
      </x:c>
      <x:c r="U139" s="324">
        <x:v>0</x:v>
      </x:c>
      <x:c r="V139" s="324">
        <x:v>0</x:v>
      </x:c>
      <x:c r="W139" s="324">
        <x:v>0</x:v>
      </x:c>
      <x:c r="X139" s="324">
        <x:v>0</x:v>
      </x:c>
      <x:c r="Y139" s="324">
        <x:v>0</x:v>
      </x:c>
      <x:c r="Z139" s="257">
        <x:f t="shared" si="5"/>
        <x:v>0</x:v>
      </x:c>
    </x:row>
    <x:row r="140">
      <x:c r="A140" s="148" t="s">
        <x:v>107</x:v>
      </x:c>
      <x:c r="B140">
        <x:v>4</x:v>
      </x:c>
      <x:c r="C140" s="148" t="s">
        <x:v>115</x:v>
      </x:c>
      <x:c r="D140">
        <x:v>415</x:v>
      </x:c>
      <x:c r="E140" s="324">
        <x:v>0</x:v>
      </x:c>
      <x:c r="F140" s="324">
        <x:v>0</x:v>
      </x:c>
      <x:c r="G140" s="324">
        <x:v>0</x:v>
      </x:c>
      <x:c r="H140" s="324">
        <x:v>0</x:v>
      </x:c>
      <x:c r="I140" s="324">
        <x:v>0</x:v>
      </x:c>
      <x:c r="J140" s="324">
        <x:v>0</x:v>
      </x:c>
      <x:c r="K140" s="324">
        <x:v>0</x:v>
      </x:c>
      <x:c r="L140" s="324">
        <x:v>0</x:v>
      </x:c>
      <x:c r="M140" s="324">
        <x:v>0</x:v>
      </x:c>
      <x:c r="N140" s="324">
        <x:v>0</x:v>
      </x:c>
      <x:c r="O140" s="324">
        <x:v>0</x:v>
      </x:c>
      <x:c r="P140" s="324">
        <x:v>0</x:v>
      </x:c>
      <x:c r="Q140" s="324">
        <x:v>0</x:v>
      </x:c>
      <x:c r="R140" s="324">
        <x:v>0</x:v>
      </x:c>
      <x:c r="S140" s="324">
        <x:v>0</x:v>
      </x:c>
      <x:c r="T140" s="324">
        <x:v>0</x:v>
      </x:c>
      <x:c r="U140" s="324">
        <x:v>0</x:v>
      </x:c>
      <x:c r="V140" s="324">
        <x:v>0</x:v>
      </x:c>
      <x:c r="W140" s="324">
        <x:v>0</x:v>
      </x:c>
      <x:c r="X140" s="324">
        <x:v>0</x:v>
      </x:c>
      <x:c r="Y140" s="324">
        <x:v>0</x:v>
      </x:c>
      <x:c r="Z140" s="257">
        <x:f t="shared" si="5"/>
        <x:v>0</x:v>
      </x:c>
    </x:row>
    <x:row r="141">
      <x:c r="A141" s="148" t="s">
        <x:v>107</x:v>
      </x:c>
      <x:c r="B141">
        <x:v>4</x:v>
      </x:c>
      <x:c r="C141" s="148" t="s">
        <x:v>115</x:v>
      </x:c>
      <x:c r="D141">
        <x:v>416</x:v>
      </x:c>
      <x:c r="E141" s="324">
        <x:v>0</x:v>
      </x:c>
      <x:c r="F141" s="324">
        <x:v>0</x:v>
      </x:c>
      <x:c r="G141" s="324">
        <x:v>0</x:v>
      </x:c>
      <x:c r="H141" s="324">
        <x:v>0</x:v>
      </x:c>
      <x:c r="I141" s="324">
        <x:v>0</x:v>
      </x:c>
      <x:c r="J141" s="324">
        <x:v>0</x:v>
      </x:c>
      <x:c r="K141" s="324">
        <x:v>0</x:v>
      </x:c>
      <x:c r="L141" s="324">
        <x:v>0</x:v>
      </x:c>
      <x:c r="M141" s="324">
        <x:v>0</x:v>
      </x:c>
      <x:c r="N141" s="324">
        <x:v>0</x:v>
      </x:c>
      <x:c r="O141" s="324">
        <x:v>0</x:v>
      </x:c>
      <x:c r="P141" s="324">
        <x:v>0</x:v>
      </x:c>
      <x:c r="Q141" s="324">
        <x:v>0</x:v>
      </x:c>
      <x:c r="R141" s="324">
        <x:v>0</x:v>
      </x:c>
      <x:c r="S141" s="324">
        <x:v>0</x:v>
      </x:c>
      <x:c r="T141" s="324">
        <x:v>0</x:v>
      </x:c>
      <x:c r="U141" s="324">
        <x:v>0</x:v>
      </x:c>
      <x:c r="V141" s="324">
        <x:v>0</x:v>
      </x:c>
      <x:c r="W141" s="324">
        <x:v>0</x:v>
      </x:c>
      <x:c r="X141" s="324">
        <x:v>0</x:v>
      </x:c>
      <x:c r="Y141" s="324">
        <x:v>0</x:v>
      </x:c>
      <x:c r="Z141" s="257">
        <x:f t="shared" si="5"/>
        <x:v>0</x:v>
      </x:c>
    </x:row>
    <x:row r="142">
      <x:c r="A142" s="148" t="s">
        <x:v>107</x:v>
      </x:c>
      <x:c r="B142">
        <x:v>4</x:v>
      </x:c>
      <x:c r="C142" s="148" t="s">
        <x:v>115</x:v>
      </x:c>
      <x:c r="D142">
        <x:v>417</x:v>
      </x:c>
      <x:c r="E142" s="324">
        <x:v>0</x:v>
      </x:c>
      <x:c r="F142" s="324">
        <x:v>0</x:v>
      </x:c>
      <x:c r="G142" s="324">
        <x:v>0</x:v>
      </x:c>
      <x:c r="H142" s="324">
        <x:v>0</x:v>
      </x:c>
      <x:c r="I142" s="324">
        <x:v>0</x:v>
      </x:c>
      <x:c r="J142" s="324">
        <x:v>0</x:v>
      </x:c>
      <x:c r="K142" s="324">
        <x:v>0</x:v>
      </x:c>
      <x:c r="L142" s="324">
        <x:v>0</x:v>
      </x:c>
      <x:c r="M142" s="324">
        <x:v>0</x:v>
      </x:c>
      <x:c r="N142" s="324">
        <x:v>0</x:v>
      </x:c>
      <x:c r="O142" s="324">
        <x:v>0</x:v>
      </x:c>
      <x:c r="P142" s="324">
        <x:v>0</x:v>
      </x:c>
      <x:c r="Q142" s="324">
        <x:v>0</x:v>
      </x:c>
      <x:c r="R142" s="324">
        <x:v>0</x:v>
      </x:c>
      <x:c r="S142" s="324">
        <x:v>0</x:v>
      </x:c>
      <x:c r="T142" s="324">
        <x:v>0</x:v>
      </x:c>
      <x:c r="U142" s="324">
        <x:v>0</x:v>
      </x:c>
      <x:c r="V142" s="324">
        <x:v>0</x:v>
      </x:c>
      <x:c r="W142" s="324">
        <x:v>0</x:v>
      </x:c>
      <x:c r="X142" s="324">
        <x:v>0</x:v>
      </x:c>
      <x:c r="Y142" s="324">
        <x:v>0</x:v>
      </x:c>
      <x:c r="Z142" s="257">
        <x:f t="shared" si="5"/>
        <x:v>0</x:v>
      </x:c>
    </x:row>
    <x:row r="143">
      <x:c r="A143" s="148" t="s">
        <x:v>107</x:v>
      </x:c>
      <x:c r="B143">
        <x:v>4</x:v>
      </x:c>
      <x:c r="C143" s="148" t="s">
        <x:v>115</x:v>
      </x:c>
      <x:c r="D143">
        <x:v>418</x:v>
      </x:c>
      <x:c r="E143" s="324">
        <x:v>0</x:v>
      </x:c>
      <x:c r="F143" s="324">
        <x:v>0</x:v>
      </x:c>
      <x:c r="G143" s="324">
        <x:v>0</x:v>
      </x:c>
      <x:c r="H143" s="324">
        <x:v>0</x:v>
      </x:c>
      <x:c r="I143" s="324">
        <x:v>0</x:v>
      </x:c>
      <x:c r="J143" s="324">
        <x:v>0</x:v>
      </x:c>
      <x:c r="K143" s="324">
        <x:v>0</x:v>
      </x:c>
      <x:c r="L143" s="324">
        <x:v>0</x:v>
      </x:c>
      <x:c r="M143" s="324">
        <x:v>0</x:v>
      </x:c>
      <x:c r="N143" s="324">
        <x:v>0</x:v>
      </x:c>
      <x:c r="O143" s="324">
        <x:v>0</x:v>
      </x:c>
      <x:c r="P143" s="324">
        <x:v>0</x:v>
      </x:c>
      <x:c r="Q143" s="324">
        <x:v>0</x:v>
      </x:c>
      <x:c r="R143" s="324">
        <x:v>0</x:v>
      </x:c>
      <x:c r="S143" s="324">
        <x:v>0</x:v>
      </x:c>
      <x:c r="T143" s="324">
        <x:v>0</x:v>
      </x:c>
      <x:c r="U143" s="324">
        <x:v>0</x:v>
      </x:c>
      <x:c r="V143" s="324">
        <x:v>0</x:v>
      </x:c>
      <x:c r="W143" s="324">
        <x:v>0</x:v>
      </x:c>
      <x:c r="X143" s="324">
        <x:v>0</x:v>
      </x:c>
      <x:c r="Y143" s="324">
        <x:v>0</x:v>
      </x:c>
      <x:c r="Z143" s="257">
        <x:f t="shared" si="5"/>
        <x:v>0</x:v>
      </x:c>
    </x:row>
    <x:row r="144">
      <x:c r="A144" s="148" t="s">
        <x:v>107</x:v>
      </x:c>
      <x:c r="B144">
        <x:v>4</x:v>
      </x:c>
      <x:c r="C144" s="148" t="s">
        <x:v>115</x:v>
      </x:c>
      <x:c r="D144">
        <x:v>419</x:v>
      </x:c>
      <x:c r="E144" s="324">
        <x:v>0</x:v>
      </x:c>
      <x:c r="F144" s="324">
        <x:v>0</x:v>
      </x:c>
      <x:c r="G144" s="324">
        <x:v>0</x:v>
      </x:c>
      <x:c r="H144" s="324">
        <x:v>0</x:v>
      </x:c>
      <x:c r="I144" s="324">
        <x:v>0</x:v>
      </x:c>
      <x:c r="J144" s="324">
        <x:v>0</x:v>
      </x:c>
      <x:c r="K144" s="324">
        <x:v>0</x:v>
      </x:c>
      <x:c r="L144" s="324">
        <x:v>0</x:v>
      </x:c>
      <x:c r="M144" s="324">
        <x:v>0</x:v>
      </x:c>
      <x:c r="N144" s="324">
        <x:v>0</x:v>
      </x:c>
      <x:c r="O144" s="324">
        <x:v>0</x:v>
      </x:c>
      <x:c r="P144" s="324">
        <x:v>0</x:v>
      </x:c>
      <x:c r="Q144" s="324">
        <x:v>0</x:v>
      </x:c>
      <x:c r="R144" s="324">
        <x:v>0</x:v>
      </x:c>
      <x:c r="S144" s="324">
        <x:v>0</x:v>
      </x:c>
      <x:c r="T144" s="324">
        <x:v>0</x:v>
      </x:c>
      <x:c r="U144" s="324">
        <x:v>0</x:v>
      </x:c>
      <x:c r="V144" s="324">
        <x:v>0</x:v>
      </x:c>
      <x:c r="W144" s="324">
        <x:v>0</x:v>
      </x:c>
      <x:c r="X144" s="324">
        <x:v>0</x:v>
      </x:c>
      <x:c r="Y144" s="324">
        <x:v>0</x:v>
      </x:c>
      <x:c r="Z144" s="257">
        <x:f t="shared" si="5"/>
        <x:v>0</x:v>
      </x:c>
    </x:row>
    <x:row r="145">
      <x:c r="A145" s="148" t="s">
        <x:v>107</x:v>
      </x:c>
      <x:c r="B145">
        <x:v>4</x:v>
      </x:c>
      <x:c r="C145" s="148" t="s">
        <x:v>115</x:v>
      </x:c>
      <x:c r="D145">
        <x:v>420</x:v>
      </x:c>
      <x:c r="E145" s="324">
        <x:v>0</x:v>
      </x:c>
      <x:c r="F145" s="324">
        <x:v>0</x:v>
      </x:c>
      <x:c r="G145" s="324">
        <x:v>0</x:v>
      </x:c>
      <x:c r="H145" s="324">
        <x:v>0</x:v>
      </x:c>
      <x:c r="I145" s="324">
        <x:v>0</x:v>
      </x:c>
      <x:c r="J145" s="324">
        <x:v>0</x:v>
      </x:c>
      <x:c r="K145" s="324">
        <x:v>0</x:v>
      </x:c>
      <x:c r="L145" s="324">
        <x:v>0</x:v>
      </x:c>
      <x:c r="M145" s="324">
        <x:v>0</x:v>
      </x:c>
      <x:c r="N145" s="324">
        <x:v>0</x:v>
      </x:c>
      <x:c r="O145" s="324">
        <x:v>0</x:v>
      </x:c>
      <x:c r="P145" s="324">
        <x:v>0</x:v>
      </x:c>
      <x:c r="Q145" s="324">
        <x:v>0</x:v>
      </x:c>
      <x:c r="R145" s="324">
        <x:v>0</x:v>
      </x:c>
      <x:c r="S145" s="324">
        <x:v>0</x:v>
      </x:c>
      <x:c r="T145" s="324">
        <x:v>0</x:v>
      </x:c>
      <x:c r="U145" s="324">
        <x:v>0</x:v>
      </x:c>
      <x:c r="V145" s="324">
        <x:v>0</x:v>
      </x:c>
      <x:c r="W145" s="324">
        <x:v>0</x:v>
      </x:c>
      <x:c r="X145" s="324">
        <x:v>0</x:v>
      </x:c>
      <x:c r="Y145" s="324">
        <x:v>0</x:v>
      </x:c>
      <x:c r="Z145" s="257">
        <x:f t="shared" si="5"/>
        <x:v>0</x:v>
      </x:c>
    </x:row>
    <x:row r="146">
      <x:c r="A146" s="148" t="s">
        <x:v>107</x:v>
      </x:c>
      <x:c r="B146">
        <x:v>4</x:v>
      </x:c>
      <x:c r="C146" s="148" t="s">
        <x:v>115</x:v>
      </x:c>
      <x:c r="D146">
        <x:v>421</x:v>
      </x:c>
      <x:c r="E146" s="324">
        <x:v>0</x:v>
      </x:c>
      <x:c r="F146" s="324">
        <x:v>0</x:v>
      </x:c>
      <x:c r="G146" s="324">
        <x:v>0</x:v>
      </x:c>
      <x:c r="H146" s="324">
        <x:v>0</x:v>
      </x:c>
      <x:c r="I146" s="324">
        <x:v>0</x:v>
      </x:c>
      <x:c r="J146" s="324">
        <x:v>0</x:v>
      </x:c>
      <x:c r="K146" s="324">
        <x:v>0</x:v>
      </x:c>
      <x:c r="L146" s="324">
        <x:v>0</x:v>
      </x:c>
      <x:c r="M146" s="324">
        <x:v>0</x:v>
      </x:c>
      <x:c r="N146" s="324">
        <x:v>0</x:v>
      </x:c>
      <x:c r="O146" s="324">
        <x:v>0</x:v>
      </x:c>
      <x:c r="P146" s="324">
        <x:v>0</x:v>
      </x:c>
      <x:c r="Q146" s="324">
        <x:v>0</x:v>
      </x:c>
      <x:c r="R146" s="324">
        <x:v>0</x:v>
      </x:c>
      <x:c r="S146" s="324">
        <x:v>0</x:v>
      </x:c>
      <x:c r="T146" s="324">
        <x:v>0</x:v>
      </x:c>
      <x:c r="U146" s="324">
        <x:v>0</x:v>
      </x:c>
      <x:c r="V146" s="324">
        <x:v>0</x:v>
      </x:c>
      <x:c r="W146" s="324">
        <x:v>0</x:v>
      </x:c>
      <x:c r="X146" s="324">
        <x:v>0</x:v>
      </x:c>
      <x:c r="Y146" s="324">
        <x:v>0</x:v>
      </x:c>
      <x:c r="Z146" s="257">
        <x:f t="shared" si="5"/>
        <x:v>0</x:v>
      </x:c>
    </x:row>
    <x:row r="147">
      <x:c r="A147" s="148"/>
      <x:c r="B147"/>
      <x:c r="C147" s="148"/>
      <x:c r="D147" s="148"/>
      <x:c r="E147" s="324"/>
      <x:c r="F147" s="324">
        <x:f t="shared" ref="F147:Y147" si="6">AVERAGE(F103:F146)</x:f>
      </x:c>
      <x:c r="G147" s="324">
        <x:f t="shared" si="6"/>
      </x:c>
      <x:c r="H147" s="324">
        <x:f t="shared" si="6"/>
      </x:c>
      <x:c r="I147" s="324">
        <x:f t="shared" si="6"/>
      </x:c>
      <x:c r="J147" s="324">
        <x:f t="shared" si="6"/>
      </x:c>
      <x:c r="K147" s="324">
        <x:f t="shared" si="6"/>
      </x:c>
      <x:c r="L147" s="324">
        <x:f t="shared" si="6"/>
      </x:c>
      <x:c r="M147" s="324">
        <x:f t="shared" si="6"/>
      </x:c>
      <x:c r="N147" s="324">
        <x:f t="shared" si="6"/>
      </x:c>
      <x:c r="O147" s="324">
        <x:f t="shared" si="6"/>
      </x:c>
      <x:c r="P147" s="324">
        <x:f t="shared" si="6"/>
      </x:c>
      <x:c r="Q147" s="324">
        <x:f t="shared" si="6"/>
      </x:c>
      <x:c r="R147" s="324">
        <x:f t="shared" si="6"/>
      </x:c>
      <x:c r="S147" s="324">
        <x:f t="shared" si="6"/>
      </x:c>
      <x:c r="T147" s="324">
        <x:f t="shared" si="6"/>
      </x:c>
      <x:c r="U147" s="324">
        <x:f t="shared" si="6"/>
      </x:c>
      <x:c r="V147" s="324">
        <x:f t="shared" si="6"/>
      </x:c>
      <x:c r="W147" s="324">
        <x:f t="shared" si="6"/>
      </x:c>
      <x:c r="X147" s="324">
        <x:f t="shared" si="6"/>
      </x:c>
      <x:c r="Y147" s="324">
        <x:f t="shared" si="6"/>
      </x:c>
      <x:c r="Z147" s="257">
        <x:f t="shared" si="5"/>
      </x:c>
    </x:row>
    <x:row r="148">
      <x:c r="A148" s="148" t="s">
        <x:v>107</x:v>
      </x:c>
      <x:c r="B148">
        <x:v>5</x:v>
      </x:c>
      <x:c r="C148" s="148" t="s">
        <x:v>116</x:v>
      </x:c>
      <x:c r="D148">
        <x:v>501</x:v>
      </x:c>
      <x:c r="E148" s="324">
        <x:v>0</x:v>
      </x:c>
      <x:c r="F148" s="324">
        <x:v>0</x:v>
      </x:c>
      <x:c r="G148" s="324">
        <x:v>0</x:v>
      </x:c>
      <x:c r="H148" s="324">
        <x:v>0</x:v>
      </x:c>
      <x:c r="I148" s="324">
        <x:v>0</x:v>
      </x:c>
      <x:c r="J148" s="324">
        <x:v>0</x:v>
      </x:c>
      <x:c r="K148" s="324">
        <x:v>0</x:v>
      </x:c>
      <x:c r="L148" s="324">
        <x:v>0</x:v>
      </x:c>
      <x:c r="M148" s="324">
        <x:v>0</x:v>
      </x:c>
      <x:c r="N148" s="324">
        <x:v>0</x:v>
      </x:c>
      <x:c r="O148" s="324">
        <x:v>0</x:v>
      </x:c>
      <x:c r="P148" s="324">
        <x:v>0</x:v>
      </x:c>
      <x:c r="Q148" s="324">
        <x:v>0</x:v>
      </x:c>
      <x:c r="R148" s="324">
        <x:v>0</x:v>
      </x:c>
      <x:c r="S148" s="324">
        <x:v>0</x:v>
      </x:c>
      <x:c r="T148" s="324">
        <x:v>0</x:v>
      </x:c>
      <x:c r="U148" s="324">
        <x:v>0</x:v>
      </x:c>
      <x:c r="V148" s="324">
        <x:v>0</x:v>
      </x:c>
      <x:c r="W148" s="324">
        <x:v>0</x:v>
      </x:c>
      <x:c r="X148" s="324">
        <x:v>0</x:v>
      </x:c>
      <x:c r="Y148" s="324">
        <x:v>0</x:v>
      </x:c>
      <x:c r="Z148" s="257">
        <x:f t="shared" si="5"/>
        <x:v>0</x:v>
      </x:c>
    </x:row>
    <x:row r="149">
      <x:c r="A149" s="148" t="s">
        <x:v>107</x:v>
      </x:c>
      <x:c r="B149">
        <x:v>5</x:v>
      </x:c>
      <x:c r="C149" s="148" t="s">
        <x:v>116</x:v>
      </x:c>
      <x:c r="D149">
        <x:v>502</x:v>
      </x:c>
      <x:c r="E149" s="324">
        <x:v>0</x:v>
      </x:c>
      <x:c r="F149" s="324">
        <x:v>0</x:v>
      </x:c>
      <x:c r="G149" s="324">
        <x:v>0</x:v>
      </x:c>
      <x:c r="H149" s="324">
        <x:v>0</x:v>
      </x:c>
      <x:c r="I149" s="324">
        <x:v>0</x:v>
      </x:c>
      <x:c r="J149" s="324">
        <x:v>0</x:v>
      </x:c>
      <x:c r="K149" s="324">
        <x:v>0</x:v>
      </x:c>
      <x:c r="L149" s="324">
        <x:v>0</x:v>
      </x:c>
      <x:c r="M149" s="324">
        <x:v>0</x:v>
      </x:c>
      <x:c r="N149" s="324">
        <x:v>0</x:v>
      </x:c>
      <x:c r="O149" s="324">
        <x:v>0</x:v>
      </x:c>
      <x:c r="P149" s="324">
        <x:v>0</x:v>
      </x:c>
      <x:c r="Q149" s="324">
        <x:v>0</x:v>
      </x:c>
      <x:c r="R149" s="324">
        <x:v>0</x:v>
      </x:c>
      <x:c r="S149" s="324">
        <x:v>0</x:v>
      </x:c>
      <x:c r="T149" s="324">
        <x:v>0</x:v>
      </x:c>
      <x:c r="U149" s="324">
        <x:v>0</x:v>
      </x:c>
      <x:c r="V149" s="324">
        <x:v>0</x:v>
      </x:c>
      <x:c r="W149" s="324">
        <x:v>0</x:v>
      </x:c>
      <x:c r="X149" s="324">
        <x:v>0</x:v>
      </x:c>
      <x:c r="Y149" s="324">
        <x:v>0</x:v>
      </x:c>
      <x:c r="Z149" s="257">
        <x:f t="shared" si="5"/>
        <x:v>0</x:v>
      </x:c>
    </x:row>
    <x:row r="150">
      <x:c r="A150" s="148" t="s">
        <x:v>107</x:v>
      </x:c>
      <x:c r="B150">
        <x:v>5</x:v>
      </x:c>
      <x:c r="C150" s="148" t="s">
        <x:v>116</x:v>
      </x:c>
      <x:c r="D150">
        <x:v>503</x:v>
      </x:c>
      <x:c r="E150" s="324">
        <x:v>0</x:v>
      </x:c>
      <x:c r="F150" s="324">
        <x:v>0</x:v>
      </x:c>
      <x:c r="G150" s="324">
        <x:v>0</x:v>
      </x:c>
      <x:c r="H150" s="324">
        <x:v>0</x:v>
      </x:c>
      <x:c r="I150" s="324">
        <x:v>0</x:v>
      </x:c>
      <x:c r="J150" s="324">
        <x:v>0</x:v>
      </x:c>
      <x:c r="K150" s="324">
        <x:v>0</x:v>
      </x:c>
      <x:c r="L150" s="324">
        <x:v>0</x:v>
      </x:c>
      <x:c r="M150" s="324">
        <x:v>0</x:v>
      </x:c>
      <x:c r="N150" s="324">
        <x:v>0</x:v>
      </x:c>
      <x:c r="O150" s="324">
        <x:v>0</x:v>
      </x:c>
      <x:c r="P150" s="324">
        <x:v>0</x:v>
      </x:c>
      <x:c r="Q150" s="324">
        <x:v>0</x:v>
      </x:c>
      <x:c r="R150" s="324">
        <x:v>0</x:v>
      </x:c>
      <x:c r="S150" s="324">
        <x:v>0</x:v>
      </x:c>
      <x:c r="T150" s="324">
        <x:v>0</x:v>
      </x:c>
      <x:c r="U150" s="324">
        <x:v>0</x:v>
      </x:c>
      <x:c r="V150" s="324">
        <x:v>0</x:v>
      </x:c>
      <x:c r="W150" s="324">
        <x:v>0</x:v>
      </x:c>
      <x:c r="X150" s="324">
        <x:v>0</x:v>
      </x:c>
      <x:c r="Y150" s="324">
        <x:v>0</x:v>
      </x:c>
      <x:c r="Z150" s="257">
        <x:f t="shared" si="5"/>
        <x:v>0</x:v>
      </x:c>
    </x:row>
    <x:row r="151">
      <x:c r="A151" s="148" t="s">
        <x:v>107</x:v>
      </x:c>
      <x:c r="B151">
        <x:v>5</x:v>
      </x:c>
      <x:c r="C151" s="148" t="s">
        <x:v>116</x:v>
      </x:c>
      <x:c r="D151">
        <x:v>504</x:v>
      </x:c>
      <x:c r="E151" s="324">
        <x:v>0</x:v>
      </x:c>
      <x:c r="F151" s="324">
        <x:v>0</x:v>
      </x:c>
      <x:c r="G151" s="324">
        <x:v>0</x:v>
      </x:c>
      <x:c r="H151" s="324">
        <x:v>0</x:v>
      </x:c>
      <x:c r="I151" s="324">
        <x:v>0</x:v>
      </x:c>
      <x:c r="J151" s="324">
        <x:v>0</x:v>
      </x:c>
      <x:c r="K151" s="324">
        <x:v>0</x:v>
      </x:c>
      <x:c r="L151" s="324">
        <x:v>0</x:v>
      </x:c>
      <x:c r="M151" s="324">
        <x:v>0</x:v>
      </x:c>
      <x:c r="N151" s="324">
        <x:v>0</x:v>
      </x:c>
      <x:c r="O151" s="324">
        <x:v>0</x:v>
      </x:c>
      <x:c r="P151" s="324">
        <x:v>0</x:v>
      </x:c>
      <x:c r="Q151" s="324">
        <x:v>0</x:v>
      </x:c>
      <x:c r="R151" s="324">
        <x:v>0</x:v>
      </x:c>
      <x:c r="S151" s="324">
        <x:v>0</x:v>
      </x:c>
      <x:c r="T151" s="324">
        <x:v>0</x:v>
      </x:c>
      <x:c r="U151" s="324">
        <x:v>0</x:v>
      </x:c>
      <x:c r="V151" s="324">
        <x:v>0</x:v>
      </x:c>
      <x:c r="W151" s="324">
        <x:v>0</x:v>
      </x:c>
      <x:c r="X151" s="324">
        <x:v>0</x:v>
      </x:c>
      <x:c r="Y151" s="324">
        <x:v>0</x:v>
      </x:c>
      <x:c r="Z151" s="257">
        <x:f t="shared" si="5"/>
        <x:v>0</x:v>
      </x:c>
    </x:row>
    <x:row r="152">
      <x:c r="A152" s="148" t="s">
        <x:v>107</x:v>
      </x:c>
      <x:c r="B152">
        <x:v>5</x:v>
      </x:c>
      <x:c r="C152" s="148" t="s">
        <x:v>116</x:v>
      </x:c>
      <x:c r="D152">
        <x:v>505</x:v>
      </x:c>
      <x:c r="E152" s="324">
        <x:v>0</x:v>
      </x:c>
      <x:c r="F152" s="324">
        <x:v>0</x:v>
      </x:c>
      <x:c r="G152" s="324">
        <x:v>0</x:v>
      </x:c>
      <x:c r="H152" s="324">
        <x:v>0</x:v>
      </x:c>
      <x:c r="I152" s="324">
        <x:v>0</x:v>
      </x:c>
      <x:c r="J152" s="324">
        <x:v>0</x:v>
      </x:c>
      <x:c r="K152" s="324">
        <x:v>0</x:v>
      </x:c>
      <x:c r="L152" s="324">
        <x:v>0</x:v>
      </x:c>
      <x:c r="M152" s="324">
        <x:v>0</x:v>
      </x:c>
      <x:c r="N152" s="324">
        <x:v>0</x:v>
      </x:c>
      <x:c r="O152" s="324">
        <x:v>0</x:v>
      </x:c>
      <x:c r="P152" s="324">
        <x:v>0</x:v>
      </x:c>
      <x:c r="Q152" s="324">
        <x:v>0</x:v>
      </x:c>
      <x:c r="R152" s="324">
        <x:v>0</x:v>
      </x:c>
      <x:c r="S152" s="324">
        <x:v>0</x:v>
      </x:c>
      <x:c r="T152" s="324">
        <x:v>0</x:v>
      </x:c>
      <x:c r="U152" s="324">
        <x:v>0</x:v>
      </x:c>
      <x:c r="V152" s="324">
        <x:v>0</x:v>
      </x:c>
      <x:c r="W152" s="324">
        <x:v>0</x:v>
      </x:c>
      <x:c r="X152" s="324">
        <x:v>0</x:v>
      </x:c>
      <x:c r="Y152" s="324">
        <x:v>0</x:v>
      </x:c>
      <x:c r="Z152" s="257">
        <x:f t="shared" si="5"/>
        <x:v>0</x:v>
      </x:c>
    </x:row>
    <x:row r="153">
      <x:c r="A153" s="148" t="s">
        <x:v>107</x:v>
      </x:c>
      <x:c r="B153">
        <x:v>5</x:v>
      </x:c>
      <x:c r="C153" s="148" t="s">
        <x:v>116</x:v>
      </x:c>
      <x:c r="D153">
        <x:v>506</x:v>
      </x:c>
      <x:c r="E153" s="324">
        <x:v>0</x:v>
      </x:c>
      <x:c r="F153" s="324">
        <x:v>0</x:v>
      </x:c>
      <x:c r="G153" s="324">
        <x:v>0</x:v>
      </x:c>
      <x:c r="H153" s="324">
        <x:v>0</x:v>
      </x:c>
      <x:c r="I153" s="324">
        <x:v>0</x:v>
      </x:c>
      <x:c r="J153" s="324">
        <x:v>0</x:v>
      </x:c>
      <x:c r="K153" s="324">
        <x:v>0</x:v>
      </x:c>
      <x:c r="L153" s="324">
        <x:v>0</x:v>
      </x:c>
      <x:c r="M153" s="324">
        <x:v>0</x:v>
      </x:c>
      <x:c r="N153" s="324">
        <x:v>0</x:v>
      </x:c>
      <x:c r="O153" s="324">
        <x:v>0</x:v>
      </x:c>
      <x:c r="P153" s="324">
        <x:v>0</x:v>
      </x:c>
      <x:c r="Q153" s="324">
        <x:v>0</x:v>
      </x:c>
      <x:c r="R153" s="324">
        <x:v>0</x:v>
      </x:c>
      <x:c r="S153" s="324">
        <x:v>0</x:v>
      </x:c>
      <x:c r="T153" s="324">
        <x:v>0</x:v>
      </x:c>
      <x:c r="U153" s="324">
        <x:v>0</x:v>
      </x:c>
      <x:c r="V153" s="324">
        <x:v>0</x:v>
      </x:c>
      <x:c r="W153" s="324">
        <x:v>0</x:v>
      </x:c>
      <x:c r="X153" s="324">
        <x:v>0</x:v>
      </x:c>
      <x:c r="Y153" s="324">
        <x:v>0</x:v>
      </x:c>
      <x:c r="Z153" s="257">
        <x:f t="shared" si="5"/>
        <x:v>0</x:v>
      </x:c>
    </x:row>
    <x:row r="154">
      <x:c r="A154" s="148" t="s">
        <x:v>107</x:v>
      </x:c>
      <x:c r="B154">
        <x:v>5</x:v>
      </x:c>
      <x:c r="C154" s="148" t="s">
        <x:v>116</x:v>
      </x:c>
      <x:c r="D154">
        <x:v>507</x:v>
      </x:c>
      <x:c r="E154" s="324">
        <x:v>0</x:v>
      </x:c>
      <x:c r="F154" s="324">
        <x:v>0</x:v>
      </x:c>
      <x:c r="G154" s="324">
        <x:v>0</x:v>
      </x:c>
      <x:c r="H154" s="324">
        <x:v>0</x:v>
      </x:c>
      <x:c r="I154" s="324">
        <x:v>0</x:v>
      </x:c>
      <x:c r="J154" s="324">
        <x:v>0</x:v>
      </x:c>
      <x:c r="K154" s="324">
        <x:v>0</x:v>
      </x:c>
      <x:c r="L154" s="324">
        <x:v>0</x:v>
      </x:c>
      <x:c r="M154" s="324">
        <x:v>0</x:v>
      </x:c>
      <x:c r="N154" s="324">
        <x:v>0</x:v>
      </x:c>
      <x:c r="O154" s="324">
        <x:v>0</x:v>
      </x:c>
      <x:c r="P154" s="324">
        <x:v>0</x:v>
      </x:c>
      <x:c r="Q154" s="324">
        <x:v>0</x:v>
      </x:c>
      <x:c r="R154" s="324">
        <x:v>0</x:v>
      </x:c>
      <x:c r="S154" s="324">
        <x:v>0</x:v>
      </x:c>
      <x:c r="T154" s="324">
        <x:v>0</x:v>
      </x:c>
      <x:c r="U154" s="324">
        <x:v>0</x:v>
      </x:c>
      <x:c r="V154" s="324">
        <x:v>0</x:v>
      </x:c>
      <x:c r="W154" s="324">
        <x:v>0</x:v>
      </x:c>
      <x:c r="X154" s="324">
        <x:v>0</x:v>
      </x:c>
      <x:c r="Y154" s="324">
        <x:v>0</x:v>
      </x:c>
      <x:c r="Z154" s="257">
        <x:f t="shared" si="5"/>
        <x:v>0</x:v>
      </x:c>
    </x:row>
    <x:row r="155">
      <x:c r="A155" s="148" t="s">
        <x:v>107</x:v>
      </x:c>
      <x:c r="B155">
        <x:v>5</x:v>
      </x:c>
      <x:c r="C155" s="148" t="s">
        <x:v>116</x:v>
      </x:c>
      <x:c r="D155">
        <x:v>508</x:v>
      </x:c>
      <x:c r="E155" s="324">
        <x:v>0</x:v>
      </x:c>
      <x:c r="F155" s="324">
        <x:v>0</x:v>
      </x:c>
      <x:c r="G155" s="324">
        <x:v>0</x:v>
      </x:c>
      <x:c r="H155" s="324">
        <x:v>0</x:v>
      </x:c>
      <x:c r="I155" s="324">
        <x:v>0</x:v>
      </x:c>
      <x:c r="J155" s="324">
        <x:v>0</x:v>
      </x:c>
      <x:c r="K155" s="324">
        <x:v>0</x:v>
      </x:c>
      <x:c r="L155" s="324">
        <x:v>0</x:v>
      </x:c>
      <x:c r="M155" s="324">
        <x:v>0</x:v>
      </x:c>
      <x:c r="N155" s="324">
        <x:v>0</x:v>
      </x:c>
      <x:c r="O155" s="324">
        <x:v>0</x:v>
      </x:c>
      <x:c r="P155" s="324">
        <x:v>0</x:v>
      </x:c>
      <x:c r="Q155" s="324">
        <x:v>0</x:v>
      </x:c>
      <x:c r="R155" s="324">
        <x:v>0</x:v>
      </x:c>
      <x:c r="S155" s="324">
        <x:v>0</x:v>
      </x:c>
      <x:c r="T155" s="324">
        <x:v>0</x:v>
      </x:c>
      <x:c r="U155" s="324">
        <x:v>0</x:v>
      </x:c>
      <x:c r="V155" s="324">
        <x:v>0</x:v>
      </x:c>
      <x:c r="W155" s="324">
        <x:v>0</x:v>
      </x:c>
      <x:c r="X155" s="324">
        <x:v>0</x:v>
      </x:c>
      <x:c r="Y155" s="324">
        <x:v>0</x:v>
      </x:c>
      <x:c r="Z155" s="257">
        <x:f t="shared" si="5"/>
        <x:v>0</x:v>
      </x:c>
    </x:row>
    <x:row r="156">
      <x:c r="A156" s="148" t="s">
        <x:v>107</x:v>
      </x:c>
      <x:c r="B156">
        <x:v>5</x:v>
      </x:c>
      <x:c r="C156" s="148" t="s">
        <x:v>116</x:v>
      </x:c>
      <x:c r="D156">
        <x:v>509</x:v>
      </x:c>
      <x:c r="E156" s="324">
        <x:v>0</x:v>
      </x:c>
      <x:c r="F156" s="324">
        <x:v>0</x:v>
      </x:c>
      <x:c r="G156" s="324">
        <x:v>0</x:v>
      </x:c>
      <x:c r="H156" s="324">
        <x:v>0</x:v>
      </x:c>
      <x:c r="I156" s="324">
        <x:v>0</x:v>
      </x:c>
      <x:c r="J156" s="324">
        <x:v>0</x:v>
      </x:c>
      <x:c r="K156" s="324">
        <x:v>0</x:v>
      </x:c>
      <x:c r="L156" s="324">
        <x:v>0</x:v>
      </x:c>
      <x:c r="M156" s="324">
        <x:v>0</x:v>
      </x:c>
      <x:c r="N156" s="324">
        <x:v>0</x:v>
      </x:c>
      <x:c r="O156" s="324">
        <x:v>0</x:v>
      </x:c>
      <x:c r="P156" s="324">
        <x:v>0</x:v>
      </x:c>
      <x:c r="Q156" s="324">
        <x:v>0</x:v>
      </x:c>
      <x:c r="R156" s="324">
        <x:v>0</x:v>
      </x:c>
      <x:c r="S156" s="324">
        <x:v>0</x:v>
      </x:c>
      <x:c r="T156" s="324">
        <x:v>0</x:v>
      </x:c>
      <x:c r="U156" s="324">
        <x:v>0</x:v>
      </x:c>
      <x:c r="V156" s="324">
        <x:v>0</x:v>
      </x:c>
      <x:c r="W156" s="324">
        <x:v>0</x:v>
      </x:c>
      <x:c r="X156" s="324">
        <x:v>0</x:v>
      </x:c>
      <x:c r="Y156" s="324">
        <x:v>0</x:v>
      </x:c>
      <x:c r="Z156" s="257">
        <x:f t="shared" si="5"/>
        <x:v>0</x:v>
      </x:c>
    </x:row>
    <x:row r="157">
      <x:c r="A157" s="148" t="s">
        <x:v>107</x:v>
      </x:c>
      <x:c r="B157">
        <x:v>5</x:v>
      </x:c>
      <x:c r="C157" s="148" t="s">
        <x:v>116</x:v>
      </x:c>
      <x:c r="D157">
        <x:v>510</x:v>
      </x:c>
      <x:c r="E157" s="324">
        <x:v>0</x:v>
      </x:c>
      <x:c r="F157" s="324">
        <x:v>0</x:v>
      </x:c>
      <x:c r="G157" s="324">
        <x:v>0</x:v>
      </x:c>
      <x:c r="H157" s="324">
        <x:v>0</x:v>
      </x:c>
      <x:c r="I157" s="324">
        <x:v>0</x:v>
      </x:c>
      <x:c r="J157" s="324">
        <x:v>0</x:v>
      </x:c>
      <x:c r="K157" s="324">
        <x:v>0</x:v>
      </x:c>
      <x:c r="L157" s="324">
        <x:v>0</x:v>
      </x:c>
      <x:c r="M157" s="324">
        <x:v>0</x:v>
      </x:c>
      <x:c r="N157" s="324">
        <x:v>0</x:v>
      </x:c>
      <x:c r="O157" s="324">
        <x:v>0</x:v>
      </x:c>
      <x:c r="P157" s="324">
        <x:v>0</x:v>
      </x:c>
      <x:c r="Q157" s="324">
        <x:v>0</x:v>
      </x:c>
      <x:c r="R157" s="324">
        <x:v>0</x:v>
      </x:c>
      <x:c r="S157" s="324">
        <x:v>0</x:v>
      </x:c>
      <x:c r="T157" s="324">
        <x:v>0</x:v>
      </x:c>
      <x:c r="U157" s="324">
        <x:v>0</x:v>
      </x:c>
      <x:c r="V157" s="324">
        <x:v>0</x:v>
      </x:c>
      <x:c r="W157" s="324">
        <x:v>0</x:v>
      </x:c>
      <x:c r="X157" s="324">
        <x:v>0</x:v>
      </x:c>
      <x:c r="Y157" s="324">
        <x:v>0</x:v>
      </x:c>
      <x:c r="Z157" s="257">
        <x:f t="shared" si="5"/>
        <x:v>0</x:v>
      </x:c>
    </x:row>
    <x:row r="158">
      <x:c r="A158" s="148" t="s">
        <x:v>107</x:v>
      </x:c>
      <x:c r="B158">
        <x:v>5</x:v>
      </x:c>
      <x:c r="C158" s="148" t="s">
        <x:v>116</x:v>
      </x:c>
      <x:c r="D158">
        <x:v>511</x:v>
      </x:c>
      <x:c r="E158" s="324">
        <x:v>0</x:v>
      </x:c>
      <x:c r="F158" s="324">
        <x:v>0</x:v>
      </x:c>
      <x:c r="G158" s="324">
        <x:v>0</x:v>
      </x:c>
      <x:c r="H158" s="324">
        <x:v>0</x:v>
      </x:c>
      <x:c r="I158" s="324">
        <x:v>0</x:v>
      </x:c>
      <x:c r="J158" s="324">
        <x:v>0</x:v>
      </x:c>
      <x:c r="K158" s="324">
        <x:v>0</x:v>
      </x:c>
      <x:c r="L158" s="324">
        <x:v>0</x:v>
      </x:c>
      <x:c r="M158" s="324">
        <x:v>0</x:v>
      </x:c>
      <x:c r="N158" s="324">
        <x:v>0</x:v>
      </x:c>
      <x:c r="O158" s="324">
        <x:v>0</x:v>
      </x:c>
      <x:c r="P158" s="324">
        <x:v>0</x:v>
      </x:c>
      <x:c r="Q158" s="324">
        <x:v>0</x:v>
      </x:c>
      <x:c r="R158" s="324">
        <x:v>0</x:v>
      </x:c>
      <x:c r="S158" s="324">
        <x:v>0</x:v>
      </x:c>
      <x:c r="T158" s="324">
        <x:v>0</x:v>
      </x:c>
      <x:c r="U158" s="324">
        <x:v>0</x:v>
      </x:c>
      <x:c r="V158" s="324">
        <x:v>0</x:v>
      </x:c>
      <x:c r="W158" s="324">
        <x:v>0</x:v>
      </x:c>
      <x:c r="X158" s="324">
        <x:v>0</x:v>
      </x:c>
      <x:c r="Y158" s="324">
        <x:v>0</x:v>
      </x:c>
      <x:c r="Z158" s="257">
        <x:f t="shared" si="5"/>
        <x:v>0</x:v>
      </x:c>
    </x:row>
    <x:row r="159">
      <x:c r="A159" s="148" t="s">
        <x:v>107</x:v>
      </x:c>
      <x:c r="B159">
        <x:v>5</x:v>
      </x:c>
      <x:c r="C159" s="148" t="s">
        <x:v>116</x:v>
      </x:c>
      <x:c r="D159">
        <x:v>512</x:v>
      </x:c>
      <x:c r="E159" s="324">
        <x:v>0</x:v>
      </x:c>
      <x:c r="F159" s="324">
        <x:v>0</x:v>
      </x:c>
      <x:c r="G159" s="324">
        <x:v>0</x:v>
      </x:c>
      <x:c r="H159" s="324">
        <x:v>0</x:v>
      </x:c>
      <x:c r="I159" s="324">
        <x:v>0</x:v>
      </x:c>
      <x:c r="J159" s="324">
        <x:v>0</x:v>
      </x:c>
      <x:c r="K159" s="324">
        <x:v>0</x:v>
      </x:c>
      <x:c r="L159" s="324">
        <x:v>0</x:v>
      </x:c>
      <x:c r="M159" s="324">
        <x:v>0</x:v>
      </x:c>
      <x:c r="N159" s="324">
        <x:v>0</x:v>
      </x:c>
      <x:c r="O159" s="324">
        <x:v>0</x:v>
      </x:c>
      <x:c r="P159" s="324">
        <x:v>0</x:v>
      </x:c>
      <x:c r="Q159" s="324">
        <x:v>0</x:v>
      </x:c>
      <x:c r="R159" s="324">
        <x:v>0</x:v>
      </x:c>
      <x:c r="S159" s="324">
        <x:v>0</x:v>
      </x:c>
      <x:c r="T159" s="324">
        <x:v>0</x:v>
      </x:c>
      <x:c r="U159" s="324">
        <x:v>0</x:v>
      </x:c>
      <x:c r="V159" s="324">
        <x:v>0</x:v>
      </x:c>
      <x:c r="W159" s="324">
        <x:v>0</x:v>
      </x:c>
      <x:c r="X159" s="324">
        <x:v>0</x:v>
      </x:c>
      <x:c r="Y159" s="324">
        <x:v>0</x:v>
      </x:c>
      <x:c r="Z159" s="257">
        <x:f t="shared" si="5"/>
        <x:v>0</x:v>
      </x:c>
    </x:row>
    <x:row r="160">
      <x:c r="A160" s="148" t="s">
        <x:v>107</x:v>
      </x:c>
      <x:c r="B160">
        <x:v>5</x:v>
      </x:c>
      <x:c r="C160" s="148" t="s">
        <x:v>116</x:v>
      </x:c>
      <x:c r="D160">
        <x:v>513</x:v>
      </x:c>
      <x:c r="E160" s="324">
        <x:v>0</x:v>
      </x:c>
      <x:c r="F160" s="324">
        <x:v>0</x:v>
      </x:c>
      <x:c r="G160" s="324">
        <x:v>0</x:v>
      </x:c>
      <x:c r="H160" s="324">
        <x:v>0</x:v>
      </x:c>
      <x:c r="I160" s="324">
        <x:v>0</x:v>
      </x:c>
      <x:c r="J160" s="324">
        <x:v>0</x:v>
      </x:c>
      <x:c r="K160" s="324">
        <x:v>0</x:v>
      </x:c>
      <x:c r="L160" s="324">
        <x:v>0</x:v>
      </x:c>
      <x:c r="M160" s="324">
        <x:v>0</x:v>
      </x:c>
      <x:c r="N160" s="324">
        <x:v>0</x:v>
      </x:c>
      <x:c r="O160" s="324">
        <x:v>0</x:v>
      </x:c>
      <x:c r="P160" s="324">
        <x:v>0</x:v>
      </x:c>
      <x:c r="Q160" s="324">
        <x:v>0</x:v>
      </x:c>
      <x:c r="R160" s="324">
        <x:v>0</x:v>
      </x:c>
      <x:c r="S160" s="324">
        <x:v>0</x:v>
      </x:c>
      <x:c r="T160" s="324">
        <x:v>0</x:v>
      </x:c>
      <x:c r="U160" s="324">
        <x:v>0</x:v>
      </x:c>
      <x:c r="V160" s="324">
        <x:v>0</x:v>
      </x:c>
      <x:c r="W160" s="324">
        <x:v>0</x:v>
      </x:c>
      <x:c r="X160" s="324">
        <x:v>0</x:v>
      </x:c>
      <x:c r="Y160" s="324">
        <x:v>0</x:v>
      </x:c>
      <x:c r="Z160" s="257">
        <x:f t="shared" si="5"/>
        <x:v>0</x:v>
      </x:c>
    </x:row>
    <x:row r="161">
      <x:c r="A161" s="148" t="s">
        <x:v>107</x:v>
      </x:c>
      <x:c r="B161">
        <x:v>5</x:v>
      </x:c>
      <x:c r="C161" s="148" t="s">
        <x:v>116</x:v>
      </x:c>
      <x:c r="D161">
        <x:v>514</x:v>
      </x:c>
      <x:c r="E161" s="324">
        <x:v>0</x:v>
      </x:c>
      <x:c r="F161" s="324">
        <x:v>0</x:v>
      </x:c>
      <x:c r="G161" s="324">
        <x:v>0</x:v>
      </x:c>
      <x:c r="H161" s="324">
        <x:v>0</x:v>
      </x:c>
      <x:c r="I161" s="324">
        <x:v>0</x:v>
      </x:c>
      <x:c r="J161" s="324">
        <x:v>0</x:v>
      </x:c>
      <x:c r="K161" s="324">
        <x:v>0</x:v>
      </x:c>
      <x:c r="L161" s="324">
        <x:v>0</x:v>
      </x:c>
      <x:c r="M161" s="324">
        <x:v>0</x:v>
      </x:c>
      <x:c r="N161" s="324">
        <x:v>0</x:v>
      </x:c>
      <x:c r="O161" s="324">
        <x:v>0</x:v>
      </x:c>
      <x:c r="P161" s="324">
        <x:v>0</x:v>
      </x:c>
      <x:c r="Q161" s="324">
        <x:v>0</x:v>
      </x:c>
      <x:c r="R161" s="324">
        <x:v>0</x:v>
      </x:c>
      <x:c r="S161" s="324">
        <x:v>0</x:v>
      </x:c>
      <x:c r="T161" s="324">
        <x:v>0</x:v>
      </x:c>
      <x:c r="U161" s="324">
        <x:v>0</x:v>
      </x:c>
      <x:c r="V161" s="324">
        <x:v>0</x:v>
      </x:c>
      <x:c r="W161" s="324">
        <x:v>0</x:v>
      </x:c>
      <x:c r="X161" s="324">
        <x:v>0</x:v>
      </x:c>
      <x:c r="Y161" s="324">
        <x:v>0</x:v>
      </x:c>
      <x:c r="Z161" s="257">
        <x:f t="shared" si="5"/>
        <x:v>0</x:v>
      </x:c>
    </x:row>
    <x:row r="162">
      <x:c r="A162" s="148" t="s">
        <x:v>107</x:v>
      </x:c>
      <x:c r="B162">
        <x:v>5</x:v>
      </x:c>
      <x:c r="C162" s="148" t="s">
        <x:v>116</x:v>
      </x:c>
      <x:c r="D162">
        <x:v>515</x:v>
      </x:c>
      <x:c r="E162" s="324">
        <x:v>0</x:v>
      </x:c>
      <x:c r="F162" s="324">
        <x:v>0</x:v>
      </x:c>
      <x:c r="G162" s="324">
        <x:v>0</x:v>
      </x:c>
      <x:c r="H162" s="324">
        <x:v>0</x:v>
      </x:c>
      <x:c r="I162" s="324">
        <x:v>0</x:v>
      </x:c>
      <x:c r="J162" s="324">
        <x:v>0</x:v>
      </x:c>
      <x:c r="K162" s="324">
        <x:v>0</x:v>
      </x:c>
      <x:c r="L162" s="324">
        <x:v>0</x:v>
      </x:c>
      <x:c r="M162" s="324">
        <x:v>0</x:v>
      </x:c>
      <x:c r="N162" s="324">
        <x:v>0</x:v>
      </x:c>
      <x:c r="O162" s="324">
        <x:v>0</x:v>
      </x:c>
      <x:c r="P162" s="324">
        <x:v>0</x:v>
      </x:c>
      <x:c r="Q162" s="324">
        <x:v>0</x:v>
      </x:c>
      <x:c r="R162" s="324">
        <x:v>0</x:v>
      </x:c>
      <x:c r="S162" s="324">
        <x:v>0</x:v>
      </x:c>
      <x:c r="T162" s="324">
        <x:v>0</x:v>
      </x:c>
      <x:c r="U162" s="324">
        <x:v>0</x:v>
      </x:c>
      <x:c r="V162" s="324">
        <x:v>0</x:v>
      </x:c>
      <x:c r="W162" s="324">
        <x:v>0</x:v>
      </x:c>
      <x:c r="X162" s="324">
        <x:v>0</x:v>
      </x:c>
      <x:c r="Y162" s="324">
        <x:v>0</x:v>
      </x:c>
      <x:c r="Z162" s="257">
        <x:f t="shared" si="5"/>
        <x:v>0</x:v>
      </x:c>
    </x:row>
    <x:row r="163">
      <x:c r="A163" s="148" t="s">
        <x:v>107</x:v>
      </x:c>
      <x:c r="B163">
        <x:v>5</x:v>
      </x:c>
      <x:c r="C163" s="148" t="s">
        <x:v>116</x:v>
      </x:c>
      <x:c r="D163">
        <x:v>516</x:v>
      </x:c>
      <x:c r="E163" s="324">
        <x:v>0</x:v>
      </x:c>
      <x:c r="F163" s="324">
        <x:v>0</x:v>
      </x:c>
      <x:c r="G163" s="324">
        <x:v>0</x:v>
      </x:c>
      <x:c r="H163" s="324">
        <x:v>0</x:v>
      </x:c>
      <x:c r="I163" s="324">
        <x:v>0</x:v>
      </x:c>
      <x:c r="J163" s="324">
        <x:v>0</x:v>
      </x:c>
      <x:c r="K163" s="324">
        <x:v>0</x:v>
      </x:c>
      <x:c r="L163" s="324">
        <x:v>0</x:v>
      </x:c>
      <x:c r="M163" s="324">
        <x:v>0</x:v>
      </x:c>
      <x:c r="N163" s="324">
        <x:v>0</x:v>
      </x:c>
      <x:c r="O163" s="324">
        <x:v>0</x:v>
      </x:c>
      <x:c r="P163" s="324">
        <x:v>0</x:v>
      </x:c>
      <x:c r="Q163" s="324">
        <x:v>0</x:v>
      </x:c>
      <x:c r="R163" s="324">
        <x:v>0</x:v>
      </x:c>
      <x:c r="S163" s="324">
        <x:v>0</x:v>
      </x:c>
      <x:c r="T163" s="324">
        <x:v>0</x:v>
      </x:c>
      <x:c r="U163" s="324">
        <x:v>0</x:v>
      </x:c>
      <x:c r="V163" s="324">
        <x:v>0</x:v>
      </x:c>
      <x:c r="W163" s="324">
        <x:v>0</x:v>
      </x:c>
      <x:c r="X163" s="324">
        <x:v>0</x:v>
      </x:c>
      <x:c r="Y163" s="324">
        <x:v>0</x:v>
      </x:c>
      <x:c r="Z163" s="257">
        <x:f t="shared" si="5"/>
        <x:v>0</x:v>
      </x:c>
    </x:row>
    <x:row r="164">
      <x:c r="A164" s="148" t="s">
        <x:v>107</x:v>
      </x:c>
      <x:c r="B164">
        <x:v>5</x:v>
      </x:c>
      <x:c r="C164" s="148" t="s">
        <x:v>116</x:v>
      </x:c>
      <x:c r="D164">
        <x:v>517</x:v>
      </x:c>
      <x:c r="E164" s="324">
        <x:v>0</x:v>
      </x:c>
      <x:c r="F164" s="324">
        <x:v>0</x:v>
      </x:c>
      <x:c r="G164" s="324">
        <x:v>0</x:v>
      </x:c>
      <x:c r="H164" s="324">
        <x:v>0</x:v>
      </x:c>
      <x:c r="I164" s="324">
        <x:v>0</x:v>
      </x:c>
      <x:c r="J164" s="324">
        <x:v>0</x:v>
      </x:c>
      <x:c r="K164" s="324">
        <x:v>0</x:v>
      </x:c>
      <x:c r="L164" s="324">
        <x:v>0</x:v>
      </x:c>
      <x:c r="M164" s="324">
        <x:v>0</x:v>
      </x:c>
      <x:c r="N164" s="324">
        <x:v>0</x:v>
      </x:c>
      <x:c r="O164" s="324">
        <x:v>0</x:v>
      </x:c>
      <x:c r="P164" s="324">
        <x:v>0</x:v>
      </x:c>
      <x:c r="Q164" s="324">
        <x:v>0</x:v>
      </x:c>
      <x:c r="R164" s="324">
        <x:v>0</x:v>
      </x:c>
      <x:c r="S164" s="324">
        <x:v>0</x:v>
      </x:c>
      <x:c r="T164" s="324">
        <x:v>0</x:v>
      </x:c>
      <x:c r="U164" s="324">
        <x:v>0</x:v>
      </x:c>
      <x:c r="V164" s="324">
        <x:v>0</x:v>
      </x:c>
      <x:c r="W164" s="324">
        <x:v>0</x:v>
      </x:c>
      <x:c r="X164" s="324">
        <x:v>0</x:v>
      </x:c>
      <x:c r="Y164" s="324">
        <x:v>0</x:v>
      </x:c>
      <x:c r="Z164" s="257">
        <x:f t="shared" si="5"/>
        <x:v>0</x:v>
      </x:c>
    </x:row>
    <x:row r="165">
      <x:c r="A165" s="148" t="s">
        <x:v>107</x:v>
      </x:c>
      <x:c r="B165">
        <x:v>5</x:v>
      </x:c>
      <x:c r="C165" s="148" t="s">
        <x:v>116</x:v>
      </x:c>
      <x:c r="D165">
        <x:v>518</x:v>
      </x:c>
      <x:c r="E165" s="324">
        <x:v>0</x:v>
      </x:c>
      <x:c r="F165" s="324">
        <x:v>0</x:v>
      </x:c>
      <x:c r="G165" s="324">
        <x:v>0</x:v>
      </x:c>
      <x:c r="H165" s="324">
        <x:v>0</x:v>
      </x:c>
      <x:c r="I165" s="324">
        <x:v>0</x:v>
      </x:c>
      <x:c r="J165" s="324">
        <x:v>0</x:v>
      </x:c>
      <x:c r="K165" s="324">
        <x:v>0</x:v>
      </x:c>
      <x:c r="L165" s="324">
        <x:v>0</x:v>
      </x:c>
      <x:c r="M165" s="324">
        <x:v>0</x:v>
      </x:c>
      <x:c r="N165" s="324">
        <x:v>0</x:v>
      </x:c>
      <x:c r="O165" s="324">
        <x:v>0</x:v>
      </x:c>
      <x:c r="P165" s="324">
        <x:v>0</x:v>
      </x:c>
      <x:c r="Q165" s="324">
        <x:v>0</x:v>
      </x:c>
      <x:c r="R165" s="324">
        <x:v>0</x:v>
      </x:c>
      <x:c r="S165" s="324">
        <x:v>0</x:v>
      </x:c>
      <x:c r="T165" s="324">
        <x:v>0</x:v>
      </x:c>
      <x:c r="U165" s="324">
        <x:v>0</x:v>
      </x:c>
      <x:c r="V165" s="324">
        <x:v>0</x:v>
      </x:c>
      <x:c r="W165" s="324">
        <x:v>0</x:v>
      </x:c>
      <x:c r="X165" s="324">
        <x:v>0</x:v>
      </x:c>
      <x:c r="Y165" s="324">
        <x:v>0</x:v>
      </x:c>
      <x:c r="Z165" s="257">
        <x:f t="shared" si="5"/>
        <x:v>0</x:v>
      </x:c>
    </x:row>
    <x:row r="166">
      <x:c r="A166" s="148" t="s">
        <x:v>107</x:v>
      </x:c>
      <x:c r="B166">
        <x:v>5</x:v>
      </x:c>
      <x:c r="C166" s="148" t="s">
        <x:v>116</x:v>
      </x:c>
      <x:c r="D166">
        <x:v>519</x:v>
      </x:c>
      <x:c r="E166" s="324">
        <x:v>0</x:v>
      </x:c>
      <x:c r="F166" s="324">
        <x:v>0</x:v>
      </x:c>
      <x:c r="G166" s="324">
        <x:v>0</x:v>
      </x:c>
      <x:c r="H166" s="324">
        <x:v>0</x:v>
      </x:c>
      <x:c r="I166" s="324">
        <x:v>0</x:v>
      </x:c>
      <x:c r="J166" s="324">
        <x:v>0</x:v>
      </x:c>
      <x:c r="K166" s="324">
        <x:v>0</x:v>
      </x:c>
      <x:c r="L166" s="324">
        <x:v>0</x:v>
      </x:c>
      <x:c r="M166" s="324">
        <x:v>0</x:v>
      </x:c>
      <x:c r="N166" s="324">
        <x:v>0</x:v>
      </x:c>
      <x:c r="O166" s="324">
        <x:v>0</x:v>
      </x:c>
      <x:c r="P166" s="324">
        <x:v>0</x:v>
      </x:c>
      <x:c r="Q166" s="324">
        <x:v>0</x:v>
      </x:c>
      <x:c r="R166" s="324">
        <x:v>0</x:v>
      </x:c>
      <x:c r="S166" s="324">
        <x:v>0</x:v>
      </x:c>
      <x:c r="T166" s="324">
        <x:v>0</x:v>
      </x:c>
      <x:c r="U166" s="324">
        <x:v>0</x:v>
      </x:c>
      <x:c r="V166" s="324">
        <x:v>0</x:v>
      </x:c>
      <x:c r="W166" s="324">
        <x:v>0</x:v>
      </x:c>
      <x:c r="X166" s="324">
        <x:v>0</x:v>
      </x:c>
      <x:c r="Y166" s="324">
        <x:v>0</x:v>
      </x:c>
      <x:c r="Z166" s="257">
        <x:f t="shared" si="5"/>
        <x:v>0</x:v>
      </x:c>
    </x:row>
    <x:row r="167">
      <x:c r="A167" s="148" t="s">
        <x:v>107</x:v>
      </x:c>
      <x:c r="B167">
        <x:v>5</x:v>
      </x:c>
      <x:c r="C167" s="148" t="s">
        <x:v>116</x:v>
      </x:c>
      <x:c r="D167">
        <x:v>520</x:v>
      </x:c>
      <x:c r="E167" s="324">
        <x:v>0</x:v>
      </x:c>
      <x:c r="F167" s="324">
        <x:v>0</x:v>
      </x:c>
      <x:c r="G167" s="324">
        <x:v>0</x:v>
      </x:c>
      <x:c r="H167" s="324">
        <x:v>0</x:v>
      </x:c>
      <x:c r="I167" s="324">
        <x:v>0</x:v>
      </x:c>
      <x:c r="J167" s="324">
        <x:v>0</x:v>
      </x:c>
      <x:c r="K167" s="324">
        <x:v>0</x:v>
      </x:c>
      <x:c r="L167" s="324">
        <x:v>0</x:v>
      </x:c>
      <x:c r="M167" s="324">
        <x:v>0</x:v>
      </x:c>
      <x:c r="N167" s="324">
        <x:v>0</x:v>
      </x:c>
      <x:c r="O167" s="324">
        <x:v>0</x:v>
      </x:c>
      <x:c r="P167" s="324">
        <x:v>0</x:v>
      </x:c>
      <x:c r="Q167" s="324">
        <x:v>0</x:v>
      </x:c>
      <x:c r="R167" s="324">
        <x:v>0</x:v>
      </x:c>
      <x:c r="S167" s="324">
        <x:v>0</x:v>
      </x:c>
      <x:c r="T167" s="324">
        <x:v>0</x:v>
      </x:c>
      <x:c r="U167" s="324">
        <x:v>0</x:v>
      </x:c>
      <x:c r="V167" s="324">
        <x:v>0</x:v>
      </x:c>
      <x:c r="W167" s="324">
        <x:v>0</x:v>
      </x:c>
      <x:c r="X167" s="324">
        <x:v>0</x:v>
      </x:c>
      <x:c r="Y167" s="324">
        <x:v>0</x:v>
      </x:c>
      <x:c r="Z167" s="257">
        <x:f t="shared" si="5"/>
        <x:v>0</x:v>
      </x:c>
    </x:row>
    <x:row r="168">
      <x:c r="A168" s="148" t="s">
        <x:v>107</x:v>
      </x:c>
      <x:c r="B168">
        <x:v>5</x:v>
      </x:c>
      <x:c r="C168" s="148" t="s">
        <x:v>116</x:v>
      </x:c>
      <x:c r="D168">
        <x:v>521</x:v>
      </x:c>
      <x:c r="E168" s="324">
        <x:v>0</x:v>
      </x:c>
      <x:c r="F168" s="324">
        <x:v>0</x:v>
      </x:c>
      <x:c r="G168" s="324">
        <x:v>0</x:v>
      </x:c>
      <x:c r="H168" s="324">
        <x:v>0</x:v>
      </x:c>
      <x:c r="I168" s="324">
        <x:v>0</x:v>
      </x:c>
      <x:c r="J168" s="324">
        <x:v>0</x:v>
      </x:c>
      <x:c r="K168" s="324">
        <x:v>0</x:v>
      </x:c>
      <x:c r="L168" s="324">
        <x:v>0</x:v>
      </x:c>
      <x:c r="M168" s="324">
        <x:v>0</x:v>
      </x:c>
      <x:c r="N168" s="324">
        <x:v>0</x:v>
      </x:c>
      <x:c r="O168" s="324">
        <x:v>0</x:v>
      </x:c>
      <x:c r="P168" s="324">
        <x:v>0</x:v>
      </x:c>
      <x:c r="Q168" s="324">
        <x:v>0</x:v>
      </x:c>
      <x:c r="R168" s="324">
        <x:v>0</x:v>
      </x:c>
      <x:c r="S168" s="324">
        <x:v>0</x:v>
      </x:c>
      <x:c r="T168" s="324">
        <x:v>0</x:v>
      </x:c>
      <x:c r="U168" s="324">
        <x:v>0</x:v>
      </x:c>
      <x:c r="V168" s="324">
        <x:v>0</x:v>
      </x:c>
      <x:c r="W168" s="324">
        <x:v>0</x:v>
      </x:c>
      <x:c r="X168" s="324">
        <x:v>0</x:v>
      </x:c>
      <x:c r="Y168" s="324">
        <x:v>0</x:v>
      </x:c>
      <x:c r="Z168" s="257">
        <x:f t="shared" si="5"/>
        <x:v>0</x:v>
      </x:c>
    </x:row>
    <x:row r="169">
      <x:c r="A169" s="148" t="s">
        <x:v>107</x:v>
      </x:c>
      <x:c r="B169">
        <x:v>5</x:v>
      </x:c>
      <x:c r="C169" s="148" t="s">
        <x:v>116</x:v>
      </x:c>
      <x:c r="D169">
        <x:v>522</x:v>
      </x:c>
      <x:c r="E169" s="324">
        <x:v>0</x:v>
      </x:c>
      <x:c r="F169" s="324">
        <x:v>0</x:v>
      </x:c>
      <x:c r="G169" s="324">
        <x:v>0</x:v>
      </x:c>
      <x:c r="H169" s="324">
        <x:v>0</x:v>
      </x:c>
      <x:c r="I169" s="324">
        <x:v>0</x:v>
      </x:c>
      <x:c r="J169" s="324">
        <x:v>0</x:v>
      </x:c>
      <x:c r="K169" s="324">
        <x:v>0</x:v>
      </x:c>
      <x:c r="L169" s="324">
        <x:v>0</x:v>
      </x:c>
      <x:c r="M169" s="324">
        <x:v>0</x:v>
      </x:c>
      <x:c r="N169" s="324">
        <x:v>0</x:v>
      </x:c>
      <x:c r="O169" s="324">
        <x:v>0</x:v>
      </x:c>
      <x:c r="P169" s="324">
        <x:v>0</x:v>
      </x:c>
      <x:c r="Q169" s="324">
        <x:v>0</x:v>
      </x:c>
      <x:c r="R169" s="324">
        <x:v>0</x:v>
      </x:c>
      <x:c r="S169" s="324">
        <x:v>0</x:v>
      </x:c>
      <x:c r="T169" s="324">
        <x:v>0</x:v>
      </x:c>
      <x:c r="U169" s="324">
        <x:v>0</x:v>
      </x:c>
      <x:c r="V169" s="324">
        <x:v>0</x:v>
      </x:c>
      <x:c r="W169" s="324">
        <x:v>0</x:v>
      </x:c>
      <x:c r="X169" s="324">
        <x:v>0</x:v>
      </x:c>
      <x:c r="Y169" s="324">
        <x:v>0</x:v>
      </x:c>
      <x:c r="Z169" s="257">
        <x:f t="shared" si="5"/>
        <x:v>0</x:v>
      </x:c>
    </x:row>
    <x:row r="170">
      <x:c r="A170" s="148" t="s">
        <x:v>107</x:v>
      </x:c>
      <x:c r="B170">
        <x:v>5</x:v>
      </x:c>
      <x:c r="C170" s="148" t="s">
        <x:v>116</x:v>
      </x:c>
      <x:c r="D170">
        <x:v>523</x:v>
      </x:c>
      <x:c r="E170" s="324">
        <x:v>0</x:v>
      </x:c>
      <x:c r="F170" s="324">
        <x:v>0</x:v>
      </x:c>
      <x:c r="G170" s="324">
        <x:v>0</x:v>
      </x:c>
      <x:c r="H170" s="324">
        <x:v>0</x:v>
      </x:c>
      <x:c r="I170" s="324">
        <x:v>0</x:v>
      </x:c>
      <x:c r="J170" s="324">
        <x:v>0</x:v>
      </x:c>
      <x:c r="K170" s="324">
        <x:v>0</x:v>
      </x:c>
      <x:c r="L170" s="324">
        <x:v>0</x:v>
      </x:c>
      <x:c r="M170" s="324">
        <x:v>0</x:v>
      </x:c>
      <x:c r="N170" s="324">
        <x:v>0</x:v>
      </x:c>
      <x:c r="O170" s="324">
        <x:v>0</x:v>
      </x:c>
      <x:c r="P170" s="324">
        <x:v>0</x:v>
      </x:c>
      <x:c r="Q170" s="324">
        <x:v>0</x:v>
      </x:c>
      <x:c r="R170" s="324">
        <x:v>0</x:v>
      </x:c>
      <x:c r="S170" s="324">
        <x:v>0</x:v>
      </x:c>
      <x:c r="T170" s="324">
        <x:v>0</x:v>
      </x:c>
      <x:c r="U170" s="324">
        <x:v>0</x:v>
      </x:c>
      <x:c r="V170" s="324">
        <x:v>0</x:v>
      </x:c>
      <x:c r="W170" s="324">
        <x:v>0</x:v>
      </x:c>
      <x:c r="X170" s="324">
        <x:v>0</x:v>
      </x:c>
      <x:c r="Y170" s="324">
        <x:v>0</x:v>
      </x:c>
      <x:c r="Z170" s="257">
        <x:f t="shared" si="5"/>
        <x:v>0</x:v>
      </x:c>
    </x:row>
    <x:row r="171">
      <x:c r="A171" s="148" t="s">
        <x:v>107</x:v>
      </x:c>
      <x:c r="B171">
        <x:v>5</x:v>
      </x:c>
      <x:c r="C171" s="148" t="s">
        <x:v>115</x:v>
      </x:c>
      <x:c r="D171">
        <x:v>501</x:v>
      </x:c>
      <x:c r="E171" s="324">
        <x:v>0</x:v>
      </x:c>
      <x:c r="F171" s="324">
        <x:v>0</x:v>
      </x:c>
      <x:c r="G171" s="324">
        <x:v>0</x:v>
      </x:c>
      <x:c r="H171" s="324">
        <x:v>0</x:v>
      </x:c>
      <x:c r="I171" s="324">
        <x:v>0</x:v>
      </x:c>
      <x:c r="J171" s="324">
        <x:v>0</x:v>
      </x:c>
      <x:c r="K171" s="324">
        <x:v>0</x:v>
      </x:c>
      <x:c r="L171" s="324">
        <x:v>0</x:v>
      </x:c>
      <x:c r="M171" s="324">
        <x:v>0</x:v>
      </x:c>
      <x:c r="N171" s="324">
        <x:v>0</x:v>
      </x:c>
      <x:c r="O171" s="324">
        <x:v>0</x:v>
      </x:c>
      <x:c r="P171" s="324">
        <x:v>0</x:v>
      </x:c>
      <x:c r="Q171" s="324">
        <x:v>0</x:v>
      </x:c>
      <x:c r="R171" s="324">
        <x:v>0</x:v>
      </x:c>
      <x:c r="S171" s="324">
        <x:v>0</x:v>
      </x:c>
      <x:c r="T171" s="324">
        <x:v>0</x:v>
      </x:c>
      <x:c r="U171" s="324">
        <x:v>0</x:v>
      </x:c>
      <x:c r="V171" s="324">
        <x:v>0</x:v>
      </x:c>
      <x:c r="W171" s="324">
        <x:v>0</x:v>
      </x:c>
      <x:c r="X171" s="324">
        <x:v>0</x:v>
      </x:c>
      <x:c r="Y171" s="324">
        <x:v>0</x:v>
      </x:c>
      <x:c r="Z171" s="257">
        <x:f t="shared" si="5"/>
        <x:v>0</x:v>
      </x:c>
    </x:row>
    <x:row r="172">
      <x:c r="A172" s="148" t="s">
        <x:v>107</x:v>
      </x:c>
      <x:c r="B172">
        <x:v>5</x:v>
      </x:c>
      <x:c r="C172" s="148" t="s">
        <x:v>115</x:v>
      </x:c>
      <x:c r="D172">
        <x:v>502</x:v>
      </x:c>
      <x:c r="E172" s="324">
        <x:v>0</x:v>
      </x:c>
      <x:c r="F172" s="324">
        <x:v>0</x:v>
      </x:c>
      <x:c r="G172" s="324">
        <x:v>0</x:v>
      </x:c>
      <x:c r="H172" s="324">
        <x:v>0</x:v>
      </x:c>
      <x:c r="I172" s="324">
        <x:v>0</x:v>
      </x:c>
      <x:c r="J172" s="324">
        <x:v>0</x:v>
      </x:c>
      <x:c r="K172" s="324">
        <x:v>0</x:v>
      </x:c>
      <x:c r="L172" s="324">
        <x:v>0</x:v>
      </x:c>
      <x:c r="M172" s="324">
        <x:v>0</x:v>
      </x:c>
      <x:c r="N172" s="324">
        <x:v>0</x:v>
      </x:c>
      <x:c r="O172" s="324">
        <x:v>0</x:v>
      </x:c>
      <x:c r="P172" s="324">
        <x:v>0</x:v>
      </x:c>
      <x:c r="Q172" s="324">
        <x:v>0</x:v>
      </x:c>
      <x:c r="R172" s="324">
        <x:v>0</x:v>
      </x:c>
      <x:c r="S172" s="324">
        <x:v>0</x:v>
      </x:c>
      <x:c r="T172" s="324">
        <x:v>0</x:v>
      </x:c>
      <x:c r="U172" s="324">
        <x:v>0</x:v>
      </x:c>
      <x:c r="V172" s="324">
        <x:v>0</x:v>
      </x:c>
      <x:c r="W172" s="324">
        <x:v>0</x:v>
      </x:c>
      <x:c r="X172" s="324">
        <x:v>0</x:v>
      </x:c>
      <x:c r="Y172" s="324">
        <x:v>0</x:v>
      </x:c>
      <x:c r="Z172" s="257">
        <x:f t="shared" si="5"/>
        <x:v>0</x:v>
      </x:c>
    </x:row>
    <x:row r="173">
      <x:c r="A173" s="148" t="s">
        <x:v>107</x:v>
      </x:c>
      <x:c r="B173">
        <x:v>5</x:v>
      </x:c>
      <x:c r="C173" s="148" t="s">
        <x:v>115</x:v>
      </x:c>
      <x:c r="D173">
        <x:v>503</x:v>
      </x:c>
      <x:c r="E173" s="324">
        <x:v>0</x:v>
      </x:c>
      <x:c r="F173" s="324">
        <x:v>0</x:v>
      </x:c>
      <x:c r="G173" s="324">
        <x:v>0</x:v>
      </x:c>
      <x:c r="H173" s="324">
        <x:v>0</x:v>
      </x:c>
      <x:c r="I173" s="324">
        <x:v>0</x:v>
      </x:c>
      <x:c r="J173" s="324">
        <x:v>0</x:v>
      </x:c>
      <x:c r="K173" s="324">
        <x:v>0</x:v>
      </x:c>
      <x:c r="L173" s="324">
        <x:v>0</x:v>
      </x:c>
      <x:c r="M173" s="324">
        <x:v>0</x:v>
      </x:c>
      <x:c r="N173" s="324">
        <x:v>0</x:v>
      </x:c>
      <x:c r="O173" s="324">
        <x:v>0</x:v>
      </x:c>
      <x:c r="P173" s="324">
        <x:v>0</x:v>
      </x:c>
      <x:c r="Q173" s="324">
        <x:v>0</x:v>
      </x:c>
      <x:c r="R173" s="324">
        <x:v>0</x:v>
      </x:c>
      <x:c r="S173" s="324">
        <x:v>0</x:v>
      </x:c>
      <x:c r="T173" s="324">
        <x:v>0</x:v>
      </x:c>
      <x:c r="U173" s="324">
        <x:v>0</x:v>
      </x:c>
      <x:c r="V173" s="324">
        <x:v>0</x:v>
      </x:c>
      <x:c r="W173" s="324">
        <x:v>0</x:v>
      </x:c>
      <x:c r="X173" s="324">
        <x:v>0</x:v>
      </x:c>
      <x:c r="Y173" s="324">
        <x:v>0</x:v>
      </x:c>
      <x:c r="Z173" s="257">
        <x:f t="shared" si="5"/>
        <x:v>0</x:v>
      </x:c>
    </x:row>
    <x:row r="174">
      <x:c r="A174" s="148" t="s">
        <x:v>107</x:v>
      </x:c>
      <x:c r="B174">
        <x:v>5</x:v>
      </x:c>
      <x:c r="C174" s="148" t="s">
        <x:v>115</x:v>
      </x:c>
      <x:c r="D174">
        <x:v>504</x:v>
      </x:c>
      <x:c r="E174" s="324">
        <x:v>0</x:v>
      </x:c>
      <x:c r="F174" s="324">
        <x:v>0</x:v>
      </x:c>
      <x:c r="G174" s="324">
        <x:v>0</x:v>
      </x:c>
      <x:c r="H174" s="324">
        <x:v>0</x:v>
      </x:c>
      <x:c r="I174" s="324">
        <x:v>0</x:v>
      </x:c>
      <x:c r="J174" s="324">
        <x:v>0</x:v>
      </x:c>
      <x:c r="K174" s="324">
        <x:v>0</x:v>
      </x:c>
      <x:c r="L174" s="324">
        <x:v>0</x:v>
      </x:c>
      <x:c r="M174" s="324">
        <x:v>0</x:v>
      </x:c>
      <x:c r="N174" s="324">
        <x:v>0</x:v>
      </x:c>
      <x:c r="O174" s="324">
        <x:v>0</x:v>
      </x:c>
      <x:c r="P174" s="324">
        <x:v>0</x:v>
      </x:c>
      <x:c r="Q174" s="324">
        <x:v>0</x:v>
      </x:c>
      <x:c r="R174" s="324">
        <x:v>0</x:v>
      </x:c>
      <x:c r="S174" s="324">
        <x:v>0</x:v>
      </x:c>
      <x:c r="T174" s="324">
        <x:v>0</x:v>
      </x:c>
      <x:c r="U174" s="324">
        <x:v>0</x:v>
      </x:c>
      <x:c r="V174" s="324">
        <x:v>0</x:v>
      </x:c>
      <x:c r="W174" s="324">
        <x:v>0</x:v>
      </x:c>
      <x:c r="X174" s="324">
        <x:v>0</x:v>
      </x:c>
      <x:c r="Y174" s="324">
        <x:v>0</x:v>
      </x:c>
      <x:c r="Z174" s="257">
        <x:f t="shared" si="5"/>
        <x:v>0</x:v>
      </x:c>
    </x:row>
    <x:row r="175">
      <x:c r="A175" s="148" t="s">
        <x:v>107</x:v>
      </x:c>
      <x:c r="B175">
        <x:v>5</x:v>
      </x:c>
      <x:c r="C175" s="148" t="s">
        <x:v>115</x:v>
      </x:c>
      <x:c r="D175">
        <x:v>505</x:v>
      </x:c>
      <x:c r="E175" s="324">
        <x:v>0</x:v>
      </x:c>
      <x:c r="F175" s="324">
        <x:v>0</x:v>
      </x:c>
      <x:c r="G175" s="324">
        <x:v>0</x:v>
      </x:c>
      <x:c r="H175" s="324">
        <x:v>0</x:v>
      </x:c>
      <x:c r="I175" s="324">
        <x:v>0</x:v>
      </x:c>
      <x:c r="J175" s="324">
        <x:v>0</x:v>
      </x:c>
      <x:c r="K175" s="324">
        <x:v>0</x:v>
      </x:c>
      <x:c r="L175" s="324">
        <x:v>0</x:v>
      </x:c>
      <x:c r="M175" s="324">
        <x:v>0</x:v>
      </x:c>
      <x:c r="N175" s="324">
        <x:v>0</x:v>
      </x:c>
      <x:c r="O175" s="324">
        <x:v>0</x:v>
      </x:c>
      <x:c r="P175" s="324">
        <x:v>0</x:v>
      </x:c>
      <x:c r="Q175" s="324">
        <x:v>0</x:v>
      </x:c>
      <x:c r="R175" s="324">
        <x:v>0</x:v>
      </x:c>
      <x:c r="S175" s="324">
        <x:v>0</x:v>
      </x:c>
      <x:c r="T175" s="324">
        <x:v>0</x:v>
      </x:c>
      <x:c r="U175" s="324">
        <x:v>0</x:v>
      </x:c>
      <x:c r="V175" s="324">
        <x:v>0</x:v>
      </x:c>
      <x:c r="W175" s="324">
        <x:v>0</x:v>
      </x:c>
      <x:c r="X175" s="324">
        <x:v>0</x:v>
      </x:c>
      <x:c r="Y175" s="324">
        <x:v>0</x:v>
      </x:c>
      <x:c r="Z175" s="257">
        <x:f t="shared" si="5"/>
        <x:v>0</x:v>
      </x:c>
    </x:row>
    <x:row r="176">
      <x:c r="A176" s="148" t="s">
        <x:v>107</x:v>
      </x:c>
      <x:c r="B176">
        <x:v>5</x:v>
      </x:c>
      <x:c r="C176" s="148" t="s">
        <x:v>115</x:v>
      </x:c>
      <x:c r="D176">
        <x:v>506</x:v>
      </x:c>
      <x:c r="E176" s="324">
        <x:v>0</x:v>
      </x:c>
      <x:c r="F176" s="324">
        <x:v>0</x:v>
      </x:c>
      <x:c r="G176" s="324">
        <x:v>0</x:v>
      </x:c>
      <x:c r="H176" s="324">
        <x:v>0</x:v>
      </x:c>
      <x:c r="I176" s="324">
        <x:v>0</x:v>
      </x:c>
      <x:c r="J176" s="324">
        <x:v>0</x:v>
      </x:c>
      <x:c r="K176" s="324">
        <x:v>0</x:v>
      </x:c>
      <x:c r="L176" s="324">
        <x:v>0</x:v>
      </x:c>
      <x:c r="M176" s="324">
        <x:v>0</x:v>
      </x:c>
      <x:c r="N176" s="324">
        <x:v>0</x:v>
      </x:c>
      <x:c r="O176" s="324">
        <x:v>0</x:v>
      </x:c>
      <x:c r="P176" s="324">
        <x:v>0</x:v>
      </x:c>
      <x:c r="Q176" s="324">
        <x:v>0</x:v>
      </x:c>
      <x:c r="R176" s="324">
        <x:v>0</x:v>
      </x:c>
      <x:c r="S176" s="324">
        <x:v>0</x:v>
      </x:c>
      <x:c r="T176" s="324">
        <x:v>0</x:v>
      </x:c>
      <x:c r="U176" s="324">
        <x:v>0</x:v>
      </x:c>
      <x:c r="V176" s="324">
        <x:v>0</x:v>
      </x:c>
      <x:c r="W176" s="324">
        <x:v>0</x:v>
      </x:c>
      <x:c r="X176" s="324">
        <x:v>0</x:v>
      </x:c>
      <x:c r="Y176" s="324">
        <x:v>0</x:v>
      </x:c>
      <x:c r="Z176" s="257">
        <x:f t="shared" si="5"/>
        <x:v>0</x:v>
      </x:c>
    </x:row>
    <x:row r="177">
      <x:c r="A177" s="148" t="s">
        <x:v>107</x:v>
      </x:c>
      <x:c r="B177">
        <x:v>5</x:v>
      </x:c>
      <x:c r="C177" s="148" t="s">
        <x:v>115</x:v>
      </x:c>
      <x:c r="D177">
        <x:v>507</x:v>
      </x:c>
      <x:c r="E177" s="324">
        <x:v>0</x:v>
      </x:c>
      <x:c r="F177" s="324">
        <x:v>0</x:v>
      </x:c>
      <x:c r="G177" s="324">
        <x:v>0</x:v>
      </x:c>
      <x:c r="H177" s="324">
        <x:v>0</x:v>
      </x:c>
      <x:c r="I177" s="324">
        <x:v>0</x:v>
      </x:c>
      <x:c r="J177" s="324">
        <x:v>0</x:v>
      </x:c>
      <x:c r="K177" s="324">
        <x:v>0</x:v>
      </x:c>
      <x:c r="L177" s="324">
        <x:v>0</x:v>
      </x:c>
      <x:c r="M177" s="324">
        <x:v>0</x:v>
      </x:c>
      <x:c r="N177" s="324">
        <x:v>0</x:v>
      </x:c>
      <x:c r="O177" s="324">
        <x:v>0</x:v>
      </x:c>
      <x:c r="P177" s="324">
        <x:v>0</x:v>
      </x:c>
      <x:c r="Q177" s="324">
        <x:v>0</x:v>
      </x:c>
      <x:c r="R177" s="324">
        <x:v>0</x:v>
      </x:c>
      <x:c r="S177" s="324">
        <x:v>0</x:v>
      </x:c>
      <x:c r="T177" s="324">
        <x:v>0</x:v>
      </x:c>
      <x:c r="U177" s="324">
        <x:v>0</x:v>
      </x:c>
      <x:c r="V177" s="324">
        <x:v>0</x:v>
      </x:c>
      <x:c r="W177" s="324">
        <x:v>0</x:v>
      </x:c>
      <x:c r="X177" s="324">
        <x:v>0</x:v>
      </x:c>
      <x:c r="Y177" s="324">
        <x:v>0</x:v>
      </x:c>
      <x:c r="Z177" s="257">
        <x:f t="shared" si="5"/>
        <x:v>0</x:v>
      </x:c>
    </x:row>
    <x:row r="178">
      <x:c r="A178" s="148" t="s">
        <x:v>107</x:v>
      </x:c>
      <x:c r="B178">
        <x:v>5</x:v>
      </x:c>
      <x:c r="C178" s="148" t="s">
        <x:v>115</x:v>
      </x:c>
      <x:c r="D178">
        <x:v>508</x:v>
      </x:c>
      <x:c r="E178" s="324">
        <x:v>0</x:v>
      </x:c>
      <x:c r="F178" s="324">
        <x:v>0</x:v>
      </x:c>
      <x:c r="G178" s="324">
        <x:v>0</x:v>
      </x:c>
      <x:c r="H178" s="324">
        <x:v>0</x:v>
      </x:c>
      <x:c r="I178" s="324">
        <x:v>0</x:v>
      </x:c>
      <x:c r="J178" s="324">
        <x:v>0</x:v>
      </x:c>
      <x:c r="K178" s="324">
        <x:v>0</x:v>
      </x:c>
      <x:c r="L178" s="324">
        <x:v>0</x:v>
      </x:c>
      <x:c r="M178" s="324">
        <x:v>0</x:v>
      </x:c>
      <x:c r="N178" s="324">
        <x:v>0</x:v>
      </x:c>
      <x:c r="O178" s="324">
        <x:v>0</x:v>
      </x:c>
      <x:c r="P178" s="324">
        <x:v>0</x:v>
      </x:c>
      <x:c r="Q178" s="324">
        <x:v>0</x:v>
      </x:c>
      <x:c r="R178" s="324">
        <x:v>0</x:v>
      </x:c>
      <x:c r="S178" s="324">
        <x:v>0</x:v>
      </x:c>
      <x:c r="T178" s="324">
        <x:v>0</x:v>
      </x:c>
      <x:c r="U178" s="324">
        <x:v>0</x:v>
      </x:c>
      <x:c r="V178" s="324">
        <x:v>0</x:v>
      </x:c>
      <x:c r="W178" s="324">
        <x:v>0</x:v>
      </x:c>
      <x:c r="X178" s="324">
        <x:v>0</x:v>
      </x:c>
      <x:c r="Y178" s="324">
        <x:v>0</x:v>
      </x:c>
      <x:c r="Z178" s="257">
        <x:f t="shared" si="5"/>
        <x:v>0</x:v>
      </x:c>
    </x:row>
    <x:row r="179">
      <x:c r="A179" s="148" t="s">
        <x:v>107</x:v>
      </x:c>
      <x:c r="B179">
        <x:v>5</x:v>
      </x:c>
      <x:c r="C179" s="148" t="s">
        <x:v>115</x:v>
      </x:c>
      <x:c r="D179">
        <x:v>509</x:v>
      </x:c>
      <x:c r="E179" s="324">
        <x:v>0</x:v>
      </x:c>
      <x:c r="F179" s="324">
        <x:v>0</x:v>
      </x:c>
      <x:c r="G179" s="324">
        <x:v>0</x:v>
      </x:c>
      <x:c r="H179" s="324">
        <x:v>0</x:v>
      </x:c>
      <x:c r="I179" s="324">
        <x:v>0</x:v>
      </x:c>
      <x:c r="J179" s="324">
        <x:v>0</x:v>
      </x:c>
      <x:c r="K179" s="324">
        <x:v>0</x:v>
      </x:c>
      <x:c r="L179" s="324">
        <x:v>0</x:v>
      </x:c>
      <x:c r="M179" s="324">
        <x:v>0</x:v>
      </x:c>
      <x:c r="N179" s="324">
        <x:v>0</x:v>
      </x:c>
      <x:c r="O179" s="324">
        <x:v>0</x:v>
      </x:c>
      <x:c r="P179" s="324">
        <x:v>0</x:v>
      </x:c>
      <x:c r="Q179" s="324">
        <x:v>0</x:v>
      </x:c>
      <x:c r="R179" s="324">
        <x:v>0</x:v>
      </x:c>
      <x:c r="S179" s="324">
        <x:v>0</x:v>
      </x:c>
      <x:c r="T179" s="324">
        <x:v>0</x:v>
      </x:c>
      <x:c r="U179" s="324">
        <x:v>0</x:v>
      </x:c>
      <x:c r="V179" s="324">
        <x:v>0</x:v>
      </x:c>
      <x:c r="W179" s="324">
        <x:v>0</x:v>
      </x:c>
      <x:c r="X179" s="324">
        <x:v>0</x:v>
      </x:c>
      <x:c r="Y179" s="324">
        <x:v>0</x:v>
      </x:c>
      <x:c r="Z179" s="257">
        <x:f t="shared" si="5"/>
        <x:v>0</x:v>
      </x:c>
    </x:row>
    <x:row r="180">
      <x:c r="A180" s="148" t="s">
        <x:v>107</x:v>
      </x:c>
      <x:c r="B180">
        <x:v>5</x:v>
      </x:c>
      <x:c r="C180" s="148" t="s">
        <x:v>115</x:v>
      </x:c>
      <x:c r="D180">
        <x:v>510</x:v>
      </x:c>
      <x:c r="E180" s="324">
        <x:v>0</x:v>
      </x:c>
      <x:c r="F180" s="324">
        <x:v>0</x:v>
      </x:c>
      <x:c r="G180" s="324">
        <x:v>0</x:v>
      </x:c>
      <x:c r="H180" s="324">
        <x:v>0</x:v>
      </x:c>
      <x:c r="I180" s="324">
        <x:v>0</x:v>
      </x:c>
      <x:c r="J180" s="324">
        <x:v>0</x:v>
      </x:c>
      <x:c r="K180" s="324">
        <x:v>0</x:v>
      </x:c>
      <x:c r="L180" s="324">
        <x:v>0</x:v>
      </x:c>
      <x:c r="M180" s="324">
        <x:v>0</x:v>
      </x:c>
      <x:c r="N180" s="324">
        <x:v>0</x:v>
      </x:c>
      <x:c r="O180" s="324">
        <x:v>0</x:v>
      </x:c>
      <x:c r="P180" s="324">
        <x:v>0</x:v>
      </x:c>
      <x:c r="Q180" s="324">
        <x:v>0</x:v>
      </x:c>
      <x:c r="R180" s="324">
        <x:v>0</x:v>
      </x:c>
      <x:c r="S180" s="324">
        <x:v>0</x:v>
      </x:c>
      <x:c r="T180" s="324">
        <x:v>0</x:v>
      </x:c>
      <x:c r="U180" s="324">
        <x:v>0</x:v>
      </x:c>
      <x:c r="V180" s="324">
        <x:v>0</x:v>
      </x:c>
      <x:c r="W180" s="324">
        <x:v>0</x:v>
      </x:c>
      <x:c r="X180" s="324">
        <x:v>0</x:v>
      </x:c>
      <x:c r="Y180" s="324">
        <x:v>0</x:v>
      </x:c>
      <x:c r="Z180" s="257">
        <x:f t="shared" si="5"/>
        <x:v>0</x:v>
      </x:c>
    </x:row>
    <x:row r="181">
      <x:c r="A181" s="148" t="s">
        <x:v>107</x:v>
      </x:c>
      <x:c r="B181">
        <x:v>5</x:v>
      </x:c>
      <x:c r="C181" s="148" t="s">
        <x:v>115</x:v>
      </x:c>
      <x:c r="D181">
        <x:v>511</x:v>
      </x:c>
      <x:c r="E181" s="324">
        <x:v>0</x:v>
      </x:c>
      <x:c r="F181" s="324">
        <x:v>0</x:v>
      </x:c>
      <x:c r="G181" s="324">
        <x:v>0</x:v>
      </x:c>
      <x:c r="H181" s="324">
        <x:v>0</x:v>
      </x:c>
      <x:c r="I181" s="324">
        <x:v>0</x:v>
      </x:c>
      <x:c r="J181" s="324">
        <x:v>0</x:v>
      </x:c>
      <x:c r="K181" s="324">
        <x:v>0</x:v>
      </x:c>
      <x:c r="L181" s="324">
        <x:v>0</x:v>
      </x:c>
      <x:c r="M181" s="324">
        <x:v>0</x:v>
      </x:c>
      <x:c r="N181" s="324">
        <x:v>0</x:v>
      </x:c>
      <x:c r="O181" s="324">
        <x:v>0</x:v>
      </x:c>
      <x:c r="P181" s="324">
        <x:v>0</x:v>
      </x:c>
      <x:c r="Q181" s="324">
        <x:v>0</x:v>
      </x:c>
      <x:c r="R181" s="324">
        <x:v>0</x:v>
      </x:c>
      <x:c r="S181" s="324">
        <x:v>0</x:v>
      </x:c>
      <x:c r="T181" s="324">
        <x:v>0</x:v>
      </x:c>
      <x:c r="U181" s="324">
        <x:v>0</x:v>
      </x:c>
      <x:c r="V181" s="324">
        <x:v>0</x:v>
      </x:c>
      <x:c r="W181" s="324">
        <x:v>0</x:v>
      </x:c>
      <x:c r="X181" s="324">
        <x:v>0</x:v>
      </x:c>
      <x:c r="Y181" s="324">
        <x:v>0</x:v>
      </x:c>
      <x:c r="Z181" s="257">
        <x:f t="shared" si="5"/>
        <x:v>0</x:v>
      </x:c>
    </x:row>
    <x:row r="182">
      <x:c r="A182" s="148" t="s">
        <x:v>107</x:v>
      </x:c>
      <x:c r="B182">
        <x:v>5</x:v>
      </x:c>
      <x:c r="C182" s="148" t="s">
        <x:v>115</x:v>
      </x:c>
      <x:c r="D182">
        <x:v>512</x:v>
      </x:c>
      <x:c r="E182" s="324">
        <x:v>0</x:v>
      </x:c>
      <x:c r="F182" s="324">
        <x:v>0</x:v>
      </x:c>
      <x:c r="G182" s="324">
        <x:v>0</x:v>
      </x:c>
      <x:c r="H182" s="324">
        <x:v>0</x:v>
      </x:c>
      <x:c r="I182" s="324">
        <x:v>0</x:v>
      </x:c>
      <x:c r="J182" s="324">
        <x:v>0</x:v>
      </x:c>
      <x:c r="K182" s="324">
        <x:v>0</x:v>
      </x:c>
      <x:c r="L182" s="324">
        <x:v>0</x:v>
      </x:c>
      <x:c r="M182" s="324">
        <x:v>0</x:v>
      </x:c>
      <x:c r="N182" s="324">
        <x:v>0</x:v>
      </x:c>
      <x:c r="O182" s="324">
        <x:v>0</x:v>
      </x:c>
      <x:c r="P182" s="324">
        <x:v>0</x:v>
      </x:c>
      <x:c r="Q182" s="324">
        <x:v>0</x:v>
      </x:c>
      <x:c r="R182" s="324">
        <x:v>0</x:v>
      </x:c>
      <x:c r="S182" s="324">
        <x:v>0</x:v>
      </x:c>
      <x:c r="T182" s="324">
        <x:v>0</x:v>
      </x:c>
      <x:c r="U182" s="324">
        <x:v>0</x:v>
      </x:c>
      <x:c r="V182" s="324">
        <x:v>0</x:v>
      </x:c>
      <x:c r="W182" s="324">
        <x:v>0</x:v>
      </x:c>
      <x:c r="X182" s="324">
        <x:v>0</x:v>
      </x:c>
      <x:c r="Y182" s="324">
        <x:v>0</x:v>
      </x:c>
      <x:c r="Z182" s="257">
        <x:f t="shared" si="5"/>
        <x:v>0</x:v>
      </x:c>
    </x:row>
    <x:row r="183">
      <x:c r="A183" s="148" t="s">
        <x:v>107</x:v>
      </x:c>
      <x:c r="B183">
        <x:v>5</x:v>
      </x:c>
      <x:c r="C183" s="148" t="s">
        <x:v>115</x:v>
      </x:c>
      <x:c r="D183">
        <x:v>513</x:v>
      </x:c>
      <x:c r="E183" s="324">
        <x:v>0</x:v>
      </x:c>
      <x:c r="F183" s="324">
        <x:v>0</x:v>
      </x:c>
      <x:c r="G183" s="324">
        <x:v>0</x:v>
      </x:c>
      <x:c r="H183" s="324">
        <x:v>0</x:v>
      </x:c>
      <x:c r="I183" s="324">
        <x:v>0</x:v>
      </x:c>
      <x:c r="J183" s="324">
        <x:v>0</x:v>
      </x:c>
      <x:c r="K183" s="324">
        <x:v>0</x:v>
      </x:c>
      <x:c r="L183" s="324">
        <x:v>0</x:v>
      </x:c>
      <x:c r="M183" s="324">
        <x:v>0</x:v>
      </x:c>
      <x:c r="N183" s="324">
        <x:v>0</x:v>
      </x:c>
      <x:c r="O183" s="324">
        <x:v>0</x:v>
      </x:c>
      <x:c r="P183" s="324">
        <x:v>0</x:v>
      </x:c>
      <x:c r="Q183" s="324">
        <x:v>0</x:v>
      </x:c>
      <x:c r="R183" s="324">
        <x:v>0</x:v>
      </x:c>
      <x:c r="S183" s="324">
        <x:v>0</x:v>
      </x:c>
      <x:c r="T183" s="324">
        <x:v>0</x:v>
      </x:c>
      <x:c r="U183" s="324">
        <x:v>0</x:v>
      </x:c>
      <x:c r="V183" s="324">
        <x:v>0</x:v>
      </x:c>
      <x:c r="W183" s="324">
        <x:v>0</x:v>
      </x:c>
      <x:c r="X183" s="324">
        <x:v>0</x:v>
      </x:c>
      <x:c r="Y183" s="324">
        <x:v>0</x:v>
      </x:c>
      <x:c r="Z183" s="257">
        <x:f t="shared" si="5"/>
        <x:v>0</x:v>
      </x:c>
    </x:row>
    <x:row r="184">
      <x:c r="A184" s="148" t="s">
        <x:v>107</x:v>
      </x:c>
      <x:c r="B184">
        <x:v>5</x:v>
      </x:c>
      <x:c r="C184" s="148" t="s">
        <x:v>115</x:v>
      </x:c>
      <x:c r="D184">
        <x:v>514</x:v>
      </x:c>
      <x:c r="E184" s="324">
        <x:v>0</x:v>
      </x:c>
      <x:c r="F184" s="324">
        <x:v>0</x:v>
      </x:c>
      <x:c r="G184" s="324">
        <x:v>0</x:v>
      </x:c>
      <x:c r="H184" s="324">
        <x:v>0</x:v>
      </x:c>
      <x:c r="I184" s="324">
        <x:v>0</x:v>
      </x:c>
      <x:c r="J184" s="324">
        <x:v>0</x:v>
      </x:c>
      <x:c r="K184" s="324">
        <x:v>0</x:v>
      </x:c>
      <x:c r="L184" s="324">
        <x:v>0</x:v>
      </x:c>
      <x:c r="M184" s="324">
        <x:v>0</x:v>
      </x:c>
      <x:c r="N184" s="324">
        <x:v>0</x:v>
      </x:c>
      <x:c r="O184" s="324">
        <x:v>0</x:v>
      </x:c>
      <x:c r="P184" s="324">
        <x:v>0</x:v>
      </x:c>
      <x:c r="Q184" s="324">
        <x:v>0</x:v>
      </x:c>
      <x:c r="R184" s="324">
        <x:v>0</x:v>
      </x:c>
      <x:c r="S184" s="324">
        <x:v>0</x:v>
      </x:c>
      <x:c r="T184" s="324">
        <x:v>0</x:v>
      </x:c>
      <x:c r="U184" s="324">
        <x:v>0</x:v>
      </x:c>
      <x:c r="V184" s="324">
        <x:v>0</x:v>
      </x:c>
      <x:c r="W184" s="324">
        <x:v>0</x:v>
      </x:c>
      <x:c r="X184" s="324">
        <x:v>0</x:v>
      </x:c>
      <x:c r="Y184" s="324">
        <x:v>0</x:v>
      </x:c>
      <x:c r="Z184" s="257">
        <x:f t="shared" si="5"/>
        <x:v>0</x:v>
      </x:c>
    </x:row>
    <x:row r="185">
      <x:c r="A185" s="148" t="s">
        <x:v>107</x:v>
      </x:c>
      <x:c r="B185">
        <x:v>5</x:v>
      </x:c>
      <x:c r="C185" s="148" t="s">
        <x:v>115</x:v>
      </x:c>
      <x:c r="D185">
        <x:v>515</x:v>
      </x:c>
      <x:c r="E185" s="324">
        <x:v>0</x:v>
      </x:c>
      <x:c r="F185" s="324">
        <x:v>0</x:v>
      </x:c>
      <x:c r="G185" s="324">
        <x:v>0</x:v>
      </x:c>
      <x:c r="H185" s="324">
        <x:v>0</x:v>
      </x:c>
      <x:c r="I185" s="324">
        <x:v>0</x:v>
      </x:c>
      <x:c r="J185" s="324">
        <x:v>0</x:v>
      </x:c>
      <x:c r="K185" s="324">
        <x:v>0</x:v>
      </x:c>
      <x:c r="L185" s="324">
        <x:v>0</x:v>
      </x:c>
      <x:c r="M185" s="324">
        <x:v>0</x:v>
      </x:c>
      <x:c r="N185" s="324">
        <x:v>0</x:v>
      </x:c>
      <x:c r="O185" s="324">
        <x:v>0</x:v>
      </x:c>
      <x:c r="P185" s="324">
        <x:v>0</x:v>
      </x:c>
      <x:c r="Q185" s="324">
        <x:v>0</x:v>
      </x:c>
      <x:c r="R185" s="324">
        <x:v>0</x:v>
      </x:c>
      <x:c r="S185" s="324">
        <x:v>0</x:v>
      </x:c>
      <x:c r="T185" s="324">
        <x:v>0</x:v>
      </x:c>
      <x:c r="U185" s="324">
        <x:v>0</x:v>
      </x:c>
      <x:c r="V185" s="324">
        <x:v>0</x:v>
      </x:c>
      <x:c r="W185" s="324">
        <x:v>0</x:v>
      </x:c>
      <x:c r="X185" s="324">
        <x:v>0</x:v>
      </x:c>
      <x:c r="Y185" s="324">
        <x:v>0</x:v>
      </x:c>
      <x:c r="Z185" s="257">
        <x:f t="shared" si="5"/>
        <x:v>0</x:v>
      </x:c>
    </x:row>
    <x:row r="186">
      <x:c r="A186" s="148" t="s">
        <x:v>107</x:v>
      </x:c>
      <x:c r="B186">
        <x:v>5</x:v>
      </x:c>
      <x:c r="C186" s="148" t="s">
        <x:v>115</x:v>
      </x:c>
      <x:c r="D186">
        <x:v>516</x:v>
      </x:c>
      <x:c r="E186" s="324">
        <x:v>0</x:v>
      </x:c>
      <x:c r="F186" s="324">
        <x:v>0</x:v>
      </x:c>
      <x:c r="G186" s="324">
        <x:v>0</x:v>
      </x:c>
      <x:c r="H186" s="324">
        <x:v>0</x:v>
      </x:c>
      <x:c r="I186" s="324">
        <x:v>0</x:v>
      </x:c>
      <x:c r="J186" s="324">
        <x:v>0</x:v>
      </x:c>
      <x:c r="K186" s="324">
        <x:v>0</x:v>
      </x:c>
      <x:c r="L186" s="324">
        <x:v>0</x:v>
      </x:c>
      <x:c r="M186" s="324">
        <x:v>0</x:v>
      </x:c>
      <x:c r="N186" s="324">
        <x:v>0</x:v>
      </x:c>
      <x:c r="O186" s="324">
        <x:v>0</x:v>
      </x:c>
      <x:c r="P186" s="324">
        <x:v>0</x:v>
      </x:c>
      <x:c r="Q186" s="324">
        <x:v>0</x:v>
      </x:c>
      <x:c r="R186" s="324">
        <x:v>0</x:v>
      </x:c>
      <x:c r="S186" s="324">
        <x:v>0</x:v>
      </x:c>
      <x:c r="T186" s="324">
        <x:v>0</x:v>
      </x:c>
      <x:c r="U186" s="324">
        <x:v>0</x:v>
      </x:c>
      <x:c r="V186" s="324">
        <x:v>0</x:v>
      </x:c>
      <x:c r="W186" s="324">
        <x:v>0</x:v>
      </x:c>
      <x:c r="X186" s="324">
        <x:v>0</x:v>
      </x:c>
      <x:c r="Y186" s="324">
        <x:v>0</x:v>
      </x:c>
      <x:c r="Z186" s="257">
        <x:f t="shared" si="5"/>
        <x:v>0</x:v>
      </x:c>
    </x:row>
    <x:row r="187">
      <x:c r="A187" s="148" t="s">
        <x:v>107</x:v>
      </x:c>
      <x:c r="B187">
        <x:v>5</x:v>
      </x:c>
      <x:c r="C187" s="148" t="s">
        <x:v>115</x:v>
      </x:c>
      <x:c r="D187">
        <x:v>517</x:v>
      </x:c>
      <x:c r="E187" s="324">
        <x:v>0</x:v>
      </x:c>
      <x:c r="F187" s="324">
        <x:v>0</x:v>
      </x:c>
      <x:c r="G187" s="324">
        <x:v>0</x:v>
      </x:c>
      <x:c r="H187" s="324">
        <x:v>0</x:v>
      </x:c>
      <x:c r="I187" s="324">
        <x:v>0</x:v>
      </x:c>
      <x:c r="J187" s="324">
        <x:v>0</x:v>
      </x:c>
      <x:c r="K187" s="324">
        <x:v>0</x:v>
      </x:c>
      <x:c r="L187" s="324">
        <x:v>0</x:v>
      </x:c>
      <x:c r="M187" s="324">
        <x:v>0</x:v>
      </x:c>
      <x:c r="N187" s="324">
        <x:v>0</x:v>
      </x:c>
      <x:c r="O187" s="324">
        <x:v>0</x:v>
      </x:c>
      <x:c r="P187" s="324">
        <x:v>0</x:v>
      </x:c>
      <x:c r="Q187" s="324">
        <x:v>0</x:v>
      </x:c>
      <x:c r="R187" s="324">
        <x:v>0</x:v>
      </x:c>
      <x:c r="S187" s="324">
        <x:v>0</x:v>
      </x:c>
      <x:c r="T187" s="324">
        <x:v>0</x:v>
      </x:c>
      <x:c r="U187" s="324">
        <x:v>0</x:v>
      </x:c>
      <x:c r="V187" s="324">
        <x:v>0</x:v>
      </x:c>
      <x:c r="W187" s="324">
        <x:v>0</x:v>
      </x:c>
      <x:c r="X187" s="324">
        <x:v>0</x:v>
      </x:c>
      <x:c r="Y187" s="324">
        <x:v>0</x:v>
      </x:c>
      <x:c r="Z187" s="257">
        <x:f t="shared" si="5"/>
        <x:v>0</x:v>
      </x:c>
    </x:row>
    <x:row r="188">
      <x:c r="A188" s="148" t="s">
        <x:v>107</x:v>
      </x:c>
      <x:c r="B188">
        <x:v>5</x:v>
      </x:c>
      <x:c r="C188" s="148" t="s">
        <x:v>115</x:v>
      </x:c>
      <x:c r="D188">
        <x:v>518</x:v>
      </x:c>
      <x:c r="E188" s="324">
        <x:v>0</x:v>
      </x:c>
      <x:c r="F188" s="324">
        <x:v>0</x:v>
      </x:c>
      <x:c r="G188" s="324">
        <x:v>0</x:v>
      </x:c>
      <x:c r="H188" s="324">
        <x:v>0</x:v>
      </x:c>
      <x:c r="I188" s="324">
        <x:v>0</x:v>
      </x:c>
      <x:c r="J188" s="324">
        <x:v>0</x:v>
      </x:c>
      <x:c r="K188" s="324">
        <x:v>0</x:v>
      </x:c>
      <x:c r="L188" s="324">
        <x:v>0</x:v>
      </x:c>
      <x:c r="M188" s="324">
        <x:v>0</x:v>
      </x:c>
      <x:c r="N188" s="324">
        <x:v>0</x:v>
      </x:c>
      <x:c r="O188" s="324">
        <x:v>0</x:v>
      </x:c>
      <x:c r="P188" s="324">
        <x:v>0</x:v>
      </x:c>
      <x:c r="Q188" s="324">
        <x:v>0</x:v>
      </x:c>
      <x:c r="R188" s="324">
        <x:v>0</x:v>
      </x:c>
      <x:c r="S188" s="324">
        <x:v>0</x:v>
      </x:c>
      <x:c r="T188" s="324">
        <x:v>0</x:v>
      </x:c>
      <x:c r="U188" s="324">
        <x:v>0</x:v>
      </x:c>
      <x:c r="V188" s="324">
        <x:v>0</x:v>
      </x:c>
      <x:c r="W188" s="324">
        <x:v>0</x:v>
      </x:c>
      <x:c r="X188" s="324">
        <x:v>0</x:v>
      </x:c>
      <x:c r="Y188" s="324">
        <x:v>0</x:v>
      </x:c>
      <x:c r="Z188" s="257">
        <x:f t="shared" si="5"/>
        <x:v>0</x:v>
      </x:c>
    </x:row>
    <x:row r="189">
      <x:c r="A189" s="148" t="s">
        <x:v>107</x:v>
      </x:c>
      <x:c r="B189">
        <x:v>5</x:v>
      </x:c>
      <x:c r="C189" s="148" t="s">
        <x:v>115</x:v>
      </x:c>
      <x:c r="D189">
        <x:v>519</x:v>
      </x:c>
      <x:c r="E189" s="324">
        <x:v>0</x:v>
      </x:c>
      <x:c r="F189" s="324">
        <x:v>0</x:v>
      </x:c>
      <x:c r="G189" s="324">
        <x:v>0</x:v>
      </x:c>
      <x:c r="H189" s="324">
        <x:v>0</x:v>
      </x:c>
      <x:c r="I189" s="324">
        <x:v>0</x:v>
      </x:c>
      <x:c r="J189" s="324">
        <x:v>0</x:v>
      </x:c>
      <x:c r="K189" s="324">
        <x:v>0</x:v>
      </x:c>
      <x:c r="L189" s="324">
        <x:v>0</x:v>
      </x:c>
      <x:c r="M189" s="324">
        <x:v>0</x:v>
      </x:c>
      <x:c r="N189" s="324">
        <x:v>0</x:v>
      </x:c>
      <x:c r="O189" s="324">
        <x:v>0</x:v>
      </x:c>
      <x:c r="P189" s="324">
        <x:v>0</x:v>
      </x:c>
      <x:c r="Q189" s="324">
        <x:v>0</x:v>
      </x:c>
      <x:c r="R189" s="324">
        <x:v>0</x:v>
      </x:c>
      <x:c r="S189" s="324">
        <x:v>0</x:v>
      </x:c>
      <x:c r="T189" s="324">
        <x:v>0</x:v>
      </x:c>
      <x:c r="U189" s="324">
        <x:v>0</x:v>
      </x:c>
      <x:c r="V189" s="324">
        <x:v>0</x:v>
      </x:c>
      <x:c r="W189" s="324">
        <x:v>0</x:v>
      </x:c>
      <x:c r="X189" s="324">
        <x:v>0</x:v>
      </x:c>
      <x:c r="Y189" s="324">
        <x:v>0</x:v>
      </x:c>
      <x:c r="Z189" s="257">
        <x:f t="shared" si="5"/>
        <x:v>0</x:v>
      </x:c>
    </x:row>
    <x:row r="190">
      <x:c r="A190" s="148" t="s">
        <x:v>107</x:v>
      </x:c>
      <x:c r="B190">
        <x:v>5</x:v>
      </x:c>
      <x:c r="C190" s="148" t="s">
        <x:v>115</x:v>
      </x:c>
      <x:c r="D190">
        <x:v>520</x:v>
      </x:c>
      <x:c r="E190" s="324">
        <x:v>0</x:v>
      </x:c>
      <x:c r="F190" s="324">
        <x:v>0</x:v>
      </x:c>
      <x:c r="G190" s="324">
        <x:v>0</x:v>
      </x:c>
      <x:c r="H190" s="324">
        <x:v>0</x:v>
      </x:c>
      <x:c r="I190" s="324">
        <x:v>0</x:v>
      </x:c>
      <x:c r="J190" s="324">
        <x:v>0</x:v>
      </x:c>
      <x:c r="K190" s="324">
        <x:v>0</x:v>
      </x:c>
      <x:c r="L190" s="324">
        <x:v>0</x:v>
      </x:c>
      <x:c r="M190" s="324">
        <x:v>0</x:v>
      </x:c>
      <x:c r="N190" s="324">
        <x:v>0</x:v>
      </x:c>
      <x:c r="O190" s="324">
        <x:v>0</x:v>
      </x:c>
      <x:c r="P190" s="324">
        <x:v>0</x:v>
      </x:c>
      <x:c r="Q190" s="324">
        <x:v>0</x:v>
      </x:c>
      <x:c r="R190" s="324">
        <x:v>0</x:v>
      </x:c>
      <x:c r="S190" s="324">
        <x:v>0</x:v>
      </x:c>
      <x:c r="T190" s="324">
        <x:v>0</x:v>
      </x:c>
      <x:c r="U190" s="324">
        <x:v>0</x:v>
      </x:c>
      <x:c r="V190" s="324">
        <x:v>0</x:v>
      </x:c>
      <x:c r="W190" s="324">
        <x:v>0</x:v>
      </x:c>
      <x:c r="X190" s="324">
        <x:v>0</x:v>
      </x:c>
      <x:c r="Y190" s="324">
        <x:v>0</x:v>
      </x:c>
      <x:c r="Z190" s="257">
        <x:f t="shared" si="5"/>
        <x:v>0</x:v>
      </x:c>
    </x:row>
    <x:row r="191">
      <x:c r="A191" s="148" t="s">
        <x:v>107</x:v>
      </x:c>
      <x:c r="B191">
        <x:v>5</x:v>
      </x:c>
      <x:c r="C191" s="148" t="s">
        <x:v>115</x:v>
      </x:c>
      <x:c r="D191">
        <x:v>521</x:v>
      </x:c>
      <x:c r="E191" s="324">
        <x:v>0</x:v>
      </x:c>
      <x:c r="F191" s="324">
        <x:v>0</x:v>
      </x:c>
      <x:c r="G191" s="324">
        <x:v>0</x:v>
      </x:c>
      <x:c r="H191" s="324">
        <x:v>0</x:v>
      </x:c>
      <x:c r="I191" s="324">
        <x:v>0</x:v>
      </x:c>
      <x:c r="J191" s="324">
        <x:v>0</x:v>
      </x:c>
      <x:c r="K191" s="324">
        <x:v>0</x:v>
      </x:c>
      <x:c r="L191" s="324">
        <x:v>0</x:v>
      </x:c>
      <x:c r="M191" s="324">
        <x:v>0</x:v>
      </x:c>
      <x:c r="N191" s="324">
        <x:v>0</x:v>
      </x:c>
      <x:c r="O191" s="324">
        <x:v>0</x:v>
      </x:c>
      <x:c r="P191" s="324">
        <x:v>0</x:v>
      </x:c>
      <x:c r="Q191" s="324">
        <x:v>0</x:v>
      </x:c>
      <x:c r="R191" s="324">
        <x:v>0</x:v>
      </x:c>
      <x:c r="S191" s="324">
        <x:v>0</x:v>
      </x:c>
      <x:c r="T191" s="324">
        <x:v>0</x:v>
      </x:c>
      <x:c r="U191" s="324">
        <x:v>0</x:v>
      </x:c>
      <x:c r="V191" s="324">
        <x:v>0</x:v>
      </x:c>
      <x:c r="W191" s="324">
        <x:v>0</x:v>
      </x:c>
      <x:c r="X191" s="324">
        <x:v>0</x:v>
      </x:c>
      <x:c r="Y191" s="324">
        <x:v>0</x:v>
      </x:c>
      <x:c r="Z191" s="257">
        <x:f t="shared" si="5"/>
        <x:v>0</x:v>
      </x:c>
    </x:row>
    <x:row r="192">
      <x:c r="A192" s="148"/>
      <x:c r="B192"/>
      <x:c r="C192" s="148"/>
      <x:c r="D192" s="148"/>
      <x:c r="E192" s="324"/>
      <x:c r="F192" s="324">
        <x:f t="shared" ref="F192:Y192" si="7">AVERAGE(F148:F191)</x:f>
      </x:c>
      <x:c r="G192" s="324">
        <x:f t="shared" si="7"/>
      </x:c>
      <x:c r="H192" s="324">
        <x:f t="shared" si="7"/>
      </x:c>
      <x:c r="I192" s="324">
        <x:f t="shared" si="7"/>
      </x:c>
      <x:c r="J192" s="324">
        <x:f t="shared" si="7"/>
      </x:c>
      <x:c r="K192" s="324">
        <x:f t="shared" si="7"/>
      </x:c>
      <x:c r="L192" s="324">
        <x:f t="shared" si="7"/>
      </x:c>
      <x:c r="M192" s="324">
        <x:f t="shared" si="7"/>
      </x:c>
      <x:c r="N192" s="324">
        <x:f t="shared" si="7"/>
      </x:c>
      <x:c r="O192" s="324">
        <x:f t="shared" si="7"/>
      </x:c>
      <x:c r="P192" s="324">
        <x:f t="shared" si="7"/>
      </x:c>
      <x:c r="Q192" s="324">
        <x:f t="shared" si="7"/>
      </x:c>
      <x:c r="R192" s="324">
        <x:f t="shared" si="7"/>
      </x:c>
      <x:c r="S192" s="324">
        <x:f t="shared" si="7"/>
      </x:c>
      <x:c r="T192" s="324">
        <x:f t="shared" si="7"/>
      </x:c>
      <x:c r="U192" s="324">
        <x:f t="shared" si="7"/>
      </x:c>
      <x:c r="V192" s="324">
        <x:f t="shared" si="7"/>
      </x:c>
      <x:c r="W192" s="324">
        <x:f t="shared" si="7"/>
      </x:c>
      <x:c r="X192" s="324">
        <x:f t="shared" si="7"/>
      </x:c>
      <x:c r="Y192" s="324">
        <x:f t="shared" si="7"/>
      </x:c>
      <x:c r="Z192" s="257">
        <x:f t="shared" si="5"/>
      </x:c>
    </x:row>
    <x:row r="193">
      <x:c r="A193" s="148" t="s">
        <x:v>107</x:v>
      </x:c>
      <x:c r="B193">
        <x:v>6</x:v>
      </x:c>
      <x:c r="C193" s="148" t="s">
        <x:v>116</x:v>
      </x:c>
      <x:c r="D193">
        <x:v>601</x:v>
      </x:c>
      <x:c r="E193" s="324">
        <x:v>0</x:v>
      </x:c>
      <x:c r="F193" s="324">
        <x:v>0</x:v>
      </x:c>
      <x:c r="G193" s="324">
        <x:v>0</x:v>
      </x:c>
      <x:c r="H193" s="324">
        <x:v>0</x:v>
      </x:c>
      <x:c r="I193" s="324">
        <x:v>0</x:v>
      </x:c>
      <x:c r="J193" s="324">
        <x:v>0</x:v>
      </x:c>
      <x:c r="K193" s="324">
        <x:v>0</x:v>
      </x:c>
      <x:c r="L193" s="324">
        <x:v>0</x:v>
      </x:c>
      <x:c r="M193" s="324">
        <x:v>0</x:v>
      </x:c>
      <x:c r="N193" s="324">
        <x:v>0</x:v>
      </x:c>
      <x:c r="O193" s="324">
        <x:v>0</x:v>
      </x:c>
      <x:c r="P193" s="324">
        <x:v>0</x:v>
      </x:c>
      <x:c r="Q193" s="324">
        <x:v>0</x:v>
      </x:c>
      <x:c r="R193" s="324">
        <x:v>0</x:v>
      </x:c>
      <x:c r="S193" s="324">
        <x:v>0</x:v>
      </x:c>
      <x:c r="T193" s="324">
        <x:v>0</x:v>
      </x:c>
      <x:c r="U193" s="324">
        <x:v>0</x:v>
      </x:c>
      <x:c r="V193" s="324">
        <x:v>0</x:v>
      </x:c>
      <x:c r="W193" s="324">
        <x:v>0</x:v>
      </x:c>
      <x:c r="X193" s="324">
        <x:v>0</x:v>
      </x:c>
      <x:c r="Y193" s="324">
        <x:v>0</x:v>
      </x:c>
      <x:c r="Z193" s="257">
        <x:f t="shared" si="5"/>
        <x:v>0</x:v>
      </x:c>
    </x:row>
    <x:row r="194">
      <x:c r="A194" s="148" t="s">
        <x:v>107</x:v>
      </x:c>
      <x:c r="B194">
        <x:v>6</x:v>
      </x:c>
      <x:c r="C194" s="148" t="s">
        <x:v>116</x:v>
      </x:c>
      <x:c r="D194">
        <x:v>602</x:v>
      </x:c>
      <x:c r="E194" s="324">
        <x:v>0</x:v>
      </x:c>
      <x:c r="F194" s="324">
        <x:v>0</x:v>
      </x:c>
      <x:c r="G194" s="324">
        <x:v>0</x:v>
      </x:c>
      <x:c r="H194" s="324">
        <x:v>0</x:v>
      </x:c>
      <x:c r="I194" s="324">
        <x:v>0</x:v>
      </x:c>
      <x:c r="J194" s="324">
        <x:v>0</x:v>
      </x:c>
      <x:c r="K194" s="324">
        <x:v>0</x:v>
      </x:c>
      <x:c r="L194" s="324">
        <x:v>0</x:v>
      </x:c>
      <x:c r="M194" s="324">
        <x:v>0</x:v>
      </x:c>
      <x:c r="N194" s="324">
        <x:v>0</x:v>
      </x:c>
      <x:c r="O194" s="324">
        <x:v>0</x:v>
      </x:c>
      <x:c r="P194" s="324">
        <x:v>0</x:v>
      </x:c>
      <x:c r="Q194" s="324">
        <x:v>0</x:v>
      </x:c>
      <x:c r="R194" s="324">
        <x:v>0</x:v>
      </x:c>
      <x:c r="S194" s="324">
        <x:v>0</x:v>
      </x:c>
      <x:c r="T194" s="324">
        <x:v>0</x:v>
      </x:c>
      <x:c r="U194" s="324">
        <x:v>0</x:v>
      </x:c>
      <x:c r="V194" s="324">
        <x:v>0</x:v>
      </x:c>
      <x:c r="W194" s="324">
        <x:v>0</x:v>
      </x:c>
      <x:c r="X194" s="324">
        <x:v>0</x:v>
      </x:c>
      <x:c r="Y194" s="324">
        <x:v>0</x:v>
      </x:c>
      <x:c r="Z194" s="257">
        <x:f t="shared" si="5"/>
        <x:v>0</x:v>
      </x:c>
    </x:row>
    <x:row r="195">
      <x:c r="A195" s="148" t="s">
        <x:v>107</x:v>
      </x:c>
      <x:c r="B195">
        <x:v>6</x:v>
      </x:c>
      <x:c r="C195" s="148" t="s">
        <x:v>116</x:v>
      </x:c>
      <x:c r="D195">
        <x:v>603</x:v>
      </x:c>
      <x:c r="E195" s="324">
        <x:v>0</x:v>
      </x:c>
      <x:c r="F195" s="324">
        <x:v>0</x:v>
      </x:c>
      <x:c r="G195" s="324">
        <x:v>0</x:v>
      </x:c>
      <x:c r="H195" s="324">
        <x:v>0</x:v>
      </x:c>
      <x:c r="I195" s="324">
        <x:v>0</x:v>
      </x:c>
      <x:c r="J195" s="324">
        <x:v>0</x:v>
      </x:c>
      <x:c r="K195" s="324">
        <x:v>0</x:v>
      </x:c>
      <x:c r="L195" s="324">
        <x:v>0</x:v>
      </x:c>
      <x:c r="M195" s="324">
        <x:v>0</x:v>
      </x:c>
      <x:c r="N195" s="324">
        <x:v>0</x:v>
      </x:c>
      <x:c r="O195" s="324">
        <x:v>0</x:v>
      </x:c>
      <x:c r="P195" s="324">
        <x:v>0</x:v>
      </x:c>
      <x:c r="Q195" s="324">
        <x:v>0</x:v>
      </x:c>
      <x:c r="R195" s="324">
        <x:v>0</x:v>
      </x:c>
      <x:c r="S195" s="324">
        <x:v>0</x:v>
      </x:c>
      <x:c r="T195" s="324">
        <x:v>0</x:v>
      </x:c>
      <x:c r="U195" s="324">
        <x:v>0</x:v>
      </x:c>
      <x:c r="V195" s="324">
        <x:v>0</x:v>
      </x:c>
      <x:c r="W195" s="324">
        <x:v>0</x:v>
      </x:c>
      <x:c r="X195" s="324">
        <x:v>0</x:v>
      </x:c>
      <x:c r="Y195" s="324">
        <x:v>0</x:v>
      </x:c>
      <x:c r="Z195" s="257" t="n">
        <x:f t="shared" ref="Z195:Z258" si="8">AVERAGE(E195:Y195)</x:f>
        <x:v>0</x:v>
      </x:c>
    </x:row>
    <x:row r="196">
      <x:c r="A196" s="148" t="s">
        <x:v>107</x:v>
      </x:c>
      <x:c r="B196">
        <x:v>6</x:v>
      </x:c>
      <x:c r="C196" s="148" t="s">
        <x:v>116</x:v>
      </x:c>
      <x:c r="D196">
        <x:v>604</x:v>
      </x:c>
      <x:c r="E196" s="324">
        <x:v>0</x:v>
      </x:c>
      <x:c r="F196" s="324">
        <x:v>0</x:v>
      </x:c>
      <x:c r="G196" s="324">
        <x:v>0</x:v>
      </x:c>
      <x:c r="H196" s="324">
        <x:v>0</x:v>
      </x:c>
      <x:c r="I196" s="324">
        <x:v>0</x:v>
      </x:c>
      <x:c r="J196" s="324">
        <x:v>0</x:v>
      </x:c>
      <x:c r="K196" s="324">
        <x:v>0</x:v>
      </x:c>
      <x:c r="L196" s="324">
        <x:v>0</x:v>
      </x:c>
      <x:c r="M196" s="324">
        <x:v>0</x:v>
      </x:c>
      <x:c r="N196" s="324">
        <x:v>0</x:v>
      </x:c>
      <x:c r="O196" s="324">
        <x:v>0</x:v>
      </x:c>
      <x:c r="P196" s="324">
        <x:v>0</x:v>
      </x:c>
      <x:c r="Q196" s="324">
        <x:v>0</x:v>
      </x:c>
      <x:c r="R196" s="324">
        <x:v>0</x:v>
      </x:c>
      <x:c r="S196" s="324">
        <x:v>0</x:v>
      </x:c>
      <x:c r="T196" s="324">
        <x:v>0</x:v>
      </x:c>
      <x:c r="U196" s="324">
        <x:v>0</x:v>
      </x:c>
      <x:c r="V196" s="324">
        <x:v>0</x:v>
      </x:c>
      <x:c r="W196" s="324">
        <x:v>0</x:v>
      </x:c>
      <x:c r="X196" s="324">
        <x:v>0</x:v>
      </x:c>
      <x:c r="Y196" s="324">
        <x:v>0</x:v>
      </x:c>
      <x:c r="Z196" s="257">
        <x:f t="shared" si="8"/>
        <x:v>0</x:v>
      </x:c>
    </x:row>
    <x:row r="197">
      <x:c r="A197" s="148" t="s">
        <x:v>107</x:v>
      </x:c>
      <x:c r="B197">
        <x:v>6</x:v>
      </x:c>
      <x:c r="C197" s="148" t="s">
        <x:v>116</x:v>
      </x:c>
      <x:c r="D197">
        <x:v>605</x:v>
      </x:c>
      <x:c r="E197" s="324">
        <x:v>0</x:v>
      </x:c>
      <x:c r="F197" s="324">
        <x:v>0</x:v>
      </x:c>
      <x:c r="G197" s="324">
        <x:v>0</x:v>
      </x:c>
      <x:c r="H197" s="324">
        <x:v>0</x:v>
      </x:c>
      <x:c r="I197" s="324">
        <x:v>0</x:v>
      </x:c>
      <x:c r="J197" s="324">
        <x:v>0</x:v>
      </x:c>
      <x:c r="K197" s="324">
        <x:v>0</x:v>
      </x:c>
      <x:c r="L197" s="324">
        <x:v>0</x:v>
      </x:c>
      <x:c r="M197" s="324">
        <x:v>0</x:v>
      </x:c>
      <x:c r="N197" s="324">
        <x:v>0</x:v>
      </x:c>
      <x:c r="O197" s="324">
        <x:v>0</x:v>
      </x:c>
      <x:c r="P197" s="324">
        <x:v>0</x:v>
      </x:c>
      <x:c r="Q197" s="324">
        <x:v>0</x:v>
      </x:c>
      <x:c r="R197" s="324">
        <x:v>0</x:v>
      </x:c>
      <x:c r="S197" s="324">
        <x:v>0</x:v>
      </x:c>
      <x:c r="T197" s="324">
        <x:v>0</x:v>
      </x:c>
      <x:c r="U197" s="324">
        <x:v>0</x:v>
      </x:c>
      <x:c r="V197" s="324">
        <x:v>0</x:v>
      </x:c>
      <x:c r="W197" s="324">
        <x:v>0</x:v>
      </x:c>
      <x:c r="X197" s="324">
        <x:v>0</x:v>
      </x:c>
      <x:c r="Y197" s="324">
        <x:v>0</x:v>
      </x:c>
      <x:c r="Z197" s="257">
        <x:f t="shared" si="8"/>
        <x:v>0</x:v>
      </x:c>
    </x:row>
    <x:row r="198">
      <x:c r="A198" s="148" t="s">
        <x:v>107</x:v>
      </x:c>
      <x:c r="B198">
        <x:v>6</x:v>
      </x:c>
      <x:c r="C198" s="148" t="s">
        <x:v>116</x:v>
      </x:c>
      <x:c r="D198">
        <x:v>606</x:v>
      </x:c>
      <x:c r="E198" s="324">
        <x:v>0</x:v>
      </x:c>
      <x:c r="F198" s="324">
        <x:v>0</x:v>
      </x:c>
      <x:c r="G198" s="324">
        <x:v>0</x:v>
      </x:c>
      <x:c r="H198" s="324">
        <x:v>0</x:v>
      </x:c>
      <x:c r="I198" s="324">
        <x:v>0</x:v>
      </x:c>
      <x:c r="J198" s="324">
        <x:v>0</x:v>
      </x:c>
      <x:c r="K198" s="324">
        <x:v>0</x:v>
      </x:c>
      <x:c r="L198" s="324">
        <x:v>0</x:v>
      </x:c>
      <x:c r="M198" s="324">
        <x:v>0</x:v>
      </x:c>
      <x:c r="N198" s="324">
        <x:v>0</x:v>
      </x:c>
      <x:c r="O198" s="324">
        <x:v>0</x:v>
      </x:c>
      <x:c r="P198" s="324">
        <x:v>0</x:v>
      </x:c>
      <x:c r="Q198" s="324">
        <x:v>0</x:v>
      </x:c>
      <x:c r="R198" s="324">
        <x:v>0</x:v>
      </x:c>
      <x:c r="S198" s="324">
        <x:v>0</x:v>
      </x:c>
      <x:c r="T198" s="324">
        <x:v>0</x:v>
      </x:c>
      <x:c r="U198" s="324">
        <x:v>0</x:v>
      </x:c>
      <x:c r="V198" s="324">
        <x:v>0</x:v>
      </x:c>
      <x:c r="W198" s="324">
        <x:v>0</x:v>
      </x:c>
      <x:c r="X198" s="324">
        <x:v>0</x:v>
      </x:c>
      <x:c r="Y198" s="324">
        <x:v>0</x:v>
      </x:c>
      <x:c r="Z198" s="257">
        <x:f t="shared" si="8"/>
        <x:v>0</x:v>
      </x:c>
    </x:row>
    <x:row r="199">
      <x:c r="A199" s="148" t="s">
        <x:v>107</x:v>
      </x:c>
      <x:c r="B199">
        <x:v>6</x:v>
      </x:c>
      <x:c r="C199" s="148" t="s">
        <x:v>116</x:v>
      </x:c>
      <x:c r="D199">
        <x:v>607</x:v>
      </x:c>
      <x:c r="E199" s="324">
        <x:v>0</x:v>
      </x:c>
      <x:c r="F199" s="324">
        <x:v>0</x:v>
      </x:c>
      <x:c r="G199" s="324">
        <x:v>0</x:v>
      </x:c>
      <x:c r="H199" s="324">
        <x:v>0</x:v>
      </x:c>
      <x:c r="I199" s="324">
        <x:v>0</x:v>
      </x:c>
      <x:c r="J199" s="324">
        <x:v>0</x:v>
      </x:c>
      <x:c r="K199" s="324">
        <x:v>0</x:v>
      </x:c>
      <x:c r="L199" s="324">
        <x:v>0</x:v>
      </x:c>
      <x:c r="M199" s="324">
        <x:v>0</x:v>
      </x:c>
      <x:c r="N199" s="324">
        <x:v>0</x:v>
      </x:c>
      <x:c r="O199" s="324">
        <x:v>0</x:v>
      </x:c>
      <x:c r="P199" s="324">
        <x:v>0</x:v>
      </x:c>
      <x:c r="Q199" s="324">
        <x:v>0</x:v>
      </x:c>
      <x:c r="R199" s="324">
        <x:v>0</x:v>
      </x:c>
      <x:c r="S199" s="324">
        <x:v>0</x:v>
      </x:c>
      <x:c r="T199" s="324">
        <x:v>0</x:v>
      </x:c>
      <x:c r="U199" s="324">
        <x:v>0</x:v>
      </x:c>
      <x:c r="V199" s="324">
        <x:v>0</x:v>
      </x:c>
      <x:c r="W199" s="324">
        <x:v>0</x:v>
      </x:c>
      <x:c r="X199" s="324">
        <x:v>0</x:v>
      </x:c>
      <x:c r="Y199" s="324">
        <x:v>0</x:v>
      </x:c>
      <x:c r="Z199" s="257">
        <x:f t="shared" si="8"/>
        <x:v>0</x:v>
      </x:c>
    </x:row>
    <x:row r="200">
      <x:c r="A200" s="148" t="s">
        <x:v>107</x:v>
      </x:c>
      <x:c r="B200">
        <x:v>6</x:v>
      </x:c>
      <x:c r="C200" s="148" t="s">
        <x:v>116</x:v>
      </x:c>
      <x:c r="D200">
        <x:v>608</x:v>
      </x:c>
      <x:c r="E200" s="324">
        <x:v>0</x:v>
      </x:c>
      <x:c r="F200" s="324">
        <x:v>0</x:v>
      </x:c>
      <x:c r="G200" s="324">
        <x:v>0</x:v>
      </x:c>
      <x:c r="H200" s="324">
        <x:v>0</x:v>
      </x:c>
      <x:c r="I200" s="324">
        <x:v>0</x:v>
      </x:c>
      <x:c r="J200" s="324">
        <x:v>0</x:v>
      </x:c>
      <x:c r="K200" s="324">
        <x:v>0</x:v>
      </x:c>
      <x:c r="L200" s="324">
        <x:v>0</x:v>
      </x:c>
      <x:c r="M200" s="324">
        <x:v>0</x:v>
      </x:c>
      <x:c r="N200" s="324">
        <x:v>0</x:v>
      </x:c>
      <x:c r="O200" s="324">
        <x:v>0</x:v>
      </x:c>
      <x:c r="P200" s="324">
        <x:v>0</x:v>
      </x:c>
      <x:c r="Q200" s="324">
        <x:v>0</x:v>
      </x:c>
      <x:c r="R200" s="324">
        <x:v>0</x:v>
      </x:c>
      <x:c r="S200" s="324">
        <x:v>0</x:v>
      </x:c>
      <x:c r="T200" s="324">
        <x:v>0</x:v>
      </x:c>
      <x:c r="U200" s="324">
        <x:v>0</x:v>
      </x:c>
      <x:c r="V200" s="324">
        <x:v>0</x:v>
      </x:c>
      <x:c r="W200" s="324">
        <x:v>0</x:v>
      </x:c>
      <x:c r="X200" s="324">
        <x:v>0</x:v>
      </x:c>
      <x:c r="Y200" s="324">
        <x:v>0</x:v>
      </x:c>
      <x:c r="Z200" s="257">
        <x:f t="shared" si="8"/>
        <x:v>0</x:v>
      </x:c>
    </x:row>
    <x:row r="201">
      <x:c r="A201" s="148" t="s">
        <x:v>107</x:v>
      </x:c>
      <x:c r="B201">
        <x:v>6</x:v>
      </x:c>
      <x:c r="C201" s="148" t="s">
        <x:v>116</x:v>
      </x:c>
      <x:c r="D201">
        <x:v>609</x:v>
      </x:c>
      <x:c r="E201" s="324">
        <x:v>0</x:v>
      </x:c>
      <x:c r="F201" s="324">
        <x:v>0</x:v>
      </x:c>
      <x:c r="G201" s="324">
        <x:v>0</x:v>
      </x:c>
      <x:c r="H201" s="324">
        <x:v>0</x:v>
      </x:c>
      <x:c r="I201" s="324">
        <x:v>0</x:v>
      </x:c>
      <x:c r="J201" s="324">
        <x:v>0</x:v>
      </x:c>
      <x:c r="K201" s="324">
        <x:v>0</x:v>
      </x:c>
      <x:c r="L201" s="324">
        <x:v>0</x:v>
      </x:c>
      <x:c r="M201" s="324">
        <x:v>0</x:v>
      </x:c>
      <x:c r="N201" s="324">
        <x:v>0</x:v>
      </x:c>
      <x:c r="O201" s="324">
        <x:v>0</x:v>
      </x:c>
      <x:c r="P201" s="324">
        <x:v>0</x:v>
      </x:c>
      <x:c r="Q201" s="324">
        <x:v>0</x:v>
      </x:c>
      <x:c r="R201" s="324">
        <x:v>0</x:v>
      </x:c>
      <x:c r="S201" s="324">
        <x:v>0</x:v>
      </x:c>
      <x:c r="T201" s="324">
        <x:v>0</x:v>
      </x:c>
      <x:c r="U201" s="324">
        <x:v>0</x:v>
      </x:c>
      <x:c r="V201" s="324">
        <x:v>0</x:v>
      </x:c>
      <x:c r="W201" s="324">
        <x:v>0</x:v>
      </x:c>
      <x:c r="X201" s="324">
        <x:v>0</x:v>
      </x:c>
      <x:c r="Y201" s="324">
        <x:v>0</x:v>
      </x:c>
      <x:c r="Z201" s="257">
        <x:f t="shared" si="8"/>
        <x:v>0</x:v>
      </x:c>
    </x:row>
    <x:row r="202">
      <x:c r="A202" s="148" t="s">
        <x:v>107</x:v>
      </x:c>
      <x:c r="B202">
        <x:v>6</x:v>
      </x:c>
      <x:c r="C202" s="148" t="s">
        <x:v>116</x:v>
      </x:c>
      <x:c r="D202">
        <x:v>610</x:v>
      </x:c>
      <x:c r="E202" s="324">
        <x:v>0</x:v>
      </x:c>
      <x:c r="F202" s="324">
        <x:v>0</x:v>
      </x:c>
      <x:c r="G202" s="324">
        <x:v>0</x:v>
      </x:c>
      <x:c r="H202" s="324">
        <x:v>0</x:v>
      </x:c>
      <x:c r="I202" s="324">
        <x:v>0</x:v>
      </x:c>
      <x:c r="J202" s="324">
        <x:v>0</x:v>
      </x:c>
      <x:c r="K202" s="324">
        <x:v>0</x:v>
      </x:c>
      <x:c r="L202" s="324">
        <x:v>0</x:v>
      </x:c>
      <x:c r="M202" s="324">
        <x:v>0</x:v>
      </x:c>
      <x:c r="N202" s="324">
        <x:v>0</x:v>
      </x:c>
      <x:c r="O202" s="324">
        <x:v>0</x:v>
      </x:c>
      <x:c r="P202" s="324">
        <x:v>0</x:v>
      </x:c>
      <x:c r="Q202" s="324">
        <x:v>0</x:v>
      </x:c>
      <x:c r="R202" s="324">
        <x:v>0</x:v>
      </x:c>
      <x:c r="S202" s="324">
        <x:v>0</x:v>
      </x:c>
      <x:c r="T202" s="324">
        <x:v>0</x:v>
      </x:c>
      <x:c r="U202" s="324">
        <x:v>0</x:v>
      </x:c>
      <x:c r="V202" s="324">
        <x:v>0</x:v>
      </x:c>
      <x:c r="W202" s="324">
        <x:v>0</x:v>
      </x:c>
      <x:c r="X202" s="324">
        <x:v>0</x:v>
      </x:c>
      <x:c r="Y202" s="324">
        <x:v>0</x:v>
      </x:c>
      <x:c r="Z202" s="257">
        <x:f t="shared" si="8"/>
        <x:v>0</x:v>
      </x:c>
    </x:row>
    <x:row r="203">
      <x:c r="A203" s="148" t="s">
        <x:v>107</x:v>
      </x:c>
      <x:c r="B203">
        <x:v>6</x:v>
      </x:c>
      <x:c r="C203" s="148" t="s">
        <x:v>116</x:v>
      </x:c>
      <x:c r="D203">
        <x:v>611</x:v>
      </x:c>
      <x:c r="E203" s="324">
        <x:v>0</x:v>
      </x:c>
      <x:c r="F203" s="324">
        <x:v>0</x:v>
      </x:c>
      <x:c r="G203" s="324">
        <x:v>0</x:v>
      </x:c>
      <x:c r="H203" s="324">
        <x:v>0</x:v>
      </x:c>
      <x:c r="I203" s="324">
        <x:v>0</x:v>
      </x:c>
      <x:c r="J203" s="324">
        <x:v>0</x:v>
      </x:c>
      <x:c r="K203" s="324">
        <x:v>0</x:v>
      </x:c>
      <x:c r="L203" s="324">
        <x:v>0</x:v>
      </x:c>
      <x:c r="M203" s="324">
        <x:v>0</x:v>
      </x:c>
      <x:c r="N203" s="324">
        <x:v>0</x:v>
      </x:c>
      <x:c r="O203" s="324">
        <x:v>0</x:v>
      </x:c>
      <x:c r="P203" s="324">
        <x:v>0</x:v>
      </x:c>
      <x:c r="Q203" s="324">
        <x:v>0</x:v>
      </x:c>
      <x:c r="R203" s="324">
        <x:v>0</x:v>
      </x:c>
      <x:c r="S203" s="324">
        <x:v>0</x:v>
      </x:c>
      <x:c r="T203" s="324">
        <x:v>0</x:v>
      </x:c>
      <x:c r="U203" s="324">
        <x:v>0</x:v>
      </x:c>
      <x:c r="V203" s="324">
        <x:v>0</x:v>
      </x:c>
      <x:c r="W203" s="324">
        <x:v>0</x:v>
      </x:c>
      <x:c r="X203" s="324">
        <x:v>0</x:v>
      </x:c>
      <x:c r="Y203" s="324">
        <x:v>0</x:v>
      </x:c>
      <x:c r="Z203" s="257">
        <x:f t="shared" si="8"/>
        <x:v>0</x:v>
      </x:c>
    </x:row>
    <x:row r="204">
      <x:c r="A204" s="148" t="s">
        <x:v>107</x:v>
      </x:c>
      <x:c r="B204">
        <x:v>6</x:v>
      </x:c>
      <x:c r="C204" s="148" t="s">
        <x:v>116</x:v>
      </x:c>
      <x:c r="D204">
        <x:v>612</x:v>
      </x:c>
      <x:c r="E204" s="324">
        <x:v>0</x:v>
      </x:c>
      <x:c r="F204" s="324">
        <x:v>0</x:v>
      </x:c>
      <x:c r="G204" s="324">
        <x:v>0</x:v>
      </x:c>
      <x:c r="H204" s="324">
        <x:v>0</x:v>
      </x:c>
      <x:c r="I204" s="324">
        <x:v>0</x:v>
      </x:c>
      <x:c r="J204" s="324">
        <x:v>0</x:v>
      </x:c>
      <x:c r="K204" s="324">
        <x:v>0</x:v>
      </x:c>
      <x:c r="L204" s="324">
        <x:v>0</x:v>
      </x:c>
      <x:c r="M204" s="324">
        <x:v>0</x:v>
      </x:c>
      <x:c r="N204" s="324">
        <x:v>0</x:v>
      </x:c>
      <x:c r="O204" s="324">
        <x:v>0</x:v>
      </x:c>
      <x:c r="P204" s="324">
        <x:v>0</x:v>
      </x:c>
      <x:c r="Q204" s="324">
        <x:v>0</x:v>
      </x:c>
      <x:c r="R204" s="324">
        <x:v>0</x:v>
      </x:c>
      <x:c r="S204" s="324">
        <x:v>0</x:v>
      </x:c>
      <x:c r="T204" s="324">
        <x:v>0</x:v>
      </x:c>
      <x:c r="U204" s="324">
        <x:v>0</x:v>
      </x:c>
      <x:c r="V204" s="324">
        <x:v>0</x:v>
      </x:c>
      <x:c r="W204" s="324">
        <x:v>0</x:v>
      </x:c>
      <x:c r="X204" s="324">
        <x:v>0</x:v>
      </x:c>
      <x:c r="Y204" s="324">
        <x:v>0</x:v>
      </x:c>
      <x:c r="Z204" s="257">
        <x:f t="shared" si="8"/>
        <x:v>0</x:v>
      </x:c>
    </x:row>
    <x:row r="205">
      <x:c r="A205" s="148" t="s">
        <x:v>107</x:v>
      </x:c>
      <x:c r="B205">
        <x:v>6</x:v>
      </x:c>
      <x:c r="C205" s="148" t="s">
        <x:v>116</x:v>
      </x:c>
      <x:c r="D205">
        <x:v>613</x:v>
      </x:c>
      <x:c r="E205" s="324">
        <x:v>0</x:v>
      </x:c>
      <x:c r="F205" s="324">
        <x:v>0</x:v>
      </x:c>
      <x:c r="G205" s="324">
        <x:v>0</x:v>
      </x:c>
      <x:c r="H205" s="324">
        <x:v>0</x:v>
      </x:c>
      <x:c r="I205" s="324">
        <x:v>0</x:v>
      </x:c>
      <x:c r="J205" s="324">
        <x:v>0</x:v>
      </x:c>
      <x:c r="K205" s="324">
        <x:v>0</x:v>
      </x:c>
      <x:c r="L205" s="324">
        <x:v>0</x:v>
      </x:c>
      <x:c r="M205" s="324">
        <x:v>0</x:v>
      </x:c>
      <x:c r="N205" s="324">
        <x:v>0</x:v>
      </x:c>
      <x:c r="O205" s="324">
        <x:v>0</x:v>
      </x:c>
      <x:c r="P205" s="324">
        <x:v>0</x:v>
      </x:c>
      <x:c r="Q205" s="324">
        <x:v>0</x:v>
      </x:c>
      <x:c r="R205" s="324">
        <x:v>0</x:v>
      </x:c>
      <x:c r="S205" s="324">
        <x:v>0</x:v>
      </x:c>
      <x:c r="T205" s="324">
        <x:v>0</x:v>
      </x:c>
      <x:c r="U205" s="324">
        <x:v>0</x:v>
      </x:c>
      <x:c r="V205" s="324">
        <x:v>0</x:v>
      </x:c>
      <x:c r="W205" s="324">
        <x:v>0</x:v>
      </x:c>
      <x:c r="X205" s="324">
        <x:v>0</x:v>
      </x:c>
      <x:c r="Y205" s="324">
        <x:v>0</x:v>
      </x:c>
      <x:c r="Z205" s="257">
        <x:f t="shared" si="8"/>
        <x:v>0</x:v>
      </x:c>
    </x:row>
    <x:row r="206">
      <x:c r="A206" s="148" t="s">
        <x:v>107</x:v>
      </x:c>
      <x:c r="B206">
        <x:v>6</x:v>
      </x:c>
      <x:c r="C206" s="148" t="s">
        <x:v>116</x:v>
      </x:c>
      <x:c r="D206">
        <x:v>614</x:v>
      </x:c>
      <x:c r="E206" s="324">
        <x:v>0</x:v>
      </x:c>
      <x:c r="F206" s="324">
        <x:v>0</x:v>
      </x:c>
      <x:c r="G206" s="324">
        <x:v>0</x:v>
      </x:c>
      <x:c r="H206" s="324">
        <x:v>0</x:v>
      </x:c>
      <x:c r="I206" s="324">
        <x:v>0</x:v>
      </x:c>
      <x:c r="J206" s="324">
        <x:v>0</x:v>
      </x:c>
      <x:c r="K206" s="324">
        <x:v>0</x:v>
      </x:c>
      <x:c r="L206" s="324">
        <x:v>0</x:v>
      </x:c>
      <x:c r="M206" s="324">
        <x:v>0</x:v>
      </x:c>
      <x:c r="N206" s="324">
        <x:v>0</x:v>
      </x:c>
      <x:c r="O206" s="324">
        <x:v>0</x:v>
      </x:c>
      <x:c r="P206" s="324">
        <x:v>0</x:v>
      </x:c>
      <x:c r="Q206" s="324">
        <x:v>0</x:v>
      </x:c>
      <x:c r="R206" s="324">
        <x:v>0</x:v>
      </x:c>
      <x:c r="S206" s="324">
        <x:v>0</x:v>
      </x:c>
      <x:c r="T206" s="324">
        <x:v>0</x:v>
      </x:c>
      <x:c r="U206" s="324">
        <x:v>0</x:v>
      </x:c>
      <x:c r="V206" s="324">
        <x:v>0</x:v>
      </x:c>
      <x:c r="W206" s="324">
        <x:v>0</x:v>
      </x:c>
      <x:c r="X206" s="324">
        <x:v>0</x:v>
      </x:c>
      <x:c r="Y206" s="324">
        <x:v>0</x:v>
      </x:c>
      <x:c r="Z206" s="257">
        <x:f t="shared" si="8"/>
        <x:v>0</x:v>
      </x:c>
    </x:row>
    <x:row r="207">
      <x:c r="A207" s="148" t="s">
        <x:v>107</x:v>
      </x:c>
      <x:c r="B207">
        <x:v>6</x:v>
      </x:c>
      <x:c r="C207" s="148" t="s">
        <x:v>116</x:v>
      </x:c>
      <x:c r="D207">
        <x:v>615</x:v>
      </x:c>
      <x:c r="E207" s="324">
        <x:v>0</x:v>
      </x:c>
      <x:c r="F207" s="324">
        <x:v>0</x:v>
      </x:c>
      <x:c r="G207" s="324">
        <x:v>0</x:v>
      </x:c>
      <x:c r="H207" s="324">
        <x:v>0</x:v>
      </x:c>
      <x:c r="I207" s="324">
        <x:v>0</x:v>
      </x:c>
      <x:c r="J207" s="324">
        <x:v>0</x:v>
      </x:c>
      <x:c r="K207" s="324">
        <x:v>0</x:v>
      </x:c>
      <x:c r="L207" s="324">
        <x:v>0</x:v>
      </x:c>
      <x:c r="M207" s="324">
        <x:v>0</x:v>
      </x:c>
      <x:c r="N207" s="324">
        <x:v>0</x:v>
      </x:c>
      <x:c r="O207" s="324">
        <x:v>0</x:v>
      </x:c>
      <x:c r="P207" s="324">
        <x:v>0</x:v>
      </x:c>
      <x:c r="Q207" s="324">
        <x:v>0</x:v>
      </x:c>
      <x:c r="R207" s="324">
        <x:v>0</x:v>
      </x:c>
      <x:c r="S207" s="324">
        <x:v>0</x:v>
      </x:c>
      <x:c r="T207" s="324">
        <x:v>0</x:v>
      </x:c>
      <x:c r="U207" s="324">
        <x:v>0</x:v>
      </x:c>
      <x:c r="V207" s="324">
        <x:v>0</x:v>
      </x:c>
      <x:c r="W207" s="324">
        <x:v>0</x:v>
      </x:c>
      <x:c r="X207" s="324">
        <x:v>0</x:v>
      </x:c>
      <x:c r="Y207" s="324">
        <x:v>0</x:v>
      </x:c>
      <x:c r="Z207" s="257">
        <x:f t="shared" si="8"/>
        <x:v>0</x:v>
      </x:c>
    </x:row>
    <x:row r="208">
      <x:c r="A208" s="148" t="s">
        <x:v>107</x:v>
      </x:c>
      <x:c r="B208">
        <x:v>6</x:v>
      </x:c>
      <x:c r="C208" s="148" t="s">
        <x:v>116</x:v>
      </x:c>
      <x:c r="D208">
        <x:v>616</x:v>
      </x:c>
      <x:c r="E208" s="324">
        <x:v>0</x:v>
      </x:c>
      <x:c r="F208" s="324">
        <x:v>0</x:v>
      </x:c>
      <x:c r="G208" s="324">
        <x:v>0</x:v>
      </x:c>
      <x:c r="H208" s="324">
        <x:v>0</x:v>
      </x:c>
      <x:c r="I208" s="324">
        <x:v>0</x:v>
      </x:c>
      <x:c r="J208" s="324">
        <x:v>0</x:v>
      </x:c>
      <x:c r="K208" s="324">
        <x:v>0</x:v>
      </x:c>
      <x:c r="L208" s="324">
        <x:v>0</x:v>
      </x:c>
      <x:c r="M208" s="324">
        <x:v>0</x:v>
      </x:c>
      <x:c r="N208" s="324">
        <x:v>0</x:v>
      </x:c>
      <x:c r="O208" s="324">
        <x:v>0</x:v>
      </x:c>
      <x:c r="P208" s="324">
        <x:v>0</x:v>
      </x:c>
      <x:c r="Q208" s="324">
        <x:v>0</x:v>
      </x:c>
      <x:c r="R208" s="324">
        <x:v>0</x:v>
      </x:c>
      <x:c r="S208" s="324">
        <x:v>0</x:v>
      </x:c>
      <x:c r="T208" s="324">
        <x:v>0</x:v>
      </x:c>
      <x:c r="U208" s="324">
        <x:v>0</x:v>
      </x:c>
      <x:c r="V208" s="324">
        <x:v>0</x:v>
      </x:c>
      <x:c r="W208" s="324">
        <x:v>0</x:v>
      </x:c>
      <x:c r="X208" s="324">
        <x:v>0</x:v>
      </x:c>
      <x:c r="Y208" s="324">
        <x:v>0</x:v>
      </x:c>
      <x:c r="Z208" s="257">
        <x:f t="shared" si="8"/>
        <x:v>0</x:v>
      </x:c>
    </x:row>
    <x:row r="209">
      <x:c r="A209" s="148" t="s">
        <x:v>107</x:v>
      </x:c>
      <x:c r="B209">
        <x:v>6</x:v>
      </x:c>
      <x:c r="C209" s="148" t="s">
        <x:v>116</x:v>
      </x:c>
      <x:c r="D209">
        <x:v>617</x:v>
      </x:c>
      <x:c r="E209" s="324">
        <x:v>0</x:v>
      </x:c>
      <x:c r="F209" s="324">
        <x:v>0</x:v>
      </x:c>
      <x:c r="G209" s="324">
        <x:v>0</x:v>
      </x:c>
      <x:c r="H209" s="324">
        <x:v>0</x:v>
      </x:c>
      <x:c r="I209" s="324">
        <x:v>0</x:v>
      </x:c>
      <x:c r="J209" s="324">
        <x:v>0</x:v>
      </x:c>
      <x:c r="K209" s="324">
        <x:v>0</x:v>
      </x:c>
      <x:c r="L209" s="324">
        <x:v>0</x:v>
      </x:c>
      <x:c r="M209" s="324">
        <x:v>0</x:v>
      </x:c>
      <x:c r="N209" s="324">
        <x:v>0</x:v>
      </x:c>
      <x:c r="O209" s="324">
        <x:v>0</x:v>
      </x:c>
      <x:c r="P209" s="324">
        <x:v>0</x:v>
      </x:c>
      <x:c r="Q209" s="324">
        <x:v>0</x:v>
      </x:c>
      <x:c r="R209" s="324">
        <x:v>0</x:v>
      </x:c>
      <x:c r="S209" s="324">
        <x:v>0</x:v>
      </x:c>
      <x:c r="T209" s="324">
        <x:v>0</x:v>
      </x:c>
      <x:c r="U209" s="324">
        <x:v>0</x:v>
      </x:c>
      <x:c r="V209" s="324">
        <x:v>0</x:v>
      </x:c>
      <x:c r="W209" s="324">
        <x:v>0</x:v>
      </x:c>
      <x:c r="X209" s="324">
        <x:v>0</x:v>
      </x:c>
      <x:c r="Y209" s="324">
        <x:v>0</x:v>
      </x:c>
      <x:c r="Z209" s="257">
        <x:f t="shared" si="8"/>
        <x:v>0</x:v>
      </x:c>
    </x:row>
    <x:row r="210">
      <x:c r="A210" s="148" t="s">
        <x:v>107</x:v>
      </x:c>
      <x:c r="B210">
        <x:v>6</x:v>
      </x:c>
      <x:c r="C210" s="148" t="s">
        <x:v>116</x:v>
      </x:c>
      <x:c r="D210">
        <x:v>618</x:v>
      </x:c>
      <x:c r="E210" s="324">
        <x:v>0</x:v>
      </x:c>
      <x:c r="F210" s="324">
        <x:v>0</x:v>
      </x:c>
      <x:c r="G210" s="324">
        <x:v>0</x:v>
      </x:c>
      <x:c r="H210" s="324">
        <x:v>0</x:v>
      </x:c>
      <x:c r="I210" s="324">
        <x:v>0</x:v>
      </x:c>
      <x:c r="J210" s="324">
        <x:v>0</x:v>
      </x:c>
      <x:c r="K210" s="324">
        <x:v>0</x:v>
      </x:c>
      <x:c r="L210" s="324">
        <x:v>0</x:v>
      </x:c>
      <x:c r="M210" s="324">
        <x:v>0</x:v>
      </x:c>
      <x:c r="N210" s="324">
        <x:v>0</x:v>
      </x:c>
      <x:c r="O210" s="324">
        <x:v>0</x:v>
      </x:c>
      <x:c r="P210" s="324">
        <x:v>0</x:v>
      </x:c>
      <x:c r="Q210" s="324">
        <x:v>0</x:v>
      </x:c>
      <x:c r="R210" s="324">
        <x:v>0</x:v>
      </x:c>
      <x:c r="S210" s="324">
        <x:v>0</x:v>
      </x:c>
      <x:c r="T210" s="324">
        <x:v>0</x:v>
      </x:c>
      <x:c r="U210" s="324">
        <x:v>0</x:v>
      </x:c>
      <x:c r="V210" s="324">
        <x:v>0</x:v>
      </x:c>
      <x:c r="W210" s="324">
        <x:v>0</x:v>
      </x:c>
      <x:c r="X210" s="324">
        <x:v>0</x:v>
      </x:c>
      <x:c r="Y210" s="324">
        <x:v>0</x:v>
      </x:c>
      <x:c r="Z210" s="257">
        <x:f t="shared" si="8"/>
        <x:v>0</x:v>
      </x:c>
    </x:row>
    <x:row r="211">
      <x:c r="A211" s="148" t="s">
        <x:v>107</x:v>
      </x:c>
      <x:c r="B211">
        <x:v>6</x:v>
      </x:c>
      <x:c r="C211" s="148" t="s">
        <x:v>116</x:v>
      </x:c>
      <x:c r="D211">
        <x:v>619</x:v>
      </x:c>
      <x:c r="E211" s="324">
        <x:v>0</x:v>
      </x:c>
      <x:c r="F211" s="324">
        <x:v>0</x:v>
      </x:c>
      <x:c r="G211" s="324">
        <x:v>0</x:v>
      </x:c>
      <x:c r="H211" s="324">
        <x:v>0</x:v>
      </x:c>
      <x:c r="I211" s="324">
        <x:v>0</x:v>
      </x:c>
      <x:c r="J211" s="324">
        <x:v>0</x:v>
      </x:c>
      <x:c r="K211" s="324">
        <x:v>0</x:v>
      </x:c>
      <x:c r="L211" s="324">
        <x:v>0</x:v>
      </x:c>
      <x:c r="M211" s="324">
        <x:v>0</x:v>
      </x:c>
      <x:c r="N211" s="324">
        <x:v>0</x:v>
      </x:c>
      <x:c r="O211" s="324">
        <x:v>0</x:v>
      </x:c>
      <x:c r="P211" s="324">
        <x:v>0</x:v>
      </x:c>
      <x:c r="Q211" s="324">
        <x:v>0</x:v>
      </x:c>
      <x:c r="R211" s="324">
        <x:v>0</x:v>
      </x:c>
      <x:c r="S211" s="324">
        <x:v>0</x:v>
      </x:c>
      <x:c r="T211" s="324">
        <x:v>0</x:v>
      </x:c>
      <x:c r="U211" s="324">
        <x:v>0</x:v>
      </x:c>
      <x:c r="V211" s="324">
        <x:v>0</x:v>
      </x:c>
      <x:c r="W211" s="324">
        <x:v>0</x:v>
      </x:c>
      <x:c r="X211" s="324">
        <x:v>0</x:v>
      </x:c>
      <x:c r="Y211" s="324">
        <x:v>0</x:v>
      </x:c>
      <x:c r="Z211" s="257">
        <x:f t="shared" si="8"/>
        <x:v>0</x:v>
      </x:c>
    </x:row>
    <x:row r="212">
      <x:c r="A212" s="148" t="s">
        <x:v>107</x:v>
      </x:c>
      <x:c r="B212">
        <x:v>6</x:v>
      </x:c>
      <x:c r="C212" s="148" t="s">
        <x:v>116</x:v>
      </x:c>
      <x:c r="D212">
        <x:v>620</x:v>
      </x:c>
      <x:c r="E212" s="324">
        <x:v>0</x:v>
      </x:c>
      <x:c r="F212" s="324">
        <x:v>0</x:v>
      </x:c>
      <x:c r="G212" s="324">
        <x:v>0</x:v>
      </x:c>
      <x:c r="H212" s="324">
        <x:v>0</x:v>
      </x:c>
      <x:c r="I212" s="324">
        <x:v>0</x:v>
      </x:c>
      <x:c r="J212" s="324">
        <x:v>0</x:v>
      </x:c>
      <x:c r="K212" s="324">
        <x:v>0</x:v>
      </x:c>
      <x:c r="L212" s="324">
        <x:v>0</x:v>
      </x:c>
      <x:c r="M212" s="324">
        <x:v>0</x:v>
      </x:c>
      <x:c r="N212" s="324">
        <x:v>0</x:v>
      </x:c>
      <x:c r="O212" s="324">
        <x:v>0</x:v>
      </x:c>
      <x:c r="P212" s="324">
        <x:v>0</x:v>
      </x:c>
      <x:c r="Q212" s="324">
        <x:v>0</x:v>
      </x:c>
      <x:c r="R212" s="324">
        <x:v>0</x:v>
      </x:c>
      <x:c r="S212" s="324">
        <x:v>0</x:v>
      </x:c>
      <x:c r="T212" s="324">
        <x:v>0</x:v>
      </x:c>
      <x:c r="U212" s="324">
        <x:v>0</x:v>
      </x:c>
      <x:c r="V212" s="324">
        <x:v>0</x:v>
      </x:c>
      <x:c r="W212" s="324">
        <x:v>0</x:v>
      </x:c>
      <x:c r="X212" s="324">
        <x:v>0</x:v>
      </x:c>
      <x:c r="Y212" s="324">
        <x:v>0</x:v>
      </x:c>
      <x:c r="Z212" s="257">
        <x:f t="shared" si="8"/>
        <x:v>0</x:v>
      </x:c>
    </x:row>
    <x:row r="213">
      <x:c r="A213" s="148" t="s">
        <x:v>107</x:v>
      </x:c>
      <x:c r="B213">
        <x:v>6</x:v>
      </x:c>
      <x:c r="C213" s="148" t="s">
        <x:v>116</x:v>
      </x:c>
      <x:c r="D213">
        <x:v>621</x:v>
      </x:c>
      <x:c r="E213" s="324">
        <x:v>0</x:v>
      </x:c>
      <x:c r="F213" s="324">
        <x:v>0</x:v>
      </x:c>
      <x:c r="G213" s="324">
        <x:v>0</x:v>
      </x:c>
      <x:c r="H213" s="324">
        <x:v>0</x:v>
      </x:c>
      <x:c r="I213" s="324">
        <x:v>0</x:v>
      </x:c>
      <x:c r="J213" s="324">
        <x:v>0</x:v>
      </x:c>
      <x:c r="K213" s="324">
        <x:v>0</x:v>
      </x:c>
      <x:c r="L213" s="324">
        <x:v>0</x:v>
      </x:c>
      <x:c r="M213" s="324">
        <x:v>0</x:v>
      </x:c>
      <x:c r="N213" s="324">
        <x:v>0</x:v>
      </x:c>
      <x:c r="O213" s="324">
        <x:v>0</x:v>
      </x:c>
      <x:c r="P213" s="324">
        <x:v>0</x:v>
      </x:c>
      <x:c r="Q213" s="324">
        <x:v>0</x:v>
      </x:c>
      <x:c r="R213" s="324">
        <x:v>0</x:v>
      </x:c>
      <x:c r="S213" s="324">
        <x:v>0</x:v>
      </x:c>
      <x:c r="T213" s="324">
        <x:v>0</x:v>
      </x:c>
      <x:c r="U213" s="324">
        <x:v>0</x:v>
      </x:c>
      <x:c r="V213" s="324">
        <x:v>0</x:v>
      </x:c>
      <x:c r="W213" s="324">
        <x:v>0</x:v>
      </x:c>
      <x:c r="X213" s="324">
        <x:v>0</x:v>
      </x:c>
      <x:c r="Y213" s="324">
        <x:v>0</x:v>
      </x:c>
      <x:c r="Z213" s="257">
        <x:f t="shared" si="8"/>
        <x:v>0</x:v>
      </x:c>
    </x:row>
    <x:row r="214">
      <x:c r="A214" s="148" t="s">
        <x:v>107</x:v>
      </x:c>
      <x:c r="B214">
        <x:v>6</x:v>
      </x:c>
      <x:c r="C214" s="148" t="s">
        <x:v>116</x:v>
      </x:c>
      <x:c r="D214">
        <x:v>622</x:v>
      </x:c>
      <x:c r="E214" s="324">
        <x:v>0</x:v>
      </x:c>
      <x:c r="F214" s="324">
        <x:v>0</x:v>
      </x:c>
      <x:c r="G214" s="324">
        <x:v>0</x:v>
      </x:c>
      <x:c r="H214" s="324">
        <x:v>0</x:v>
      </x:c>
      <x:c r="I214" s="324">
        <x:v>0</x:v>
      </x:c>
      <x:c r="J214" s="324">
        <x:v>0</x:v>
      </x:c>
      <x:c r="K214" s="324">
        <x:v>0</x:v>
      </x:c>
      <x:c r="L214" s="324">
        <x:v>0</x:v>
      </x:c>
      <x:c r="M214" s="324">
        <x:v>0</x:v>
      </x:c>
      <x:c r="N214" s="324">
        <x:v>0</x:v>
      </x:c>
      <x:c r="O214" s="324">
        <x:v>0</x:v>
      </x:c>
      <x:c r="P214" s="324">
        <x:v>0</x:v>
      </x:c>
      <x:c r="Q214" s="324">
        <x:v>0</x:v>
      </x:c>
      <x:c r="R214" s="324">
        <x:v>0</x:v>
      </x:c>
      <x:c r="S214" s="324">
        <x:v>0</x:v>
      </x:c>
      <x:c r="T214" s="324">
        <x:v>0</x:v>
      </x:c>
      <x:c r="U214" s="324">
        <x:v>0</x:v>
      </x:c>
      <x:c r="V214" s="324">
        <x:v>0</x:v>
      </x:c>
      <x:c r="W214" s="324">
        <x:v>0</x:v>
      </x:c>
      <x:c r="X214" s="324">
        <x:v>0</x:v>
      </x:c>
      <x:c r="Y214" s="324">
        <x:v>0</x:v>
      </x:c>
      <x:c r="Z214" s="257">
        <x:f t="shared" si="8"/>
        <x:v>0</x:v>
      </x:c>
    </x:row>
    <x:row r="215">
      <x:c r="A215" s="148" t="s">
        <x:v>107</x:v>
      </x:c>
      <x:c r="B215">
        <x:v>6</x:v>
      </x:c>
      <x:c r="C215" s="148" t="s">
        <x:v>116</x:v>
      </x:c>
      <x:c r="D215">
        <x:v>623</x:v>
      </x:c>
      <x:c r="E215" s="324">
        <x:v>0</x:v>
      </x:c>
      <x:c r="F215" s="324">
        <x:v>0</x:v>
      </x:c>
      <x:c r="G215" s="324">
        <x:v>0</x:v>
      </x:c>
      <x:c r="H215" s="324">
        <x:v>0</x:v>
      </x:c>
      <x:c r="I215" s="324">
        <x:v>0</x:v>
      </x:c>
      <x:c r="J215" s="324">
        <x:v>0</x:v>
      </x:c>
      <x:c r="K215" s="324">
        <x:v>0</x:v>
      </x:c>
      <x:c r="L215" s="324">
        <x:v>0</x:v>
      </x:c>
      <x:c r="M215" s="324">
        <x:v>0</x:v>
      </x:c>
      <x:c r="N215" s="324">
        <x:v>0</x:v>
      </x:c>
      <x:c r="O215" s="324">
        <x:v>0</x:v>
      </x:c>
      <x:c r="P215" s="324">
        <x:v>0</x:v>
      </x:c>
      <x:c r="Q215" s="324">
        <x:v>0</x:v>
      </x:c>
      <x:c r="R215" s="324">
        <x:v>0</x:v>
      </x:c>
      <x:c r="S215" s="324">
        <x:v>0</x:v>
      </x:c>
      <x:c r="T215" s="324">
        <x:v>0</x:v>
      </x:c>
      <x:c r="U215" s="324">
        <x:v>0</x:v>
      </x:c>
      <x:c r="V215" s="324">
        <x:v>0</x:v>
      </x:c>
      <x:c r="W215" s="324">
        <x:v>0</x:v>
      </x:c>
      <x:c r="X215" s="324">
        <x:v>0</x:v>
      </x:c>
      <x:c r="Y215" s="324">
        <x:v>0</x:v>
      </x:c>
      <x:c r="Z215" s="257">
        <x:f t="shared" si="8"/>
        <x:v>0</x:v>
      </x:c>
    </x:row>
    <x:row r="216">
      <x:c r="A216" s="148" t="s">
        <x:v>107</x:v>
      </x:c>
      <x:c r="B216">
        <x:v>6</x:v>
      </x:c>
      <x:c r="C216" s="148" t="s">
        <x:v>115</x:v>
      </x:c>
      <x:c r="D216">
        <x:v>601</x:v>
      </x:c>
      <x:c r="E216" s="324">
        <x:v>0</x:v>
      </x:c>
      <x:c r="F216" s="324">
        <x:v>0</x:v>
      </x:c>
      <x:c r="G216" s="324">
        <x:v>0</x:v>
      </x:c>
      <x:c r="H216" s="324">
        <x:v>0</x:v>
      </x:c>
      <x:c r="I216" s="324">
        <x:v>0</x:v>
      </x:c>
      <x:c r="J216" s="324">
        <x:v>0</x:v>
      </x:c>
      <x:c r="K216" s="324">
        <x:v>0</x:v>
      </x:c>
      <x:c r="L216" s="324">
        <x:v>0</x:v>
      </x:c>
      <x:c r="M216" s="324">
        <x:v>0</x:v>
      </x:c>
      <x:c r="N216" s="324">
        <x:v>0</x:v>
      </x:c>
      <x:c r="O216" s="324">
        <x:v>0</x:v>
      </x:c>
      <x:c r="P216" s="324">
        <x:v>0</x:v>
      </x:c>
      <x:c r="Q216" s="324">
        <x:v>0</x:v>
      </x:c>
      <x:c r="R216" s="324">
        <x:v>0</x:v>
      </x:c>
      <x:c r="S216" s="324">
        <x:v>0</x:v>
      </x:c>
      <x:c r="T216" s="324">
        <x:v>0</x:v>
      </x:c>
      <x:c r="U216" s="324">
        <x:v>0</x:v>
      </x:c>
      <x:c r="V216" s="324">
        <x:v>0</x:v>
      </x:c>
      <x:c r="W216" s="324">
        <x:v>0</x:v>
      </x:c>
      <x:c r="X216" s="324">
        <x:v>0</x:v>
      </x:c>
      <x:c r="Y216" s="324">
        <x:v>0</x:v>
      </x:c>
      <x:c r="Z216" s="257">
        <x:f t="shared" si="8"/>
        <x:v>0</x:v>
      </x:c>
    </x:row>
    <x:row r="217">
      <x:c r="A217" s="148" t="s">
        <x:v>107</x:v>
      </x:c>
      <x:c r="B217">
        <x:v>6</x:v>
      </x:c>
      <x:c r="C217" s="148" t="s">
        <x:v>115</x:v>
      </x:c>
      <x:c r="D217">
        <x:v>602</x:v>
      </x:c>
      <x:c r="E217" s="324">
        <x:v>0</x:v>
      </x:c>
      <x:c r="F217" s="324">
        <x:v>0</x:v>
      </x:c>
      <x:c r="G217" s="324">
        <x:v>0</x:v>
      </x:c>
      <x:c r="H217" s="324">
        <x:v>0</x:v>
      </x:c>
      <x:c r="I217" s="324">
        <x:v>0</x:v>
      </x:c>
      <x:c r="J217" s="324">
        <x:v>0</x:v>
      </x:c>
      <x:c r="K217" s="324">
        <x:v>0</x:v>
      </x:c>
      <x:c r="L217" s="324">
        <x:v>0</x:v>
      </x:c>
      <x:c r="M217" s="324">
        <x:v>0</x:v>
      </x:c>
      <x:c r="N217" s="324">
        <x:v>0</x:v>
      </x:c>
      <x:c r="O217" s="324">
        <x:v>0</x:v>
      </x:c>
      <x:c r="P217" s="324">
        <x:v>0</x:v>
      </x:c>
      <x:c r="Q217" s="324">
        <x:v>0</x:v>
      </x:c>
      <x:c r="R217" s="324">
        <x:v>0</x:v>
      </x:c>
      <x:c r="S217" s="324">
        <x:v>0</x:v>
      </x:c>
      <x:c r="T217" s="324">
        <x:v>0</x:v>
      </x:c>
      <x:c r="U217" s="324">
        <x:v>0</x:v>
      </x:c>
      <x:c r="V217" s="324">
        <x:v>0</x:v>
      </x:c>
      <x:c r="W217" s="324">
        <x:v>0</x:v>
      </x:c>
      <x:c r="X217" s="324">
        <x:v>0</x:v>
      </x:c>
      <x:c r="Y217" s="324">
        <x:v>0</x:v>
      </x:c>
      <x:c r="Z217" s="257">
        <x:f t="shared" si="8"/>
        <x:v>0</x:v>
      </x:c>
    </x:row>
    <x:row r="218">
      <x:c r="A218" s="148" t="s">
        <x:v>107</x:v>
      </x:c>
      <x:c r="B218">
        <x:v>6</x:v>
      </x:c>
      <x:c r="C218" s="148" t="s">
        <x:v>115</x:v>
      </x:c>
      <x:c r="D218">
        <x:v>603</x:v>
      </x:c>
      <x:c r="E218" s="324">
        <x:v>0</x:v>
      </x:c>
      <x:c r="F218" s="324">
        <x:v>0</x:v>
      </x:c>
      <x:c r="G218" s="324">
        <x:v>0</x:v>
      </x:c>
      <x:c r="H218" s="324">
        <x:v>0</x:v>
      </x:c>
      <x:c r="I218" s="324">
        <x:v>0</x:v>
      </x:c>
      <x:c r="J218" s="324">
        <x:v>0</x:v>
      </x:c>
      <x:c r="K218" s="324">
        <x:v>0</x:v>
      </x:c>
      <x:c r="L218" s="324">
        <x:v>0</x:v>
      </x:c>
      <x:c r="M218" s="324">
        <x:v>0</x:v>
      </x:c>
      <x:c r="N218" s="324">
        <x:v>0</x:v>
      </x:c>
      <x:c r="O218" s="324">
        <x:v>0</x:v>
      </x:c>
      <x:c r="P218" s="324">
        <x:v>0</x:v>
      </x:c>
      <x:c r="Q218" s="324">
        <x:v>0</x:v>
      </x:c>
      <x:c r="R218" s="324">
        <x:v>0</x:v>
      </x:c>
      <x:c r="S218" s="324">
        <x:v>0</x:v>
      </x:c>
      <x:c r="T218" s="324">
        <x:v>0</x:v>
      </x:c>
      <x:c r="U218" s="324">
        <x:v>0</x:v>
      </x:c>
      <x:c r="V218" s="324">
        <x:v>0</x:v>
      </x:c>
      <x:c r="W218" s="324">
        <x:v>0</x:v>
      </x:c>
      <x:c r="X218" s="324">
        <x:v>0</x:v>
      </x:c>
      <x:c r="Y218" s="324">
        <x:v>0</x:v>
      </x:c>
      <x:c r="Z218" s="257">
        <x:f t="shared" si="8"/>
        <x:v>0</x:v>
      </x:c>
    </x:row>
    <x:row r="219">
      <x:c r="A219" s="148" t="s">
        <x:v>107</x:v>
      </x:c>
      <x:c r="B219">
        <x:v>6</x:v>
      </x:c>
      <x:c r="C219" s="148" t="s">
        <x:v>115</x:v>
      </x:c>
      <x:c r="D219">
        <x:v>604</x:v>
      </x:c>
      <x:c r="E219" s="324">
        <x:v>0</x:v>
      </x:c>
      <x:c r="F219" s="324">
        <x:v>0</x:v>
      </x:c>
      <x:c r="G219" s="324">
        <x:v>0</x:v>
      </x:c>
      <x:c r="H219" s="324">
        <x:v>0</x:v>
      </x:c>
      <x:c r="I219" s="324">
        <x:v>0</x:v>
      </x:c>
      <x:c r="J219" s="324">
        <x:v>0</x:v>
      </x:c>
      <x:c r="K219" s="324">
        <x:v>0</x:v>
      </x:c>
      <x:c r="L219" s="324">
        <x:v>0</x:v>
      </x:c>
      <x:c r="M219" s="324">
        <x:v>0</x:v>
      </x:c>
      <x:c r="N219" s="324">
        <x:v>0</x:v>
      </x:c>
      <x:c r="O219" s="324">
        <x:v>0</x:v>
      </x:c>
      <x:c r="P219" s="324">
        <x:v>0</x:v>
      </x:c>
      <x:c r="Q219" s="324">
        <x:v>0</x:v>
      </x:c>
      <x:c r="R219" s="324">
        <x:v>0</x:v>
      </x:c>
      <x:c r="S219" s="324">
        <x:v>0</x:v>
      </x:c>
      <x:c r="T219" s="324">
        <x:v>0</x:v>
      </x:c>
      <x:c r="U219" s="324">
        <x:v>0</x:v>
      </x:c>
      <x:c r="V219" s="324">
        <x:v>0</x:v>
      </x:c>
      <x:c r="W219" s="324">
        <x:v>0</x:v>
      </x:c>
      <x:c r="X219" s="324">
        <x:v>0</x:v>
      </x:c>
      <x:c r="Y219" s="324">
        <x:v>0</x:v>
      </x:c>
      <x:c r="Z219" s="257">
        <x:f t="shared" si="8"/>
        <x:v>0</x:v>
      </x:c>
    </x:row>
    <x:row r="220">
      <x:c r="A220" s="148" t="s">
        <x:v>107</x:v>
      </x:c>
      <x:c r="B220">
        <x:v>6</x:v>
      </x:c>
      <x:c r="C220" s="148" t="s">
        <x:v>115</x:v>
      </x:c>
      <x:c r="D220">
        <x:v>605</x:v>
      </x:c>
      <x:c r="E220" s="324">
        <x:v>0</x:v>
      </x:c>
      <x:c r="F220" s="324">
        <x:v>0</x:v>
      </x:c>
      <x:c r="G220" s="324">
        <x:v>0</x:v>
      </x:c>
      <x:c r="H220" s="324">
        <x:v>0</x:v>
      </x:c>
      <x:c r="I220" s="324">
        <x:v>0</x:v>
      </x:c>
      <x:c r="J220" s="324">
        <x:v>0</x:v>
      </x:c>
      <x:c r="K220" s="324">
        <x:v>0</x:v>
      </x:c>
      <x:c r="L220" s="324">
        <x:v>0</x:v>
      </x:c>
      <x:c r="M220" s="324">
        <x:v>0</x:v>
      </x:c>
      <x:c r="N220" s="324">
        <x:v>0</x:v>
      </x:c>
      <x:c r="O220" s="324">
        <x:v>0</x:v>
      </x:c>
      <x:c r="P220" s="324">
        <x:v>0</x:v>
      </x:c>
      <x:c r="Q220" s="324">
        <x:v>0</x:v>
      </x:c>
      <x:c r="R220" s="324">
        <x:v>0</x:v>
      </x:c>
      <x:c r="S220" s="324">
        <x:v>0</x:v>
      </x:c>
      <x:c r="T220" s="324">
        <x:v>0</x:v>
      </x:c>
      <x:c r="U220" s="324">
        <x:v>0</x:v>
      </x:c>
      <x:c r="V220" s="324">
        <x:v>0</x:v>
      </x:c>
      <x:c r="W220" s="324">
        <x:v>0</x:v>
      </x:c>
      <x:c r="X220" s="324">
        <x:v>0</x:v>
      </x:c>
      <x:c r="Y220" s="324">
        <x:v>0</x:v>
      </x:c>
      <x:c r="Z220" s="257">
        <x:f t="shared" si="8"/>
        <x:v>0</x:v>
      </x:c>
    </x:row>
    <x:row r="221">
      <x:c r="A221" s="148" t="s">
        <x:v>107</x:v>
      </x:c>
      <x:c r="B221">
        <x:v>6</x:v>
      </x:c>
      <x:c r="C221" s="148" t="s">
        <x:v>115</x:v>
      </x:c>
      <x:c r="D221">
        <x:v>606</x:v>
      </x:c>
      <x:c r="E221" s="324">
        <x:v>0</x:v>
      </x:c>
      <x:c r="F221" s="324">
        <x:v>0</x:v>
      </x:c>
      <x:c r="G221" s="324">
        <x:v>0</x:v>
      </x:c>
      <x:c r="H221" s="324">
        <x:v>0</x:v>
      </x:c>
      <x:c r="I221" s="324">
        <x:v>0</x:v>
      </x:c>
      <x:c r="J221" s="324">
        <x:v>0</x:v>
      </x:c>
      <x:c r="K221" s="324">
        <x:v>0</x:v>
      </x:c>
      <x:c r="L221" s="324">
        <x:v>0</x:v>
      </x:c>
      <x:c r="M221" s="324">
        <x:v>0</x:v>
      </x:c>
      <x:c r="N221" s="324">
        <x:v>0</x:v>
      </x:c>
      <x:c r="O221" s="324">
        <x:v>0</x:v>
      </x:c>
      <x:c r="P221" s="324">
        <x:v>0</x:v>
      </x:c>
      <x:c r="Q221" s="324">
        <x:v>0</x:v>
      </x:c>
      <x:c r="R221" s="324">
        <x:v>0</x:v>
      </x:c>
      <x:c r="S221" s="324">
        <x:v>0</x:v>
      </x:c>
      <x:c r="T221" s="324">
        <x:v>0</x:v>
      </x:c>
      <x:c r="U221" s="324">
        <x:v>0</x:v>
      </x:c>
      <x:c r="V221" s="324">
        <x:v>0</x:v>
      </x:c>
      <x:c r="W221" s="324">
        <x:v>0</x:v>
      </x:c>
      <x:c r="X221" s="324">
        <x:v>0</x:v>
      </x:c>
      <x:c r="Y221" s="324">
        <x:v>0</x:v>
      </x:c>
      <x:c r="Z221" s="257">
        <x:f t="shared" si="8"/>
        <x:v>0</x:v>
      </x:c>
    </x:row>
    <x:row r="222">
      <x:c r="A222" s="148" t="s">
        <x:v>107</x:v>
      </x:c>
      <x:c r="B222">
        <x:v>6</x:v>
      </x:c>
      <x:c r="C222" s="148" t="s">
        <x:v>115</x:v>
      </x:c>
      <x:c r="D222">
        <x:v>607</x:v>
      </x:c>
      <x:c r="E222" s="324">
        <x:v>0</x:v>
      </x:c>
      <x:c r="F222" s="324">
        <x:v>0</x:v>
      </x:c>
      <x:c r="G222" s="324">
        <x:v>0</x:v>
      </x:c>
      <x:c r="H222" s="324">
        <x:v>0</x:v>
      </x:c>
      <x:c r="I222" s="324">
        <x:v>0</x:v>
      </x:c>
      <x:c r="J222" s="324">
        <x:v>0</x:v>
      </x:c>
      <x:c r="K222" s="324">
        <x:v>0</x:v>
      </x:c>
      <x:c r="L222" s="324">
        <x:v>0</x:v>
      </x:c>
      <x:c r="M222" s="324">
        <x:v>0</x:v>
      </x:c>
      <x:c r="N222" s="324">
        <x:v>0</x:v>
      </x:c>
      <x:c r="O222" s="324">
        <x:v>0</x:v>
      </x:c>
      <x:c r="P222" s="324">
        <x:v>0</x:v>
      </x:c>
      <x:c r="Q222" s="324">
        <x:v>0</x:v>
      </x:c>
      <x:c r="R222" s="324">
        <x:v>0</x:v>
      </x:c>
      <x:c r="S222" s="324">
        <x:v>0</x:v>
      </x:c>
      <x:c r="T222" s="324">
        <x:v>0</x:v>
      </x:c>
      <x:c r="U222" s="324">
        <x:v>0</x:v>
      </x:c>
      <x:c r="V222" s="324">
        <x:v>0</x:v>
      </x:c>
      <x:c r="W222" s="324">
        <x:v>0</x:v>
      </x:c>
      <x:c r="X222" s="324">
        <x:v>0</x:v>
      </x:c>
      <x:c r="Y222" s="324">
        <x:v>0</x:v>
      </x:c>
      <x:c r="Z222" s="257">
        <x:f t="shared" si="8"/>
        <x:v>0</x:v>
      </x:c>
    </x:row>
    <x:row r="223">
      <x:c r="A223" s="148" t="s">
        <x:v>107</x:v>
      </x:c>
      <x:c r="B223">
        <x:v>6</x:v>
      </x:c>
      <x:c r="C223" s="148" t="s">
        <x:v>115</x:v>
      </x:c>
      <x:c r="D223">
        <x:v>608</x:v>
      </x:c>
      <x:c r="E223" s="324">
        <x:v>0</x:v>
      </x:c>
      <x:c r="F223" s="324">
        <x:v>0</x:v>
      </x:c>
      <x:c r="G223" s="324">
        <x:v>0</x:v>
      </x:c>
      <x:c r="H223" s="324">
        <x:v>0</x:v>
      </x:c>
      <x:c r="I223" s="324">
        <x:v>0</x:v>
      </x:c>
      <x:c r="J223" s="324">
        <x:v>0</x:v>
      </x:c>
      <x:c r="K223" s="324">
        <x:v>0</x:v>
      </x:c>
      <x:c r="L223" s="324">
        <x:v>0</x:v>
      </x:c>
      <x:c r="M223" s="324">
        <x:v>0</x:v>
      </x:c>
      <x:c r="N223" s="324">
        <x:v>0</x:v>
      </x:c>
      <x:c r="O223" s="324">
        <x:v>0</x:v>
      </x:c>
      <x:c r="P223" s="324">
        <x:v>0</x:v>
      </x:c>
      <x:c r="Q223" s="324">
        <x:v>0</x:v>
      </x:c>
      <x:c r="R223" s="324">
        <x:v>0</x:v>
      </x:c>
      <x:c r="S223" s="324">
        <x:v>0</x:v>
      </x:c>
      <x:c r="T223" s="324">
        <x:v>0</x:v>
      </x:c>
      <x:c r="U223" s="324">
        <x:v>0</x:v>
      </x:c>
      <x:c r="V223" s="324">
        <x:v>0</x:v>
      </x:c>
      <x:c r="W223" s="324">
        <x:v>0</x:v>
      </x:c>
      <x:c r="X223" s="324">
        <x:v>0</x:v>
      </x:c>
      <x:c r="Y223" s="324">
        <x:v>0</x:v>
      </x:c>
      <x:c r="Z223" s="257">
        <x:f t="shared" si="8"/>
        <x:v>0</x:v>
      </x:c>
    </x:row>
    <x:row r="224">
      <x:c r="A224" s="148" t="s">
        <x:v>107</x:v>
      </x:c>
      <x:c r="B224">
        <x:v>6</x:v>
      </x:c>
      <x:c r="C224" s="148" t="s">
        <x:v>115</x:v>
      </x:c>
      <x:c r="D224">
        <x:v>609</x:v>
      </x:c>
      <x:c r="E224" s="324">
        <x:v>0</x:v>
      </x:c>
      <x:c r="F224" s="324">
        <x:v>0</x:v>
      </x:c>
      <x:c r="G224" s="324">
        <x:v>0</x:v>
      </x:c>
      <x:c r="H224" s="324">
        <x:v>0</x:v>
      </x:c>
      <x:c r="I224" s="324">
        <x:v>0</x:v>
      </x:c>
      <x:c r="J224" s="324">
        <x:v>0</x:v>
      </x:c>
      <x:c r="K224" s="324">
        <x:v>0</x:v>
      </x:c>
      <x:c r="L224" s="324">
        <x:v>0</x:v>
      </x:c>
      <x:c r="M224" s="324">
        <x:v>0</x:v>
      </x:c>
      <x:c r="N224" s="324">
        <x:v>0</x:v>
      </x:c>
      <x:c r="O224" s="324">
        <x:v>0</x:v>
      </x:c>
      <x:c r="P224" s="324">
        <x:v>0</x:v>
      </x:c>
      <x:c r="Q224" s="324">
        <x:v>0</x:v>
      </x:c>
      <x:c r="R224" s="324">
        <x:v>0</x:v>
      </x:c>
      <x:c r="S224" s="324">
        <x:v>0</x:v>
      </x:c>
      <x:c r="T224" s="324">
        <x:v>0</x:v>
      </x:c>
      <x:c r="U224" s="324">
        <x:v>0</x:v>
      </x:c>
      <x:c r="V224" s="324">
        <x:v>0</x:v>
      </x:c>
      <x:c r="W224" s="324">
        <x:v>0</x:v>
      </x:c>
      <x:c r="X224" s="324">
        <x:v>0</x:v>
      </x:c>
      <x:c r="Y224" s="324">
        <x:v>0</x:v>
      </x:c>
      <x:c r="Z224" s="257">
        <x:f t="shared" si="8"/>
        <x:v>0</x:v>
      </x:c>
    </x:row>
    <x:row r="225">
      <x:c r="A225" s="148" t="s">
        <x:v>107</x:v>
      </x:c>
      <x:c r="B225">
        <x:v>6</x:v>
      </x:c>
      <x:c r="C225" s="148" t="s">
        <x:v>115</x:v>
      </x:c>
      <x:c r="D225">
        <x:v>610</x:v>
      </x:c>
      <x:c r="E225" s="324">
        <x:v>0</x:v>
      </x:c>
      <x:c r="F225" s="324">
        <x:v>0</x:v>
      </x:c>
      <x:c r="G225" s="324">
        <x:v>0</x:v>
      </x:c>
      <x:c r="H225" s="324">
        <x:v>0</x:v>
      </x:c>
      <x:c r="I225" s="324">
        <x:v>0</x:v>
      </x:c>
      <x:c r="J225" s="324">
        <x:v>0</x:v>
      </x:c>
      <x:c r="K225" s="324">
        <x:v>0</x:v>
      </x:c>
      <x:c r="L225" s="324">
        <x:v>0</x:v>
      </x:c>
      <x:c r="M225" s="324">
        <x:v>0</x:v>
      </x:c>
      <x:c r="N225" s="324">
        <x:v>0</x:v>
      </x:c>
      <x:c r="O225" s="324">
        <x:v>0</x:v>
      </x:c>
      <x:c r="P225" s="324">
        <x:v>0</x:v>
      </x:c>
      <x:c r="Q225" s="324">
        <x:v>0</x:v>
      </x:c>
      <x:c r="R225" s="324">
        <x:v>0</x:v>
      </x:c>
      <x:c r="S225" s="324">
        <x:v>0</x:v>
      </x:c>
      <x:c r="T225" s="324">
        <x:v>0</x:v>
      </x:c>
      <x:c r="U225" s="324">
        <x:v>0</x:v>
      </x:c>
      <x:c r="V225" s="324">
        <x:v>0</x:v>
      </x:c>
      <x:c r="W225" s="324">
        <x:v>0</x:v>
      </x:c>
      <x:c r="X225" s="324">
        <x:v>0</x:v>
      </x:c>
      <x:c r="Y225" s="324">
        <x:v>0</x:v>
      </x:c>
      <x:c r="Z225" s="257">
        <x:f t="shared" si="8"/>
        <x:v>0</x:v>
      </x:c>
    </x:row>
    <x:row r="226">
      <x:c r="A226" s="148" t="s">
        <x:v>107</x:v>
      </x:c>
      <x:c r="B226">
        <x:v>6</x:v>
      </x:c>
      <x:c r="C226" s="148" t="s">
        <x:v>115</x:v>
      </x:c>
      <x:c r="D226">
        <x:v>611</x:v>
      </x:c>
      <x:c r="E226" s="324">
        <x:v>0</x:v>
      </x:c>
      <x:c r="F226" s="324">
        <x:v>0</x:v>
      </x:c>
      <x:c r="G226" s="324">
        <x:v>0</x:v>
      </x:c>
      <x:c r="H226" s="324">
        <x:v>0</x:v>
      </x:c>
      <x:c r="I226" s="324">
        <x:v>0</x:v>
      </x:c>
      <x:c r="J226" s="324">
        <x:v>0</x:v>
      </x:c>
      <x:c r="K226" s="324">
        <x:v>0</x:v>
      </x:c>
      <x:c r="L226" s="324">
        <x:v>0</x:v>
      </x:c>
      <x:c r="M226" s="324">
        <x:v>0</x:v>
      </x:c>
      <x:c r="N226" s="324">
        <x:v>0</x:v>
      </x:c>
      <x:c r="O226" s="324">
        <x:v>0</x:v>
      </x:c>
      <x:c r="P226" s="324">
        <x:v>0</x:v>
      </x:c>
      <x:c r="Q226" s="324">
        <x:v>0</x:v>
      </x:c>
      <x:c r="R226" s="324">
        <x:v>0</x:v>
      </x:c>
      <x:c r="S226" s="324">
        <x:v>0</x:v>
      </x:c>
      <x:c r="T226" s="324">
        <x:v>0</x:v>
      </x:c>
      <x:c r="U226" s="324">
        <x:v>0</x:v>
      </x:c>
      <x:c r="V226" s="324">
        <x:v>0</x:v>
      </x:c>
      <x:c r="W226" s="324">
        <x:v>0</x:v>
      </x:c>
      <x:c r="X226" s="324">
        <x:v>0</x:v>
      </x:c>
      <x:c r="Y226" s="324">
        <x:v>0</x:v>
      </x:c>
      <x:c r="Z226" s="257">
        <x:f t="shared" si="8"/>
        <x:v>0</x:v>
      </x:c>
    </x:row>
    <x:row r="227">
      <x:c r="A227" s="148" t="s">
        <x:v>107</x:v>
      </x:c>
      <x:c r="B227">
        <x:v>6</x:v>
      </x:c>
      <x:c r="C227" s="148" t="s">
        <x:v>115</x:v>
      </x:c>
      <x:c r="D227">
        <x:v>612</x:v>
      </x:c>
      <x:c r="E227" s="324">
        <x:v>0</x:v>
      </x:c>
      <x:c r="F227" s="324">
        <x:v>0</x:v>
      </x:c>
      <x:c r="G227" s="324">
        <x:v>0</x:v>
      </x:c>
      <x:c r="H227" s="324">
        <x:v>0</x:v>
      </x:c>
      <x:c r="I227" s="324">
        <x:v>0</x:v>
      </x:c>
      <x:c r="J227" s="324">
        <x:v>0</x:v>
      </x:c>
      <x:c r="K227" s="324">
        <x:v>0</x:v>
      </x:c>
      <x:c r="L227" s="324">
        <x:v>0</x:v>
      </x:c>
      <x:c r="M227" s="324">
        <x:v>0</x:v>
      </x:c>
      <x:c r="N227" s="324">
        <x:v>0</x:v>
      </x:c>
      <x:c r="O227" s="324">
        <x:v>0</x:v>
      </x:c>
      <x:c r="P227" s="324">
        <x:v>0</x:v>
      </x:c>
      <x:c r="Q227" s="324">
        <x:v>0</x:v>
      </x:c>
      <x:c r="R227" s="324">
        <x:v>0</x:v>
      </x:c>
      <x:c r="S227" s="324">
        <x:v>0</x:v>
      </x:c>
      <x:c r="T227" s="324">
        <x:v>0</x:v>
      </x:c>
      <x:c r="U227" s="324">
        <x:v>0</x:v>
      </x:c>
      <x:c r="V227" s="324">
        <x:v>0</x:v>
      </x:c>
      <x:c r="W227" s="324">
        <x:v>0</x:v>
      </x:c>
      <x:c r="X227" s="324">
        <x:v>0</x:v>
      </x:c>
      <x:c r="Y227" s="324">
        <x:v>0</x:v>
      </x:c>
      <x:c r="Z227" s="257">
        <x:f t="shared" si="8"/>
        <x:v>0</x:v>
      </x:c>
    </x:row>
    <x:row r="228">
      <x:c r="A228" s="148" t="s">
        <x:v>107</x:v>
      </x:c>
      <x:c r="B228">
        <x:v>6</x:v>
      </x:c>
      <x:c r="C228" s="148" t="s">
        <x:v>115</x:v>
      </x:c>
      <x:c r="D228">
        <x:v>613</x:v>
      </x:c>
      <x:c r="E228" s="324">
        <x:v>0</x:v>
      </x:c>
      <x:c r="F228" s="324">
        <x:v>0</x:v>
      </x:c>
      <x:c r="G228" s="324">
        <x:v>0</x:v>
      </x:c>
      <x:c r="H228" s="324">
        <x:v>0</x:v>
      </x:c>
      <x:c r="I228" s="324">
        <x:v>0</x:v>
      </x:c>
      <x:c r="J228" s="324">
        <x:v>0</x:v>
      </x:c>
      <x:c r="K228" s="324">
        <x:v>0</x:v>
      </x:c>
      <x:c r="L228" s="324">
        <x:v>0</x:v>
      </x:c>
      <x:c r="M228" s="324">
        <x:v>0</x:v>
      </x:c>
      <x:c r="N228" s="324">
        <x:v>0</x:v>
      </x:c>
      <x:c r="O228" s="324">
        <x:v>0</x:v>
      </x:c>
      <x:c r="P228" s="324">
        <x:v>0</x:v>
      </x:c>
      <x:c r="Q228" s="324">
        <x:v>0</x:v>
      </x:c>
      <x:c r="R228" s="324">
        <x:v>0</x:v>
      </x:c>
      <x:c r="S228" s="324">
        <x:v>0</x:v>
      </x:c>
      <x:c r="T228" s="324">
        <x:v>0</x:v>
      </x:c>
      <x:c r="U228" s="324">
        <x:v>0</x:v>
      </x:c>
      <x:c r="V228" s="324">
        <x:v>0</x:v>
      </x:c>
      <x:c r="W228" s="324">
        <x:v>0</x:v>
      </x:c>
      <x:c r="X228" s="324">
        <x:v>0</x:v>
      </x:c>
      <x:c r="Y228" s="324">
        <x:v>0</x:v>
      </x:c>
      <x:c r="Z228" s="257">
        <x:f t="shared" si="8"/>
        <x:v>0</x:v>
      </x:c>
    </x:row>
    <x:row r="229">
      <x:c r="A229" s="148" t="s">
        <x:v>107</x:v>
      </x:c>
      <x:c r="B229">
        <x:v>6</x:v>
      </x:c>
      <x:c r="C229" s="148" t="s">
        <x:v>115</x:v>
      </x:c>
      <x:c r="D229">
        <x:v>614</x:v>
      </x:c>
      <x:c r="E229" s="324">
        <x:v>0</x:v>
      </x:c>
      <x:c r="F229" s="324">
        <x:v>0</x:v>
      </x:c>
      <x:c r="G229" s="324">
        <x:v>0</x:v>
      </x:c>
      <x:c r="H229" s="324">
        <x:v>0</x:v>
      </x:c>
      <x:c r="I229" s="324">
        <x:v>0</x:v>
      </x:c>
      <x:c r="J229" s="324">
        <x:v>0</x:v>
      </x:c>
      <x:c r="K229" s="324">
        <x:v>0</x:v>
      </x:c>
      <x:c r="L229" s="324">
        <x:v>0</x:v>
      </x:c>
      <x:c r="M229" s="324">
        <x:v>0</x:v>
      </x:c>
      <x:c r="N229" s="324">
        <x:v>0</x:v>
      </x:c>
      <x:c r="O229" s="324">
        <x:v>0</x:v>
      </x:c>
      <x:c r="P229" s="324">
        <x:v>0</x:v>
      </x:c>
      <x:c r="Q229" s="324">
        <x:v>0</x:v>
      </x:c>
      <x:c r="R229" s="324">
        <x:v>0</x:v>
      </x:c>
      <x:c r="S229" s="324">
        <x:v>0</x:v>
      </x:c>
      <x:c r="T229" s="324">
        <x:v>0</x:v>
      </x:c>
      <x:c r="U229" s="324">
        <x:v>0</x:v>
      </x:c>
      <x:c r="V229" s="324">
        <x:v>0</x:v>
      </x:c>
      <x:c r="W229" s="324">
        <x:v>0</x:v>
      </x:c>
      <x:c r="X229" s="324">
        <x:v>0</x:v>
      </x:c>
      <x:c r="Y229" s="324">
        <x:v>0</x:v>
      </x:c>
      <x:c r="Z229" s="257">
        <x:f t="shared" si="8"/>
        <x:v>0</x:v>
      </x:c>
    </x:row>
    <x:row r="230">
      <x:c r="A230" s="148" t="s">
        <x:v>107</x:v>
      </x:c>
      <x:c r="B230">
        <x:v>6</x:v>
      </x:c>
      <x:c r="C230" s="148" t="s">
        <x:v>115</x:v>
      </x:c>
      <x:c r="D230">
        <x:v>615</x:v>
      </x:c>
      <x:c r="E230" s="324">
        <x:v>0</x:v>
      </x:c>
      <x:c r="F230" s="324">
        <x:v>0</x:v>
      </x:c>
      <x:c r="G230" s="324">
        <x:v>0</x:v>
      </x:c>
      <x:c r="H230" s="324">
        <x:v>0</x:v>
      </x:c>
      <x:c r="I230" s="324">
        <x:v>0</x:v>
      </x:c>
      <x:c r="J230" s="324">
        <x:v>0</x:v>
      </x:c>
      <x:c r="K230" s="324">
        <x:v>0</x:v>
      </x:c>
      <x:c r="L230" s="324">
        <x:v>0</x:v>
      </x:c>
      <x:c r="M230" s="324">
        <x:v>0</x:v>
      </x:c>
      <x:c r="N230" s="324">
        <x:v>0</x:v>
      </x:c>
      <x:c r="O230" s="324">
        <x:v>0</x:v>
      </x:c>
      <x:c r="P230" s="324">
        <x:v>0</x:v>
      </x:c>
      <x:c r="Q230" s="324">
        <x:v>0</x:v>
      </x:c>
      <x:c r="R230" s="324">
        <x:v>0</x:v>
      </x:c>
      <x:c r="S230" s="324">
        <x:v>0</x:v>
      </x:c>
      <x:c r="T230" s="324">
        <x:v>0</x:v>
      </x:c>
      <x:c r="U230" s="324">
        <x:v>0</x:v>
      </x:c>
      <x:c r="V230" s="324">
        <x:v>0</x:v>
      </x:c>
      <x:c r="W230" s="324">
        <x:v>0</x:v>
      </x:c>
      <x:c r="X230" s="324">
        <x:v>0</x:v>
      </x:c>
      <x:c r="Y230" s="324">
        <x:v>0</x:v>
      </x:c>
      <x:c r="Z230" s="257">
        <x:f t="shared" si="8"/>
        <x:v>0</x:v>
      </x:c>
    </x:row>
    <x:row r="231">
      <x:c r="A231" s="148" t="s">
        <x:v>107</x:v>
      </x:c>
      <x:c r="B231">
        <x:v>6</x:v>
      </x:c>
      <x:c r="C231" s="148" t="s">
        <x:v>115</x:v>
      </x:c>
      <x:c r="D231">
        <x:v>616</x:v>
      </x:c>
      <x:c r="E231" s="324">
        <x:v>0</x:v>
      </x:c>
      <x:c r="F231" s="324">
        <x:v>0</x:v>
      </x:c>
      <x:c r="G231" s="324">
        <x:v>0</x:v>
      </x:c>
      <x:c r="H231" s="324">
        <x:v>0</x:v>
      </x:c>
      <x:c r="I231" s="324">
        <x:v>0</x:v>
      </x:c>
      <x:c r="J231" s="324">
        <x:v>0</x:v>
      </x:c>
      <x:c r="K231" s="324">
        <x:v>0</x:v>
      </x:c>
      <x:c r="L231" s="324">
        <x:v>0</x:v>
      </x:c>
      <x:c r="M231" s="324">
        <x:v>0</x:v>
      </x:c>
      <x:c r="N231" s="324">
        <x:v>0</x:v>
      </x:c>
      <x:c r="O231" s="324">
        <x:v>0</x:v>
      </x:c>
      <x:c r="P231" s="324">
        <x:v>0</x:v>
      </x:c>
      <x:c r="Q231" s="324">
        <x:v>0</x:v>
      </x:c>
      <x:c r="R231" s="324">
        <x:v>0</x:v>
      </x:c>
      <x:c r="S231" s="324">
        <x:v>0</x:v>
      </x:c>
      <x:c r="T231" s="324">
        <x:v>0</x:v>
      </x:c>
      <x:c r="U231" s="324">
        <x:v>0</x:v>
      </x:c>
      <x:c r="V231" s="324">
        <x:v>0</x:v>
      </x:c>
      <x:c r="W231" s="324">
        <x:v>0</x:v>
      </x:c>
      <x:c r="X231" s="324">
        <x:v>0</x:v>
      </x:c>
      <x:c r="Y231" s="324">
        <x:v>0</x:v>
      </x:c>
      <x:c r="Z231" s="257">
        <x:f t="shared" si="8"/>
        <x:v>0</x:v>
      </x:c>
    </x:row>
    <x:row r="232">
      <x:c r="A232" s="148" t="s">
        <x:v>107</x:v>
      </x:c>
      <x:c r="B232">
        <x:v>6</x:v>
      </x:c>
      <x:c r="C232" s="148" t="s">
        <x:v>115</x:v>
      </x:c>
      <x:c r="D232">
        <x:v>617</x:v>
      </x:c>
      <x:c r="E232" s="324">
        <x:v>0</x:v>
      </x:c>
      <x:c r="F232" s="324">
        <x:v>0</x:v>
      </x:c>
      <x:c r="G232" s="324">
        <x:v>0</x:v>
      </x:c>
      <x:c r="H232" s="324">
        <x:v>0</x:v>
      </x:c>
      <x:c r="I232" s="324">
        <x:v>0</x:v>
      </x:c>
      <x:c r="J232" s="324">
        <x:v>0</x:v>
      </x:c>
      <x:c r="K232" s="324">
        <x:v>0</x:v>
      </x:c>
      <x:c r="L232" s="324">
        <x:v>0</x:v>
      </x:c>
      <x:c r="M232" s="324">
        <x:v>0</x:v>
      </x:c>
      <x:c r="N232" s="324">
        <x:v>0</x:v>
      </x:c>
      <x:c r="O232" s="324">
        <x:v>0</x:v>
      </x:c>
      <x:c r="P232" s="324">
        <x:v>0</x:v>
      </x:c>
      <x:c r="Q232" s="324">
        <x:v>0</x:v>
      </x:c>
      <x:c r="R232" s="324">
        <x:v>0</x:v>
      </x:c>
      <x:c r="S232" s="324">
        <x:v>0</x:v>
      </x:c>
      <x:c r="T232" s="324">
        <x:v>0</x:v>
      </x:c>
      <x:c r="U232" s="324">
        <x:v>0</x:v>
      </x:c>
      <x:c r="V232" s="324">
        <x:v>0</x:v>
      </x:c>
      <x:c r="W232" s="324">
        <x:v>0</x:v>
      </x:c>
      <x:c r="X232" s="324">
        <x:v>0</x:v>
      </x:c>
      <x:c r="Y232" s="324">
        <x:v>0</x:v>
      </x:c>
      <x:c r="Z232" s="257">
        <x:f t="shared" si="8"/>
        <x:v>0</x:v>
      </x:c>
    </x:row>
    <x:row r="233">
      <x:c r="A233" s="148" t="s">
        <x:v>107</x:v>
      </x:c>
      <x:c r="B233">
        <x:v>6</x:v>
      </x:c>
      <x:c r="C233" s="148" t="s">
        <x:v>115</x:v>
      </x:c>
      <x:c r="D233">
        <x:v>618</x:v>
      </x:c>
      <x:c r="E233" s="324">
        <x:v>0</x:v>
      </x:c>
      <x:c r="F233" s="324">
        <x:v>0</x:v>
      </x:c>
      <x:c r="G233" s="324">
        <x:v>0</x:v>
      </x:c>
      <x:c r="H233" s="324">
        <x:v>0</x:v>
      </x:c>
      <x:c r="I233" s="324">
        <x:v>0</x:v>
      </x:c>
      <x:c r="J233" s="324">
        <x:v>0</x:v>
      </x:c>
      <x:c r="K233" s="324">
        <x:v>0</x:v>
      </x:c>
      <x:c r="L233" s="324">
        <x:v>0</x:v>
      </x:c>
      <x:c r="M233" s="324">
        <x:v>0</x:v>
      </x:c>
      <x:c r="N233" s="324">
        <x:v>0</x:v>
      </x:c>
      <x:c r="O233" s="324">
        <x:v>0</x:v>
      </x:c>
      <x:c r="P233" s="324">
        <x:v>0</x:v>
      </x:c>
      <x:c r="Q233" s="324">
        <x:v>0</x:v>
      </x:c>
      <x:c r="R233" s="324">
        <x:v>0</x:v>
      </x:c>
      <x:c r="S233" s="324">
        <x:v>0</x:v>
      </x:c>
      <x:c r="T233" s="324">
        <x:v>0</x:v>
      </x:c>
      <x:c r="U233" s="324">
        <x:v>0</x:v>
      </x:c>
      <x:c r="V233" s="324">
        <x:v>0</x:v>
      </x:c>
      <x:c r="W233" s="324">
        <x:v>0</x:v>
      </x:c>
      <x:c r="X233" s="324">
        <x:v>0</x:v>
      </x:c>
      <x:c r="Y233" s="324">
        <x:v>0</x:v>
      </x:c>
      <x:c r="Z233" s="257">
        <x:f t="shared" si="8"/>
        <x:v>0</x:v>
      </x:c>
    </x:row>
    <x:row r="234">
      <x:c r="A234" s="148" t="s">
        <x:v>107</x:v>
      </x:c>
      <x:c r="B234">
        <x:v>6</x:v>
      </x:c>
      <x:c r="C234" s="148" t="s">
        <x:v>115</x:v>
      </x:c>
      <x:c r="D234">
        <x:v>619</x:v>
      </x:c>
      <x:c r="E234" s="324">
        <x:v>0</x:v>
      </x:c>
      <x:c r="F234" s="324">
        <x:v>0</x:v>
      </x:c>
      <x:c r="G234" s="324">
        <x:v>0</x:v>
      </x:c>
      <x:c r="H234" s="324">
        <x:v>0</x:v>
      </x:c>
      <x:c r="I234" s="324">
        <x:v>0</x:v>
      </x:c>
      <x:c r="J234" s="324">
        <x:v>0</x:v>
      </x:c>
      <x:c r="K234" s="324">
        <x:v>0</x:v>
      </x:c>
      <x:c r="L234" s="324">
        <x:v>0</x:v>
      </x:c>
      <x:c r="M234" s="324">
        <x:v>0</x:v>
      </x:c>
      <x:c r="N234" s="324">
        <x:v>0</x:v>
      </x:c>
      <x:c r="O234" s="324">
        <x:v>0</x:v>
      </x:c>
      <x:c r="P234" s="324">
        <x:v>0</x:v>
      </x:c>
      <x:c r="Q234" s="324">
        <x:v>0</x:v>
      </x:c>
      <x:c r="R234" s="324">
        <x:v>0</x:v>
      </x:c>
      <x:c r="S234" s="324">
        <x:v>0</x:v>
      </x:c>
      <x:c r="T234" s="324">
        <x:v>0</x:v>
      </x:c>
      <x:c r="U234" s="324">
        <x:v>0</x:v>
      </x:c>
      <x:c r="V234" s="324">
        <x:v>0</x:v>
      </x:c>
      <x:c r="W234" s="324">
        <x:v>0</x:v>
      </x:c>
      <x:c r="X234" s="324">
        <x:v>0</x:v>
      </x:c>
      <x:c r="Y234" s="324">
        <x:v>0</x:v>
      </x:c>
      <x:c r="Z234" s="257">
        <x:f t="shared" si="8"/>
        <x:v>0</x:v>
      </x:c>
    </x:row>
    <x:row r="235">
      <x:c r="A235" s="148" t="s">
        <x:v>107</x:v>
      </x:c>
      <x:c r="B235">
        <x:v>6</x:v>
      </x:c>
      <x:c r="C235" s="148" t="s">
        <x:v>115</x:v>
      </x:c>
      <x:c r="D235">
        <x:v>620</x:v>
      </x:c>
      <x:c r="E235" s="324">
        <x:v>0</x:v>
      </x:c>
      <x:c r="F235" s="324">
        <x:v>0</x:v>
      </x:c>
      <x:c r="G235" s="324">
        <x:v>0</x:v>
      </x:c>
      <x:c r="H235" s="324">
        <x:v>0</x:v>
      </x:c>
      <x:c r="I235" s="324">
        <x:v>0</x:v>
      </x:c>
      <x:c r="J235" s="324">
        <x:v>0</x:v>
      </x:c>
      <x:c r="K235" s="324">
        <x:v>0</x:v>
      </x:c>
      <x:c r="L235" s="324">
        <x:v>0</x:v>
      </x:c>
      <x:c r="M235" s="324">
        <x:v>0</x:v>
      </x:c>
      <x:c r="N235" s="324">
        <x:v>0</x:v>
      </x:c>
      <x:c r="O235" s="324">
        <x:v>0</x:v>
      </x:c>
      <x:c r="P235" s="324">
        <x:v>0</x:v>
      </x:c>
      <x:c r="Q235" s="324">
        <x:v>0</x:v>
      </x:c>
      <x:c r="R235" s="324">
        <x:v>0</x:v>
      </x:c>
      <x:c r="S235" s="324">
        <x:v>0</x:v>
      </x:c>
      <x:c r="T235" s="324">
        <x:v>0</x:v>
      </x:c>
      <x:c r="U235" s="324">
        <x:v>0</x:v>
      </x:c>
      <x:c r="V235" s="324">
        <x:v>0</x:v>
      </x:c>
      <x:c r="W235" s="324">
        <x:v>0</x:v>
      </x:c>
      <x:c r="X235" s="324">
        <x:v>0</x:v>
      </x:c>
      <x:c r="Y235" s="324">
        <x:v>0</x:v>
      </x:c>
      <x:c r="Z235" s="257">
        <x:f t="shared" si="8"/>
        <x:v>0</x:v>
      </x:c>
    </x:row>
    <x:row r="236">
      <x:c r="A236" s="148" t="s">
        <x:v>107</x:v>
      </x:c>
      <x:c r="B236">
        <x:v>6</x:v>
      </x:c>
      <x:c r="C236" s="148" t="s">
        <x:v>115</x:v>
      </x:c>
      <x:c r="D236">
        <x:v>621</x:v>
      </x:c>
      <x:c r="E236" s="324">
        <x:v>0</x:v>
      </x:c>
      <x:c r="F236" s="324">
        <x:v>0</x:v>
      </x:c>
      <x:c r="G236" s="324">
        <x:v>0</x:v>
      </x:c>
      <x:c r="H236" s="324">
        <x:v>0</x:v>
      </x:c>
      <x:c r="I236" s="324">
        <x:v>0</x:v>
      </x:c>
      <x:c r="J236" s="324">
        <x:v>0</x:v>
      </x:c>
      <x:c r="K236" s="324">
        <x:v>0</x:v>
      </x:c>
      <x:c r="L236" s="324">
        <x:v>0</x:v>
      </x:c>
      <x:c r="M236" s="324">
        <x:v>0</x:v>
      </x:c>
      <x:c r="N236" s="324">
        <x:v>0</x:v>
      </x:c>
      <x:c r="O236" s="324">
        <x:v>0</x:v>
      </x:c>
      <x:c r="P236" s="324">
        <x:v>0</x:v>
      </x:c>
      <x:c r="Q236" s="324">
        <x:v>0</x:v>
      </x:c>
      <x:c r="R236" s="324">
        <x:v>0</x:v>
      </x:c>
      <x:c r="S236" s="324">
        <x:v>0</x:v>
      </x:c>
      <x:c r="T236" s="324">
        <x:v>0</x:v>
      </x:c>
      <x:c r="U236" s="324">
        <x:v>0</x:v>
      </x:c>
      <x:c r="V236" s="324">
        <x:v>0</x:v>
      </x:c>
      <x:c r="W236" s="324">
        <x:v>0</x:v>
      </x:c>
      <x:c r="X236" s="324">
        <x:v>0</x:v>
      </x:c>
      <x:c r="Y236" s="324">
        <x:v>0</x:v>
      </x:c>
      <x:c r="Z236" s="257">
        <x:f t="shared" si="8"/>
        <x:v>0</x:v>
      </x:c>
    </x:row>
    <x:row r="237">
      <x:c r="A237" s="148"/>
      <x:c r="B237"/>
      <x:c r="C237" s="148"/>
      <x:c r="D237"/>
      <x:c r="E237" s="324"/>
      <x:c r="F237" s="324">
        <x:f t="shared" ref="F237:Y237" si="9">AVERAGE(F193:F236)</x:f>
      </x:c>
      <x:c r="G237" s="324">
        <x:f t="shared" si="9"/>
      </x:c>
      <x:c r="H237" s="324">
        <x:f t="shared" si="9"/>
      </x:c>
      <x:c r="I237" s="324">
        <x:f t="shared" si="9"/>
      </x:c>
      <x:c r="J237" s="324">
        <x:f t="shared" si="9"/>
      </x:c>
      <x:c r="K237" s="324">
        <x:f t="shared" si="9"/>
      </x:c>
      <x:c r="L237" s="324">
        <x:f t="shared" si="9"/>
      </x:c>
      <x:c r="M237" s="324">
        <x:f t="shared" si="9"/>
      </x:c>
      <x:c r="N237" s="324">
        <x:f t="shared" si="9"/>
      </x:c>
      <x:c r="O237" s="324">
        <x:f t="shared" si="9"/>
      </x:c>
      <x:c r="P237" s="324">
        <x:f t="shared" si="9"/>
      </x:c>
      <x:c r="Q237" s="324">
        <x:f t="shared" si="9"/>
      </x:c>
      <x:c r="R237" s="324">
        <x:f t="shared" si="9"/>
      </x:c>
      <x:c r="S237" s="324">
        <x:f t="shared" si="9"/>
      </x:c>
      <x:c r="T237" s="324">
        <x:f t="shared" si="9"/>
      </x:c>
      <x:c r="U237" s="324">
        <x:f t="shared" si="9"/>
      </x:c>
      <x:c r="V237" s="324">
        <x:f t="shared" si="9"/>
      </x:c>
      <x:c r="W237" s="324">
        <x:f t="shared" si="9"/>
      </x:c>
      <x:c r="X237" s="324">
        <x:f t="shared" si="9"/>
      </x:c>
      <x:c r="Y237" s="324">
        <x:f t="shared" si="9"/>
      </x:c>
      <x:c r="Z237" s="257">
        <x:f t="shared" si="8"/>
      </x:c>
    </x:row>
    <x:row r="238">
      <x:c r="A238" s="148" t="s">
        <x:v>107</x:v>
      </x:c>
      <x:c r="B238">
        <x:v>7</x:v>
      </x:c>
      <x:c r="C238" s="148" t="s">
        <x:v>116</x:v>
      </x:c>
      <x:c r="D238">
        <x:v>701</x:v>
      </x:c>
      <x:c r="E238" s="324">
        <x:v>0</x:v>
      </x:c>
      <x:c r="F238" s="324">
        <x:v>0</x:v>
      </x:c>
      <x:c r="G238" s="324">
        <x:v>0</x:v>
      </x:c>
      <x:c r="H238" s="324">
        <x:v>0</x:v>
      </x:c>
      <x:c r="I238" s="324">
        <x:v>0</x:v>
      </x:c>
      <x:c r="J238" s="324">
        <x:v>0</x:v>
      </x:c>
      <x:c r="K238" s="324">
        <x:v>0</x:v>
      </x:c>
      <x:c r="L238" s="324">
        <x:v>0</x:v>
      </x:c>
      <x:c r="M238" s="324">
        <x:v>0</x:v>
      </x:c>
      <x:c r="N238" s="324">
        <x:v>0</x:v>
      </x:c>
      <x:c r="O238" s="324">
        <x:v>0</x:v>
      </x:c>
      <x:c r="P238" s="324">
        <x:v>0</x:v>
      </x:c>
      <x:c r="Q238" s="324">
        <x:v>0</x:v>
      </x:c>
      <x:c r="R238" s="324">
        <x:v>0</x:v>
      </x:c>
      <x:c r="S238" s="324">
        <x:v>0</x:v>
      </x:c>
      <x:c r="T238" s="324">
        <x:v>0</x:v>
      </x:c>
      <x:c r="U238" s="324">
        <x:v>0</x:v>
      </x:c>
      <x:c r="V238" s="324">
        <x:v>0</x:v>
      </x:c>
      <x:c r="W238" s="324">
        <x:v>0</x:v>
      </x:c>
      <x:c r="X238" s="324">
        <x:v>0</x:v>
      </x:c>
      <x:c r="Y238" s="324">
        <x:v>0</x:v>
      </x:c>
      <x:c r="Z238" s="257">
        <x:f t="shared" si="8"/>
        <x:v>0</x:v>
      </x:c>
    </x:row>
    <x:row r="239">
      <x:c r="A239" s="148" t="s">
        <x:v>107</x:v>
      </x:c>
      <x:c r="B239">
        <x:v>7</x:v>
      </x:c>
      <x:c r="C239" s="148" t="s">
        <x:v>116</x:v>
      </x:c>
      <x:c r="D239">
        <x:v>702</x:v>
      </x:c>
      <x:c r="E239" s="324">
        <x:v>0</x:v>
      </x:c>
      <x:c r="F239" s="324">
        <x:v>0</x:v>
      </x:c>
      <x:c r="G239" s="324">
        <x:v>0</x:v>
      </x:c>
      <x:c r="H239" s="324">
        <x:v>0</x:v>
      </x:c>
      <x:c r="I239" s="324">
        <x:v>0</x:v>
      </x:c>
      <x:c r="J239" s="324">
        <x:v>0</x:v>
      </x:c>
      <x:c r="K239" s="324">
        <x:v>0</x:v>
      </x:c>
      <x:c r="L239" s="324">
        <x:v>0</x:v>
      </x:c>
      <x:c r="M239" s="324">
        <x:v>0</x:v>
      </x:c>
      <x:c r="N239" s="324">
        <x:v>0</x:v>
      </x:c>
      <x:c r="O239" s="324">
        <x:v>0</x:v>
      </x:c>
      <x:c r="P239" s="324">
        <x:v>0</x:v>
      </x:c>
      <x:c r="Q239" s="324">
        <x:v>0</x:v>
      </x:c>
      <x:c r="R239" s="324">
        <x:v>0</x:v>
      </x:c>
      <x:c r="S239" s="324">
        <x:v>0</x:v>
      </x:c>
      <x:c r="T239" s="324">
        <x:v>0</x:v>
      </x:c>
      <x:c r="U239" s="324">
        <x:v>0</x:v>
      </x:c>
      <x:c r="V239" s="324">
        <x:v>0</x:v>
      </x:c>
      <x:c r="W239" s="324">
        <x:v>0</x:v>
      </x:c>
      <x:c r="X239" s="324">
        <x:v>0</x:v>
      </x:c>
      <x:c r="Y239" s="324">
        <x:v>0</x:v>
      </x:c>
      <x:c r="Z239" s="257">
        <x:f t="shared" si="8"/>
        <x:v>0</x:v>
      </x:c>
    </x:row>
    <x:row r="240">
      <x:c r="A240" s="148" t="s">
        <x:v>107</x:v>
      </x:c>
      <x:c r="B240">
        <x:v>7</x:v>
      </x:c>
      <x:c r="C240" s="148" t="s">
        <x:v>116</x:v>
      </x:c>
      <x:c r="D240">
        <x:v>703</x:v>
      </x:c>
      <x:c r="E240" s="324">
        <x:v>0</x:v>
      </x:c>
      <x:c r="F240" s="324">
        <x:v>0</x:v>
      </x:c>
      <x:c r="G240" s="324">
        <x:v>0</x:v>
      </x:c>
      <x:c r="H240" s="324">
        <x:v>0</x:v>
      </x:c>
      <x:c r="I240" s="324">
        <x:v>0</x:v>
      </x:c>
      <x:c r="J240" s="324">
        <x:v>0</x:v>
      </x:c>
      <x:c r="K240" s="324">
        <x:v>0</x:v>
      </x:c>
      <x:c r="L240" s="324">
        <x:v>0</x:v>
      </x:c>
      <x:c r="M240" s="324">
        <x:v>0</x:v>
      </x:c>
      <x:c r="N240" s="324">
        <x:v>0</x:v>
      </x:c>
      <x:c r="O240" s="324">
        <x:v>0</x:v>
      </x:c>
      <x:c r="P240" s="324">
        <x:v>0</x:v>
      </x:c>
      <x:c r="Q240" s="324">
        <x:v>0</x:v>
      </x:c>
      <x:c r="R240" s="324">
        <x:v>0</x:v>
      </x:c>
      <x:c r="S240" s="324">
        <x:v>0</x:v>
      </x:c>
      <x:c r="T240" s="324">
        <x:v>0</x:v>
      </x:c>
      <x:c r="U240" s="324">
        <x:v>0</x:v>
      </x:c>
      <x:c r="V240" s="324">
        <x:v>0</x:v>
      </x:c>
      <x:c r="W240" s="324">
        <x:v>0</x:v>
      </x:c>
      <x:c r="X240" s="324">
        <x:v>0</x:v>
      </x:c>
      <x:c r="Y240" s="324">
        <x:v>0</x:v>
      </x:c>
      <x:c r="Z240" s="257">
        <x:f t="shared" si="8"/>
        <x:v>0</x:v>
      </x:c>
    </x:row>
    <x:row r="241">
      <x:c r="A241" s="148" t="s">
        <x:v>107</x:v>
      </x:c>
      <x:c r="B241">
        <x:v>7</x:v>
      </x:c>
      <x:c r="C241" s="148" t="s">
        <x:v>116</x:v>
      </x:c>
      <x:c r="D241">
        <x:v>704</x:v>
      </x:c>
      <x:c r="E241" s="324">
        <x:v>0</x:v>
      </x:c>
      <x:c r="F241" s="324">
        <x:v>0</x:v>
      </x:c>
      <x:c r="G241" s="324">
        <x:v>0</x:v>
      </x:c>
      <x:c r="H241" s="324">
        <x:v>0</x:v>
      </x:c>
      <x:c r="I241" s="324">
        <x:v>0</x:v>
      </x:c>
      <x:c r="J241" s="324">
        <x:v>0</x:v>
      </x:c>
      <x:c r="K241" s="324">
        <x:v>0</x:v>
      </x:c>
      <x:c r="L241" s="324">
        <x:v>0</x:v>
      </x:c>
      <x:c r="M241" s="324">
        <x:v>0</x:v>
      </x:c>
      <x:c r="N241" s="324">
        <x:v>0</x:v>
      </x:c>
      <x:c r="O241" s="324">
        <x:v>0</x:v>
      </x:c>
      <x:c r="P241" s="324">
        <x:v>0</x:v>
      </x:c>
      <x:c r="Q241" s="324">
        <x:v>0</x:v>
      </x:c>
      <x:c r="R241" s="324">
        <x:v>0</x:v>
      </x:c>
      <x:c r="S241" s="324">
        <x:v>0</x:v>
      </x:c>
      <x:c r="T241" s="324">
        <x:v>0</x:v>
      </x:c>
      <x:c r="U241" s="324">
        <x:v>0</x:v>
      </x:c>
      <x:c r="V241" s="324">
        <x:v>0</x:v>
      </x:c>
      <x:c r="W241" s="324">
        <x:v>0</x:v>
      </x:c>
      <x:c r="X241" s="324">
        <x:v>0</x:v>
      </x:c>
      <x:c r="Y241" s="324">
        <x:v>0</x:v>
      </x:c>
      <x:c r="Z241" s="257">
        <x:f t="shared" si="8"/>
        <x:v>0</x:v>
      </x:c>
    </x:row>
    <x:row r="242">
      <x:c r="A242" s="148" t="s">
        <x:v>107</x:v>
      </x:c>
      <x:c r="B242">
        <x:v>7</x:v>
      </x:c>
      <x:c r="C242" s="148" t="s">
        <x:v>116</x:v>
      </x:c>
      <x:c r="D242">
        <x:v>705</x:v>
      </x:c>
      <x:c r="E242" s="324">
        <x:v>0</x:v>
      </x:c>
      <x:c r="F242" s="324">
        <x:v>0</x:v>
      </x:c>
      <x:c r="G242" s="324">
        <x:v>0</x:v>
      </x:c>
      <x:c r="H242" s="324">
        <x:v>0</x:v>
      </x:c>
      <x:c r="I242" s="324">
        <x:v>0</x:v>
      </x:c>
      <x:c r="J242" s="324">
        <x:v>0</x:v>
      </x:c>
      <x:c r="K242" s="324">
        <x:v>0</x:v>
      </x:c>
      <x:c r="L242" s="324">
        <x:v>0</x:v>
      </x:c>
      <x:c r="M242" s="324">
        <x:v>0</x:v>
      </x:c>
      <x:c r="N242" s="324">
        <x:v>0</x:v>
      </x:c>
      <x:c r="O242" s="324">
        <x:v>0</x:v>
      </x:c>
      <x:c r="P242" s="324">
        <x:v>0</x:v>
      </x:c>
      <x:c r="Q242" s="324">
        <x:v>0</x:v>
      </x:c>
      <x:c r="R242" s="324">
        <x:v>0</x:v>
      </x:c>
      <x:c r="S242" s="324">
        <x:v>0</x:v>
      </x:c>
      <x:c r="T242" s="324">
        <x:v>0</x:v>
      </x:c>
      <x:c r="U242" s="324">
        <x:v>0</x:v>
      </x:c>
      <x:c r="V242" s="324">
        <x:v>0</x:v>
      </x:c>
      <x:c r="W242" s="324">
        <x:v>0</x:v>
      </x:c>
      <x:c r="X242" s="324">
        <x:v>0</x:v>
      </x:c>
      <x:c r="Y242" s="324">
        <x:v>0</x:v>
      </x:c>
      <x:c r="Z242" s="257">
        <x:f t="shared" si="8"/>
        <x:v>0</x:v>
      </x:c>
    </x:row>
    <x:row r="243">
      <x:c r="A243" s="148" t="s">
        <x:v>107</x:v>
      </x:c>
      <x:c r="B243">
        <x:v>7</x:v>
      </x:c>
      <x:c r="C243" s="148" t="s">
        <x:v>116</x:v>
      </x:c>
      <x:c r="D243">
        <x:v>706</x:v>
      </x:c>
      <x:c r="E243" s="324">
        <x:v>0</x:v>
      </x:c>
      <x:c r="F243" s="324">
        <x:v>0</x:v>
      </x:c>
      <x:c r="G243" s="324">
        <x:v>0</x:v>
      </x:c>
      <x:c r="H243" s="324">
        <x:v>0</x:v>
      </x:c>
      <x:c r="I243" s="324">
        <x:v>0</x:v>
      </x:c>
      <x:c r="J243" s="324">
        <x:v>0</x:v>
      </x:c>
      <x:c r="K243" s="324">
        <x:v>0</x:v>
      </x:c>
      <x:c r="L243" s="324">
        <x:v>0</x:v>
      </x:c>
      <x:c r="M243" s="324">
        <x:v>0</x:v>
      </x:c>
      <x:c r="N243" s="324">
        <x:v>0</x:v>
      </x:c>
      <x:c r="O243" s="324">
        <x:v>0</x:v>
      </x:c>
      <x:c r="P243" s="324">
        <x:v>0</x:v>
      </x:c>
      <x:c r="Q243" s="324">
        <x:v>0</x:v>
      </x:c>
      <x:c r="R243" s="324">
        <x:v>0</x:v>
      </x:c>
      <x:c r="S243" s="324">
        <x:v>0</x:v>
      </x:c>
      <x:c r="T243" s="324">
        <x:v>0</x:v>
      </x:c>
      <x:c r="U243" s="324">
        <x:v>0</x:v>
      </x:c>
      <x:c r="V243" s="324">
        <x:v>0</x:v>
      </x:c>
      <x:c r="W243" s="324">
        <x:v>0</x:v>
      </x:c>
      <x:c r="X243" s="324">
        <x:v>0</x:v>
      </x:c>
      <x:c r="Y243" s="324">
        <x:v>0</x:v>
      </x:c>
      <x:c r="Z243" s="257">
        <x:f t="shared" si="8"/>
        <x:v>0</x:v>
      </x:c>
    </x:row>
    <x:row r="244">
      <x:c r="A244" s="148" t="s">
        <x:v>107</x:v>
      </x:c>
      <x:c r="B244">
        <x:v>7</x:v>
      </x:c>
      <x:c r="C244" s="148" t="s">
        <x:v>116</x:v>
      </x:c>
      <x:c r="D244">
        <x:v>707</x:v>
      </x:c>
      <x:c r="E244" s="324">
        <x:v>0</x:v>
      </x:c>
      <x:c r="F244" s="324">
        <x:v>0</x:v>
      </x:c>
      <x:c r="G244" s="324">
        <x:v>0</x:v>
      </x:c>
      <x:c r="H244" s="324">
        <x:v>0</x:v>
      </x:c>
      <x:c r="I244" s="324">
        <x:v>0</x:v>
      </x:c>
      <x:c r="J244" s="324">
        <x:v>0</x:v>
      </x:c>
      <x:c r="K244" s="324">
        <x:v>0</x:v>
      </x:c>
      <x:c r="L244" s="324">
        <x:v>0</x:v>
      </x:c>
      <x:c r="M244" s="324">
        <x:v>0</x:v>
      </x:c>
      <x:c r="N244" s="324">
        <x:v>0</x:v>
      </x:c>
      <x:c r="O244" s="324">
        <x:v>0</x:v>
      </x:c>
      <x:c r="P244" s="324">
        <x:v>0</x:v>
      </x:c>
      <x:c r="Q244" s="324">
        <x:v>0</x:v>
      </x:c>
      <x:c r="R244" s="324">
        <x:v>0</x:v>
      </x:c>
      <x:c r="S244" s="324">
        <x:v>0</x:v>
      </x:c>
      <x:c r="T244" s="324">
        <x:v>0</x:v>
      </x:c>
      <x:c r="U244" s="324">
        <x:v>0</x:v>
      </x:c>
      <x:c r="V244" s="324">
        <x:v>0</x:v>
      </x:c>
      <x:c r="W244" s="324">
        <x:v>0</x:v>
      </x:c>
      <x:c r="X244" s="324">
        <x:v>0</x:v>
      </x:c>
      <x:c r="Y244" s="324">
        <x:v>0</x:v>
      </x:c>
      <x:c r="Z244" s="257">
        <x:f t="shared" si="8"/>
        <x:v>0</x:v>
      </x:c>
    </x:row>
    <x:row r="245">
      <x:c r="A245" s="148" t="s">
        <x:v>107</x:v>
      </x:c>
      <x:c r="B245">
        <x:v>7</x:v>
      </x:c>
      <x:c r="C245" s="148" t="s">
        <x:v>116</x:v>
      </x:c>
      <x:c r="D245">
        <x:v>708</x:v>
      </x:c>
      <x:c r="E245" s="324">
        <x:v>0</x:v>
      </x:c>
      <x:c r="F245" s="324">
        <x:v>0</x:v>
      </x:c>
      <x:c r="G245" s="324">
        <x:v>0</x:v>
      </x:c>
      <x:c r="H245" s="324">
        <x:v>0</x:v>
      </x:c>
      <x:c r="I245" s="324">
        <x:v>0</x:v>
      </x:c>
      <x:c r="J245" s="324">
        <x:v>0</x:v>
      </x:c>
      <x:c r="K245" s="324">
        <x:v>0</x:v>
      </x:c>
      <x:c r="L245" s="324">
        <x:v>0</x:v>
      </x:c>
      <x:c r="M245" s="324">
        <x:v>0</x:v>
      </x:c>
      <x:c r="N245" s="324">
        <x:v>0</x:v>
      </x:c>
      <x:c r="O245" s="324">
        <x:v>0</x:v>
      </x:c>
      <x:c r="P245" s="324">
        <x:v>0</x:v>
      </x:c>
      <x:c r="Q245" s="324">
        <x:v>0</x:v>
      </x:c>
      <x:c r="R245" s="324">
        <x:v>0</x:v>
      </x:c>
      <x:c r="S245" s="324">
        <x:v>0</x:v>
      </x:c>
      <x:c r="T245" s="324">
        <x:v>0</x:v>
      </x:c>
      <x:c r="U245" s="324">
        <x:v>0</x:v>
      </x:c>
      <x:c r="V245" s="324">
        <x:v>0</x:v>
      </x:c>
      <x:c r="W245" s="324">
        <x:v>0</x:v>
      </x:c>
      <x:c r="X245" s="324">
        <x:v>0</x:v>
      </x:c>
      <x:c r="Y245" s="324">
        <x:v>0</x:v>
      </x:c>
      <x:c r="Z245" s="257">
        <x:f t="shared" si="8"/>
        <x:v>0</x:v>
      </x:c>
    </x:row>
    <x:row r="246">
      <x:c r="A246" s="148" t="s">
        <x:v>107</x:v>
      </x:c>
      <x:c r="B246">
        <x:v>7</x:v>
      </x:c>
      <x:c r="C246" s="148" t="s">
        <x:v>116</x:v>
      </x:c>
      <x:c r="D246">
        <x:v>709</x:v>
      </x:c>
      <x:c r="E246" s="324">
        <x:v>0</x:v>
      </x:c>
      <x:c r="F246" s="324">
        <x:v>0</x:v>
      </x:c>
      <x:c r="G246" s="324">
        <x:v>0</x:v>
      </x:c>
      <x:c r="H246" s="324">
        <x:v>0</x:v>
      </x:c>
      <x:c r="I246" s="324">
        <x:v>0</x:v>
      </x:c>
      <x:c r="J246" s="324">
        <x:v>0</x:v>
      </x:c>
      <x:c r="K246" s="324">
        <x:v>0</x:v>
      </x:c>
      <x:c r="L246" s="324">
        <x:v>0</x:v>
      </x:c>
      <x:c r="M246" s="324">
        <x:v>0</x:v>
      </x:c>
      <x:c r="N246" s="324">
        <x:v>0</x:v>
      </x:c>
      <x:c r="O246" s="324">
        <x:v>0</x:v>
      </x:c>
      <x:c r="P246" s="324">
        <x:v>0</x:v>
      </x:c>
      <x:c r="Q246" s="324">
        <x:v>0</x:v>
      </x:c>
      <x:c r="R246" s="324">
        <x:v>0</x:v>
      </x:c>
      <x:c r="S246" s="324">
        <x:v>0</x:v>
      </x:c>
      <x:c r="T246" s="324">
        <x:v>0</x:v>
      </x:c>
      <x:c r="U246" s="324">
        <x:v>0</x:v>
      </x:c>
      <x:c r="V246" s="324">
        <x:v>0</x:v>
      </x:c>
      <x:c r="W246" s="324">
        <x:v>0</x:v>
      </x:c>
      <x:c r="X246" s="324">
        <x:v>0</x:v>
      </x:c>
      <x:c r="Y246" s="324">
        <x:v>0</x:v>
      </x:c>
      <x:c r="Z246" s="257">
        <x:f t="shared" si="8"/>
        <x:v>0</x:v>
      </x:c>
    </x:row>
    <x:row r="247">
      <x:c r="A247" s="148" t="s">
        <x:v>107</x:v>
      </x:c>
      <x:c r="B247">
        <x:v>7</x:v>
      </x:c>
      <x:c r="C247" s="148" t="s">
        <x:v>116</x:v>
      </x:c>
      <x:c r="D247">
        <x:v>710</x:v>
      </x:c>
      <x:c r="E247" s="324">
        <x:v>0</x:v>
      </x:c>
      <x:c r="F247" s="324">
        <x:v>0</x:v>
      </x:c>
      <x:c r="G247" s="324">
        <x:v>0</x:v>
      </x:c>
      <x:c r="H247" s="324">
        <x:v>0</x:v>
      </x:c>
      <x:c r="I247" s="324">
        <x:v>0</x:v>
      </x:c>
      <x:c r="J247" s="324">
        <x:v>0</x:v>
      </x:c>
      <x:c r="K247" s="324">
        <x:v>0</x:v>
      </x:c>
      <x:c r="L247" s="324">
        <x:v>0</x:v>
      </x:c>
      <x:c r="M247" s="324">
        <x:v>0</x:v>
      </x:c>
      <x:c r="N247" s="324">
        <x:v>0</x:v>
      </x:c>
      <x:c r="O247" s="324">
        <x:v>0</x:v>
      </x:c>
      <x:c r="P247" s="324">
        <x:v>0</x:v>
      </x:c>
      <x:c r="Q247" s="324">
        <x:v>0</x:v>
      </x:c>
      <x:c r="R247" s="324">
        <x:v>0</x:v>
      </x:c>
      <x:c r="S247" s="324">
        <x:v>0</x:v>
      </x:c>
      <x:c r="T247" s="324">
        <x:v>0</x:v>
      </x:c>
      <x:c r="U247" s="324">
        <x:v>0</x:v>
      </x:c>
      <x:c r="V247" s="324">
        <x:v>0</x:v>
      </x:c>
      <x:c r="W247" s="324">
        <x:v>0</x:v>
      </x:c>
      <x:c r="X247" s="324">
        <x:v>0</x:v>
      </x:c>
      <x:c r="Y247" s="324">
        <x:v>0</x:v>
      </x:c>
      <x:c r="Z247" s="257">
        <x:f t="shared" si="8"/>
        <x:v>0</x:v>
      </x:c>
    </x:row>
    <x:row r="248">
      <x:c r="A248" s="148" t="s">
        <x:v>107</x:v>
      </x:c>
      <x:c r="B248">
        <x:v>7</x:v>
      </x:c>
      <x:c r="C248" s="148" t="s">
        <x:v>116</x:v>
      </x:c>
      <x:c r="D248">
        <x:v>711</x:v>
      </x:c>
      <x:c r="E248" s="324">
        <x:v>0</x:v>
      </x:c>
      <x:c r="F248" s="324">
        <x:v>0</x:v>
      </x:c>
      <x:c r="G248" s="324">
        <x:v>0</x:v>
      </x:c>
      <x:c r="H248" s="324">
        <x:v>0</x:v>
      </x:c>
      <x:c r="I248" s="324">
        <x:v>0</x:v>
      </x:c>
      <x:c r="J248" s="324">
        <x:v>0</x:v>
      </x:c>
      <x:c r="K248" s="324">
        <x:v>0</x:v>
      </x:c>
      <x:c r="L248" s="324">
        <x:v>0</x:v>
      </x:c>
      <x:c r="M248" s="324">
        <x:v>0</x:v>
      </x:c>
      <x:c r="N248" s="324">
        <x:v>0</x:v>
      </x:c>
      <x:c r="O248" s="324">
        <x:v>0</x:v>
      </x:c>
      <x:c r="P248" s="324">
        <x:v>0</x:v>
      </x:c>
      <x:c r="Q248" s="324">
        <x:v>0</x:v>
      </x:c>
      <x:c r="R248" s="324">
        <x:v>0</x:v>
      </x:c>
      <x:c r="S248" s="324">
        <x:v>0</x:v>
      </x:c>
      <x:c r="T248" s="324">
        <x:v>0</x:v>
      </x:c>
      <x:c r="U248" s="324">
        <x:v>0</x:v>
      </x:c>
      <x:c r="V248" s="324">
        <x:v>0</x:v>
      </x:c>
      <x:c r="W248" s="324">
        <x:v>0</x:v>
      </x:c>
      <x:c r="X248" s="324">
        <x:v>0</x:v>
      </x:c>
      <x:c r="Y248" s="324">
        <x:v>0</x:v>
      </x:c>
      <x:c r="Z248" s="257">
        <x:f t="shared" si="8"/>
        <x:v>0</x:v>
      </x:c>
    </x:row>
    <x:row r="249">
      <x:c r="A249" s="148" t="s">
        <x:v>107</x:v>
      </x:c>
      <x:c r="B249">
        <x:v>7</x:v>
      </x:c>
      <x:c r="C249" s="148" t="s">
        <x:v>116</x:v>
      </x:c>
      <x:c r="D249">
        <x:v>712</x:v>
      </x:c>
      <x:c r="E249" s="324">
        <x:v>0</x:v>
      </x:c>
      <x:c r="F249" s="324">
        <x:v>0</x:v>
      </x:c>
      <x:c r="G249" s="324">
        <x:v>0</x:v>
      </x:c>
      <x:c r="H249" s="324">
        <x:v>0</x:v>
      </x:c>
      <x:c r="I249" s="324">
        <x:v>0</x:v>
      </x:c>
      <x:c r="J249" s="324">
        <x:v>0</x:v>
      </x:c>
      <x:c r="K249" s="324">
        <x:v>0</x:v>
      </x:c>
      <x:c r="L249" s="324">
        <x:v>0</x:v>
      </x:c>
      <x:c r="M249" s="324">
        <x:v>0</x:v>
      </x:c>
      <x:c r="N249" s="324">
        <x:v>0</x:v>
      </x:c>
      <x:c r="O249" s="324">
        <x:v>0</x:v>
      </x:c>
      <x:c r="P249" s="324">
        <x:v>0</x:v>
      </x:c>
      <x:c r="Q249" s="324">
        <x:v>0</x:v>
      </x:c>
      <x:c r="R249" s="324">
        <x:v>0</x:v>
      </x:c>
      <x:c r="S249" s="324">
        <x:v>0</x:v>
      </x:c>
      <x:c r="T249" s="324">
        <x:v>0</x:v>
      </x:c>
      <x:c r="U249" s="324">
        <x:v>0</x:v>
      </x:c>
      <x:c r="V249" s="324">
        <x:v>0</x:v>
      </x:c>
      <x:c r="W249" s="324">
        <x:v>0</x:v>
      </x:c>
      <x:c r="X249" s="324">
        <x:v>0</x:v>
      </x:c>
      <x:c r="Y249" s="324">
        <x:v>0</x:v>
      </x:c>
      <x:c r="Z249" s="257">
        <x:f t="shared" si="8"/>
        <x:v>0</x:v>
      </x:c>
    </x:row>
    <x:row r="250">
      <x:c r="A250" s="148" t="s">
        <x:v>107</x:v>
      </x:c>
      <x:c r="B250">
        <x:v>7</x:v>
      </x:c>
      <x:c r="C250" s="148" t="s">
        <x:v>116</x:v>
      </x:c>
      <x:c r="D250">
        <x:v>713</x:v>
      </x:c>
      <x:c r="E250" s="324">
        <x:v>0</x:v>
      </x:c>
      <x:c r="F250" s="324">
        <x:v>0</x:v>
      </x:c>
      <x:c r="G250" s="324">
        <x:v>0</x:v>
      </x:c>
      <x:c r="H250" s="324">
        <x:v>0</x:v>
      </x:c>
      <x:c r="I250" s="324">
        <x:v>0</x:v>
      </x:c>
      <x:c r="J250" s="324">
        <x:v>0</x:v>
      </x:c>
      <x:c r="K250" s="324">
        <x:v>0</x:v>
      </x:c>
      <x:c r="L250" s="324">
        <x:v>0</x:v>
      </x:c>
      <x:c r="M250" s="324">
        <x:v>0</x:v>
      </x:c>
      <x:c r="N250" s="324">
        <x:v>0</x:v>
      </x:c>
      <x:c r="O250" s="324">
        <x:v>0</x:v>
      </x:c>
      <x:c r="P250" s="324">
        <x:v>0</x:v>
      </x:c>
      <x:c r="Q250" s="324">
        <x:v>0</x:v>
      </x:c>
      <x:c r="R250" s="324">
        <x:v>0</x:v>
      </x:c>
      <x:c r="S250" s="324">
        <x:v>0</x:v>
      </x:c>
      <x:c r="T250" s="324">
        <x:v>0</x:v>
      </x:c>
      <x:c r="U250" s="324">
        <x:v>0</x:v>
      </x:c>
      <x:c r="V250" s="324">
        <x:v>0</x:v>
      </x:c>
      <x:c r="W250" s="324">
        <x:v>0</x:v>
      </x:c>
      <x:c r="X250" s="324">
        <x:v>0</x:v>
      </x:c>
      <x:c r="Y250" s="324">
        <x:v>0</x:v>
      </x:c>
      <x:c r="Z250" s="257">
        <x:f t="shared" si="8"/>
        <x:v>0</x:v>
      </x:c>
    </x:row>
    <x:row r="251">
      <x:c r="A251" s="148" t="s">
        <x:v>107</x:v>
      </x:c>
      <x:c r="B251">
        <x:v>7</x:v>
      </x:c>
      <x:c r="C251" s="148" t="s">
        <x:v>116</x:v>
      </x:c>
      <x:c r="D251">
        <x:v>714</x:v>
      </x:c>
      <x:c r="E251" s="324">
        <x:v>0</x:v>
      </x:c>
      <x:c r="F251" s="324">
        <x:v>0</x:v>
      </x:c>
      <x:c r="G251" s="324">
        <x:v>0</x:v>
      </x:c>
      <x:c r="H251" s="324">
        <x:v>0</x:v>
      </x:c>
      <x:c r="I251" s="324">
        <x:v>0</x:v>
      </x:c>
      <x:c r="J251" s="324">
        <x:v>0</x:v>
      </x:c>
      <x:c r="K251" s="324">
        <x:v>0</x:v>
      </x:c>
      <x:c r="L251" s="324">
        <x:v>0</x:v>
      </x:c>
      <x:c r="M251" s="324">
        <x:v>0</x:v>
      </x:c>
      <x:c r="N251" s="324">
        <x:v>0</x:v>
      </x:c>
      <x:c r="O251" s="324">
        <x:v>0</x:v>
      </x:c>
      <x:c r="P251" s="324">
        <x:v>0</x:v>
      </x:c>
      <x:c r="Q251" s="324">
        <x:v>0</x:v>
      </x:c>
      <x:c r="R251" s="324">
        <x:v>0</x:v>
      </x:c>
      <x:c r="S251" s="324">
        <x:v>0</x:v>
      </x:c>
      <x:c r="T251" s="324">
        <x:v>0</x:v>
      </x:c>
      <x:c r="U251" s="324">
        <x:v>0</x:v>
      </x:c>
      <x:c r="V251" s="324">
        <x:v>0</x:v>
      </x:c>
      <x:c r="W251" s="324">
        <x:v>0</x:v>
      </x:c>
      <x:c r="X251" s="324">
        <x:v>0</x:v>
      </x:c>
      <x:c r="Y251" s="324">
        <x:v>0</x:v>
      </x:c>
      <x:c r="Z251" s="257">
        <x:f t="shared" si="8"/>
        <x:v>0</x:v>
      </x:c>
    </x:row>
    <x:row r="252">
      <x:c r="A252" s="148" t="s">
        <x:v>107</x:v>
      </x:c>
      <x:c r="B252">
        <x:v>7</x:v>
      </x:c>
      <x:c r="C252" s="148" t="s">
        <x:v>116</x:v>
      </x:c>
      <x:c r="D252">
        <x:v>715</x:v>
      </x:c>
      <x:c r="E252" s="324">
        <x:v>0</x:v>
      </x:c>
      <x:c r="F252" s="324">
        <x:v>0</x:v>
      </x:c>
      <x:c r="G252" s="324">
        <x:v>0</x:v>
      </x:c>
      <x:c r="H252" s="324">
        <x:v>0</x:v>
      </x:c>
      <x:c r="I252" s="324">
        <x:v>0</x:v>
      </x:c>
      <x:c r="J252" s="324">
        <x:v>0</x:v>
      </x:c>
      <x:c r="K252" s="324">
        <x:v>0</x:v>
      </x:c>
      <x:c r="L252" s="324">
        <x:v>0</x:v>
      </x:c>
      <x:c r="M252" s="324">
        <x:v>0</x:v>
      </x:c>
      <x:c r="N252" s="324">
        <x:v>0</x:v>
      </x:c>
      <x:c r="O252" s="324">
        <x:v>0</x:v>
      </x:c>
      <x:c r="P252" s="324">
        <x:v>0</x:v>
      </x:c>
      <x:c r="Q252" s="324">
        <x:v>0</x:v>
      </x:c>
      <x:c r="R252" s="324">
        <x:v>0</x:v>
      </x:c>
      <x:c r="S252" s="324">
        <x:v>0</x:v>
      </x:c>
      <x:c r="T252" s="324">
        <x:v>0</x:v>
      </x:c>
      <x:c r="U252" s="324">
        <x:v>0</x:v>
      </x:c>
      <x:c r="V252" s="324">
        <x:v>0</x:v>
      </x:c>
      <x:c r="W252" s="324">
        <x:v>0</x:v>
      </x:c>
      <x:c r="X252" s="324">
        <x:v>0</x:v>
      </x:c>
      <x:c r="Y252" s="324">
        <x:v>0</x:v>
      </x:c>
      <x:c r="Z252" s="257">
        <x:f t="shared" si="8"/>
        <x:v>0</x:v>
      </x:c>
    </x:row>
    <x:row r="253">
      <x:c r="A253" s="148" t="s">
        <x:v>107</x:v>
      </x:c>
      <x:c r="B253">
        <x:v>7</x:v>
      </x:c>
      <x:c r="C253" s="148" t="s">
        <x:v>116</x:v>
      </x:c>
      <x:c r="D253">
        <x:v>716</x:v>
      </x:c>
      <x:c r="E253" s="324">
        <x:v>0</x:v>
      </x:c>
      <x:c r="F253" s="324">
        <x:v>0</x:v>
      </x:c>
      <x:c r="G253" s="324">
        <x:v>0</x:v>
      </x:c>
      <x:c r="H253" s="324">
        <x:v>0</x:v>
      </x:c>
      <x:c r="I253" s="324">
        <x:v>0</x:v>
      </x:c>
      <x:c r="J253" s="324">
        <x:v>0</x:v>
      </x:c>
      <x:c r="K253" s="324">
        <x:v>0</x:v>
      </x:c>
      <x:c r="L253" s="324">
        <x:v>0</x:v>
      </x:c>
      <x:c r="M253" s="324">
        <x:v>0</x:v>
      </x:c>
      <x:c r="N253" s="324">
        <x:v>0</x:v>
      </x:c>
      <x:c r="O253" s="324">
        <x:v>0</x:v>
      </x:c>
      <x:c r="P253" s="324">
        <x:v>0</x:v>
      </x:c>
      <x:c r="Q253" s="324">
        <x:v>0</x:v>
      </x:c>
      <x:c r="R253" s="324">
        <x:v>0</x:v>
      </x:c>
      <x:c r="S253" s="324">
        <x:v>0</x:v>
      </x:c>
      <x:c r="T253" s="324">
        <x:v>0</x:v>
      </x:c>
      <x:c r="U253" s="324">
        <x:v>0</x:v>
      </x:c>
      <x:c r="V253" s="324">
        <x:v>0</x:v>
      </x:c>
      <x:c r="W253" s="324">
        <x:v>0</x:v>
      </x:c>
      <x:c r="X253" s="324">
        <x:v>0</x:v>
      </x:c>
      <x:c r="Y253" s="324">
        <x:v>0</x:v>
      </x:c>
      <x:c r="Z253" s="257">
        <x:f t="shared" si="8"/>
        <x:v>0</x:v>
      </x:c>
    </x:row>
    <x:row r="254">
      <x:c r="A254" s="148" t="s">
        <x:v>107</x:v>
      </x:c>
      <x:c r="B254">
        <x:v>7</x:v>
      </x:c>
      <x:c r="C254" s="148" t="s">
        <x:v>116</x:v>
      </x:c>
      <x:c r="D254">
        <x:v>717</x:v>
      </x:c>
      <x:c r="E254" s="324">
        <x:v>0</x:v>
      </x:c>
      <x:c r="F254" s="324">
        <x:v>0</x:v>
      </x:c>
      <x:c r="G254" s="324">
        <x:v>0</x:v>
      </x:c>
      <x:c r="H254" s="324">
        <x:v>0</x:v>
      </x:c>
      <x:c r="I254" s="324">
        <x:v>0</x:v>
      </x:c>
      <x:c r="J254" s="324">
        <x:v>0</x:v>
      </x:c>
      <x:c r="K254" s="324">
        <x:v>0</x:v>
      </x:c>
      <x:c r="L254" s="324">
        <x:v>0</x:v>
      </x:c>
      <x:c r="M254" s="324">
        <x:v>0</x:v>
      </x:c>
      <x:c r="N254" s="324">
        <x:v>0</x:v>
      </x:c>
      <x:c r="O254" s="324">
        <x:v>0</x:v>
      </x:c>
      <x:c r="P254" s="324">
        <x:v>0</x:v>
      </x:c>
      <x:c r="Q254" s="324">
        <x:v>0</x:v>
      </x:c>
      <x:c r="R254" s="324">
        <x:v>0</x:v>
      </x:c>
      <x:c r="S254" s="324">
        <x:v>0</x:v>
      </x:c>
      <x:c r="T254" s="324">
        <x:v>0</x:v>
      </x:c>
      <x:c r="U254" s="324">
        <x:v>0</x:v>
      </x:c>
      <x:c r="V254" s="324">
        <x:v>0</x:v>
      </x:c>
      <x:c r="W254" s="324">
        <x:v>0</x:v>
      </x:c>
      <x:c r="X254" s="324">
        <x:v>0</x:v>
      </x:c>
      <x:c r="Y254" s="324">
        <x:v>0</x:v>
      </x:c>
      <x:c r="Z254" s="257">
        <x:f t="shared" si="8"/>
        <x:v>0</x:v>
      </x:c>
    </x:row>
    <x:row r="255">
      <x:c r="A255" s="148" t="s">
        <x:v>107</x:v>
      </x:c>
      <x:c r="B255">
        <x:v>7</x:v>
      </x:c>
      <x:c r="C255" s="148" t="s">
        <x:v>116</x:v>
      </x:c>
      <x:c r="D255">
        <x:v>718</x:v>
      </x:c>
      <x:c r="E255" s="324">
        <x:v>0</x:v>
      </x:c>
      <x:c r="F255" s="324">
        <x:v>0</x:v>
      </x:c>
      <x:c r="G255" s="324">
        <x:v>0</x:v>
      </x:c>
      <x:c r="H255" s="324">
        <x:v>0</x:v>
      </x:c>
      <x:c r="I255" s="324">
        <x:v>0</x:v>
      </x:c>
      <x:c r="J255" s="324">
        <x:v>0</x:v>
      </x:c>
      <x:c r="K255" s="324">
        <x:v>0</x:v>
      </x:c>
      <x:c r="L255" s="324">
        <x:v>0</x:v>
      </x:c>
      <x:c r="M255" s="324">
        <x:v>0</x:v>
      </x:c>
      <x:c r="N255" s="324">
        <x:v>0</x:v>
      </x:c>
      <x:c r="O255" s="324">
        <x:v>0</x:v>
      </x:c>
      <x:c r="P255" s="324">
        <x:v>0</x:v>
      </x:c>
      <x:c r="Q255" s="324">
        <x:v>0</x:v>
      </x:c>
      <x:c r="R255" s="324">
        <x:v>0</x:v>
      </x:c>
      <x:c r="S255" s="324">
        <x:v>0</x:v>
      </x:c>
      <x:c r="T255" s="324">
        <x:v>0</x:v>
      </x:c>
      <x:c r="U255" s="324">
        <x:v>0</x:v>
      </x:c>
      <x:c r="V255" s="324">
        <x:v>0</x:v>
      </x:c>
      <x:c r="W255" s="324">
        <x:v>0</x:v>
      </x:c>
      <x:c r="X255" s="324">
        <x:v>0</x:v>
      </x:c>
      <x:c r="Y255" s="324">
        <x:v>0</x:v>
      </x:c>
      <x:c r="Z255" s="257">
        <x:f t="shared" si="8"/>
        <x:v>0</x:v>
      </x:c>
    </x:row>
    <x:row r="256">
      <x:c r="A256" s="148" t="s">
        <x:v>107</x:v>
      </x:c>
      <x:c r="B256">
        <x:v>7</x:v>
      </x:c>
      <x:c r="C256" s="148" t="s">
        <x:v>116</x:v>
      </x:c>
      <x:c r="D256">
        <x:v>719</x:v>
      </x:c>
      <x:c r="E256" s="324">
        <x:v>0</x:v>
      </x:c>
      <x:c r="F256" s="324">
        <x:v>0</x:v>
      </x:c>
      <x:c r="G256" s="324">
        <x:v>0</x:v>
      </x:c>
      <x:c r="H256" s="324">
        <x:v>0</x:v>
      </x:c>
      <x:c r="I256" s="324">
        <x:v>0</x:v>
      </x:c>
      <x:c r="J256" s="324">
        <x:v>0</x:v>
      </x:c>
      <x:c r="K256" s="324">
        <x:v>0</x:v>
      </x:c>
      <x:c r="L256" s="324">
        <x:v>0</x:v>
      </x:c>
      <x:c r="M256" s="324">
        <x:v>0</x:v>
      </x:c>
      <x:c r="N256" s="324">
        <x:v>0</x:v>
      </x:c>
      <x:c r="O256" s="324">
        <x:v>0</x:v>
      </x:c>
      <x:c r="P256" s="324">
        <x:v>0</x:v>
      </x:c>
      <x:c r="Q256" s="324">
        <x:v>0</x:v>
      </x:c>
      <x:c r="R256" s="324">
        <x:v>0</x:v>
      </x:c>
      <x:c r="S256" s="324">
        <x:v>0</x:v>
      </x:c>
      <x:c r="T256" s="324">
        <x:v>0</x:v>
      </x:c>
      <x:c r="U256" s="324">
        <x:v>0</x:v>
      </x:c>
      <x:c r="V256" s="324">
        <x:v>0</x:v>
      </x:c>
      <x:c r="W256" s="324">
        <x:v>0</x:v>
      </x:c>
      <x:c r="X256" s="324">
        <x:v>0</x:v>
      </x:c>
      <x:c r="Y256" s="324">
        <x:v>0</x:v>
      </x:c>
      <x:c r="Z256" s="257">
        <x:f t="shared" si="8"/>
        <x:v>0</x:v>
      </x:c>
    </x:row>
    <x:row r="257">
      <x:c r="A257" s="148" t="s">
        <x:v>107</x:v>
      </x:c>
      <x:c r="B257">
        <x:v>7</x:v>
      </x:c>
      <x:c r="C257" s="148" t="s">
        <x:v>116</x:v>
      </x:c>
      <x:c r="D257">
        <x:v>720</x:v>
      </x:c>
      <x:c r="E257" s="324">
        <x:v>0</x:v>
      </x:c>
      <x:c r="F257" s="324">
        <x:v>0</x:v>
      </x:c>
      <x:c r="G257" s="324">
        <x:v>0</x:v>
      </x:c>
      <x:c r="H257" s="324">
        <x:v>0</x:v>
      </x:c>
      <x:c r="I257" s="324">
        <x:v>0</x:v>
      </x:c>
      <x:c r="J257" s="324">
        <x:v>0</x:v>
      </x:c>
      <x:c r="K257" s="324">
        <x:v>0</x:v>
      </x:c>
      <x:c r="L257" s="324">
        <x:v>0</x:v>
      </x:c>
      <x:c r="M257" s="324">
        <x:v>0</x:v>
      </x:c>
      <x:c r="N257" s="324">
        <x:v>0</x:v>
      </x:c>
      <x:c r="O257" s="324">
        <x:v>0</x:v>
      </x:c>
      <x:c r="P257" s="324">
        <x:v>0</x:v>
      </x:c>
      <x:c r="Q257" s="324">
        <x:v>0</x:v>
      </x:c>
      <x:c r="R257" s="324">
        <x:v>0</x:v>
      </x:c>
      <x:c r="S257" s="324">
        <x:v>0</x:v>
      </x:c>
      <x:c r="T257" s="324">
        <x:v>0</x:v>
      </x:c>
      <x:c r="U257" s="324">
        <x:v>0</x:v>
      </x:c>
      <x:c r="V257" s="324">
        <x:v>0</x:v>
      </x:c>
      <x:c r="W257" s="324">
        <x:v>0</x:v>
      </x:c>
      <x:c r="X257" s="324">
        <x:v>0</x:v>
      </x:c>
      <x:c r="Y257" s="324">
        <x:v>0</x:v>
      </x:c>
      <x:c r="Z257" s="257">
        <x:f t="shared" si="8"/>
        <x:v>0</x:v>
      </x:c>
    </x:row>
    <x:row r="258">
      <x:c r="A258" s="148" t="s">
        <x:v>107</x:v>
      </x:c>
      <x:c r="B258">
        <x:v>7</x:v>
      </x:c>
      <x:c r="C258" s="148" t="s">
        <x:v>116</x:v>
      </x:c>
      <x:c r="D258">
        <x:v>721</x:v>
      </x:c>
      <x:c r="E258" s="324">
        <x:v>0</x:v>
      </x:c>
      <x:c r="F258" s="324">
        <x:v>0</x:v>
      </x:c>
      <x:c r="G258" s="324">
        <x:v>0</x:v>
      </x:c>
      <x:c r="H258" s="324">
        <x:v>0</x:v>
      </x:c>
      <x:c r="I258" s="324">
        <x:v>0</x:v>
      </x:c>
      <x:c r="J258" s="324">
        <x:v>0</x:v>
      </x:c>
      <x:c r="K258" s="324">
        <x:v>0</x:v>
      </x:c>
      <x:c r="L258" s="324">
        <x:v>0</x:v>
      </x:c>
      <x:c r="M258" s="324">
        <x:v>0</x:v>
      </x:c>
      <x:c r="N258" s="324">
        <x:v>0</x:v>
      </x:c>
      <x:c r="O258" s="324">
        <x:v>0</x:v>
      </x:c>
      <x:c r="P258" s="324">
        <x:v>0</x:v>
      </x:c>
      <x:c r="Q258" s="324">
        <x:v>0</x:v>
      </x:c>
      <x:c r="R258" s="324">
        <x:v>0</x:v>
      </x:c>
      <x:c r="S258" s="324">
        <x:v>0</x:v>
      </x:c>
      <x:c r="T258" s="324">
        <x:v>0</x:v>
      </x:c>
      <x:c r="U258" s="324">
        <x:v>0</x:v>
      </x:c>
      <x:c r="V258" s="324">
        <x:v>0</x:v>
      </x:c>
      <x:c r="W258" s="324">
        <x:v>0</x:v>
      </x:c>
      <x:c r="X258" s="324">
        <x:v>0</x:v>
      </x:c>
      <x:c r="Y258" s="324">
        <x:v>0</x:v>
      </x:c>
      <x:c r="Z258" s="257">
        <x:f t="shared" si="8"/>
        <x:v>0</x:v>
      </x:c>
    </x:row>
    <x:row r="259">
      <x:c r="A259" s="148" t="s">
        <x:v>107</x:v>
      </x:c>
      <x:c r="B259">
        <x:v>7</x:v>
      </x:c>
      <x:c r="C259" s="148" t="s">
        <x:v>116</x:v>
      </x:c>
      <x:c r="D259">
        <x:v>722</x:v>
      </x:c>
      <x:c r="E259" s="324">
        <x:v>0</x:v>
      </x:c>
      <x:c r="F259" s="324">
        <x:v>0</x:v>
      </x:c>
      <x:c r="G259" s="324">
        <x:v>0</x:v>
      </x:c>
      <x:c r="H259" s="324">
        <x:v>0</x:v>
      </x:c>
      <x:c r="I259" s="324">
        <x:v>0</x:v>
      </x:c>
      <x:c r="J259" s="324">
        <x:v>0</x:v>
      </x:c>
      <x:c r="K259" s="324">
        <x:v>0</x:v>
      </x:c>
      <x:c r="L259" s="324">
        <x:v>0</x:v>
      </x:c>
      <x:c r="M259" s="324">
        <x:v>0</x:v>
      </x:c>
      <x:c r="N259" s="324">
        <x:v>0</x:v>
      </x:c>
      <x:c r="O259" s="324">
        <x:v>0</x:v>
      </x:c>
      <x:c r="P259" s="324">
        <x:v>0</x:v>
      </x:c>
      <x:c r="Q259" s="324">
        <x:v>0</x:v>
      </x:c>
      <x:c r="R259" s="324">
        <x:v>0</x:v>
      </x:c>
      <x:c r="S259" s="324">
        <x:v>0</x:v>
      </x:c>
      <x:c r="T259" s="324">
        <x:v>0</x:v>
      </x:c>
      <x:c r="U259" s="324">
        <x:v>0</x:v>
      </x:c>
      <x:c r="V259" s="324">
        <x:v>0</x:v>
      </x:c>
      <x:c r="W259" s="324">
        <x:v>0</x:v>
      </x:c>
      <x:c r="X259" s="324">
        <x:v>0</x:v>
      </x:c>
      <x:c r="Y259" s="324">
        <x:v>0</x:v>
      </x:c>
      <x:c r="Z259" s="257" t="n">
        <x:f t="shared" ref="Z259:Z322" si="10">AVERAGE(E259:Y259)</x:f>
        <x:v>0</x:v>
      </x:c>
    </x:row>
    <x:row r="260">
      <x:c r="A260" s="148" t="s">
        <x:v>107</x:v>
      </x:c>
      <x:c r="B260">
        <x:v>7</x:v>
      </x:c>
      <x:c r="C260" s="148" t="s">
        <x:v>116</x:v>
      </x:c>
      <x:c r="D260">
        <x:v>723</x:v>
      </x:c>
      <x:c r="E260" s="324">
        <x:v>0</x:v>
      </x:c>
      <x:c r="F260" s="324">
        <x:v>0</x:v>
      </x:c>
      <x:c r="G260" s="324">
        <x:v>0</x:v>
      </x:c>
      <x:c r="H260" s="324">
        <x:v>0</x:v>
      </x:c>
      <x:c r="I260" s="324">
        <x:v>0</x:v>
      </x:c>
      <x:c r="J260" s="324">
        <x:v>0</x:v>
      </x:c>
      <x:c r="K260" s="324">
        <x:v>0</x:v>
      </x:c>
      <x:c r="L260" s="324">
        <x:v>0</x:v>
      </x:c>
      <x:c r="M260" s="324">
        <x:v>0</x:v>
      </x:c>
      <x:c r="N260" s="324">
        <x:v>0</x:v>
      </x:c>
      <x:c r="O260" s="324">
        <x:v>0</x:v>
      </x:c>
      <x:c r="P260" s="324">
        <x:v>0</x:v>
      </x:c>
      <x:c r="Q260" s="324">
        <x:v>0</x:v>
      </x:c>
      <x:c r="R260" s="324">
        <x:v>0</x:v>
      </x:c>
      <x:c r="S260" s="324">
        <x:v>0</x:v>
      </x:c>
      <x:c r="T260" s="324">
        <x:v>0</x:v>
      </x:c>
      <x:c r="U260" s="324">
        <x:v>0</x:v>
      </x:c>
      <x:c r="V260" s="324">
        <x:v>0</x:v>
      </x:c>
      <x:c r="W260" s="324">
        <x:v>0</x:v>
      </x:c>
      <x:c r="X260" s="324">
        <x:v>0</x:v>
      </x:c>
      <x:c r="Y260" s="324">
        <x:v>0</x:v>
      </x:c>
      <x:c r="Z260" s="257">
        <x:f t="shared" si="10"/>
        <x:v>0</x:v>
      </x:c>
    </x:row>
    <x:row r="261">
      <x:c r="A261" s="148" t="s">
        <x:v>107</x:v>
      </x:c>
      <x:c r="B261">
        <x:v>7</x:v>
      </x:c>
      <x:c r="C261" s="148" t="s">
        <x:v>115</x:v>
      </x:c>
      <x:c r="D261">
        <x:v>701</x:v>
      </x:c>
      <x:c r="E261" s="324">
        <x:v>0</x:v>
      </x:c>
      <x:c r="F261" s="324">
        <x:v>0</x:v>
      </x:c>
      <x:c r="G261" s="324">
        <x:v>0</x:v>
      </x:c>
      <x:c r="H261" s="324">
        <x:v>0</x:v>
      </x:c>
      <x:c r="I261" s="324">
        <x:v>0</x:v>
      </x:c>
      <x:c r="J261" s="324">
        <x:v>0</x:v>
      </x:c>
      <x:c r="K261" s="324">
        <x:v>0</x:v>
      </x:c>
      <x:c r="L261" s="324">
        <x:v>0</x:v>
      </x:c>
      <x:c r="M261" s="324">
        <x:v>0</x:v>
      </x:c>
      <x:c r="N261" s="324">
        <x:v>0</x:v>
      </x:c>
      <x:c r="O261" s="324">
        <x:v>0</x:v>
      </x:c>
      <x:c r="P261" s="324">
        <x:v>0</x:v>
      </x:c>
      <x:c r="Q261" s="324">
        <x:v>0</x:v>
      </x:c>
      <x:c r="R261" s="324">
        <x:v>0</x:v>
      </x:c>
      <x:c r="S261" s="324">
        <x:v>0</x:v>
      </x:c>
      <x:c r="T261" s="324">
        <x:v>0</x:v>
      </x:c>
      <x:c r="U261" s="324">
        <x:v>0</x:v>
      </x:c>
      <x:c r="V261" s="324">
        <x:v>0</x:v>
      </x:c>
      <x:c r="W261" s="324">
        <x:v>0</x:v>
      </x:c>
      <x:c r="X261" s="324">
        <x:v>0</x:v>
      </x:c>
      <x:c r="Y261" s="324">
        <x:v>0</x:v>
      </x:c>
      <x:c r="Z261" s="257">
        <x:f t="shared" si="10"/>
        <x:v>0</x:v>
      </x:c>
    </x:row>
    <x:row r="262">
      <x:c r="A262" s="148" t="s">
        <x:v>107</x:v>
      </x:c>
      <x:c r="B262">
        <x:v>7</x:v>
      </x:c>
      <x:c r="C262" s="148" t="s">
        <x:v>115</x:v>
      </x:c>
      <x:c r="D262">
        <x:v>701</x:v>
      </x:c>
      <x:c r="E262" s="324">
        <x:v>0</x:v>
      </x:c>
      <x:c r="F262" s="324">
        <x:v>0</x:v>
      </x:c>
      <x:c r="G262" s="324">
        <x:v>0</x:v>
      </x:c>
      <x:c r="H262" s="324">
        <x:v>0</x:v>
      </x:c>
      <x:c r="I262" s="324">
        <x:v>0</x:v>
      </x:c>
      <x:c r="J262" s="324">
        <x:v>0</x:v>
      </x:c>
      <x:c r="K262" s="324">
        <x:v>0</x:v>
      </x:c>
      <x:c r="L262" s="324">
        <x:v>0</x:v>
      </x:c>
      <x:c r="M262" s="324">
        <x:v>0</x:v>
      </x:c>
      <x:c r="N262" s="324">
        <x:v>0</x:v>
      </x:c>
      <x:c r="O262" s="324">
        <x:v>0</x:v>
      </x:c>
      <x:c r="P262" s="324">
        <x:v>0</x:v>
      </x:c>
      <x:c r="Q262" s="324">
        <x:v>0</x:v>
      </x:c>
      <x:c r="R262" s="324">
        <x:v>0</x:v>
      </x:c>
      <x:c r="S262" s="324">
        <x:v>0</x:v>
      </x:c>
      <x:c r="T262" s="324">
        <x:v>0</x:v>
      </x:c>
      <x:c r="U262" s="324">
        <x:v>0</x:v>
      </x:c>
      <x:c r="V262" s="324">
        <x:v>0</x:v>
      </x:c>
      <x:c r="W262" s="324">
        <x:v>0</x:v>
      </x:c>
      <x:c r="X262" s="324">
        <x:v>0</x:v>
      </x:c>
      <x:c r="Y262" s="324">
        <x:v>0</x:v>
      </x:c>
      <x:c r="Z262" s="257">
        <x:f t="shared" si="10"/>
        <x:v>0</x:v>
      </x:c>
    </x:row>
    <x:row r="263">
      <x:c r="A263" s="148" t="s">
        <x:v>107</x:v>
      </x:c>
      <x:c r="B263">
        <x:v>7</x:v>
      </x:c>
      <x:c r="C263" s="148" t="s">
        <x:v>115</x:v>
      </x:c>
      <x:c r="D263">
        <x:v>701</x:v>
      </x:c>
      <x:c r="E263" s="324">
        <x:v>0</x:v>
      </x:c>
      <x:c r="F263" s="324">
        <x:v>0</x:v>
      </x:c>
      <x:c r="G263" s="324">
        <x:v>0</x:v>
      </x:c>
      <x:c r="H263" s="324">
        <x:v>0</x:v>
      </x:c>
      <x:c r="I263" s="324">
        <x:v>0</x:v>
      </x:c>
      <x:c r="J263" s="324">
        <x:v>0</x:v>
      </x:c>
      <x:c r="K263" s="324">
        <x:v>0</x:v>
      </x:c>
      <x:c r="L263" s="324">
        <x:v>0</x:v>
      </x:c>
      <x:c r="M263" s="324">
        <x:v>0</x:v>
      </x:c>
      <x:c r="N263" s="324">
        <x:v>0</x:v>
      </x:c>
      <x:c r="O263" s="324">
        <x:v>0</x:v>
      </x:c>
      <x:c r="P263" s="324">
        <x:v>0</x:v>
      </x:c>
      <x:c r="Q263" s="324">
        <x:v>0</x:v>
      </x:c>
      <x:c r="R263" s="324">
        <x:v>0</x:v>
      </x:c>
      <x:c r="S263" s="324">
        <x:v>0</x:v>
      </x:c>
      <x:c r="T263" s="324">
        <x:v>0</x:v>
      </x:c>
      <x:c r="U263" s="324">
        <x:v>0</x:v>
      </x:c>
      <x:c r="V263" s="324">
        <x:v>0</x:v>
      </x:c>
      <x:c r="W263" s="324">
        <x:v>0</x:v>
      </x:c>
      <x:c r="X263" s="324">
        <x:v>0</x:v>
      </x:c>
      <x:c r="Y263" s="324">
        <x:v>0</x:v>
      </x:c>
      <x:c r="Z263" s="257">
        <x:f t="shared" si="10"/>
        <x:v>0</x:v>
      </x:c>
    </x:row>
    <x:row r="264">
      <x:c r="A264" s="148" t="s">
        <x:v>107</x:v>
      </x:c>
      <x:c r="B264">
        <x:v>7</x:v>
      </x:c>
      <x:c r="C264" s="148" t="s">
        <x:v>115</x:v>
      </x:c>
      <x:c r="D264">
        <x:v>701</x:v>
      </x:c>
      <x:c r="E264" s="324">
        <x:v>0</x:v>
      </x:c>
      <x:c r="F264" s="324">
        <x:v>0</x:v>
      </x:c>
      <x:c r="G264" s="324">
        <x:v>0</x:v>
      </x:c>
      <x:c r="H264" s="324">
        <x:v>0</x:v>
      </x:c>
      <x:c r="I264" s="324">
        <x:v>0</x:v>
      </x:c>
      <x:c r="J264" s="324">
        <x:v>0</x:v>
      </x:c>
      <x:c r="K264" s="324">
        <x:v>0</x:v>
      </x:c>
      <x:c r="L264" s="324">
        <x:v>0</x:v>
      </x:c>
      <x:c r="M264" s="324">
        <x:v>0</x:v>
      </x:c>
      <x:c r="N264" s="324">
        <x:v>0</x:v>
      </x:c>
      <x:c r="O264" s="324">
        <x:v>0</x:v>
      </x:c>
      <x:c r="P264" s="324">
        <x:v>0</x:v>
      </x:c>
      <x:c r="Q264" s="324">
        <x:v>0</x:v>
      </x:c>
      <x:c r="R264" s="324">
        <x:v>0</x:v>
      </x:c>
      <x:c r="S264" s="324">
        <x:v>0</x:v>
      </x:c>
      <x:c r="T264" s="324">
        <x:v>0</x:v>
      </x:c>
      <x:c r="U264" s="324">
        <x:v>0</x:v>
      </x:c>
      <x:c r="V264" s="324">
        <x:v>0</x:v>
      </x:c>
      <x:c r="W264" s="324">
        <x:v>0</x:v>
      </x:c>
      <x:c r="X264" s="324">
        <x:v>0</x:v>
      </x:c>
      <x:c r="Y264" s="324">
        <x:v>0</x:v>
      </x:c>
      <x:c r="Z264" s="257">
        <x:f t="shared" si="10"/>
        <x:v>0</x:v>
      </x:c>
    </x:row>
    <x:row r="265">
      <x:c r="A265" s="148" t="s">
        <x:v>107</x:v>
      </x:c>
      <x:c r="B265">
        <x:v>7</x:v>
      </x:c>
      <x:c r="C265" s="148" t="s">
        <x:v>115</x:v>
      </x:c>
      <x:c r="D265">
        <x:v>701</x:v>
      </x:c>
      <x:c r="E265" s="324">
        <x:v>0</x:v>
      </x:c>
      <x:c r="F265" s="324">
        <x:v>0</x:v>
      </x:c>
      <x:c r="G265" s="324">
        <x:v>0</x:v>
      </x:c>
      <x:c r="H265" s="324">
        <x:v>0</x:v>
      </x:c>
      <x:c r="I265" s="324">
        <x:v>0</x:v>
      </x:c>
      <x:c r="J265" s="324">
        <x:v>0</x:v>
      </x:c>
      <x:c r="K265" s="324">
        <x:v>0</x:v>
      </x:c>
      <x:c r="L265" s="324">
        <x:v>0</x:v>
      </x:c>
      <x:c r="M265" s="324">
        <x:v>0</x:v>
      </x:c>
      <x:c r="N265" s="324">
        <x:v>0</x:v>
      </x:c>
      <x:c r="O265" s="324">
        <x:v>0</x:v>
      </x:c>
      <x:c r="P265" s="324">
        <x:v>0</x:v>
      </x:c>
      <x:c r="Q265" s="324">
        <x:v>0</x:v>
      </x:c>
      <x:c r="R265" s="324">
        <x:v>0</x:v>
      </x:c>
      <x:c r="S265" s="324">
        <x:v>0</x:v>
      </x:c>
      <x:c r="T265" s="324">
        <x:v>0</x:v>
      </x:c>
      <x:c r="U265" s="324">
        <x:v>0</x:v>
      </x:c>
      <x:c r="V265" s="324">
        <x:v>0</x:v>
      </x:c>
      <x:c r="W265" s="324">
        <x:v>0</x:v>
      </x:c>
      <x:c r="X265" s="324">
        <x:v>0</x:v>
      </x:c>
      <x:c r="Y265" s="324">
        <x:v>0</x:v>
      </x:c>
      <x:c r="Z265" s="257">
        <x:f t="shared" si="10"/>
        <x:v>0</x:v>
      </x:c>
    </x:row>
    <x:row r="266">
      <x:c r="A266" s="148" t="s">
        <x:v>107</x:v>
      </x:c>
      <x:c r="B266">
        <x:v>7</x:v>
      </x:c>
      <x:c r="C266" s="148" t="s">
        <x:v>115</x:v>
      </x:c>
      <x:c r="D266">
        <x:v>701</x:v>
      </x:c>
      <x:c r="E266" s="324">
        <x:v>0</x:v>
      </x:c>
      <x:c r="F266" s="324">
        <x:v>0</x:v>
      </x:c>
      <x:c r="G266" s="324">
        <x:v>0</x:v>
      </x:c>
      <x:c r="H266" s="324">
        <x:v>0</x:v>
      </x:c>
      <x:c r="I266" s="324">
        <x:v>0</x:v>
      </x:c>
      <x:c r="J266" s="324">
        <x:v>0</x:v>
      </x:c>
      <x:c r="K266" s="324">
        <x:v>0</x:v>
      </x:c>
      <x:c r="L266" s="324">
        <x:v>0</x:v>
      </x:c>
      <x:c r="M266" s="324">
        <x:v>0</x:v>
      </x:c>
      <x:c r="N266" s="324">
        <x:v>0</x:v>
      </x:c>
      <x:c r="O266" s="324">
        <x:v>0</x:v>
      </x:c>
      <x:c r="P266" s="324">
        <x:v>0</x:v>
      </x:c>
      <x:c r="Q266" s="324">
        <x:v>0</x:v>
      </x:c>
      <x:c r="R266" s="324">
        <x:v>0</x:v>
      </x:c>
      <x:c r="S266" s="324">
        <x:v>0</x:v>
      </x:c>
      <x:c r="T266" s="324">
        <x:v>0</x:v>
      </x:c>
      <x:c r="U266" s="324">
        <x:v>0</x:v>
      </x:c>
      <x:c r="V266" s="324">
        <x:v>0</x:v>
      </x:c>
      <x:c r="W266" s="324">
        <x:v>0</x:v>
      </x:c>
      <x:c r="X266" s="324">
        <x:v>0</x:v>
      </x:c>
      <x:c r="Y266" s="324">
        <x:v>0</x:v>
      </x:c>
      <x:c r="Z266" s="257">
        <x:f t="shared" si="10"/>
        <x:v>0</x:v>
      </x:c>
    </x:row>
    <x:row r="267">
      <x:c r="A267" s="148" t="s">
        <x:v>107</x:v>
      </x:c>
      <x:c r="B267">
        <x:v>7</x:v>
      </x:c>
      <x:c r="C267" s="148" t="s">
        <x:v>115</x:v>
      </x:c>
      <x:c r="D267">
        <x:v>701</x:v>
      </x:c>
      <x:c r="E267" s="324">
        <x:v>0</x:v>
      </x:c>
      <x:c r="F267" s="324">
        <x:v>0</x:v>
      </x:c>
      <x:c r="G267" s="324">
        <x:v>0</x:v>
      </x:c>
      <x:c r="H267" s="324">
        <x:v>0</x:v>
      </x:c>
      <x:c r="I267" s="324">
        <x:v>0</x:v>
      </x:c>
      <x:c r="J267" s="324">
        <x:v>0</x:v>
      </x:c>
      <x:c r="K267" s="324">
        <x:v>0</x:v>
      </x:c>
      <x:c r="L267" s="324">
        <x:v>0</x:v>
      </x:c>
      <x:c r="M267" s="324">
        <x:v>0</x:v>
      </x:c>
      <x:c r="N267" s="324">
        <x:v>0</x:v>
      </x:c>
      <x:c r="O267" s="324">
        <x:v>0</x:v>
      </x:c>
      <x:c r="P267" s="324">
        <x:v>0</x:v>
      </x:c>
      <x:c r="Q267" s="324">
        <x:v>0</x:v>
      </x:c>
      <x:c r="R267" s="324">
        <x:v>0</x:v>
      </x:c>
      <x:c r="S267" s="324">
        <x:v>0</x:v>
      </x:c>
      <x:c r="T267" s="324">
        <x:v>0</x:v>
      </x:c>
      <x:c r="U267" s="324">
        <x:v>0</x:v>
      </x:c>
      <x:c r="V267" s="324">
        <x:v>0</x:v>
      </x:c>
      <x:c r="W267" s="324">
        <x:v>0</x:v>
      </x:c>
      <x:c r="X267" s="324">
        <x:v>0</x:v>
      </x:c>
      <x:c r="Y267" s="324">
        <x:v>0</x:v>
      </x:c>
      <x:c r="Z267" s="257">
        <x:f t="shared" si="10"/>
        <x:v>0</x:v>
      </x:c>
    </x:row>
    <x:row r="268">
      <x:c r="A268" s="148" t="s">
        <x:v>107</x:v>
      </x:c>
      <x:c r="B268">
        <x:v>7</x:v>
      </x:c>
      <x:c r="C268" s="148" t="s">
        <x:v>115</x:v>
      </x:c>
      <x:c r="D268">
        <x:v>701</x:v>
      </x:c>
      <x:c r="E268" s="324">
        <x:v>0</x:v>
      </x:c>
      <x:c r="F268" s="324">
        <x:v>0</x:v>
      </x:c>
      <x:c r="G268" s="324">
        <x:v>0</x:v>
      </x:c>
      <x:c r="H268" s="324">
        <x:v>0</x:v>
      </x:c>
      <x:c r="I268" s="324">
        <x:v>0</x:v>
      </x:c>
      <x:c r="J268" s="324">
        <x:v>0</x:v>
      </x:c>
      <x:c r="K268" s="324">
        <x:v>0</x:v>
      </x:c>
      <x:c r="L268" s="324">
        <x:v>0</x:v>
      </x:c>
      <x:c r="M268" s="324">
        <x:v>0</x:v>
      </x:c>
      <x:c r="N268" s="324">
        <x:v>0</x:v>
      </x:c>
      <x:c r="O268" s="324">
        <x:v>0</x:v>
      </x:c>
      <x:c r="P268" s="324">
        <x:v>0</x:v>
      </x:c>
      <x:c r="Q268" s="324">
        <x:v>0</x:v>
      </x:c>
      <x:c r="R268" s="324">
        <x:v>0</x:v>
      </x:c>
      <x:c r="S268" s="324">
        <x:v>0</x:v>
      </x:c>
      <x:c r="T268" s="324">
        <x:v>0</x:v>
      </x:c>
      <x:c r="U268" s="324">
        <x:v>0</x:v>
      </x:c>
      <x:c r="V268" s="324">
        <x:v>0</x:v>
      </x:c>
      <x:c r="W268" s="324">
        <x:v>0</x:v>
      </x:c>
      <x:c r="X268" s="324">
        <x:v>0</x:v>
      </x:c>
      <x:c r="Y268" s="324">
        <x:v>0</x:v>
      </x:c>
      <x:c r="Z268" s="257">
        <x:f t="shared" si="10"/>
        <x:v>0</x:v>
      </x:c>
    </x:row>
    <x:row r="269">
      <x:c r="A269" s="148" t="s">
        <x:v>107</x:v>
      </x:c>
      <x:c r="B269">
        <x:v>7</x:v>
      </x:c>
      <x:c r="C269" s="148" t="s">
        <x:v>115</x:v>
      </x:c>
      <x:c r="D269">
        <x:v>701</x:v>
      </x:c>
      <x:c r="E269" s="324">
        <x:v>0</x:v>
      </x:c>
      <x:c r="F269" s="324">
        <x:v>0</x:v>
      </x:c>
      <x:c r="G269" s="324">
        <x:v>0</x:v>
      </x:c>
      <x:c r="H269" s="324">
        <x:v>0</x:v>
      </x:c>
      <x:c r="I269" s="324">
        <x:v>0</x:v>
      </x:c>
      <x:c r="J269" s="324">
        <x:v>0</x:v>
      </x:c>
      <x:c r="K269" s="324">
        <x:v>0</x:v>
      </x:c>
      <x:c r="L269" s="324">
        <x:v>0</x:v>
      </x:c>
      <x:c r="M269" s="324">
        <x:v>0</x:v>
      </x:c>
      <x:c r="N269" s="324">
        <x:v>0</x:v>
      </x:c>
      <x:c r="O269" s="324">
        <x:v>0</x:v>
      </x:c>
      <x:c r="P269" s="324">
        <x:v>0</x:v>
      </x:c>
      <x:c r="Q269" s="324">
        <x:v>0</x:v>
      </x:c>
      <x:c r="R269" s="324">
        <x:v>0</x:v>
      </x:c>
      <x:c r="S269" s="324">
        <x:v>0</x:v>
      </x:c>
      <x:c r="T269" s="324">
        <x:v>0</x:v>
      </x:c>
      <x:c r="U269" s="324">
        <x:v>0</x:v>
      </x:c>
      <x:c r="V269" s="324">
        <x:v>0</x:v>
      </x:c>
      <x:c r="W269" s="324">
        <x:v>0</x:v>
      </x:c>
      <x:c r="X269" s="324">
        <x:v>0</x:v>
      </x:c>
      <x:c r="Y269" s="324">
        <x:v>0</x:v>
      </x:c>
      <x:c r="Z269" s="257">
        <x:f t="shared" si="10"/>
        <x:v>0</x:v>
      </x:c>
    </x:row>
    <x:row r="270">
      <x:c r="A270" s="148" t="s">
        <x:v>107</x:v>
      </x:c>
      <x:c r="B270">
        <x:v>7</x:v>
      </x:c>
      <x:c r="C270" s="148" t="s">
        <x:v>115</x:v>
      </x:c>
      <x:c r="D270">
        <x:v>701</x:v>
      </x:c>
      <x:c r="E270" s="324">
        <x:v>0</x:v>
      </x:c>
      <x:c r="F270" s="324">
        <x:v>0</x:v>
      </x:c>
      <x:c r="G270" s="324">
        <x:v>0</x:v>
      </x:c>
      <x:c r="H270" s="324">
        <x:v>0</x:v>
      </x:c>
      <x:c r="I270" s="324">
        <x:v>0</x:v>
      </x:c>
      <x:c r="J270" s="324">
        <x:v>0</x:v>
      </x:c>
      <x:c r="K270" s="324">
        <x:v>0</x:v>
      </x:c>
      <x:c r="L270" s="324">
        <x:v>0</x:v>
      </x:c>
      <x:c r="M270" s="324">
        <x:v>0</x:v>
      </x:c>
      <x:c r="N270" s="324">
        <x:v>0</x:v>
      </x:c>
      <x:c r="O270" s="324">
        <x:v>0</x:v>
      </x:c>
      <x:c r="P270" s="324">
        <x:v>0</x:v>
      </x:c>
      <x:c r="Q270" s="324">
        <x:v>0</x:v>
      </x:c>
      <x:c r="R270" s="324">
        <x:v>0</x:v>
      </x:c>
      <x:c r="S270" s="324">
        <x:v>0</x:v>
      </x:c>
      <x:c r="T270" s="324">
        <x:v>0</x:v>
      </x:c>
      <x:c r="U270" s="324">
        <x:v>0</x:v>
      </x:c>
      <x:c r="V270" s="324">
        <x:v>0</x:v>
      </x:c>
      <x:c r="W270" s="324">
        <x:v>0</x:v>
      </x:c>
      <x:c r="X270" s="324">
        <x:v>0</x:v>
      </x:c>
      <x:c r="Y270" s="324">
        <x:v>0</x:v>
      </x:c>
      <x:c r="Z270" s="257">
        <x:f t="shared" si="10"/>
        <x:v>0</x:v>
      </x:c>
    </x:row>
    <x:row r="271">
      <x:c r="A271" s="148" t="s">
        <x:v>107</x:v>
      </x:c>
      <x:c r="B271">
        <x:v>7</x:v>
      </x:c>
      <x:c r="C271" s="148" t="s">
        <x:v>115</x:v>
      </x:c>
      <x:c r="D271">
        <x:v>701</x:v>
      </x:c>
      <x:c r="E271" s="324">
        <x:v>0</x:v>
      </x:c>
      <x:c r="F271" s="324">
        <x:v>0</x:v>
      </x:c>
      <x:c r="G271" s="324">
        <x:v>0</x:v>
      </x:c>
      <x:c r="H271" s="324">
        <x:v>0</x:v>
      </x:c>
      <x:c r="I271" s="324">
        <x:v>0</x:v>
      </x:c>
      <x:c r="J271" s="324">
        <x:v>0</x:v>
      </x:c>
      <x:c r="K271" s="324">
        <x:v>0</x:v>
      </x:c>
      <x:c r="L271" s="324">
        <x:v>0</x:v>
      </x:c>
      <x:c r="M271" s="324">
        <x:v>0</x:v>
      </x:c>
      <x:c r="N271" s="324">
        <x:v>0</x:v>
      </x:c>
      <x:c r="O271" s="324">
        <x:v>0</x:v>
      </x:c>
      <x:c r="P271" s="324">
        <x:v>0</x:v>
      </x:c>
      <x:c r="Q271" s="324">
        <x:v>0</x:v>
      </x:c>
      <x:c r="R271" s="324">
        <x:v>0</x:v>
      </x:c>
      <x:c r="S271" s="324">
        <x:v>0</x:v>
      </x:c>
      <x:c r="T271" s="324">
        <x:v>0</x:v>
      </x:c>
      <x:c r="U271" s="324">
        <x:v>0</x:v>
      </x:c>
      <x:c r="V271" s="324">
        <x:v>0</x:v>
      </x:c>
      <x:c r="W271" s="324">
        <x:v>0</x:v>
      </x:c>
      <x:c r="X271" s="324">
        <x:v>0</x:v>
      </x:c>
      <x:c r="Y271" s="324">
        <x:v>0</x:v>
      </x:c>
      <x:c r="Z271" s="257">
        <x:f t="shared" si="10"/>
        <x:v>0</x:v>
      </x:c>
    </x:row>
    <x:row r="272">
      <x:c r="A272" s="148" t="s">
        <x:v>107</x:v>
      </x:c>
      <x:c r="B272">
        <x:v>7</x:v>
      </x:c>
      <x:c r="C272" s="148" t="s">
        <x:v>115</x:v>
      </x:c>
      <x:c r="D272">
        <x:v>701</x:v>
      </x:c>
      <x:c r="E272" s="324">
        <x:v>0</x:v>
      </x:c>
      <x:c r="F272" s="324">
        <x:v>0</x:v>
      </x:c>
      <x:c r="G272" s="324">
        <x:v>0</x:v>
      </x:c>
      <x:c r="H272" s="324">
        <x:v>0</x:v>
      </x:c>
      <x:c r="I272" s="324">
        <x:v>0</x:v>
      </x:c>
      <x:c r="J272" s="324">
        <x:v>0</x:v>
      </x:c>
      <x:c r="K272" s="324">
        <x:v>0</x:v>
      </x:c>
      <x:c r="L272" s="324">
        <x:v>0</x:v>
      </x:c>
      <x:c r="M272" s="324">
        <x:v>0</x:v>
      </x:c>
      <x:c r="N272" s="324">
        <x:v>0</x:v>
      </x:c>
      <x:c r="O272" s="324">
        <x:v>0</x:v>
      </x:c>
      <x:c r="P272" s="324">
        <x:v>0</x:v>
      </x:c>
      <x:c r="Q272" s="324">
        <x:v>0</x:v>
      </x:c>
      <x:c r="R272" s="324">
        <x:v>0</x:v>
      </x:c>
      <x:c r="S272" s="324">
        <x:v>0</x:v>
      </x:c>
      <x:c r="T272" s="324">
        <x:v>0</x:v>
      </x:c>
      <x:c r="U272" s="324">
        <x:v>0</x:v>
      </x:c>
      <x:c r="V272" s="324">
        <x:v>0</x:v>
      </x:c>
      <x:c r="W272" s="324">
        <x:v>0</x:v>
      </x:c>
      <x:c r="X272" s="324">
        <x:v>0</x:v>
      </x:c>
      <x:c r="Y272" s="324">
        <x:v>0</x:v>
      </x:c>
      <x:c r="Z272" s="257">
        <x:f t="shared" si="10"/>
        <x:v>0</x:v>
      </x:c>
    </x:row>
    <x:row r="273">
      <x:c r="A273" s="148" t="s">
        <x:v>107</x:v>
      </x:c>
      <x:c r="B273">
        <x:v>7</x:v>
      </x:c>
      <x:c r="C273" s="148" t="s">
        <x:v>115</x:v>
      </x:c>
      <x:c r="D273">
        <x:v>701</x:v>
      </x:c>
      <x:c r="E273" s="324">
        <x:v>0</x:v>
      </x:c>
      <x:c r="F273" s="324">
        <x:v>0</x:v>
      </x:c>
      <x:c r="G273" s="324">
        <x:v>0</x:v>
      </x:c>
      <x:c r="H273" s="324">
        <x:v>0</x:v>
      </x:c>
      <x:c r="I273" s="324">
        <x:v>0</x:v>
      </x:c>
      <x:c r="J273" s="324">
        <x:v>0</x:v>
      </x:c>
      <x:c r="K273" s="324">
        <x:v>0</x:v>
      </x:c>
      <x:c r="L273" s="324">
        <x:v>0</x:v>
      </x:c>
      <x:c r="M273" s="324">
        <x:v>0</x:v>
      </x:c>
      <x:c r="N273" s="324">
        <x:v>0</x:v>
      </x:c>
      <x:c r="O273" s="324">
        <x:v>0</x:v>
      </x:c>
      <x:c r="P273" s="324">
        <x:v>0</x:v>
      </x:c>
      <x:c r="Q273" s="324">
        <x:v>0</x:v>
      </x:c>
      <x:c r="R273" s="324">
        <x:v>0</x:v>
      </x:c>
      <x:c r="S273" s="324">
        <x:v>0</x:v>
      </x:c>
      <x:c r="T273" s="324">
        <x:v>0</x:v>
      </x:c>
      <x:c r="U273" s="324">
        <x:v>0</x:v>
      </x:c>
      <x:c r="V273" s="324">
        <x:v>0</x:v>
      </x:c>
      <x:c r="W273" s="324">
        <x:v>0</x:v>
      </x:c>
      <x:c r="X273" s="324">
        <x:v>0</x:v>
      </x:c>
      <x:c r="Y273" s="324">
        <x:v>0</x:v>
      </x:c>
      <x:c r="Z273" s="257">
        <x:f t="shared" si="10"/>
        <x:v>0</x:v>
      </x:c>
    </x:row>
    <x:row r="274">
      <x:c r="A274" s="148" t="s">
        <x:v>107</x:v>
      </x:c>
      <x:c r="B274">
        <x:v>7</x:v>
      </x:c>
      <x:c r="C274" s="148" t="s">
        <x:v>115</x:v>
      </x:c>
      <x:c r="D274">
        <x:v>701</x:v>
      </x:c>
      <x:c r="E274" s="324">
        <x:v>0</x:v>
      </x:c>
      <x:c r="F274" s="324">
        <x:v>0</x:v>
      </x:c>
      <x:c r="G274" s="324">
        <x:v>0</x:v>
      </x:c>
      <x:c r="H274" s="324">
        <x:v>0</x:v>
      </x:c>
      <x:c r="I274" s="324">
        <x:v>0</x:v>
      </x:c>
      <x:c r="J274" s="324">
        <x:v>0</x:v>
      </x:c>
      <x:c r="K274" s="324">
        <x:v>0</x:v>
      </x:c>
      <x:c r="L274" s="324">
        <x:v>0</x:v>
      </x:c>
      <x:c r="M274" s="324">
        <x:v>0</x:v>
      </x:c>
      <x:c r="N274" s="324">
        <x:v>0</x:v>
      </x:c>
      <x:c r="O274" s="324">
        <x:v>0</x:v>
      </x:c>
      <x:c r="P274" s="324">
        <x:v>0</x:v>
      </x:c>
      <x:c r="Q274" s="324">
        <x:v>0</x:v>
      </x:c>
      <x:c r="R274" s="324">
        <x:v>0</x:v>
      </x:c>
      <x:c r="S274" s="324">
        <x:v>0</x:v>
      </x:c>
      <x:c r="T274" s="324">
        <x:v>0</x:v>
      </x:c>
      <x:c r="U274" s="324">
        <x:v>0</x:v>
      </x:c>
      <x:c r="V274" s="324">
        <x:v>0</x:v>
      </x:c>
      <x:c r="W274" s="324">
        <x:v>0</x:v>
      </x:c>
      <x:c r="X274" s="324">
        <x:v>0</x:v>
      </x:c>
      <x:c r="Y274" s="324">
        <x:v>0</x:v>
      </x:c>
      <x:c r="Z274" s="257">
        <x:f t="shared" si="10"/>
        <x:v>0</x:v>
      </x:c>
    </x:row>
    <x:row r="275">
      <x:c r="A275" s="148" t="s">
        <x:v>107</x:v>
      </x:c>
      <x:c r="B275">
        <x:v>7</x:v>
      </x:c>
      <x:c r="C275" s="148" t="s">
        <x:v>115</x:v>
      </x:c>
      <x:c r="D275">
        <x:v>701</x:v>
      </x:c>
      <x:c r="E275" s="324">
        <x:v>0</x:v>
      </x:c>
      <x:c r="F275" s="324">
        <x:v>0</x:v>
      </x:c>
      <x:c r="G275" s="324">
        <x:v>0</x:v>
      </x:c>
      <x:c r="H275" s="324">
        <x:v>0</x:v>
      </x:c>
      <x:c r="I275" s="324">
        <x:v>0</x:v>
      </x:c>
      <x:c r="J275" s="324">
        <x:v>0</x:v>
      </x:c>
      <x:c r="K275" s="324">
        <x:v>0</x:v>
      </x:c>
      <x:c r="L275" s="324">
        <x:v>0</x:v>
      </x:c>
      <x:c r="M275" s="324">
        <x:v>0</x:v>
      </x:c>
      <x:c r="N275" s="324">
        <x:v>0</x:v>
      </x:c>
      <x:c r="O275" s="324">
        <x:v>0</x:v>
      </x:c>
      <x:c r="P275" s="324">
        <x:v>0</x:v>
      </x:c>
      <x:c r="Q275" s="324">
        <x:v>0</x:v>
      </x:c>
      <x:c r="R275" s="324">
        <x:v>0</x:v>
      </x:c>
      <x:c r="S275" s="324">
        <x:v>0</x:v>
      </x:c>
      <x:c r="T275" s="324">
        <x:v>0</x:v>
      </x:c>
      <x:c r="U275" s="324">
        <x:v>0</x:v>
      </x:c>
      <x:c r="V275" s="324">
        <x:v>0</x:v>
      </x:c>
      <x:c r="W275" s="324">
        <x:v>0</x:v>
      </x:c>
      <x:c r="X275" s="324">
        <x:v>0</x:v>
      </x:c>
      <x:c r="Y275" s="324">
        <x:v>0</x:v>
      </x:c>
      <x:c r="Z275" s="257">
        <x:f t="shared" si="10"/>
        <x:v>0</x:v>
      </x:c>
    </x:row>
    <x:row r="276">
      <x:c r="A276" s="148" t="s">
        <x:v>107</x:v>
      </x:c>
      <x:c r="B276">
        <x:v>7</x:v>
      </x:c>
      <x:c r="C276" s="148" t="s">
        <x:v>115</x:v>
      </x:c>
      <x:c r="D276">
        <x:v>701</x:v>
      </x:c>
      <x:c r="E276" s="324">
        <x:v>0</x:v>
      </x:c>
      <x:c r="F276" s="324">
        <x:v>0</x:v>
      </x:c>
      <x:c r="G276" s="324">
        <x:v>0</x:v>
      </x:c>
      <x:c r="H276" s="324">
        <x:v>0</x:v>
      </x:c>
      <x:c r="I276" s="324">
        <x:v>0</x:v>
      </x:c>
      <x:c r="J276" s="324">
        <x:v>0</x:v>
      </x:c>
      <x:c r="K276" s="324">
        <x:v>0</x:v>
      </x:c>
      <x:c r="L276" s="324">
        <x:v>0</x:v>
      </x:c>
      <x:c r="M276" s="324">
        <x:v>0</x:v>
      </x:c>
      <x:c r="N276" s="324">
        <x:v>0</x:v>
      </x:c>
      <x:c r="O276" s="324">
        <x:v>0</x:v>
      </x:c>
      <x:c r="P276" s="324">
        <x:v>0</x:v>
      </x:c>
      <x:c r="Q276" s="324">
        <x:v>0</x:v>
      </x:c>
      <x:c r="R276" s="324">
        <x:v>0</x:v>
      </x:c>
      <x:c r="S276" s="324">
        <x:v>0</x:v>
      </x:c>
      <x:c r="T276" s="324">
        <x:v>0</x:v>
      </x:c>
      <x:c r="U276" s="324">
        <x:v>0</x:v>
      </x:c>
      <x:c r="V276" s="324">
        <x:v>0</x:v>
      </x:c>
      <x:c r="W276" s="324">
        <x:v>0</x:v>
      </x:c>
      <x:c r="X276" s="324">
        <x:v>0</x:v>
      </x:c>
      <x:c r="Y276" s="324">
        <x:v>0</x:v>
      </x:c>
      <x:c r="Z276" s="257">
        <x:f t="shared" si="10"/>
        <x:v>0</x:v>
      </x:c>
    </x:row>
    <x:row r="277">
      <x:c r="A277" s="148" t="s">
        <x:v>107</x:v>
      </x:c>
      <x:c r="B277">
        <x:v>7</x:v>
      </x:c>
      <x:c r="C277" s="148" t="s">
        <x:v>115</x:v>
      </x:c>
      <x:c r="D277">
        <x:v>701</x:v>
      </x:c>
      <x:c r="E277" s="324">
        <x:v>0</x:v>
      </x:c>
      <x:c r="F277" s="324">
        <x:v>0</x:v>
      </x:c>
      <x:c r="G277" s="324">
        <x:v>0</x:v>
      </x:c>
      <x:c r="H277" s="324">
        <x:v>0</x:v>
      </x:c>
      <x:c r="I277" s="324">
        <x:v>0</x:v>
      </x:c>
      <x:c r="J277" s="324">
        <x:v>0</x:v>
      </x:c>
      <x:c r="K277" s="324">
        <x:v>0</x:v>
      </x:c>
      <x:c r="L277" s="324">
        <x:v>0</x:v>
      </x:c>
      <x:c r="M277" s="324">
        <x:v>0</x:v>
      </x:c>
      <x:c r="N277" s="324">
        <x:v>0</x:v>
      </x:c>
      <x:c r="O277" s="324">
        <x:v>0</x:v>
      </x:c>
      <x:c r="P277" s="324">
        <x:v>0</x:v>
      </x:c>
      <x:c r="Q277" s="324">
        <x:v>0</x:v>
      </x:c>
      <x:c r="R277" s="324">
        <x:v>0</x:v>
      </x:c>
      <x:c r="S277" s="324">
        <x:v>0</x:v>
      </x:c>
      <x:c r="T277" s="324">
        <x:v>0</x:v>
      </x:c>
      <x:c r="U277" s="324">
        <x:v>0</x:v>
      </x:c>
      <x:c r="V277" s="324">
        <x:v>0</x:v>
      </x:c>
      <x:c r="W277" s="324">
        <x:v>0</x:v>
      </x:c>
      <x:c r="X277" s="324">
        <x:v>0</x:v>
      </x:c>
      <x:c r="Y277" s="324">
        <x:v>0</x:v>
      </x:c>
      <x:c r="Z277" s="257">
        <x:f t="shared" si="10"/>
        <x:v>0</x:v>
      </x:c>
    </x:row>
    <x:row r="278">
      <x:c r="A278" s="148" t="s">
        <x:v>107</x:v>
      </x:c>
      <x:c r="B278">
        <x:v>7</x:v>
      </x:c>
      <x:c r="C278" s="148" t="s">
        <x:v>115</x:v>
      </x:c>
      <x:c r="D278">
        <x:v>701</x:v>
      </x:c>
      <x:c r="E278" s="324">
        <x:v>0</x:v>
      </x:c>
      <x:c r="F278" s="324">
        <x:v>0</x:v>
      </x:c>
      <x:c r="G278" s="324">
        <x:v>0</x:v>
      </x:c>
      <x:c r="H278" s="324">
        <x:v>0</x:v>
      </x:c>
      <x:c r="I278" s="324">
        <x:v>0</x:v>
      </x:c>
      <x:c r="J278" s="324">
        <x:v>0</x:v>
      </x:c>
      <x:c r="K278" s="324">
        <x:v>0</x:v>
      </x:c>
      <x:c r="L278" s="324">
        <x:v>0</x:v>
      </x:c>
      <x:c r="M278" s="324">
        <x:v>0</x:v>
      </x:c>
      <x:c r="N278" s="324">
        <x:v>0</x:v>
      </x:c>
      <x:c r="O278" s="324">
        <x:v>0</x:v>
      </x:c>
      <x:c r="P278" s="324">
        <x:v>0</x:v>
      </x:c>
      <x:c r="Q278" s="324">
        <x:v>0</x:v>
      </x:c>
      <x:c r="R278" s="324">
        <x:v>0</x:v>
      </x:c>
      <x:c r="S278" s="324">
        <x:v>0</x:v>
      </x:c>
      <x:c r="T278" s="324">
        <x:v>0</x:v>
      </x:c>
      <x:c r="U278" s="324">
        <x:v>0</x:v>
      </x:c>
      <x:c r="V278" s="324">
        <x:v>0</x:v>
      </x:c>
      <x:c r="W278" s="324">
        <x:v>0</x:v>
      </x:c>
      <x:c r="X278" s="324">
        <x:v>0</x:v>
      </x:c>
      <x:c r="Y278" s="324">
        <x:v>0</x:v>
      </x:c>
      <x:c r="Z278" s="257">
        <x:f t="shared" si="10"/>
        <x:v>0</x:v>
      </x:c>
    </x:row>
    <x:row r="279">
      <x:c r="A279" s="148" t="s">
        <x:v>107</x:v>
      </x:c>
      <x:c r="B279">
        <x:v>7</x:v>
      </x:c>
      <x:c r="C279" s="148" t="s">
        <x:v>115</x:v>
      </x:c>
      <x:c r="D279">
        <x:v>701</x:v>
      </x:c>
      <x:c r="E279" s="324">
        <x:v>0</x:v>
      </x:c>
      <x:c r="F279" s="324">
        <x:v>0</x:v>
      </x:c>
      <x:c r="G279" s="324">
        <x:v>0</x:v>
      </x:c>
      <x:c r="H279" s="324">
        <x:v>0</x:v>
      </x:c>
      <x:c r="I279" s="324">
        <x:v>0</x:v>
      </x:c>
      <x:c r="J279" s="324">
        <x:v>0</x:v>
      </x:c>
      <x:c r="K279" s="324">
        <x:v>0</x:v>
      </x:c>
      <x:c r="L279" s="324">
        <x:v>0</x:v>
      </x:c>
      <x:c r="M279" s="324">
        <x:v>0</x:v>
      </x:c>
      <x:c r="N279" s="324">
        <x:v>0</x:v>
      </x:c>
      <x:c r="O279" s="324">
        <x:v>0</x:v>
      </x:c>
      <x:c r="P279" s="324">
        <x:v>0</x:v>
      </x:c>
      <x:c r="Q279" s="324">
        <x:v>0</x:v>
      </x:c>
      <x:c r="R279" s="324">
        <x:v>0</x:v>
      </x:c>
      <x:c r="S279" s="324">
        <x:v>0</x:v>
      </x:c>
      <x:c r="T279" s="324">
        <x:v>0</x:v>
      </x:c>
      <x:c r="U279" s="324">
        <x:v>0</x:v>
      </x:c>
      <x:c r="V279" s="324">
        <x:v>0</x:v>
      </x:c>
      <x:c r="W279" s="324">
        <x:v>0</x:v>
      </x:c>
      <x:c r="X279" s="324">
        <x:v>0</x:v>
      </x:c>
      <x:c r="Y279" s="324">
        <x:v>0</x:v>
      </x:c>
      <x:c r="Z279" s="257">
        <x:f t="shared" si="10"/>
        <x:v>0</x:v>
      </x:c>
    </x:row>
    <x:row r="280">
      <x:c r="A280" s="148" t="s">
        <x:v>107</x:v>
      </x:c>
      <x:c r="B280">
        <x:v>7</x:v>
      </x:c>
      <x:c r="C280" s="148" t="s">
        <x:v>115</x:v>
      </x:c>
      <x:c r="D280">
        <x:v>701</x:v>
      </x:c>
      <x:c r="E280" s="324">
        <x:v>0</x:v>
      </x:c>
      <x:c r="F280" s="324">
        <x:v>0</x:v>
      </x:c>
      <x:c r="G280" s="324">
        <x:v>0</x:v>
      </x:c>
      <x:c r="H280" s="324">
        <x:v>0</x:v>
      </x:c>
      <x:c r="I280" s="324">
        <x:v>0</x:v>
      </x:c>
      <x:c r="J280" s="324">
        <x:v>0</x:v>
      </x:c>
      <x:c r="K280" s="324">
        <x:v>0</x:v>
      </x:c>
      <x:c r="L280" s="324">
        <x:v>0</x:v>
      </x:c>
      <x:c r="M280" s="324">
        <x:v>0</x:v>
      </x:c>
      <x:c r="N280" s="324">
        <x:v>0</x:v>
      </x:c>
      <x:c r="O280" s="324">
        <x:v>0</x:v>
      </x:c>
      <x:c r="P280" s="324">
        <x:v>0</x:v>
      </x:c>
      <x:c r="Q280" s="324">
        <x:v>0</x:v>
      </x:c>
      <x:c r="R280" s="324">
        <x:v>0</x:v>
      </x:c>
      <x:c r="S280" s="324">
        <x:v>0</x:v>
      </x:c>
      <x:c r="T280" s="324">
        <x:v>0</x:v>
      </x:c>
      <x:c r="U280" s="324">
        <x:v>0</x:v>
      </x:c>
      <x:c r="V280" s="324">
        <x:v>0</x:v>
      </x:c>
      <x:c r="W280" s="324">
        <x:v>0</x:v>
      </x:c>
      <x:c r="X280" s="324">
        <x:v>0</x:v>
      </x:c>
      <x:c r="Y280" s="324">
        <x:v>0</x:v>
      </x:c>
      <x:c r="Z280" s="257">
        <x:f t="shared" si="10"/>
        <x:v>0</x:v>
      </x:c>
    </x:row>
    <x:row r="281">
      <x:c r="A281" s="148" t="s">
        <x:v>107</x:v>
      </x:c>
      <x:c r="B281">
        <x:v>7</x:v>
      </x:c>
      <x:c r="C281" s="148" t="s">
        <x:v>115</x:v>
      </x:c>
      <x:c r="D281">
        <x:v>701</x:v>
      </x:c>
      <x:c r="E281" s="324">
        <x:v>0</x:v>
      </x:c>
      <x:c r="F281" s="324">
        <x:v>0</x:v>
      </x:c>
      <x:c r="G281" s="324">
        <x:v>0</x:v>
      </x:c>
      <x:c r="H281" s="324">
        <x:v>0</x:v>
      </x:c>
      <x:c r="I281" s="324">
        <x:v>0</x:v>
      </x:c>
      <x:c r="J281" s="324">
        <x:v>0</x:v>
      </x:c>
      <x:c r="K281" s="324">
        <x:v>0</x:v>
      </x:c>
      <x:c r="L281" s="324">
        <x:v>0</x:v>
      </x:c>
      <x:c r="M281" s="324">
        <x:v>0</x:v>
      </x:c>
      <x:c r="N281" s="324">
        <x:v>0</x:v>
      </x:c>
      <x:c r="O281" s="324">
        <x:v>0</x:v>
      </x:c>
      <x:c r="P281" s="324">
        <x:v>0</x:v>
      </x:c>
      <x:c r="Q281" s="324">
        <x:v>0</x:v>
      </x:c>
      <x:c r="R281" s="324">
        <x:v>0</x:v>
      </x:c>
      <x:c r="S281" s="324">
        <x:v>0</x:v>
      </x:c>
      <x:c r="T281" s="324">
        <x:v>0</x:v>
      </x:c>
      <x:c r="U281" s="324">
        <x:v>0</x:v>
      </x:c>
      <x:c r="V281" s="324">
        <x:v>0</x:v>
      </x:c>
      <x:c r="W281" s="324">
        <x:v>0</x:v>
      </x:c>
      <x:c r="X281" s="324">
        <x:v>0</x:v>
      </x:c>
      <x:c r="Y281" s="324">
        <x:v>0</x:v>
      </x:c>
      <x:c r="Z281" s="257">
        <x:f t="shared" si="10"/>
        <x:v>0</x:v>
      </x:c>
    </x:row>
    <x:row r="282">
      <x:c r="A282" s="148"/>
      <x:c r="B282"/>
      <x:c r="C282" s="148"/>
      <x:c r="D282"/>
      <x:c r="E282" s="324"/>
      <x:c r="F282" s="324">
        <x:f t="shared" ref="F282:Y282" si="11">AVERAGE(F238:F281)</x:f>
      </x:c>
      <x:c r="G282" s="324">
        <x:f t="shared" si="11"/>
      </x:c>
      <x:c r="H282" s="324">
        <x:f t="shared" si="11"/>
      </x:c>
      <x:c r="I282" s="324">
        <x:f t="shared" si="11"/>
      </x:c>
      <x:c r="J282" s="324">
        <x:f t="shared" si="11"/>
      </x:c>
      <x:c r="K282" s="324">
        <x:f t="shared" si="11"/>
      </x:c>
      <x:c r="L282" s="324">
        <x:f t="shared" si="11"/>
      </x:c>
      <x:c r="M282" s="324">
        <x:f t="shared" si="11"/>
      </x:c>
      <x:c r="N282" s="324">
        <x:f t="shared" si="11"/>
      </x:c>
      <x:c r="O282" s="324">
        <x:f t="shared" si="11"/>
      </x:c>
      <x:c r="P282" s="324">
        <x:f t="shared" si="11"/>
      </x:c>
      <x:c r="Q282" s="324">
        <x:f t="shared" si="11"/>
      </x:c>
      <x:c r="R282" s="324">
        <x:f t="shared" si="11"/>
      </x:c>
      <x:c r="S282" s="324">
        <x:f t="shared" si="11"/>
      </x:c>
      <x:c r="T282" s="324">
        <x:f t="shared" si="11"/>
      </x:c>
      <x:c r="U282" s="324">
        <x:f t="shared" si="11"/>
      </x:c>
      <x:c r="V282" s="324">
        <x:f t="shared" si="11"/>
      </x:c>
      <x:c r="W282" s="324">
        <x:f t="shared" si="11"/>
      </x:c>
      <x:c r="X282" s="324">
        <x:f t="shared" si="11"/>
      </x:c>
      <x:c r="Y282" s="324">
        <x:f t="shared" si="11"/>
      </x:c>
      <x:c r="Z282" s="257">
        <x:f t="shared" si="10"/>
      </x:c>
    </x:row>
    <x:row r="283">
      <x:c r="A283" s="148" t="s">
        <x:v>107</x:v>
      </x:c>
      <x:c r="B283">
        <x:v>8</x:v>
      </x:c>
      <x:c r="C283" s="148" t="s">
        <x:v>116</x:v>
      </x:c>
      <x:c r="D283">
        <x:v>801</x:v>
      </x:c>
      <x:c r="E283" s="324">
        <x:v>0</x:v>
      </x:c>
      <x:c r="F283" s="324">
        <x:v>0</x:v>
      </x:c>
      <x:c r="G283" s="324">
        <x:v>0</x:v>
      </x:c>
      <x:c r="H283" s="324">
        <x:v>0</x:v>
      </x:c>
      <x:c r="I283" s="324">
        <x:v>0</x:v>
      </x:c>
      <x:c r="J283" s="324">
        <x:v>0</x:v>
      </x:c>
      <x:c r="K283" s="324">
        <x:v>0</x:v>
      </x:c>
      <x:c r="L283" s="324">
        <x:v>0</x:v>
      </x:c>
      <x:c r="M283" s="324">
        <x:v>0</x:v>
      </x:c>
      <x:c r="N283" s="324">
        <x:v>0</x:v>
      </x:c>
      <x:c r="O283" s="324">
        <x:v>0</x:v>
      </x:c>
      <x:c r="P283" s="324">
        <x:v>0</x:v>
      </x:c>
      <x:c r="Q283" s="324">
        <x:v>0</x:v>
      </x:c>
      <x:c r="R283" s="324">
        <x:v>0</x:v>
      </x:c>
      <x:c r="S283" s="324">
        <x:v>0</x:v>
      </x:c>
      <x:c r="T283" s="324">
        <x:v>0</x:v>
      </x:c>
      <x:c r="U283" s="324">
        <x:v>0</x:v>
      </x:c>
      <x:c r="V283" s="324">
        <x:v>0</x:v>
      </x:c>
      <x:c r="W283" s="324">
        <x:v>0</x:v>
      </x:c>
      <x:c r="X283" s="324">
        <x:v>0</x:v>
      </x:c>
      <x:c r="Y283" s="324">
        <x:v>0</x:v>
      </x:c>
      <x:c r="Z283" s="257">
        <x:f t="shared" si="10"/>
        <x:v>0</x:v>
      </x:c>
    </x:row>
    <x:row r="284">
      <x:c r="A284" s="148" t="s">
        <x:v>107</x:v>
      </x:c>
      <x:c r="B284">
        <x:v>8</x:v>
      </x:c>
      <x:c r="C284" s="148" t="s">
        <x:v>116</x:v>
      </x:c>
      <x:c r="D284">
        <x:v>802</x:v>
      </x:c>
      <x:c r="E284" s="324">
        <x:v>0</x:v>
      </x:c>
      <x:c r="F284" s="324">
        <x:v>0</x:v>
      </x:c>
      <x:c r="G284" s="324">
        <x:v>0</x:v>
      </x:c>
      <x:c r="H284" s="324">
        <x:v>0</x:v>
      </x:c>
      <x:c r="I284" s="324">
        <x:v>0</x:v>
      </x:c>
      <x:c r="J284" s="324">
        <x:v>0</x:v>
      </x:c>
      <x:c r="K284" s="324">
        <x:v>0</x:v>
      </x:c>
      <x:c r="L284" s="324">
        <x:v>0</x:v>
      </x:c>
      <x:c r="M284" s="324">
        <x:v>0</x:v>
      </x:c>
      <x:c r="N284" s="324">
        <x:v>0</x:v>
      </x:c>
      <x:c r="O284" s="324">
        <x:v>0</x:v>
      </x:c>
      <x:c r="P284" s="324">
        <x:v>0</x:v>
      </x:c>
      <x:c r="Q284" s="324">
        <x:v>0</x:v>
      </x:c>
      <x:c r="R284" s="324">
        <x:v>0</x:v>
      </x:c>
      <x:c r="S284" s="324">
        <x:v>0</x:v>
      </x:c>
      <x:c r="T284" s="324">
        <x:v>0</x:v>
      </x:c>
      <x:c r="U284" s="324">
        <x:v>0</x:v>
      </x:c>
      <x:c r="V284" s="324">
        <x:v>0</x:v>
      </x:c>
      <x:c r="W284" s="324">
        <x:v>0</x:v>
      </x:c>
      <x:c r="X284" s="324">
        <x:v>0</x:v>
      </x:c>
      <x:c r="Y284" s="324">
        <x:v>0</x:v>
      </x:c>
      <x:c r="Z284" s="257">
        <x:f t="shared" si="10"/>
        <x:v>0</x:v>
      </x:c>
    </x:row>
    <x:row r="285">
      <x:c r="A285" s="148" t="s">
        <x:v>107</x:v>
      </x:c>
      <x:c r="B285">
        <x:v>8</x:v>
      </x:c>
      <x:c r="C285" s="148" t="s">
        <x:v>116</x:v>
      </x:c>
      <x:c r="D285">
        <x:v>803</x:v>
      </x:c>
      <x:c r="E285" s="324">
        <x:v>0</x:v>
      </x:c>
      <x:c r="F285" s="324">
        <x:v>0</x:v>
      </x:c>
      <x:c r="G285" s="324">
        <x:v>0</x:v>
      </x:c>
      <x:c r="H285" s="324">
        <x:v>0</x:v>
      </x:c>
      <x:c r="I285" s="324">
        <x:v>0</x:v>
      </x:c>
      <x:c r="J285" s="324">
        <x:v>0</x:v>
      </x:c>
      <x:c r="K285" s="324">
        <x:v>0</x:v>
      </x:c>
      <x:c r="L285" s="324">
        <x:v>0</x:v>
      </x:c>
      <x:c r="M285" s="324">
        <x:v>0</x:v>
      </x:c>
      <x:c r="N285" s="324">
        <x:v>0</x:v>
      </x:c>
      <x:c r="O285" s="324">
        <x:v>0</x:v>
      </x:c>
      <x:c r="P285" s="324">
        <x:v>0</x:v>
      </x:c>
      <x:c r="Q285" s="324">
        <x:v>0</x:v>
      </x:c>
      <x:c r="R285" s="324">
        <x:v>0</x:v>
      </x:c>
      <x:c r="S285" s="324">
        <x:v>0</x:v>
      </x:c>
      <x:c r="T285" s="324">
        <x:v>0</x:v>
      </x:c>
      <x:c r="U285" s="324">
        <x:v>0</x:v>
      </x:c>
      <x:c r="V285" s="324">
        <x:v>0</x:v>
      </x:c>
      <x:c r="W285" s="324">
        <x:v>0</x:v>
      </x:c>
      <x:c r="X285" s="324">
        <x:v>0</x:v>
      </x:c>
      <x:c r="Y285" s="324">
        <x:v>0</x:v>
      </x:c>
      <x:c r="Z285" s="257">
        <x:f t="shared" si="10"/>
        <x:v>0</x:v>
      </x:c>
    </x:row>
    <x:row r="286">
      <x:c r="A286" s="148" t="s">
        <x:v>107</x:v>
      </x:c>
      <x:c r="B286">
        <x:v>8</x:v>
      </x:c>
      <x:c r="C286" s="148" t="s">
        <x:v>116</x:v>
      </x:c>
      <x:c r="D286">
        <x:v>804</x:v>
      </x:c>
      <x:c r="E286" s="324">
        <x:v>0</x:v>
      </x:c>
      <x:c r="F286" s="324">
        <x:v>0</x:v>
      </x:c>
      <x:c r="G286" s="324">
        <x:v>0</x:v>
      </x:c>
      <x:c r="H286" s="324">
        <x:v>0</x:v>
      </x:c>
      <x:c r="I286" s="324">
        <x:v>0</x:v>
      </x:c>
      <x:c r="J286" s="324">
        <x:v>0</x:v>
      </x:c>
      <x:c r="K286" s="324">
        <x:v>0</x:v>
      </x:c>
      <x:c r="L286" s="324">
        <x:v>0</x:v>
      </x:c>
      <x:c r="M286" s="324">
        <x:v>0</x:v>
      </x:c>
      <x:c r="N286" s="324">
        <x:v>0</x:v>
      </x:c>
      <x:c r="O286" s="324">
        <x:v>0</x:v>
      </x:c>
      <x:c r="P286" s="324">
        <x:v>0</x:v>
      </x:c>
      <x:c r="Q286" s="324">
        <x:v>0</x:v>
      </x:c>
      <x:c r="R286" s="324">
        <x:v>0</x:v>
      </x:c>
      <x:c r="S286" s="324">
        <x:v>0</x:v>
      </x:c>
      <x:c r="T286" s="324">
        <x:v>0</x:v>
      </x:c>
      <x:c r="U286" s="324">
        <x:v>0</x:v>
      </x:c>
      <x:c r="V286" s="324">
        <x:v>0</x:v>
      </x:c>
      <x:c r="W286" s="324">
        <x:v>0</x:v>
      </x:c>
      <x:c r="X286" s="324">
        <x:v>0</x:v>
      </x:c>
      <x:c r="Y286" s="324">
        <x:v>0</x:v>
      </x:c>
      <x:c r="Z286" s="257">
        <x:f t="shared" si="10"/>
        <x:v>0</x:v>
      </x:c>
    </x:row>
    <x:row r="287">
      <x:c r="A287" s="148" t="s">
        <x:v>107</x:v>
      </x:c>
      <x:c r="B287">
        <x:v>8</x:v>
      </x:c>
      <x:c r="C287" s="148" t="s">
        <x:v>116</x:v>
      </x:c>
      <x:c r="D287">
        <x:v>805</x:v>
      </x:c>
      <x:c r="E287" s="324">
        <x:v>0</x:v>
      </x:c>
      <x:c r="F287" s="324">
        <x:v>0</x:v>
      </x:c>
      <x:c r="G287" s="324">
        <x:v>0</x:v>
      </x:c>
      <x:c r="H287" s="324">
        <x:v>0</x:v>
      </x:c>
      <x:c r="I287" s="324">
        <x:v>0</x:v>
      </x:c>
      <x:c r="J287" s="324">
        <x:v>0</x:v>
      </x:c>
      <x:c r="K287" s="324">
        <x:v>0</x:v>
      </x:c>
      <x:c r="L287" s="324">
        <x:v>0</x:v>
      </x:c>
      <x:c r="M287" s="324">
        <x:v>0</x:v>
      </x:c>
      <x:c r="N287" s="324">
        <x:v>0</x:v>
      </x:c>
      <x:c r="O287" s="324">
        <x:v>0</x:v>
      </x:c>
      <x:c r="P287" s="324">
        <x:v>0</x:v>
      </x:c>
      <x:c r="Q287" s="324">
        <x:v>0</x:v>
      </x:c>
      <x:c r="R287" s="324">
        <x:v>0</x:v>
      </x:c>
      <x:c r="S287" s="324">
        <x:v>0</x:v>
      </x:c>
      <x:c r="T287" s="324">
        <x:v>0</x:v>
      </x:c>
      <x:c r="U287" s="324">
        <x:v>0</x:v>
      </x:c>
      <x:c r="V287" s="324">
        <x:v>0</x:v>
      </x:c>
      <x:c r="W287" s="324">
        <x:v>0</x:v>
      </x:c>
      <x:c r="X287" s="324">
        <x:v>0</x:v>
      </x:c>
      <x:c r="Y287" s="324">
        <x:v>0</x:v>
      </x:c>
      <x:c r="Z287" s="257">
        <x:f t="shared" si="10"/>
        <x:v>0</x:v>
      </x:c>
    </x:row>
    <x:row r="288">
      <x:c r="A288" s="148" t="s">
        <x:v>107</x:v>
      </x:c>
      <x:c r="B288">
        <x:v>8</x:v>
      </x:c>
      <x:c r="C288" s="148" t="s">
        <x:v>116</x:v>
      </x:c>
      <x:c r="D288">
        <x:v>806</x:v>
      </x:c>
      <x:c r="E288" s="324">
        <x:v>0</x:v>
      </x:c>
      <x:c r="F288" s="324">
        <x:v>0</x:v>
      </x:c>
      <x:c r="G288" s="324">
        <x:v>0</x:v>
      </x:c>
      <x:c r="H288" s="324">
        <x:v>0</x:v>
      </x:c>
      <x:c r="I288" s="324">
        <x:v>0</x:v>
      </x:c>
      <x:c r="J288" s="324">
        <x:v>0</x:v>
      </x:c>
      <x:c r="K288" s="324">
        <x:v>0</x:v>
      </x:c>
      <x:c r="L288" s="324">
        <x:v>0</x:v>
      </x:c>
      <x:c r="M288" s="324">
        <x:v>0</x:v>
      </x:c>
      <x:c r="N288" s="324">
        <x:v>0</x:v>
      </x:c>
      <x:c r="O288" s="324">
        <x:v>0</x:v>
      </x:c>
      <x:c r="P288" s="324">
        <x:v>0</x:v>
      </x:c>
      <x:c r="Q288" s="324">
        <x:v>0</x:v>
      </x:c>
      <x:c r="R288" s="324">
        <x:v>0</x:v>
      </x:c>
      <x:c r="S288" s="324">
        <x:v>0</x:v>
      </x:c>
      <x:c r="T288" s="324">
        <x:v>0</x:v>
      </x:c>
      <x:c r="U288" s="324">
        <x:v>0</x:v>
      </x:c>
      <x:c r="V288" s="324">
        <x:v>0</x:v>
      </x:c>
      <x:c r="W288" s="324">
        <x:v>0</x:v>
      </x:c>
      <x:c r="X288" s="324">
        <x:v>0</x:v>
      </x:c>
      <x:c r="Y288" s="324">
        <x:v>0</x:v>
      </x:c>
      <x:c r="Z288" s="257">
        <x:f t="shared" si="10"/>
        <x:v>0</x:v>
      </x:c>
    </x:row>
    <x:row r="289">
      <x:c r="A289" s="148" t="s">
        <x:v>107</x:v>
      </x:c>
      <x:c r="B289">
        <x:v>8</x:v>
      </x:c>
      <x:c r="C289" s="148" t="s">
        <x:v>116</x:v>
      </x:c>
      <x:c r="D289">
        <x:v>807</x:v>
      </x:c>
      <x:c r="E289" s="324">
        <x:v>0</x:v>
      </x:c>
      <x:c r="F289" s="324">
        <x:v>0</x:v>
      </x:c>
      <x:c r="G289" s="324">
        <x:v>0</x:v>
      </x:c>
      <x:c r="H289" s="324">
        <x:v>0</x:v>
      </x:c>
      <x:c r="I289" s="324">
        <x:v>0</x:v>
      </x:c>
      <x:c r="J289" s="324">
        <x:v>0</x:v>
      </x:c>
      <x:c r="K289" s="324">
        <x:v>0</x:v>
      </x:c>
      <x:c r="L289" s="324">
        <x:v>0</x:v>
      </x:c>
      <x:c r="M289" s="324">
        <x:v>0</x:v>
      </x:c>
      <x:c r="N289" s="324">
        <x:v>0</x:v>
      </x:c>
      <x:c r="O289" s="324">
        <x:v>0</x:v>
      </x:c>
      <x:c r="P289" s="324">
        <x:v>0</x:v>
      </x:c>
      <x:c r="Q289" s="324">
        <x:v>0</x:v>
      </x:c>
      <x:c r="R289" s="324">
        <x:v>0</x:v>
      </x:c>
      <x:c r="S289" s="324">
        <x:v>0</x:v>
      </x:c>
      <x:c r="T289" s="324">
        <x:v>0</x:v>
      </x:c>
      <x:c r="U289" s="324">
        <x:v>0</x:v>
      </x:c>
      <x:c r="V289" s="324">
        <x:v>0</x:v>
      </x:c>
      <x:c r="W289" s="324">
        <x:v>0</x:v>
      </x:c>
      <x:c r="X289" s="324">
        <x:v>0</x:v>
      </x:c>
      <x:c r="Y289" s="324">
        <x:v>0</x:v>
      </x:c>
      <x:c r="Z289" s="257">
        <x:f t="shared" si="10"/>
        <x:v>0</x:v>
      </x:c>
    </x:row>
    <x:row r="290">
      <x:c r="A290" s="148" t="s">
        <x:v>107</x:v>
      </x:c>
      <x:c r="B290">
        <x:v>8</x:v>
      </x:c>
      <x:c r="C290" s="148" t="s">
        <x:v>116</x:v>
      </x:c>
      <x:c r="D290">
        <x:v>808</x:v>
      </x:c>
      <x:c r="E290" s="324">
        <x:v>0</x:v>
      </x:c>
      <x:c r="F290" s="324">
        <x:v>0</x:v>
      </x:c>
      <x:c r="G290" s="324">
        <x:v>0</x:v>
      </x:c>
      <x:c r="H290" s="324">
        <x:v>0</x:v>
      </x:c>
      <x:c r="I290" s="324">
        <x:v>0</x:v>
      </x:c>
      <x:c r="J290" s="324">
        <x:v>0</x:v>
      </x:c>
      <x:c r="K290" s="324">
        <x:v>0</x:v>
      </x:c>
      <x:c r="L290" s="324">
        <x:v>0</x:v>
      </x:c>
      <x:c r="M290" s="324">
        <x:v>0</x:v>
      </x:c>
      <x:c r="N290" s="324">
        <x:v>0</x:v>
      </x:c>
      <x:c r="O290" s="324">
        <x:v>0</x:v>
      </x:c>
      <x:c r="P290" s="324">
        <x:v>0</x:v>
      </x:c>
      <x:c r="Q290" s="324">
        <x:v>0</x:v>
      </x:c>
      <x:c r="R290" s="324">
        <x:v>0</x:v>
      </x:c>
      <x:c r="S290" s="324">
        <x:v>0</x:v>
      </x:c>
      <x:c r="T290" s="324">
        <x:v>0</x:v>
      </x:c>
      <x:c r="U290" s="324">
        <x:v>0</x:v>
      </x:c>
      <x:c r="V290" s="324">
        <x:v>0</x:v>
      </x:c>
      <x:c r="W290" s="324">
        <x:v>0</x:v>
      </x:c>
      <x:c r="X290" s="324">
        <x:v>0</x:v>
      </x:c>
      <x:c r="Y290" s="324">
        <x:v>0</x:v>
      </x:c>
      <x:c r="Z290" s="257">
        <x:f t="shared" si="10"/>
        <x:v>0</x:v>
      </x:c>
    </x:row>
    <x:row r="291">
      <x:c r="A291" s="148" t="s">
        <x:v>107</x:v>
      </x:c>
      <x:c r="B291">
        <x:v>8</x:v>
      </x:c>
      <x:c r="C291" s="148" t="s">
        <x:v>116</x:v>
      </x:c>
      <x:c r="D291">
        <x:v>809</x:v>
      </x:c>
      <x:c r="E291" s="324">
        <x:v>0</x:v>
      </x:c>
      <x:c r="F291" s="324">
        <x:v>0</x:v>
      </x:c>
      <x:c r="G291" s="324">
        <x:v>0</x:v>
      </x:c>
      <x:c r="H291" s="324">
        <x:v>0</x:v>
      </x:c>
      <x:c r="I291" s="324">
        <x:v>0</x:v>
      </x:c>
      <x:c r="J291" s="324">
        <x:v>0</x:v>
      </x:c>
      <x:c r="K291" s="324">
        <x:v>0</x:v>
      </x:c>
      <x:c r="L291" s="324">
        <x:v>0</x:v>
      </x:c>
      <x:c r="M291" s="324">
        <x:v>0</x:v>
      </x:c>
      <x:c r="N291" s="324">
        <x:v>0</x:v>
      </x:c>
      <x:c r="O291" s="324">
        <x:v>0</x:v>
      </x:c>
      <x:c r="P291" s="324">
        <x:v>0</x:v>
      </x:c>
      <x:c r="Q291" s="324">
        <x:v>0</x:v>
      </x:c>
      <x:c r="R291" s="324">
        <x:v>0</x:v>
      </x:c>
      <x:c r="S291" s="324">
        <x:v>0</x:v>
      </x:c>
      <x:c r="T291" s="324">
        <x:v>0</x:v>
      </x:c>
      <x:c r="U291" s="324">
        <x:v>0</x:v>
      </x:c>
      <x:c r="V291" s="324">
        <x:v>0</x:v>
      </x:c>
      <x:c r="W291" s="324">
        <x:v>0</x:v>
      </x:c>
      <x:c r="X291" s="324">
        <x:v>0</x:v>
      </x:c>
      <x:c r="Y291" s="324">
        <x:v>0</x:v>
      </x:c>
      <x:c r="Z291" s="257">
        <x:f t="shared" si="10"/>
        <x:v>0</x:v>
      </x:c>
    </x:row>
    <x:row r="292">
      <x:c r="A292" s="148" t="s">
        <x:v>107</x:v>
      </x:c>
      <x:c r="B292">
        <x:v>8</x:v>
      </x:c>
      <x:c r="C292" s="148" t="s">
        <x:v>116</x:v>
      </x:c>
      <x:c r="D292">
        <x:v>810</x:v>
      </x:c>
      <x:c r="E292" s="324">
        <x:v>0</x:v>
      </x:c>
      <x:c r="F292" s="324">
        <x:v>0</x:v>
      </x:c>
      <x:c r="G292" s="324">
        <x:v>0</x:v>
      </x:c>
      <x:c r="H292" s="324">
        <x:v>0</x:v>
      </x:c>
      <x:c r="I292" s="324">
        <x:v>0</x:v>
      </x:c>
      <x:c r="J292" s="324">
        <x:v>0</x:v>
      </x:c>
      <x:c r="K292" s="324">
        <x:v>0</x:v>
      </x:c>
      <x:c r="L292" s="324">
        <x:v>0</x:v>
      </x:c>
      <x:c r="M292" s="324">
        <x:v>0</x:v>
      </x:c>
      <x:c r="N292" s="324">
        <x:v>0</x:v>
      </x:c>
      <x:c r="O292" s="324">
        <x:v>0</x:v>
      </x:c>
      <x:c r="P292" s="324">
        <x:v>0</x:v>
      </x:c>
      <x:c r="Q292" s="324">
        <x:v>0</x:v>
      </x:c>
      <x:c r="R292" s="324">
        <x:v>0</x:v>
      </x:c>
      <x:c r="S292" s="324">
        <x:v>0</x:v>
      </x:c>
      <x:c r="T292" s="324">
        <x:v>0</x:v>
      </x:c>
      <x:c r="U292" s="324">
        <x:v>0</x:v>
      </x:c>
      <x:c r="V292" s="324">
        <x:v>0</x:v>
      </x:c>
      <x:c r="W292" s="324">
        <x:v>0</x:v>
      </x:c>
      <x:c r="X292" s="324">
        <x:v>0</x:v>
      </x:c>
      <x:c r="Y292" s="324">
        <x:v>0</x:v>
      </x:c>
      <x:c r="Z292" s="257">
        <x:f t="shared" si="10"/>
        <x:v>0</x:v>
      </x:c>
    </x:row>
    <x:row r="293">
      <x:c r="A293" s="148" t="s">
        <x:v>107</x:v>
      </x:c>
      <x:c r="B293">
        <x:v>8</x:v>
      </x:c>
      <x:c r="C293" s="148" t="s">
        <x:v>116</x:v>
      </x:c>
      <x:c r="D293">
        <x:v>811</x:v>
      </x:c>
      <x:c r="E293" s="324">
        <x:v>0</x:v>
      </x:c>
      <x:c r="F293" s="324">
        <x:v>0</x:v>
      </x:c>
      <x:c r="G293" s="324">
        <x:v>0</x:v>
      </x:c>
      <x:c r="H293" s="324">
        <x:v>0</x:v>
      </x:c>
      <x:c r="I293" s="324">
        <x:v>0</x:v>
      </x:c>
      <x:c r="J293" s="324">
        <x:v>0</x:v>
      </x:c>
      <x:c r="K293" s="324">
        <x:v>0</x:v>
      </x:c>
      <x:c r="L293" s="324">
        <x:v>0</x:v>
      </x:c>
      <x:c r="M293" s="324">
        <x:v>0</x:v>
      </x:c>
      <x:c r="N293" s="324">
        <x:v>0</x:v>
      </x:c>
      <x:c r="O293" s="324">
        <x:v>0</x:v>
      </x:c>
      <x:c r="P293" s="324">
        <x:v>0</x:v>
      </x:c>
      <x:c r="Q293" s="324">
        <x:v>0</x:v>
      </x:c>
      <x:c r="R293" s="324">
        <x:v>0</x:v>
      </x:c>
      <x:c r="S293" s="324">
        <x:v>0</x:v>
      </x:c>
      <x:c r="T293" s="324">
        <x:v>0</x:v>
      </x:c>
      <x:c r="U293" s="324">
        <x:v>0</x:v>
      </x:c>
      <x:c r="V293" s="324">
        <x:v>0</x:v>
      </x:c>
      <x:c r="W293" s="324">
        <x:v>0</x:v>
      </x:c>
      <x:c r="X293" s="324">
        <x:v>0</x:v>
      </x:c>
      <x:c r="Y293" s="324">
        <x:v>0</x:v>
      </x:c>
      <x:c r="Z293" s="257">
        <x:f t="shared" si="10"/>
        <x:v>0</x:v>
      </x:c>
    </x:row>
    <x:row r="294">
      <x:c r="A294" s="148" t="s">
        <x:v>107</x:v>
      </x:c>
      <x:c r="B294">
        <x:v>8</x:v>
      </x:c>
      <x:c r="C294" s="148" t="s">
        <x:v>116</x:v>
      </x:c>
      <x:c r="D294">
        <x:v>812</x:v>
      </x:c>
      <x:c r="E294" s="324">
        <x:v>0</x:v>
      </x:c>
      <x:c r="F294" s="324">
        <x:v>0</x:v>
      </x:c>
      <x:c r="G294" s="324">
        <x:v>0</x:v>
      </x:c>
      <x:c r="H294" s="324">
        <x:v>0</x:v>
      </x:c>
      <x:c r="I294" s="324">
        <x:v>0</x:v>
      </x:c>
      <x:c r="J294" s="324">
        <x:v>0</x:v>
      </x:c>
      <x:c r="K294" s="324">
        <x:v>0</x:v>
      </x:c>
      <x:c r="L294" s="324">
        <x:v>0</x:v>
      </x:c>
      <x:c r="M294" s="324">
        <x:v>0</x:v>
      </x:c>
      <x:c r="N294" s="324">
        <x:v>0</x:v>
      </x:c>
      <x:c r="O294" s="324">
        <x:v>0</x:v>
      </x:c>
      <x:c r="P294" s="324">
        <x:v>0</x:v>
      </x:c>
      <x:c r="Q294" s="324">
        <x:v>0</x:v>
      </x:c>
      <x:c r="R294" s="324">
        <x:v>0</x:v>
      </x:c>
      <x:c r="S294" s="324">
        <x:v>0</x:v>
      </x:c>
      <x:c r="T294" s="324">
        <x:v>0</x:v>
      </x:c>
      <x:c r="U294" s="324">
        <x:v>0</x:v>
      </x:c>
      <x:c r="V294" s="324">
        <x:v>0</x:v>
      </x:c>
      <x:c r="W294" s="324">
        <x:v>0</x:v>
      </x:c>
      <x:c r="X294" s="324">
        <x:v>0</x:v>
      </x:c>
      <x:c r="Y294" s="324">
        <x:v>0</x:v>
      </x:c>
      <x:c r="Z294" s="257">
        <x:f t="shared" si="10"/>
        <x:v>0</x:v>
      </x:c>
    </x:row>
    <x:row r="295">
      <x:c r="A295" s="148" t="s">
        <x:v>107</x:v>
      </x:c>
      <x:c r="B295">
        <x:v>8</x:v>
      </x:c>
      <x:c r="C295" s="148" t="s">
        <x:v>116</x:v>
      </x:c>
      <x:c r="D295">
        <x:v>813</x:v>
      </x:c>
      <x:c r="E295" s="324">
        <x:v>0</x:v>
      </x:c>
      <x:c r="F295" s="324">
        <x:v>0</x:v>
      </x:c>
      <x:c r="G295" s="324">
        <x:v>0</x:v>
      </x:c>
      <x:c r="H295" s="324">
        <x:v>0</x:v>
      </x:c>
      <x:c r="I295" s="324">
        <x:v>0</x:v>
      </x:c>
      <x:c r="J295" s="324">
        <x:v>0</x:v>
      </x:c>
      <x:c r="K295" s="324">
        <x:v>0</x:v>
      </x:c>
      <x:c r="L295" s="324">
        <x:v>0</x:v>
      </x:c>
      <x:c r="M295" s="324">
        <x:v>0</x:v>
      </x:c>
      <x:c r="N295" s="324">
        <x:v>0</x:v>
      </x:c>
      <x:c r="O295" s="324">
        <x:v>0</x:v>
      </x:c>
      <x:c r="P295" s="324">
        <x:v>0</x:v>
      </x:c>
      <x:c r="Q295" s="324">
        <x:v>0</x:v>
      </x:c>
      <x:c r="R295" s="324">
        <x:v>0</x:v>
      </x:c>
      <x:c r="S295" s="324">
        <x:v>0</x:v>
      </x:c>
      <x:c r="T295" s="324">
        <x:v>0</x:v>
      </x:c>
      <x:c r="U295" s="324">
        <x:v>0</x:v>
      </x:c>
      <x:c r="V295" s="324">
        <x:v>0</x:v>
      </x:c>
      <x:c r="W295" s="324">
        <x:v>0</x:v>
      </x:c>
      <x:c r="X295" s="324">
        <x:v>0</x:v>
      </x:c>
      <x:c r="Y295" s="324">
        <x:v>0</x:v>
      </x:c>
      <x:c r="Z295" s="257">
        <x:f t="shared" si="10"/>
        <x:v>0</x:v>
      </x:c>
    </x:row>
    <x:row r="296">
      <x:c r="A296" s="148" t="s">
        <x:v>107</x:v>
      </x:c>
      <x:c r="B296">
        <x:v>8</x:v>
      </x:c>
      <x:c r="C296" s="148" t="s">
        <x:v>116</x:v>
      </x:c>
      <x:c r="D296">
        <x:v>814</x:v>
      </x:c>
      <x:c r="E296" s="324">
        <x:v>0</x:v>
      </x:c>
      <x:c r="F296" s="324">
        <x:v>0</x:v>
      </x:c>
      <x:c r="G296" s="324">
        <x:v>0</x:v>
      </x:c>
      <x:c r="H296" s="324">
        <x:v>0</x:v>
      </x:c>
      <x:c r="I296" s="324">
        <x:v>0</x:v>
      </x:c>
      <x:c r="J296" s="324">
        <x:v>0</x:v>
      </x:c>
      <x:c r="K296" s="324">
        <x:v>0</x:v>
      </x:c>
      <x:c r="L296" s="324">
        <x:v>0</x:v>
      </x:c>
      <x:c r="M296" s="324">
        <x:v>0</x:v>
      </x:c>
      <x:c r="N296" s="324">
        <x:v>0</x:v>
      </x:c>
      <x:c r="O296" s="324">
        <x:v>0</x:v>
      </x:c>
      <x:c r="P296" s="324">
        <x:v>0</x:v>
      </x:c>
      <x:c r="Q296" s="324">
        <x:v>0</x:v>
      </x:c>
      <x:c r="R296" s="324">
        <x:v>0</x:v>
      </x:c>
      <x:c r="S296" s="324">
        <x:v>0</x:v>
      </x:c>
      <x:c r="T296" s="324">
        <x:v>0</x:v>
      </x:c>
      <x:c r="U296" s="324">
        <x:v>0</x:v>
      </x:c>
      <x:c r="V296" s="324">
        <x:v>0</x:v>
      </x:c>
      <x:c r="W296" s="324">
        <x:v>0</x:v>
      </x:c>
      <x:c r="X296" s="324">
        <x:v>0</x:v>
      </x:c>
      <x:c r="Y296" s="324">
        <x:v>0</x:v>
      </x:c>
      <x:c r="Z296" s="257">
        <x:f t="shared" si="10"/>
        <x:v>0</x:v>
      </x:c>
    </x:row>
    <x:row r="297">
      <x:c r="A297" s="148" t="s">
        <x:v>107</x:v>
      </x:c>
      <x:c r="B297">
        <x:v>8</x:v>
      </x:c>
      <x:c r="C297" s="148" t="s">
        <x:v>116</x:v>
      </x:c>
      <x:c r="D297">
        <x:v>815</x:v>
      </x:c>
      <x:c r="E297" s="324">
        <x:v>0</x:v>
      </x:c>
      <x:c r="F297" s="324">
        <x:v>0</x:v>
      </x:c>
      <x:c r="G297" s="324">
        <x:v>0</x:v>
      </x:c>
      <x:c r="H297" s="324">
        <x:v>0</x:v>
      </x:c>
      <x:c r="I297" s="324">
        <x:v>0</x:v>
      </x:c>
      <x:c r="J297" s="324">
        <x:v>0</x:v>
      </x:c>
      <x:c r="K297" s="324">
        <x:v>0</x:v>
      </x:c>
      <x:c r="L297" s="324">
        <x:v>0</x:v>
      </x:c>
      <x:c r="M297" s="324">
        <x:v>0</x:v>
      </x:c>
      <x:c r="N297" s="324">
        <x:v>0</x:v>
      </x:c>
      <x:c r="O297" s="324">
        <x:v>0</x:v>
      </x:c>
      <x:c r="P297" s="324">
        <x:v>0</x:v>
      </x:c>
      <x:c r="Q297" s="324">
        <x:v>0</x:v>
      </x:c>
      <x:c r="R297" s="324">
        <x:v>0</x:v>
      </x:c>
      <x:c r="S297" s="324">
        <x:v>0</x:v>
      </x:c>
      <x:c r="T297" s="324">
        <x:v>0</x:v>
      </x:c>
      <x:c r="U297" s="324">
        <x:v>0</x:v>
      </x:c>
      <x:c r="V297" s="324">
        <x:v>0</x:v>
      </x:c>
      <x:c r="W297" s="324">
        <x:v>0</x:v>
      </x:c>
      <x:c r="X297" s="324">
        <x:v>0</x:v>
      </x:c>
      <x:c r="Y297" s="324">
        <x:v>0</x:v>
      </x:c>
      <x:c r="Z297" s="257">
        <x:f t="shared" si="10"/>
        <x:v>0</x:v>
      </x:c>
    </x:row>
    <x:row r="298">
      <x:c r="A298" s="148" t="s">
        <x:v>107</x:v>
      </x:c>
      <x:c r="B298">
        <x:v>8</x:v>
      </x:c>
      <x:c r="C298" s="148" t="s">
        <x:v>116</x:v>
      </x:c>
      <x:c r="D298">
        <x:v>816</x:v>
      </x:c>
      <x:c r="E298" s="324">
        <x:v>0</x:v>
      </x:c>
      <x:c r="F298" s="324">
        <x:v>0</x:v>
      </x:c>
      <x:c r="G298" s="324">
        <x:v>0</x:v>
      </x:c>
      <x:c r="H298" s="324">
        <x:v>0</x:v>
      </x:c>
      <x:c r="I298" s="324">
        <x:v>0</x:v>
      </x:c>
      <x:c r="J298" s="324">
        <x:v>0</x:v>
      </x:c>
      <x:c r="K298" s="324">
        <x:v>0</x:v>
      </x:c>
      <x:c r="L298" s="324">
        <x:v>0</x:v>
      </x:c>
      <x:c r="M298" s="324">
        <x:v>0</x:v>
      </x:c>
      <x:c r="N298" s="324">
        <x:v>0</x:v>
      </x:c>
      <x:c r="O298" s="324">
        <x:v>0</x:v>
      </x:c>
      <x:c r="P298" s="324">
        <x:v>0</x:v>
      </x:c>
      <x:c r="Q298" s="324">
        <x:v>0</x:v>
      </x:c>
      <x:c r="R298" s="324">
        <x:v>0</x:v>
      </x:c>
      <x:c r="S298" s="324">
        <x:v>0</x:v>
      </x:c>
      <x:c r="T298" s="324">
        <x:v>0</x:v>
      </x:c>
      <x:c r="U298" s="324">
        <x:v>0</x:v>
      </x:c>
      <x:c r="V298" s="324">
        <x:v>0</x:v>
      </x:c>
      <x:c r="W298" s="324">
        <x:v>0</x:v>
      </x:c>
      <x:c r="X298" s="324">
        <x:v>0</x:v>
      </x:c>
      <x:c r="Y298" s="324">
        <x:v>0</x:v>
      </x:c>
      <x:c r="Z298" s="257">
        <x:f t="shared" si="10"/>
        <x:v>0</x:v>
      </x:c>
    </x:row>
    <x:row r="299">
      <x:c r="A299" s="148" t="s">
        <x:v>107</x:v>
      </x:c>
      <x:c r="B299">
        <x:v>8</x:v>
      </x:c>
      <x:c r="C299" s="148" t="s">
        <x:v>116</x:v>
      </x:c>
      <x:c r="D299">
        <x:v>817</x:v>
      </x:c>
      <x:c r="E299" s="324">
        <x:v>0</x:v>
      </x:c>
      <x:c r="F299" s="324">
        <x:v>0</x:v>
      </x:c>
      <x:c r="G299" s="324">
        <x:v>0</x:v>
      </x:c>
      <x:c r="H299" s="324">
        <x:v>0</x:v>
      </x:c>
      <x:c r="I299" s="324">
        <x:v>0</x:v>
      </x:c>
      <x:c r="J299" s="324">
        <x:v>0</x:v>
      </x:c>
      <x:c r="K299" s="324">
        <x:v>0</x:v>
      </x:c>
      <x:c r="L299" s="324">
        <x:v>0</x:v>
      </x:c>
      <x:c r="M299" s="324">
        <x:v>0</x:v>
      </x:c>
      <x:c r="N299" s="324">
        <x:v>0</x:v>
      </x:c>
      <x:c r="O299" s="324">
        <x:v>0</x:v>
      </x:c>
      <x:c r="P299" s="324">
        <x:v>0</x:v>
      </x:c>
      <x:c r="Q299" s="324">
        <x:v>0</x:v>
      </x:c>
      <x:c r="R299" s="324">
        <x:v>0</x:v>
      </x:c>
      <x:c r="S299" s="324">
        <x:v>0</x:v>
      </x:c>
      <x:c r="T299" s="324">
        <x:v>0</x:v>
      </x:c>
      <x:c r="U299" s="324">
        <x:v>0</x:v>
      </x:c>
      <x:c r="V299" s="324">
        <x:v>0</x:v>
      </x:c>
      <x:c r="W299" s="324">
        <x:v>0</x:v>
      </x:c>
      <x:c r="X299" s="324">
        <x:v>0</x:v>
      </x:c>
      <x:c r="Y299" s="324">
        <x:v>0</x:v>
      </x:c>
      <x:c r="Z299" s="257">
        <x:f t="shared" si="10"/>
        <x:v>0</x:v>
      </x:c>
    </x:row>
    <x:row r="300">
      <x:c r="A300" s="148" t="s">
        <x:v>107</x:v>
      </x:c>
      <x:c r="B300">
        <x:v>8</x:v>
      </x:c>
      <x:c r="C300" s="148" t="s">
        <x:v>116</x:v>
      </x:c>
      <x:c r="D300">
        <x:v>818</x:v>
      </x:c>
      <x:c r="E300" s="324">
        <x:v>0</x:v>
      </x:c>
      <x:c r="F300" s="324">
        <x:v>0</x:v>
      </x:c>
      <x:c r="G300" s="324">
        <x:v>0</x:v>
      </x:c>
      <x:c r="H300" s="324">
        <x:v>0</x:v>
      </x:c>
      <x:c r="I300" s="324">
        <x:v>0</x:v>
      </x:c>
      <x:c r="J300" s="324">
        <x:v>0</x:v>
      </x:c>
      <x:c r="K300" s="324">
        <x:v>0</x:v>
      </x:c>
      <x:c r="L300" s="324">
        <x:v>0</x:v>
      </x:c>
      <x:c r="M300" s="324">
        <x:v>0</x:v>
      </x:c>
      <x:c r="N300" s="324">
        <x:v>0</x:v>
      </x:c>
      <x:c r="O300" s="324">
        <x:v>0</x:v>
      </x:c>
      <x:c r="P300" s="324">
        <x:v>0</x:v>
      </x:c>
      <x:c r="Q300" s="324">
        <x:v>0</x:v>
      </x:c>
      <x:c r="R300" s="324">
        <x:v>0</x:v>
      </x:c>
      <x:c r="S300" s="324">
        <x:v>0</x:v>
      </x:c>
      <x:c r="T300" s="324">
        <x:v>0</x:v>
      </x:c>
      <x:c r="U300" s="324">
        <x:v>0</x:v>
      </x:c>
      <x:c r="V300" s="324">
        <x:v>0</x:v>
      </x:c>
      <x:c r="W300" s="324">
        <x:v>0</x:v>
      </x:c>
      <x:c r="X300" s="324">
        <x:v>0</x:v>
      </x:c>
      <x:c r="Y300" s="324">
        <x:v>0</x:v>
      </x:c>
      <x:c r="Z300" s="257">
        <x:f t="shared" si="10"/>
        <x:v>0</x:v>
      </x:c>
    </x:row>
    <x:row r="301">
      <x:c r="A301" s="148" t="s">
        <x:v>107</x:v>
      </x:c>
      <x:c r="B301">
        <x:v>8</x:v>
      </x:c>
      <x:c r="C301" s="148" t="s">
        <x:v>116</x:v>
      </x:c>
      <x:c r="D301">
        <x:v>819</x:v>
      </x:c>
      <x:c r="E301" s="324">
        <x:v>0</x:v>
      </x:c>
      <x:c r="F301" s="324">
        <x:v>0</x:v>
      </x:c>
      <x:c r="G301" s="324">
        <x:v>0</x:v>
      </x:c>
      <x:c r="H301" s="324">
        <x:v>0</x:v>
      </x:c>
      <x:c r="I301" s="324">
        <x:v>0</x:v>
      </x:c>
      <x:c r="J301" s="324">
        <x:v>0</x:v>
      </x:c>
      <x:c r="K301" s="324">
        <x:v>0</x:v>
      </x:c>
      <x:c r="L301" s="324">
        <x:v>0</x:v>
      </x:c>
      <x:c r="M301" s="324">
        <x:v>0</x:v>
      </x:c>
      <x:c r="N301" s="324">
        <x:v>0</x:v>
      </x:c>
      <x:c r="O301" s="324">
        <x:v>0</x:v>
      </x:c>
      <x:c r="P301" s="324">
        <x:v>0</x:v>
      </x:c>
      <x:c r="Q301" s="324">
        <x:v>0</x:v>
      </x:c>
      <x:c r="R301" s="324">
        <x:v>0</x:v>
      </x:c>
      <x:c r="S301" s="324">
        <x:v>0</x:v>
      </x:c>
      <x:c r="T301" s="324">
        <x:v>0</x:v>
      </x:c>
      <x:c r="U301" s="324">
        <x:v>0</x:v>
      </x:c>
      <x:c r="V301" s="324">
        <x:v>0</x:v>
      </x:c>
      <x:c r="W301" s="324">
        <x:v>0</x:v>
      </x:c>
      <x:c r="X301" s="324">
        <x:v>0</x:v>
      </x:c>
      <x:c r="Y301" s="324">
        <x:v>0</x:v>
      </x:c>
      <x:c r="Z301" s="257">
        <x:f t="shared" si="10"/>
        <x:v>0</x:v>
      </x:c>
    </x:row>
    <x:row r="302">
      <x:c r="A302" s="148" t="s">
        <x:v>107</x:v>
      </x:c>
      <x:c r="B302">
        <x:v>8</x:v>
      </x:c>
      <x:c r="C302" s="148" t="s">
        <x:v>116</x:v>
      </x:c>
      <x:c r="D302">
        <x:v>820</x:v>
      </x:c>
      <x:c r="E302" s="324">
        <x:v>0</x:v>
      </x:c>
      <x:c r="F302" s="324">
        <x:v>0</x:v>
      </x:c>
      <x:c r="G302" s="324">
        <x:v>0</x:v>
      </x:c>
      <x:c r="H302" s="324">
        <x:v>0</x:v>
      </x:c>
      <x:c r="I302" s="324">
        <x:v>0</x:v>
      </x:c>
      <x:c r="J302" s="324">
        <x:v>0</x:v>
      </x:c>
      <x:c r="K302" s="324">
        <x:v>0</x:v>
      </x:c>
      <x:c r="L302" s="324">
        <x:v>0</x:v>
      </x:c>
      <x:c r="M302" s="324">
        <x:v>0</x:v>
      </x:c>
      <x:c r="N302" s="324">
        <x:v>0</x:v>
      </x:c>
      <x:c r="O302" s="324">
        <x:v>0</x:v>
      </x:c>
      <x:c r="P302" s="324">
        <x:v>0</x:v>
      </x:c>
      <x:c r="Q302" s="324">
        <x:v>0</x:v>
      </x:c>
      <x:c r="R302" s="324">
        <x:v>0</x:v>
      </x:c>
      <x:c r="S302" s="324">
        <x:v>0</x:v>
      </x:c>
      <x:c r="T302" s="324">
        <x:v>0</x:v>
      </x:c>
      <x:c r="U302" s="324">
        <x:v>0</x:v>
      </x:c>
      <x:c r="V302" s="324">
        <x:v>0</x:v>
      </x:c>
      <x:c r="W302" s="324">
        <x:v>0</x:v>
      </x:c>
      <x:c r="X302" s="324">
        <x:v>0</x:v>
      </x:c>
      <x:c r="Y302" s="324">
        <x:v>0</x:v>
      </x:c>
      <x:c r="Z302" s="257">
        <x:f t="shared" si="10"/>
        <x:v>0</x:v>
      </x:c>
    </x:row>
    <x:row r="303">
      <x:c r="A303" s="148" t="s">
        <x:v>107</x:v>
      </x:c>
      <x:c r="B303">
        <x:v>8</x:v>
      </x:c>
      <x:c r="C303" s="148" t="s">
        <x:v>116</x:v>
      </x:c>
      <x:c r="D303">
        <x:v>821</x:v>
      </x:c>
      <x:c r="E303" s="324">
        <x:v>0</x:v>
      </x:c>
      <x:c r="F303" s="324">
        <x:v>0</x:v>
      </x:c>
      <x:c r="G303" s="324">
        <x:v>0</x:v>
      </x:c>
      <x:c r="H303" s="324">
        <x:v>0</x:v>
      </x:c>
      <x:c r="I303" s="324">
        <x:v>0</x:v>
      </x:c>
      <x:c r="J303" s="324">
        <x:v>0</x:v>
      </x:c>
      <x:c r="K303" s="324">
        <x:v>0</x:v>
      </x:c>
      <x:c r="L303" s="324">
        <x:v>0</x:v>
      </x:c>
      <x:c r="M303" s="324">
        <x:v>0</x:v>
      </x:c>
      <x:c r="N303" s="324">
        <x:v>0</x:v>
      </x:c>
      <x:c r="O303" s="324">
        <x:v>0</x:v>
      </x:c>
      <x:c r="P303" s="324">
        <x:v>0</x:v>
      </x:c>
      <x:c r="Q303" s="324">
        <x:v>0</x:v>
      </x:c>
      <x:c r="R303" s="324">
        <x:v>0</x:v>
      </x:c>
      <x:c r="S303" s="324">
        <x:v>0</x:v>
      </x:c>
      <x:c r="T303" s="324">
        <x:v>0</x:v>
      </x:c>
      <x:c r="U303" s="324">
        <x:v>0</x:v>
      </x:c>
      <x:c r="V303" s="324">
        <x:v>0</x:v>
      </x:c>
      <x:c r="W303" s="324">
        <x:v>0</x:v>
      </x:c>
      <x:c r="X303" s="324">
        <x:v>0</x:v>
      </x:c>
      <x:c r="Y303" s="324">
        <x:v>0</x:v>
      </x:c>
      <x:c r="Z303" s="257">
        <x:f t="shared" si="10"/>
        <x:v>0</x:v>
      </x:c>
    </x:row>
    <x:row r="304">
      <x:c r="A304" s="148" t="s">
        <x:v>107</x:v>
      </x:c>
      <x:c r="B304">
        <x:v>8</x:v>
      </x:c>
      <x:c r="C304" s="148" t="s">
        <x:v>116</x:v>
      </x:c>
      <x:c r="D304">
        <x:v>822</x:v>
      </x:c>
      <x:c r="E304" s="324">
        <x:v>0</x:v>
      </x:c>
      <x:c r="F304" s="324">
        <x:v>0</x:v>
      </x:c>
      <x:c r="G304" s="324">
        <x:v>0</x:v>
      </x:c>
      <x:c r="H304" s="324">
        <x:v>0</x:v>
      </x:c>
      <x:c r="I304" s="324">
        <x:v>0</x:v>
      </x:c>
      <x:c r="J304" s="324">
        <x:v>0</x:v>
      </x:c>
      <x:c r="K304" s="324">
        <x:v>0</x:v>
      </x:c>
      <x:c r="L304" s="324">
        <x:v>0</x:v>
      </x:c>
      <x:c r="M304" s="324">
        <x:v>0</x:v>
      </x:c>
      <x:c r="N304" s="324">
        <x:v>0</x:v>
      </x:c>
      <x:c r="O304" s="324">
        <x:v>0</x:v>
      </x:c>
      <x:c r="P304" s="324">
        <x:v>0</x:v>
      </x:c>
      <x:c r="Q304" s="324">
        <x:v>0</x:v>
      </x:c>
      <x:c r="R304" s="324">
        <x:v>0</x:v>
      </x:c>
      <x:c r="S304" s="324">
        <x:v>0</x:v>
      </x:c>
      <x:c r="T304" s="324">
        <x:v>0</x:v>
      </x:c>
      <x:c r="U304" s="324">
        <x:v>0</x:v>
      </x:c>
      <x:c r="V304" s="324">
        <x:v>0</x:v>
      </x:c>
      <x:c r="W304" s="324">
        <x:v>0</x:v>
      </x:c>
      <x:c r="X304" s="324">
        <x:v>0</x:v>
      </x:c>
      <x:c r="Y304" s="324">
        <x:v>0</x:v>
      </x:c>
      <x:c r="Z304" s="257">
        <x:f t="shared" si="10"/>
        <x:v>0</x:v>
      </x:c>
    </x:row>
    <x:row r="305">
      <x:c r="A305" s="148" t="s">
        <x:v>107</x:v>
      </x:c>
      <x:c r="B305">
        <x:v>8</x:v>
      </x:c>
      <x:c r="C305" s="148" t="s">
        <x:v>116</x:v>
      </x:c>
      <x:c r="D305">
        <x:v>823</x:v>
      </x:c>
      <x:c r="E305" s="324">
        <x:v>0</x:v>
      </x:c>
      <x:c r="F305" s="324">
        <x:v>0</x:v>
      </x:c>
      <x:c r="G305" s="324">
        <x:v>0</x:v>
      </x:c>
      <x:c r="H305" s="324">
        <x:v>0</x:v>
      </x:c>
      <x:c r="I305" s="324">
        <x:v>0</x:v>
      </x:c>
      <x:c r="J305" s="324">
        <x:v>0</x:v>
      </x:c>
      <x:c r="K305" s="324">
        <x:v>0</x:v>
      </x:c>
      <x:c r="L305" s="324">
        <x:v>0</x:v>
      </x:c>
      <x:c r="M305" s="324">
        <x:v>0</x:v>
      </x:c>
      <x:c r="N305" s="324">
        <x:v>0</x:v>
      </x:c>
      <x:c r="O305" s="324">
        <x:v>0</x:v>
      </x:c>
      <x:c r="P305" s="324">
        <x:v>0</x:v>
      </x:c>
      <x:c r="Q305" s="324">
        <x:v>0</x:v>
      </x:c>
      <x:c r="R305" s="324">
        <x:v>0</x:v>
      </x:c>
      <x:c r="S305" s="324">
        <x:v>0</x:v>
      </x:c>
      <x:c r="T305" s="324">
        <x:v>0</x:v>
      </x:c>
      <x:c r="U305" s="324">
        <x:v>0</x:v>
      </x:c>
      <x:c r="V305" s="324">
        <x:v>0</x:v>
      </x:c>
      <x:c r="W305" s="324">
        <x:v>0</x:v>
      </x:c>
      <x:c r="X305" s="324">
        <x:v>0</x:v>
      </x:c>
      <x:c r="Y305" s="324">
        <x:v>0</x:v>
      </x:c>
      <x:c r="Z305" s="257">
        <x:f t="shared" si="10"/>
        <x:v>0</x:v>
      </x:c>
    </x:row>
    <x:row r="306">
      <x:c r="A306" s="148" t="s">
        <x:v>107</x:v>
      </x:c>
      <x:c r="B306">
        <x:v>8</x:v>
      </x:c>
      <x:c r="C306" s="148" t="s">
        <x:v>115</x:v>
      </x:c>
      <x:c r="D306">
        <x:v>801</x:v>
      </x:c>
      <x:c r="E306" s="324">
        <x:v>0</x:v>
      </x:c>
      <x:c r="F306" s="324">
        <x:v>0</x:v>
      </x:c>
      <x:c r="G306" s="324">
        <x:v>0</x:v>
      </x:c>
      <x:c r="H306" s="324">
        <x:v>0</x:v>
      </x:c>
      <x:c r="I306" s="324">
        <x:v>0</x:v>
      </x:c>
      <x:c r="J306" s="324">
        <x:v>0</x:v>
      </x:c>
      <x:c r="K306" s="324">
        <x:v>0</x:v>
      </x:c>
      <x:c r="L306" s="324">
        <x:v>0</x:v>
      </x:c>
      <x:c r="M306" s="324">
        <x:v>0</x:v>
      </x:c>
      <x:c r="N306" s="324">
        <x:v>0</x:v>
      </x:c>
      <x:c r="O306" s="324">
        <x:v>0</x:v>
      </x:c>
      <x:c r="P306" s="324">
        <x:v>0</x:v>
      </x:c>
      <x:c r="Q306" s="324">
        <x:v>0</x:v>
      </x:c>
      <x:c r="R306" s="324">
        <x:v>0</x:v>
      </x:c>
      <x:c r="S306" s="324">
        <x:v>0</x:v>
      </x:c>
      <x:c r="T306" s="324">
        <x:v>0</x:v>
      </x:c>
      <x:c r="U306" s="324">
        <x:v>0</x:v>
      </x:c>
      <x:c r="V306" s="324">
        <x:v>0</x:v>
      </x:c>
      <x:c r="W306" s="324">
        <x:v>0</x:v>
      </x:c>
      <x:c r="X306" s="324">
        <x:v>0</x:v>
      </x:c>
      <x:c r="Y306" s="324">
        <x:v>0</x:v>
      </x:c>
      <x:c r="Z306" s="257">
        <x:f t="shared" si="10"/>
        <x:v>0</x:v>
      </x:c>
    </x:row>
    <x:row r="307">
      <x:c r="A307" s="148" t="s">
        <x:v>107</x:v>
      </x:c>
      <x:c r="B307">
        <x:v>8</x:v>
      </x:c>
      <x:c r="C307" s="148" t="s">
        <x:v>115</x:v>
      </x:c>
      <x:c r="D307">
        <x:v>802</x:v>
      </x:c>
      <x:c r="E307" s="324">
        <x:v>0</x:v>
      </x:c>
      <x:c r="F307" s="324">
        <x:v>0</x:v>
      </x:c>
      <x:c r="G307" s="324">
        <x:v>0</x:v>
      </x:c>
      <x:c r="H307" s="324">
        <x:v>0</x:v>
      </x:c>
      <x:c r="I307" s="324">
        <x:v>0</x:v>
      </x:c>
      <x:c r="J307" s="324">
        <x:v>0</x:v>
      </x:c>
      <x:c r="K307" s="324">
        <x:v>0</x:v>
      </x:c>
      <x:c r="L307" s="324">
        <x:v>0</x:v>
      </x:c>
      <x:c r="M307" s="324">
        <x:v>0</x:v>
      </x:c>
      <x:c r="N307" s="324">
        <x:v>0</x:v>
      </x:c>
      <x:c r="O307" s="324">
        <x:v>0</x:v>
      </x:c>
      <x:c r="P307" s="324">
        <x:v>0</x:v>
      </x:c>
      <x:c r="Q307" s="324">
        <x:v>0</x:v>
      </x:c>
      <x:c r="R307" s="324">
        <x:v>0</x:v>
      </x:c>
      <x:c r="S307" s="324">
        <x:v>0</x:v>
      </x:c>
      <x:c r="T307" s="324">
        <x:v>0</x:v>
      </x:c>
      <x:c r="U307" s="324">
        <x:v>0</x:v>
      </x:c>
      <x:c r="V307" s="324">
        <x:v>0</x:v>
      </x:c>
      <x:c r="W307" s="324">
        <x:v>0</x:v>
      </x:c>
      <x:c r="X307" s="324">
        <x:v>0</x:v>
      </x:c>
      <x:c r="Y307" s="324">
        <x:v>0</x:v>
      </x:c>
      <x:c r="Z307" s="257">
        <x:f t="shared" si="10"/>
        <x:v>0</x:v>
      </x:c>
    </x:row>
    <x:row r="308">
      <x:c r="A308" s="148" t="s">
        <x:v>107</x:v>
      </x:c>
      <x:c r="B308">
        <x:v>8</x:v>
      </x:c>
      <x:c r="C308" s="148" t="s">
        <x:v>115</x:v>
      </x:c>
      <x:c r="D308">
        <x:v>803</x:v>
      </x:c>
      <x:c r="E308" s="324">
        <x:v>0</x:v>
      </x:c>
      <x:c r="F308" s="324">
        <x:v>0</x:v>
      </x:c>
      <x:c r="G308" s="324">
        <x:v>0</x:v>
      </x:c>
      <x:c r="H308" s="324">
        <x:v>0</x:v>
      </x:c>
      <x:c r="I308" s="324">
        <x:v>0</x:v>
      </x:c>
      <x:c r="J308" s="324">
        <x:v>0</x:v>
      </x:c>
      <x:c r="K308" s="324">
        <x:v>0</x:v>
      </x:c>
      <x:c r="L308" s="324">
        <x:v>0</x:v>
      </x:c>
      <x:c r="M308" s="324">
        <x:v>0</x:v>
      </x:c>
      <x:c r="N308" s="324">
        <x:v>0</x:v>
      </x:c>
      <x:c r="O308" s="324">
        <x:v>0</x:v>
      </x:c>
      <x:c r="P308" s="324">
        <x:v>0</x:v>
      </x:c>
      <x:c r="Q308" s="324">
        <x:v>0</x:v>
      </x:c>
      <x:c r="R308" s="324">
        <x:v>0</x:v>
      </x:c>
      <x:c r="S308" s="324">
        <x:v>0</x:v>
      </x:c>
      <x:c r="T308" s="324">
        <x:v>0</x:v>
      </x:c>
      <x:c r="U308" s="324">
        <x:v>0</x:v>
      </x:c>
      <x:c r="V308" s="324">
        <x:v>0</x:v>
      </x:c>
      <x:c r="W308" s="324">
        <x:v>0</x:v>
      </x:c>
      <x:c r="X308" s="324">
        <x:v>0</x:v>
      </x:c>
      <x:c r="Y308" s="324">
        <x:v>0</x:v>
      </x:c>
      <x:c r="Z308" s="257">
        <x:f t="shared" si="10"/>
        <x:v>0</x:v>
      </x:c>
    </x:row>
    <x:row r="309">
      <x:c r="A309" s="148" t="s">
        <x:v>107</x:v>
      </x:c>
      <x:c r="B309">
        <x:v>8</x:v>
      </x:c>
      <x:c r="C309" s="148" t="s">
        <x:v>115</x:v>
      </x:c>
      <x:c r="D309">
        <x:v>804</x:v>
      </x:c>
      <x:c r="E309" s="324">
        <x:v>0</x:v>
      </x:c>
      <x:c r="F309" s="324">
        <x:v>0</x:v>
      </x:c>
      <x:c r="G309" s="324">
        <x:v>0</x:v>
      </x:c>
      <x:c r="H309" s="324">
        <x:v>0</x:v>
      </x:c>
      <x:c r="I309" s="324">
        <x:v>0</x:v>
      </x:c>
      <x:c r="J309" s="324">
        <x:v>0</x:v>
      </x:c>
      <x:c r="K309" s="324">
        <x:v>0</x:v>
      </x:c>
      <x:c r="L309" s="324">
        <x:v>0</x:v>
      </x:c>
      <x:c r="M309" s="324">
        <x:v>0</x:v>
      </x:c>
      <x:c r="N309" s="324">
        <x:v>0</x:v>
      </x:c>
      <x:c r="O309" s="324">
        <x:v>0</x:v>
      </x:c>
      <x:c r="P309" s="324">
        <x:v>0</x:v>
      </x:c>
      <x:c r="Q309" s="324">
        <x:v>0</x:v>
      </x:c>
      <x:c r="R309" s="324">
        <x:v>0</x:v>
      </x:c>
      <x:c r="S309" s="324">
        <x:v>0</x:v>
      </x:c>
      <x:c r="T309" s="324">
        <x:v>0</x:v>
      </x:c>
      <x:c r="U309" s="324">
        <x:v>0</x:v>
      </x:c>
      <x:c r="V309" s="324">
        <x:v>0</x:v>
      </x:c>
      <x:c r="W309" s="324">
        <x:v>0</x:v>
      </x:c>
      <x:c r="X309" s="324">
        <x:v>0</x:v>
      </x:c>
      <x:c r="Y309" s="324">
        <x:v>0</x:v>
      </x:c>
      <x:c r="Z309" s="257">
        <x:f t="shared" si="10"/>
        <x:v>0</x:v>
      </x:c>
    </x:row>
    <x:row r="310">
      <x:c r="A310" s="148" t="s">
        <x:v>107</x:v>
      </x:c>
      <x:c r="B310">
        <x:v>8</x:v>
      </x:c>
      <x:c r="C310" s="148" t="s">
        <x:v>115</x:v>
      </x:c>
      <x:c r="D310">
        <x:v>805</x:v>
      </x:c>
      <x:c r="E310" s="324">
        <x:v>0</x:v>
      </x:c>
      <x:c r="F310" s="324">
        <x:v>0</x:v>
      </x:c>
      <x:c r="G310" s="324">
        <x:v>0</x:v>
      </x:c>
      <x:c r="H310" s="324">
        <x:v>0</x:v>
      </x:c>
      <x:c r="I310" s="324">
        <x:v>0</x:v>
      </x:c>
      <x:c r="J310" s="324">
        <x:v>0</x:v>
      </x:c>
      <x:c r="K310" s="324">
        <x:v>0</x:v>
      </x:c>
      <x:c r="L310" s="324">
        <x:v>0</x:v>
      </x:c>
      <x:c r="M310" s="324">
        <x:v>0</x:v>
      </x:c>
      <x:c r="N310" s="324">
        <x:v>0</x:v>
      </x:c>
      <x:c r="O310" s="324">
        <x:v>0</x:v>
      </x:c>
      <x:c r="P310" s="324">
        <x:v>0</x:v>
      </x:c>
      <x:c r="Q310" s="324">
        <x:v>0</x:v>
      </x:c>
      <x:c r="R310" s="324">
        <x:v>0</x:v>
      </x:c>
      <x:c r="S310" s="324">
        <x:v>0</x:v>
      </x:c>
      <x:c r="T310" s="324">
        <x:v>0</x:v>
      </x:c>
      <x:c r="U310" s="324">
        <x:v>0</x:v>
      </x:c>
      <x:c r="V310" s="324">
        <x:v>0</x:v>
      </x:c>
      <x:c r="W310" s="324">
        <x:v>0</x:v>
      </x:c>
      <x:c r="X310" s="324">
        <x:v>0</x:v>
      </x:c>
      <x:c r="Y310" s="324">
        <x:v>0</x:v>
      </x:c>
      <x:c r="Z310" s="257">
        <x:f t="shared" si="10"/>
        <x:v>0</x:v>
      </x:c>
    </x:row>
    <x:row r="311">
      <x:c r="A311" s="148" t="s">
        <x:v>107</x:v>
      </x:c>
      <x:c r="B311">
        <x:v>8</x:v>
      </x:c>
      <x:c r="C311" s="148" t="s">
        <x:v>115</x:v>
      </x:c>
      <x:c r="D311">
        <x:v>806</x:v>
      </x:c>
      <x:c r="E311" s="324">
        <x:v>0</x:v>
      </x:c>
      <x:c r="F311" s="324">
        <x:v>0</x:v>
      </x:c>
      <x:c r="G311" s="324">
        <x:v>0</x:v>
      </x:c>
      <x:c r="H311" s="324">
        <x:v>0</x:v>
      </x:c>
      <x:c r="I311" s="324">
        <x:v>0</x:v>
      </x:c>
      <x:c r="J311" s="324">
        <x:v>0</x:v>
      </x:c>
      <x:c r="K311" s="324">
        <x:v>0</x:v>
      </x:c>
      <x:c r="L311" s="324">
        <x:v>0</x:v>
      </x:c>
      <x:c r="M311" s="324">
        <x:v>0</x:v>
      </x:c>
      <x:c r="N311" s="324">
        <x:v>0</x:v>
      </x:c>
      <x:c r="O311" s="324">
        <x:v>0</x:v>
      </x:c>
      <x:c r="P311" s="324">
        <x:v>0</x:v>
      </x:c>
      <x:c r="Q311" s="324">
        <x:v>0</x:v>
      </x:c>
      <x:c r="R311" s="324">
        <x:v>0</x:v>
      </x:c>
      <x:c r="S311" s="324">
        <x:v>0</x:v>
      </x:c>
      <x:c r="T311" s="324">
        <x:v>0</x:v>
      </x:c>
      <x:c r="U311" s="324">
        <x:v>0</x:v>
      </x:c>
      <x:c r="V311" s="324">
        <x:v>0</x:v>
      </x:c>
      <x:c r="W311" s="324">
        <x:v>0</x:v>
      </x:c>
      <x:c r="X311" s="324">
        <x:v>0</x:v>
      </x:c>
      <x:c r="Y311" s="324">
        <x:v>0</x:v>
      </x:c>
      <x:c r="Z311" s="257">
        <x:f t="shared" si="10"/>
        <x:v>0</x:v>
      </x:c>
    </x:row>
    <x:row r="312">
      <x:c r="A312" s="148" t="s">
        <x:v>107</x:v>
      </x:c>
      <x:c r="B312">
        <x:v>8</x:v>
      </x:c>
      <x:c r="C312" s="148" t="s">
        <x:v>115</x:v>
      </x:c>
      <x:c r="D312">
        <x:v>807</x:v>
      </x:c>
      <x:c r="E312" s="324">
        <x:v>0</x:v>
      </x:c>
      <x:c r="F312" s="324">
        <x:v>0</x:v>
      </x:c>
      <x:c r="G312" s="324">
        <x:v>0</x:v>
      </x:c>
      <x:c r="H312" s="324">
        <x:v>0</x:v>
      </x:c>
      <x:c r="I312" s="324">
        <x:v>0</x:v>
      </x:c>
      <x:c r="J312" s="324">
        <x:v>0</x:v>
      </x:c>
      <x:c r="K312" s="324">
        <x:v>0</x:v>
      </x:c>
      <x:c r="L312" s="324">
        <x:v>0</x:v>
      </x:c>
      <x:c r="M312" s="324">
        <x:v>0</x:v>
      </x:c>
      <x:c r="N312" s="324">
        <x:v>0</x:v>
      </x:c>
      <x:c r="O312" s="324">
        <x:v>0</x:v>
      </x:c>
      <x:c r="P312" s="324">
        <x:v>0</x:v>
      </x:c>
      <x:c r="Q312" s="324">
        <x:v>0</x:v>
      </x:c>
      <x:c r="R312" s="324">
        <x:v>0</x:v>
      </x:c>
      <x:c r="S312" s="324">
        <x:v>0</x:v>
      </x:c>
      <x:c r="T312" s="324">
        <x:v>0</x:v>
      </x:c>
      <x:c r="U312" s="324">
        <x:v>0</x:v>
      </x:c>
      <x:c r="V312" s="324">
        <x:v>0</x:v>
      </x:c>
      <x:c r="W312" s="324">
        <x:v>0</x:v>
      </x:c>
      <x:c r="X312" s="324">
        <x:v>0</x:v>
      </x:c>
      <x:c r="Y312" s="324">
        <x:v>0</x:v>
      </x:c>
      <x:c r="Z312" s="257">
        <x:f t="shared" si="10"/>
        <x:v>0</x:v>
      </x:c>
    </x:row>
    <x:row r="313">
      <x:c r="A313" s="148" t="s">
        <x:v>107</x:v>
      </x:c>
      <x:c r="B313">
        <x:v>8</x:v>
      </x:c>
      <x:c r="C313" s="148" t="s">
        <x:v>115</x:v>
      </x:c>
      <x:c r="D313">
        <x:v>808</x:v>
      </x:c>
      <x:c r="E313" s="324">
        <x:v>0</x:v>
      </x:c>
      <x:c r="F313" s="324">
        <x:v>0</x:v>
      </x:c>
      <x:c r="G313" s="324">
        <x:v>0</x:v>
      </x:c>
      <x:c r="H313" s="324">
        <x:v>0</x:v>
      </x:c>
      <x:c r="I313" s="324">
        <x:v>0</x:v>
      </x:c>
      <x:c r="J313" s="324">
        <x:v>0</x:v>
      </x:c>
      <x:c r="K313" s="324">
        <x:v>0</x:v>
      </x:c>
      <x:c r="L313" s="324">
        <x:v>0</x:v>
      </x:c>
      <x:c r="M313" s="324">
        <x:v>0</x:v>
      </x:c>
      <x:c r="N313" s="324">
        <x:v>0</x:v>
      </x:c>
      <x:c r="O313" s="324">
        <x:v>0</x:v>
      </x:c>
      <x:c r="P313" s="324">
        <x:v>0</x:v>
      </x:c>
      <x:c r="Q313" s="324">
        <x:v>0</x:v>
      </x:c>
      <x:c r="R313" s="324">
        <x:v>0</x:v>
      </x:c>
      <x:c r="S313" s="324">
        <x:v>0</x:v>
      </x:c>
      <x:c r="T313" s="324">
        <x:v>0</x:v>
      </x:c>
      <x:c r="U313" s="324">
        <x:v>0</x:v>
      </x:c>
      <x:c r="V313" s="324">
        <x:v>0</x:v>
      </x:c>
      <x:c r="W313" s="324">
        <x:v>0</x:v>
      </x:c>
      <x:c r="X313" s="324">
        <x:v>0</x:v>
      </x:c>
      <x:c r="Y313" s="324">
        <x:v>0</x:v>
      </x:c>
      <x:c r="Z313" s="257">
        <x:f t="shared" si="10"/>
        <x:v>0</x:v>
      </x:c>
    </x:row>
    <x:row r="314">
      <x:c r="A314" s="148" t="s">
        <x:v>107</x:v>
      </x:c>
      <x:c r="B314">
        <x:v>8</x:v>
      </x:c>
      <x:c r="C314" s="148" t="s">
        <x:v>115</x:v>
      </x:c>
      <x:c r="D314">
        <x:v>809</x:v>
      </x:c>
      <x:c r="E314" s="324">
        <x:v>0</x:v>
      </x:c>
      <x:c r="F314" s="324">
        <x:v>0</x:v>
      </x:c>
      <x:c r="G314" s="324">
        <x:v>0</x:v>
      </x:c>
      <x:c r="H314" s="324">
        <x:v>0</x:v>
      </x:c>
      <x:c r="I314" s="324">
        <x:v>0</x:v>
      </x:c>
      <x:c r="J314" s="324">
        <x:v>0</x:v>
      </x:c>
      <x:c r="K314" s="324">
        <x:v>0</x:v>
      </x:c>
      <x:c r="L314" s="324">
        <x:v>0</x:v>
      </x:c>
      <x:c r="M314" s="324">
        <x:v>0</x:v>
      </x:c>
      <x:c r="N314" s="324">
        <x:v>0</x:v>
      </x:c>
      <x:c r="O314" s="324">
        <x:v>0</x:v>
      </x:c>
      <x:c r="P314" s="324">
        <x:v>0</x:v>
      </x:c>
      <x:c r="Q314" s="324">
        <x:v>0</x:v>
      </x:c>
      <x:c r="R314" s="324">
        <x:v>0</x:v>
      </x:c>
      <x:c r="S314" s="324">
        <x:v>0</x:v>
      </x:c>
      <x:c r="T314" s="324">
        <x:v>0</x:v>
      </x:c>
      <x:c r="U314" s="324">
        <x:v>0</x:v>
      </x:c>
      <x:c r="V314" s="324">
        <x:v>0</x:v>
      </x:c>
      <x:c r="W314" s="324">
        <x:v>0</x:v>
      </x:c>
      <x:c r="X314" s="324">
        <x:v>0</x:v>
      </x:c>
      <x:c r="Y314" s="324">
        <x:v>0</x:v>
      </x:c>
      <x:c r="Z314" s="257">
        <x:f t="shared" si="10"/>
        <x:v>0</x:v>
      </x:c>
    </x:row>
    <x:row r="315">
      <x:c r="A315" s="148" t="s">
        <x:v>107</x:v>
      </x:c>
      <x:c r="B315">
        <x:v>8</x:v>
      </x:c>
      <x:c r="C315" s="148" t="s">
        <x:v>115</x:v>
      </x:c>
      <x:c r="D315">
        <x:v>810</x:v>
      </x:c>
      <x:c r="E315" s="324">
        <x:v>0</x:v>
      </x:c>
      <x:c r="F315" s="324">
        <x:v>0</x:v>
      </x:c>
      <x:c r="G315" s="324">
        <x:v>0</x:v>
      </x:c>
      <x:c r="H315" s="324">
        <x:v>0</x:v>
      </x:c>
      <x:c r="I315" s="324">
        <x:v>0</x:v>
      </x:c>
      <x:c r="J315" s="324">
        <x:v>0</x:v>
      </x:c>
      <x:c r="K315" s="324">
        <x:v>0</x:v>
      </x:c>
      <x:c r="L315" s="324">
        <x:v>0</x:v>
      </x:c>
      <x:c r="M315" s="324">
        <x:v>0</x:v>
      </x:c>
      <x:c r="N315" s="324">
        <x:v>0</x:v>
      </x:c>
      <x:c r="O315" s="324">
        <x:v>0</x:v>
      </x:c>
      <x:c r="P315" s="324">
        <x:v>0</x:v>
      </x:c>
      <x:c r="Q315" s="324">
        <x:v>0</x:v>
      </x:c>
      <x:c r="R315" s="324">
        <x:v>0</x:v>
      </x:c>
      <x:c r="S315" s="324">
        <x:v>0</x:v>
      </x:c>
      <x:c r="T315" s="324">
        <x:v>0</x:v>
      </x:c>
      <x:c r="U315" s="324">
        <x:v>0</x:v>
      </x:c>
      <x:c r="V315" s="324">
        <x:v>0</x:v>
      </x:c>
      <x:c r="W315" s="324">
        <x:v>0</x:v>
      </x:c>
      <x:c r="X315" s="324">
        <x:v>0</x:v>
      </x:c>
      <x:c r="Y315" s="324">
        <x:v>0</x:v>
      </x:c>
      <x:c r="Z315" s="257">
        <x:f t="shared" si="10"/>
        <x:v>0</x:v>
      </x:c>
    </x:row>
    <x:row r="316">
      <x:c r="A316" s="148" t="s">
        <x:v>107</x:v>
      </x:c>
      <x:c r="B316">
        <x:v>8</x:v>
      </x:c>
      <x:c r="C316" s="148" t="s">
        <x:v>115</x:v>
      </x:c>
      <x:c r="D316">
        <x:v>811</x:v>
      </x:c>
      <x:c r="E316" s="324">
        <x:v>0</x:v>
      </x:c>
      <x:c r="F316" s="324">
        <x:v>0</x:v>
      </x:c>
      <x:c r="G316" s="324">
        <x:v>0</x:v>
      </x:c>
      <x:c r="H316" s="324">
        <x:v>0</x:v>
      </x:c>
      <x:c r="I316" s="324">
        <x:v>0</x:v>
      </x:c>
      <x:c r="J316" s="324">
        <x:v>0</x:v>
      </x:c>
      <x:c r="K316" s="324">
        <x:v>0</x:v>
      </x:c>
      <x:c r="L316" s="324">
        <x:v>0</x:v>
      </x:c>
      <x:c r="M316" s="324">
        <x:v>0</x:v>
      </x:c>
      <x:c r="N316" s="324">
        <x:v>0</x:v>
      </x:c>
      <x:c r="O316" s="324">
        <x:v>0</x:v>
      </x:c>
      <x:c r="P316" s="324">
        <x:v>0</x:v>
      </x:c>
      <x:c r="Q316" s="324">
        <x:v>0</x:v>
      </x:c>
      <x:c r="R316" s="324">
        <x:v>0</x:v>
      </x:c>
      <x:c r="S316" s="324">
        <x:v>0</x:v>
      </x:c>
      <x:c r="T316" s="324">
        <x:v>0</x:v>
      </x:c>
      <x:c r="U316" s="324">
        <x:v>0</x:v>
      </x:c>
      <x:c r="V316" s="324">
        <x:v>0</x:v>
      </x:c>
      <x:c r="W316" s="324">
        <x:v>0</x:v>
      </x:c>
      <x:c r="X316" s="324">
        <x:v>0</x:v>
      </x:c>
      <x:c r="Y316" s="324">
        <x:v>0</x:v>
      </x:c>
      <x:c r="Z316" s="257">
        <x:f t="shared" si="10"/>
        <x:v>0</x:v>
      </x:c>
    </x:row>
    <x:row r="317">
      <x:c r="A317" s="148" t="s">
        <x:v>107</x:v>
      </x:c>
      <x:c r="B317">
        <x:v>8</x:v>
      </x:c>
      <x:c r="C317" s="148" t="s">
        <x:v>115</x:v>
      </x:c>
      <x:c r="D317">
        <x:v>812</x:v>
      </x:c>
      <x:c r="E317" s="324">
        <x:v>0</x:v>
      </x:c>
      <x:c r="F317" s="324">
        <x:v>0</x:v>
      </x:c>
      <x:c r="G317" s="324">
        <x:v>0</x:v>
      </x:c>
      <x:c r="H317" s="324">
        <x:v>0</x:v>
      </x:c>
      <x:c r="I317" s="324">
        <x:v>0</x:v>
      </x:c>
      <x:c r="J317" s="324">
        <x:v>0</x:v>
      </x:c>
      <x:c r="K317" s="324">
        <x:v>0</x:v>
      </x:c>
      <x:c r="L317" s="324">
        <x:v>0</x:v>
      </x:c>
      <x:c r="M317" s="324">
        <x:v>0</x:v>
      </x:c>
      <x:c r="N317" s="324">
        <x:v>0</x:v>
      </x:c>
      <x:c r="O317" s="324">
        <x:v>0</x:v>
      </x:c>
      <x:c r="P317" s="324">
        <x:v>0</x:v>
      </x:c>
      <x:c r="Q317" s="324">
        <x:v>0</x:v>
      </x:c>
      <x:c r="R317" s="324">
        <x:v>0</x:v>
      </x:c>
      <x:c r="S317" s="324">
        <x:v>0</x:v>
      </x:c>
      <x:c r="T317" s="324">
        <x:v>0</x:v>
      </x:c>
      <x:c r="U317" s="324">
        <x:v>0</x:v>
      </x:c>
      <x:c r="V317" s="324">
        <x:v>0</x:v>
      </x:c>
      <x:c r="W317" s="324">
        <x:v>0</x:v>
      </x:c>
      <x:c r="X317" s="324">
        <x:v>0</x:v>
      </x:c>
      <x:c r="Y317" s="324">
        <x:v>0</x:v>
      </x:c>
      <x:c r="Z317" s="257">
        <x:f t="shared" si="10"/>
        <x:v>0</x:v>
      </x:c>
    </x:row>
    <x:row r="318">
      <x:c r="A318" s="148" t="s">
        <x:v>107</x:v>
      </x:c>
      <x:c r="B318">
        <x:v>8</x:v>
      </x:c>
      <x:c r="C318" s="148" t="s">
        <x:v>115</x:v>
      </x:c>
      <x:c r="D318">
        <x:v>813</x:v>
      </x:c>
      <x:c r="E318" s="324">
        <x:v>0</x:v>
      </x:c>
      <x:c r="F318" s="324">
        <x:v>0</x:v>
      </x:c>
      <x:c r="G318" s="324">
        <x:v>0</x:v>
      </x:c>
      <x:c r="H318" s="324">
        <x:v>0</x:v>
      </x:c>
      <x:c r="I318" s="324">
        <x:v>0</x:v>
      </x:c>
      <x:c r="J318" s="324">
        <x:v>0</x:v>
      </x:c>
      <x:c r="K318" s="324">
        <x:v>0</x:v>
      </x:c>
      <x:c r="L318" s="324">
        <x:v>0</x:v>
      </x:c>
      <x:c r="M318" s="324">
        <x:v>0</x:v>
      </x:c>
      <x:c r="N318" s="324">
        <x:v>0</x:v>
      </x:c>
      <x:c r="O318" s="324">
        <x:v>0</x:v>
      </x:c>
      <x:c r="P318" s="324">
        <x:v>0</x:v>
      </x:c>
      <x:c r="Q318" s="324">
        <x:v>0</x:v>
      </x:c>
      <x:c r="R318" s="324">
        <x:v>0</x:v>
      </x:c>
      <x:c r="S318" s="324">
        <x:v>0</x:v>
      </x:c>
      <x:c r="T318" s="324">
        <x:v>0</x:v>
      </x:c>
      <x:c r="U318" s="324">
        <x:v>0</x:v>
      </x:c>
      <x:c r="V318" s="324">
        <x:v>0</x:v>
      </x:c>
      <x:c r="W318" s="324">
        <x:v>0</x:v>
      </x:c>
      <x:c r="X318" s="324">
        <x:v>0</x:v>
      </x:c>
      <x:c r="Y318" s="324">
        <x:v>0</x:v>
      </x:c>
      <x:c r="Z318" s="257">
        <x:f t="shared" si="10"/>
        <x:v>0</x:v>
      </x:c>
    </x:row>
    <x:row r="319">
      <x:c r="A319" s="148" t="s">
        <x:v>107</x:v>
      </x:c>
      <x:c r="B319">
        <x:v>8</x:v>
      </x:c>
      <x:c r="C319" s="148" t="s">
        <x:v>115</x:v>
      </x:c>
      <x:c r="D319">
        <x:v>814</x:v>
      </x:c>
      <x:c r="E319" s="324">
        <x:v>0</x:v>
      </x:c>
      <x:c r="F319" s="324">
        <x:v>0</x:v>
      </x:c>
      <x:c r="G319" s="324">
        <x:v>0</x:v>
      </x:c>
      <x:c r="H319" s="324">
        <x:v>0</x:v>
      </x:c>
      <x:c r="I319" s="324">
        <x:v>0</x:v>
      </x:c>
      <x:c r="J319" s="324">
        <x:v>0</x:v>
      </x:c>
      <x:c r="K319" s="324">
        <x:v>0</x:v>
      </x:c>
      <x:c r="L319" s="324">
        <x:v>0</x:v>
      </x:c>
      <x:c r="M319" s="324">
        <x:v>0</x:v>
      </x:c>
      <x:c r="N319" s="324">
        <x:v>0</x:v>
      </x:c>
      <x:c r="O319" s="324">
        <x:v>0</x:v>
      </x:c>
      <x:c r="P319" s="324">
        <x:v>0</x:v>
      </x:c>
      <x:c r="Q319" s="324">
        <x:v>0</x:v>
      </x:c>
      <x:c r="R319" s="324">
        <x:v>0</x:v>
      </x:c>
      <x:c r="S319" s="324">
        <x:v>0</x:v>
      </x:c>
      <x:c r="T319" s="324">
        <x:v>0</x:v>
      </x:c>
      <x:c r="U319" s="324">
        <x:v>0</x:v>
      </x:c>
      <x:c r="V319" s="324">
        <x:v>0</x:v>
      </x:c>
      <x:c r="W319" s="324">
        <x:v>0</x:v>
      </x:c>
      <x:c r="X319" s="324">
        <x:v>0</x:v>
      </x:c>
      <x:c r="Y319" s="324">
        <x:v>0</x:v>
      </x:c>
      <x:c r="Z319" s="257">
        <x:f t="shared" si="10"/>
        <x:v>0</x:v>
      </x:c>
    </x:row>
    <x:row r="320">
      <x:c r="A320" s="148" t="s">
        <x:v>107</x:v>
      </x:c>
      <x:c r="B320">
        <x:v>8</x:v>
      </x:c>
      <x:c r="C320" s="148" t="s">
        <x:v>115</x:v>
      </x:c>
      <x:c r="D320">
        <x:v>815</x:v>
      </x:c>
      <x:c r="E320" s="324">
        <x:v>0</x:v>
      </x:c>
      <x:c r="F320" s="324">
        <x:v>0</x:v>
      </x:c>
      <x:c r="G320" s="324">
        <x:v>0</x:v>
      </x:c>
      <x:c r="H320" s="324">
        <x:v>0</x:v>
      </x:c>
      <x:c r="I320" s="324">
        <x:v>0</x:v>
      </x:c>
      <x:c r="J320" s="324">
        <x:v>0</x:v>
      </x:c>
      <x:c r="K320" s="324">
        <x:v>0</x:v>
      </x:c>
      <x:c r="L320" s="324">
        <x:v>0</x:v>
      </x:c>
      <x:c r="M320" s="324">
        <x:v>0</x:v>
      </x:c>
      <x:c r="N320" s="324">
        <x:v>0</x:v>
      </x:c>
      <x:c r="O320" s="324">
        <x:v>0</x:v>
      </x:c>
      <x:c r="P320" s="324">
        <x:v>0</x:v>
      </x:c>
      <x:c r="Q320" s="324">
        <x:v>0</x:v>
      </x:c>
      <x:c r="R320" s="324">
        <x:v>0</x:v>
      </x:c>
      <x:c r="S320" s="324">
        <x:v>0</x:v>
      </x:c>
      <x:c r="T320" s="324">
        <x:v>0</x:v>
      </x:c>
      <x:c r="U320" s="324">
        <x:v>0</x:v>
      </x:c>
      <x:c r="V320" s="324">
        <x:v>0</x:v>
      </x:c>
      <x:c r="W320" s="324">
        <x:v>0</x:v>
      </x:c>
      <x:c r="X320" s="324">
        <x:v>0</x:v>
      </x:c>
      <x:c r="Y320" s="324">
        <x:v>0</x:v>
      </x:c>
      <x:c r="Z320" s="257">
        <x:f t="shared" si="10"/>
        <x:v>0</x:v>
      </x:c>
    </x:row>
    <x:row r="321">
      <x:c r="A321" s="148" t="s">
        <x:v>107</x:v>
      </x:c>
      <x:c r="B321">
        <x:v>8</x:v>
      </x:c>
      <x:c r="C321" s="148" t="s">
        <x:v>115</x:v>
      </x:c>
      <x:c r="D321">
        <x:v>816</x:v>
      </x:c>
      <x:c r="E321" s="324">
        <x:v>0</x:v>
      </x:c>
      <x:c r="F321" s="324">
        <x:v>0</x:v>
      </x:c>
      <x:c r="G321" s="324">
        <x:v>0</x:v>
      </x:c>
      <x:c r="H321" s="324">
        <x:v>0</x:v>
      </x:c>
      <x:c r="I321" s="324">
        <x:v>0</x:v>
      </x:c>
      <x:c r="J321" s="324">
        <x:v>0</x:v>
      </x:c>
      <x:c r="K321" s="324">
        <x:v>0</x:v>
      </x:c>
      <x:c r="L321" s="324">
        <x:v>0</x:v>
      </x:c>
      <x:c r="M321" s="324">
        <x:v>0</x:v>
      </x:c>
      <x:c r="N321" s="324">
        <x:v>0</x:v>
      </x:c>
      <x:c r="O321" s="324">
        <x:v>0</x:v>
      </x:c>
      <x:c r="P321" s="324">
        <x:v>0</x:v>
      </x:c>
      <x:c r="Q321" s="324">
        <x:v>0</x:v>
      </x:c>
      <x:c r="R321" s="324">
        <x:v>0</x:v>
      </x:c>
      <x:c r="S321" s="324">
        <x:v>0</x:v>
      </x:c>
      <x:c r="T321" s="324">
        <x:v>0</x:v>
      </x:c>
      <x:c r="U321" s="324">
        <x:v>0</x:v>
      </x:c>
      <x:c r="V321" s="324">
        <x:v>0</x:v>
      </x:c>
      <x:c r="W321" s="324">
        <x:v>0</x:v>
      </x:c>
      <x:c r="X321" s="324">
        <x:v>0</x:v>
      </x:c>
      <x:c r="Y321" s="324">
        <x:v>0</x:v>
      </x:c>
      <x:c r="Z321" s="257">
        <x:f t="shared" si="10"/>
        <x:v>0</x:v>
      </x:c>
    </x:row>
    <x:row r="322">
      <x:c r="A322" s="148" t="s">
        <x:v>107</x:v>
      </x:c>
      <x:c r="B322">
        <x:v>8</x:v>
      </x:c>
      <x:c r="C322" s="148" t="s">
        <x:v>115</x:v>
      </x:c>
      <x:c r="D322">
        <x:v>817</x:v>
      </x:c>
      <x:c r="E322" s="324">
        <x:v>0</x:v>
      </x:c>
      <x:c r="F322" s="324">
        <x:v>0</x:v>
      </x:c>
      <x:c r="G322" s="324">
        <x:v>0</x:v>
      </x:c>
      <x:c r="H322" s="324">
        <x:v>0</x:v>
      </x:c>
      <x:c r="I322" s="324">
        <x:v>0</x:v>
      </x:c>
      <x:c r="J322" s="324">
        <x:v>0</x:v>
      </x:c>
      <x:c r="K322" s="324">
        <x:v>0</x:v>
      </x:c>
      <x:c r="L322" s="324">
        <x:v>0</x:v>
      </x:c>
      <x:c r="M322" s="324">
        <x:v>0</x:v>
      </x:c>
      <x:c r="N322" s="324">
        <x:v>0</x:v>
      </x:c>
      <x:c r="O322" s="324">
        <x:v>0</x:v>
      </x:c>
      <x:c r="P322" s="324">
        <x:v>0</x:v>
      </x:c>
      <x:c r="Q322" s="324">
        <x:v>0</x:v>
      </x:c>
      <x:c r="R322" s="324">
        <x:v>0</x:v>
      </x:c>
      <x:c r="S322" s="324">
        <x:v>0</x:v>
      </x:c>
      <x:c r="T322" s="324">
        <x:v>0</x:v>
      </x:c>
      <x:c r="U322" s="324">
        <x:v>0</x:v>
      </x:c>
      <x:c r="V322" s="324">
        <x:v>0</x:v>
      </x:c>
      <x:c r="W322" s="324">
        <x:v>0</x:v>
      </x:c>
      <x:c r="X322" s="324">
        <x:v>0</x:v>
      </x:c>
      <x:c r="Y322" s="324">
        <x:v>0</x:v>
      </x:c>
      <x:c r="Z322" s="257">
        <x:f t="shared" si="10"/>
        <x:v>0</x:v>
      </x:c>
    </x:row>
    <x:row r="323">
      <x:c r="A323" s="148" t="s">
        <x:v>107</x:v>
      </x:c>
      <x:c r="B323">
        <x:v>8</x:v>
      </x:c>
      <x:c r="C323" s="148" t="s">
        <x:v>115</x:v>
      </x:c>
      <x:c r="D323">
        <x:v>818</x:v>
      </x:c>
      <x:c r="E323" s="324">
        <x:v>0</x:v>
      </x:c>
      <x:c r="F323" s="324">
        <x:v>0</x:v>
      </x:c>
      <x:c r="G323" s="324">
        <x:v>0</x:v>
      </x:c>
      <x:c r="H323" s="324">
        <x:v>0</x:v>
      </x:c>
      <x:c r="I323" s="324">
        <x:v>0</x:v>
      </x:c>
      <x:c r="J323" s="324">
        <x:v>0</x:v>
      </x:c>
      <x:c r="K323" s="324">
        <x:v>0</x:v>
      </x:c>
      <x:c r="L323" s="324">
        <x:v>0</x:v>
      </x:c>
      <x:c r="M323" s="324">
        <x:v>0</x:v>
      </x:c>
      <x:c r="N323" s="324">
        <x:v>0</x:v>
      </x:c>
      <x:c r="O323" s="324">
        <x:v>0</x:v>
      </x:c>
      <x:c r="P323" s="324">
        <x:v>0</x:v>
      </x:c>
      <x:c r="Q323" s="324">
        <x:v>0</x:v>
      </x:c>
      <x:c r="R323" s="324">
        <x:v>0</x:v>
      </x:c>
      <x:c r="S323" s="324">
        <x:v>0</x:v>
      </x:c>
      <x:c r="T323" s="324">
        <x:v>0</x:v>
      </x:c>
      <x:c r="U323" s="324">
        <x:v>0</x:v>
      </x:c>
      <x:c r="V323" s="324">
        <x:v>0</x:v>
      </x:c>
      <x:c r="W323" s="324">
        <x:v>0</x:v>
      </x:c>
      <x:c r="X323" s="324">
        <x:v>0</x:v>
      </x:c>
      <x:c r="Y323" s="324">
        <x:v>0</x:v>
      </x:c>
      <x:c r="Z323" s="257" t="n">
        <x:f t="shared" ref="Z323:Z369" si="12">AVERAGE(E323:Y323)</x:f>
        <x:v>0</x:v>
      </x:c>
    </x:row>
    <x:row r="324">
      <x:c r="A324" s="148" t="s">
        <x:v>107</x:v>
      </x:c>
      <x:c r="B324">
        <x:v>8</x:v>
      </x:c>
      <x:c r="C324" s="148" t="s">
        <x:v>115</x:v>
      </x:c>
      <x:c r="D324">
        <x:v>819</x:v>
      </x:c>
      <x:c r="E324" s="324">
        <x:v>0</x:v>
      </x:c>
      <x:c r="F324" s="324">
        <x:v>0</x:v>
      </x:c>
      <x:c r="G324" s="324">
        <x:v>0</x:v>
      </x:c>
      <x:c r="H324" s="324">
        <x:v>0</x:v>
      </x:c>
      <x:c r="I324" s="324">
        <x:v>0</x:v>
      </x:c>
      <x:c r="J324" s="324">
        <x:v>0</x:v>
      </x:c>
      <x:c r="K324" s="324">
        <x:v>0</x:v>
      </x:c>
      <x:c r="L324" s="324">
        <x:v>0</x:v>
      </x:c>
      <x:c r="M324" s="324">
        <x:v>0</x:v>
      </x:c>
      <x:c r="N324" s="324">
        <x:v>0</x:v>
      </x:c>
      <x:c r="O324" s="324">
        <x:v>0</x:v>
      </x:c>
      <x:c r="P324" s="324">
        <x:v>0</x:v>
      </x:c>
      <x:c r="Q324" s="324">
        <x:v>0</x:v>
      </x:c>
      <x:c r="R324" s="324">
        <x:v>0</x:v>
      </x:c>
      <x:c r="S324" s="324">
        <x:v>0</x:v>
      </x:c>
      <x:c r="T324" s="324">
        <x:v>0</x:v>
      </x:c>
      <x:c r="U324" s="324">
        <x:v>0</x:v>
      </x:c>
      <x:c r="V324" s="324">
        <x:v>0</x:v>
      </x:c>
      <x:c r="W324" s="324">
        <x:v>0</x:v>
      </x:c>
      <x:c r="X324" s="324">
        <x:v>0</x:v>
      </x:c>
      <x:c r="Y324" s="324">
        <x:v>0</x:v>
      </x:c>
      <x:c r="Z324" s="257">
        <x:f t="shared" si="12"/>
        <x:v>0</x:v>
      </x:c>
    </x:row>
    <x:row r="325">
      <x:c r="A325" s="148" t="s">
        <x:v>107</x:v>
      </x:c>
      <x:c r="B325">
        <x:v>8</x:v>
      </x:c>
      <x:c r="C325" s="148" t="s">
        <x:v>115</x:v>
      </x:c>
      <x:c r="D325">
        <x:v>820</x:v>
      </x:c>
      <x:c r="E325" s="324">
        <x:v>0</x:v>
      </x:c>
      <x:c r="F325" s="324">
        <x:v>0</x:v>
      </x:c>
      <x:c r="G325" s="324">
        <x:v>0</x:v>
      </x:c>
      <x:c r="H325" s="324">
        <x:v>0</x:v>
      </x:c>
      <x:c r="I325" s="324">
        <x:v>0</x:v>
      </x:c>
      <x:c r="J325" s="324">
        <x:v>0</x:v>
      </x:c>
      <x:c r="K325" s="324">
        <x:v>0</x:v>
      </x:c>
      <x:c r="L325" s="324">
        <x:v>0</x:v>
      </x:c>
      <x:c r="M325" s="324">
        <x:v>0</x:v>
      </x:c>
      <x:c r="N325" s="324">
        <x:v>0</x:v>
      </x:c>
      <x:c r="O325" s="324">
        <x:v>0</x:v>
      </x:c>
      <x:c r="P325" s="324">
        <x:v>0</x:v>
      </x:c>
      <x:c r="Q325" s="324">
        <x:v>0</x:v>
      </x:c>
      <x:c r="R325" s="324">
        <x:v>0</x:v>
      </x:c>
      <x:c r="S325" s="324">
        <x:v>0</x:v>
      </x:c>
      <x:c r="T325" s="324">
        <x:v>0</x:v>
      </x:c>
      <x:c r="U325" s="324">
        <x:v>0</x:v>
      </x:c>
      <x:c r="V325" s="324">
        <x:v>0</x:v>
      </x:c>
      <x:c r="W325" s="324">
        <x:v>0</x:v>
      </x:c>
      <x:c r="X325" s="324">
        <x:v>0</x:v>
      </x:c>
      <x:c r="Y325" s="324">
        <x:v>0</x:v>
      </x:c>
      <x:c r="Z325" s="257">
        <x:f t="shared" si="12"/>
        <x:v>0</x:v>
      </x:c>
    </x:row>
    <x:row r="326">
      <x:c r="A326" s="148" t="s">
        <x:v>107</x:v>
      </x:c>
      <x:c r="B326">
        <x:v>8</x:v>
      </x:c>
      <x:c r="C326" s="148" t="s">
        <x:v>115</x:v>
      </x:c>
      <x:c r="D326">
        <x:v>821</x:v>
      </x:c>
      <x:c r="E326" s="324">
        <x:v>0</x:v>
      </x:c>
      <x:c r="F326" s="324">
        <x:v>0</x:v>
      </x:c>
      <x:c r="G326" s="324">
        <x:v>0</x:v>
      </x:c>
      <x:c r="H326" s="324">
        <x:v>0</x:v>
      </x:c>
      <x:c r="I326" s="324">
        <x:v>0</x:v>
      </x:c>
      <x:c r="J326" s="324">
        <x:v>0</x:v>
      </x:c>
      <x:c r="K326" s="324">
        <x:v>0</x:v>
      </x:c>
      <x:c r="L326" s="324">
        <x:v>0</x:v>
      </x:c>
      <x:c r="M326" s="324">
        <x:v>0</x:v>
      </x:c>
      <x:c r="N326" s="324">
        <x:v>0</x:v>
      </x:c>
      <x:c r="O326" s="324">
        <x:v>0</x:v>
      </x:c>
      <x:c r="P326" s="324">
        <x:v>0</x:v>
      </x:c>
      <x:c r="Q326" s="324">
        <x:v>0</x:v>
      </x:c>
      <x:c r="R326" s="324">
        <x:v>0</x:v>
      </x:c>
      <x:c r="S326" s="324">
        <x:v>0</x:v>
      </x:c>
      <x:c r="T326" s="324">
        <x:v>0</x:v>
      </x:c>
      <x:c r="U326" s="324">
        <x:v>0</x:v>
      </x:c>
      <x:c r="V326" s="324">
        <x:v>0</x:v>
      </x:c>
      <x:c r="W326" s="324">
        <x:v>0</x:v>
      </x:c>
      <x:c r="X326" s="324">
        <x:v>0</x:v>
      </x:c>
      <x:c r="Y326" s="324">
        <x:v>0</x:v>
      </x:c>
      <x:c r="Z326" s="257">
        <x:f t="shared" si="12"/>
        <x:v>0</x:v>
      </x:c>
    </x:row>
    <x:row r="327">
      <x:c r="A327" s="148"/>
      <x:c r="B327"/>
      <x:c r="C327" s="148"/>
      <x:c r="D327"/>
      <x:c r="E327" s="324"/>
      <x:c r="F327" s="324">
        <x:f t="shared" ref="F327:Y327" si="13">AVERAGE(F283:F326)</x:f>
      </x:c>
      <x:c r="G327" s="324">
        <x:f t="shared" si="13"/>
      </x:c>
      <x:c r="H327" s="324">
        <x:f t="shared" si="13"/>
      </x:c>
      <x:c r="I327" s="324">
        <x:f t="shared" si="13"/>
      </x:c>
      <x:c r="J327" s="324">
        <x:f t="shared" si="13"/>
      </x:c>
      <x:c r="K327" s="324">
        <x:f t="shared" si="13"/>
      </x:c>
      <x:c r="L327" s="324">
        <x:f t="shared" si="13"/>
      </x:c>
      <x:c r="M327" s="324">
        <x:f t="shared" si="13"/>
      </x:c>
      <x:c r="N327" s="324">
        <x:f t="shared" si="13"/>
      </x:c>
      <x:c r="O327" s="324">
        <x:f t="shared" si="13"/>
      </x:c>
      <x:c r="P327" s="324">
        <x:f t="shared" si="13"/>
      </x:c>
      <x:c r="Q327" s="324">
        <x:f t="shared" si="13"/>
      </x:c>
      <x:c r="R327" s="324">
        <x:f t="shared" si="13"/>
      </x:c>
      <x:c r="S327" s="324">
        <x:f t="shared" si="13"/>
      </x:c>
      <x:c r="T327" s="324">
        <x:f t="shared" si="13"/>
      </x:c>
      <x:c r="U327" s="324">
        <x:f t="shared" si="13"/>
      </x:c>
      <x:c r="V327" s="324">
        <x:f t="shared" si="13"/>
      </x:c>
      <x:c r="W327" s="324">
        <x:f t="shared" si="13"/>
      </x:c>
      <x:c r="X327" s="324">
        <x:f t="shared" si="13"/>
      </x:c>
      <x:c r="Y327" s="324">
        <x:f t="shared" si="13"/>
      </x:c>
      <x:c r="Z327" s="257">
        <x:f t="shared" si="12"/>
      </x:c>
    </x:row>
    <x:row r="328">
      <x:c r="A328" s="148" t="s">
        <x:v>107</x:v>
      </x:c>
      <x:c r="B328">
        <x:v>9</x:v>
      </x:c>
      <x:c r="C328" s="148" t="s">
        <x:v>116</x:v>
      </x:c>
      <x:c r="D328">
        <x:v>901</x:v>
      </x:c>
      <x:c r="E328" s="324">
        <x:v>0</x:v>
      </x:c>
      <x:c r="F328" s="324">
        <x:v>0</x:v>
      </x:c>
      <x:c r="G328" s="324">
        <x:v>0</x:v>
      </x:c>
      <x:c r="H328" s="324">
        <x:v>0</x:v>
      </x:c>
      <x:c r="I328" s="324">
        <x:v>0</x:v>
      </x:c>
      <x:c r="J328" s="324">
        <x:v>0</x:v>
      </x:c>
      <x:c r="K328" s="324">
        <x:v>0</x:v>
      </x:c>
      <x:c r="L328" s="324">
        <x:v>0</x:v>
      </x:c>
      <x:c r="M328" s="324">
        <x:v>0</x:v>
      </x:c>
      <x:c r="N328" s="324">
        <x:v>0</x:v>
      </x:c>
      <x:c r="O328" s="324">
        <x:v>0</x:v>
      </x:c>
      <x:c r="P328" s="324">
        <x:v>0</x:v>
      </x:c>
      <x:c r="Q328" s="324">
        <x:v>0</x:v>
      </x:c>
      <x:c r="R328" s="324">
        <x:v>0</x:v>
      </x:c>
      <x:c r="S328" s="324">
        <x:v>0</x:v>
      </x:c>
      <x:c r="T328" s="324">
        <x:v>0</x:v>
      </x:c>
      <x:c r="U328" s="324">
        <x:v>0</x:v>
      </x:c>
      <x:c r="V328" s="324">
        <x:v>0</x:v>
      </x:c>
      <x:c r="W328" s="324">
        <x:v>0</x:v>
      </x:c>
      <x:c r="X328" s="324">
        <x:v>0</x:v>
      </x:c>
      <x:c r="Y328" s="324">
        <x:v>0</x:v>
      </x:c>
      <x:c r="Z328" s="257">
        <x:f t="shared" si="12"/>
        <x:v>0</x:v>
      </x:c>
    </x:row>
    <x:row r="329">
      <x:c r="A329" s="148" t="s">
        <x:v>107</x:v>
      </x:c>
      <x:c r="B329">
        <x:v>9</x:v>
      </x:c>
      <x:c r="C329" s="148" t="s">
        <x:v>116</x:v>
      </x:c>
      <x:c r="D329">
        <x:v>902</x:v>
      </x:c>
      <x:c r="E329" s="324">
        <x:v>0</x:v>
      </x:c>
      <x:c r="F329" s="324">
        <x:v>0</x:v>
      </x:c>
      <x:c r="G329" s="324">
        <x:v>0</x:v>
      </x:c>
      <x:c r="H329" s="324">
        <x:v>0</x:v>
      </x:c>
      <x:c r="I329" s="324">
        <x:v>0</x:v>
      </x:c>
      <x:c r="J329" s="324">
        <x:v>0</x:v>
      </x:c>
      <x:c r="K329" s="324">
        <x:v>0</x:v>
      </x:c>
      <x:c r="L329" s="324">
        <x:v>0</x:v>
      </x:c>
      <x:c r="M329" s="324">
        <x:v>0</x:v>
      </x:c>
      <x:c r="N329" s="324">
        <x:v>0</x:v>
      </x:c>
      <x:c r="O329" s="324">
        <x:v>0</x:v>
      </x:c>
      <x:c r="P329" s="324">
        <x:v>0</x:v>
      </x:c>
      <x:c r="Q329" s="324">
        <x:v>0</x:v>
      </x:c>
      <x:c r="R329" s="324">
        <x:v>0</x:v>
      </x:c>
      <x:c r="S329" s="324">
        <x:v>0</x:v>
      </x:c>
      <x:c r="T329" s="324">
        <x:v>0</x:v>
      </x:c>
      <x:c r="U329" s="324">
        <x:v>0</x:v>
      </x:c>
      <x:c r="V329" s="324">
        <x:v>0</x:v>
      </x:c>
      <x:c r="W329" s="324">
        <x:v>0</x:v>
      </x:c>
      <x:c r="X329" s="324">
        <x:v>0</x:v>
      </x:c>
      <x:c r="Y329" s="324">
        <x:v>0</x:v>
      </x:c>
      <x:c r="Z329" s="257">
        <x:f t="shared" si="12"/>
        <x:v>0</x:v>
      </x:c>
    </x:row>
    <x:row r="330">
      <x:c r="A330" s="148" t="s">
        <x:v>107</x:v>
      </x:c>
      <x:c r="B330">
        <x:v>9</x:v>
      </x:c>
      <x:c r="C330" s="148" t="s">
        <x:v>116</x:v>
      </x:c>
      <x:c r="D330">
        <x:v>903</x:v>
      </x:c>
      <x:c r="E330" s="324">
        <x:v>0</x:v>
      </x:c>
      <x:c r="F330" s="324">
        <x:v>0</x:v>
      </x:c>
      <x:c r="G330" s="324">
        <x:v>0</x:v>
      </x:c>
      <x:c r="H330" s="324">
        <x:v>0</x:v>
      </x:c>
      <x:c r="I330" s="324">
        <x:v>0</x:v>
      </x:c>
      <x:c r="J330" s="324">
        <x:v>0</x:v>
      </x:c>
      <x:c r="K330" s="324">
        <x:v>0</x:v>
      </x:c>
      <x:c r="L330" s="324">
        <x:v>0</x:v>
      </x:c>
      <x:c r="M330" s="324">
        <x:v>0</x:v>
      </x:c>
      <x:c r="N330" s="324">
        <x:v>0</x:v>
      </x:c>
      <x:c r="O330" s="324">
        <x:v>0</x:v>
      </x:c>
      <x:c r="P330" s="324">
        <x:v>0</x:v>
      </x:c>
      <x:c r="Q330" s="324">
        <x:v>0</x:v>
      </x:c>
      <x:c r="R330" s="324">
        <x:v>0</x:v>
      </x:c>
      <x:c r="S330" s="324">
        <x:v>0</x:v>
      </x:c>
      <x:c r="T330" s="324">
        <x:v>0</x:v>
      </x:c>
      <x:c r="U330" s="324">
        <x:v>0</x:v>
      </x:c>
      <x:c r="V330" s="324">
        <x:v>0</x:v>
      </x:c>
      <x:c r="W330" s="324">
        <x:v>0</x:v>
      </x:c>
      <x:c r="X330" s="324">
        <x:v>0</x:v>
      </x:c>
      <x:c r="Y330" s="324">
        <x:v>0</x:v>
      </x:c>
      <x:c r="Z330" s="257">
        <x:f t="shared" si="12"/>
        <x:v>0</x:v>
      </x:c>
    </x:row>
    <x:row r="331">
      <x:c r="A331" s="148" t="s">
        <x:v>107</x:v>
      </x:c>
      <x:c r="B331">
        <x:v>9</x:v>
      </x:c>
      <x:c r="C331" s="148" t="s">
        <x:v>116</x:v>
      </x:c>
      <x:c r="D331">
        <x:v>904</x:v>
      </x:c>
      <x:c r="E331" s="324">
        <x:v>0</x:v>
      </x:c>
      <x:c r="F331" s="324">
        <x:v>0</x:v>
      </x:c>
      <x:c r="G331" s="324">
        <x:v>0</x:v>
      </x:c>
      <x:c r="H331" s="324">
        <x:v>0</x:v>
      </x:c>
      <x:c r="I331" s="324">
        <x:v>0</x:v>
      </x:c>
      <x:c r="J331" s="324">
        <x:v>0</x:v>
      </x:c>
      <x:c r="K331" s="324">
        <x:v>0</x:v>
      </x:c>
      <x:c r="L331" s="324">
        <x:v>0</x:v>
      </x:c>
      <x:c r="M331" s="324">
        <x:v>0</x:v>
      </x:c>
      <x:c r="N331" s="324">
        <x:v>0</x:v>
      </x:c>
      <x:c r="O331" s="324">
        <x:v>0</x:v>
      </x:c>
      <x:c r="P331" s="324">
        <x:v>0</x:v>
      </x:c>
      <x:c r="Q331" s="324">
        <x:v>0</x:v>
      </x:c>
      <x:c r="R331" s="324">
        <x:v>0</x:v>
      </x:c>
      <x:c r="S331" s="324">
        <x:v>0</x:v>
      </x:c>
      <x:c r="T331" s="324">
        <x:v>0</x:v>
      </x:c>
      <x:c r="U331" s="324">
        <x:v>0</x:v>
      </x:c>
      <x:c r="V331" s="324">
        <x:v>0</x:v>
      </x:c>
      <x:c r="W331" s="324">
        <x:v>0</x:v>
      </x:c>
      <x:c r="X331" s="324">
        <x:v>0</x:v>
      </x:c>
      <x:c r="Y331" s="324">
        <x:v>0</x:v>
      </x:c>
      <x:c r="Z331" s="257">
        <x:f t="shared" si="12"/>
        <x:v>0</x:v>
      </x:c>
    </x:row>
    <x:row r="332">
      <x:c r="A332" s="148" t="s">
        <x:v>107</x:v>
      </x:c>
      <x:c r="B332">
        <x:v>9</x:v>
      </x:c>
      <x:c r="C332" s="148" t="s">
        <x:v>116</x:v>
      </x:c>
      <x:c r="D332">
        <x:v>905</x:v>
      </x:c>
      <x:c r="E332" s="324">
        <x:v>0</x:v>
      </x:c>
      <x:c r="F332" s="324">
        <x:v>0</x:v>
      </x:c>
      <x:c r="G332" s="324">
        <x:v>0</x:v>
      </x:c>
      <x:c r="H332" s="324">
        <x:v>0</x:v>
      </x:c>
      <x:c r="I332" s="324">
        <x:v>0</x:v>
      </x:c>
      <x:c r="J332" s="324">
        <x:v>0</x:v>
      </x:c>
      <x:c r="K332" s="324">
        <x:v>0</x:v>
      </x:c>
      <x:c r="L332" s="324">
        <x:v>0</x:v>
      </x:c>
      <x:c r="M332" s="324">
        <x:v>0</x:v>
      </x:c>
      <x:c r="N332" s="324">
        <x:v>0</x:v>
      </x:c>
      <x:c r="O332" s="324">
        <x:v>0</x:v>
      </x:c>
      <x:c r="P332" s="324">
        <x:v>0</x:v>
      </x:c>
      <x:c r="Q332" s="324">
        <x:v>0</x:v>
      </x:c>
      <x:c r="R332" s="324">
        <x:v>0</x:v>
      </x:c>
      <x:c r="S332" s="324">
        <x:v>0</x:v>
      </x:c>
      <x:c r="T332" s="324">
        <x:v>0</x:v>
      </x:c>
      <x:c r="U332" s="324">
        <x:v>0</x:v>
      </x:c>
      <x:c r="V332" s="324">
        <x:v>0</x:v>
      </x:c>
      <x:c r="W332" s="324">
        <x:v>0</x:v>
      </x:c>
      <x:c r="X332" s="324">
        <x:v>0</x:v>
      </x:c>
      <x:c r="Y332" s="324">
        <x:v>0</x:v>
      </x:c>
      <x:c r="Z332" s="257">
        <x:f t="shared" si="12"/>
        <x:v>0</x:v>
      </x:c>
    </x:row>
    <x:row r="333">
      <x:c r="A333" s="148" t="s">
        <x:v>107</x:v>
      </x:c>
      <x:c r="B333">
        <x:v>9</x:v>
      </x:c>
      <x:c r="C333" s="148" t="s">
        <x:v>116</x:v>
      </x:c>
      <x:c r="D333">
        <x:v>906</x:v>
      </x:c>
      <x:c r="E333" s="324">
        <x:v>0</x:v>
      </x:c>
      <x:c r="F333" s="324">
        <x:v>0</x:v>
      </x:c>
      <x:c r="G333" s="324">
        <x:v>0</x:v>
      </x:c>
      <x:c r="H333" s="324">
        <x:v>0</x:v>
      </x:c>
      <x:c r="I333" s="324">
        <x:v>0</x:v>
      </x:c>
      <x:c r="J333" s="324">
        <x:v>0</x:v>
      </x:c>
      <x:c r="K333" s="324">
        <x:v>0</x:v>
      </x:c>
      <x:c r="L333" s="324">
        <x:v>0</x:v>
      </x:c>
      <x:c r="M333" s="324">
        <x:v>0</x:v>
      </x:c>
      <x:c r="N333" s="324">
        <x:v>0</x:v>
      </x:c>
      <x:c r="O333" s="324">
        <x:v>0</x:v>
      </x:c>
      <x:c r="P333" s="324">
        <x:v>0</x:v>
      </x:c>
      <x:c r="Q333" s="324">
        <x:v>0</x:v>
      </x:c>
      <x:c r="R333" s="324">
        <x:v>0</x:v>
      </x:c>
      <x:c r="S333" s="324">
        <x:v>0</x:v>
      </x:c>
      <x:c r="T333" s="324">
        <x:v>0</x:v>
      </x:c>
      <x:c r="U333" s="324">
        <x:v>0</x:v>
      </x:c>
      <x:c r="V333" s="324">
        <x:v>0</x:v>
      </x:c>
      <x:c r="W333" s="324">
        <x:v>0</x:v>
      </x:c>
      <x:c r="X333" s="324">
        <x:v>0</x:v>
      </x:c>
      <x:c r="Y333" s="324">
        <x:v>0</x:v>
      </x:c>
      <x:c r="Z333" s="257">
        <x:f t="shared" si="12"/>
        <x:v>0</x:v>
      </x:c>
    </x:row>
    <x:row r="334">
      <x:c r="A334" s="148" t="s">
        <x:v>107</x:v>
      </x:c>
      <x:c r="B334">
        <x:v>9</x:v>
      </x:c>
      <x:c r="C334" s="148" t="s">
        <x:v>116</x:v>
      </x:c>
      <x:c r="D334">
        <x:v>907</x:v>
      </x:c>
      <x:c r="E334" s="324">
        <x:v>0</x:v>
      </x:c>
      <x:c r="F334" s="324">
        <x:v>0</x:v>
      </x:c>
      <x:c r="G334" s="324">
        <x:v>0</x:v>
      </x:c>
      <x:c r="H334" s="324">
        <x:v>0</x:v>
      </x:c>
      <x:c r="I334" s="324">
        <x:v>0</x:v>
      </x:c>
      <x:c r="J334" s="324">
        <x:v>0</x:v>
      </x:c>
      <x:c r="K334" s="324">
        <x:v>0</x:v>
      </x:c>
      <x:c r="L334" s="324">
        <x:v>0</x:v>
      </x:c>
      <x:c r="M334" s="324">
        <x:v>0</x:v>
      </x:c>
      <x:c r="N334" s="324">
        <x:v>0</x:v>
      </x:c>
      <x:c r="O334" s="324">
        <x:v>0</x:v>
      </x:c>
      <x:c r="P334" s="324">
        <x:v>0</x:v>
      </x:c>
      <x:c r="Q334" s="324">
        <x:v>0</x:v>
      </x:c>
      <x:c r="R334" s="324">
        <x:v>0</x:v>
      </x:c>
      <x:c r="S334" s="324">
        <x:v>0</x:v>
      </x:c>
      <x:c r="T334" s="324">
        <x:v>0</x:v>
      </x:c>
      <x:c r="U334" s="324">
        <x:v>0</x:v>
      </x:c>
      <x:c r="V334" s="324">
        <x:v>0</x:v>
      </x:c>
      <x:c r="W334" s="324">
        <x:v>0</x:v>
      </x:c>
      <x:c r="X334" s="324">
        <x:v>0</x:v>
      </x:c>
      <x:c r="Y334" s="324">
        <x:v>0</x:v>
      </x:c>
      <x:c r="Z334" s="257">
        <x:f t="shared" si="12"/>
        <x:v>0</x:v>
      </x:c>
    </x:row>
    <x:row r="335">
      <x:c r="A335" s="148" t="s">
        <x:v>107</x:v>
      </x:c>
      <x:c r="B335">
        <x:v>9</x:v>
      </x:c>
      <x:c r="C335" s="148" t="s">
        <x:v>116</x:v>
      </x:c>
      <x:c r="D335">
        <x:v>908</x:v>
      </x:c>
      <x:c r="E335" s="324">
        <x:v>0</x:v>
      </x:c>
      <x:c r="F335" s="324">
        <x:v>0</x:v>
      </x:c>
      <x:c r="G335" s="324">
        <x:v>0</x:v>
      </x:c>
      <x:c r="H335" s="324">
        <x:v>0</x:v>
      </x:c>
      <x:c r="I335" s="324">
        <x:v>0</x:v>
      </x:c>
      <x:c r="J335" s="324">
        <x:v>0</x:v>
      </x:c>
      <x:c r="K335" s="324">
        <x:v>0</x:v>
      </x:c>
      <x:c r="L335" s="324">
        <x:v>0</x:v>
      </x:c>
      <x:c r="M335" s="324">
        <x:v>0</x:v>
      </x:c>
      <x:c r="N335" s="324">
        <x:v>0</x:v>
      </x:c>
      <x:c r="O335" s="324">
        <x:v>0</x:v>
      </x:c>
      <x:c r="P335" s="324">
        <x:v>0</x:v>
      </x:c>
      <x:c r="Q335" s="324">
        <x:v>0</x:v>
      </x:c>
      <x:c r="R335" s="324">
        <x:v>0</x:v>
      </x:c>
      <x:c r="S335" s="324">
        <x:v>0</x:v>
      </x:c>
      <x:c r="T335" s="324">
        <x:v>0</x:v>
      </x:c>
      <x:c r="U335" s="324">
        <x:v>0</x:v>
      </x:c>
      <x:c r="V335" s="324">
        <x:v>0</x:v>
      </x:c>
      <x:c r="W335" s="324">
        <x:v>0</x:v>
      </x:c>
      <x:c r="X335" s="324">
        <x:v>0</x:v>
      </x:c>
      <x:c r="Y335" s="324">
        <x:v>0</x:v>
      </x:c>
      <x:c r="Z335" s="257">
        <x:f t="shared" si="12"/>
        <x:v>0</x:v>
      </x:c>
    </x:row>
    <x:row r="336">
      <x:c r="A336" s="148" t="s">
        <x:v>107</x:v>
      </x:c>
      <x:c r="B336">
        <x:v>9</x:v>
      </x:c>
      <x:c r="C336" s="148" t="s">
        <x:v>116</x:v>
      </x:c>
      <x:c r="D336">
        <x:v>909</x:v>
      </x:c>
      <x:c r="E336" s="324">
        <x:v>0</x:v>
      </x:c>
      <x:c r="F336" s="324">
        <x:v>0</x:v>
      </x:c>
      <x:c r="G336" s="324">
        <x:v>0</x:v>
      </x:c>
      <x:c r="H336" s="324">
        <x:v>0</x:v>
      </x:c>
      <x:c r="I336" s="324">
        <x:v>0</x:v>
      </x:c>
      <x:c r="J336" s="324">
        <x:v>0</x:v>
      </x:c>
      <x:c r="K336" s="324">
        <x:v>0</x:v>
      </x:c>
      <x:c r="L336" s="324">
        <x:v>0</x:v>
      </x:c>
      <x:c r="M336" s="324">
        <x:v>0</x:v>
      </x:c>
      <x:c r="N336" s="324">
        <x:v>0</x:v>
      </x:c>
      <x:c r="O336" s="324">
        <x:v>0</x:v>
      </x:c>
      <x:c r="P336" s="324">
        <x:v>0</x:v>
      </x:c>
      <x:c r="Q336" s="324">
        <x:v>0</x:v>
      </x:c>
      <x:c r="R336" s="324">
        <x:v>0</x:v>
      </x:c>
      <x:c r="S336" s="324">
        <x:v>0</x:v>
      </x:c>
      <x:c r="T336" s="324">
        <x:v>0</x:v>
      </x:c>
      <x:c r="U336" s="324">
        <x:v>0</x:v>
      </x:c>
      <x:c r="V336" s="324">
        <x:v>0</x:v>
      </x:c>
      <x:c r="W336" s="324">
        <x:v>0</x:v>
      </x:c>
      <x:c r="X336" s="324">
        <x:v>0</x:v>
      </x:c>
      <x:c r="Y336" s="324">
        <x:v>0</x:v>
      </x:c>
      <x:c r="Z336" s="257">
        <x:f t="shared" si="12"/>
        <x:v>0</x:v>
      </x:c>
    </x:row>
    <x:row r="337">
      <x:c r="A337" s="148" t="s">
        <x:v>107</x:v>
      </x:c>
      <x:c r="B337">
        <x:v>9</x:v>
      </x:c>
      <x:c r="C337" s="148" t="s">
        <x:v>116</x:v>
      </x:c>
      <x:c r="D337">
        <x:v>910</x:v>
      </x:c>
      <x:c r="E337" s="324">
        <x:v>0</x:v>
      </x:c>
      <x:c r="F337" s="324">
        <x:v>0</x:v>
      </x:c>
      <x:c r="G337" s="324">
        <x:v>0</x:v>
      </x:c>
      <x:c r="H337" s="324">
        <x:v>0</x:v>
      </x:c>
      <x:c r="I337" s="324">
        <x:v>0</x:v>
      </x:c>
      <x:c r="J337" s="324">
        <x:v>0</x:v>
      </x:c>
      <x:c r="K337" s="324">
        <x:v>0</x:v>
      </x:c>
      <x:c r="L337" s="324">
        <x:v>0</x:v>
      </x:c>
      <x:c r="M337" s="324">
        <x:v>0</x:v>
      </x:c>
      <x:c r="N337" s="324">
        <x:v>0</x:v>
      </x:c>
      <x:c r="O337" s="324">
        <x:v>0</x:v>
      </x:c>
      <x:c r="P337" s="324">
        <x:v>0</x:v>
      </x:c>
      <x:c r="Q337" s="324">
        <x:v>0</x:v>
      </x:c>
      <x:c r="R337" s="324">
        <x:v>0</x:v>
      </x:c>
      <x:c r="S337" s="324">
        <x:v>0</x:v>
      </x:c>
      <x:c r="T337" s="324">
        <x:v>0</x:v>
      </x:c>
      <x:c r="U337" s="324">
        <x:v>0</x:v>
      </x:c>
      <x:c r="V337" s="324">
        <x:v>0</x:v>
      </x:c>
      <x:c r="W337" s="324">
        <x:v>0</x:v>
      </x:c>
      <x:c r="X337" s="324">
        <x:v>0</x:v>
      </x:c>
      <x:c r="Y337" s="324">
        <x:v>0</x:v>
      </x:c>
      <x:c r="Z337" s="257">
        <x:f t="shared" si="12"/>
        <x:v>0</x:v>
      </x:c>
    </x:row>
    <x:row r="338">
      <x:c r="A338" s="148" t="s">
        <x:v>107</x:v>
      </x:c>
      <x:c r="B338">
        <x:v>9</x:v>
      </x:c>
      <x:c r="C338" s="148" t="s">
        <x:v>116</x:v>
      </x:c>
      <x:c r="D338">
        <x:v>911</x:v>
      </x:c>
      <x:c r="E338" s="324">
        <x:v>0</x:v>
      </x:c>
      <x:c r="F338" s="324">
        <x:v>0</x:v>
      </x:c>
      <x:c r="G338" s="324">
        <x:v>0</x:v>
      </x:c>
      <x:c r="H338" s="324">
        <x:v>0</x:v>
      </x:c>
      <x:c r="I338" s="324">
        <x:v>0</x:v>
      </x:c>
      <x:c r="J338" s="324">
        <x:v>0</x:v>
      </x:c>
      <x:c r="K338" s="324">
        <x:v>0</x:v>
      </x:c>
      <x:c r="L338" s="324">
        <x:v>0</x:v>
      </x:c>
      <x:c r="M338" s="324">
        <x:v>0</x:v>
      </x:c>
      <x:c r="N338" s="324">
        <x:v>0</x:v>
      </x:c>
      <x:c r="O338" s="324">
        <x:v>0</x:v>
      </x:c>
      <x:c r="P338" s="324">
        <x:v>0</x:v>
      </x:c>
      <x:c r="Q338" s="324">
        <x:v>0</x:v>
      </x:c>
      <x:c r="R338" s="324">
        <x:v>0</x:v>
      </x:c>
      <x:c r="S338" s="324">
        <x:v>0</x:v>
      </x:c>
      <x:c r="T338" s="324">
        <x:v>0</x:v>
      </x:c>
      <x:c r="U338" s="324">
        <x:v>0</x:v>
      </x:c>
      <x:c r="V338" s="324">
        <x:v>0</x:v>
      </x:c>
      <x:c r="W338" s="324">
        <x:v>0</x:v>
      </x:c>
      <x:c r="X338" s="324">
        <x:v>0</x:v>
      </x:c>
      <x:c r="Y338" s="324">
        <x:v>0</x:v>
      </x:c>
      <x:c r="Z338" s="257">
        <x:f t="shared" si="12"/>
        <x:v>0</x:v>
      </x:c>
    </x:row>
    <x:row r="339">
      <x:c r="A339" s="148" t="s">
        <x:v>107</x:v>
      </x:c>
      <x:c r="B339">
        <x:v>9</x:v>
      </x:c>
      <x:c r="C339" s="148" t="s">
        <x:v>116</x:v>
      </x:c>
      <x:c r="D339">
        <x:v>912</x:v>
      </x:c>
      <x:c r="E339" s="324">
        <x:v>0</x:v>
      </x:c>
      <x:c r="F339" s="324">
        <x:v>0</x:v>
      </x:c>
      <x:c r="G339" s="324">
        <x:v>0</x:v>
      </x:c>
      <x:c r="H339" s="324">
        <x:v>0</x:v>
      </x:c>
      <x:c r="I339" s="324">
        <x:v>0</x:v>
      </x:c>
      <x:c r="J339" s="324">
        <x:v>0</x:v>
      </x:c>
      <x:c r="K339" s="324">
        <x:v>0</x:v>
      </x:c>
      <x:c r="L339" s="324">
        <x:v>0</x:v>
      </x:c>
      <x:c r="M339" s="324">
        <x:v>0</x:v>
      </x:c>
      <x:c r="N339" s="324">
        <x:v>0</x:v>
      </x:c>
      <x:c r="O339" s="324">
        <x:v>0</x:v>
      </x:c>
      <x:c r="P339" s="324">
        <x:v>0</x:v>
      </x:c>
      <x:c r="Q339" s="324">
        <x:v>0</x:v>
      </x:c>
      <x:c r="R339" s="324">
        <x:v>0</x:v>
      </x:c>
      <x:c r="S339" s="324">
        <x:v>0</x:v>
      </x:c>
      <x:c r="T339" s="324">
        <x:v>0</x:v>
      </x:c>
      <x:c r="U339" s="324">
        <x:v>0</x:v>
      </x:c>
      <x:c r="V339" s="324">
        <x:v>0</x:v>
      </x:c>
      <x:c r="W339" s="324">
        <x:v>0</x:v>
      </x:c>
      <x:c r="X339" s="324">
        <x:v>0</x:v>
      </x:c>
      <x:c r="Y339" s="324">
        <x:v>0</x:v>
      </x:c>
      <x:c r="Z339" s="257">
        <x:f t="shared" si="12"/>
        <x:v>0</x:v>
      </x:c>
    </x:row>
    <x:row r="340">
      <x:c r="A340" s="148" t="s">
        <x:v>107</x:v>
      </x:c>
      <x:c r="B340">
        <x:v>9</x:v>
      </x:c>
      <x:c r="C340" s="148" t="s">
        <x:v>116</x:v>
      </x:c>
      <x:c r="D340">
        <x:v>913</x:v>
      </x:c>
      <x:c r="E340" s="324">
        <x:v>0</x:v>
      </x:c>
      <x:c r="F340" s="324">
        <x:v>0</x:v>
      </x:c>
      <x:c r="G340" s="324">
        <x:v>0</x:v>
      </x:c>
      <x:c r="H340" s="324">
        <x:v>0</x:v>
      </x:c>
      <x:c r="I340" s="324">
        <x:v>0</x:v>
      </x:c>
      <x:c r="J340" s="324">
        <x:v>0</x:v>
      </x:c>
      <x:c r="K340" s="324">
        <x:v>0</x:v>
      </x:c>
      <x:c r="L340" s="324">
        <x:v>0</x:v>
      </x:c>
      <x:c r="M340" s="324">
        <x:v>0</x:v>
      </x:c>
      <x:c r="N340" s="324">
        <x:v>0</x:v>
      </x:c>
      <x:c r="O340" s="324">
        <x:v>0</x:v>
      </x:c>
      <x:c r="P340" s="324">
        <x:v>0</x:v>
      </x:c>
      <x:c r="Q340" s="324">
        <x:v>0</x:v>
      </x:c>
      <x:c r="R340" s="324">
        <x:v>0</x:v>
      </x:c>
      <x:c r="S340" s="324">
        <x:v>0</x:v>
      </x:c>
      <x:c r="T340" s="324">
        <x:v>0</x:v>
      </x:c>
      <x:c r="U340" s="324">
        <x:v>0</x:v>
      </x:c>
      <x:c r="V340" s="324">
        <x:v>0</x:v>
      </x:c>
      <x:c r="W340" s="324">
        <x:v>0</x:v>
      </x:c>
      <x:c r="X340" s="324">
        <x:v>0</x:v>
      </x:c>
      <x:c r="Y340" s="324">
        <x:v>0</x:v>
      </x:c>
      <x:c r="Z340" s="257">
        <x:f t="shared" si="12"/>
        <x:v>0</x:v>
      </x:c>
    </x:row>
    <x:row r="341">
      <x:c r="A341" s="148" t="s">
        <x:v>107</x:v>
      </x:c>
      <x:c r="B341">
        <x:v>9</x:v>
      </x:c>
      <x:c r="C341" s="148" t="s">
        <x:v>116</x:v>
      </x:c>
      <x:c r="D341">
        <x:v>914</x:v>
      </x:c>
      <x:c r="E341" s="324">
        <x:v>0</x:v>
      </x:c>
      <x:c r="F341" s="324">
        <x:v>0</x:v>
      </x:c>
      <x:c r="G341" s="324">
        <x:v>0</x:v>
      </x:c>
      <x:c r="H341" s="324">
        <x:v>0</x:v>
      </x:c>
      <x:c r="I341" s="324">
        <x:v>0</x:v>
      </x:c>
      <x:c r="J341" s="324">
        <x:v>0</x:v>
      </x:c>
      <x:c r="K341" s="324">
        <x:v>0</x:v>
      </x:c>
      <x:c r="L341" s="324">
        <x:v>0</x:v>
      </x:c>
      <x:c r="M341" s="324">
        <x:v>0</x:v>
      </x:c>
      <x:c r="N341" s="324">
        <x:v>0</x:v>
      </x:c>
      <x:c r="O341" s="324">
        <x:v>0</x:v>
      </x:c>
      <x:c r="P341" s="324">
        <x:v>0</x:v>
      </x:c>
      <x:c r="Q341" s="324">
        <x:v>0</x:v>
      </x:c>
      <x:c r="R341" s="324">
        <x:v>0</x:v>
      </x:c>
      <x:c r="S341" s="324">
        <x:v>0</x:v>
      </x:c>
      <x:c r="T341" s="324">
        <x:v>0</x:v>
      </x:c>
      <x:c r="U341" s="324">
        <x:v>0</x:v>
      </x:c>
      <x:c r="V341" s="324">
        <x:v>0</x:v>
      </x:c>
      <x:c r="W341" s="324">
        <x:v>0</x:v>
      </x:c>
      <x:c r="X341" s="324">
        <x:v>0</x:v>
      </x:c>
      <x:c r="Y341" s="324">
        <x:v>0</x:v>
      </x:c>
      <x:c r="Z341" s="257">
        <x:f t="shared" si="12"/>
        <x:v>0</x:v>
      </x:c>
    </x:row>
    <x:row r="342">
      <x:c r="A342" s="148" t="s">
        <x:v>107</x:v>
      </x:c>
      <x:c r="B342">
        <x:v>9</x:v>
      </x:c>
      <x:c r="C342" s="148" t="s">
        <x:v>116</x:v>
      </x:c>
      <x:c r="D342">
        <x:v>915</x:v>
      </x:c>
      <x:c r="E342" s="324">
        <x:v>0</x:v>
      </x:c>
      <x:c r="F342" s="324">
        <x:v>0</x:v>
      </x:c>
      <x:c r="G342" s="324">
        <x:v>0</x:v>
      </x:c>
      <x:c r="H342" s="324">
        <x:v>0</x:v>
      </x:c>
      <x:c r="I342" s="324">
        <x:v>0</x:v>
      </x:c>
      <x:c r="J342" s="324">
        <x:v>0</x:v>
      </x:c>
      <x:c r="K342" s="324">
        <x:v>0</x:v>
      </x:c>
      <x:c r="L342" s="324">
        <x:v>0</x:v>
      </x:c>
      <x:c r="M342" s="324">
        <x:v>0</x:v>
      </x:c>
      <x:c r="N342" s="324">
        <x:v>0</x:v>
      </x:c>
      <x:c r="O342" s="324">
        <x:v>0</x:v>
      </x:c>
      <x:c r="P342" s="324">
        <x:v>0</x:v>
      </x:c>
      <x:c r="Q342" s="324">
        <x:v>0</x:v>
      </x:c>
      <x:c r="R342" s="324">
        <x:v>0</x:v>
      </x:c>
      <x:c r="S342" s="324">
        <x:v>0</x:v>
      </x:c>
      <x:c r="T342" s="324">
        <x:v>0</x:v>
      </x:c>
      <x:c r="U342" s="324">
        <x:v>0</x:v>
      </x:c>
      <x:c r="V342" s="324">
        <x:v>0</x:v>
      </x:c>
      <x:c r="W342" s="324">
        <x:v>0</x:v>
      </x:c>
      <x:c r="X342" s="324">
        <x:v>0</x:v>
      </x:c>
      <x:c r="Y342" s="324">
        <x:v>0</x:v>
      </x:c>
      <x:c r="Z342" s="257">
        <x:f t="shared" si="12"/>
        <x:v>0</x:v>
      </x:c>
    </x:row>
    <x:row r="343">
      <x:c r="A343" s="148" t="s">
        <x:v>107</x:v>
      </x:c>
      <x:c r="B343">
        <x:v>9</x:v>
      </x:c>
      <x:c r="C343" s="148" t="s">
        <x:v>116</x:v>
      </x:c>
      <x:c r="D343">
        <x:v>916</x:v>
      </x:c>
      <x:c r="E343" s="324">
        <x:v>0</x:v>
      </x:c>
      <x:c r="F343" s="324">
        <x:v>0</x:v>
      </x:c>
      <x:c r="G343" s="324">
        <x:v>0</x:v>
      </x:c>
      <x:c r="H343" s="324">
        <x:v>0</x:v>
      </x:c>
      <x:c r="I343" s="324">
        <x:v>0</x:v>
      </x:c>
      <x:c r="J343" s="324">
        <x:v>0</x:v>
      </x:c>
      <x:c r="K343" s="324">
        <x:v>0</x:v>
      </x:c>
      <x:c r="L343" s="324">
        <x:v>0</x:v>
      </x:c>
      <x:c r="M343" s="324">
        <x:v>0</x:v>
      </x:c>
      <x:c r="N343" s="324">
        <x:v>0</x:v>
      </x:c>
      <x:c r="O343" s="324">
        <x:v>0</x:v>
      </x:c>
      <x:c r="P343" s="324">
        <x:v>0</x:v>
      </x:c>
      <x:c r="Q343" s="324">
        <x:v>0</x:v>
      </x:c>
      <x:c r="R343" s="324">
        <x:v>0</x:v>
      </x:c>
      <x:c r="S343" s="324">
        <x:v>0</x:v>
      </x:c>
      <x:c r="T343" s="324">
        <x:v>0</x:v>
      </x:c>
      <x:c r="U343" s="324">
        <x:v>0</x:v>
      </x:c>
      <x:c r="V343" s="324">
        <x:v>0</x:v>
      </x:c>
      <x:c r="W343" s="324">
        <x:v>0</x:v>
      </x:c>
      <x:c r="X343" s="324">
        <x:v>0</x:v>
      </x:c>
      <x:c r="Y343" s="324">
        <x:v>0</x:v>
      </x:c>
      <x:c r="Z343" s="257">
        <x:f t="shared" si="12"/>
        <x:v>0</x:v>
      </x:c>
    </x:row>
    <x:row r="344">
      <x:c r="A344" s="148" t="s">
        <x:v>107</x:v>
      </x:c>
      <x:c r="B344">
        <x:v>9</x:v>
      </x:c>
      <x:c r="C344" s="148" t="s">
        <x:v>116</x:v>
      </x:c>
      <x:c r="D344">
        <x:v>917</x:v>
      </x:c>
      <x:c r="E344" s="324">
        <x:v>0</x:v>
      </x:c>
      <x:c r="F344" s="324">
        <x:v>0</x:v>
      </x:c>
      <x:c r="G344" s="324">
        <x:v>0</x:v>
      </x:c>
      <x:c r="H344" s="324">
        <x:v>0</x:v>
      </x:c>
      <x:c r="I344" s="324">
        <x:v>0</x:v>
      </x:c>
      <x:c r="J344" s="324">
        <x:v>0</x:v>
      </x:c>
      <x:c r="K344" s="324">
        <x:v>0</x:v>
      </x:c>
      <x:c r="L344" s="324">
        <x:v>0</x:v>
      </x:c>
      <x:c r="M344" s="324">
        <x:v>0</x:v>
      </x:c>
      <x:c r="N344" s="324">
        <x:v>0</x:v>
      </x:c>
      <x:c r="O344" s="324">
        <x:v>0</x:v>
      </x:c>
      <x:c r="P344" s="324">
        <x:v>0</x:v>
      </x:c>
      <x:c r="Q344" s="324">
        <x:v>0</x:v>
      </x:c>
      <x:c r="R344" s="324">
        <x:v>0</x:v>
      </x:c>
      <x:c r="S344" s="324">
        <x:v>0</x:v>
      </x:c>
      <x:c r="T344" s="324">
        <x:v>0</x:v>
      </x:c>
      <x:c r="U344" s="324">
        <x:v>0</x:v>
      </x:c>
      <x:c r="V344" s="324">
        <x:v>0</x:v>
      </x:c>
      <x:c r="W344" s="324">
        <x:v>0</x:v>
      </x:c>
      <x:c r="X344" s="324">
        <x:v>0</x:v>
      </x:c>
      <x:c r="Y344" s="324">
        <x:v>0</x:v>
      </x:c>
      <x:c r="Z344" s="257">
        <x:f t="shared" si="12"/>
        <x:v>0</x:v>
      </x:c>
    </x:row>
    <x:row r="345">
      <x:c r="A345" s="148" t="s">
        <x:v>107</x:v>
      </x:c>
      <x:c r="B345">
        <x:v>9</x:v>
      </x:c>
      <x:c r="C345" s="148" t="s">
        <x:v>116</x:v>
      </x:c>
      <x:c r="D345">
        <x:v>918</x:v>
      </x:c>
      <x:c r="E345" s="324">
        <x:v>0</x:v>
      </x:c>
      <x:c r="F345" s="324">
        <x:v>0</x:v>
      </x:c>
      <x:c r="G345" s="324">
        <x:v>0</x:v>
      </x:c>
      <x:c r="H345" s="324">
        <x:v>0</x:v>
      </x:c>
      <x:c r="I345" s="324">
        <x:v>0</x:v>
      </x:c>
      <x:c r="J345" s="324">
        <x:v>0</x:v>
      </x:c>
      <x:c r="K345" s="324">
        <x:v>0</x:v>
      </x:c>
      <x:c r="L345" s="324">
        <x:v>0</x:v>
      </x:c>
      <x:c r="M345" s="324">
        <x:v>0</x:v>
      </x:c>
      <x:c r="N345" s="324">
        <x:v>0</x:v>
      </x:c>
      <x:c r="O345" s="324">
        <x:v>0</x:v>
      </x:c>
      <x:c r="P345" s="324">
        <x:v>0</x:v>
      </x:c>
      <x:c r="Q345" s="324">
        <x:v>0</x:v>
      </x:c>
      <x:c r="R345" s="324">
        <x:v>0</x:v>
      </x:c>
      <x:c r="S345" s="324">
        <x:v>0</x:v>
      </x:c>
      <x:c r="T345" s="324">
        <x:v>0</x:v>
      </x:c>
      <x:c r="U345" s="324">
        <x:v>0</x:v>
      </x:c>
      <x:c r="V345" s="324">
        <x:v>0</x:v>
      </x:c>
      <x:c r="W345" s="324">
        <x:v>0</x:v>
      </x:c>
      <x:c r="X345" s="324">
        <x:v>0</x:v>
      </x:c>
      <x:c r="Y345" s="324">
        <x:v>0</x:v>
      </x:c>
      <x:c r="Z345" s="257">
        <x:f t="shared" si="12"/>
        <x:v>0</x:v>
      </x:c>
    </x:row>
    <x:row r="346">
      <x:c r="A346" s="148" t="s">
        <x:v>107</x:v>
      </x:c>
      <x:c r="B346">
        <x:v>9</x:v>
      </x:c>
      <x:c r="C346" s="148" t="s">
        <x:v>116</x:v>
      </x:c>
      <x:c r="D346">
        <x:v>919</x:v>
      </x:c>
      <x:c r="E346" s="324">
        <x:v>0</x:v>
      </x:c>
      <x:c r="F346" s="324">
        <x:v>0</x:v>
      </x:c>
      <x:c r="G346" s="324">
        <x:v>0</x:v>
      </x:c>
      <x:c r="H346" s="324">
        <x:v>0</x:v>
      </x:c>
      <x:c r="I346" s="324">
        <x:v>0</x:v>
      </x:c>
      <x:c r="J346" s="324">
        <x:v>0</x:v>
      </x:c>
      <x:c r="K346" s="324">
        <x:v>0</x:v>
      </x:c>
      <x:c r="L346" s="324">
        <x:v>0</x:v>
      </x:c>
      <x:c r="M346" s="324">
        <x:v>0</x:v>
      </x:c>
      <x:c r="N346" s="324">
        <x:v>0</x:v>
      </x:c>
      <x:c r="O346" s="324">
        <x:v>0</x:v>
      </x:c>
      <x:c r="P346" s="324">
        <x:v>0</x:v>
      </x:c>
      <x:c r="Q346" s="324">
        <x:v>0</x:v>
      </x:c>
      <x:c r="R346" s="324">
        <x:v>0</x:v>
      </x:c>
      <x:c r="S346" s="324">
        <x:v>0</x:v>
      </x:c>
      <x:c r="T346" s="324">
        <x:v>0</x:v>
      </x:c>
      <x:c r="U346" s="324">
        <x:v>0</x:v>
      </x:c>
      <x:c r="V346" s="324">
        <x:v>0</x:v>
      </x:c>
      <x:c r="W346" s="324">
        <x:v>0</x:v>
      </x:c>
      <x:c r="X346" s="324">
        <x:v>0</x:v>
      </x:c>
      <x:c r="Y346" s="324">
        <x:v>0</x:v>
      </x:c>
      <x:c r="Z346" s="257">
        <x:f t="shared" si="12"/>
        <x:v>0</x:v>
      </x:c>
    </x:row>
    <x:row r="347">
      <x:c r="A347" s="148" t="s">
        <x:v>107</x:v>
      </x:c>
      <x:c r="B347">
        <x:v>9</x:v>
      </x:c>
      <x:c r="C347" s="148" t="s">
        <x:v>116</x:v>
      </x:c>
      <x:c r="D347">
        <x:v>923</x:v>
      </x:c>
      <x:c r="E347" s="324">
        <x:v>0</x:v>
      </x:c>
      <x:c r="F347" s="324">
        <x:v>0</x:v>
      </x:c>
      <x:c r="G347" s="324">
        <x:v>0</x:v>
      </x:c>
      <x:c r="H347" s="324">
        <x:v>0</x:v>
      </x:c>
      <x:c r="I347" s="324">
        <x:v>0</x:v>
      </x:c>
      <x:c r="J347" s="324">
        <x:v>0</x:v>
      </x:c>
      <x:c r="K347" s="324">
        <x:v>0</x:v>
      </x:c>
      <x:c r="L347" s="324">
        <x:v>0</x:v>
      </x:c>
      <x:c r="M347" s="324">
        <x:v>0</x:v>
      </x:c>
      <x:c r="N347" s="324">
        <x:v>0</x:v>
      </x:c>
      <x:c r="O347" s="324">
        <x:v>0</x:v>
      </x:c>
      <x:c r="P347" s="324">
        <x:v>0</x:v>
      </x:c>
      <x:c r="Q347" s="324">
        <x:v>0</x:v>
      </x:c>
      <x:c r="R347" s="324">
        <x:v>0</x:v>
      </x:c>
      <x:c r="S347" s="324">
        <x:v>0</x:v>
      </x:c>
      <x:c r="T347" s="324">
        <x:v>0</x:v>
      </x:c>
      <x:c r="U347" s="324">
        <x:v>0</x:v>
      </x:c>
      <x:c r="V347" s="324">
        <x:v>0</x:v>
      </x:c>
      <x:c r="W347" s="324">
        <x:v>0</x:v>
      </x:c>
      <x:c r="X347" s="324">
        <x:v>0</x:v>
      </x:c>
      <x:c r="Y347" s="324">
        <x:v>0</x:v>
      </x:c>
      <x:c r="Z347" s="257">
        <x:f t="shared" si="12"/>
        <x:v>0</x:v>
      </x:c>
    </x:row>
    <x:row r="348">
      <x:c r="A348" s="148" t="s">
        <x:v>107</x:v>
      </x:c>
      <x:c r="B348">
        <x:v>9</x:v>
      </x:c>
      <x:c r="C348" s="148" t="s">
        <x:v>115</x:v>
      </x:c>
      <x:c r="D348">
        <x:v>901</x:v>
      </x:c>
      <x:c r="E348" s="324">
        <x:v>0</x:v>
      </x:c>
      <x:c r="F348" s="324">
        <x:v>0</x:v>
      </x:c>
      <x:c r="G348" s="324">
        <x:v>0</x:v>
      </x:c>
      <x:c r="H348" s="324">
        <x:v>0</x:v>
      </x:c>
      <x:c r="I348" s="324">
        <x:v>0</x:v>
      </x:c>
      <x:c r="J348" s="324">
        <x:v>0</x:v>
      </x:c>
      <x:c r="K348" s="324">
        <x:v>0</x:v>
      </x:c>
      <x:c r="L348" s="324">
        <x:v>0</x:v>
      </x:c>
      <x:c r="M348" s="324">
        <x:v>0</x:v>
      </x:c>
      <x:c r="N348" s="324">
        <x:v>0</x:v>
      </x:c>
      <x:c r="O348" s="324">
        <x:v>0</x:v>
      </x:c>
      <x:c r="P348" s="324">
        <x:v>0</x:v>
      </x:c>
      <x:c r="Q348" s="324">
        <x:v>0</x:v>
      </x:c>
      <x:c r="R348" s="324">
        <x:v>0</x:v>
      </x:c>
      <x:c r="S348" s="324">
        <x:v>0</x:v>
      </x:c>
      <x:c r="T348" s="324">
        <x:v>0</x:v>
      </x:c>
      <x:c r="U348" s="324">
        <x:v>0</x:v>
      </x:c>
      <x:c r="V348" s="324">
        <x:v>0</x:v>
      </x:c>
      <x:c r="W348" s="324">
        <x:v>0</x:v>
      </x:c>
      <x:c r="X348" s="324">
        <x:v>0</x:v>
      </x:c>
      <x:c r="Y348" s="324">
        <x:v>0</x:v>
      </x:c>
      <x:c r="Z348" s="257">
        <x:f t="shared" si="12"/>
        <x:v>0</x:v>
      </x:c>
    </x:row>
    <x:row r="349">
      <x:c r="A349" s="148" t="s">
        <x:v>107</x:v>
      </x:c>
      <x:c r="B349">
        <x:v>9</x:v>
      </x:c>
      <x:c r="C349" s="148" t="s">
        <x:v>115</x:v>
      </x:c>
      <x:c r="D349">
        <x:v>902</x:v>
      </x:c>
      <x:c r="E349" s="324">
        <x:v>0</x:v>
      </x:c>
      <x:c r="F349" s="324">
        <x:v>0</x:v>
      </x:c>
      <x:c r="G349" s="324">
        <x:v>0</x:v>
      </x:c>
      <x:c r="H349" s="324">
        <x:v>0</x:v>
      </x:c>
      <x:c r="I349" s="324">
        <x:v>0</x:v>
      </x:c>
      <x:c r="J349" s="324">
        <x:v>0</x:v>
      </x:c>
      <x:c r="K349" s="324">
        <x:v>0</x:v>
      </x:c>
      <x:c r="L349" s="324">
        <x:v>0</x:v>
      </x:c>
      <x:c r="M349" s="324">
        <x:v>0</x:v>
      </x:c>
      <x:c r="N349" s="324">
        <x:v>0</x:v>
      </x:c>
      <x:c r="O349" s="324">
        <x:v>0</x:v>
      </x:c>
      <x:c r="P349" s="324">
        <x:v>0</x:v>
      </x:c>
      <x:c r="Q349" s="324">
        <x:v>0</x:v>
      </x:c>
      <x:c r="R349" s="324">
        <x:v>0</x:v>
      </x:c>
      <x:c r="S349" s="324">
        <x:v>0</x:v>
      </x:c>
      <x:c r="T349" s="324">
        <x:v>0</x:v>
      </x:c>
      <x:c r="U349" s="324">
        <x:v>0</x:v>
      </x:c>
      <x:c r="V349" s="324">
        <x:v>0</x:v>
      </x:c>
      <x:c r="W349" s="324">
        <x:v>0</x:v>
      </x:c>
      <x:c r="X349" s="324">
        <x:v>0</x:v>
      </x:c>
      <x:c r="Y349" s="324">
        <x:v>0</x:v>
      </x:c>
      <x:c r="Z349" s="257">
        <x:f t="shared" si="12"/>
        <x:v>0</x:v>
      </x:c>
    </x:row>
    <x:row r="350">
      <x:c r="A350" s="148" t="s">
        <x:v>107</x:v>
      </x:c>
      <x:c r="B350">
        <x:v>9</x:v>
      </x:c>
      <x:c r="C350" s="148" t="s">
        <x:v>115</x:v>
      </x:c>
      <x:c r="D350">
        <x:v>903</x:v>
      </x:c>
      <x:c r="E350" s="324">
        <x:v>0</x:v>
      </x:c>
      <x:c r="F350" s="324">
        <x:v>0</x:v>
      </x:c>
      <x:c r="G350" s="324">
        <x:v>0</x:v>
      </x:c>
      <x:c r="H350" s="324">
        <x:v>0</x:v>
      </x:c>
      <x:c r="I350" s="324">
        <x:v>0</x:v>
      </x:c>
      <x:c r="J350" s="324">
        <x:v>0</x:v>
      </x:c>
      <x:c r="K350" s="324">
        <x:v>0</x:v>
      </x:c>
      <x:c r="L350" s="324">
        <x:v>0</x:v>
      </x:c>
      <x:c r="M350" s="324">
        <x:v>0</x:v>
      </x:c>
      <x:c r="N350" s="324">
        <x:v>0</x:v>
      </x:c>
      <x:c r="O350" s="324">
        <x:v>0</x:v>
      </x:c>
      <x:c r="P350" s="324">
        <x:v>0</x:v>
      </x:c>
      <x:c r="Q350" s="324">
        <x:v>0</x:v>
      </x:c>
      <x:c r="R350" s="324">
        <x:v>0</x:v>
      </x:c>
      <x:c r="S350" s="324">
        <x:v>0</x:v>
      </x:c>
      <x:c r="T350" s="324">
        <x:v>0</x:v>
      </x:c>
      <x:c r="U350" s="324">
        <x:v>0</x:v>
      </x:c>
      <x:c r="V350" s="324">
        <x:v>0</x:v>
      </x:c>
      <x:c r="W350" s="324">
        <x:v>0</x:v>
      </x:c>
      <x:c r="X350" s="324">
        <x:v>0</x:v>
      </x:c>
      <x:c r="Y350" s="324">
        <x:v>0</x:v>
      </x:c>
      <x:c r="Z350" s="257">
        <x:f t="shared" si="12"/>
        <x:v>0</x:v>
      </x:c>
    </x:row>
    <x:row r="351">
      <x:c r="A351" s="148" t="s">
        <x:v>107</x:v>
      </x:c>
      <x:c r="B351">
        <x:v>9</x:v>
      </x:c>
      <x:c r="C351" s="148" t="s">
        <x:v>115</x:v>
      </x:c>
      <x:c r="D351">
        <x:v>904</x:v>
      </x:c>
      <x:c r="E351" s="324">
        <x:v>0</x:v>
      </x:c>
      <x:c r="F351" s="324">
        <x:v>0</x:v>
      </x:c>
      <x:c r="G351" s="324">
        <x:v>0</x:v>
      </x:c>
      <x:c r="H351" s="324">
        <x:v>0</x:v>
      </x:c>
      <x:c r="I351" s="324">
        <x:v>0</x:v>
      </x:c>
      <x:c r="J351" s="324">
        <x:v>0</x:v>
      </x:c>
      <x:c r="K351" s="324">
        <x:v>0</x:v>
      </x:c>
      <x:c r="L351" s="324">
        <x:v>0</x:v>
      </x:c>
      <x:c r="M351" s="324">
        <x:v>0</x:v>
      </x:c>
      <x:c r="N351" s="324">
        <x:v>0</x:v>
      </x:c>
      <x:c r="O351" s="324">
        <x:v>0</x:v>
      </x:c>
      <x:c r="P351" s="324">
        <x:v>0</x:v>
      </x:c>
      <x:c r="Q351" s="324">
        <x:v>0</x:v>
      </x:c>
      <x:c r="R351" s="324">
        <x:v>0</x:v>
      </x:c>
      <x:c r="S351" s="324">
        <x:v>0</x:v>
      </x:c>
      <x:c r="T351" s="324">
        <x:v>0</x:v>
      </x:c>
      <x:c r="U351" s="324">
        <x:v>0</x:v>
      </x:c>
      <x:c r="V351" s="324">
        <x:v>0</x:v>
      </x:c>
      <x:c r="W351" s="324">
        <x:v>0</x:v>
      </x:c>
      <x:c r="X351" s="324">
        <x:v>0</x:v>
      </x:c>
      <x:c r="Y351" s="324">
        <x:v>0</x:v>
      </x:c>
      <x:c r="Z351" s="257">
        <x:f t="shared" si="12"/>
        <x:v>0</x:v>
      </x:c>
    </x:row>
    <x:row r="352">
      <x:c r="A352" s="148" t="s">
        <x:v>107</x:v>
      </x:c>
      <x:c r="B352">
        <x:v>9</x:v>
      </x:c>
      <x:c r="C352" s="148" t="s">
        <x:v>115</x:v>
      </x:c>
      <x:c r="D352">
        <x:v>905</x:v>
      </x:c>
      <x:c r="E352" s="324">
        <x:v>0</x:v>
      </x:c>
      <x:c r="F352" s="324">
        <x:v>0</x:v>
      </x:c>
      <x:c r="G352" s="324">
        <x:v>0</x:v>
      </x:c>
      <x:c r="H352" s="324">
        <x:v>0</x:v>
      </x:c>
      <x:c r="I352" s="324">
        <x:v>0</x:v>
      </x:c>
      <x:c r="J352" s="324">
        <x:v>0</x:v>
      </x:c>
      <x:c r="K352" s="324">
        <x:v>0</x:v>
      </x:c>
      <x:c r="L352" s="324">
        <x:v>0</x:v>
      </x:c>
      <x:c r="M352" s="324">
        <x:v>0</x:v>
      </x:c>
      <x:c r="N352" s="324">
        <x:v>0</x:v>
      </x:c>
      <x:c r="O352" s="324">
        <x:v>0</x:v>
      </x:c>
      <x:c r="P352" s="324">
        <x:v>0</x:v>
      </x:c>
      <x:c r="Q352" s="324">
        <x:v>0</x:v>
      </x:c>
      <x:c r="R352" s="324">
        <x:v>0</x:v>
      </x:c>
      <x:c r="S352" s="324">
        <x:v>0</x:v>
      </x:c>
      <x:c r="T352" s="324">
        <x:v>0</x:v>
      </x:c>
      <x:c r="U352" s="324">
        <x:v>0</x:v>
      </x:c>
      <x:c r="V352" s="324">
        <x:v>0</x:v>
      </x:c>
      <x:c r="W352" s="324">
        <x:v>0</x:v>
      </x:c>
      <x:c r="X352" s="324">
        <x:v>0</x:v>
      </x:c>
      <x:c r="Y352" s="324">
        <x:v>0</x:v>
      </x:c>
      <x:c r="Z352" s="257">
        <x:f t="shared" si="12"/>
        <x:v>0</x:v>
      </x:c>
    </x:row>
    <x:row r="353">
      <x:c r="A353" s="148" t="s">
        <x:v>107</x:v>
      </x:c>
      <x:c r="B353">
        <x:v>9</x:v>
      </x:c>
      <x:c r="C353" s="148" t="s">
        <x:v>115</x:v>
      </x:c>
      <x:c r="D353">
        <x:v>906</x:v>
      </x:c>
      <x:c r="E353" s="324">
        <x:v>0</x:v>
      </x:c>
      <x:c r="F353" s="324">
        <x:v>0</x:v>
      </x:c>
      <x:c r="G353" s="324">
        <x:v>0</x:v>
      </x:c>
      <x:c r="H353" s="324">
        <x:v>0</x:v>
      </x:c>
      <x:c r="I353" s="324">
        <x:v>0</x:v>
      </x:c>
      <x:c r="J353" s="324">
        <x:v>0</x:v>
      </x:c>
      <x:c r="K353" s="324">
        <x:v>0</x:v>
      </x:c>
      <x:c r="L353" s="324">
        <x:v>0</x:v>
      </x:c>
      <x:c r="M353" s="324">
        <x:v>0</x:v>
      </x:c>
      <x:c r="N353" s="324">
        <x:v>0</x:v>
      </x:c>
      <x:c r="O353" s="324">
        <x:v>0</x:v>
      </x:c>
      <x:c r="P353" s="324">
        <x:v>0</x:v>
      </x:c>
      <x:c r="Q353" s="324">
        <x:v>0</x:v>
      </x:c>
      <x:c r="R353" s="324">
        <x:v>0</x:v>
      </x:c>
      <x:c r="S353" s="324">
        <x:v>0</x:v>
      </x:c>
      <x:c r="T353" s="324">
        <x:v>0</x:v>
      </x:c>
      <x:c r="U353" s="324">
        <x:v>0</x:v>
      </x:c>
      <x:c r="V353" s="324">
        <x:v>0</x:v>
      </x:c>
      <x:c r="W353" s="324">
        <x:v>0</x:v>
      </x:c>
      <x:c r="X353" s="324">
        <x:v>0</x:v>
      </x:c>
      <x:c r="Y353" s="324">
        <x:v>0</x:v>
      </x:c>
      <x:c r="Z353" s="257">
        <x:f t="shared" si="12"/>
        <x:v>0</x:v>
      </x:c>
    </x:row>
    <x:row r="354">
      <x:c r="A354" s="148" t="s">
        <x:v>107</x:v>
      </x:c>
      <x:c r="B354">
        <x:v>9</x:v>
      </x:c>
      <x:c r="C354" s="148" t="s">
        <x:v>115</x:v>
      </x:c>
      <x:c r="D354">
        <x:v>907</x:v>
      </x:c>
      <x:c r="E354" s="324">
        <x:v>0</x:v>
      </x:c>
      <x:c r="F354" s="324">
        <x:v>0</x:v>
      </x:c>
      <x:c r="G354" s="324">
        <x:v>0</x:v>
      </x:c>
      <x:c r="H354" s="324">
        <x:v>0</x:v>
      </x:c>
      <x:c r="I354" s="324">
        <x:v>0</x:v>
      </x:c>
      <x:c r="J354" s="324">
        <x:v>0</x:v>
      </x:c>
      <x:c r="K354" s="324">
        <x:v>0</x:v>
      </x:c>
      <x:c r="L354" s="324">
        <x:v>0</x:v>
      </x:c>
      <x:c r="M354" s="324">
        <x:v>0</x:v>
      </x:c>
      <x:c r="N354" s="324">
        <x:v>0</x:v>
      </x:c>
      <x:c r="O354" s="324">
        <x:v>0</x:v>
      </x:c>
      <x:c r="P354" s="324">
        <x:v>0</x:v>
      </x:c>
      <x:c r="Q354" s="324">
        <x:v>0</x:v>
      </x:c>
      <x:c r="R354" s="324">
        <x:v>0</x:v>
      </x:c>
      <x:c r="S354" s="324">
        <x:v>0</x:v>
      </x:c>
      <x:c r="T354" s="324">
        <x:v>0</x:v>
      </x:c>
      <x:c r="U354" s="324">
        <x:v>0</x:v>
      </x:c>
      <x:c r="V354" s="324">
        <x:v>0</x:v>
      </x:c>
      <x:c r="W354" s="324">
        <x:v>0</x:v>
      </x:c>
      <x:c r="X354" s="324">
        <x:v>0</x:v>
      </x:c>
      <x:c r="Y354" s="324">
        <x:v>0</x:v>
      </x:c>
      <x:c r="Z354" s="257">
        <x:f t="shared" si="12"/>
        <x:v>0</x:v>
      </x:c>
    </x:row>
    <x:row r="355">
      <x:c r="A355" s="148" t="s">
        <x:v>107</x:v>
      </x:c>
      <x:c r="B355">
        <x:v>9</x:v>
      </x:c>
      <x:c r="C355" s="148" t="s">
        <x:v>115</x:v>
      </x:c>
      <x:c r="D355">
        <x:v>908</x:v>
      </x:c>
      <x:c r="E355" s="324">
        <x:v>0</x:v>
      </x:c>
      <x:c r="F355" s="324">
        <x:v>0</x:v>
      </x:c>
      <x:c r="G355" s="324">
        <x:v>0</x:v>
      </x:c>
      <x:c r="H355" s="324">
        <x:v>0</x:v>
      </x:c>
      <x:c r="I355" s="324">
        <x:v>0</x:v>
      </x:c>
      <x:c r="J355" s="324">
        <x:v>0</x:v>
      </x:c>
      <x:c r="K355" s="324">
        <x:v>0</x:v>
      </x:c>
      <x:c r="L355" s="324">
        <x:v>0</x:v>
      </x:c>
      <x:c r="M355" s="324">
        <x:v>0</x:v>
      </x:c>
      <x:c r="N355" s="324">
        <x:v>0</x:v>
      </x:c>
      <x:c r="O355" s="324">
        <x:v>0</x:v>
      </x:c>
      <x:c r="P355" s="324">
        <x:v>0</x:v>
      </x:c>
      <x:c r="Q355" s="324">
        <x:v>0</x:v>
      </x:c>
      <x:c r="R355" s="324">
        <x:v>0</x:v>
      </x:c>
      <x:c r="S355" s="324">
        <x:v>0</x:v>
      </x:c>
      <x:c r="T355" s="324">
        <x:v>0</x:v>
      </x:c>
      <x:c r="U355" s="324">
        <x:v>0</x:v>
      </x:c>
      <x:c r="V355" s="324">
        <x:v>0</x:v>
      </x:c>
      <x:c r="W355" s="324">
        <x:v>0</x:v>
      </x:c>
      <x:c r="X355" s="324">
        <x:v>0</x:v>
      </x:c>
      <x:c r="Y355" s="324">
        <x:v>0</x:v>
      </x:c>
      <x:c r="Z355" s="257">
        <x:f t="shared" si="12"/>
        <x:v>0</x:v>
      </x:c>
    </x:row>
    <x:row r="356">
      <x:c r="A356" s="148" t="s">
        <x:v>107</x:v>
      </x:c>
      <x:c r="B356">
        <x:v>9</x:v>
      </x:c>
      <x:c r="C356" s="148" t="s">
        <x:v>115</x:v>
      </x:c>
      <x:c r="D356">
        <x:v>909</x:v>
      </x:c>
      <x:c r="E356" s="324">
        <x:v>0</x:v>
      </x:c>
      <x:c r="F356" s="324">
        <x:v>0</x:v>
      </x:c>
      <x:c r="G356" s="324">
        <x:v>0</x:v>
      </x:c>
      <x:c r="H356" s="324">
        <x:v>0</x:v>
      </x:c>
      <x:c r="I356" s="324">
        <x:v>0</x:v>
      </x:c>
      <x:c r="J356" s="324">
        <x:v>0</x:v>
      </x:c>
      <x:c r="K356" s="324">
        <x:v>0</x:v>
      </x:c>
      <x:c r="L356" s="324">
        <x:v>0</x:v>
      </x:c>
      <x:c r="M356" s="324">
        <x:v>0</x:v>
      </x:c>
      <x:c r="N356" s="324">
        <x:v>0</x:v>
      </x:c>
      <x:c r="O356" s="324">
        <x:v>0</x:v>
      </x:c>
      <x:c r="P356" s="324">
        <x:v>0</x:v>
      </x:c>
      <x:c r="Q356" s="324">
        <x:v>0</x:v>
      </x:c>
      <x:c r="R356" s="324">
        <x:v>0</x:v>
      </x:c>
      <x:c r="S356" s="324">
        <x:v>0</x:v>
      </x:c>
      <x:c r="T356" s="324">
        <x:v>0</x:v>
      </x:c>
      <x:c r="U356" s="324">
        <x:v>0</x:v>
      </x:c>
      <x:c r="V356" s="324">
        <x:v>0</x:v>
      </x:c>
      <x:c r="W356" s="324">
        <x:v>0</x:v>
      </x:c>
      <x:c r="X356" s="324">
        <x:v>0</x:v>
      </x:c>
      <x:c r="Y356" s="324">
        <x:v>0</x:v>
      </x:c>
      <x:c r="Z356" s="257">
        <x:f t="shared" si="12"/>
        <x:v>0</x:v>
      </x:c>
    </x:row>
    <x:row r="357">
      <x:c r="A357" s="148" t="s">
        <x:v>107</x:v>
      </x:c>
      <x:c r="B357">
        <x:v>9</x:v>
      </x:c>
      <x:c r="C357" s="148" t="s">
        <x:v>115</x:v>
      </x:c>
      <x:c r="D357">
        <x:v>910</x:v>
      </x:c>
      <x:c r="E357" s="324">
        <x:v>0</x:v>
      </x:c>
      <x:c r="F357" s="324">
        <x:v>0</x:v>
      </x:c>
      <x:c r="G357" s="324">
        <x:v>0</x:v>
      </x:c>
      <x:c r="H357" s="324">
        <x:v>0</x:v>
      </x:c>
      <x:c r="I357" s="324">
        <x:v>0</x:v>
      </x:c>
      <x:c r="J357" s="324">
        <x:v>0</x:v>
      </x:c>
      <x:c r="K357" s="324">
        <x:v>0</x:v>
      </x:c>
      <x:c r="L357" s="324">
        <x:v>0</x:v>
      </x:c>
      <x:c r="M357" s="324">
        <x:v>0</x:v>
      </x:c>
      <x:c r="N357" s="324">
        <x:v>0</x:v>
      </x:c>
      <x:c r="O357" s="324">
        <x:v>0</x:v>
      </x:c>
      <x:c r="P357" s="324">
        <x:v>0</x:v>
      </x:c>
      <x:c r="Q357" s="324">
        <x:v>0</x:v>
      </x:c>
      <x:c r="R357" s="324">
        <x:v>0</x:v>
      </x:c>
      <x:c r="S357" s="324">
        <x:v>0</x:v>
      </x:c>
      <x:c r="T357" s="324">
        <x:v>0</x:v>
      </x:c>
      <x:c r="U357" s="324">
        <x:v>0</x:v>
      </x:c>
      <x:c r="V357" s="324">
        <x:v>0</x:v>
      </x:c>
      <x:c r="W357" s="324">
        <x:v>0</x:v>
      </x:c>
      <x:c r="X357" s="324">
        <x:v>0</x:v>
      </x:c>
      <x:c r="Y357" s="324">
        <x:v>0</x:v>
      </x:c>
      <x:c r="Z357" s="257">
        <x:f t="shared" si="12"/>
        <x:v>0</x:v>
      </x:c>
    </x:row>
    <x:row r="358">
      <x:c r="A358" s="148" t="s">
        <x:v>107</x:v>
      </x:c>
      <x:c r="B358">
        <x:v>9</x:v>
      </x:c>
      <x:c r="C358" s="148" t="s">
        <x:v>115</x:v>
      </x:c>
      <x:c r="D358">
        <x:v>911</x:v>
      </x:c>
      <x:c r="E358" s="324">
        <x:v>0</x:v>
      </x:c>
      <x:c r="F358" s="324">
        <x:v>0</x:v>
      </x:c>
      <x:c r="G358" s="324">
        <x:v>0</x:v>
      </x:c>
      <x:c r="H358" s="324">
        <x:v>0</x:v>
      </x:c>
      <x:c r="I358" s="324">
        <x:v>0</x:v>
      </x:c>
      <x:c r="J358" s="324">
        <x:v>0</x:v>
      </x:c>
      <x:c r="K358" s="324">
        <x:v>0</x:v>
      </x:c>
      <x:c r="L358" s="324">
        <x:v>0</x:v>
      </x:c>
      <x:c r="M358" s="324">
        <x:v>0</x:v>
      </x:c>
      <x:c r="N358" s="324">
        <x:v>0</x:v>
      </x:c>
      <x:c r="O358" s="324">
        <x:v>0</x:v>
      </x:c>
      <x:c r="P358" s="324">
        <x:v>0</x:v>
      </x:c>
      <x:c r="Q358" s="324">
        <x:v>0</x:v>
      </x:c>
      <x:c r="R358" s="324">
        <x:v>0</x:v>
      </x:c>
      <x:c r="S358" s="324">
        <x:v>0</x:v>
      </x:c>
      <x:c r="T358" s="324">
        <x:v>0</x:v>
      </x:c>
      <x:c r="U358" s="324">
        <x:v>0</x:v>
      </x:c>
      <x:c r="V358" s="324">
        <x:v>0</x:v>
      </x:c>
      <x:c r="W358" s="324">
        <x:v>0</x:v>
      </x:c>
      <x:c r="X358" s="324">
        <x:v>0</x:v>
      </x:c>
      <x:c r="Y358" s="324">
        <x:v>0</x:v>
      </x:c>
      <x:c r="Z358" s="257">
        <x:f t="shared" si="12"/>
        <x:v>0</x:v>
      </x:c>
    </x:row>
    <x:row r="359">
      <x:c r="A359" s="148" t="s">
        <x:v>107</x:v>
      </x:c>
      <x:c r="B359">
        <x:v>9</x:v>
      </x:c>
      <x:c r="C359" s="148" t="s">
        <x:v>115</x:v>
      </x:c>
      <x:c r="D359">
        <x:v>912</x:v>
      </x:c>
      <x:c r="E359" s="324">
        <x:v>0</x:v>
      </x:c>
      <x:c r="F359" s="324">
        <x:v>0</x:v>
      </x:c>
      <x:c r="G359" s="324">
        <x:v>0</x:v>
      </x:c>
      <x:c r="H359" s="324">
        <x:v>0</x:v>
      </x:c>
      <x:c r="I359" s="324">
        <x:v>0</x:v>
      </x:c>
      <x:c r="J359" s="324">
        <x:v>0</x:v>
      </x:c>
      <x:c r="K359" s="324">
        <x:v>0</x:v>
      </x:c>
      <x:c r="L359" s="324">
        <x:v>0</x:v>
      </x:c>
      <x:c r="M359" s="324">
        <x:v>0</x:v>
      </x:c>
      <x:c r="N359" s="324">
        <x:v>0</x:v>
      </x:c>
      <x:c r="O359" s="324">
        <x:v>0</x:v>
      </x:c>
      <x:c r="P359" s="324">
        <x:v>0</x:v>
      </x:c>
      <x:c r="Q359" s="324">
        <x:v>0</x:v>
      </x:c>
      <x:c r="R359" s="324">
        <x:v>0</x:v>
      </x:c>
      <x:c r="S359" s="324">
        <x:v>0</x:v>
      </x:c>
      <x:c r="T359" s="324">
        <x:v>0</x:v>
      </x:c>
      <x:c r="U359" s="324">
        <x:v>0</x:v>
      </x:c>
      <x:c r="V359" s="324">
        <x:v>0</x:v>
      </x:c>
      <x:c r="W359" s="324">
        <x:v>0</x:v>
      </x:c>
      <x:c r="X359" s="324">
        <x:v>0</x:v>
      </x:c>
      <x:c r="Y359" s="324">
        <x:v>0</x:v>
      </x:c>
      <x:c r="Z359" s="257">
        <x:f t="shared" si="12"/>
        <x:v>0</x:v>
      </x:c>
    </x:row>
    <x:row r="360">
      <x:c r="A360" s="148" t="s">
        <x:v>107</x:v>
      </x:c>
      <x:c r="B360">
        <x:v>9</x:v>
      </x:c>
      <x:c r="C360" s="148" t="s">
        <x:v>115</x:v>
      </x:c>
      <x:c r="D360">
        <x:v>913</x:v>
      </x:c>
      <x:c r="E360" s="324">
        <x:v>0</x:v>
      </x:c>
      <x:c r="F360" s="324">
        <x:v>0</x:v>
      </x:c>
      <x:c r="G360" s="324">
        <x:v>0</x:v>
      </x:c>
      <x:c r="H360" s="324">
        <x:v>0</x:v>
      </x:c>
      <x:c r="I360" s="324">
        <x:v>0</x:v>
      </x:c>
      <x:c r="J360" s="324">
        <x:v>0</x:v>
      </x:c>
      <x:c r="K360" s="324">
        <x:v>0</x:v>
      </x:c>
      <x:c r="L360" s="324">
        <x:v>0</x:v>
      </x:c>
      <x:c r="M360" s="324">
        <x:v>0</x:v>
      </x:c>
      <x:c r="N360" s="324">
        <x:v>0</x:v>
      </x:c>
      <x:c r="O360" s="324">
        <x:v>0</x:v>
      </x:c>
      <x:c r="P360" s="324">
        <x:v>0</x:v>
      </x:c>
      <x:c r="Q360" s="324">
        <x:v>0</x:v>
      </x:c>
      <x:c r="R360" s="324">
        <x:v>0</x:v>
      </x:c>
      <x:c r="S360" s="324">
        <x:v>0</x:v>
      </x:c>
      <x:c r="T360" s="324">
        <x:v>0</x:v>
      </x:c>
      <x:c r="U360" s="324">
        <x:v>0</x:v>
      </x:c>
      <x:c r="V360" s="324">
        <x:v>0</x:v>
      </x:c>
      <x:c r="W360" s="324">
        <x:v>0</x:v>
      </x:c>
      <x:c r="X360" s="324">
        <x:v>0</x:v>
      </x:c>
      <x:c r="Y360" s="324">
        <x:v>0</x:v>
      </x:c>
      <x:c r="Z360" s="257">
        <x:f t="shared" si="12"/>
        <x:v>0</x:v>
      </x:c>
    </x:row>
    <x:row r="361">
      <x:c r="A361" s="148" t="s">
        <x:v>107</x:v>
      </x:c>
      <x:c r="B361">
        <x:v>9</x:v>
      </x:c>
      <x:c r="C361" s="148" t="s">
        <x:v>115</x:v>
      </x:c>
      <x:c r="D361">
        <x:v>914</x:v>
      </x:c>
      <x:c r="E361" s="324">
        <x:v>0</x:v>
      </x:c>
      <x:c r="F361" s="324">
        <x:v>0</x:v>
      </x:c>
      <x:c r="G361" s="324">
        <x:v>0</x:v>
      </x:c>
      <x:c r="H361" s="324">
        <x:v>0</x:v>
      </x:c>
      <x:c r="I361" s="324">
        <x:v>0</x:v>
      </x:c>
      <x:c r="J361" s="324">
        <x:v>0</x:v>
      </x:c>
      <x:c r="K361" s="324">
        <x:v>0</x:v>
      </x:c>
      <x:c r="L361" s="324">
        <x:v>0</x:v>
      </x:c>
      <x:c r="M361" s="324">
        <x:v>0</x:v>
      </x:c>
      <x:c r="N361" s="324">
        <x:v>0</x:v>
      </x:c>
      <x:c r="O361" s="324">
        <x:v>0</x:v>
      </x:c>
      <x:c r="P361" s="324">
        <x:v>0</x:v>
      </x:c>
      <x:c r="Q361" s="324">
        <x:v>0</x:v>
      </x:c>
      <x:c r="R361" s="324">
        <x:v>0</x:v>
      </x:c>
      <x:c r="S361" s="324">
        <x:v>0</x:v>
      </x:c>
      <x:c r="T361" s="324">
        <x:v>0</x:v>
      </x:c>
      <x:c r="U361" s="324">
        <x:v>0</x:v>
      </x:c>
      <x:c r="V361" s="324">
        <x:v>0</x:v>
      </x:c>
      <x:c r="W361" s="324">
        <x:v>0</x:v>
      </x:c>
      <x:c r="X361" s="324">
        <x:v>0</x:v>
      </x:c>
      <x:c r="Y361" s="324">
        <x:v>0</x:v>
      </x:c>
      <x:c r="Z361" s="257">
        <x:f t="shared" si="12"/>
        <x:v>0</x:v>
      </x:c>
    </x:row>
    <x:row r="362">
      <x:c r="A362" s="148" t="s">
        <x:v>107</x:v>
      </x:c>
      <x:c r="B362">
        <x:v>9</x:v>
      </x:c>
      <x:c r="C362" s="148" t="s">
        <x:v>115</x:v>
      </x:c>
      <x:c r="D362">
        <x:v>915</x:v>
      </x:c>
      <x:c r="E362" s="324">
        <x:v>0</x:v>
      </x:c>
      <x:c r="F362" s="324">
        <x:v>0</x:v>
      </x:c>
      <x:c r="G362" s="324">
        <x:v>0</x:v>
      </x:c>
      <x:c r="H362" s="324">
        <x:v>0</x:v>
      </x:c>
      <x:c r="I362" s="324">
        <x:v>0</x:v>
      </x:c>
      <x:c r="J362" s="324">
        <x:v>0</x:v>
      </x:c>
      <x:c r="K362" s="324">
        <x:v>0</x:v>
      </x:c>
      <x:c r="L362" s="324">
        <x:v>0</x:v>
      </x:c>
      <x:c r="M362" s="324">
        <x:v>0</x:v>
      </x:c>
      <x:c r="N362" s="324">
        <x:v>0</x:v>
      </x:c>
      <x:c r="O362" s="324">
        <x:v>0</x:v>
      </x:c>
      <x:c r="P362" s="324">
        <x:v>0</x:v>
      </x:c>
      <x:c r="Q362" s="324">
        <x:v>0</x:v>
      </x:c>
      <x:c r="R362" s="324">
        <x:v>0</x:v>
      </x:c>
      <x:c r="S362" s="324">
        <x:v>0</x:v>
      </x:c>
      <x:c r="T362" s="324">
        <x:v>0</x:v>
      </x:c>
      <x:c r="U362" s="324">
        <x:v>0</x:v>
      </x:c>
      <x:c r="V362" s="324">
        <x:v>0</x:v>
      </x:c>
      <x:c r="W362" s="324">
        <x:v>0</x:v>
      </x:c>
      <x:c r="X362" s="324">
        <x:v>0</x:v>
      </x:c>
      <x:c r="Y362" s="324">
        <x:v>0</x:v>
      </x:c>
      <x:c r="Z362" s="257">
        <x:f t="shared" si="12"/>
        <x:v>0</x:v>
      </x:c>
    </x:row>
    <x:row r="363">
      <x:c r="A363" s="148" t="s">
        <x:v>107</x:v>
      </x:c>
      <x:c r="B363">
        <x:v>9</x:v>
      </x:c>
      <x:c r="C363" s="148" t="s">
        <x:v>115</x:v>
      </x:c>
      <x:c r="D363">
        <x:v>916</x:v>
      </x:c>
      <x:c r="E363" s="324">
        <x:v>0</x:v>
      </x:c>
      <x:c r="F363" s="324">
        <x:v>0</x:v>
      </x:c>
      <x:c r="G363" s="324">
        <x:v>0</x:v>
      </x:c>
      <x:c r="H363" s="324">
        <x:v>0</x:v>
      </x:c>
      <x:c r="I363" s="324">
        <x:v>0</x:v>
      </x:c>
      <x:c r="J363" s="324">
        <x:v>0</x:v>
      </x:c>
      <x:c r="K363" s="324">
        <x:v>0</x:v>
      </x:c>
      <x:c r="L363" s="324">
        <x:v>0</x:v>
      </x:c>
      <x:c r="M363" s="324">
        <x:v>0</x:v>
      </x:c>
      <x:c r="N363" s="324">
        <x:v>0</x:v>
      </x:c>
      <x:c r="O363" s="324">
        <x:v>0</x:v>
      </x:c>
      <x:c r="P363" s="324">
        <x:v>0</x:v>
      </x:c>
      <x:c r="Q363" s="324">
        <x:v>0</x:v>
      </x:c>
      <x:c r="R363" s="324">
        <x:v>0</x:v>
      </x:c>
      <x:c r="S363" s="324">
        <x:v>0</x:v>
      </x:c>
      <x:c r="T363" s="324">
        <x:v>0</x:v>
      </x:c>
      <x:c r="U363" s="324">
        <x:v>0</x:v>
      </x:c>
      <x:c r="V363" s="324">
        <x:v>0</x:v>
      </x:c>
      <x:c r="W363" s="324">
        <x:v>0</x:v>
      </x:c>
      <x:c r="X363" s="324">
        <x:v>0</x:v>
      </x:c>
      <x:c r="Y363" s="324">
        <x:v>0</x:v>
      </x:c>
      <x:c r="Z363" s="257">
        <x:f t="shared" si="12"/>
        <x:v>0</x:v>
      </x:c>
    </x:row>
    <x:row r="364">
      <x:c r="A364" s="148" t="s">
        <x:v>107</x:v>
      </x:c>
      <x:c r="B364">
        <x:v>9</x:v>
      </x:c>
      <x:c r="C364" s="148" t="s">
        <x:v>115</x:v>
      </x:c>
      <x:c r="D364">
        <x:v>917</x:v>
      </x:c>
      <x:c r="E364" s="324">
        <x:v>0</x:v>
      </x:c>
      <x:c r="F364" s="324">
        <x:v>0</x:v>
      </x:c>
      <x:c r="G364" s="324">
        <x:v>0</x:v>
      </x:c>
      <x:c r="H364" s="324">
        <x:v>0</x:v>
      </x:c>
      <x:c r="I364" s="324">
        <x:v>0</x:v>
      </x:c>
      <x:c r="J364" s="324">
        <x:v>0</x:v>
      </x:c>
      <x:c r="K364" s="324">
        <x:v>0</x:v>
      </x:c>
      <x:c r="L364" s="324">
        <x:v>0</x:v>
      </x:c>
      <x:c r="M364" s="324">
        <x:v>0</x:v>
      </x:c>
      <x:c r="N364" s="324">
        <x:v>0</x:v>
      </x:c>
      <x:c r="O364" s="324">
        <x:v>0</x:v>
      </x:c>
      <x:c r="P364" s="324">
        <x:v>0</x:v>
      </x:c>
      <x:c r="Q364" s="324">
        <x:v>0</x:v>
      </x:c>
      <x:c r="R364" s="324">
        <x:v>0</x:v>
      </x:c>
      <x:c r="S364" s="324">
        <x:v>0</x:v>
      </x:c>
      <x:c r="T364" s="324">
        <x:v>0</x:v>
      </x:c>
      <x:c r="U364" s="324">
        <x:v>0</x:v>
      </x:c>
      <x:c r="V364" s="324">
        <x:v>0</x:v>
      </x:c>
      <x:c r="W364" s="324">
        <x:v>0</x:v>
      </x:c>
      <x:c r="X364" s="324">
        <x:v>0</x:v>
      </x:c>
      <x:c r="Y364" s="324">
        <x:v>0</x:v>
      </x:c>
      <x:c r="Z364" s="257">
        <x:f t="shared" si="12"/>
        <x:v>0</x:v>
      </x:c>
    </x:row>
    <x:row r="365">
      <x:c r="A365" s="148" t="s">
        <x:v>107</x:v>
      </x:c>
      <x:c r="B365">
        <x:v>9</x:v>
      </x:c>
      <x:c r="C365" s="148" t="s">
        <x:v>115</x:v>
      </x:c>
      <x:c r="D365">
        <x:v>918</x:v>
      </x:c>
      <x:c r="E365" s="324">
        <x:v>0</x:v>
      </x:c>
      <x:c r="F365" s="324">
        <x:v>0</x:v>
      </x:c>
      <x:c r="G365" s="324">
        <x:v>0</x:v>
      </x:c>
      <x:c r="H365" s="324">
        <x:v>0</x:v>
      </x:c>
      <x:c r="I365" s="324">
        <x:v>0</x:v>
      </x:c>
      <x:c r="J365" s="324">
        <x:v>0</x:v>
      </x:c>
      <x:c r="K365" s="324">
        <x:v>0</x:v>
      </x:c>
      <x:c r="L365" s="324">
        <x:v>0</x:v>
      </x:c>
      <x:c r="M365" s="324">
        <x:v>0</x:v>
      </x:c>
      <x:c r="N365" s="324">
        <x:v>0</x:v>
      </x:c>
      <x:c r="O365" s="324">
        <x:v>0</x:v>
      </x:c>
      <x:c r="P365" s="324">
        <x:v>0</x:v>
      </x:c>
      <x:c r="Q365" s="324">
        <x:v>0</x:v>
      </x:c>
      <x:c r="R365" s="324">
        <x:v>0</x:v>
      </x:c>
      <x:c r="S365" s="324">
        <x:v>0</x:v>
      </x:c>
      <x:c r="T365" s="324">
        <x:v>0</x:v>
      </x:c>
      <x:c r="U365" s="324">
        <x:v>0</x:v>
      </x:c>
      <x:c r="V365" s="324">
        <x:v>0</x:v>
      </x:c>
      <x:c r="W365" s="324">
        <x:v>0</x:v>
      </x:c>
      <x:c r="X365" s="324">
        <x:v>0</x:v>
      </x:c>
      <x:c r="Y365" s="324">
        <x:v>0</x:v>
      </x:c>
      <x:c r="Z365" s="257">
        <x:f t="shared" si="12"/>
        <x:v>0</x:v>
      </x:c>
    </x:row>
    <x:row r="366">
      <x:c r="A366" s="148" t="s">
        <x:v>107</x:v>
      </x:c>
      <x:c r="B366">
        <x:v>9</x:v>
      </x:c>
      <x:c r="C366" s="148" t="s">
        <x:v>115</x:v>
      </x:c>
      <x:c r="D366">
        <x:v>919</x:v>
      </x:c>
      <x:c r="E366" s="324">
        <x:v>0</x:v>
      </x:c>
      <x:c r="F366" s="324">
        <x:v>0</x:v>
      </x:c>
      <x:c r="G366" s="324">
        <x:v>0</x:v>
      </x:c>
      <x:c r="H366" s="324">
        <x:v>0</x:v>
      </x:c>
      <x:c r="I366" s="324">
        <x:v>0</x:v>
      </x:c>
      <x:c r="J366" s="324">
        <x:v>0</x:v>
      </x:c>
      <x:c r="K366" s="324">
        <x:v>0</x:v>
      </x:c>
      <x:c r="L366" s="324">
        <x:v>0</x:v>
      </x:c>
      <x:c r="M366" s="324">
        <x:v>0</x:v>
      </x:c>
      <x:c r="N366" s="324">
        <x:v>0</x:v>
      </x:c>
      <x:c r="O366" s="324">
        <x:v>0</x:v>
      </x:c>
      <x:c r="P366" s="324">
        <x:v>0</x:v>
      </x:c>
      <x:c r="Q366" s="324">
        <x:v>0</x:v>
      </x:c>
      <x:c r="R366" s="324">
        <x:v>0</x:v>
      </x:c>
      <x:c r="S366" s="324">
        <x:v>0</x:v>
      </x:c>
      <x:c r="T366" s="324">
        <x:v>0</x:v>
      </x:c>
      <x:c r="U366" s="324">
        <x:v>0</x:v>
      </x:c>
      <x:c r="V366" s="324">
        <x:v>0</x:v>
      </x:c>
      <x:c r="W366" s="324">
        <x:v>0</x:v>
      </x:c>
      <x:c r="X366" s="324">
        <x:v>0</x:v>
      </x:c>
      <x:c r="Y366" s="324">
        <x:v>0</x:v>
      </x:c>
      <x:c r="Z366" s="257">
        <x:f t="shared" si="12"/>
        <x:v>0</x:v>
      </x:c>
    </x:row>
    <x:row r="367">
      <x:c r="A367" s="148" t="s">
        <x:v>107</x:v>
      </x:c>
      <x:c r="B367">
        <x:v>9</x:v>
      </x:c>
      <x:c r="C367" s="148" t="s">
        <x:v>115</x:v>
      </x:c>
      <x:c r="D367">
        <x:v>920</x:v>
      </x:c>
      <x:c r="E367" s="324">
        <x:v>0</x:v>
      </x:c>
      <x:c r="F367" s="324">
        <x:v>0</x:v>
      </x:c>
      <x:c r="G367" s="324">
        <x:v>0</x:v>
      </x:c>
      <x:c r="H367" s="324">
        <x:v>0</x:v>
      </x:c>
      <x:c r="I367" s="324">
        <x:v>0</x:v>
      </x:c>
      <x:c r="J367" s="324">
        <x:v>0</x:v>
      </x:c>
      <x:c r="K367" s="324">
        <x:v>0</x:v>
      </x:c>
      <x:c r="L367" s="324">
        <x:v>0</x:v>
      </x:c>
      <x:c r="M367" s="324">
        <x:v>0</x:v>
      </x:c>
      <x:c r="N367" s="324">
        <x:v>0</x:v>
      </x:c>
      <x:c r="O367" s="324">
        <x:v>0</x:v>
      </x:c>
      <x:c r="P367" s="324">
        <x:v>0</x:v>
      </x:c>
      <x:c r="Q367" s="324">
        <x:v>0</x:v>
      </x:c>
      <x:c r="R367" s="324">
        <x:v>0</x:v>
      </x:c>
      <x:c r="S367" s="324">
        <x:v>0</x:v>
      </x:c>
      <x:c r="T367" s="324">
        <x:v>0</x:v>
      </x:c>
      <x:c r="U367" s="324">
        <x:v>0</x:v>
      </x:c>
      <x:c r="V367" s="324">
        <x:v>0</x:v>
      </x:c>
      <x:c r="W367" s="324">
        <x:v>0</x:v>
      </x:c>
      <x:c r="X367" s="324">
        <x:v>0</x:v>
      </x:c>
      <x:c r="Y367" s="324">
        <x:v>0</x:v>
      </x:c>
      <x:c r="Z367" s="257">
        <x:f t="shared" si="12"/>
        <x:v>0</x:v>
      </x:c>
    </x:row>
    <x:row r="368">
      <x:c r="A368" s="148" t="s">
        <x:v>107</x:v>
      </x:c>
      <x:c r="B368">
        <x:v>9</x:v>
      </x:c>
      <x:c r="C368" s="148" t="s">
        <x:v>115</x:v>
      </x:c>
      <x:c r="D368">
        <x:v>921</x:v>
      </x:c>
      <x:c r="E368" s="324">
        <x:v>0</x:v>
      </x:c>
      <x:c r="F368" s="324">
        <x:v>0</x:v>
      </x:c>
      <x:c r="G368" s="324">
        <x:v>0</x:v>
      </x:c>
      <x:c r="H368" s="324">
        <x:v>0</x:v>
      </x:c>
      <x:c r="I368" s="324">
        <x:v>0</x:v>
      </x:c>
      <x:c r="J368" s="324">
        <x:v>0</x:v>
      </x:c>
      <x:c r="K368" s="324">
        <x:v>0</x:v>
      </x:c>
      <x:c r="L368" s="324">
        <x:v>0</x:v>
      </x:c>
      <x:c r="M368" s="324">
        <x:v>0</x:v>
      </x:c>
      <x:c r="N368" s="324">
        <x:v>0</x:v>
      </x:c>
      <x:c r="O368" s="324">
        <x:v>0</x:v>
      </x:c>
      <x:c r="P368" s="324">
        <x:v>0</x:v>
      </x:c>
      <x:c r="Q368" s="324">
        <x:v>0</x:v>
      </x:c>
      <x:c r="R368" s="324">
        <x:v>0</x:v>
      </x:c>
      <x:c r="S368" s="324">
        <x:v>0</x:v>
      </x:c>
      <x:c r="T368" s="324">
        <x:v>0</x:v>
      </x:c>
      <x:c r="U368" s="324">
        <x:v>0</x:v>
      </x:c>
      <x:c r="V368" s="324">
        <x:v>0</x:v>
      </x:c>
      <x:c r="W368" s="324">
        <x:v>0</x:v>
      </x:c>
      <x:c r="X368" s="324">
        <x:v>0</x:v>
      </x:c>
      <x:c r="Y368" s="324">
        <x:v>0</x:v>
      </x:c>
      <x:c r="Z368" s="257">
        <x:f t="shared" si="12"/>
        <x:v>0</x:v>
      </x:c>
    </x:row>
    <x:row r="369">
      <x:c r="A369" s="148"/>
      <x:c r="B369"/>
      <x:c r="C369" s="148"/>
      <x:c r="D369"/>
      <x:c r="E369" s="324"/>
      <x:c r="F369" s="324">
        <x:f t="shared" ref="F369:Y369" si="14">AVERAGE(F328:F368)</x:f>
      </x:c>
      <x:c r="G369" s="324">
        <x:f t="shared" si="14"/>
      </x:c>
      <x:c r="H369" s="324">
        <x:f t="shared" si="14"/>
      </x:c>
      <x:c r="I369" s="324">
        <x:f t="shared" si="14"/>
      </x:c>
      <x:c r="J369" s="324">
        <x:f t="shared" si="14"/>
      </x:c>
      <x:c r="K369" s="324">
        <x:f t="shared" si="14"/>
      </x:c>
      <x:c r="L369" s="324">
        <x:f t="shared" si="14"/>
      </x:c>
      <x:c r="M369" s="324">
        <x:f t="shared" si="14"/>
      </x:c>
      <x:c r="N369" s="324">
        <x:f t="shared" si="14"/>
      </x:c>
      <x:c r="O369" s="324">
        <x:f t="shared" si="14"/>
      </x:c>
      <x:c r="P369" s="324">
        <x:f t="shared" si="14"/>
      </x:c>
      <x:c r="Q369" s="324">
        <x:f t="shared" si="14"/>
      </x:c>
      <x:c r="R369" s="324">
        <x:f t="shared" si="14"/>
      </x:c>
      <x:c r="S369" s="324">
        <x:f t="shared" si="14"/>
      </x:c>
      <x:c r="T369" s="324">
        <x:f t="shared" si="14"/>
      </x:c>
      <x:c r="U369" s="324">
        <x:f t="shared" si="14"/>
      </x:c>
      <x:c r="V369" s="324">
        <x:f t="shared" si="14"/>
      </x:c>
      <x:c r="W369" s="324">
        <x:f t="shared" si="14"/>
      </x:c>
      <x:c r="X369" s="324">
        <x:f t="shared" si="14"/>
      </x:c>
      <x:c r="Y369" s="324">
        <x:f t="shared" si="14"/>
      </x:c>
      <x:c r="Z369" s="257">
        <x:f t="shared" si="12"/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7"/>
  </x:sheetPr>
  <x:sheetFormatPr baseColWidth="10" defaultRowHeight="12.75"/>
  <x:cols>
    <x:col min="4" max="4" width="12.28515625" customWidth="1"/>
    <x:col min="5" max="16" width="5.7109375" style="325" customWidth="1"/>
    <x:col min="17" max="17" width="11.42578125" style="257" customWidth="0"/>
  </x:cols>
  <x:sheetData>
    <x:row r="1" ht="242.25">
      <x:c r="A1" s="148" t="s">
        <x:v>95</x:v>
      </x:c>
      <x:c r="B1" s="148" t="s">
        <x:v>111</x:v>
      </x:c>
      <x:c r="C1" s="148" t="s">
        <x:v>112</x:v>
      </x:c>
      <x:c r="D1" s="148" t="s">
        <x:v>113</x:v>
      </x:c>
      <x:c r="E1" s="325" t="s">
        <x:v>80</x:v>
      </x:c>
      <x:c r="F1" s="325" t="s">
        <x:v>81</x:v>
      </x:c>
      <x:c r="G1" s="325" t="s">
        <x:v>117</x:v>
      </x:c>
      <x:c r="H1" s="325" t="s">
        <x:v>84</x:v>
      </x:c>
      <x:c r="I1" s="325" t="s">
        <x:v>85</x:v>
      </x:c>
      <x:c r="J1" s="325" t="s">
        <x:v>86</x:v>
      </x:c>
      <x:c r="K1" s="325" t="s">
        <x:v>87</x:v>
      </x:c>
      <x:c r="L1" s="325" t="s">
        <x:v>88</x:v>
      </x:c>
      <x:c r="M1" s="325" t="s">
        <x:v>110</x:v>
      </x:c>
      <x:c r="N1" s="325" t="s">
        <x:v>90</x:v>
      </x:c>
      <x:c r="O1" s="325" t="s">
        <x:v>91</x:v>
      </x:c>
      <x:c r="P1" s="325" t="s">
        <x:v>92</x:v>
      </x:c>
      <x:c r="Q1" s="326" t="s">
        <x:v>114</x:v>
      </x:c>
    </x:row>
    <x:row r="2">
      <x:c r="A2" s="148" t="s">
        <x:v>108</x:v>
      </x:c>
      <x:c r="B2">
        <x:v>1</x:v>
      </x:c>
      <x:c r="C2" s="148" t="s">
        <x:v>115</x:v>
      </x:c>
      <x:c r="D2">
        <x:v>102</x:v>
      </x:c>
      <x:c r="E2" s="324">
        <x:v>0</x:v>
      </x:c>
      <x:c r="F2" s="324">
        <x:v>0</x:v>
      </x:c>
      <x:c r="G2" s="324">
        <x:v>0</x:v>
      </x:c>
      <x:c r="H2" s="324">
        <x:v>0</x:v>
      </x:c>
      <x:c r="I2" s="324">
        <x:v>0</x:v>
      </x:c>
      <x:c r="J2" s="324">
        <x:v>0</x:v>
      </x:c>
      <x:c r="K2" s="324">
        <x:v>0</x:v>
      </x:c>
      <x:c r="L2" s="324">
        <x:v>0</x:v>
      </x:c>
      <x:c r="M2" s="324">
        <x:v>0</x:v>
      </x:c>
      <x:c r="N2" s="324">
        <x:v>0</x:v>
      </x:c>
      <x:c r="O2" s="324">
        <x:v>0</x:v>
      </x:c>
      <x:c r="P2" s="324">
        <x:v>0</x:v>
      </x:c>
      <x:c r="Q2" s="257" t="n">
        <x:f t="shared" ref="Q2:Q65" si="0">AVERAGE(E2:P2)</x:f>
        <x:v>0</x:v>
      </x:c>
    </x:row>
    <x:row r="3">
      <x:c r="A3" s="148" t="s">
        <x:v>108</x:v>
      </x:c>
      <x:c r="B3">
        <x:v>1</x:v>
      </x:c>
      <x:c r="C3" s="148" t="s">
        <x:v>115</x:v>
      </x:c>
      <x:c r="D3">
        <x:v>103</x:v>
      </x:c>
      <x:c r="E3" s="324">
        <x:v>0</x:v>
      </x:c>
      <x:c r="F3" s="324">
        <x:v>0</x:v>
      </x:c>
      <x:c r="G3" s="324">
        <x:v>0</x:v>
      </x:c>
      <x:c r="H3" s="324">
        <x:v>0</x:v>
      </x:c>
      <x:c r="I3" s="324">
        <x:v>0</x:v>
      </x:c>
      <x:c r="J3" s="324">
        <x:v>0</x:v>
      </x:c>
      <x:c r="K3" s="324">
        <x:v>0</x:v>
      </x:c>
      <x:c r="L3" s="324">
        <x:v>0</x:v>
      </x:c>
      <x:c r="M3" s="324">
        <x:v>0</x:v>
      </x:c>
      <x:c r="N3" s="324">
        <x:v>0</x:v>
      </x:c>
      <x:c r="O3" s="324">
        <x:v>0</x:v>
      </x:c>
      <x:c r="P3" s="324">
        <x:v>0</x:v>
      </x:c>
      <x:c r="Q3" s="257">
        <x:f t="shared" si="0"/>
        <x:v>0</x:v>
      </x:c>
    </x:row>
    <x:row r="4">
      <x:c r="A4" s="148" t="s">
        <x:v>108</x:v>
      </x:c>
      <x:c r="B4">
        <x:v>1</x:v>
      </x:c>
      <x:c r="C4" s="148" t="s">
        <x:v>115</x:v>
      </x:c>
      <x:c r="D4">
        <x:v>104</x:v>
      </x:c>
      <x:c r="E4" s="324">
        <x:v>0</x:v>
      </x:c>
      <x:c r="F4" s="324">
        <x:v>0</x:v>
      </x:c>
      <x:c r="G4" s="324">
        <x:v>0</x:v>
      </x:c>
      <x:c r="H4" s="324">
        <x:v>0</x:v>
      </x:c>
      <x:c r="I4" s="324">
        <x:v>0</x:v>
      </x:c>
      <x:c r="J4" s="324">
        <x:v>0</x:v>
      </x:c>
      <x:c r="K4" s="324">
        <x:v>0</x:v>
      </x:c>
      <x:c r="L4" s="324">
        <x:v>0</x:v>
      </x:c>
      <x:c r="M4" s="324">
        <x:v>0</x:v>
      </x:c>
      <x:c r="N4" s="324">
        <x:v>0</x:v>
      </x:c>
      <x:c r="O4" s="324">
        <x:v>0</x:v>
      </x:c>
      <x:c r="P4" s="324">
        <x:v>0</x:v>
      </x:c>
      <x:c r="Q4" s="257">
        <x:f t="shared" si="0"/>
        <x:v>0</x:v>
      </x:c>
    </x:row>
    <x:row r="5">
      <x:c r="A5" s="148" t="s">
        <x:v>108</x:v>
      </x:c>
      <x:c r="B5">
        <x:v>1</x:v>
      </x:c>
      <x:c r="C5" s="148" t="s">
        <x:v>115</x:v>
      </x:c>
      <x:c r="D5">
        <x:v>105</x:v>
      </x:c>
      <x:c r="E5" s="324">
        <x:v>0</x:v>
      </x:c>
      <x:c r="F5" s="324">
        <x:v>0</x:v>
      </x:c>
      <x:c r="G5" s="324">
        <x:v>0</x:v>
      </x:c>
      <x:c r="H5" s="324">
        <x:v>0</x:v>
      </x:c>
      <x:c r="I5" s="324">
        <x:v>0</x:v>
      </x:c>
      <x:c r="J5" s="324">
        <x:v>0</x:v>
      </x:c>
      <x:c r="K5" s="324">
        <x:v>0</x:v>
      </x:c>
      <x:c r="L5" s="324">
        <x:v>0</x:v>
      </x:c>
      <x:c r="M5" s="324">
        <x:v>0</x:v>
      </x:c>
      <x:c r="N5" s="324">
        <x:v>0</x:v>
      </x:c>
      <x:c r="O5" s="324">
        <x:v>0</x:v>
      </x:c>
      <x:c r="P5" s="324">
        <x:v>0</x:v>
      </x:c>
      <x:c r="Q5" s="257">
        <x:f t="shared" si="0"/>
        <x:v>0</x:v>
      </x:c>
    </x:row>
    <x:row r="6">
      <x:c r="A6" s="148" t="s">
        <x:v>108</x:v>
      </x:c>
      <x:c r="B6">
        <x:v>1</x:v>
      </x:c>
      <x:c r="C6" s="148" t="s">
        <x:v>115</x:v>
      </x:c>
      <x:c r="D6">
        <x:v>106</x:v>
      </x:c>
      <x:c r="E6" s="324">
        <x:v>0</x:v>
      </x:c>
      <x:c r="F6" s="324">
        <x:v>0</x:v>
      </x:c>
      <x:c r="G6" s="324">
        <x:v>0</x:v>
      </x:c>
      <x:c r="H6" s="324">
        <x:v>0</x:v>
      </x:c>
      <x:c r="I6" s="324">
        <x:v>0</x:v>
      </x:c>
      <x:c r="J6" s="324">
        <x:v>0</x:v>
      </x:c>
      <x:c r="K6" s="324">
        <x:v>0</x:v>
      </x:c>
      <x:c r="L6" s="324">
        <x:v>0</x:v>
      </x:c>
      <x:c r="M6" s="324">
        <x:v>0</x:v>
      </x:c>
      <x:c r="N6" s="324">
        <x:v>0</x:v>
      </x:c>
      <x:c r="O6" s="324">
        <x:v>0</x:v>
      </x:c>
      <x:c r="P6" s="324">
        <x:v>0</x:v>
      </x:c>
      <x:c r="Q6" s="257">
        <x:f t="shared" si="0"/>
        <x:v>0</x:v>
      </x:c>
    </x:row>
    <x:row r="7">
      <x:c r="A7" s="148" t="s">
        <x:v>108</x:v>
      </x:c>
      <x:c r="B7">
        <x:v>1</x:v>
      </x:c>
      <x:c r="C7" s="148" t="s">
        <x:v>115</x:v>
      </x:c>
      <x:c r="D7">
        <x:v>107</x:v>
      </x:c>
      <x:c r="E7" s="324">
        <x:v>0</x:v>
      </x:c>
      <x:c r="F7" s="324">
        <x:v>0</x:v>
      </x:c>
      <x:c r="G7" s="324">
        <x:v>0</x:v>
      </x:c>
      <x:c r="H7" s="324">
        <x:v>0</x:v>
      </x:c>
      <x:c r="I7" s="324">
        <x:v>0</x:v>
      </x:c>
      <x:c r="J7" s="324">
        <x:v>0</x:v>
      </x:c>
      <x:c r="K7" s="324">
        <x:v>0</x:v>
      </x:c>
      <x:c r="L7" s="324">
        <x:v>0</x:v>
      </x:c>
      <x:c r="M7" s="324">
        <x:v>0</x:v>
      </x:c>
      <x:c r="N7" s="324">
        <x:v>0</x:v>
      </x:c>
      <x:c r="O7" s="324">
        <x:v>0</x:v>
      </x:c>
      <x:c r="P7" s="324">
        <x:v>0</x:v>
      </x:c>
      <x:c r="Q7" s="257">
        <x:f t="shared" si="0"/>
        <x:v>0</x:v>
      </x:c>
    </x:row>
    <x:row r="8">
      <x:c r="A8" s="148" t="s">
        <x:v>108</x:v>
      </x:c>
      <x:c r="B8">
        <x:v>1</x:v>
      </x:c>
      <x:c r="C8" s="148" t="s">
        <x:v>115</x:v>
      </x:c>
      <x:c r="D8">
        <x:v>108</x:v>
      </x:c>
      <x:c r="E8" s="324">
        <x:v>0</x:v>
      </x:c>
      <x:c r="F8" s="324">
        <x:v>0</x:v>
      </x:c>
      <x:c r="G8" s="324">
        <x:v>0</x:v>
      </x:c>
      <x:c r="H8" s="324">
        <x:v>0</x:v>
      </x:c>
      <x:c r="I8" s="324">
        <x:v>0</x:v>
      </x:c>
      <x:c r="J8" s="324">
        <x:v>0</x:v>
      </x:c>
      <x:c r="K8" s="324">
        <x:v>0</x:v>
      </x:c>
      <x:c r="L8" s="324">
        <x:v>0</x:v>
      </x:c>
      <x:c r="M8" s="324">
        <x:v>0</x:v>
      </x:c>
      <x:c r="N8" s="324">
        <x:v>0</x:v>
      </x:c>
      <x:c r="O8" s="324">
        <x:v>0</x:v>
      </x:c>
      <x:c r="P8" s="324">
        <x:v>0</x:v>
      </x:c>
      <x:c r="Q8" s="257">
        <x:f t="shared" si="0"/>
        <x:v>0</x:v>
      </x:c>
    </x:row>
    <x:row r="9">
      <x:c r="A9" s="148" t="s">
        <x:v>108</x:v>
      </x:c>
      <x:c r="B9">
        <x:v>1</x:v>
      </x:c>
      <x:c r="C9" s="148" t="s">
        <x:v>115</x:v>
      </x:c>
      <x:c r="D9">
        <x:v>118</x:v>
      </x:c>
      <x:c r="E9" s="324">
        <x:v>0</x:v>
      </x:c>
      <x:c r="F9" s="324">
        <x:v>0</x:v>
      </x:c>
      <x:c r="G9" s="324">
        <x:v>0</x:v>
      </x:c>
      <x:c r="H9" s="324">
        <x:v>0</x:v>
      </x:c>
      <x:c r="I9" s="324">
        <x:v>0</x:v>
      </x:c>
      <x:c r="J9" s="324">
        <x:v>0</x:v>
      </x:c>
      <x:c r="K9" s="324">
        <x:v>0</x:v>
      </x:c>
      <x:c r="L9" s="324">
        <x:v>0</x:v>
      </x:c>
      <x:c r="M9" s="324">
        <x:v>0</x:v>
      </x:c>
      <x:c r="N9" s="324">
        <x:v>0</x:v>
      </x:c>
      <x:c r="O9" s="324">
        <x:v>0</x:v>
      </x:c>
      <x:c r="P9" s="324">
        <x:v>0</x:v>
      </x:c>
      <x:c r="Q9" s="257">
        <x:f t="shared" si="0"/>
        <x:v>0</x:v>
      </x:c>
    </x:row>
    <x:row r="10">
      <x:c r="A10" s="148" t="s">
        <x:v>108</x:v>
      </x:c>
      <x:c r="B10">
        <x:v>1</x:v>
      </x:c>
      <x:c r="C10" s="148" t="s">
        <x:v>115</x:v>
      </x:c>
      <x:c r="D10">
        <x:v>119</x:v>
      </x:c>
      <x:c r="E10" s="324">
        <x:v>0</x:v>
      </x:c>
      <x:c r="F10" s="324">
        <x:v>0</x:v>
      </x:c>
      <x:c r="G10" s="324">
        <x:v>0</x:v>
      </x:c>
      <x:c r="H10" s="324">
        <x:v>0</x:v>
      </x:c>
      <x:c r="I10" s="324">
        <x:v>0</x:v>
      </x:c>
      <x:c r="J10" s="324">
        <x:v>0</x:v>
      </x:c>
      <x:c r="K10" s="324">
        <x:v>0</x:v>
      </x:c>
      <x:c r="L10" s="324">
        <x:v>0</x:v>
      </x:c>
      <x:c r="M10" s="324">
        <x:v>0</x:v>
      </x:c>
      <x:c r="N10" s="324">
        <x:v>0</x:v>
      </x:c>
      <x:c r="O10" s="324">
        <x:v>0</x:v>
      </x:c>
      <x:c r="P10" s="324">
        <x:v>0</x:v>
      </x:c>
      <x:c r="Q10" s="257">
        <x:f t="shared" si="0"/>
        <x:v>0</x:v>
      </x:c>
    </x:row>
    <x:row r="11">
      <x:c r="A11" s="148" t="s">
        <x:v>108</x:v>
      </x:c>
      <x:c r="B11">
        <x:v>1</x:v>
      </x:c>
      <x:c r="C11" s="148" t="s">
        <x:v>115</x:v>
      </x:c>
      <x:c r="D11">
        <x:v>120</x:v>
      </x:c>
      <x:c r="E11" s="324">
        <x:v>0</x:v>
      </x:c>
      <x:c r="F11" s="324">
        <x:v>0</x:v>
      </x:c>
      <x:c r="G11" s="324">
        <x:v>0</x:v>
      </x:c>
      <x:c r="H11" s="324">
        <x:v>0</x:v>
      </x:c>
      <x:c r="I11" s="324">
        <x:v>0</x:v>
      </x:c>
      <x:c r="J11" s="324">
        <x:v>0</x:v>
      </x:c>
      <x:c r="K11" s="324">
        <x:v>0</x:v>
      </x:c>
      <x:c r="L11" s="324">
        <x:v>0</x:v>
      </x:c>
      <x:c r="M11" s="324">
        <x:v>0</x:v>
      </x:c>
      <x:c r="N11" s="324">
        <x:v>0</x:v>
      </x:c>
      <x:c r="O11" s="324">
        <x:v>0</x:v>
      </x:c>
      <x:c r="P11" s="324">
        <x:v>0</x:v>
      </x:c>
      <x:c r="Q11" s="257">
        <x:f t="shared" si="0"/>
        <x:v>0</x:v>
      </x:c>
    </x:row>
    <x:row r="12">
      <x:c r="A12" s="148" t="s">
        <x:v>108</x:v>
      </x:c>
      <x:c r="B12">
        <x:v>1</x:v>
      </x:c>
      <x:c r="C12" s="148" t="s">
        <x:v>115</x:v>
      </x:c>
      <x:c r="D12">
        <x:v>121</x:v>
      </x:c>
      <x:c r="E12" s="324">
        <x:v>0</x:v>
      </x:c>
      <x:c r="F12" s="324">
        <x:v>0</x:v>
      </x:c>
      <x:c r="G12" s="324">
        <x:v>0</x:v>
      </x:c>
      <x:c r="H12" s="324">
        <x:v>0</x:v>
      </x:c>
      <x:c r="I12" s="324">
        <x:v>0</x:v>
      </x:c>
      <x:c r="J12" s="324">
        <x:v>0</x:v>
      </x:c>
      <x:c r="K12" s="324">
        <x:v>0</x:v>
      </x:c>
      <x:c r="L12" s="324">
        <x:v>0</x:v>
      </x:c>
      <x:c r="M12" s="324">
        <x:v>0</x:v>
      </x:c>
      <x:c r="N12" s="324">
        <x:v>0</x:v>
      </x:c>
      <x:c r="O12" s="324">
        <x:v>0</x:v>
      </x:c>
      <x:c r="P12" s="324">
        <x:v>0</x:v>
      </x:c>
      <x:c r="Q12" s="257">
        <x:f t="shared" si="0"/>
        <x:v>0</x:v>
      </x:c>
    </x:row>
    <x:row r="13">
      <x:c r="A13" s="148"/>
      <x:c r="B13"/>
      <x:c r="C13" s="148"/>
      <x:c r="D13" s="148"/>
      <x:c r="E13" s="324"/>
      <x:c r="F13" s="324">
        <x:f t="shared" ref="F13:P13" si="1">AVERAGE(F2:F12)</x:f>
      </x:c>
      <x:c r="G13" s="324">
        <x:f t="shared" si="1"/>
      </x:c>
      <x:c r="H13" s="324">
        <x:f t="shared" si="1"/>
      </x:c>
      <x:c r="I13" s="324">
        <x:f t="shared" si="1"/>
      </x:c>
      <x:c r="J13" s="324">
        <x:f t="shared" si="1"/>
      </x:c>
      <x:c r="K13" s="324">
        <x:f t="shared" si="1"/>
      </x:c>
      <x:c r="L13" s="324">
        <x:f t="shared" si="1"/>
      </x:c>
      <x:c r="M13" s="324">
        <x:f t="shared" si="1"/>
      </x:c>
      <x:c r="N13" s="324">
        <x:f t="shared" si="1"/>
      </x:c>
      <x:c r="O13" s="324">
        <x:f t="shared" si="1"/>
      </x:c>
      <x:c r="P13" s="324">
        <x:f t="shared" si="1"/>
      </x:c>
      <x:c r="Q13" s="257">
        <x:f t="shared" si="0"/>
      </x:c>
    </x:row>
    <x:row r="14">
      <x:c r="A14" s="148" t="s">
        <x:v>108</x:v>
      </x:c>
      <x:c r="B14">
        <x:v>2</x:v>
      </x:c>
      <x:c r="C14" s="148" t="s">
        <x:v>116</x:v>
      </x:c>
      <x:c r="D14">
        <x:v>202</x:v>
      </x:c>
      <x:c r="E14" s="324">
        <x:v>0</x:v>
      </x:c>
      <x:c r="F14" s="324">
        <x:v>0</x:v>
      </x:c>
      <x:c r="G14" s="324">
        <x:v>0</x:v>
      </x:c>
      <x:c r="H14" s="324">
        <x:v>0</x:v>
      </x:c>
      <x:c r="I14" s="324">
        <x:v>0</x:v>
      </x:c>
      <x:c r="J14" s="324">
        <x:v>0</x:v>
      </x:c>
      <x:c r="K14" s="324">
        <x:v>0</x:v>
      </x:c>
      <x:c r="L14" s="324">
        <x:v>0</x:v>
      </x:c>
      <x:c r="M14" s="324">
        <x:v>0</x:v>
      </x:c>
      <x:c r="N14" s="324">
        <x:v>0</x:v>
      </x:c>
      <x:c r="O14" s="324">
        <x:v>0</x:v>
      </x:c>
      <x:c r="P14" s="324">
        <x:v>0</x:v>
      </x:c>
      <x:c r="Q14" s="257">
        <x:f t="shared" si="0"/>
        <x:v>0</x:v>
      </x:c>
    </x:row>
    <x:row r="15">
      <x:c r="A15" s="148" t="s">
        <x:v>108</x:v>
      </x:c>
      <x:c r="B15">
        <x:v>2</x:v>
      </x:c>
      <x:c r="C15" s="148" t="s">
        <x:v>116</x:v>
      </x:c>
      <x:c r="D15">
        <x:v>203</x:v>
      </x:c>
      <x:c r="E15" s="324">
        <x:v>0</x:v>
      </x:c>
      <x:c r="F15" s="324">
        <x:v>0</x:v>
      </x:c>
      <x:c r="G15" s="324">
        <x:v>0</x:v>
      </x:c>
      <x:c r="H15" s="324">
        <x:v>0</x:v>
      </x:c>
      <x:c r="I15" s="324">
        <x:v>0</x:v>
      </x:c>
      <x:c r="J15" s="324">
        <x:v>0</x:v>
      </x:c>
      <x:c r="K15" s="324">
        <x:v>0</x:v>
      </x:c>
      <x:c r="L15" s="324">
        <x:v>0</x:v>
      </x:c>
      <x:c r="M15" s="324">
        <x:v>0</x:v>
      </x:c>
      <x:c r="N15" s="324">
        <x:v>0</x:v>
      </x:c>
      <x:c r="O15" s="324">
        <x:v>0</x:v>
      </x:c>
      <x:c r="P15" s="324">
        <x:v>0</x:v>
      </x:c>
      <x:c r="Q15" s="257">
        <x:f t="shared" si="0"/>
        <x:v>0</x:v>
      </x:c>
    </x:row>
    <x:row r="16">
      <x:c r="A16" s="148" t="s">
        <x:v>108</x:v>
      </x:c>
      <x:c r="B16">
        <x:v>2</x:v>
      </x:c>
      <x:c r="C16" s="148" t="s">
        <x:v>116</x:v>
      </x:c>
      <x:c r="D16">
        <x:v>204</x:v>
      </x:c>
      <x:c r="E16" s="324">
        <x:v>0</x:v>
      </x:c>
      <x:c r="F16" s="324">
        <x:v>0</x:v>
      </x:c>
      <x:c r="G16" s="324">
        <x:v>0</x:v>
      </x:c>
      <x:c r="H16" s="324">
        <x:v>0</x:v>
      </x:c>
      <x:c r="I16" s="324">
        <x:v>0</x:v>
      </x:c>
      <x:c r="J16" s="324">
        <x:v>0</x:v>
      </x:c>
      <x:c r="K16" s="324">
        <x:v>0</x:v>
      </x:c>
      <x:c r="L16" s="324">
        <x:v>0</x:v>
      </x:c>
      <x:c r="M16" s="324">
        <x:v>0</x:v>
      </x:c>
      <x:c r="N16" s="324">
        <x:v>0</x:v>
      </x:c>
      <x:c r="O16" s="324">
        <x:v>0</x:v>
      </x:c>
      <x:c r="P16" s="324">
        <x:v>0</x:v>
      </x:c>
      <x:c r="Q16" s="257">
        <x:f t="shared" si="0"/>
        <x:v>0</x:v>
      </x:c>
    </x:row>
    <x:row r="17">
      <x:c r="A17" s="148" t="s">
        <x:v>108</x:v>
      </x:c>
      <x:c r="B17">
        <x:v>2</x:v>
      </x:c>
      <x:c r="C17" s="148" t="s">
        <x:v>116</x:v>
      </x:c>
      <x:c r="D17">
        <x:v>205</x:v>
      </x:c>
      <x:c r="E17" s="324">
        <x:v>0</x:v>
      </x:c>
      <x:c r="F17" s="324">
        <x:v>0</x:v>
      </x:c>
      <x:c r="G17" s="324">
        <x:v>0</x:v>
      </x:c>
      <x:c r="H17" s="324">
        <x:v>0</x:v>
      </x:c>
      <x:c r="I17" s="324">
        <x:v>0</x:v>
      </x:c>
      <x:c r="J17" s="324">
        <x:v>0</x:v>
      </x:c>
      <x:c r="K17" s="324">
        <x:v>0</x:v>
      </x:c>
      <x:c r="L17" s="324">
        <x:v>0</x:v>
      </x:c>
      <x:c r="M17" s="324">
        <x:v>0</x:v>
      </x:c>
      <x:c r="N17" s="324">
        <x:v>0</x:v>
      </x:c>
      <x:c r="O17" s="324">
        <x:v>0</x:v>
      </x:c>
      <x:c r="P17" s="324">
        <x:v>0</x:v>
      </x:c>
      <x:c r="Q17" s="257">
        <x:f t="shared" si="0"/>
        <x:v>0</x:v>
      </x:c>
    </x:row>
    <x:row r="18">
      <x:c r="A18" s="148" t="s">
        <x:v>108</x:v>
      </x:c>
      <x:c r="B18">
        <x:v>2</x:v>
      </x:c>
      <x:c r="C18" s="148" t="s">
        <x:v>116</x:v>
      </x:c>
      <x:c r="D18">
        <x:v>206</x:v>
      </x:c>
      <x:c r="E18" s="324">
        <x:v>0</x:v>
      </x:c>
      <x:c r="F18" s="324">
        <x:v>0</x:v>
      </x:c>
      <x:c r="G18" s="324">
        <x:v>0</x:v>
      </x:c>
      <x:c r="H18" s="324">
        <x:v>0</x:v>
      </x:c>
      <x:c r="I18" s="324">
        <x:v>0</x:v>
      </x:c>
      <x:c r="J18" s="324">
        <x:v>0</x:v>
      </x:c>
      <x:c r="K18" s="324">
        <x:v>0</x:v>
      </x:c>
      <x:c r="L18" s="324">
        <x:v>0</x:v>
      </x:c>
      <x:c r="M18" s="324">
        <x:v>0</x:v>
      </x:c>
      <x:c r="N18" s="324">
        <x:v>0</x:v>
      </x:c>
      <x:c r="O18" s="324">
        <x:v>0</x:v>
      </x:c>
      <x:c r="P18" s="324">
        <x:v>0</x:v>
      </x:c>
      <x:c r="Q18" s="257">
        <x:f t="shared" si="0"/>
        <x:v>0</x:v>
      </x:c>
    </x:row>
    <x:row r="19">
      <x:c r="A19" s="148" t="s">
        <x:v>108</x:v>
      </x:c>
      <x:c r="B19">
        <x:v>2</x:v>
      </x:c>
      <x:c r="C19" s="148" t="s">
        <x:v>116</x:v>
      </x:c>
      <x:c r="D19">
        <x:v>207</x:v>
      </x:c>
      <x:c r="E19" s="324">
        <x:v>0</x:v>
      </x:c>
      <x:c r="F19" s="324">
        <x:v>0</x:v>
      </x:c>
      <x:c r="G19" s="324">
        <x:v>0</x:v>
      </x:c>
      <x:c r="H19" s="324">
        <x:v>0</x:v>
      </x:c>
      <x:c r="I19" s="324">
        <x:v>0</x:v>
      </x:c>
      <x:c r="J19" s="324">
        <x:v>0</x:v>
      </x:c>
      <x:c r="K19" s="324">
        <x:v>0</x:v>
      </x:c>
      <x:c r="L19" s="324">
        <x:v>0</x:v>
      </x:c>
      <x:c r="M19" s="324">
        <x:v>0</x:v>
      </x:c>
      <x:c r="N19" s="324">
        <x:v>0</x:v>
      </x:c>
      <x:c r="O19" s="324">
        <x:v>0</x:v>
      </x:c>
      <x:c r="P19" s="324">
        <x:v>0</x:v>
      </x:c>
      <x:c r="Q19" s="257">
        <x:f t="shared" si="0"/>
        <x:v>0</x:v>
      </x:c>
    </x:row>
    <x:row r="20">
      <x:c r="A20" s="148" t="s">
        <x:v>108</x:v>
      </x:c>
      <x:c r="B20">
        <x:v>2</x:v>
      </x:c>
      <x:c r="C20" s="148" t="s">
        <x:v>116</x:v>
      </x:c>
      <x:c r="D20">
        <x:v>208</x:v>
      </x:c>
      <x:c r="E20" s="324">
        <x:v>0</x:v>
      </x:c>
      <x:c r="F20" s="324">
        <x:v>0</x:v>
      </x:c>
      <x:c r="G20" s="324">
        <x:v>0</x:v>
      </x:c>
      <x:c r="H20" s="324">
        <x:v>0</x:v>
      </x:c>
      <x:c r="I20" s="324">
        <x:v>0</x:v>
      </x:c>
      <x:c r="J20" s="324">
        <x:v>0</x:v>
      </x:c>
      <x:c r="K20" s="324">
        <x:v>0</x:v>
      </x:c>
      <x:c r="L20" s="324">
        <x:v>0</x:v>
      </x:c>
      <x:c r="M20" s="324">
        <x:v>0</x:v>
      </x:c>
      <x:c r="N20" s="324">
        <x:v>0</x:v>
      </x:c>
      <x:c r="O20" s="324">
        <x:v>0</x:v>
      </x:c>
      <x:c r="P20" s="324">
        <x:v>0</x:v>
      </x:c>
      <x:c r="Q20" s="257">
        <x:f t="shared" si="0"/>
        <x:v>0</x:v>
      </x:c>
    </x:row>
    <x:row r="21">
      <x:c r="A21" s="148" t="s">
        <x:v>108</x:v>
      </x:c>
      <x:c r="B21">
        <x:v>2</x:v>
      </x:c>
      <x:c r="C21" s="148" t="s">
        <x:v>116</x:v>
      </x:c>
      <x:c r="D21">
        <x:v>209</x:v>
      </x:c>
      <x:c r="E21" s="324">
        <x:v>0</x:v>
      </x:c>
      <x:c r="F21" s="324">
        <x:v>0</x:v>
      </x:c>
      <x:c r="G21" s="324">
        <x:v>0</x:v>
      </x:c>
      <x:c r="H21" s="324">
        <x:v>0</x:v>
      </x:c>
      <x:c r="I21" s="324">
        <x:v>0</x:v>
      </x:c>
      <x:c r="J21" s="324">
        <x:v>0</x:v>
      </x:c>
      <x:c r="K21" s="324">
        <x:v>0</x:v>
      </x:c>
      <x:c r="L21" s="324">
        <x:v>0</x:v>
      </x:c>
      <x:c r="M21" s="324">
        <x:v>0</x:v>
      </x:c>
      <x:c r="N21" s="324">
        <x:v>0</x:v>
      </x:c>
      <x:c r="O21" s="324">
        <x:v>0</x:v>
      </x:c>
      <x:c r="P21" s="324">
        <x:v>0</x:v>
      </x:c>
      <x:c r="Q21" s="257">
        <x:f t="shared" si="0"/>
        <x:v>0</x:v>
      </x:c>
    </x:row>
    <x:row r="22">
      <x:c r="A22" s="148" t="s">
        <x:v>108</x:v>
      </x:c>
      <x:c r="B22">
        <x:v>2</x:v>
      </x:c>
      <x:c r="C22" s="148" t="s">
        <x:v>116</x:v>
      </x:c>
      <x:c r="D22">
        <x:v>210</x:v>
      </x:c>
      <x:c r="E22" s="324">
        <x:v>0</x:v>
      </x:c>
      <x:c r="F22" s="324">
        <x:v>0</x:v>
      </x:c>
      <x:c r="G22" s="324">
        <x:v>0</x:v>
      </x:c>
      <x:c r="H22" s="324">
        <x:v>0</x:v>
      </x:c>
      <x:c r="I22" s="324">
        <x:v>0</x:v>
      </x:c>
      <x:c r="J22" s="324">
        <x:v>0</x:v>
      </x:c>
      <x:c r="K22" s="324">
        <x:v>0</x:v>
      </x:c>
      <x:c r="L22" s="324">
        <x:v>0</x:v>
      </x:c>
      <x:c r="M22" s="324">
        <x:v>0</x:v>
      </x:c>
      <x:c r="N22" s="324">
        <x:v>0</x:v>
      </x:c>
      <x:c r="O22" s="324">
        <x:v>0</x:v>
      </x:c>
      <x:c r="P22" s="324">
        <x:v>0</x:v>
      </x:c>
      <x:c r="Q22" s="257">
        <x:f t="shared" si="0"/>
        <x:v>0</x:v>
      </x:c>
    </x:row>
    <x:row r="23">
      <x:c r="A23" s="148" t="s">
        <x:v>108</x:v>
      </x:c>
      <x:c r="B23">
        <x:v>2</x:v>
      </x:c>
      <x:c r="C23" s="148" t="s">
        <x:v>116</x:v>
      </x:c>
      <x:c r="D23">
        <x:v>211</x:v>
      </x:c>
      <x:c r="E23" s="324">
        <x:v>0</x:v>
      </x:c>
      <x:c r="F23" s="324">
        <x:v>0</x:v>
      </x:c>
      <x:c r="G23" s="324">
        <x:v>0</x:v>
      </x:c>
      <x:c r="H23" s="324">
        <x:v>0</x:v>
      </x:c>
      <x:c r="I23" s="324">
        <x:v>0</x:v>
      </x:c>
      <x:c r="J23" s="324">
        <x:v>0</x:v>
      </x:c>
      <x:c r="K23" s="324">
        <x:v>0</x:v>
      </x:c>
      <x:c r="L23" s="324">
        <x:v>0</x:v>
      </x:c>
      <x:c r="M23" s="324">
        <x:v>0</x:v>
      </x:c>
      <x:c r="N23" s="324">
        <x:v>0</x:v>
      </x:c>
      <x:c r="O23" s="324">
        <x:v>0</x:v>
      </x:c>
      <x:c r="P23" s="324">
        <x:v>0</x:v>
      </x:c>
      <x:c r="Q23" s="257">
        <x:f t="shared" si="0"/>
        <x:v>0</x:v>
      </x:c>
    </x:row>
    <x:row r="24">
      <x:c r="A24" s="148" t="s">
        <x:v>108</x:v>
      </x:c>
      <x:c r="B24">
        <x:v>2</x:v>
      </x:c>
      <x:c r="C24" s="148" t="s">
        <x:v>116</x:v>
      </x:c>
      <x:c r="D24">
        <x:v>212</x:v>
      </x:c>
      <x:c r="E24" s="324">
        <x:v>0</x:v>
      </x:c>
      <x:c r="F24" s="324">
        <x:v>0</x:v>
      </x:c>
      <x:c r="G24" s="324">
        <x:v>0</x:v>
      </x:c>
      <x:c r="H24" s="324">
        <x:v>0</x:v>
      </x:c>
      <x:c r="I24" s="324">
        <x:v>0</x:v>
      </x:c>
      <x:c r="J24" s="324">
        <x:v>0</x:v>
      </x:c>
      <x:c r="K24" s="324">
        <x:v>0</x:v>
      </x:c>
      <x:c r="L24" s="324">
        <x:v>0</x:v>
      </x:c>
      <x:c r="M24" s="324">
        <x:v>0</x:v>
      </x:c>
      <x:c r="N24" s="324">
        <x:v>0</x:v>
      </x:c>
      <x:c r="O24" s="324">
        <x:v>0</x:v>
      </x:c>
      <x:c r="P24" s="324">
        <x:v>0</x:v>
      </x:c>
      <x:c r="Q24" s="257">
        <x:f t="shared" si="0"/>
        <x:v>0</x:v>
      </x:c>
    </x:row>
    <x:row r="25">
      <x:c r="A25" s="148" t="s">
        <x:v>108</x:v>
      </x:c>
      <x:c r="B25">
        <x:v>2</x:v>
      </x:c>
      <x:c r="C25" s="148" t="s">
        <x:v>116</x:v>
      </x:c>
      <x:c r="D25">
        <x:v>213</x:v>
      </x:c>
      <x:c r="E25" s="324">
        <x:v>0</x:v>
      </x:c>
      <x:c r="F25" s="324">
        <x:v>0</x:v>
      </x:c>
      <x:c r="G25" s="324">
        <x:v>0</x:v>
      </x:c>
      <x:c r="H25" s="324">
        <x:v>0</x:v>
      </x:c>
      <x:c r="I25" s="324">
        <x:v>0</x:v>
      </x:c>
      <x:c r="J25" s="324">
        <x:v>0</x:v>
      </x:c>
      <x:c r="K25" s="324">
        <x:v>0</x:v>
      </x:c>
      <x:c r="L25" s="324">
        <x:v>0</x:v>
      </x:c>
      <x:c r="M25" s="324">
        <x:v>0</x:v>
      </x:c>
      <x:c r="N25" s="324">
        <x:v>0</x:v>
      </x:c>
      <x:c r="O25" s="324">
        <x:v>0</x:v>
      </x:c>
      <x:c r="P25" s="324">
        <x:v>0</x:v>
      </x:c>
      <x:c r="Q25" s="257">
        <x:f t="shared" si="0"/>
        <x:v>0</x:v>
      </x:c>
    </x:row>
    <x:row r="26">
      <x:c r="A26" s="148" t="s">
        <x:v>108</x:v>
      </x:c>
      <x:c r="B26">
        <x:v>2</x:v>
      </x:c>
      <x:c r="C26" s="148" t="s">
        <x:v>116</x:v>
      </x:c>
      <x:c r="D26">
        <x:v>214</x:v>
      </x:c>
      <x:c r="E26" s="324">
        <x:v>0</x:v>
      </x:c>
      <x:c r="F26" s="324">
        <x:v>0</x:v>
      </x:c>
      <x:c r="G26" s="324">
        <x:v>0</x:v>
      </x:c>
      <x:c r="H26" s="324">
        <x:v>0</x:v>
      </x:c>
      <x:c r="I26" s="324">
        <x:v>0</x:v>
      </x:c>
      <x:c r="J26" s="324">
        <x:v>0</x:v>
      </x:c>
      <x:c r="K26" s="324">
        <x:v>0</x:v>
      </x:c>
      <x:c r="L26" s="324">
        <x:v>0</x:v>
      </x:c>
      <x:c r="M26" s="324">
        <x:v>0</x:v>
      </x:c>
      <x:c r="N26" s="324">
        <x:v>0</x:v>
      </x:c>
      <x:c r="O26" s="324">
        <x:v>0</x:v>
      </x:c>
      <x:c r="P26" s="324">
        <x:v>0</x:v>
      </x:c>
      <x:c r="Q26" s="257">
        <x:f t="shared" si="0"/>
        <x:v>0</x:v>
      </x:c>
    </x:row>
    <x:row r="27">
      <x:c r="A27" s="148" t="s">
        <x:v>108</x:v>
      </x:c>
      <x:c r="B27">
        <x:v>2</x:v>
      </x:c>
      <x:c r="C27" s="148" t="s">
        <x:v>116</x:v>
      </x:c>
      <x:c r="D27">
        <x:v>215</x:v>
      </x:c>
      <x:c r="E27" s="324">
        <x:v>0</x:v>
      </x:c>
      <x:c r="F27" s="324">
        <x:v>0</x:v>
      </x:c>
      <x:c r="G27" s="324">
        <x:v>0</x:v>
      </x:c>
      <x:c r="H27" s="324">
        <x:v>0</x:v>
      </x:c>
      <x:c r="I27" s="324">
        <x:v>0</x:v>
      </x:c>
      <x:c r="J27" s="324">
        <x:v>0</x:v>
      </x:c>
      <x:c r="K27" s="324">
        <x:v>0</x:v>
      </x:c>
      <x:c r="L27" s="324">
        <x:v>0</x:v>
      </x:c>
      <x:c r="M27" s="324">
        <x:v>0</x:v>
      </x:c>
      <x:c r="N27" s="324">
        <x:v>0</x:v>
      </x:c>
      <x:c r="O27" s="324">
        <x:v>0</x:v>
      </x:c>
      <x:c r="P27" s="324">
        <x:v>0</x:v>
      </x:c>
      <x:c r="Q27" s="257">
        <x:f t="shared" si="0"/>
        <x:v>0</x:v>
      </x:c>
    </x:row>
    <x:row r="28">
      <x:c r="A28" s="148" t="s">
        <x:v>108</x:v>
      </x:c>
      <x:c r="B28">
        <x:v>2</x:v>
      </x:c>
      <x:c r="C28" s="148" t="s">
        <x:v>116</x:v>
      </x:c>
      <x:c r="D28">
        <x:v>216</x:v>
      </x:c>
      <x:c r="E28" s="324">
        <x:v>0</x:v>
      </x:c>
      <x:c r="F28" s="324">
        <x:v>0</x:v>
      </x:c>
      <x:c r="G28" s="324">
        <x:v>0</x:v>
      </x:c>
      <x:c r="H28" s="324">
        <x:v>0</x:v>
      </x:c>
      <x:c r="I28" s="324">
        <x:v>0</x:v>
      </x:c>
      <x:c r="J28" s="324">
        <x:v>0</x:v>
      </x:c>
      <x:c r="K28" s="324">
        <x:v>0</x:v>
      </x:c>
      <x:c r="L28" s="324">
        <x:v>0</x:v>
      </x:c>
      <x:c r="M28" s="324">
        <x:v>0</x:v>
      </x:c>
      <x:c r="N28" s="324">
        <x:v>0</x:v>
      </x:c>
      <x:c r="O28" s="324">
        <x:v>0</x:v>
      </x:c>
      <x:c r="P28" s="324">
        <x:v>0</x:v>
      </x:c>
      <x:c r="Q28" s="257">
        <x:f t="shared" si="0"/>
        <x:v>0</x:v>
      </x:c>
    </x:row>
    <x:row r="29">
      <x:c r="A29" s="148" t="s">
        <x:v>108</x:v>
      </x:c>
      <x:c r="B29">
        <x:v>2</x:v>
      </x:c>
      <x:c r="C29" s="148" t="s">
        <x:v>116</x:v>
      </x:c>
      <x:c r="D29">
        <x:v>217</x:v>
      </x:c>
      <x:c r="E29" s="324">
        <x:v>0</x:v>
      </x:c>
      <x:c r="F29" s="324">
        <x:v>0</x:v>
      </x:c>
      <x:c r="G29" s="324">
        <x:v>0</x:v>
      </x:c>
      <x:c r="H29" s="324">
        <x:v>0</x:v>
      </x:c>
      <x:c r="I29" s="324">
        <x:v>0</x:v>
      </x:c>
      <x:c r="J29" s="324">
        <x:v>0</x:v>
      </x:c>
      <x:c r="K29" s="324">
        <x:v>0</x:v>
      </x:c>
      <x:c r="L29" s="324">
        <x:v>0</x:v>
      </x:c>
      <x:c r="M29" s="324">
        <x:v>0</x:v>
      </x:c>
      <x:c r="N29" s="324">
        <x:v>0</x:v>
      </x:c>
      <x:c r="O29" s="324">
        <x:v>0</x:v>
      </x:c>
      <x:c r="P29" s="324">
        <x:v>0</x:v>
      </x:c>
      <x:c r="Q29" s="257">
        <x:f t="shared" si="0"/>
        <x:v>0</x:v>
      </x:c>
    </x:row>
    <x:row r="30">
      <x:c r="A30" s="148" t="s">
        <x:v>108</x:v>
      </x:c>
      <x:c r="B30">
        <x:v>2</x:v>
      </x:c>
      <x:c r="C30" s="148" t="s">
        <x:v>116</x:v>
      </x:c>
      <x:c r="D30">
        <x:v>218</x:v>
      </x:c>
      <x:c r="E30" s="324">
        <x:v>0</x:v>
      </x:c>
      <x:c r="F30" s="324">
        <x:v>0</x:v>
      </x:c>
      <x:c r="G30" s="324">
        <x:v>0</x:v>
      </x:c>
      <x:c r="H30" s="324">
        <x:v>0</x:v>
      </x:c>
      <x:c r="I30" s="324">
        <x:v>0</x:v>
      </x:c>
      <x:c r="J30" s="324">
        <x:v>0</x:v>
      </x:c>
      <x:c r="K30" s="324">
        <x:v>0</x:v>
      </x:c>
      <x:c r="L30" s="324">
        <x:v>0</x:v>
      </x:c>
      <x:c r="M30" s="324">
        <x:v>0</x:v>
      </x:c>
      <x:c r="N30" s="324">
        <x:v>0</x:v>
      </x:c>
      <x:c r="O30" s="324">
        <x:v>0</x:v>
      </x:c>
      <x:c r="P30" s="324">
        <x:v>0</x:v>
      </x:c>
      <x:c r="Q30" s="257">
        <x:f t="shared" si="0"/>
        <x:v>0</x:v>
      </x:c>
    </x:row>
    <x:row r="31">
      <x:c r="A31" s="148" t="s">
        <x:v>108</x:v>
      </x:c>
      <x:c r="B31">
        <x:v>2</x:v>
      </x:c>
      <x:c r="C31" s="148" t="s">
        <x:v>116</x:v>
      </x:c>
      <x:c r="D31">
        <x:v>219</x:v>
      </x:c>
      <x:c r="E31" s="324">
        <x:v>0</x:v>
      </x:c>
      <x:c r="F31" s="324">
        <x:v>0</x:v>
      </x:c>
      <x:c r="G31" s="324">
        <x:v>0</x:v>
      </x:c>
      <x:c r="H31" s="324">
        <x:v>0</x:v>
      </x:c>
      <x:c r="I31" s="324">
        <x:v>0</x:v>
      </x:c>
      <x:c r="J31" s="324">
        <x:v>0</x:v>
      </x:c>
      <x:c r="K31" s="324">
        <x:v>0</x:v>
      </x:c>
      <x:c r="L31" s="324">
        <x:v>0</x:v>
      </x:c>
      <x:c r="M31" s="324">
        <x:v>0</x:v>
      </x:c>
      <x:c r="N31" s="324">
        <x:v>0</x:v>
      </x:c>
      <x:c r="O31" s="324">
        <x:v>0</x:v>
      </x:c>
      <x:c r="P31" s="324">
        <x:v>0</x:v>
      </x:c>
      <x:c r="Q31" s="257">
        <x:f t="shared" si="0"/>
        <x:v>0</x:v>
      </x:c>
    </x:row>
    <x:row r="32">
      <x:c r="A32" s="148" t="s">
        <x:v>108</x:v>
      </x:c>
      <x:c r="B32">
        <x:v>2</x:v>
      </x:c>
      <x:c r="C32" s="148" t="s">
        <x:v>116</x:v>
      </x:c>
      <x:c r="D32">
        <x:v>220</x:v>
      </x:c>
      <x:c r="E32" s="324">
        <x:v>0</x:v>
      </x:c>
      <x:c r="F32" s="324">
        <x:v>0</x:v>
      </x:c>
      <x:c r="G32" s="324">
        <x:v>0</x:v>
      </x:c>
      <x:c r="H32" s="324">
        <x:v>0</x:v>
      </x:c>
      <x:c r="I32" s="324">
        <x:v>0</x:v>
      </x:c>
      <x:c r="J32" s="324">
        <x:v>0</x:v>
      </x:c>
      <x:c r="K32" s="324">
        <x:v>0</x:v>
      </x:c>
      <x:c r="L32" s="324">
        <x:v>0</x:v>
      </x:c>
      <x:c r="M32" s="324">
        <x:v>0</x:v>
      </x:c>
      <x:c r="N32" s="324">
        <x:v>0</x:v>
      </x:c>
      <x:c r="O32" s="324">
        <x:v>0</x:v>
      </x:c>
      <x:c r="P32" s="324">
        <x:v>0</x:v>
      </x:c>
      <x:c r="Q32" s="257">
        <x:f t="shared" si="0"/>
        <x:v>0</x:v>
      </x:c>
    </x:row>
    <x:row r="33">
      <x:c r="A33" s="148" t="s">
        <x:v>108</x:v>
      </x:c>
      <x:c r="B33">
        <x:v>2</x:v>
      </x:c>
      <x:c r="C33" s="148" t="s">
        <x:v>116</x:v>
      </x:c>
      <x:c r="D33">
        <x:v>221</x:v>
      </x:c>
      <x:c r="E33" s="324">
        <x:v>0</x:v>
      </x:c>
      <x:c r="F33" s="324">
        <x:v>0</x:v>
      </x:c>
      <x:c r="G33" s="324">
        <x:v>0</x:v>
      </x:c>
      <x:c r="H33" s="324">
        <x:v>0</x:v>
      </x:c>
      <x:c r="I33" s="324">
        <x:v>0</x:v>
      </x:c>
      <x:c r="J33" s="324">
        <x:v>0</x:v>
      </x:c>
      <x:c r="K33" s="324">
        <x:v>0</x:v>
      </x:c>
      <x:c r="L33" s="324">
        <x:v>0</x:v>
      </x:c>
      <x:c r="M33" s="324">
        <x:v>0</x:v>
      </x:c>
      <x:c r="N33" s="324">
        <x:v>0</x:v>
      </x:c>
      <x:c r="O33" s="324">
        <x:v>0</x:v>
      </x:c>
      <x:c r="P33" s="324">
        <x:v>0</x:v>
      </x:c>
      <x:c r="Q33" s="257">
        <x:f t="shared" si="0"/>
        <x:v>0</x:v>
      </x:c>
    </x:row>
    <x:row r="34">
      <x:c r="A34" s="148" t="s">
        <x:v>108</x:v>
      </x:c>
      <x:c r="B34">
        <x:v>2</x:v>
      </x:c>
      <x:c r="C34" s="148" t="s">
        <x:v>116</x:v>
      </x:c>
      <x:c r="D34">
        <x:v>222</x:v>
      </x:c>
      <x:c r="E34" s="324">
        <x:v>0</x:v>
      </x:c>
      <x:c r="F34" s="324">
        <x:v>0</x:v>
      </x:c>
      <x:c r="G34" s="324">
        <x:v>0</x:v>
      </x:c>
      <x:c r="H34" s="324">
        <x:v>0</x:v>
      </x:c>
      <x:c r="I34" s="324">
        <x:v>0</x:v>
      </x:c>
      <x:c r="J34" s="324">
        <x:v>0</x:v>
      </x:c>
      <x:c r="K34" s="324">
        <x:v>0</x:v>
      </x:c>
      <x:c r="L34" s="324">
        <x:v>0</x:v>
      </x:c>
      <x:c r="M34" s="324">
        <x:v>0</x:v>
      </x:c>
      <x:c r="N34" s="324">
        <x:v>0</x:v>
      </x:c>
      <x:c r="O34" s="324">
        <x:v>0</x:v>
      </x:c>
      <x:c r="P34" s="324">
        <x:v>0</x:v>
      </x:c>
      <x:c r="Q34" s="257">
        <x:f t="shared" si="0"/>
        <x:v>0</x:v>
      </x:c>
    </x:row>
    <x:row r="35">
      <x:c r="A35" s="148" t="s">
        <x:v>108</x:v>
      </x:c>
      <x:c r="B35">
        <x:v>2</x:v>
      </x:c>
      <x:c r="C35" s="148" t="s">
        <x:v>116</x:v>
      </x:c>
      <x:c r="D35">
        <x:v>223</x:v>
      </x:c>
      <x:c r="E35" s="324">
        <x:v>0</x:v>
      </x:c>
      <x:c r="F35" s="324">
        <x:v>0</x:v>
      </x:c>
      <x:c r="G35" s="324">
        <x:v>0</x:v>
      </x:c>
      <x:c r="H35" s="324">
        <x:v>0</x:v>
      </x:c>
      <x:c r="I35" s="324">
        <x:v>0</x:v>
      </x:c>
      <x:c r="J35" s="324">
        <x:v>0</x:v>
      </x:c>
      <x:c r="K35" s="324">
        <x:v>0</x:v>
      </x:c>
      <x:c r="L35" s="324">
        <x:v>0</x:v>
      </x:c>
      <x:c r="M35" s="324">
        <x:v>0</x:v>
      </x:c>
      <x:c r="N35" s="324">
        <x:v>0</x:v>
      </x:c>
      <x:c r="O35" s="324">
        <x:v>0</x:v>
      </x:c>
      <x:c r="P35" s="324">
        <x:v>0</x:v>
      </x:c>
      <x:c r="Q35" s="257">
        <x:f t="shared" si="0"/>
        <x:v>0</x:v>
      </x:c>
    </x:row>
    <x:row r="36">
      <x:c r="A36" s="148" t="s">
        <x:v>108</x:v>
      </x:c>
      <x:c r="B36">
        <x:v>2</x:v>
      </x:c>
      <x:c r="C36" s="148" t="s">
        <x:v>115</x:v>
      </x:c>
      <x:c r="D36">
        <x:v>201</x:v>
      </x:c>
      <x:c r="E36" s="324">
        <x:v>0</x:v>
      </x:c>
      <x:c r="F36" s="324">
        <x:v>0</x:v>
      </x:c>
      <x:c r="G36" s="324">
        <x:v>0</x:v>
      </x:c>
      <x:c r="H36" s="324">
        <x:v>0</x:v>
      </x:c>
      <x:c r="I36" s="324">
        <x:v>0</x:v>
      </x:c>
      <x:c r="J36" s="324">
        <x:v>0</x:v>
      </x:c>
      <x:c r="K36" s="324">
        <x:v>0</x:v>
      </x:c>
      <x:c r="L36" s="324">
        <x:v>0</x:v>
      </x:c>
      <x:c r="M36" s="324">
        <x:v>0</x:v>
      </x:c>
      <x:c r="N36" s="324">
        <x:v>0</x:v>
      </x:c>
      <x:c r="O36" s="324">
        <x:v>0</x:v>
      </x:c>
      <x:c r="P36" s="324">
        <x:v>0</x:v>
      </x:c>
      <x:c r="Q36" s="257">
        <x:f t="shared" si="0"/>
        <x:v>0</x:v>
      </x:c>
    </x:row>
    <x:row r="37">
      <x:c r="A37" s="148" t="s">
        <x:v>108</x:v>
      </x:c>
      <x:c r="B37">
        <x:v>2</x:v>
      </x:c>
      <x:c r="C37" s="148" t="s">
        <x:v>115</x:v>
      </x:c>
      <x:c r="D37">
        <x:v>202</x:v>
      </x:c>
      <x:c r="E37" s="324">
        <x:v>0</x:v>
      </x:c>
      <x:c r="F37" s="324">
        <x:v>0</x:v>
      </x:c>
      <x:c r="G37" s="324">
        <x:v>0</x:v>
      </x:c>
      <x:c r="H37" s="324">
        <x:v>0</x:v>
      </x:c>
      <x:c r="I37" s="324">
        <x:v>0</x:v>
      </x:c>
      <x:c r="J37" s="324">
        <x:v>0</x:v>
      </x:c>
      <x:c r="K37" s="324">
        <x:v>0</x:v>
      </x:c>
      <x:c r="L37" s="324">
        <x:v>0</x:v>
      </x:c>
      <x:c r="M37" s="324">
        <x:v>0</x:v>
      </x:c>
      <x:c r="N37" s="324">
        <x:v>0</x:v>
      </x:c>
      <x:c r="O37" s="324">
        <x:v>0</x:v>
      </x:c>
      <x:c r="P37" s="324">
        <x:v>0</x:v>
      </x:c>
      <x:c r="Q37" s="257">
        <x:f t="shared" si="0"/>
        <x:v>0</x:v>
      </x:c>
    </x:row>
    <x:row r="38">
      <x:c r="A38" s="148" t="s">
        <x:v>108</x:v>
      </x:c>
      <x:c r="B38">
        <x:v>2</x:v>
      </x:c>
      <x:c r="C38" s="148" t="s">
        <x:v>115</x:v>
      </x:c>
      <x:c r="D38">
        <x:v>203</x:v>
      </x:c>
      <x:c r="E38" s="324">
        <x:v>0</x:v>
      </x:c>
      <x:c r="F38" s="324">
        <x:v>0</x:v>
      </x:c>
      <x:c r="G38" s="324">
        <x:v>0</x:v>
      </x:c>
      <x:c r="H38" s="324">
        <x:v>0</x:v>
      </x:c>
      <x:c r="I38" s="324">
        <x:v>0</x:v>
      </x:c>
      <x:c r="J38" s="324">
        <x:v>0</x:v>
      </x:c>
      <x:c r="K38" s="324">
        <x:v>0</x:v>
      </x:c>
      <x:c r="L38" s="324">
        <x:v>0</x:v>
      </x:c>
      <x:c r="M38" s="324">
        <x:v>0</x:v>
      </x:c>
      <x:c r="N38" s="324">
        <x:v>0</x:v>
      </x:c>
      <x:c r="O38" s="324">
        <x:v>0</x:v>
      </x:c>
      <x:c r="P38" s="324">
        <x:v>0</x:v>
      </x:c>
      <x:c r="Q38" s="257">
        <x:f t="shared" si="0"/>
        <x:v>0</x:v>
      </x:c>
    </x:row>
    <x:row r="39">
      <x:c r="A39" s="148" t="s">
        <x:v>108</x:v>
      </x:c>
      <x:c r="B39">
        <x:v>2</x:v>
      </x:c>
      <x:c r="C39" s="148" t="s">
        <x:v>115</x:v>
      </x:c>
      <x:c r="D39">
        <x:v>204</x:v>
      </x:c>
      <x:c r="E39" s="324">
        <x:v>0</x:v>
      </x:c>
      <x:c r="F39" s="324">
        <x:v>0</x:v>
      </x:c>
      <x:c r="G39" s="324">
        <x:v>0</x:v>
      </x:c>
      <x:c r="H39" s="324">
        <x:v>0</x:v>
      </x:c>
      <x:c r="I39" s="324">
        <x:v>0</x:v>
      </x:c>
      <x:c r="J39" s="324">
        <x:v>0</x:v>
      </x:c>
      <x:c r="K39" s="324">
        <x:v>0</x:v>
      </x:c>
      <x:c r="L39" s="324">
        <x:v>0</x:v>
      </x:c>
      <x:c r="M39" s="324">
        <x:v>0</x:v>
      </x:c>
      <x:c r="N39" s="324">
        <x:v>0</x:v>
      </x:c>
      <x:c r="O39" s="324">
        <x:v>0</x:v>
      </x:c>
      <x:c r="P39" s="324">
        <x:v>0</x:v>
      </x:c>
      <x:c r="Q39" s="257">
        <x:f t="shared" si="0"/>
        <x:v>0</x:v>
      </x:c>
    </x:row>
    <x:row r="40">
      <x:c r="A40" s="148" t="s">
        <x:v>108</x:v>
      </x:c>
      <x:c r="B40">
        <x:v>2</x:v>
      </x:c>
      <x:c r="C40" s="148" t="s">
        <x:v>115</x:v>
      </x:c>
      <x:c r="D40">
        <x:v>205</x:v>
      </x:c>
      <x:c r="E40" s="324">
        <x:v>0</x:v>
      </x:c>
      <x:c r="F40" s="324">
        <x:v>0</x:v>
      </x:c>
      <x:c r="G40" s="324">
        <x:v>0</x:v>
      </x:c>
      <x:c r="H40" s="324">
        <x:v>0</x:v>
      </x:c>
      <x:c r="I40" s="324">
        <x:v>0</x:v>
      </x:c>
      <x:c r="J40" s="324">
        <x:v>0</x:v>
      </x:c>
      <x:c r="K40" s="324">
        <x:v>0</x:v>
      </x:c>
      <x:c r="L40" s="324">
        <x:v>0</x:v>
      </x:c>
      <x:c r="M40" s="324">
        <x:v>0</x:v>
      </x:c>
      <x:c r="N40" s="324">
        <x:v>0</x:v>
      </x:c>
      <x:c r="O40" s="324">
        <x:v>0</x:v>
      </x:c>
      <x:c r="P40" s="324">
        <x:v>0</x:v>
      </x:c>
      <x:c r="Q40" s="257">
        <x:f t="shared" si="0"/>
        <x:v>0</x:v>
      </x:c>
    </x:row>
    <x:row r="41">
      <x:c r="A41" s="148" t="s">
        <x:v>108</x:v>
      </x:c>
      <x:c r="B41">
        <x:v>2</x:v>
      </x:c>
      <x:c r="C41" s="148" t="s">
        <x:v>115</x:v>
      </x:c>
      <x:c r="D41">
        <x:v>206</x:v>
      </x:c>
      <x:c r="E41" s="324">
        <x:v>0</x:v>
      </x:c>
      <x:c r="F41" s="324">
        <x:v>0</x:v>
      </x:c>
      <x:c r="G41" s="324">
        <x:v>0</x:v>
      </x:c>
      <x:c r="H41" s="324">
        <x:v>0</x:v>
      </x:c>
      <x:c r="I41" s="324">
        <x:v>0</x:v>
      </x:c>
      <x:c r="J41" s="324">
        <x:v>0</x:v>
      </x:c>
      <x:c r="K41" s="324">
        <x:v>0</x:v>
      </x:c>
      <x:c r="L41" s="324">
        <x:v>0</x:v>
      </x:c>
      <x:c r="M41" s="324">
        <x:v>0</x:v>
      </x:c>
      <x:c r="N41" s="324">
        <x:v>0</x:v>
      </x:c>
      <x:c r="O41" s="324">
        <x:v>0</x:v>
      </x:c>
      <x:c r="P41" s="324">
        <x:v>0</x:v>
      </x:c>
      <x:c r="Q41" s="257">
        <x:f t="shared" si="0"/>
        <x:v>0</x:v>
      </x:c>
    </x:row>
    <x:row r="42">
      <x:c r="A42" s="148" t="s">
        <x:v>108</x:v>
      </x:c>
      <x:c r="B42">
        <x:v>2</x:v>
      </x:c>
      <x:c r="C42" s="148" t="s">
        <x:v>115</x:v>
      </x:c>
      <x:c r="D42">
        <x:v>207</x:v>
      </x:c>
      <x:c r="E42" s="324">
        <x:v>0</x:v>
      </x:c>
      <x:c r="F42" s="324">
        <x:v>0</x:v>
      </x:c>
      <x:c r="G42" s="324">
        <x:v>0</x:v>
      </x:c>
      <x:c r="H42" s="324">
        <x:v>0</x:v>
      </x:c>
      <x:c r="I42" s="324">
        <x:v>0</x:v>
      </x:c>
      <x:c r="J42" s="324">
        <x:v>0</x:v>
      </x:c>
      <x:c r="K42" s="324">
        <x:v>0</x:v>
      </x:c>
      <x:c r="L42" s="324">
        <x:v>0</x:v>
      </x:c>
      <x:c r="M42" s="324">
        <x:v>0</x:v>
      </x:c>
      <x:c r="N42" s="324">
        <x:v>0</x:v>
      </x:c>
      <x:c r="O42" s="324">
        <x:v>0</x:v>
      </x:c>
      <x:c r="P42" s="324">
        <x:v>0</x:v>
      </x:c>
      <x:c r="Q42" s="257">
        <x:f t="shared" si="0"/>
        <x:v>0</x:v>
      </x:c>
    </x:row>
    <x:row r="43">
      <x:c r="A43" s="148" t="s">
        <x:v>108</x:v>
      </x:c>
      <x:c r="B43">
        <x:v>2</x:v>
      </x:c>
      <x:c r="C43" s="148" t="s">
        <x:v>115</x:v>
      </x:c>
      <x:c r="D43">
        <x:v>208</x:v>
      </x:c>
      <x:c r="E43" s="324">
        <x:v>0</x:v>
      </x:c>
      <x:c r="F43" s="324">
        <x:v>0</x:v>
      </x:c>
      <x:c r="G43" s="324">
        <x:v>0</x:v>
      </x:c>
      <x:c r="H43" s="324">
        <x:v>0</x:v>
      </x:c>
      <x:c r="I43" s="324">
        <x:v>0</x:v>
      </x:c>
      <x:c r="J43" s="324">
        <x:v>0</x:v>
      </x:c>
      <x:c r="K43" s="324">
        <x:v>0</x:v>
      </x:c>
      <x:c r="L43" s="324">
        <x:v>0</x:v>
      </x:c>
      <x:c r="M43" s="324">
        <x:v>0</x:v>
      </x:c>
      <x:c r="N43" s="324">
        <x:v>0</x:v>
      </x:c>
      <x:c r="O43" s="324">
        <x:v>0</x:v>
      </x:c>
      <x:c r="P43" s="324">
        <x:v>0</x:v>
      </x:c>
      <x:c r="Q43" s="257">
        <x:f t="shared" si="0"/>
        <x:v>0</x:v>
      </x:c>
    </x:row>
    <x:row r="44">
      <x:c r="A44" s="148" t="s">
        <x:v>108</x:v>
      </x:c>
      <x:c r="B44">
        <x:v>2</x:v>
      </x:c>
      <x:c r="C44" s="148" t="s">
        <x:v>115</x:v>
      </x:c>
      <x:c r="D44">
        <x:v>209</x:v>
      </x:c>
      <x:c r="E44" s="324">
        <x:v>0</x:v>
      </x:c>
      <x:c r="F44" s="324">
        <x:v>0</x:v>
      </x:c>
      <x:c r="G44" s="324">
        <x:v>0</x:v>
      </x:c>
      <x:c r="H44" s="324">
        <x:v>0</x:v>
      </x:c>
      <x:c r="I44" s="324">
        <x:v>0</x:v>
      </x:c>
      <x:c r="J44" s="324">
        <x:v>0</x:v>
      </x:c>
      <x:c r="K44" s="324">
        <x:v>0</x:v>
      </x:c>
      <x:c r="L44" s="324">
        <x:v>0</x:v>
      </x:c>
      <x:c r="M44" s="324">
        <x:v>0</x:v>
      </x:c>
      <x:c r="N44" s="324">
        <x:v>0</x:v>
      </x:c>
      <x:c r="O44" s="324">
        <x:v>0</x:v>
      </x:c>
      <x:c r="P44" s="324">
        <x:v>0</x:v>
      </x:c>
      <x:c r="Q44" s="257">
        <x:f t="shared" si="0"/>
        <x:v>0</x:v>
      </x:c>
    </x:row>
    <x:row r="45">
      <x:c r="A45" s="148" t="s">
        <x:v>108</x:v>
      </x:c>
      <x:c r="B45">
        <x:v>2</x:v>
      </x:c>
      <x:c r="C45" s="148" t="s">
        <x:v>115</x:v>
      </x:c>
      <x:c r="D45">
        <x:v>210</x:v>
      </x:c>
      <x:c r="E45" s="324">
        <x:v>0</x:v>
      </x:c>
      <x:c r="F45" s="324">
        <x:v>0</x:v>
      </x:c>
      <x:c r="G45" s="324">
        <x:v>0</x:v>
      </x:c>
      <x:c r="H45" s="324">
        <x:v>0</x:v>
      </x:c>
      <x:c r="I45" s="324">
        <x:v>0</x:v>
      </x:c>
      <x:c r="J45" s="324">
        <x:v>0</x:v>
      </x:c>
      <x:c r="K45" s="324">
        <x:v>0</x:v>
      </x:c>
      <x:c r="L45" s="324">
        <x:v>0</x:v>
      </x:c>
      <x:c r="M45" s="324">
        <x:v>0</x:v>
      </x:c>
      <x:c r="N45" s="324">
        <x:v>0</x:v>
      </x:c>
      <x:c r="O45" s="324">
        <x:v>0</x:v>
      </x:c>
      <x:c r="P45" s="324">
        <x:v>0</x:v>
      </x:c>
      <x:c r="Q45" s="257">
        <x:f t="shared" si="0"/>
        <x:v>0</x:v>
      </x:c>
    </x:row>
    <x:row r="46">
      <x:c r="A46" s="148" t="s">
        <x:v>108</x:v>
      </x:c>
      <x:c r="B46">
        <x:v>2</x:v>
      </x:c>
      <x:c r="C46" s="148" t="s">
        <x:v>115</x:v>
      </x:c>
      <x:c r="D46">
        <x:v>211</x:v>
      </x:c>
      <x:c r="E46" s="324">
        <x:v>0</x:v>
      </x:c>
      <x:c r="F46" s="324">
        <x:v>0</x:v>
      </x:c>
      <x:c r="G46" s="324">
        <x:v>0</x:v>
      </x:c>
      <x:c r="H46" s="324">
        <x:v>0</x:v>
      </x:c>
      <x:c r="I46" s="324">
        <x:v>0</x:v>
      </x:c>
      <x:c r="J46" s="324">
        <x:v>0</x:v>
      </x:c>
      <x:c r="K46" s="324">
        <x:v>0</x:v>
      </x:c>
      <x:c r="L46" s="324">
        <x:v>0</x:v>
      </x:c>
      <x:c r="M46" s="324">
        <x:v>0</x:v>
      </x:c>
      <x:c r="N46" s="324">
        <x:v>0</x:v>
      </x:c>
      <x:c r="O46" s="324">
        <x:v>0</x:v>
      </x:c>
      <x:c r="P46" s="324">
        <x:v>0</x:v>
      </x:c>
      <x:c r="Q46" s="257">
        <x:f t="shared" si="0"/>
        <x:v>0</x:v>
      </x:c>
    </x:row>
    <x:row r="47">
      <x:c r="A47" s="148" t="s">
        <x:v>108</x:v>
      </x:c>
      <x:c r="B47">
        <x:v>2</x:v>
      </x:c>
      <x:c r="C47" s="148" t="s">
        <x:v>115</x:v>
      </x:c>
      <x:c r="D47">
        <x:v>212</x:v>
      </x:c>
      <x:c r="E47" s="324">
        <x:v>0</x:v>
      </x:c>
      <x:c r="F47" s="324">
        <x:v>0</x:v>
      </x:c>
      <x:c r="G47" s="324">
        <x:v>0</x:v>
      </x:c>
      <x:c r="H47" s="324">
        <x:v>0</x:v>
      </x:c>
      <x:c r="I47" s="324">
        <x:v>0</x:v>
      </x:c>
      <x:c r="J47" s="324">
        <x:v>0</x:v>
      </x:c>
      <x:c r="K47" s="324">
        <x:v>0</x:v>
      </x:c>
      <x:c r="L47" s="324">
        <x:v>0</x:v>
      </x:c>
      <x:c r="M47" s="324">
        <x:v>0</x:v>
      </x:c>
      <x:c r="N47" s="324">
        <x:v>0</x:v>
      </x:c>
      <x:c r="O47" s="324">
        <x:v>0</x:v>
      </x:c>
      <x:c r="P47" s="324">
        <x:v>0</x:v>
      </x:c>
      <x:c r="Q47" s="257">
        <x:f t="shared" si="0"/>
        <x:v>0</x:v>
      </x:c>
    </x:row>
    <x:row r="48">
      <x:c r="A48" s="148" t="s">
        <x:v>108</x:v>
      </x:c>
      <x:c r="B48">
        <x:v>2</x:v>
      </x:c>
      <x:c r="C48" s="148" t="s">
        <x:v>115</x:v>
      </x:c>
      <x:c r="D48">
        <x:v>213</x:v>
      </x:c>
      <x:c r="E48" s="324">
        <x:v>0</x:v>
      </x:c>
      <x:c r="F48" s="324">
        <x:v>0</x:v>
      </x:c>
      <x:c r="G48" s="324">
        <x:v>0</x:v>
      </x:c>
      <x:c r="H48" s="324">
        <x:v>0</x:v>
      </x:c>
      <x:c r="I48" s="324">
        <x:v>0</x:v>
      </x:c>
      <x:c r="J48" s="324">
        <x:v>0</x:v>
      </x:c>
      <x:c r="K48" s="324">
        <x:v>0</x:v>
      </x:c>
      <x:c r="L48" s="324">
        <x:v>0</x:v>
      </x:c>
      <x:c r="M48" s="324">
        <x:v>0</x:v>
      </x:c>
      <x:c r="N48" s="324">
        <x:v>0</x:v>
      </x:c>
      <x:c r="O48" s="324">
        <x:v>0</x:v>
      </x:c>
      <x:c r="P48" s="324">
        <x:v>0</x:v>
      </x:c>
      <x:c r="Q48" s="257">
        <x:f t="shared" si="0"/>
        <x:v>0</x:v>
      </x:c>
    </x:row>
    <x:row r="49">
      <x:c r="A49" s="148" t="s">
        <x:v>108</x:v>
      </x:c>
      <x:c r="B49">
        <x:v>2</x:v>
      </x:c>
      <x:c r="C49" s="148" t="s">
        <x:v>115</x:v>
      </x:c>
      <x:c r="D49">
        <x:v>214</x:v>
      </x:c>
      <x:c r="E49" s="324">
        <x:v>0</x:v>
      </x:c>
      <x:c r="F49" s="324">
        <x:v>0</x:v>
      </x:c>
      <x:c r="G49" s="324">
        <x:v>0</x:v>
      </x:c>
      <x:c r="H49" s="324">
        <x:v>0</x:v>
      </x:c>
      <x:c r="I49" s="324">
        <x:v>0</x:v>
      </x:c>
      <x:c r="J49" s="324">
        <x:v>0</x:v>
      </x:c>
      <x:c r="K49" s="324">
        <x:v>0</x:v>
      </x:c>
      <x:c r="L49" s="324">
        <x:v>0</x:v>
      </x:c>
      <x:c r="M49" s="324">
        <x:v>0</x:v>
      </x:c>
      <x:c r="N49" s="324">
        <x:v>0</x:v>
      </x:c>
      <x:c r="O49" s="324">
        <x:v>0</x:v>
      </x:c>
      <x:c r="P49" s="324">
        <x:v>0</x:v>
      </x:c>
      <x:c r="Q49" s="257">
        <x:f t="shared" si="0"/>
        <x:v>0</x:v>
      </x:c>
    </x:row>
    <x:row r="50">
      <x:c r="A50" s="148" t="s">
        <x:v>108</x:v>
      </x:c>
      <x:c r="B50">
        <x:v>2</x:v>
      </x:c>
      <x:c r="C50" s="148" t="s">
        <x:v>115</x:v>
      </x:c>
      <x:c r="D50">
        <x:v>215</x:v>
      </x:c>
      <x:c r="E50" s="324">
        <x:v>0</x:v>
      </x:c>
      <x:c r="F50" s="324">
        <x:v>0</x:v>
      </x:c>
      <x:c r="G50" s="324">
        <x:v>0</x:v>
      </x:c>
      <x:c r="H50" s="324">
        <x:v>0</x:v>
      </x:c>
      <x:c r="I50" s="324">
        <x:v>0</x:v>
      </x:c>
      <x:c r="J50" s="324">
        <x:v>0</x:v>
      </x:c>
      <x:c r="K50" s="324">
        <x:v>0</x:v>
      </x:c>
      <x:c r="L50" s="324">
        <x:v>0</x:v>
      </x:c>
      <x:c r="M50" s="324">
        <x:v>0</x:v>
      </x:c>
      <x:c r="N50" s="324">
        <x:v>0</x:v>
      </x:c>
      <x:c r="O50" s="324">
        <x:v>0</x:v>
      </x:c>
      <x:c r="P50" s="324">
        <x:v>0</x:v>
      </x:c>
      <x:c r="Q50" s="257">
        <x:f t="shared" si="0"/>
        <x:v>0</x:v>
      </x:c>
    </x:row>
    <x:row r="51">
      <x:c r="A51" s="148" t="s">
        <x:v>108</x:v>
      </x:c>
      <x:c r="B51">
        <x:v>2</x:v>
      </x:c>
      <x:c r="C51" s="148" t="s">
        <x:v>115</x:v>
      </x:c>
      <x:c r="D51">
        <x:v>216</x:v>
      </x:c>
      <x:c r="E51" s="324">
        <x:v>0</x:v>
      </x:c>
      <x:c r="F51" s="324">
        <x:v>0</x:v>
      </x:c>
      <x:c r="G51" s="324">
        <x:v>0</x:v>
      </x:c>
      <x:c r="H51" s="324">
        <x:v>0</x:v>
      </x:c>
      <x:c r="I51" s="324">
        <x:v>0</x:v>
      </x:c>
      <x:c r="J51" s="324">
        <x:v>0</x:v>
      </x:c>
      <x:c r="K51" s="324">
        <x:v>0</x:v>
      </x:c>
      <x:c r="L51" s="324">
        <x:v>0</x:v>
      </x:c>
      <x:c r="M51" s="324">
        <x:v>0</x:v>
      </x:c>
      <x:c r="N51" s="324">
        <x:v>0</x:v>
      </x:c>
      <x:c r="O51" s="324">
        <x:v>0</x:v>
      </x:c>
      <x:c r="P51" s="324">
        <x:v>0</x:v>
      </x:c>
      <x:c r="Q51" s="257">
        <x:f t="shared" si="0"/>
        <x:v>0</x:v>
      </x:c>
    </x:row>
    <x:row r="52">
      <x:c r="A52" s="148" t="s">
        <x:v>108</x:v>
      </x:c>
      <x:c r="B52">
        <x:v>2</x:v>
      </x:c>
      <x:c r="C52" s="148" t="s">
        <x:v>115</x:v>
      </x:c>
      <x:c r="D52">
        <x:v>217</x:v>
      </x:c>
      <x:c r="E52" s="324">
        <x:v>0</x:v>
      </x:c>
      <x:c r="F52" s="324">
        <x:v>0</x:v>
      </x:c>
      <x:c r="G52" s="324">
        <x:v>0</x:v>
      </x:c>
      <x:c r="H52" s="324">
        <x:v>0</x:v>
      </x:c>
      <x:c r="I52" s="324">
        <x:v>0</x:v>
      </x:c>
      <x:c r="J52" s="324">
        <x:v>0</x:v>
      </x:c>
      <x:c r="K52" s="324">
        <x:v>0</x:v>
      </x:c>
      <x:c r="L52" s="324">
        <x:v>0</x:v>
      </x:c>
      <x:c r="M52" s="324">
        <x:v>0</x:v>
      </x:c>
      <x:c r="N52" s="324">
        <x:v>0</x:v>
      </x:c>
      <x:c r="O52" s="324">
        <x:v>0</x:v>
      </x:c>
      <x:c r="P52" s="324">
        <x:v>0</x:v>
      </x:c>
      <x:c r="Q52" s="257">
        <x:f t="shared" si="0"/>
        <x:v>0</x:v>
      </x:c>
    </x:row>
    <x:row r="53">
      <x:c r="A53" s="148" t="s">
        <x:v>108</x:v>
      </x:c>
      <x:c r="B53">
        <x:v>2</x:v>
      </x:c>
      <x:c r="C53" s="148" t="s">
        <x:v>115</x:v>
      </x:c>
      <x:c r="D53">
        <x:v>218</x:v>
      </x:c>
      <x:c r="E53" s="324">
        <x:v>0</x:v>
      </x:c>
      <x:c r="F53" s="324">
        <x:v>0</x:v>
      </x:c>
      <x:c r="G53" s="324">
        <x:v>0</x:v>
      </x:c>
      <x:c r="H53" s="324">
        <x:v>0</x:v>
      </x:c>
      <x:c r="I53" s="324">
        <x:v>0</x:v>
      </x:c>
      <x:c r="J53" s="324">
        <x:v>0</x:v>
      </x:c>
      <x:c r="K53" s="324">
        <x:v>0</x:v>
      </x:c>
      <x:c r="L53" s="324">
        <x:v>0</x:v>
      </x:c>
      <x:c r="M53" s="324">
        <x:v>0</x:v>
      </x:c>
      <x:c r="N53" s="324">
        <x:v>0</x:v>
      </x:c>
      <x:c r="O53" s="324">
        <x:v>0</x:v>
      </x:c>
      <x:c r="P53" s="324">
        <x:v>0</x:v>
      </x:c>
      <x:c r="Q53" s="257">
        <x:f t="shared" si="0"/>
        <x:v>0</x:v>
      </x:c>
    </x:row>
    <x:row r="54">
      <x:c r="A54" s="148" t="s">
        <x:v>108</x:v>
      </x:c>
      <x:c r="B54">
        <x:v>2</x:v>
      </x:c>
      <x:c r="C54" s="148" t="s">
        <x:v>115</x:v>
      </x:c>
      <x:c r="D54">
        <x:v>219</x:v>
      </x:c>
      <x:c r="E54" s="324">
        <x:v>0</x:v>
      </x:c>
      <x:c r="F54" s="324">
        <x:v>0</x:v>
      </x:c>
      <x:c r="G54" s="324">
        <x:v>0</x:v>
      </x:c>
      <x:c r="H54" s="324">
        <x:v>0</x:v>
      </x:c>
      <x:c r="I54" s="324">
        <x:v>0</x:v>
      </x:c>
      <x:c r="J54" s="324">
        <x:v>0</x:v>
      </x:c>
      <x:c r="K54" s="324">
        <x:v>0</x:v>
      </x:c>
      <x:c r="L54" s="324">
        <x:v>0</x:v>
      </x:c>
      <x:c r="M54" s="324">
        <x:v>0</x:v>
      </x:c>
      <x:c r="N54" s="324">
        <x:v>0</x:v>
      </x:c>
      <x:c r="O54" s="324">
        <x:v>0</x:v>
      </x:c>
      <x:c r="P54" s="324">
        <x:v>0</x:v>
      </x:c>
      <x:c r="Q54" s="257">
        <x:f t="shared" si="0"/>
        <x:v>0</x:v>
      </x:c>
    </x:row>
    <x:row r="55">
      <x:c r="A55" s="148" t="s">
        <x:v>108</x:v>
      </x:c>
      <x:c r="B55">
        <x:v>2</x:v>
      </x:c>
      <x:c r="C55" s="148" t="s">
        <x:v>115</x:v>
      </x:c>
      <x:c r="D55">
        <x:v>220</x:v>
      </x:c>
      <x:c r="E55" s="324">
        <x:v>0</x:v>
      </x:c>
      <x:c r="F55" s="324">
        <x:v>0</x:v>
      </x:c>
      <x:c r="G55" s="324">
        <x:v>0</x:v>
      </x:c>
      <x:c r="H55" s="324">
        <x:v>0</x:v>
      </x:c>
      <x:c r="I55" s="324">
        <x:v>0</x:v>
      </x:c>
      <x:c r="J55" s="324">
        <x:v>0</x:v>
      </x:c>
      <x:c r="K55" s="324">
        <x:v>0</x:v>
      </x:c>
      <x:c r="L55" s="324">
        <x:v>0</x:v>
      </x:c>
      <x:c r="M55" s="324">
        <x:v>0</x:v>
      </x:c>
      <x:c r="N55" s="324">
        <x:v>0</x:v>
      </x:c>
      <x:c r="O55" s="324">
        <x:v>0</x:v>
      </x:c>
      <x:c r="P55" s="324">
        <x:v>0</x:v>
      </x:c>
      <x:c r="Q55" s="257">
        <x:f t="shared" si="0"/>
        <x:v>0</x:v>
      </x:c>
    </x:row>
    <x:row r="56">
      <x:c r="A56" s="148" t="s">
        <x:v>108</x:v>
      </x:c>
      <x:c r="B56">
        <x:v>2</x:v>
      </x:c>
      <x:c r="C56" s="148" t="s">
        <x:v>115</x:v>
      </x:c>
      <x:c r="D56">
        <x:v>221</x:v>
      </x:c>
      <x:c r="E56" s="324">
        <x:v>0</x:v>
      </x:c>
      <x:c r="F56" s="324">
        <x:v>0</x:v>
      </x:c>
      <x:c r="G56" s="324">
        <x:v>0</x:v>
      </x:c>
      <x:c r="H56" s="324">
        <x:v>0</x:v>
      </x:c>
      <x:c r="I56" s="324">
        <x:v>0</x:v>
      </x:c>
      <x:c r="J56" s="324">
        <x:v>0</x:v>
      </x:c>
      <x:c r="K56" s="324">
        <x:v>0</x:v>
      </x:c>
      <x:c r="L56" s="324">
        <x:v>0</x:v>
      </x:c>
      <x:c r="M56" s="324">
        <x:v>0</x:v>
      </x:c>
      <x:c r="N56" s="324">
        <x:v>0</x:v>
      </x:c>
      <x:c r="O56" s="324">
        <x:v>0</x:v>
      </x:c>
      <x:c r="P56" s="324">
        <x:v>0</x:v>
      </x:c>
      <x:c r="Q56" s="257">
        <x:f t="shared" si="0"/>
        <x:v>0</x:v>
      </x:c>
    </x:row>
    <x:row r="57">
      <x:c r="A57" s="148"/>
      <x:c r="B57"/>
      <x:c r="C57" s="148"/>
      <x:c r="D57" s="148"/>
      <x:c r="E57" s="324"/>
      <x:c r="F57" s="324">
        <x:f t="shared" ref="F57:P57" si="2">AVERAGE(F14:F56)</x:f>
      </x:c>
      <x:c r="G57" s="324">
        <x:f t="shared" si="2"/>
      </x:c>
      <x:c r="H57" s="324">
        <x:f t="shared" si="2"/>
      </x:c>
      <x:c r="I57" s="324">
        <x:f t="shared" si="2"/>
      </x:c>
      <x:c r="J57" s="324">
        <x:f t="shared" si="2"/>
      </x:c>
      <x:c r="K57" s="324">
        <x:f t="shared" si="2"/>
      </x:c>
      <x:c r="L57" s="324">
        <x:f t="shared" si="2"/>
      </x:c>
      <x:c r="M57" s="324">
        <x:f t="shared" si="2"/>
      </x:c>
      <x:c r="N57" s="324">
        <x:f t="shared" si="2"/>
      </x:c>
      <x:c r="O57" s="324">
        <x:f t="shared" si="2"/>
      </x:c>
      <x:c r="P57" s="324">
        <x:f t="shared" si="2"/>
      </x:c>
      <x:c r="Q57" s="257">
        <x:f t="shared" si="0"/>
      </x:c>
    </x:row>
    <x:row r="58">
      <x:c r="A58" s="148" t="s">
        <x:v>108</x:v>
      </x:c>
      <x:c r="B58">
        <x:v>3</x:v>
      </x:c>
      <x:c r="C58" s="148" t="s">
        <x:v>116</x:v>
      </x:c>
      <x:c r="D58">
        <x:v>301</x:v>
      </x:c>
      <x:c r="E58" s="324">
        <x:v>0</x:v>
      </x:c>
      <x:c r="F58" s="324">
        <x:v>0</x:v>
      </x:c>
      <x:c r="G58" s="324">
        <x:v>0</x:v>
      </x:c>
      <x:c r="H58" s="324">
        <x:v>0</x:v>
      </x:c>
      <x:c r="I58" s="324">
        <x:v>0</x:v>
      </x:c>
      <x:c r="J58" s="324">
        <x:v>0</x:v>
      </x:c>
      <x:c r="K58" s="324">
        <x:v>0</x:v>
      </x:c>
      <x:c r="L58" s="324">
        <x:v>0</x:v>
      </x:c>
      <x:c r="M58" s="324">
        <x:v>0</x:v>
      </x:c>
      <x:c r="N58" s="324">
        <x:v>0</x:v>
      </x:c>
      <x:c r="O58" s="324">
        <x:v>0</x:v>
      </x:c>
      <x:c r="P58" s="324">
        <x:v>0</x:v>
      </x:c>
      <x:c r="Q58" s="257">
        <x:f t="shared" si="0"/>
        <x:v>0</x:v>
      </x:c>
    </x:row>
    <x:row r="59">
      <x:c r="A59" s="148" t="s">
        <x:v>108</x:v>
      </x:c>
      <x:c r="B59">
        <x:v>3</x:v>
      </x:c>
      <x:c r="C59" s="148" t="s">
        <x:v>116</x:v>
      </x:c>
      <x:c r="D59">
        <x:v>302</x:v>
      </x:c>
      <x:c r="E59" s="324">
        <x:v>0</x:v>
      </x:c>
      <x:c r="F59" s="324">
        <x:v>0</x:v>
      </x:c>
      <x:c r="G59" s="324">
        <x:v>0</x:v>
      </x:c>
      <x:c r="H59" s="324">
        <x:v>0</x:v>
      </x:c>
      <x:c r="I59" s="324">
        <x:v>0</x:v>
      </x:c>
      <x:c r="J59" s="324">
        <x:v>0</x:v>
      </x:c>
      <x:c r="K59" s="324">
        <x:v>0</x:v>
      </x:c>
      <x:c r="L59" s="324">
        <x:v>0</x:v>
      </x:c>
      <x:c r="M59" s="324">
        <x:v>0</x:v>
      </x:c>
      <x:c r="N59" s="324">
        <x:v>0</x:v>
      </x:c>
      <x:c r="O59" s="324">
        <x:v>0</x:v>
      </x:c>
      <x:c r="P59" s="324">
        <x:v>0</x:v>
      </x:c>
      <x:c r="Q59" s="257">
        <x:f t="shared" si="0"/>
        <x:v>0</x:v>
      </x:c>
    </x:row>
    <x:row r="60">
      <x:c r="A60" s="148" t="s">
        <x:v>108</x:v>
      </x:c>
      <x:c r="B60">
        <x:v>3</x:v>
      </x:c>
      <x:c r="C60" s="148" t="s">
        <x:v>116</x:v>
      </x:c>
      <x:c r="D60">
        <x:v>303</x:v>
      </x:c>
      <x:c r="E60" s="324">
        <x:v>0</x:v>
      </x:c>
      <x:c r="F60" s="324">
        <x:v>0</x:v>
      </x:c>
      <x:c r="G60" s="324">
        <x:v>0</x:v>
      </x:c>
      <x:c r="H60" s="324">
        <x:v>0</x:v>
      </x:c>
      <x:c r="I60" s="324">
        <x:v>0</x:v>
      </x:c>
      <x:c r="J60" s="324">
        <x:v>0</x:v>
      </x:c>
      <x:c r="K60" s="324">
        <x:v>0</x:v>
      </x:c>
      <x:c r="L60" s="324">
        <x:v>0</x:v>
      </x:c>
      <x:c r="M60" s="324">
        <x:v>0</x:v>
      </x:c>
      <x:c r="N60" s="324">
        <x:v>0</x:v>
      </x:c>
      <x:c r="O60" s="324">
        <x:v>0</x:v>
      </x:c>
      <x:c r="P60" s="324">
        <x:v>0</x:v>
      </x:c>
      <x:c r="Q60" s="257">
        <x:f t="shared" si="0"/>
        <x:v>0</x:v>
      </x:c>
    </x:row>
    <x:row r="61">
      <x:c r="A61" s="148" t="s">
        <x:v>108</x:v>
      </x:c>
      <x:c r="B61">
        <x:v>3</x:v>
      </x:c>
      <x:c r="C61" s="148" t="s">
        <x:v>116</x:v>
      </x:c>
      <x:c r="D61">
        <x:v>304</x:v>
      </x:c>
      <x:c r="E61" s="324">
        <x:v>0</x:v>
      </x:c>
      <x:c r="F61" s="324">
        <x:v>0</x:v>
      </x:c>
      <x:c r="G61" s="324">
        <x:v>0</x:v>
      </x:c>
      <x:c r="H61" s="324">
        <x:v>0</x:v>
      </x:c>
      <x:c r="I61" s="324">
        <x:v>0</x:v>
      </x:c>
      <x:c r="J61" s="324">
        <x:v>0</x:v>
      </x:c>
      <x:c r="K61" s="324">
        <x:v>0</x:v>
      </x:c>
      <x:c r="L61" s="324">
        <x:v>0</x:v>
      </x:c>
      <x:c r="M61" s="324">
        <x:v>0</x:v>
      </x:c>
      <x:c r="N61" s="324">
        <x:v>0</x:v>
      </x:c>
      <x:c r="O61" s="324">
        <x:v>0</x:v>
      </x:c>
      <x:c r="P61" s="324">
        <x:v>0</x:v>
      </x:c>
      <x:c r="Q61" s="257">
        <x:f t="shared" si="0"/>
        <x:v>0</x:v>
      </x:c>
    </x:row>
    <x:row r="62">
      <x:c r="A62" s="148" t="s">
        <x:v>108</x:v>
      </x:c>
      <x:c r="B62">
        <x:v>3</x:v>
      </x:c>
      <x:c r="C62" s="148" t="s">
        <x:v>116</x:v>
      </x:c>
      <x:c r="D62">
        <x:v>305</x:v>
      </x:c>
      <x:c r="E62" s="324">
        <x:v>0</x:v>
      </x:c>
      <x:c r="F62" s="324">
        <x:v>0</x:v>
      </x:c>
      <x:c r="G62" s="324">
        <x:v>0</x:v>
      </x:c>
      <x:c r="H62" s="324">
        <x:v>0</x:v>
      </x:c>
      <x:c r="I62" s="324">
        <x:v>0</x:v>
      </x:c>
      <x:c r="J62" s="324">
        <x:v>0</x:v>
      </x:c>
      <x:c r="K62" s="324">
        <x:v>0</x:v>
      </x:c>
      <x:c r="L62" s="324">
        <x:v>0</x:v>
      </x:c>
      <x:c r="M62" s="324">
        <x:v>0</x:v>
      </x:c>
      <x:c r="N62" s="324">
        <x:v>0</x:v>
      </x:c>
      <x:c r="O62" s="324">
        <x:v>0</x:v>
      </x:c>
      <x:c r="P62" s="324">
        <x:v>0</x:v>
      </x:c>
      <x:c r="Q62" s="257">
        <x:f t="shared" si="0"/>
        <x:v>0</x:v>
      </x:c>
    </x:row>
    <x:row r="63">
      <x:c r="A63" s="148" t="s">
        <x:v>108</x:v>
      </x:c>
      <x:c r="B63">
        <x:v>3</x:v>
      </x:c>
      <x:c r="C63" s="148" t="s">
        <x:v>116</x:v>
      </x:c>
      <x:c r="D63">
        <x:v>306</x:v>
      </x:c>
      <x:c r="E63" s="324">
        <x:v>0</x:v>
      </x:c>
      <x:c r="F63" s="324">
        <x:v>0</x:v>
      </x:c>
      <x:c r="G63" s="324">
        <x:v>0</x:v>
      </x:c>
      <x:c r="H63" s="324">
        <x:v>0</x:v>
      </x:c>
      <x:c r="I63" s="324">
        <x:v>0</x:v>
      </x:c>
      <x:c r="J63" s="324">
        <x:v>0</x:v>
      </x:c>
      <x:c r="K63" s="324">
        <x:v>0</x:v>
      </x:c>
      <x:c r="L63" s="324">
        <x:v>0</x:v>
      </x:c>
      <x:c r="M63" s="324">
        <x:v>0</x:v>
      </x:c>
      <x:c r="N63" s="324">
        <x:v>0</x:v>
      </x:c>
      <x:c r="O63" s="324">
        <x:v>0</x:v>
      </x:c>
      <x:c r="P63" s="324">
        <x:v>0</x:v>
      </x:c>
      <x:c r="Q63" s="257">
        <x:f t="shared" si="0"/>
        <x:v>0</x:v>
      </x:c>
    </x:row>
    <x:row r="64">
      <x:c r="A64" s="148" t="s">
        <x:v>108</x:v>
      </x:c>
      <x:c r="B64">
        <x:v>3</x:v>
      </x:c>
      <x:c r="C64" s="148" t="s">
        <x:v>116</x:v>
      </x:c>
      <x:c r="D64">
        <x:v>307</x:v>
      </x:c>
      <x:c r="E64" s="324">
        <x:v>0</x:v>
      </x:c>
      <x:c r="F64" s="324">
        <x:v>0</x:v>
      </x:c>
      <x:c r="G64" s="324">
        <x:v>0</x:v>
      </x:c>
      <x:c r="H64" s="324">
        <x:v>0</x:v>
      </x:c>
      <x:c r="I64" s="324">
        <x:v>0</x:v>
      </x:c>
      <x:c r="J64" s="324">
        <x:v>0</x:v>
      </x:c>
      <x:c r="K64" s="324">
        <x:v>0</x:v>
      </x:c>
      <x:c r="L64" s="324">
        <x:v>0</x:v>
      </x:c>
      <x:c r="M64" s="324">
        <x:v>0</x:v>
      </x:c>
      <x:c r="N64" s="324">
        <x:v>0</x:v>
      </x:c>
      <x:c r="O64" s="324">
        <x:v>0</x:v>
      </x:c>
      <x:c r="P64" s="324">
        <x:v>0</x:v>
      </x:c>
      <x:c r="Q64" s="257">
        <x:f t="shared" si="0"/>
        <x:v>0</x:v>
      </x:c>
    </x:row>
    <x:row r="65">
      <x:c r="A65" s="148" t="s">
        <x:v>108</x:v>
      </x:c>
      <x:c r="B65">
        <x:v>3</x:v>
      </x:c>
      <x:c r="C65" s="148" t="s">
        <x:v>116</x:v>
      </x:c>
      <x:c r="D65">
        <x:v>308</x:v>
      </x:c>
      <x:c r="E65" s="324">
        <x:v>0</x:v>
      </x:c>
      <x:c r="F65" s="324">
        <x:v>0</x:v>
      </x:c>
      <x:c r="G65" s="324">
        <x:v>0</x:v>
      </x:c>
      <x:c r="H65" s="324">
        <x:v>0</x:v>
      </x:c>
      <x:c r="I65" s="324">
        <x:v>0</x:v>
      </x:c>
      <x:c r="J65" s="324">
        <x:v>0</x:v>
      </x:c>
      <x:c r="K65" s="324">
        <x:v>0</x:v>
      </x:c>
      <x:c r="L65" s="324">
        <x:v>0</x:v>
      </x:c>
      <x:c r="M65" s="324">
        <x:v>0</x:v>
      </x:c>
      <x:c r="N65" s="324">
        <x:v>0</x:v>
      </x:c>
      <x:c r="O65" s="324">
        <x:v>0</x:v>
      </x:c>
      <x:c r="P65" s="324">
        <x:v>0</x:v>
      </x:c>
      <x:c r="Q65" s="257">
        <x:f t="shared" si="0"/>
        <x:v>0</x:v>
      </x:c>
    </x:row>
    <x:row r="66">
      <x:c r="A66" s="148" t="s">
        <x:v>108</x:v>
      </x:c>
      <x:c r="B66">
        <x:v>3</x:v>
      </x:c>
      <x:c r="C66" s="148" t="s">
        <x:v>116</x:v>
      </x:c>
      <x:c r="D66">
        <x:v>309</x:v>
      </x:c>
      <x:c r="E66" s="324">
        <x:v>0</x:v>
      </x:c>
      <x:c r="F66" s="324">
        <x:v>0</x:v>
      </x:c>
      <x:c r="G66" s="324">
        <x:v>0</x:v>
      </x:c>
      <x:c r="H66" s="324">
        <x:v>0</x:v>
      </x:c>
      <x:c r="I66" s="324">
        <x:v>0</x:v>
      </x:c>
      <x:c r="J66" s="324">
        <x:v>0</x:v>
      </x:c>
      <x:c r="K66" s="324">
        <x:v>0</x:v>
      </x:c>
      <x:c r="L66" s="324">
        <x:v>0</x:v>
      </x:c>
      <x:c r="M66" s="324">
        <x:v>0</x:v>
      </x:c>
      <x:c r="N66" s="324">
        <x:v>0</x:v>
      </x:c>
      <x:c r="O66" s="324">
        <x:v>0</x:v>
      </x:c>
      <x:c r="P66" s="324">
        <x:v>0</x:v>
      </x:c>
      <x:c r="Q66" s="257" t="n">
        <x:f t="shared" ref="Q66:Q129" si="3">AVERAGE(E66:P66)</x:f>
        <x:v>0</x:v>
      </x:c>
    </x:row>
    <x:row r="67">
      <x:c r="A67" s="148" t="s">
        <x:v>108</x:v>
      </x:c>
      <x:c r="B67">
        <x:v>3</x:v>
      </x:c>
      <x:c r="C67" s="148" t="s">
        <x:v>116</x:v>
      </x:c>
      <x:c r="D67">
        <x:v>310</x:v>
      </x:c>
      <x:c r="E67" s="324">
        <x:v>0</x:v>
      </x:c>
      <x:c r="F67" s="324">
        <x:v>0</x:v>
      </x:c>
      <x:c r="G67" s="324">
        <x:v>0</x:v>
      </x:c>
      <x:c r="H67" s="324">
        <x:v>0</x:v>
      </x:c>
      <x:c r="I67" s="324">
        <x:v>0</x:v>
      </x:c>
      <x:c r="J67" s="324">
        <x:v>0</x:v>
      </x:c>
      <x:c r="K67" s="324">
        <x:v>0</x:v>
      </x:c>
      <x:c r="L67" s="324">
        <x:v>0</x:v>
      </x:c>
      <x:c r="M67" s="324">
        <x:v>0</x:v>
      </x:c>
      <x:c r="N67" s="324">
        <x:v>0</x:v>
      </x:c>
      <x:c r="O67" s="324">
        <x:v>0</x:v>
      </x:c>
      <x:c r="P67" s="324">
        <x:v>0</x:v>
      </x:c>
      <x:c r="Q67" s="257">
        <x:f t="shared" si="3"/>
        <x:v>0</x:v>
      </x:c>
    </x:row>
    <x:row r="68">
      <x:c r="A68" s="148" t="s">
        <x:v>108</x:v>
      </x:c>
      <x:c r="B68">
        <x:v>3</x:v>
      </x:c>
      <x:c r="C68" s="148" t="s">
        <x:v>116</x:v>
      </x:c>
      <x:c r="D68">
        <x:v>311</x:v>
      </x:c>
      <x:c r="E68" s="324">
        <x:v>0</x:v>
      </x:c>
      <x:c r="F68" s="324">
        <x:v>0</x:v>
      </x:c>
      <x:c r="G68" s="324">
        <x:v>0</x:v>
      </x:c>
      <x:c r="H68" s="324">
        <x:v>0</x:v>
      </x:c>
      <x:c r="I68" s="324">
        <x:v>0</x:v>
      </x:c>
      <x:c r="J68" s="324">
        <x:v>0</x:v>
      </x:c>
      <x:c r="K68" s="324">
        <x:v>0</x:v>
      </x:c>
      <x:c r="L68" s="324">
        <x:v>0</x:v>
      </x:c>
      <x:c r="M68" s="324">
        <x:v>0</x:v>
      </x:c>
      <x:c r="N68" s="324">
        <x:v>0</x:v>
      </x:c>
      <x:c r="O68" s="324">
        <x:v>0</x:v>
      </x:c>
      <x:c r="P68" s="324">
        <x:v>0</x:v>
      </x:c>
      <x:c r="Q68" s="257">
        <x:f t="shared" si="3"/>
        <x:v>0</x:v>
      </x:c>
    </x:row>
    <x:row r="69">
      <x:c r="A69" s="148" t="s">
        <x:v>108</x:v>
      </x:c>
      <x:c r="B69">
        <x:v>3</x:v>
      </x:c>
      <x:c r="C69" s="148" t="s">
        <x:v>116</x:v>
      </x:c>
      <x:c r="D69">
        <x:v>312</x:v>
      </x:c>
      <x:c r="E69" s="324">
        <x:v>0</x:v>
      </x:c>
      <x:c r="F69" s="324">
        <x:v>0</x:v>
      </x:c>
      <x:c r="G69" s="324">
        <x:v>0</x:v>
      </x:c>
      <x:c r="H69" s="324">
        <x:v>0</x:v>
      </x:c>
      <x:c r="I69" s="324">
        <x:v>0</x:v>
      </x:c>
      <x:c r="J69" s="324">
        <x:v>0</x:v>
      </x:c>
      <x:c r="K69" s="324">
        <x:v>0</x:v>
      </x:c>
      <x:c r="L69" s="324">
        <x:v>0</x:v>
      </x:c>
      <x:c r="M69" s="324">
        <x:v>0</x:v>
      </x:c>
      <x:c r="N69" s="324">
        <x:v>0</x:v>
      </x:c>
      <x:c r="O69" s="324">
        <x:v>0</x:v>
      </x:c>
      <x:c r="P69" s="324">
        <x:v>0</x:v>
      </x:c>
      <x:c r="Q69" s="257">
        <x:f t="shared" si="3"/>
        <x:v>0</x:v>
      </x:c>
    </x:row>
    <x:row r="70">
      <x:c r="A70" s="148" t="s">
        <x:v>108</x:v>
      </x:c>
      <x:c r="B70">
        <x:v>3</x:v>
      </x:c>
      <x:c r="C70" s="148" t="s">
        <x:v>116</x:v>
      </x:c>
      <x:c r="D70">
        <x:v>313</x:v>
      </x:c>
      <x:c r="E70" s="324">
        <x:v>0</x:v>
      </x:c>
      <x:c r="F70" s="324">
        <x:v>0</x:v>
      </x:c>
      <x:c r="G70" s="324">
        <x:v>0</x:v>
      </x:c>
      <x:c r="H70" s="324">
        <x:v>0</x:v>
      </x:c>
      <x:c r="I70" s="324">
        <x:v>0</x:v>
      </x:c>
      <x:c r="J70" s="324">
        <x:v>0</x:v>
      </x:c>
      <x:c r="K70" s="324">
        <x:v>0</x:v>
      </x:c>
      <x:c r="L70" s="324">
        <x:v>0</x:v>
      </x:c>
      <x:c r="M70" s="324">
        <x:v>0</x:v>
      </x:c>
      <x:c r="N70" s="324">
        <x:v>0</x:v>
      </x:c>
      <x:c r="O70" s="324">
        <x:v>0</x:v>
      </x:c>
      <x:c r="P70" s="324">
        <x:v>0</x:v>
      </x:c>
      <x:c r="Q70" s="257">
        <x:f t="shared" si="3"/>
        <x:v>0</x:v>
      </x:c>
    </x:row>
    <x:row r="71">
      <x:c r="A71" s="148" t="s">
        <x:v>108</x:v>
      </x:c>
      <x:c r="B71">
        <x:v>3</x:v>
      </x:c>
      <x:c r="C71" s="148" t="s">
        <x:v>116</x:v>
      </x:c>
      <x:c r="D71">
        <x:v>314</x:v>
      </x:c>
      <x:c r="E71" s="324">
        <x:v>0</x:v>
      </x:c>
      <x:c r="F71" s="324">
        <x:v>0</x:v>
      </x:c>
      <x:c r="G71" s="324">
        <x:v>0</x:v>
      </x:c>
      <x:c r="H71" s="324">
        <x:v>0</x:v>
      </x:c>
      <x:c r="I71" s="324">
        <x:v>0</x:v>
      </x:c>
      <x:c r="J71" s="324">
        <x:v>0</x:v>
      </x:c>
      <x:c r="K71" s="324">
        <x:v>0</x:v>
      </x:c>
      <x:c r="L71" s="324">
        <x:v>0</x:v>
      </x:c>
      <x:c r="M71" s="324">
        <x:v>0</x:v>
      </x:c>
      <x:c r="N71" s="324">
        <x:v>0</x:v>
      </x:c>
      <x:c r="O71" s="324">
        <x:v>0</x:v>
      </x:c>
      <x:c r="P71" s="324">
        <x:v>0</x:v>
      </x:c>
      <x:c r="Q71" s="257">
        <x:f t="shared" si="3"/>
        <x:v>0</x:v>
      </x:c>
    </x:row>
    <x:row r="72">
      <x:c r="A72" s="148" t="s">
        <x:v>108</x:v>
      </x:c>
      <x:c r="B72">
        <x:v>3</x:v>
      </x:c>
      <x:c r="C72" s="148" t="s">
        <x:v>116</x:v>
      </x:c>
      <x:c r="D72">
        <x:v>315</x:v>
      </x:c>
      <x:c r="E72" s="324">
        <x:v>0</x:v>
      </x:c>
      <x:c r="F72" s="324">
        <x:v>0</x:v>
      </x:c>
      <x:c r="G72" s="324">
        <x:v>0</x:v>
      </x:c>
      <x:c r="H72" s="324">
        <x:v>0</x:v>
      </x:c>
      <x:c r="I72" s="324">
        <x:v>0</x:v>
      </x:c>
      <x:c r="J72" s="324">
        <x:v>0</x:v>
      </x:c>
      <x:c r="K72" s="324">
        <x:v>0</x:v>
      </x:c>
      <x:c r="L72" s="324">
        <x:v>0</x:v>
      </x:c>
      <x:c r="M72" s="324">
        <x:v>0</x:v>
      </x:c>
      <x:c r="N72" s="324">
        <x:v>0</x:v>
      </x:c>
      <x:c r="O72" s="324">
        <x:v>0</x:v>
      </x:c>
      <x:c r="P72" s="324">
        <x:v>0</x:v>
      </x:c>
      <x:c r="Q72" s="257">
        <x:f t="shared" si="3"/>
        <x:v>0</x:v>
      </x:c>
    </x:row>
    <x:row r="73">
      <x:c r="A73" s="148" t="s">
        <x:v>108</x:v>
      </x:c>
      <x:c r="B73">
        <x:v>3</x:v>
      </x:c>
      <x:c r="C73" s="148" t="s">
        <x:v>116</x:v>
      </x:c>
      <x:c r="D73">
        <x:v>316</x:v>
      </x:c>
      <x:c r="E73" s="324">
        <x:v>0</x:v>
      </x:c>
      <x:c r="F73" s="324">
        <x:v>0</x:v>
      </x:c>
      <x:c r="G73" s="324">
        <x:v>0</x:v>
      </x:c>
      <x:c r="H73" s="324">
        <x:v>0</x:v>
      </x:c>
      <x:c r="I73" s="324">
        <x:v>0</x:v>
      </x:c>
      <x:c r="J73" s="324">
        <x:v>0</x:v>
      </x:c>
      <x:c r="K73" s="324">
        <x:v>0</x:v>
      </x:c>
      <x:c r="L73" s="324">
        <x:v>0</x:v>
      </x:c>
      <x:c r="M73" s="324">
        <x:v>0</x:v>
      </x:c>
      <x:c r="N73" s="324">
        <x:v>0</x:v>
      </x:c>
      <x:c r="O73" s="324">
        <x:v>0</x:v>
      </x:c>
      <x:c r="P73" s="324">
        <x:v>0</x:v>
      </x:c>
      <x:c r="Q73" s="257">
        <x:f t="shared" si="3"/>
        <x:v>0</x:v>
      </x:c>
    </x:row>
    <x:row r="74">
      <x:c r="A74" s="148" t="s">
        <x:v>108</x:v>
      </x:c>
      <x:c r="B74">
        <x:v>3</x:v>
      </x:c>
      <x:c r="C74" s="148" t="s">
        <x:v>116</x:v>
      </x:c>
      <x:c r="D74">
        <x:v>317</x:v>
      </x:c>
      <x:c r="E74" s="324">
        <x:v>0</x:v>
      </x:c>
      <x:c r="F74" s="324">
        <x:v>0</x:v>
      </x:c>
      <x:c r="G74" s="324">
        <x:v>0</x:v>
      </x:c>
      <x:c r="H74" s="324">
        <x:v>0</x:v>
      </x:c>
      <x:c r="I74" s="324">
        <x:v>0</x:v>
      </x:c>
      <x:c r="J74" s="324">
        <x:v>0</x:v>
      </x:c>
      <x:c r="K74" s="324">
        <x:v>0</x:v>
      </x:c>
      <x:c r="L74" s="324">
        <x:v>0</x:v>
      </x:c>
      <x:c r="M74" s="324">
        <x:v>0</x:v>
      </x:c>
      <x:c r="N74" s="324">
        <x:v>0</x:v>
      </x:c>
      <x:c r="O74" s="324">
        <x:v>0</x:v>
      </x:c>
      <x:c r="P74" s="324">
        <x:v>0</x:v>
      </x:c>
      <x:c r="Q74" s="257">
        <x:f t="shared" si="3"/>
        <x:v>0</x:v>
      </x:c>
    </x:row>
    <x:row r="75">
      <x:c r="A75" s="148" t="s">
        <x:v>108</x:v>
      </x:c>
      <x:c r="B75">
        <x:v>3</x:v>
      </x:c>
      <x:c r="C75" s="148" t="s">
        <x:v>116</x:v>
      </x:c>
      <x:c r="D75">
        <x:v>318</x:v>
      </x:c>
      <x:c r="E75" s="324">
        <x:v>0</x:v>
      </x:c>
      <x:c r="F75" s="324">
        <x:v>0</x:v>
      </x:c>
      <x:c r="G75" s="324">
        <x:v>0</x:v>
      </x:c>
      <x:c r="H75" s="324">
        <x:v>0</x:v>
      </x:c>
      <x:c r="I75" s="324">
        <x:v>0</x:v>
      </x:c>
      <x:c r="J75" s="324">
        <x:v>0</x:v>
      </x:c>
      <x:c r="K75" s="324">
        <x:v>0</x:v>
      </x:c>
      <x:c r="L75" s="324">
        <x:v>0</x:v>
      </x:c>
      <x:c r="M75" s="324">
        <x:v>0</x:v>
      </x:c>
      <x:c r="N75" s="324">
        <x:v>0</x:v>
      </x:c>
      <x:c r="O75" s="324">
        <x:v>0</x:v>
      </x:c>
      <x:c r="P75" s="324">
        <x:v>0</x:v>
      </x:c>
      <x:c r="Q75" s="257">
        <x:f t="shared" si="3"/>
        <x:v>0</x:v>
      </x:c>
    </x:row>
    <x:row r="76">
      <x:c r="A76" s="148" t="s">
        <x:v>108</x:v>
      </x:c>
      <x:c r="B76">
        <x:v>3</x:v>
      </x:c>
      <x:c r="C76" s="148" t="s">
        <x:v>116</x:v>
      </x:c>
      <x:c r="D76">
        <x:v>319</x:v>
      </x:c>
      <x:c r="E76" s="324">
        <x:v>0</x:v>
      </x:c>
      <x:c r="F76" s="324">
        <x:v>0</x:v>
      </x:c>
      <x:c r="G76" s="324">
        <x:v>0</x:v>
      </x:c>
      <x:c r="H76" s="324">
        <x:v>0</x:v>
      </x:c>
      <x:c r="I76" s="324">
        <x:v>0</x:v>
      </x:c>
      <x:c r="J76" s="324">
        <x:v>0</x:v>
      </x:c>
      <x:c r="K76" s="324">
        <x:v>0</x:v>
      </x:c>
      <x:c r="L76" s="324">
        <x:v>0</x:v>
      </x:c>
      <x:c r="M76" s="324">
        <x:v>0</x:v>
      </x:c>
      <x:c r="N76" s="324">
        <x:v>0</x:v>
      </x:c>
      <x:c r="O76" s="324">
        <x:v>0</x:v>
      </x:c>
      <x:c r="P76" s="324">
        <x:v>0</x:v>
      </x:c>
      <x:c r="Q76" s="257">
        <x:f t="shared" si="3"/>
        <x:v>0</x:v>
      </x:c>
    </x:row>
    <x:row r="77">
      <x:c r="A77" s="148" t="s">
        <x:v>108</x:v>
      </x:c>
      <x:c r="B77">
        <x:v>3</x:v>
      </x:c>
      <x:c r="C77" s="148" t="s">
        <x:v>116</x:v>
      </x:c>
      <x:c r="D77">
        <x:v>320</x:v>
      </x:c>
      <x:c r="E77" s="324">
        <x:v>0</x:v>
      </x:c>
      <x:c r="F77" s="324">
        <x:v>0</x:v>
      </x:c>
      <x:c r="G77" s="324">
        <x:v>0</x:v>
      </x:c>
      <x:c r="H77" s="324">
        <x:v>0</x:v>
      </x:c>
      <x:c r="I77" s="324">
        <x:v>0</x:v>
      </x:c>
      <x:c r="J77" s="324">
        <x:v>0</x:v>
      </x:c>
      <x:c r="K77" s="324">
        <x:v>0</x:v>
      </x:c>
      <x:c r="L77" s="324">
        <x:v>0</x:v>
      </x:c>
      <x:c r="M77" s="324">
        <x:v>0</x:v>
      </x:c>
      <x:c r="N77" s="324">
        <x:v>0</x:v>
      </x:c>
      <x:c r="O77" s="324">
        <x:v>0</x:v>
      </x:c>
      <x:c r="P77" s="324">
        <x:v>0</x:v>
      </x:c>
      <x:c r="Q77" s="257">
        <x:f t="shared" si="3"/>
        <x:v>0</x:v>
      </x:c>
    </x:row>
    <x:row r="78">
      <x:c r="A78" s="148" t="s">
        <x:v>108</x:v>
      </x:c>
      <x:c r="B78">
        <x:v>3</x:v>
      </x:c>
      <x:c r="C78" s="148" t="s">
        <x:v>116</x:v>
      </x:c>
      <x:c r="D78">
        <x:v>321</x:v>
      </x:c>
      <x:c r="E78" s="324">
        <x:v>0</x:v>
      </x:c>
      <x:c r="F78" s="324">
        <x:v>0</x:v>
      </x:c>
      <x:c r="G78" s="324">
        <x:v>0</x:v>
      </x:c>
      <x:c r="H78" s="324">
        <x:v>0</x:v>
      </x:c>
      <x:c r="I78" s="324">
        <x:v>0</x:v>
      </x:c>
      <x:c r="J78" s="324">
        <x:v>0</x:v>
      </x:c>
      <x:c r="K78" s="324">
        <x:v>0</x:v>
      </x:c>
      <x:c r="L78" s="324">
        <x:v>0</x:v>
      </x:c>
      <x:c r="M78" s="324">
        <x:v>0</x:v>
      </x:c>
      <x:c r="N78" s="324">
        <x:v>0</x:v>
      </x:c>
      <x:c r="O78" s="324">
        <x:v>0</x:v>
      </x:c>
      <x:c r="P78" s="324">
        <x:v>0</x:v>
      </x:c>
      <x:c r="Q78" s="257">
        <x:f t="shared" si="3"/>
        <x:v>0</x:v>
      </x:c>
    </x:row>
    <x:row r="79">
      <x:c r="A79" s="148" t="s">
        <x:v>108</x:v>
      </x:c>
      <x:c r="B79">
        <x:v>3</x:v>
      </x:c>
      <x:c r="C79" s="148" t="s">
        <x:v>116</x:v>
      </x:c>
      <x:c r="D79">
        <x:v>322</x:v>
      </x:c>
      <x:c r="E79" s="324">
        <x:v>0</x:v>
      </x:c>
      <x:c r="F79" s="324">
        <x:v>0</x:v>
      </x:c>
      <x:c r="G79" s="324">
        <x:v>0</x:v>
      </x:c>
      <x:c r="H79" s="324">
        <x:v>0</x:v>
      </x:c>
      <x:c r="I79" s="324">
        <x:v>0</x:v>
      </x:c>
      <x:c r="J79" s="324">
        <x:v>0</x:v>
      </x:c>
      <x:c r="K79" s="324">
        <x:v>0</x:v>
      </x:c>
      <x:c r="L79" s="324">
        <x:v>0</x:v>
      </x:c>
      <x:c r="M79" s="324">
        <x:v>0</x:v>
      </x:c>
      <x:c r="N79" s="324">
        <x:v>0</x:v>
      </x:c>
      <x:c r="O79" s="324">
        <x:v>0</x:v>
      </x:c>
      <x:c r="P79" s="324">
        <x:v>0</x:v>
      </x:c>
      <x:c r="Q79" s="257">
        <x:f t="shared" si="3"/>
        <x:v>0</x:v>
      </x:c>
    </x:row>
    <x:row r="80">
      <x:c r="A80" s="148" t="s">
        <x:v>108</x:v>
      </x:c>
      <x:c r="B80">
        <x:v>3</x:v>
      </x:c>
      <x:c r="C80" s="148" t="s">
        <x:v>116</x:v>
      </x:c>
      <x:c r="D80">
        <x:v>323</x:v>
      </x:c>
      <x:c r="E80" s="324">
        <x:v>0</x:v>
      </x:c>
      <x:c r="F80" s="324">
        <x:v>0</x:v>
      </x:c>
      <x:c r="G80" s="324">
        <x:v>0</x:v>
      </x:c>
      <x:c r="H80" s="324">
        <x:v>0</x:v>
      </x:c>
      <x:c r="I80" s="324">
        <x:v>0</x:v>
      </x:c>
      <x:c r="J80" s="324">
        <x:v>0</x:v>
      </x:c>
      <x:c r="K80" s="324">
        <x:v>0</x:v>
      </x:c>
      <x:c r="L80" s="324">
        <x:v>0</x:v>
      </x:c>
      <x:c r="M80" s="324">
        <x:v>0</x:v>
      </x:c>
      <x:c r="N80" s="324">
        <x:v>0</x:v>
      </x:c>
      <x:c r="O80" s="324">
        <x:v>0</x:v>
      </x:c>
      <x:c r="P80" s="324">
        <x:v>0</x:v>
      </x:c>
      <x:c r="Q80" s="257">
        <x:f t="shared" si="3"/>
        <x:v>0</x:v>
      </x:c>
    </x:row>
    <x:row r="81">
      <x:c r="A81" s="148" t="s">
        <x:v>108</x:v>
      </x:c>
      <x:c r="B81">
        <x:v>3</x:v>
      </x:c>
      <x:c r="C81" s="148" t="s">
        <x:v>115</x:v>
      </x:c>
      <x:c r="D81">
        <x:v>301</x:v>
      </x:c>
      <x:c r="E81" s="324">
        <x:v>0</x:v>
      </x:c>
      <x:c r="F81" s="324">
        <x:v>0</x:v>
      </x:c>
      <x:c r="G81" s="324">
        <x:v>0</x:v>
      </x:c>
      <x:c r="H81" s="324">
        <x:v>0</x:v>
      </x:c>
      <x:c r="I81" s="324">
        <x:v>0</x:v>
      </x:c>
      <x:c r="J81" s="324">
        <x:v>0</x:v>
      </x:c>
      <x:c r="K81" s="324">
        <x:v>0</x:v>
      </x:c>
      <x:c r="L81" s="324">
        <x:v>0</x:v>
      </x:c>
      <x:c r="M81" s="324">
        <x:v>0</x:v>
      </x:c>
      <x:c r="N81" s="324">
        <x:v>0</x:v>
      </x:c>
      <x:c r="O81" s="324">
        <x:v>0</x:v>
      </x:c>
      <x:c r="P81" s="324">
        <x:v>0</x:v>
      </x:c>
      <x:c r="Q81" s="257">
        <x:f t="shared" si="3"/>
        <x:v>0</x:v>
      </x:c>
    </x:row>
    <x:row r="82">
      <x:c r="A82" s="148" t="s">
        <x:v>108</x:v>
      </x:c>
      <x:c r="B82">
        <x:v>3</x:v>
      </x:c>
      <x:c r="C82" s="148" t="s">
        <x:v>115</x:v>
      </x:c>
      <x:c r="D82">
        <x:v>302</x:v>
      </x:c>
      <x:c r="E82" s="324">
        <x:v>0</x:v>
      </x:c>
      <x:c r="F82" s="324">
        <x:v>0</x:v>
      </x:c>
      <x:c r="G82" s="324">
        <x:v>0</x:v>
      </x:c>
      <x:c r="H82" s="324">
        <x:v>0</x:v>
      </x:c>
      <x:c r="I82" s="324">
        <x:v>0</x:v>
      </x:c>
      <x:c r="J82" s="324">
        <x:v>0</x:v>
      </x:c>
      <x:c r="K82" s="324">
        <x:v>0</x:v>
      </x:c>
      <x:c r="L82" s="324">
        <x:v>0</x:v>
      </x:c>
      <x:c r="M82" s="324">
        <x:v>0</x:v>
      </x:c>
      <x:c r="N82" s="324">
        <x:v>0</x:v>
      </x:c>
      <x:c r="O82" s="324">
        <x:v>0</x:v>
      </x:c>
      <x:c r="P82" s="324">
        <x:v>0</x:v>
      </x:c>
      <x:c r="Q82" s="257">
        <x:f t="shared" si="3"/>
        <x:v>0</x:v>
      </x:c>
    </x:row>
    <x:row r="83">
      <x:c r="A83" s="148" t="s">
        <x:v>108</x:v>
      </x:c>
      <x:c r="B83">
        <x:v>3</x:v>
      </x:c>
      <x:c r="C83" s="148" t="s">
        <x:v>115</x:v>
      </x:c>
      <x:c r="D83">
        <x:v>303</x:v>
      </x:c>
      <x:c r="E83" s="324">
        <x:v>0</x:v>
      </x:c>
      <x:c r="F83" s="324">
        <x:v>0</x:v>
      </x:c>
      <x:c r="G83" s="324">
        <x:v>0</x:v>
      </x:c>
      <x:c r="H83" s="324">
        <x:v>0</x:v>
      </x:c>
      <x:c r="I83" s="324">
        <x:v>0</x:v>
      </x:c>
      <x:c r="J83" s="324">
        <x:v>0</x:v>
      </x:c>
      <x:c r="K83" s="324">
        <x:v>0</x:v>
      </x:c>
      <x:c r="L83" s="324">
        <x:v>0</x:v>
      </x:c>
      <x:c r="M83" s="324">
        <x:v>0</x:v>
      </x:c>
      <x:c r="N83" s="324">
        <x:v>0</x:v>
      </x:c>
      <x:c r="O83" s="324">
        <x:v>0</x:v>
      </x:c>
      <x:c r="P83" s="324">
        <x:v>0</x:v>
      </x:c>
      <x:c r="Q83" s="257">
        <x:f t="shared" si="3"/>
        <x:v>0</x:v>
      </x:c>
    </x:row>
    <x:row r="84">
      <x:c r="A84" s="148" t="s">
        <x:v>108</x:v>
      </x:c>
      <x:c r="B84">
        <x:v>3</x:v>
      </x:c>
      <x:c r="C84" s="148" t="s">
        <x:v>115</x:v>
      </x:c>
      <x:c r="D84">
        <x:v>304</x:v>
      </x:c>
      <x:c r="E84" s="324">
        <x:v>0</x:v>
      </x:c>
      <x:c r="F84" s="324">
        <x:v>0</x:v>
      </x:c>
      <x:c r="G84" s="324">
        <x:v>0</x:v>
      </x:c>
      <x:c r="H84" s="324">
        <x:v>0</x:v>
      </x:c>
      <x:c r="I84" s="324">
        <x:v>0</x:v>
      </x:c>
      <x:c r="J84" s="324">
        <x:v>0</x:v>
      </x:c>
      <x:c r="K84" s="324">
        <x:v>0</x:v>
      </x:c>
      <x:c r="L84" s="324">
        <x:v>0</x:v>
      </x:c>
      <x:c r="M84" s="324">
        <x:v>0</x:v>
      </x:c>
      <x:c r="N84" s="324">
        <x:v>0</x:v>
      </x:c>
      <x:c r="O84" s="324">
        <x:v>0</x:v>
      </x:c>
      <x:c r="P84" s="324">
        <x:v>0</x:v>
      </x:c>
      <x:c r="Q84" s="257">
        <x:f t="shared" si="3"/>
        <x:v>0</x:v>
      </x:c>
    </x:row>
    <x:row r="85">
      <x:c r="A85" s="148" t="s">
        <x:v>108</x:v>
      </x:c>
      <x:c r="B85">
        <x:v>3</x:v>
      </x:c>
      <x:c r="C85" s="148" t="s">
        <x:v>115</x:v>
      </x:c>
      <x:c r="D85">
        <x:v>305</x:v>
      </x:c>
      <x:c r="E85" s="324">
        <x:v>0</x:v>
      </x:c>
      <x:c r="F85" s="324">
        <x:v>0</x:v>
      </x:c>
      <x:c r="G85" s="324">
        <x:v>0</x:v>
      </x:c>
      <x:c r="H85" s="324">
        <x:v>0</x:v>
      </x:c>
      <x:c r="I85" s="324">
        <x:v>0</x:v>
      </x:c>
      <x:c r="J85" s="324">
        <x:v>0</x:v>
      </x:c>
      <x:c r="K85" s="324">
        <x:v>0</x:v>
      </x:c>
      <x:c r="L85" s="324">
        <x:v>0</x:v>
      </x:c>
      <x:c r="M85" s="324">
        <x:v>0</x:v>
      </x:c>
      <x:c r="N85" s="324">
        <x:v>0</x:v>
      </x:c>
      <x:c r="O85" s="324">
        <x:v>0</x:v>
      </x:c>
      <x:c r="P85" s="324">
        <x:v>0</x:v>
      </x:c>
      <x:c r="Q85" s="257">
        <x:f t="shared" si="3"/>
        <x:v>0</x:v>
      </x:c>
    </x:row>
    <x:row r="86">
      <x:c r="A86" s="148" t="s">
        <x:v>108</x:v>
      </x:c>
      <x:c r="B86">
        <x:v>3</x:v>
      </x:c>
      <x:c r="C86" s="148" t="s">
        <x:v>115</x:v>
      </x:c>
      <x:c r="D86">
        <x:v>306</x:v>
      </x:c>
      <x:c r="E86" s="324">
        <x:v>0</x:v>
      </x:c>
      <x:c r="F86" s="324">
        <x:v>0</x:v>
      </x:c>
      <x:c r="G86" s="324">
        <x:v>0</x:v>
      </x:c>
      <x:c r="H86" s="324">
        <x:v>0</x:v>
      </x:c>
      <x:c r="I86" s="324">
        <x:v>0</x:v>
      </x:c>
      <x:c r="J86" s="324">
        <x:v>0</x:v>
      </x:c>
      <x:c r="K86" s="324">
        <x:v>0</x:v>
      </x:c>
      <x:c r="L86" s="324">
        <x:v>0</x:v>
      </x:c>
      <x:c r="M86" s="324">
        <x:v>0</x:v>
      </x:c>
      <x:c r="N86" s="324">
        <x:v>0</x:v>
      </x:c>
      <x:c r="O86" s="324">
        <x:v>0</x:v>
      </x:c>
      <x:c r="P86" s="324">
        <x:v>0</x:v>
      </x:c>
      <x:c r="Q86" s="257">
        <x:f t="shared" si="3"/>
        <x:v>0</x:v>
      </x:c>
    </x:row>
    <x:row r="87">
      <x:c r="A87" s="148" t="s">
        <x:v>108</x:v>
      </x:c>
      <x:c r="B87">
        <x:v>3</x:v>
      </x:c>
      <x:c r="C87" s="148" t="s">
        <x:v>115</x:v>
      </x:c>
      <x:c r="D87">
        <x:v>307</x:v>
      </x:c>
      <x:c r="E87" s="324">
        <x:v>0</x:v>
      </x:c>
      <x:c r="F87" s="324">
        <x:v>0</x:v>
      </x:c>
      <x:c r="G87" s="324">
        <x:v>0</x:v>
      </x:c>
      <x:c r="H87" s="324">
        <x:v>0</x:v>
      </x:c>
      <x:c r="I87" s="324">
        <x:v>0</x:v>
      </x:c>
      <x:c r="J87" s="324">
        <x:v>0</x:v>
      </x:c>
      <x:c r="K87" s="324">
        <x:v>0</x:v>
      </x:c>
      <x:c r="L87" s="324">
        <x:v>0</x:v>
      </x:c>
      <x:c r="M87" s="324">
        <x:v>0</x:v>
      </x:c>
      <x:c r="N87" s="324">
        <x:v>0</x:v>
      </x:c>
      <x:c r="O87" s="324">
        <x:v>0</x:v>
      </x:c>
      <x:c r="P87" s="324">
        <x:v>0</x:v>
      </x:c>
      <x:c r="Q87" s="257">
        <x:f t="shared" si="3"/>
        <x:v>0</x:v>
      </x:c>
    </x:row>
    <x:row r="88">
      <x:c r="A88" s="148" t="s">
        <x:v>108</x:v>
      </x:c>
      <x:c r="B88">
        <x:v>3</x:v>
      </x:c>
      <x:c r="C88" s="148" t="s">
        <x:v>115</x:v>
      </x:c>
      <x:c r="D88">
        <x:v>308</x:v>
      </x:c>
      <x:c r="E88" s="324">
        <x:v>0</x:v>
      </x:c>
      <x:c r="F88" s="324">
        <x:v>0</x:v>
      </x:c>
      <x:c r="G88" s="324">
        <x:v>0</x:v>
      </x:c>
      <x:c r="H88" s="324">
        <x:v>0</x:v>
      </x:c>
      <x:c r="I88" s="324">
        <x:v>0</x:v>
      </x:c>
      <x:c r="J88" s="324">
        <x:v>0</x:v>
      </x:c>
      <x:c r="K88" s="324">
        <x:v>0</x:v>
      </x:c>
      <x:c r="L88" s="324">
        <x:v>0</x:v>
      </x:c>
      <x:c r="M88" s="324">
        <x:v>0</x:v>
      </x:c>
      <x:c r="N88" s="324">
        <x:v>0</x:v>
      </x:c>
      <x:c r="O88" s="324">
        <x:v>0</x:v>
      </x:c>
      <x:c r="P88" s="324">
        <x:v>0</x:v>
      </x:c>
      <x:c r="Q88" s="257">
        <x:f t="shared" si="3"/>
        <x:v>0</x:v>
      </x:c>
    </x:row>
    <x:row r="89">
      <x:c r="A89" s="148" t="s">
        <x:v>108</x:v>
      </x:c>
      <x:c r="B89">
        <x:v>3</x:v>
      </x:c>
      <x:c r="C89" s="148" t="s">
        <x:v>115</x:v>
      </x:c>
      <x:c r="D89">
        <x:v>309</x:v>
      </x:c>
      <x:c r="E89" s="324">
        <x:v>0</x:v>
      </x:c>
      <x:c r="F89" s="324">
        <x:v>0</x:v>
      </x:c>
      <x:c r="G89" s="324">
        <x:v>0</x:v>
      </x:c>
      <x:c r="H89" s="324">
        <x:v>0</x:v>
      </x:c>
      <x:c r="I89" s="324">
        <x:v>0</x:v>
      </x:c>
      <x:c r="J89" s="324">
        <x:v>0</x:v>
      </x:c>
      <x:c r="K89" s="324">
        <x:v>0</x:v>
      </x:c>
      <x:c r="L89" s="324">
        <x:v>0</x:v>
      </x:c>
      <x:c r="M89" s="324">
        <x:v>0</x:v>
      </x:c>
      <x:c r="N89" s="324">
        <x:v>0</x:v>
      </x:c>
      <x:c r="O89" s="324">
        <x:v>0</x:v>
      </x:c>
      <x:c r="P89" s="324">
        <x:v>0</x:v>
      </x:c>
      <x:c r="Q89" s="257">
        <x:f t="shared" si="3"/>
        <x:v>0</x:v>
      </x:c>
    </x:row>
    <x:row r="90">
      <x:c r="A90" s="148" t="s">
        <x:v>108</x:v>
      </x:c>
      <x:c r="B90">
        <x:v>3</x:v>
      </x:c>
      <x:c r="C90" s="148" t="s">
        <x:v>115</x:v>
      </x:c>
      <x:c r="D90">
        <x:v>310</x:v>
      </x:c>
      <x:c r="E90" s="324">
        <x:v>0</x:v>
      </x:c>
      <x:c r="F90" s="324">
        <x:v>0</x:v>
      </x:c>
      <x:c r="G90" s="324">
        <x:v>0</x:v>
      </x:c>
      <x:c r="H90" s="324">
        <x:v>0</x:v>
      </x:c>
      <x:c r="I90" s="324">
        <x:v>0</x:v>
      </x:c>
      <x:c r="J90" s="324">
        <x:v>0</x:v>
      </x:c>
      <x:c r="K90" s="324">
        <x:v>0</x:v>
      </x:c>
      <x:c r="L90" s="324">
        <x:v>0</x:v>
      </x:c>
      <x:c r="M90" s="324">
        <x:v>0</x:v>
      </x:c>
      <x:c r="N90" s="324">
        <x:v>0</x:v>
      </x:c>
      <x:c r="O90" s="324">
        <x:v>0</x:v>
      </x:c>
      <x:c r="P90" s="324">
        <x:v>0</x:v>
      </x:c>
      <x:c r="Q90" s="257">
        <x:f t="shared" si="3"/>
        <x:v>0</x:v>
      </x:c>
    </x:row>
    <x:row r="91">
      <x:c r="A91" s="148" t="s">
        <x:v>108</x:v>
      </x:c>
      <x:c r="B91">
        <x:v>3</x:v>
      </x:c>
      <x:c r="C91" s="148" t="s">
        <x:v>115</x:v>
      </x:c>
      <x:c r="D91">
        <x:v>311</x:v>
      </x:c>
      <x:c r="E91" s="324">
        <x:v>0</x:v>
      </x:c>
      <x:c r="F91" s="324">
        <x:v>0</x:v>
      </x:c>
      <x:c r="G91" s="324">
        <x:v>0</x:v>
      </x:c>
      <x:c r="H91" s="324">
        <x:v>0</x:v>
      </x:c>
      <x:c r="I91" s="324">
        <x:v>0</x:v>
      </x:c>
      <x:c r="J91" s="324">
        <x:v>0</x:v>
      </x:c>
      <x:c r="K91" s="324">
        <x:v>0</x:v>
      </x:c>
      <x:c r="L91" s="324">
        <x:v>0</x:v>
      </x:c>
      <x:c r="M91" s="324">
        <x:v>0</x:v>
      </x:c>
      <x:c r="N91" s="324">
        <x:v>0</x:v>
      </x:c>
      <x:c r="O91" s="324">
        <x:v>0</x:v>
      </x:c>
      <x:c r="P91" s="324">
        <x:v>0</x:v>
      </x:c>
      <x:c r="Q91" s="257">
        <x:f t="shared" si="3"/>
        <x:v>0</x:v>
      </x:c>
    </x:row>
    <x:row r="92">
      <x:c r="A92" s="148" t="s">
        <x:v>108</x:v>
      </x:c>
      <x:c r="B92">
        <x:v>3</x:v>
      </x:c>
      <x:c r="C92" s="148" t="s">
        <x:v>115</x:v>
      </x:c>
      <x:c r="D92">
        <x:v>312</x:v>
      </x:c>
      <x:c r="E92" s="324">
        <x:v>0</x:v>
      </x:c>
      <x:c r="F92" s="324">
        <x:v>0</x:v>
      </x:c>
      <x:c r="G92" s="324">
        <x:v>0</x:v>
      </x:c>
      <x:c r="H92" s="324">
        <x:v>0</x:v>
      </x:c>
      <x:c r="I92" s="324">
        <x:v>0</x:v>
      </x:c>
      <x:c r="J92" s="324">
        <x:v>0</x:v>
      </x:c>
      <x:c r="K92" s="324">
        <x:v>0</x:v>
      </x:c>
      <x:c r="L92" s="324">
        <x:v>0</x:v>
      </x:c>
      <x:c r="M92" s="324">
        <x:v>0</x:v>
      </x:c>
      <x:c r="N92" s="324">
        <x:v>0</x:v>
      </x:c>
      <x:c r="O92" s="324">
        <x:v>0</x:v>
      </x:c>
      <x:c r="P92" s="324">
        <x:v>0</x:v>
      </x:c>
      <x:c r="Q92" s="257">
        <x:f t="shared" si="3"/>
        <x:v>0</x:v>
      </x:c>
    </x:row>
    <x:row r="93">
      <x:c r="A93" s="148" t="s">
        <x:v>108</x:v>
      </x:c>
      <x:c r="B93">
        <x:v>3</x:v>
      </x:c>
      <x:c r="C93" s="148" t="s">
        <x:v>115</x:v>
      </x:c>
      <x:c r="D93">
        <x:v>313</x:v>
      </x:c>
      <x:c r="E93" s="324">
        <x:v>0</x:v>
      </x:c>
      <x:c r="F93" s="324">
        <x:v>0</x:v>
      </x:c>
      <x:c r="G93" s="324">
        <x:v>0</x:v>
      </x:c>
      <x:c r="H93" s="324">
        <x:v>0</x:v>
      </x:c>
      <x:c r="I93" s="324">
        <x:v>0</x:v>
      </x:c>
      <x:c r="J93" s="324">
        <x:v>0</x:v>
      </x:c>
      <x:c r="K93" s="324">
        <x:v>0</x:v>
      </x:c>
      <x:c r="L93" s="324">
        <x:v>0</x:v>
      </x:c>
      <x:c r="M93" s="324">
        <x:v>0</x:v>
      </x:c>
      <x:c r="N93" s="324">
        <x:v>0</x:v>
      </x:c>
      <x:c r="O93" s="324">
        <x:v>0</x:v>
      </x:c>
      <x:c r="P93" s="324">
        <x:v>0</x:v>
      </x:c>
      <x:c r="Q93" s="257">
        <x:f t="shared" si="3"/>
        <x:v>0</x:v>
      </x:c>
    </x:row>
    <x:row r="94">
      <x:c r="A94" s="148" t="s">
        <x:v>108</x:v>
      </x:c>
      <x:c r="B94">
        <x:v>3</x:v>
      </x:c>
      <x:c r="C94" s="148" t="s">
        <x:v>115</x:v>
      </x:c>
      <x:c r="D94">
        <x:v>314</x:v>
      </x:c>
      <x:c r="E94" s="324">
        <x:v>0</x:v>
      </x:c>
      <x:c r="F94" s="324">
        <x:v>0</x:v>
      </x:c>
      <x:c r="G94" s="324">
        <x:v>0</x:v>
      </x:c>
      <x:c r="H94" s="324">
        <x:v>0</x:v>
      </x:c>
      <x:c r="I94" s="324">
        <x:v>0</x:v>
      </x:c>
      <x:c r="J94" s="324">
        <x:v>0</x:v>
      </x:c>
      <x:c r="K94" s="324">
        <x:v>0</x:v>
      </x:c>
      <x:c r="L94" s="324">
        <x:v>0</x:v>
      </x:c>
      <x:c r="M94" s="324">
        <x:v>0</x:v>
      </x:c>
      <x:c r="N94" s="324">
        <x:v>0</x:v>
      </x:c>
      <x:c r="O94" s="324">
        <x:v>0</x:v>
      </x:c>
      <x:c r="P94" s="324">
        <x:v>0</x:v>
      </x:c>
      <x:c r="Q94" s="257">
        <x:f t="shared" si="3"/>
        <x:v>0</x:v>
      </x:c>
    </x:row>
    <x:row r="95">
      <x:c r="A95" s="148" t="s">
        <x:v>108</x:v>
      </x:c>
      <x:c r="B95">
        <x:v>3</x:v>
      </x:c>
      <x:c r="C95" s="148" t="s">
        <x:v>115</x:v>
      </x:c>
      <x:c r="D95">
        <x:v>315</x:v>
      </x:c>
      <x:c r="E95" s="324">
        <x:v>0</x:v>
      </x:c>
      <x:c r="F95" s="324">
        <x:v>0</x:v>
      </x:c>
      <x:c r="G95" s="324">
        <x:v>0</x:v>
      </x:c>
      <x:c r="H95" s="324">
        <x:v>0</x:v>
      </x:c>
      <x:c r="I95" s="324">
        <x:v>0</x:v>
      </x:c>
      <x:c r="J95" s="324">
        <x:v>0</x:v>
      </x:c>
      <x:c r="K95" s="324">
        <x:v>0</x:v>
      </x:c>
      <x:c r="L95" s="324">
        <x:v>0</x:v>
      </x:c>
      <x:c r="M95" s="324">
        <x:v>0</x:v>
      </x:c>
      <x:c r="N95" s="324">
        <x:v>0</x:v>
      </x:c>
      <x:c r="O95" s="324">
        <x:v>0</x:v>
      </x:c>
      <x:c r="P95" s="324">
        <x:v>0</x:v>
      </x:c>
      <x:c r="Q95" s="257">
        <x:f t="shared" si="3"/>
        <x:v>0</x:v>
      </x:c>
    </x:row>
    <x:row r="96">
      <x:c r="A96" s="148" t="s">
        <x:v>108</x:v>
      </x:c>
      <x:c r="B96">
        <x:v>3</x:v>
      </x:c>
      <x:c r="C96" s="148" t="s">
        <x:v>115</x:v>
      </x:c>
      <x:c r="D96">
        <x:v>316</x:v>
      </x:c>
      <x:c r="E96" s="324">
        <x:v>0</x:v>
      </x:c>
      <x:c r="F96" s="324">
        <x:v>0</x:v>
      </x:c>
      <x:c r="G96" s="324">
        <x:v>0</x:v>
      </x:c>
      <x:c r="H96" s="324">
        <x:v>0</x:v>
      </x:c>
      <x:c r="I96" s="324">
        <x:v>0</x:v>
      </x:c>
      <x:c r="J96" s="324">
        <x:v>0</x:v>
      </x:c>
      <x:c r="K96" s="324">
        <x:v>0</x:v>
      </x:c>
      <x:c r="L96" s="324">
        <x:v>0</x:v>
      </x:c>
      <x:c r="M96" s="324">
        <x:v>0</x:v>
      </x:c>
      <x:c r="N96" s="324">
        <x:v>0</x:v>
      </x:c>
      <x:c r="O96" s="324">
        <x:v>0</x:v>
      </x:c>
      <x:c r="P96" s="324">
        <x:v>0</x:v>
      </x:c>
      <x:c r="Q96" s="257">
        <x:f t="shared" si="3"/>
        <x:v>0</x:v>
      </x:c>
    </x:row>
    <x:row r="97">
      <x:c r="A97" s="148" t="s">
        <x:v>108</x:v>
      </x:c>
      <x:c r="B97">
        <x:v>3</x:v>
      </x:c>
      <x:c r="C97" s="148" t="s">
        <x:v>115</x:v>
      </x:c>
      <x:c r="D97">
        <x:v>317</x:v>
      </x:c>
      <x:c r="E97" s="324">
        <x:v>0</x:v>
      </x:c>
      <x:c r="F97" s="324">
        <x:v>0</x:v>
      </x:c>
      <x:c r="G97" s="324">
        <x:v>0</x:v>
      </x:c>
      <x:c r="H97" s="324">
        <x:v>0</x:v>
      </x:c>
      <x:c r="I97" s="324">
        <x:v>0</x:v>
      </x:c>
      <x:c r="J97" s="324">
        <x:v>0</x:v>
      </x:c>
      <x:c r="K97" s="324">
        <x:v>0</x:v>
      </x:c>
      <x:c r="L97" s="324">
        <x:v>0</x:v>
      </x:c>
      <x:c r="M97" s="324">
        <x:v>0</x:v>
      </x:c>
      <x:c r="N97" s="324">
        <x:v>0</x:v>
      </x:c>
      <x:c r="O97" s="324">
        <x:v>0</x:v>
      </x:c>
      <x:c r="P97" s="324">
        <x:v>0</x:v>
      </x:c>
      <x:c r="Q97" s="257">
        <x:f t="shared" si="3"/>
        <x:v>0</x:v>
      </x:c>
    </x:row>
    <x:row r="98">
      <x:c r="A98" s="148" t="s">
        <x:v>108</x:v>
      </x:c>
      <x:c r="B98">
        <x:v>3</x:v>
      </x:c>
      <x:c r="C98" s="148" t="s">
        <x:v>115</x:v>
      </x:c>
      <x:c r="D98">
        <x:v>318</x:v>
      </x:c>
      <x:c r="E98" s="324">
        <x:v>0</x:v>
      </x:c>
      <x:c r="F98" s="324">
        <x:v>0</x:v>
      </x:c>
      <x:c r="G98" s="324">
        <x:v>0</x:v>
      </x:c>
      <x:c r="H98" s="324">
        <x:v>0</x:v>
      </x:c>
      <x:c r="I98" s="324">
        <x:v>0</x:v>
      </x:c>
      <x:c r="J98" s="324">
        <x:v>0</x:v>
      </x:c>
      <x:c r="K98" s="324">
        <x:v>0</x:v>
      </x:c>
      <x:c r="L98" s="324">
        <x:v>0</x:v>
      </x:c>
      <x:c r="M98" s="324">
        <x:v>0</x:v>
      </x:c>
      <x:c r="N98" s="324">
        <x:v>0</x:v>
      </x:c>
      <x:c r="O98" s="324">
        <x:v>0</x:v>
      </x:c>
      <x:c r="P98" s="324">
        <x:v>0</x:v>
      </x:c>
      <x:c r="Q98" s="257">
        <x:f t="shared" si="3"/>
        <x:v>0</x:v>
      </x:c>
    </x:row>
    <x:row r="99">
      <x:c r="A99" s="148" t="s">
        <x:v>108</x:v>
      </x:c>
      <x:c r="B99">
        <x:v>3</x:v>
      </x:c>
      <x:c r="C99" s="148" t="s">
        <x:v>115</x:v>
      </x:c>
      <x:c r="D99">
        <x:v>319</x:v>
      </x:c>
      <x:c r="E99" s="324">
        <x:v>0</x:v>
      </x:c>
      <x:c r="F99" s="324">
        <x:v>0</x:v>
      </x:c>
      <x:c r="G99" s="324">
        <x:v>0</x:v>
      </x:c>
      <x:c r="H99" s="324">
        <x:v>0</x:v>
      </x:c>
      <x:c r="I99" s="324">
        <x:v>0</x:v>
      </x:c>
      <x:c r="J99" s="324">
        <x:v>0</x:v>
      </x:c>
      <x:c r="K99" s="324">
        <x:v>0</x:v>
      </x:c>
      <x:c r="L99" s="324">
        <x:v>0</x:v>
      </x:c>
      <x:c r="M99" s="324">
        <x:v>0</x:v>
      </x:c>
      <x:c r="N99" s="324">
        <x:v>0</x:v>
      </x:c>
      <x:c r="O99" s="324">
        <x:v>0</x:v>
      </x:c>
      <x:c r="P99" s="324">
        <x:v>0</x:v>
      </x:c>
      <x:c r="Q99" s="257">
        <x:f t="shared" si="3"/>
        <x:v>0</x:v>
      </x:c>
    </x:row>
    <x:row r="100">
      <x:c r="A100" s="148" t="s">
        <x:v>108</x:v>
      </x:c>
      <x:c r="B100">
        <x:v>3</x:v>
      </x:c>
      <x:c r="C100" s="148" t="s">
        <x:v>115</x:v>
      </x:c>
      <x:c r="D100">
        <x:v>320</x:v>
      </x:c>
      <x:c r="E100" s="324">
        <x:v>0</x:v>
      </x:c>
      <x:c r="F100" s="324">
        <x:v>0</x:v>
      </x:c>
      <x:c r="G100" s="324">
        <x:v>0</x:v>
      </x:c>
      <x:c r="H100" s="324">
        <x:v>0</x:v>
      </x:c>
      <x:c r="I100" s="324">
        <x:v>0</x:v>
      </x:c>
      <x:c r="J100" s="324">
        <x:v>0</x:v>
      </x:c>
      <x:c r="K100" s="324">
        <x:v>0</x:v>
      </x:c>
      <x:c r="L100" s="324">
        <x:v>0</x:v>
      </x:c>
      <x:c r="M100" s="324">
        <x:v>0</x:v>
      </x:c>
      <x:c r="N100" s="324">
        <x:v>0</x:v>
      </x:c>
      <x:c r="O100" s="324">
        <x:v>0</x:v>
      </x:c>
      <x:c r="P100" s="324">
        <x:v>0</x:v>
      </x:c>
      <x:c r="Q100" s="257">
        <x:f t="shared" si="3"/>
        <x:v>0</x:v>
      </x:c>
    </x:row>
    <x:row r="101">
      <x:c r="A101" s="148" t="s">
        <x:v>108</x:v>
      </x:c>
      <x:c r="B101">
        <x:v>3</x:v>
      </x:c>
      <x:c r="C101" s="148" t="s">
        <x:v>115</x:v>
      </x:c>
      <x:c r="D101">
        <x:v>321</x:v>
      </x:c>
      <x:c r="E101" s="324">
        <x:v>0</x:v>
      </x:c>
      <x:c r="F101" s="324">
        <x:v>0</x:v>
      </x:c>
      <x:c r="G101" s="324">
        <x:v>0</x:v>
      </x:c>
      <x:c r="H101" s="324">
        <x:v>0</x:v>
      </x:c>
      <x:c r="I101" s="324">
        <x:v>0</x:v>
      </x:c>
      <x:c r="J101" s="324">
        <x:v>0</x:v>
      </x:c>
      <x:c r="K101" s="324">
        <x:v>0</x:v>
      </x:c>
      <x:c r="L101" s="324">
        <x:v>0</x:v>
      </x:c>
      <x:c r="M101" s="324">
        <x:v>0</x:v>
      </x:c>
      <x:c r="N101" s="324">
        <x:v>0</x:v>
      </x:c>
      <x:c r="O101" s="324">
        <x:v>0</x:v>
      </x:c>
      <x:c r="P101" s="324">
        <x:v>0</x:v>
      </x:c>
      <x:c r="Q101" s="257">
        <x:f t="shared" si="3"/>
        <x:v>0</x:v>
      </x:c>
    </x:row>
    <x:row r="102">
      <x:c r="A102" s="148"/>
      <x:c r="B102"/>
      <x:c r="C102" s="148"/>
      <x:c r="D102" s="148"/>
      <x:c r="E102" s="324"/>
      <x:c r="F102" s="324">
        <x:f t="shared" ref="F102:P102" si="4">AVERAGE(F58:F101)</x:f>
      </x:c>
      <x:c r="G102" s="324">
        <x:f t="shared" si="4"/>
      </x:c>
      <x:c r="H102" s="324">
        <x:f t="shared" si="4"/>
      </x:c>
      <x:c r="I102" s="324">
        <x:f t="shared" si="4"/>
      </x:c>
      <x:c r="J102" s="324">
        <x:f t="shared" si="4"/>
      </x:c>
      <x:c r="K102" s="324">
        <x:f t="shared" si="4"/>
      </x:c>
      <x:c r="L102" s="324">
        <x:f t="shared" si="4"/>
      </x:c>
      <x:c r="M102" s="324">
        <x:f t="shared" si="4"/>
      </x:c>
      <x:c r="N102" s="324">
        <x:f t="shared" si="4"/>
      </x:c>
      <x:c r="O102" s="324">
        <x:f t="shared" si="4"/>
      </x:c>
      <x:c r="P102" s="324">
        <x:f t="shared" si="4"/>
      </x:c>
      <x:c r="Q102" s="257">
        <x:f t="shared" si="3"/>
      </x:c>
    </x:row>
    <x:row r="103">
      <x:c r="A103" s="148" t="s">
        <x:v>108</x:v>
      </x:c>
      <x:c r="B103">
        <x:v>4</x:v>
      </x:c>
      <x:c r="C103" s="148" t="s">
        <x:v>116</x:v>
      </x:c>
      <x:c r="D103">
        <x:v>401</x:v>
      </x:c>
      <x:c r="E103" s="324">
        <x:v>0</x:v>
      </x:c>
      <x:c r="F103" s="324">
        <x:v>0</x:v>
      </x:c>
      <x:c r="G103" s="324">
        <x:v>0</x:v>
      </x:c>
      <x:c r="H103" s="324">
        <x:v>0</x:v>
      </x:c>
      <x:c r="I103" s="324">
        <x:v>0</x:v>
      </x:c>
      <x:c r="J103" s="324">
        <x:v>0</x:v>
      </x:c>
      <x:c r="K103" s="324">
        <x:v>0</x:v>
      </x:c>
      <x:c r="L103" s="324">
        <x:v>0</x:v>
      </x:c>
      <x:c r="M103" s="324">
        <x:v>0</x:v>
      </x:c>
      <x:c r="N103" s="324">
        <x:v>0</x:v>
      </x:c>
      <x:c r="O103" s="324">
        <x:v>0</x:v>
      </x:c>
      <x:c r="P103" s="324">
        <x:v>0</x:v>
      </x:c>
      <x:c r="Q103" s="257">
        <x:f t="shared" si="3"/>
        <x:v>0</x:v>
      </x:c>
    </x:row>
    <x:row r="104">
      <x:c r="A104" s="148" t="s">
        <x:v>108</x:v>
      </x:c>
      <x:c r="B104">
        <x:v>4</x:v>
      </x:c>
      <x:c r="C104" s="148" t="s">
        <x:v>116</x:v>
      </x:c>
      <x:c r="D104">
        <x:v>402</x:v>
      </x:c>
      <x:c r="E104" s="324">
        <x:v>0</x:v>
      </x:c>
      <x:c r="F104" s="324">
        <x:v>0</x:v>
      </x:c>
      <x:c r="G104" s="324">
        <x:v>0</x:v>
      </x:c>
      <x:c r="H104" s="324">
        <x:v>0</x:v>
      </x:c>
      <x:c r="I104" s="324">
        <x:v>0</x:v>
      </x:c>
      <x:c r="J104" s="324">
        <x:v>0</x:v>
      </x:c>
      <x:c r="K104" s="324">
        <x:v>0</x:v>
      </x:c>
      <x:c r="L104" s="324">
        <x:v>0</x:v>
      </x:c>
      <x:c r="M104" s="324">
        <x:v>0</x:v>
      </x:c>
      <x:c r="N104" s="324">
        <x:v>0</x:v>
      </x:c>
      <x:c r="O104" s="324">
        <x:v>0</x:v>
      </x:c>
      <x:c r="P104" s="324">
        <x:v>0</x:v>
      </x:c>
      <x:c r="Q104" s="257">
        <x:f t="shared" si="3"/>
        <x:v>0</x:v>
      </x:c>
    </x:row>
    <x:row r="105">
      <x:c r="A105" s="148" t="s">
        <x:v>108</x:v>
      </x:c>
      <x:c r="B105">
        <x:v>4</x:v>
      </x:c>
      <x:c r="C105" s="148" t="s">
        <x:v>116</x:v>
      </x:c>
      <x:c r="D105">
        <x:v>403</x:v>
      </x:c>
      <x:c r="E105" s="324">
        <x:v>0</x:v>
      </x:c>
      <x:c r="F105" s="324">
        <x:v>0</x:v>
      </x:c>
      <x:c r="G105" s="324">
        <x:v>0</x:v>
      </x:c>
      <x:c r="H105" s="324">
        <x:v>0</x:v>
      </x:c>
      <x:c r="I105" s="324">
        <x:v>0</x:v>
      </x:c>
      <x:c r="J105" s="324">
        <x:v>0</x:v>
      </x:c>
      <x:c r="K105" s="324">
        <x:v>0</x:v>
      </x:c>
      <x:c r="L105" s="324">
        <x:v>0</x:v>
      </x:c>
      <x:c r="M105" s="324">
        <x:v>0</x:v>
      </x:c>
      <x:c r="N105" s="324">
        <x:v>0</x:v>
      </x:c>
      <x:c r="O105" s="324">
        <x:v>0</x:v>
      </x:c>
      <x:c r="P105" s="324">
        <x:v>0</x:v>
      </x:c>
      <x:c r="Q105" s="257">
        <x:f t="shared" si="3"/>
        <x:v>0</x:v>
      </x:c>
    </x:row>
    <x:row r="106">
      <x:c r="A106" s="148" t="s">
        <x:v>108</x:v>
      </x:c>
      <x:c r="B106">
        <x:v>4</x:v>
      </x:c>
      <x:c r="C106" s="148" t="s">
        <x:v>116</x:v>
      </x:c>
      <x:c r="D106">
        <x:v>404</x:v>
      </x:c>
      <x:c r="E106" s="324">
        <x:v>0</x:v>
      </x:c>
      <x:c r="F106" s="324">
        <x:v>0</x:v>
      </x:c>
      <x:c r="G106" s="324">
        <x:v>0</x:v>
      </x:c>
      <x:c r="H106" s="324">
        <x:v>0</x:v>
      </x:c>
      <x:c r="I106" s="324">
        <x:v>0</x:v>
      </x:c>
      <x:c r="J106" s="324">
        <x:v>0</x:v>
      </x:c>
      <x:c r="K106" s="324">
        <x:v>0</x:v>
      </x:c>
      <x:c r="L106" s="324">
        <x:v>0</x:v>
      </x:c>
      <x:c r="M106" s="324">
        <x:v>0</x:v>
      </x:c>
      <x:c r="N106" s="324">
        <x:v>0</x:v>
      </x:c>
      <x:c r="O106" s="324">
        <x:v>0</x:v>
      </x:c>
      <x:c r="P106" s="324">
        <x:v>0</x:v>
      </x:c>
      <x:c r="Q106" s="257">
        <x:f t="shared" si="3"/>
        <x:v>0</x:v>
      </x:c>
    </x:row>
    <x:row r="107">
      <x:c r="A107" s="148" t="s">
        <x:v>108</x:v>
      </x:c>
      <x:c r="B107">
        <x:v>4</x:v>
      </x:c>
      <x:c r="C107" s="148" t="s">
        <x:v>116</x:v>
      </x:c>
      <x:c r="D107">
        <x:v>405</x:v>
      </x:c>
      <x:c r="E107" s="324">
        <x:v>0</x:v>
      </x:c>
      <x:c r="F107" s="324">
        <x:v>0</x:v>
      </x:c>
      <x:c r="G107" s="324">
        <x:v>0</x:v>
      </x:c>
      <x:c r="H107" s="324">
        <x:v>0</x:v>
      </x:c>
      <x:c r="I107" s="324">
        <x:v>0</x:v>
      </x:c>
      <x:c r="J107" s="324">
        <x:v>0</x:v>
      </x:c>
      <x:c r="K107" s="324">
        <x:v>0</x:v>
      </x:c>
      <x:c r="L107" s="324">
        <x:v>0</x:v>
      </x:c>
      <x:c r="M107" s="324">
        <x:v>0</x:v>
      </x:c>
      <x:c r="N107" s="324">
        <x:v>0</x:v>
      </x:c>
      <x:c r="O107" s="324">
        <x:v>0</x:v>
      </x:c>
      <x:c r="P107" s="324">
        <x:v>0</x:v>
      </x:c>
      <x:c r="Q107" s="257">
        <x:f t="shared" si="3"/>
        <x:v>0</x:v>
      </x:c>
    </x:row>
    <x:row r="108">
      <x:c r="A108" s="148" t="s">
        <x:v>108</x:v>
      </x:c>
      <x:c r="B108">
        <x:v>4</x:v>
      </x:c>
      <x:c r="C108" s="148" t="s">
        <x:v>116</x:v>
      </x:c>
      <x:c r="D108">
        <x:v>406</x:v>
      </x:c>
      <x:c r="E108" s="324">
        <x:v>0</x:v>
      </x:c>
      <x:c r="F108" s="324">
        <x:v>0</x:v>
      </x:c>
      <x:c r="G108" s="324">
        <x:v>0</x:v>
      </x:c>
      <x:c r="H108" s="324">
        <x:v>0</x:v>
      </x:c>
      <x:c r="I108" s="324">
        <x:v>0</x:v>
      </x:c>
      <x:c r="J108" s="324">
        <x:v>0</x:v>
      </x:c>
      <x:c r="K108" s="324">
        <x:v>0</x:v>
      </x:c>
      <x:c r="L108" s="324">
        <x:v>0</x:v>
      </x:c>
      <x:c r="M108" s="324">
        <x:v>0</x:v>
      </x:c>
      <x:c r="N108" s="324">
        <x:v>0</x:v>
      </x:c>
      <x:c r="O108" s="324">
        <x:v>0</x:v>
      </x:c>
      <x:c r="P108" s="324">
        <x:v>0</x:v>
      </x:c>
      <x:c r="Q108" s="257">
        <x:f t="shared" si="3"/>
        <x:v>0</x:v>
      </x:c>
    </x:row>
    <x:row r="109">
      <x:c r="A109" s="148" t="s">
        <x:v>108</x:v>
      </x:c>
      <x:c r="B109">
        <x:v>4</x:v>
      </x:c>
      <x:c r="C109" s="148" t="s">
        <x:v>116</x:v>
      </x:c>
      <x:c r="D109">
        <x:v>407</x:v>
      </x:c>
      <x:c r="E109" s="324">
        <x:v>0</x:v>
      </x:c>
      <x:c r="F109" s="324">
        <x:v>0</x:v>
      </x:c>
      <x:c r="G109" s="324">
        <x:v>0</x:v>
      </x:c>
      <x:c r="H109" s="324">
        <x:v>0</x:v>
      </x:c>
      <x:c r="I109" s="324">
        <x:v>0</x:v>
      </x:c>
      <x:c r="J109" s="324">
        <x:v>0</x:v>
      </x:c>
      <x:c r="K109" s="324">
        <x:v>0</x:v>
      </x:c>
      <x:c r="L109" s="324">
        <x:v>0</x:v>
      </x:c>
      <x:c r="M109" s="324">
        <x:v>0</x:v>
      </x:c>
      <x:c r="N109" s="324">
        <x:v>0</x:v>
      </x:c>
      <x:c r="O109" s="324">
        <x:v>0</x:v>
      </x:c>
      <x:c r="P109" s="324">
        <x:v>0</x:v>
      </x:c>
      <x:c r="Q109" s="257">
        <x:f t="shared" si="3"/>
        <x:v>0</x:v>
      </x:c>
    </x:row>
    <x:row r="110">
      <x:c r="A110" s="148" t="s">
        <x:v>108</x:v>
      </x:c>
      <x:c r="B110">
        <x:v>4</x:v>
      </x:c>
      <x:c r="C110" s="148" t="s">
        <x:v>116</x:v>
      </x:c>
      <x:c r="D110">
        <x:v>408</x:v>
      </x:c>
      <x:c r="E110" s="324">
        <x:v>0</x:v>
      </x:c>
      <x:c r="F110" s="324">
        <x:v>0</x:v>
      </x:c>
      <x:c r="G110" s="324">
        <x:v>0</x:v>
      </x:c>
      <x:c r="H110" s="324">
        <x:v>0</x:v>
      </x:c>
      <x:c r="I110" s="324">
        <x:v>0</x:v>
      </x:c>
      <x:c r="J110" s="324">
        <x:v>0</x:v>
      </x:c>
      <x:c r="K110" s="324">
        <x:v>0</x:v>
      </x:c>
      <x:c r="L110" s="324">
        <x:v>0</x:v>
      </x:c>
      <x:c r="M110" s="324">
        <x:v>0</x:v>
      </x:c>
      <x:c r="N110" s="324">
        <x:v>0</x:v>
      </x:c>
      <x:c r="O110" s="324">
        <x:v>0</x:v>
      </x:c>
      <x:c r="P110" s="324">
        <x:v>0</x:v>
      </x:c>
      <x:c r="Q110" s="257">
        <x:f t="shared" si="3"/>
        <x:v>0</x:v>
      </x:c>
    </x:row>
    <x:row r="111">
      <x:c r="A111" s="148" t="s">
        <x:v>108</x:v>
      </x:c>
      <x:c r="B111">
        <x:v>4</x:v>
      </x:c>
      <x:c r="C111" s="148" t="s">
        <x:v>116</x:v>
      </x:c>
      <x:c r="D111">
        <x:v>409</x:v>
      </x:c>
      <x:c r="E111" s="324">
        <x:v>0</x:v>
      </x:c>
      <x:c r="F111" s="324">
        <x:v>0</x:v>
      </x:c>
      <x:c r="G111" s="324">
        <x:v>0</x:v>
      </x:c>
      <x:c r="H111" s="324">
        <x:v>0</x:v>
      </x:c>
      <x:c r="I111" s="324">
        <x:v>0</x:v>
      </x:c>
      <x:c r="J111" s="324">
        <x:v>0</x:v>
      </x:c>
      <x:c r="K111" s="324">
        <x:v>0</x:v>
      </x:c>
      <x:c r="L111" s="324">
        <x:v>0</x:v>
      </x:c>
      <x:c r="M111" s="324">
        <x:v>0</x:v>
      </x:c>
      <x:c r="N111" s="324">
        <x:v>0</x:v>
      </x:c>
      <x:c r="O111" s="324">
        <x:v>0</x:v>
      </x:c>
      <x:c r="P111" s="324">
        <x:v>0</x:v>
      </x:c>
      <x:c r="Q111" s="257">
        <x:f t="shared" si="3"/>
        <x:v>0</x:v>
      </x:c>
    </x:row>
    <x:row r="112">
      <x:c r="A112" s="148" t="s">
        <x:v>108</x:v>
      </x:c>
      <x:c r="B112">
        <x:v>4</x:v>
      </x:c>
      <x:c r="C112" s="148" t="s">
        <x:v>116</x:v>
      </x:c>
      <x:c r="D112">
        <x:v>410</x:v>
      </x:c>
      <x:c r="E112" s="324">
        <x:v>0</x:v>
      </x:c>
      <x:c r="F112" s="324">
        <x:v>0</x:v>
      </x:c>
      <x:c r="G112" s="324">
        <x:v>0</x:v>
      </x:c>
      <x:c r="H112" s="324">
        <x:v>0</x:v>
      </x:c>
      <x:c r="I112" s="324">
        <x:v>0</x:v>
      </x:c>
      <x:c r="J112" s="324">
        <x:v>0</x:v>
      </x:c>
      <x:c r="K112" s="324">
        <x:v>0</x:v>
      </x:c>
      <x:c r="L112" s="324">
        <x:v>0</x:v>
      </x:c>
      <x:c r="M112" s="324">
        <x:v>0</x:v>
      </x:c>
      <x:c r="N112" s="324">
        <x:v>0</x:v>
      </x:c>
      <x:c r="O112" s="324">
        <x:v>0</x:v>
      </x:c>
      <x:c r="P112" s="324">
        <x:v>0</x:v>
      </x:c>
      <x:c r="Q112" s="257">
        <x:f t="shared" si="3"/>
        <x:v>0</x:v>
      </x:c>
    </x:row>
    <x:row r="113">
      <x:c r="A113" s="148" t="s">
        <x:v>108</x:v>
      </x:c>
      <x:c r="B113">
        <x:v>4</x:v>
      </x:c>
      <x:c r="C113" s="148" t="s">
        <x:v>116</x:v>
      </x:c>
      <x:c r="D113">
        <x:v>411</x:v>
      </x:c>
      <x:c r="E113" s="324">
        <x:v>0</x:v>
      </x:c>
      <x:c r="F113" s="324">
        <x:v>0</x:v>
      </x:c>
      <x:c r="G113" s="324">
        <x:v>0</x:v>
      </x:c>
      <x:c r="H113" s="324">
        <x:v>0</x:v>
      </x:c>
      <x:c r="I113" s="324">
        <x:v>0</x:v>
      </x:c>
      <x:c r="J113" s="324">
        <x:v>0</x:v>
      </x:c>
      <x:c r="K113" s="324">
        <x:v>0</x:v>
      </x:c>
      <x:c r="L113" s="324">
        <x:v>0</x:v>
      </x:c>
      <x:c r="M113" s="324">
        <x:v>0</x:v>
      </x:c>
      <x:c r="N113" s="324">
        <x:v>0</x:v>
      </x:c>
      <x:c r="O113" s="324">
        <x:v>0</x:v>
      </x:c>
      <x:c r="P113" s="324">
        <x:v>0</x:v>
      </x:c>
      <x:c r="Q113" s="257">
        <x:f t="shared" si="3"/>
        <x:v>0</x:v>
      </x:c>
    </x:row>
    <x:row r="114">
      <x:c r="A114" s="148" t="s">
        <x:v>108</x:v>
      </x:c>
      <x:c r="B114">
        <x:v>4</x:v>
      </x:c>
      <x:c r="C114" s="148" t="s">
        <x:v>116</x:v>
      </x:c>
      <x:c r="D114">
        <x:v>412</x:v>
      </x:c>
      <x:c r="E114" s="324">
        <x:v>0</x:v>
      </x:c>
      <x:c r="F114" s="324">
        <x:v>0</x:v>
      </x:c>
      <x:c r="G114" s="324">
        <x:v>0</x:v>
      </x:c>
      <x:c r="H114" s="324">
        <x:v>0</x:v>
      </x:c>
      <x:c r="I114" s="324">
        <x:v>0</x:v>
      </x:c>
      <x:c r="J114" s="324">
        <x:v>0</x:v>
      </x:c>
      <x:c r="K114" s="324">
        <x:v>0</x:v>
      </x:c>
      <x:c r="L114" s="324">
        <x:v>0</x:v>
      </x:c>
      <x:c r="M114" s="324">
        <x:v>0</x:v>
      </x:c>
      <x:c r="N114" s="324">
        <x:v>0</x:v>
      </x:c>
      <x:c r="O114" s="324">
        <x:v>0</x:v>
      </x:c>
      <x:c r="P114" s="324">
        <x:v>0</x:v>
      </x:c>
      <x:c r="Q114" s="257">
        <x:f t="shared" si="3"/>
        <x:v>0</x:v>
      </x:c>
    </x:row>
    <x:row r="115">
      <x:c r="A115" s="148" t="s">
        <x:v>108</x:v>
      </x:c>
      <x:c r="B115">
        <x:v>4</x:v>
      </x:c>
      <x:c r="C115" s="148" t="s">
        <x:v>116</x:v>
      </x:c>
      <x:c r="D115">
        <x:v>413</x:v>
      </x:c>
      <x:c r="E115" s="324">
        <x:v>0</x:v>
      </x:c>
      <x:c r="F115" s="324">
        <x:v>0</x:v>
      </x:c>
      <x:c r="G115" s="324">
        <x:v>0</x:v>
      </x:c>
      <x:c r="H115" s="324">
        <x:v>0</x:v>
      </x:c>
      <x:c r="I115" s="324">
        <x:v>0</x:v>
      </x:c>
      <x:c r="J115" s="324">
        <x:v>0</x:v>
      </x:c>
      <x:c r="K115" s="324">
        <x:v>0</x:v>
      </x:c>
      <x:c r="L115" s="324">
        <x:v>0</x:v>
      </x:c>
      <x:c r="M115" s="324">
        <x:v>0</x:v>
      </x:c>
      <x:c r="N115" s="324">
        <x:v>0</x:v>
      </x:c>
      <x:c r="O115" s="324">
        <x:v>0</x:v>
      </x:c>
      <x:c r="P115" s="324">
        <x:v>0</x:v>
      </x:c>
      <x:c r="Q115" s="257">
        <x:f t="shared" si="3"/>
        <x:v>0</x:v>
      </x:c>
    </x:row>
    <x:row r="116">
      <x:c r="A116" s="148" t="s">
        <x:v>108</x:v>
      </x:c>
      <x:c r="B116">
        <x:v>4</x:v>
      </x:c>
      <x:c r="C116" s="148" t="s">
        <x:v>116</x:v>
      </x:c>
      <x:c r="D116">
        <x:v>414</x:v>
      </x:c>
      <x:c r="E116" s="324">
        <x:v>0</x:v>
      </x:c>
      <x:c r="F116" s="324">
        <x:v>0</x:v>
      </x:c>
      <x:c r="G116" s="324">
        <x:v>0</x:v>
      </x:c>
      <x:c r="H116" s="324">
        <x:v>0</x:v>
      </x:c>
      <x:c r="I116" s="324">
        <x:v>0</x:v>
      </x:c>
      <x:c r="J116" s="324">
        <x:v>0</x:v>
      </x:c>
      <x:c r="K116" s="324">
        <x:v>0</x:v>
      </x:c>
      <x:c r="L116" s="324">
        <x:v>0</x:v>
      </x:c>
      <x:c r="M116" s="324">
        <x:v>0</x:v>
      </x:c>
      <x:c r="N116" s="324">
        <x:v>0</x:v>
      </x:c>
      <x:c r="O116" s="324">
        <x:v>0</x:v>
      </x:c>
      <x:c r="P116" s="324">
        <x:v>0</x:v>
      </x:c>
      <x:c r="Q116" s="257">
        <x:f t="shared" si="3"/>
        <x:v>0</x:v>
      </x:c>
    </x:row>
    <x:row r="117">
      <x:c r="A117" s="148" t="s">
        <x:v>108</x:v>
      </x:c>
      <x:c r="B117">
        <x:v>4</x:v>
      </x:c>
      <x:c r="C117" s="148" t="s">
        <x:v>116</x:v>
      </x:c>
      <x:c r="D117">
        <x:v>415</x:v>
      </x:c>
      <x:c r="E117" s="324">
        <x:v>0</x:v>
      </x:c>
      <x:c r="F117" s="324">
        <x:v>0</x:v>
      </x:c>
      <x:c r="G117" s="324">
        <x:v>0</x:v>
      </x:c>
      <x:c r="H117" s="324">
        <x:v>0</x:v>
      </x:c>
      <x:c r="I117" s="324">
        <x:v>0</x:v>
      </x:c>
      <x:c r="J117" s="324">
        <x:v>0</x:v>
      </x:c>
      <x:c r="K117" s="324">
        <x:v>0</x:v>
      </x:c>
      <x:c r="L117" s="324">
        <x:v>0</x:v>
      </x:c>
      <x:c r="M117" s="324">
        <x:v>0</x:v>
      </x:c>
      <x:c r="N117" s="324">
        <x:v>0</x:v>
      </x:c>
      <x:c r="O117" s="324">
        <x:v>0</x:v>
      </x:c>
      <x:c r="P117" s="324">
        <x:v>0</x:v>
      </x:c>
      <x:c r="Q117" s="257">
        <x:f t="shared" si="3"/>
        <x:v>0</x:v>
      </x:c>
    </x:row>
    <x:row r="118">
      <x:c r="A118" s="148" t="s">
        <x:v>108</x:v>
      </x:c>
      <x:c r="B118">
        <x:v>4</x:v>
      </x:c>
      <x:c r="C118" s="148" t="s">
        <x:v>116</x:v>
      </x:c>
      <x:c r="D118">
        <x:v>416</x:v>
      </x:c>
      <x:c r="E118" s="324">
        <x:v>0</x:v>
      </x:c>
      <x:c r="F118" s="324">
        <x:v>0</x:v>
      </x:c>
      <x:c r="G118" s="324">
        <x:v>0</x:v>
      </x:c>
      <x:c r="H118" s="324">
        <x:v>0</x:v>
      </x:c>
      <x:c r="I118" s="324">
        <x:v>0</x:v>
      </x:c>
      <x:c r="J118" s="324">
        <x:v>0</x:v>
      </x:c>
      <x:c r="K118" s="324">
        <x:v>0</x:v>
      </x:c>
      <x:c r="L118" s="324">
        <x:v>0</x:v>
      </x:c>
      <x:c r="M118" s="324">
        <x:v>0</x:v>
      </x:c>
      <x:c r="N118" s="324">
        <x:v>0</x:v>
      </x:c>
      <x:c r="O118" s="324">
        <x:v>0</x:v>
      </x:c>
      <x:c r="P118" s="324">
        <x:v>0</x:v>
      </x:c>
      <x:c r="Q118" s="257">
        <x:f t="shared" si="3"/>
        <x:v>0</x:v>
      </x:c>
    </x:row>
    <x:row r="119">
      <x:c r="A119" s="148" t="s">
        <x:v>108</x:v>
      </x:c>
      <x:c r="B119">
        <x:v>4</x:v>
      </x:c>
      <x:c r="C119" s="148" t="s">
        <x:v>116</x:v>
      </x:c>
      <x:c r="D119">
        <x:v>417</x:v>
      </x:c>
      <x:c r="E119" s="324">
        <x:v>0</x:v>
      </x:c>
      <x:c r="F119" s="324">
        <x:v>0</x:v>
      </x:c>
      <x:c r="G119" s="324">
        <x:v>0</x:v>
      </x:c>
      <x:c r="H119" s="324">
        <x:v>0</x:v>
      </x:c>
      <x:c r="I119" s="324">
        <x:v>0</x:v>
      </x:c>
      <x:c r="J119" s="324">
        <x:v>0</x:v>
      </x:c>
      <x:c r="K119" s="324">
        <x:v>0</x:v>
      </x:c>
      <x:c r="L119" s="324">
        <x:v>0</x:v>
      </x:c>
      <x:c r="M119" s="324">
        <x:v>0</x:v>
      </x:c>
      <x:c r="N119" s="324">
        <x:v>0</x:v>
      </x:c>
      <x:c r="O119" s="324">
        <x:v>0</x:v>
      </x:c>
      <x:c r="P119" s="324">
        <x:v>0</x:v>
      </x:c>
      <x:c r="Q119" s="257">
        <x:f t="shared" si="3"/>
        <x:v>0</x:v>
      </x:c>
    </x:row>
    <x:row r="120">
      <x:c r="A120" s="148" t="s">
        <x:v>108</x:v>
      </x:c>
      <x:c r="B120">
        <x:v>4</x:v>
      </x:c>
      <x:c r="C120" s="148" t="s">
        <x:v>116</x:v>
      </x:c>
      <x:c r="D120">
        <x:v>418</x:v>
      </x:c>
      <x:c r="E120" s="324">
        <x:v>0</x:v>
      </x:c>
      <x:c r="F120" s="324">
        <x:v>0</x:v>
      </x:c>
      <x:c r="G120" s="324">
        <x:v>0</x:v>
      </x:c>
      <x:c r="H120" s="324">
        <x:v>0</x:v>
      </x:c>
      <x:c r="I120" s="324">
        <x:v>0</x:v>
      </x:c>
      <x:c r="J120" s="324">
        <x:v>0</x:v>
      </x:c>
      <x:c r="K120" s="324">
        <x:v>0</x:v>
      </x:c>
      <x:c r="L120" s="324">
        <x:v>0</x:v>
      </x:c>
      <x:c r="M120" s="324">
        <x:v>0</x:v>
      </x:c>
      <x:c r="N120" s="324">
        <x:v>0</x:v>
      </x:c>
      <x:c r="O120" s="324">
        <x:v>0</x:v>
      </x:c>
      <x:c r="P120" s="324">
        <x:v>0</x:v>
      </x:c>
      <x:c r="Q120" s="257">
        <x:f t="shared" si="3"/>
        <x:v>0</x:v>
      </x:c>
    </x:row>
    <x:row r="121">
      <x:c r="A121" s="148" t="s">
        <x:v>108</x:v>
      </x:c>
      <x:c r="B121">
        <x:v>4</x:v>
      </x:c>
      <x:c r="C121" s="148" t="s">
        <x:v>116</x:v>
      </x:c>
      <x:c r="D121">
        <x:v>419</x:v>
      </x:c>
      <x:c r="E121" s="324">
        <x:v>0</x:v>
      </x:c>
      <x:c r="F121" s="324">
        <x:v>0</x:v>
      </x:c>
      <x:c r="G121" s="324">
        <x:v>0</x:v>
      </x:c>
      <x:c r="H121" s="324">
        <x:v>0</x:v>
      </x:c>
      <x:c r="I121" s="324">
        <x:v>0</x:v>
      </x:c>
      <x:c r="J121" s="324">
        <x:v>0</x:v>
      </x:c>
      <x:c r="K121" s="324">
        <x:v>0</x:v>
      </x:c>
      <x:c r="L121" s="324">
        <x:v>0</x:v>
      </x:c>
      <x:c r="M121" s="324">
        <x:v>0</x:v>
      </x:c>
      <x:c r="N121" s="324">
        <x:v>0</x:v>
      </x:c>
      <x:c r="O121" s="324">
        <x:v>0</x:v>
      </x:c>
      <x:c r="P121" s="324">
        <x:v>0</x:v>
      </x:c>
      <x:c r="Q121" s="257">
        <x:f t="shared" si="3"/>
        <x:v>0</x:v>
      </x:c>
    </x:row>
    <x:row r="122">
      <x:c r="A122" s="148" t="s">
        <x:v>108</x:v>
      </x:c>
      <x:c r="B122">
        <x:v>4</x:v>
      </x:c>
      <x:c r="C122" s="148" t="s">
        <x:v>116</x:v>
      </x:c>
      <x:c r="D122">
        <x:v>420</x:v>
      </x:c>
      <x:c r="E122" s="324">
        <x:v>0</x:v>
      </x:c>
      <x:c r="F122" s="324">
        <x:v>0</x:v>
      </x:c>
      <x:c r="G122" s="324">
        <x:v>0</x:v>
      </x:c>
      <x:c r="H122" s="324">
        <x:v>0</x:v>
      </x:c>
      <x:c r="I122" s="324">
        <x:v>0</x:v>
      </x:c>
      <x:c r="J122" s="324">
        <x:v>0</x:v>
      </x:c>
      <x:c r="K122" s="324">
        <x:v>0</x:v>
      </x:c>
      <x:c r="L122" s="324">
        <x:v>0</x:v>
      </x:c>
      <x:c r="M122" s="324">
        <x:v>0</x:v>
      </x:c>
      <x:c r="N122" s="324">
        <x:v>0</x:v>
      </x:c>
      <x:c r="O122" s="324">
        <x:v>0</x:v>
      </x:c>
      <x:c r="P122" s="324">
        <x:v>0</x:v>
      </x:c>
      <x:c r="Q122" s="257">
        <x:f t="shared" si="3"/>
        <x:v>0</x:v>
      </x:c>
    </x:row>
    <x:row r="123">
      <x:c r="A123" s="148" t="s">
        <x:v>108</x:v>
      </x:c>
      <x:c r="B123">
        <x:v>4</x:v>
      </x:c>
      <x:c r="C123" s="148" t="s">
        <x:v>116</x:v>
      </x:c>
      <x:c r="D123">
        <x:v>421</x:v>
      </x:c>
      <x:c r="E123" s="324">
        <x:v>0</x:v>
      </x:c>
      <x:c r="F123" s="324">
        <x:v>0</x:v>
      </x:c>
      <x:c r="G123" s="324">
        <x:v>0</x:v>
      </x:c>
      <x:c r="H123" s="324">
        <x:v>0</x:v>
      </x:c>
      <x:c r="I123" s="324">
        <x:v>0</x:v>
      </x:c>
      <x:c r="J123" s="324">
        <x:v>0</x:v>
      </x:c>
      <x:c r="K123" s="324">
        <x:v>0</x:v>
      </x:c>
      <x:c r="L123" s="324">
        <x:v>0</x:v>
      </x:c>
      <x:c r="M123" s="324">
        <x:v>0</x:v>
      </x:c>
      <x:c r="N123" s="324">
        <x:v>0</x:v>
      </x:c>
      <x:c r="O123" s="324">
        <x:v>0</x:v>
      </x:c>
      <x:c r="P123" s="324">
        <x:v>0</x:v>
      </x:c>
      <x:c r="Q123" s="257">
        <x:f t="shared" si="3"/>
        <x:v>0</x:v>
      </x:c>
    </x:row>
    <x:row r="124">
      <x:c r="A124" s="148" t="s">
        <x:v>108</x:v>
      </x:c>
      <x:c r="B124">
        <x:v>4</x:v>
      </x:c>
      <x:c r="C124" s="148" t="s">
        <x:v>116</x:v>
      </x:c>
      <x:c r="D124">
        <x:v>422</x:v>
      </x:c>
      <x:c r="E124" s="324">
        <x:v>0</x:v>
      </x:c>
      <x:c r="F124" s="324">
        <x:v>0</x:v>
      </x:c>
      <x:c r="G124" s="324">
        <x:v>0</x:v>
      </x:c>
      <x:c r="H124" s="324">
        <x:v>0</x:v>
      </x:c>
      <x:c r="I124" s="324">
        <x:v>0</x:v>
      </x:c>
      <x:c r="J124" s="324">
        <x:v>0</x:v>
      </x:c>
      <x:c r="K124" s="324">
        <x:v>0</x:v>
      </x:c>
      <x:c r="L124" s="324">
        <x:v>0</x:v>
      </x:c>
      <x:c r="M124" s="324">
        <x:v>0</x:v>
      </x:c>
      <x:c r="N124" s="324">
        <x:v>0</x:v>
      </x:c>
      <x:c r="O124" s="324">
        <x:v>0</x:v>
      </x:c>
      <x:c r="P124" s="324">
        <x:v>0</x:v>
      </x:c>
      <x:c r="Q124" s="257">
        <x:f t="shared" si="3"/>
        <x:v>0</x:v>
      </x:c>
    </x:row>
    <x:row r="125">
      <x:c r="A125" s="148" t="s">
        <x:v>108</x:v>
      </x:c>
      <x:c r="B125">
        <x:v>4</x:v>
      </x:c>
      <x:c r="C125" s="148" t="s">
        <x:v>116</x:v>
      </x:c>
      <x:c r="D125">
        <x:v>423</x:v>
      </x:c>
      <x:c r="E125" s="324">
        <x:v>0</x:v>
      </x:c>
      <x:c r="F125" s="324">
        <x:v>0</x:v>
      </x:c>
      <x:c r="G125" s="324">
        <x:v>0</x:v>
      </x:c>
      <x:c r="H125" s="324">
        <x:v>0</x:v>
      </x:c>
      <x:c r="I125" s="324">
        <x:v>0</x:v>
      </x:c>
      <x:c r="J125" s="324">
        <x:v>0</x:v>
      </x:c>
      <x:c r="K125" s="324">
        <x:v>0</x:v>
      </x:c>
      <x:c r="L125" s="324">
        <x:v>0</x:v>
      </x:c>
      <x:c r="M125" s="324">
        <x:v>0</x:v>
      </x:c>
      <x:c r="N125" s="324">
        <x:v>0</x:v>
      </x:c>
      <x:c r="O125" s="324">
        <x:v>0</x:v>
      </x:c>
      <x:c r="P125" s="324">
        <x:v>0</x:v>
      </x:c>
      <x:c r="Q125" s="257">
        <x:f t="shared" si="3"/>
        <x:v>0</x:v>
      </x:c>
    </x:row>
    <x:row r="126">
      <x:c r="A126" s="148" t="s">
        <x:v>108</x:v>
      </x:c>
      <x:c r="B126">
        <x:v>4</x:v>
      </x:c>
      <x:c r="C126" s="148" t="s">
        <x:v>115</x:v>
      </x:c>
      <x:c r="D126">
        <x:v>401</x:v>
      </x:c>
      <x:c r="E126" s="324">
        <x:v>0</x:v>
      </x:c>
      <x:c r="F126" s="324">
        <x:v>0</x:v>
      </x:c>
      <x:c r="G126" s="324">
        <x:v>0</x:v>
      </x:c>
      <x:c r="H126" s="324">
        <x:v>0</x:v>
      </x:c>
      <x:c r="I126" s="324">
        <x:v>0</x:v>
      </x:c>
      <x:c r="J126" s="324">
        <x:v>0</x:v>
      </x:c>
      <x:c r="K126" s="324">
        <x:v>0</x:v>
      </x:c>
      <x:c r="L126" s="324">
        <x:v>0</x:v>
      </x:c>
      <x:c r="M126" s="324">
        <x:v>0</x:v>
      </x:c>
      <x:c r="N126" s="324">
        <x:v>0</x:v>
      </x:c>
      <x:c r="O126" s="324">
        <x:v>0</x:v>
      </x:c>
      <x:c r="P126" s="324">
        <x:v>0</x:v>
      </x:c>
      <x:c r="Q126" s="257">
        <x:f t="shared" si="3"/>
        <x:v>0</x:v>
      </x:c>
    </x:row>
    <x:row r="127">
      <x:c r="A127" s="148" t="s">
        <x:v>108</x:v>
      </x:c>
      <x:c r="B127">
        <x:v>4</x:v>
      </x:c>
      <x:c r="C127" s="148" t="s">
        <x:v>115</x:v>
      </x:c>
      <x:c r="D127">
        <x:v>402</x:v>
      </x:c>
      <x:c r="E127" s="324">
        <x:v>0</x:v>
      </x:c>
      <x:c r="F127" s="324">
        <x:v>0</x:v>
      </x:c>
      <x:c r="G127" s="324">
        <x:v>0</x:v>
      </x:c>
      <x:c r="H127" s="324">
        <x:v>0</x:v>
      </x:c>
      <x:c r="I127" s="324">
        <x:v>0</x:v>
      </x:c>
      <x:c r="J127" s="324">
        <x:v>0</x:v>
      </x:c>
      <x:c r="K127" s="324">
        <x:v>0</x:v>
      </x:c>
      <x:c r="L127" s="324">
        <x:v>0</x:v>
      </x:c>
      <x:c r="M127" s="324">
        <x:v>0</x:v>
      </x:c>
      <x:c r="N127" s="324">
        <x:v>0</x:v>
      </x:c>
      <x:c r="O127" s="324">
        <x:v>0</x:v>
      </x:c>
      <x:c r="P127" s="324">
        <x:v>0</x:v>
      </x:c>
      <x:c r="Q127" s="257">
        <x:f t="shared" si="3"/>
        <x:v>0</x:v>
      </x:c>
    </x:row>
    <x:row r="128">
      <x:c r="A128" s="148" t="s">
        <x:v>108</x:v>
      </x:c>
      <x:c r="B128">
        <x:v>4</x:v>
      </x:c>
      <x:c r="C128" s="148" t="s">
        <x:v>115</x:v>
      </x:c>
      <x:c r="D128">
        <x:v>403</x:v>
      </x:c>
      <x:c r="E128" s="324">
        <x:v>0</x:v>
      </x:c>
      <x:c r="F128" s="324">
        <x:v>0</x:v>
      </x:c>
      <x:c r="G128" s="324">
        <x:v>0</x:v>
      </x:c>
      <x:c r="H128" s="324">
        <x:v>0</x:v>
      </x:c>
      <x:c r="I128" s="324">
        <x:v>0</x:v>
      </x:c>
      <x:c r="J128" s="324">
        <x:v>0</x:v>
      </x:c>
      <x:c r="K128" s="324">
        <x:v>0</x:v>
      </x:c>
      <x:c r="L128" s="324">
        <x:v>0</x:v>
      </x:c>
      <x:c r="M128" s="324">
        <x:v>0</x:v>
      </x:c>
      <x:c r="N128" s="324">
        <x:v>0</x:v>
      </x:c>
      <x:c r="O128" s="324">
        <x:v>0</x:v>
      </x:c>
      <x:c r="P128" s="324">
        <x:v>0</x:v>
      </x:c>
      <x:c r="Q128" s="257">
        <x:f t="shared" si="3"/>
        <x:v>0</x:v>
      </x:c>
    </x:row>
    <x:row r="129">
      <x:c r="A129" s="148" t="s">
        <x:v>108</x:v>
      </x:c>
      <x:c r="B129">
        <x:v>4</x:v>
      </x:c>
      <x:c r="C129" s="148" t="s">
        <x:v>115</x:v>
      </x:c>
      <x:c r="D129">
        <x:v>404</x:v>
      </x:c>
      <x:c r="E129" s="324">
        <x:v>0</x:v>
      </x:c>
      <x:c r="F129" s="324">
        <x:v>0</x:v>
      </x:c>
      <x:c r="G129" s="324">
        <x:v>0</x:v>
      </x:c>
      <x:c r="H129" s="324">
        <x:v>0</x:v>
      </x:c>
      <x:c r="I129" s="324">
        <x:v>0</x:v>
      </x:c>
      <x:c r="J129" s="324">
        <x:v>0</x:v>
      </x:c>
      <x:c r="K129" s="324">
        <x:v>0</x:v>
      </x:c>
      <x:c r="L129" s="324">
        <x:v>0</x:v>
      </x:c>
      <x:c r="M129" s="324">
        <x:v>0</x:v>
      </x:c>
      <x:c r="N129" s="324">
        <x:v>0</x:v>
      </x:c>
      <x:c r="O129" s="324">
        <x:v>0</x:v>
      </x:c>
      <x:c r="P129" s="324">
        <x:v>0</x:v>
      </x:c>
      <x:c r="Q129" s="257">
        <x:f t="shared" si="3"/>
        <x:v>0</x:v>
      </x:c>
    </x:row>
    <x:row r="130">
      <x:c r="A130" s="148" t="s">
        <x:v>108</x:v>
      </x:c>
      <x:c r="B130">
        <x:v>4</x:v>
      </x:c>
      <x:c r="C130" s="148" t="s">
        <x:v>115</x:v>
      </x:c>
      <x:c r="D130">
        <x:v>405</x:v>
      </x:c>
      <x:c r="E130" s="324">
        <x:v>0</x:v>
      </x:c>
      <x:c r="F130" s="324">
        <x:v>0</x:v>
      </x:c>
      <x:c r="G130" s="324">
        <x:v>0</x:v>
      </x:c>
      <x:c r="H130" s="324">
        <x:v>0</x:v>
      </x:c>
      <x:c r="I130" s="324">
        <x:v>0</x:v>
      </x:c>
      <x:c r="J130" s="324">
        <x:v>0</x:v>
      </x:c>
      <x:c r="K130" s="324">
        <x:v>0</x:v>
      </x:c>
      <x:c r="L130" s="324">
        <x:v>0</x:v>
      </x:c>
      <x:c r="M130" s="324">
        <x:v>0</x:v>
      </x:c>
      <x:c r="N130" s="324">
        <x:v>0</x:v>
      </x:c>
      <x:c r="O130" s="324">
        <x:v>0</x:v>
      </x:c>
      <x:c r="P130" s="324">
        <x:v>0</x:v>
      </x:c>
      <x:c r="Q130" s="257" t="n">
        <x:f t="shared" ref="Q130:Q193" si="5">AVERAGE(E130:P130)</x:f>
        <x:v>0</x:v>
      </x:c>
    </x:row>
    <x:row r="131">
      <x:c r="A131" s="148" t="s">
        <x:v>108</x:v>
      </x:c>
      <x:c r="B131">
        <x:v>4</x:v>
      </x:c>
      <x:c r="C131" s="148" t="s">
        <x:v>115</x:v>
      </x:c>
      <x:c r="D131">
        <x:v>406</x:v>
      </x:c>
      <x:c r="E131" s="324">
        <x:v>0</x:v>
      </x:c>
      <x:c r="F131" s="324">
        <x:v>0</x:v>
      </x:c>
      <x:c r="G131" s="324">
        <x:v>0</x:v>
      </x:c>
      <x:c r="H131" s="324">
        <x:v>0</x:v>
      </x:c>
      <x:c r="I131" s="324">
        <x:v>0</x:v>
      </x:c>
      <x:c r="J131" s="324">
        <x:v>0</x:v>
      </x:c>
      <x:c r="K131" s="324">
        <x:v>0</x:v>
      </x:c>
      <x:c r="L131" s="324">
        <x:v>0</x:v>
      </x:c>
      <x:c r="M131" s="324">
        <x:v>0</x:v>
      </x:c>
      <x:c r="N131" s="324">
        <x:v>0</x:v>
      </x:c>
      <x:c r="O131" s="324">
        <x:v>0</x:v>
      </x:c>
      <x:c r="P131" s="324">
        <x:v>0</x:v>
      </x:c>
      <x:c r="Q131" s="257">
        <x:f t="shared" si="5"/>
        <x:v>0</x:v>
      </x:c>
    </x:row>
    <x:row r="132">
      <x:c r="A132" s="148" t="s">
        <x:v>108</x:v>
      </x:c>
      <x:c r="B132">
        <x:v>4</x:v>
      </x:c>
      <x:c r="C132" s="148" t="s">
        <x:v>115</x:v>
      </x:c>
      <x:c r="D132">
        <x:v>407</x:v>
      </x:c>
      <x:c r="E132" s="324">
        <x:v>0</x:v>
      </x:c>
      <x:c r="F132" s="324">
        <x:v>0</x:v>
      </x:c>
      <x:c r="G132" s="324">
        <x:v>0</x:v>
      </x:c>
      <x:c r="H132" s="324">
        <x:v>0</x:v>
      </x:c>
      <x:c r="I132" s="324">
        <x:v>0</x:v>
      </x:c>
      <x:c r="J132" s="324">
        <x:v>0</x:v>
      </x:c>
      <x:c r="K132" s="324">
        <x:v>0</x:v>
      </x:c>
      <x:c r="L132" s="324">
        <x:v>0</x:v>
      </x:c>
      <x:c r="M132" s="324">
        <x:v>0</x:v>
      </x:c>
      <x:c r="N132" s="324">
        <x:v>0</x:v>
      </x:c>
      <x:c r="O132" s="324">
        <x:v>0</x:v>
      </x:c>
      <x:c r="P132" s="324">
        <x:v>0</x:v>
      </x:c>
      <x:c r="Q132" s="257">
        <x:f t="shared" si="5"/>
        <x:v>0</x:v>
      </x:c>
    </x:row>
    <x:row r="133">
      <x:c r="A133" s="148" t="s">
        <x:v>108</x:v>
      </x:c>
      <x:c r="B133">
        <x:v>4</x:v>
      </x:c>
      <x:c r="C133" s="148" t="s">
        <x:v>115</x:v>
      </x:c>
      <x:c r="D133">
        <x:v>408</x:v>
      </x:c>
      <x:c r="E133" s="324">
        <x:v>0</x:v>
      </x:c>
      <x:c r="F133" s="324">
        <x:v>0</x:v>
      </x:c>
      <x:c r="G133" s="324">
        <x:v>0</x:v>
      </x:c>
      <x:c r="H133" s="324">
        <x:v>0</x:v>
      </x:c>
      <x:c r="I133" s="324">
        <x:v>0</x:v>
      </x:c>
      <x:c r="J133" s="324">
        <x:v>0</x:v>
      </x:c>
      <x:c r="K133" s="324">
        <x:v>0</x:v>
      </x:c>
      <x:c r="L133" s="324">
        <x:v>0</x:v>
      </x:c>
      <x:c r="M133" s="324">
        <x:v>0</x:v>
      </x:c>
      <x:c r="N133" s="324">
        <x:v>0</x:v>
      </x:c>
      <x:c r="O133" s="324">
        <x:v>0</x:v>
      </x:c>
      <x:c r="P133" s="324">
        <x:v>0</x:v>
      </x:c>
      <x:c r="Q133" s="257">
        <x:f t="shared" si="5"/>
        <x:v>0</x:v>
      </x:c>
    </x:row>
    <x:row r="134">
      <x:c r="A134" s="148" t="s">
        <x:v>108</x:v>
      </x:c>
      <x:c r="B134">
        <x:v>4</x:v>
      </x:c>
      <x:c r="C134" s="148" t="s">
        <x:v>115</x:v>
      </x:c>
      <x:c r="D134">
        <x:v>409</x:v>
      </x:c>
      <x:c r="E134" s="324">
        <x:v>0</x:v>
      </x:c>
      <x:c r="F134" s="324">
        <x:v>0</x:v>
      </x:c>
      <x:c r="G134" s="324">
        <x:v>0</x:v>
      </x:c>
      <x:c r="H134" s="324">
        <x:v>0</x:v>
      </x:c>
      <x:c r="I134" s="324">
        <x:v>0</x:v>
      </x:c>
      <x:c r="J134" s="324">
        <x:v>0</x:v>
      </x:c>
      <x:c r="K134" s="324">
        <x:v>0</x:v>
      </x:c>
      <x:c r="L134" s="324">
        <x:v>0</x:v>
      </x:c>
      <x:c r="M134" s="324">
        <x:v>0</x:v>
      </x:c>
      <x:c r="N134" s="324">
        <x:v>0</x:v>
      </x:c>
      <x:c r="O134" s="324">
        <x:v>0</x:v>
      </x:c>
      <x:c r="P134" s="324">
        <x:v>0</x:v>
      </x:c>
      <x:c r="Q134" s="257">
        <x:f t="shared" si="5"/>
        <x:v>0</x:v>
      </x:c>
    </x:row>
    <x:row r="135">
      <x:c r="A135" s="148" t="s">
        <x:v>108</x:v>
      </x:c>
      <x:c r="B135">
        <x:v>4</x:v>
      </x:c>
      <x:c r="C135" s="148" t="s">
        <x:v>115</x:v>
      </x:c>
      <x:c r="D135">
        <x:v>410</x:v>
      </x:c>
      <x:c r="E135" s="324">
        <x:v>0</x:v>
      </x:c>
      <x:c r="F135" s="324">
        <x:v>0</x:v>
      </x:c>
      <x:c r="G135" s="324">
        <x:v>0</x:v>
      </x:c>
      <x:c r="H135" s="324">
        <x:v>0</x:v>
      </x:c>
      <x:c r="I135" s="324">
        <x:v>0</x:v>
      </x:c>
      <x:c r="J135" s="324">
        <x:v>0</x:v>
      </x:c>
      <x:c r="K135" s="324">
        <x:v>0</x:v>
      </x:c>
      <x:c r="L135" s="324">
        <x:v>0</x:v>
      </x:c>
      <x:c r="M135" s="324">
        <x:v>0</x:v>
      </x:c>
      <x:c r="N135" s="324">
        <x:v>0</x:v>
      </x:c>
      <x:c r="O135" s="324">
        <x:v>0</x:v>
      </x:c>
      <x:c r="P135" s="324">
        <x:v>0</x:v>
      </x:c>
      <x:c r="Q135" s="257">
        <x:f t="shared" si="5"/>
        <x:v>0</x:v>
      </x:c>
    </x:row>
    <x:row r="136">
      <x:c r="A136" s="148" t="s">
        <x:v>108</x:v>
      </x:c>
      <x:c r="B136">
        <x:v>4</x:v>
      </x:c>
      <x:c r="C136" s="148" t="s">
        <x:v>115</x:v>
      </x:c>
      <x:c r="D136">
        <x:v>411</x:v>
      </x:c>
      <x:c r="E136" s="324">
        <x:v>0</x:v>
      </x:c>
      <x:c r="F136" s="324">
        <x:v>0</x:v>
      </x:c>
      <x:c r="G136" s="324">
        <x:v>0</x:v>
      </x:c>
      <x:c r="H136" s="324">
        <x:v>0</x:v>
      </x:c>
      <x:c r="I136" s="324">
        <x:v>0</x:v>
      </x:c>
      <x:c r="J136" s="324">
        <x:v>0</x:v>
      </x:c>
      <x:c r="K136" s="324">
        <x:v>0</x:v>
      </x:c>
      <x:c r="L136" s="324">
        <x:v>0</x:v>
      </x:c>
      <x:c r="M136" s="324">
        <x:v>0</x:v>
      </x:c>
      <x:c r="N136" s="324">
        <x:v>0</x:v>
      </x:c>
      <x:c r="O136" s="324">
        <x:v>0</x:v>
      </x:c>
      <x:c r="P136" s="324">
        <x:v>0</x:v>
      </x:c>
      <x:c r="Q136" s="257">
        <x:f t="shared" si="5"/>
        <x:v>0</x:v>
      </x:c>
    </x:row>
    <x:row r="137">
      <x:c r="A137" s="148" t="s">
        <x:v>108</x:v>
      </x:c>
      <x:c r="B137">
        <x:v>4</x:v>
      </x:c>
      <x:c r="C137" s="148" t="s">
        <x:v>115</x:v>
      </x:c>
      <x:c r="D137">
        <x:v>412</x:v>
      </x:c>
      <x:c r="E137" s="324">
        <x:v>0</x:v>
      </x:c>
      <x:c r="F137" s="324">
        <x:v>0</x:v>
      </x:c>
      <x:c r="G137" s="324">
        <x:v>0</x:v>
      </x:c>
      <x:c r="H137" s="324">
        <x:v>0</x:v>
      </x:c>
      <x:c r="I137" s="324">
        <x:v>0</x:v>
      </x:c>
      <x:c r="J137" s="324">
        <x:v>0</x:v>
      </x:c>
      <x:c r="K137" s="324">
        <x:v>0</x:v>
      </x:c>
      <x:c r="L137" s="324">
        <x:v>0</x:v>
      </x:c>
      <x:c r="M137" s="324">
        <x:v>0</x:v>
      </x:c>
      <x:c r="N137" s="324">
        <x:v>0</x:v>
      </x:c>
      <x:c r="O137" s="324">
        <x:v>0</x:v>
      </x:c>
      <x:c r="P137" s="324">
        <x:v>0</x:v>
      </x:c>
      <x:c r="Q137" s="257">
        <x:f t="shared" si="5"/>
        <x:v>0</x:v>
      </x:c>
    </x:row>
    <x:row r="138">
      <x:c r="A138" s="148" t="s">
        <x:v>108</x:v>
      </x:c>
      <x:c r="B138">
        <x:v>4</x:v>
      </x:c>
      <x:c r="C138" s="148" t="s">
        <x:v>115</x:v>
      </x:c>
      <x:c r="D138">
        <x:v>413</x:v>
      </x:c>
      <x:c r="E138" s="324">
        <x:v>0</x:v>
      </x:c>
      <x:c r="F138" s="324">
        <x:v>0</x:v>
      </x:c>
      <x:c r="G138" s="324">
        <x:v>0</x:v>
      </x:c>
      <x:c r="H138" s="324">
        <x:v>0</x:v>
      </x:c>
      <x:c r="I138" s="324">
        <x:v>0</x:v>
      </x:c>
      <x:c r="J138" s="324">
        <x:v>0</x:v>
      </x:c>
      <x:c r="K138" s="324">
        <x:v>0</x:v>
      </x:c>
      <x:c r="L138" s="324">
        <x:v>0</x:v>
      </x:c>
      <x:c r="M138" s="324">
        <x:v>0</x:v>
      </x:c>
      <x:c r="N138" s="324">
        <x:v>0</x:v>
      </x:c>
      <x:c r="O138" s="324">
        <x:v>0</x:v>
      </x:c>
      <x:c r="P138" s="324">
        <x:v>0</x:v>
      </x:c>
      <x:c r="Q138" s="257">
        <x:f t="shared" si="5"/>
        <x:v>0</x:v>
      </x:c>
    </x:row>
    <x:row r="139">
      <x:c r="A139" s="148" t="s">
        <x:v>108</x:v>
      </x:c>
      <x:c r="B139">
        <x:v>4</x:v>
      </x:c>
      <x:c r="C139" s="148" t="s">
        <x:v>115</x:v>
      </x:c>
      <x:c r="D139">
        <x:v>414</x:v>
      </x:c>
      <x:c r="E139" s="324">
        <x:v>0</x:v>
      </x:c>
      <x:c r="F139" s="324">
        <x:v>0</x:v>
      </x:c>
      <x:c r="G139" s="324">
        <x:v>0</x:v>
      </x:c>
      <x:c r="H139" s="324">
        <x:v>0</x:v>
      </x:c>
      <x:c r="I139" s="324">
        <x:v>0</x:v>
      </x:c>
      <x:c r="J139" s="324">
        <x:v>0</x:v>
      </x:c>
      <x:c r="K139" s="324">
        <x:v>0</x:v>
      </x:c>
      <x:c r="L139" s="324">
        <x:v>0</x:v>
      </x:c>
      <x:c r="M139" s="324">
        <x:v>0</x:v>
      </x:c>
      <x:c r="N139" s="324">
        <x:v>0</x:v>
      </x:c>
      <x:c r="O139" s="324">
        <x:v>0</x:v>
      </x:c>
      <x:c r="P139" s="324">
        <x:v>0</x:v>
      </x:c>
      <x:c r="Q139" s="257">
        <x:f t="shared" si="5"/>
        <x:v>0</x:v>
      </x:c>
    </x:row>
    <x:row r="140">
      <x:c r="A140" s="148" t="s">
        <x:v>108</x:v>
      </x:c>
      <x:c r="B140">
        <x:v>4</x:v>
      </x:c>
      <x:c r="C140" s="148" t="s">
        <x:v>115</x:v>
      </x:c>
      <x:c r="D140">
        <x:v>415</x:v>
      </x:c>
      <x:c r="E140" s="324">
        <x:v>0</x:v>
      </x:c>
      <x:c r="F140" s="324">
        <x:v>0</x:v>
      </x:c>
      <x:c r="G140" s="324">
        <x:v>0</x:v>
      </x:c>
      <x:c r="H140" s="324">
        <x:v>0</x:v>
      </x:c>
      <x:c r="I140" s="324">
        <x:v>0</x:v>
      </x:c>
      <x:c r="J140" s="324">
        <x:v>0</x:v>
      </x:c>
      <x:c r="K140" s="324">
        <x:v>0</x:v>
      </x:c>
      <x:c r="L140" s="324">
        <x:v>0</x:v>
      </x:c>
      <x:c r="M140" s="324">
        <x:v>0</x:v>
      </x:c>
      <x:c r="N140" s="324">
        <x:v>0</x:v>
      </x:c>
      <x:c r="O140" s="324">
        <x:v>0</x:v>
      </x:c>
      <x:c r="P140" s="324">
        <x:v>0</x:v>
      </x:c>
      <x:c r="Q140" s="257">
        <x:f t="shared" si="5"/>
        <x:v>0</x:v>
      </x:c>
    </x:row>
    <x:row r="141">
      <x:c r="A141" s="148" t="s">
        <x:v>108</x:v>
      </x:c>
      <x:c r="B141">
        <x:v>4</x:v>
      </x:c>
      <x:c r="C141" s="148" t="s">
        <x:v>115</x:v>
      </x:c>
      <x:c r="D141">
        <x:v>416</x:v>
      </x:c>
      <x:c r="E141" s="324">
        <x:v>0</x:v>
      </x:c>
      <x:c r="F141" s="324">
        <x:v>0</x:v>
      </x:c>
      <x:c r="G141" s="324">
        <x:v>0</x:v>
      </x:c>
      <x:c r="H141" s="324">
        <x:v>0</x:v>
      </x:c>
      <x:c r="I141" s="324">
        <x:v>0</x:v>
      </x:c>
      <x:c r="J141" s="324">
        <x:v>0</x:v>
      </x:c>
      <x:c r="K141" s="324">
        <x:v>0</x:v>
      </x:c>
      <x:c r="L141" s="324">
        <x:v>0</x:v>
      </x:c>
      <x:c r="M141" s="324">
        <x:v>0</x:v>
      </x:c>
      <x:c r="N141" s="324">
        <x:v>0</x:v>
      </x:c>
      <x:c r="O141" s="324">
        <x:v>0</x:v>
      </x:c>
      <x:c r="P141" s="324">
        <x:v>0</x:v>
      </x:c>
      <x:c r="Q141" s="257">
        <x:f t="shared" si="5"/>
        <x:v>0</x:v>
      </x:c>
    </x:row>
    <x:row r="142">
      <x:c r="A142" s="148" t="s">
        <x:v>108</x:v>
      </x:c>
      <x:c r="B142">
        <x:v>4</x:v>
      </x:c>
      <x:c r="C142" s="148" t="s">
        <x:v>115</x:v>
      </x:c>
      <x:c r="D142">
        <x:v>417</x:v>
      </x:c>
      <x:c r="E142" s="324">
        <x:v>0</x:v>
      </x:c>
      <x:c r="F142" s="324">
        <x:v>0</x:v>
      </x:c>
      <x:c r="G142" s="324">
        <x:v>0</x:v>
      </x:c>
      <x:c r="H142" s="324">
        <x:v>0</x:v>
      </x:c>
      <x:c r="I142" s="324">
        <x:v>0</x:v>
      </x:c>
      <x:c r="J142" s="324">
        <x:v>0</x:v>
      </x:c>
      <x:c r="K142" s="324">
        <x:v>0</x:v>
      </x:c>
      <x:c r="L142" s="324">
        <x:v>0</x:v>
      </x:c>
      <x:c r="M142" s="324">
        <x:v>0</x:v>
      </x:c>
      <x:c r="N142" s="324">
        <x:v>0</x:v>
      </x:c>
      <x:c r="O142" s="324">
        <x:v>0</x:v>
      </x:c>
      <x:c r="P142" s="324">
        <x:v>0</x:v>
      </x:c>
      <x:c r="Q142" s="257">
        <x:f t="shared" si="5"/>
        <x:v>0</x:v>
      </x:c>
    </x:row>
    <x:row r="143">
      <x:c r="A143" s="148" t="s">
        <x:v>108</x:v>
      </x:c>
      <x:c r="B143">
        <x:v>4</x:v>
      </x:c>
      <x:c r="C143" s="148" t="s">
        <x:v>115</x:v>
      </x:c>
      <x:c r="D143">
        <x:v>418</x:v>
      </x:c>
      <x:c r="E143" s="324">
        <x:v>0</x:v>
      </x:c>
      <x:c r="F143" s="324">
        <x:v>0</x:v>
      </x:c>
      <x:c r="G143" s="324">
        <x:v>0</x:v>
      </x:c>
      <x:c r="H143" s="324">
        <x:v>0</x:v>
      </x:c>
      <x:c r="I143" s="324">
        <x:v>0</x:v>
      </x:c>
      <x:c r="J143" s="324">
        <x:v>0</x:v>
      </x:c>
      <x:c r="K143" s="324">
        <x:v>0</x:v>
      </x:c>
      <x:c r="L143" s="324">
        <x:v>0</x:v>
      </x:c>
      <x:c r="M143" s="324">
        <x:v>0</x:v>
      </x:c>
      <x:c r="N143" s="324">
        <x:v>0</x:v>
      </x:c>
      <x:c r="O143" s="324">
        <x:v>0</x:v>
      </x:c>
      <x:c r="P143" s="324">
        <x:v>0</x:v>
      </x:c>
      <x:c r="Q143" s="257">
        <x:f t="shared" si="5"/>
        <x:v>0</x:v>
      </x:c>
    </x:row>
    <x:row r="144">
      <x:c r="A144" s="148" t="s">
        <x:v>108</x:v>
      </x:c>
      <x:c r="B144">
        <x:v>4</x:v>
      </x:c>
      <x:c r="C144" s="148" t="s">
        <x:v>115</x:v>
      </x:c>
      <x:c r="D144">
        <x:v>419</x:v>
      </x:c>
      <x:c r="E144" s="324">
        <x:v>0</x:v>
      </x:c>
      <x:c r="F144" s="324">
        <x:v>0</x:v>
      </x:c>
      <x:c r="G144" s="324">
        <x:v>0</x:v>
      </x:c>
      <x:c r="H144" s="324">
        <x:v>0</x:v>
      </x:c>
      <x:c r="I144" s="324">
        <x:v>0</x:v>
      </x:c>
      <x:c r="J144" s="324">
        <x:v>0</x:v>
      </x:c>
      <x:c r="K144" s="324">
        <x:v>0</x:v>
      </x:c>
      <x:c r="L144" s="324">
        <x:v>0</x:v>
      </x:c>
      <x:c r="M144" s="324">
        <x:v>0</x:v>
      </x:c>
      <x:c r="N144" s="324">
        <x:v>0</x:v>
      </x:c>
      <x:c r="O144" s="324">
        <x:v>0</x:v>
      </x:c>
      <x:c r="P144" s="324">
        <x:v>0</x:v>
      </x:c>
      <x:c r="Q144" s="257">
        <x:f t="shared" si="5"/>
        <x:v>0</x:v>
      </x:c>
    </x:row>
    <x:row r="145">
      <x:c r="A145" s="148" t="s">
        <x:v>108</x:v>
      </x:c>
      <x:c r="B145">
        <x:v>4</x:v>
      </x:c>
      <x:c r="C145" s="148" t="s">
        <x:v>115</x:v>
      </x:c>
      <x:c r="D145">
        <x:v>420</x:v>
      </x:c>
      <x:c r="E145" s="324">
        <x:v>0</x:v>
      </x:c>
      <x:c r="F145" s="324">
        <x:v>0</x:v>
      </x:c>
      <x:c r="G145" s="324">
        <x:v>0</x:v>
      </x:c>
      <x:c r="H145" s="324">
        <x:v>0</x:v>
      </x:c>
      <x:c r="I145" s="324">
        <x:v>0</x:v>
      </x:c>
      <x:c r="J145" s="324">
        <x:v>0</x:v>
      </x:c>
      <x:c r="K145" s="324">
        <x:v>0</x:v>
      </x:c>
      <x:c r="L145" s="324">
        <x:v>0</x:v>
      </x:c>
      <x:c r="M145" s="324">
        <x:v>0</x:v>
      </x:c>
      <x:c r="N145" s="324">
        <x:v>0</x:v>
      </x:c>
      <x:c r="O145" s="324">
        <x:v>0</x:v>
      </x:c>
      <x:c r="P145" s="324">
        <x:v>0</x:v>
      </x:c>
      <x:c r="Q145" s="257">
        <x:f t="shared" si="5"/>
        <x:v>0</x:v>
      </x:c>
    </x:row>
    <x:row r="146">
      <x:c r="A146" s="148" t="s">
        <x:v>108</x:v>
      </x:c>
      <x:c r="B146">
        <x:v>4</x:v>
      </x:c>
      <x:c r="C146" s="148" t="s">
        <x:v>115</x:v>
      </x:c>
      <x:c r="D146">
        <x:v>421</x:v>
      </x:c>
      <x:c r="E146" s="324">
        <x:v>0</x:v>
      </x:c>
      <x:c r="F146" s="324">
        <x:v>0</x:v>
      </x:c>
      <x:c r="G146" s="324">
        <x:v>0</x:v>
      </x:c>
      <x:c r="H146" s="324">
        <x:v>0</x:v>
      </x:c>
      <x:c r="I146" s="324">
        <x:v>0</x:v>
      </x:c>
      <x:c r="J146" s="324">
        <x:v>0</x:v>
      </x:c>
      <x:c r="K146" s="324">
        <x:v>0</x:v>
      </x:c>
      <x:c r="L146" s="324">
        <x:v>0</x:v>
      </x:c>
      <x:c r="M146" s="324">
        <x:v>0</x:v>
      </x:c>
      <x:c r="N146" s="324">
        <x:v>0</x:v>
      </x:c>
      <x:c r="O146" s="324">
        <x:v>0</x:v>
      </x:c>
      <x:c r="P146" s="324">
        <x:v>0</x:v>
      </x:c>
      <x:c r="Q146" s="257">
        <x:f t="shared" si="5"/>
        <x:v>0</x:v>
      </x:c>
    </x:row>
    <x:row r="147">
      <x:c r="A147" s="148"/>
      <x:c r="B147"/>
      <x:c r="C147" s="148"/>
      <x:c r="D147" s="148"/>
      <x:c r="E147" s="324"/>
      <x:c r="F147" s="324">
        <x:f t="shared" ref="F147:P147" si="6">AVERAGE(F103:F146)</x:f>
      </x:c>
      <x:c r="G147" s="324">
        <x:f t="shared" si="6"/>
      </x:c>
      <x:c r="H147" s="324">
        <x:f t="shared" si="6"/>
      </x:c>
      <x:c r="I147" s="324">
        <x:f t="shared" si="6"/>
      </x:c>
      <x:c r="J147" s="324">
        <x:f t="shared" si="6"/>
      </x:c>
      <x:c r="K147" s="324">
        <x:f t="shared" si="6"/>
      </x:c>
      <x:c r="L147" s="324">
        <x:f t="shared" si="6"/>
      </x:c>
      <x:c r="M147" s="324">
        <x:f t="shared" si="6"/>
      </x:c>
      <x:c r="N147" s="324">
        <x:f t="shared" si="6"/>
      </x:c>
      <x:c r="O147" s="324">
        <x:f t="shared" si="6"/>
      </x:c>
      <x:c r="P147" s="324">
        <x:f t="shared" si="6"/>
      </x:c>
      <x:c r="Q147" s="257">
        <x:f t="shared" si="5"/>
      </x:c>
    </x:row>
    <x:row r="148">
      <x:c r="A148" s="148" t="s">
        <x:v>108</x:v>
      </x:c>
      <x:c r="B148">
        <x:v>5</x:v>
      </x:c>
      <x:c r="C148" s="148" t="s">
        <x:v>116</x:v>
      </x:c>
      <x:c r="D148">
        <x:v>501</x:v>
      </x:c>
      <x:c r="E148" s="324">
        <x:v>0</x:v>
      </x:c>
      <x:c r="F148" s="324">
        <x:v>0</x:v>
      </x:c>
      <x:c r="G148" s="324">
        <x:v>0</x:v>
      </x:c>
      <x:c r="H148" s="324">
        <x:v>0</x:v>
      </x:c>
      <x:c r="I148" s="324">
        <x:v>0</x:v>
      </x:c>
      <x:c r="J148" s="324">
        <x:v>0</x:v>
      </x:c>
      <x:c r="K148" s="324">
        <x:v>0</x:v>
      </x:c>
      <x:c r="L148" s="324">
        <x:v>0</x:v>
      </x:c>
      <x:c r="M148" s="324">
        <x:v>0</x:v>
      </x:c>
      <x:c r="N148" s="324">
        <x:v>0</x:v>
      </x:c>
      <x:c r="O148" s="324">
        <x:v>0</x:v>
      </x:c>
      <x:c r="P148" s="324">
        <x:v>0</x:v>
      </x:c>
      <x:c r="Q148" s="257">
        <x:f t="shared" si="5"/>
        <x:v>0</x:v>
      </x:c>
    </x:row>
    <x:row r="149">
      <x:c r="A149" s="148" t="s">
        <x:v>108</x:v>
      </x:c>
      <x:c r="B149">
        <x:v>5</x:v>
      </x:c>
      <x:c r="C149" s="148" t="s">
        <x:v>116</x:v>
      </x:c>
      <x:c r="D149">
        <x:v>502</x:v>
      </x:c>
      <x:c r="E149" s="324">
        <x:v>0</x:v>
      </x:c>
      <x:c r="F149" s="324">
        <x:v>0</x:v>
      </x:c>
      <x:c r="G149" s="324">
        <x:v>0</x:v>
      </x:c>
      <x:c r="H149" s="324">
        <x:v>0</x:v>
      </x:c>
      <x:c r="I149" s="324">
        <x:v>0</x:v>
      </x:c>
      <x:c r="J149" s="324">
        <x:v>0</x:v>
      </x:c>
      <x:c r="K149" s="324">
        <x:v>0</x:v>
      </x:c>
      <x:c r="L149" s="324">
        <x:v>0</x:v>
      </x:c>
      <x:c r="M149" s="324">
        <x:v>0</x:v>
      </x:c>
      <x:c r="N149" s="324">
        <x:v>0</x:v>
      </x:c>
      <x:c r="O149" s="324">
        <x:v>0</x:v>
      </x:c>
      <x:c r="P149" s="324">
        <x:v>0</x:v>
      </x:c>
      <x:c r="Q149" s="257">
        <x:f t="shared" si="5"/>
        <x:v>0</x:v>
      </x:c>
    </x:row>
    <x:row r="150">
      <x:c r="A150" s="148" t="s">
        <x:v>108</x:v>
      </x:c>
      <x:c r="B150">
        <x:v>5</x:v>
      </x:c>
      <x:c r="C150" s="148" t="s">
        <x:v>116</x:v>
      </x:c>
      <x:c r="D150">
        <x:v>503</x:v>
      </x:c>
      <x:c r="E150" s="324">
        <x:v>0</x:v>
      </x:c>
      <x:c r="F150" s="324">
        <x:v>0</x:v>
      </x:c>
      <x:c r="G150" s="324">
        <x:v>0</x:v>
      </x:c>
      <x:c r="H150" s="324">
        <x:v>0</x:v>
      </x:c>
      <x:c r="I150" s="324">
        <x:v>0</x:v>
      </x:c>
      <x:c r="J150" s="324">
        <x:v>0</x:v>
      </x:c>
      <x:c r="K150" s="324">
        <x:v>0</x:v>
      </x:c>
      <x:c r="L150" s="324">
        <x:v>0</x:v>
      </x:c>
      <x:c r="M150" s="324">
        <x:v>0</x:v>
      </x:c>
      <x:c r="N150" s="324">
        <x:v>0</x:v>
      </x:c>
      <x:c r="O150" s="324">
        <x:v>0</x:v>
      </x:c>
      <x:c r="P150" s="324">
        <x:v>0</x:v>
      </x:c>
      <x:c r="Q150" s="257">
        <x:f t="shared" si="5"/>
        <x:v>0</x:v>
      </x:c>
    </x:row>
    <x:row r="151">
      <x:c r="A151" s="148" t="s">
        <x:v>108</x:v>
      </x:c>
      <x:c r="B151">
        <x:v>5</x:v>
      </x:c>
      <x:c r="C151" s="148" t="s">
        <x:v>116</x:v>
      </x:c>
      <x:c r="D151">
        <x:v>504</x:v>
      </x:c>
      <x:c r="E151" s="324">
        <x:v>0</x:v>
      </x:c>
      <x:c r="F151" s="324">
        <x:v>0</x:v>
      </x:c>
      <x:c r="G151" s="324">
        <x:v>0</x:v>
      </x:c>
      <x:c r="H151" s="324">
        <x:v>0</x:v>
      </x:c>
      <x:c r="I151" s="324">
        <x:v>0</x:v>
      </x:c>
      <x:c r="J151" s="324">
        <x:v>0</x:v>
      </x:c>
      <x:c r="K151" s="324">
        <x:v>0</x:v>
      </x:c>
      <x:c r="L151" s="324">
        <x:v>0</x:v>
      </x:c>
      <x:c r="M151" s="324">
        <x:v>0</x:v>
      </x:c>
      <x:c r="N151" s="324">
        <x:v>0</x:v>
      </x:c>
      <x:c r="O151" s="324">
        <x:v>0</x:v>
      </x:c>
      <x:c r="P151" s="324">
        <x:v>0</x:v>
      </x:c>
      <x:c r="Q151" s="257">
        <x:f t="shared" si="5"/>
        <x:v>0</x:v>
      </x:c>
    </x:row>
    <x:row r="152">
      <x:c r="A152" s="148" t="s">
        <x:v>108</x:v>
      </x:c>
      <x:c r="B152">
        <x:v>5</x:v>
      </x:c>
      <x:c r="C152" s="148" t="s">
        <x:v>116</x:v>
      </x:c>
      <x:c r="D152">
        <x:v>505</x:v>
      </x:c>
      <x:c r="E152" s="324">
        <x:v>0</x:v>
      </x:c>
      <x:c r="F152" s="324">
        <x:v>0</x:v>
      </x:c>
      <x:c r="G152" s="324">
        <x:v>0</x:v>
      </x:c>
      <x:c r="H152" s="324">
        <x:v>0</x:v>
      </x:c>
      <x:c r="I152" s="324">
        <x:v>0</x:v>
      </x:c>
      <x:c r="J152" s="324">
        <x:v>0</x:v>
      </x:c>
      <x:c r="K152" s="324">
        <x:v>0</x:v>
      </x:c>
      <x:c r="L152" s="324">
        <x:v>0</x:v>
      </x:c>
      <x:c r="M152" s="324">
        <x:v>0</x:v>
      </x:c>
      <x:c r="N152" s="324">
        <x:v>0</x:v>
      </x:c>
      <x:c r="O152" s="324">
        <x:v>0</x:v>
      </x:c>
      <x:c r="P152" s="324">
        <x:v>0</x:v>
      </x:c>
      <x:c r="Q152" s="257">
        <x:f t="shared" si="5"/>
        <x:v>0</x:v>
      </x:c>
    </x:row>
    <x:row r="153">
      <x:c r="A153" s="148" t="s">
        <x:v>108</x:v>
      </x:c>
      <x:c r="B153">
        <x:v>5</x:v>
      </x:c>
      <x:c r="C153" s="148" t="s">
        <x:v>116</x:v>
      </x:c>
      <x:c r="D153">
        <x:v>506</x:v>
      </x:c>
      <x:c r="E153" s="324">
        <x:v>0</x:v>
      </x:c>
      <x:c r="F153" s="324">
        <x:v>0</x:v>
      </x:c>
      <x:c r="G153" s="324">
        <x:v>0</x:v>
      </x:c>
      <x:c r="H153" s="324">
        <x:v>0</x:v>
      </x:c>
      <x:c r="I153" s="324">
        <x:v>0</x:v>
      </x:c>
      <x:c r="J153" s="324">
        <x:v>0</x:v>
      </x:c>
      <x:c r="K153" s="324">
        <x:v>0</x:v>
      </x:c>
      <x:c r="L153" s="324">
        <x:v>0</x:v>
      </x:c>
      <x:c r="M153" s="324">
        <x:v>0</x:v>
      </x:c>
      <x:c r="N153" s="324">
        <x:v>0</x:v>
      </x:c>
      <x:c r="O153" s="324">
        <x:v>0</x:v>
      </x:c>
      <x:c r="P153" s="324">
        <x:v>0</x:v>
      </x:c>
      <x:c r="Q153" s="257">
        <x:f t="shared" si="5"/>
        <x:v>0</x:v>
      </x:c>
    </x:row>
    <x:row r="154">
      <x:c r="A154" s="148" t="s">
        <x:v>108</x:v>
      </x:c>
      <x:c r="B154">
        <x:v>5</x:v>
      </x:c>
      <x:c r="C154" s="148" t="s">
        <x:v>116</x:v>
      </x:c>
      <x:c r="D154">
        <x:v>507</x:v>
      </x:c>
      <x:c r="E154" s="324">
        <x:v>0</x:v>
      </x:c>
      <x:c r="F154" s="324">
        <x:v>0</x:v>
      </x:c>
      <x:c r="G154" s="324">
        <x:v>0</x:v>
      </x:c>
      <x:c r="H154" s="324">
        <x:v>0</x:v>
      </x:c>
      <x:c r="I154" s="324">
        <x:v>0</x:v>
      </x:c>
      <x:c r="J154" s="324">
        <x:v>0</x:v>
      </x:c>
      <x:c r="K154" s="324">
        <x:v>0</x:v>
      </x:c>
      <x:c r="L154" s="324">
        <x:v>0</x:v>
      </x:c>
      <x:c r="M154" s="324">
        <x:v>0</x:v>
      </x:c>
      <x:c r="N154" s="324">
        <x:v>0</x:v>
      </x:c>
      <x:c r="O154" s="324">
        <x:v>0</x:v>
      </x:c>
      <x:c r="P154" s="324">
        <x:v>0</x:v>
      </x:c>
      <x:c r="Q154" s="257">
        <x:f t="shared" si="5"/>
        <x:v>0</x:v>
      </x:c>
    </x:row>
    <x:row r="155">
      <x:c r="A155" s="148" t="s">
        <x:v>108</x:v>
      </x:c>
      <x:c r="B155">
        <x:v>5</x:v>
      </x:c>
      <x:c r="C155" s="148" t="s">
        <x:v>116</x:v>
      </x:c>
      <x:c r="D155">
        <x:v>508</x:v>
      </x:c>
      <x:c r="E155" s="324">
        <x:v>0</x:v>
      </x:c>
      <x:c r="F155" s="324">
        <x:v>0</x:v>
      </x:c>
      <x:c r="G155" s="324">
        <x:v>0</x:v>
      </x:c>
      <x:c r="H155" s="324">
        <x:v>0</x:v>
      </x:c>
      <x:c r="I155" s="324">
        <x:v>0</x:v>
      </x:c>
      <x:c r="J155" s="324">
        <x:v>0</x:v>
      </x:c>
      <x:c r="K155" s="324">
        <x:v>0</x:v>
      </x:c>
      <x:c r="L155" s="324">
        <x:v>0</x:v>
      </x:c>
      <x:c r="M155" s="324">
        <x:v>0</x:v>
      </x:c>
      <x:c r="N155" s="324">
        <x:v>0</x:v>
      </x:c>
      <x:c r="O155" s="324">
        <x:v>0</x:v>
      </x:c>
      <x:c r="P155" s="324">
        <x:v>0</x:v>
      </x:c>
      <x:c r="Q155" s="257">
        <x:f t="shared" si="5"/>
        <x:v>0</x:v>
      </x:c>
    </x:row>
    <x:row r="156">
      <x:c r="A156" s="148" t="s">
        <x:v>108</x:v>
      </x:c>
      <x:c r="B156">
        <x:v>5</x:v>
      </x:c>
      <x:c r="C156" s="148" t="s">
        <x:v>116</x:v>
      </x:c>
      <x:c r="D156">
        <x:v>509</x:v>
      </x:c>
      <x:c r="E156" s="324">
        <x:v>0</x:v>
      </x:c>
      <x:c r="F156" s="324">
        <x:v>0</x:v>
      </x:c>
      <x:c r="G156" s="324">
        <x:v>0</x:v>
      </x:c>
      <x:c r="H156" s="324">
        <x:v>0</x:v>
      </x:c>
      <x:c r="I156" s="324">
        <x:v>0</x:v>
      </x:c>
      <x:c r="J156" s="324">
        <x:v>0</x:v>
      </x:c>
      <x:c r="K156" s="324">
        <x:v>0</x:v>
      </x:c>
      <x:c r="L156" s="324">
        <x:v>0</x:v>
      </x:c>
      <x:c r="M156" s="324">
        <x:v>0</x:v>
      </x:c>
      <x:c r="N156" s="324">
        <x:v>0</x:v>
      </x:c>
      <x:c r="O156" s="324">
        <x:v>0</x:v>
      </x:c>
      <x:c r="P156" s="324">
        <x:v>0</x:v>
      </x:c>
      <x:c r="Q156" s="257">
        <x:f t="shared" si="5"/>
        <x:v>0</x:v>
      </x:c>
    </x:row>
    <x:row r="157">
      <x:c r="A157" s="148" t="s">
        <x:v>108</x:v>
      </x:c>
      <x:c r="B157">
        <x:v>5</x:v>
      </x:c>
      <x:c r="C157" s="148" t="s">
        <x:v>116</x:v>
      </x:c>
      <x:c r="D157">
        <x:v>510</x:v>
      </x:c>
      <x:c r="E157" s="324">
        <x:v>0</x:v>
      </x:c>
      <x:c r="F157" s="324">
        <x:v>0</x:v>
      </x:c>
      <x:c r="G157" s="324">
        <x:v>0</x:v>
      </x:c>
      <x:c r="H157" s="324">
        <x:v>0</x:v>
      </x:c>
      <x:c r="I157" s="324">
        <x:v>0</x:v>
      </x:c>
      <x:c r="J157" s="324">
        <x:v>0</x:v>
      </x:c>
      <x:c r="K157" s="324">
        <x:v>0</x:v>
      </x:c>
      <x:c r="L157" s="324">
        <x:v>0</x:v>
      </x:c>
      <x:c r="M157" s="324">
        <x:v>0</x:v>
      </x:c>
      <x:c r="N157" s="324">
        <x:v>0</x:v>
      </x:c>
      <x:c r="O157" s="324">
        <x:v>0</x:v>
      </x:c>
      <x:c r="P157" s="324">
        <x:v>0</x:v>
      </x:c>
      <x:c r="Q157" s="257">
        <x:f t="shared" si="5"/>
        <x:v>0</x:v>
      </x:c>
    </x:row>
    <x:row r="158">
      <x:c r="A158" s="148" t="s">
        <x:v>108</x:v>
      </x:c>
      <x:c r="B158">
        <x:v>5</x:v>
      </x:c>
      <x:c r="C158" s="148" t="s">
        <x:v>116</x:v>
      </x:c>
      <x:c r="D158">
        <x:v>511</x:v>
      </x:c>
      <x:c r="E158" s="324">
        <x:v>0</x:v>
      </x:c>
      <x:c r="F158" s="324">
        <x:v>0</x:v>
      </x:c>
      <x:c r="G158" s="324">
        <x:v>0</x:v>
      </x:c>
      <x:c r="H158" s="324">
        <x:v>0</x:v>
      </x:c>
      <x:c r="I158" s="324">
        <x:v>0</x:v>
      </x:c>
      <x:c r="J158" s="324">
        <x:v>0</x:v>
      </x:c>
      <x:c r="K158" s="324">
        <x:v>0</x:v>
      </x:c>
      <x:c r="L158" s="324">
        <x:v>0</x:v>
      </x:c>
      <x:c r="M158" s="324">
        <x:v>0</x:v>
      </x:c>
      <x:c r="N158" s="324">
        <x:v>0</x:v>
      </x:c>
      <x:c r="O158" s="324">
        <x:v>0</x:v>
      </x:c>
      <x:c r="P158" s="324">
        <x:v>0</x:v>
      </x:c>
      <x:c r="Q158" s="257">
        <x:f t="shared" si="5"/>
        <x:v>0</x:v>
      </x:c>
    </x:row>
    <x:row r="159">
      <x:c r="A159" s="148" t="s">
        <x:v>108</x:v>
      </x:c>
      <x:c r="B159">
        <x:v>5</x:v>
      </x:c>
      <x:c r="C159" s="148" t="s">
        <x:v>116</x:v>
      </x:c>
      <x:c r="D159">
        <x:v>512</x:v>
      </x:c>
      <x:c r="E159" s="324">
        <x:v>0</x:v>
      </x:c>
      <x:c r="F159" s="324">
        <x:v>0</x:v>
      </x:c>
      <x:c r="G159" s="324">
        <x:v>0</x:v>
      </x:c>
      <x:c r="H159" s="324">
        <x:v>0</x:v>
      </x:c>
      <x:c r="I159" s="324">
        <x:v>0</x:v>
      </x:c>
      <x:c r="J159" s="324">
        <x:v>0</x:v>
      </x:c>
      <x:c r="K159" s="324">
        <x:v>0</x:v>
      </x:c>
      <x:c r="L159" s="324">
        <x:v>0</x:v>
      </x:c>
      <x:c r="M159" s="324">
        <x:v>0</x:v>
      </x:c>
      <x:c r="N159" s="324">
        <x:v>0</x:v>
      </x:c>
      <x:c r="O159" s="324">
        <x:v>0</x:v>
      </x:c>
      <x:c r="P159" s="324">
        <x:v>0</x:v>
      </x:c>
      <x:c r="Q159" s="257">
        <x:f t="shared" si="5"/>
        <x:v>0</x:v>
      </x:c>
    </x:row>
    <x:row r="160">
      <x:c r="A160" s="148" t="s">
        <x:v>108</x:v>
      </x:c>
      <x:c r="B160">
        <x:v>5</x:v>
      </x:c>
      <x:c r="C160" s="148" t="s">
        <x:v>116</x:v>
      </x:c>
      <x:c r="D160">
        <x:v>513</x:v>
      </x:c>
      <x:c r="E160" s="324">
        <x:v>0</x:v>
      </x:c>
      <x:c r="F160" s="324">
        <x:v>0</x:v>
      </x:c>
      <x:c r="G160" s="324">
        <x:v>0</x:v>
      </x:c>
      <x:c r="H160" s="324">
        <x:v>0</x:v>
      </x:c>
      <x:c r="I160" s="324">
        <x:v>0</x:v>
      </x:c>
      <x:c r="J160" s="324">
        <x:v>0</x:v>
      </x:c>
      <x:c r="K160" s="324">
        <x:v>0</x:v>
      </x:c>
      <x:c r="L160" s="324">
        <x:v>0</x:v>
      </x:c>
      <x:c r="M160" s="324">
        <x:v>0</x:v>
      </x:c>
      <x:c r="N160" s="324">
        <x:v>0</x:v>
      </x:c>
      <x:c r="O160" s="324">
        <x:v>0</x:v>
      </x:c>
      <x:c r="P160" s="324">
        <x:v>0</x:v>
      </x:c>
      <x:c r="Q160" s="257">
        <x:f t="shared" si="5"/>
        <x:v>0</x:v>
      </x:c>
    </x:row>
    <x:row r="161">
      <x:c r="A161" s="148" t="s">
        <x:v>108</x:v>
      </x:c>
      <x:c r="B161">
        <x:v>5</x:v>
      </x:c>
      <x:c r="C161" s="148" t="s">
        <x:v>116</x:v>
      </x:c>
      <x:c r="D161">
        <x:v>514</x:v>
      </x:c>
      <x:c r="E161" s="324">
        <x:v>0</x:v>
      </x:c>
      <x:c r="F161" s="324">
        <x:v>0</x:v>
      </x:c>
      <x:c r="G161" s="324">
        <x:v>0</x:v>
      </x:c>
      <x:c r="H161" s="324">
        <x:v>0</x:v>
      </x:c>
      <x:c r="I161" s="324">
        <x:v>0</x:v>
      </x:c>
      <x:c r="J161" s="324">
        <x:v>0</x:v>
      </x:c>
      <x:c r="K161" s="324">
        <x:v>0</x:v>
      </x:c>
      <x:c r="L161" s="324">
        <x:v>0</x:v>
      </x:c>
      <x:c r="M161" s="324">
        <x:v>0</x:v>
      </x:c>
      <x:c r="N161" s="324">
        <x:v>0</x:v>
      </x:c>
      <x:c r="O161" s="324">
        <x:v>0</x:v>
      </x:c>
      <x:c r="P161" s="324">
        <x:v>0</x:v>
      </x:c>
      <x:c r="Q161" s="257">
        <x:f t="shared" si="5"/>
        <x:v>0</x:v>
      </x:c>
    </x:row>
    <x:row r="162">
      <x:c r="A162" s="148" t="s">
        <x:v>108</x:v>
      </x:c>
      <x:c r="B162">
        <x:v>5</x:v>
      </x:c>
      <x:c r="C162" s="148" t="s">
        <x:v>116</x:v>
      </x:c>
      <x:c r="D162">
        <x:v>515</x:v>
      </x:c>
      <x:c r="E162" s="324">
        <x:v>0</x:v>
      </x:c>
      <x:c r="F162" s="324">
        <x:v>0</x:v>
      </x:c>
      <x:c r="G162" s="324">
        <x:v>0</x:v>
      </x:c>
      <x:c r="H162" s="324">
        <x:v>0</x:v>
      </x:c>
      <x:c r="I162" s="324">
        <x:v>0</x:v>
      </x:c>
      <x:c r="J162" s="324">
        <x:v>0</x:v>
      </x:c>
      <x:c r="K162" s="324">
        <x:v>0</x:v>
      </x:c>
      <x:c r="L162" s="324">
        <x:v>0</x:v>
      </x:c>
      <x:c r="M162" s="324">
        <x:v>0</x:v>
      </x:c>
      <x:c r="N162" s="324">
        <x:v>0</x:v>
      </x:c>
      <x:c r="O162" s="324">
        <x:v>0</x:v>
      </x:c>
      <x:c r="P162" s="324">
        <x:v>0</x:v>
      </x:c>
      <x:c r="Q162" s="257">
        <x:f t="shared" si="5"/>
        <x:v>0</x:v>
      </x:c>
    </x:row>
    <x:row r="163">
      <x:c r="A163" s="148" t="s">
        <x:v>108</x:v>
      </x:c>
      <x:c r="B163">
        <x:v>5</x:v>
      </x:c>
      <x:c r="C163" s="148" t="s">
        <x:v>116</x:v>
      </x:c>
      <x:c r="D163">
        <x:v>516</x:v>
      </x:c>
      <x:c r="E163" s="324">
        <x:v>0</x:v>
      </x:c>
      <x:c r="F163" s="324">
        <x:v>0</x:v>
      </x:c>
      <x:c r="G163" s="324">
        <x:v>0</x:v>
      </x:c>
      <x:c r="H163" s="324">
        <x:v>0</x:v>
      </x:c>
      <x:c r="I163" s="324">
        <x:v>0</x:v>
      </x:c>
      <x:c r="J163" s="324">
        <x:v>0</x:v>
      </x:c>
      <x:c r="K163" s="324">
        <x:v>0</x:v>
      </x:c>
      <x:c r="L163" s="324">
        <x:v>0</x:v>
      </x:c>
      <x:c r="M163" s="324">
        <x:v>0</x:v>
      </x:c>
      <x:c r="N163" s="324">
        <x:v>0</x:v>
      </x:c>
      <x:c r="O163" s="324">
        <x:v>0</x:v>
      </x:c>
      <x:c r="P163" s="324">
        <x:v>0</x:v>
      </x:c>
      <x:c r="Q163" s="257">
        <x:f t="shared" si="5"/>
        <x:v>0</x:v>
      </x:c>
    </x:row>
    <x:row r="164">
      <x:c r="A164" s="148" t="s">
        <x:v>108</x:v>
      </x:c>
      <x:c r="B164">
        <x:v>5</x:v>
      </x:c>
      <x:c r="C164" s="148" t="s">
        <x:v>116</x:v>
      </x:c>
      <x:c r="D164">
        <x:v>517</x:v>
      </x:c>
      <x:c r="E164" s="324">
        <x:v>0</x:v>
      </x:c>
      <x:c r="F164" s="324">
        <x:v>0</x:v>
      </x:c>
      <x:c r="G164" s="324">
        <x:v>0</x:v>
      </x:c>
      <x:c r="H164" s="324">
        <x:v>0</x:v>
      </x:c>
      <x:c r="I164" s="324">
        <x:v>0</x:v>
      </x:c>
      <x:c r="J164" s="324">
        <x:v>0</x:v>
      </x:c>
      <x:c r="K164" s="324">
        <x:v>0</x:v>
      </x:c>
      <x:c r="L164" s="324">
        <x:v>0</x:v>
      </x:c>
      <x:c r="M164" s="324">
        <x:v>0</x:v>
      </x:c>
      <x:c r="N164" s="324">
        <x:v>0</x:v>
      </x:c>
      <x:c r="O164" s="324">
        <x:v>0</x:v>
      </x:c>
      <x:c r="P164" s="324">
        <x:v>0</x:v>
      </x:c>
      <x:c r="Q164" s="257">
        <x:f t="shared" si="5"/>
        <x:v>0</x:v>
      </x:c>
    </x:row>
    <x:row r="165">
      <x:c r="A165" s="148" t="s">
        <x:v>108</x:v>
      </x:c>
      <x:c r="B165">
        <x:v>5</x:v>
      </x:c>
      <x:c r="C165" s="148" t="s">
        <x:v>116</x:v>
      </x:c>
      <x:c r="D165">
        <x:v>518</x:v>
      </x:c>
      <x:c r="E165" s="324">
        <x:v>0</x:v>
      </x:c>
      <x:c r="F165" s="324">
        <x:v>0</x:v>
      </x:c>
      <x:c r="G165" s="324">
        <x:v>0</x:v>
      </x:c>
      <x:c r="H165" s="324">
        <x:v>0</x:v>
      </x:c>
      <x:c r="I165" s="324">
        <x:v>0</x:v>
      </x:c>
      <x:c r="J165" s="324">
        <x:v>0</x:v>
      </x:c>
      <x:c r="K165" s="324">
        <x:v>0</x:v>
      </x:c>
      <x:c r="L165" s="324">
        <x:v>0</x:v>
      </x:c>
      <x:c r="M165" s="324">
        <x:v>0</x:v>
      </x:c>
      <x:c r="N165" s="324">
        <x:v>0</x:v>
      </x:c>
      <x:c r="O165" s="324">
        <x:v>0</x:v>
      </x:c>
      <x:c r="P165" s="324">
        <x:v>0</x:v>
      </x:c>
      <x:c r="Q165" s="257">
        <x:f t="shared" si="5"/>
        <x:v>0</x:v>
      </x:c>
    </x:row>
    <x:row r="166">
      <x:c r="A166" s="148" t="s">
        <x:v>108</x:v>
      </x:c>
      <x:c r="B166">
        <x:v>5</x:v>
      </x:c>
      <x:c r="C166" s="148" t="s">
        <x:v>116</x:v>
      </x:c>
      <x:c r="D166">
        <x:v>519</x:v>
      </x:c>
      <x:c r="E166" s="324">
        <x:v>0</x:v>
      </x:c>
      <x:c r="F166" s="324">
        <x:v>0</x:v>
      </x:c>
      <x:c r="G166" s="324">
        <x:v>0</x:v>
      </x:c>
      <x:c r="H166" s="324">
        <x:v>0</x:v>
      </x:c>
      <x:c r="I166" s="324">
        <x:v>0</x:v>
      </x:c>
      <x:c r="J166" s="324">
        <x:v>0</x:v>
      </x:c>
      <x:c r="K166" s="324">
        <x:v>0</x:v>
      </x:c>
      <x:c r="L166" s="324">
        <x:v>0</x:v>
      </x:c>
      <x:c r="M166" s="324">
        <x:v>0</x:v>
      </x:c>
      <x:c r="N166" s="324">
        <x:v>0</x:v>
      </x:c>
      <x:c r="O166" s="324">
        <x:v>0</x:v>
      </x:c>
      <x:c r="P166" s="324">
        <x:v>0</x:v>
      </x:c>
      <x:c r="Q166" s="257">
        <x:f t="shared" si="5"/>
        <x:v>0</x:v>
      </x:c>
    </x:row>
    <x:row r="167">
      <x:c r="A167" s="148" t="s">
        <x:v>108</x:v>
      </x:c>
      <x:c r="B167">
        <x:v>5</x:v>
      </x:c>
      <x:c r="C167" s="148" t="s">
        <x:v>116</x:v>
      </x:c>
      <x:c r="D167">
        <x:v>520</x:v>
      </x:c>
      <x:c r="E167" s="324">
        <x:v>0</x:v>
      </x:c>
      <x:c r="F167" s="324">
        <x:v>0</x:v>
      </x:c>
      <x:c r="G167" s="324">
        <x:v>0</x:v>
      </x:c>
      <x:c r="H167" s="324">
        <x:v>0</x:v>
      </x:c>
      <x:c r="I167" s="324">
        <x:v>0</x:v>
      </x:c>
      <x:c r="J167" s="324">
        <x:v>0</x:v>
      </x:c>
      <x:c r="K167" s="324">
        <x:v>0</x:v>
      </x:c>
      <x:c r="L167" s="324">
        <x:v>0</x:v>
      </x:c>
      <x:c r="M167" s="324">
        <x:v>0</x:v>
      </x:c>
      <x:c r="N167" s="324">
        <x:v>0</x:v>
      </x:c>
      <x:c r="O167" s="324">
        <x:v>0</x:v>
      </x:c>
      <x:c r="P167" s="324">
        <x:v>0</x:v>
      </x:c>
      <x:c r="Q167" s="257">
        <x:f t="shared" si="5"/>
        <x:v>0</x:v>
      </x:c>
    </x:row>
    <x:row r="168">
      <x:c r="A168" s="148" t="s">
        <x:v>108</x:v>
      </x:c>
      <x:c r="B168">
        <x:v>5</x:v>
      </x:c>
      <x:c r="C168" s="148" t="s">
        <x:v>116</x:v>
      </x:c>
      <x:c r="D168">
        <x:v>521</x:v>
      </x:c>
      <x:c r="E168" s="324">
        <x:v>0</x:v>
      </x:c>
      <x:c r="F168" s="324">
        <x:v>0</x:v>
      </x:c>
      <x:c r="G168" s="324">
        <x:v>0</x:v>
      </x:c>
      <x:c r="H168" s="324">
        <x:v>0</x:v>
      </x:c>
      <x:c r="I168" s="324">
        <x:v>0</x:v>
      </x:c>
      <x:c r="J168" s="324">
        <x:v>0</x:v>
      </x:c>
      <x:c r="K168" s="324">
        <x:v>0</x:v>
      </x:c>
      <x:c r="L168" s="324">
        <x:v>0</x:v>
      </x:c>
      <x:c r="M168" s="324">
        <x:v>0</x:v>
      </x:c>
      <x:c r="N168" s="324">
        <x:v>0</x:v>
      </x:c>
      <x:c r="O168" s="324">
        <x:v>0</x:v>
      </x:c>
      <x:c r="P168" s="324">
        <x:v>0</x:v>
      </x:c>
      <x:c r="Q168" s="257">
        <x:f t="shared" si="5"/>
        <x:v>0</x:v>
      </x:c>
    </x:row>
    <x:row r="169">
      <x:c r="A169" s="148" t="s">
        <x:v>108</x:v>
      </x:c>
      <x:c r="B169">
        <x:v>5</x:v>
      </x:c>
      <x:c r="C169" s="148" t="s">
        <x:v>116</x:v>
      </x:c>
      <x:c r="D169">
        <x:v>522</x:v>
      </x:c>
      <x:c r="E169" s="324">
        <x:v>0</x:v>
      </x:c>
      <x:c r="F169" s="324">
        <x:v>0</x:v>
      </x:c>
      <x:c r="G169" s="324">
        <x:v>0</x:v>
      </x:c>
      <x:c r="H169" s="324">
        <x:v>0</x:v>
      </x:c>
      <x:c r="I169" s="324">
        <x:v>0</x:v>
      </x:c>
      <x:c r="J169" s="324">
        <x:v>0</x:v>
      </x:c>
      <x:c r="K169" s="324">
        <x:v>0</x:v>
      </x:c>
      <x:c r="L169" s="324">
        <x:v>0</x:v>
      </x:c>
      <x:c r="M169" s="324">
        <x:v>0</x:v>
      </x:c>
      <x:c r="N169" s="324">
        <x:v>0</x:v>
      </x:c>
      <x:c r="O169" s="324">
        <x:v>0</x:v>
      </x:c>
      <x:c r="P169" s="324">
        <x:v>0</x:v>
      </x:c>
      <x:c r="Q169" s="257">
        <x:f t="shared" si="5"/>
        <x:v>0</x:v>
      </x:c>
    </x:row>
    <x:row r="170">
      <x:c r="A170" s="148" t="s">
        <x:v>108</x:v>
      </x:c>
      <x:c r="B170">
        <x:v>5</x:v>
      </x:c>
      <x:c r="C170" s="148" t="s">
        <x:v>116</x:v>
      </x:c>
      <x:c r="D170">
        <x:v>523</x:v>
      </x:c>
      <x:c r="E170" s="324">
        <x:v>0</x:v>
      </x:c>
      <x:c r="F170" s="324">
        <x:v>0</x:v>
      </x:c>
      <x:c r="G170" s="324">
        <x:v>0</x:v>
      </x:c>
      <x:c r="H170" s="324">
        <x:v>0</x:v>
      </x:c>
      <x:c r="I170" s="324">
        <x:v>0</x:v>
      </x:c>
      <x:c r="J170" s="324">
        <x:v>0</x:v>
      </x:c>
      <x:c r="K170" s="324">
        <x:v>0</x:v>
      </x:c>
      <x:c r="L170" s="324">
        <x:v>0</x:v>
      </x:c>
      <x:c r="M170" s="324">
        <x:v>0</x:v>
      </x:c>
      <x:c r="N170" s="324">
        <x:v>0</x:v>
      </x:c>
      <x:c r="O170" s="324">
        <x:v>0</x:v>
      </x:c>
      <x:c r="P170" s="324">
        <x:v>0</x:v>
      </x:c>
      <x:c r="Q170" s="257">
        <x:f t="shared" si="5"/>
        <x:v>0</x:v>
      </x:c>
    </x:row>
    <x:row r="171">
      <x:c r="A171" s="148" t="s">
        <x:v>108</x:v>
      </x:c>
      <x:c r="B171">
        <x:v>5</x:v>
      </x:c>
      <x:c r="C171" s="148" t="s">
        <x:v>115</x:v>
      </x:c>
      <x:c r="D171">
        <x:v>501</x:v>
      </x:c>
      <x:c r="E171" s="324">
        <x:v>0</x:v>
      </x:c>
      <x:c r="F171" s="324">
        <x:v>0</x:v>
      </x:c>
      <x:c r="G171" s="324">
        <x:v>0</x:v>
      </x:c>
      <x:c r="H171" s="324">
        <x:v>0</x:v>
      </x:c>
      <x:c r="I171" s="324">
        <x:v>0</x:v>
      </x:c>
      <x:c r="J171" s="324">
        <x:v>0</x:v>
      </x:c>
      <x:c r="K171" s="324">
        <x:v>0</x:v>
      </x:c>
      <x:c r="L171" s="324">
        <x:v>0</x:v>
      </x:c>
      <x:c r="M171" s="324">
        <x:v>0</x:v>
      </x:c>
      <x:c r="N171" s="324">
        <x:v>0</x:v>
      </x:c>
      <x:c r="O171" s="324">
        <x:v>0</x:v>
      </x:c>
      <x:c r="P171" s="324">
        <x:v>0</x:v>
      </x:c>
      <x:c r="Q171" s="257">
        <x:f t="shared" si="5"/>
        <x:v>0</x:v>
      </x:c>
    </x:row>
    <x:row r="172">
      <x:c r="A172" s="148" t="s">
        <x:v>108</x:v>
      </x:c>
      <x:c r="B172">
        <x:v>5</x:v>
      </x:c>
      <x:c r="C172" s="148" t="s">
        <x:v>115</x:v>
      </x:c>
      <x:c r="D172">
        <x:v>502</x:v>
      </x:c>
      <x:c r="E172" s="324">
        <x:v>0</x:v>
      </x:c>
      <x:c r="F172" s="324">
        <x:v>0</x:v>
      </x:c>
      <x:c r="G172" s="324">
        <x:v>0</x:v>
      </x:c>
      <x:c r="H172" s="324">
        <x:v>0</x:v>
      </x:c>
      <x:c r="I172" s="324">
        <x:v>0</x:v>
      </x:c>
      <x:c r="J172" s="324">
        <x:v>0</x:v>
      </x:c>
      <x:c r="K172" s="324">
        <x:v>0</x:v>
      </x:c>
      <x:c r="L172" s="324">
        <x:v>0</x:v>
      </x:c>
      <x:c r="M172" s="324">
        <x:v>0</x:v>
      </x:c>
      <x:c r="N172" s="324">
        <x:v>0</x:v>
      </x:c>
      <x:c r="O172" s="324">
        <x:v>0</x:v>
      </x:c>
      <x:c r="P172" s="324">
        <x:v>0</x:v>
      </x:c>
      <x:c r="Q172" s="257">
        <x:f t="shared" si="5"/>
        <x:v>0</x:v>
      </x:c>
    </x:row>
    <x:row r="173">
      <x:c r="A173" s="148" t="s">
        <x:v>108</x:v>
      </x:c>
      <x:c r="B173">
        <x:v>5</x:v>
      </x:c>
      <x:c r="C173" s="148" t="s">
        <x:v>115</x:v>
      </x:c>
      <x:c r="D173">
        <x:v>503</x:v>
      </x:c>
      <x:c r="E173" s="324">
        <x:v>0</x:v>
      </x:c>
      <x:c r="F173" s="324">
        <x:v>0</x:v>
      </x:c>
      <x:c r="G173" s="324">
        <x:v>0</x:v>
      </x:c>
      <x:c r="H173" s="324">
        <x:v>0</x:v>
      </x:c>
      <x:c r="I173" s="324">
        <x:v>0</x:v>
      </x:c>
      <x:c r="J173" s="324">
        <x:v>0</x:v>
      </x:c>
      <x:c r="K173" s="324">
        <x:v>0</x:v>
      </x:c>
      <x:c r="L173" s="324">
        <x:v>0</x:v>
      </x:c>
      <x:c r="M173" s="324">
        <x:v>0</x:v>
      </x:c>
      <x:c r="N173" s="324">
        <x:v>0</x:v>
      </x:c>
      <x:c r="O173" s="324">
        <x:v>0</x:v>
      </x:c>
      <x:c r="P173" s="324">
        <x:v>0</x:v>
      </x:c>
      <x:c r="Q173" s="257">
        <x:f t="shared" si="5"/>
        <x:v>0</x:v>
      </x:c>
    </x:row>
    <x:row r="174">
      <x:c r="A174" s="148" t="s">
        <x:v>108</x:v>
      </x:c>
      <x:c r="B174">
        <x:v>5</x:v>
      </x:c>
      <x:c r="C174" s="148" t="s">
        <x:v>115</x:v>
      </x:c>
      <x:c r="D174">
        <x:v>504</x:v>
      </x:c>
      <x:c r="E174" s="324">
        <x:v>0</x:v>
      </x:c>
      <x:c r="F174" s="324">
        <x:v>0</x:v>
      </x:c>
      <x:c r="G174" s="324">
        <x:v>0</x:v>
      </x:c>
      <x:c r="H174" s="324">
        <x:v>0</x:v>
      </x:c>
      <x:c r="I174" s="324">
        <x:v>0</x:v>
      </x:c>
      <x:c r="J174" s="324">
        <x:v>0</x:v>
      </x:c>
      <x:c r="K174" s="324">
        <x:v>0</x:v>
      </x:c>
      <x:c r="L174" s="324">
        <x:v>0</x:v>
      </x:c>
      <x:c r="M174" s="324">
        <x:v>0</x:v>
      </x:c>
      <x:c r="N174" s="324">
        <x:v>0</x:v>
      </x:c>
      <x:c r="O174" s="324">
        <x:v>0</x:v>
      </x:c>
      <x:c r="P174" s="324">
        <x:v>0</x:v>
      </x:c>
      <x:c r="Q174" s="257">
        <x:f t="shared" si="5"/>
        <x:v>0</x:v>
      </x:c>
    </x:row>
    <x:row r="175">
      <x:c r="A175" s="148" t="s">
        <x:v>108</x:v>
      </x:c>
      <x:c r="B175">
        <x:v>5</x:v>
      </x:c>
      <x:c r="C175" s="148" t="s">
        <x:v>115</x:v>
      </x:c>
      <x:c r="D175">
        <x:v>505</x:v>
      </x:c>
      <x:c r="E175" s="324">
        <x:v>0</x:v>
      </x:c>
      <x:c r="F175" s="324">
        <x:v>0</x:v>
      </x:c>
      <x:c r="G175" s="324">
        <x:v>0</x:v>
      </x:c>
      <x:c r="H175" s="324">
        <x:v>0</x:v>
      </x:c>
      <x:c r="I175" s="324">
        <x:v>0</x:v>
      </x:c>
      <x:c r="J175" s="324">
        <x:v>0</x:v>
      </x:c>
      <x:c r="K175" s="324">
        <x:v>0</x:v>
      </x:c>
      <x:c r="L175" s="324">
        <x:v>0</x:v>
      </x:c>
      <x:c r="M175" s="324">
        <x:v>0</x:v>
      </x:c>
      <x:c r="N175" s="324">
        <x:v>0</x:v>
      </x:c>
      <x:c r="O175" s="324">
        <x:v>0</x:v>
      </x:c>
      <x:c r="P175" s="324">
        <x:v>0</x:v>
      </x:c>
      <x:c r="Q175" s="257">
        <x:f t="shared" si="5"/>
        <x:v>0</x:v>
      </x:c>
    </x:row>
    <x:row r="176">
      <x:c r="A176" s="148" t="s">
        <x:v>108</x:v>
      </x:c>
      <x:c r="B176">
        <x:v>5</x:v>
      </x:c>
      <x:c r="C176" s="148" t="s">
        <x:v>115</x:v>
      </x:c>
      <x:c r="D176">
        <x:v>506</x:v>
      </x:c>
      <x:c r="E176" s="324">
        <x:v>0</x:v>
      </x:c>
      <x:c r="F176" s="324">
        <x:v>0</x:v>
      </x:c>
      <x:c r="G176" s="324">
        <x:v>0</x:v>
      </x:c>
      <x:c r="H176" s="324">
        <x:v>0</x:v>
      </x:c>
      <x:c r="I176" s="324">
        <x:v>0</x:v>
      </x:c>
      <x:c r="J176" s="324">
        <x:v>0</x:v>
      </x:c>
      <x:c r="K176" s="324">
        <x:v>0</x:v>
      </x:c>
      <x:c r="L176" s="324">
        <x:v>0</x:v>
      </x:c>
      <x:c r="M176" s="324">
        <x:v>0</x:v>
      </x:c>
      <x:c r="N176" s="324">
        <x:v>0</x:v>
      </x:c>
      <x:c r="O176" s="324">
        <x:v>0</x:v>
      </x:c>
      <x:c r="P176" s="324">
        <x:v>0</x:v>
      </x:c>
      <x:c r="Q176" s="257">
        <x:f t="shared" si="5"/>
        <x:v>0</x:v>
      </x:c>
    </x:row>
    <x:row r="177">
      <x:c r="A177" s="148" t="s">
        <x:v>108</x:v>
      </x:c>
      <x:c r="B177">
        <x:v>5</x:v>
      </x:c>
      <x:c r="C177" s="148" t="s">
        <x:v>115</x:v>
      </x:c>
      <x:c r="D177">
        <x:v>507</x:v>
      </x:c>
      <x:c r="E177" s="324">
        <x:v>0</x:v>
      </x:c>
      <x:c r="F177" s="324">
        <x:v>0</x:v>
      </x:c>
      <x:c r="G177" s="324">
        <x:v>0</x:v>
      </x:c>
      <x:c r="H177" s="324">
        <x:v>0</x:v>
      </x:c>
      <x:c r="I177" s="324">
        <x:v>0</x:v>
      </x:c>
      <x:c r="J177" s="324">
        <x:v>0</x:v>
      </x:c>
      <x:c r="K177" s="324">
        <x:v>0</x:v>
      </x:c>
      <x:c r="L177" s="324">
        <x:v>0</x:v>
      </x:c>
      <x:c r="M177" s="324">
        <x:v>0</x:v>
      </x:c>
      <x:c r="N177" s="324">
        <x:v>0</x:v>
      </x:c>
      <x:c r="O177" s="324">
        <x:v>0</x:v>
      </x:c>
      <x:c r="P177" s="324">
        <x:v>0</x:v>
      </x:c>
      <x:c r="Q177" s="257">
        <x:f t="shared" si="5"/>
        <x:v>0</x:v>
      </x:c>
    </x:row>
    <x:row r="178">
      <x:c r="A178" s="148" t="s">
        <x:v>108</x:v>
      </x:c>
      <x:c r="B178">
        <x:v>5</x:v>
      </x:c>
      <x:c r="C178" s="148" t="s">
        <x:v>115</x:v>
      </x:c>
      <x:c r="D178">
        <x:v>508</x:v>
      </x:c>
      <x:c r="E178" s="324">
        <x:v>0</x:v>
      </x:c>
      <x:c r="F178" s="324">
        <x:v>0</x:v>
      </x:c>
      <x:c r="G178" s="324">
        <x:v>0</x:v>
      </x:c>
      <x:c r="H178" s="324">
        <x:v>0</x:v>
      </x:c>
      <x:c r="I178" s="324">
        <x:v>0</x:v>
      </x:c>
      <x:c r="J178" s="324">
        <x:v>0</x:v>
      </x:c>
      <x:c r="K178" s="324">
        <x:v>0</x:v>
      </x:c>
      <x:c r="L178" s="324">
        <x:v>0</x:v>
      </x:c>
      <x:c r="M178" s="324">
        <x:v>0</x:v>
      </x:c>
      <x:c r="N178" s="324">
        <x:v>0</x:v>
      </x:c>
      <x:c r="O178" s="324">
        <x:v>0</x:v>
      </x:c>
      <x:c r="P178" s="324">
        <x:v>0</x:v>
      </x:c>
      <x:c r="Q178" s="257">
        <x:f t="shared" si="5"/>
        <x:v>0</x:v>
      </x:c>
    </x:row>
    <x:row r="179">
      <x:c r="A179" s="148" t="s">
        <x:v>108</x:v>
      </x:c>
      <x:c r="B179">
        <x:v>5</x:v>
      </x:c>
      <x:c r="C179" s="148" t="s">
        <x:v>115</x:v>
      </x:c>
      <x:c r="D179">
        <x:v>509</x:v>
      </x:c>
      <x:c r="E179" s="324">
        <x:v>0</x:v>
      </x:c>
      <x:c r="F179" s="324">
        <x:v>0</x:v>
      </x:c>
      <x:c r="G179" s="324">
        <x:v>0</x:v>
      </x:c>
      <x:c r="H179" s="324">
        <x:v>0</x:v>
      </x:c>
      <x:c r="I179" s="324">
        <x:v>0</x:v>
      </x:c>
      <x:c r="J179" s="324">
        <x:v>0</x:v>
      </x:c>
      <x:c r="K179" s="324">
        <x:v>0</x:v>
      </x:c>
      <x:c r="L179" s="324">
        <x:v>0</x:v>
      </x:c>
      <x:c r="M179" s="324">
        <x:v>0</x:v>
      </x:c>
      <x:c r="N179" s="324">
        <x:v>0</x:v>
      </x:c>
      <x:c r="O179" s="324">
        <x:v>0</x:v>
      </x:c>
      <x:c r="P179" s="324">
        <x:v>0</x:v>
      </x:c>
      <x:c r="Q179" s="257">
        <x:f t="shared" si="5"/>
        <x:v>0</x:v>
      </x:c>
    </x:row>
    <x:row r="180">
      <x:c r="A180" s="148" t="s">
        <x:v>108</x:v>
      </x:c>
      <x:c r="B180">
        <x:v>5</x:v>
      </x:c>
      <x:c r="C180" s="148" t="s">
        <x:v>115</x:v>
      </x:c>
      <x:c r="D180">
        <x:v>510</x:v>
      </x:c>
      <x:c r="E180" s="324">
        <x:v>0</x:v>
      </x:c>
      <x:c r="F180" s="324">
        <x:v>0</x:v>
      </x:c>
      <x:c r="G180" s="324">
        <x:v>0</x:v>
      </x:c>
      <x:c r="H180" s="324">
        <x:v>0</x:v>
      </x:c>
      <x:c r="I180" s="324">
        <x:v>0</x:v>
      </x:c>
      <x:c r="J180" s="324">
        <x:v>0</x:v>
      </x:c>
      <x:c r="K180" s="324">
        <x:v>0</x:v>
      </x:c>
      <x:c r="L180" s="324">
        <x:v>0</x:v>
      </x:c>
      <x:c r="M180" s="324">
        <x:v>0</x:v>
      </x:c>
      <x:c r="N180" s="324">
        <x:v>0</x:v>
      </x:c>
      <x:c r="O180" s="324">
        <x:v>0</x:v>
      </x:c>
      <x:c r="P180" s="324">
        <x:v>0</x:v>
      </x:c>
      <x:c r="Q180" s="257">
        <x:f t="shared" si="5"/>
        <x:v>0</x:v>
      </x:c>
    </x:row>
    <x:row r="181">
      <x:c r="A181" s="148" t="s">
        <x:v>108</x:v>
      </x:c>
      <x:c r="B181">
        <x:v>5</x:v>
      </x:c>
      <x:c r="C181" s="148" t="s">
        <x:v>115</x:v>
      </x:c>
      <x:c r="D181">
        <x:v>511</x:v>
      </x:c>
      <x:c r="E181" s="324">
        <x:v>0</x:v>
      </x:c>
      <x:c r="F181" s="324">
        <x:v>0</x:v>
      </x:c>
      <x:c r="G181" s="324">
        <x:v>0</x:v>
      </x:c>
      <x:c r="H181" s="324">
        <x:v>0</x:v>
      </x:c>
      <x:c r="I181" s="324">
        <x:v>0</x:v>
      </x:c>
      <x:c r="J181" s="324">
        <x:v>0</x:v>
      </x:c>
      <x:c r="K181" s="324">
        <x:v>0</x:v>
      </x:c>
      <x:c r="L181" s="324">
        <x:v>0</x:v>
      </x:c>
      <x:c r="M181" s="324">
        <x:v>0</x:v>
      </x:c>
      <x:c r="N181" s="324">
        <x:v>0</x:v>
      </x:c>
      <x:c r="O181" s="324">
        <x:v>0</x:v>
      </x:c>
      <x:c r="P181" s="324">
        <x:v>0</x:v>
      </x:c>
      <x:c r="Q181" s="257">
        <x:f t="shared" si="5"/>
        <x:v>0</x:v>
      </x:c>
    </x:row>
    <x:row r="182">
      <x:c r="A182" s="148" t="s">
        <x:v>108</x:v>
      </x:c>
      <x:c r="B182">
        <x:v>5</x:v>
      </x:c>
      <x:c r="C182" s="148" t="s">
        <x:v>115</x:v>
      </x:c>
      <x:c r="D182">
        <x:v>512</x:v>
      </x:c>
      <x:c r="E182" s="324">
        <x:v>0</x:v>
      </x:c>
      <x:c r="F182" s="324">
        <x:v>0</x:v>
      </x:c>
      <x:c r="G182" s="324">
        <x:v>0</x:v>
      </x:c>
      <x:c r="H182" s="324">
        <x:v>0</x:v>
      </x:c>
      <x:c r="I182" s="324">
        <x:v>0</x:v>
      </x:c>
      <x:c r="J182" s="324">
        <x:v>0</x:v>
      </x:c>
      <x:c r="K182" s="324">
        <x:v>0</x:v>
      </x:c>
      <x:c r="L182" s="324">
        <x:v>0</x:v>
      </x:c>
      <x:c r="M182" s="324">
        <x:v>0</x:v>
      </x:c>
      <x:c r="N182" s="324">
        <x:v>0</x:v>
      </x:c>
      <x:c r="O182" s="324">
        <x:v>0</x:v>
      </x:c>
      <x:c r="P182" s="324">
        <x:v>0</x:v>
      </x:c>
      <x:c r="Q182" s="257">
        <x:f t="shared" si="5"/>
        <x:v>0</x:v>
      </x:c>
    </x:row>
    <x:row r="183">
      <x:c r="A183" s="148" t="s">
        <x:v>108</x:v>
      </x:c>
      <x:c r="B183">
        <x:v>5</x:v>
      </x:c>
      <x:c r="C183" s="148" t="s">
        <x:v>115</x:v>
      </x:c>
      <x:c r="D183">
        <x:v>513</x:v>
      </x:c>
      <x:c r="E183" s="324">
        <x:v>0</x:v>
      </x:c>
      <x:c r="F183" s="324">
        <x:v>0</x:v>
      </x:c>
      <x:c r="G183" s="324">
        <x:v>0</x:v>
      </x:c>
      <x:c r="H183" s="324">
        <x:v>0</x:v>
      </x:c>
      <x:c r="I183" s="324">
        <x:v>0</x:v>
      </x:c>
      <x:c r="J183" s="324">
        <x:v>0</x:v>
      </x:c>
      <x:c r="K183" s="324">
        <x:v>0</x:v>
      </x:c>
      <x:c r="L183" s="324">
        <x:v>0</x:v>
      </x:c>
      <x:c r="M183" s="324">
        <x:v>0</x:v>
      </x:c>
      <x:c r="N183" s="324">
        <x:v>0</x:v>
      </x:c>
      <x:c r="O183" s="324">
        <x:v>0</x:v>
      </x:c>
      <x:c r="P183" s="324">
        <x:v>0</x:v>
      </x:c>
      <x:c r="Q183" s="257">
        <x:f t="shared" si="5"/>
        <x:v>0</x:v>
      </x:c>
    </x:row>
    <x:row r="184">
      <x:c r="A184" s="148" t="s">
        <x:v>108</x:v>
      </x:c>
      <x:c r="B184">
        <x:v>5</x:v>
      </x:c>
      <x:c r="C184" s="148" t="s">
        <x:v>115</x:v>
      </x:c>
      <x:c r="D184">
        <x:v>514</x:v>
      </x:c>
      <x:c r="E184" s="324">
        <x:v>0</x:v>
      </x:c>
      <x:c r="F184" s="324">
        <x:v>0</x:v>
      </x:c>
      <x:c r="G184" s="324">
        <x:v>0</x:v>
      </x:c>
      <x:c r="H184" s="324">
        <x:v>0</x:v>
      </x:c>
      <x:c r="I184" s="324">
        <x:v>0</x:v>
      </x:c>
      <x:c r="J184" s="324">
        <x:v>0</x:v>
      </x:c>
      <x:c r="K184" s="324">
        <x:v>0</x:v>
      </x:c>
      <x:c r="L184" s="324">
        <x:v>0</x:v>
      </x:c>
      <x:c r="M184" s="324">
        <x:v>0</x:v>
      </x:c>
      <x:c r="N184" s="324">
        <x:v>0</x:v>
      </x:c>
      <x:c r="O184" s="324">
        <x:v>0</x:v>
      </x:c>
      <x:c r="P184" s="324">
        <x:v>0</x:v>
      </x:c>
      <x:c r="Q184" s="257">
        <x:f t="shared" si="5"/>
        <x:v>0</x:v>
      </x:c>
    </x:row>
    <x:row r="185">
      <x:c r="A185" s="148" t="s">
        <x:v>108</x:v>
      </x:c>
      <x:c r="B185">
        <x:v>5</x:v>
      </x:c>
      <x:c r="C185" s="148" t="s">
        <x:v>115</x:v>
      </x:c>
      <x:c r="D185">
        <x:v>515</x:v>
      </x:c>
      <x:c r="E185" s="324">
        <x:v>0</x:v>
      </x:c>
      <x:c r="F185" s="324">
        <x:v>0</x:v>
      </x:c>
      <x:c r="G185" s="324">
        <x:v>0</x:v>
      </x:c>
      <x:c r="H185" s="324">
        <x:v>0</x:v>
      </x:c>
      <x:c r="I185" s="324">
        <x:v>0</x:v>
      </x:c>
      <x:c r="J185" s="324">
        <x:v>0</x:v>
      </x:c>
      <x:c r="K185" s="324">
        <x:v>0</x:v>
      </x:c>
      <x:c r="L185" s="324">
        <x:v>0</x:v>
      </x:c>
      <x:c r="M185" s="324">
        <x:v>0</x:v>
      </x:c>
      <x:c r="N185" s="324">
        <x:v>0</x:v>
      </x:c>
      <x:c r="O185" s="324">
        <x:v>0</x:v>
      </x:c>
      <x:c r="P185" s="324">
        <x:v>0</x:v>
      </x:c>
      <x:c r="Q185" s="257">
        <x:f t="shared" si="5"/>
        <x:v>0</x:v>
      </x:c>
    </x:row>
    <x:row r="186">
      <x:c r="A186" s="148" t="s">
        <x:v>108</x:v>
      </x:c>
      <x:c r="B186">
        <x:v>5</x:v>
      </x:c>
      <x:c r="C186" s="148" t="s">
        <x:v>115</x:v>
      </x:c>
      <x:c r="D186">
        <x:v>516</x:v>
      </x:c>
      <x:c r="E186" s="324">
        <x:v>0</x:v>
      </x:c>
      <x:c r="F186" s="324">
        <x:v>0</x:v>
      </x:c>
      <x:c r="G186" s="324">
        <x:v>0</x:v>
      </x:c>
      <x:c r="H186" s="324">
        <x:v>0</x:v>
      </x:c>
      <x:c r="I186" s="324">
        <x:v>0</x:v>
      </x:c>
      <x:c r="J186" s="324">
        <x:v>0</x:v>
      </x:c>
      <x:c r="K186" s="324">
        <x:v>0</x:v>
      </x:c>
      <x:c r="L186" s="324">
        <x:v>0</x:v>
      </x:c>
      <x:c r="M186" s="324">
        <x:v>0</x:v>
      </x:c>
      <x:c r="N186" s="324">
        <x:v>0</x:v>
      </x:c>
      <x:c r="O186" s="324">
        <x:v>0</x:v>
      </x:c>
      <x:c r="P186" s="324">
        <x:v>0</x:v>
      </x:c>
      <x:c r="Q186" s="257">
        <x:f t="shared" si="5"/>
        <x:v>0</x:v>
      </x:c>
    </x:row>
    <x:row r="187">
      <x:c r="A187" s="148" t="s">
        <x:v>108</x:v>
      </x:c>
      <x:c r="B187">
        <x:v>5</x:v>
      </x:c>
      <x:c r="C187" s="148" t="s">
        <x:v>115</x:v>
      </x:c>
      <x:c r="D187">
        <x:v>517</x:v>
      </x:c>
      <x:c r="E187" s="324">
        <x:v>0</x:v>
      </x:c>
      <x:c r="F187" s="324">
        <x:v>0</x:v>
      </x:c>
      <x:c r="G187" s="324">
        <x:v>0</x:v>
      </x:c>
      <x:c r="H187" s="324">
        <x:v>0</x:v>
      </x:c>
      <x:c r="I187" s="324">
        <x:v>0</x:v>
      </x:c>
      <x:c r="J187" s="324">
        <x:v>0</x:v>
      </x:c>
      <x:c r="K187" s="324">
        <x:v>0</x:v>
      </x:c>
      <x:c r="L187" s="324">
        <x:v>0</x:v>
      </x:c>
      <x:c r="M187" s="324">
        <x:v>0</x:v>
      </x:c>
      <x:c r="N187" s="324">
        <x:v>0</x:v>
      </x:c>
      <x:c r="O187" s="324">
        <x:v>0</x:v>
      </x:c>
      <x:c r="P187" s="324">
        <x:v>0</x:v>
      </x:c>
      <x:c r="Q187" s="257">
        <x:f t="shared" si="5"/>
        <x:v>0</x:v>
      </x:c>
    </x:row>
    <x:row r="188">
      <x:c r="A188" s="148" t="s">
        <x:v>108</x:v>
      </x:c>
      <x:c r="B188">
        <x:v>5</x:v>
      </x:c>
      <x:c r="C188" s="148" t="s">
        <x:v>115</x:v>
      </x:c>
      <x:c r="D188">
        <x:v>518</x:v>
      </x:c>
      <x:c r="E188" s="324">
        <x:v>0</x:v>
      </x:c>
      <x:c r="F188" s="324">
        <x:v>0</x:v>
      </x:c>
      <x:c r="G188" s="324">
        <x:v>0</x:v>
      </x:c>
      <x:c r="H188" s="324">
        <x:v>0</x:v>
      </x:c>
      <x:c r="I188" s="324">
        <x:v>0</x:v>
      </x:c>
      <x:c r="J188" s="324">
        <x:v>0</x:v>
      </x:c>
      <x:c r="K188" s="324">
        <x:v>0</x:v>
      </x:c>
      <x:c r="L188" s="324">
        <x:v>0</x:v>
      </x:c>
      <x:c r="M188" s="324">
        <x:v>0</x:v>
      </x:c>
      <x:c r="N188" s="324">
        <x:v>0</x:v>
      </x:c>
      <x:c r="O188" s="324">
        <x:v>0</x:v>
      </x:c>
      <x:c r="P188" s="324">
        <x:v>0</x:v>
      </x:c>
      <x:c r="Q188" s="257">
        <x:f t="shared" si="5"/>
        <x:v>0</x:v>
      </x:c>
    </x:row>
    <x:row r="189">
      <x:c r="A189" s="148" t="s">
        <x:v>108</x:v>
      </x:c>
      <x:c r="B189">
        <x:v>5</x:v>
      </x:c>
      <x:c r="C189" s="148" t="s">
        <x:v>115</x:v>
      </x:c>
      <x:c r="D189">
        <x:v>519</x:v>
      </x:c>
      <x:c r="E189" s="324">
        <x:v>0</x:v>
      </x:c>
      <x:c r="F189" s="324">
        <x:v>0</x:v>
      </x:c>
      <x:c r="G189" s="324">
        <x:v>0</x:v>
      </x:c>
      <x:c r="H189" s="324">
        <x:v>0</x:v>
      </x:c>
      <x:c r="I189" s="324">
        <x:v>0</x:v>
      </x:c>
      <x:c r="J189" s="324">
        <x:v>0</x:v>
      </x:c>
      <x:c r="K189" s="324">
        <x:v>0</x:v>
      </x:c>
      <x:c r="L189" s="324">
        <x:v>0</x:v>
      </x:c>
      <x:c r="M189" s="324">
        <x:v>0</x:v>
      </x:c>
      <x:c r="N189" s="324">
        <x:v>0</x:v>
      </x:c>
      <x:c r="O189" s="324">
        <x:v>0</x:v>
      </x:c>
      <x:c r="P189" s="324">
        <x:v>0</x:v>
      </x:c>
      <x:c r="Q189" s="257">
        <x:f t="shared" si="5"/>
        <x:v>0</x:v>
      </x:c>
    </x:row>
    <x:row r="190">
      <x:c r="A190" s="148" t="s">
        <x:v>108</x:v>
      </x:c>
      <x:c r="B190">
        <x:v>5</x:v>
      </x:c>
      <x:c r="C190" s="148" t="s">
        <x:v>115</x:v>
      </x:c>
      <x:c r="D190">
        <x:v>520</x:v>
      </x:c>
      <x:c r="E190" s="324">
        <x:v>0</x:v>
      </x:c>
      <x:c r="F190" s="324">
        <x:v>0</x:v>
      </x:c>
      <x:c r="G190" s="324">
        <x:v>0</x:v>
      </x:c>
      <x:c r="H190" s="324">
        <x:v>0</x:v>
      </x:c>
      <x:c r="I190" s="324">
        <x:v>0</x:v>
      </x:c>
      <x:c r="J190" s="324">
        <x:v>0</x:v>
      </x:c>
      <x:c r="K190" s="324">
        <x:v>0</x:v>
      </x:c>
      <x:c r="L190" s="324">
        <x:v>0</x:v>
      </x:c>
      <x:c r="M190" s="324">
        <x:v>0</x:v>
      </x:c>
      <x:c r="N190" s="324">
        <x:v>0</x:v>
      </x:c>
      <x:c r="O190" s="324">
        <x:v>0</x:v>
      </x:c>
      <x:c r="P190" s="324">
        <x:v>0</x:v>
      </x:c>
      <x:c r="Q190" s="257">
        <x:f t="shared" si="5"/>
        <x:v>0</x:v>
      </x:c>
    </x:row>
    <x:row r="191">
      <x:c r="A191" s="148" t="s">
        <x:v>108</x:v>
      </x:c>
      <x:c r="B191">
        <x:v>5</x:v>
      </x:c>
      <x:c r="C191" s="148" t="s">
        <x:v>115</x:v>
      </x:c>
      <x:c r="D191">
        <x:v>521</x:v>
      </x:c>
      <x:c r="E191" s="324">
        <x:v>0</x:v>
      </x:c>
      <x:c r="F191" s="324">
        <x:v>0</x:v>
      </x:c>
      <x:c r="G191" s="324">
        <x:v>0</x:v>
      </x:c>
      <x:c r="H191" s="324">
        <x:v>0</x:v>
      </x:c>
      <x:c r="I191" s="324">
        <x:v>0</x:v>
      </x:c>
      <x:c r="J191" s="324">
        <x:v>0</x:v>
      </x:c>
      <x:c r="K191" s="324">
        <x:v>0</x:v>
      </x:c>
      <x:c r="L191" s="324">
        <x:v>0</x:v>
      </x:c>
      <x:c r="M191" s="324">
        <x:v>0</x:v>
      </x:c>
      <x:c r="N191" s="324">
        <x:v>0</x:v>
      </x:c>
      <x:c r="O191" s="324">
        <x:v>0</x:v>
      </x:c>
      <x:c r="P191" s="324">
        <x:v>0</x:v>
      </x:c>
      <x:c r="Q191" s="257">
        <x:f t="shared" si="5"/>
        <x:v>0</x:v>
      </x:c>
    </x:row>
    <x:row r="192">
      <x:c r="A192" s="148"/>
      <x:c r="B192"/>
      <x:c r="C192" s="148"/>
      <x:c r="D192" s="148"/>
      <x:c r="E192" s="324"/>
      <x:c r="F192" s="324">
        <x:f t="shared" ref="F192:P192" si="7">AVERAGE(F148:F191)</x:f>
      </x:c>
      <x:c r="G192" s="324">
        <x:f t="shared" si="7"/>
      </x:c>
      <x:c r="H192" s="324">
        <x:f t="shared" si="7"/>
      </x:c>
      <x:c r="I192" s="324">
        <x:f t="shared" si="7"/>
      </x:c>
      <x:c r="J192" s="324">
        <x:f t="shared" si="7"/>
      </x:c>
      <x:c r="K192" s="324">
        <x:f t="shared" si="7"/>
      </x:c>
      <x:c r="L192" s="324">
        <x:f t="shared" si="7"/>
      </x:c>
      <x:c r="M192" s="324">
        <x:f t="shared" si="7"/>
      </x:c>
      <x:c r="N192" s="324">
        <x:f t="shared" si="7"/>
      </x:c>
      <x:c r="O192" s="324">
        <x:f t="shared" si="7"/>
      </x:c>
      <x:c r="P192" s="324">
        <x:f t="shared" si="7"/>
      </x:c>
      <x:c r="Q192" s="257">
        <x:f t="shared" si="5"/>
      </x:c>
    </x:row>
    <x:row r="193">
      <x:c r="A193" s="148" t="s">
        <x:v>108</x:v>
      </x:c>
      <x:c r="B193">
        <x:v>6</x:v>
      </x:c>
      <x:c r="C193" s="148" t="s">
        <x:v>116</x:v>
      </x:c>
      <x:c r="D193">
        <x:v>601</x:v>
      </x:c>
      <x:c r="E193" s="324">
        <x:v>0</x:v>
      </x:c>
      <x:c r="F193" s="324">
        <x:v>0</x:v>
      </x:c>
      <x:c r="G193" s="324">
        <x:v>0</x:v>
      </x:c>
      <x:c r="H193" s="324">
        <x:v>0</x:v>
      </x:c>
      <x:c r="I193" s="324">
        <x:v>0</x:v>
      </x:c>
      <x:c r="J193" s="324">
        <x:v>0</x:v>
      </x:c>
      <x:c r="K193" s="324">
        <x:v>0</x:v>
      </x:c>
      <x:c r="L193" s="324">
        <x:v>0</x:v>
      </x:c>
      <x:c r="M193" s="324">
        <x:v>0</x:v>
      </x:c>
      <x:c r="N193" s="324">
        <x:v>0</x:v>
      </x:c>
      <x:c r="O193" s="324">
        <x:v>0</x:v>
      </x:c>
      <x:c r="P193" s="324">
        <x:v>0</x:v>
      </x:c>
      <x:c r="Q193" s="257">
        <x:f t="shared" si="5"/>
        <x:v>0</x:v>
      </x:c>
    </x:row>
    <x:row r="194">
      <x:c r="A194" s="148" t="s">
        <x:v>108</x:v>
      </x:c>
      <x:c r="B194">
        <x:v>6</x:v>
      </x:c>
      <x:c r="C194" s="148" t="s">
        <x:v>116</x:v>
      </x:c>
      <x:c r="D194">
        <x:v>602</x:v>
      </x:c>
      <x:c r="E194" s="324">
        <x:v>0</x:v>
      </x:c>
      <x:c r="F194" s="324">
        <x:v>0</x:v>
      </x:c>
      <x:c r="G194" s="324">
        <x:v>0</x:v>
      </x:c>
      <x:c r="H194" s="324">
        <x:v>0</x:v>
      </x:c>
      <x:c r="I194" s="324">
        <x:v>0</x:v>
      </x:c>
      <x:c r="J194" s="324">
        <x:v>0</x:v>
      </x:c>
      <x:c r="K194" s="324">
        <x:v>0</x:v>
      </x:c>
      <x:c r="L194" s="324">
        <x:v>0</x:v>
      </x:c>
      <x:c r="M194" s="324">
        <x:v>0</x:v>
      </x:c>
      <x:c r="N194" s="324">
        <x:v>0</x:v>
      </x:c>
      <x:c r="O194" s="324">
        <x:v>0</x:v>
      </x:c>
      <x:c r="P194" s="324">
        <x:v>0</x:v>
      </x:c>
      <x:c r="Q194" s="257" t="n">
        <x:f t="shared" ref="Q194:Q257" si="8">AVERAGE(E194:P194)</x:f>
        <x:v>0</x:v>
      </x:c>
    </x:row>
    <x:row r="195">
      <x:c r="A195" s="148" t="s">
        <x:v>108</x:v>
      </x:c>
      <x:c r="B195">
        <x:v>6</x:v>
      </x:c>
      <x:c r="C195" s="148" t="s">
        <x:v>116</x:v>
      </x:c>
      <x:c r="D195">
        <x:v>603</x:v>
      </x:c>
      <x:c r="E195" s="324">
        <x:v>0</x:v>
      </x:c>
      <x:c r="F195" s="324">
        <x:v>0</x:v>
      </x:c>
      <x:c r="G195" s="324">
        <x:v>0</x:v>
      </x:c>
      <x:c r="H195" s="324">
        <x:v>0</x:v>
      </x:c>
      <x:c r="I195" s="324">
        <x:v>0</x:v>
      </x:c>
      <x:c r="J195" s="324">
        <x:v>0</x:v>
      </x:c>
      <x:c r="K195" s="324">
        <x:v>0</x:v>
      </x:c>
      <x:c r="L195" s="324">
        <x:v>0</x:v>
      </x:c>
      <x:c r="M195" s="324">
        <x:v>0</x:v>
      </x:c>
      <x:c r="N195" s="324">
        <x:v>0</x:v>
      </x:c>
      <x:c r="O195" s="324">
        <x:v>0</x:v>
      </x:c>
      <x:c r="P195" s="324">
        <x:v>0</x:v>
      </x:c>
      <x:c r="Q195" s="257">
        <x:f t="shared" si="8"/>
        <x:v>0</x:v>
      </x:c>
    </x:row>
    <x:row r="196">
      <x:c r="A196" s="148" t="s">
        <x:v>108</x:v>
      </x:c>
      <x:c r="B196">
        <x:v>6</x:v>
      </x:c>
      <x:c r="C196" s="148" t="s">
        <x:v>116</x:v>
      </x:c>
      <x:c r="D196">
        <x:v>604</x:v>
      </x:c>
      <x:c r="E196" s="324">
        <x:v>0</x:v>
      </x:c>
      <x:c r="F196" s="324">
        <x:v>0</x:v>
      </x:c>
      <x:c r="G196" s="324">
        <x:v>0</x:v>
      </x:c>
      <x:c r="H196" s="324">
        <x:v>0</x:v>
      </x:c>
      <x:c r="I196" s="324">
        <x:v>0</x:v>
      </x:c>
      <x:c r="J196" s="324">
        <x:v>0</x:v>
      </x:c>
      <x:c r="K196" s="324">
        <x:v>0</x:v>
      </x:c>
      <x:c r="L196" s="324">
        <x:v>0</x:v>
      </x:c>
      <x:c r="M196" s="324">
        <x:v>0</x:v>
      </x:c>
      <x:c r="N196" s="324">
        <x:v>0</x:v>
      </x:c>
      <x:c r="O196" s="324">
        <x:v>0</x:v>
      </x:c>
      <x:c r="P196" s="324">
        <x:v>0</x:v>
      </x:c>
      <x:c r="Q196" s="257">
        <x:f t="shared" si="8"/>
        <x:v>0</x:v>
      </x:c>
    </x:row>
    <x:row r="197">
      <x:c r="A197" s="148" t="s">
        <x:v>108</x:v>
      </x:c>
      <x:c r="B197">
        <x:v>6</x:v>
      </x:c>
      <x:c r="C197" s="148" t="s">
        <x:v>116</x:v>
      </x:c>
      <x:c r="D197">
        <x:v>605</x:v>
      </x:c>
      <x:c r="E197" s="324">
        <x:v>0</x:v>
      </x:c>
      <x:c r="F197" s="324">
        <x:v>0</x:v>
      </x:c>
      <x:c r="G197" s="324">
        <x:v>0</x:v>
      </x:c>
      <x:c r="H197" s="324">
        <x:v>0</x:v>
      </x:c>
      <x:c r="I197" s="324">
        <x:v>0</x:v>
      </x:c>
      <x:c r="J197" s="324">
        <x:v>0</x:v>
      </x:c>
      <x:c r="K197" s="324">
        <x:v>0</x:v>
      </x:c>
      <x:c r="L197" s="324">
        <x:v>0</x:v>
      </x:c>
      <x:c r="M197" s="324">
        <x:v>0</x:v>
      </x:c>
      <x:c r="N197" s="324">
        <x:v>0</x:v>
      </x:c>
      <x:c r="O197" s="324">
        <x:v>0</x:v>
      </x:c>
      <x:c r="P197" s="324">
        <x:v>0</x:v>
      </x:c>
      <x:c r="Q197" s="257">
        <x:f t="shared" si="8"/>
        <x:v>0</x:v>
      </x:c>
    </x:row>
    <x:row r="198">
      <x:c r="A198" s="148" t="s">
        <x:v>108</x:v>
      </x:c>
      <x:c r="B198">
        <x:v>6</x:v>
      </x:c>
      <x:c r="C198" s="148" t="s">
        <x:v>116</x:v>
      </x:c>
      <x:c r="D198">
        <x:v>606</x:v>
      </x:c>
      <x:c r="E198" s="324">
        <x:v>0</x:v>
      </x:c>
      <x:c r="F198" s="324">
        <x:v>0</x:v>
      </x:c>
      <x:c r="G198" s="324">
        <x:v>0</x:v>
      </x:c>
      <x:c r="H198" s="324">
        <x:v>0</x:v>
      </x:c>
      <x:c r="I198" s="324">
        <x:v>0</x:v>
      </x:c>
      <x:c r="J198" s="324">
        <x:v>0</x:v>
      </x:c>
      <x:c r="K198" s="324">
        <x:v>0</x:v>
      </x:c>
      <x:c r="L198" s="324">
        <x:v>0</x:v>
      </x:c>
      <x:c r="M198" s="324">
        <x:v>0</x:v>
      </x:c>
      <x:c r="N198" s="324">
        <x:v>0</x:v>
      </x:c>
      <x:c r="O198" s="324">
        <x:v>0</x:v>
      </x:c>
      <x:c r="P198" s="324">
        <x:v>0</x:v>
      </x:c>
      <x:c r="Q198" s="257">
        <x:f t="shared" si="8"/>
        <x:v>0</x:v>
      </x:c>
    </x:row>
    <x:row r="199">
      <x:c r="A199" s="148" t="s">
        <x:v>108</x:v>
      </x:c>
      <x:c r="B199">
        <x:v>6</x:v>
      </x:c>
      <x:c r="C199" s="148" t="s">
        <x:v>116</x:v>
      </x:c>
      <x:c r="D199">
        <x:v>607</x:v>
      </x:c>
      <x:c r="E199" s="324">
        <x:v>0</x:v>
      </x:c>
      <x:c r="F199" s="324">
        <x:v>0</x:v>
      </x:c>
      <x:c r="G199" s="324">
        <x:v>0</x:v>
      </x:c>
      <x:c r="H199" s="324">
        <x:v>0</x:v>
      </x:c>
      <x:c r="I199" s="324">
        <x:v>0</x:v>
      </x:c>
      <x:c r="J199" s="324">
        <x:v>0</x:v>
      </x:c>
      <x:c r="K199" s="324">
        <x:v>0</x:v>
      </x:c>
      <x:c r="L199" s="324">
        <x:v>0</x:v>
      </x:c>
      <x:c r="M199" s="324">
        <x:v>0</x:v>
      </x:c>
      <x:c r="N199" s="324">
        <x:v>0</x:v>
      </x:c>
      <x:c r="O199" s="324">
        <x:v>0</x:v>
      </x:c>
      <x:c r="P199" s="324">
        <x:v>0</x:v>
      </x:c>
      <x:c r="Q199" s="257">
        <x:f t="shared" si="8"/>
        <x:v>0</x:v>
      </x:c>
    </x:row>
    <x:row r="200">
      <x:c r="A200" s="148" t="s">
        <x:v>108</x:v>
      </x:c>
      <x:c r="B200">
        <x:v>6</x:v>
      </x:c>
      <x:c r="C200" s="148" t="s">
        <x:v>116</x:v>
      </x:c>
      <x:c r="D200">
        <x:v>608</x:v>
      </x:c>
      <x:c r="E200" s="324">
        <x:v>0</x:v>
      </x:c>
      <x:c r="F200" s="324">
        <x:v>0</x:v>
      </x:c>
      <x:c r="G200" s="324">
        <x:v>0</x:v>
      </x:c>
      <x:c r="H200" s="324">
        <x:v>0</x:v>
      </x:c>
      <x:c r="I200" s="324">
        <x:v>0</x:v>
      </x:c>
      <x:c r="J200" s="324">
        <x:v>0</x:v>
      </x:c>
      <x:c r="K200" s="324">
        <x:v>0</x:v>
      </x:c>
      <x:c r="L200" s="324">
        <x:v>0</x:v>
      </x:c>
      <x:c r="M200" s="324">
        <x:v>0</x:v>
      </x:c>
      <x:c r="N200" s="324">
        <x:v>0</x:v>
      </x:c>
      <x:c r="O200" s="324">
        <x:v>0</x:v>
      </x:c>
      <x:c r="P200" s="324">
        <x:v>0</x:v>
      </x:c>
      <x:c r="Q200" s="257">
        <x:f t="shared" si="8"/>
        <x:v>0</x:v>
      </x:c>
    </x:row>
    <x:row r="201">
      <x:c r="A201" s="148" t="s">
        <x:v>108</x:v>
      </x:c>
      <x:c r="B201">
        <x:v>6</x:v>
      </x:c>
      <x:c r="C201" s="148" t="s">
        <x:v>116</x:v>
      </x:c>
      <x:c r="D201">
        <x:v>609</x:v>
      </x:c>
      <x:c r="E201" s="324">
        <x:v>0</x:v>
      </x:c>
      <x:c r="F201" s="324">
        <x:v>0</x:v>
      </x:c>
      <x:c r="G201" s="324">
        <x:v>0</x:v>
      </x:c>
      <x:c r="H201" s="324">
        <x:v>0</x:v>
      </x:c>
      <x:c r="I201" s="324">
        <x:v>0</x:v>
      </x:c>
      <x:c r="J201" s="324">
        <x:v>0</x:v>
      </x:c>
      <x:c r="K201" s="324">
        <x:v>0</x:v>
      </x:c>
      <x:c r="L201" s="324">
        <x:v>0</x:v>
      </x:c>
      <x:c r="M201" s="324">
        <x:v>0</x:v>
      </x:c>
      <x:c r="N201" s="324">
        <x:v>0</x:v>
      </x:c>
      <x:c r="O201" s="324">
        <x:v>0</x:v>
      </x:c>
      <x:c r="P201" s="324">
        <x:v>0</x:v>
      </x:c>
      <x:c r="Q201" s="257">
        <x:f t="shared" si="8"/>
        <x:v>0</x:v>
      </x:c>
    </x:row>
    <x:row r="202">
      <x:c r="A202" s="148" t="s">
        <x:v>108</x:v>
      </x:c>
      <x:c r="B202">
        <x:v>6</x:v>
      </x:c>
      <x:c r="C202" s="148" t="s">
        <x:v>116</x:v>
      </x:c>
      <x:c r="D202">
        <x:v>610</x:v>
      </x:c>
      <x:c r="E202" s="324">
        <x:v>0</x:v>
      </x:c>
      <x:c r="F202" s="324">
        <x:v>0</x:v>
      </x:c>
      <x:c r="G202" s="324">
        <x:v>0</x:v>
      </x:c>
      <x:c r="H202" s="324">
        <x:v>0</x:v>
      </x:c>
      <x:c r="I202" s="324">
        <x:v>0</x:v>
      </x:c>
      <x:c r="J202" s="324">
        <x:v>0</x:v>
      </x:c>
      <x:c r="K202" s="324">
        <x:v>0</x:v>
      </x:c>
      <x:c r="L202" s="324">
        <x:v>0</x:v>
      </x:c>
      <x:c r="M202" s="324">
        <x:v>0</x:v>
      </x:c>
      <x:c r="N202" s="324">
        <x:v>0</x:v>
      </x:c>
      <x:c r="O202" s="324">
        <x:v>0</x:v>
      </x:c>
      <x:c r="P202" s="324">
        <x:v>0</x:v>
      </x:c>
      <x:c r="Q202" s="257">
        <x:f t="shared" si="8"/>
        <x:v>0</x:v>
      </x:c>
    </x:row>
    <x:row r="203">
      <x:c r="A203" s="148" t="s">
        <x:v>108</x:v>
      </x:c>
      <x:c r="B203">
        <x:v>6</x:v>
      </x:c>
      <x:c r="C203" s="148" t="s">
        <x:v>116</x:v>
      </x:c>
      <x:c r="D203">
        <x:v>611</x:v>
      </x:c>
      <x:c r="E203" s="324">
        <x:v>0</x:v>
      </x:c>
      <x:c r="F203" s="324">
        <x:v>0</x:v>
      </x:c>
      <x:c r="G203" s="324">
        <x:v>0</x:v>
      </x:c>
      <x:c r="H203" s="324">
        <x:v>0</x:v>
      </x:c>
      <x:c r="I203" s="324">
        <x:v>0</x:v>
      </x:c>
      <x:c r="J203" s="324">
        <x:v>0</x:v>
      </x:c>
      <x:c r="K203" s="324">
        <x:v>0</x:v>
      </x:c>
      <x:c r="L203" s="324">
        <x:v>0</x:v>
      </x:c>
      <x:c r="M203" s="324">
        <x:v>0</x:v>
      </x:c>
      <x:c r="N203" s="324">
        <x:v>0</x:v>
      </x:c>
      <x:c r="O203" s="324">
        <x:v>0</x:v>
      </x:c>
      <x:c r="P203" s="324">
        <x:v>0</x:v>
      </x:c>
      <x:c r="Q203" s="257">
        <x:f t="shared" si="8"/>
        <x:v>0</x:v>
      </x:c>
    </x:row>
    <x:row r="204">
      <x:c r="A204" s="148" t="s">
        <x:v>108</x:v>
      </x:c>
      <x:c r="B204">
        <x:v>6</x:v>
      </x:c>
      <x:c r="C204" s="148" t="s">
        <x:v>116</x:v>
      </x:c>
      <x:c r="D204">
        <x:v>612</x:v>
      </x:c>
      <x:c r="E204" s="324">
        <x:v>0</x:v>
      </x:c>
      <x:c r="F204" s="324">
        <x:v>0</x:v>
      </x:c>
      <x:c r="G204" s="324">
        <x:v>0</x:v>
      </x:c>
      <x:c r="H204" s="324">
        <x:v>0</x:v>
      </x:c>
      <x:c r="I204" s="324">
        <x:v>0</x:v>
      </x:c>
      <x:c r="J204" s="324">
        <x:v>0</x:v>
      </x:c>
      <x:c r="K204" s="324">
        <x:v>0</x:v>
      </x:c>
      <x:c r="L204" s="324">
        <x:v>0</x:v>
      </x:c>
      <x:c r="M204" s="324">
        <x:v>0</x:v>
      </x:c>
      <x:c r="N204" s="324">
        <x:v>0</x:v>
      </x:c>
      <x:c r="O204" s="324">
        <x:v>0</x:v>
      </x:c>
      <x:c r="P204" s="324">
        <x:v>0</x:v>
      </x:c>
      <x:c r="Q204" s="257">
        <x:f t="shared" si="8"/>
        <x:v>0</x:v>
      </x:c>
    </x:row>
    <x:row r="205">
      <x:c r="A205" s="148" t="s">
        <x:v>108</x:v>
      </x:c>
      <x:c r="B205">
        <x:v>6</x:v>
      </x:c>
      <x:c r="C205" s="148" t="s">
        <x:v>116</x:v>
      </x:c>
      <x:c r="D205">
        <x:v>613</x:v>
      </x:c>
      <x:c r="E205" s="324">
        <x:v>0</x:v>
      </x:c>
      <x:c r="F205" s="324">
        <x:v>0</x:v>
      </x:c>
      <x:c r="G205" s="324">
        <x:v>0</x:v>
      </x:c>
      <x:c r="H205" s="324">
        <x:v>0</x:v>
      </x:c>
      <x:c r="I205" s="324">
        <x:v>0</x:v>
      </x:c>
      <x:c r="J205" s="324">
        <x:v>0</x:v>
      </x:c>
      <x:c r="K205" s="324">
        <x:v>0</x:v>
      </x:c>
      <x:c r="L205" s="324">
        <x:v>0</x:v>
      </x:c>
      <x:c r="M205" s="324">
        <x:v>0</x:v>
      </x:c>
      <x:c r="N205" s="324">
        <x:v>0</x:v>
      </x:c>
      <x:c r="O205" s="324">
        <x:v>0</x:v>
      </x:c>
      <x:c r="P205" s="324">
        <x:v>0</x:v>
      </x:c>
      <x:c r="Q205" s="257">
        <x:f t="shared" si="8"/>
        <x:v>0</x:v>
      </x:c>
    </x:row>
    <x:row r="206">
      <x:c r="A206" s="148" t="s">
        <x:v>108</x:v>
      </x:c>
      <x:c r="B206">
        <x:v>6</x:v>
      </x:c>
      <x:c r="C206" s="148" t="s">
        <x:v>116</x:v>
      </x:c>
      <x:c r="D206">
        <x:v>614</x:v>
      </x:c>
      <x:c r="E206" s="324">
        <x:v>0</x:v>
      </x:c>
      <x:c r="F206" s="324">
        <x:v>0</x:v>
      </x:c>
      <x:c r="G206" s="324">
        <x:v>0</x:v>
      </x:c>
      <x:c r="H206" s="324">
        <x:v>0</x:v>
      </x:c>
      <x:c r="I206" s="324">
        <x:v>0</x:v>
      </x:c>
      <x:c r="J206" s="324">
        <x:v>0</x:v>
      </x:c>
      <x:c r="K206" s="324">
        <x:v>0</x:v>
      </x:c>
      <x:c r="L206" s="324">
        <x:v>0</x:v>
      </x:c>
      <x:c r="M206" s="324">
        <x:v>0</x:v>
      </x:c>
      <x:c r="N206" s="324">
        <x:v>0</x:v>
      </x:c>
      <x:c r="O206" s="324">
        <x:v>0</x:v>
      </x:c>
      <x:c r="P206" s="324">
        <x:v>0</x:v>
      </x:c>
      <x:c r="Q206" s="257">
        <x:f t="shared" si="8"/>
        <x:v>0</x:v>
      </x:c>
    </x:row>
    <x:row r="207">
      <x:c r="A207" s="148" t="s">
        <x:v>108</x:v>
      </x:c>
      <x:c r="B207">
        <x:v>6</x:v>
      </x:c>
      <x:c r="C207" s="148" t="s">
        <x:v>116</x:v>
      </x:c>
      <x:c r="D207">
        <x:v>615</x:v>
      </x:c>
      <x:c r="E207" s="324">
        <x:v>0</x:v>
      </x:c>
      <x:c r="F207" s="324">
        <x:v>0</x:v>
      </x:c>
      <x:c r="G207" s="324">
        <x:v>0</x:v>
      </x:c>
      <x:c r="H207" s="324">
        <x:v>0</x:v>
      </x:c>
      <x:c r="I207" s="324">
        <x:v>0</x:v>
      </x:c>
      <x:c r="J207" s="324">
        <x:v>0</x:v>
      </x:c>
      <x:c r="K207" s="324">
        <x:v>0</x:v>
      </x:c>
      <x:c r="L207" s="324">
        <x:v>0</x:v>
      </x:c>
      <x:c r="M207" s="324">
        <x:v>0</x:v>
      </x:c>
      <x:c r="N207" s="324">
        <x:v>0</x:v>
      </x:c>
      <x:c r="O207" s="324">
        <x:v>0</x:v>
      </x:c>
      <x:c r="P207" s="324">
        <x:v>0</x:v>
      </x:c>
      <x:c r="Q207" s="257">
        <x:f t="shared" si="8"/>
        <x:v>0</x:v>
      </x:c>
    </x:row>
    <x:row r="208">
      <x:c r="A208" s="148" t="s">
        <x:v>108</x:v>
      </x:c>
      <x:c r="B208">
        <x:v>6</x:v>
      </x:c>
      <x:c r="C208" s="148" t="s">
        <x:v>116</x:v>
      </x:c>
      <x:c r="D208">
        <x:v>616</x:v>
      </x:c>
      <x:c r="E208" s="324">
        <x:v>0</x:v>
      </x:c>
      <x:c r="F208" s="324">
        <x:v>0</x:v>
      </x:c>
      <x:c r="G208" s="324">
        <x:v>0</x:v>
      </x:c>
      <x:c r="H208" s="324">
        <x:v>0</x:v>
      </x:c>
      <x:c r="I208" s="324">
        <x:v>0</x:v>
      </x:c>
      <x:c r="J208" s="324">
        <x:v>0</x:v>
      </x:c>
      <x:c r="K208" s="324">
        <x:v>0</x:v>
      </x:c>
      <x:c r="L208" s="324">
        <x:v>0</x:v>
      </x:c>
      <x:c r="M208" s="324">
        <x:v>0</x:v>
      </x:c>
      <x:c r="N208" s="324">
        <x:v>0</x:v>
      </x:c>
      <x:c r="O208" s="324">
        <x:v>0</x:v>
      </x:c>
      <x:c r="P208" s="324">
        <x:v>0</x:v>
      </x:c>
      <x:c r="Q208" s="257">
        <x:f t="shared" si="8"/>
        <x:v>0</x:v>
      </x:c>
    </x:row>
    <x:row r="209">
      <x:c r="A209" s="148" t="s">
        <x:v>108</x:v>
      </x:c>
      <x:c r="B209">
        <x:v>6</x:v>
      </x:c>
      <x:c r="C209" s="148" t="s">
        <x:v>116</x:v>
      </x:c>
      <x:c r="D209">
        <x:v>617</x:v>
      </x:c>
      <x:c r="E209" s="324">
        <x:v>0</x:v>
      </x:c>
      <x:c r="F209" s="324">
        <x:v>0</x:v>
      </x:c>
      <x:c r="G209" s="324">
        <x:v>0</x:v>
      </x:c>
      <x:c r="H209" s="324">
        <x:v>0</x:v>
      </x:c>
      <x:c r="I209" s="324">
        <x:v>0</x:v>
      </x:c>
      <x:c r="J209" s="324">
        <x:v>0</x:v>
      </x:c>
      <x:c r="K209" s="324">
        <x:v>0</x:v>
      </x:c>
      <x:c r="L209" s="324">
        <x:v>0</x:v>
      </x:c>
      <x:c r="M209" s="324">
        <x:v>0</x:v>
      </x:c>
      <x:c r="N209" s="324">
        <x:v>0</x:v>
      </x:c>
      <x:c r="O209" s="324">
        <x:v>0</x:v>
      </x:c>
      <x:c r="P209" s="324">
        <x:v>0</x:v>
      </x:c>
      <x:c r="Q209" s="257">
        <x:f t="shared" si="8"/>
        <x:v>0</x:v>
      </x:c>
    </x:row>
    <x:row r="210">
      <x:c r="A210" s="148" t="s">
        <x:v>108</x:v>
      </x:c>
      <x:c r="B210">
        <x:v>6</x:v>
      </x:c>
      <x:c r="C210" s="148" t="s">
        <x:v>116</x:v>
      </x:c>
      <x:c r="D210">
        <x:v>618</x:v>
      </x:c>
      <x:c r="E210" s="324">
        <x:v>0</x:v>
      </x:c>
      <x:c r="F210" s="324">
        <x:v>0</x:v>
      </x:c>
      <x:c r="G210" s="324">
        <x:v>0</x:v>
      </x:c>
      <x:c r="H210" s="324">
        <x:v>0</x:v>
      </x:c>
      <x:c r="I210" s="324">
        <x:v>0</x:v>
      </x:c>
      <x:c r="J210" s="324">
        <x:v>0</x:v>
      </x:c>
      <x:c r="K210" s="324">
        <x:v>0</x:v>
      </x:c>
      <x:c r="L210" s="324">
        <x:v>0</x:v>
      </x:c>
      <x:c r="M210" s="324">
        <x:v>0</x:v>
      </x:c>
      <x:c r="N210" s="324">
        <x:v>0</x:v>
      </x:c>
      <x:c r="O210" s="324">
        <x:v>0</x:v>
      </x:c>
      <x:c r="P210" s="324">
        <x:v>0</x:v>
      </x:c>
      <x:c r="Q210" s="257">
        <x:f t="shared" si="8"/>
        <x:v>0</x:v>
      </x:c>
    </x:row>
    <x:row r="211">
      <x:c r="A211" s="148" t="s">
        <x:v>108</x:v>
      </x:c>
      <x:c r="B211">
        <x:v>6</x:v>
      </x:c>
      <x:c r="C211" s="148" t="s">
        <x:v>116</x:v>
      </x:c>
      <x:c r="D211">
        <x:v>619</x:v>
      </x:c>
      <x:c r="E211" s="324">
        <x:v>0</x:v>
      </x:c>
      <x:c r="F211" s="324">
        <x:v>0</x:v>
      </x:c>
      <x:c r="G211" s="324">
        <x:v>0</x:v>
      </x:c>
      <x:c r="H211" s="324">
        <x:v>0</x:v>
      </x:c>
      <x:c r="I211" s="324">
        <x:v>0</x:v>
      </x:c>
      <x:c r="J211" s="324">
        <x:v>0</x:v>
      </x:c>
      <x:c r="K211" s="324">
        <x:v>0</x:v>
      </x:c>
      <x:c r="L211" s="324">
        <x:v>0</x:v>
      </x:c>
      <x:c r="M211" s="324">
        <x:v>0</x:v>
      </x:c>
      <x:c r="N211" s="324">
        <x:v>0</x:v>
      </x:c>
      <x:c r="O211" s="324">
        <x:v>0</x:v>
      </x:c>
      <x:c r="P211" s="324">
        <x:v>0</x:v>
      </x:c>
      <x:c r="Q211" s="257">
        <x:f t="shared" si="8"/>
        <x:v>0</x:v>
      </x:c>
    </x:row>
    <x:row r="212">
      <x:c r="A212" s="148" t="s">
        <x:v>108</x:v>
      </x:c>
      <x:c r="B212">
        <x:v>6</x:v>
      </x:c>
      <x:c r="C212" s="148" t="s">
        <x:v>116</x:v>
      </x:c>
      <x:c r="D212">
        <x:v>620</x:v>
      </x:c>
      <x:c r="E212" s="324">
        <x:v>0</x:v>
      </x:c>
      <x:c r="F212" s="324">
        <x:v>0</x:v>
      </x:c>
      <x:c r="G212" s="324">
        <x:v>0</x:v>
      </x:c>
      <x:c r="H212" s="324">
        <x:v>0</x:v>
      </x:c>
      <x:c r="I212" s="324">
        <x:v>0</x:v>
      </x:c>
      <x:c r="J212" s="324">
        <x:v>0</x:v>
      </x:c>
      <x:c r="K212" s="324">
        <x:v>0</x:v>
      </x:c>
      <x:c r="L212" s="324">
        <x:v>0</x:v>
      </x:c>
      <x:c r="M212" s="324">
        <x:v>0</x:v>
      </x:c>
      <x:c r="N212" s="324">
        <x:v>0</x:v>
      </x:c>
      <x:c r="O212" s="324">
        <x:v>0</x:v>
      </x:c>
      <x:c r="P212" s="324">
        <x:v>0</x:v>
      </x:c>
      <x:c r="Q212" s="257">
        <x:f t="shared" si="8"/>
        <x:v>0</x:v>
      </x:c>
    </x:row>
    <x:row r="213">
      <x:c r="A213" s="148" t="s">
        <x:v>108</x:v>
      </x:c>
      <x:c r="B213">
        <x:v>6</x:v>
      </x:c>
      <x:c r="C213" s="148" t="s">
        <x:v>116</x:v>
      </x:c>
      <x:c r="D213">
        <x:v>621</x:v>
      </x:c>
      <x:c r="E213" s="324">
        <x:v>0</x:v>
      </x:c>
      <x:c r="F213" s="324">
        <x:v>0</x:v>
      </x:c>
      <x:c r="G213" s="324">
        <x:v>0</x:v>
      </x:c>
      <x:c r="H213" s="324">
        <x:v>0</x:v>
      </x:c>
      <x:c r="I213" s="324">
        <x:v>0</x:v>
      </x:c>
      <x:c r="J213" s="324">
        <x:v>0</x:v>
      </x:c>
      <x:c r="K213" s="324">
        <x:v>0</x:v>
      </x:c>
      <x:c r="L213" s="324">
        <x:v>0</x:v>
      </x:c>
      <x:c r="M213" s="324">
        <x:v>0</x:v>
      </x:c>
      <x:c r="N213" s="324">
        <x:v>0</x:v>
      </x:c>
      <x:c r="O213" s="324">
        <x:v>0</x:v>
      </x:c>
      <x:c r="P213" s="324">
        <x:v>0</x:v>
      </x:c>
      <x:c r="Q213" s="257">
        <x:f t="shared" si="8"/>
        <x:v>0</x:v>
      </x:c>
    </x:row>
    <x:row r="214">
      <x:c r="A214" s="148" t="s">
        <x:v>108</x:v>
      </x:c>
      <x:c r="B214">
        <x:v>6</x:v>
      </x:c>
      <x:c r="C214" s="148" t="s">
        <x:v>116</x:v>
      </x:c>
      <x:c r="D214">
        <x:v>622</x:v>
      </x:c>
      <x:c r="E214" s="324">
        <x:v>0</x:v>
      </x:c>
      <x:c r="F214" s="324">
        <x:v>0</x:v>
      </x:c>
      <x:c r="G214" s="324">
        <x:v>0</x:v>
      </x:c>
      <x:c r="H214" s="324">
        <x:v>0</x:v>
      </x:c>
      <x:c r="I214" s="324">
        <x:v>0</x:v>
      </x:c>
      <x:c r="J214" s="324">
        <x:v>0</x:v>
      </x:c>
      <x:c r="K214" s="324">
        <x:v>0</x:v>
      </x:c>
      <x:c r="L214" s="324">
        <x:v>0</x:v>
      </x:c>
      <x:c r="M214" s="324">
        <x:v>0</x:v>
      </x:c>
      <x:c r="N214" s="324">
        <x:v>0</x:v>
      </x:c>
      <x:c r="O214" s="324">
        <x:v>0</x:v>
      </x:c>
      <x:c r="P214" s="324">
        <x:v>0</x:v>
      </x:c>
      <x:c r="Q214" s="257">
        <x:f t="shared" si="8"/>
        <x:v>0</x:v>
      </x:c>
    </x:row>
    <x:row r="215">
      <x:c r="A215" s="148" t="s">
        <x:v>108</x:v>
      </x:c>
      <x:c r="B215">
        <x:v>6</x:v>
      </x:c>
      <x:c r="C215" s="148" t="s">
        <x:v>116</x:v>
      </x:c>
      <x:c r="D215">
        <x:v>623</x:v>
      </x:c>
      <x:c r="E215" s="324">
        <x:v>0</x:v>
      </x:c>
      <x:c r="F215" s="324">
        <x:v>0</x:v>
      </x:c>
      <x:c r="G215" s="324">
        <x:v>0</x:v>
      </x:c>
      <x:c r="H215" s="324">
        <x:v>0</x:v>
      </x:c>
      <x:c r="I215" s="324">
        <x:v>0</x:v>
      </x:c>
      <x:c r="J215" s="324">
        <x:v>0</x:v>
      </x:c>
      <x:c r="K215" s="324">
        <x:v>0</x:v>
      </x:c>
      <x:c r="L215" s="324">
        <x:v>0</x:v>
      </x:c>
      <x:c r="M215" s="324">
        <x:v>0</x:v>
      </x:c>
      <x:c r="N215" s="324">
        <x:v>0</x:v>
      </x:c>
      <x:c r="O215" s="324">
        <x:v>0</x:v>
      </x:c>
      <x:c r="P215" s="324">
        <x:v>0</x:v>
      </x:c>
      <x:c r="Q215" s="257">
        <x:f t="shared" si="8"/>
        <x:v>0</x:v>
      </x:c>
    </x:row>
    <x:row r="216">
      <x:c r="A216" s="148" t="s">
        <x:v>108</x:v>
      </x:c>
      <x:c r="B216">
        <x:v>6</x:v>
      </x:c>
      <x:c r="C216" s="148" t="s">
        <x:v>115</x:v>
      </x:c>
      <x:c r="D216">
        <x:v>601</x:v>
      </x:c>
      <x:c r="E216" s="324">
        <x:v>0</x:v>
      </x:c>
      <x:c r="F216" s="324">
        <x:v>0</x:v>
      </x:c>
      <x:c r="G216" s="324">
        <x:v>0</x:v>
      </x:c>
      <x:c r="H216" s="324">
        <x:v>0</x:v>
      </x:c>
      <x:c r="I216" s="324">
        <x:v>0</x:v>
      </x:c>
      <x:c r="J216" s="324">
        <x:v>0</x:v>
      </x:c>
      <x:c r="K216" s="324">
        <x:v>0</x:v>
      </x:c>
      <x:c r="L216" s="324">
        <x:v>0</x:v>
      </x:c>
      <x:c r="M216" s="324">
        <x:v>0</x:v>
      </x:c>
      <x:c r="N216" s="324">
        <x:v>0</x:v>
      </x:c>
      <x:c r="O216" s="324">
        <x:v>0</x:v>
      </x:c>
      <x:c r="P216" s="324">
        <x:v>0</x:v>
      </x:c>
      <x:c r="Q216" s="257">
        <x:f t="shared" si="8"/>
        <x:v>0</x:v>
      </x:c>
    </x:row>
    <x:row r="217">
      <x:c r="A217" s="148" t="s">
        <x:v>108</x:v>
      </x:c>
      <x:c r="B217">
        <x:v>6</x:v>
      </x:c>
      <x:c r="C217" s="148" t="s">
        <x:v>115</x:v>
      </x:c>
      <x:c r="D217">
        <x:v>602</x:v>
      </x:c>
      <x:c r="E217" s="324">
        <x:v>0</x:v>
      </x:c>
      <x:c r="F217" s="324">
        <x:v>0</x:v>
      </x:c>
      <x:c r="G217" s="324">
        <x:v>0</x:v>
      </x:c>
      <x:c r="H217" s="324">
        <x:v>0</x:v>
      </x:c>
      <x:c r="I217" s="324">
        <x:v>0</x:v>
      </x:c>
      <x:c r="J217" s="324">
        <x:v>0</x:v>
      </x:c>
      <x:c r="K217" s="324">
        <x:v>0</x:v>
      </x:c>
      <x:c r="L217" s="324">
        <x:v>0</x:v>
      </x:c>
      <x:c r="M217" s="324">
        <x:v>0</x:v>
      </x:c>
      <x:c r="N217" s="324">
        <x:v>0</x:v>
      </x:c>
      <x:c r="O217" s="324">
        <x:v>0</x:v>
      </x:c>
      <x:c r="P217" s="324">
        <x:v>0</x:v>
      </x:c>
      <x:c r="Q217" s="257">
        <x:f t="shared" si="8"/>
        <x:v>0</x:v>
      </x:c>
    </x:row>
    <x:row r="218">
      <x:c r="A218" s="148" t="s">
        <x:v>108</x:v>
      </x:c>
      <x:c r="B218">
        <x:v>6</x:v>
      </x:c>
      <x:c r="C218" s="148" t="s">
        <x:v>115</x:v>
      </x:c>
      <x:c r="D218">
        <x:v>603</x:v>
      </x:c>
      <x:c r="E218" s="324">
        <x:v>0</x:v>
      </x:c>
      <x:c r="F218" s="324">
        <x:v>0</x:v>
      </x:c>
      <x:c r="G218" s="324">
        <x:v>0</x:v>
      </x:c>
      <x:c r="H218" s="324">
        <x:v>0</x:v>
      </x:c>
      <x:c r="I218" s="324">
        <x:v>0</x:v>
      </x:c>
      <x:c r="J218" s="324">
        <x:v>0</x:v>
      </x:c>
      <x:c r="K218" s="324">
        <x:v>0</x:v>
      </x:c>
      <x:c r="L218" s="324">
        <x:v>0</x:v>
      </x:c>
      <x:c r="M218" s="324">
        <x:v>0</x:v>
      </x:c>
      <x:c r="N218" s="324">
        <x:v>0</x:v>
      </x:c>
      <x:c r="O218" s="324">
        <x:v>0</x:v>
      </x:c>
      <x:c r="P218" s="324">
        <x:v>0</x:v>
      </x:c>
      <x:c r="Q218" s="257">
        <x:f t="shared" si="8"/>
        <x:v>0</x:v>
      </x:c>
    </x:row>
    <x:row r="219">
      <x:c r="A219" s="148" t="s">
        <x:v>108</x:v>
      </x:c>
      <x:c r="B219">
        <x:v>6</x:v>
      </x:c>
      <x:c r="C219" s="148" t="s">
        <x:v>115</x:v>
      </x:c>
      <x:c r="D219">
        <x:v>604</x:v>
      </x:c>
      <x:c r="E219" s="324">
        <x:v>0</x:v>
      </x:c>
      <x:c r="F219" s="324">
        <x:v>0</x:v>
      </x:c>
      <x:c r="G219" s="324">
        <x:v>0</x:v>
      </x:c>
      <x:c r="H219" s="324">
        <x:v>0</x:v>
      </x:c>
      <x:c r="I219" s="324">
        <x:v>0</x:v>
      </x:c>
      <x:c r="J219" s="324">
        <x:v>0</x:v>
      </x:c>
      <x:c r="K219" s="324">
        <x:v>0</x:v>
      </x:c>
      <x:c r="L219" s="324">
        <x:v>0</x:v>
      </x:c>
      <x:c r="M219" s="324">
        <x:v>0</x:v>
      </x:c>
      <x:c r="N219" s="324">
        <x:v>0</x:v>
      </x:c>
      <x:c r="O219" s="324">
        <x:v>0</x:v>
      </x:c>
      <x:c r="P219" s="324">
        <x:v>0</x:v>
      </x:c>
      <x:c r="Q219" s="257">
        <x:f t="shared" si="8"/>
        <x:v>0</x:v>
      </x:c>
    </x:row>
    <x:row r="220">
      <x:c r="A220" s="148" t="s">
        <x:v>108</x:v>
      </x:c>
      <x:c r="B220">
        <x:v>6</x:v>
      </x:c>
      <x:c r="C220" s="148" t="s">
        <x:v>115</x:v>
      </x:c>
      <x:c r="D220">
        <x:v>605</x:v>
      </x:c>
      <x:c r="E220" s="324">
        <x:v>0</x:v>
      </x:c>
      <x:c r="F220" s="324">
        <x:v>0</x:v>
      </x:c>
      <x:c r="G220" s="324">
        <x:v>0</x:v>
      </x:c>
      <x:c r="H220" s="324">
        <x:v>0</x:v>
      </x:c>
      <x:c r="I220" s="324">
        <x:v>0</x:v>
      </x:c>
      <x:c r="J220" s="324">
        <x:v>0</x:v>
      </x:c>
      <x:c r="K220" s="324">
        <x:v>0</x:v>
      </x:c>
      <x:c r="L220" s="324">
        <x:v>0</x:v>
      </x:c>
      <x:c r="M220" s="324">
        <x:v>0</x:v>
      </x:c>
      <x:c r="N220" s="324">
        <x:v>0</x:v>
      </x:c>
      <x:c r="O220" s="324">
        <x:v>0</x:v>
      </x:c>
      <x:c r="P220" s="324">
        <x:v>0</x:v>
      </x:c>
      <x:c r="Q220" s="257">
        <x:f t="shared" si="8"/>
        <x:v>0</x:v>
      </x:c>
    </x:row>
    <x:row r="221">
      <x:c r="A221" s="148" t="s">
        <x:v>108</x:v>
      </x:c>
      <x:c r="B221">
        <x:v>6</x:v>
      </x:c>
      <x:c r="C221" s="148" t="s">
        <x:v>115</x:v>
      </x:c>
      <x:c r="D221">
        <x:v>606</x:v>
      </x:c>
      <x:c r="E221" s="324">
        <x:v>0</x:v>
      </x:c>
      <x:c r="F221" s="324">
        <x:v>0</x:v>
      </x:c>
      <x:c r="G221" s="324">
        <x:v>0</x:v>
      </x:c>
      <x:c r="H221" s="324">
        <x:v>0</x:v>
      </x:c>
      <x:c r="I221" s="324">
        <x:v>0</x:v>
      </x:c>
      <x:c r="J221" s="324">
        <x:v>0</x:v>
      </x:c>
      <x:c r="K221" s="324">
        <x:v>0</x:v>
      </x:c>
      <x:c r="L221" s="324">
        <x:v>0</x:v>
      </x:c>
      <x:c r="M221" s="324">
        <x:v>0</x:v>
      </x:c>
      <x:c r="N221" s="324">
        <x:v>0</x:v>
      </x:c>
      <x:c r="O221" s="324">
        <x:v>0</x:v>
      </x:c>
      <x:c r="P221" s="324">
        <x:v>0</x:v>
      </x:c>
      <x:c r="Q221" s="257">
        <x:f t="shared" si="8"/>
        <x:v>0</x:v>
      </x:c>
    </x:row>
    <x:row r="222">
      <x:c r="A222" s="148" t="s">
        <x:v>108</x:v>
      </x:c>
      <x:c r="B222">
        <x:v>6</x:v>
      </x:c>
      <x:c r="C222" s="148" t="s">
        <x:v>115</x:v>
      </x:c>
      <x:c r="D222">
        <x:v>607</x:v>
      </x:c>
      <x:c r="E222" s="324">
        <x:v>0</x:v>
      </x:c>
      <x:c r="F222" s="324">
        <x:v>0</x:v>
      </x:c>
      <x:c r="G222" s="324">
        <x:v>0</x:v>
      </x:c>
      <x:c r="H222" s="324">
        <x:v>0</x:v>
      </x:c>
      <x:c r="I222" s="324">
        <x:v>0</x:v>
      </x:c>
      <x:c r="J222" s="324">
        <x:v>0</x:v>
      </x:c>
      <x:c r="K222" s="324">
        <x:v>0</x:v>
      </x:c>
      <x:c r="L222" s="324">
        <x:v>0</x:v>
      </x:c>
      <x:c r="M222" s="324">
        <x:v>0</x:v>
      </x:c>
      <x:c r="N222" s="324">
        <x:v>0</x:v>
      </x:c>
      <x:c r="O222" s="324">
        <x:v>0</x:v>
      </x:c>
      <x:c r="P222" s="324">
        <x:v>0</x:v>
      </x:c>
      <x:c r="Q222" s="257">
        <x:f t="shared" si="8"/>
        <x:v>0</x:v>
      </x:c>
    </x:row>
    <x:row r="223">
      <x:c r="A223" s="148" t="s">
        <x:v>108</x:v>
      </x:c>
      <x:c r="B223">
        <x:v>6</x:v>
      </x:c>
      <x:c r="C223" s="148" t="s">
        <x:v>115</x:v>
      </x:c>
      <x:c r="D223">
        <x:v>608</x:v>
      </x:c>
      <x:c r="E223" s="324">
        <x:v>0</x:v>
      </x:c>
      <x:c r="F223" s="324">
        <x:v>0</x:v>
      </x:c>
      <x:c r="G223" s="324">
        <x:v>0</x:v>
      </x:c>
      <x:c r="H223" s="324">
        <x:v>0</x:v>
      </x:c>
      <x:c r="I223" s="324">
        <x:v>0</x:v>
      </x:c>
      <x:c r="J223" s="324">
        <x:v>0</x:v>
      </x:c>
      <x:c r="K223" s="324">
        <x:v>0</x:v>
      </x:c>
      <x:c r="L223" s="324">
        <x:v>0</x:v>
      </x:c>
      <x:c r="M223" s="324">
        <x:v>0</x:v>
      </x:c>
      <x:c r="N223" s="324">
        <x:v>0</x:v>
      </x:c>
      <x:c r="O223" s="324">
        <x:v>0</x:v>
      </x:c>
      <x:c r="P223" s="324">
        <x:v>0</x:v>
      </x:c>
      <x:c r="Q223" s="257">
        <x:f t="shared" si="8"/>
        <x:v>0</x:v>
      </x:c>
    </x:row>
    <x:row r="224">
      <x:c r="A224" s="148" t="s">
        <x:v>108</x:v>
      </x:c>
      <x:c r="B224">
        <x:v>6</x:v>
      </x:c>
      <x:c r="C224" s="148" t="s">
        <x:v>115</x:v>
      </x:c>
      <x:c r="D224">
        <x:v>609</x:v>
      </x:c>
      <x:c r="E224" s="324">
        <x:v>0</x:v>
      </x:c>
      <x:c r="F224" s="324">
        <x:v>0</x:v>
      </x:c>
      <x:c r="G224" s="324">
        <x:v>0</x:v>
      </x:c>
      <x:c r="H224" s="324">
        <x:v>0</x:v>
      </x:c>
      <x:c r="I224" s="324">
        <x:v>0</x:v>
      </x:c>
      <x:c r="J224" s="324">
        <x:v>0</x:v>
      </x:c>
      <x:c r="K224" s="324">
        <x:v>0</x:v>
      </x:c>
      <x:c r="L224" s="324">
        <x:v>0</x:v>
      </x:c>
      <x:c r="M224" s="324">
        <x:v>0</x:v>
      </x:c>
      <x:c r="N224" s="324">
        <x:v>0</x:v>
      </x:c>
      <x:c r="O224" s="324">
        <x:v>0</x:v>
      </x:c>
      <x:c r="P224" s="324">
        <x:v>0</x:v>
      </x:c>
      <x:c r="Q224" s="257">
        <x:f t="shared" si="8"/>
        <x:v>0</x:v>
      </x:c>
    </x:row>
    <x:row r="225">
      <x:c r="A225" s="148" t="s">
        <x:v>108</x:v>
      </x:c>
      <x:c r="B225">
        <x:v>6</x:v>
      </x:c>
      <x:c r="C225" s="148" t="s">
        <x:v>115</x:v>
      </x:c>
      <x:c r="D225">
        <x:v>610</x:v>
      </x:c>
      <x:c r="E225" s="324">
        <x:v>0</x:v>
      </x:c>
      <x:c r="F225" s="324">
        <x:v>0</x:v>
      </x:c>
      <x:c r="G225" s="324">
        <x:v>0</x:v>
      </x:c>
      <x:c r="H225" s="324">
        <x:v>0</x:v>
      </x:c>
      <x:c r="I225" s="324">
        <x:v>0</x:v>
      </x:c>
      <x:c r="J225" s="324">
        <x:v>0</x:v>
      </x:c>
      <x:c r="K225" s="324">
        <x:v>0</x:v>
      </x:c>
      <x:c r="L225" s="324">
        <x:v>0</x:v>
      </x:c>
      <x:c r="M225" s="324">
        <x:v>0</x:v>
      </x:c>
      <x:c r="N225" s="324">
        <x:v>0</x:v>
      </x:c>
      <x:c r="O225" s="324">
        <x:v>0</x:v>
      </x:c>
      <x:c r="P225" s="324">
        <x:v>0</x:v>
      </x:c>
      <x:c r="Q225" s="257">
        <x:f t="shared" si="8"/>
        <x:v>0</x:v>
      </x:c>
    </x:row>
    <x:row r="226">
      <x:c r="A226" s="148" t="s">
        <x:v>108</x:v>
      </x:c>
      <x:c r="B226">
        <x:v>6</x:v>
      </x:c>
      <x:c r="C226" s="148" t="s">
        <x:v>115</x:v>
      </x:c>
      <x:c r="D226">
        <x:v>611</x:v>
      </x:c>
      <x:c r="E226" s="324">
        <x:v>0</x:v>
      </x:c>
      <x:c r="F226" s="324">
        <x:v>0</x:v>
      </x:c>
      <x:c r="G226" s="324">
        <x:v>0</x:v>
      </x:c>
      <x:c r="H226" s="324">
        <x:v>0</x:v>
      </x:c>
      <x:c r="I226" s="324">
        <x:v>0</x:v>
      </x:c>
      <x:c r="J226" s="324">
        <x:v>0</x:v>
      </x:c>
      <x:c r="K226" s="324">
        <x:v>0</x:v>
      </x:c>
      <x:c r="L226" s="324">
        <x:v>0</x:v>
      </x:c>
      <x:c r="M226" s="324">
        <x:v>0</x:v>
      </x:c>
      <x:c r="N226" s="324">
        <x:v>0</x:v>
      </x:c>
      <x:c r="O226" s="324">
        <x:v>0</x:v>
      </x:c>
      <x:c r="P226" s="324">
        <x:v>0</x:v>
      </x:c>
      <x:c r="Q226" s="257">
        <x:f t="shared" si="8"/>
        <x:v>0</x:v>
      </x:c>
    </x:row>
    <x:row r="227">
      <x:c r="A227" s="148" t="s">
        <x:v>108</x:v>
      </x:c>
      <x:c r="B227">
        <x:v>6</x:v>
      </x:c>
      <x:c r="C227" s="148" t="s">
        <x:v>115</x:v>
      </x:c>
      <x:c r="D227">
        <x:v>612</x:v>
      </x:c>
      <x:c r="E227" s="324">
        <x:v>0</x:v>
      </x:c>
      <x:c r="F227" s="324">
        <x:v>0</x:v>
      </x:c>
      <x:c r="G227" s="324">
        <x:v>0</x:v>
      </x:c>
      <x:c r="H227" s="324">
        <x:v>0</x:v>
      </x:c>
      <x:c r="I227" s="324">
        <x:v>0</x:v>
      </x:c>
      <x:c r="J227" s="324">
        <x:v>0</x:v>
      </x:c>
      <x:c r="K227" s="324">
        <x:v>0</x:v>
      </x:c>
      <x:c r="L227" s="324">
        <x:v>0</x:v>
      </x:c>
      <x:c r="M227" s="324">
        <x:v>0</x:v>
      </x:c>
      <x:c r="N227" s="324">
        <x:v>0</x:v>
      </x:c>
      <x:c r="O227" s="324">
        <x:v>0</x:v>
      </x:c>
      <x:c r="P227" s="324">
        <x:v>0</x:v>
      </x:c>
      <x:c r="Q227" s="257">
        <x:f t="shared" si="8"/>
        <x:v>0</x:v>
      </x:c>
    </x:row>
    <x:row r="228">
      <x:c r="A228" s="148" t="s">
        <x:v>108</x:v>
      </x:c>
      <x:c r="B228">
        <x:v>6</x:v>
      </x:c>
      <x:c r="C228" s="148" t="s">
        <x:v>115</x:v>
      </x:c>
      <x:c r="D228">
        <x:v>613</x:v>
      </x:c>
      <x:c r="E228" s="324">
        <x:v>0</x:v>
      </x:c>
      <x:c r="F228" s="324">
        <x:v>0</x:v>
      </x:c>
      <x:c r="G228" s="324">
        <x:v>0</x:v>
      </x:c>
      <x:c r="H228" s="324">
        <x:v>0</x:v>
      </x:c>
      <x:c r="I228" s="324">
        <x:v>0</x:v>
      </x:c>
      <x:c r="J228" s="324">
        <x:v>0</x:v>
      </x:c>
      <x:c r="K228" s="324">
        <x:v>0</x:v>
      </x:c>
      <x:c r="L228" s="324">
        <x:v>0</x:v>
      </x:c>
      <x:c r="M228" s="324">
        <x:v>0</x:v>
      </x:c>
      <x:c r="N228" s="324">
        <x:v>0</x:v>
      </x:c>
      <x:c r="O228" s="324">
        <x:v>0</x:v>
      </x:c>
      <x:c r="P228" s="324">
        <x:v>0</x:v>
      </x:c>
      <x:c r="Q228" s="257">
        <x:f t="shared" si="8"/>
        <x:v>0</x:v>
      </x:c>
    </x:row>
    <x:row r="229">
      <x:c r="A229" s="148" t="s">
        <x:v>108</x:v>
      </x:c>
      <x:c r="B229">
        <x:v>6</x:v>
      </x:c>
      <x:c r="C229" s="148" t="s">
        <x:v>115</x:v>
      </x:c>
      <x:c r="D229">
        <x:v>614</x:v>
      </x:c>
      <x:c r="E229" s="324">
        <x:v>0</x:v>
      </x:c>
      <x:c r="F229" s="324">
        <x:v>0</x:v>
      </x:c>
      <x:c r="G229" s="324">
        <x:v>0</x:v>
      </x:c>
      <x:c r="H229" s="324">
        <x:v>0</x:v>
      </x:c>
      <x:c r="I229" s="324">
        <x:v>0</x:v>
      </x:c>
      <x:c r="J229" s="324">
        <x:v>0</x:v>
      </x:c>
      <x:c r="K229" s="324">
        <x:v>0</x:v>
      </x:c>
      <x:c r="L229" s="324">
        <x:v>0</x:v>
      </x:c>
      <x:c r="M229" s="324">
        <x:v>0</x:v>
      </x:c>
      <x:c r="N229" s="324">
        <x:v>0</x:v>
      </x:c>
      <x:c r="O229" s="324">
        <x:v>0</x:v>
      </x:c>
      <x:c r="P229" s="324">
        <x:v>0</x:v>
      </x:c>
      <x:c r="Q229" s="257">
        <x:f t="shared" si="8"/>
        <x:v>0</x:v>
      </x:c>
    </x:row>
    <x:row r="230">
      <x:c r="A230" s="148" t="s">
        <x:v>108</x:v>
      </x:c>
      <x:c r="B230">
        <x:v>6</x:v>
      </x:c>
      <x:c r="C230" s="148" t="s">
        <x:v>115</x:v>
      </x:c>
      <x:c r="D230">
        <x:v>615</x:v>
      </x:c>
      <x:c r="E230" s="324">
        <x:v>0</x:v>
      </x:c>
      <x:c r="F230" s="324">
        <x:v>0</x:v>
      </x:c>
      <x:c r="G230" s="324">
        <x:v>0</x:v>
      </x:c>
      <x:c r="H230" s="324">
        <x:v>0</x:v>
      </x:c>
      <x:c r="I230" s="324">
        <x:v>0</x:v>
      </x:c>
      <x:c r="J230" s="324">
        <x:v>0</x:v>
      </x:c>
      <x:c r="K230" s="324">
        <x:v>0</x:v>
      </x:c>
      <x:c r="L230" s="324">
        <x:v>0</x:v>
      </x:c>
      <x:c r="M230" s="324">
        <x:v>0</x:v>
      </x:c>
      <x:c r="N230" s="324">
        <x:v>0</x:v>
      </x:c>
      <x:c r="O230" s="324">
        <x:v>0</x:v>
      </x:c>
      <x:c r="P230" s="324">
        <x:v>0</x:v>
      </x:c>
      <x:c r="Q230" s="257">
        <x:f t="shared" si="8"/>
        <x:v>0</x:v>
      </x:c>
    </x:row>
    <x:row r="231">
      <x:c r="A231" s="148" t="s">
        <x:v>108</x:v>
      </x:c>
      <x:c r="B231">
        <x:v>6</x:v>
      </x:c>
      <x:c r="C231" s="148" t="s">
        <x:v>115</x:v>
      </x:c>
      <x:c r="D231">
        <x:v>616</x:v>
      </x:c>
      <x:c r="E231" s="324">
        <x:v>0</x:v>
      </x:c>
      <x:c r="F231" s="324">
        <x:v>0</x:v>
      </x:c>
      <x:c r="G231" s="324">
        <x:v>0</x:v>
      </x:c>
      <x:c r="H231" s="324">
        <x:v>0</x:v>
      </x:c>
      <x:c r="I231" s="324">
        <x:v>0</x:v>
      </x:c>
      <x:c r="J231" s="324">
        <x:v>0</x:v>
      </x:c>
      <x:c r="K231" s="324">
        <x:v>0</x:v>
      </x:c>
      <x:c r="L231" s="324">
        <x:v>0</x:v>
      </x:c>
      <x:c r="M231" s="324">
        <x:v>0</x:v>
      </x:c>
      <x:c r="N231" s="324">
        <x:v>0</x:v>
      </x:c>
      <x:c r="O231" s="324">
        <x:v>0</x:v>
      </x:c>
      <x:c r="P231" s="324">
        <x:v>0</x:v>
      </x:c>
      <x:c r="Q231" s="257">
        <x:f t="shared" si="8"/>
        <x:v>0</x:v>
      </x:c>
    </x:row>
    <x:row r="232">
      <x:c r="A232" s="148" t="s">
        <x:v>108</x:v>
      </x:c>
      <x:c r="B232">
        <x:v>6</x:v>
      </x:c>
      <x:c r="C232" s="148" t="s">
        <x:v>115</x:v>
      </x:c>
      <x:c r="D232">
        <x:v>617</x:v>
      </x:c>
      <x:c r="E232" s="324">
        <x:v>0</x:v>
      </x:c>
      <x:c r="F232" s="324">
        <x:v>0</x:v>
      </x:c>
      <x:c r="G232" s="324">
        <x:v>0</x:v>
      </x:c>
      <x:c r="H232" s="324">
        <x:v>0</x:v>
      </x:c>
      <x:c r="I232" s="324">
        <x:v>0</x:v>
      </x:c>
      <x:c r="J232" s="324">
        <x:v>0</x:v>
      </x:c>
      <x:c r="K232" s="324">
        <x:v>0</x:v>
      </x:c>
      <x:c r="L232" s="324">
        <x:v>0</x:v>
      </x:c>
      <x:c r="M232" s="324">
        <x:v>0</x:v>
      </x:c>
      <x:c r="N232" s="324">
        <x:v>0</x:v>
      </x:c>
      <x:c r="O232" s="324">
        <x:v>0</x:v>
      </x:c>
      <x:c r="P232" s="324">
        <x:v>0</x:v>
      </x:c>
      <x:c r="Q232" s="257">
        <x:f t="shared" si="8"/>
        <x:v>0</x:v>
      </x:c>
    </x:row>
    <x:row r="233">
      <x:c r="A233" s="148" t="s">
        <x:v>108</x:v>
      </x:c>
      <x:c r="B233">
        <x:v>6</x:v>
      </x:c>
      <x:c r="C233" s="148" t="s">
        <x:v>115</x:v>
      </x:c>
      <x:c r="D233">
        <x:v>618</x:v>
      </x:c>
      <x:c r="E233" s="324">
        <x:v>0</x:v>
      </x:c>
      <x:c r="F233" s="324">
        <x:v>0</x:v>
      </x:c>
      <x:c r="G233" s="324">
        <x:v>0</x:v>
      </x:c>
      <x:c r="H233" s="324">
        <x:v>0</x:v>
      </x:c>
      <x:c r="I233" s="324">
        <x:v>0</x:v>
      </x:c>
      <x:c r="J233" s="324">
        <x:v>0</x:v>
      </x:c>
      <x:c r="K233" s="324">
        <x:v>0</x:v>
      </x:c>
      <x:c r="L233" s="324">
        <x:v>0</x:v>
      </x:c>
      <x:c r="M233" s="324">
        <x:v>0</x:v>
      </x:c>
      <x:c r="N233" s="324">
        <x:v>0</x:v>
      </x:c>
      <x:c r="O233" s="324">
        <x:v>0</x:v>
      </x:c>
      <x:c r="P233" s="324">
        <x:v>0</x:v>
      </x:c>
      <x:c r="Q233" s="257">
        <x:f t="shared" si="8"/>
        <x:v>0</x:v>
      </x:c>
    </x:row>
    <x:row r="234">
      <x:c r="A234" s="148" t="s">
        <x:v>108</x:v>
      </x:c>
      <x:c r="B234">
        <x:v>6</x:v>
      </x:c>
      <x:c r="C234" s="148" t="s">
        <x:v>115</x:v>
      </x:c>
      <x:c r="D234">
        <x:v>619</x:v>
      </x:c>
      <x:c r="E234" s="324">
        <x:v>0</x:v>
      </x:c>
      <x:c r="F234" s="324">
        <x:v>0</x:v>
      </x:c>
      <x:c r="G234" s="324">
        <x:v>0</x:v>
      </x:c>
      <x:c r="H234" s="324">
        <x:v>0</x:v>
      </x:c>
      <x:c r="I234" s="324">
        <x:v>0</x:v>
      </x:c>
      <x:c r="J234" s="324">
        <x:v>0</x:v>
      </x:c>
      <x:c r="K234" s="324">
        <x:v>0</x:v>
      </x:c>
      <x:c r="L234" s="324">
        <x:v>0</x:v>
      </x:c>
      <x:c r="M234" s="324">
        <x:v>0</x:v>
      </x:c>
      <x:c r="N234" s="324">
        <x:v>0</x:v>
      </x:c>
      <x:c r="O234" s="324">
        <x:v>0</x:v>
      </x:c>
      <x:c r="P234" s="324">
        <x:v>0</x:v>
      </x:c>
      <x:c r="Q234" s="257">
        <x:f t="shared" si="8"/>
        <x:v>0</x:v>
      </x:c>
    </x:row>
    <x:row r="235">
      <x:c r="A235" s="148" t="s">
        <x:v>108</x:v>
      </x:c>
      <x:c r="B235">
        <x:v>6</x:v>
      </x:c>
      <x:c r="C235" s="148" t="s">
        <x:v>115</x:v>
      </x:c>
      <x:c r="D235">
        <x:v>620</x:v>
      </x:c>
      <x:c r="E235" s="324">
        <x:v>0</x:v>
      </x:c>
      <x:c r="F235" s="324">
        <x:v>0</x:v>
      </x:c>
      <x:c r="G235" s="324">
        <x:v>0</x:v>
      </x:c>
      <x:c r="H235" s="324">
        <x:v>0</x:v>
      </x:c>
      <x:c r="I235" s="324">
        <x:v>0</x:v>
      </x:c>
      <x:c r="J235" s="324">
        <x:v>0</x:v>
      </x:c>
      <x:c r="K235" s="324">
        <x:v>0</x:v>
      </x:c>
      <x:c r="L235" s="324">
        <x:v>0</x:v>
      </x:c>
      <x:c r="M235" s="324">
        <x:v>0</x:v>
      </x:c>
      <x:c r="N235" s="324">
        <x:v>0</x:v>
      </x:c>
      <x:c r="O235" s="324">
        <x:v>0</x:v>
      </x:c>
      <x:c r="P235" s="324">
        <x:v>0</x:v>
      </x:c>
      <x:c r="Q235" s="257">
        <x:f t="shared" si="8"/>
        <x:v>0</x:v>
      </x:c>
    </x:row>
    <x:row r="236">
      <x:c r="A236" s="148" t="s">
        <x:v>108</x:v>
      </x:c>
      <x:c r="B236">
        <x:v>6</x:v>
      </x:c>
      <x:c r="C236" s="148" t="s">
        <x:v>115</x:v>
      </x:c>
      <x:c r="D236">
        <x:v>621</x:v>
      </x:c>
      <x:c r="E236" s="324">
        <x:v>0</x:v>
      </x:c>
      <x:c r="F236" s="324">
        <x:v>0</x:v>
      </x:c>
      <x:c r="G236" s="324">
        <x:v>0</x:v>
      </x:c>
      <x:c r="H236" s="324">
        <x:v>0</x:v>
      </x:c>
      <x:c r="I236" s="324">
        <x:v>0</x:v>
      </x:c>
      <x:c r="J236" s="324">
        <x:v>0</x:v>
      </x:c>
      <x:c r="K236" s="324">
        <x:v>0</x:v>
      </x:c>
      <x:c r="L236" s="324">
        <x:v>0</x:v>
      </x:c>
      <x:c r="M236" s="324">
        <x:v>0</x:v>
      </x:c>
      <x:c r="N236" s="324">
        <x:v>0</x:v>
      </x:c>
      <x:c r="O236" s="324">
        <x:v>0</x:v>
      </x:c>
      <x:c r="P236" s="324">
        <x:v>0</x:v>
      </x:c>
      <x:c r="Q236" s="257">
        <x:f t="shared" si="8"/>
        <x:v>0</x:v>
      </x:c>
    </x:row>
    <x:row r="237">
      <x:c r="A237" s="148"/>
      <x:c r="B237"/>
      <x:c r="C237" s="148"/>
      <x:c r="D237"/>
      <x:c r="E237" s="324"/>
      <x:c r="F237" s="324">
        <x:f t="shared" ref="F237:P237" si="9">AVERAGE(F193:F236)</x:f>
      </x:c>
      <x:c r="G237" s="324">
        <x:f t="shared" si="9"/>
      </x:c>
      <x:c r="H237" s="324">
        <x:f t="shared" si="9"/>
      </x:c>
      <x:c r="I237" s="324">
        <x:f t="shared" si="9"/>
      </x:c>
      <x:c r="J237" s="324">
        <x:f t="shared" si="9"/>
      </x:c>
      <x:c r="K237" s="324">
        <x:f t="shared" si="9"/>
      </x:c>
      <x:c r="L237" s="324">
        <x:f t="shared" si="9"/>
      </x:c>
      <x:c r="M237" s="324">
        <x:f t="shared" si="9"/>
      </x:c>
      <x:c r="N237" s="324">
        <x:f t="shared" si="9"/>
      </x:c>
      <x:c r="O237" s="324">
        <x:f t="shared" si="9"/>
      </x:c>
      <x:c r="P237" s="324">
        <x:f t="shared" si="9"/>
      </x:c>
      <x:c r="Q237" s="257">
        <x:f t="shared" si="8"/>
      </x:c>
    </x:row>
    <x:row r="238">
      <x:c r="A238" s="148" t="s">
        <x:v>108</x:v>
      </x:c>
      <x:c r="B238">
        <x:v>7</x:v>
      </x:c>
      <x:c r="C238" s="148" t="s">
        <x:v>116</x:v>
      </x:c>
      <x:c r="D238">
        <x:v>701</x:v>
      </x:c>
      <x:c r="E238" s="324">
        <x:v>0</x:v>
      </x:c>
      <x:c r="F238" s="324">
        <x:v>0</x:v>
      </x:c>
      <x:c r="G238" s="324">
        <x:v>0</x:v>
      </x:c>
      <x:c r="H238" s="324">
        <x:v>0</x:v>
      </x:c>
      <x:c r="I238" s="324">
        <x:v>0</x:v>
      </x:c>
      <x:c r="J238" s="324">
        <x:v>0</x:v>
      </x:c>
      <x:c r="K238" s="324">
        <x:v>0</x:v>
      </x:c>
      <x:c r="L238" s="324">
        <x:v>0</x:v>
      </x:c>
      <x:c r="M238" s="324">
        <x:v>0</x:v>
      </x:c>
      <x:c r="N238" s="324">
        <x:v>0</x:v>
      </x:c>
      <x:c r="O238" s="324">
        <x:v>0</x:v>
      </x:c>
      <x:c r="P238" s="324">
        <x:v>0</x:v>
      </x:c>
      <x:c r="Q238" s="257">
        <x:f t="shared" si="8"/>
        <x:v>0</x:v>
      </x:c>
    </x:row>
    <x:row r="239">
      <x:c r="A239" s="148" t="s">
        <x:v>108</x:v>
      </x:c>
      <x:c r="B239">
        <x:v>7</x:v>
      </x:c>
      <x:c r="C239" s="148" t="s">
        <x:v>116</x:v>
      </x:c>
      <x:c r="D239">
        <x:v>702</x:v>
      </x:c>
      <x:c r="E239" s="324">
        <x:v>0</x:v>
      </x:c>
      <x:c r="F239" s="324">
        <x:v>0</x:v>
      </x:c>
      <x:c r="G239" s="324">
        <x:v>0</x:v>
      </x:c>
      <x:c r="H239" s="324">
        <x:v>0</x:v>
      </x:c>
      <x:c r="I239" s="324">
        <x:v>0</x:v>
      </x:c>
      <x:c r="J239" s="324">
        <x:v>0</x:v>
      </x:c>
      <x:c r="K239" s="324">
        <x:v>0</x:v>
      </x:c>
      <x:c r="L239" s="324">
        <x:v>0</x:v>
      </x:c>
      <x:c r="M239" s="324">
        <x:v>0</x:v>
      </x:c>
      <x:c r="N239" s="324">
        <x:v>0</x:v>
      </x:c>
      <x:c r="O239" s="324">
        <x:v>0</x:v>
      </x:c>
      <x:c r="P239" s="324">
        <x:v>0</x:v>
      </x:c>
      <x:c r="Q239" s="257">
        <x:f t="shared" si="8"/>
        <x:v>0</x:v>
      </x:c>
    </x:row>
    <x:row r="240">
      <x:c r="A240" s="148" t="s">
        <x:v>108</x:v>
      </x:c>
      <x:c r="B240">
        <x:v>7</x:v>
      </x:c>
      <x:c r="C240" s="148" t="s">
        <x:v>116</x:v>
      </x:c>
      <x:c r="D240">
        <x:v>703</x:v>
      </x:c>
      <x:c r="E240" s="324">
        <x:v>0</x:v>
      </x:c>
      <x:c r="F240" s="324">
        <x:v>0</x:v>
      </x:c>
      <x:c r="G240" s="324">
        <x:v>0</x:v>
      </x:c>
      <x:c r="H240" s="324">
        <x:v>0</x:v>
      </x:c>
      <x:c r="I240" s="324">
        <x:v>0</x:v>
      </x:c>
      <x:c r="J240" s="324">
        <x:v>0</x:v>
      </x:c>
      <x:c r="K240" s="324">
        <x:v>0</x:v>
      </x:c>
      <x:c r="L240" s="324">
        <x:v>0</x:v>
      </x:c>
      <x:c r="M240" s="324">
        <x:v>0</x:v>
      </x:c>
      <x:c r="N240" s="324">
        <x:v>0</x:v>
      </x:c>
      <x:c r="O240" s="324">
        <x:v>0</x:v>
      </x:c>
      <x:c r="P240" s="324">
        <x:v>0</x:v>
      </x:c>
      <x:c r="Q240" s="257">
        <x:f t="shared" si="8"/>
        <x:v>0</x:v>
      </x:c>
    </x:row>
    <x:row r="241">
      <x:c r="A241" s="148" t="s">
        <x:v>108</x:v>
      </x:c>
      <x:c r="B241">
        <x:v>7</x:v>
      </x:c>
      <x:c r="C241" s="148" t="s">
        <x:v>116</x:v>
      </x:c>
      <x:c r="D241">
        <x:v>704</x:v>
      </x:c>
      <x:c r="E241" s="324">
        <x:v>0</x:v>
      </x:c>
      <x:c r="F241" s="324">
        <x:v>0</x:v>
      </x:c>
      <x:c r="G241" s="324">
        <x:v>0</x:v>
      </x:c>
      <x:c r="H241" s="324">
        <x:v>0</x:v>
      </x:c>
      <x:c r="I241" s="324">
        <x:v>0</x:v>
      </x:c>
      <x:c r="J241" s="324">
        <x:v>0</x:v>
      </x:c>
      <x:c r="K241" s="324">
        <x:v>0</x:v>
      </x:c>
      <x:c r="L241" s="324">
        <x:v>0</x:v>
      </x:c>
      <x:c r="M241" s="324">
        <x:v>0</x:v>
      </x:c>
      <x:c r="N241" s="324">
        <x:v>0</x:v>
      </x:c>
      <x:c r="O241" s="324">
        <x:v>0</x:v>
      </x:c>
      <x:c r="P241" s="324">
        <x:v>0</x:v>
      </x:c>
      <x:c r="Q241" s="257">
        <x:f t="shared" si="8"/>
        <x:v>0</x:v>
      </x:c>
    </x:row>
    <x:row r="242">
      <x:c r="A242" s="148" t="s">
        <x:v>108</x:v>
      </x:c>
      <x:c r="B242">
        <x:v>7</x:v>
      </x:c>
      <x:c r="C242" s="148" t="s">
        <x:v>116</x:v>
      </x:c>
      <x:c r="D242">
        <x:v>705</x:v>
      </x:c>
      <x:c r="E242" s="324">
        <x:v>0</x:v>
      </x:c>
      <x:c r="F242" s="324">
        <x:v>0</x:v>
      </x:c>
      <x:c r="G242" s="324">
        <x:v>0</x:v>
      </x:c>
      <x:c r="H242" s="324">
        <x:v>0</x:v>
      </x:c>
      <x:c r="I242" s="324">
        <x:v>0</x:v>
      </x:c>
      <x:c r="J242" s="324">
        <x:v>0</x:v>
      </x:c>
      <x:c r="K242" s="324">
        <x:v>0</x:v>
      </x:c>
      <x:c r="L242" s="324">
        <x:v>0</x:v>
      </x:c>
      <x:c r="M242" s="324">
        <x:v>0</x:v>
      </x:c>
      <x:c r="N242" s="324">
        <x:v>0</x:v>
      </x:c>
      <x:c r="O242" s="324">
        <x:v>0</x:v>
      </x:c>
      <x:c r="P242" s="324">
        <x:v>0</x:v>
      </x:c>
      <x:c r="Q242" s="257">
        <x:f t="shared" si="8"/>
        <x:v>0</x:v>
      </x:c>
    </x:row>
    <x:row r="243">
      <x:c r="A243" s="148" t="s">
        <x:v>108</x:v>
      </x:c>
      <x:c r="B243">
        <x:v>7</x:v>
      </x:c>
      <x:c r="C243" s="148" t="s">
        <x:v>116</x:v>
      </x:c>
      <x:c r="D243">
        <x:v>706</x:v>
      </x:c>
      <x:c r="E243" s="324">
        <x:v>0</x:v>
      </x:c>
      <x:c r="F243" s="324">
        <x:v>0</x:v>
      </x:c>
      <x:c r="G243" s="324">
        <x:v>0</x:v>
      </x:c>
      <x:c r="H243" s="324">
        <x:v>0</x:v>
      </x:c>
      <x:c r="I243" s="324">
        <x:v>0</x:v>
      </x:c>
      <x:c r="J243" s="324">
        <x:v>0</x:v>
      </x:c>
      <x:c r="K243" s="324">
        <x:v>0</x:v>
      </x:c>
      <x:c r="L243" s="324">
        <x:v>0</x:v>
      </x:c>
      <x:c r="M243" s="324">
        <x:v>0</x:v>
      </x:c>
      <x:c r="N243" s="324">
        <x:v>0</x:v>
      </x:c>
      <x:c r="O243" s="324">
        <x:v>0</x:v>
      </x:c>
      <x:c r="P243" s="324">
        <x:v>0</x:v>
      </x:c>
      <x:c r="Q243" s="257">
        <x:f t="shared" si="8"/>
        <x:v>0</x:v>
      </x:c>
    </x:row>
    <x:row r="244">
      <x:c r="A244" s="148" t="s">
        <x:v>108</x:v>
      </x:c>
      <x:c r="B244">
        <x:v>7</x:v>
      </x:c>
      <x:c r="C244" s="148" t="s">
        <x:v>116</x:v>
      </x:c>
      <x:c r="D244">
        <x:v>707</x:v>
      </x:c>
      <x:c r="E244" s="324">
        <x:v>0</x:v>
      </x:c>
      <x:c r="F244" s="324">
        <x:v>0</x:v>
      </x:c>
      <x:c r="G244" s="324">
        <x:v>0</x:v>
      </x:c>
      <x:c r="H244" s="324">
        <x:v>0</x:v>
      </x:c>
      <x:c r="I244" s="324">
        <x:v>0</x:v>
      </x:c>
      <x:c r="J244" s="324">
        <x:v>0</x:v>
      </x:c>
      <x:c r="K244" s="324">
        <x:v>0</x:v>
      </x:c>
      <x:c r="L244" s="324">
        <x:v>0</x:v>
      </x:c>
      <x:c r="M244" s="324">
        <x:v>0</x:v>
      </x:c>
      <x:c r="N244" s="324">
        <x:v>0</x:v>
      </x:c>
      <x:c r="O244" s="324">
        <x:v>0</x:v>
      </x:c>
      <x:c r="P244" s="324">
        <x:v>0</x:v>
      </x:c>
      <x:c r="Q244" s="257">
        <x:f t="shared" si="8"/>
        <x:v>0</x:v>
      </x:c>
    </x:row>
    <x:row r="245">
      <x:c r="A245" s="148" t="s">
        <x:v>108</x:v>
      </x:c>
      <x:c r="B245">
        <x:v>7</x:v>
      </x:c>
      <x:c r="C245" s="148" t="s">
        <x:v>116</x:v>
      </x:c>
      <x:c r="D245">
        <x:v>708</x:v>
      </x:c>
      <x:c r="E245" s="324">
        <x:v>0</x:v>
      </x:c>
      <x:c r="F245" s="324">
        <x:v>0</x:v>
      </x:c>
      <x:c r="G245" s="324">
        <x:v>0</x:v>
      </x:c>
      <x:c r="H245" s="324">
        <x:v>0</x:v>
      </x:c>
      <x:c r="I245" s="324">
        <x:v>0</x:v>
      </x:c>
      <x:c r="J245" s="324">
        <x:v>0</x:v>
      </x:c>
      <x:c r="K245" s="324">
        <x:v>0</x:v>
      </x:c>
      <x:c r="L245" s="324">
        <x:v>0</x:v>
      </x:c>
      <x:c r="M245" s="324">
        <x:v>0</x:v>
      </x:c>
      <x:c r="N245" s="324">
        <x:v>0</x:v>
      </x:c>
      <x:c r="O245" s="324">
        <x:v>0</x:v>
      </x:c>
      <x:c r="P245" s="324">
        <x:v>0</x:v>
      </x:c>
      <x:c r="Q245" s="257">
        <x:f t="shared" si="8"/>
        <x:v>0</x:v>
      </x:c>
    </x:row>
    <x:row r="246">
      <x:c r="A246" s="148" t="s">
        <x:v>108</x:v>
      </x:c>
      <x:c r="B246">
        <x:v>7</x:v>
      </x:c>
      <x:c r="C246" s="148" t="s">
        <x:v>116</x:v>
      </x:c>
      <x:c r="D246">
        <x:v>709</x:v>
      </x:c>
      <x:c r="E246" s="324">
        <x:v>0</x:v>
      </x:c>
      <x:c r="F246" s="324">
        <x:v>0</x:v>
      </x:c>
      <x:c r="G246" s="324">
        <x:v>0</x:v>
      </x:c>
      <x:c r="H246" s="324">
        <x:v>0</x:v>
      </x:c>
      <x:c r="I246" s="324">
        <x:v>0</x:v>
      </x:c>
      <x:c r="J246" s="324">
        <x:v>0</x:v>
      </x:c>
      <x:c r="K246" s="324">
        <x:v>0</x:v>
      </x:c>
      <x:c r="L246" s="324">
        <x:v>0</x:v>
      </x:c>
      <x:c r="M246" s="324">
        <x:v>0</x:v>
      </x:c>
      <x:c r="N246" s="324">
        <x:v>0</x:v>
      </x:c>
      <x:c r="O246" s="324">
        <x:v>0</x:v>
      </x:c>
      <x:c r="P246" s="324">
        <x:v>0</x:v>
      </x:c>
      <x:c r="Q246" s="257">
        <x:f t="shared" si="8"/>
        <x:v>0</x:v>
      </x:c>
    </x:row>
    <x:row r="247">
      <x:c r="A247" s="148" t="s">
        <x:v>108</x:v>
      </x:c>
      <x:c r="B247">
        <x:v>7</x:v>
      </x:c>
      <x:c r="C247" s="148" t="s">
        <x:v>116</x:v>
      </x:c>
      <x:c r="D247">
        <x:v>710</x:v>
      </x:c>
      <x:c r="E247" s="324">
        <x:v>0</x:v>
      </x:c>
      <x:c r="F247" s="324">
        <x:v>0</x:v>
      </x:c>
      <x:c r="G247" s="324">
        <x:v>0</x:v>
      </x:c>
      <x:c r="H247" s="324">
        <x:v>0</x:v>
      </x:c>
      <x:c r="I247" s="324">
        <x:v>0</x:v>
      </x:c>
      <x:c r="J247" s="324">
        <x:v>0</x:v>
      </x:c>
      <x:c r="K247" s="324">
        <x:v>0</x:v>
      </x:c>
      <x:c r="L247" s="324">
        <x:v>0</x:v>
      </x:c>
      <x:c r="M247" s="324">
        <x:v>0</x:v>
      </x:c>
      <x:c r="N247" s="324">
        <x:v>0</x:v>
      </x:c>
      <x:c r="O247" s="324">
        <x:v>0</x:v>
      </x:c>
      <x:c r="P247" s="324">
        <x:v>0</x:v>
      </x:c>
      <x:c r="Q247" s="257">
        <x:f t="shared" si="8"/>
        <x:v>0</x:v>
      </x:c>
    </x:row>
    <x:row r="248">
      <x:c r="A248" s="148" t="s">
        <x:v>108</x:v>
      </x:c>
      <x:c r="B248">
        <x:v>7</x:v>
      </x:c>
      <x:c r="C248" s="148" t="s">
        <x:v>116</x:v>
      </x:c>
      <x:c r="D248">
        <x:v>711</x:v>
      </x:c>
      <x:c r="E248" s="324">
        <x:v>0</x:v>
      </x:c>
      <x:c r="F248" s="324">
        <x:v>0</x:v>
      </x:c>
      <x:c r="G248" s="324">
        <x:v>0</x:v>
      </x:c>
      <x:c r="H248" s="324">
        <x:v>0</x:v>
      </x:c>
      <x:c r="I248" s="324">
        <x:v>0</x:v>
      </x:c>
      <x:c r="J248" s="324">
        <x:v>0</x:v>
      </x:c>
      <x:c r="K248" s="324">
        <x:v>0</x:v>
      </x:c>
      <x:c r="L248" s="324">
        <x:v>0</x:v>
      </x:c>
      <x:c r="M248" s="324">
        <x:v>0</x:v>
      </x:c>
      <x:c r="N248" s="324">
        <x:v>0</x:v>
      </x:c>
      <x:c r="O248" s="324">
        <x:v>0</x:v>
      </x:c>
      <x:c r="P248" s="324">
        <x:v>0</x:v>
      </x:c>
      <x:c r="Q248" s="257">
        <x:f t="shared" si="8"/>
        <x:v>0</x:v>
      </x:c>
    </x:row>
    <x:row r="249">
      <x:c r="A249" s="148" t="s">
        <x:v>108</x:v>
      </x:c>
      <x:c r="B249">
        <x:v>7</x:v>
      </x:c>
      <x:c r="C249" s="148" t="s">
        <x:v>116</x:v>
      </x:c>
      <x:c r="D249">
        <x:v>712</x:v>
      </x:c>
      <x:c r="E249" s="324">
        <x:v>0</x:v>
      </x:c>
      <x:c r="F249" s="324">
        <x:v>0</x:v>
      </x:c>
      <x:c r="G249" s="324">
        <x:v>0</x:v>
      </x:c>
      <x:c r="H249" s="324">
        <x:v>0</x:v>
      </x:c>
      <x:c r="I249" s="324">
        <x:v>0</x:v>
      </x:c>
      <x:c r="J249" s="324">
        <x:v>0</x:v>
      </x:c>
      <x:c r="K249" s="324">
        <x:v>0</x:v>
      </x:c>
      <x:c r="L249" s="324">
        <x:v>0</x:v>
      </x:c>
      <x:c r="M249" s="324">
        <x:v>0</x:v>
      </x:c>
      <x:c r="N249" s="324">
        <x:v>0</x:v>
      </x:c>
      <x:c r="O249" s="324">
        <x:v>0</x:v>
      </x:c>
      <x:c r="P249" s="324">
        <x:v>0</x:v>
      </x:c>
      <x:c r="Q249" s="257">
        <x:f t="shared" si="8"/>
        <x:v>0</x:v>
      </x:c>
    </x:row>
    <x:row r="250">
      <x:c r="A250" s="148" t="s">
        <x:v>108</x:v>
      </x:c>
      <x:c r="B250">
        <x:v>7</x:v>
      </x:c>
      <x:c r="C250" s="148" t="s">
        <x:v>116</x:v>
      </x:c>
      <x:c r="D250">
        <x:v>713</x:v>
      </x:c>
      <x:c r="E250" s="324">
        <x:v>0</x:v>
      </x:c>
      <x:c r="F250" s="324">
        <x:v>0</x:v>
      </x:c>
      <x:c r="G250" s="324">
        <x:v>0</x:v>
      </x:c>
      <x:c r="H250" s="324">
        <x:v>0</x:v>
      </x:c>
      <x:c r="I250" s="324">
        <x:v>0</x:v>
      </x:c>
      <x:c r="J250" s="324">
        <x:v>0</x:v>
      </x:c>
      <x:c r="K250" s="324">
        <x:v>0</x:v>
      </x:c>
      <x:c r="L250" s="324">
        <x:v>0</x:v>
      </x:c>
      <x:c r="M250" s="324">
        <x:v>0</x:v>
      </x:c>
      <x:c r="N250" s="324">
        <x:v>0</x:v>
      </x:c>
      <x:c r="O250" s="324">
        <x:v>0</x:v>
      </x:c>
      <x:c r="P250" s="324">
        <x:v>0</x:v>
      </x:c>
      <x:c r="Q250" s="257">
        <x:f t="shared" si="8"/>
        <x:v>0</x:v>
      </x:c>
    </x:row>
    <x:row r="251">
      <x:c r="A251" s="148" t="s">
        <x:v>108</x:v>
      </x:c>
      <x:c r="B251">
        <x:v>7</x:v>
      </x:c>
      <x:c r="C251" s="148" t="s">
        <x:v>116</x:v>
      </x:c>
      <x:c r="D251">
        <x:v>714</x:v>
      </x:c>
      <x:c r="E251" s="324">
        <x:v>0</x:v>
      </x:c>
      <x:c r="F251" s="324">
        <x:v>0</x:v>
      </x:c>
      <x:c r="G251" s="324">
        <x:v>0</x:v>
      </x:c>
      <x:c r="H251" s="324">
        <x:v>0</x:v>
      </x:c>
      <x:c r="I251" s="324">
        <x:v>0</x:v>
      </x:c>
      <x:c r="J251" s="324">
        <x:v>0</x:v>
      </x:c>
      <x:c r="K251" s="324">
        <x:v>0</x:v>
      </x:c>
      <x:c r="L251" s="324">
        <x:v>0</x:v>
      </x:c>
      <x:c r="M251" s="324">
        <x:v>0</x:v>
      </x:c>
      <x:c r="N251" s="324">
        <x:v>0</x:v>
      </x:c>
      <x:c r="O251" s="324">
        <x:v>0</x:v>
      </x:c>
      <x:c r="P251" s="324">
        <x:v>0</x:v>
      </x:c>
      <x:c r="Q251" s="257">
        <x:f t="shared" si="8"/>
        <x:v>0</x:v>
      </x:c>
    </x:row>
    <x:row r="252">
      <x:c r="A252" s="148" t="s">
        <x:v>108</x:v>
      </x:c>
      <x:c r="B252">
        <x:v>7</x:v>
      </x:c>
      <x:c r="C252" s="148" t="s">
        <x:v>116</x:v>
      </x:c>
      <x:c r="D252">
        <x:v>715</x:v>
      </x:c>
      <x:c r="E252" s="324">
        <x:v>0</x:v>
      </x:c>
      <x:c r="F252" s="324">
        <x:v>0</x:v>
      </x:c>
      <x:c r="G252" s="324">
        <x:v>0</x:v>
      </x:c>
      <x:c r="H252" s="324">
        <x:v>0</x:v>
      </x:c>
      <x:c r="I252" s="324">
        <x:v>0</x:v>
      </x:c>
      <x:c r="J252" s="324">
        <x:v>0</x:v>
      </x:c>
      <x:c r="K252" s="324">
        <x:v>0</x:v>
      </x:c>
      <x:c r="L252" s="324">
        <x:v>0</x:v>
      </x:c>
      <x:c r="M252" s="324">
        <x:v>0</x:v>
      </x:c>
      <x:c r="N252" s="324">
        <x:v>0</x:v>
      </x:c>
      <x:c r="O252" s="324">
        <x:v>0</x:v>
      </x:c>
      <x:c r="P252" s="324">
        <x:v>0</x:v>
      </x:c>
      <x:c r="Q252" s="257">
        <x:f t="shared" si="8"/>
        <x:v>0</x:v>
      </x:c>
    </x:row>
    <x:row r="253">
      <x:c r="A253" s="148" t="s">
        <x:v>108</x:v>
      </x:c>
      <x:c r="B253">
        <x:v>7</x:v>
      </x:c>
      <x:c r="C253" s="148" t="s">
        <x:v>116</x:v>
      </x:c>
      <x:c r="D253">
        <x:v>716</x:v>
      </x:c>
      <x:c r="E253" s="324">
        <x:v>0</x:v>
      </x:c>
      <x:c r="F253" s="324">
        <x:v>0</x:v>
      </x:c>
      <x:c r="G253" s="324">
        <x:v>0</x:v>
      </x:c>
      <x:c r="H253" s="324">
        <x:v>0</x:v>
      </x:c>
      <x:c r="I253" s="324">
        <x:v>0</x:v>
      </x:c>
      <x:c r="J253" s="324">
        <x:v>0</x:v>
      </x:c>
      <x:c r="K253" s="324">
        <x:v>0</x:v>
      </x:c>
      <x:c r="L253" s="324">
        <x:v>0</x:v>
      </x:c>
      <x:c r="M253" s="324">
        <x:v>0</x:v>
      </x:c>
      <x:c r="N253" s="324">
        <x:v>0</x:v>
      </x:c>
      <x:c r="O253" s="324">
        <x:v>0</x:v>
      </x:c>
      <x:c r="P253" s="324">
        <x:v>0</x:v>
      </x:c>
      <x:c r="Q253" s="257">
        <x:f t="shared" si="8"/>
        <x:v>0</x:v>
      </x:c>
    </x:row>
    <x:row r="254">
      <x:c r="A254" s="148" t="s">
        <x:v>108</x:v>
      </x:c>
      <x:c r="B254">
        <x:v>7</x:v>
      </x:c>
      <x:c r="C254" s="148" t="s">
        <x:v>116</x:v>
      </x:c>
      <x:c r="D254">
        <x:v>717</x:v>
      </x:c>
      <x:c r="E254" s="324">
        <x:v>0</x:v>
      </x:c>
      <x:c r="F254" s="324">
        <x:v>0</x:v>
      </x:c>
      <x:c r="G254" s="324">
        <x:v>0</x:v>
      </x:c>
      <x:c r="H254" s="324">
        <x:v>0</x:v>
      </x:c>
      <x:c r="I254" s="324">
        <x:v>0</x:v>
      </x:c>
      <x:c r="J254" s="324">
        <x:v>0</x:v>
      </x:c>
      <x:c r="K254" s="324">
        <x:v>0</x:v>
      </x:c>
      <x:c r="L254" s="324">
        <x:v>0</x:v>
      </x:c>
      <x:c r="M254" s="324">
        <x:v>0</x:v>
      </x:c>
      <x:c r="N254" s="324">
        <x:v>0</x:v>
      </x:c>
      <x:c r="O254" s="324">
        <x:v>0</x:v>
      </x:c>
      <x:c r="P254" s="324">
        <x:v>0</x:v>
      </x:c>
      <x:c r="Q254" s="257">
        <x:f t="shared" si="8"/>
        <x:v>0</x:v>
      </x:c>
    </x:row>
    <x:row r="255">
      <x:c r="A255" s="148" t="s">
        <x:v>108</x:v>
      </x:c>
      <x:c r="B255">
        <x:v>7</x:v>
      </x:c>
      <x:c r="C255" s="148" t="s">
        <x:v>116</x:v>
      </x:c>
      <x:c r="D255">
        <x:v>718</x:v>
      </x:c>
      <x:c r="E255" s="324">
        <x:v>0</x:v>
      </x:c>
      <x:c r="F255" s="324">
        <x:v>0</x:v>
      </x:c>
      <x:c r="G255" s="324">
        <x:v>0</x:v>
      </x:c>
      <x:c r="H255" s="324">
        <x:v>0</x:v>
      </x:c>
      <x:c r="I255" s="324">
        <x:v>0</x:v>
      </x:c>
      <x:c r="J255" s="324">
        <x:v>0</x:v>
      </x:c>
      <x:c r="K255" s="324">
        <x:v>0</x:v>
      </x:c>
      <x:c r="L255" s="324">
        <x:v>0</x:v>
      </x:c>
      <x:c r="M255" s="324">
        <x:v>0</x:v>
      </x:c>
      <x:c r="N255" s="324">
        <x:v>0</x:v>
      </x:c>
      <x:c r="O255" s="324">
        <x:v>0</x:v>
      </x:c>
      <x:c r="P255" s="324">
        <x:v>0</x:v>
      </x:c>
      <x:c r="Q255" s="257">
        <x:f t="shared" si="8"/>
        <x:v>0</x:v>
      </x:c>
    </x:row>
    <x:row r="256">
      <x:c r="A256" s="148" t="s">
        <x:v>108</x:v>
      </x:c>
      <x:c r="B256">
        <x:v>7</x:v>
      </x:c>
      <x:c r="C256" s="148" t="s">
        <x:v>116</x:v>
      </x:c>
      <x:c r="D256">
        <x:v>719</x:v>
      </x:c>
      <x:c r="E256" s="324">
        <x:v>0</x:v>
      </x:c>
      <x:c r="F256" s="324">
        <x:v>0</x:v>
      </x:c>
      <x:c r="G256" s="324">
        <x:v>0</x:v>
      </x:c>
      <x:c r="H256" s="324">
        <x:v>0</x:v>
      </x:c>
      <x:c r="I256" s="324">
        <x:v>0</x:v>
      </x:c>
      <x:c r="J256" s="324">
        <x:v>0</x:v>
      </x:c>
      <x:c r="K256" s="324">
        <x:v>0</x:v>
      </x:c>
      <x:c r="L256" s="324">
        <x:v>0</x:v>
      </x:c>
      <x:c r="M256" s="324">
        <x:v>0</x:v>
      </x:c>
      <x:c r="N256" s="324">
        <x:v>0</x:v>
      </x:c>
      <x:c r="O256" s="324">
        <x:v>0</x:v>
      </x:c>
      <x:c r="P256" s="324">
        <x:v>0</x:v>
      </x:c>
      <x:c r="Q256" s="257">
        <x:f t="shared" si="8"/>
        <x:v>0</x:v>
      </x:c>
    </x:row>
    <x:row r="257">
      <x:c r="A257" s="148" t="s">
        <x:v>108</x:v>
      </x:c>
      <x:c r="B257">
        <x:v>7</x:v>
      </x:c>
      <x:c r="C257" s="148" t="s">
        <x:v>116</x:v>
      </x:c>
      <x:c r="D257">
        <x:v>720</x:v>
      </x:c>
      <x:c r="E257" s="324">
        <x:v>0</x:v>
      </x:c>
      <x:c r="F257" s="324">
        <x:v>0</x:v>
      </x:c>
      <x:c r="G257" s="324">
        <x:v>0</x:v>
      </x:c>
      <x:c r="H257" s="324">
        <x:v>0</x:v>
      </x:c>
      <x:c r="I257" s="324">
        <x:v>0</x:v>
      </x:c>
      <x:c r="J257" s="324">
        <x:v>0</x:v>
      </x:c>
      <x:c r="K257" s="324">
        <x:v>0</x:v>
      </x:c>
      <x:c r="L257" s="324">
        <x:v>0</x:v>
      </x:c>
      <x:c r="M257" s="324">
        <x:v>0</x:v>
      </x:c>
      <x:c r="N257" s="324">
        <x:v>0</x:v>
      </x:c>
      <x:c r="O257" s="324">
        <x:v>0</x:v>
      </x:c>
      <x:c r="P257" s="324">
        <x:v>0</x:v>
      </x:c>
      <x:c r="Q257" s="257">
        <x:f t="shared" si="8"/>
        <x:v>0</x:v>
      </x:c>
    </x:row>
    <x:row r="258">
      <x:c r="A258" s="148" t="s">
        <x:v>108</x:v>
      </x:c>
      <x:c r="B258">
        <x:v>7</x:v>
      </x:c>
      <x:c r="C258" s="148" t="s">
        <x:v>116</x:v>
      </x:c>
      <x:c r="D258">
        <x:v>721</x:v>
      </x:c>
      <x:c r="E258" s="324">
        <x:v>0</x:v>
      </x:c>
      <x:c r="F258" s="324">
        <x:v>0</x:v>
      </x:c>
      <x:c r="G258" s="324">
        <x:v>0</x:v>
      </x:c>
      <x:c r="H258" s="324">
        <x:v>0</x:v>
      </x:c>
      <x:c r="I258" s="324">
        <x:v>0</x:v>
      </x:c>
      <x:c r="J258" s="324">
        <x:v>0</x:v>
      </x:c>
      <x:c r="K258" s="324">
        <x:v>0</x:v>
      </x:c>
      <x:c r="L258" s="324">
        <x:v>0</x:v>
      </x:c>
      <x:c r="M258" s="324">
        <x:v>0</x:v>
      </x:c>
      <x:c r="N258" s="324">
        <x:v>0</x:v>
      </x:c>
      <x:c r="O258" s="324">
        <x:v>0</x:v>
      </x:c>
      <x:c r="P258" s="324">
        <x:v>0</x:v>
      </x:c>
      <x:c r="Q258" s="257" t="n">
        <x:f t="shared" ref="Q258:Q321" si="10">AVERAGE(E258:P258)</x:f>
        <x:v>0</x:v>
      </x:c>
    </x:row>
    <x:row r="259">
      <x:c r="A259" s="148" t="s">
        <x:v>108</x:v>
      </x:c>
      <x:c r="B259">
        <x:v>7</x:v>
      </x:c>
      <x:c r="C259" s="148" t="s">
        <x:v>116</x:v>
      </x:c>
      <x:c r="D259">
        <x:v>722</x:v>
      </x:c>
      <x:c r="E259" s="324">
        <x:v>0</x:v>
      </x:c>
      <x:c r="F259" s="324">
        <x:v>0</x:v>
      </x:c>
      <x:c r="G259" s="324">
        <x:v>0</x:v>
      </x:c>
      <x:c r="H259" s="324">
        <x:v>0</x:v>
      </x:c>
      <x:c r="I259" s="324">
        <x:v>0</x:v>
      </x:c>
      <x:c r="J259" s="324">
        <x:v>0</x:v>
      </x:c>
      <x:c r="K259" s="324">
        <x:v>0</x:v>
      </x:c>
      <x:c r="L259" s="324">
        <x:v>0</x:v>
      </x:c>
      <x:c r="M259" s="324">
        <x:v>0</x:v>
      </x:c>
      <x:c r="N259" s="324">
        <x:v>0</x:v>
      </x:c>
      <x:c r="O259" s="324">
        <x:v>0</x:v>
      </x:c>
      <x:c r="P259" s="324">
        <x:v>0</x:v>
      </x:c>
      <x:c r="Q259" s="257">
        <x:f t="shared" si="10"/>
        <x:v>0</x:v>
      </x:c>
    </x:row>
    <x:row r="260">
      <x:c r="A260" s="148" t="s">
        <x:v>108</x:v>
      </x:c>
      <x:c r="B260">
        <x:v>7</x:v>
      </x:c>
      <x:c r="C260" s="148" t="s">
        <x:v>116</x:v>
      </x:c>
      <x:c r="D260">
        <x:v>723</x:v>
      </x:c>
      <x:c r="E260" s="324">
        <x:v>0</x:v>
      </x:c>
      <x:c r="F260" s="324">
        <x:v>0</x:v>
      </x:c>
      <x:c r="G260" s="324">
        <x:v>0</x:v>
      </x:c>
      <x:c r="H260" s="324">
        <x:v>0</x:v>
      </x:c>
      <x:c r="I260" s="324">
        <x:v>0</x:v>
      </x:c>
      <x:c r="J260" s="324">
        <x:v>0</x:v>
      </x:c>
      <x:c r="K260" s="324">
        <x:v>0</x:v>
      </x:c>
      <x:c r="L260" s="324">
        <x:v>0</x:v>
      </x:c>
      <x:c r="M260" s="324">
        <x:v>0</x:v>
      </x:c>
      <x:c r="N260" s="324">
        <x:v>0</x:v>
      </x:c>
      <x:c r="O260" s="324">
        <x:v>0</x:v>
      </x:c>
      <x:c r="P260" s="324">
        <x:v>0</x:v>
      </x:c>
      <x:c r="Q260" s="257">
        <x:f t="shared" si="10"/>
        <x:v>0</x:v>
      </x:c>
    </x:row>
    <x:row r="261">
      <x:c r="A261" s="148" t="s">
        <x:v>108</x:v>
      </x:c>
      <x:c r="B261">
        <x:v>7</x:v>
      </x:c>
      <x:c r="C261" s="148" t="s">
        <x:v>115</x:v>
      </x:c>
      <x:c r="D261">
        <x:v>701</x:v>
      </x:c>
      <x:c r="E261" s="324">
        <x:v>0</x:v>
      </x:c>
      <x:c r="F261" s="324">
        <x:v>0</x:v>
      </x:c>
      <x:c r="G261" s="324">
        <x:v>0</x:v>
      </x:c>
      <x:c r="H261" s="324">
        <x:v>0</x:v>
      </x:c>
      <x:c r="I261" s="324">
        <x:v>0</x:v>
      </x:c>
      <x:c r="J261" s="324">
        <x:v>0</x:v>
      </x:c>
      <x:c r="K261" s="324">
        <x:v>0</x:v>
      </x:c>
      <x:c r="L261" s="324">
        <x:v>0</x:v>
      </x:c>
      <x:c r="M261" s="324">
        <x:v>0</x:v>
      </x:c>
      <x:c r="N261" s="324">
        <x:v>0</x:v>
      </x:c>
      <x:c r="O261" s="324">
        <x:v>0</x:v>
      </x:c>
      <x:c r="P261" s="324">
        <x:v>0</x:v>
      </x:c>
      <x:c r="Q261" s="257">
        <x:f t="shared" si="10"/>
        <x:v>0</x:v>
      </x:c>
    </x:row>
    <x:row r="262">
      <x:c r="A262" s="148" t="s">
        <x:v>108</x:v>
      </x:c>
      <x:c r="B262">
        <x:v>7</x:v>
      </x:c>
      <x:c r="C262" s="148" t="s">
        <x:v>115</x:v>
      </x:c>
      <x:c r="D262">
        <x:v>701</x:v>
      </x:c>
      <x:c r="E262" s="324">
        <x:v>0</x:v>
      </x:c>
      <x:c r="F262" s="324">
        <x:v>0</x:v>
      </x:c>
      <x:c r="G262" s="324">
        <x:v>0</x:v>
      </x:c>
      <x:c r="H262" s="324">
        <x:v>0</x:v>
      </x:c>
      <x:c r="I262" s="324">
        <x:v>0</x:v>
      </x:c>
      <x:c r="J262" s="324">
        <x:v>0</x:v>
      </x:c>
      <x:c r="K262" s="324">
        <x:v>0</x:v>
      </x:c>
      <x:c r="L262" s="324">
        <x:v>0</x:v>
      </x:c>
      <x:c r="M262" s="324">
        <x:v>0</x:v>
      </x:c>
      <x:c r="N262" s="324">
        <x:v>0</x:v>
      </x:c>
      <x:c r="O262" s="324">
        <x:v>0</x:v>
      </x:c>
      <x:c r="P262" s="324">
        <x:v>0</x:v>
      </x:c>
      <x:c r="Q262" s="257">
        <x:f t="shared" si="10"/>
        <x:v>0</x:v>
      </x:c>
    </x:row>
    <x:row r="263">
      <x:c r="A263" s="148" t="s">
        <x:v>108</x:v>
      </x:c>
      <x:c r="B263">
        <x:v>7</x:v>
      </x:c>
      <x:c r="C263" s="148" t="s">
        <x:v>115</x:v>
      </x:c>
      <x:c r="D263">
        <x:v>701</x:v>
      </x:c>
      <x:c r="E263" s="324">
        <x:v>0</x:v>
      </x:c>
      <x:c r="F263" s="324">
        <x:v>0</x:v>
      </x:c>
      <x:c r="G263" s="324">
        <x:v>0</x:v>
      </x:c>
      <x:c r="H263" s="324">
        <x:v>0</x:v>
      </x:c>
      <x:c r="I263" s="324">
        <x:v>0</x:v>
      </x:c>
      <x:c r="J263" s="324">
        <x:v>0</x:v>
      </x:c>
      <x:c r="K263" s="324">
        <x:v>0</x:v>
      </x:c>
      <x:c r="L263" s="324">
        <x:v>0</x:v>
      </x:c>
      <x:c r="M263" s="324">
        <x:v>0</x:v>
      </x:c>
      <x:c r="N263" s="324">
        <x:v>0</x:v>
      </x:c>
      <x:c r="O263" s="324">
        <x:v>0</x:v>
      </x:c>
      <x:c r="P263" s="324">
        <x:v>0</x:v>
      </x:c>
      <x:c r="Q263" s="257">
        <x:f t="shared" si="10"/>
        <x:v>0</x:v>
      </x:c>
    </x:row>
    <x:row r="264">
      <x:c r="A264" s="148" t="s">
        <x:v>108</x:v>
      </x:c>
      <x:c r="B264">
        <x:v>7</x:v>
      </x:c>
      <x:c r="C264" s="148" t="s">
        <x:v>115</x:v>
      </x:c>
      <x:c r="D264">
        <x:v>701</x:v>
      </x:c>
      <x:c r="E264" s="324">
        <x:v>0</x:v>
      </x:c>
      <x:c r="F264" s="324">
        <x:v>0</x:v>
      </x:c>
      <x:c r="G264" s="324">
        <x:v>0</x:v>
      </x:c>
      <x:c r="H264" s="324">
        <x:v>0</x:v>
      </x:c>
      <x:c r="I264" s="324">
        <x:v>0</x:v>
      </x:c>
      <x:c r="J264" s="324">
        <x:v>0</x:v>
      </x:c>
      <x:c r="K264" s="324">
        <x:v>0</x:v>
      </x:c>
      <x:c r="L264" s="324">
        <x:v>0</x:v>
      </x:c>
      <x:c r="M264" s="324">
        <x:v>0</x:v>
      </x:c>
      <x:c r="N264" s="324">
        <x:v>0</x:v>
      </x:c>
      <x:c r="O264" s="324">
        <x:v>0</x:v>
      </x:c>
      <x:c r="P264" s="324">
        <x:v>0</x:v>
      </x:c>
      <x:c r="Q264" s="257">
        <x:f t="shared" si="10"/>
        <x:v>0</x:v>
      </x:c>
    </x:row>
    <x:row r="265">
      <x:c r="A265" s="148" t="s">
        <x:v>108</x:v>
      </x:c>
      <x:c r="B265">
        <x:v>7</x:v>
      </x:c>
      <x:c r="C265" s="148" t="s">
        <x:v>115</x:v>
      </x:c>
      <x:c r="D265">
        <x:v>701</x:v>
      </x:c>
      <x:c r="E265" s="324">
        <x:v>0</x:v>
      </x:c>
      <x:c r="F265" s="324">
        <x:v>0</x:v>
      </x:c>
      <x:c r="G265" s="324">
        <x:v>0</x:v>
      </x:c>
      <x:c r="H265" s="324">
        <x:v>0</x:v>
      </x:c>
      <x:c r="I265" s="324">
        <x:v>0</x:v>
      </x:c>
      <x:c r="J265" s="324">
        <x:v>0</x:v>
      </x:c>
      <x:c r="K265" s="324">
        <x:v>0</x:v>
      </x:c>
      <x:c r="L265" s="324">
        <x:v>0</x:v>
      </x:c>
      <x:c r="M265" s="324">
        <x:v>0</x:v>
      </x:c>
      <x:c r="N265" s="324">
        <x:v>0</x:v>
      </x:c>
      <x:c r="O265" s="324">
        <x:v>0</x:v>
      </x:c>
      <x:c r="P265" s="324">
        <x:v>0</x:v>
      </x:c>
      <x:c r="Q265" s="257">
        <x:f t="shared" si="10"/>
        <x:v>0</x:v>
      </x:c>
    </x:row>
    <x:row r="266">
      <x:c r="A266" s="148" t="s">
        <x:v>108</x:v>
      </x:c>
      <x:c r="B266">
        <x:v>7</x:v>
      </x:c>
      <x:c r="C266" s="148" t="s">
        <x:v>115</x:v>
      </x:c>
      <x:c r="D266">
        <x:v>701</x:v>
      </x:c>
      <x:c r="E266" s="324">
        <x:v>0</x:v>
      </x:c>
      <x:c r="F266" s="324">
        <x:v>0</x:v>
      </x:c>
      <x:c r="G266" s="324">
        <x:v>0</x:v>
      </x:c>
      <x:c r="H266" s="324">
        <x:v>0</x:v>
      </x:c>
      <x:c r="I266" s="324">
        <x:v>0</x:v>
      </x:c>
      <x:c r="J266" s="324">
        <x:v>0</x:v>
      </x:c>
      <x:c r="K266" s="324">
        <x:v>0</x:v>
      </x:c>
      <x:c r="L266" s="324">
        <x:v>0</x:v>
      </x:c>
      <x:c r="M266" s="324">
        <x:v>0</x:v>
      </x:c>
      <x:c r="N266" s="324">
        <x:v>0</x:v>
      </x:c>
      <x:c r="O266" s="324">
        <x:v>0</x:v>
      </x:c>
      <x:c r="P266" s="324">
        <x:v>0</x:v>
      </x:c>
      <x:c r="Q266" s="257">
        <x:f t="shared" si="10"/>
        <x:v>0</x:v>
      </x:c>
    </x:row>
    <x:row r="267">
      <x:c r="A267" s="148" t="s">
        <x:v>108</x:v>
      </x:c>
      <x:c r="B267">
        <x:v>7</x:v>
      </x:c>
      <x:c r="C267" s="148" t="s">
        <x:v>115</x:v>
      </x:c>
      <x:c r="D267">
        <x:v>701</x:v>
      </x:c>
      <x:c r="E267" s="324">
        <x:v>0</x:v>
      </x:c>
      <x:c r="F267" s="324">
        <x:v>0</x:v>
      </x:c>
      <x:c r="G267" s="324">
        <x:v>0</x:v>
      </x:c>
      <x:c r="H267" s="324">
        <x:v>0</x:v>
      </x:c>
      <x:c r="I267" s="324">
        <x:v>0</x:v>
      </x:c>
      <x:c r="J267" s="324">
        <x:v>0</x:v>
      </x:c>
      <x:c r="K267" s="324">
        <x:v>0</x:v>
      </x:c>
      <x:c r="L267" s="324">
        <x:v>0</x:v>
      </x:c>
      <x:c r="M267" s="324">
        <x:v>0</x:v>
      </x:c>
      <x:c r="N267" s="324">
        <x:v>0</x:v>
      </x:c>
      <x:c r="O267" s="324">
        <x:v>0</x:v>
      </x:c>
      <x:c r="P267" s="324">
        <x:v>0</x:v>
      </x:c>
      <x:c r="Q267" s="257">
        <x:f t="shared" si="10"/>
        <x:v>0</x:v>
      </x:c>
    </x:row>
    <x:row r="268">
      <x:c r="A268" s="148" t="s">
        <x:v>108</x:v>
      </x:c>
      <x:c r="B268">
        <x:v>7</x:v>
      </x:c>
      <x:c r="C268" s="148" t="s">
        <x:v>115</x:v>
      </x:c>
      <x:c r="D268">
        <x:v>701</x:v>
      </x:c>
      <x:c r="E268" s="324">
        <x:v>0</x:v>
      </x:c>
      <x:c r="F268" s="324">
        <x:v>0</x:v>
      </x:c>
      <x:c r="G268" s="324">
        <x:v>0</x:v>
      </x:c>
      <x:c r="H268" s="324">
        <x:v>0</x:v>
      </x:c>
      <x:c r="I268" s="324">
        <x:v>0</x:v>
      </x:c>
      <x:c r="J268" s="324">
        <x:v>0</x:v>
      </x:c>
      <x:c r="K268" s="324">
        <x:v>0</x:v>
      </x:c>
      <x:c r="L268" s="324">
        <x:v>0</x:v>
      </x:c>
      <x:c r="M268" s="324">
        <x:v>0</x:v>
      </x:c>
      <x:c r="N268" s="324">
        <x:v>0</x:v>
      </x:c>
      <x:c r="O268" s="324">
        <x:v>0</x:v>
      </x:c>
      <x:c r="P268" s="324">
        <x:v>0</x:v>
      </x:c>
      <x:c r="Q268" s="257">
        <x:f t="shared" si="10"/>
        <x:v>0</x:v>
      </x:c>
    </x:row>
    <x:row r="269">
      <x:c r="A269" s="148" t="s">
        <x:v>108</x:v>
      </x:c>
      <x:c r="B269">
        <x:v>7</x:v>
      </x:c>
      <x:c r="C269" s="148" t="s">
        <x:v>115</x:v>
      </x:c>
      <x:c r="D269">
        <x:v>701</x:v>
      </x:c>
      <x:c r="E269" s="324">
        <x:v>0</x:v>
      </x:c>
      <x:c r="F269" s="324">
        <x:v>0</x:v>
      </x:c>
      <x:c r="G269" s="324">
        <x:v>0</x:v>
      </x:c>
      <x:c r="H269" s="324">
        <x:v>0</x:v>
      </x:c>
      <x:c r="I269" s="324">
        <x:v>0</x:v>
      </x:c>
      <x:c r="J269" s="324">
        <x:v>0</x:v>
      </x:c>
      <x:c r="K269" s="324">
        <x:v>0</x:v>
      </x:c>
      <x:c r="L269" s="324">
        <x:v>0</x:v>
      </x:c>
      <x:c r="M269" s="324">
        <x:v>0</x:v>
      </x:c>
      <x:c r="N269" s="324">
        <x:v>0</x:v>
      </x:c>
      <x:c r="O269" s="324">
        <x:v>0</x:v>
      </x:c>
      <x:c r="P269" s="324">
        <x:v>0</x:v>
      </x:c>
      <x:c r="Q269" s="257">
        <x:f t="shared" si="10"/>
        <x:v>0</x:v>
      </x:c>
    </x:row>
    <x:row r="270">
      <x:c r="A270" s="148" t="s">
        <x:v>108</x:v>
      </x:c>
      <x:c r="B270">
        <x:v>7</x:v>
      </x:c>
      <x:c r="C270" s="148" t="s">
        <x:v>115</x:v>
      </x:c>
      <x:c r="D270">
        <x:v>701</x:v>
      </x:c>
      <x:c r="E270" s="324">
        <x:v>0</x:v>
      </x:c>
      <x:c r="F270" s="324">
        <x:v>0</x:v>
      </x:c>
      <x:c r="G270" s="324">
        <x:v>0</x:v>
      </x:c>
      <x:c r="H270" s="324">
        <x:v>0</x:v>
      </x:c>
      <x:c r="I270" s="324">
        <x:v>0</x:v>
      </x:c>
      <x:c r="J270" s="324">
        <x:v>0</x:v>
      </x:c>
      <x:c r="K270" s="324">
        <x:v>0</x:v>
      </x:c>
      <x:c r="L270" s="324">
        <x:v>0</x:v>
      </x:c>
      <x:c r="M270" s="324">
        <x:v>0</x:v>
      </x:c>
      <x:c r="N270" s="324">
        <x:v>0</x:v>
      </x:c>
      <x:c r="O270" s="324">
        <x:v>0</x:v>
      </x:c>
      <x:c r="P270" s="324">
        <x:v>0</x:v>
      </x:c>
      <x:c r="Q270" s="257">
        <x:f t="shared" si="10"/>
        <x:v>0</x:v>
      </x:c>
    </x:row>
    <x:row r="271">
      <x:c r="A271" s="148" t="s">
        <x:v>108</x:v>
      </x:c>
      <x:c r="B271">
        <x:v>7</x:v>
      </x:c>
      <x:c r="C271" s="148" t="s">
        <x:v>115</x:v>
      </x:c>
      <x:c r="D271">
        <x:v>701</x:v>
      </x:c>
      <x:c r="E271" s="324">
        <x:v>0</x:v>
      </x:c>
      <x:c r="F271" s="324">
        <x:v>0</x:v>
      </x:c>
      <x:c r="G271" s="324">
        <x:v>0</x:v>
      </x:c>
      <x:c r="H271" s="324">
        <x:v>0</x:v>
      </x:c>
      <x:c r="I271" s="324">
        <x:v>0</x:v>
      </x:c>
      <x:c r="J271" s="324">
        <x:v>0</x:v>
      </x:c>
      <x:c r="K271" s="324">
        <x:v>0</x:v>
      </x:c>
      <x:c r="L271" s="324">
        <x:v>0</x:v>
      </x:c>
      <x:c r="M271" s="324">
        <x:v>0</x:v>
      </x:c>
      <x:c r="N271" s="324">
        <x:v>0</x:v>
      </x:c>
      <x:c r="O271" s="324">
        <x:v>0</x:v>
      </x:c>
      <x:c r="P271" s="324">
        <x:v>0</x:v>
      </x:c>
      <x:c r="Q271" s="257">
        <x:f t="shared" si="10"/>
        <x:v>0</x:v>
      </x:c>
    </x:row>
    <x:row r="272">
      <x:c r="A272" s="148" t="s">
        <x:v>108</x:v>
      </x:c>
      <x:c r="B272">
        <x:v>7</x:v>
      </x:c>
      <x:c r="C272" s="148" t="s">
        <x:v>115</x:v>
      </x:c>
      <x:c r="D272">
        <x:v>701</x:v>
      </x:c>
      <x:c r="E272" s="324">
        <x:v>0</x:v>
      </x:c>
      <x:c r="F272" s="324">
        <x:v>0</x:v>
      </x:c>
      <x:c r="G272" s="324">
        <x:v>0</x:v>
      </x:c>
      <x:c r="H272" s="324">
        <x:v>0</x:v>
      </x:c>
      <x:c r="I272" s="324">
        <x:v>0</x:v>
      </x:c>
      <x:c r="J272" s="324">
        <x:v>0</x:v>
      </x:c>
      <x:c r="K272" s="324">
        <x:v>0</x:v>
      </x:c>
      <x:c r="L272" s="324">
        <x:v>0</x:v>
      </x:c>
      <x:c r="M272" s="324">
        <x:v>0</x:v>
      </x:c>
      <x:c r="N272" s="324">
        <x:v>0</x:v>
      </x:c>
      <x:c r="O272" s="324">
        <x:v>0</x:v>
      </x:c>
      <x:c r="P272" s="324">
        <x:v>0</x:v>
      </x:c>
      <x:c r="Q272" s="257">
        <x:f t="shared" si="10"/>
        <x:v>0</x:v>
      </x:c>
    </x:row>
    <x:row r="273">
      <x:c r="A273" s="148" t="s">
        <x:v>108</x:v>
      </x:c>
      <x:c r="B273">
        <x:v>7</x:v>
      </x:c>
      <x:c r="C273" s="148" t="s">
        <x:v>115</x:v>
      </x:c>
      <x:c r="D273">
        <x:v>701</x:v>
      </x:c>
      <x:c r="E273" s="324">
        <x:v>0</x:v>
      </x:c>
      <x:c r="F273" s="324">
        <x:v>0</x:v>
      </x:c>
      <x:c r="G273" s="324">
        <x:v>0</x:v>
      </x:c>
      <x:c r="H273" s="324">
        <x:v>0</x:v>
      </x:c>
      <x:c r="I273" s="324">
        <x:v>0</x:v>
      </x:c>
      <x:c r="J273" s="324">
        <x:v>0</x:v>
      </x:c>
      <x:c r="K273" s="324">
        <x:v>0</x:v>
      </x:c>
      <x:c r="L273" s="324">
        <x:v>0</x:v>
      </x:c>
      <x:c r="M273" s="324">
        <x:v>0</x:v>
      </x:c>
      <x:c r="N273" s="324">
        <x:v>0</x:v>
      </x:c>
      <x:c r="O273" s="324">
        <x:v>0</x:v>
      </x:c>
      <x:c r="P273" s="324">
        <x:v>0</x:v>
      </x:c>
      <x:c r="Q273" s="257">
        <x:f t="shared" si="10"/>
        <x:v>0</x:v>
      </x:c>
    </x:row>
    <x:row r="274">
      <x:c r="A274" s="148" t="s">
        <x:v>108</x:v>
      </x:c>
      <x:c r="B274">
        <x:v>7</x:v>
      </x:c>
      <x:c r="C274" s="148" t="s">
        <x:v>115</x:v>
      </x:c>
      <x:c r="D274">
        <x:v>701</x:v>
      </x:c>
      <x:c r="E274" s="324">
        <x:v>0</x:v>
      </x:c>
      <x:c r="F274" s="324">
        <x:v>0</x:v>
      </x:c>
      <x:c r="G274" s="324">
        <x:v>0</x:v>
      </x:c>
      <x:c r="H274" s="324">
        <x:v>0</x:v>
      </x:c>
      <x:c r="I274" s="324">
        <x:v>0</x:v>
      </x:c>
      <x:c r="J274" s="324">
        <x:v>0</x:v>
      </x:c>
      <x:c r="K274" s="324">
        <x:v>0</x:v>
      </x:c>
      <x:c r="L274" s="324">
        <x:v>0</x:v>
      </x:c>
      <x:c r="M274" s="324">
        <x:v>0</x:v>
      </x:c>
      <x:c r="N274" s="324">
        <x:v>0</x:v>
      </x:c>
      <x:c r="O274" s="324">
        <x:v>0</x:v>
      </x:c>
      <x:c r="P274" s="324">
        <x:v>0</x:v>
      </x:c>
      <x:c r="Q274" s="257">
        <x:f t="shared" si="10"/>
        <x:v>0</x:v>
      </x:c>
    </x:row>
    <x:row r="275">
      <x:c r="A275" s="148" t="s">
        <x:v>108</x:v>
      </x:c>
      <x:c r="B275">
        <x:v>7</x:v>
      </x:c>
      <x:c r="C275" s="148" t="s">
        <x:v>115</x:v>
      </x:c>
      <x:c r="D275">
        <x:v>701</x:v>
      </x:c>
      <x:c r="E275" s="324">
        <x:v>0</x:v>
      </x:c>
      <x:c r="F275" s="324">
        <x:v>0</x:v>
      </x:c>
      <x:c r="G275" s="324">
        <x:v>0</x:v>
      </x:c>
      <x:c r="H275" s="324">
        <x:v>0</x:v>
      </x:c>
      <x:c r="I275" s="324">
        <x:v>0</x:v>
      </x:c>
      <x:c r="J275" s="324">
        <x:v>0</x:v>
      </x:c>
      <x:c r="K275" s="324">
        <x:v>0</x:v>
      </x:c>
      <x:c r="L275" s="324">
        <x:v>0</x:v>
      </x:c>
      <x:c r="M275" s="324">
        <x:v>0</x:v>
      </x:c>
      <x:c r="N275" s="324">
        <x:v>0</x:v>
      </x:c>
      <x:c r="O275" s="324">
        <x:v>0</x:v>
      </x:c>
      <x:c r="P275" s="324">
        <x:v>0</x:v>
      </x:c>
      <x:c r="Q275" s="257">
        <x:f t="shared" si="10"/>
        <x:v>0</x:v>
      </x:c>
    </x:row>
    <x:row r="276">
      <x:c r="A276" s="148" t="s">
        <x:v>108</x:v>
      </x:c>
      <x:c r="B276">
        <x:v>7</x:v>
      </x:c>
      <x:c r="C276" s="148" t="s">
        <x:v>115</x:v>
      </x:c>
      <x:c r="D276">
        <x:v>701</x:v>
      </x:c>
      <x:c r="E276" s="324">
        <x:v>0</x:v>
      </x:c>
      <x:c r="F276" s="324">
        <x:v>0</x:v>
      </x:c>
      <x:c r="G276" s="324">
        <x:v>0</x:v>
      </x:c>
      <x:c r="H276" s="324">
        <x:v>0</x:v>
      </x:c>
      <x:c r="I276" s="324">
        <x:v>0</x:v>
      </x:c>
      <x:c r="J276" s="324">
        <x:v>0</x:v>
      </x:c>
      <x:c r="K276" s="324">
        <x:v>0</x:v>
      </x:c>
      <x:c r="L276" s="324">
        <x:v>0</x:v>
      </x:c>
      <x:c r="M276" s="324">
        <x:v>0</x:v>
      </x:c>
      <x:c r="N276" s="324">
        <x:v>0</x:v>
      </x:c>
      <x:c r="O276" s="324">
        <x:v>0</x:v>
      </x:c>
      <x:c r="P276" s="324">
        <x:v>0</x:v>
      </x:c>
      <x:c r="Q276" s="257">
        <x:f t="shared" si="10"/>
        <x:v>0</x:v>
      </x:c>
    </x:row>
    <x:row r="277">
      <x:c r="A277" s="148" t="s">
        <x:v>108</x:v>
      </x:c>
      <x:c r="B277">
        <x:v>7</x:v>
      </x:c>
      <x:c r="C277" s="148" t="s">
        <x:v>115</x:v>
      </x:c>
      <x:c r="D277">
        <x:v>701</x:v>
      </x:c>
      <x:c r="E277" s="324">
        <x:v>0</x:v>
      </x:c>
      <x:c r="F277" s="324">
        <x:v>0</x:v>
      </x:c>
      <x:c r="G277" s="324">
        <x:v>0</x:v>
      </x:c>
      <x:c r="H277" s="324">
        <x:v>0</x:v>
      </x:c>
      <x:c r="I277" s="324">
        <x:v>0</x:v>
      </x:c>
      <x:c r="J277" s="324">
        <x:v>0</x:v>
      </x:c>
      <x:c r="K277" s="324">
        <x:v>0</x:v>
      </x:c>
      <x:c r="L277" s="324">
        <x:v>0</x:v>
      </x:c>
      <x:c r="M277" s="324">
        <x:v>0</x:v>
      </x:c>
      <x:c r="N277" s="324">
        <x:v>0</x:v>
      </x:c>
      <x:c r="O277" s="324">
        <x:v>0</x:v>
      </x:c>
      <x:c r="P277" s="324">
        <x:v>0</x:v>
      </x:c>
      <x:c r="Q277" s="257">
        <x:f t="shared" si="10"/>
        <x:v>0</x:v>
      </x:c>
    </x:row>
    <x:row r="278">
      <x:c r="A278" s="148" t="s">
        <x:v>108</x:v>
      </x:c>
      <x:c r="B278">
        <x:v>7</x:v>
      </x:c>
      <x:c r="C278" s="148" t="s">
        <x:v>115</x:v>
      </x:c>
      <x:c r="D278">
        <x:v>701</x:v>
      </x:c>
      <x:c r="E278" s="324">
        <x:v>0</x:v>
      </x:c>
      <x:c r="F278" s="324">
        <x:v>0</x:v>
      </x:c>
      <x:c r="G278" s="324">
        <x:v>0</x:v>
      </x:c>
      <x:c r="H278" s="324">
        <x:v>0</x:v>
      </x:c>
      <x:c r="I278" s="324">
        <x:v>0</x:v>
      </x:c>
      <x:c r="J278" s="324">
        <x:v>0</x:v>
      </x:c>
      <x:c r="K278" s="324">
        <x:v>0</x:v>
      </x:c>
      <x:c r="L278" s="324">
        <x:v>0</x:v>
      </x:c>
      <x:c r="M278" s="324">
        <x:v>0</x:v>
      </x:c>
      <x:c r="N278" s="324">
        <x:v>0</x:v>
      </x:c>
      <x:c r="O278" s="324">
        <x:v>0</x:v>
      </x:c>
      <x:c r="P278" s="324">
        <x:v>0</x:v>
      </x:c>
      <x:c r="Q278" s="257">
        <x:f t="shared" si="10"/>
        <x:v>0</x:v>
      </x:c>
    </x:row>
    <x:row r="279">
      <x:c r="A279" s="148" t="s">
        <x:v>108</x:v>
      </x:c>
      <x:c r="B279">
        <x:v>7</x:v>
      </x:c>
      <x:c r="C279" s="148" t="s">
        <x:v>115</x:v>
      </x:c>
      <x:c r="D279">
        <x:v>701</x:v>
      </x:c>
      <x:c r="E279" s="324">
        <x:v>0</x:v>
      </x:c>
      <x:c r="F279" s="324">
        <x:v>0</x:v>
      </x:c>
      <x:c r="G279" s="324">
        <x:v>0</x:v>
      </x:c>
      <x:c r="H279" s="324">
        <x:v>0</x:v>
      </x:c>
      <x:c r="I279" s="324">
        <x:v>0</x:v>
      </x:c>
      <x:c r="J279" s="324">
        <x:v>0</x:v>
      </x:c>
      <x:c r="K279" s="324">
        <x:v>0</x:v>
      </x:c>
      <x:c r="L279" s="324">
        <x:v>0</x:v>
      </x:c>
      <x:c r="M279" s="324">
        <x:v>0</x:v>
      </x:c>
      <x:c r="N279" s="324">
        <x:v>0</x:v>
      </x:c>
      <x:c r="O279" s="324">
        <x:v>0</x:v>
      </x:c>
      <x:c r="P279" s="324">
        <x:v>0</x:v>
      </x:c>
      <x:c r="Q279" s="257">
        <x:f t="shared" si="10"/>
        <x:v>0</x:v>
      </x:c>
    </x:row>
    <x:row r="280">
      <x:c r="A280" s="148" t="s">
        <x:v>108</x:v>
      </x:c>
      <x:c r="B280">
        <x:v>7</x:v>
      </x:c>
      <x:c r="C280" s="148" t="s">
        <x:v>115</x:v>
      </x:c>
      <x:c r="D280">
        <x:v>701</x:v>
      </x:c>
      <x:c r="E280" s="324">
        <x:v>0</x:v>
      </x:c>
      <x:c r="F280" s="324">
        <x:v>0</x:v>
      </x:c>
      <x:c r="G280" s="324">
        <x:v>0</x:v>
      </x:c>
      <x:c r="H280" s="324">
        <x:v>0</x:v>
      </x:c>
      <x:c r="I280" s="324">
        <x:v>0</x:v>
      </x:c>
      <x:c r="J280" s="324">
        <x:v>0</x:v>
      </x:c>
      <x:c r="K280" s="324">
        <x:v>0</x:v>
      </x:c>
      <x:c r="L280" s="324">
        <x:v>0</x:v>
      </x:c>
      <x:c r="M280" s="324">
        <x:v>0</x:v>
      </x:c>
      <x:c r="N280" s="324">
        <x:v>0</x:v>
      </x:c>
      <x:c r="O280" s="324">
        <x:v>0</x:v>
      </x:c>
      <x:c r="P280" s="324">
        <x:v>0</x:v>
      </x:c>
      <x:c r="Q280" s="257">
        <x:f t="shared" si="10"/>
        <x:v>0</x:v>
      </x:c>
    </x:row>
    <x:row r="281">
      <x:c r="A281" s="148" t="s">
        <x:v>108</x:v>
      </x:c>
      <x:c r="B281">
        <x:v>7</x:v>
      </x:c>
      <x:c r="C281" s="148" t="s">
        <x:v>115</x:v>
      </x:c>
      <x:c r="D281">
        <x:v>701</x:v>
      </x:c>
      <x:c r="E281" s="324">
        <x:v>0</x:v>
      </x:c>
      <x:c r="F281" s="324">
        <x:v>0</x:v>
      </x:c>
      <x:c r="G281" s="324">
        <x:v>0</x:v>
      </x:c>
      <x:c r="H281" s="324">
        <x:v>0</x:v>
      </x:c>
      <x:c r="I281" s="324">
        <x:v>0</x:v>
      </x:c>
      <x:c r="J281" s="324">
        <x:v>0</x:v>
      </x:c>
      <x:c r="K281" s="324">
        <x:v>0</x:v>
      </x:c>
      <x:c r="L281" s="324">
        <x:v>0</x:v>
      </x:c>
      <x:c r="M281" s="324">
        <x:v>0</x:v>
      </x:c>
      <x:c r="N281" s="324">
        <x:v>0</x:v>
      </x:c>
      <x:c r="O281" s="324">
        <x:v>0</x:v>
      </x:c>
      <x:c r="P281" s="324">
        <x:v>0</x:v>
      </x:c>
      <x:c r="Q281" s="257">
        <x:f t="shared" si="10"/>
        <x:v>0</x:v>
      </x:c>
    </x:row>
    <x:row r="282">
      <x:c r="A282" s="148"/>
      <x:c r="B282"/>
      <x:c r="C282" s="148"/>
      <x:c r="D282"/>
      <x:c r="E282" s="324"/>
      <x:c r="F282" s="324">
        <x:f t="shared" ref="F282:P282" si="11">AVERAGE(F238:F281)</x:f>
      </x:c>
      <x:c r="G282" s="324">
        <x:f t="shared" si="11"/>
      </x:c>
      <x:c r="H282" s="324">
        <x:f t="shared" si="11"/>
      </x:c>
      <x:c r="I282" s="324">
        <x:f t="shared" si="11"/>
      </x:c>
      <x:c r="J282" s="324">
        <x:f t="shared" si="11"/>
      </x:c>
      <x:c r="K282" s="324">
        <x:f t="shared" si="11"/>
      </x:c>
      <x:c r="L282" s="324">
        <x:f t="shared" si="11"/>
      </x:c>
      <x:c r="M282" s="324">
        <x:f t="shared" si="11"/>
      </x:c>
      <x:c r="N282" s="324">
        <x:f t="shared" si="11"/>
      </x:c>
      <x:c r="O282" s="324">
        <x:f t="shared" si="11"/>
      </x:c>
      <x:c r="P282" s="324">
        <x:f t="shared" si="11"/>
      </x:c>
      <x:c r="Q282" s="257">
        <x:f t="shared" si="10"/>
      </x:c>
    </x:row>
    <x:row r="283">
      <x:c r="A283" s="148" t="s">
        <x:v>108</x:v>
      </x:c>
      <x:c r="B283">
        <x:v>8</x:v>
      </x:c>
      <x:c r="C283" s="148" t="s">
        <x:v>116</x:v>
      </x:c>
      <x:c r="D283">
        <x:v>801</x:v>
      </x:c>
      <x:c r="E283" s="324">
        <x:v>0</x:v>
      </x:c>
      <x:c r="F283" s="324">
        <x:v>0</x:v>
      </x:c>
      <x:c r="G283" s="324">
        <x:v>0</x:v>
      </x:c>
      <x:c r="H283" s="324">
        <x:v>0</x:v>
      </x:c>
      <x:c r="I283" s="324">
        <x:v>0</x:v>
      </x:c>
      <x:c r="J283" s="324">
        <x:v>0</x:v>
      </x:c>
      <x:c r="K283" s="324">
        <x:v>0</x:v>
      </x:c>
      <x:c r="L283" s="324">
        <x:v>0</x:v>
      </x:c>
      <x:c r="M283" s="324">
        <x:v>0</x:v>
      </x:c>
      <x:c r="N283" s="324">
        <x:v>0</x:v>
      </x:c>
      <x:c r="O283" s="324">
        <x:v>0</x:v>
      </x:c>
      <x:c r="P283" s="324">
        <x:v>0</x:v>
      </x:c>
      <x:c r="Q283" s="257">
        <x:f t="shared" si="10"/>
        <x:v>0</x:v>
      </x:c>
    </x:row>
    <x:row r="284">
      <x:c r="A284" s="148" t="s">
        <x:v>108</x:v>
      </x:c>
      <x:c r="B284">
        <x:v>8</x:v>
      </x:c>
      <x:c r="C284" s="148" t="s">
        <x:v>116</x:v>
      </x:c>
      <x:c r="D284">
        <x:v>802</x:v>
      </x:c>
      <x:c r="E284" s="324">
        <x:v>0</x:v>
      </x:c>
      <x:c r="F284" s="324">
        <x:v>0</x:v>
      </x:c>
      <x:c r="G284" s="324">
        <x:v>0</x:v>
      </x:c>
      <x:c r="H284" s="324">
        <x:v>0</x:v>
      </x:c>
      <x:c r="I284" s="324">
        <x:v>0</x:v>
      </x:c>
      <x:c r="J284" s="324">
        <x:v>0</x:v>
      </x:c>
      <x:c r="K284" s="324">
        <x:v>0</x:v>
      </x:c>
      <x:c r="L284" s="324">
        <x:v>0</x:v>
      </x:c>
      <x:c r="M284" s="324">
        <x:v>0</x:v>
      </x:c>
      <x:c r="N284" s="324">
        <x:v>0</x:v>
      </x:c>
      <x:c r="O284" s="324">
        <x:v>0</x:v>
      </x:c>
      <x:c r="P284" s="324">
        <x:v>0</x:v>
      </x:c>
      <x:c r="Q284" s="257">
        <x:f t="shared" si="10"/>
        <x:v>0</x:v>
      </x:c>
    </x:row>
    <x:row r="285">
      <x:c r="A285" s="148" t="s">
        <x:v>108</x:v>
      </x:c>
      <x:c r="B285">
        <x:v>8</x:v>
      </x:c>
      <x:c r="C285" s="148" t="s">
        <x:v>116</x:v>
      </x:c>
      <x:c r="D285">
        <x:v>803</x:v>
      </x:c>
      <x:c r="E285" s="324">
        <x:v>0</x:v>
      </x:c>
      <x:c r="F285" s="324">
        <x:v>0</x:v>
      </x:c>
      <x:c r="G285" s="324">
        <x:v>0</x:v>
      </x:c>
      <x:c r="H285" s="324">
        <x:v>0</x:v>
      </x:c>
      <x:c r="I285" s="324">
        <x:v>0</x:v>
      </x:c>
      <x:c r="J285" s="324">
        <x:v>0</x:v>
      </x:c>
      <x:c r="K285" s="324">
        <x:v>0</x:v>
      </x:c>
      <x:c r="L285" s="324">
        <x:v>0</x:v>
      </x:c>
      <x:c r="M285" s="324">
        <x:v>0</x:v>
      </x:c>
      <x:c r="N285" s="324">
        <x:v>0</x:v>
      </x:c>
      <x:c r="O285" s="324">
        <x:v>0</x:v>
      </x:c>
      <x:c r="P285" s="324">
        <x:v>0</x:v>
      </x:c>
      <x:c r="Q285" s="257">
        <x:f t="shared" si="10"/>
        <x:v>0</x:v>
      </x:c>
    </x:row>
    <x:row r="286">
      <x:c r="A286" s="148" t="s">
        <x:v>108</x:v>
      </x:c>
      <x:c r="B286">
        <x:v>8</x:v>
      </x:c>
      <x:c r="C286" s="148" t="s">
        <x:v>116</x:v>
      </x:c>
      <x:c r="D286">
        <x:v>804</x:v>
      </x:c>
      <x:c r="E286" s="324">
        <x:v>0</x:v>
      </x:c>
      <x:c r="F286" s="324">
        <x:v>0</x:v>
      </x:c>
      <x:c r="G286" s="324">
        <x:v>0</x:v>
      </x:c>
      <x:c r="H286" s="324">
        <x:v>0</x:v>
      </x:c>
      <x:c r="I286" s="324">
        <x:v>0</x:v>
      </x:c>
      <x:c r="J286" s="324">
        <x:v>0</x:v>
      </x:c>
      <x:c r="K286" s="324">
        <x:v>0</x:v>
      </x:c>
      <x:c r="L286" s="324">
        <x:v>0</x:v>
      </x:c>
      <x:c r="M286" s="324">
        <x:v>0</x:v>
      </x:c>
      <x:c r="N286" s="324">
        <x:v>0</x:v>
      </x:c>
      <x:c r="O286" s="324">
        <x:v>0</x:v>
      </x:c>
      <x:c r="P286" s="324">
        <x:v>0</x:v>
      </x:c>
      <x:c r="Q286" s="257">
        <x:f t="shared" si="10"/>
        <x:v>0</x:v>
      </x:c>
    </x:row>
    <x:row r="287">
      <x:c r="A287" s="148" t="s">
        <x:v>108</x:v>
      </x:c>
      <x:c r="B287">
        <x:v>8</x:v>
      </x:c>
      <x:c r="C287" s="148" t="s">
        <x:v>116</x:v>
      </x:c>
      <x:c r="D287">
        <x:v>805</x:v>
      </x:c>
      <x:c r="E287" s="324">
        <x:v>0</x:v>
      </x:c>
      <x:c r="F287" s="324">
        <x:v>0</x:v>
      </x:c>
      <x:c r="G287" s="324">
        <x:v>0</x:v>
      </x:c>
      <x:c r="H287" s="324">
        <x:v>0</x:v>
      </x:c>
      <x:c r="I287" s="324">
        <x:v>0</x:v>
      </x:c>
      <x:c r="J287" s="324">
        <x:v>0</x:v>
      </x:c>
      <x:c r="K287" s="324">
        <x:v>0</x:v>
      </x:c>
      <x:c r="L287" s="324">
        <x:v>0</x:v>
      </x:c>
      <x:c r="M287" s="324">
        <x:v>0</x:v>
      </x:c>
      <x:c r="N287" s="324">
        <x:v>0</x:v>
      </x:c>
      <x:c r="O287" s="324">
        <x:v>0</x:v>
      </x:c>
      <x:c r="P287" s="324">
        <x:v>0</x:v>
      </x:c>
      <x:c r="Q287" s="257">
        <x:f t="shared" si="10"/>
        <x:v>0</x:v>
      </x:c>
    </x:row>
    <x:row r="288">
      <x:c r="A288" s="148" t="s">
        <x:v>108</x:v>
      </x:c>
      <x:c r="B288">
        <x:v>8</x:v>
      </x:c>
      <x:c r="C288" s="148" t="s">
        <x:v>116</x:v>
      </x:c>
      <x:c r="D288">
        <x:v>806</x:v>
      </x:c>
      <x:c r="E288" s="324">
        <x:v>0</x:v>
      </x:c>
      <x:c r="F288" s="324">
        <x:v>0</x:v>
      </x:c>
      <x:c r="G288" s="324">
        <x:v>0</x:v>
      </x:c>
      <x:c r="H288" s="324">
        <x:v>0</x:v>
      </x:c>
      <x:c r="I288" s="324">
        <x:v>0</x:v>
      </x:c>
      <x:c r="J288" s="324">
        <x:v>0</x:v>
      </x:c>
      <x:c r="K288" s="324">
        <x:v>0</x:v>
      </x:c>
      <x:c r="L288" s="324">
        <x:v>0</x:v>
      </x:c>
      <x:c r="M288" s="324">
        <x:v>0</x:v>
      </x:c>
      <x:c r="N288" s="324">
        <x:v>0</x:v>
      </x:c>
      <x:c r="O288" s="324">
        <x:v>0</x:v>
      </x:c>
      <x:c r="P288" s="324">
        <x:v>0</x:v>
      </x:c>
      <x:c r="Q288" s="257">
        <x:f t="shared" si="10"/>
        <x:v>0</x:v>
      </x:c>
    </x:row>
    <x:row r="289">
      <x:c r="A289" s="148" t="s">
        <x:v>108</x:v>
      </x:c>
      <x:c r="B289">
        <x:v>8</x:v>
      </x:c>
      <x:c r="C289" s="148" t="s">
        <x:v>116</x:v>
      </x:c>
      <x:c r="D289">
        <x:v>807</x:v>
      </x:c>
      <x:c r="E289" s="324">
        <x:v>0</x:v>
      </x:c>
      <x:c r="F289" s="324">
        <x:v>0</x:v>
      </x:c>
      <x:c r="G289" s="324">
        <x:v>0</x:v>
      </x:c>
      <x:c r="H289" s="324">
        <x:v>0</x:v>
      </x:c>
      <x:c r="I289" s="324">
        <x:v>0</x:v>
      </x:c>
      <x:c r="J289" s="324">
        <x:v>0</x:v>
      </x:c>
      <x:c r="K289" s="324">
        <x:v>0</x:v>
      </x:c>
      <x:c r="L289" s="324">
        <x:v>0</x:v>
      </x:c>
      <x:c r="M289" s="324">
        <x:v>0</x:v>
      </x:c>
      <x:c r="N289" s="324">
        <x:v>0</x:v>
      </x:c>
      <x:c r="O289" s="324">
        <x:v>0</x:v>
      </x:c>
      <x:c r="P289" s="324">
        <x:v>0</x:v>
      </x:c>
      <x:c r="Q289" s="257">
        <x:f t="shared" si="10"/>
        <x:v>0</x:v>
      </x:c>
    </x:row>
    <x:row r="290">
      <x:c r="A290" s="148" t="s">
        <x:v>108</x:v>
      </x:c>
      <x:c r="B290">
        <x:v>8</x:v>
      </x:c>
      <x:c r="C290" s="148" t="s">
        <x:v>116</x:v>
      </x:c>
      <x:c r="D290">
        <x:v>808</x:v>
      </x:c>
      <x:c r="E290" s="324">
        <x:v>0</x:v>
      </x:c>
      <x:c r="F290" s="324">
        <x:v>0</x:v>
      </x:c>
      <x:c r="G290" s="324">
        <x:v>0</x:v>
      </x:c>
      <x:c r="H290" s="324">
        <x:v>0</x:v>
      </x:c>
      <x:c r="I290" s="324">
        <x:v>0</x:v>
      </x:c>
      <x:c r="J290" s="324">
        <x:v>0</x:v>
      </x:c>
      <x:c r="K290" s="324">
        <x:v>0</x:v>
      </x:c>
      <x:c r="L290" s="324">
        <x:v>0</x:v>
      </x:c>
      <x:c r="M290" s="324">
        <x:v>0</x:v>
      </x:c>
      <x:c r="N290" s="324">
        <x:v>0</x:v>
      </x:c>
      <x:c r="O290" s="324">
        <x:v>0</x:v>
      </x:c>
      <x:c r="P290" s="324">
        <x:v>0</x:v>
      </x:c>
      <x:c r="Q290" s="257">
        <x:f t="shared" si="10"/>
        <x:v>0</x:v>
      </x:c>
    </x:row>
    <x:row r="291">
      <x:c r="A291" s="148" t="s">
        <x:v>108</x:v>
      </x:c>
      <x:c r="B291">
        <x:v>8</x:v>
      </x:c>
      <x:c r="C291" s="148" t="s">
        <x:v>116</x:v>
      </x:c>
      <x:c r="D291">
        <x:v>809</x:v>
      </x:c>
      <x:c r="E291" s="324">
        <x:v>0</x:v>
      </x:c>
      <x:c r="F291" s="324">
        <x:v>0</x:v>
      </x:c>
      <x:c r="G291" s="324">
        <x:v>0</x:v>
      </x:c>
      <x:c r="H291" s="324">
        <x:v>0</x:v>
      </x:c>
      <x:c r="I291" s="324">
        <x:v>0</x:v>
      </x:c>
      <x:c r="J291" s="324">
        <x:v>0</x:v>
      </x:c>
      <x:c r="K291" s="324">
        <x:v>0</x:v>
      </x:c>
      <x:c r="L291" s="324">
        <x:v>0</x:v>
      </x:c>
      <x:c r="M291" s="324">
        <x:v>0</x:v>
      </x:c>
      <x:c r="N291" s="324">
        <x:v>0</x:v>
      </x:c>
      <x:c r="O291" s="324">
        <x:v>0</x:v>
      </x:c>
      <x:c r="P291" s="324">
        <x:v>0</x:v>
      </x:c>
      <x:c r="Q291" s="257">
        <x:f t="shared" si="10"/>
        <x:v>0</x:v>
      </x:c>
    </x:row>
    <x:row r="292">
      <x:c r="A292" s="148" t="s">
        <x:v>108</x:v>
      </x:c>
      <x:c r="B292">
        <x:v>8</x:v>
      </x:c>
      <x:c r="C292" s="148" t="s">
        <x:v>116</x:v>
      </x:c>
      <x:c r="D292">
        <x:v>810</x:v>
      </x:c>
      <x:c r="E292" s="324">
        <x:v>0</x:v>
      </x:c>
      <x:c r="F292" s="324">
        <x:v>0</x:v>
      </x:c>
      <x:c r="G292" s="324">
        <x:v>0</x:v>
      </x:c>
      <x:c r="H292" s="324">
        <x:v>0</x:v>
      </x:c>
      <x:c r="I292" s="324">
        <x:v>0</x:v>
      </x:c>
      <x:c r="J292" s="324">
        <x:v>0</x:v>
      </x:c>
      <x:c r="K292" s="324">
        <x:v>0</x:v>
      </x:c>
      <x:c r="L292" s="324">
        <x:v>0</x:v>
      </x:c>
      <x:c r="M292" s="324">
        <x:v>0</x:v>
      </x:c>
      <x:c r="N292" s="324">
        <x:v>0</x:v>
      </x:c>
      <x:c r="O292" s="324">
        <x:v>0</x:v>
      </x:c>
      <x:c r="P292" s="324">
        <x:v>0</x:v>
      </x:c>
      <x:c r="Q292" s="257">
        <x:f t="shared" si="10"/>
        <x:v>0</x:v>
      </x:c>
    </x:row>
    <x:row r="293">
      <x:c r="A293" s="148" t="s">
        <x:v>108</x:v>
      </x:c>
      <x:c r="B293">
        <x:v>8</x:v>
      </x:c>
      <x:c r="C293" s="148" t="s">
        <x:v>116</x:v>
      </x:c>
      <x:c r="D293">
        <x:v>811</x:v>
      </x:c>
      <x:c r="E293" s="324">
        <x:v>0</x:v>
      </x:c>
      <x:c r="F293" s="324">
        <x:v>0</x:v>
      </x:c>
      <x:c r="G293" s="324">
        <x:v>0</x:v>
      </x:c>
      <x:c r="H293" s="324">
        <x:v>0</x:v>
      </x:c>
      <x:c r="I293" s="324">
        <x:v>0</x:v>
      </x:c>
      <x:c r="J293" s="324">
        <x:v>0</x:v>
      </x:c>
      <x:c r="K293" s="324">
        <x:v>0</x:v>
      </x:c>
      <x:c r="L293" s="324">
        <x:v>0</x:v>
      </x:c>
      <x:c r="M293" s="324">
        <x:v>0</x:v>
      </x:c>
      <x:c r="N293" s="324">
        <x:v>0</x:v>
      </x:c>
      <x:c r="O293" s="324">
        <x:v>0</x:v>
      </x:c>
      <x:c r="P293" s="324">
        <x:v>0</x:v>
      </x:c>
      <x:c r="Q293" s="257">
        <x:f t="shared" si="10"/>
        <x:v>0</x:v>
      </x:c>
    </x:row>
    <x:row r="294">
      <x:c r="A294" s="148" t="s">
        <x:v>108</x:v>
      </x:c>
      <x:c r="B294">
        <x:v>8</x:v>
      </x:c>
      <x:c r="C294" s="148" t="s">
        <x:v>116</x:v>
      </x:c>
      <x:c r="D294">
        <x:v>812</x:v>
      </x:c>
      <x:c r="E294" s="324">
        <x:v>0</x:v>
      </x:c>
      <x:c r="F294" s="324">
        <x:v>0</x:v>
      </x:c>
      <x:c r="G294" s="324">
        <x:v>0</x:v>
      </x:c>
      <x:c r="H294" s="324">
        <x:v>0</x:v>
      </x:c>
      <x:c r="I294" s="324">
        <x:v>0</x:v>
      </x:c>
      <x:c r="J294" s="324">
        <x:v>0</x:v>
      </x:c>
      <x:c r="K294" s="324">
        <x:v>0</x:v>
      </x:c>
      <x:c r="L294" s="324">
        <x:v>0</x:v>
      </x:c>
      <x:c r="M294" s="324">
        <x:v>0</x:v>
      </x:c>
      <x:c r="N294" s="324">
        <x:v>0</x:v>
      </x:c>
      <x:c r="O294" s="324">
        <x:v>0</x:v>
      </x:c>
      <x:c r="P294" s="324">
        <x:v>0</x:v>
      </x:c>
      <x:c r="Q294" s="257">
        <x:f t="shared" si="10"/>
        <x:v>0</x:v>
      </x:c>
    </x:row>
    <x:row r="295">
      <x:c r="A295" s="148" t="s">
        <x:v>108</x:v>
      </x:c>
      <x:c r="B295">
        <x:v>8</x:v>
      </x:c>
      <x:c r="C295" s="148" t="s">
        <x:v>116</x:v>
      </x:c>
      <x:c r="D295">
        <x:v>813</x:v>
      </x:c>
      <x:c r="E295" s="324">
        <x:v>0</x:v>
      </x:c>
      <x:c r="F295" s="324">
        <x:v>0</x:v>
      </x:c>
      <x:c r="G295" s="324">
        <x:v>0</x:v>
      </x:c>
      <x:c r="H295" s="324">
        <x:v>0</x:v>
      </x:c>
      <x:c r="I295" s="324">
        <x:v>0</x:v>
      </x:c>
      <x:c r="J295" s="324">
        <x:v>0</x:v>
      </x:c>
      <x:c r="K295" s="324">
        <x:v>0</x:v>
      </x:c>
      <x:c r="L295" s="324">
        <x:v>0</x:v>
      </x:c>
      <x:c r="M295" s="324">
        <x:v>0</x:v>
      </x:c>
      <x:c r="N295" s="324">
        <x:v>0</x:v>
      </x:c>
      <x:c r="O295" s="324">
        <x:v>0</x:v>
      </x:c>
      <x:c r="P295" s="324">
        <x:v>0</x:v>
      </x:c>
      <x:c r="Q295" s="257">
        <x:f t="shared" si="10"/>
        <x:v>0</x:v>
      </x:c>
    </x:row>
    <x:row r="296">
      <x:c r="A296" s="148" t="s">
        <x:v>108</x:v>
      </x:c>
      <x:c r="B296">
        <x:v>8</x:v>
      </x:c>
      <x:c r="C296" s="148" t="s">
        <x:v>116</x:v>
      </x:c>
      <x:c r="D296">
        <x:v>814</x:v>
      </x:c>
      <x:c r="E296" s="324">
        <x:v>0</x:v>
      </x:c>
      <x:c r="F296" s="324">
        <x:v>0</x:v>
      </x:c>
      <x:c r="G296" s="324">
        <x:v>0</x:v>
      </x:c>
      <x:c r="H296" s="324">
        <x:v>0</x:v>
      </x:c>
      <x:c r="I296" s="324">
        <x:v>0</x:v>
      </x:c>
      <x:c r="J296" s="324">
        <x:v>0</x:v>
      </x:c>
      <x:c r="K296" s="324">
        <x:v>0</x:v>
      </x:c>
      <x:c r="L296" s="324">
        <x:v>0</x:v>
      </x:c>
      <x:c r="M296" s="324">
        <x:v>0</x:v>
      </x:c>
      <x:c r="N296" s="324">
        <x:v>0</x:v>
      </x:c>
      <x:c r="O296" s="324">
        <x:v>0</x:v>
      </x:c>
      <x:c r="P296" s="324">
        <x:v>0</x:v>
      </x:c>
      <x:c r="Q296" s="257">
        <x:f t="shared" si="10"/>
        <x:v>0</x:v>
      </x:c>
    </x:row>
    <x:row r="297">
      <x:c r="A297" s="148" t="s">
        <x:v>108</x:v>
      </x:c>
      <x:c r="B297">
        <x:v>8</x:v>
      </x:c>
      <x:c r="C297" s="148" t="s">
        <x:v>116</x:v>
      </x:c>
      <x:c r="D297">
        <x:v>815</x:v>
      </x:c>
      <x:c r="E297" s="324">
        <x:v>0</x:v>
      </x:c>
      <x:c r="F297" s="324">
        <x:v>0</x:v>
      </x:c>
      <x:c r="G297" s="324">
        <x:v>0</x:v>
      </x:c>
      <x:c r="H297" s="324">
        <x:v>0</x:v>
      </x:c>
      <x:c r="I297" s="324">
        <x:v>0</x:v>
      </x:c>
      <x:c r="J297" s="324">
        <x:v>0</x:v>
      </x:c>
      <x:c r="K297" s="324">
        <x:v>0</x:v>
      </x:c>
      <x:c r="L297" s="324">
        <x:v>0</x:v>
      </x:c>
      <x:c r="M297" s="324">
        <x:v>0</x:v>
      </x:c>
      <x:c r="N297" s="324">
        <x:v>0</x:v>
      </x:c>
      <x:c r="O297" s="324">
        <x:v>0</x:v>
      </x:c>
      <x:c r="P297" s="324">
        <x:v>0</x:v>
      </x:c>
      <x:c r="Q297" s="257">
        <x:f t="shared" si="10"/>
        <x:v>0</x:v>
      </x:c>
    </x:row>
    <x:row r="298">
      <x:c r="A298" s="148" t="s">
        <x:v>108</x:v>
      </x:c>
      <x:c r="B298">
        <x:v>8</x:v>
      </x:c>
      <x:c r="C298" s="148" t="s">
        <x:v>116</x:v>
      </x:c>
      <x:c r="D298">
        <x:v>816</x:v>
      </x:c>
      <x:c r="E298" s="324">
        <x:v>0</x:v>
      </x:c>
      <x:c r="F298" s="324">
        <x:v>0</x:v>
      </x:c>
      <x:c r="G298" s="324">
        <x:v>0</x:v>
      </x:c>
      <x:c r="H298" s="324">
        <x:v>0</x:v>
      </x:c>
      <x:c r="I298" s="324">
        <x:v>0</x:v>
      </x:c>
      <x:c r="J298" s="324">
        <x:v>0</x:v>
      </x:c>
      <x:c r="K298" s="324">
        <x:v>0</x:v>
      </x:c>
      <x:c r="L298" s="324">
        <x:v>0</x:v>
      </x:c>
      <x:c r="M298" s="324">
        <x:v>0</x:v>
      </x:c>
      <x:c r="N298" s="324">
        <x:v>0</x:v>
      </x:c>
      <x:c r="O298" s="324">
        <x:v>0</x:v>
      </x:c>
      <x:c r="P298" s="324">
        <x:v>0</x:v>
      </x:c>
      <x:c r="Q298" s="257">
        <x:f t="shared" si="10"/>
        <x:v>0</x:v>
      </x:c>
    </x:row>
    <x:row r="299">
      <x:c r="A299" s="148" t="s">
        <x:v>108</x:v>
      </x:c>
      <x:c r="B299">
        <x:v>8</x:v>
      </x:c>
      <x:c r="C299" s="148" t="s">
        <x:v>116</x:v>
      </x:c>
      <x:c r="D299">
        <x:v>817</x:v>
      </x:c>
      <x:c r="E299" s="324">
        <x:v>0</x:v>
      </x:c>
      <x:c r="F299" s="324">
        <x:v>0</x:v>
      </x:c>
      <x:c r="G299" s="324">
        <x:v>0</x:v>
      </x:c>
      <x:c r="H299" s="324">
        <x:v>0</x:v>
      </x:c>
      <x:c r="I299" s="324">
        <x:v>0</x:v>
      </x:c>
      <x:c r="J299" s="324">
        <x:v>0</x:v>
      </x:c>
      <x:c r="K299" s="324">
        <x:v>0</x:v>
      </x:c>
      <x:c r="L299" s="324">
        <x:v>0</x:v>
      </x:c>
      <x:c r="M299" s="324">
        <x:v>0</x:v>
      </x:c>
      <x:c r="N299" s="324">
        <x:v>0</x:v>
      </x:c>
      <x:c r="O299" s="324">
        <x:v>0</x:v>
      </x:c>
      <x:c r="P299" s="324">
        <x:v>0</x:v>
      </x:c>
      <x:c r="Q299" s="257">
        <x:f t="shared" si="10"/>
        <x:v>0</x:v>
      </x:c>
    </x:row>
    <x:row r="300">
      <x:c r="A300" s="148" t="s">
        <x:v>108</x:v>
      </x:c>
      <x:c r="B300">
        <x:v>8</x:v>
      </x:c>
      <x:c r="C300" s="148" t="s">
        <x:v>116</x:v>
      </x:c>
      <x:c r="D300">
        <x:v>818</x:v>
      </x:c>
      <x:c r="E300" s="324">
        <x:v>0</x:v>
      </x:c>
      <x:c r="F300" s="324">
        <x:v>0</x:v>
      </x:c>
      <x:c r="G300" s="324">
        <x:v>0</x:v>
      </x:c>
      <x:c r="H300" s="324">
        <x:v>0</x:v>
      </x:c>
      <x:c r="I300" s="324">
        <x:v>0</x:v>
      </x:c>
      <x:c r="J300" s="324">
        <x:v>0</x:v>
      </x:c>
      <x:c r="K300" s="324">
        <x:v>0</x:v>
      </x:c>
      <x:c r="L300" s="324">
        <x:v>0</x:v>
      </x:c>
      <x:c r="M300" s="324">
        <x:v>0</x:v>
      </x:c>
      <x:c r="N300" s="324">
        <x:v>0</x:v>
      </x:c>
      <x:c r="O300" s="324">
        <x:v>0</x:v>
      </x:c>
      <x:c r="P300" s="324">
        <x:v>0</x:v>
      </x:c>
      <x:c r="Q300" s="257">
        <x:f t="shared" si="10"/>
        <x:v>0</x:v>
      </x:c>
    </x:row>
    <x:row r="301">
      <x:c r="A301" s="148" t="s">
        <x:v>108</x:v>
      </x:c>
      <x:c r="B301">
        <x:v>8</x:v>
      </x:c>
      <x:c r="C301" s="148" t="s">
        <x:v>116</x:v>
      </x:c>
      <x:c r="D301">
        <x:v>819</x:v>
      </x:c>
      <x:c r="E301" s="324">
        <x:v>0</x:v>
      </x:c>
      <x:c r="F301" s="324">
        <x:v>0</x:v>
      </x:c>
      <x:c r="G301" s="324">
        <x:v>0</x:v>
      </x:c>
      <x:c r="H301" s="324">
        <x:v>0</x:v>
      </x:c>
      <x:c r="I301" s="324">
        <x:v>0</x:v>
      </x:c>
      <x:c r="J301" s="324">
        <x:v>0</x:v>
      </x:c>
      <x:c r="K301" s="324">
        <x:v>0</x:v>
      </x:c>
      <x:c r="L301" s="324">
        <x:v>0</x:v>
      </x:c>
      <x:c r="M301" s="324">
        <x:v>0</x:v>
      </x:c>
      <x:c r="N301" s="324">
        <x:v>0</x:v>
      </x:c>
      <x:c r="O301" s="324">
        <x:v>0</x:v>
      </x:c>
      <x:c r="P301" s="324">
        <x:v>0</x:v>
      </x:c>
      <x:c r="Q301" s="257">
        <x:f t="shared" si="10"/>
        <x:v>0</x:v>
      </x:c>
    </x:row>
    <x:row r="302">
      <x:c r="A302" s="148" t="s">
        <x:v>108</x:v>
      </x:c>
      <x:c r="B302">
        <x:v>8</x:v>
      </x:c>
      <x:c r="C302" s="148" t="s">
        <x:v>116</x:v>
      </x:c>
      <x:c r="D302">
        <x:v>820</x:v>
      </x:c>
      <x:c r="E302" s="324">
        <x:v>0</x:v>
      </x:c>
      <x:c r="F302" s="324">
        <x:v>0</x:v>
      </x:c>
      <x:c r="G302" s="324">
        <x:v>0</x:v>
      </x:c>
      <x:c r="H302" s="324">
        <x:v>0</x:v>
      </x:c>
      <x:c r="I302" s="324">
        <x:v>0</x:v>
      </x:c>
      <x:c r="J302" s="324">
        <x:v>0</x:v>
      </x:c>
      <x:c r="K302" s="324">
        <x:v>0</x:v>
      </x:c>
      <x:c r="L302" s="324">
        <x:v>0</x:v>
      </x:c>
      <x:c r="M302" s="324">
        <x:v>0</x:v>
      </x:c>
      <x:c r="N302" s="324">
        <x:v>0</x:v>
      </x:c>
      <x:c r="O302" s="324">
        <x:v>0</x:v>
      </x:c>
      <x:c r="P302" s="324">
        <x:v>0</x:v>
      </x:c>
      <x:c r="Q302" s="257">
        <x:f t="shared" si="10"/>
        <x:v>0</x:v>
      </x:c>
    </x:row>
    <x:row r="303">
      <x:c r="A303" s="148" t="s">
        <x:v>108</x:v>
      </x:c>
      <x:c r="B303">
        <x:v>8</x:v>
      </x:c>
      <x:c r="C303" s="148" t="s">
        <x:v>116</x:v>
      </x:c>
      <x:c r="D303">
        <x:v>821</x:v>
      </x:c>
      <x:c r="E303" s="324">
        <x:v>0</x:v>
      </x:c>
      <x:c r="F303" s="324">
        <x:v>0</x:v>
      </x:c>
      <x:c r="G303" s="324">
        <x:v>0</x:v>
      </x:c>
      <x:c r="H303" s="324">
        <x:v>0</x:v>
      </x:c>
      <x:c r="I303" s="324">
        <x:v>0</x:v>
      </x:c>
      <x:c r="J303" s="324">
        <x:v>0</x:v>
      </x:c>
      <x:c r="K303" s="324">
        <x:v>0</x:v>
      </x:c>
      <x:c r="L303" s="324">
        <x:v>0</x:v>
      </x:c>
      <x:c r="M303" s="324">
        <x:v>0</x:v>
      </x:c>
      <x:c r="N303" s="324">
        <x:v>0</x:v>
      </x:c>
      <x:c r="O303" s="324">
        <x:v>0</x:v>
      </x:c>
      <x:c r="P303" s="324">
        <x:v>0</x:v>
      </x:c>
      <x:c r="Q303" s="257">
        <x:f t="shared" si="10"/>
        <x:v>0</x:v>
      </x:c>
    </x:row>
    <x:row r="304">
      <x:c r="A304" s="148" t="s">
        <x:v>108</x:v>
      </x:c>
      <x:c r="B304">
        <x:v>8</x:v>
      </x:c>
      <x:c r="C304" s="148" t="s">
        <x:v>116</x:v>
      </x:c>
      <x:c r="D304">
        <x:v>822</x:v>
      </x:c>
      <x:c r="E304" s="324">
        <x:v>0</x:v>
      </x:c>
      <x:c r="F304" s="324">
        <x:v>0</x:v>
      </x:c>
      <x:c r="G304" s="324">
        <x:v>0</x:v>
      </x:c>
      <x:c r="H304" s="324">
        <x:v>0</x:v>
      </x:c>
      <x:c r="I304" s="324">
        <x:v>0</x:v>
      </x:c>
      <x:c r="J304" s="324">
        <x:v>0</x:v>
      </x:c>
      <x:c r="K304" s="324">
        <x:v>0</x:v>
      </x:c>
      <x:c r="L304" s="324">
        <x:v>0</x:v>
      </x:c>
      <x:c r="M304" s="324">
        <x:v>0</x:v>
      </x:c>
      <x:c r="N304" s="324">
        <x:v>0</x:v>
      </x:c>
      <x:c r="O304" s="324">
        <x:v>0</x:v>
      </x:c>
      <x:c r="P304" s="324">
        <x:v>0</x:v>
      </x:c>
      <x:c r="Q304" s="257">
        <x:f t="shared" si="10"/>
        <x:v>0</x:v>
      </x:c>
    </x:row>
    <x:row r="305">
      <x:c r="A305" s="148" t="s">
        <x:v>108</x:v>
      </x:c>
      <x:c r="B305">
        <x:v>8</x:v>
      </x:c>
      <x:c r="C305" s="148" t="s">
        <x:v>116</x:v>
      </x:c>
      <x:c r="D305">
        <x:v>823</x:v>
      </x:c>
      <x:c r="E305" s="324">
        <x:v>0</x:v>
      </x:c>
      <x:c r="F305" s="324">
        <x:v>0</x:v>
      </x:c>
      <x:c r="G305" s="324">
        <x:v>0</x:v>
      </x:c>
      <x:c r="H305" s="324">
        <x:v>0</x:v>
      </x:c>
      <x:c r="I305" s="324">
        <x:v>0</x:v>
      </x:c>
      <x:c r="J305" s="324">
        <x:v>0</x:v>
      </x:c>
      <x:c r="K305" s="324">
        <x:v>0</x:v>
      </x:c>
      <x:c r="L305" s="324">
        <x:v>0</x:v>
      </x:c>
      <x:c r="M305" s="324">
        <x:v>0</x:v>
      </x:c>
      <x:c r="N305" s="324">
        <x:v>0</x:v>
      </x:c>
      <x:c r="O305" s="324">
        <x:v>0</x:v>
      </x:c>
      <x:c r="P305" s="324">
        <x:v>0</x:v>
      </x:c>
      <x:c r="Q305" s="257">
        <x:f t="shared" si="10"/>
        <x:v>0</x:v>
      </x:c>
    </x:row>
    <x:row r="306">
      <x:c r="A306" s="148" t="s">
        <x:v>108</x:v>
      </x:c>
      <x:c r="B306">
        <x:v>8</x:v>
      </x:c>
      <x:c r="C306" s="148" t="s">
        <x:v>115</x:v>
      </x:c>
      <x:c r="D306">
        <x:v>801</x:v>
      </x:c>
      <x:c r="E306" s="324">
        <x:v>0</x:v>
      </x:c>
      <x:c r="F306" s="324">
        <x:v>0</x:v>
      </x:c>
      <x:c r="G306" s="324">
        <x:v>0</x:v>
      </x:c>
      <x:c r="H306" s="324">
        <x:v>0</x:v>
      </x:c>
      <x:c r="I306" s="324">
        <x:v>0</x:v>
      </x:c>
      <x:c r="J306" s="324">
        <x:v>0</x:v>
      </x:c>
      <x:c r="K306" s="324">
        <x:v>0</x:v>
      </x:c>
      <x:c r="L306" s="324">
        <x:v>0</x:v>
      </x:c>
      <x:c r="M306" s="324">
        <x:v>0</x:v>
      </x:c>
      <x:c r="N306" s="324">
        <x:v>0</x:v>
      </x:c>
      <x:c r="O306" s="324">
        <x:v>0</x:v>
      </x:c>
      <x:c r="P306" s="324">
        <x:v>0</x:v>
      </x:c>
      <x:c r="Q306" s="257">
        <x:f t="shared" si="10"/>
        <x:v>0</x:v>
      </x:c>
    </x:row>
    <x:row r="307">
      <x:c r="A307" s="148" t="s">
        <x:v>108</x:v>
      </x:c>
      <x:c r="B307">
        <x:v>8</x:v>
      </x:c>
      <x:c r="C307" s="148" t="s">
        <x:v>115</x:v>
      </x:c>
      <x:c r="D307">
        <x:v>802</x:v>
      </x:c>
      <x:c r="E307" s="324">
        <x:v>0</x:v>
      </x:c>
      <x:c r="F307" s="324">
        <x:v>0</x:v>
      </x:c>
      <x:c r="G307" s="324">
        <x:v>0</x:v>
      </x:c>
      <x:c r="H307" s="324">
        <x:v>0</x:v>
      </x:c>
      <x:c r="I307" s="324">
        <x:v>0</x:v>
      </x:c>
      <x:c r="J307" s="324">
        <x:v>0</x:v>
      </x:c>
      <x:c r="K307" s="324">
        <x:v>0</x:v>
      </x:c>
      <x:c r="L307" s="324">
        <x:v>0</x:v>
      </x:c>
      <x:c r="M307" s="324">
        <x:v>0</x:v>
      </x:c>
      <x:c r="N307" s="324">
        <x:v>0</x:v>
      </x:c>
      <x:c r="O307" s="324">
        <x:v>0</x:v>
      </x:c>
      <x:c r="P307" s="324">
        <x:v>0</x:v>
      </x:c>
      <x:c r="Q307" s="257">
        <x:f t="shared" si="10"/>
        <x:v>0</x:v>
      </x:c>
    </x:row>
    <x:row r="308">
      <x:c r="A308" s="148" t="s">
        <x:v>108</x:v>
      </x:c>
      <x:c r="B308">
        <x:v>8</x:v>
      </x:c>
      <x:c r="C308" s="148" t="s">
        <x:v>115</x:v>
      </x:c>
      <x:c r="D308">
        <x:v>803</x:v>
      </x:c>
      <x:c r="E308" s="324">
        <x:v>0</x:v>
      </x:c>
      <x:c r="F308" s="324">
        <x:v>0</x:v>
      </x:c>
      <x:c r="G308" s="324">
        <x:v>0</x:v>
      </x:c>
      <x:c r="H308" s="324">
        <x:v>0</x:v>
      </x:c>
      <x:c r="I308" s="324">
        <x:v>0</x:v>
      </x:c>
      <x:c r="J308" s="324">
        <x:v>0</x:v>
      </x:c>
      <x:c r="K308" s="324">
        <x:v>0</x:v>
      </x:c>
      <x:c r="L308" s="324">
        <x:v>0</x:v>
      </x:c>
      <x:c r="M308" s="324">
        <x:v>0</x:v>
      </x:c>
      <x:c r="N308" s="324">
        <x:v>0</x:v>
      </x:c>
      <x:c r="O308" s="324">
        <x:v>0</x:v>
      </x:c>
      <x:c r="P308" s="324">
        <x:v>0</x:v>
      </x:c>
      <x:c r="Q308" s="257">
        <x:f t="shared" si="10"/>
        <x:v>0</x:v>
      </x:c>
    </x:row>
    <x:row r="309">
      <x:c r="A309" s="148" t="s">
        <x:v>108</x:v>
      </x:c>
      <x:c r="B309">
        <x:v>8</x:v>
      </x:c>
      <x:c r="C309" s="148" t="s">
        <x:v>115</x:v>
      </x:c>
      <x:c r="D309">
        <x:v>804</x:v>
      </x:c>
      <x:c r="E309" s="324">
        <x:v>0</x:v>
      </x:c>
      <x:c r="F309" s="324">
        <x:v>0</x:v>
      </x:c>
      <x:c r="G309" s="324">
        <x:v>0</x:v>
      </x:c>
      <x:c r="H309" s="324">
        <x:v>0</x:v>
      </x:c>
      <x:c r="I309" s="324">
        <x:v>0</x:v>
      </x:c>
      <x:c r="J309" s="324">
        <x:v>0</x:v>
      </x:c>
      <x:c r="K309" s="324">
        <x:v>0</x:v>
      </x:c>
      <x:c r="L309" s="324">
        <x:v>0</x:v>
      </x:c>
      <x:c r="M309" s="324">
        <x:v>0</x:v>
      </x:c>
      <x:c r="N309" s="324">
        <x:v>0</x:v>
      </x:c>
      <x:c r="O309" s="324">
        <x:v>0</x:v>
      </x:c>
      <x:c r="P309" s="324">
        <x:v>0</x:v>
      </x:c>
      <x:c r="Q309" s="257">
        <x:f t="shared" si="10"/>
        <x:v>0</x:v>
      </x:c>
    </x:row>
    <x:row r="310">
      <x:c r="A310" s="148" t="s">
        <x:v>108</x:v>
      </x:c>
      <x:c r="B310">
        <x:v>8</x:v>
      </x:c>
      <x:c r="C310" s="148" t="s">
        <x:v>115</x:v>
      </x:c>
      <x:c r="D310">
        <x:v>805</x:v>
      </x:c>
      <x:c r="E310" s="324">
        <x:v>0</x:v>
      </x:c>
      <x:c r="F310" s="324">
        <x:v>0</x:v>
      </x:c>
      <x:c r="G310" s="324">
        <x:v>0</x:v>
      </x:c>
      <x:c r="H310" s="324">
        <x:v>0</x:v>
      </x:c>
      <x:c r="I310" s="324">
        <x:v>0</x:v>
      </x:c>
      <x:c r="J310" s="324">
        <x:v>0</x:v>
      </x:c>
      <x:c r="K310" s="324">
        <x:v>0</x:v>
      </x:c>
      <x:c r="L310" s="324">
        <x:v>0</x:v>
      </x:c>
      <x:c r="M310" s="324">
        <x:v>0</x:v>
      </x:c>
      <x:c r="N310" s="324">
        <x:v>0</x:v>
      </x:c>
      <x:c r="O310" s="324">
        <x:v>0</x:v>
      </x:c>
      <x:c r="P310" s="324">
        <x:v>0</x:v>
      </x:c>
      <x:c r="Q310" s="257">
        <x:f t="shared" si="10"/>
        <x:v>0</x:v>
      </x:c>
    </x:row>
    <x:row r="311">
      <x:c r="A311" s="148" t="s">
        <x:v>108</x:v>
      </x:c>
      <x:c r="B311">
        <x:v>8</x:v>
      </x:c>
      <x:c r="C311" s="148" t="s">
        <x:v>115</x:v>
      </x:c>
      <x:c r="D311">
        <x:v>806</x:v>
      </x:c>
      <x:c r="E311" s="324">
        <x:v>0</x:v>
      </x:c>
      <x:c r="F311" s="324">
        <x:v>0</x:v>
      </x:c>
      <x:c r="G311" s="324">
        <x:v>0</x:v>
      </x:c>
      <x:c r="H311" s="324">
        <x:v>0</x:v>
      </x:c>
      <x:c r="I311" s="324">
        <x:v>0</x:v>
      </x:c>
      <x:c r="J311" s="324">
        <x:v>0</x:v>
      </x:c>
      <x:c r="K311" s="324">
        <x:v>0</x:v>
      </x:c>
      <x:c r="L311" s="324">
        <x:v>0</x:v>
      </x:c>
      <x:c r="M311" s="324">
        <x:v>0</x:v>
      </x:c>
      <x:c r="N311" s="324">
        <x:v>0</x:v>
      </x:c>
      <x:c r="O311" s="324">
        <x:v>0</x:v>
      </x:c>
      <x:c r="P311" s="324">
        <x:v>0</x:v>
      </x:c>
      <x:c r="Q311" s="257">
        <x:f t="shared" si="10"/>
        <x:v>0</x:v>
      </x:c>
    </x:row>
    <x:row r="312">
      <x:c r="A312" s="148" t="s">
        <x:v>108</x:v>
      </x:c>
      <x:c r="B312">
        <x:v>8</x:v>
      </x:c>
      <x:c r="C312" s="148" t="s">
        <x:v>115</x:v>
      </x:c>
      <x:c r="D312">
        <x:v>807</x:v>
      </x:c>
      <x:c r="E312" s="324">
        <x:v>0</x:v>
      </x:c>
      <x:c r="F312" s="324">
        <x:v>0</x:v>
      </x:c>
      <x:c r="G312" s="324">
        <x:v>0</x:v>
      </x:c>
      <x:c r="H312" s="324">
        <x:v>0</x:v>
      </x:c>
      <x:c r="I312" s="324">
        <x:v>0</x:v>
      </x:c>
      <x:c r="J312" s="324">
        <x:v>0</x:v>
      </x:c>
      <x:c r="K312" s="324">
        <x:v>0</x:v>
      </x:c>
      <x:c r="L312" s="324">
        <x:v>0</x:v>
      </x:c>
      <x:c r="M312" s="324">
        <x:v>0</x:v>
      </x:c>
      <x:c r="N312" s="324">
        <x:v>0</x:v>
      </x:c>
      <x:c r="O312" s="324">
        <x:v>0</x:v>
      </x:c>
      <x:c r="P312" s="324">
        <x:v>0</x:v>
      </x:c>
      <x:c r="Q312" s="257">
        <x:f t="shared" si="10"/>
        <x:v>0</x:v>
      </x:c>
    </x:row>
    <x:row r="313">
      <x:c r="A313" s="148" t="s">
        <x:v>108</x:v>
      </x:c>
      <x:c r="B313">
        <x:v>8</x:v>
      </x:c>
      <x:c r="C313" s="148" t="s">
        <x:v>115</x:v>
      </x:c>
      <x:c r="D313">
        <x:v>808</x:v>
      </x:c>
      <x:c r="E313" s="324">
        <x:v>0</x:v>
      </x:c>
      <x:c r="F313" s="324">
        <x:v>0</x:v>
      </x:c>
      <x:c r="G313" s="324">
        <x:v>0</x:v>
      </x:c>
      <x:c r="H313" s="324">
        <x:v>0</x:v>
      </x:c>
      <x:c r="I313" s="324">
        <x:v>0</x:v>
      </x:c>
      <x:c r="J313" s="324">
        <x:v>0</x:v>
      </x:c>
      <x:c r="K313" s="324">
        <x:v>0</x:v>
      </x:c>
      <x:c r="L313" s="324">
        <x:v>0</x:v>
      </x:c>
      <x:c r="M313" s="324">
        <x:v>0</x:v>
      </x:c>
      <x:c r="N313" s="324">
        <x:v>0</x:v>
      </x:c>
      <x:c r="O313" s="324">
        <x:v>0</x:v>
      </x:c>
      <x:c r="P313" s="324">
        <x:v>0</x:v>
      </x:c>
      <x:c r="Q313" s="257">
        <x:f t="shared" si="10"/>
        <x:v>0</x:v>
      </x:c>
    </x:row>
    <x:row r="314">
      <x:c r="A314" s="148" t="s">
        <x:v>108</x:v>
      </x:c>
      <x:c r="B314">
        <x:v>8</x:v>
      </x:c>
      <x:c r="C314" s="148" t="s">
        <x:v>115</x:v>
      </x:c>
      <x:c r="D314">
        <x:v>809</x:v>
      </x:c>
      <x:c r="E314" s="324">
        <x:v>0</x:v>
      </x:c>
      <x:c r="F314" s="324">
        <x:v>0</x:v>
      </x:c>
      <x:c r="G314" s="324">
        <x:v>0</x:v>
      </x:c>
      <x:c r="H314" s="324">
        <x:v>0</x:v>
      </x:c>
      <x:c r="I314" s="324">
        <x:v>0</x:v>
      </x:c>
      <x:c r="J314" s="324">
        <x:v>0</x:v>
      </x:c>
      <x:c r="K314" s="324">
        <x:v>0</x:v>
      </x:c>
      <x:c r="L314" s="324">
        <x:v>0</x:v>
      </x:c>
      <x:c r="M314" s="324">
        <x:v>0</x:v>
      </x:c>
      <x:c r="N314" s="324">
        <x:v>0</x:v>
      </x:c>
      <x:c r="O314" s="324">
        <x:v>0</x:v>
      </x:c>
      <x:c r="P314" s="324">
        <x:v>0</x:v>
      </x:c>
      <x:c r="Q314" s="257">
        <x:f t="shared" si="10"/>
        <x:v>0</x:v>
      </x:c>
    </x:row>
    <x:row r="315">
      <x:c r="A315" s="148" t="s">
        <x:v>108</x:v>
      </x:c>
      <x:c r="B315">
        <x:v>8</x:v>
      </x:c>
      <x:c r="C315" s="148" t="s">
        <x:v>115</x:v>
      </x:c>
      <x:c r="D315">
        <x:v>810</x:v>
      </x:c>
      <x:c r="E315" s="324">
        <x:v>0</x:v>
      </x:c>
      <x:c r="F315" s="324">
        <x:v>0</x:v>
      </x:c>
      <x:c r="G315" s="324">
        <x:v>0</x:v>
      </x:c>
      <x:c r="H315" s="324">
        <x:v>0</x:v>
      </x:c>
      <x:c r="I315" s="324">
        <x:v>0</x:v>
      </x:c>
      <x:c r="J315" s="324">
        <x:v>0</x:v>
      </x:c>
      <x:c r="K315" s="324">
        <x:v>0</x:v>
      </x:c>
      <x:c r="L315" s="324">
        <x:v>0</x:v>
      </x:c>
      <x:c r="M315" s="324">
        <x:v>0</x:v>
      </x:c>
      <x:c r="N315" s="324">
        <x:v>0</x:v>
      </x:c>
      <x:c r="O315" s="324">
        <x:v>0</x:v>
      </x:c>
      <x:c r="P315" s="324">
        <x:v>0</x:v>
      </x:c>
      <x:c r="Q315" s="257">
        <x:f t="shared" si="10"/>
        <x:v>0</x:v>
      </x:c>
    </x:row>
    <x:row r="316">
      <x:c r="A316" s="148" t="s">
        <x:v>108</x:v>
      </x:c>
      <x:c r="B316">
        <x:v>8</x:v>
      </x:c>
      <x:c r="C316" s="148" t="s">
        <x:v>115</x:v>
      </x:c>
      <x:c r="D316">
        <x:v>811</x:v>
      </x:c>
      <x:c r="E316" s="324">
        <x:v>0</x:v>
      </x:c>
      <x:c r="F316" s="324">
        <x:v>0</x:v>
      </x:c>
      <x:c r="G316" s="324">
        <x:v>0</x:v>
      </x:c>
      <x:c r="H316" s="324">
        <x:v>0</x:v>
      </x:c>
      <x:c r="I316" s="324">
        <x:v>0</x:v>
      </x:c>
      <x:c r="J316" s="324">
        <x:v>0</x:v>
      </x:c>
      <x:c r="K316" s="324">
        <x:v>0</x:v>
      </x:c>
      <x:c r="L316" s="324">
        <x:v>0</x:v>
      </x:c>
      <x:c r="M316" s="324">
        <x:v>0</x:v>
      </x:c>
      <x:c r="N316" s="324">
        <x:v>0</x:v>
      </x:c>
      <x:c r="O316" s="324">
        <x:v>0</x:v>
      </x:c>
      <x:c r="P316" s="324">
        <x:v>0</x:v>
      </x:c>
      <x:c r="Q316" s="257">
        <x:f t="shared" si="10"/>
        <x:v>0</x:v>
      </x:c>
    </x:row>
    <x:row r="317">
      <x:c r="A317" s="148" t="s">
        <x:v>108</x:v>
      </x:c>
      <x:c r="B317">
        <x:v>8</x:v>
      </x:c>
      <x:c r="C317" s="148" t="s">
        <x:v>115</x:v>
      </x:c>
      <x:c r="D317">
        <x:v>812</x:v>
      </x:c>
      <x:c r="E317" s="324">
        <x:v>0</x:v>
      </x:c>
      <x:c r="F317" s="324">
        <x:v>0</x:v>
      </x:c>
      <x:c r="G317" s="324">
        <x:v>0</x:v>
      </x:c>
      <x:c r="H317" s="324">
        <x:v>0</x:v>
      </x:c>
      <x:c r="I317" s="324">
        <x:v>0</x:v>
      </x:c>
      <x:c r="J317" s="324">
        <x:v>0</x:v>
      </x:c>
      <x:c r="K317" s="324">
        <x:v>0</x:v>
      </x:c>
      <x:c r="L317" s="324">
        <x:v>0</x:v>
      </x:c>
      <x:c r="M317" s="324">
        <x:v>0</x:v>
      </x:c>
      <x:c r="N317" s="324">
        <x:v>0</x:v>
      </x:c>
      <x:c r="O317" s="324">
        <x:v>0</x:v>
      </x:c>
      <x:c r="P317" s="324">
        <x:v>0</x:v>
      </x:c>
      <x:c r="Q317" s="257">
        <x:f t="shared" si="10"/>
        <x:v>0</x:v>
      </x:c>
    </x:row>
    <x:row r="318">
      <x:c r="A318" s="148" t="s">
        <x:v>108</x:v>
      </x:c>
      <x:c r="B318">
        <x:v>8</x:v>
      </x:c>
      <x:c r="C318" s="148" t="s">
        <x:v>115</x:v>
      </x:c>
      <x:c r="D318">
        <x:v>813</x:v>
      </x:c>
      <x:c r="E318" s="324">
        <x:v>0</x:v>
      </x:c>
      <x:c r="F318" s="324">
        <x:v>0</x:v>
      </x:c>
      <x:c r="G318" s="324">
        <x:v>0</x:v>
      </x:c>
      <x:c r="H318" s="324">
        <x:v>0</x:v>
      </x:c>
      <x:c r="I318" s="324">
        <x:v>0</x:v>
      </x:c>
      <x:c r="J318" s="324">
        <x:v>0</x:v>
      </x:c>
      <x:c r="K318" s="324">
        <x:v>0</x:v>
      </x:c>
      <x:c r="L318" s="324">
        <x:v>0</x:v>
      </x:c>
      <x:c r="M318" s="324">
        <x:v>0</x:v>
      </x:c>
      <x:c r="N318" s="324">
        <x:v>0</x:v>
      </x:c>
      <x:c r="O318" s="324">
        <x:v>0</x:v>
      </x:c>
      <x:c r="P318" s="324">
        <x:v>0</x:v>
      </x:c>
      <x:c r="Q318" s="257">
        <x:f t="shared" si="10"/>
        <x:v>0</x:v>
      </x:c>
    </x:row>
    <x:row r="319">
      <x:c r="A319" s="148" t="s">
        <x:v>108</x:v>
      </x:c>
      <x:c r="B319">
        <x:v>8</x:v>
      </x:c>
      <x:c r="C319" s="148" t="s">
        <x:v>115</x:v>
      </x:c>
      <x:c r="D319">
        <x:v>814</x:v>
      </x:c>
      <x:c r="E319" s="324">
        <x:v>0</x:v>
      </x:c>
      <x:c r="F319" s="324">
        <x:v>0</x:v>
      </x:c>
      <x:c r="G319" s="324">
        <x:v>0</x:v>
      </x:c>
      <x:c r="H319" s="324">
        <x:v>0</x:v>
      </x:c>
      <x:c r="I319" s="324">
        <x:v>0</x:v>
      </x:c>
      <x:c r="J319" s="324">
        <x:v>0</x:v>
      </x:c>
      <x:c r="K319" s="324">
        <x:v>0</x:v>
      </x:c>
      <x:c r="L319" s="324">
        <x:v>0</x:v>
      </x:c>
      <x:c r="M319" s="324">
        <x:v>0</x:v>
      </x:c>
      <x:c r="N319" s="324">
        <x:v>0</x:v>
      </x:c>
      <x:c r="O319" s="324">
        <x:v>0</x:v>
      </x:c>
      <x:c r="P319" s="324">
        <x:v>0</x:v>
      </x:c>
      <x:c r="Q319" s="257">
        <x:f t="shared" si="10"/>
        <x:v>0</x:v>
      </x:c>
    </x:row>
    <x:row r="320">
      <x:c r="A320" s="148" t="s">
        <x:v>108</x:v>
      </x:c>
      <x:c r="B320">
        <x:v>8</x:v>
      </x:c>
      <x:c r="C320" s="148" t="s">
        <x:v>115</x:v>
      </x:c>
      <x:c r="D320">
        <x:v>815</x:v>
      </x:c>
      <x:c r="E320" s="324">
        <x:v>0</x:v>
      </x:c>
      <x:c r="F320" s="324">
        <x:v>0</x:v>
      </x:c>
      <x:c r="G320" s="324">
        <x:v>0</x:v>
      </x:c>
      <x:c r="H320" s="324">
        <x:v>0</x:v>
      </x:c>
      <x:c r="I320" s="324">
        <x:v>0</x:v>
      </x:c>
      <x:c r="J320" s="324">
        <x:v>0</x:v>
      </x:c>
      <x:c r="K320" s="324">
        <x:v>0</x:v>
      </x:c>
      <x:c r="L320" s="324">
        <x:v>0</x:v>
      </x:c>
      <x:c r="M320" s="324">
        <x:v>0</x:v>
      </x:c>
      <x:c r="N320" s="324">
        <x:v>0</x:v>
      </x:c>
      <x:c r="O320" s="324">
        <x:v>0</x:v>
      </x:c>
      <x:c r="P320" s="324">
        <x:v>0</x:v>
      </x:c>
      <x:c r="Q320" s="257">
        <x:f t="shared" si="10"/>
        <x:v>0</x:v>
      </x:c>
    </x:row>
    <x:row r="321">
      <x:c r="A321" s="148" t="s">
        <x:v>108</x:v>
      </x:c>
      <x:c r="B321">
        <x:v>8</x:v>
      </x:c>
      <x:c r="C321" s="148" t="s">
        <x:v>115</x:v>
      </x:c>
      <x:c r="D321">
        <x:v>816</x:v>
      </x:c>
      <x:c r="E321" s="324">
        <x:v>0</x:v>
      </x:c>
      <x:c r="F321" s="324">
        <x:v>0</x:v>
      </x:c>
      <x:c r="G321" s="324">
        <x:v>0</x:v>
      </x:c>
      <x:c r="H321" s="324">
        <x:v>0</x:v>
      </x:c>
      <x:c r="I321" s="324">
        <x:v>0</x:v>
      </x:c>
      <x:c r="J321" s="324">
        <x:v>0</x:v>
      </x:c>
      <x:c r="K321" s="324">
        <x:v>0</x:v>
      </x:c>
      <x:c r="L321" s="324">
        <x:v>0</x:v>
      </x:c>
      <x:c r="M321" s="324">
        <x:v>0</x:v>
      </x:c>
      <x:c r="N321" s="324">
        <x:v>0</x:v>
      </x:c>
      <x:c r="O321" s="324">
        <x:v>0</x:v>
      </x:c>
      <x:c r="P321" s="324">
        <x:v>0</x:v>
      </x:c>
      <x:c r="Q321" s="257">
        <x:f t="shared" si="10"/>
        <x:v>0</x:v>
      </x:c>
    </x:row>
    <x:row r="322">
      <x:c r="A322" s="148" t="s">
        <x:v>108</x:v>
      </x:c>
      <x:c r="B322">
        <x:v>8</x:v>
      </x:c>
      <x:c r="C322" s="148" t="s">
        <x:v>115</x:v>
      </x:c>
      <x:c r="D322">
        <x:v>817</x:v>
      </x:c>
      <x:c r="E322" s="324">
        <x:v>0</x:v>
      </x:c>
      <x:c r="F322" s="324">
        <x:v>0</x:v>
      </x:c>
      <x:c r="G322" s="324">
        <x:v>0</x:v>
      </x:c>
      <x:c r="H322" s="324">
        <x:v>0</x:v>
      </x:c>
      <x:c r="I322" s="324">
        <x:v>0</x:v>
      </x:c>
      <x:c r="J322" s="324">
        <x:v>0</x:v>
      </x:c>
      <x:c r="K322" s="324">
        <x:v>0</x:v>
      </x:c>
      <x:c r="L322" s="324">
        <x:v>0</x:v>
      </x:c>
      <x:c r="M322" s="324">
        <x:v>0</x:v>
      </x:c>
      <x:c r="N322" s="324">
        <x:v>0</x:v>
      </x:c>
      <x:c r="O322" s="324">
        <x:v>0</x:v>
      </x:c>
      <x:c r="P322" s="324">
        <x:v>0</x:v>
      </x:c>
      <x:c r="Q322" s="257" t="n">
        <x:f t="shared" ref="Q322:Q369" si="12">AVERAGE(E322:P322)</x:f>
        <x:v>0</x:v>
      </x:c>
    </x:row>
    <x:row r="323">
      <x:c r="A323" s="148" t="s">
        <x:v>108</x:v>
      </x:c>
      <x:c r="B323">
        <x:v>8</x:v>
      </x:c>
      <x:c r="C323" s="148" t="s">
        <x:v>115</x:v>
      </x:c>
      <x:c r="D323">
        <x:v>818</x:v>
      </x:c>
      <x:c r="E323" s="324">
        <x:v>0</x:v>
      </x:c>
      <x:c r="F323" s="324">
        <x:v>0</x:v>
      </x:c>
      <x:c r="G323" s="324">
        <x:v>0</x:v>
      </x:c>
      <x:c r="H323" s="324">
        <x:v>0</x:v>
      </x:c>
      <x:c r="I323" s="324">
        <x:v>0</x:v>
      </x:c>
      <x:c r="J323" s="324">
        <x:v>0</x:v>
      </x:c>
      <x:c r="K323" s="324">
        <x:v>0</x:v>
      </x:c>
      <x:c r="L323" s="324">
        <x:v>0</x:v>
      </x:c>
      <x:c r="M323" s="324">
        <x:v>0</x:v>
      </x:c>
      <x:c r="N323" s="324">
        <x:v>0</x:v>
      </x:c>
      <x:c r="O323" s="324">
        <x:v>0</x:v>
      </x:c>
      <x:c r="P323" s="324">
        <x:v>0</x:v>
      </x:c>
      <x:c r="Q323" s="257">
        <x:f t="shared" si="12"/>
        <x:v>0</x:v>
      </x:c>
    </x:row>
    <x:row r="324">
      <x:c r="A324" s="148" t="s">
        <x:v>108</x:v>
      </x:c>
      <x:c r="B324">
        <x:v>8</x:v>
      </x:c>
      <x:c r="C324" s="148" t="s">
        <x:v>115</x:v>
      </x:c>
      <x:c r="D324">
        <x:v>819</x:v>
      </x:c>
      <x:c r="E324" s="324">
        <x:v>0</x:v>
      </x:c>
      <x:c r="F324" s="324">
        <x:v>0</x:v>
      </x:c>
      <x:c r="G324" s="324">
        <x:v>0</x:v>
      </x:c>
      <x:c r="H324" s="324">
        <x:v>0</x:v>
      </x:c>
      <x:c r="I324" s="324">
        <x:v>0</x:v>
      </x:c>
      <x:c r="J324" s="324">
        <x:v>0</x:v>
      </x:c>
      <x:c r="K324" s="324">
        <x:v>0</x:v>
      </x:c>
      <x:c r="L324" s="324">
        <x:v>0</x:v>
      </x:c>
      <x:c r="M324" s="324">
        <x:v>0</x:v>
      </x:c>
      <x:c r="N324" s="324">
        <x:v>0</x:v>
      </x:c>
      <x:c r="O324" s="324">
        <x:v>0</x:v>
      </x:c>
      <x:c r="P324" s="324">
        <x:v>0</x:v>
      </x:c>
      <x:c r="Q324" s="257">
        <x:f t="shared" si="12"/>
        <x:v>0</x:v>
      </x:c>
    </x:row>
    <x:row r="325">
      <x:c r="A325" s="148" t="s">
        <x:v>108</x:v>
      </x:c>
      <x:c r="B325">
        <x:v>8</x:v>
      </x:c>
      <x:c r="C325" s="148" t="s">
        <x:v>115</x:v>
      </x:c>
      <x:c r="D325">
        <x:v>820</x:v>
      </x:c>
      <x:c r="E325" s="324">
        <x:v>0</x:v>
      </x:c>
      <x:c r="F325" s="324">
        <x:v>0</x:v>
      </x:c>
      <x:c r="G325" s="324">
        <x:v>0</x:v>
      </x:c>
      <x:c r="H325" s="324">
        <x:v>0</x:v>
      </x:c>
      <x:c r="I325" s="324">
        <x:v>0</x:v>
      </x:c>
      <x:c r="J325" s="324">
        <x:v>0</x:v>
      </x:c>
      <x:c r="K325" s="324">
        <x:v>0</x:v>
      </x:c>
      <x:c r="L325" s="324">
        <x:v>0</x:v>
      </x:c>
      <x:c r="M325" s="324">
        <x:v>0</x:v>
      </x:c>
      <x:c r="N325" s="324">
        <x:v>0</x:v>
      </x:c>
      <x:c r="O325" s="324">
        <x:v>0</x:v>
      </x:c>
      <x:c r="P325" s="324">
        <x:v>0</x:v>
      </x:c>
      <x:c r="Q325" s="257">
        <x:f t="shared" si="12"/>
        <x:v>0</x:v>
      </x:c>
    </x:row>
    <x:row r="326">
      <x:c r="A326" s="148" t="s">
        <x:v>108</x:v>
      </x:c>
      <x:c r="B326">
        <x:v>8</x:v>
      </x:c>
      <x:c r="C326" s="148" t="s">
        <x:v>115</x:v>
      </x:c>
      <x:c r="D326">
        <x:v>821</x:v>
      </x:c>
      <x:c r="E326" s="324">
        <x:v>0</x:v>
      </x:c>
      <x:c r="F326" s="324">
        <x:v>0</x:v>
      </x:c>
      <x:c r="G326" s="324">
        <x:v>0</x:v>
      </x:c>
      <x:c r="H326" s="324">
        <x:v>0</x:v>
      </x:c>
      <x:c r="I326" s="324">
        <x:v>0</x:v>
      </x:c>
      <x:c r="J326" s="324">
        <x:v>0</x:v>
      </x:c>
      <x:c r="K326" s="324">
        <x:v>0</x:v>
      </x:c>
      <x:c r="L326" s="324">
        <x:v>0</x:v>
      </x:c>
      <x:c r="M326" s="324">
        <x:v>0</x:v>
      </x:c>
      <x:c r="N326" s="324">
        <x:v>0</x:v>
      </x:c>
      <x:c r="O326" s="324">
        <x:v>0</x:v>
      </x:c>
      <x:c r="P326" s="324">
        <x:v>0</x:v>
      </x:c>
      <x:c r="Q326" s="257">
        <x:f t="shared" si="12"/>
        <x:v>0</x:v>
      </x:c>
    </x:row>
    <x:row r="327">
      <x:c r="A327" s="148"/>
      <x:c r="B327"/>
      <x:c r="C327" s="148"/>
      <x:c r="D327"/>
      <x:c r="E327" s="324"/>
      <x:c r="F327" s="324">
        <x:f t="shared" ref="F327:P327" si="13">AVERAGE(F283:F326)</x:f>
      </x:c>
      <x:c r="G327" s="324">
        <x:f t="shared" si="13"/>
      </x:c>
      <x:c r="H327" s="324">
        <x:f t="shared" si="13"/>
      </x:c>
      <x:c r="I327" s="324">
        <x:f t="shared" si="13"/>
      </x:c>
      <x:c r="J327" s="324">
        <x:f t="shared" si="13"/>
      </x:c>
      <x:c r="K327" s="324">
        <x:f t="shared" si="13"/>
      </x:c>
      <x:c r="L327" s="324">
        <x:f t="shared" si="13"/>
      </x:c>
      <x:c r="M327" s="324">
        <x:f t="shared" si="13"/>
      </x:c>
      <x:c r="N327" s="324">
        <x:f t="shared" si="13"/>
      </x:c>
      <x:c r="O327" s="324">
        <x:f t="shared" si="13"/>
      </x:c>
      <x:c r="P327" s="324">
        <x:f t="shared" si="13"/>
      </x:c>
      <x:c r="Q327" s="257">
        <x:f t="shared" si="12"/>
      </x:c>
    </x:row>
    <x:row r="328">
      <x:c r="A328" s="148" t="s">
        <x:v>108</x:v>
      </x:c>
      <x:c r="B328">
        <x:v>9</x:v>
      </x:c>
      <x:c r="C328" s="148" t="s">
        <x:v>116</x:v>
      </x:c>
      <x:c r="D328">
        <x:v>901</x:v>
      </x:c>
      <x:c r="E328" s="324">
        <x:v>0</x:v>
      </x:c>
      <x:c r="F328" s="324">
        <x:v>0</x:v>
      </x:c>
      <x:c r="G328" s="324">
        <x:v>0</x:v>
      </x:c>
      <x:c r="H328" s="324">
        <x:v>0</x:v>
      </x:c>
      <x:c r="I328" s="324">
        <x:v>0</x:v>
      </x:c>
      <x:c r="J328" s="324">
        <x:v>0</x:v>
      </x:c>
      <x:c r="K328" s="324">
        <x:v>0</x:v>
      </x:c>
      <x:c r="L328" s="324">
        <x:v>0</x:v>
      </x:c>
      <x:c r="M328" s="324">
        <x:v>0</x:v>
      </x:c>
      <x:c r="N328" s="324">
        <x:v>0</x:v>
      </x:c>
      <x:c r="O328" s="324">
        <x:v>0</x:v>
      </x:c>
      <x:c r="P328" s="324">
        <x:v>0</x:v>
      </x:c>
      <x:c r="Q328" s="257">
        <x:f t="shared" si="12"/>
        <x:v>0</x:v>
      </x:c>
    </x:row>
    <x:row r="329">
      <x:c r="A329" s="148" t="s">
        <x:v>108</x:v>
      </x:c>
      <x:c r="B329">
        <x:v>9</x:v>
      </x:c>
      <x:c r="C329" s="148" t="s">
        <x:v>116</x:v>
      </x:c>
      <x:c r="D329">
        <x:v>902</x:v>
      </x:c>
      <x:c r="E329" s="324">
        <x:v>0</x:v>
      </x:c>
      <x:c r="F329" s="324">
        <x:v>0</x:v>
      </x:c>
      <x:c r="G329" s="324">
        <x:v>0</x:v>
      </x:c>
      <x:c r="H329" s="324">
        <x:v>0</x:v>
      </x:c>
      <x:c r="I329" s="324">
        <x:v>0</x:v>
      </x:c>
      <x:c r="J329" s="324">
        <x:v>0</x:v>
      </x:c>
      <x:c r="K329" s="324">
        <x:v>0</x:v>
      </x:c>
      <x:c r="L329" s="324">
        <x:v>0</x:v>
      </x:c>
      <x:c r="M329" s="324">
        <x:v>0</x:v>
      </x:c>
      <x:c r="N329" s="324">
        <x:v>0</x:v>
      </x:c>
      <x:c r="O329" s="324">
        <x:v>0</x:v>
      </x:c>
      <x:c r="P329" s="324">
        <x:v>0</x:v>
      </x:c>
      <x:c r="Q329" s="257">
        <x:f t="shared" si="12"/>
        <x:v>0</x:v>
      </x:c>
    </x:row>
    <x:row r="330">
      <x:c r="A330" s="148" t="s">
        <x:v>108</x:v>
      </x:c>
      <x:c r="B330">
        <x:v>9</x:v>
      </x:c>
      <x:c r="C330" s="148" t="s">
        <x:v>116</x:v>
      </x:c>
      <x:c r="D330">
        <x:v>903</x:v>
      </x:c>
      <x:c r="E330" s="324">
        <x:v>0</x:v>
      </x:c>
      <x:c r="F330" s="324">
        <x:v>0</x:v>
      </x:c>
      <x:c r="G330" s="324">
        <x:v>0</x:v>
      </x:c>
      <x:c r="H330" s="324">
        <x:v>0</x:v>
      </x:c>
      <x:c r="I330" s="324">
        <x:v>0</x:v>
      </x:c>
      <x:c r="J330" s="324">
        <x:v>0</x:v>
      </x:c>
      <x:c r="K330" s="324">
        <x:v>0</x:v>
      </x:c>
      <x:c r="L330" s="324">
        <x:v>0</x:v>
      </x:c>
      <x:c r="M330" s="324">
        <x:v>0</x:v>
      </x:c>
      <x:c r="N330" s="324">
        <x:v>0</x:v>
      </x:c>
      <x:c r="O330" s="324">
        <x:v>0</x:v>
      </x:c>
      <x:c r="P330" s="324">
        <x:v>0</x:v>
      </x:c>
      <x:c r="Q330" s="257">
        <x:f t="shared" si="12"/>
        <x:v>0</x:v>
      </x:c>
    </x:row>
    <x:row r="331">
      <x:c r="A331" s="148" t="s">
        <x:v>108</x:v>
      </x:c>
      <x:c r="B331">
        <x:v>9</x:v>
      </x:c>
      <x:c r="C331" s="148" t="s">
        <x:v>116</x:v>
      </x:c>
      <x:c r="D331">
        <x:v>904</x:v>
      </x:c>
      <x:c r="E331" s="324">
        <x:v>0</x:v>
      </x:c>
      <x:c r="F331" s="324">
        <x:v>0</x:v>
      </x:c>
      <x:c r="G331" s="324">
        <x:v>0</x:v>
      </x:c>
      <x:c r="H331" s="324">
        <x:v>0</x:v>
      </x:c>
      <x:c r="I331" s="324">
        <x:v>0</x:v>
      </x:c>
      <x:c r="J331" s="324">
        <x:v>0</x:v>
      </x:c>
      <x:c r="K331" s="324">
        <x:v>0</x:v>
      </x:c>
      <x:c r="L331" s="324">
        <x:v>0</x:v>
      </x:c>
      <x:c r="M331" s="324">
        <x:v>0</x:v>
      </x:c>
      <x:c r="N331" s="324">
        <x:v>0</x:v>
      </x:c>
      <x:c r="O331" s="324">
        <x:v>0</x:v>
      </x:c>
      <x:c r="P331" s="324">
        <x:v>0</x:v>
      </x:c>
      <x:c r="Q331" s="257">
        <x:f t="shared" si="12"/>
        <x:v>0</x:v>
      </x:c>
    </x:row>
    <x:row r="332">
      <x:c r="A332" s="148" t="s">
        <x:v>108</x:v>
      </x:c>
      <x:c r="B332">
        <x:v>9</x:v>
      </x:c>
      <x:c r="C332" s="148" t="s">
        <x:v>116</x:v>
      </x:c>
      <x:c r="D332">
        <x:v>905</x:v>
      </x:c>
      <x:c r="E332" s="324">
        <x:v>0</x:v>
      </x:c>
      <x:c r="F332" s="324">
        <x:v>0</x:v>
      </x:c>
      <x:c r="G332" s="324">
        <x:v>0</x:v>
      </x:c>
      <x:c r="H332" s="324">
        <x:v>0</x:v>
      </x:c>
      <x:c r="I332" s="324">
        <x:v>0</x:v>
      </x:c>
      <x:c r="J332" s="324">
        <x:v>0</x:v>
      </x:c>
      <x:c r="K332" s="324">
        <x:v>0</x:v>
      </x:c>
      <x:c r="L332" s="324">
        <x:v>0</x:v>
      </x:c>
      <x:c r="M332" s="324">
        <x:v>0</x:v>
      </x:c>
      <x:c r="N332" s="324">
        <x:v>0</x:v>
      </x:c>
      <x:c r="O332" s="324">
        <x:v>0</x:v>
      </x:c>
      <x:c r="P332" s="324">
        <x:v>0</x:v>
      </x:c>
      <x:c r="Q332" s="257">
        <x:f t="shared" si="12"/>
        <x:v>0</x:v>
      </x:c>
    </x:row>
    <x:row r="333">
      <x:c r="A333" s="148" t="s">
        <x:v>108</x:v>
      </x:c>
      <x:c r="B333">
        <x:v>9</x:v>
      </x:c>
      <x:c r="C333" s="148" t="s">
        <x:v>116</x:v>
      </x:c>
      <x:c r="D333">
        <x:v>906</x:v>
      </x:c>
      <x:c r="E333" s="324">
        <x:v>0</x:v>
      </x:c>
      <x:c r="F333" s="324">
        <x:v>0</x:v>
      </x:c>
      <x:c r="G333" s="324">
        <x:v>0</x:v>
      </x:c>
      <x:c r="H333" s="324">
        <x:v>0</x:v>
      </x:c>
      <x:c r="I333" s="324">
        <x:v>0</x:v>
      </x:c>
      <x:c r="J333" s="324">
        <x:v>0</x:v>
      </x:c>
      <x:c r="K333" s="324">
        <x:v>0</x:v>
      </x:c>
      <x:c r="L333" s="324">
        <x:v>0</x:v>
      </x:c>
      <x:c r="M333" s="324">
        <x:v>0</x:v>
      </x:c>
      <x:c r="N333" s="324">
        <x:v>0</x:v>
      </x:c>
      <x:c r="O333" s="324">
        <x:v>0</x:v>
      </x:c>
      <x:c r="P333" s="324">
        <x:v>0</x:v>
      </x:c>
      <x:c r="Q333" s="257">
        <x:f t="shared" si="12"/>
        <x:v>0</x:v>
      </x:c>
    </x:row>
    <x:row r="334">
      <x:c r="A334" s="148" t="s">
        <x:v>108</x:v>
      </x:c>
      <x:c r="B334">
        <x:v>9</x:v>
      </x:c>
      <x:c r="C334" s="148" t="s">
        <x:v>116</x:v>
      </x:c>
      <x:c r="D334">
        <x:v>907</x:v>
      </x:c>
      <x:c r="E334" s="324">
        <x:v>0</x:v>
      </x:c>
      <x:c r="F334" s="324">
        <x:v>0</x:v>
      </x:c>
      <x:c r="G334" s="324">
        <x:v>0</x:v>
      </x:c>
      <x:c r="H334" s="324">
        <x:v>0</x:v>
      </x:c>
      <x:c r="I334" s="324">
        <x:v>0</x:v>
      </x:c>
      <x:c r="J334" s="324">
        <x:v>0</x:v>
      </x:c>
      <x:c r="K334" s="324">
        <x:v>0</x:v>
      </x:c>
      <x:c r="L334" s="324">
        <x:v>0</x:v>
      </x:c>
      <x:c r="M334" s="324">
        <x:v>0</x:v>
      </x:c>
      <x:c r="N334" s="324">
        <x:v>0</x:v>
      </x:c>
      <x:c r="O334" s="324">
        <x:v>0</x:v>
      </x:c>
      <x:c r="P334" s="324">
        <x:v>0</x:v>
      </x:c>
      <x:c r="Q334" s="257">
        <x:f t="shared" si="12"/>
        <x:v>0</x:v>
      </x:c>
    </x:row>
    <x:row r="335">
      <x:c r="A335" s="148" t="s">
        <x:v>108</x:v>
      </x:c>
      <x:c r="B335">
        <x:v>9</x:v>
      </x:c>
      <x:c r="C335" s="148" t="s">
        <x:v>116</x:v>
      </x:c>
      <x:c r="D335">
        <x:v>908</x:v>
      </x:c>
      <x:c r="E335" s="324">
        <x:v>0</x:v>
      </x:c>
      <x:c r="F335" s="324">
        <x:v>0</x:v>
      </x:c>
      <x:c r="G335" s="324">
        <x:v>0</x:v>
      </x:c>
      <x:c r="H335" s="324">
        <x:v>0</x:v>
      </x:c>
      <x:c r="I335" s="324">
        <x:v>0</x:v>
      </x:c>
      <x:c r="J335" s="324">
        <x:v>0</x:v>
      </x:c>
      <x:c r="K335" s="324">
        <x:v>0</x:v>
      </x:c>
      <x:c r="L335" s="324">
        <x:v>0</x:v>
      </x:c>
      <x:c r="M335" s="324">
        <x:v>0</x:v>
      </x:c>
      <x:c r="N335" s="324">
        <x:v>0</x:v>
      </x:c>
      <x:c r="O335" s="324">
        <x:v>0</x:v>
      </x:c>
      <x:c r="P335" s="324">
        <x:v>0</x:v>
      </x:c>
      <x:c r="Q335" s="257">
        <x:f t="shared" si="12"/>
        <x:v>0</x:v>
      </x:c>
    </x:row>
    <x:row r="336">
      <x:c r="A336" s="148" t="s">
        <x:v>108</x:v>
      </x:c>
      <x:c r="B336">
        <x:v>9</x:v>
      </x:c>
      <x:c r="C336" s="148" t="s">
        <x:v>116</x:v>
      </x:c>
      <x:c r="D336">
        <x:v>909</x:v>
      </x:c>
      <x:c r="E336" s="324">
        <x:v>0</x:v>
      </x:c>
      <x:c r="F336" s="324">
        <x:v>0</x:v>
      </x:c>
      <x:c r="G336" s="324">
        <x:v>0</x:v>
      </x:c>
      <x:c r="H336" s="324">
        <x:v>0</x:v>
      </x:c>
      <x:c r="I336" s="324">
        <x:v>0</x:v>
      </x:c>
      <x:c r="J336" s="324">
        <x:v>0</x:v>
      </x:c>
      <x:c r="K336" s="324">
        <x:v>0</x:v>
      </x:c>
      <x:c r="L336" s="324">
        <x:v>0</x:v>
      </x:c>
      <x:c r="M336" s="324">
        <x:v>0</x:v>
      </x:c>
      <x:c r="N336" s="324">
        <x:v>0</x:v>
      </x:c>
      <x:c r="O336" s="324">
        <x:v>0</x:v>
      </x:c>
      <x:c r="P336" s="324">
        <x:v>0</x:v>
      </x:c>
      <x:c r="Q336" s="257">
        <x:f t="shared" si="12"/>
        <x:v>0</x:v>
      </x:c>
    </x:row>
    <x:row r="337">
      <x:c r="A337" s="148" t="s">
        <x:v>108</x:v>
      </x:c>
      <x:c r="B337">
        <x:v>9</x:v>
      </x:c>
      <x:c r="C337" s="148" t="s">
        <x:v>116</x:v>
      </x:c>
      <x:c r="D337">
        <x:v>910</x:v>
      </x:c>
      <x:c r="E337" s="324">
        <x:v>0</x:v>
      </x:c>
      <x:c r="F337" s="324">
        <x:v>0</x:v>
      </x:c>
      <x:c r="G337" s="324">
        <x:v>0</x:v>
      </x:c>
      <x:c r="H337" s="324">
        <x:v>0</x:v>
      </x:c>
      <x:c r="I337" s="324">
        <x:v>0</x:v>
      </x:c>
      <x:c r="J337" s="324">
        <x:v>0</x:v>
      </x:c>
      <x:c r="K337" s="324">
        <x:v>0</x:v>
      </x:c>
      <x:c r="L337" s="324">
        <x:v>0</x:v>
      </x:c>
      <x:c r="M337" s="324">
        <x:v>0</x:v>
      </x:c>
      <x:c r="N337" s="324">
        <x:v>0</x:v>
      </x:c>
      <x:c r="O337" s="324">
        <x:v>0</x:v>
      </x:c>
      <x:c r="P337" s="324">
        <x:v>0</x:v>
      </x:c>
      <x:c r="Q337" s="257">
        <x:f t="shared" si="12"/>
        <x:v>0</x:v>
      </x:c>
    </x:row>
    <x:row r="338">
      <x:c r="A338" s="148" t="s">
        <x:v>108</x:v>
      </x:c>
      <x:c r="B338">
        <x:v>9</x:v>
      </x:c>
      <x:c r="C338" s="148" t="s">
        <x:v>116</x:v>
      </x:c>
      <x:c r="D338">
        <x:v>911</x:v>
      </x:c>
      <x:c r="E338" s="324">
        <x:v>0</x:v>
      </x:c>
      <x:c r="F338" s="324">
        <x:v>0</x:v>
      </x:c>
      <x:c r="G338" s="324">
        <x:v>0</x:v>
      </x:c>
      <x:c r="H338" s="324">
        <x:v>0</x:v>
      </x:c>
      <x:c r="I338" s="324">
        <x:v>0</x:v>
      </x:c>
      <x:c r="J338" s="324">
        <x:v>0</x:v>
      </x:c>
      <x:c r="K338" s="324">
        <x:v>0</x:v>
      </x:c>
      <x:c r="L338" s="324">
        <x:v>0</x:v>
      </x:c>
      <x:c r="M338" s="324">
        <x:v>0</x:v>
      </x:c>
      <x:c r="N338" s="324">
        <x:v>0</x:v>
      </x:c>
      <x:c r="O338" s="324">
        <x:v>0</x:v>
      </x:c>
      <x:c r="P338" s="324">
        <x:v>0</x:v>
      </x:c>
      <x:c r="Q338" s="257">
        <x:f t="shared" si="12"/>
        <x:v>0</x:v>
      </x:c>
    </x:row>
    <x:row r="339">
      <x:c r="A339" s="148" t="s">
        <x:v>108</x:v>
      </x:c>
      <x:c r="B339">
        <x:v>9</x:v>
      </x:c>
      <x:c r="C339" s="148" t="s">
        <x:v>116</x:v>
      </x:c>
      <x:c r="D339">
        <x:v>912</x:v>
      </x:c>
      <x:c r="E339" s="324">
        <x:v>0</x:v>
      </x:c>
      <x:c r="F339" s="324">
        <x:v>0</x:v>
      </x:c>
      <x:c r="G339" s="324">
        <x:v>0</x:v>
      </x:c>
      <x:c r="H339" s="324">
        <x:v>0</x:v>
      </x:c>
      <x:c r="I339" s="324">
        <x:v>0</x:v>
      </x:c>
      <x:c r="J339" s="324">
        <x:v>0</x:v>
      </x:c>
      <x:c r="K339" s="324">
        <x:v>0</x:v>
      </x:c>
      <x:c r="L339" s="324">
        <x:v>0</x:v>
      </x:c>
      <x:c r="M339" s="324">
        <x:v>0</x:v>
      </x:c>
      <x:c r="N339" s="324">
        <x:v>0</x:v>
      </x:c>
      <x:c r="O339" s="324">
        <x:v>0</x:v>
      </x:c>
      <x:c r="P339" s="324">
        <x:v>0</x:v>
      </x:c>
      <x:c r="Q339" s="257">
        <x:f t="shared" si="12"/>
        <x:v>0</x:v>
      </x:c>
    </x:row>
    <x:row r="340">
      <x:c r="A340" s="148" t="s">
        <x:v>108</x:v>
      </x:c>
      <x:c r="B340">
        <x:v>9</x:v>
      </x:c>
      <x:c r="C340" s="148" t="s">
        <x:v>116</x:v>
      </x:c>
      <x:c r="D340">
        <x:v>913</x:v>
      </x:c>
      <x:c r="E340" s="324">
        <x:v>0</x:v>
      </x:c>
      <x:c r="F340" s="324">
        <x:v>0</x:v>
      </x:c>
      <x:c r="G340" s="324">
        <x:v>0</x:v>
      </x:c>
      <x:c r="H340" s="324">
        <x:v>0</x:v>
      </x:c>
      <x:c r="I340" s="324">
        <x:v>0</x:v>
      </x:c>
      <x:c r="J340" s="324">
        <x:v>0</x:v>
      </x:c>
      <x:c r="K340" s="324">
        <x:v>0</x:v>
      </x:c>
      <x:c r="L340" s="324">
        <x:v>0</x:v>
      </x:c>
      <x:c r="M340" s="324">
        <x:v>0</x:v>
      </x:c>
      <x:c r="N340" s="324">
        <x:v>0</x:v>
      </x:c>
      <x:c r="O340" s="324">
        <x:v>0</x:v>
      </x:c>
      <x:c r="P340" s="324">
        <x:v>0</x:v>
      </x:c>
      <x:c r="Q340" s="257">
        <x:f t="shared" si="12"/>
        <x:v>0</x:v>
      </x:c>
    </x:row>
    <x:row r="341">
      <x:c r="A341" s="148" t="s">
        <x:v>108</x:v>
      </x:c>
      <x:c r="B341">
        <x:v>9</x:v>
      </x:c>
      <x:c r="C341" s="148" t="s">
        <x:v>116</x:v>
      </x:c>
      <x:c r="D341">
        <x:v>914</x:v>
      </x:c>
      <x:c r="E341" s="324">
        <x:v>0</x:v>
      </x:c>
      <x:c r="F341" s="324">
        <x:v>0</x:v>
      </x:c>
      <x:c r="G341" s="324">
        <x:v>0</x:v>
      </x:c>
      <x:c r="H341" s="324">
        <x:v>0</x:v>
      </x:c>
      <x:c r="I341" s="324">
        <x:v>0</x:v>
      </x:c>
      <x:c r="J341" s="324">
        <x:v>0</x:v>
      </x:c>
      <x:c r="K341" s="324">
        <x:v>0</x:v>
      </x:c>
      <x:c r="L341" s="324">
        <x:v>0</x:v>
      </x:c>
      <x:c r="M341" s="324">
        <x:v>0</x:v>
      </x:c>
      <x:c r="N341" s="324">
        <x:v>0</x:v>
      </x:c>
      <x:c r="O341" s="324">
        <x:v>0</x:v>
      </x:c>
      <x:c r="P341" s="324">
        <x:v>0</x:v>
      </x:c>
      <x:c r="Q341" s="257">
        <x:f t="shared" si="12"/>
        <x:v>0</x:v>
      </x:c>
    </x:row>
    <x:row r="342">
      <x:c r="A342" s="148" t="s">
        <x:v>108</x:v>
      </x:c>
      <x:c r="B342">
        <x:v>9</x:v>
      </x:c>
      <x:c r="C342" s="148" t="s">
        <x:v>116</x:v>
      </x:c>
      <x:c r="D342">
        <x:v>915</x:v>
      </x:c>
      <x:c r="E342" s="324">
        <x:v>0</x:v>
      </x:c>
      <x:c r="F342" s="324">
        <x:v>0</x:v>
      </x:c>
      <x:c r="G342" s="324">
        <x:v>0</x:v>
      </x:c>
      <x:c r="H342" s="324">
        <x:v>0</x:v>
      </x:c>
      <x:c r="I342" s="324">
        <x:v>0</x:v>
      </x:c>
      <x:c r="J342" s="324">
        <x:v>0</x:v>
      </x:c>
      <x:c r="K342" s="324">
        <x:v>0</x:v>
      </x:c>
      <x:c r="L342" s="324">
        <x:v>0</x:v>
      </x:c>
      <x:c r="M342" s="324">
        <x:v>0</x:v>
      </x:c>
      <x:c r="N342" s="324">
        <x:v>0</x:v>
      </x:c>
      <x:c r="O342" s="324">
        <x:v>0</x:v>
      </x:c>
      <x:c r="P342" s="324">
        <x:v>0</x:v>
      </x:c>
      <x:c r="Q342" s="257">
        <x:f t="shared" si="12"/>
        <x:v>0</x:v>
      </x:c>
    </x:row>
    <x:row r="343">
      <x:c r="A343" s="148" t="s">
        <x:v>108</x:v>
      </x:c>
      <x:c r="B343">
        <x:v>9</x:v>
      </x:c>
      <x:c r="C343" s="148" t="s">
        <x:v>116</x:v>
      </x:c>
      <x:c r="D343">
        <x:v>916</x:v>
      </x:c>
      <x:c r="E343" s="324">
        <x:v>0</x:v>
      </x:c>
      <x:c r="F343" s="324">
        <x:v>0</x:v>
      </x:c>
      <x:c r="G343" s="324">
        <x:v>0</x:v>
      </x:c>
      <x:c r="H343" s="324">
        <x:v>0</x:v>
      </x:c>
      <x:c r="I343" s="324">
        <x:v>0</x:v>
      </x:c>
      <x:c r="J343" s="324">
        <x:v>0</x:v>
      </x:c>
      <x:c r="K343" s="324">
        <x:v>0</x:v>
      </x:c>
      <x:c r="L343" s="324">
        <x:v>0</x:v>
      </x:c>
      <x:c r="M343" s="324">
        <x:v>0</x:v>
      </x:c>
      <x:c r="N343" s="324">
        <x:v>0</x:v>
      </x:c>
      <x:c r="O343" s="324">
        <x:v>0</x:v>
      </x:c>
      <x:c r="P343" s="324">
        <x:v>0</x:v>
      </x:c>
      <x:c r="Q343" s="257">
        <x:f t="shared" si="12"/>
        <x:v>0</x:v>
      </x:c>
    </x:row>
    <x:row r="344">
      <x:c r="A344" s="148" t="s">
        <x:v>108</x:v>
      </x:c>
      <x:c r="B344">
        <x:v>9</x:v>
      </x:c>
      <x:c r="C344" s="148" t="s">
        <x:v>116</x:v>
      </x:c>
      <x:c r="D344">
        <x:v>917</x:v>
      </x:c>
      <x:c r="E344" s="324">
        <x:v>0</x:v>
      </x:c>
      <x:c r="F344" s="324">
        <x:v>0</x:v>
      </x:c>
      <x:c r="G344" s="324">
        <x:v>0</x:v>
      </x:c>
      <x:c r="H344" s="324">
        <x:v>0</x:v>
      </x:c>
      <x:c r="I344" s="324">
        <x:v>0</x:v>
      </x:c>
      <x:c r="J344" s="324">
        <x:v>0</x:v>
      </x:c>
      <x:c r="K344" s="324">
        <x:v>0</x:v>
      </x:c>
      <x:c r="L344" s="324">
        <x:v>0</x:v>
      </x:c>
      <x:c r="M344" s="324">
        <x:v>0</x:v>
      </x:c>
      <x:c r="N344" s="324">
        <x:v>0</x:v>
      </x:c>
      <x:c r="O344" s="324">
        <x:v>0</x:v>
      </x:c>
      <x:c r="P344" s="324">
        <x:v>0</x:v>
      </x:c>
      <x:c r="Q344" s="257">
        <x:f t="shared" si="12"/>
        <x:v>0</x:v>
      </x:c>
    </x:row>
    <x:row r="345">
      <x:c r="A345" s="148" t="s">
        <x:v>108</x:v>
      </x:c>
      <x:c r="B345">
        <x:v>9</x:v>
      </x:c>
      <x:c r="C345" s="148" t="s">
        <x:v>116</x:v>
      </x:c>
      <x:c r="D345">
        <x:v>918</x:v>
      </x:c>
      <x:c r="E345" s="324">
        <x:v>0</x:v>
      </x:c>
      <x:c r="F345" s="324">
        <x:v>0</x:v>
      </x:c>
      <x:c r="G345" s="324">
        <x:v>0</x:v>
      </x:c>
      <x:c r="H345" s="324">
        <x:v>0</x:v>
      </x:c>
      <x:c r="I345" s="324">
        <x:v>0</x:v>
      </x:c>
      <x:c r="J345" s="324">
        <x:v>0</x:v>
      </x:c>
      <x:c r="K345" s="324">
        <x:v>0</x:v>
      </x:c>
      <x:c r="L345" s="324">
        <x:v>0</x:v>
      </x:c>
      <x:c r="M345" s="324">
        <x:v>0</x:v>
      </x:c>
      <x:c r="N345" s="324">
        <x:v>0</x:v>
      </x:c>
      <x:c r="O345" s="324">
        <x:v>0</x:v>
      </x:c>
      <x:c r="P345" s="324">
        <x:v>0</x:v>
      </x:c>
      <x:c r="Q345" s="257">
        <x:f t="shared" si="12"/>
        <x:v>0</x:v>
      </x:c>
    </x:row>
    <x:row r="346">
      <x:c r="A346" s="148" t="s">
        <x:v>108</x:v>
      </x:c>
      <x:c r="B346">
        <x:v>9</x:v>
      </x:c>
      <x:c r="C346" s="148" t="s">
        <x:v>116</x:v>
      </x:c>
      <x:c r="D346">
        <x:v>919</x:v>
      </x:c>
      <x:c r="E346" s="324">
        <x:v>0</x:v>
      </x:c>
      <x:c r="F346" s="324">
        <x:v>0</x:v>
      </x:c>
      <x:c r="G346" s="324">
        <x:v>0</x:v>
      </x:c>
      <x:c r="H346" s="324">
        <x:v>0</x:v>
      </x:c>
      <x:c r="I346" s="324">
        <x:v>0</x:v>
      </x:c>
      <x:c r="J346" s="324">
        <x:v>0</x:v>
      </x:c>
      <x:c r="K346" s="324">
        <x:v>0</x:v>
      </x:c>
      <x:c r="L346" s="324">
        <x:v>0</x:v>
      </x:c>
      <x:c r="M346" s="324">
        <x:v>0</x:v>
      </x:c>
      <x:c r="N346" s="324">
        <x:v>0</x:v>
      </x:c>
      <x:c r="O346" s="324">
        <x:v>0</x:v>
      </x:c>
      <x:c r="P346" s="324">
        <x:v>0</x:v>
      </x:c>
      <x:c r="Q346" s="257">
        <x:f t="shared" si="12"/>
        <x:v>0</x:v>
      </x:c>
    </x:row>
    <x:row r="347">
      <x:c r="A347" s="148" t="s">
        <x:v>108</x:v>
      </x:c>
      <x:c r="B347">
        <x:v>9</x:v>
      </x:c>
      <x:c r="C347" s="148" t="s">
        <x:v>116</x:v>
      </x:c>
      <x:c r="D347">
        <x:v>923</x:v>
      </x:c>
      <x:c r="E347" s="324">
        <x:v>0</x:v>
      </x:c>
      <x:c r="F347" s="324">
        <x:v>0</x:v>
      </x:c>
      <x:c r="G347" s="324">
        <x:v>0</x:v>
      </x:c>
      <x:c r="H347" s="324">
        <x:v>0</x:v>
      </x:c>
      <x:c r="I347" s="324">
        <x:v>0</x:v>
      </x:c>
      <x:c r="J347" s="324">
        <x:v>0</x:v>
      </x:c>
      <x:c r="K347" s="324">
        <x:v>0</x:v>
      </x:c>
      <x:c r="L347" s="324">
        <x:v>0</x:v>
      </x:c>
      <x:c r="M347" s="324">
        <x:v>0</x:v>
      </x:c>
      <x:c r="N347" s="324">
        <x:v>0</x:v>
      </x:c>
      <x:c r="O347" s="324">
        <x:v>0</x:v>
      </x:c>
      <x:c r="P347" s="324">
        <x:v>0</x:v>
      </x:c>
      <x:c r="Q347" s="257">
        <x:f t="shared" si="12"/>
        <x:v>0</x:v>
      </x:c>
    </x:row>
    <x:row r="348">
      <x:c r="A348" s="148" t="s">
        <x:v>108</x:v>
      </x:c>
      <x:c r="B348">
        <x:v>9</x:v>
      </x:c>
      <x:c r="C348" s="148" t="s">
        <x:v>115</x:v>
      </x:c>
      <x:c r="D348">
        <x:v>901</x:v>
      </x:c>
      <x:c r="E348" s="324">
        <x:v>0</x:v>
      </x:c>
      <x:c r="F348" s="324">
        <x:v>0</x:v>
      </x:c>
      <x:c r="G348" s="324">
        <x:v>0</x:v>
      </x:c>
      <x:c r="H348" s="324">
        <x:v>0</x:v>
      </x:c>
      <x:c r="I348" s="324">
        <x:v>0</x:v>
      </x:c>
      <x:c r="J348" s="324">
        <x:v>0</x:v>
      </x:c>
      <x:c r="K348" s="324">
        <x:v>0</x:v>
      </x:c>
      <x:c r="L348" s="324">
        <x:v>0</x:v>
      </x:c>
      <x:c r="M348" s="324">
        <x:v>0</x:v>
      </x:c>
      <x:c r="N348" s="324">
        <x:v>0</x:v>
      </x:c>
      <x:c r="O348" s="324">
        <x:v>0</x:v>
      </x:c>
      <x:c r="P348" s="324">
        <x:v>0</x:v>
      </x:c>
      <x:c r="Q348" s="257">
        <x:f t="shared" si="12"/>
        <x:v>0</x:v>
      </x:c>
    </x:row>
    <x:row r="349">
      <x:c r="A349" s="148" t="s">
        <x:v>108</x:v>
      </x:c>
      <x:c r="B349">
        <x:v>9</x:v>
      </x:c>
      <x:c r="C349" s="148" t="s">
        <x:v>115</x:v>
      </x:c>
      <x:c r="D349">
        <x:v>902</x:v>
      </x:c>
      <x:c r="E349" s="324">
        <x:v>0</x:v>
      </x:c>
      <x:c r="F349" s="324">
        <x:v>0</x:v>
      </x:c>
      <x:c r="G349" s="324">
        <x:v>0</x:v>
      </x:c>
      <x:c r="H349" s="324">
        <x:v>0</x:v>
      </x:c>
      <x:c r="I349" s="324">
        <x:v>0</x:v>
      </x:c>
      <x:c r="J349" s="324">
        <x:v>0</x:v>
      </x:c>
      <x:c r="K349" s="324">
        <x:v>0</x:v>
      </x:c>
      <x:c r="L349" s="324">
        <x:v>0</x:v>
      </x:c>
      <x:c r="M349" s="324">
        <x:v>0</x:v>
      </x:c>
      <x:c r="N349" s="324">
        <x:v>0</x:v>
      </x:c>
      <x:c r="O349" s="324">
        <x:v>0</x:v>
      </x:c>
      <x:c r="P349" s="324">
        <x:v>0</x:v>
      </x:c>
      <x:c r="Q349" s="257">
        <x:f t="shared" si="12"/>
        <x:v>0</x:v>
      </x:c>
    </x:row>
    <x:row r="350">
      <x:c r="A350" s="148" t="s">
        <x:v>108</x:v>
      </x:c>
      <x:c r="B350">
        <x:v>9</x:v>
      </x:c>
      <x:c r="C350" s="148" t="s">
        <x:v>115</x:v>
      </x:c>
      <x:c r="D350">
        <x:v>903</x:v>
      </x:c>
      <x:c r="E350" s="324">
        <x:v>0</x:v>
      </x:c>
      <x:c r="F350" s="324">
        <x:v>0</x:v>
      </x:c>
      <x:c r="G350" s="324">
        <x:v>0</x:v>
      </x:c>
      <x:c r="H350" s="324">
        <x:v>0</x:v>
      </x:c>
      <x:c r="I350" s="324">
        <x:v>0</x:v>
      </x:c>
      <x:c r="J350" s="324">
        <x:v>0</x:v>
      </x:c>
      <x:c r="K350" s="324">
        <x:v>0</x:v>
      </x:c>
      <x:c r="L350" s="324">
        <x:v>0</x:v>
      </x:c>
      <x:c r="M350" s="324">
        <x:v>0</x:v>
      </x:c>
      <x:c r="N350" s="324">
        <x:v>0</x:v>
      </x:c>
      <x:c r="O350" s="324">
        <x:v>0</x:v>
      </x:c>
      <x:c r="P350" s="324">
        <x:v>0</x:v>
      </x:c>
      <x:c r="Q350" s="257">
        <x:f t="shared" si="12"/>
        <x:v>0</x:v>
      </x:c>
    </x:row>
    <x:row r="351">
      <x:c r="A351" s="148" t="s">
        <x:v>108</x:v>
      </x:c>
      <x:c r="B351">
        <x:v>9</x:v>
      </x:c>
      <x:c r="C351" s="148" t="s">
        <x:v>115</x:v>
      </x:c>
      <x:c r="D351">
        <x:v>904</x:v>
      </x:c>
      <x:c r="E351" s="324">
        <x:v>0</x:v>
      </x:c>
      <x:c r="F351" s="324">
        <x:v>0</x:v>
      </x:c>
      <x:c r="G351" s="324">
        <x:v>0</x:v>
      </x:c>
      <x:c r="H351" s="324">
        <x:v>0</x:v>
      </x:c>
      <x:c r="I351" s="324">
        <x:v>0</x:v>
      </x:c>
      <x:c r="J351" s="324">
        <x:v>0</x:v>
      </x:c>
      <x:c r="K351" s="324">
        <x:v>0</x:v>
      </x:c>
      <x:c r="L351" s="324">
        <x:v>0</x:v>
      </x:c>
      <x:c r="M351" s="324">
        <x:v>0</x:v>
      </x:c>
      <x:c r="N351" s="324">
        <x:v>0</x:v>
      </x:c>
      <x:c r="O351" s="324">
        <x:v>0</x:v>
      </x:c>
      <x:c r="P351" s="324">
        <x:v>0</x:v>
      </x:c>
      <x:c r="Q351" s="257">
        <x:f t="shared" si="12"/>
        <x:v>0</x:v>
      </x:c>
    </x:row>
    <x:row r="352">
      <x:c r="A352" s="148" t="s">
        <x:v>108</x:v>
      </x:c>
      <x:c r="B352">
        <x:v>9</x:v>
      </x:c>
      <x:c r="C352" s="148" t="s">
        <x:v>115</x:v>
      </x:c>
      <x:c r="D352">
        <x:v>905</x:v>
      </x:c>
      <x:c r="E352" s="324">
        <x:v>0</x:v>
      </x:c>
      <x:c r="F352" s="324">
        <x:v>0</x:v>
      </x:c>
      <x:c r="G352" s="324">
        <x:v>0</x:v>
      </x:c>
      <x:c r="H352" s="324">
        <x:v>0</x:v>
      </x:c>
      <x:c r="I352" s="324">
        <x:v>0</x:v>
      </x:c>
      <x:c r="J352" s="324">
        <x:v>0</x:v>
      </x:c>
      <x:c r="K352" s="324">
        <x:v>0</x:v>
      </x:c>
      <x:c r="L352" s="324">
        <x:v>0</x:v>
      </x:c>
      <x:c r="M352" s="324">
        <x:v>0</x:v>
      </x:c>
      <x:c r="N352" s="324">
        <x:v>0</x:v>
      </x:c>
      <x:c r="O352" s="324">
        <x:v>0</x:v>
      </x:c>
      <x:c r="P352" s="324">
        <x:v>0</x:v>
      </x:c>
      <x:c r="Q352" s="257">
        <x:f t="shared" si="12"/>
        <x:v>0</x:v>
      </x:c>
    </x:row>
    <x:row r="353">
      <x:c r="A353" s="148" t="s">
        <x:v>108</x:v>
      </x:c>
      <x:c r="B353">
        <x:v>9</x:v>
      </x:c>
      <x:c r="C353" s="148" t="s">
        <x:v>115</x:v>
      </x:c>
      <x:c r="D353">
        <x:v>906</x:v>
      </x:c>
      <x:c r="E353" s="324">
        <x:v>0</x:v>
      </x:c>
      <x:c r="F353" s="324">
        <x:v>0</x:v>
      </x:c>
      <x:c r="G353" s="324">
        <x:v>0</x:v>
      </x:c>
      <x:c r="H353" s="324">
        <x:v>0</x:v>
      </x:c>
      <x:c r="I353" s="324">
        <x:v>0</x:v>
      </x:c>
      <x:c r="J353" s="324">
        <x:v>0</x:v>
      </x:c>
      <x:c r="K353" s="324">
        <x:v>0</x:v>
      </x:c>
      <x:c r="L353" s="324">
        <x:v>0</x:v>
      </x:c>
      <x:c r="M353" s="324">
        <x:v>0</x:v>
      </x:c>
      <x:c r="N353" s="324">
        <x:v>0</x:v>
      </x:c>
      <x:c r="O353" s="324">
        <x:v>0</x:v>
      </x:c>
      <x:c r="P353" s="324">
        <x:v>0</x:v>
      </x:c>
      <x:c r="Q353" s="257">
        <x:f t="shared" si="12"/>
        <x:v>0</x:v>
      </x:c>
    </x:row>
    <x:row r="354">
      <x:c r="A354" s="148" t="s">
        <x:v>108</x:v>
      </x:c>
      <x:c r="B354">
        <x:v>9</x:v>
      </x:c>
      <x:c r="C354" s="148" t="s">
        <x:v>115</x:v>
      </x:c>
      <x:c r="D354">
        <x:v>907</x:v>
      </x:c>
      <x:c r="E354" s="324">
        <x:v>0</x:v>
      </x:c>
      <x:c r="F354" s="324">
        <x:v>0</x:v>
      </x:c>
      <x:c r="G354" s="324">
        <x:v>0</x:v>
      </x:c>
      <x:c r="H354" s="324">
        <x:v>0</x:v>
      </x:c>
      <x:c r="I354" s="324">
        <x:v>0</x:v>
      </x:c>
      <x:c r="J354" s="324">
        <x:v>0</x:v>
      </x:c>
      <x:c r="K354" s="324">
        <x:v>0</x:v>
      </x:c>
      <x:c r="L354" s="324">
        <x:v>0</x:v>
      </x:c>
      <x:c r="M354" s="324">
        <x:v>0</x:v>
      </x:c>
      <x:c r="N354" s="324">
        <x:v>0</x:v>
      </x:c>
      <x:c r="O354" s="324">
        <x:v>0</x:v>
      </x:c>
      <x:c r="P354" s="324">
        <x:v>0</x:v>
      </x:c>
      <x:c r="Q354" s="257">
        <x:f t="shared" si="12"/>
        <x:v>0</x:v>
      </x:c>
    </x:row>
    <x:row r="355">
      <x:c r="A355" s="148" t="s">
        <x:v>108</x:v>
      </x:c>
      <x:c r="B355">
        <x:v>9</x:v>
      </x:c>
      <x:c r="C355" s="148" t="s">
        <x:v>115</x:v>
      </x:c>
      <x:c r="D355">
        <x:v>908</x:v>
      </x:c>
      <x:c r="E355" s="324">
        <x:v>0</x:v>
      </x:c>
      <x:c r="F355" s="324">
        <x:v>0</x:v>
      </x:c>
      <x:c r="G355" s="324">
        <x:v>0</x:v>
      </x:c>
      <x:c r="H355" s="324">
        <x:v>0</x:v>
      </x:c>
      <x:c r="I355" s="324">
        <x:v>0</x:v>
      </x:c>
      <x:c r="J355" s="324">
        <x:v>0</x:v>
      </x:c>
      <x:c r="K355" s="324">
        <x:v>0</x:v>
      </x:c>
      <x:c r="L355" s="324">
        <x:v>0</x:v>
      </x:c>
      <x:c r="M355" s="324">
        <x:v>0</x:v>
      </x:c>
      <x:c r="N355" s="324">
        <x:v>0</x:v>
      </x:c>
      <x:c r="O355" s="324">
        <x:v>0</x:v>
      </x:c>
      <x:c r="P355" s="324">
        <x:v>0</x:v>
      </x:c>
      <x:c r="Q355" s="257">
        <x:f t="shared" si="12"/>
        <x:v>0</x:v>
      </x:c>
    </x:row>
    <x:row r="356">
      <x:c r="A356" s="148" t="s">
        <x:v>108</x:v>
      </x:c>
      <x:c r="B356">
        <x:v>9</x:v>
      </x:c>
      <x:c r="C356" s="148" t="s">
        <x:v>115</x:v>
      </x:c>
      <x:c r="D356">
        <x:v>909</x:v>
      </x:c>
      <x:c r="E356" s="324">
        <x:v>0</x:v>
      </x:c>
      <x:c r="F356" s="324">
        <x:v>0</x:v>
      </x:c>
      <x:c r="G356" s="324">
        <x:v>0</x:v>
      </x:c>
      <x:c r="H356" s="324">
        <x:v>0</x:v>
      </x:c>
      <x:c r="I356" s="324">
        <x:v>0</x:v>
      </x:c>
      <x:c r="J356" s="324">
        <x:v>0</x:v>
      </x:c>
      <x:c r="K356" s="324">
        <x:v>0</x:v>
      </x:c>
      <x:c r="L356" s="324">
        <x:v>0</x:v>
      </x:c>
      <x:c r="M356" s="324">
        <x:v>0</x:v>
      </x:c>
      <x:c r="N356" s="324">
        <x:v>0</x:v>
      </x:c>
      <x:c r="O356" s="324">
        <x:v>0</x:v>
      </x:c>
      <x:c r="P356" s="324">
        <x:v>0</x:v>
      </x:c>
      <x:c r="Q356" s="257">
        <x:f t="shared" si="12"/>
        <x:v>0</x:v>
      </x:c>
    </x:row>
    <x:row r="357">
      <x:c r="A357" s="148" t="s">
        <x:v>108</x:v>
      </x:c>
      <x:c r="B357">
        <x:v>9</x:v>
      </x:c>
      <x:c r="C357" s="148" t="s">
        <x:v>115</x:v>
      </x:c>
      <x:c r="D357">
        <x:v>910</x:v>
      </x:c>
      <x:c r="E357" s="324">
        <x:v>0</x:v>
      </x:c>
      <x:c r="F357" s="324">
        <x:v>0</x:v>
      </x:c>
      <x:c r="G357" s="324">
        <x:v>0</x:v>
      </x:c>
      <x:c r="H357" s="324">
        <x:v>0</x:v>
      </x:c>
      <x:c r="I357" s="324">
        <x:v>0</x:v>
      </x:c>
      <x:c r="J357" s="324">
        <x:v>0</x:v>
      </x:c>
      <x:c r="K357" s="324">
        <x:v>0</x:v>
      </x:c>
      <x:c r="L357" s="324">
        <x:v>0</x:v>
      </x:c>
      <x:c r="M357" s="324">
        <x:v>0</x:v>
      </x:c>
      <x:c r="N357" s="324">
        <x:v>0</x:v>
      </x:c>
      <x:c r="O357" s="324">
        <x:v>0</x:v>
      </x:c>
      <x:c r="P357" s="324">
        <x:v>0</x:v>
      </x:c>
      <x:c r="Q357" s="257">
        <x:f t="shared" si="12"/>
        <x:v>0</x:v>
      </x:c>
    </x:row>
    <x:row r="358">
      <x:c r="A358" s="148" t="s">
        <x:v>108</x:v>
      </x:c>
      <x:c r="B358">
        <x:v>9</x:v>
      </x:c>
      <x:c r="C358" s="148" t="s">
        <x:v>115</x:v>
      </x:c>
      <x:c r="D358">
        <x:v>911</x:v>
      </x:c>
      <x:c r="E358" s="324">
        <x:v>0</x:v>
      </x:c>
      <x:c r="F358" s="324">
        <x:v>0</x:v>
      </x:c>
      <x:c r="G358" s="324">
        <x:v>0</x:v>
      </x:c>
      <x:c r="H358" s="324">
        <x:v>0</x:v>
      </x:c>
      <x:c r="I358" s="324">
        <x:v>0</x:v>
      </x:c>
      <x:c r="J358" s="324">
        <x:v>0</x:v>
      </x:c>
      <x:c r="K358" s="324">
        <x:v>0</x:v>
      </x:c>
      <x:c r="L358" s="324">
        <x:v>0</x:v>
      </x:c>
      <x:c r="M358" s="324">
        <x:v>0</x:v>
      </x:c>
      <x:c r="N358" s="324">
        <x:v>0</x:v>
      </x:c>
      <x:c r="O358" s="324">
        <x:v>0</x:v>
      </x:c>
      <x:c r="P358" s="324">
        <x:v>0</x:v>
      </x:c>
      <x:c r="Q358" s="257">
        <x:f t="shared" si="12"/>
        <x:v>0</x:v>
      </x:c>
    </x:row>
    <x:row r="359">
      <x:c r="A359" s="148" t="s">
        <x:v>108</x:v>
      </x:c>
      <x:c r="B359">
        <x:v>9</x:v>
      </x:c>
      <x:c r="C359" s="148" t="s">
        <x:v>115</x:v>
      </x:c>
      <x:c r="D359">
        <x:v>912</x:v>
      </x:c>
      <x:c r="E359" s="324">
        <x:v>0</x:v>
      </x:c>
      <x:c r="F359" s="324">
        <x:v>0</x:v>
      </x:c>
      <x:c r="G359" s="324">
        <x:v>0</x:v>
      </x:c>
      <x:c r="H359" s="324">
        <x:v>0</x:v>
      </x:c>
      <x:c r="I359" s="324">
        <x:v>0</x:v>
      </x:c>
      <x:c r="J359" s="324">
        <x:v>0</x:v>
      </x:c>
      <x:c r="K359" s="324">
        <x:v>0</x:v>
      </x:c>
      <x:c r="L359" s="324">
        <x:v>0</x:v>
      </x:c>
      <x:c r="M359" s="324">
        <x:v>0</x:v>
      </x:c>
      <x:c r="N359" s="324">
        <x:v>0</x:v>
      </x:c>
      <x:c r="O359" s="324">
        <x:v>0</x:v>
      </x:c>
      <x:c r="P359" s="324">
        <x:v>0</x:v>
      </x:c>
      <x:c r="Q359" s="257">
        <x:f t="shared" si="12"/>
        <x:v>0</x:v>
      </x:c>
    </x:row>
    <x:row r="360">
      <x:c r="A360" s="148" t="s">
        <x:v>108</x:v>
      </x:c>
      <x:c r="B360">
        <x:v>9</x:v>
      </x:c>
      <x:c r="C360" s="148" t="s">
        <x:v>115</x:v>
      </x:c>
      <x:c r="D360">
        <x:v>913</x:v>
      </x:c>
      <x:c r="E360" s="324">
        <x:v>0</x:v>
      </x:c>
      <x:c r="F360" s="324">
        <x:v>0</x:v>
      </x:c>
      <x:c r="G360" s="324">
        <x:v>0</x:v>
      </x:c>
      <x:c r="H360" s="324">
        <x:v>0</x:v>
      </x:c>
      <x:c r="I360" s="324">
        <x:v>0</x:v>
      </x:c>
      <x:c r="J360" s="324">
        <x:v>0</x:v>
      </x:c>
      <x:c r="K360" s="324">
        <x:v>0</x:v>
      </x:c>
      <x:c r="L360" s="324">
        <x:v>0</x:v>
      </x:c>
      <x:c r="M360" s="324">
        <x:v>0</x:v>
      </x:c>
      <x:c r="N360" s="324">
        <x:v>0</x:v>
      </x:c>
      <x:c r="O360" s="324">
        <x:v>0</x:v>
      </x:c>
      <x:c r="P360" s="324">
        <x:v>0</x:v>
      </x:c>
      <x:c r="Q360" s="257">
        <x:f t="shared" si="12"/>
        <x:v>0</x:v>
      </x:c>
    </x:row>
    <x:row r="361">
      <x:c r="A361" s="148" t="s">
        <x:v>108</x:v>
      </x:c>
      <x:c r="B361">
        <x:v>9</x:v>
      </x:c>
      <x:c r="C361" s="148" t="s">
        <x:v>115</x:v>
      </x:c>
      <x:c r="D361">
        <x:v>914</x:v>
      </x:c>
      <x:c r="E361" s="324">
        <x:v>0</x:v>
      </x:c>
      <x:c r="F361" s="324">
        <x:v>0</x:v>
      </x:c>
      <x:c r="G361" s="324">
        <x:v>0</x:v>
      </x:c>
      <x:c r="H361" s="324">
        <x:v>0</x:v>
      </x:c>
      <x:c r="I361" s="324">
        <x:v>0</x:v>
      </x:c>
      <x:c r="J361" s="324">
        <x:v>0</x:v>
      </x:c>
      <x:c r="K361" s="324">
        <x:v>0</x:v>
      </x:c>
      <x:c r="L361" s="324">
        <x:v>0</x:v>
      </x:c>
      <x:c r="M361" s="324">
        <x:v>0</x:v>
      </x:c>
      <x:c r="N361" s="324">
        <x:v>0</x:v>
      </x:c>
      <x:c r="O361" s="324">
        <x:v>0</x:v>
      </x:c>
      <x:c r="P361" s="324">
        <x:v>0</x:v>
      </x:c>
      <x:c r="Q361" s="257">
        <x:f t="shared" si="12"/>
        <x:v>0</x:v>
      </x:c>
    </x:row>
    <x:row r="362">
      <x:c r="A362" s="148" t="s">
        <x:v>108</x:v>
      </x:c>
      <x:c r="B362">
        <x:v>9</x:v>
      </x:c>
      <x:c r="C362" s="148" t="s">
        <x:v>115</x:v>
      </x:c>
      <x:c r="D362">
        <x:v>915</x:v>
      </x:c>
      <x:c r="E362" s="324">
        <x:v>0</x:v>
      </x:c>
      <x:c r="F362" s="324">
        <x:v>0</x:v>
      </x:c>
      <x:c r="G362" s="324">
        <x:v>0</x:v>
      </x:c>
      <x:c r="H362" s="324">
        <x:v>0</x:v>
      </x:c>
      <x:c r="I362" s="324">
        <x:v>0</x:v>
      </x:c>
      <x:c r="J362" s="324">
        <x:v>0</x:v>
      </x:c>
      <x:c r="K362" s="324">
        <x:v>0</x:v>
      </x:c>
      <x:c r="L362" s="324">
        <x:v>0</x:v>
      </x:c>
      <x:c r="M362" s="324">
        <x:v>0</x:v>
      </x:c>
      <x:c r="N362" s="324">
        <x:v>0</x:v>
      </x:c>
      <x:c r="O362" s="324">
        <x:v>0</x:v>
      </x:c>
      <x:c r="P362" s="324">
        <x:v>0</x:v>
      </x:c>
      <x:c r="Q362" s="257">
        <x:f t="shared" si="12"/>
        <x:v>0</x:v>
      </x:c>
    </x:row>
    <x:row r="363">
      <x:c r="A363" s="148" t="s">
        <x:v>108</x:v>
      </x:c>
      <x:c r="B363">
        <x:v>9</x:v>
      </x:c>
      <x:c r="C363" s="148" t="s">
        <x:v>115</x:v>
      </x:c>
      <x:c r="D363">
        <x:v>916</x:v>
      </x:c>
      <x:c r="E363" s="324">
        <x:v>0</x:v>
      </x:c>
      <x:c r="F363" s="324">
        <x:v>0</x:v>
      </x:c>
      <x:c r="G363" s="324">
        <x:v>0</x:v>
      </x:c>
      <x:c r="H363" s="324">
        <x:v>0</x:v>
      </x:c>
      <x:c r="I363" s="324">
        <x:v>0</x:v>
      </x:c>
      <x:c r="J363" s="324">
        <x:v>0</x:v>
      </x:c>
      <x:c r="K363" s="324">
        <x:v>0</x:v>
      </x:c>
      <x:c r="L363" s="324">
        <x:v>0</x:v>
      </x:c>
      <x:c r="M363" s="324">
        <x:v>0</x:v>
      </x:c>
      <x:c r="N363" s="324">
        <x:v>0</x:v>
      </x:c>
      <x:c r="O363" s="324">
        <x:v>0</x:v>
      </x:c>
      <x:c r="P363" s="324">
        <x:v>0</x:v>
      </x:c>
      <x:c r="Q363" s="257">
        <x:f t="shared" si="12"/>
        <x:v>0</x:v>
      </x:c>
    </x:row>
    <x:row r="364">
      <x:c r="A364" s="148" t="s">
        <x:v>108</x:v>
      </x:c>
      <x:c r="B364">
        <x:v>9</x:v>
      </x:c>
      <x:c r="C364" s="148" t="s">
        <x:v>115</x:v>
      </x:c>
      <x:c r="D364">
        <x:v>917</x:v>
      </x:c>
      <x:c r="E364" s="324">
        <x:v>0</x:v>
      </x:c>
      <x:c r="F364" s="324">
        <x:v>0</x:v>
      </x:c>
      <x:c r="G364" s="324">
        <x:v>0</x:v>
      </x:c>
      <x:c r="H364" s="324">
        <x:v>0</x:v>
      </x:c>
      <x:c r="I364" s="324">
        <x:v>0</x:v>
      </x:c>
      <x:c r="J364" s="324">
        <x:v>0</x:v>
      </x:c>
      <x:c r="K364" s="324">
        <x:v>0</x:v>
      </x:c>
      <x:c r="L364" s="324">
        <x:v>0</x:v>
      </x:c>
      <x:c r="M364" s="324">
        <x:v>0</x:v>
      </x:c>
      <x:c r="N364" s="324">
        <x:v>0</x:v>
      </x:c>
      <x:c r="O364" s="324">
        <x:v>0</x:v>
      </x:c>
      <x:c r="P364" s="324">
        <x:v>0</x:v>
      </x:c>
      <x:c r="Q364" s="257">
        <x:f t="shared" si="12"/>
        <x:v>0</x:v>
      </x:c>
    </x:row>
    <x:row r="365">
      <x:c r="A365" s="148" t="s">
        <x:v>108</x:v>
      </x:c>
      <x:c r="B365">
        <x:v>9</x:v>
      </x:c>
      <x:c r="C365" s="148" t="s">
        <x:v>115</x:v>
      </x:c>
      <x:c r="D365">
        <x:v>918</x:v>
      </x:c>
      <x:c r="E365" s="324">
        <x:v>0</x:v>
      </x:c>
      <x:c r="F365" s="324">
        <x:v>0</x:v>
      </x:c>
      <x:c r="G365" s="324">
        <x:v>0</x:v>
      </x:c>
      <x:c r="H365" s="324">
        <x:v>0</x:v>
      </x:c>
      <x:c r="I365" s="324">
        <x:v>0</x:v>
      </x:c>
      <x:c r="J365" s="324">
        <x:v>0</x:v>
      </x:c>
      <x:c r="K365" s="324">
        <x:v>0</x:v>
      </x:c>
      <x:c r="L365" s="324">
        <x:v>0</x:v>
      </x:c>
      <x:c r="M365" s="324">
        <x:v>0</x:v>
      </x:c>
      <x:c r="N365" s="324">
        <x:v>0</x:v>
      </x:c>
      <x:c r="O365" s="324">
        <x:v>0</x:v>
      </x:c>
      <x:c r="P365" s="324">
        <x:v>0</x:v>
      </x:c>
      <x:c r="Q365" s="257">
        <x:f t="shared" si="12"/>
        <x:v>0</x:v>
      </x:c>
    </x:row>
    <x:row r="366">
      <x:c r="A366" s="148" t="s">
        <x:v>108</x:v>
      </x:c>
      <x:c r="B366">
        <x:v>9</x:v>
      </x:c>
      <x:c r="C366" s="148" t="s">
        <x:v>115</x:v>
      </x:c>
      <x:c r="D366">
        <x:v>919</x:v>
      </x:c>
      <x:c r="E366" s="324">
        <x:v>0</x:v>
      </x:c>
      <x:c r="F366" s="324">
        <x:v>0</x:v>
      </x:c>
      <x:c r="G366" s="324">
        <x:v>0</x:v>
      </x:c>
      <x:c r="H366" s="324">
        <x:v>0</x:v>
      </x:c>
      <x:c r="I366" s="324">
        <x:v>0</x:v>
      </x:c>
      <x:c r="J366" s="324">
        <x:v>0</x:v>
      </x:c>
      <x:c r="K366" s="324">
        <x:v>0</x:v>
      </x:c>
      <x:c r="L366" s="324">
        <x:v>0</x:v>
      </x:c>
      <x:c r="M366" s="324">
        <x:v>0</x:v>
      </x:c>
      <x:c r="N366" s="324">
        <x:v>0</x:v>
      </x:c>
      <x:c r="O366" s="324">
        <x:v>0</x:v>
      </x:c>
      <x:c r="P366" s="324">
        <x:v>0</x:v>
      </x:c>
      <x:c r="Q366" s="257">
        <x:f t="shared" si="12"/>
        <x:v>0</x:v>
      </x:c>
    </x:row>
    <x:row r="367">
      <x:c r="A367" s="148" t="s">
        <x:v>108</x:v>
      </x:c>
      <x:c r="B367">
        <x:v>9</x:v>
      </x:c>
      <x:c r="C367" s="148" t="s">
        <x:v>115</x:v>
      </x:c>
      <x:c r="D367">
        <x:v>920</x:v>
      </x:c>
      <x:c r="E367" s="324">
        <x:v>0</x:v>
      </x:c>
      <x:c r="F367" s="324">
        <x:v>0</x:v>
      </x:c>
      <x:c r="G367" s="324">
        <x:v>0</x:v>
      </x:c>
      <x:c r="H367" s="324">
        <x:v>0</x:v>
      </x:c>
      <x:c r="I367" s="324">
        <x:v>0</x:v>
      </x:c>
      <x:c r="J367" s="324">
        <x:v>0</x:v>
      </x:c>
      <x:c r="K367" s="324">
        <x:v>0</x:v>
      </x:c>
      <x:c r="L367" s="324">
        <x:v>0</x:v>
      </x:c>
      <x:c r="M367" s="324">
        <x:v>0</x:v>
      </x:c>
      <x:c r="N367" s="324">
        <x:v>0</x:v>
      </x:c>
      <x:c r="O367" s="324">
        <x:v>0</x:v>
      </x:c>
      <x:c r="P367" s="324">
        <x:v>0</x:v>
      </x:c>
      <x:c r="Q367" s="257">
        <x:f t="shared" si="12"/>
        <x:v>0</x:v>
      </x:c>
    </x:row>
    <x:row r="368">
      <x:c r="A368" s="148" t="s">
        <x:v>108</x:v>
      </x:c>
      <x:c r="B368">
        <x:v>9</x:v>
      </x:c>
      <x:c r="C368" s="148" t="s">
        <x:v>115</x:v>
      </x:c>
      <x:c r="D368">
        <x:v>921</x:v>
      </x:c>
      <x:c r="E368" s="324">
        <x:v>0</x:v>
      </x:c>
      <x:c r="F368" s="324">
        <x:v>0</x:v>
      </x:c>
      <x:c r="G368" s="324">
        <x:v>0</x:v>
      </x:c>
      <x:c r="H368" s="324">
        <x:v>0</x:v>
      </x:c>
      <x:c r="I368" s="324">
        <x:v>0</x:v>
      </x:c>
      <x:c r="J368" s="324">
        <x:v>0</x:v>
      </x:c>
      <x:c r="K368" s="324">
        <x:v>0</x:v>
      </x:c>
      <x:c r="L368" s="324">
        <x:v>0</x:v>
      </x:c>
      <x:c r="M368" s="324">
        <x:v>0</x:v>
      </x:c>
      <x:c r="N368" s="324">
        <x:v>0</x:v>
      </x:c>
      <x:c r="O368" s="324">
        <x:v>0</x:v>
      </x:c>
      <x:c r="P368" s="324">
        <x:v>0</x:v>
      </x:c>
      <x:c r="Q368" s="257">
        <x:f t="shared" si="12"/>
        <x:v>0</x:v>
      </x:c>
    </x:row>
    <x:row r="369">
      <x:c r="A369" s="148"/>
      <x:c r="B369"/>
      <x:c r="C369" s="148"/>
      <x:c r="D369"/>
      <x:c r="E369" s="324"/>
      <x:c r="F369" s="324">
        <x:f t="shared" ref="F369:P369" si="14">AVERAGE(F328:F368)</x:f>
      </x:c>
      <x:c r="G369" s="324">
        <x:f t="shared" si="14"/>
      </x:c>
      <x:c r="H369" s="324">
        <x:f t="shared" si="14"/>
      </x:c>
      <x:c r="I369" s="324">
        <x:f t="shared" si="14"/>
      </x:c>
      <x:c r="J369" s="324">
        <x:f t="shared" si="14"/>
      </x:c>
      <x:c r="K369" s="324">
        <x:f t="shared" si="14"/>
      </x:c>
      <x:c r="L369" s="324">
        <x:f t="shared" si="14"/>
      </x:c>
      <x:c r="M369" s="324">
        <x:f t="shared" si="14"/>
      </x:c>
      <x:c r="N369" s="324">
        <x:f t="shared" si="14"/>
      </x:c>
      <x:c r="O369" s="324">
        <x:f t="shared" si="14"/>
      </x:c>
      <x:c r="P369" s="324">
        <x:f t="shared" si="14"/>
      </x:c>
      <x:c r="Q369" s="257">
        <x:f t="shared" si="12"/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theme="8"/>
  </x:sheetPr>
  <x:sheetFormatPr baseColWidth="10" defaultColWidth="10.7109375" defaultRowHeight="15"/>
  <x:cols>
    <x:col min="4" max="4" width="9.7109375" style="241" customWidth="1"/>
  </x:cols>
  <x:sheetData>
    <x:row r="1" s="240" customFormat="1" ht="231" customHeight="1">
      <x:c r="B1" s="266" t="s">
        <x:v>111</x:v>
      </x:c>
      <x:c r="C1" s="266" t="s">
        <x:v>112</x:v>
      </x:c>
      <x:c r="D1" s="266" t="s">
        <x:v>113</x:v>
      </x:c>
      <x:c r="E1" s="263" t="s">
        <x:v>118</x:v>
      </x:c>
      <x:c r="F1" s="263" t="s">
        <x:v>28</x:v>
      </x:c>
      <x:c r="G1" s="263" t="s">
        <x:v>27</x:v>
      </x:c>
      <x:c r="H1" s="263" t="s">
        <x:v>33</x:v>
      </x:c>
      <x:c r="I1" s="263" t="s">
        <x:v>119</x:v>
      </x:c>
      <x:c r="J1" s="263" t="s">
        <x:v>120</x:v>
      </x:c>
      <x:c r="K1" s="263" t="s">
        <x:v>121</x:v>
      </x:c>
      <x:c r="L1" s="263" t="s">
        <x:v>122</x:v>
      </x:c>
      <x:c r="M1" s="263" t="s">
        <x:v>123</x:v>
      </x:c>
      <x:c r="N1" s="263" t="s">
        <x:v>124</x:v>
      </x:c>
      <x:c r="O1" s="263" t="s">
        <x:v>125</x:v>
      </x:c>
      <x:c r="P1" s="263" t="s">
        <x:v>126</x:v>
      </x:c>
      <x:c r="Q1" s="263" t="s">
        <x:v>127</x:v>
      </x:c>
      <x:c r="R1" s="263" t="s">
        <x:v>128</x:v>
      </x:c>
      <x:c r="S1" s="263" t="s">
        <x:v>129</x:v>
      </x:c>
      <x:c r="T1" s="263" t="s">
        <x:v>130</x:v>
      </x:c>
      <x:c r="U1" s="263" t="s">
        <x:v>131</x:v>
      </x:c>
      <x:c r="V1" s="263" t="s">
        <x:v>132</x:v>
      </x:c>
      <x:c r="W1" s="263" t="s">
        <x:v>133</x:v>
      </x:c>
      <x:c r="X1" s="263" t="s">
        <x:v>134</x:v>
      </x:c>
      <x:c r="Y1" s="239"/>
    </x:row>
    <x:row r="2" ht="15.75">
      <x:c r="B2">
        <x:v>1</x:v>
      </x:c>
      <x:c r="C2" t="s">
        <x:v>115</x:v>
      </x:c>
      <x:c r="D2" s="243">
        <x:v>102</x:v>
      </x:c>
      <x:c r="E2" s="268" t="n">
        <x:f>FASE1!G2</x:f>
        <x:v>100</x:v>
      </x:c>
      <x:c r="F2" s="268" t="n">
        <x:f>FASE1!M2</x:f>
        <x:v>100</x:v>
      </x:c>
      <x:c r="G2" s="268" t="n">
        <x:f>FASE1!L2</x:f>
        <x:v>100</x:v>
      </x:c>
      <x:c r="H2" s="268" t="n">
        <x:f>FASE1!R2</x:f>
        <x:v>90</x:v>
      </x:c>
      <x:c r="I2" s="268" t="n">
        <x:f>FASE1!U2</x:f>
        <x:v>90</x:v>
      </x:c>
      <x:c r="J2" s="268" t="n">
        <x:f>FASE1!U2</x:f>
        <x:v>90</x:v>
      </x:c>
      <x:c r="K2" s="268" t="n">
        <x:f>FASE1!P2</x:f>
        <x:v>50</x:v>
      </x:c>
      <x:c r="L2" s="268" t="n">
        <x:f>FASE1!V2</x:f>
        <x:v>90</x:v>
      </x:c>
      <x:c r="M2" s="268" t="n">
        <x:f>AVERAGE(FASE2!F2:G2)</x:f>
        <x:v>0</x:v>
      </x:c>
      <x:c r="N2" s="268" t="n">
        <x:f>AVERAGE(FASE2!O2:P2,FASE2!S2)</x:f>
        <x:v>0.3</x:v>
      </x:c>
      <x:c r="O2" s="268" t="n">
        <x:f>FASE4!K2</x:f>
        <x:v>0</x:v>
      </x:c>
      <x:c r="P2" s="268" t="n">
        <x:f>FASE2!N2</x:f>
        <x:v>0.1</x:v>
      </x:c>
      <x:c r="Q2" s="268" t="n">
        <x:f>FASE3!P2</x:f>
        <x:v>0</x:v>
      </x:c>
      <x:c r="R2" s="268" t="n">
        <x:f>FASE3!N2</x:f>
        <x:v>0</x:v>
      </x:c>
      <x:c r="S2" s="268" t="n">
        <x:f>AVERAGE(FASE3!Q2,FASE3!R2,FASE3!T2,FASE3!S2)</x:f>
        <x:v>0</x:v>
      </x:c>
      <x:c r="T2" s="268" t="n">
        <x:f>AVERAGE(FASE3!U2,FASE3!V2,FASE3!W2)</x:f>
        <x:v>0</x:v>
      </x:c>
      <x:c r="U2" s="268" t="n">
        <x:f>FASE3!Y2</x:f>
        <x:v>0</x:v>
      </x:c>
      <x:c r="V2" s="268" t="n">
        <x:f>FASE3!X2</x:f>
        <x:v>0</x:v>
      </x:c>
      <x:c r="W2" s="268" t="n">
        <x:f>FASE4!M2</x:f>
        <x:v>0</x:v>
      </x:c>
      <x:c r="X2" s="268" t="n">
        <x:f t="shared" ref="X2:X65" si="0">AVERAGE(E2:V2)</x:f>
        <x:v>39.46666666666667</x:v>
      </x:c>
    </x:row>
    <x:row r="3" ht="15.75">
      <x:c r="B3">
        <x:v>1</x:v>
      </x:c>
      <x:c r="C3" t="s">
        <x:v>115</x:v>
      </x:c>
      <x:c r="D3" s="243">
        <x:v>103</x:v>
      </x:c>
      <x:c r="E3" s="268" t="n">
        <x:f>FASE1!G3</x:f>
        <x:v>100</x:v>
      </x:c>
      <x:c r="F3" s="268" t="n">
        <x:f>FASE1!M3</x:f>
        <x:v>100</x:v>
      </x:c>
      <x:c r="G3" s="268" t="n">
        <x:f>FASE1!L3</x:f>
        <x:v>100</x:v>
      </x:c>
      <x:c r="H3" s="268" t="n">
        <x:f>FASE1!R3</x:f>
        <x:v>90</x:v>
      </x:c>
      <x:c r="I3" s="268" t="n">
        <x:f>FASE1!U3</x:f>
        <x:v>90</x:v>
      </x:c>
      <x:c r="J3" s="268" t="n">
        <x:f>FASE1!U3</x:f>
        <x:v>90</x:v>
      </x:c>
      <x:c r="K3" s="268" t="n">
        <x:f>FASE1!P3</x:f>
        <x:v>50</x:v>
      </x:c>
      <x:c r="L3" s="268" t="n">
        <x:f>FASE1!V3</x:f>
        <x:v>90</x:v>
      </x:c>
      <x:c r="M3" s="268" t="n">
        <x:f>AVERAGE(FASE2!F3:G3)</x:f>
        <x:v>0</x:v>
      </x:c>
      <x:c r="N3" s="268" t="n">
        <x:f>AVERAGE(FASE2!O3:P3,FASE2!S3)</x:f>
        <x:v>0.3333333333333333</x:v>
      </x:c>
      <x:c r="O3" s="268" t="n">
        <x:f>FASE4!K3</x:f>
        <x:v>0</x:v>
      </x:c>
      <x:c r="P3" s="268" t="n">
        <x:f>FASE2!N3</x:f>
        <x:v>0.1</x:v>
      </x:c>
      <x:c r="Q3" s="268" t="n">
        <x:f>FASE3!P3</x:f>
        <x:v>0</x:v>
      </x:c>
      <x:c r="R3" s="268" t="n">
        <x:f>FASE3!N3</x:f>
        <x:v>0</x:v>
      </x:c>
      <x:c r="S3" s="268" t="n">
        <x:f>AVERAGE(FASE3!Q3,FASE3!R3,FASE3!T3,FASE3!S3)</x:f>
        <x:v>0</x:v>
      </x:c>
      <x:c r="T3" s="268" t="n">
        <x:f>AVERAGE(FASE3!U3,FASE3!V3,FASE3!W3)</x:f>
        <x:v>0</x:v>
      </x:c>
      <x:c r="U3" s="268" t="n">
        <x:f>FASE3!Y3</x:f>
        <x:v>0</x:v>
      </x:c>
      <x:c r="V3" s="268" t="n">
        <x:f>FASE3!X3</x:f>
        <x:v>0</x:v>
      </x:c>
      <x:c r="W3" s="268" t="n">
        <x:f>FASE4!M3</x:f>
        <x:v>0</x:v>
      </x:c>
      <x:c r="X3" s="268">
        <x:f t="shared" si="0"/>
        <x:v>39.468518518518522</x:v>
      </x:c>
    </x:row>
    <x:row r="4" ht="15.75">
      <x:c r="B4">
        <x:v>1</x:v>
      </x:c>
      <x:c r="C4" t="s">
        <x:v>115</x:v>
      </x:c>
      <x:c r="D4" s="243">
        <x:v>104</x:v>
      </x:c>
      <x:c r="E4" s="268" t="n">
        <x:f>FASE1!G4</x:f>
        <x:v>100</x:v>
      </x:c>
      <x:c r="F4" s="268" t="n">
        <x:f>FASE1!M4</x:f>
        <x:v>100</x:v>
      </x:c>
      <x:c r="G4" s="268" t="n">
        <x:f>FASE1!L4</x:f>
        <x:v>100</x:v>
      </x:c>
      <x:c r="H4" s="268" t="n">
        <x:f>FASE1!R4</x:f>
        <x:v>90</x:v>
      </x:c>
      <x:c r="I4" s="268" t="n">
        <x:f>FASE1!U4</x:f>
        <x:v>90</x:v>
      </x:c>
      <x:c r="J4" s="268" t="n">
        <x:f>FASE1!U4</x:f>
        <x:v>90</x:v>
      </x:c>
      <x:c r="K4" s="268" t="n">
        <x:f>FASE1!P4</x:f>
        <x:v>50</x:v>
      </x:c>
      <x:c r="L4" s="268" t="n">
        <x:f>FASE1!V4</x:f>
        <x:v>90</x:v>
      </x:c>
      <x:c r="M4" s="268" t="n">
        <x:f>AVERAGE(FASE2!F4:G4)</x:f>
        <x:v>0</x:v>
      </x:c>
      <x:c r="N4" s="268" t="n">
        <x:f>AVERAGE(FASE2!O4:P4,FASE2!S4)</x:f>
        <x:v>0.3333333333333333</x:v>
      </x:c>
      <x:c r="O4" s="268" t="n">
        <x:f>FASE4!K4</x:f>
        <x:v>0</x:v>
      </x:c>
      <x:c r="P4" s="268" t="n">
        <x:f>FASE2!N4</x:f>
        <x:v>0.1</x:v>
      </x:c>
      <x:c r="Q4" s="268" t="n">
        <x:f>FASE3!P4</x:f>
        <x:v>0</x:v>
      </x:c>
      <x:c r="R4" s="268" t="n">
        <x:f>FASE3!N4</x:f>
        <x:v>0</x:v>
      </x:c>
      <x:c r="S4" s="268" t="n">
        <x:f>AVERAGE(FASE3!Q4,FASE3!R4,FASE3!T4,FASE3!S4)</x:f>
        <x:v>0</x:v>
      </x:c>
      <x:c r="T4" s="268" t="n">
        <x:f>AVERAGE(FASE3!U4,FASE3!V4,FASE3!W4)</x:f>
        <x:v>0</x:v>
      </x:c>
      <x:c r="U4" s="268" t="n">
        <x:f>FASE3!Y4</x:f>
        <x:v>0</x:v>
      </x:c>
      <x:c r="V4" s="268" t="n">
        <x:f>FASE3!X4</x:f>
        <x:v>0</x:v>
      </x:c>
      <x:c r="W4" s="268" t="n">
        <x:f>FASE4!M4</x:f>
        <x:v>0</x:v>
      </x:c>
      <x:c r="X4" s="268">
        <x:f t="shared" si="0"/>
        <x:v>39.468518518518522</x:v>
      </x:c>
    </x:row>
    <x:row r="5" ht="15.75">
      <x:c r="B5">
        <x:v>1</x:v>
      </x:c>
      <x:c r="C5" t="s">
        <x:v>115</x:v>
      </x:c>
      <x:c r="D5" s="243">
        <x:v>105</x:v>
      </x:c>
      <x:c r="E5" s="268" t="n">
        <x:f>FASE1!G5</x:f>
        <x:v>100</x:v>
      </x:c>
      <x:c r="F5" s="268" t="n">
        <x:f>FASE1!M5</x:f>
        <x:v>100</x:v>
      </x:c>
      <x:c r="G5" s="268" t="n">
        <x:f>FASE1!L5</x:f>
        <x:v>100</x:v>
      </x:c>
      <x:c r="H5" s="268" t="n">
        <x:f>FASE1!R5</x:f>
        <x:v>90</x:v>
      </x:c>
      <x:c r="I5" s="268" t="n">
        <x:f>FASE1!U5</x:f>
        <x:v>90</x:v>
      </x:c>
      <x:c r="J5" s="268" t="n">
        <x:f>FASE1!U5</x:f>
        <x:v>90</x:v>
      </x:c>
      <x:c r="K5" s="268" t="n">
        <x:f>FASE1!P5</x:f>
        <x:v>50</x:v>
      </x:c>
      <x:c r="L5" s="268" t="n">
        <x:f>FASE1!V5</x:f>
        <x:v>90</x:v>
      </x:c>
      <x:c r="M5" s="268" t="n">
        <x:f>AVERAGE(FASE2!F5:G5)</x:f>
        <x:v>0</x:v>
      </x:c>
      <x:c r="N5" s="268" t="n">
        <x:f>AVERAGE(FASE2!O5:P5,FASE2!S5)</x:f>
        <x:v>0.3</x:v>
      </x:c>
      <x:c r="O5" s="268" t="n">
        <x:f>FASE4!K5</x:f>
        <x:v>0</x:v>
      </x:c>
      <x:c r="P5" s="268" t="n">
        <x:f>FASE2!N5</x:f>
        <x:v>0.1</x:v>
      </x:c>
      <x:c r="Q5" s="268" t="n">
        <x:f>FASE3!P5</x:f>
        <x:v>0</x:v>
      </x:c>
      <x:c r="R5" s="268" t="n">
        <x:f>FASE3!N5</x:f>
        <x:v>0</x:v>
      </x:c>
      <x:c r="S5" s="268" t="n">
        <x:f>AVERAGE(FASE3!Q5,FASE3!R5,FASE3!T5,FASE3!S5)</x:f>
        <x:v>0</x:v>
      </x:c>
      <x:c r="T5" s="268" t="n">
        <x:f>AVERAGE(FASE3!U5,FASE3!V5,FASE3!W5)</x:f>
        <x:v>0</x:v>
      </x:c>
      <x:c r="U5" s="268" t="n">
        <x:f>FASE3!Y5</x:f>
        <x:v>0</x:v>
      </x:c>
      <x:c r="V5" s="268" t="n">
        <x:f>FASE3!X5</x:f>
        <x:v>0</x:v>
      </x:c>
      <x:c r="W5" s="268" t="n">
        <x:f>FASE4!M5</x:f>
        <x:v>0</x:v>
      </x:c>
      <x:c r="X5" s="268">
        <x:f t="shared" si="0"/>
        <x:v>39.466666666666669</x:v>
      </x:c>
    </x:row>
    <x:row r="6" ht="15.75">
      <x:c r="B6">
        <x:v>1</x:v>
      </x:c>
      <x:c r="C6" t="s">
        <x:v>115</x:v>
      </x:c>
      <x:c r="D6" s="243">
        <x:v>106</x:v>
      </x:c>
      <x:c r="E6" s="268" t="n">
        <x:f>FASE1!G6</x:f>
        <x:v>100</x:v>
      </x:c>
      <x:c r="F6" s="268" t="n">
        <x:f>FASE1!M6</x:f>
        <x:v>100</x:v>
      </x:c>
      <x:c r="G6" s="268" t="n">
        <x:f>FASE1!L6</x:f>
        <x:v>100</x:v>
      </x:c>
      <x:c r="H6" s="268" t="n">
        <x:f>FASE1!R6</x:f>
        <x:v>90</x:v>
      </x:c>
      <x:c r="I6" s="268" t="n">
        <x:f>FASE1!U6</x:f>
        <x:v>90</x:v>
      </x:c>
      <x:c r="J6" s="268" t="n">
        <x:f>FASE1!U6</x:f>
        <x:v>90</x:v>
      </x:c>
      <x:c r="K6" s="268" t="n">
        <x:f>FASE1!P6</x:f>
        <x:v>50</x:v>
      </x:c>
      <x:c r="L6" s="268" t="n">
        <x:f>FASE1!V6</x:f>
        <x:v>90</x:v>
      </x:c>
      <x:c r="M6" s="268" t="n">
        <x:f>AVERAGE(FASE2!F6:G6)</x:f>
        <x:v>0</x:v>
      </x:c>
      <x:c r="N6" s="268" t="n">
        <x:f>AVERAGE(FASE2!O6:P6,FASE2!S6)</x:f>
        <x:v>0.3</x:v>
      </x:c>
      <x:c r="O6" s="268" t="n">
        <x:f>FASE4!K6</x:f>
        <x:v>0</x:v>
      </x:c>
      <x:c r="P6" s="268" t="n">
        <x:f>FASE2!N6</x:f>
        <x:v>0.1</x:v>
      </x:c>
      <x:c r="Q6" s="268" t="n">
        <x:f>FASE3!P6</x:f>
        <x:v>0</x:v>
      </x:c>
      <x:c r="R6" s="268" t="n">
        <x:f>FASE3!N6</x:f>
        <x:v>0</x:v>
      </x:c>
      <x:c r="S6" s="268" t="n">
        <x:f>AVERAGE(FASE3!Q6,FASE3!R6,FASE3!T6,FASE3!S6)</x:f>
        <x:v>0</x:v>
      </x:c>
      <x:c r="T6" s="268" t="n">
        <x:f>AVERAGE(FASE3!U6,FASE3!V6,FASE3!W6)</x:f>
        <x:v>0</x:v>
      </x:c>
      <x:c r="U6" s="268" t="n">
        <x:f>FASE3!Y6</x:f>
        <x:v>0</x:v>
      </x:c>
      <x:c r="V6" s="268" t="n">
        <x:f>FASE3!X6</x:f>
        <x:v>0</x:v>
      </x:c>
      <x:c r="W6" s="268" t="n">
        <x:f>FASE4!M6</x:f>
        <x:v>0</x:v>
      </x:c>
      <x:c r="X6" s="268">
        <x:f t="shared" si="0"/>
        <x:v>39.466666666666669</x:v>
      </x:c>
    </x:row>
    <x:row r="7" ht="15.75">
      <x:c r="B7">
        <x:v>1</x:v>
      </x:c>
      <x:c r="C7" t="s">
        <x:v>115</x:v>
      </x:c>
      <x:c r="D7" s="243">
        <x:v>107</x:v>
      </x:c>
      <x:c r="E7" s="268" t="n">
        <x:f>FASE1!G7</x:f>
        <x:v>100</x:v>
      </x:c>
      <x:c r="F7" s="268" t="n">
        <x:f>FASE1!M7</x:f>
        <x:v>100</x:v>
      </x:c>
      <x:c r="G7" s="268" t="n">
        <x:f>FASE1!L7</x:f>
        <x:v>100</x:v>
      </x:c>
      <x:c r="H7" s="268" t="n">
        <x:f>FASE1!R7</x:f>
        <x:v>90</x:v>
      </x:c>
      <x:c r="I7" s="268" t="n">
        <x:f>FASE1!U7</x:f>
        <x:v>90</x:v>
      </x:c>
      <x:c r="J7" s="268" t="n">
        <x:f>FASE1!U7</x:f>
        <x:v>90</x:v>
      </x:c>
      <x:c r="K7" s="268" t="n">
        <x:f>FASE1!P7</x:f>
        <x:v>50</x:v>
      </x:c>
      <x:c r="L7" s="268" t="n">
        <x:f>FASE1!V7</x:f>
        <x:v>90</x:v>
      </x:c>
      <x:c r="M7" s="268" t="n">
        <x:f>AVERAGE(FASE2!F7:G7)</x:f>
        <x:v>0</x:v>
      </x:c>
      <x:c r="N7" s="268" t="n">
        <x:f>AVERAGE(FASE2!O7:P7,FASE2!S7)</x:f>
        <x:v>0.3</x:v>
      </x:c>
      <x:c r="O7" s="268" t="n">
        <x:f>FASE4!K7</x:f>
        <x:v>0</x:v>
      </x:c>
      <x:c r="P7" s="268" t="n">
        <x:f>FASE2!N7</x:f>
        <x:v>0.1</x:v>
      </x:c>
      <x:c r="Q7" s="268" t="n">
        <x:f>FASE3!P7</x:f>
        <x:v>0</x:v>
      </x:c>
      <x:c r="R7" s="268" t="n">
        <x:f>FASE3!N7</x:f>
        <x:v>0</x:v>
      </x:c>
      <x:c r="S7" s="268" t="n">
        <x:f>AVERAGE(FASE3!Q7,FASE3!R7,FASE3!T7,FASE3!S7)</x:f>
        <x:v>0</x:v>
      </x:c>
      <x:c r="T7" s="268" t="n">
        <x:f>AVERAGE(FASE3!U7,FASE3!V7,FASE3!W7)</x:f>
        <x:v>0</x:v>
      </x:c>
      <x:c r="U7" s="268" t="n">
        <x:f>FASE3!Y7</x:f>
        <x:v>0</x:v>
      </x:c>
      <x:c r="V7" s="268" t="n">
        <x:f>FASE3!X7</x:f>
        <x:v>0</x:v>
      </x:c>
      <x:c r="W7" s="268" t="n">
        <x:f>FASE4!M7</x:f>
        <x:v>0</x:v>
      </x:c>
      <x:c r="X7" s="268">
        <x:f t="shared" si="0"/>
        <x:v>39.466666666666669</x:v>
      </x:c>
    </x:row>
    <x:row r="8" ht="15.75">
      <x:c r="B8">
        <x:v>1</x:v>
      </x:c>
      <x:c r="C8" t="s">
        <x:v>115</x:v>
      </x:c>
      <x:c r="D8" s="243">
        <x:v>108</x:v>
      </x:c>
      <x:c r="E8" s="268" t="n">
        <x:f>FASE1!G8</x:f>
        <x:v>100</x:v>
      </x:c>
      <x:c r="F8" s="268" t="n">
        <x:f>FASE1!M8</x:f>
        <x:v>100</x:v>
      </x:c>
      <x:c r="G8" s="268" t="n">
        <x:f>FASE1!L8</x:f>
        <x:v>100</x:v>
      </x:c>
      <x:c r="H8" s="268" t="n">
        <x:f>FASE1!R8</x:f>
        <x:v>90</x:v>
      </x:c>
      <x:c r="I8" s="268" t="n">
        <x:f>FASE1!U8</x:f>
        <x:v>90</x:v>
      </x:c>
      <x:c r="J8" s="268" t="n">
        <x:f>FASE1!U8</x:f>
        <x:v>90</x:v>
      </x:c>
      <x:c r="K8" s="268" t="n">
        <x:f>FASE1!P8</x:f>
        <x:v>50</x:v>
      </x:c>
      <x:c r="L8" s="268" t="n">
        <x:f>FASE1!V8</x:f>
        <x:v>50</x:v>
      </x:c>
      <x:c r="M8" s="268" t="n">
        <x:f>AVERAGE(FASE2!F8:G8)</x:f>
        <x:v>0</x:v>
      </x:c>
      <x:c r="N8" s="268" t="n">
        <x:f>AVERAGE(FASE2!O8:P8,FASE2!S8)</x:f>
        <x:v>0</x:v>
      </x:c>
      <x:c r="O8" s="268" t="n">
        <x:f>FASE4!K8</x:f>
        <x:v>0</x:v>
      </x:c>
      <x:c r="P8" s="268" t="n">
        <x:f>FASE2!N8</x:f>
        <x:v>0.1</x:v>
      </x:c>
      <x:c r="Q8" s="268" t="n">
        <x:f>FASE3!P8</x:f>
        <x:v>0</x:v>
      </x:c>
      <x:c r="R8" s="268" t="n">
        <x:f>FASE3!N8</x:f>
        <x:v>0</x:v>
      </x:c>
      <x:c r="S8" s="268" t="n">
        <x:f>AVERAGE(FASE3!Q8,FASE3!R8,FASE3!T8,FASE3!S8)</x:f>
        <x:v>0</x:v>
      </x:c>
      <x:c r="T8" s="268" t="n">
        <x:f>AVERAGE(FASE3!U8,FASE3!V8,FASE3!W8)</x:f>
        <x:v>0</x:v>
      </x:c>
      <x:c r="U8" s="268" t="n">
        <x:f>FASE3!Y8</x:f>
        <x:v>0</x:v>
      </x:c>
      <x:c r="V8" s="268" t="n">
        <x:f>FASE3!X8</x:f>
        <x:v>0</x:v>
      </x:c>
      <x:c r="W8" s="268" t="n">
        <x:f>FASE4!M8</x:f>
        <x:v>0</x:v>
      </x:c>
      <x:c r="X8" s="268">
        <x:f t="shared" si="0"/>
        <x:v>37.227777777777781</x:v>
      </x:c>
    </x:row>
    <x:row r="9" ht="15.75">
      <x:c r="B9">
        <x:v>1</x:v>
      </x:c>
      <x:c r="C9" t="s">
        <x:v>115</x:v>
      </x:c>
      <x:c r="D9" s="243">
        <x:v>118</x:v>
      </x:c>
      <x:c r="E9" s="268" t="n">
        <x:f>FASE1!G9</x:f>
        <x:v>100</x:v>
      </x:c>
      <x:c r="F9" s="268" t="n">
        <x:f>FASE1!M9</x:f>
        <x:v>100</x:v>
      </x:c>
      <x:c r="G9" s="268" t="n">
        <x:f>FASE1!L9</x:f>
        <x:v>100</x:v>
      </x:c>
      <x:c r="H9" s="268" t="n">
        <x:f>FASE1!R9</x:f>
        <x:v>90</x:v>
      </x:c>
      <x:c r="I9" s="268" t="n">
        <x:f>FASE1!U9</x:f>
        <x:v>50</x:v>
      </x:c>
      <x:c r="J9" s="268" t="n">
        <x:f>FASE1!U9</x:f>
        <x:v>50</x:v>
      </x:c>
      <x:c r="K9" s="268" t="n">
        <x:f>FASE1!P9</x:f>
        <x:v>0</x:v>
      </x:c>
      <x:c r="L9" s="268" t="n">
        <x:f>FASE1!V9</x:f>
        <x:v>0</x:v>
      </x:c>
      <x:c r="M9" s="268" t="n">
        <x:f>AVERAGE(FASE2!F9:G9)</x:f>
        <x:v>0</x:v>
      </x:c>
      <x:c r="N9" s="268" t="n">
        <x:f>AVERAGE(FASE2!O9:P9,FASE2!S9)</x:f>
        <x:v>0</x:v>
      </x:c>
      <x:c r="O9" s="268" t="n">
        <x:f>FASE4!K9</x:f>
        <x:v>0</x:v>
      </x:c>
      <x:c r="P9" s="268" t="n">
        <x:f>FASE2!N9</x:f>
        <x:v>0.1</x:v>
      </x:c>
      <x:c r="Q9" s="268" t="n">
        <x:f>FASE3!P9</x:f>
        <x:v>0</x:v>
      </x:c>
      <x:c r="R9" s="268" t="n">
        <x:f>FASE3!N9</x:f>
        <x:v>0</x:v>
      </x:c>
      <x:c r="S9" s="268" t="n">
        <x:f>AVERAGE(FASE3!Q9,FASE3!R9,FASE3!T9,FASE3!S9)</x:f>
        <x:v>0</x:v>
      </x:c>
      <x:c r="T9" s="268" t="n">
        <x:f>AVERAGE(FASE3!U9,FASE3!V9,FASE3!W9)</x:f>
        <x:v>0</x:v>
      </x:c>
      <x:c r="U9" s="268" t="n">
        <x:f>FASE3!Y9</x:f>
        <x:v>0</x:v>
      </x:c>
      <x:c r="V9" s="268" t="n">
        <x:f>FASE3!X9</x:f>
        <x:v>0</x:v>
      </x:c>
      <x:c r="W9" s="268" t="n">
        <x:f>FASE4!M9</x:f>
        <x:v>0</x:v>
      </x:c>
      <x:c r="X9" s="268">
        <x:f t="shared" si="0"/>
        <x:v>27.227777777777778</x:v>
      </x:c>
    </x:row>
    <x:row r="10" ht="15.75">
      <x:c r="B10">
        <x:v>1</x:v>
      </x:c>
      <x:c r="C10" t="s">
        <x:v>115</x:v>
      </x:c>
      <x:c r="D10" s="243">
        <x:v>119</x:v>
      </x:c>
      <x:c r="E10" s="268" t="n">
        <x:f>FASE1!G10</x:f>
        <x:v>100</x:v>
      </x:c>
      <x:c r="F10" s="268" t="n">
        <x:f>FASE1!M10</x:f>
        <x:v>100</x:v>
      </x:c>
      <x:c r="G10" s="268" t="n">
        <x:f>FASE1!L10</x:f>
        <x:v>100</x:v>
      </x:c>
      <x:c r="H10" s="268" t="n">
        <x:f>FASE1!R10</x:f>
        <x:v>90</x:v>
      </x:c>
      <x:c r="I10" s="268" t="n">
        <x:f>FASE1!U10</x:f>
        <x:v>50</x:v>
      </x:c>
      <x:c r="J10" s="268" t="n">
        <x:f>FASE1!U10</x:f>
        <x:v>50</x:v>
      </x:c>
      <x:c r="K10" s="268" t="n">
        <x:f>FASE1!P10</x:f>
        <x:v>0</x:v>
      </x:c>
      <x:c r="L10" s="268" t="n">
        <x:f>FASE1!V10</x:f>
        <x:v>0</x:v>
      </x:c>
      <x:c r="M10" s="268" t="n">
        <x:f>AVERAGE(FASE2!F10:G10)</x:f>
        <x:v>0</x:v>
      </x:c>
      <x:c r="N10" s="268" t="n">
        <x:f>AVERAGE(FASE2!O10:P10,FASE2!S10)</x:f>
        <x:v>0</x:v>
      </x:c>
      <x:c r="O10" s="268" t="n">
        <x:f>FASE4!K10</x:f>
        <x:v>0</x:v>
      </x:c>
      <x:c r="P10" s="268" t="n">
        <x:f>FASE2!N10</x:f>
        <x:v>0.1</x:v>
      </x:c>
      <x:c r="Q10" s="268" t="n">
        <x:f>FASE3!P10</x:f>
        <x:v>0</x:v>
      </x:c>
      <x:c r="R10" s="268" t="n">
        <x:f>FASE3!N10</x:f>
        <x:v>0</x:v>
      </x:c>
      <x:c r="S10" s="268" t="n">
        <x:f>AVERAGE(FASE3!Q10,FASE3!R10,FASE3!T10,FASE3!S10)</x:f>
        <x:v>0</x:v>
      </x:c>
      <x:c r="T10" s="268" t="n">
        <x:f>AVERAGE(FASE3!U10,FASE3!V10,FASE3!W10)</x:f>
        <x:v>0</x:v>
      </x:c>
      <x:c r="U10" s="268" t="n">
        <x:f>FASE3!Y10</x:f>
        <x:v>0</x:v>
      </x:c>
      <x:c r="V10" s="268" t="n">
        <x:f>FASE3!X10</x:f>
        <x:v>0</x:v>
      </x:c>
      <x:c r="W10" s="268" t="n">
        <x:f>FASE4!M10</x:f>
        <x:v>0</x:v>
      </x:c>
      <x:c r="X10" s="268">
        <x:f t="shared" si="0"/>
        <x:v>27.227777777777778</x:v>
      </x:c>
    </x:row>
    <x:row r="11" ht="15.75">
      <x:c r="B11">
        <x:v>1</x:v>
      </x:c>
      <x:c r="C11" t="s">
        <x:v>115</x:v>
      </x:c>
      <x:c r="D11" s="243">
        <x:v>120</x:v>
      </x:c>
      <x:c r="E11" s="268" t="n">
        <x:f>FASE1!G11</x:f>
        <x:v>100</x:v>
      </x:c>
      <x:c r="F11" s="268" t="n">
        <x:f>FASE1!M11</x:f>
        <x:v>100</x:v>
      </x:c>
      <x:c r="G11" s="268" t="n">
        <x:f>FASE1!L11</x:f>
        <x:v>100</x:v>
      </x:c>
      <x:c r="H11" s="268" t="n">
        <x:f>FASE1!R11</x:f>
        <x:v>100</x:v>
      </x:c>
      <x:c r="I11" s="268" t="n">
        <x:f>FASE1!U11</x:f>
        <x:v>100</x:v>
      </x:c>
      <x:c r="J11" s="268" t="n">
        <x:f>FASE1!U11</x:f>
        <x:v>100</x:v>
      </x:c>
      <x:c r="K11" s="268" t="n">
        <x:f>FASE1!P11</x:f>
        <x:v>100</x:v>
      </x:c>
      <x:c r="L11" s="268" t="n">
        <x:f>FASE1!V11</x:f>
        <x:v>100</x:v>
      </x:c>
      <x:c r="M11" s="268" t="n">
        <x:f>AVERAGE(FASE2!F11:G11)</x:f>
        <x:v>1</x:v>
      </x:c>
      <x:c r="N11" s="268" t="n">
        <x:f>AVERAGE(FASE2!O11:P11,FASE2!S11)</x:f>
        <x:v>0.3333333333333333</x:v>
      </x:c>
      <x:c r="O11" s="268" t="n">
        <x:f>FASE4!K11</x:f>
        <x:v>0</x:v>
      </x:c>
      <x:c r="P11" s="268" t="n">
        <x:f>FASE2!N11</x:f>
        <x:v>1</x:v>
      </x:c>
      <x:c r="Q11" s="268" t="n">
        <x:f>FASE3!P11</x:f>
        <x:v>1</x:v>
      </x:c>
      <x:c r="R11" s="268" t="n">
        <x:f>FASE3!N11</x:f>
        <x:v>1</x:v>
      </x:c>
      <x:c r="S11" s="268" t="n">
        <x:f>AVERAGE(FASE3!Q11,FASE3!R11,FASE3!T11,FASE3!S11)</x:f>
        <x:v>1</x:v>
      </x:c>
      <x:c r="T11" s="268" t="n">
        <x:f>AVERAGE(FASE3!U11,FASE3!V11,FASE3!W11)</x:f>
        <x:v>1</x:v>
      </x:c>
      <x:c r="U11" s="268" t="n">
        <x:f>FASE3!Y11</x:f>
        <x:v>0</x:v>
      </x:c>
      <x:c r="V11" s="268" t="n">
        <x:f>FASE3!X11</x:f>
        <x:v>1</x:v>
      </x:c>
      <x:c r="W11" s="268" t="n">
        <x:f>FASE4!M11</x:f>
        <x:v>0</x:v>
      </x:c>
      <x:c r="X11" s="268">
        <x:f t="shared" si="0"/>
        <x:v>44.851851851851855</x:v>
      </x:c>
    </x:row>
    <x:row r="12" ht="15.75">
      <x:c r="B12">
        <x:v>1</x:v>
      </x:c>
      <x:c r="C12" t="s">
        <x:v>115</x:v>
      </x:c>
      <x:c r="D12" s="243">
        <x:v>121</x:v>
      </x:c>
      <x:c r="E12" s="268" t="n">
        <x:f>FASE1!G12</x:f>
        <x:v>100</x:v>
      </x:c>
      <x:c r="F12" s="268" t="n">
        <x:f>FASE1!M12</x:f>
        <x:v>100</x:v>
      </x:c>
      <x:c r="G12" s="268" t="n">
        <x:f>FASE1!L12</x:f>
        <x:v>100</x:v>
      </x:c>
      <x:c r="H12" s="268" t="n">
        <x:f>FASE1!R12</x:f>
        <x:v>100</x:v>
      </x:c>
      <x:c r="I12" s="268" t="n">
        <x:f>FASE1!U12</x:f>
        <x:v>100</x:v>
      </x:c>
      <x:c r="J12" s="268" t="n">
        <x:f>FASE1!U12</x:f>
        <x:v>100</x:v>
      </x:c>
      <x:c r="K12" s="268" t="n">
        <x:f>FASE1!P12</x:f>
        <x:v>100</x:v>
      </x:c>
      <x:c r="L12" s="268" t="n">
        <x:f>FASE1!V12</x:f>
        <x:v>100</x:v>
      </x:c>
      <x:c r="M12" s="268" t="n">
        <x:f>AVERAGE(FASE2!F12:G12)</x:f>
        <x:v>1</x:v>
      </x:c>
      <x:c r="N12" s="268" t="n">
        <x:f>AVERAGE(FASE2!O12:P12,FASE2!S12)</x:f>
        <x:v>1</x:v>
      </x:c>
      <x:c r="O12" s="268" t="n">
        <x:f>FASE4!K12</x:f>
        <x:v>0</x:v>
      </x:c>
      <x:c r="P12" s="268" t="n">
        <x:f>FASE2!N12</x:f>
        <x:v>1</x:v>
      </x:c>
      <x:c r="Q12" s="268" t="n">
        <x:f>FASE3!P12</x:f>
        <x:v>1</x:v>
      </x:c>
      <x:c r="R12" s="268" t="n">
        <x:f>FASE3!N12</x:f>
        <x:v>1</x:v>
      </x:c>
      <x:c r="S12" s="268" t="n">
        <x:f>AVERAGE(FASE3!Q12,FASE3!R12,FASE3!T12,FASE3!S12)</x:f>
        <x:v>1</x:v>
      </x:c>
      <x:c r="T12" s="268" t="n">
        <x:f>AVERAGE(FASE3!U12,FASE3!V12,FASE3!W12)</x:f>
        <x:v>1</x:v>
      </x:c>
      <x:c r="U12" s="268" t="n">
        <x:f>FASE3!Y12</x:f>
        <x:v>0</x:v>
      </x:c>
      <x:c r="V12" s="268" t="n">
        <x:f>FASE3!X12</x:f>
        <x:v>1</x:v>
      </x:c>
      <x:c r="W12" s="268" t="n">
        <x:f>FASE4!M12</x:f>
        <x:v>0</x:v>
      </x:c>
      <x:c r="X12" s="268">
        <x:f t="shared" si="0"/>
        <x:v>44.888888888888886</x:v>
      </x:c>
    </x:row>
    <x:row r="13" ht="15.75">
      <x:c r="B13">
        <x:v>1</x:v>
      </x:c>
      <x:c r="C13" t="s">
        <x:v>135</x:v>
      </x:c>
      <x:c r="D13" s="243" t="s">
        <x:v>136</x:v>
      </x:c>
      <x:c r="E13" s="268" t="n">
        <x:f>FASE1!G13</x:f>
        <x:v>0</x:v>
      </x:c>
      <x:c r="F13" s="268" t="n">
        <x:f>FASE1!M13</x:f>
        <x:v>0</x:v>
      </x:c>
      <x:c r="G13" s="268" t="n">
        <x:f>FASE1!L13</x:f>
        <x:v>0</x:v>
      </x:c>
      <x:c r="H13" s="268" t="n">
        <x:f>FASE1!R13</x:f>
        <x:v>0</x:v>
      </x:c>
      <x:c r="I13" s="268" t="n">
        <x:f>FASE1!U13</x:f>
        <x:v>0</x:v>
      </x:c>
      <x:c r="J13" s="268" t="n">
        <x:f>FASE1!U13</x:f>
        <x:v>0</x:v>
      </x:c>
      <x:c r="K13" s="268" t="n">
        <x:f>FASE1!P13</x:f>
        <x:v>0</x:v>
      </x:c>
      <x:c r="L13" s="268" t="n">
        <x:f>FASE1!V13</x:f>
        <x:v>0</x:v>
      </x:c>
      <x:c r="M13" s="268" t="e">
        <x:f>AVERAGE(FASE2!F13:G13)</x:f>
        <x:v>#DIV/0!</x:v>
      </x:c>
      <x:c r="N13" s="268" t="e">
        <x:f>AVERAGE(FASE2!O13:P13,FASE2!S13)</x:f>
        <x:v>#DIV/0!</x:v>
      </x:c>
      <x:c r="O13" s="268" t="n">
        <x:f>FASE4!K13</x:f>
        <x:v>0</x:v>
      </x:c>
      <x:c r="P13" s="268" t="n">
        <x:f>FASE2!N13</x:f>
        <x:v>0</x:v>
      </x:c>
      <x:c r="Q13" s="268" t="n">
        <x:f>FASE3!P13</x:f>
        <x:v>0</x:v>
      </x:c>
      <x:c r="R13" s="268" t="n">
        <x:f>FASE3!N13</x:f>
        <x:v>0</x:v>
      </x:c>
      <x:c r="S13" s="268" t="n">
        <x:f>AVERAGE(FASE3!Q13,FASE3!R13,FASE3!T13,FASE3!S13)</x:f>
        <x:v>0</x:v>
      </x:c>
      <x:c r="T13" s="268" t="n">
        <x:f>AVERAGE(FASE3!U13,FASE3!V13,FASE3!W13)</x:f>
        <x:v>0</x:v>
      </x:c>
      <x:c r="U13" s="268" t="n">
        <x:f>FASE3!Y13</x:f>
        <x:v>0</x:v>
      </x:c>
      <x:c r="V13" s="268" t="n">
        <x:f>FASE3!X13</x:f>
        <x:v>0</x:v>
      </x:c>
      <x:c r="W13" s="268" t="n">
        <x:f>FASE4!M13</x:f>
        <x:v>0</x:v>
      </x:c>
      <x:c r="X13" s="268">
        <x:f t="shared" si="0"/>
        <x:v>38.020707070707054</x:v>
      </x:c>
    </x:row>
    <x:row r="14" ht="15.75">
      <x:c r="B14">
        <x:v>2</x:v>
      </x:c>
      <x:c r="C14" t="s">
        <x:v>116</x:v>
      </x:c>
      <x:c r="D14" s="243">
        <x:v>202</x:v>
      </x:c>
      <x:c r="E14" s="268" t="n">
        <x:f>FASE1!G14</x:f>
        <x:v>0</x:v>
      </x:c>
      <x:c r="F14" s="268" t="n">
        <x:f>FASE1!M14</x:f>
        <x:v>0</x:v>
      </x:c>
      <x:c r="G14" s="268" t="n">
        <x:f>FASE1!L14</x:f>
        <x:v>0</x:v>
      </x:c>
      <x:c r="H14" s="268" t="n">
        <x:f>FASE1!R14</x:f>
        <x:v>0</x:v>
      </x:c>
      <x:c r="I14" s="268" t="n">
        <x:f>FASE1!U14</x:f>
        <x:v>0</x:v>
      </x:c>
      <x:c r="J14" s="268" t="n">
        <x:f>FASE1!U14</x:f>
        <x:v>0</x:v>
      </x:c>
      <x:c r="K14" s="268" t="n">
        <x:f>FASE1!P14</x:f>
        <x:v>0</x:v>
      </x:c>
      <x:c r="L14" s="268" t="n">
        <x:f>FASE1!V14</x:f>
        <x:v>0</x:v>
      </x:c>
      <x:c r="M14" s="268" t="n">
        <x:f>AVERAGE(FASE2!F14:G14)</x:f>
        <x:v>0</x:v>
      </x:c>
      <x:c r="N14" s="268" t="n">
        <x:f>AVERAGE(FASE2!O14:P14,FASE2!S14)</x:f>
        <x:v>0</x:v>
      </x:c>
      <x:c r="O14" s="268" t="n">
        <x:f>FASE4!K14</x:f>
        <x:v>0</x:v>
      </x:c>
      <x:c r="P14" s="268" t="n">
        <x:f>FASE2!N14</x:f>
        <x:v>0</x:v>
      </x:c>
      <x:c r="Q14" s="268" t="n">
        <x:f>FASE3!P14</x:f>
        <x:v>0</x:v>
      </x:c>
      <x:c r="R14" s="268" t="n">
        <x:f>FASE3!N14</x:f>
        <x:v>0</x:v>
      </x:c>
      <x:c r="S14" s="268" t="n">
        <x:f>AVERAGE(FASE3!Q14,FASE3!R14,FASE3!T14,FASE3!S14)</x:f>
        <x:v>0</x:v>
      </x:c>
      <x:c r="T14" s="268" t="n">
        <x:f>AVERAGE(FASE3!U14,FASE3!V14,FASE3!W14)</x:f>
        <x:v>0</x:v>
      </x:c>
      <x:c r="U14" s="268" t="n">
        <x:f>FASE3!Y14</x:f>
        <x:v>0</x:v>
      </x:c>
      <x:c r="V14" s="268" t="n">
        <x:f>FASE3!X14</x:f>
        <x:v>0</x:v>
      </x:c>
      <x:c r="W14" s="268" t="n">
        <x:f>FASE4!M14</x:f>
        <x:v>0</x:v>
      </x:c>
      <x:c r="X14" s="268">
        <x:f t="shared" si="0"/>
        <x:v>0</x:v>
      </x:c>
    </x:row>
    <x:row r="15" ht="15.75">
      <x:c r="B15">
        <x:v>2</x:v>
      </x:c>
      <x:c r="C15" t="s">
        <x:v>116</x:v>
      </x:c>
      <x:c r="D15" s="243">
        <x:v>203</x:v>
      </x:c>
      <x:c r="E15" s="268" t="n">
        <x:f>FASE1!G15</x:f>
        <x:v>0</x:v>
      </x:c>
      <x:c r="F15" s="268" t="n">
        <x:f>FASE1!M15</x:f>
        <x:v>0</x:v>
      </x:c>
      <x:c r="G15" s="268" t="n">
        <x:f>FASE1!L15</x:f>
        <x:v>0</x:v>
      </x:c>
      <x:c r="H15" s="268" t="n">
        <x:f>FASE1!R15</x:f>
        <x:v>0</x:v>
      </x:c>
      <x:c r="I15" s="268" t="n">
        <x:f>FASE1!U15</x:f>
        <x:v>0</x:v>
      </x:c>
      <x:c r="J15" s="268" t="n">
        <x:f>FASE1!U15</x:f>
        <x:v>0</x:v>
      </x:c>
      <x:c r="K15" s="268" t="n">
        <x:f>FASE1!P15</x:f>
        <x:v>0</x:v>
      </x:c>
      <x:c r="L15" s="268" t="n">
        <x:f>FASE1!V15</x:f>
        <x:v>0</x:v>
      </x:c>
      <x:c r="M15" s="268" t="n">
        <x:f>AVERAGE(FASE2!F15:G15)</x:f>
        <x:v>0</x:v>
      </x:c>
      <x:c r="N15" s="268" t="n">
        <x:f>AVERAGE(FASE2!O15:P15,FASE2!S15)</x:f>
        <x:v>0</x:v>
      </x:c>
      <x:c r="O15" s="268" t="n">
        <x:f>FASE4!K15</x:f>
        <x:v>0</x:v>
      </x:c>
      <x:c r="P15" s="268" t="n">
        <x:f>FASE2!N15</x:f>
        <x:v>0</x:v>
      </x:c>
      <x:c r="Q15" s="268" t="n">
        <x:f>FASE3!P15</x:f>
        <x:v>0</x:v>
      </x:c>
      <x:c r="R15" s="268" t="n">
        <x:f>FASE3!N15</x:f>
        <x:v>0</x:v>
      </x:c>
      <x:c r="S15" s="268" t="n">
        <x:f>AVERAGE(FASE3!Q15,FASE3!R15,FASE3!T15,FASE3!S15)</x:f>
        <x:v>0</x:v>
      </x:c>
      <x:c r="T15" s="268" t="n">
        <x:f>AVERAGE(FASE3!U15,FASE3!V15,FASE3!W15)</x:f>
        <x:v>0</x:v>
      </x:c>
      <x:c r="U15" s="268" t="n">
        <x:f>FASE3!Y15</x:f>
        <x:v>0</x:v>
      </x:c>
      <x:c r="V15" s="268" t="n">
        <x:f>FASE3!X15</x:f>
        <x:v>0</x:v>
      </x:c>
      <x:c r="W15" s="268" t="n">
        <x:f>FASE4!M15</x:f>
        <x:v>0</x:v>
      </x:c>
      <x:c r="X15" s="268">
        <x:f t="shared" si="0"/>
        <x:v>0</x:v>
      </x:c>
    </x:row>
    <x:row r="16" ht="15.75">
      <x:c r="B16">
        <x:v>2</x:v>
      </x:c>
      <x:c r="C16" t="s">
        <x:v>116</x:v>
      </x:c>
      <x:c r="D16" s="243">
        <x:v>204</x:v>
      </x:c>
      <x:c r="E16" s="268" t="n">
        <x:f>FASE1!G16</x:f>
        <x:v>0</x:v>
      </x:c>
      <x:c r="F16" s="268" t="n">
        <x:f>FASE1!M16</x:f>
        <x:v>0</x:v>
      </x:c>
      <x:c r="G16" s="268" t="n">
        <x:f>FASE1!L16</x:f>
        <x:v>0</x:v>
      </x:c>
      <x:c r="H16" s="268" t="n">
        <x:f>FASE1!R16</x:f>
        <x:v>0</x:v>
      </x:c>
      <x:c r="I16" s="268" t="n">
        <x:f>FASE1!U16</x:f>
        <x:v>0</x:v>
      </x:c>
      <x:c r="J16" s="268" t="n">
        <x:f>FASE1!U16</x:f>
        <x:v>0</x:v>
      </x:c>
      <x:c r="K16" s="268" t="n">
        <x:f>FASE1!P16</x:f>
        <x:v>0</x:v>
      </x:c>
      <x:c r="L16" s="268" t="n">
        <x:f>FASE1!V16</x:f>
        <x:v>0</x:v>
      </x:c>
      <x:c r="M16" s="268" t="n">
        <x:f>AVERAGE(FASE2!F16:G16)</x:f>
        <x:v>0</x:v>
      </x:c>
      <x:c r="N16" s="268" t="n">
        <x:f>AVERAGE(FASE2!O16:P16,FASE2!S16)</x:f>
        <x:v>0</x:v>
      </x:c>
      <x:c r="O16" s="268" t="n">
        <x:f>FASE4!K16</x:f>
        <x:v>0</x:v>
      </x:c>
      <x:c r="P16" s="268" t="n">
        <x:f>FASE2!N16</x:f>
        <x:v>0</x:v>
      </x:c>
      <x:c r="Q16" s="268" t="n">
        <x:f>FASE3!P16</x:f>
        <x:v>0</x:v>
      </x:c>
      <x:c r="R16" s="268" t="n">
        <x:f>FASE3!N16</x:f>
        <x:v>0</x:v>
      </x:c>
      <x:c r="S16" s="268" t="n">
        <x:f>AVERAGE(FASE3!Q16,FASE3!R16,FASE3!T16,FASE3!S16)</x:f>
        <x:v>0</x:v>
      </x:c>
      <x:c r="T16" s="268" t="n">
        <x:f>AVERAGE(FASE3!U16,FASE3!V16,FASE3!W16)</x:f>
        <x:v>0</x:v>
      </x:c>
      <x:c r="U16" s="268" t="n">
        <x:f>FASE3!Y16</x:f>
        <x:v>0</x:v>
      </x:c>
      <x:c r="V16" s="268" t="n">
        <x:f>FASE3!X16</x:f>
        <x:v>0</x:v>
      </x:c>
      <x:c r="W16" s="268" t="n">
        <x:f>FASE4!M16</x:f>
        <x:v>0</x:v>
      </x:c>
      <x:c r="X16" s="268">
        <x:f t="shared" si="0"/>
        <x:v>0</x:v>
      </x:c>
    </x:row>
    <x:row r="17" ht="15.75">
      <x:c r="B17">
        <x:v>2</x:v>
      </x:c>
      <x:c r="C17" t="s">
        <x:v>116</x:v>
      </x:c>
      <x:c r="D17" s="243">
        <x:v>205</x:v>
      </x:c>
      <x:c r="E17" s="268" t="n">
        <x:f>FASE1!G17</x:f>
        <x:v>0</x:v>
      </x:c>
      <x:c r="F17" s="268" t="n">
        <x:f>FASE1!M17</x:f>
        <x:v>0</x:v>
      </x:c>
      <x:c r="G17" s="268" t="n">
        <x:f>FASE1!L17</x:f>
        <x:v>95</x:v>
      </x:c>
      <x:c r="H17" s="268" t="n">
        <x:f>FASE1!R17</x:f>
        <x:v>0</x:v>
      </x:c>
      <x:c r="I17" s="268" t="n">
        <x:f>FASE1!U17</x:f>
        <x:v>0</x:v>
      </x:c>
      <x:c r="J17" s="268" t="n">
        <x:f>FASE1!U17</x:f>
        <x:v>0</x:v>
      </x:c>
      <x:c r="K17" s="268" t="n">
        <x:f>FASE1!P17</x:f>
        <x:v>0</x:v>
      </x:c>
      <x:c r="L17" s="268" t="n">
        <x:f>FASE1!V17</x:f>
        <x:v>0</x:v>
      </x:c>
      <x:c r="M17" s="268" t="n">
        <x:f>AVERAGE(FASE2!F17:G17)</x:f>
        <x:v>0</x:v>
      </x:c>
      <x:c r="N17" s="268" t="n">
        <x:f>AVERAGE(FASE2!O17:P17,FASE2!S17)</x:f>
        <x:v>0</x:v>
      </x:c>
      <x:c r="O17" s="268" t="n">
        <x:f>FASE4!K17</x:f>
        <x:v>0</x:v>
      </x:c>
      <x:c r="P17" s="268" t="n">
        <x:f>FASE2!N17</x:f>
        <x:v>0</x:v>
      </x:c>
      <x:c r="Q17" s="268" t="n">
        <x:f>FASE3!P17</x:f>
        <x:v>0</x:v>
      </x:c>
      <x:c r="R17" s="268" t="n">
        <x:f>FASE3!N17</x:f>
        <x:v>0</x:v>
      </x:c>
      <x:c r="S17" s="268" t="n">
        <x:f>AVERAGE(FASE3!Q17,FASE3!R17,FASE3!T17,FASE3!S17)</x:f>
        <x:v>0</x:v>
      </x:c>
      <x:c r="T17" s="268" t="n">
        <x:f>AVERAGE(FASE3!U17,FASE3!V17,FASE3!W17)</x:f>
        <x:v>0</x:v>
      </x:c>
      <x:c r="U17" s="268" t="n">
        <x:f>FASE3!Y17</x:f>
        <x:v>0</x:v>
      </x:c>
      <x:c r="V17" s="268" t="n">
        <x:f>FASE3!X17</x:f>
        <x:v>0</x:v>
      </x:c>
      <x:c r="W17" s="268" t="n">
        <x:f>FASE4!M17</x:f>
        <x:v>0</x:v>
      </x:c>
      <x:c r="X17" s="268">
        <x:f t="shared" si="0"/>
        <x:v>5.2777777777777777</x:v>
      </x:c>
    </x:row>
    <x:row r="18" ht="15.75">
      <x:c r="B18">
        <x:v>2</x:v>
      </x:c>
      <x:c r="C18" t="s">
        <x:v>116</x:v>
      </x:c>
      <x:c r="D18" s="243">
        <x:v>206</x:v>
      </x:c>
      <x:c r="E18" s="268" t="n">
        <x:f>FASE1!G18</x:f>
        <x:v>0</x:v>
      </x:c>
      <x:c r="F18" s="268" t="n">
        <x:f>FASE1!M18</x:f>
        <x:v>0</x:v>
      </x:c>
      <x:c r="G18" s="268" t="n">
        <x:f>FASE1!L18</x:f>
        <x:v>95</x:v>
      </x:c>
      <x:c r="H18" s="268" t="n">
        <x:f>FASE1!R18</x:f>
        <x:v>0</x:v>
      </x:c>
      <x:c r="I18" s="268" t="n">
        <x:f>FASE1!U18</x:f>
        <x:v>0</x:v>
      </x:c>
      <x:c r="J18" s="268" t="n">
        <x:f>FASE1!U18</x:f>
        <x:v>0</x:v>
      </x:c>
      <x:c r="K18" s="268" t="n">
        <x:f>FASE1!P18</x:f>
        <x:v>0</x:v>
      </x:c>
      <x:c r="L18" s="268" t="n">
        <x:f>FASE1!V18</x:f>
        <x:v>0</x:v>
      </x:c>
      <x:c r="M18" s="268" t="n">
        <x:f>AVERAGE(FASE2!F18:G18)</x:f>
        <x:v>0</x:v>
      </x:c>
      <x:c r="N18" s="268" t="n">
        <x:f>AVERAGE(FASE2!O18:P18,FASE2!S18)</x:f>
        <x:v>0</x:v>
      </x:c>
      <x:c r="O18" s="268" t="n">
        <x:f>FASE4!K18</x:f>
        <x:v>0</x:v>
      </x:c>
      <x:c r="P18" s="268" t="n">
        <x:f>FASE2!N18</x:f>
        <x:v>0</x:v>
      </x:c>
      <x:c r="Q18" s="268" t="n">
        <x:f>FASE3!P18</x:f>
        <x:v>0</x:v>
      </x:c>
      <x:c r="R18" s="268" t="n">
        <x:f>FASE3!N18</x:f>
        <x:v>0</x:v>
      </x:c>
      <x:c r="S18" s="268" t="n">
        <x:f>AVERAGE(FASE3!Q18,FASE3!R18,FASE3!T18,FASE3!S18)</x:f>
        <x:v>0</x:v>
      </x:c>
      <x:c r="T18" s="268" t="n">
        <x:f>AVERAGE(FASE3!U18,FASE3!V18,FASE3!W18)</x:f>
        <x:v>0</x:v>
      </x:c>
      <x:c r="U18" s="268" t="n">
        <x:f>FASE3!Y18</x:f>
        <x:v>0</x:v>
      </x:c>
      <x:c r="V18" s="268" t="n">
        <x:f>FASE3!X18</x:f>
        <x:v>0</x:v>
      </x:c>
      <x:c r="W18" s="268" t="n">
        <x:f>FASE4!M18</x:f>
        <x:v>0</x:v>
      </x:c>
      <x:c r="X18" s="268">
        <x:f t="shared" si="0"/>
        <x:v>5.2777777777777777</x:v>
      </x:c>
    </x:row>
    <x:row r="19" ht="15.75">
      <x:c r="B19">
        <x:v>2</x:v>
      </x:c>
      <x:c r="C19" t="s">
        <x:v>116</x:v>
      </x:c>
      <x:c r="D19" s="243">
        <x:v>207</x:v>
      </x:c>
      <x:c r="E19" s="268" t="n">
        <x:f>FASE1!G19</x:f>
        <x:v>30</x:v>
      </x:c>
      <x:c r="F19" s="268" t="n">
        <x:f>FASE1!M19</x:f>
        <x:v>0</x:v>
      </x:c>
      <x:c r="G19" s="268" t="n">
        <x:f>FASE1!L19</x:f>
        <x:v>100</x:v>
      </x:c>
      <x:c r="H19" s="268" t="n">
        <x:f>FASE1!R19</x:f>
        <x:v>0</x:v>
      </x:c>
      <x:c r="I19" s="268" t="n">
        <x:f>FASE1!U19</x:f>
        <x:v>0</x:v>
      </x:c>
      <x:c r="J19" s="268" t="n">
        <x:f>FASE1!U19</x:f>
        <x:v>0</x:v>
      </x:c>
      <x:c r="K19" s="268" t="n">
        <x:f>FASE1!P19</x:f>
        <x:v>0</x:v>
      </x:c>
      <x:c r="L19" s="268" t="n">
        <x:f>FASE1!V19</x:f>
        <x:v>0</x:v>
      </x:c>
      <x:c r="M19" s="268" t="n">
        <x:f>AVERAGE(FASE2!F19:G19)</x:f>
        <x:v>0</x:v>
      </x:c>
      <x:c r="N19" s="268" t="n">
        <x:f>AVERAGE(FASE2!O19:P19,FASE2!S19)</x:f>
        <x:v>0</x:v>
      </x:c>
      <x:c r="O19" s="268" t="n">
        <x:f>FASE4!K19</x:f>
        <x:v>0</x:v>
      </x:c>
      <x:c r="P19" s="268" t="n">
        <x:f>FASE2!N19</x:f>
        <x:v>0</x:v>
      </x:c>
      <x:c r="Q19" s="268" t="n">
        <x:f>FASE3!P19</x:f>
        <x:v>0</x:v>
      </x:c>
      <x:c r="R19" s="268" t="n">
        <x:f>FASE3!N19</x:f>
        <x:v>0</x:v>
      </x:c>
      <x:c r="S19" s="268" t="n">
        <x:f>AVERAGE(FASE3!Q19,FASE3!R19,FASE3!T19,FASE3!S19)</x:f>
        <x:v>0</x:v>
      </x:c>
      <x:c r="T19" s="268" t="n">
        <x:f>AVERAGE(FASE3!U19,FASE3!V19,FASE3!W19)</x:f>
        <x:v>0</x:v>
      </x:c>
      <x:c r="U19" s="268" t="n">
        <x:f>FASE3!Y19</x:f>
        <x:v>0</x:v>
      </x:c>
      <x:c r="V19" s="268" t="n">
        <x:f>FASE3!X19</x:f>
        <x:v>0</x:v>
      </x:c>
      <x:c r="W19" s="268" t="n">
        <x:f>FASE4!M19</x:f>
        <x:v>0</x:v>
      </x:c>
      <x:c r="X19" s="268">
        <x:f t="shared" si="0"/>
        <x:v>7.2222222222222223</x:v>
      </x:c>
      <x:c r="Y19" s="2"/>
    </x:row>
    <x:row r="20" ht="15.75">
      <x:c r="B20">
        <x:v>2</x:v>
      </x:c>
      <x:c r="C20" t="s">
        <x:v>116</x:v>
      </x:c>
      <x:c r="D20" s="243">
        <x:v>208</x:v>
      </x:c>
      <x:c r="E20" s="268" t="n">
        <x:f>FASE1!G20</x:f>
        <x:v>30</x:v>
      </x:c>
      <x:c r="F20" s="268" t="n">
        <x:f>FASE1!M20</x:f>
        <x:v>0</x:v>
      </x:c>
      <x:c r="G20" s="268" t="n">
        <x:f>FASE1!L20</x:f>
        <x:v>100</x:v>
      </x:c>
      <x:c r="H20" s="268" t="n">
        <x:f>FASE1!R20</x:f>
        <x:v>0</x:v>
      </x:c>
      <x:c r="I20" s="268" t="n">
        <x:f>FASE1!U20</x:f>
        <x:v>0</x:v>
      </x:c>
      <x:c r="J20" s="268" t="n">
        <x:f>FASE1!U20</x:f>
        <x:v>0</x:v>
      </x:c>
      <x:c r="K20" s="268" t="n">
        <x:f>FASE1!P20</x:f>
        <x:v>0</x:v>
      </x:c>
      <x:c r="L20" s="268" t="n">
        <x:f>FASE1!V20</x:f>
        <x:v>0</x:v>
      </x:c>
      <x:c r="M20" s="268" t="n">
        <x:f>AVERAGE(FASE2!F20:G20)</x:f>
        <x:v>0</x:v>
      </x:c>
      <x:c r="N20" s="268" t="n">
        <x:f>AVERAGE(FASE2!O20:P20,FASE2!S20)</x:f>
        <x:v>0</x:v>
      </x:c>
      <x:c r="O20" s="268" t="n">
        <x:f>FASE4!K20</x:f>
        <x:v>0</x:v>
      </x:c>
      <x:c r="P20" s="268" t="n">
        <x:f>FASE2!N20</x:f>
        <x:v>0</x:v>
      </x:c>
      <x:c r="Q20" s="268" t="n">
        <x:f>FASE3!P20</x:f>
        <x:v>0</x:v>
      </x:c>
      <x:c r="R20" s="268" t="n">
        <x:f>FASE3!N20</x:f>
        <x:v>0</x:v>
      </x:c>
      <x:c r="S20" s="268" t="n">
        <x:f>AVERAGE(FASE3!Q20,FASE3!R20,FASE3!T20,FASE3!S20)</x:f>
        <x:v>0</x:v>
      </x:c>
      <x:c r="T20" s="268" t="n">
        <x:f>AVERAGE(FASE3!U20,FASE3!V20,FASE3!W20)</x:f>
        <x:v>0</x:v>
      </x:c>
      <x:c r="U20" s="268" t="n">
        <x:f>FASE3!Y20</x:f>
        <x:v>0</x:v>
      </x:c>
      <x:c r="V20" s="268" t="n">
        <x:f>FASE3!X20</x:f>
        <x:v>0</x:v>
      </x:c>
      <x:c r="W20" s="268" t="n">
        <x:f>FASE4!M20</x:f>
        <x:v>0</x:v>
      </x:c>
      <x:c r="X20" s="268">
        <x:f t="shared" si="0"/>
        <x:v>7.2222222222222223</x:v>
      </x:c>
    </x:row>
    <x:row r="21" ht="15.75">
      <x:c r="B21">
        <x:v>2</x:v>
      </x:c>
      <x:c r="C21" t="s">
        <x:v>116</x:v>
      </x:c>
      <x:c r="D21" s="243">
        <x:v>209</x:v>
      </x:c>
      <x:c r="E21" s="268" t="n">
        <x:f>FASE1!G21</x:f>
        <x:v>30</x:v>
      </x:c>
      <x:c r="F21" s="268" t="n">
        <x:f>FASE1!M21</x:f>
        <x:v>0</x:v>
      </x:c>
      <x:c r="G21" s="268" t="n">
        <x:f>FASE1!L21</x:f>
        <x:v>95</x:v>
      </x:c>
      <x:c r="H21" s="268" t="n">
        <x:f>FASE1!R21</x:f>
        <x:v>0</x:v>
      </x:c>
      <x:c r="I21" s="268" t="n">
        <x:f>FASE1!U21</x:f>
        <x:v>0</x:v>
      </x:c>
      <x:c r="J21" s="268" t="n">
        <x:f>FASE1!U21</x:f>
        <x:v>0</x:v>
      </x:c>
      <x:c r="K21" s="268" t="n">
        <x:f>FASE1!P21</x:f>
        <x:v>0</x:v>
      </x:c>
      <x:c r="L21" s="268" t="n">
        <x:f>FASE1!V21</x:f>
        <x:v>0</x:v>
      </x:c>
      <x:c r="M21" s="268" t="n">
        <x:f>AVERAGE(FASE2!F21:G21)</x:f>
        <x:v>0</x:v>
      </x:c>
      <x:c r="N21" s="268" t="n">
        <x:f>AVERAGE(FASE2!O21:P21,FASE2!S21)</x:f>
        <x:v>0</x:v>
      </x:c>
      <x:c r="O21" s="268" t="n">
        <x:f>FASE4!K21</x:f>
        <x:v>0</x:v>
      </x:c>
      <x:c r="P21" s="268" t="n">
        <x:f>FASE2!N21</x:f>
        <x:v>0</x:v>
      </x:c>
      <x:c r="Q21" s="268" t="n">
        <x:f>FASE3!P21</x:f>
        <x:v>0</x:v>
      </x:c>
      <x:c r="R21" s="268" t="n">
        <x:f>FASE3!N21</x:f>
        <x:v>0</x:v>
      </x:c>
      <x:c r="S21" s="268" t="n">
        <x:f>AVERAGE(FASE3!Q21,FASE3!R21,FASE3!T21,FASE3!S21)</x:f>
        <x:v>0</x:v>
      </x:c>
      <x:c r="T21" s="268" t="n">
        <x:f>AVERAGE(FASE3!U21,FASE3!V21,FASE3!W21)</x:f>
        <x:v>0</x:v>
      </x:c>
      <x:c r="U21" s="268" t="n">
        <x:f>FASE3!Y21</x:f>
        <x:v>0</x:v>
      </x:c>
      <x:c r="V21" s="268" t="n">
        <x:f>FASE3!X21</x:f>
        <x:v>0</x:v>
      </x:c>
      <x:c r="W21" s="268" t="n">
        <x:f>FASE4!M21</x:f>
        <x:v>0</x:v>
      </x:c>
      <x:c r="X21" s="268">
        <x:f t="shared" si="0"/>
        <x:v>6.9444444444444446</x:v>
      </x:c>
    </x:row>
    <x:row r="22" ht="15.75">
      <x:c r="B22">
        <x:v>2</x:v>
      </x:c>
      <x:c r="C22" t="s">
        <x:v>116</x:v>
      </x:c>
      <x:c r="D22" s="243">
        <x:v>210</x:v>
      </x:c>
      <x:c r="E22" s="268" t="n">
        <x:f>FASE1!G22</x:f>
        <x:v>0</x:v>
      </x:c>
      <x:c r="F22" s="268" t="n">
        <x:f>FASE1!M22</x:f>
        <x:v>0</x:v>
      </x:c>
      <x:c r="G22" s="268" t="n">
        <x:f>FASE1!L22</x:f>
        <x:v>95</x:v>
      </x:c>
      <x:c r="H22" s="268" t="n">
        <x:f>FASE1!R22</x:f>
        <x:v>0</x:v>
      </x:c>
      <x:c r="I22" s="268" t="n">
        <x:f>FASE1!U22</x:f>
        <x:v>0</x:v>
      </x:c>
      <x:c r="J22" s="268" t="n">
        <x:f>FASE1!U22</x:f>
        <x:v>0</x:v>
      </x:c>
      <x:c r="K22" s="268" t="n">
        <x:f>FASE1!P22</x:f>
        <x:v>0</x:v>
      </x:c>
      <x:c r="L22" s="268" t="n">
        <x:f>FASE1!V22</x:f>
        <x:v>0</x:v>
      </x:c>
      <x:c r="M22" s="268" t="n">
        <x:f>AVERAGE(FASE2!F22:G22)</x:f>
        <x:v>0</x:v>
      </x:c>
      <x:c r="N22" s="268" t="n">
        <x:f>AVERAGE(FASE2!O22:P22,FASE2!S22)</x:f>
        <x:v>0</x:v>
      </x:c>
      <x:c r="O22" s="268" t="n">
        <x:f>FASE4!K22</x:f>
        <x:v>0</x:v>
      </x:c>
      <x:c r="P22" s="268" t="n">
        <x:f>FASE2!N22</x:f>
        <x:v>0</x:v>
      </x:c>
      <x:c r="Q22" s="268" t="n">
        <x:f>FASE3!P22</x:f>
        <x:v>0</x:v>
      </x:c>
      <x:c r="R22" s="268" t="n">
        <x:f>FASE3!N22</x:f>
        <x:v>0</x:v>
      </x:c>
      <x:c r="S22" s="268" t="n">
        <x:f>AVERAGE(FASE3!Q22,FASE3!R22,FASE3!T22,FASE3!S22)</x:f>
        <x:v>0</x:v>
      </x:c>
      <x:c r="T22" s="268" t="n">
        <x:f>AVERAGE(FASE3!U22,FASE3!V22,FASE3!W22)</x:f>
        <x:v>0</x:v>
      </x:c>
      <x:c r="U22" s="268" t="n">
        <x:f>FASE3!Y22</x:f>
        <x:v>0</x:v>
      </x:c>
      <x:c r="V22" s="268" t="n">
        <x:f>FASE3!X22</x:f>
        <x:v>0</x:v>
      </x:c>
      <x:c r="W22" s="268" t="n">
        <x:f>FASE4!M22</x:f>
        <x:v>0</x:v>
      </x:c>
      <x:c r="X22" s="268">
        <x:f t="shared" si="0"/>
        <x:v>5.2777777777777777</x:v>
      </x:c>
    </x:row>
    <x:row r="23" ht="15.75">
      <x:c r="B23">
        <x:v>2</x:v>
      </x:c>
      <x:c r="C23" t="s">
        <x:v>116</x:v>
      </x:c>
      <x:c r="D23" s="243">
        <x:v>211</x:v>
      </x:c>
      <x:c r="E23" s="268" t="n">
        <x:f>FASE1!G23</x:f>
        <x:v>0</x:v>
      </x:c>
      <x:c r="F23" s="268" t="n">
        <x:f>FASE1!M23</x:f>
        <x:v>0</x:v>
      </x:c>
      <x:c r="G23" s="268" t="n">
        <x:f>FASE1!L23</x:f>
        <x:v>95</x:v>
      </x:c>
      <x:c r="H23" s="268" t="n">
        <x:f>FASE1!R23</x:f>
        <x:v>0</x:v>
      </x:c>
      <x:c r="I23" s="268" t="n">
        <x:f>FASE1!U23</x:f>
        <x:v>0</x:v>
      </x:c>
      <x:c r="J23" s="268" t="n">
        <x:f>FASE1!U23</x:f>
        <x:v>0</x:v>
      </x:c>
      <x:c r="K23" s="268" t="n">
        <x:f>FASE1!P23</x:f>
        <x:v>0</x:v>
      </x:c>
      <x:c r="L23" s="268" t="n">
        <x:f>FASE1!V23</x:f>
        <x:v>0</x:v>
      </x:c>
      <x:c r="M23" s="268" t="n">
        <x:f>AVERAGE(FASE2!F23:G23)</x:f>
        <x:v>0</x:v>
      </x:c>
      <x:c r="N23" s="268" t="n">
        <x:f>AVERAGE(FASE2!O23:P23,FASE2!S23)</x:f>
        <x:v>0</x:v>
      </x:c>
      <x:c r="O23" s="268" t="n">
        <x:f>FASE4!K23</x:f>
        <x:v>0</x:v>
      </x:c>
      <x:c r="P23" s="268" t="n">
        <x:f>FASE2!N23</x:f>
        <x:v>0</x:v>
      </x:c>
      <x:c r="Q23" s="268" t="n">
        <x:f>FASE3!P23</x:f>
        <x:v>0</x:v>
      </x:c>
      <x:c r="R23" s="268" t="n">
        <x:f>FASE3!N23</x:f>
        <x:v>0</x:v>
      </x:c>
      <x:c r="S23" s="268" t="n">
        <x:f>AVERAGE(FASE3!Q23,FASE3!R23,FASE3!T23,FASE3!S23)</x:f>
        <x:v>0</x:v>
      </x:c>
      <x:c r="T23" s="268" t="n">
        <x:f>AVERAGE(FASE3!U23,FASE3!V23,FASE3!W23)</x:f>
        <x:v>0</x:v>
      </x:c>
      <x:c r="U23" s="268" t="n">
        <x:f>FASE3!Y23</x:f>
        <x:v>0</x:v>
      </x:c>
      <x:c r="V23" s="268" t="n">
        <x:f>FASE3!X23</x:f>
        <x:v>0</x:v>
      </x:c>
      <x:c r="W23" s="268" t="n">
        <x:f>FASE4!M23</x:f>
        <x:v>0</x:v>
      </x:c>
      <x:c r="X23" s="268">
        <x:f t="shared" si="0"/>
        <x:v>5.2777777777777777</x:v>
      </x:c>
    </x:row>
    <x:row r="24" ht="15.75">
      <x:c r="B24">
        <x:v>2</x:v>
      </x:c>
      <x:c r="C24" t="s">
        <x:v>116</x:v>
      </x:c>
      <x:c r="D24" s="243">
        <x:v>212</x:v>
      </x:c>
      <x:c r="E24" s="268" t="n">
        <x:f>FASE1!G24</x:f>
        <x:v>0</x:v>
      </x:c>
      <x:c r="F24" s="268" t="n">
        <x:f>FASE1!M24</x:f>
        <x:v>0</x:v>
      </x:c>
      <x:c r="G24" s="268" t="n">
        <x:f>FASE1!L24</x:f>
        <x:v>95</x:v>
      </x:c>
      <x:c r="H24" s="268" t="n">
        <x:f>FASE1!R24</x:f>
        <x:v>0</x:v>
      </x:c>
      <x:c r="I24" s="268" t="n">
        <x:f>FASE1!U24</x:f>
        <x:v>0</x:v>
      </x:c>
      <x:c r="J24" s="268" t="n">
        <x:f>FASE1!U24</x:f>
        <x:v>0</x:v>
      </x:c>
      <x:c r="K24" s="268" t="n">
        <x:f>FASE1!P24</x:f>
        <x:v>0</x:v>
      </x:c>
      <x:c r="L24" s="268" t="n">
        <x:f>FASE1!V24</x:f>
        <x:v>0</x:v>
      </x:c>
      <x:c r="M24" s="268" t="n">
        <x:f>AVERAGE(FASE2!F24:G24)</x:f>
        <x:v>0</x:v>
      </x:c>
      <x:c r="N24" s="268" t="n">
        <x:f>AVERAGE(FASE2!O24:P24,FASE2!S24)</x:f>
        <x:v>0</x:v>
      </x:c>
      <x:c r="O24" s="268" t="n">
        <x:f>FASE4!K24</x:f>
        <x:v>0</x:v>
      </x:c>
      <x:c r="P24" s="268" t="n">
        <x:f>FASE2!N24</x:f>
        <x:v>0</x:v>
      </x:c>
      <x:c r="Q24" s="268" t="n">
        <x:f>FASE3!P24</x:f>
        <x:v>0</x:v>
      </x:c>
      <x:c r="R24" s="268" t="n">
        <x:f>FASE3!N24</x:f>
        <x:v>0</x:v>
      </x:c>
      <x:c r="S24" s="268" t="n">
        <x:f>AVERAGE(FASE3!Q24,FASE3!R24,FASE3!T24,FASE3!S24)</x:f>
        <x:v>0</x:v>
      </x:c>
      <x:c r="T24" s="268" t="n">
        <x:f>AVERAGE(FASE3!U24,FASE3!V24,FASE3!W24)</x:f>
        <x:v>0</x:v>
      </x:c>
      <x:c r="U24" s="268" t="n">
        <x:f>FASE3!Y24</x:f>
        <x:v>0</x:v>
      </x:c>
      <x:c r="V24" s="268" t="n">
        <x:f>FASE3!X24</x:f>
        <x:v>0</x:v>
      </x:c>
      <x:c r="W24" s="268" t="n">
        <x:f>FASE4!M24</x:f>
        <x:v>0</x:v>
      </x:c>
      <x:c r="X24" s="268">
        <x:f t="shared" si="0"/>
        <x:v>5.2777777777777777</x:v>
      </x:c>
    </x:row>
    <x:row r="25" ht="15.75">
      <x:c r="B25">
        <x:v>2</x:v>
      </x:c>
      <x:c r="C25" t="s">
        <x:v>116</x:v>
      </x:c>
      <x:c r="D25" s="243">
        <x:v>213</x:v>
      </x:c>
      <x:c r="E25" s="268" t="n">
        <x:f>FASE1!G25</x:f>
        <x:v>0</x:v>
      </x:c>
      <x:c r="F25" s="268" t="n">
        <x:f>FASE1!M25</x:f>
        <x:v>0</x:v>
      </x:c>
      <x:c r="G25" s="268" t="n">
        <x:f>FASE1!L25</x:f>
        <x:v>95</x:v>
      </x:c>
      <x:c r="H25" s="268" t="n">
        <x:f>FASE1!R25</x:f>
        <x:v>0</x:v>
      </x:c>
      <x:c r="I25" s="268" t="n">
        <x:f>FASE1!U25</x:f>
        <x:v>0</x:v>
      </x:c>
      <x:c r="J25" s="268" t="n">
        <x:f>FASE1!U25</x:f>
        <x:v>0</x:v>
      </x:c>
      <x:c r="K25" s="268" t="n">
        <x:f>FASE1!P25</x:f>
        <x:v>0</x:v>
      </x:c>
      <x:c r="L25" s="268" t="n">
        <x:f>FASE1!V25</x:f>
        <x:v>0</x:v>
      </x:c>
      <x:c r="M25" s="268" t="n">
        <x:f>AVERAGE(FASE2!F25:G25)</x:f>
        <x:v>0</x:v>
      </x:c>
      <x:c r="N25" s="268" t="n">
        <x:f>AVERAGE(FASE2!O25:P25,FASE2!S25)</x:f>
        <x:v>0</x:v>
      </x:c>
      <x:c r="O25" s="268" t="n">
        <x:f>FASE4!K25</x:f>
        <x:v>0</x:v>
      </x:c>
      <x:c r="P25" s="268" t="n">
        <x:f>FASE2!N25</x:f>
        <x:v>0</x:v>
      </x:c>
      <x:c r="Q25" s="268" t="n">
        <x:f>FASE3!P25</x:f>
        <x:v>0</x:v>
      </x:c>
      <x:c r="R25" s="268" t="n">
        <x:f>FASE3!N25</x:f>
        <x:v>0</x:v>
      </x:c>
      <x:c r="S25" s="268" t="n">
        <x:f>AVERAGE(FASE3!Q25,FASE3!R25,FASE3!T25,FASE3!S25)</x:f>
        <x:v>0</x:v>
      </x:c>
      <x:c r="T25" s="268" t="n">
        <x:f>AVERAGE(FASE3!U25,FASE3!V25,FASE3!W25)</x:f>
        <x:v>0</x:v>
      </x:c>
      <x:c r="U25" s="268" t="n">
        <x:f>FASE3!Y25</x:f>
        <x:v>0</x:v>
      </x:c>
      <x:c r="V25" s="268" t="n">
        <x:f>FASE3!X25</x:f>
        <x:v>0</x:v>
      </x:c>
      <x:c r="W25" s="268" t="n">
        <x:f>FASE4!M25</x:f>
        <x:v>0</x:v>
      </x:c>
      <x:c r="X25" s="268">
        <x:f t="shared" si="0"/>
        <x:v>5.2777777777777777</x:v>
      </x:c>
    </x:row>
    <x:row r="26" ht="15.75">
      <x:c r="B26">
        <x:v>2</x:v>
      </x:c>
      <x:c r="C26" t="s">
        <x:v>116</x:v>
      </x:c>
      <x:c r="D26" s="243">
        <x:v>214</x:v>
      </x:c>
      <x:c r="E26" s="268" t="n">
        <x:f>FASE1!G26</x:f>
        <x:v>0</x:v>
      </x:c>
      <x:c r="F26" s="268" t="n">
        <x:f>FASE1!M26</x:f>
        <x:v>0</x:v>
      </x:c>
      <x:c r="G26" s="268" t="n">
        <x:f>FASE1!L26</x:f>
        <x:v>0</x:v>
      </x:c>
      <x:c r="H26" s="268" t="n">
        <x:f>FASE1!R26</x:f>
        <x:v>0</x:v>
      </x:c>
      <x:c r="I26" s="268" t="n">
        <x:f>FASE1!U26</x:f>
        <x:v>0</x:v>
      </x:c>
      <x:c r="J26" s="268" t="n">
        <x:f>FASE1!U26</x:f>
        <x:v>0</x:v>
      </x:c>
      <x:c r="K26" s="268" t="n">
        <x:f>FASE1!P26</x:f>
        <x:v>0</x:v>
      </x:c>
      <x:c r="L26" s="268" t="n">
        <x:f>FASE1!V26</x:f>
        <x:v>0</x:v>
      </x:c>
      <x:c r="M26" s="268" t="n">
        <x:f>AVERAGE(FASE2!F26:G26)</x:f>
        <x:v>0</x:v>
      </x:c>
      <x:c r="N26" s="268" t="n">
        <x:f>AVERAGE(FASE2!O26:P26,FASE2!S26)</x:f>
        <x:v>0</x:v>
      </x:c>
      <x:c r="O26" s="268" t="n">
        <x:f>FASE4!K26</x:f>
        <x:v>0</x:v>
      </x:c>
      <x:c r="P26" s="268" t="n">
        <x:f>FASE2!N26</x:f>
        <x:v>0</x:v>
      </x:c>
      <x:c r="Q26" s="268" t="n">
        <x:f>FASE3!P26</x:f>
        <x:v>0</x:v>
      </x:c>
      <x:c r="R26" s="268" t="n">
        <x:f>FASE3!N26</x:f>
        <x:v>0</x:v>
      </x:c>
      <x:c r="S26" s="268" t="n">
        <x:f>AVERAGE(FASE3!Q26,FASE3!R26,FASE3!T26,FASE3!S26)</x:f>
        <x:v>0</x:v>
      </x:c>
      <x:c r="T26" s="268" t="n">
        <x:f>AVERAGE(FASE3!U26,FASE3!V26,FASE3!W26)</x:f>
        <x:v>0</x:v>
      </x:c>
      <x:c r="U26" s="268" t="n">
        <x:f>FASE3!Y26</x:f>
        <x:v>0</x:v>
      </x:c>
      <x:c r="V26" s="268" t="n">
        <x:f>FASE3!X26</x:f>
        <x:v>0</x:v>
      </x:c>
      <x:c r="W26" s="268" t="n">
        <x:f>FASE4!M26</x:f>
        <x:v>0</x:v>
      </x:c>
      <x:c r="X26" s="268">
        <x:f t="shared" si="0"/>
        <x:v>0</x:v>
      </x:c>
    </x:row>
    <x:row r="27" ht="15.75">
      <x:c r="B27">
        <x:v>2</x:v>
      </x:c>
      <x:c r="C27" t="s">
        <x:v>116</x:v>
      </x:c>
      <x:c r="D27" s="243">
        <x:v>215</x:v>
      </x:c>
      <x:c r="E27" s="268" t="n">
        <x:f>FASE1!G27</x:f>
        <x:v>0</x:v>
      </x:c>
      <x:c r="F27" s="268" t="n">
        <x:f>FASE1!M27</x:f>
        <x:v>0</x:v>
      </x:c>
      <x:c r="G27" s="268" t="n">
        <x:f>FASE1!L27</x:f>
        <x:v>0</x:v>
      </x:c>
      <x:c r="H27" s="268" t="n">
        <x:f>FASE1!R27</x:f>
        <x:v>0</x:v>
      </x:c>
      <x:c r="I27" s="268" t="n">
        <x:f>FASE1!U27</x:f>
        <x:v>0</x:v>
      </x:c>
      <x:c r="J27" s="268" t="n">
        <x:f>FASE1!U27</x:f>
        <x:v>0</x:v>
      </x:c>
      <x:c r="K27" s="268" t="n">
        <x:f>FASE1!P27</x:f>
        <x:v>0</x:v>
      </x:c>
      <x:c r="L27" s="268" t="n">
        <x:f>FASE1!V27</x:f>
        <x:v>0</x:v>
      </x:c>
      <x:c r="M27" s="268" t="n">
        <x:f>AVERAGE(FASE2!F27:G27)</x:f>
        <x:v>0</x:v>
      </x:c>
      <x:c r="N27" s="268" t="n">
        <x:f>AVERAGE(FASE2!O27:P27,FASE2!S27)</x:f>
        <x:v>0</x:v>
      </x:c>
      <x:c r="O27" s="268" t="n">
        <x:f>FASE4!K27</x:f>
        <x:v>0</x:v>
      </x:c>
      <x:c r="P27" s="268" t="n">
        <x:f>FASE2!N27</x:f>
        <x:v>0</x:v>
      </x:c>
      <x:c r="Q27" s="268" t="n">
        <x:f>FASE3!P27</x:f>
        <x:v>0</x:v>
      </x:c>
      <x:c r="R27" s="268" t="n">
        <x:f>FASE3!N27</x:f>
        <x:v>0</x:v>
      </x:c>
      <x:c r="S27" s="268" t="n">
        <x:f>AVERAGE(FASE3!Q27,FASE3!R27,FASE3!T27,FASE3!S27)</x:f>
        <x:v>0</x:v>
      </x:c>
      <x:c r="T27" s="268" t="n">
        <x:f>AVERAGE(FASE3!U27,FASE3!V27,FASE3!W27)</x:f>
        <x:v>0</x:v>
      </x:c>
      <x:c r="U27" s="268" t="n">
        <x:f>FASE3!Y27</x:f>
        <x:v>0</x:v>
      </x:c>
      <x:c r="V27" s="268" t="n">
        <x:f>FASE3!X27</x:f>
        <x:v>0</x:v>
      </x:c>
      <x:c r="W27" s="268" t="n">
        <x:f>FASE4!M27</x:f>
        <x:v>0</x:v>
      </x:c>
      <x:c r="X27" s="268">
        <x:f t="shared" si="0"/>
        <x:v>0</x:v>
      </x:c>
    </x:row>
    <x:row r="28" ht="15.75">
      <x:c r="B28">
        <x:v>2</x:v>
      </x:c>
      <x:c r="C28" t="s">
        <x:v>116</x:v>
      </x:c>
      <x:c r="D28" s="243">
        <x:v>216</x:v>
      </x:c>
      <x:c r="E28" s="268" t="n">
        <x:f>FASE1!G28</x:f>
        <x:v>0</x:v>
      </x:c>
      <x:c r="F28" s="268" t="n">
        <x:f>FASE1!M28</x:f>
        <x:v>0</x:v>
      </x:c>
      <x:c r="G28" s="268" t="n">
        <x:f>FASE1!L28</x:f>
        <x:v>0</x:v>
      </x:c>
      <x:c r="H28" s="268" t="n">
        <x:f>FASE1!R28</x:f>
        <x:v>0</x:v>
      </x:c>
      <x:c r="I28" s="268" t="n">
        <x:f>FASE1!U28</x:f>
        <x:v>0</x:v>
      </x:c>
      <x:c r="J28" s="268" t="n">
        <x:f>FASE1!U28</x:f>
        <x:v>0</x:v>
      </x:c>
      <x:c r="K28" s="268" t="n">
        <x:f>FASE1!P28</x:f>
        <x:v>0</x:v>
      </x:c>
      <x:c r="L28" s="268" t="n">
        <x:f>FASE1!V28</x:f>
        <x:v>0</x:v>
      </x:c>
      <x:c r="M28" s="268" t="n">
        <x:f>AVERAGE(FASE2!F28:G28)</x:f>
        <x:v>0</x:v>
      </x:c>
      <x:c r="N28" s="268" t="n">
        <x:f>AVERAGE(FASE2!O28:P28,FASE2!S28)</x:f>
        <x:v>0</x:v>
      </x:c>
      <x:c r="O28" s="268" t="n">
        <x:f>FASE4!K28</x:f>
        <x:v>0</x:v>
      </x:c>
      <x:c r="P28" s="268" t="n">
        <x:f>FASE2!N28</x:f>
        <x:v>0</x:v>
      </x:c>
      <x:c r="Q28" s="268" t="n">
        <x:f>FASE3!P28</x:f>
        <x:v>0</x:v>
      </x:c>
      <x:c r="R28" s="268" t="n">
        <x:f>FASE3!N28</x:f>
        <x:v>0</x:v>
      </x:c>
      <x:c r="S28" s="268" t="n">
        <x:f>AVERAGE(FASE3!Q28,FASE3!R28,FASE3!T28,FASE3!S28)</x:f>
        <x:v>0</x:v>
      </x:c>
      <x:c r="T28" s="268" t="n">
        <x:f>AVERAGE(FASE3!U28,FASE3!V28,FASE3!W28)</x:f>
        <x:v>0</x:v>
      </x:c>
      <x:c r="U28" s="268" t="n">
        <x:f>FASE3!Y28</x:f>
        <x:v>0</x:v>
      </x:c>
      <x:c r="V28" s="268" t="n">
        <x:f>FASE3!X28</x:f>
        <x:v>0</x:v>
      </x:c>
      <x:c r="W28" s="268" t="n">
        <x:f>FASE4!M28</x:f>
        <x:v>0</x:v>
      </x:c>
      <x:c r="X28" s="268">
        <x:f t="shared" si="0"/>
        <x:v>0</x:v>
      </x:c>
    </x:row>
    <x:row r="29" ht="15.75">
      <x:c r="B29">
        <x:v>2</x:v>
      </x:c>
      <x:c r="C29" t="s">
        <x:v>116</x:v>
      </x:c>
      <x:c r="D29" s="243">
        <x:v>217</x:v>
      </x:c>
      <x:c r="E29" s="268" t="n">
        <x:f>FASE1!G29</x:f>
        <x:v>0</x:v>
      </x:c>
      <x:c r="F29" s="268" t="n">
        <x:f>FASE1!M29</x:f>
        <x:v>0</x:v>
      </x:c>
      <x:c r="G29" s="268" t="n">
        <x:f>FASE1!L29</x:f>
        <x:v>0</x:v>
      </x:c>
      <x:c r="H29" s="268" t="n">
        <x:f>FASE1!R29</x:f>
        <x:v>0</x:v>
      </x:c>
      <x:c r="I29" s="268" t="n">
        <x:f>FASE1!U29</x:f>
        <x:v>0</x:v>
      </x:c>
      <x:c r="J29" s="268" t="n">
        <x:f>FASE1!U29</x:f>
        <x:v>0</x:v>
      </x:c>
      <x:c r="K29" s="268" t="n">
        <x:f>FASE1!P29</x:f>
        <x:v>0</x:v>
      </x:c>
      <x:c r="L29" s="268" t="n">
        <x:f>FASE1!V29</x:f>
        <x:v>0</x:v>
      </x:c>
      <x:c r="M29" s="268" t="n">
        <x:f>AVERAGE(FASE2!F29:G29)</x:f>
        <x:v>0</x:v>
      </x:c>
      <x:c r="N29" s="268" t="n">
        <x:f>AVERAGE(FASE2!O29:P29,FASE2!S29)</x:f>
        <x:v>0</x:v>
      </x:c>
      <x:c r="O29" s="268" t="n">
        <x:f>FASE4!K29</x:f>
        <x:v>0</x:v>
      </x:c>
      <x:c r="P29" s="268" t="n">
        <x:f>FASE2!N29</x:f>
        <x:v>0</x:v>
      </x:c>
      <x:c r="Q29" s="268" t="n">
        <x:f>FASE3!P29</x:f>
        <x:v>0</x:v>
      </x:c>
      <x:c r="R29" s="268" t="n">
        <x:f>FASE3!N29</x:f>
        <x:v>0</x:v>
      </x:c>
      <x:c r="S29" s="268" t="n">
        <x:f>AVERAGE(FASE3!Q29,FASE3!R29,FASE3!T29,FASE3!S29)</x:f>
        <x:v>0</x:v>
      </x:c>
      <x:c r="T29" s="268" t="n">
        <x:f>AVERAGE(FASE3!U29,FASE3!V29,FASE3!W29)</x:f>
        <x:v>0</x:v>
      </x:c>
      <x:c r="U29" s="268" t="n">
        <x:f>FASE3!Y29</x:f>
        <x:v>0</x:v>
      </x:c>
      <x:c r="V29" s="268" t="n">
        <x:f>FASE3!X29</x:f>
        <x:v>0</x:v>
      </x:c>
      <x:c r="W29" s="268" t="n">
        <x:f>FASE4!M29</x:f>
        <x:v>0</x:v>
      </x:c>
      <x:c r="X29" s="268">
        <x:f t="shared" si="0"/>
        <x:v>0</x:v>
      </x:c>
    </x:row>
    <x:row r="30" ht="15.75">
      <x:c r="B30">
        <x:v>2</x:v>
      </x:c>
      <x:c r="C30" t="s">
        <x:v>116</x:v>
      </x:c>
      <x:c r="D30" s="243">
        <x:v>218</x:v>
      </x:c>
      <x:c r="E30" s="268" t="n">
        <x:f>FASE1!G30</x:f>
        <x:v>0</x:v>
      </x:c>
      <x:c r="F30" s="268" t="n">
        <x:f>FASE1!M30</x:f>
        <x:v>0</x:v>
      </x:c>
      <x:c r="G30" s="268" t="n">
        <x:f>FASE1!L30</x:f>
        <x:v>0</x:v>
      </x:c>
      <x:c r="H30" s="268" t="n">
        <x:f>FASE1!R30</x:f>
        <x:v>0</x:v>
      </x:c>
      <x:c r="I30" s="268" t="n">
        <x:f>FASE1!U30</x:f>
        <x:v>0</x:v>
      </x:c>
      <x:c r="J30" s="268" t="n">
        <x:f>FASE1!U30</x:f>
        <x:v>0</x:v>
      </x:c>
      <x:c r="K30" s="268" t="n">
        <x:f>FASE1!P30</x:f>
        <x:v>0</x:v>
      </x:c>
      <x:c r="L30" s="268" t="n">
        <x:f>FASE1!V30</x:f>
        <x:v>0</x:v>
      </x:c>
      <x:c r="M30" s="268" t="n">
        <x:f>AVERAGE(FASE2!F30:G30)</x:f>
        <x:v>0</x:v>
      </x:c>
      <x:c r="N30" s="268" t="n">
        <x:f>AVERAGE(FASE2!O30:P30,FASE2!S30)</x:f>
        <x:v>0</x:v>
      </x:c>
      <x:c r="O30" s="268" t="n">
        <x:f>FASE4!K30</x:f>
        <x:v>0</x:v>
      </x:c>
      <x:c r="P30" s="268" t="n">
        <x:f>FASE2!N30</x:f>
        <x:v>0</x:v>
      </x:c>
      <x:c r="Q30" s="268" t="n">
        <x:f>FASE3!P30</x:f>
        <x:v>0</x:v>
      </x:c>
      <x:c r="R30" s="268" t="n">
        <x:f>FASE3!N30</x:f>
        <x:v>0</x:v>
      </x:c>
      <x:c r="S30" s="268" t="n">
        <x:f>AVERAGE(FASE3!Q30,FASE3!R30,FASE3!T30,FASE3!S30)</x:f>
        <x:v>0</x:v>
      </x:c>
      <x:c r="T30" s="268" t="n">
        <x:f>AVERAGE(FASE3!U30,FASE3!V30,FASE3!W30)</x:f>
        <x:v>0</x:v>
      </x:c>
      <x:c r="U30" s="268" t="n">
        <x:f>FASE3!Y30</x:f>
        <x:v>0</x:v>
      </x:c>
      <x:c r="V30" s="268" t="n">
        <x:f>FASE3!X30</x:f>
        <x:v>0</x:v>
      </x:c>
      <x:c r="W30" s="268" t="n">
        <x:f>FASE4!M30</x:f>
        <x:v>0</x:v>
      </x:c>
      <x:c r="X30" s="268">
        <x:f t="shared" si="0"/>
        <x:v>0</x:v>
      </x:c>
    </x:row>
    <x:row r="31" ht="15.75">
      <x:c r="B31">
        <x:v>2</x:v>
      </x:c>
      <x:c r="C31" t="s">
        <x:v>116</x:v>
      </x:c>
      <x:c r="D31" s="243">
        <x:v>219</x:v>
      </x:c>
      <x:c r="E31" s="268" t="n">
        <x:f>FASE1!G31</x:f>
        <x:v>0</x:v>
      </x:c>
      <x:c r="F31" s="268" t="n">
        <x:f>FASE1!M31</x:f>
        <x:v>0</x:v>
      </x:c>
      <x:c r="G31" s="268" t="n">
        <x:f>FASE1!L31</x:f>
        <x:v>0</x:v>
      </x:c>
      <x:c r="H31" s="268" t="n">
        <x:f>FASE1!R31</x:f>
        <x:v>0</x:v>
      </x:c>
      <x:c r="I31" s="268" t="n">
        <x:f>FASE1!U31</x:f>
        <x:v>0</x:v>
      </x:c>
      <x:c r="J31" s="268" t="n">
        <x:f>FASE1!U31</x:f>
        <x:v>0</x:v>
      </x:c>
      <x:c r="K31" s="268" t="n">
        <x:f>FASE1!P31</x:f>
        <x:v>0</x:v>
      </x:c>
      <x:c r="L31" s="268" t="n">
        <x:f>FASE1!V31</x:f>
        <x:v>0</x:v>
      </x:c>
      <x:c r="M31" s="268" t="n">
        <x:f>AVERAGE(FASE2!F31:G31)</x:f>
        <x:v>0</x:v>
      </x:c>
      <x:c r="N31" s="268" t="n">
        <x:f>AVERAGE(FASE2!O31:P31,FASE2!S31)</x:f>
        <x:v>0</x:v>
      </x:c>
      <x:c r="O31" s="268" t="n">
        <x:f>FASE4!K31</x:f>
        <x:v>0</x:v>
      </x:c>
      <x:c r="P31" s="268" t="n">
        <x:f>FASE2!N31</x:f>
        <x:v>0</x:v>
      </x:c>
      <x:c r="Q31" s="268" t="n">
        <x:f>FASE3!P31</x:f>
        <x:v>0</x:v>
      </x:c>
      <x:c r="R31" s="268" t="n">
        <x:f>FASE3!N31</x:f>
        <x:v>0</x:v>
      </x:c>
      <x:c r="S31" s="268" t="n">
        <x:f>AVERAGE(FASE3!Q31,FASE3!R31,FASE3!T31,FASE3!S31)</x:f>
        <x:v>0</x:v>
      </x:c>
      <x:c r="T31" s="268" t="n">
        <x:f>AVERAGE(FASE3!U31,FASE3!V31,FASE3!W31)</x:f>
        <x:v>0</x:v>
      </x:c>
      <x:c r="U31" s="268" t="n">
        <x:f>FASE3!Y31</x:f>
        <x:v>0</x:v>
      </x:c>
      <x:c r="V31" s="268" t="n">
        <x:f>FASE3!X31</x:f>
        <x:v>0</x:v>
      </x:c>
      <x:c r="W31" s="268" t="n">
        <x:f>FASE4!M31</x:f>
        <x:v>0</x:v>
      </x:c>
      <x:c r="X31" s="268">
        <x:f t="shared" si="0"/>
        <x:v>0</x:v>
      </x:c>
    </x:row>
    <x:row r="32" ht="15.75">
      <x:c r="B32">
        <x:v>2</x:v>
      </x:c>
      <x:c r="C32" t="s">
        <x:v>116</x:v>
      </x:c>
      <x:c r="D32" s="243">
        <x:v>220</x:v>
      </x:c>
      <x:c r="E32" s="268" t="n">
        <x:f>FASE1!G32</x:f>
        <x:v>0</x:v>
      </x:c>
      <x:c r="F32" s="268" t="n">
        <x:f>FASE1!M32</x:f>
        <x:v>0</x:v>
      </x:c>
      <x:c r="G32" s="268" t="n">
        <x:f>FASE1!L32</x:f>
        <x:v>0</x:v>
      </x:c>
      <x:c r="H32" s="268" t="n">
        <x:f>FASE1!R32</x:f>
        <x:v>0</x:v>
      </x:c>
      <x:c r="I32" s="268" t="n">
        <x:f>FASE1!U32</x:f>
        <x:v>0</x:v>
      </x:c>
      <x:c r="J32" s="268" t="n">
        <x:f>FASE1!U32</x:f>
        <x:v>0</x:v>
      </x:c>
      <x:c r="K32" s="268" t="n">
        <x:f>FASE1!P32</x:f>
        <x:v>0</x:v>
      </x:c>
      <x:c r="L32" s="268" t="n">
        <x:f>FASE1!V32</x:f>
        <x:v>0</x:v>
      </x:c>
      <x:c r="M32" s="268" t="n">
        <x:f>AVERAGE(FASE2!F32:G32)</x:f>
        <x:v>0</x:v>
      </x:c>
      <x:c r="N32" s="268" t="n">
        <x:f>AVERAGE(FASE2!O32:P32,FASE2!S32)</x:f>
        <x:v>0</x:v>
      </x:c>
      <x:c r="O32" s="268" t="n">
        <x:f>FASE4!K32</x:f>
        <x:v>0</x:v>
      </x:c>
      <x:c r="P32" s="268" t="n">
        <x:f>FASE2!N32</x:f>
        <x:v>0</x:v>
      </x:c>
      <x:c r="Q32" s="268" t="n">
        <x:f>FASE3!P32</x:f>
        <x:v>0</x:v>
      </x:c>
      <x:c r="R32" s="268" t="n">
        <x:f>FASE3!N32</x:f>
        <x:v>0</x:v>
      </x:c>
      <x:c r="S32" s="268" t="n">
        <x:f>AVERAGE(FASE3!Q32,FASE3!R32,FASE3!T32,FASE3!S32)</x:f>
        <x:v>0</x:v>
      </x:c>
      <x:c r="T32" s="268" t="n">
        <x:f>AVERAGE(FASE3!U32,FASE3!V32,FASE3!W32)</x:f>
        <x:v>0</x:v>
      </x:c>
      <x:c r="U32" s="268" t="n">
        <x:f>FASE3!Y32</x:f>
        <x:v>0</x:v>
      </x:c>
      <x:c r="V32" s="268" t="n">
        <x:f>FASE3!X32</x:f>
        <x:v>0</x:v>
      </x:c>
      <x:c r="W32" s="268" t="n">
        <x:f>FASE4!M32</x:f>
        <x:v>0</x:v>
      </x:c>
      <x:c r="X32" s="268">
        <x:f t="shared" si="0"/>
        <x:v>0</x:v>
      </x:c>
    </x:row>
    <x:row r="33" ht="15.75">
      <x:c r="B33">
        <x:v>2</x:v>
      </x:c>
      <x:c r="C33" t="s">
        <x:v>116</x:v>
      </x:c>
      <x:c r="D33" s="243">
        <x:v>221</x:v>
      </x:c>
      <x:c r="E33" s="268" t="n">
        <x:f>FASE1!G33</x:f>
        <x:v>0</x:v>
      </x:c>
      <x:c r="F33" s="268" t="n">
        <x:f>FASE1!M33</x:f>
        <x:v>0</x:v>
      </x:c>
      <x:c r="G33" s="268" t="n">
        <x:f>FASE1!L33</x:f>
        <x:v>0</x:v>
      </x:c>
      <x:c r="H33" s="268" t="n">
        <x:f>FASE1!R33</x:f>
        <x:v>0</x:v>
      </x:c>
      <x:c r="I33" s="268" t="n">
        <x:f>FASE1!U33</x:f>
        <x:v>0</x:v>
      </x:c>
      <x:c r="J33" s="268" t="n">
        <x:f>FASE1!U33</x:f>
        <x:v>0</x:v>
      </x:c>
      <x:c r="K33" s="268" t="n">
        <x:f>FASE1!P33</x:f>
        <x:v>0</x:v>
      </x:c>
      <x:c r="L33" s="268" t="n">
        <x:f>FASE1!V33</x:f>
        <x:v>0</x:v>
      </x:c>
      <x:c r="M33" s="268" t="n">
        <x:f>AVERAGE(FASE2!F33:G33)</x:f>
        <x:v>0</x:v>
      </x:c>
      <x:c r="N33" s="268" t="n">
        <x:f>AVERAGE(FASE2!O33:P33,FASE2!S33)</x:f>
        <x:v>0</x:v>
      </x:c>
      <x:c r="O33" s="268" t="n">
        <x:f>FASE4!K33</x:f>
        <x:v>0</x:v>
      </x:c>
      <x:c r="P33" s="268" t="n">
        <x:f>FASE2!N33</x:f>
        <x:v>0</x:v>
      </x:c>
      <x:c r="Q33" s="268" t="n">
        <x:f>FASE3!P33</x:f>
        <x:v>0</x:v>
      </x:c>
      <x:c r="R33" s="268" t="n">
        <x:f>FASE3!N33</x:f>
        <x:v>0</x:v>
      </x:c>
      <x:c r="S33" s="268" t="n">
        <x:f>AVERAGE(FASE3!Q33,FASE3!R33,FASE3!T33,FASE3!S33)</x:f>
        <x:v>0</x:v>
      </x:c>
      <x:c r="T33" s="268" t="n">
        <x:f>AVERAGE(FASE3!U33,FASE3!V33,FASE3!W33)</x:f>
        <x:v>0</x:v>
      </x:c>
      <x:c r="U33" s="268" t="n">
        <x:f>FASE3!Y33</x:f>
        <x:v>0</x:v>
      </x:c>
      <x:c r="V33" s="268" t="n">
        <x:f>FASE3!X33</x:f>
        <x:v>0</x:v>
      </x:c>
      <x:c r="W33" s="268" t="n">
        <x:f>FASE4!M33</x:f>
        <x:v>0</x:v>
      </x:c>
      <x:c r="X33" s="268">
        <x:f t="shared" si="0"/>
        <x:v>0</x:v>
      </x:c>
    </x:row>
    <x:row r="34" ht="15.75">
      <x:c r="B34">
        <x:v>2</x:v>
      </x:c>
      <x:c r="C34" t="s">
        <x:v>116</x:v>
      </x:c>
      <x:c r="D34" s="243">
        <x:v>222</x:v>
      </x:c>
      <x:c r="E34" s="268" t="n">
        <x:f>FASE1!G34</x:f>
        <x:v>0</x:v>
      </x:c>
      <x:c r="F34" s="268" t="n">
        <x:f>FASE1!M34</x:f>
        <x:v>0</x:v>
      </x:c>
      <x:c r="G34" s="268" t="n">
        <x:f>FASE1!L34</x:f>
        <x:v>0</x:v>
      </x:c>
      <x:c r="H34" s="268" t="n">
        <x:f>FASE1!R34</x:f>
        <x:v>0</x:v>
      </x:c>
      <x:c r="I34" s="268" t="n">
        <x:f>FASE1!U34</x:f>
        <x:v>0</x:v>
      </x:c>
      <x:c r="J34" s="268" t="n">
        <x:f>FASE1!U34</x:f>
        <x:v>0</x:v>
      </x:c>
      <x:c r="K34" s="268" t="n">
        <x:f>FASE1!P34</x:f>
        <x:v>0</x:v>
      </x:c>
      <x:c r="L34" s="268" t="n">
        <x:f>FASE1!V34</x:f>
        <x:v>0</x:v>
      </x:c>
      <x:c r="M34" s="268" t="n">
        <x:f>AVERAGE(FASE2!F34:G34)</x:f>
        <x:v>0</x:v>
      </x:c>
      <x:c r="N34" s="268" t="n">
        <x:f>AVERAGE(FASE2!O34:P34,FASE2!S34)</x:f>
        <x:v>0</x:v>
      </x:c>
      <x:c r="O34" s="268" t="n">
        <x:f>FASE4!K34</x:f>
        <x:v>0</x:v>
      </x:c>
      <x:c r="P34" s="268" t="n">
        <x:f>FASE2!N34</x:f>
        <x:v>0</x:v>
      </x:c>
      <x:c r="Q34" s="268" t="n">
        <x:f>FASE3!P34</x:f>
        <x:v>0</x:v>
      </x:c>
      <x:c r="R34" s="268" t="n">
        <x:f>FASE3!N34</x:f>
        <x:v>0</x:v>
      </x:c>
      <x:c r="S34" s="268" t="n">
        <x:f>AVERAGE(FASE3!Q34,FASE3!R34,FASE3!T34,FASE3!S34)</x:f>
        <x:v>0</x:v>
      </x:c>
      <x:c r="T34" s="268" t="n">
        <x:f>AVERAGE(FASE3!U34,FASE3!V34,FASE3!W34)</x:f>
        <x:v>0</x:v>
      </x:c>
      <x:c r="U34" s="268" t="n">
        <x:f>FASE3!Y34</x:f>
        <x:v>0</x:v>
      </x:c>
      <x:c r="V34" s="268" t="n">
        <x:f>FASE3!X34</x:f>
        <x:v>0</x:v>
      </x:c>
      <x:c r="W34" s="268" t="n">
        <x:f>FASE4!M34</x:f>
        <x:v>0</x:v>
      </x:c>
      <x:c r="X34" s="268">
        <x:f t="shared" si="0"/>
        <x:v>0</x:v>
      </x:c>
    </x:row>
    <x:row r="35" ht="15.75">
      <x:c r="B35">
        <x:v>2</x:v>
      </x:c>
      <x:c r="C35" t="s">
        <x:v>116</x:v>
      </x:c>
      <x:c r="D35" s="243">
        <x:v>223</x:v>
      </x:c>
      <x:c r="E35" s="268" t="n">
        <x:f>FASE1!G35</x:f>
        <x:v>0</x:v>
      </x:c>
      <x:c r="F35" s="268" t="n">
        <x:f>FASE1!M35</x:f>
        <x:v>0</x:v>
      </x:c>
      <x:c r="G35" s="268" t="n">
        <x:f>FASE1!L35</x:f>
        <x:v>0</x:v>
      </x:c>
      <x:c r="H35" s="268" t="n">
        <x:f>FASE1!R35</x:f>
        <x:v>0</x:v>
      </x:c>
      <x:c r="I35" s="268" t="n">
        <x:f>FASE1!U35</x:f>
        <x:v>0</x:v>
      </x:c>
      <x:c r="J35" s="268" t="n">
        <x:f>FASE1!U35</x:f>
        <x:v>0</x:v>
      </x:c>
      <x:c r="K35" s="268" t="n">
        <x:f>FASE1!P35</x:f>
        <x:v>0</x:v>
      </x:c>
      <x:c r="L35" s="268" t="n">
        <x:f>FASE1!V35</x:f>
        <x:v>0</x:v>
      </x:c>
      <x:c r="M35" s="268" t="n">
        <x:f>AVERAGE(FASE2!F35:G35)</x:f>
        <x:v>0</x:v>
      </x:c>
      <x:c r="N35" s="268" t="n">
        <x:f>AVERAGE(FASE2!O35:P35,FASE2!S35)</x:f>
        <x:v>0</x:v>
      </x:c>
      <x:c r="O35" s="268" t="n">
        <x:f>FASE4!K35</x:f>
        <x:v>0</x:v>
      </x:c>
      <x:c r="P35" s="268" t="n">
        <x:f>FASE2!N35</x:f>
        <x:v>0</x:v>
      </x:c>
      <x:c r="Q35" s="268" t="n">
        <x:f>FASE3!P35</x:f>
        <x:v>0</x:v>
      </x:c>
      <x:c r="R35" s="268" t="n">
        <x:f>FASE3!N35</x:f>
        <x:v>0</x:v>
      </x:c>
      <x:c r="S35" s="268" t="n">
        <x:f>AVERAGE(FASE3!Q35,FASE3!R35,FASE3!T35,FASE3!S35)</x:f>
        <x:v>0</x:v>
      </x:c>
      <x:c r="T35" s="268" t="n">
        <x:f>AVERAGE(FASE3!U35,FASE3!V35,FASE3!W35)</x:f>
        <x:v>0</x:v>
      </x:c>
      <x:c r="U35" s="268" t="n">
        <x:f>FASE3!Y35</x:f>
        <x:v>0</x:v>
      </x:c>
      <x:c r="V35" s="268" t="n">
        <x:f>FASE3!X35</x:f>
        <x:v>0</x:v>
      </x:c>
      <x:c r="W35" s="268" t="n">
        <x:f>FASE4!M35</x:f>
        <x:v>0</x:v>
      </x:c>
      <x:c r="X35" s="268">
        <x:f t="shared" si="0"/>
        <x:v>0</x:v>
      </x:c>
    </x:row>
    <x:row r="36" ht="15.75">
      <x:c r="B36">
        <x:v>2</x:v>
      </x:c>
      <x:c r="C36" t="s">
        <x:v>115</x:v>
      </x:c>
      <x:c r="D36" s="243">
        <x:v>201</x:v>
      </x:c>
      <x:c r="E36" s="268" t="n">
        <x:f>FASE1!G36</x:f>
        <x:v>100</x:v>
      </x:c>
      <x:c r="F36" s="268" t="n">
        <x:f>FASE1!M36</x:f>
        <x:v>100</x:v>
      </x:c>
      <x:c r="G36" s="268" t="n">
        <x:f>FASE1!L36</x:f>
        <x:v>100</x:v>
      </x:c>
      <x:c r="H36" s="268" t="n">
        <x:f>FASE1!R36</x:f>
        <x:v>80</x:v>
      </x:c>
      <x:c r="I36" s="268" t="n">
        <x:f>FASE1!U36</x:f>
        <x:v>70</x:v>
      </x:c>
      <x:c r="J36" s="268" t="n">
        <x:f>FASE1!U36</x:f>
        <x:v>70</x:v>
      </x:c>
      <x:c r="K36" s="268" t="n">
        <x:f>FASE1!P36</x:f>
        <x:v>20</x:v>
      </x:c>
      <x:c r="L36" s="268" t="n">
        <x:f>FASE1!V36</x:f>
        <x:v>0</x:v>
      </x:c>
      <x:c r="M36" s="268" t="n">
        <x:f>AVERAGE(FASE2!F36:G36)</x:f>
        <x:v>0</x:v>
      </x:c>
      <x:c r="N36" s="268" t="n">
        <x:f>AVERAGE(FASE2!O36:P36,FASE2!S36)</x:f>
        <x:v>0</x:v>
      </x:c>
      <x:c r="O36" s="268" t="n">
        <x:f>FASE4!K36</x:f>
        <x:v>0</x:v>
      </x:c>
      <x:c r="P36" s="268" t="n">
        <x:f>FASE2!N36</x:f>
        <x:v>0.1</x:v>
      </x:c>
      <x:c r="Q36" s="268" t="n">
        <x:f>FASE3!P36</x:f>
        <x:v>0</x:v>
      </x:c>
      <x:c r="R36" s="268" t="n">
        <x:f>FASE3!N36</x:f>
        <x:v>0</x:v>
      </x:c>
      <x:c r="S36" s="268" t="n">
        <x:f>AVERAGE(FASE3!Q36,FASE3!R36,FASE3!T36,FASE3!S36)</x:f>
        <x:v>0</x:v>
      </x:c>
      <x:c r="T36" s="268" t="n">
        <x:f>AVERAGE(FASE3!U36,FASE3!V36,FASE3!W36)</x:f>
        <x:v>0</x:v>
      </x:c>
      <x:c r="U36" s="268" t="n">
        <x:f>FASE3!Y36</x:f>
        <x:v>0</x:v>
      </x:c>
      <x:c r="V36" s="268" t="n">
        <x:f>FASE3!X36</x:f>
        <x:v>0</x:v>
      </x:c>
      <x:c r="W36" s="268" t="n">
        <x:f>FASE4!M36</x:f>
        <x:v>0</x:v>
      </x:c>
      <x:c r="X36" s="268">
        <x:f t="shared" si="0"/>
        <x:v>30.005555555555556</x:v>
      </x:c>
    </x:row>
    <x:row r="37" ht="15.75">
      <x:c r="B37">
        <x:v>2</x:v>
      </x:c>
      <x:c r="C37" t="s">
        <x:v>115</x:v>
      </x:c>
      <x:c r="D37" s="243">
        <x:v>202</x:v>
      </x:c>
      <x:c r="E37" s="268" t="n">
        <x:f>FASE1!G37</x:f>
        <x:v>100</x:v>
      </x:c>
      <x:c r="F37" s="268" t="n">
        <x:f>FASE1!M37</x:f>
        <x:v>100</x:v>
      </x:c>
      <x:c r="G37" s="268" t="n">
        <x:f>FASE1!L37</x:f>
        <x:v>100</x:v>
      </x:c>
      <x:c r="H37" s="268" t="n">
        <x:f>FASE1!R37</x:f>
        <x:v>80</x:v>
      </x:c>
      <x:c r="I37" s="268" t="n">
        <x:f>FASE1!U37</x:f>
        <x:v>70</x:v>
      </x:c>
      <x:c r="J37" s="268" t="n">
        <x:f>FASE1!U37</x:f>
        <x:v>70</x:v>
      </x:c>
      <x:c r="K37" s="268" t="n">
        <x:f>FASE1!P37</x:f>
        <x:v>20</x:v>
      </x:c>
      <x:c r="L37" s="268" t="n">
        <x:f>FASE1!V37</x:f>
        <x:v>0</x:v>
      </x:c>
      <x:c r="M37" s="268" t="n">
        <x:f>AVERAGE(FASE2!F37:G37)</x:f>
        <x:v>0</x:v>
      </x:c>
      <x:c r="N37" s="268" t="n">
        <x:f>AVERAGE(FASE2!O37:P37,FASE2!S37)</x:f>
        <x:v>0</x:v>
      </x:c>
      <x:c r="O37" s="268" t="n">
        <x:f>FASE4!K37</x:f>
        <x:v>0</x:v>
      </x:c>
      <x:c r="P37" s="268" t="n">
        <x:f>FASE2!N37</x:f>
        <x:v>0.1</x:v>
      </x:c>
      <x:c r="Q37" s="268" t="n">
        <x:f>FASE3!P37</x:f>
        <x:v>0</x:v>
      </x:c>
      <x:c r="R37" s="268" t="n">
        <x:f>FASE3!N37</x:f>
        <x:v>0</x:v>
      </x:c>
      <x:c r="S37" s="268" t="n">
        <x:f>AVERAGE(FASE3!Q37,FASE3!R37,FASE3!T37,FASE3!S37)</x:f>
        <x:v>0</x:v>
      </x:c>
      <x:c r="T37" s="268" t="n">
        <x:f>AVERAGE(FASE3!U37,FASE3!V37,FASE3!W37)</x:f>
        <x:v>0</x:v>
      </x:c>
      <x:c r="U37" s="268" t="n">
        <x:f>FASE3!Y37</x:f>
        <x:v>0</x:v>
      </x:c>
      <x:c r="V37" s="268" t="n">
        <x:f>FASE3!X37</x:f>
        <x:v>0</x:v>
      </x:c>
      <x:c r="W37" s="268" t="n">
        <x:f>FASE4!M37</x:f>
        <x:v>0</x:v>
      </x:c>
      <x:c r="X37" s="268">
        <x:f t="shared" si="0"/>
        <x:v>30.005555555555556</x:v>
      </x:c>
      <x:c r="Y37" s="2"/>
    </x:row>
    <x:row r="38" ht="15.75">
      <x:c r="B38">
        <x:v>2</x:v>
      </x:c>
      <x:c r="C38" t="s">
        <x:v>115</x:v>
      </x:c>
      <x:c r="D38" s="243">
        <x:v>203</x:v>
      </x:c>
      <x:c r="E38" s="268" t="n">
        <x:f>FASE1!G38</x:f>
        <x:v>100</x:v>
      </x:c>
      <x:c r="F38" s="268" t="n">
        <x:f>FASE1!M38</x:f>
        <x:v>100</x:v>
      </x:c>
      <x:c r="G38" s="268" t="n">
        <x:f>FASE1!L38</x:f>
        <x:v>100</x:v>
      </x:c>
      <x:c r="H38" s="268" t="n">
        <x:f>FASE1!R38</x:f>
        <x:v>80</x:v>
      </x:c>
      <x:c r="I38" s="268" t="n">
        <x:f>FASE1!U38</x:f>
        <x:v>70</x:v>
      </x:c>
      <x:c r="J38" s="268" t="n">
        <x:f>FASE1!U38</x:f>
        <x:v>70</x:v>
      </x:c>
      <x:c r="K38" s="268" t="n">
        <x:f>FASE1!P38</x:f>
        <x:v>20</x:v>
      </x:c>
      <x:c r="L38" s="268" t="n">
        <x:f>FASE1!V38</x:f>
        <x:v>0</x:v>
      </x:c>
      <x:c r="M38" s="268" t="n">
        <x:f>AVERAGE(FASE2!F38:G38)</x:f>
        <x:v>0</x:v>
      </x:c>
      <x:c r="N38" s="268" t="n">
        <x:f>AVERAGE(FASE2!O38:P38,FASE2!S38)</x:f>
        <x:v>0</x:v>
      </x:c>
      <x:c r="O38" s="268" t="n">
        <x:f>FASE4!K38</x:f>
        <x:v>0</x:v>
      </x:c>
      <x:c r="P38" s="268" t="n">
        <x:f>FASE2!N38</x:f>
        <x:v>0.1</x:v>
      </x:c>
      <x:c r="Q38" s="268" t="n">
        <x:f>FASE3!P38</x:f>
        <x:v>0</x:v>
      </x:c>
      <x:c r="R38" s="268" t="n">
        <x:f>FASE3!N38</x:f>
        <x:v>0</x:v>
      </x:c>
      <x:c r="S38" s="268" t="n">
        <x:f>AVERAGE(FASE3!Q38,FASE3!R38,FASE3!T38,FASE3!S38)</x:f>
        <x:v>0</x:v>
      </x:c>
      <x:c r="T38" s="268" t="n">
        <x:f>AVERAGE(FASE3!U38,FASE3!V38,FASE3!W38)</x:f>
        <x:v>0</x:v>
      </x:c>
      <x:c r="U38" s="268" t="n">
        <x:f>FASE3!Y38</x:f>
        <x:v>0</x:v>
      </x:c>
      <x:c r="V38" s="268" t="n">
        <x:f>FASE3!X38</x:f>
        <x:v>0</x:v>
      </x:c>
      <x:c r="W38" s="268" t="n">
        <x:f>FASE4!M38</x:f>
        <x:v>0</x:v>
      </x:c>
      <x:c r="X38" s="268">
        <x:f t="shared" si="0"/>
        <x:v>30.005555555555556</x:v>
      </x:c>
    </x:row>
    <x:row r="39" ht="15.75">
      <x:c r="B39">
        <x:v>2</x:v>
      </x:c>
      <x:c r="C39" t="s">
        <x:v>115</x:v>
      </x:c>
      <x:c r="D39" s="243">
        <x:v>204</x:v>
      </x:c>
      <x:c r="E39" s="268" t="n">
        <x:f>FASE1!G39</x:f>
        <x:v>100</x:v>
      </x:c>
      <x:c r="F39" s="268" t="n">
        <x:f>FASE1!M39</x:f>
        <x:v>100</x:v>
      </x:c>
      <x:c r="G39" s="268" t="n">
        <x:f>FASE1!L39</x:f>
        <x:v>100</x:v>
      </x:c>
      <x:c r="H39" s="268" t="n">
        <x:f>FASE1!R39</x:f>
        <x:v>80</x:v>
      </x:c>
      <x:c r="I39" s="268" t="n">
        <x:f>FASE1!U39</x:f>
        <x:v>70</x:v>
      </x:c>
      <x:c r="J39" s="268" t="n">
        <x:f>FASE1!U39</x:f>
        <x:v>70</x:v>
      </x:c>
      <x:c r="K39" s="268" t="n">
        <x:f>FASE1!P39</x:f>
        <x:v>20</x:v>
      </x:c>
      <x:c r="L39" s="268" t="n">
        <x:f>FASE1!V39</x:f>
        <x:v>0</x:v>
      </x:c>
      <x:c r="M39" s="268" t="n">
        <x:f>AVERAGE(FASE2!F39:G39)</x:f>
        <x:v>0</x:v>
      </x:c>
      <x:c r="N39" s="268" t="n">
        <x:f>AVERAGE(FASE2!O39:P39,FASE2!S39)</x:f>
        <x:v>0</x:v>
      </x:c>
      <x:c r="O39" s="268" t="n">
        <x:f>FASE4!K39</x:f>
        <x:v>0</x:v>
      </x:c>
      <x:c r="P39" s="268" t="n">
        <x:f>FASE2!N39</x:f>
        <x:v>0.1</x:v>
      </x:c>
      <x:c r="Q39" s="268" t="n">
        <x:f>FASE3!P39</x:f>
        <x:v>0</x:v>
      </x:c>
      <x:c r="R39" s="268" t="n">
        <x:f>FASE3!N39</x:f>
        <x:v>0</x:v>
      </x:c>
      <x:c r="S39" s="268" t="n">
        <x:f>AVERAGE(FASE3!Q39,FASE3!R39,FASE3!T39,FASE3!S39)</x:f>
        <x:v>0</x:v>
      </x:c>
      <x:c r="T39" s="268" t="n">
        <x:f>AVERAGE(FASE3!U39,FASE3!V39,FASE3!W39)</x:f>
        <x:v>0</x:v>
      </x:c>
      <x:c r="U39" s="268" t="n">
        <x:f>FASE3!Y39</x:f>
        <x:v>0</x:v>
      </x:c>
      <x:c r="V39" s="268" t="n">
        <x:f>FASE3!X39</x:f>
        <x:v>0</x:v>
      </x:c>
      <x:c r="W39" s="268" t="n">
        <x:f>FASE4!M39</x:f>
        <x:v>0</x:v>
      </x:c>
      <x:c r="X39" s="268">
        <x:f t="shared" si="0"/>
        <x:v>30.005555555555556</x:v>
      </x:c>
    </x:row>
    <x:row r="40" ht="15.75">
      <x:c r="B40">
        <x:v>2</x:v>
      </x:c>
      <x:c r="C40" t="s">
        <x:v>115</x:v>
      </x:c>
      <x:c r="D40" s="243">
        <x:v>205</x:v>
      </x:c>
      <x:c r="E40" s="268" t="n">
        <x:f>FASE1!G40</x:f>
        <x:v>100</x:v>
      </x:c>
      <x:c r="F40" s="268" t="n">
        <x:f>FASE1!M40</x:f>
        <x:v>100</x:v>
      </x:c>
      <x:c r="G40" s="268" t="n">
        <x:f>FASE1!L40</x:f>
        <x:v>100</x:v>
      </x:c>
      <x:c r="H40" s="268" t="n">
        <x:f>FASE1!R40</x:f>
        <x:v>80</x:v>
      </x:c>
      <x:c r="I40" s="268" t="n">
        <x:f>FASE1!U40</x:f>
        <x:v>70</x:v>
      </x:c>
      <x:c r="J40" s="268" t="n">
        <x:f>FASE1!U40</x:f>
        <x:v>70</x:v>
      </x:c>
      <x:c r="K40" s="268" t="n">
        <x:f>FASE1!P40</x:f>
        <x:v>20</x:v>
      </x:c>
      <x:c r="L40" s="268" t="n">
        <x:f>FASE1!V40</x:f>
        <x:v>0</x:v>
      </x:c>
      <x:c r="M40" s="268" t="n">
        <x:f>AVERAGE(FASE2!F40:G40)</x:f>
        <x:v>0</x:v>
      </x:c>
      <x:c r="N40" s="268" t="n">
        <x:f>AVERAGE(FASE2!O40:P40,FASE2!S40)</x:f>
        <x:v>0</x:v>
      </x:c>
      <x:c r="O40" s="268" t="n">
        <x:f>FASE4!K40</x:f>
        <x:v>0</x:v>
      </x:c>
      <x:c r="P40" s="268" t="n">
        <x:f>FASE2!N40</x:f>
        <x:v>0.1</x:v>
      </x:c>
      <x:c r="Q40" s="268" t="n">
        <x:f>FASE3!P40</x:f>
        <x:v>0</x:v>
      </x:c>
      <x:c r="R40" s="268" t="n">
        <x:f>FASE3!N40</x:f>
        <x:v>0</x:v>
      </x:c>
      <x:c r="S40" s="268" t="n">
        <x:f>AVERAGE(FASE3!Q40,FASE3!R40,FASE3!T40,FASE3!S40)</x:f>
        <x:v>0</x:v>
      </x:c>
      <x:c r="T40" s="268" t="n">
        <x:f>AVERAGE(FASE3!U40,FASE3!V40,FASE3!W40)</x:f>
        <x:v>0</x:v>
      </x:c>
      <x:c r="U40" s="268" t="n">
        <x:f>FASE3!Y40</x:f>
        <x:v>0</x:v>
      </x:c>
      <x:c r="V40" s="268" t="n">
        <x:f>FASE3!X40</x:f>
        <x:v>0</x:v>
      </x:c>
      <x:c r="W40" s="268" t="n">
        <x:f>FASE4!M40</x:f>
        <x:v>0</x:v>
      </x:c>
      <x:c r="X40" s="268">
        <x:f t="shared" si="0"/>
        <x:v>30.005555555555556</x:v>
      </x:c>
    </x:row>
    <x:row r="41" ht="15.75">
      <x:c r="B41">
        <x:v>2</x:v>
      </x:c>
      <x:c r="C41" t="s">
        <x:v>115</x:v>
      </x:c>
      <x:c r="D41" s="243">
        <x:v>206</x:v>
      </x:c>
      <x:c r="E41" s="268" t="n">
        <x:f>FASE1!G41</x:f>
        <x:v>100</x:v>
      </x:c>
      <x:c r="F41" s="268" t="n">
        <x:f>FASE1!M41</x:f>
        <x:v>100</x:v>
      </x:c>
      <x:c r="G41" s="268" t="n">
        <x:f>FASE1!L41</x:f>
        <x:v>100</x:v>
      </x:c>
      <x:c r="H41" s="268" t="n">
        <x:f>FASE1!R41</x:f>
        <x:v>80</x:v>
      </x:c>
      <x:c r="I41" s="268" t="n">
        <x:f>FASE1!U41</x:f>
        <x:v>70</x:v>
      </x:c>
      <x:c r="J41" s="268" t="n">
        <x:f>FASE1!U41</x:f>
        <x:v>70</x:v>
      </x:c>
      <x:c r="K41" s="268" t="n">
        <x:f>FASE1!P41</x:f>
        <x:v>20</x:v>
      </x:c>
      <x:c r="L41" s="268" t="n">
        <x:f>FASE1!V41</x:f>
        <x:v>0</x:v>
      </x:c>
      <x:c r="M41" s="268" t="n">
        <x:f>AVERAGE(FASE2!F41:G41)</x:f>
        <x:v>0</x:v>
      </x:c>
      <x:c r="N41" s="268" t="n">
        <x:f>AVERAGE(FASE2!O41:P41,FASE2!S41)</x:f>
        <x:v>0</x:v>
      </x:c>
      <x:c r="O41" s="268" t="n">
        <x:f>FASE4!K41</x:f>
        <x:v>0</x:v>
      </x:c>
      <x:c r="P41" s="268" t="n">
        <x:f>FASE2!N41</x:f>
        <x:v>0.1</x:v>
      </x:c>
      <x:c r="Q41" s="268" t="n">
        <x:f>FASE3!P41</x:f>
        <x:v>0</x:v>
      </x:c>
      <x:c r="R41" s="268" t="n">
        <x:f>FASE3!N41</x:f>
        <x:v>0</x:v>
      </x:c>
      <x:c r="S41" s="268" t="n">
        <x:f>AVERAGE(FASE3!Q41,FASE3!R41,FASE3!T41,FASE3!S41)</x:f>
        <x:v>0</x:v>
      </x:c>
      <x:c r="T41" s="268" t="n">
        <x:f>AVERAGE(FASE3!U41,FASE3!V41,FASE3!W41)</x:f>
        <x:v>0</x:v>
      </x:c>
      <x:c r="U41" s="268" t="n">
        <x:f>FASE3!Y41</x:f>
        <x:v>0</x:v>
      </x:c>
      <x:c r="V41" s="268" t="n">
        <x:f>FASE3!X41</x:f>
        <x:v>0</x:v>
      </x:c>
      <x:c r="W41" s="268" t="n">
        <x:f>FASE4!M41</x:f>
        <x:v>0</x:v>
      </x:c>
      <x:c r="X41" s="268">
        <x:f t="shared" si="0"/>
        <x:v>30.005555555555556</x:v>
      </x:c>
    </x:row>
    <x:row r="42" ht="15.75">
      <x:c r="B42">
        <x:v>2</x:v>
      </x:c>
      <x:c r="C42" t="s">
        <x:v>115</x:v>
      </x:c>
      <x:c r="D42" s="243">
        <x:v>207</x:v>
      </x:c>
      <x:c r="E42" s="268" t="n">
        <x:f>FASE1!G42</x:f>
        <x:v>100</x:v>
      </x:c>
      <x:c r="F42" s="268" t="n">
        <x:f>FASE1!M42</x:f>
        <x:v>100</x:v>
      </x:c>
      <x:c r="G42" s="268" t="n">
        <x:f>FASE1!L42</x:f>
        <x:v>100</x:v>
      </x:c>
      <x:c r="H42" s="268" t="n">
        <x:f>FASE1!R42</x:f>
        <x:v>80</x:v>
      </x:c>
      <x:c r="I42" s="268" t="n">
        <x:f>FASE1!U42</x:f>
        <x:v>70</x:v>
      </x:c>
      <x:c r="J42" s="268" t="n">
        <x:f>FASE1!U42</x:f>
        <x:v>70</x:v>
      </x:c>
      <x:c r="K42" s="268" t="n">
        <x:f>FASE1!P42</x:f>
        <x:v>20</x:v>
      </x:c>
      <x:c r="L42" s="268" t="n">
        <x:f>FASE1!V42</x:f>
        <x:v>0</x:v>
      </x:c>
      <x:c r="M42" s="268" t="n">
        <x:f>AVERAGE(FASE2!F42:G42)</x:f>
        <x:v>0</x:v>
      </x:c>
      <x:c r="N42" s="268" t="n">
        <x:f>AVERAGE(FASE2!O42:P42,FASE2!S42)</x:f>
        <x:v>0</x:v>
      </x:c>
      <x:c r="O42" s="268" t="n">
        <x:f>FASE4!K42</x:f>
        <x:v>0</x:v>
      </x:c>
      <x:c r="P42" s="268" t="n">
        <x:f>FASE2!N42</x:f>
        <x:v>0.1</x:v>
      </x:c>
      <x:c r="Q42" s="268" t="n">
        <x:f>FASE3!P42</x:f>
        <x:v>0</x:v>
      </x:c>
      <x:c r="R42" s="268" t="n">
        <x:f>FASE3!N42</x:f>
        <x:v>0</x:v>
      </x:c>
      <x:c r="S42" s="268" t="n">
        <x:f>AVERAGE(FASE3!Q42,FASE3!R42,FASE3!T42,FASE3!S42)</x:f>
        <x:v>0</x:v>
      </x:c>
      <x:c r="T42" s="268" t="n">
        <x:f>AVERAGE(FASE3!U42,FASE3!V42,FASE3!W42)</x:f>
        <x:v>0</x:v>
      </x:c>
      <x:c r="U42" s="268" t="n">
        <x:f>FASE3!Y42</x:f>
        <x:v>0</x:v>
      </x:c>
      <x:c r="V42" s="268" t="n">
        <x:f>FASE3!X42</x:f>
        <x:v>0</x:v>
      </x:c>
      <x:c r="W42" s="268" t="n">
        <x:f>FASE4!M42</x:f>
        <x:v>0</x:v>
      </x:c>
      <x:c r="X42" s="268">
        <x:f t="shared" si="0"/>
        <x:v>30.005555555555556</x:v>
      </x:c>
    </x:row>
    <x:row r="43" ht="15.75">
      <x:c r="B43">
        <x:v>2</x:v>
      </x:c>
      <x:c r="C43" t="s">
        <x:v>115</x:v>
      </x:c>
      <x:c r="D43" s="243">
        <x:v>208</x:v>
      </x:c>
      <x:c r="E43" s="268" t="n">
        <x:f>FASE1!G43</x:f>
        <x:v>100</x:v>
      </x:c>
      <x:c r="F43" s="268" t="n">
        <x:f>FASE1!M43</x:f>
        <x:v>100</x:v>
      </x:c>
      <x:c r="G43" s="268" t="n">
        <x:f>FASE1!L43</x:f>
        <x:v>100</x:v>
      </x:c>
      <x:c r="H43" s="268" t="n">
        <x:f>FASE1!R43</x:f>
        <x:v>80</x:v>
      </x:c>
      <x:c r="I43" s="268" t="n">
        <x:f>FASE1!U43</x:f>
        <x:v>0</x:v>
      </x:c>
      <x:c r="J43" s="268" t="n">
        <x:f>FASE1!U43</x:f>
        <x:v>0</x:v>
      </x:c>
      <x:c r="K43" s="268" t="n">
        <x:f>FASE1!P43</x:f>
        <x:v>20</x:v>
      </x:c>
      <x:c r="L43" s="268" t="n">
        <x:f>FASE1!V43</x:f>
        <x:v>0</x:v>
      </x:c>
      <x:c r="M43" s="268" t="n">
        <x:f>AVERAGE(FASE2!F43:G43)</x:f>
        <x:v>0</x:v>
      </x:c>
      <x:c r="N43" s="268" t="n">
        <x:f>AVERAGE(FASE2!O43:P43,FASE2!S43)</x:f>
        <x:v>0</x:v>
      </x:c>
      <x:c r="O43" s="268" t="n">
        <x:f>FASE4!K43</x:f>
        <x:v>0</x:v>
      </x:c>
      <x:c r="P43" s="268" t="n">
        <x:f>FASE2!N43</x:f>
        <x:v>0.1</x:v>
      </x:c>
      <x:c r="Q43" s="268" t="n">
        <x:f>FASE3!P43</x:f>
        <x:v>0</x:v>
      </x:c>
      <x:c r="R43" s="268" t="n">
        <x:f>FASE3!N43</x:f>
        <x:v>0</x:v>
      </x:c>
      <x:c r="S43" s="268" t="n">
        <x:f>AVERAGE(FASE3!Q43,FASE3!R43,FASE3!T43,FASE3!S43)</x:f>
        <x:v>0</x:v>
      </x:c>
      <x:c r="T43" s="268" t="n">
        <x:f>AVERAGE(FASE3!U43,FASE3!V43,FASE3!W43)</x:f>
        <x:v>0</x:v>
      </x:c>
      <x:c r="U43" s="268" t="n">
        <x:f>FASE3!Y43</x:f>
        <x:v>0</x:v>
      </x:c>
      <x:c r="V43" s="268" t="n">
        <x:f>FASE3!X43</x:f>
        <x:v>0</x:v>
      </x:c>
      <x:c r="W43" s="268" t="n">
        <x:f>FASE4!M43</x:f>
        <x:v>0</x:v>
      </x:c>
      <x:c r="X43" s="268">
        <x:f t="shared" si="0"/>
        <x:v>22.227777777777778</x:v>
      </x:c>
    </x:row>
    <x:row r="44" ht="15.75">
      <x:c r="B44">
        <x:v>2</x:v>
      </x:c>
      <x:c r="C44" t="s">
        <x:v>115</x:v>
      </x:c>
      <x:c r="D44" s="243">
        <x:v>209</x:v>
      </x:c>
      <x:c r="E44" s="268" t="n">
        <x:f>FASE1!G44</x:f>
        <x:v>100</x:v>
      </x:c>
      <x:c r="F44" s="268" t="n">
        <x:f>FASE1!M44</x:f>
        <x:v>100</x:v>
      </x:c>
      <x:c r="G44" s="268" t="n">
        <x:f>FASE1!L44</x:f>
        <x:v>100</x:v>
      </x:c>
      <x:c r="H44" s="268" t="n">
        <x:f>FASE1!R44</x:f>
        <x:v>80</x:v>
      </x:c>
      <x:c r="I44" s="268" t="n">
        <x:f>FASE1!U44</x:f>
        <x:v>0</x:v>
      </x:c>
      <x:c r="J44" s="268" t="n">
        <x:f>FASE1!U44</x:f>
        <x:v>0</x:v>
      </x:c>
      <x:c r="K44" s="268" t="n">
        <x:f>FASE1!P44</x:f>
        <x:v>0</x:v>
      </x:c>
      <x:c r="L44" s="268" t="n">
        <x:f>FASE1!V44</x:f>
        <x:v>0</x:v>
      </x:c>
      <x:c r="M44" s="268" t="n">
        <x:f>AVERAGE(FASE2!F44:G44)</x:f>
        <x:v>0</x:v>
      </x:c>
      <x:c r="N44" s="268" t="n">
        <x:f>AVERAGE(FASE2!O44:P44,FASE2!S44)</x:f>
        <x:v>0</x:v>
      </x:c>
      <x:c r="O44" s="268" t="n">
        <x:f>FASE4!K44</x:f>
        <x:v>0</x:v>
      </x:c>
      <x:c r="P44" s="268" t="n">
        <x:f>FASE2!N44</x:f>
        <x:v>0</x:v>
      </x:c>
      <x:c r="Q44" s="268" t="n">
        <x:f>FASE3!P44</x:f>
        <x:v>0</x:v>
      </x:c>
      <x:c r="R44" s="268" t="n">
        <x:f>FASE3!N44</x:f>
        <x:v>0</x:v>
      </x:c>
      <x:c r="S44" s="268" t="n">
        <x:f>AVERAGE(FASE3!Q44,FASE3!R44,FASE3!T44,FASE3!S44)</x:f>
        <x:v>0</x:v>
      </x:c>
      <x:c r="T44" s="268" t="n">
        <x:f>AVERAGE(FASE3!U44,FASE3!V44,FASE3!W44)</x:f>
        <x:v>0</x:v>
      </x:c>
      <x:c r="U44" s="268" t="n">
        <x:f>FASE3!Y44</x:f>
        <x:v>0</x:v>
      </x:c>
      <x:c r="V44" s="268" t="n">
        <x:f>FASE3!X44</x:f>
        <x:v>0</x:v>
      </x:c>
      <x:c r="W44" s="268" t="n">
        <x:f>FASE4!M44</x:f>
        <x:v>0</x:v>
      </x:c>
      <x:c r="X44" s="268">
        <x:f t="shared" si="0"/>
        <x:v>21.111111111111111</x:v>
      </x:c>
    </x:row>
    <x:row r="45" ht="15.75">
      <x:c r="B45">
        <x:v>2</x:v>
      </x:c>
      <x:c r="C45" t="s">
        <x:v>115</x:v>
      </x:c>
      <x:c r="D45" s="243">
        <x:v>210</x:v>
      </x:c>
      <x:c r="E45" s="268" t="n">
        <x:f>FASE1!G45</x:f>
        <x:v>20</x:v>
      </x:c>
      <x:c r="F45" s="268" t="n">
        <x:f>FASE1!M45</x:f>
        <x:v>100</x:v>
      </x:c>
      <x:c r="G45" s="268" t="n">
        <x:f>FASE1!L45</x:f>
        <x:v>100</x:v>
      </x:c>
      <x:c r="H45" s="268" t="n">
        <x:f>FASE1!R45</x:f>
        <x:v>80</x:v>
      </x:c>
      <x:c r="I45" s="268" t="n">
        <x:f>FASE1!U45</x:f>
        <x:v>0</x:v>
      </x:c>
      <x:c r="J45" s="268" t="n">
        <x:f>FASE1!U45</x:f>
        <x:v>0</x:v>
      </x:c>
      <x:c r="K45" s="268" t="n">
        <x:f>FASE1!P45</x:f>
        <x:v>0</x:v>
      </x:c>
      <x:c r="L45" s="268" t="n">
        <x:f>FASE1!V45</x:f>
        <x:v>0</x:v>
      </x:c>
      <x:c r="M45" s="268" t="n">
        <x:f>AVERAGE(FASE2!F45:G45)</x:f>
        <x:v>0</x:v>
      </x:c>
      <x:c r="N45" s="268" t="n">
        <x:f>AVERAGE(FASE2!O45:P45,FASE2!S45)</x:f>
        <x:v>0</x:v>
      </x:c>
      <x:c r="O45" s="268" t="n">
        <x:f>FASE4!K45</x:f>
        <x:v>0</x:v>
      </x:c>
      <x:c r="P45" s="268" t="n">
        <x:f>FASE2!N45</x:f>
        <x:v>0</x:v>
      </x:c>
      <x:c r="Q45" s="268" t="n">
        <x:f>FASE3!P45</x:f>
        <x:v>0</x:v>
      </x:c>
      <x:c r="R45" s="268" t="n">
        <x:f>FASE3!N45</x:f>
        <x:v>0</x:v>
      </x:c>
      <x:c r="S45" s="268" t="n">
        <x:f>AVERAGE(FASE3!Q45,FASE3!R45,FASE3!T45,FASE3!S45)</x:f>
        <x:v>0</x:v>
      </x:c>
      <x:c r="T45" s="268" t="n">
        <x:f>AVERAGE(FASE3!U45,FASE3!V45,FASE3!W45)</x:f>
        <x:v>0</x:v>
      </x:c>
      <x:c r="U45" s="268" t="n">
        <x:f>FASE3!Y45</x:f>
        <x:v>0</x:v>
      </x:c>
      <x:c r="V45" s="268" t="n">
        <x:f>FASE3!X45</x:f>
        <x:v>0</x:v>
      </x:c>
      <x:c r="W45" s="268" t="n">
        <x:f>FASE4!M45</x:f>
        <x:v>0</x:v>
      </x:c>
      <x:c r="X45" s="268">
        <x:f t="shared" si="0"/>
        <x:v>16.666666666666668</x:v>
      </x:c>
    </x:row>
    <x:row r="46" ht="15.75">
      <x:c r="B46">
        <x:v>2</x:v>
      </x:c>
      <x:c r="C46" t="s">
        <x:v>115</x:v>
      </x:c>
      <x:c r="D46" s="243">
        <x:v>211</x:v>
      </x:c>
      <x:c r="E46" s="268" t="n">
        <x:f>FASE1!G46</x:f>
        <x:v>20</x:v>
      </x:c>
      <x:c r="F46" s="268" t="n">
        <x:f>FASE1!M46</x:f>
        <x:v>95</x:v>
      </x:c>
      <x:c r="G46" s="268" t="n">
        <x:f>FASE1!L46</x:f>
        <x:v>100</x:v>
      </x:c>
      <x:c r="H46" s="268" t="n">
        <x:f>FASE1!R46</x:f>
        <x:v>80</x:v>
      </x:c>
      <x:c r="I46" s="268" t="n">
        <x:f>FASE1!U46</x:f>
        <x:v>0</x:v>
      </x:c>
      <x:c r="J46" s="268" t="n">
        <x:f>FASE1!U46</x:f>
        <x:v>0</x:v>
      </x:c>
      <x:c r="K46" s="268" t="n">
        <x:f>FASE1!P46</x:f>
        <x:v>0</x:v>
      </x:c>
      <x:c r="L46" s="268" t="n">
        <x:f>FASE1!V46</x:f>
        <x:v>0</x:v>
      </x:c>
      <x:c r="M46" s="268" t="n">
        <x:f>AVERAGE(FASE2!F46:G46)</x:f>
        <x:v>0</x:v>
      </x:c>
      <x:c r="N46" s="268" t="n">
        <x:f>AVERAGE(FASE2!O46:P46,FASE2!S46)</x:f>
        <x:v>0</x:v>
      </x:c>
      <x:c r="O46" s="268" t="n">
        <x:f>FASE4!K46</x:f>
        <x:v>0</x:v>
      </x:c>
      <x:c r="P46" s="268" t="n">
        <x:f>FASE2!N46</x:f>
        <x:v>0</x:v>
      </x:c>
      <x:c r="Q46" s="268" t="n">
        <x:f>FASE3!P46</x:f>
        <x:v>0</x:v>
      </x:c>
      <x:c r="R46" s="268" t="n">
        <x:f>FASE3!N46</x:f>
        <x:v>0</x:v>
      </x:c>
      <x:c r="S46" s="268" t="n">
        <x:f>AVERAGE(FASE3!Q46,FASE3!R46,FASE3!T46,FASE3!S46)</x:f>
        <x:v>0</x:v>
      </x:c>
      <x:c r="T46" s="268" t="n">
        <x:f>AVERAGE(FASE3!U46,FASE3!V46,FASE3!W46)</x:f>
        <x:v>0</x:v>
      </x:c>
      <x:c r="U46" s="268" t="n">
        <x:f>FASE3!Y46</x:f>
        <x:v>0</x:v>
      </x:c>
      <x:c r="V46" s="268" t="n">
        <x:f>FASE3!X46</x:f>
        <x:v>0</x:v>
      </x:c>
      <x:c r="W46" s="268" t="n">
        <x:f>FASE4!M46</x:f>
        <x:v>0</x:v>
      </x:c>
      <x:c r="X46" s="268">
        <x:f t="shared" si="0"/>
        <x:v>16.388888888888889</x:v>
      </x:c>
    </x:row>
    <x:row r="47" ht="15.75">
      <x:c r="B47">
        <x:v>2</x:v>
      </x:c>
      <x:c r="C47" t="s">
        <x:v>115</x:v>
      </x:c>
      <x:c r="D47" s="243">
        <x:v>212</x:v>
      </x:c>
      <x:c r="E47" s="268" t="n">
        <x:f>FASE1!G47</x:f>
        <x:v>20</x:v>
      </x:c>
      <x:c r="F47" s="268" t="n">
        <x:f>FASE1!M47</x:f>
        <x:v>95</x:v>
      </x:c>
      <x:c r="G47" s="268" t="n">
        <x:f>FASE1!L47</x:f>
        <x:v>100</x:v>
      </x:c>
      <x:c r="H47" s="268" t="n">
        <x:f>FASE1!R47</x:f>
        <x:v>0</x:v>
      </x:c>
      <x:c r="I47" s="268" t="n">
        <x:f>FASE1!U47</x:f>
        <x:v>0</x:v>
      </x:c>
      <x:c r="J47" s="268" t="n">
        <x:f>FASE1!U47</x:f>
        <x:v>0</x:v>
      </x:c>
      <x:c r="K47" s="268" t="n">
        <x:f>FASE1!P47</x:f>
        <x:v>0</x:v>
      </x:c>
      <x:c r="L47" s="268" t="n">
        <x:f>FASE1!V47</x:f>
        <x:v>0</x:v>
      </x:c>
      <x:c r="M47" s="268" t="n">
        <x:f>AVERAGE(FASE2!F47:G47)</x:f>
        <x:v>0</x:v>
      </x:c>
      <x:c r="N47" s="268" t="n">
        <x:f>AVERAGE(FASE2!O47:P47,FASE2!S47)</x:f>
        <x:v>0</x:v>
      </x:c>
      <x:c r="O47" s="268" t="n">
        <x:f>FASE4!K47</x:f>
        <x:v>0</x:v>
      </x:c>
      <x:c r="P47" s="268" t="n">
        <x:f>FASE2!N47</x:f>
        <x:v>0</x:v>
      </x:c>
      <x:c r="Q47" s="268" t="n">
        <x:f>FASE3!P47</x:f>
        <x:v>0</x:v>
      </x:c>
      <x:c r="R47" s="268" t="n">
        <x:f>FASE3!N47</x:f>
        <x:v>0</x:v>
      </x:c>
      <x:c r="S47" s="268" t="n">
        <x:f>AVERAGE(FASE3!Q47,FASE3!R47,FASE3!T47,FASE3!S47)</x:f>
        <x:v>0</x:v>
      </x:c>
      <x:c r="T47" s="268" t="n">
        <x:f>AVERAGE(FASE3!U47,FASE3!V47,FASE3!W47)</x:f>
        <x:v>0</x:v>
      </x:c>
      <x:c r="U47" s="268" t="n">
        <x:f>FASE3!Y47</x:f>
        <x:v>0</x:v>
      </x:c>
      <x:c r="V47" s="268" t="n">
        <x:f>FASE3!X47</x:f>
        <x:v>0</x:v>
      </x:c>
      <x:c r="W47" s="268" t="n">
        <x:f>FASE4!M47</x:f>
        <x:v>0</x:v>
      </x:c>
      <x:c r="X47" s="268">
        <x:f t="shared" si="0"/>
        <x:v>11.944444444444445</x:v>
      </x:c>
    </x:row>
    <x:row r="48" ht="15.75">
      <x:c r="B48">
        <x:v>2</x:v>
      </x:c>
      <x:c r="C48" t="s">
        <x:v>115</x:v>
      </x:c>
      <x:c r="D48" s="243">
        <x:v>213</x:v>
      </x:c>
      <x:c r="E48" s="268" t="n">
        <x:f>FASE1!G48</x:f>
        <x:v>20</x:v>
      </x:c>
      <x:c r="F48" s="268" t="n">
        <x:f>FASE1!M48</x:f>
        <x:v>95</x:v>
      </x:c>
      <x:c r="G48" s="268" t="n">
        <x:f>FASE1!L48</x:f>
        <x:v>100</x:v>
      </x:c>
      <x:c r="H48" s="268" t="n">
        <x:f>FASE1!R48</x:f>
        <x:v>0</x:v>
      </x:c>
      <x:c r="I48" s="268" t="n">
        <x:f>FASE1!U48</x:f>
        <x:v>0</x:v>
      </x:c>
      <x:c r="J48" s="268" t="n">
        <x:f>FASE1!U48</x:f>
        <x:v>0</x:v>
      </x:c>
      <x:c r="K48" s="268" t="n">
        <x:f>FASE1!P48</x:f>
        <x:v>0</x:v>
      </x:c>
      <x:c r="L48" s="268" t="n">
        <x:f>FASE1!V48</x:f>
        <x:v>0</x:v>
      </x:c>
      <x:c r="M48" s="268" t="n">
        <x:f>AVERAGE(FASE2!F48:G48)</x:f>
        <x:v>0</x:v>
      </x:c>
      <x:c r="N48" s="268" t="n">
        <x:f>AVERAGE(FASE2!O48:P48,FASE2!S48)</x:f>
        <x:v>0</x:v>
      </x:c>
      <x:c r="O48" s="268" t="n">
        <x:f>FASE4!K48</x:f>
        <x:v>0</x:v>
      </x:c>
      <x:c r="P48" s="268" t="n">
        <x:f>FASE2!N48</x:f>
        <x:v>0</x:v>
      </x:c>
      <x:c r="Q48" s="268" t="n">
        <x:f>FASE3!P48</x:f>
        <x:v>0</x:v>
      </x:c>
      <x:c r="R48" s="268" t="n">
        <x:f>FASE3!N48</x:f>
        <x:v>0</x:v>
      </x:c>
      <x:c r="S48" s="268" t="n">
        <x:f>AVERAGE(FASE3!Q48,FASE3!R48,FASE3!T48,FASE3!S48)</x:f>
        <x:v>0</x:v>
      </x:c>
      <x:c r="T48" s="268" t="n">
        <x:f>AVERAGE(FASE3!U48,FASE3!V48,FASE3!W48)</x:f>
        <x:v>0</x:v>
      </x:c>
      <x:c r="U48" s="268" t="n">
        <x:f>FASE3!Y48</x:f>
        <x:v>0</x:v>
      </x:c>
      <x:c r="V48" s="268" t="n">
        <x:f>FASE3!X48</x:f>
        <x:v>0</x:v>
      </x:c>
      <x:c r="W48" s="268" t="n">
        <x:f>FASE4!M48</x:f>
        <x:v>0</x:v>
      </x:c>
      <x:c r="X48" s="268">
        <x:f t="shared" si="0"/>
        <x:v>11.944444444444445</x:v>
      </x:c>
    </x:row>
    <x:row r="49" ht="15.75">
      <x:c r="B49">
        <x:v>2</x:v>
      </x:c>
      <x:c r="C49" t="s">
        <x:v>115</x:v>
      </x:c>
      <x:c r="D49" s="243">
        <x:v>214</x:v>
      </x:c>
      <x:c r="E49" s="268" t="n">
        <x:f>FASE1!G49</x:f>
        <x:v>20</x:v>
      </x:c>
      <x:c r="F49" s="268" t="n">
        <x:f>FASE1!M49</x:f>
        <x:v>95</x:v>
      </x:c>
      <x:c r="G49" s="268" t="n">
        <x:f>FASE1!L49</x:f>
        <x:v>100</x:v>
      </x:c>
      <x:c r="H49" s="268" t="n">
        <x:f>FASE1!R49</x:f>
        <x:v>0</x:v>
      </x:c>
      <x:c r="I49" s="268" t="n">
        <x:f>FASE1!U49</x:f>
        <x:v>0</x:v>
      </x:c>
      <x:c r="J49" s="268" t="n">
        <x:f>FASE1!U49</x:f>
        <x:v>0</x:v>
      </x:c>
      <x:c r="K49" s="268" t="n">
        <x:f>FASE1!P49</x:f>
        <x:v>0</x:v>
      </x:c>
      <x:c r="L49" s="268" t="n">
        <x:f>FASE1!V49</x:f>
        <x:v>0</x:v>
      </x:c>
      <x:c r="M49" s="268" t="n">
        <x:f>AVERAGE(FASE2!F49:G49)</x:f>
        <x:v>0</x:v>
      </x:c>
      <x:c r="N49" s="268" t="n">
        <x:f>AVERAGE(FASE2!O49:P49,FASE2!S49)</x:f>
        <x:v>0</x:v>
      </x:c>
      <x:c r="O49" s="268" t="n">
        <x:f>FASE4!K49</x:f>
        <x:v>0</x:v>
      </x:c>
      <x:c r="P49" s="268" t="n">
        <x:f>FASE2!N49</x:f>
        <x:v>0</x:v>
      </x:c>
      <x:c r="Q49" s="268" t="n">
        <x:f>FASE3!P49</x:f>
        <x:v>0</x:v>
      </x:c>
      <x:c r="R49" s="268" t="n">
        <x:f>FASE3!N49</x:f>
        <x:v>0</x:v>
      </x:c>
      <x:c r="S49" s="268" t="n">
        <x:f>AVERAGE(FASE3!Q49,FASE3!R49,FASE3!T49,FASE3!S49)</x:f>
        <x:v>0</x:v>
      </x:c>
      <x:c r="T49" s="268" t="n">
        <x:f>AVERAGE(FASE3!U49,FASE3!V49,FASE3!W49)</x:f>
        <x:v>0</x:v>
      </x:c>
      <x:c r="U49" s="268" t="n">
        <x:f>FASE3!Y49</x:f>
        <x:v>0</x:v>
      </x:c>
      <x:c r="V49" s="268" t="n">
        <x:f>FASE3!X49</x:f>
        <x:v>0</x:v>
      </x:c>
      <x:c r="W49" s="268" t="n">
        <x:f>FASE4!M49</x:f>
        <x:v>0</x:v>
      </x:c>
      <x:c r="X49" s="268">
        <x:f t="shared" si="0"/>
        <x:v>11.944444444444445</x:v>
      </x:c>
    </x:row>
    <x:row r="50" ht="15.75">
      <x:c r="B50">
        <x:v>2</x:v>
      </x:c>
      <x:c r="C50" t="s">
        <x:v>115</x:v>
      </x:c>
      <x:c r="D50" s="243">
        <x:v>215</x:v>
      </x:c>
      <x:c r="E50" s="268" t="n">
        <x:f>FASE1!G50</x:f>
        <x:v>20</x:v>
      </x:c>
      <x:c r="F50" s="268" t="n">
        <x:f>FASE1!M50</x:f>
        <x:v>95</x:v>
      </x:c>
      <x:c r="G50" s="268" t="n">
        <x:f>FASE1!L50</x:f>
        <x:v>100</x:v>
      </x:c>
      <x:c r="H50" s="268" t="n">
        <x:f>FASE1!R50</x:f>
        <x:v>0</x:v>
      </x:c>
      <x:c r="I50" s="268" t="n">
        <x:f>FASE1!U50</x:f>
        <x:v>0</x:v>
      </x:c>
      <x:c r="J50" s="268" t="n">
        <x:f>FASE1!U50</x:f>
        <x:v>0</x:v>
      </x:c>
      <x:c r="K50" s="268" t="n">
        <x:f>FASE1!P50</x:f>
        <x:v>0</x:v>
      </x:c>
      <x:c r="L50" s="268" t="n">
        <x:f>FASE1!V50</x:f>
        <x:v>0</x:v>
      </x:c>
      <x:c r="M50" s="268" t="n">
        <x:f>AVERAGE(FASE2!F50:G50)</x:f>
        <x:v>0</x:v>
      </x:c>
      <x:c r="N50" s="268" t="n">
        <x:f>AVERAGE(FASE2!O50:P50,FASE2!S50)</x:f>
        <x:v>0</x:v>
      </x:c>
      <x:c r="O50" s="268" t="n">
        <x:f>FASE4!K50</x:f>
        <x:v>0</x:v>
      </x:c>
      <x:c r="P50" s="268" t="n">
        <x:f>FASE2!N50</x:f>
        <x:v>0</x:v>
      </x:c>
      <x:c r="Q50" s="268" t="n">
        <x:f>FASE3!P50</x:f>
        <x:v>0</x:v>
      </x:c>
      <x:c r="R50" s="268" t="n">
        <x:f>FASE3!N50</x:f>
        <x:v>0</x:v>
      </x:c>
      <x:c r="S50" s="268" t="n">
        <x:f>AVERAGE(FASE3!Q50,FASE3!R50,FASE3!T50,FASE3!S50)</x:f>
        <x:v>0</x:v>
      </x:c>
      <x:c r="T50" s="268" t="n">
        <x:f>AVERAGE(FASE3!U50,FASE3!V50,FASE3!W50)</x:f>
        <x:v>0</x:v>
      </x:c>
      <x:c r="U50" s="268" t="n">
        <x:f>FASE3!Y50</x:f>
        <x:v>0</x:v>
      </x:c>
      <x:c r="V50" s="268" t="n">
        <x:f>FASE3!X50</x:f>
        <x:v>0</x:v>
      </x:c>
      <x:c r="W50" s="268" t="n">
        <x:f>FASE4!M50</x:f>
        <x:v>0</x:v>
      </x:c>
      <x:c r="X50" s="268">
        <x:f t="shared" si="0"/>
        <x:v>11.944444444444445</x:v>
      </x:c>
    </x:row>
    <x:row r="51" ht="15.75">
      <x:c r="B51">
        <x:v>2</x:v>
      </x:c>
      <x:c r="C51" t="s">
        <x:v>115</x:v>
      </x:c>
      <x:c r="D51" s="243">
        <x:v>216</x:v>
      </x:c>
      <x:c r="E51" s="268" t="n">
        <x:f>FASE1!G51</x:f>
        <x:v>20</x:v>
      </x:c>
      <x:c r="F51" s="268" t="n">
        <x:f>FASE1!M51</x:f>
        <x:v>95</x:v>
      </x:c>
      <x:c r="G51" s="268" t="n">
        <x:f>FASE1!L51</x:f>
        <x:v>100</x:v>
      </x:c>
      <x:c r="H51" s="268" t="n">
        <x:f>FASE1!R51</x:f>
        <x:v>0</x:v>
      </x:c>
      <x:c r="I51" s="268" t="n">
        <x:f>FASE1!U51</x:f>
        <x:v>0</x:v>
      </x:c>
      <x:c r="J51" s="268" t="n">
        <x:f>FASE1!U51</x:f>
        <x:v>0</x:v>
      </x:c>
      <x:c r="K51" s="268" t="n">
        <x:f>FASE1!P51</x:f>
        <x:v>0</x:v>
      </x:c>
      <x:c r="L51" s="268" t="n">
        <x:f>FASE1!V51</x:f>
        <x:v>0</x:v>
      </x:c>
      <x:c r="M51" s="268" t="n">
        <x:f>AVERAGE(FASE2!F51:G51)</x:f>
        <x:v>0</x:v>
      </x:c>
      <x:c r="N51" s="268" t="n">
        <x:f>AVERAGE(FASE2!O51:P51,FASE2!S51)</x:f>
        <x:v>0</x:v>
      </x:c>
      <x:c r="O51" s="268" t="n">
        <x:f>FASE4!K51</x:f>
        <x:v>0</x:v>
      </x:c>
      <x:c r="P51" s="268" t="n">
        <x:f>FASE2!N51</x:f>
        <x:v>0</x:v>
      </x:c>
      <x:c r="Q51" s="268" t="n">
        <x:f>FASE3!P51</x:f>
        <x:v>0</x:v>
      </x:c>
      <x:c r="R51" s="268" t="n">
        <x:f>FASE3!N51</x:f>
        <x:v>0</x:v>
      </x:c>
      <x:c r="S51" s="268" t="n">
        <x:f>AVERAGE(FASE3!Q51,FASE3!R51,FASE3!T51,FASE3!S51)</x:f>
        <x:v>0</x:v>
      </x:c>
      <x:c r="T51" s="268" t="n">
        <x:f>AVERAGE(FASE3!U51,FASE3!V51,FASE3!W51)</x:f>
        <x:v>0</x:v>
      </x:c>
      <x:c r="U51" s="268" t="n">
        <x:f>FASE3!Y51</x:f>
        <x:v>0</x:v>
      </x:c>
      <x:c r="V51" s="268" t="n">
        <x:f>FASE3!X51</x:f>
        <x:v>0</x:v>
      </x:c>
      <x:c r="W51" s="268" t="n">
        <x:f>FASE4!M51</x:f>
        <x:v>0</x:v>
      </x:c>
      <x:c r="X51" s="268">
        <x:f t="shared" si="0"/>
        <x:v>11.944444444444445</x:v>
      </x:c>
    </x:row>
    <x:row r="52" ht="15.75">
      <x:c r="B52">
        <x:v>2</x:v>
      </x:c>
      <x:c r="C52" t="s">
        <x:v>115</x:v>
      </x:c>
      <x:c r="D52" s="243">
        <x:v>217</x:v>
      </x:c>
      <x:c r="E52" s="268" t="n">
        <x:f>FASE1!G52</x:f>
        <x:v>20</x:v>
      </x:c>
      <x:c r="F52" s="268" t="n">
        <x:f>FASE1!M52</x:f>
        <x:v>95</x:v>
      </x:c>
      <x:c r="G52" s="268" t="n">
        <x:f>FASE1!L52</x:f>
        <x:v>100</x:v>
      </x:c>
      <x:c r="H52" s="268" t="n">
        <x:f>FASE1!R52</x:f>
        <x:v>0</x:v>
      </x:c>
      <x:c r="I52" s="268" t="n">
        <x:f>FASE1!U52</x:f>
        <x:v>0</x:v>
      </x:c>
      <x:c r="J52" s="268" t="n">
        <x:f>FASE1!U52</x:f>
        <x:v>0</x:v>
      </x:c>
      <x:c r="K52" s="268" t="n">
        <x:f>FASE1!P52</x:f>
        <x:v>0</x:v>
      </x:c>
      <x:c r="L52" s="268" t="n">
        <x:f>FASE1!V52</x:f>
        <x:v>0</x:v>
      </x:c>
      <x:c r="M52" s="268" t="n">
        <x:f>AVERAGE(FASE2!F52:G52)</x:f>
        <x:v>0</x:v>
      </x:c>
      <x:c r="N52" s="268" t="n">
        <x:f>AVERAGE(FASE2!O52:P52,FASE2!S52)</x:f>
        <x:v>0</x:v>
      </x:c>
      <x:c r="O52" s="268" t="n">
        <x:f>FASE4!K52</x:f>
        <x:v>0</x:v>
      </x:c>
      <x:c r="P52" s="268" t="n">
        <x:f>FASE2!N52</x:f>
        <x:v>0</x:v>
      </x:c>
      <x:c r="Q52" s="268" t="n">
        <x:f>FASE3!P52</x:f>
        <x:v>0</x:v>
      </x:c>
      <x:c r="R52" s="268" t="n">
        <x:f>FASE3!N52</x:f>
        <x:v>0</x:v>
      </x:c>
      <x:c r="S52" s="268" t="n">
        <x:f>AVERAGE(FASE3!Q52,FASE3!R52,FASE3!T52,FASE3!S52)</x:f>
        <x:v>0</x:v>
      </x:c>
      <x:c r="T52" s="268" t="n">
        <x:f>AVERAGE(FASE3!U52,FASE3!V52,FASE3!W52)</x:f>
        <x:v>0</x:v>
      </x:c>
      <x:c r="U52" s="268" t="n">
        <x:f>FASE3!Y52</x:f>
        <x:v>0</x:v>
      </x:c>
      <x:c r="V52" s="268" t="n">
        <x:f>FASE3!X52</x:f>
        <x:v>0</x:v>
      </x:c>
      <x:c r="W52" s="268" t="n">
        <x:f>FASE4!M52</x:f>
        <x:v>0</x:v>
      </x:c>
      <x:c r="X52" s="268">
        <x:f t="shared" si="0"/>
        <x:v>11.944444444444445</x:v>
      </x:c>
    </x:row>
    <x:row r="53" ht="15.75">
      <x:c r="B53">
        <x:v>2</x:v>
      </x:c>
      <x:c r="C53" t="s">
        <x:v>115</x:v>
      </x:c>
      <x:c r="D53" s="243">
        <x:v>218</x:v>
      </x:c>
      <x:c r="E53" s="268" t="n">
        <x:f>FASE1!G53</x:f>
        <x:v>20</x:v>
      </x:c>
      <x:c r="F53" s="268" t="n">
        <x:f>FASE1!M53</x:f>
        <x:v>95</x:v>
      </x:c>
      <x:c r="G53" s="268" t="n">
        <x:f>FASE1!L53</x:f>
        <x:v>100</x:v>
      </x:c>
      <x:c r="H53" s="268" t="n">
        <x:f>FASE1!R53</x:f>
        <x:v>0</x:v>
      </x:c>
      <x:c r="I53" s="268" t="n">
        <x:f>FASE1!U53</x:f>
        <x:v>0</x:v>
      </x:c>
      <x:c r="J53" s="268" t="n">
        <x:f>FASE1!U53</x:f>
        <x:v>0</x:v>
      </x:c>
      <x:c r="K53" s="268" t="n">
        <x:f>FASE1!P53</x:f>
        <x:v>0</x:v>
      </x:c>
      <x:c r="L53" s="268" t="n">
        <x:f>FASE1!V53</x:f>
        <x:v>0</x:v>
      </x:c>
      <x:c r="M53" s="268" t="n">
        <x:f>AVERAGE(FASE2!F53:G53)</x:f>
        <x:v>0</x:v>
      </x:c>
      <x:c r="N53" s="268" t="n">
        <x:f>AVERAGE(FASE2!O53:P53,FASE2!S53)</x:f>
        <x:v>0</x:v>
      </x:c>
      <x:c r="O53" s="268" t="n">
        <x:f>FASE4!K53</x:f>
        <x:v>0</x:v>
      </x:c>
      <x:c r="P53" s="268" t="n">
        <x:f>FASE2!N53</x:f>
        <x:v>0</x:v>
      </x:c>
      <x:c r="Q53" s="268" t="n">
        <x:f>FASE3!P53</x:f>
        <x:v>0</x:v>
      </x:c>
      <x:c r="R53" s="268" t="n">
        <x:f>FASE3!N53</x:f>
        <x:v>0</x:v>
      </x:c>
      <x:c r="S53" s="268" t="n">
        <x:f>AVERAGE(FASE3!Q53,FASE3!R53,FASE3!T53,FASE3!S53)</x:f>
        <x:v>0</x:v>
      </x:c>
      <x:c r="T53" s="268" t="n">
        <x:f>AVERAGE(FASE3!U53,FASE3!V53,FASE3!W53)</x:f>
        <x:v>0</x:v>
      </x:c>
      <x:c r="U53" s="268" t="n">
        <x:f>FASE3!Y53</x:f>
        <x:v>0</x:v>
      </x:c>
      <x:c r="V53" s="268" t="n">
        <x:f>FASE3!X53</x:f>
        <x:v>0</x:v>
      </x:c>
      <x:c r="W53" s="268" t="n">
        <x:f>FASE4!M53</x:f>
        <x:v>0</x:v>
      </x:c>
      <x:c r="X53" s="268">
        <x:f t="shared" si="0"/>
        <x:v>11.944444444444445</x:v>
      </x:c>
    </x:row>
    <x:row r="54" ht="15.75">
      <x:c r="B54">
        <x:v>2</x:v>
      </x:c>
      <x:c r="C54" t="s">
        <x:v>115</x:v>
      </x:c>
      <x:c r="D54" s="243">
        <x:v>219</x:v>
      </x:c>
      <x:c r="E54" s="268" t="n">
        <x:f>FASE1!G54</x:f>
        <x:v>20</x:v>
      </x:c>
      <x:c r="F54" s="268" t="n">
        <x:f>FASE1!M54</x:f>
        <x:v>0</x:v>
      </x:c>
      <x:c r="G54" s="268" t="n">
        <x:f>FASE1!L54</x:f>
        <x:v>100</x:v>
      </x:c>
      <x:c r="H54" s="268" t="n">
        <x:f>FASE1!R54</x:f>
        <x:v>0</x:v>
      </x:c>
      <x:c r="I54" s="268" t="n">
        <x:f>FASE1!U54</x:f>
        <x:v>0</x:v>
      </x:c>
      <x:c r="J54" s="268" t="n">
        <x:f>FASE1!U54</x:f>
        <x:v>0</x:v>
      </x:c>
      <x:c r="K54" s="268" t="n">
        <x:f>FASE1!P54</x:f>
        <x:v>0</x:v>
      </x:c>
      <x:c r="L54" s="268" t="n">
        <x:f>FASE1!V54</x:f>
        <x:v>0</x:v>
      </x:c>
      <x:c r="M54" s="268" t="n">
        <x:f>AVERAGE(FASE2!F54:G54)</x:f>
        <x:v>0</x:v>
      </x:c>
      <x:c r="N54" s="268" t="n">
        <x:f>AVERAGE(FASE2!O54:P54,FASE2!S54)</x:f>
        <x:v>0</x:v>
      </x:c>
      <x:c r="O54" s="268" t="n">
        <x:f>FASE4!K54</x:f>
        <x:v>0</x:v>
      </x:c>
      <x:c r="P54" s="268" t="n">
        <x:f>FASE2!N54</x:f>
        <x:v>0</x:v>
      </x:c>
      <x:c r="Q54" s="268" t="n">
        <x:f>FASE3!P54</x:f>
        <x:v>0</x:v>
      </x:c>
      <x:c r="R54" s="268" t="n">
        <x:f>FASE3!N54</x:f>
        <x:v>0</x:v>
      </x:c>
      <x:c r="S54" s="268" t="n">
        <x:f>AVERAGE(FASE3!Q54,FASE3!R54,FASE3!T54,FASE3!S54)</x:f>
        <x:v>0</x:v>
      </x:c>
      <x:c r="T54" s="268" t="n">
        <x:f>AVERAGE(FASE3!U54,FASE3!V54,FASE3!W54)</x:f>
        <x:v>0</x:v>
      </x:c>
      <x:c r="U54" s="268" t="n">
        <x:f>FASE3!Y54</x:f>
        <x:v>0</x:v>
      </x:c>
      <x:c r="V54" s="268" t="n">
        <x:f>FASE3!X54</x:f>
        <x:v>0</x:v>
      </x:c>
      <x:c r="W54" s="268" t="n">
        <x:f>FASE4!M54</x:f>
        <x:v>0</x:v>
      </x:c>
      <x:c r="X54" s="268">
        <x:f t="shared" si="0"/>
        <x:v>6.666666666666667</x:v>
      </x:c>
    </x:row>
    <x:row r="55" ht="15.75">
      <x:c r="B55">
        <x:v>2</x:v>
      </x:c>
      <x:c r="C55" t="s">
        <x:v>115</x:v>
      </x:c>
      <x:c r="D55" s="243">
        <x:v>220</x:v>
      </x:c>
      <x:c r="E55" s="268" t="n">
        <x:f>FASE1!G55</x:f>
        <x:v>20</x:v>
      </x:c>
      <x:c r="F55" s="268" t="n">
        <x:f>FASE1!M55</x:f>
        <x:v>95</x:v>
      </x:c>
      <x:c r="G55" s="268" t="n">
        <x:f>FASE1!L55</x:f>
        <x:v>100</x:v>
      </x:c>
      <x:c r="H55" s="268" t="n">
        <x:f>FASE1!R55</x:f>
        <x:v>0</x:v>
      </x:c>
      <x:c r="I55" s="268" t="n">
        <x:f>FASE1!U55</x:f>
        <x:v>0</x:v>
      </x:c>
      <x:c r="J55" s="268" t="n">
        <x:f>FASE1!U55</x:f>
        <x:v>0</x:v>
      </x:c>
      <x:c r="K55" s="268" t="n">
        <x:f>FASE1!P55</x:f>
        <x:v>0</x:v>
      </x:c>
      <x:c r="L55" s="268" t="n">
        <x:f>FASE1!V55</x:f>
        <x:v>0</x:v>
      </x:c>
      <x:c r="M55" s="268" t="n">
        <x:f>AVERAGE(FASE2!F55:G55)</x:f>
        <x:v>0</x:v>
      </x:c>
      <x:c r="N55" s="268" t="n">
        <x:f>AVERAGE(FASE2!O55:P55,FASE2!S55)</x:f>
        <x:v>0</x:v>
      </x:c>
      <x:c r="O55" s="268" t="n">
        <x:f>FASE4!K55</x:f>
        <x:v>0</x:v>
      </x:c>
      <x:c r="P55" s="268" t="n">
        <x:f>FASE2!N55</x:f>
        <x:v>0</x:v>
      </x:c>
      <x:c r="Q55" s="268" t="n">
        <x:f>FASE3!P55</x:f>
        <x:v>0</x:v>
      </x:c>
      <x:c r="R55" s="268" t="n">
        <x:f>FASE3!N55</x:f>
        <x:v>0</x:v>
      </x:c>
      <x:c r="S55" s="268" t="n">
        <x:f>AVERAGE(FASE3!Q55,FASE3!R55,FASE3!T55,FASE3!S55)</x:f>
        <x:v>0</x:v>
      </x:c>
      <x:c r="T55" s="268" t="n">
        <x:f>AVERAGE(FASE3!U55,FASE3!V55,FASE3!W55)</x:f>
        <x:v>0</x:v>
      </x:c>
      <x:c r="U55" s="268" t="n">
        <x:f>FASE3!Y55</x:f>
        <x:v>0</x:v>
      </x:c>
      <x:c r="V55" s="268" t="n">
        <x:f>FASE3!X55</x:f>
        <x:v>0</x:v>
      </x:c>
      <x:c r="W55" s="268" t="n">
        <x:f>FASE4!M55</x:f>
        <x:v>0</x:v>
      </x:c>
      <x:c r="X55" s="268">
        <x:f t="shared" si="0"/>
        <x:v>11.944444444444445</x:v>
      </x:c>
      <x:c r="Y55" s="2"/>
    </x:row>
    <x:row r="56" ht="15.75">
      <x:c r="B56">
        <x:v>2</x:v>
      </x:c>
      <x:c r="C56" t="s">
        <x:v>115</x:v>
      </x:c>
      <x:c r="D56" s="243">
        <x:v>221</x:v>
      </x:c>
      <x:c r="E56" s="268" t="n">
        <x:f>FASE1!G56</x:f>
        <x:v>20</x:v>
      </x:c>
      <x:c r="F56" s="268" t="n">
        <x:f>FASE1!M56</x:f>
        <x:v>95</x:v>
      </x:c>
      <x:c r="G56" s="268" t="n">
        <x:f>FASE1!L56</x:f>
        <x:v>100</x:v>
      </x:c>
      <x:c r="H56" s="268" t="n">
        <x:f>FASE1!R56</x:f>
        <x:v>0</x:v>
      </x:c>
      <x:c r="I56" s="268" t="n">
        <x:f>FASE1!U56</x:f>
        <x:v>0</x:v>
      </x:c>
      <x:c r="J56" s="268" t="n">
        <x:f>FASE1!U56</x:f>
        <x:v>0</x:v>
      </x:c>
      <x:c r="K56" s="268" t="n">
        <x:f>FASE1!P56</x:f>
        <x:v>0</x:v>
      </x:c>
      <x:c r="L56" s="268" t="n">
        <x:f>FASE1!V56</x:f>
        <x:v>0</x:v>
      </x:c>
      <x:c r="M56" s="268" t="n">
        <x:f>AVERAGE(FASE2!F56:G56)</x:f>
        <x:v>0</x:v>
      </x:c>
      <x:c r="N56" s="268" t="n">
        <x:f>AVERAGE(FASE2!O56:P56,FASE2!S56)</x:f>
        <x:v>0</x:v>
      </x:c>
      <x:c r="O56" s="268" t="n">
        <x:f>FASE4!K56</x:f>
        <x:v>0</x:v>
      </x:c>
      <x:c r="P56" s="268" t="n">
        <x:f>FASE2!N56</x:f>
        <x:v>0</x:v>
      </x:c>
      <x:c r="Q56" s="268" t="n">
        <x:f>FASE3!P56</x:f>
        <x:v>0</x:v>
      </x:c>
      <x:c r="R56" s="268" t="n">
        <x:f>FASE3!N56</x:f>
        <x:v>0</x:v>
      </x:c>
      <x:c r="S56" s="268" t="n">
        <x:f>AVERAGE(FASE3!Q56,FASE3!R56,FASE3!T56,FASE3!S56)</x:f>
        <x:v>0</x:v>
      </x:c>
      <x:c r="T56" s="268" t="n">
        <x:f>AVERAGE(FASE3!U56,FASE3!V56,FASE3!W56)</x:f>
        <x:v>0</x:v>
      </x:c>
      <x:c r="U56" s="268" t="n">
        <x:f>FASE3!Y56</x:f>
        <x:v>0</x:v>
      </x:c>
      <x:c r="V56" s="268" t="n">
        <x:f>FASE3!X56</x:f>
        <x:v>0</x:v>
      </x:c>
      <x:c r="W56" s="268" t="n">
        <x:f>FASE4!M56</x:f>
        <x:v>0</x:v>
      </x:c>
      <x:c r="X56" s="268">
        <x:f t="shared" si="0"/>
        <x:v>11.944444444444445</x:v>
      </x:c>
    </x:row>
    <x:row r="57" ht="15.75">
      <x:c r="B57">
        <x:v>2</x:v>
      </x:c>
      <x:c r="C57" t="s">
        <x:v>135</x:v>
      </x:c>
      <x:c r="D57" s="243" t="s">
        <x:v>136</x:v>
      </x:c>
      <x:c r="E57" s="268" t="n">
        <x:f>FASE1!G57</x:f>
        <x:v>0</x:v>
      </x:c>
      <x:c r="F57" s="268" t="n">
        <x:f>FASE1!M57</x:f>
        <x:v>0</x:v>
      </x:c>
      <x:c r="G57" s="268" t="n">
        <x:f>FASE1!L57</x:f>
        <x:v>0</x:v>
      </x:c>
      <x:c r="H57" s="268" t="n">
        <x:f>FASE1!R57</x:f>
        <x:v>0</x:v>
      </x:c>
      <x:c r="I57" s="268" t="n">
        <x:f>FASE1!U57</x:f>
        <x:v>0</x:v>
      </x:c>
      <x:c r="J57" s="268" t="n">
        <x:f>FASE1!U57</x:f>
        <x:v>0</x:v>
      </x:c>
      <x:c r="K57" s="268" t="n">
        <x:f>FASE1!P57</x:f>
        <x:v>0</x:v>
      </x:c>
      <x:c r="L57" s="268" t="n">
        <x:f>FASE1!V57</x:f>
        <x:v>0</x:v>
      </x:c>
      <x:c r="M57" s="268" t="e">
        <x:f>AVERAGE(FASE2!F57:G57)</x:f>
        <x:v>#DIV/0!</x:v>
      </x:c>
      <x:c r="N57" s="268" t="e">
        <x:f>AVERAGE(FASE2!O57:P57,FASE2!S57)</x:f>
        <x:v>#DIV/0!</x:v>
      </x:c>
      <x:c r="O57" s="268" t="n">
        <x:f>FASE4!K57</x:f>
        <x:v>0</x:v>
      </x:c>
      <x:c r="P57" s="268" t="n">
        <x:f>FASE2!N57</x:f>
        <x:v>0</x:v>
      </x:c>
      <x:c r="Q57" s="268" t="n">
        <x:f>FASE3!P57</x:f>
        <x:v>0</x:v>
      </x:c>
      <x:c r="R57" s="268" t="n">
        <x:f>FASE3!N57</x:f>
        <x:v>0</x:v>
      </x:c>
      <x:c r="S57" s="268" t="n">
        <x:f>AVERAGE(FASE3!Q57,FASE3!R57,FASE3!T57,FASE3!S57)</x:f>
        <x:v>0</x:v>
      </x:c>
      <x:c r="T57" s="268" t="n">
        <x:f>AVERAGE(FASE3!U57,FASE3!V57,FASE3!W57)</x:f>
        <x:v>0</x:v>
      </x:c>
      <x:c r="U57" s="268" t="n">
        <x:f>FASE3!Y57</x:f>
        <x:v>0</x:v>
      </x:c>
      <x:c r="V57" s="268" t="n">
        <x:f>FASE3!X57</x:f>
        <x:v>0</x:v>
      </x:c>
      <x:c r="W57" s="268" t="n">
        <x:f>FASE4!M57</x:f>
        <x:v>0</x:v>
      </x:c>
      <x:c r="X57" s="268">
        <x:f t="shared" si="0"/>
        <x:v>10.55012919896641</x:v>
      </x:c>
    </x:row>
    <x:row r="58" ht="15.75">
      <x:c r="B58">
        <x:v>3</x:v>
      </x:c>
      <x:c r="C58" t="s">
        <x:v>116</x:v>
      </x:c>
      <x:c r="D58" s="243">
        <x:v>301</x:v>
      </x:c>
      <x:c r="E58" s="268" t="n">
        <x:f>FASE1!G58</x:f>
        <x:v>0</x:v>
      </x:c>
      <x:c r="F58" s="268" t="n">
        <x:f>FASE1!M58</x:f>
        <x:v>0</x:v>
      </x:c>
      <x:c r="G58" s="268" t="n">
        <x:f>FASE1!L58</x:f>
        <x:v>0</x:v>
      </x:c>
      <x:c r="H58" s="268" t="n">
        <x:f>FASE1!R58</x:f>
        <x:v>0</x:v>
      </x:c>
      <x:c r="I58" s="268" t="n">
        <x:f>FASE1!U58</x:f>
        <x:v>0</x:v>
      </x:c>
      <x:c r="J58" s="268" t="n">
        <x:f>FASE1!U58</x:f>
        <x:v>0</x:v>
      </x:c>
      <x:c r="K58" s="268" t="n">
        <x:f>FASE1!P58</x:f>
        <x:v>0</x:v>
      </x:c>
      <x:c r="L58" s="268" t="n">
        <x:f>FASE1!V58</x:f>
        <x:v>0</x:v>
      </x:c>
      <x:c r="M58" s="268" t="n">
        <x:f>AVERAGE(FASE2!F58:G58)</x:f>
        <x:v>0</x:v>
      </x:c>
      <x:c r="N58" s="268" t="n">
        <x:f>AVERAGE(FASE2!O58:P58,FASE2!S58)</x:f>
        <x:v>0</x:v>
      </x:c>
      <x:c r="O58" s="268" t="n">
        <x:f>FASE4!K58</x:f>
        <x:v>0</x:v>
      </x:c>
      <x:c r="P58" s="268" t="n">
        <x:f>FASE2!N58</x:f>
        <x:v>0</x:v>
      </x:c>
      <x:c r="Q58" s="268" t="n">
        <x:f>FASE3!P58</x:f>
        <x:v>0</x:v>
      </x:c>
      <x:c r="R58" s="268" t="n">
        <x:f>FASE3!N58</x:f>
        <x:v>0</x:v>
      </x:c>
      <x:c r="S58" s="268" t="n">
        <x:f>AVERAGE(FASE3!Q58,FASE3!R58,FASE3!T58,FASE3!S58)</x:f>
        <x:v>0</x:v>
      </x:c>
      <x:c r="T58" s="268" t="n">
        <x:f>AVERAGE(FASE3!U58,FASE3!V58,FASE3!W58)</x:f>
        <x:v>0</x:v>
      </x:c>
      <x:c r="U58" s="268" t="n">
        <x:f>FASE3!Y58</x:f>
        <x:v>0</x:v>
      </x:c>
      <x:c r="V58" s="268" t="n">
        <x:f>FASE3!X58</x:f>
        <x:v>0</x:v>
      </x:c>
      <x:c r="W58" s="268" t="n">
        <x:f>FASE4!M58</x:f>
        <x:v>0</x:v>
      </x:c>
      <x:c r="X58" s="268">
        <x:f t="shared" si="0"/>
        <x:v>0</x:v>
      </x:c>
    </x:row>
    <x:row r="59" ht="15.75">
      <x:c r="B59">
        <x:v>3</x:v>
      </x:c>
      <x:c r="C59" t="s">
        <x:v>116</x:v>
      </x:c>
      <x:c r="D59" s="243">
        <x:v>302</x:v>
      </x:c>
      <x:c r="E59" s="268" t="n">
        <x:f>FASE1!G59</x:f>
        <x:v>0</x:v>
      </x:c>
      <x:c r="F59" s="268" t="n">
        <x:f>FASE1!M59</x:f>
        <x:v>0</x:v>
      </x:c>
      <x:c r="G59" s="268" t="n">
        <x:f>FASE1!L59</x:f>
        <x:v>0</x:v>
      </x:c>
      <x:c r="H59" s="268" t="n">
        <x:f>FASE1!R59</x:f>
        <x:v>0</x:v>
      </x:c>
      <x:c r="I59" s="268" t="n">
        <x:f>FASE1!U59</x:f>
        <x:v>0</x:v>
      </x:c>
      <x:c r="J59" s="268" t="n">
        <x:f>FASE1!U59</x:f>
        <x:v>0</x:v>
      </x:c>
      <x:c r="K59" s="268" t="n">
        <x:f>FASE1!P59</x:f>
        <x:v>0</x:v>
      </x:c>
      <x:c r="L59" s="268" t="n">
        <x:f>FASE1!V59</x:f>
        <x:v>0</x:v>
      </x:c>
      <x:c r="M59" s="268" t="n">
        <x:f>AVERAGE(FASE2!F59:G59)</x:f>
        <x:v>0</x:v>
      </x:c>
      <x:c r="N59" s="268" t="n">
        <x:f>AVERAGE(FASE2!O59:P59,FASE2!S59)</x:f>
        <x:v>0</x:v>
      </x:c>
      <x:c r="O59" s="268" t="n">
        <x:f>FASE4!K59</x:f>
        <x:v>0</x:v>
      </x:c>
      <x:c r="P59" s="268" t="n">
        <x:f>FASE2!N59</x:f>
        <x:v>0</x:v>
      </x:c>
      <x:c r="Q59" s="268" t="n">
        <x:f>FASE3!P59</x:f>
        <x:v>0</x:v>
      </x:c>
      <x:c r="R59" s="268" t="n">
        <x:f>FASE3!N59</x:f>
        <x:v>0</x:v>
      </x:c>
      <x:c r="S59" s="268" t="n">
        <x:f>AVERAGE(FASE3!Q59,FASE3!R59,FASE3!T59,FASE3!S59)</x:f>
        <x:v>0</x:v>
      </x:c>
      <x:c r="T59" s="268" t="n">
        <x:f>AVERAGE(FASE3!U59,FASE3!V59,FASE3!W59)</x:f>
        <x:v>0</x:v>
      </x:c>
      <x:c r="U59" s="268" t="n">
        <x:f>FASE3!Y59</x:f>
        <x:v>0</x:v>
      </x:c>
      <x:c r="V59" s="268" t="n">
        <x:f>FASE3!X59</x:f>
        <x:v>0</x:v>
      </x:c>
      <x:c r="W59" s="268" t="n">
        <x:f>FASE4!M59</x:f>
        <x:v>0</x:v>
      </x:c>
      <x:c r="X59" s="268">
        <x:f t="shared" si="0"/>
        <x:v>0</x:v>
      </x:c>
    </x:row>
    <x:row r="60" ht="15.75">
      <x:c r="B60">
        <x:v>3</x:v>
      </x:c>
      <x:c r="C60" t="s">
        <x:v>116</x:v>
      </x:c>
      <x:c r="D60" s="243">
        <x:v>303</x:v>
      </x:c>
      <x:c r="E60" s="268" t="n">
        <x:f>FASE1!G60</x:f>
        <x:v>0</x:v>
      </x:c>
      <x:c r="F60" s="268" t="n">
        <x:f>FASE1!M60</x:f>
        <x:v>0</x:v>
      </x:c>
      <x:c r="G60" s="268" t="n">
        <x:f>FASE1!L60</x:f>
        <x:v>0</x:v>
      </x:c>
      <x:c r="H60" s="268" t="n">
        <x:f>FASE1!R60</x:f>
        <x:v>0</x:v>
      </x:c>
      <x:c r="I60" s="268" t="n">
        <x:f>FASE1!U60</x:f>
        <x:v>0</x:v>
      </x:c>
      <x:c r="J60" s="268" t="n">
        <x:f>FASE1!U60</x:f>
        <x:v>0</x:v>
      </x:c>
      <x:c r="K60" s="268" t="n">
        <x:f>FASE1!P60</x:f>
        <x:v>0</x:v>
      </x:c>
      <x:c r="L60" s="268" t="n">
        <x:f>FASE1!V60</x:f>
        <x:v>0</x:v>
      </x:c>
      <x:c r="M60" s="268" t="n">
        <x:f>AVERAGE(FASE2!F60:G60)</x:f>
        <x:v>0</x:v>
      </x:c>
      <x:c r="N60" s="268" t="n">
        <x:f>AVERAGE(FASE2!O60:P60,FASE2!S60)</x:f>
        <x:v>0</x:v>
      </x:c>
      <x:c r="O60" s="268" t="n">
        <x:f>FASE4!K60</x:f>
        <x:v>0</x:v>
      </x:c>
      <x:c r="P60" s="268" t="n">
        <x:f>FASE2!N60</x:f>
        <x:v>0</x:v>
      </x:c>
      <x:c r="Q60" s="268" t="n">
        <x:f>FASE3!P60</x:f>
        <x:v>0</x:v>
      </x:c>
      <x:c r="R60" s="268" t="n">
        <x:f>FASE3!N60</x:f>
        <x:v>0</x:v>
      </x:c>
      <x:c r="S60" s="268" t="n">
        <x:f>AVERAGE(FASE3!Q60,FASE3!R60,FASE3!T60,FASE3!S60)</x:f>
        <x:v>0</x:v>
      </x:c>
      <x:c r="T60" s="268" t="n">
        <x:f>AVERAGE(FASE3!U60,FASE3!V60,FASE3!W60)</x:f>
        <x:v>0</x:v>
      </x:c>
      <x:c r="U60" s="268" t="n">
        <x:f>FASE3!Y60</x:f>
        <x:v>0</x:v>
      </x:c>
      <x:c r="V60" s="268" t="n">
        <x:f>FASE3!X60</x:f>
        <x:v>0</x:v>
      </x:c>
      <x:c r="W60" s="268" t="n">
        <x:f>FASE4!M60</x:f>
        <x:v>0</x:v>
      </x:c>
      <x:c r="X60" s="268">
        <x:f t="shared" si="0"/>
        <x:v>0</x:v>
      </x:c>
    </x:row>
    <x:row r="61" ht="15.75">
      <x:c r="B61">
        <x:v>3</x:v>
      </x:c>
      <x:c r="C61" t="s">
        <x:v>116</x:v>
      </x:c>
      <x:c r="D61" s="243">
        <x:v>304</x:v>
      </x:c>
      <x:c r="E61" s="268" t="n">
        <x:f>FASE1!G61</x:f>
        <x:v>0</x:v>
      </x:c>
      <x:c r="F61" s="268" t="n">
        <x:f>FASE1!M61</x:f>
        <x:v>0</x:v>
      </x:c>
      <x:c r="G61" s="268" t="n">
        <x:f>FASE1!L61</x:f>
        <x:v>0</x:v>
      </x:c>
      <x:c r="H61" s="268" t="n">
        <x:f>FASE1!R61</x:f>
        <x:v>0</x:v>
      </x:c>
      <x:c r="I61" s="268" t="n">
        <x:f>FASE1!U61</x:f>
        <x:v>0</x:v>
      </x:c>
      <x:c r="J61" s="268" t="n">
        <x:f>FASE1!U61</x:f>
        <x:v>0</x:v>
      </x:c>
      <x:c r="K61" s="268" t="n">
        <x:f>FASE1!P61</x:f>
        <x:v>0</x:v>
      </x:c>
      <x:c r="L61" s="268" t="n">
        <x:f>FASE1!V61</x:f>
        <x:v>0</x:v>
      </x:c>
      <x:c r="M61" s="268" t="n">
        <x:f>AVERAGE(FASE2!F61:G61)</x:f>
        <x:v>0</x:v>
      </x:c>
      <x:c r="N61" s="268" t="n">
        <x:f>AVERAGE(FASE2!O61:P61,FASE2!S61)</x:f>
        <x:v>0</x:v>
      </x:c>
      <x:c r="O61" s="268" t="n">
        <x:f>FASE4!K61</x:f>
        <x:v>0</x:v>
      </x:c>
      <x:c r="P61" s="268" t="n">
        <x:f>FASE2!N61</x:f>
        <x:v>0</x:v>
      </x:c>
      <x:c r="Q61" s="268" t="n">
        <x:f>FASE3!P61</x:f>
        <x:v>0</x:v>
      </x:c>
      <x:c r="R61" s="268" t="n">
        <x:f>FASE3!N61</x:f>
        <x:v>0</x:v>
      </x:c>
      <x:c r="S61" s="268" t="n">
        <x:f>AVERAGE(FASE3!Q61,FASE3!R61,FASE3!T61,FASE3!S61)</x:f>
        <x:v>0</x:v>
      </x:c>
      <x:c r="T61" s="268" t="n">
        <x:f>AVERAGE(FASE3!U61,FASE3!V61,FASE3!W61)</x:f>
        <x:v>0</x:v>
      </x:c>
      <x:c r="U61" s="268" t="n">
        <x:f>FASE3!Y61</x:f>
        <x:v>0</x:v>
      </x:c>
      <x:c r="V61" s="268" t="n">
        <x:f>FASE3!X61</x:f>
        <x:v>0</x:v>
      </x:c>
      <x:c r="W61" s="268" t="n">
        <x:f>FASE4!M61</x:f>
        <x:v>0</x:v>
      </x:c>
      <x:c r="X61" s="268">
        <x:f t="shared" si="0"/>
        <x:v>0</x:v>
      </x:c>
    </x:row>
    <x:row r="62" ht="15.75">
      <x:c r="B62">
        <x:v>3</x:v>
      </x:c>
      <x:c r="C62" t="s">
        <x:v>116</x:v>
      </x:c>
      <x:c r="D62" s="243">
        <x:v>305</x:v>
      </x:c>
      <x:c r="E62" s="268" t="n">
        <x:f>FASE1!G62</x:f>
        <x:v>100</x:v>
      </x:c>
      <x:c r="F62" s="268" t="n">
        <x:f>FASE1!M62</x:f>
        <x:v>100</x:v>
      </x:c>
      <x:c r="G62" s="268" t="n">
        <x:f>FASE1!L62</x:f>
        <x:v>100</x:v>
      </x:c>
      <x:c r="H62" s="268" t="n">
        <x:f>FASE1!R62</x:f>
        <x:v>80</x:v>
      </x:c>
      <x:c r="I62" s="268" t="n">
        <x:f>FASE1!U62</x:f>
        <x:v>50</x:v>
      </x:c>
      <x:c r="J62" s="268" t="n">
        <x:f>FASE1!U62</x:f>
        <x:v>50</x:v>
      </x:c>
      <x:c r="K62" s="268" t="n">
        <x:f>FASE1!P62</x:f>
        <x:v>50</x:v>
      </x:c>
      <x:c r="L62" s="268" t="n">
        <x:f>FASE1!V62</x:f>
        <x:v>80</x:v>
      </x:c>
      <x:c r="M62" s="268" t="n">
        <x:f>AVERAGE(FASE2!F62:G62)</x:f>
        <x:v>0</x:v>
      </x:c>
      <x:c r="N62" s="268" t="n">
        <x:f>AVERAGE(FASE2!O62:P62,FASE2!S62)</x:f>
        <x:v>0</x:v>
      </x:c>
      <x:c r="O62" s="268" t="n">
        <x:f>FASE4!K62</x:f>
        <x:v>0</x:v>
      </x:c>
      <x:c r="P62" s="268" t="n">
        <x:f>FASE2!N62</x:f>
        <x:v>0.1</x:v>
      </x:c>
      <x:c r="Q62" s="268" t="n">
        <x:f>FASE3!P62</x:f>
        <x:v>0</x:v>
      </x:c>
      <x:c r="R62" s="268" t="n">
        <x:f>FASE3!N62</x:f>
        <x:v>0</x:v>
      </x:c>
      <x:c r="S62" s="268" t="n">
        <x:f>AVERAGE(FASE3!Q62,FASE3!R62,FASE3!T62,FASE3!S62)</x:f>
        <x:v>0</x:v>
      </x:c>
      <x:c r="T62" s="268" t="n">
        <x:f>AVERAGE(FASE3!U62,FASE3!V62,FASE3!W62)</x:f>
        <x:v>0</x:v>
      </x:c>
      <x:c r="U62" s="268" t="n">
        <x:f>FASE3!Y62</x:f>
        <x:v>0</x:v>
      </x:c>
      <x:c r="V62" s="268" t="n">
        <x:f>FASE3!X62</x:f>
        <x:v>0</x:v>
      </x:c>
      <x:c r="W62" s="268" t="n">
        <x:f>FASE4!M62</x:f>
        <x:v>0</x:v>
      </x:c>
      <x:c r="X62" s="268">
        <x:f t="shared" si="0"/>
        <x:v>33.894444444444446</x:v>
      </x:c>
    </x:row>
    <x:row r="63" ht="15.75">
      <x:c r="B63">
        <x:v>3</x:v>
      </x:c>
      <x:c r="C63" t="s">
        <x:v>116</x:v>
      </x:c>
      <x:c r="D63" s="243">
        <x:v>306</x:v>
      </x:c>
      <x:c r="E63" s="268" t="n">
        <x:f>FASE1!G63</x:f>
        <x:v>0</x:v>
      </x:c>
      <x:c r="F63" s="268" t="n">
        <x:f>FASE1!M63</x:f>
        <x:v>0</x:v>
      </x:c>
      <x:c r="G63" s="268" t="n">
        <x:f>FASE1!L63</x:f>
        <x:v>0</x:v>
      </x:c>
      <x:c r="H63" s="268" t="n">
        <x:f>FASE1!R63</x:f>
        <x:v>0</x:v>
      </x:c>
      <x:c r="I63" s="268" t="n">
        <x:f>FASE1!U63</x:f>
        <x:v>0</x:v>
      </x:c>
      <x:c r="J63" s="268" t="n">
        <x:f>FASE1!U63</x:f>
        <x:v>0</x:v>
      </x:c>
      <x:c r="K63" s="268" t="n">
        <x:f>FASE1!P63</x:f>
        <x:v>0</x:v>
      </x:c>
      <x:c r="L63" s="268" t="n">
        <x:f>FASE1!V63</x:f>
        <x:v>0</x:v>
      </x:c>
      <x:c r="M63" s="268" t="n">
        <x:f>AVERAGE(FASE2!F63:G63)</x:f>
        <x:v>0</x:v>
      </x:c>
      <x:c r="N63" s="268" t="n">
        <x:f>AVERAGE(FASE2!O63:P63,FASE2!S63)</x:f>
        <x:v>0</x:v>
      </x:c>
      <x:c r="O63" s="268" t="n">
        <x:f>FASE4!K63</x:f>
        <x:v>0</x:v>
      </x:c>
      <x:c r="P63" s="268" t="n">
        <x:f>FASE2!N63</x:f>
        <x:v>0</x:v>
      </x:c>
      <x:c r="Q63" s="268" t="n">
        <x:f>FASE3!P63</x:f>
        <x:v>0</x:v>
      </x:c>
      <x:c r="R63" s="268" t="n">
        <x:f>FASE3!N63</x:f>
        <x:v>0</x:v>
      </x:c>
      <x:c r="S63" s="268" t="n">
        <x:f>AVERAGE(FASE3!Q63,FASE3!R63,FASE3!T63,FASE3!S63)</x:f>
        <x:v>0</x:v>
      </x:c>
      <x:c r="T63" s="268" t="n">
        <x:f>AVERAGE(FASE3!U63,FASE3!V63,FASE3!W63)</x:f>
        <x:v>0</x:v>
      </x:c>
      <x:c r="U63" s="268" t="n">
        <x:f>FASE3!Y63</x:f>
        <x:v>0</x:v>
      </x:c>
      <x:c r="V63" s="268" t="n">
        <x:f>FASE3!X63</x:f>
        <x:v>0</x:v>
      </x:c>
      <x:c r="W63" s="268" t="n">
        <x:f>FASE4!M63</x:f>
        <x:v>0</x:v>
      </x:c>
      <x:c r="X63" s="268">
        <x:f t="shared" si="0"/>
        <x:v>0</x:v>
      </x:c>
    </x:row>
    <x:row r="64" ht="15.75">
      <x:c r="B64">
        <x:v>3</x:v>
      </x:c>
      <x:c r="C64" t="s">
        <x:v>116</x:v>
      </x:c>
      <x:c r="D64" s="243">
        <x:v>307</x:v>
      </x:c>
      <x:c r="E64" s="268" t="n">
        <x:f>FASE1!G64</x:f>
        <x:v>0</x:v>
      </x:c>
      <x:c r="F64" s="268" t="n">
        <x:f>FASE1!M64</x:f>
        <x:v>0</x:v>
      </x:c>
      <x:c r="G64" s="268" t="n">
        <x:f>FASE1!L64</x:f>
        <x:v>0</x:v>
      </x:c>
      <x:c r="H64" s="268" t="n">
        <x:f>FASE1!R64</x:f>
        <x:v>0</x:v>
      </x:c>
      <x:c r="I64" s="268" t="n">
        <x:f>FASE1!U64</x:f>
        <x:v>0</x:v>
      </x:c>
      <x:c r="J64" s="268" t="n">
        <x:f>FASE1!U64</x:f>
        <x:v>0</x:v>
      </x:c>
      <x:c r="K64" s="268" t="n">
        <x:f>FASE1!P64</x:f>
        <x:v>0</x:v>
      </x:c>
      <x:c r="L64" s="268" t="n">
        <x:f>FASE1!V64</x:f>
        <x:v>0</x:v>
      </x:c>
      <x:c r="M64" s="268" t="n">
        <x:f>AVERAGE(FASE2!F64:G64)</x:f>
        <x:v>0</x:v>
      </x:c>
      <x:c r="N64" s="268" t="n">
        <x:f>AVERAGE(FASE2!O64:P64,FASE2!S64)</x:f>
        <x:v>0</x:v>
      </x:c>
      <x:c r="O64" s="268" t="n">
        <x:f>FASE4!K64</x:f>
        <x:v>0</x:v>
      </x:c>
      <x:c r="P64" s="268" t="n">
        <x:f>FASE2!N64</x:f>
        <x:v>0</x:v>
      </x:c>
      <x:c r="Q64" s="268" t="n">
        <x:f>FASE3!P64</x:f>
        <x:v>0</x:v>
      </x:c>
      <x:c r="R64" s="268" t="n">
        <x:f>FASE3!N64</x:f>
        <x:v>0</x:v>
      </x:c>
      <x:c r="S64" s="268" t="n">
        <x:f>AVERAGE(FASE3!Q64,FASE3!R64,FASE3!T64,FASE3!S64)</x:f>
        <x:v>0</x:v>
      </x:c>
      <x:c r="T64" s="268" t="n">
        <x:f>AVERAGE(FASE3!U64,FASE3!V64,FASE3!W64)</x:f>
        <x:v>0</x:v>
      </x:c>
      <x:c r="U64" s="268" t="n">
        <x:f>FASE3!Y64</x:f>
        <x:v>0</x:v>
      </x:c>
      <x:c r="V64" s="268" t="n">
        <x:f>FASE3!X64</x:f>
        <x:v>0</x:v>
      </x:c>
      <x:c r="W64" s="268" t="n">
        <x:f>FASE4!M64</x:f>
        <x:v>0</x:v>
      </x:c>
      <x:c r="X64" s="268">
        <x:f t="shared" si="0"/>
        <x:v>0</x:v>
      </x:c>
    </x:row>
    <x:row r="65" ht="15.75">
      <x:c r="B65">
        <x:v>3</x:v>
      </x:c>
      <x:c r="C65" t="s">
        <x:v>116</x:v>
      </x:c>
      <x:c r="D65" s="243">
        <x:v>308</x:v>
      </x:c>
      <x:c r="E65" s="268" t="n">
        <x:f>FASE1!G65</x:f>
        <x:v>0</x:v>
      </x:c>
      <x:c r="F65" s="268" t="n">
        <x:f>FASE1!M65</x:f>
        <x:v>0</x:v>
      </x:c>
      <x:c r="G65" s="268" t="n">
        <x:f>FASE1!L65</x:f>
        <x:v>0</x:v>
      </x:c>
      <x:c r="H65" s="268" t="n">
        <x:f>FASE1!R65</x:f>
        <x:v>0</x:v>
      </x:c>
      <x:c r="I65" s="268" t="n">
        <x:f>FASE1!U65</x:f>
        <x:v>0</x:v>
      </x:c>
      <x:c r="J65" s="268" t="n">
        <x:f>FASE1!U65</x:f>
        <x:v>0</x:v>
      </x:c>
      <x:c r="K65" s="268" t="n">
        <x:f>FASE1!P65</x:f>
        <x:v>0</x:v>
      </x:c>
      <x:c r="L65" s="268" t="n">
        <x:f>FASE1!V65</x:f>
        <x:v>0</x:v>
      </x:c>
      <x:c r="M65" s="268" t="n">
        <x:f>AVERAGE(FASE2!F65:G65)</x:f>
        <x:v>0</x:v>
      </x:c>
      <x:c r="N65" s="268" t="n">
        <x:f>AVERAGE(FASE2!O65:P65,FASE2!S65)</x:f>
        <x:v>0</x:v>
      </x:c>
      <x:c r="O65" s="268" t="n">
        <x:f>FASE4!K65</x:f>
        <x:v>0</x:v>
      </x:c>
      <x:c r="P65" s="268" t="n">
        <x:f>FASE2!N65</x:f>
        <x:v>0</x:v>
      </x:c>
      <x:c r="Q65" s="268" t="n">
        <x:f>FASE3!P65</x:f>
        <x:v>0</x:v>
      </x:c>
      <x:c r="R65" s="268" t="n">
        <x:f>FASE3!N65</x:f>
        <x:v>0</x:v>
      </x:c>
      <x:c r="S65" s="268" t="n">
        <x:f>AVERAGE(FASE3!Q65,FASE3!R65,FASE3!T65,FASE3!S65)</x:f>
        <x:v>0</x:v>
      </x:c>
      <x:c r="T65" s="268" t="n">
        <x:f>AVERAGE(FASE3!U65,FASE3!V65,FASE3!W65)</x:f>
        <x:v>0</x:v>
      </x:c>
      <x:c r="U65" s="268" t="n">
        <x:f>FASE3!Y65</x:f>
        <x:v>0</x:v>
      </x:c>
      <x:c r="V65" s="268" t="n">
        <x:f>FASE3!X65</x:f>
        <x:v>0</x:v>
      </x:c>
      <x:c r="W65" s="268" t="n">
        <x:f>FASE4!M65</x:f>
        <x:v>0</x:v>
      </x:c>
      <x:c r="X65" s="268">
        <x:f t="shared" si="0"/>
        <x:v>0</x:v>
      </x:c>
    </x:row>
    <x:row r="66" ht="15.75">
      <x:c r="B66">
        <x:v>3</x:v>
      </x:c>
      <x:c r="C66" t="s">
        <x:v>116</x:v>
      </x:c>
      <x:c r="D66" s="243">
        <x:v>309</x:v>
      </x:c>
      <x:c r="E66" s="268" t="n">
        <x:f>FASE1!G66</x:f>
        <x:v>0</x:v>
      </x:c>
      <x:c r="F66" s="268" t="n">
        <x:f>FASE1!M66</x:f>
        <x:v>0</x:v>
      </x:c>
      <x:c r="G66" s="268" t="n">
        <x:f>FASE1!L66</x:f>
        <x:v>0</x:v>
      </x:c>
      <x:c r="H66" s="268" t="n">
        <x:f>FASE1!R66</x:f>
        <x:v>0</x:v>
      </x:c>
      <x:c r="I66" s="268" t="n">
        <x:f>FASE1!U66</x:f>
        <x:v>0</x:v>
      </x:c>
      <x:c r="J66" s="268" t="n">
        <x:f>FASE1!U66</x:f>
        <x:v>0</x:v>
      </x:c>
      <x:c r="K66" s="268" t="n">
        <x:f>FASE1!P66</x:f>
        <x:v>0</x:v>
      </x:c>
      <x:c r="L66" s="268" t="n">
        <x:f>FASE1!V66</x:f>
        <x:v>0</x:v>
      </x:c>
      <x:c r="M66" s="268" t="n">
        <x:f>AVERAGE(FASE2!F66:G66)</x:f>
        <x:v>0</x:v>
      </x:c>
      <x:c r="N66" s="268" t="n">
        <x:f>AVERAGE(FASE2!O66:P66,FASE2!S66)</x:f>
        <x:v>0</x:v>
      </x:c>
      <x:c r="O66" s="268" t="n">
        <x:f>FASE4!K66</x:f>
        <x:v>0</x:v>
      </x:c>
      <x:c r="P66" s="268" t="n">
        <x:f>FASE2!N66</x:f>
        <x:v>0</x:v>
      </x:c>
      <x:c r="Q66" s="268" t="n">
        <x:f>FASE3!P66</x:f>
        <x:v>0</x:v>
      </x:c>
      <x:c r="R66" s="268" t="n">
        <x:f>FASE3!N66</x:f>
        <x:v>0</x:v>
      </x:c>
      <x:c r="S66" s="268" t="n">
        <x:f>AVERAGE(FASE3!Q66,FASE3!R66,FASE3!T66,FASE3!S66)</x:f>
        <x:v>0</x:v>
      </x:c>
      <x:c r="T66" s="268" t="n">
        <x:f>AVERAGE(FASE3!U66,FASE3!V66,FASE3!W66)</x:f>
        <x:v>0</x:v>
      </x:c>
      <x:c r="U66" s="268" t="n">
        <x:f>FASE3!Y66</x:f>
        <x:v>0</x:v>
      </x:c>
      <x:c r="V66" s="268" t="n">
        <x:f>FASE3!X66</x:f>
        <x:v>0</x:v>
      </x:c>
      <x:c r="W66" s="268" t="n">
        <x:f>FASE4!M66</x:f>
        <x:v>0</x:v>
      </x:c>
      <x:c r="X66" s="268" t="n">
        <x:f t="shared" ref="X66:X129" si="1">AVERAGE(E66:V66)</x:f>
        <x:v>0</x:v>
      </x:c>
    </x:row>
    <x:row r="67" ht="15.75">
      <x:c r="B67">
        <x:v>3</x:v>
      </x:c>
      <x:c r="C67" t="s">
        <x:v>116</x:v>
      </x:c>
      <x:c r="D67" s="243">
        <x:v>310</x:v>
      </x:c>
      <x:c r="E67" s="268" t="n">
        <x:f>FASE1!G67</x:f>
        <x:v>0</x:v>
      </x:c>
      <x:c r="F67" s="268" t="n">
        <x:f>FASE1!M67</x:f>
        <x:v>0</x:v>
      </x:c>
      <x:c r="G67" s="268" t="n">
        <x:f>FASE1!L67</x:f>
        <x:v>0</x:v>
      </x:c>
      <x:c r="H67" s="268" t="n">
        <x:f>FASE1!R67</x:f>
        <x:v>0</x:v>
      </x:c>
      <x:c r="I67" s="268" t="n">
        <x:f>FASE1!U67</x:f>
        <x:v>0</x:v>
      </x:c>
      <x:c r="J67" s="268" t="n">
        <x:f>FASE1!U67</x:f>
        <x:v>0</x:v>
      </x:c>
      <x:c r="K67" s="268" t="n">
        <x:f>FASE1!P67</x:f>
        <x:v>0</x:v>
      </x:c>
      <x:c r="L67" s="268" t="n">
        <x:f>FASE1!V67</x:f>
        <x:v>0</x:v>
      </x:c>
      <x:c r="M67" s="268" t="n">
        <x:f>AVERAGE(FASE2!F67:G67)</x:f>
        <x:v>0</x:v>
      </x:c>
      <x:c r="N67" s="268" t="n">
        <x:f>AVERAGE(FASE2!O67:P67,FASE2!S67)</x:f>
        <x:v>0</x:v>
      </x:c>
      <x:c r="O67" s="268" t="n">
        <x:f>FASE4!K67</x:f>
        <x:v>0</x:v>
      </x:c>
      <x:c r="P67" s="268" t="n">
        <x:f>FASE2!N67</x:f>
        <x:v>0</x:v>
      </x:c>
      <x:c r="Q67" s="268" t="n">
        <x:f>FASE3!P67</x:f>
        <x:v>0</x:v>
      </x:c>
      <x:c r="R67" s="268" t="n">
        <x:f>FASE3!N67</x:f>
        <x:v>0</x:v>
      </x:c>
      <x:c r="S67" s="268" t="n">
        <x:f>AVERAGE(FASE3!Q67,FASE3!R67,FASE3!T67,FASE3!S67)</x:f>
        <x:v>0</x:v>
      </x:c>
      <x:c r="T67" s="268" t="n">
        <x:f>AVERAGE(FASE3!U67,FASE3!V67,FASE3!W67)</x:f>
        <x:v>0</x:v>
      </x:c>
      <x:c r="U67" s="268" t="n">
        <x:f>FASE3!Y67</x:f>
        <x:v>0</x:v>
      </x:c>
      <x:c r="V67" s="268" t="n">
        <x:f>FASE3!X67</x:f>
        <x:v>0</x:v>
      </x:c>
      <x:c r="W67" s="268" t="n">
        <x:f>FASE4!M67</x:f>
        <x:v>0</x:v>
      </x:c>
      <x:c r="X67" s="268">
        <x:f t="shared" si="1"/>
        <x:v>0</x:v>
      </x:c>
    </x:row>
    <x:row r="68" ht="15.75">
      <x:c r="B68">
        <x:v>3</x:v>
      </x:c>
      <x:c r="C68" t="s">
        <x:v>116</x:v>
      </x:c>
      <x:c r="D68" s="243">
        <x:v>311</x:v>
      </x:c>
      <x:c r="E68" s="268" t="n">
        <x:f>FASE1!G68</x:f>
        <x:v>0</x:v>
      </x:c>
      <x:c r="F68" s="268" t="n">
        <x:f>FASE1!M68</x:f>
        <x:v>0</x:v>
      </x:c>
      <x:c r="G68" s="268" t="n">
        <x:f>FASE1!L68</x:f>
        <x:v>0</x:v>
      </x:c>
      <x:c r="H68" s="268" t="n">
        <x:f>FASE1!R68</x:f>
        <x:v>0</x:v>
      </x:c>
      <x:c r="I68" s="268" t="n">
        <x:f>FASE1!U68</x:f>
        <x:v>0</x:v>
      </x:c>
      <x:c r="J68" s="268" t="n">
        <x:f>FASE1!U68</x:f>
        <x:v>0</x:v>
      </x:c>
      <x:c r="K68" s="268" t="n">
        <x:f>FASE1!P68</x:f>
        <x:v>0</x:v>
      </x:c>
      <x:c r="L68" s="268" t="n">
        <x:f>FASE1!V68</x:f>
        <x:v>0</x:v>
      </x:c>
      <x:c r="M68" s="268" t="n">
        <x:f>AVERAGE(FASE2!F68:G68)</x:f>
        <x:v>0</x:v>
      </x:c>
      <x:c r="N68" s="268" t="n">
        <x:f>AVERAGE(FASE2!O68:P68,FASE2!S68)</x:f>
        <x:v>0</x:v>
      </x:c>
      <x:c r="O68" s="268" t="n">
        <x:f>FASE4!K68</x:f>
        <x:v>0</x:v>
      </x:c>
      <x:c r="P68" s="268" t="n">
        <x:f>FASE2!N68</x:f>
        <x:v>0</x:v>
      </x:c>
      <x:c r="Q68" s="268" t="n">
        <x:f>FASE3!P68</x:f>
        <x:v>0</x:v>
      </x:c>
      <x:c r="R68" s="268" t="n">
        <x:f>FASE3!N68</x:f>
        <x:v>0</x:v>
      </x:c>
      <x:c r="S68" s="268" t="n">
        <x:f>AVERAGE(FASE3!Q68,FASE3!R68,FASE3!T68,FASE3!S68)</x:f>
        <x:v>0</x:v>
      </x:c>
      <x:c r="T68" s="268" t="n">
        <x:f>AVERAGE(FASE3!U68,FASE3!V68,FASE3!W68)</x:f>
        <x:v>0</x:v>
      </x:c>
      <x:c r="U68" s="268" t="n">
        <x:f>FASE3!Y68</x:f>
        <x:v>0</x:v>
      </x:c>
      <x:c r="V68" s="268" t="n">
        <x:f>FASE3!X68</x:f>
        <x:v>0</x:v>
      </x:c>
      <x:c r="W68" s="268" t="n">
        <x:f>FASE4!M68</x:f>
        <x:v>0</x:v>
      </x:c>
      <x:c r="X68" s="268">
        <x:f t="shared" si="1"/>
        <x:v>0</x:v>
      </x:c>
    </x:row>
    <x:row r="69" ht="15.75">
      <x:c r="B69">
        <x:v>3</x:v>
      </x:c>
      <x:c r="C69" t="s">
        <x:v>116</x:v>
      </x:c>
      <x:c r="D69" s="243">
        <x:v>312</x:v>
      </x:c>
      <x:c r="E69" s="268" t="n">
        <x:f>FASE1!G69</x:f>
        <x:v>0</x:v>
      </x:c>
      <x:c r="F69" s="268" t="n">
        <x:f>FASE1!M69</x:f>
        <x:v>0</x:v>
      </x:c>
      <x:c r="G69" s="268" t="n">
        <x:f>FASE1!L69</x:f>
        <x:v>0</x:v>
      </x:c>
      <x:c r="H69" s="268" t="n">
        <x:f>FASE1!R69</x:f>
        <x:v>0</x:v>
      </x:c>
      <x:c r="I69" s="268" t="n">
        <x:f>FASE1!U69</x:f>
        <x:v>0</x:v>
      </x:c>
      <x:c r="J69" s="268" t="n">
        <x:f>FASE1!U69</x:f>
        <x:v>0</x:v>
      </x:c>
      <x:c r="K69" s="268" t="n">
        <x:f>FASE1!P69</x:f>
        <x:v>0</x:v>
      </x:c>
      <x:c r="L69" s="268" t="n">
        <x:f>FASE1!V69</x:f>
        <x:v>0</x:v>
      </x:c>
      <x:c r="M69" s="268" t="n">
        <x:f>AVERAGE(FASE2!F69:G69)</x:f>
        <x:v>0</x:v>
      </x:c>
      <x:c r="N69" s="268" t="n">
        <x:f>AVERAGE(FASE2!O69:P69,FASE2!S69)</x:f>
        <x:v>0</x:v>
      </x:c>
      <x:c r="O69" s="268" t="n">
        <x:f>FASE4!K69</x:f>
        <x:v>0</x:v>
      </x:c>
      <x:c r="P69" s="268" t="n">
        <x:f>FASE2!N69</x:f>
        <x:v>0</x:v>
      </x:c>
      <x:c r="Q69" s="268" t="n">
        <x:f>FASE3!P69</x:f>
        <x:v>0</x:v>
      </x:c>
      <x:c r="R69" s="268" t="n">
        <x:f>FASE3!N69</x:f>
        <x:v>0</x:v>
      </x:c>
      <x:c r="S69" s="268" t="n">
        <x:f>AVERAGE(FASE3!Q69,FASE3!R69,FASE3!T69,FASE3!S69)</x:f>
        <x:v>0</x:v>
      </x:c>
      <x:c r="T69" s="268" t="n">
        <x:f>AVERAGE(FASE3!U69,FASE3!V69,FASE3!W69)</x:f>
        <x:v>0</x:v>
      </x:c>
      <x:c r="U69" s="268" t="n">
        <x:f>FASE3!Y69</x:f>
        <x:v>0</x:v>
      </x:c>
      <x:c r="V69" s="268" t="n">
        <x:f>FASE3!X69</x:f>
        <x:v>0</x:v>
      </x:c>
      <x:c r="W69" s="268" t="n">
        <x:f>FASE4!M69</x:f>
        <x:v>0</x:v>
      </x:c>
      <x:c r="X69" s="268">
        <x:f t="shared" si="1"/>
        <x:v>0</x:v>
      </x:c>
    </x:row>
    <x:row r="70" ht="15.75">
      <x:c r="B70">
        <x:v>3</x:v>
      </x:c>
      <x:c r="C70" t="s">
        <x:v>116</x:v>
      </x:c>
      <x:c r="D70" s="243">
        <x:v>313</x:v>
      </x:c>
      <x:c r="E70" s="268" t="n">
        <x:f>FASE1!G70</x:f>
        <x:v>0</x:v>
      </x:c>
      <x:c r="F70" s="268" t="n">
        <x:f>FASE1!M70</x:f>
        <x:v>0</x:v>
      </x:c>
      <x:c r="G70" s="268" t="n">
        <x:f>FASE1!L70</x:f>
        <x:v>0</x:v>
      </x:c>
      <x:c r="H70" s="268" t="n">
        <x:f>FASE1!R70</x:f>
        <x:v>0</x:v>
      </x:c>
      <x:c r="I70" s="268" t="n">
        <x:f>FASE1!U70</x:f>
        <x:v>0</x:v>
      </x:c>
      <x:c r="J70" s="268" t="n">
        <x:f>FASE1!U70</x:f>
        <x:v>0</x:v>
      </x:c>
      <x:c r="K70" s="268" t="n">
        <x:f>FASE1!P70</x:f>
        <x:v>0</x:v>
      </x:c>
      <x:c r="L70" s="268" t="n">
        <x:f>FASE1!V70</x:f>
        <x:v>0</x:v>
      </x:c>
      <x:c r="M70" s="268" t="n">
        <x:f>AVERAGE(FASE2!F70:G70)</x:f>
        <x:v>0</x:v>
      </x:c>
      <x:c r="N70" s="268" t="n">
        <x:f>AVERAGE(FASE2!O70:P70,FASE2!S70)</x:f>
        <x:v>0</x:v>
      </x:c>
      <x:c r="O70" s="268" t="n">
        <x:f>FASE4!K70</x:f>
        <x:v>0</x:v>
      </x:c>
      <x:c r="P70" s="268" t="n">
        <x:f>FASE2!N70</x:f>
        <x:v>0</x:v>
      </x:c>
      <x:c r="Q70" s="268" t="n">
        <x:f>FASE3!P70</x:f>
        <x:v>0</x:v>
      </x:c>
      <x:c r="R70" s="268" t="n">
        <x:f>FASE3!N70</x:f>
        <x:v>0</x:v>
      </x:c>
      <x:c r="S70" s="268" t="n">
        <x:f>AVERAGE(FASE3!Q70,FASE3!R70,FASE3!T70,FASE3!S70)</x:f>
        <x:v>0</x:v>
      </x:c>
      <x:c r="T70" s="268" t="n">
        <x:f>AVERAGE(FASE3!U70,FASE3!V70,FASE3!W70)</x:f>
        <x:v>0</x:v>
      </x:c>
      <x:c r="U70" s="268" t="n">
        <x:f>FASE3!Y70</x:f>
        <x:v>0</x:v>
      </x:c>
      <x:c r="V70" s="268" t="n">
        <x:f>FASE3!X70</x:f>
        <x:v>0</x:v>
      </x:c>
      <x:c r="W70" s="268" t="n">
        <x:f>FASE4!M70</x:f>
        <x:v>0</x:v>
      </x:c>
      <x:c r="X70" s="268">
        <x:f t="shared" si="1"/>
        <x:v>0</x:v>
      </x:c>
    </x:row>
    <x:row r="71" ht="15.75">
      <x:c r="B71">
        <x:v>3</x:v>
      </x:c>
      <x:c r="C71" t="s">
        <x:v>116</x:v>
      </x:c>
      <x:c r="D71" s="243">
        <x:v>314</x:v>
      </x:c>
      <x:c r="E71" s="268" t="n">
        <x:f>FASE1!G71</x:f>
        <x:v>0</x:v>
      </x:c>
      <x:c r="F71" s="268" t="n">
        <x:f>FASE1!M71</x:f>
        <x:v>0</x:v>
      </x:c>
      <x:c r="G71" s="268" t="n">
        <x:f>FASE1!L71</x:f>
        <x:v>0</x:v>
      </x:c>
      <x:c r="H71" s="268" t="n">
        <x:f>FASE1!R71</x:f>
        <x:v>0</x:v>
      </x:c>
      <x:c r="I71" s="268" t="n">
        <x:f>FASE1!U71</x:f>
        <x:v>0</x:v>
      </x:c>
      <x:c r="J71" s="268" t="n">
        <x:f>FASE1!U71</x:f>
        <x:v>0</x:v>
      </x:c>
      <x:c r="K71" s="268" t="n">
        <x:f>FASE1!P71</x:f>
        <x:v>0</x:v>
      </x:c>
      <x:c r="L71" s="268" t="n">
        <x:f>FASE1!V71</x:f>
        <x:v>0</x:v>
      </x:c>
      <x:c r="M71" s="268" t="n">
        <x:f>AVERAGE(FASE2!F71:G71)</x:f>
        <x:v>0</x:v>
      </x:c>
      <x:c r="N71" s="268" t="n">
        <x:f>AVERAGE(FASE2!O71:P71,FASE2!S71)</x:f>
        <x:v>0</x:v>
      </x:c>
      <x:c r="O71" s="268" t="n">
        <x:f>FASE4!K71</x:f>
        <x:v>0</x:v>
      </x:c>
      <x:c r="P71" s="268" t="n">
        <x:f>FASE2!N71</x:f>
        <x:v>0</x:v>
      </x:c>
      <x:c r="Q71" s="268" t="n">
        <x:f>FASE3!P71</x:f>
        <x:v>0</x:v>
      </x:c>
      <x:c r="R71" s="268" t="n">
        <x:f>FASE3!N71</x:f>
        <x:v>0</x:v>
      </x:c>
      <x:c r="S71" s="268" t="n">
        <x:f>AVERAGE(FASE3!Q71,FASE3!R71,FASE3!T71,FASE3!S71)</x:f>
        <x:v>0</x:v>
      </x:c>
      <x:c r="T71" s="268" t="n">
        <x:f>AVERAGE(FASE3!U71,FASE3!V71,FASE3!W71)</x:f>
        <x:v>0</x:v>
      </x:c>
      <x:c r="U71" s="268" t="n">
        <x:f>FASE3!Y71</x:f>
        <x:v>0</x:v>
      </x:c>
      <x:c r="V71" s="268" t="n">
        <x:f>FASE3!X71</x:f>
        <x:v>0</x:v>
      </x:c>
      <x:c r="W71" s="268" t="n">
        <x:f>FASE4!M71</x:f>
        <x:v>0</x:v>
      </x:c>
      <x:c r="X71" s="268">
        <x:f t="shared" si="1"/>
        <x:v>0</x:v>
      </x:c>
    </x:row>
    <x:row r="72" ht="15.75">
      <x:c r="B72">
        <x:v>3</x:v>
      </x:c>
      <x:c r="C72" t="s">
        <x:v>116</x:v>
      </x:c>
      <x:c r="D72" s="243">
        <x:v>315</x:v>
      </x:c>
      <x:c r="E72" s="268" t="n">
        <x:f>FASE1!G72</x:f>
        <x:v>0</x:v>
      </x:c>
      <x:c r="F72" s="268" t="n">
        <x:f>FASE1!M72</x:f>
        <x:v>0</x:v>
      </x:c>
      <x:c r="G72" s="268" t="n">
        <x:f>FASE1!L72</x:f>
        <x:v>0</x:v>
      </x:c>
      <x:c r="H72" s="268" t="n">
        <x:f>FASE1!R72</x:f>
        <x:v>0</x:v>
      </x:c>
      <x:c r="I72" s="268" t="n">
        <x:f>FASE1!U72</x:f>
        <x:v>0</x:v>
      </x:c>
      <x:c r="J72" s="268" t="n">
        <x:f>FASE1!U72</x:f>
        <x:v>0</x:v>
      </x:c>
      <x:c r="K72" s="268" t="n">
        <x:f>FASE1!P72</x:f>
        <x:v>0</x:v>
      </x:c>
      <x:c r="L72" s="268" t="n">
        <x:f>FASE1!V72</x:f>
        <x:v>0</x:v>
      </x:c>
      <x:c r="M72" s="268" t="n">
        <x:f>AVERAGE(FASE2!F72:G72)</x:f>
        <x:v>0</x:v>
      </x:c>
      <x:c r="N72" s="268" t="n">
        <x:f>AVERAGE(FASE2!O72:P72,FASE2!S72)</x:f>
        <x:v>0</x:v>
      </x:c>
      <x:c r="O72" s="268" t="n">
        <x:f>FASE4!K72</x:f>
        <x:v>0</x:v>
      </x:c>
      <x:c r="P72" s="268" t="n">
        <x:f>FASE2!N72</x:f>
        <x:v>0</x:v>
      </x:c>
      <x:c r="Q72" s="268" t="n">
        <x:f>FASE3!P72</x:f>
        <x:v>0</x:v>
      </x:c>
      <x:c r="R72" s="268" t="n">
        <x:f>FASE3!N72</x:f>
        <x:v>0</x:v>
      </x:c>
      <x:c r="S72" s="268" t="n">
        <x:f>AVERAGE(FASE3!Q72,FASE3!R72,FASE3!T72,FASE3!S72)</x:f>
        <x:v>0</x:v>
      </x:c>
      <x:c r="T72" s="268" t="n">
        <x:f>AVERAGE(FASE3!U72,FASE3!V72,FASE3!W72)</x:f>
        <x:v>0</x:v>
      </x:c>
      <x:c r="U72" s="268" t="n">
        <x:f>FASE3!Y72</x:f>
        <x:v>0</x:v>
      </x:c>
      <x:c r="V72" s="268" t="n">
        <x:f>FASE3!X72</x:f>
        <x:v>0</x:v>
      </x:c>
      <x:c r="W72" s="268" t="n">
        <x:f>FASE4!M72</x:f>
        <x:v>0</x:v>
      </x:c>
      <x:c r="X72" s="268">
        <x:f t="shared" si="1"/>
        <x:v>0</x:v>
      </x:c>
    </x:row>
    <x:row r="73" ht="15.75">
      <x:c r="B73">
        <x:v>3</x:v>
      </x:c>
      <x:c r="C73" t="s">
        <x:v>116</x:v>
      </x:c>
      <x:c r="D73" s="243">
        <x:v>316</x:v>
      </x:c>
      <x:c r="E73" s="268" t="n">
        <x:f>FASE1!G73</x:f>
        <x:v>0</x:v>
      </x:c>
      <x:c r="F73" s="268" t="n">
        <x:f>FASE1!M73</x:f>
        <x:v>0</x:v>
      </x:c>
      <x:c r="G73" s="268" t="n">
        <x:f>FASE1!L73</x:f>
        <x:v>0</x:v>
      </x:c>
      <x:c r="H73" s="268" t="n">
        <x:f>FASE1!R73</x:f>
        <x:v>0</x:v>
      </x:c>
      <x:c r="I73" s="268" t="n">
        <x:f>FASE1!U73</x:f>
        <x:v>0</x:v>
      </x:c>
      <x:c r="J73" s="268" t="n">
        <x:f>FASE1!U73</x:f>
        <x:v>0</x:v>
      </x:c>
      <x:c r="K73" s="268" t="n">
        <x:f>FASE1!P73</x:f>
        <x:v>0</x:v>
      </x:c>
      <x:c r="L73" s="268" t="n">
        <x:f>FASE1!V73</x:f>
        <x:v>0</x:v>
      </x:c>
      <x:c r="M73" s="268" t="n">
        <x:f>AVERAGE(FASE2!F73:G73)</x:f>
        <x:v>0</x:v>
      </x:c>
      <x:c r="N73" s="268" t="n">
        <x:f>AVERAGE(FASE2!O73:P73,FASE2!S73)</x:f>
        <x:v>0</x:v>
      </x:c>
      <x:c r="O73" s="268" t="n">
        <x:f>FASE4!K73</x:f>
        <x:v>0</x:v>
      </x:c>
      <x:c r="P73" s="268" t="n">
        <x:f>FASE2!N73</x:f>
        <x:v>0</x:v>
      </x:c>
      <x:c r="Q73" s="268" t="n">
        <x:f>FASE3!P73</x:f>
        <x:v>0</x:v>
      </x:c>
      <x:c r="R73" s="268" t="n">
        <x:f>FASE3!N73</x:f>
        <x:v>0</x:v>
      </x:c>
      <x:c r="S73" s="268" t="n">
        <x:f>AVERAGE(FASE3!Q73,FASE3!R73,FASE3!T73,FASE3!S73)</x:f>
        <x:v>0</x:v>
      </x:c>
      <x:c r="T73" s="268" t="n">
        <x:f>AVERAGE(FASE3!U73,FASE3!V73,FASE3!W73)</x:f>
        <x:v>0</x:v>
      </x:c>
      <x:c r="U73" s="268" t="n">
        <x:f>FASE3!Y73</x:f>
        <x:v>0</x:v>
      </x:c>
      <x:c r="V73" s="268" t="n">
        <x:f>FASE3!X73</x:f>
        <x:v>0</x:v>
      </x:c>
      <x:c r="W73" s="268" t="n">
        <x:f>FASE4!M73</x:f>
        <x:v>0</x:v>
      </x:c>
      <x:c r="X73" s="268">
        <x:f t="shared" si="1"/>
        <x:v>0</x:v>
      </x:c>
      <x:c r="Y73" s="2"/>
    </x:row>
    <x:row r="74" ht="15.75">
      <x:c r="B74">
        <x:v>3</x:v>
      </x:c>
      <x:c r="C74" t="s">
        <x:v>116</x:v>
      </x:c>
      <x:c r="D74" s="243">
        <x:v>317</x:v>
      </x:c>
      <x:c r="E74" s="268" t="n">
        <x:f>FASE1!G74</x:f>
        <x:v>0</x:v>
      </x:c>
      <x:c r="F74" s="268" t="n">
        <x:f>FASE1!M74</x:f>
        <x:v>0</x:v>
      </x:c>
      <x:c r="G74" s="268" t="n">
        <x:f>FASE1!L74</x:f>
        <x:v>0</x:v>
      </x:c>
      <x:c r="H74" s="268" t="n">
        <x:f>FASE1!R74</x:f>
        <x:v>0</x:v>
      </x:c>
      <x:c r="I74" s="268" t="n">
        <x:f>FASE1!U74</x:f>
        <x:v>0</x:v>
      </x:c>
      <x:c r="J74" s="268" t="n">
        <x:f>FASE1!U74</x:f>
        <x:v>0</x:v>
      </x:c>
      <x:c r="K74" s="268" t="n">
        <x:f>FASE1!P74</x:f>
        <x:v>0</x:v>
      </x:c>
      <x:c r="L74" s="268" t="n">
        <x:f>FASE1!V74</x:f>
        <x:v>0</x:v>
      </x:c>
      <x:c r="M74" s="268" t="n">
        <x:f>AVERAGE(FASE2!F74:G74)</x:f>
        <x:v>0</x:v>
      </x:c>
      <x:c r="N74" s="268" t="n">
        <x:f>AVERAGE(FASE2!O74:P74,FASE2!S74)</x:f>
        <x:v>0</x:v>
      </x:c>
      <x:c r="O74" s="268" t="n">
        <x:f>FASE4!K74</x:f>
        <x:v>0</x:v>
      </x:c>
      <x:c r="P74" s="268" t="n">
        <x:f>FASE2!N74</x:f>
        <x:v>0</x:v>
      </x:c>
      <x:c r="Q74" s="268" t="n">
        <x:f>FASE3!P74</x:f>
        <x:v>0</x:v>
      </x:c>
      <x:c r="R74" s="268" t="n">
        <x:f>FASE3!N74</x:f>
        <x:v>0</x:v>
      </x:c>
      <x:c r="S74" s="268" t="n">
        <x:f>AVERAGE(FASE3!Q74,FASE3!R74,FASE3!T74,FASE3!S74)</x:f>
        <x:v>0</x:v>
      </x:c>
      <x:c r="T74" s="268" t="n">
        <x:f>AVERAGE(FASE3!U74,FASE3!V74,FASE3!W74)</x:f>
        <x:v>0</x:v>
      </x:c>
      <x:c r="U74" s="268" t="n">
        <x:f>FASE3!Y74</x:f>
        <x:v>0</x:v>
      </x:c>
      <x:c r="V74" s="268" t="n">
        <x:f>FASE3!X74</x:f>
        <x:v>0</x:v>
      </x:c>
      <x:c r="W74" s="268" t="n">
        <x:f>FASE4!M74</x:f>
        <x:v>0</x:v>
      </x:c>
      <x:c r="X74" s="268">
        <x:f t="shared" si="1"/>
        <x:v>0</x:v>
      </x:c>
    </x:row>
    <x:row r="75" ht="15.75">
      <x:c r="B75">
        <x:v>3</x:v>
      </x:c>
      <x:c r="C75" t="s">
        <x:v>116</x:v>
      </x:c>
      <x:c r="D75" s="243">
        <x:v>318</x:v>
      </x:c>
      <x:c r="E75" s="268" t="n">
        <x:f>FASE1!G75</x:f>
        <x:v>0</x:v>
      </x:c>
      <x:c r="F75" s="268" t="n">
        <x:f>FASE1!M75</x:f>
        <x:v>0</x:v>
      </x:c>
      <x:c r="G75" s="268" t="n">
        <x:f>FASE1!L75</x:f>
        <x:v>0</x:v>
      </x:c>
      <x:c r="H75" s="268" t="n">
        <x:f>FASE1!R75</x:f>
        <x:v>0</x:v>
      </x:c>
      <x:c r="I75" s="268" t="n">
        <x:f>FASE1!U75</x:f>
        <x:v>0</x:v>
      </x:c>
      <x:c r="J75" s="268" t="n">
        <x:f>FASE1!U75</x:f>
        <x:v>0</x:v>
      </x:c>
      <x:c r="K75" s="268" t="n">
        <x:f>FASE1!P75</x:f>
        <x:v>0</x:v>
      </x:c>
      <x:c r="L75" s="268" t="n">
        <x:f>FASE1!V75</x:f>
        <x:v>0</x:v>
      </x:c>
      <x:c r="M75" s="268" t="n">
        <x:f>AVERAGE(FASE2!F75:G75)</x:f>
        <x:v>0</x:v>
      </x:c>
      <x:c r="N75" s="268" t="n">
        <x:f>AVERAGE(FASE2!O75:P75,FASE2!S75)</x:f>
        <x:v>0</x:v>
      </x:c>
      <x:c r="O75" s="268" t="n">
        <x:f>FASE4!K75</x:f>
        <x:v>0</x:v>
      </x:c>
      <x:c r="P75" s="268" t="n">
        <x:f>FASE2!N75</x:f>
        <x:v>0</x:v>
      </x:c>
      <x:c r="Q75" s="268" t="n">
        <x:f>FASE3!P75</x:f>
        <x:v>0</x:v>
      </x:c>
      <x:c r="R75" s="268" t="n">
        <x:f>FASE3!N75</x:f>
        <x:v>0</x:v>
      </x:c>
      <x:c r="S75" s="268" t="n">
        <x:f>AVERAGE(FASE3!Q75,FASE3!R75,FASE3!T75,FASE3!S75)</x:f>
        <x:v>0</x:v>
      </x:c>
      <x:c r="T75" s="268" t="n">
        <x:f>AVERAGE(FASE3!U75,FASE3!V75,FASE3!W75)</x:f>
        <x:v>0</x:v>
      </x:c>
      <x:c r="U75" s="268" t="n">
        <x:f>FASE3!Y75</x:f>
        <x:v>0</x:v>
      </x:c>
      <x:c r="V75" s="268" t="n">
        <x:f>FASE3!X75</x:f>
        <x:v>0</x:v>
      </x:c>
      <x:c r="W75" s="268" t="n">
        <x:f>FASE4!M75</x:f>
        <x:v>0</x:v>
      </x:c>
      <x:c r="X75" s="268">
        <x:f t="shared" si="1"/>
        <x:v>0</x:v>
      </x:c>
    </x:row>
    <x:row r="76" ht="15.75">
      <x:c r="B76">
        <x:v>3</x:v>
      </x:c>
      <x:c r="C76" t="s">
        <x:v>116</x:v>
      </x:c>
      <x:c r="D76" s="243">
        <x:v>319</x:v>
      </x:c>
      <x:c r="E76" s="268" t="n">
        <x:f>FASE1!G76</x:f>
        <x:v>0</x:v>
      </x:c>
      <x:c r="F76" s="268" t="n">
        <x:f>FASE1!M76</x:f>
        <x:v>0</x:v>
      </x:c>
      <x:c r="G76" s="268" t="n">
        <x:f>FASE1!L76</x:f>
        <x:v>0</x:v>
      </x:c>
      <x:c r="H76" s="268" t="n">
        <x:f>FASE1!R76</x:f>
        <x:v>0</x:v>
      </x:c>
      <x:c r="I76" s="268" t="n">
        <x:f>FASE1!U76</x:f>
        <x:v>0</x:v>
      </x:c>
      <x:c r="J76" s="268" t="n">
        <x:f>FASE1!U76</x:f>
        <x:v>0</x:v>
      </x:c>
      <x:c r="K76" s="268" t="n">
        <x:f>FASE1!P76</x:f>
        <x:v>0</x:v>
      </x:c>
      <x:c r="L76" s="268" t="n">
        <x:f>FASE1!V76</x:f>
        <x:v>0</x:v>
      </x:c>
      <x:c r="M76" s="268" t="n">
        <x:f>AVERAGE(FASE2!F76:G76)</x:f>
        <x:v>0</x:v>
      </x:c>
      <x:c r="N76" s="268" t="n">
        <x:f>AVERAGE(FASE2!O76:P76,FASE2!S76)</x:f>
        <x:v>0</x:v>
      </x:c>
      <x:c r="O76" s="268" t="n">
        <x:f>FASE4!K76</x:f>
        <x:v>0</x:v>
      </x:c>
      <x:c r="P76" s="268" t="n">
        <x:f>FASE2!N76</x:f>
        <x:v>0</x:v>
      </x:c>
      <x:c r="Q76" s="268" t="n">
        <x:f>FASE3!P76</x:f>
        <x:v>0</x:v>
      </x:c>
      <x:c r="R76" s="268" t="n">
        <x:f>FASE3!N76</x:f>
        <x:v>0</x:v>
      </x:c>
      <x:c r="S76" s="268" t="n">
        <x:f>AVERAGE(FASE3!Q76,FASE3!R76,FASE3!T76,FASE3!S76)</x:f>
        <x:v>0</x:v>
      </x:c>
      <x:c r="T76" s="268" t="n">
        <x:f>AVERAGE(FASE3!U76,FASE3!V76,FASE3!W76)</x:f>
        <x:v>0</x:v>
      </x:c>
      <x:c r="U76" s="268" t="n">
        <x:f>FASE3!Y76</x:f>
        <x:v>0</x:v>
      </x:c>
      <x:c r="V76" s="268" t="n">
        <x:f>FASE3!X76</x:f>
        <x:v>0</x:v>
      </x:c>
      <x:c r="W76" s="268" t="n">
        <x:f>FASE4!M76</x:f>
        <x:v>0</x:v>
      </x:c>
      <x:c r="X76" s="268">
        <x:f t="shared" si="1"/>
        <x:v>0</x:v>
      </x:c>
    </x:row>
    <x:row r="77" ht="15.75">
      <x:c r="B77">
        <x:v>3</x:v>
      </x:c>
      <x:c r="C77" t="s">
        <x:v>116</x:v>
      </x:c>
      <x:c r="D77" s="243">
        <x:v>320</x:v>
      </x:c>
      <x:c r="E77" s="268" t="n">
        <x:f>FASE1!G77</x:f>
        <x:v>0</x:v>
      </x:c>
      <x:c r="F77" s="268" t="n">
        <x:f>FASE1!M77</x:f>
        <x:v>0</x:v>
      </x:c>
      <x:c r="G77" s="268" t="n">
        <x:f>FASE1!L77</x:f>
        <x:v>0</x:v>
      </x:c>
      <x:c r="H77" s="268" t="n">
        <x:f>FASE1!R77</x:f>
        <x:v>0</x:v>
      </x:c>
      <x:c r="I77" s="268" t="n">
        <x:f>FASE1!U77</x:f>
        <x:v>0</x:v>
      </x:c>
      <x:c r="J77" s="268" t="n">
        <x:f>FASE1!U77</x:f>
        <x:v>0</x:v>
      </x:c>
      <x:c r="K77" s="268" t="n">
        <x:f>FASE1!P77</x:f>
        <x:v>0</x:v>
      </x:c>
      <x:c r="L77" s="268" t="n">
        <x:f>FASE1!V77</x:f>
        <x:v>0</x:v>
      </x:c>
      <x:c r="M77" s="268" t="n">
        <x:f>AVERAGE(FASE2!F77:G77)</x:f>
        <x:v>0</x:v>
      </x:c>
      <x:c r="N77" s="268" t="n">
        <x:f>AVERAGE(FASE2!O77:P77,FASE2!S77)</x:f>
        <x:v>0</x:v>
      </x:c>
      <x:c r="O77" s="268" t="n">
        <x:f>FASE4!K77</x:f>
        <x:v>0</x:v>
      </x:c>
      <x:c r="P77" s="268" t="n">
        <x:f>FASE2!N77</x:f>
        <x:v>0</x:v>
      </x:c>
      <x:c r="Q77" s="268" t="n">
        <x:f>FASE3!P77</x:f>
        <x:v>0</x:v>
      </x:c>
      <x:c r="R77" s="268" t="n">
        <x:f>FASE3!N77</x:f>
        <x:v>0</x:v>
      </x:c>
      <x:c r="S77" s="268" t="n">
        <x:f>AVERAGE(FASE3!Q77,FASE3!R77,FASE3!T77,FASE3!S77)</x:f>
        <x:v>0</x:v>
      </x:c>
      <x:c r="T77" s="268" t="n">
        <x:f>AVERAGE(FASE3!U77,FASE3!V77,FASE3!W77)</x:f>
        <x:v>0</x:v>
      </x:c>
      <x:c r="U77" s="268" t="n">
        <x:f>FASE3!Y77</x:f>
        <x:v>0</x:v>
      </x:c>
      <x:c r="V77" s="268" t="n">
        <x:f>FASE3!X77</x:f>
        <x:v>0</x:v>
      </x:c>
      <x:c r="W77" s="268" t="n">
        <x:f>FASE4!M77</x:f>
        <x:v>0</x:v>
      </x:c>
      <x:c r="X77" s="268">
        <x:f t="shared" si="1"/>
        <x:v>0</x:v>
      </x:c>
    </x:row>
    <x:row r="78" ht="15.75">
      <x:c r="B78">
        <x:v>3</x:v>
      </x:c>
      <x:c r="C78" t="s">
        <x:v>116</x:v>
      </x:c>
      <x:c r="D78" s="243">
        <x:v>321</x:v>
      </x:c>
      <x:c r="E78" s="268" t="n">
        <x:f>FASE1!G78</x:f>
        <x:v>0</x:v>
      </x:c>
      <x:c r="F78" s="268" t="n">
        <x:f>FASE1!M78</x:f>
        <x:v>0</x:v>
      </x:c>
      <x:c r="G78" s="268" t="n">
        <x:f>FASE1!L78</x:f>
        <x:v>0</x:v>
      </x:c>
      <x:c r="H78" s="268" t="n">
        <x:f>FASE1!R78</x:f>
        <x:v>0</x:v>
      </x:c>
      <x:c r="I78" s="268" t="n">
        <x:f>FASE1!U78</x:f>
        <x:v>0</x:v>
      </x:c>
      <x:c r="J78" s="268" t="n">
        <x:f>FASE1!U78</x:f>
        <x:v>0</x:v>
      </x:c>
      <x:c r="K78" s="268" t="n">
        <x:f>FASE1!P78</x:f>
        <x:v>0</x:v>
      </x:c>
      <x:c r="L78" s="268" t="n">
        <x:f>FASE1!V78</x:f>
        <x:v>0</x:v>
      </x:c>
      <x:c r="M78" s="268" t="n">
        <x:f>AVERAGE(FASE2!F78:G78)</x:f>
        <x:v>0</x:v>
      </x:c>
      <x:c r="N78" s="268" t="n">
        <x:f>AVERAGE(FASE2!O78:P78,FASE2!S78)</x:f>
        <x:v>0</x:v>
      </x:c>
      <x:c r="O78" s="268" t="n">
        <x:f>FASE4!K78</x:f>
        <x:v>0</x:v>
      </x:c>
      <x:c r="P78" s="268" t="n">
        <x:f>FASE2!N78</x:f>
        <x:v>0</x:v>
      </x:c>
      <x:c r="Q78" s="268" t="n">
        <x:f>FASE3!P78</x:f>
        <x:v>0</x:v>
      </x:c>
      <x:c r="R78" s="268" t="n">
        <x:f>FASE3!N78</x:f>
        <x:v>0</x:v>
      </x:c>
      <x:c r="S78" s="268" t="n">
        <x:f>AVERAGE(FASE3!Q78,FASE3!R78,FASE3!T78,FASE3!S78)</x:f>
        <x:v>0</x:v>
      </x:c>
      <x:c r="T78" s="268" t="n">
        <x:f>AVERAGE(FASE3!U78,FASE3!V78,FASE3!W78)</x:f>
        <x:v>0</x:v>
      </x:c>
      <x:c r="U78" s="268" t="n">
        <x:f>FASE3!Y78</x:f>
        <x:v>0</x:v>
      </x:c>
      <x:c r="V78" s="268" t="n">
        <x:f>FASE3!X78</x:f>
        <x:v>0</x:v>
      </x:c>
      <x:c r="W78" s="268" t="n">
        <x:f>FASE4!M78</x:f>
        <x:v>0</x:v>
      </x:c>
      <x:c r="X78" s="268">
        <x:f t="shared" si="1"/>
        <x:v>0</x:v>
      </x:c>
    </x:row>
    <x:row r="79" ht="15.75">
      <x:c r="B79">
        <x:v>3</x:v>
      </x:c>
      <x:c r="C79" t="s">
        <x:v>116</x:v>
      </x:c>
      <x:c r="D79" s="243">
        <x:v>322</x:v>
      </x:c>
      <x:c r="E79" s="268" t="n">
        <x:f>FASE1!G79</x:f>
        <x:v>0</x:v>
      </x:c>
      <x:c r="F79" s="268" t="n">
        <x:f>FASE1!M79</x:f>
        <x:v>0</x:v>
      </x:c>
      <x:c r="G79" s="268" t="n">
        <x:f>FASE1!L79</x:f>
        <x:v>0</x:v>
      </x:c>
      <x:c r="H79" s="268" t="n">
        <x:f>FASE1!R79</x:f>
        <x:v>0</x:v>
      </x:c>
      <x:c r="I79" s="268" t="n">
        <x:f>FASE1!U79</x:f>
        <x:v>0</x:v>
      </x:c>
      <x:c r="J79" s="268" t="n">
        <x:f>FASE1!U79</x:f>
        <x:v>0</x:v>
      </x:c>
      <x:c r="K79" s="268" t="n">
        <x:f>FASE1!P79</x:f>
        <x:v>0</x:v>
      </x:c>
      <x:c r="L79" s="268" t="n">
        <x:f>FASE1!V79</x:f>
        <x:v>0</x:v>
      </x:c>
      <x:c r="M79" s="268" t="n">
        <x:f>AVERAGE(FASE2!F79:G79)</x:f>
        <x:v>0</x:v>
      </x:c>
      <x:c r="N79" s="268" t="n">
        <x:f>AVERAGE(FASE2!O79:P79,FASE2!S79)</x:f>
        <x:v>0</x:v>
      </x:c>
      <x:c r="O79" s="268" t="n">
        <x:f>FASE4!K79</x:f>
        <x:v>0</x:v>
      </x:c>
      <x:c r="P79" s="268" t="n">
        <x:f>FASE2!N79</x:f>
        <x:v>0</x:v>
      </x:c>
      <x:c r="Q79" s="268" t="n">
        <x:f>FASE3!P79</x:f>
        <x:v>0</x:v>
      </x:c>
      <x:c r="R79" s="268" t="n">
        <x:f>FASE3!N79</x:f>
        <x:v>0</x:v>
      </x:c>
      <x:c r="S79" s="268" t="n">
        <x:f>AVERAGE(FASE3!Q79,FASE3!R79,FASE3!T79,FASE3!S79)</x:f>
        <x:v>0</x:v>
      </x:c>
      <x:c r="T79" s="268" t="n">
        <x:f>AVERAGE(FASE3!U79,FASE3!V79,FASE3!W79)</x:f>
        <x:v>0</x:v>
      </x:c>
      <x:c r="U79" s="268" t="n">
        <x:f>FASE3!Y79</x:f>
        <x:v>0</x:v>
      </x:c>
      <x:c r="V79" s="268" t="n">
        <x:f>FASE3!X79</x:f>
        <x:v>0</x:v>
      </x:c>
      <x:c r="W79" s="268" t="n">
        <x:f>FASE4!M79</x:f>
        <x:v>0</x:v>
      </x:c>
      <x:c r="X79" s="268">
        <x:f t="shared" si="1"/>
        <x:v>0</x:v>
      </x:c>
    </x:row>
    <x:row r="80" ht="15.75">
      <x:c r="B80">
        <x:v>3</x:v>
      </x:c>
      <x:c r="C80" t="s">
        <x:v>116</x:v>
      </x:c>
      <x:c r="D80" s="243">
        <x:v>323</x:v>
      </x:c>
      <x:c r="E80" s="268" t="n">
        <x:f>FASE1!G80</x:f>
        <x:v>0</x:v>
      </x:c>
      <x:c r="F80" s="268" t="n">
        <x:f>FASE1!M80</x:f>
        <x:v>0</x:v>
      </x:c>
      <x:c r="G80" s="268" t="n">
        <x:f>FASE1!L80</x:f>
        <x:v>0</x:v>
      </x:c>
      <x:c r="H80" s="268" t="n">
        <x:f>FASE1!R80</x:f>
        <x:v>0</x:v>
      </x:c>
      <x:c r="I80" s="268" t="n">
        <x:f>FASE1!U80</x:f>
        <x:v>0</x:v>
      </x:c>
      <x:c r="J80" s="268" t="n">
        <x:f>FASE1!U80</x:f>
        <x:v>0</x:v>
      </x:c>
      <x:c r="K80" s="268" t="n">
        <x:f>FASE1!P80</x:f>
        <x:v>0</x:v>
      </x:c>
      <x:c r="L80" s="268" t="n">
        <x:f>FASE1!V80</x:f>
        <x:v>0</x:v>
      </x:c>
      <x:c r="M80" s="268" t="n">
        <x:f>AVERAGE(FASE2!F80:G80)</x:f>
        <x:v>0</x:v>
      </x:c>
      <x:c r="N80" s="268" t="n">
        <x:f>AVERAGE(FASE2!O80:P80,FASE2!S80)</x:f>
        <x:v>0</x:v>
      </x:c>
      <x:c r="O80" s="268" t="n">
        <x:f>FASE4!K80</x:f>
        <x:v>0</x:v>
      </x:c>
      <x:c r="P80" s="268" t="n">
        <x:f>FASE2!N80</x:f>
        <x:v>0</x:v>
      </x:c>
      <x:c r="Q80" s="268" t="n">
        <x:f>FASE3!P80</x:f>
        <x:v>0</x:v>
      </x:c>
      <x:c r="R80" s="268" t="n">
        <x:f>FASE3!N80</x:f>
        <x:v>0</x:v>
      </x:c>
      <x:c r="S80" s="268" t="n">
        <x:f>AVERAGE(FASE3!Q80,FASE3!R80,FASE3!T80,FASE3!S80)</x:f>
        <x:v>0</x:v>
      </x:c>
      <x:c r="T80" s="268" t="n">
        <x:f>AVERAGE(FASE3!U80,FASE3!V80,FASE3!W80)</x:f>
        <x:v>0</x:v>
      </x:c>
      <x:c r="U80" s="268" t="n">
        <x:f>FASE3!Y80</x:f>
        <x:v>0</x:v>
      </x:c>
      <x:c r="V80" s="268" t="n">
        <x:f>FASE3!X80</x:f>
        <x:v>0</x:v>
      </x:c>
      <x:c r="W80" s="268" t="n">
        <x:f>FASE4!M80</x:f>
        <x:v>0</x:v>
      </x:c>
      <x:c r="X80" s="268">
        <x:f t="shared" si="1"/>
        <x:v>0</x:v>
      </x:c>
    </x:row>
    <x:row r="81" ht="15.75">
      <x:c r="B81">
        <x:v>3</x:v>
      </x:c>
      <x:c r="C81" t="s">
        <x:v>115</x:v>
      </x:c>
      <x:c r="D81" s="243">
        <x:v>301</x:v>
      </x:c>
      <x:c r="E81" s="268" t="n">
        <x:f>FASE1!G81</x:f>
        <x:v>100</x:v>
      </x:c>
      <x:c r="F81" s="268" t="n">
        <x:f>FASE1!M81</x:f>
        <x:v>0</x:v>
      </x:c>
      <x:c r="G81" s="268" t="n">
        <x:f>FASE1!L81</x:f>
        <x:v>100</x:v>
      </x:c>
      <x:c r="H81" s="268" t="n">
        <x:f>FASE1!R81</x:f>
        <x:v>0</x:v>
      </x:c>
      <x:c r="I81" s="268" t="n">
        <x:f>FASE1!U81</x:f>
        <x:v>0</x:v>
      </x:c>
      <x:c r="J81" s="268" t="n">
        <x:f>FASE1!U81</x:f>
        <x:v>0</x:v>
      </x:c>
      <x:c r="K81" s="268" t="n">
        <x:f>FASE1!P81</x:f>
        <x:v>0</x:v>
      </x:c>
      <x:c r="L81" s="268" t="n">
        <x:f>FASE1!V81</x:f>
        <x:v>0</x:v>
      </x:c>
      <x:c r="M81" s="268" t="n">
        <x:f>AVERAGE(FASE2!F81:G81)</x:f>
        <x:v>0</x:v>
      </x:c>
      <x:c r="N81" s="268" t="n">
        <x:f>AVERAGE(FASE2!O81:P81,FASE2!S81)</x:f>
        <x:v>0</x:v>
      </x:c>
      <x:c r="O81" s="268" t="n">
        <x:f>FASE4!K81</x:f>
        <x:v>0</x:v>
      </x:c>
      <x:c r="P81" s="268" t="n">
        <x:f>FASE2!N81</x:f>
        <x:v>0</x:v>
      </x:c>
      <x:c r="Q81" s="268" t="n">
        <x:f>FASE3!P81</x:f>
        <x:v>0</x:v>
      </x:c>
      <x:c r="R81" s="268" t="n">
        <x:f>FASE3!N81</x:f>
        <x:v>0</x:v>
      </x:c>
      <x:c r="S81" s="268" t="n">
        <x:f>AVERAGE(FASE3!Q81,FASE3!R81,FASE3!T81,FASE3!S81)</x:f>
        <x:v>0</x:v>
      </x:c>
      <x:c r="T81" s="268" t="n">
        <x:f>AVERAGE(FASE3!U81,FASE3!V81,FASE3!W81)</x:f>
        <x:v>0</x:v>
      </x:c>
      <x:c r="U81" s="268" t="n">
        <x:f>FASE3!Y81</x:f>
        <x:v>0</x:v>
      </x:c>
      <x:c r="V81" s="268" t="n">
        <x:f>FASE3!X81</x:f>
        <x:v>0</x:v>
      </x:c>
      <x:c r="W81" s="268" t="n">
        <x:f>FASE4!M81</x:f>
        <x:v>0</x:v>
      </x:c>
      <x:c r="X81" s="268">
        <x:f t="shared" si="1"/>
        <x:v>11.111111111111111</x:v>
      </x:c>
    </x:row>
    <x:row r="82" ht="15.75">
      <x:c r="B82">
        <x:v>3</x:v>
      </x:c>
      <x:c r="C82" t="s">
        <x:v>115</x:v>
      </x:c>
      <x:c r="D82" s="243">
        <x:v>302</x:v>
      </x:c>
      <x:c r="E82" s="268" t="n">
        <x:f>FASE1!G82</x:f>
        <x:v>100</x:v>
      </x:c>
      <x:c r="F82" s="268" t="n">
        <x:f>FASE1!M82</x:f>
        <x:v>0</x:v>
      </x:c>
      <x:c r="G82" s="268" t="n">
        <x:f>FASE1!L82</x:f>
        <x:v>100</x:v>
      </x:c>
      <x:c r="H82" s="268" t="n">
        <x:f>FASE1!R82</x:f>
        <x:v>0</x:v>
      </x:c>
      <x:c r="I82" s="268" t="n">
        <x:f>FASE1!U82</x:f>
        <x:v>0</x:v>
      </x:c>
      <x:c r="J82" s="268" t="n">
        <x:f>FASE1!U82</x:f>
        <x:v>0</x:v>
      </x:c>
      <x:c r="K82" s="268" t="n">
        <x:f>FASE1!P82</x:f>
        <x:v>0</x:v>
      </x:c>
      <x:c r="L82" s="268" t="n">
        <x:f>FASE1!V82</x:f>
        <x:v>0</x:v>
      </x:c>
      <x:c r="M82" s="268" t="n">
        <x:f>AVERAGE(FASE2!F82:G82)</x:f>
        <x:v>0</x:v>
      </x:c>
      <x:c r="N82" s="268" t="n">
        <x:f>AVERAGE(FASE2!O82:P82,FASE2!S82)</x:f>
        <x:v>0</x:v>
      </x:c>
      <x:c r="O82" s="268" t="n">
        <x:f>FASE4!K82</x:f>
        <x:v>0</x:v>
      </x:c>
      <x:c r="P82" s="268" t="n">
        <x:f>FASE2!N82</x:f>
        <x:v>0</x:v>
      </x:c>
      <x:c r="Q82" s="268" t="n">
        <x:f>FASE3!P82</x:f>
        <x:v>0</x:v>
      </x:c>
      <x:c r="R82" s="268" t="n">
        <x:f>FASE3!N82</x:f>
        <x:v>0</x:v>
      </x:c>
      <x:c r="S82" s="268" t="n">
        <x:f>AVERAGE(FASE3!Q82,FASE3!R82,FASE3!T82,FASE3!S82)</x:f>
        <x:v>0</x:v>
      </x:c>
      <x:c r="T82" s="268" t="n">
        <x:f>AVERAGE(FASE3!U82,FASE3!V82,FASE3!W82)</x:f>
        <x:v>0</x:v>
      </x:c>
      <x:c r="U82" s="268" t="n">
        <x:f>FASE3!Y82</x:f>
        <x:v>0</x:v>
      </x:c>
      <x:c r="V82" s="268" t="n">
        <x:f>FASE3!X82</x:f>
        <x:v>0</x:v>
      </x:c>
      <x:c r="W82" s="268" t="n">
        <x:f>FASE4!M82</x:f>
        <x:v>0</x:v>
      </x:c>
      <x:c r="X82" s="268">
        <x:f t="shared" si="1"/>
        <x:v>11.111111111111111</x:v>
      </x:c>
    </x:row>
    <x:row r="83" ht="15.75">
      <x:c r="B83">
        <x:v>3</x:v>
      </x:c>
      <x:c r="C83" t="s">
        <x:v>115</x:v>
      </x:c>
      <x:c r="D83" s="243">
        <x:v>303</x:v>
      </x:c>
      <x:c r="E83" s="268" t="n">
        <x:f>FASE1!G83</x:f>
        <x:v>100</x:v>
      </x:c>
      <x:c r="F83" s="268" t="n">
        <x:f>FASE1!M83</x:f>
        <x:v>0</x:v>
      </x:c>
      <x:c r="G83" s="268" t="n">
        <x:f>FASE1!L83</x:f>
        <x:v>100</x:v>
      </x:c>
      <x:c r="H83" s="268" t="n">
        <x:f>FASE1!R83</x:f>
        <x:v>0</x:v>
      </x:c>
      <x:c r="I83" s="268" t="n">
        <x:f>FASE1!U83</x:f>
        <x:v>0</x:v>
      </x:c>
      <x:c r="J83" s="268" t="n">
        <x:f>FASE1!U83</x:f>
        <x:v>0</x:v>
      </x:c>
      <x:c r="K83" s="268" t="n">
        <x:f>FASE1!P83</x:f>
        <x:v>0</x:v>
      </x:c>
      <x:c r="L83" s="268" t="n">
        <x:f>FASE1!V83</x:f>
        <x:v>0</x:v>
      </x:c>
      <x:c r="M83" s="268" t="n">
        <x:f>AVERAGE(FASE2!F83:G83)</x:f>
        <x:v>0</x:v>
      </x:c>
      <x:c r="N83" s="268" t="n">
        <x:f>AVERAGE(FASE2!O83:P83,FASE2!S83)</x:f>
        <x:v>0</x:v>
      </x:c>
      <x:c r="O83" s="268" t="n">
        <x:f>FASE4!K83</x:f>
        <x:v>0</x:v>
      </x:c>
      <x:c r="P83" s="268" t="n">
        <x:f>FASE2!N83</x:f>
        <x:v>0</x:v>
      </x:c>
      <x:c r="Q83" s="268" t="n">
        <x:f>FASE3!P83</x:f>
        <x:v>0</x:v>
      </x:c>
      <x:c r="R83" s="268" t="n">
        <x:f>FASE3!N83</x:f>
        <x:v>0</x:v>
      </x:c>
      <x:c r="S83" s="268" t="n">
        <x:f>AVERAGE(FASE3!Q83,FASE3!R83,FASE3!T83,FASE3!S83)</x:f>
        <x:v>0</x:v>
      </x:c>
      <x:c r="T83" s="268" t="n">
        <x:f>AVERAGE(FASE3!U83,FASE3!V83,FASE3!W83)</x:f>
        <x:v>0</x:v>
      </x:c>
      <x:c r="U83" s="268" t="n">
        <x:f>FASE3!Y83</x:f>
        <x:v>0</x:v>
      </x:c>
      <x:c r="V83" s="268" t="n">
        <x:f>FASE3!X83</x:f>
        <x:v>0</x:v>
      </x:c>
      <x:c r="W83" s="268" t="n">
        <x:f>FASE4!M83</x:f>
        <x:v>0</x:v>
      </x:c>
      <x:c r="X83" s="268">
        <x:f t="shared" si="1"/>
        <x:v>11.111111111111111</x:v>
      </x:c>
    </x:row>
    <x:row r="84" ht="15.75">
      <x:c r="B84">
        <x:v>3</x:v>
      </x:c>
      <x:c r="C84" t="s">
        <x:v>115</x:v>
      </x:c>
      <x:c r="D84" s="243">
        <x:v>304</x:v>
      </x:c>
      <x:c r="E84" s="268" t="n">
        <x:f>FASE1!G84</x:f>
        <x:v>100</x:v>
      </x:c>
      <x:c r="F84" s="268" t="n">
        <x:f>FASE1!M84</x:f>
        <x:v>0</x:v>
      </x:c>
      <x:c r="G84" s="268" t="n">
        <x:f>FASE1!L84</x:f>
        <x:v>100</x:v>
      </x:c>
      <x:c r="H84" s="268" t="n">
        <x:f>FASE1!R84</x:f>
        <x:v>0</x:v>
      </x:c>
      <x:c r="I84" s="268" t="n">
        <x:f>FASE1!U84</x:f>
        <x:v>0</x:v>
      </x:c>
      <x:c r="J84" s="268" t="n">
        <x:f>FASE1!U84</x:f>
        <x:v>0</x:v>
      </x:c>
      <x:c r="K84" s="268" t="n">
        <x:f>FASE1!P84</x:f>
        <x:v>0</x:v>
      </x:c>
      <x:c r="L84" s="268" t="n">
        <x:f>FASE1!V84</x:f>
        <x:v>0</x:v>
      </x:c>
      <x:c r="M84" s="268" t="n">
        <x:f>AVERAGE(FASE2!F84:G84)</x:f>
        <x:v>0</x:v>
      </x:c>
      <x:c r="N84" s="268" t="n">
        <x:f>AVERAGE(FASE2!O84:P84,FASE2!S84)</x:f>
        <x:v>0</x:v>
      </x:c>
      <x:c r="O84" s="268" t="n">
        <x:f>FASE4!K84</x:f>
        <x:v>0</x:v>
      </x:c>
      <x:c r="P84" s="268" t="n">
        <x:f>FASE2!N84</x:f>
        <x:v>0</x:v>
      </x:c>
      <x:c r="Q84" s="268" t="n">
        <x:f>FASE3!P84</x:f>
        <x:v>0</x:v>
      </x:c>
      <x:c r="R84" s="268" t="n">
        <x:f>FASE3!N84</x:f>
        <x:v>0</x:v>
      </x:c>
      <x:c r="S84" s="268" t="n">
        <x:f>AVERAGE(FASE3!Q84,FASE3!R84,FASE3!T84,FASE3!S84)</x:f>
        <x:v>0</x:v>
      </x:c>
      <x:c r="T84" s="268" t="n">
        <x:f>AVERAGE(FASE3!U84,FASE3!V84,FASE3!W84)</x:f>
        <x:v>0</x:v>
      </x:c>
      <x:c r="U84" s="268" t="n">
        <x:f>FASE3!Y84</x:f>
        <x:v>0</x:v>
      </x:c>
      <x:c r="V84" s="268" t="n">
        <x:f>FASE3!X84</x:f>
        <x:v>0</x:v>
      </x:c>
      <x:c r="W84" s="268" t="n">
        <x:f>FASE4!M84</x:f>
        <x:v>0</x:v>
      </x:c>
      <x:c r="X84" s="268">
        <x:f t="shared" si="1"/>
        <x:v>11.111111111111111</x:v>
      </x:c>
    </x:row>
    <x:row r="85" ht="15.75">
      <x:c r="B85">
        <x:v>3</x:v>
      </x:c>
      <x:c r="C85" t="s">
        <x:v>115</x:v>
      </x:c>
      <x:c r="D85" s="243">
        <x:v>305</x:v>
      </x:c>
      <x:c r="E85" s="268" t="n">
        <x:f>FASE1!G85</x:f>
        <x:v>100</x:v>
      </x:c>
      <x:c r="F85" s="268" t="n">
        <x:f>FASE1!M85</x:f>
        <x:v>0</x:v>
      </x:c>
      <x:c r="G85" s="268" t="n">
        <x:f>FASE1!L85</x:f>
        <x:v>100</x:v>
      </x:c>
      <x:c r="H85" s="268" t="n">
        <x:f>FASE1!R85</x:f>
        <x:v>0</x:v>
      </x:c>
      <x:c r="I85" s="268" t="n">
        <x:f>FASE1!U85</x:f>
        <x:v>0</x:v>
      </x:c>
      <x:c r="J85" s="268" t="n">
        <x:f>FASE1!U85</x:f>
        <x:v>0</x:v>
      </x:c>
      <x:c r="K85" s="268" t="n">
        <x:f>FASE1!P85</x:f>
        <x:v>0</x:v>
      </x:c>
      <x:c r="L85" s="268" t="n">
        <x:f>FASE1!V85</x:f>
        <x:v>0</x:v>
      </x:c>
      <x:c r="M85" s="268" t="n">
        <x:f>AVERAGE(FASE2!F85:G85)</x:f>
        <x:v>0</x:v>
      </x:c>
      <x:c r="N85" s="268" t="n">
        <x:f>AVERAGE(FASE2!O85:P85,FASE2!S85)</x:f>
        <x:v>0</x:v>
      </x:c>
      <x:c r="O85" s="268" t="n">
        <x:f>FASE4!K85</x:f>
        <x:v>0</x:v>
      </x:c>
      <x:c r="P85" s="268" t="n">
        <x:f>FASE2!N85</x:f>
        <x:v>0</x:v>
      </x:c>
      <x:c r="Q85" s="268" t="n">
        <x:f>FASE3!P85</x:f>
        <x:v>0</x:v>
      </x:c>
      <x:c r="R85" s="268" t="n">
        <x:f>FASE3!N85</x:f>
        <x:v>0</x:v>
      </x:c>
      <x:c r="S85" s="268" t="n">
        <x:f>AVERAGE(FASE3!Q85,FASE3!R85,FASE3!T85,FASE3!S85)</x:f>
        <x:v>0</x:v>
      </x:c>
      <x:c r="T85" s="268" t="n">
        <x:f>AVERAGE(FASE3!U85,FASE3!V85,FASE3!W85)</x:f>
        <x:v>0</x:v>
      </x:c>
      <x:c r="U85" s="268" t="n">
        <x:f>FASE3!Y85</x:f>
        <x:v>0</x:v>
      </x:c>
      <x:c r="V85" s="268" t="n">
        <x:f>FASE3!X85</x:f>
        <x:v>0</x:v>
      </x:c>
      <x:c r="W85" s="268" t="n">
        <x:f>FASE4!M85</x:f>
        <x:v>0</x:v>
      </x:c>
      <x:c r="X85" s="268">
        <x:f t="shared" si="1"/>
        <x:v>11.111111111111111</x:v>
      </x:c>
    </x:row>
    <x:row r="86" ht="15.75">
      <x:c r="B86">
        <x:v>3</x:v>
      </x:c>
      <x:c r="C86" t="s">
        <x:v>115</x:v>
      </x:c>
      <x:c r="D86" s="243">
        <x:v>306</x:v>
      </x:c>
      <x:c r="E86" s="268" t="n">
        <x:f>FASE1!G86</x:f>
        <x:v>100</x:v>
      </x:c>
      <x:c r="F86" s="268" t="n">
        <x:f>FASE1!M86</x:f>
        <x:v>0</x:v>
      </x:c>
      <x:c r="G86" s="268" t="n">
        <x:f>FASE1!L86</x:f>
        <x:v>100</x:v>
      </x:c>
      <x:c r="H86" s="268" t="n">
        <x:f>FASE1!R86</x:f>
        <x:v>0</x:v>
      </x:c>
      <x:c r="I86" s="268" t="n">
        <x:f>FASE1!U86</x:f>
        <x:v>0</x:v>
      </x:c>
      <x:c r="J86" s="268" t="n">
        <x:f>FASE1!U86</x:f>
        <x:v>0</x:v>
      </x:c>
      <x:c r="K86" s="268" t="n">
        <x:f>FASE1!P86</x:f>
        <x:v>0</x:v>
      </x:c>
      <x:c r="L86" s="268" t="n">
        <x:f>FASE1!V86</x:f>
        <x:v>0</x:v>
      </x:c>
      <x:c r="M86" s="268" t="n">
        <x:f>AVERAGE(FASE2!F86:G86)</x:f>
        <x:v>0</x:v>
      </x:c>
      <x:c r="N86" s="268" t="n">
        <x:f>AVERAGE(FASE2!O86:P86,FASE2!S86)</x:f>
        <x:v>0</x:v>
      </x:c>
      <x:c r="O86" s="268" t="n">
        <x:f>FASE4!K86</x:f>
        <x:v>0</x:v>
      </x:c>
      <x:c r="P86" s="268" t="n">
        <x:f>FASE2!N86</x:f>
        <x:v>0</x:v>
      </x:c>
      <x:c r="Q86" s="268" t="n">
        <x:f>FASE3!P86</x:f>
        <x:v>0</x:v>
      </x:c>
      <x:c r="R86" s="268" t="n">
        <x:f>FASE3!N86</x:f>
        <x:v>0</x:v>
      </x:c>
      <x:c r="S86" s="268" t="n">
        <x:f>AVERAGE(FASE3!Q86,FASE3!R86,FASE3!T86,FASE3!S86)</x:f>
        <x:v>0</x:v>
      </x:c>
      <x:c r="T86" s="268" t="n">
        <x:f>AVERAGE(FASE3!U86,FASE3!V86,FASE3!W86)</x:f>
        <x:v>0</x:v>
      </x:c>
      <x:c r="U86" s="268" t="n">
        <x:f>FASE3!Y86</x:f>
        <x:v>0</x:v>
      </x:c>
      <x:c r="V86" s="268" t="n">
        <x:f>FASE3!X86</x:f>
        <x:v>0</x:v>
      </x:c>
      <x:c r="W86" s="268" t="n">
        <x:f>FASE4!M86</x:f>
        <x:v>0</x:v>
      </x:c>
      <x:c r="X86" s="268">
        <x:f t="shared" si="1"/>
        <x:v>11.111111111111111</x:v>
      </x:c>
    </x:row>
    <x:row r="87" ht="15.75">
      <x:c r="B87">
        <x:v>3</x:v>
      </x:c>
      <x:c r="C87" t="s">
        <x:v>115</x:v>
      </x:c>
      <x:c r="D87" s="243">
        <x:v>307</x:v>
      </x:c>
      <x:c r="E87" s="268" t="n">
        <x:f>FASE1!G87</x:f>
        <x:v>100</x:v>
      </x:c>
      <x:c r="F87" s="268" t="n">
        <x:f>FASE1!M87</x:f>
        <x:v>0</x:v>
      </x:c>
      <x:c r="G87" s="268" t="n">
        <x:f>FASE1!L87</x:f>
        <x:v>100</x:v>
      </x:c>
      <x:c r="H87" s="268" t="n">
        <x:f>FASE1!R87</x:f>
        <x:v>0</x:v>
      </x:c>
      <x:c r="I87" s="268" t="n">
        <x:f>FASE1!U87</x:f>
        <x:v>0</x:v>
      </x:c>
      <x:c r="J87" s="268" t="n">
        <x:f>FASE1!U87</x:f>
        <x:v>0</x:v>
      </x:c>
      <x:c r="K87" s="268" t="n">
        <x:f>FASE1!P87</x:f>
        <x:v>0</x:v>
      </x:c>
      <x:c r="L87" s="268" t="n">
        <x:f>FASE1!V87</x:f>
        <x:v>0</x:v>
      </x:c>
      <x:c r="M87" s="268" t="n">
        <x:f>AVERAGE(FASE2!F87:G87)</x:f>
        <x:v>0</x:v>
      </x:c>
      <x:c r="N87" s="268" t="n">
        <x:f>AVERAGE(FASE2!O87:P87,FASE2!S87)</x:f>
        <x:v>0</x:v>
      </x:c>
      <x:c r="O87" s="268" t="n">
        <x:f>FASE4!K87</x:f>
        <x:v>0</x:v>
      </x:c>
      <x:c r="P87" s="268" t="n">
        <x:f>FASE2!N87</x:f>
        <x:v>0</x:v>
      </x:c>
      <x:c r="Q87" s="268" t="n">
        <x:f>FASE3!P87</x:f>
        <x:v>0</x:v>
      </x:c>
      <x:c r="R87" s="268" t="n">
        <x:f>FASE3!N87</x:f>
        <x:v>0</x:v>
      </x:c>
      <x:c r="S87" s="268" t="n">
        <x:f>AVERAGE(FASE3!Q87,FASE3!R87,FASE3!T87,FASE3!S87)</x:f>
        <x:v>0</x:v>
      </x:c>
      <x:c r="T87" s="268" t="n">
        <x:f>AVERAGE(FASE3!U87,FASE3!V87,FASE3!W87)</x:f>
        <x:v>0</x:v>
      </x:c>
      <x:c r="U87" s="268" t="n">
        <x:f>FASE3!Y87</x:f>
        <x:v>0</x:v>
      </x:c>
      <x:c r="V87" s="268" t="n">
        <x:f>FASE3!X87</x:f>
        <x:v>0</x:v>
      </x:c>
      <x:c r="W87" s="268" t="n">
        <x:f>FASE4!M87</x:f>
        <x:v>0</x:v>
      </x:c>
      <x:c r="X87" s="268">
        <x:f t="shared" si="1"/>
        <x:v>11.111111111111111</x:v>
      </x:c>
    </x:row>
    <x:row r="88" ht="15.75">
      <x:c r="B88">
        <x:v>3</x:v>
      </x:c>
      <x:c r="C88" t="s">
        <x:v>115</x:v>
      </x:c>
      <x:c r="D88" s="243">
        <x:v>308</x:v>
      </x:c>
      <x:c r="E88" s="268" t="n">
        <x:f>FASE1!G88</x:f>
        <x:v>100</x:v>
      </x:c>
      <x:c r="F88" s="268" t="n">
        <x:f>FASE1!M88</x:f>
        <x:v>0</x:v>
      </x:c>
      <x:c r="G88" s="268" t="n">
        <x:f>FASE1!L88</x:f>
        <x:v>100</x:v>
      </x:c>
      <x:c r="H88" s="268" t="n">
        <x:f>FASE1!R88</x:f>
        <x:v>0</x:v>
      </x:c>
      <x:c r="I88" s="268" t="n">
        <x:f>FASE1!U88</x:f>
        <x:v>0</x:v>
      </x:c>
      <x:c r="J88" s="268" t="n">
        <x:f>FASE1!U88</x:f>
        <x:v>0</x:v>
      </x:c>
      <x:c r="K88" s="268" t="n">
        <x:f>FASE1!P88</x:f>
        <x:v>0</x:v>
      </x:c>
      <x:c r="L88" s="268" t="n">
        <x:f>FASE1!V88</x:f>
        <x:v>0</x:v>
      </x:c>
      <x:c r="M88" s="268" t="n">
        <x:f>AVERAGE(FASE2!F88:G88)</x:f>
        <x:v>0</x:v>
      </x:c>
      <x:c r="N88" s="268" t="n">
        <x:f>AVERAGE(FASE2!O88:P88,FASE2!S88)</x:f>
        <x:v>0</x:v>
      </x:c>
      <x:c r="O88" s="268" t="n">
        <x:f>FASE4!K88</x:f>
        <x:v>0</x:v>
      </x:c>
      <x:c r="P88" s="268" t="n">
        <x:f>FASE2!N88</x:f>
        <x:v>0</x:v>
      </x:c>
      <x:c r="Q88" s="268" t="n">
        <x:f>FASE3!P88</x:f>
        <x:v>0</x:v>
      </x:c>
      <x:c r="R88" s="268" t="n">
        <x:f>FASE3!N88</x:f>
        <x:v>0</x:v>
      </x:c>
      <x:c r="S88" s="268" t="n">
        <x:f>AVERAGE(FASE3!Q88,FASE3!R88,FASE3!T88,FASE3!S88)</x:f>
        <x:v>0</x:v>
      </x:c>
      <x:c r="T88" s="268" t="n">
        <x:f>AVERAGE(FASE3!U88,FASE3!V88,FASE3!W88)</x:f>
        <x:v>0</x:v>
      </x:c>
      <x:c r="U88" s="268" t="n">
        <x:f>FASE3!Y88</x:f>
        <x:v>0</x:v>
      </x:c>
      <x:c r="V88" s="268" t="n">
        <x:f>FASE3!X88</x:f>
        <x:v>0</x:v>
      </x:c>
      <x:c r="W88" s="268" t="n">
        <x:f>FASE4!M88</x:f>
        <x:v>0</x:v>
      </x:c>
      <x:c r="X88" s="268">
        <x:f t="shared" si="1"/>
        <x:v>11.111111111111111</x:v>
      </x:c>
    </x:row>
    <x:row r="89" ht="15.75">
      <x:c r="B89">
        <x:v>3</x:v>
      </x:c>
      <x:c r="C89" t="s">
        <x:v>115</x:v>
      </x:c>
      <x:c r="D89" s="243">
        <x:v>309</x:v>
      </x:c>
      <x:c r="E89" s="268" t="n">
        <x:f>FASE1!G89</x:f>
        <x:v>0</x:v>
      </x:c>
      <x:c r="F89" s="268" t="n">
        <x:f>FASE1!M89</x:f>
        <x:v>0</x:v>
      </x:c>
      <x:c r="G89" s="268" t="n">
        <x:f>FASE1!L89</x:f>
        <x:v>0</x:v>
      </x:c>
      <x:c r="H89" s="268" t="n">
        <x:f>FASE1!R89</x:f>
        <x:v>0</x:v>
      </x:c>
      <x:c r="I89" s="268" t="n">
        <x:f>FASE1!U89</x:f>
        <x:v>0</x:v>
      </x:c>
      <x:c r="J89" s="268" t="n">
        <x:f>FASE1!U89</x:f>
        <x:v>0</x:v>
      </x:c>
      <x:c r="K89" s="268" t="n">
        <x:f>FASE1!P89</x:f>
        <x:v>0</x:v>
      </x:c>
      <x:c r="L89" s="268" t="n">
        <x:f>FASE1!V89</x:f>
        <x:v>0</x:v>
      </x:c>
      <x:c r="M89" s="268" t="n">
        <x:f>AVERAGE(FASE2!F89:G89)</x:f>
        <x:v>0</x:v>
      </x:c>
      <x:c r="N89" s="268" t="n">
        <x:f>AVERAGE(FASE2!O89:P89,FASE2!S89)</x:f>
        <x:v>0</x:v>
      </x:c>
      <x:c r="O89" s="268" t="n">
        <x:f>FASE4!K89</x:f>
        <x:v>0</x:v>
      </x:c>
      <x:c r="P89" s="268" t="n">
        <x:f>FASE2!N89</x:f>
        <x:v>0</x:v>
      </x:c>
      <x:c r="Q89" s="268" t="n">
        <x:f>FASE3!P89</x:f>
        <x:v>0</x:v>
      </x:c>
      <x:c r="R89" s="268" t="n">
        <x:f>FASE3!N89</x:f>
        <x:v>0</x:v>
      </x:c>
      <x:c r="S89" s="268" t="n">
        <x:f>AVERAGE(FASE3!Q89,FASE3!R89,FASE3!T89,FASE3!S89)</x:f>
        <x:v>0</x:v>
      </x:c>
      <x:c r="T89" s="268" t="n">
        <x:f>AVERAGE(FASE3!U89,FASE3!V89,FASE3!W89)</x:f>
        <x:v>0</x:v>
      </x:c>
      <x:c r="U89" s="268" t="n">
        <x:f>FASE3!Y89</x:f>
        <x:v>0</x:v>
      </x:c>
      <x:c r="V89" s="268" t="n">
        <x:f>FASE3!X89</x:f>
        <x:v>0</x:v>
      </x:c>
      <x:c r="W89" s="268" t="n">
        <x:f>FASE4!M89</x:f>
        <x:v>0</x:v>
      </x:c>
      <x:c r="X89" s="268">
        <x:f t="shared" si="1"/>
        <x:v>0</x:v>
      </x:c>
    </x:row>
    <x:row r="90" ht="15.75">
      <x:c r="B90">
        <x:v>3</x:v>
      </x:c>
      <x:c r="C90" t="s">
        <x:v>115</x:v>
      </x:c>
      <x:c r="D90" s="243">
        <x:v>310</x:v>
      </x:c>
      <x:c r="E90" s="268" t="n">
        <x:f>FASE1!G90</x:f>
        <x:v>0</x:v>
      </x:c>
      <x:c r="F90" s="268" t="n">
        <x:f>FASE1!M90</x:f>
        <x:v>0</x:v>
      </x:c>
      <x:c r="G90" s="268" t="n">
        <x:f>FASE1!L90</x:f>
        <x:v>0</x:v>
      </x:c>
      <x:c r="H90" s="268" t="n">
        <x:f>FASE1!R90</x:f>
        <x:v>0</x:v>
      </x:c>
      <x:c r="I90" s="268" t="n">
        <x:f>FASE1!U90</x:f>
        <x:v>0</x:v>
      </x:c>
      <x:c r="J90" s="268" t="n">
        <x:f>FASE1!U90</x:f>
        <x:v>0</x:v>
      </x:c>
      <x:c r="K90" s="268" t="n">
        <x:f>FASE1!P90</x:f>
        <x:v>0</x:v>
      </x:c>
      <x:c r="L90" s="268" t="n">
        <x:f>FASE1!V90</x:f>
        <x:v>0</x:v>
      </x:c>
      <x:c r="M90" s="268" t="n">
        <x:f>AVERAGE(FASE2!F90:G90)</x:f>
        <x:v>0</x:v>
      </x:c>
      <x:c r="N90" s="268" t="n">
        <x:f>AVERAGE(FASE2!O90:P90,FASE2!S90)</x:f>
        <x:v>0</x:v>
      </x:c>
      <x:c r="O90" s="268" t="n">
        <x:f>FASE4!K90</x:f>
        <x:v>0</x:v>
      </x:c>
      <x:c r="P90" s="268" t="n">
        <x:f>FASE2!N90</x:f>
        <x:v>0</x:v>
      </x:c>
      <x:c r="Q90" s="268" t="n">
        <x:f>FASE3!P90</x:f>
        <x:v>0</x:v>
      </x:c>
      <x:c r="R90" s="268" t="n">
        <x:f>FASE3!N90</x:f>
        <x:v>0</x:v>
      </x:c>
      <x:c r="S90" s="268" t="n">
        <x:f>AVERAGE(FASE3!Q90,FASE3!R90,FASE3!T90,FASE3!S90)</x:f>
        <x:v>0</x:v>
      </x:c>
      <x:c r="T90" s="268" t="n">
        <x:f>AVERAGE(FASE3!U90,FASE3!V90,FASE3!W90)</x:f>
        <x:v>0</x:v>
      </x:c>
      <x:c r="U90" s="268" t="n">
        <x:f>FASE3!Y90</x:f>
        <x:v>0</x:v>
      </x:c>
      <x:c r="V90" s="268" t="n">
        <x:f>FASE3!X90</x:f>
        <x:v>0</x:v>
      </x:c>
      <x:c r="W90" s="268" t="n">
        <x:f>FASE4!M90</x:f>
        <x:v>0</x:v>
      </x:c>
      <x:c r="X90" s="268">
        <x:f t="shared" si="1"/>
        <x:v>0</x:v>
      </x:c>
    </x:row>
    <x:row r="91" ht="15.75">
      <x:c r="B91">
        <x:v>3</x:v>
      </x:c>
      <x:c r="C91" t="s">
        <x:v>115</x:v>
      </x:c>
      <x:c r="D91" s="243">
        <x:v>311</x:v>
      </x:c>
      <x:c r="E91" s="268" t="n">
        <x:f>FASE1!G91</x:f>
        <x:v>0</x:v>
      </x:c>
      <x:c r="F91" s="268" t="n">
        <x:f>FASE1!M91</x:f>
        <x:v>0</x:v>
      </x:c>
      <x:c r="G91" s="268" t="n">
        <x:f>FASE1!L91</x:f>
        <x:v>0</x:v>
      </x:c>
      <x:c r="H91" s="268" t="n">
        <x:f>FASE1!R91</x:f>
        <x:v>0</x:v>
      </x:c>
      <x:c r="I91" s="268" t="n">
        <x:f>FASE1!U91</x:f>
        <x:v>0</x:v>
      </x:c>
      <x:c r="J91" s="268" t="n">
        <x:f>FASE1!U91</x:f>
        <x:v>0</x:v>
      </x:c>
      <x:c r="K91" s="268" t="n">
        <x:f>FASE1!P91</x:f>
        <x:v>0</x:v>
      </x:c>
      <x:c r="L91" s="268" t="n">
        <x:f>FASE1!V91</x:f>
        <x:v>0</x:v>
      </x:c>
      <x:c r="M91" s="268" t="n">
        <x:f>AVERAGE(FASE2!F91:G91)</x:f>
        <x:v>0</x:v>
      </x:c>
      <x:c r="N91" s="268" t="n">
        <x:f>AVERAGE(FASE2!O91:P91,FASE2!S91)</x:f>
        <x:v>0</x:v>
      </x:c>
      <x:c r="O91" s="268" t="n">
        <x:f>FASE4!K91</x:f>
        <x:v>0</x:v>
      </x:c>
      <x:c r="P91" s="268" t="n">
        <x:f>FASE2!N91</x:f>
        <x:v>0</x:v>
      </x:c>
      <x:c r="Q91" s="268" t="n">
        <x:f>FASE3!P91</x:f>
        <x:v>0</x:v>
      </x:c>
      <x:c r="R91" s="268" t="n">
        <x:f>FASE3!N91</x:f>
        <x:v>0</x:v>
      </x:c>
      <x:c r="S91" s="268" t="n">
        <x:f>AVERAGE(FASE3!Q91,FASE3!R91,FASE3!T91,FASE3!S91)</x:f>
        <x:v>0</x:v>
      </x:c>
      <x:c r="T91" s="268" t="n">
        <x:f>AVERAGE(FASE3!U91,FASE3!V91,FASE3!W91)</x:f>
        <x:v>0</x:v>
      </x:c>
      <x:c r="U91" s="268" t="n">
        <x:f>FASE3!Y91</x:f>
        <x:v>0</x:v>
      </x:c>
      <x:c r="V91" s="268" t="n">
        <x:f>FASE3!X91</x:f>
        <x:v>0</x:v>
      </x:c>
      <x:c r="W91" s="268" t="n">
        <x:f>FASE4!M91</x:f>
        <x:v>0</x:v>
      </x:c>
      <x:c r="X91" s="268">
        <x:f t="shared" si="1"/>
        <x:v>0</x:v>
      </x:c>
      <x:c r="Y91" s="2"/>
    </x:row>
    <x:row r="92" ht="15.75">
      <x:c r="B92">
        <x:v>3</x:v>
      </x:c>
      <x:c r="C92" t="s">
        <x:v>115</x:v>
      </x:c>
      <x:c r="D92" s="243">
        <x:v>312</x:v>
      </x:c>
      <x:c r="E92" s="268" t="n">
        <x:f>FASE1!G92</x:f>
        <x:v>0</x:v>
      </x:c>
      <x:c r="F92" s="268" t="n">
        <x:f>FASE1!M92</x:f>
        <x:v>0</x:v>
      </x:c>
      <x:c r="G92" s="268" t="n">
        <x:f>FASE1!L92</x:f>
        <x:v>0</x:v>
      </x:c>
      <x:c r="H92" s="268" t="n">
        <x:f>FASE1!R92</x:f>
        <x:v>0</x:v>
      </x:c>
      <x:c r="I92" s="268" t="n">
        <x:f>FASE1!U92</x:f>
        <x:v>0</x:v>
      </x:c>
      <x:c r="J92" s="268" t="n">
        <x:f>FASE1!U92</x:f>
        <x:v>0</x:v>
      </x:c>
      <x:c r="K92" s="268" t="n">
        <x:f>FASE1!P92</x:f>
        <x:v>0</x:v>
      </x:c>
      <x:c r="L92" s="268" t="n">
        <x:f>FASE1!V92</x:f>
        <x:v>0</x:v>
      </x:c>
      <x:c r="M92" s="268" t="n">
        <x:f>AVERAGE(FASE2!F92:G92)</x:f>
        <x:v>0</x:v>
      </x:c>
      <x:c r="N92" s="268" t="n">
        <x:f>AVERAGE(FASE2!O92:P92,FASE2!S92)</x:f>
        <x:v>0</x:v>
      </x:c>
      <x:c r="O92" s="268" t="n">
        <x:f>FASE4!K92</x:f>
        <x:v>0</x:v>
      </x:c>
      <x:c r="P92" s="268" t="n">
        <x:f>FASE2!N92</x:f>
        <x:v>0</x:v>
      </x:c>
      <x:c r="Q92" s="268" t="n">
        <x:f>FASE3!P92</x:f>
        <x:v>0</x:v>
      </x:c>
      <x:c r="R92" s="268" t="n">
        <x:f>FASE3!N92</x:f>
        <x:v>0</x:v>
      </x:c>
      <x:c r="S92" s="268" t="n">
        <x:f>AVERAGE(FASE3!Q92,FASE3!R92,FASE3!T92,FASE3!S92)</x:f>
        <x:v>0</x:v>
      </x:c>
      <x:c r="T92" s="268" t="n">
        <x:f>AVERAGE(FASE3!U92,FASE3!V92,FASE3!W92)</x:f>
        <x:v>0</x:v>
      </x:c>
      <x:c r="U92" s="268" t="n">
        <x:f>FASE3!Y92</x:f>
        <x:v>0</x:v>
      </x:c>
      <x:c r="V92" s="268" t="n">
        <x:f>FASE3!X92</x:f>
        <x:v>0</x:v>
      </x:c>
      <x:c r="W92" s="268" t="n">
        <x:f>FASE4!M92</x:f>
        <x:v>0</x:v>
      </x:c>
      <x:c r="X92" s="268">
        <x:f t="shared" si="1"/>
        <x:v>0</x:v>
      </x:c>
    </x:row>
    <x:row r="93" ht="15.75">
      <x:c r="B93">
        <x:v>3</x:v>
      </x:c>
      <x:c r="C93" t="s">
        <x:v>115</x:v>
      </x:c>
      <x:c r="D93" s="243">
        <x:v>313</x:v>
      </x:c>
      <x:c r="E93" s="268" t="n">
        <x:f>FASE1!G93</x:f>
        <x:v>0</x:v>
      </x:c>
      <x:c r="F93" s="268" t="n">
        <x:f>FASE1!M93</x:f>
        <x:v>0</x:v>
      </x:c>
      <x:c r="G93" s="268" t="n">
        <x:f>FASE1!L93</x:f>
        <x:v>0</x:v>
      </x:c>
      <x:c r="H93" s="268" t="n">
        <x:f>FASE1!R93</x:f>
        <x:v>0</x:v>
      </x:c>
      <x:c r="I93" s="268" t="n">
        <x:f>FASE1!U93</x:f>
        <x:v>0</x:v>
      </x:c>
      <x:c r="J93" s="268" t="n">
        <x:f>FASE1!U93</x:f>
        <x:v>0</x:v>
      </x:c>
      <x:c r="K93" s="268" t="n">
        <x:f>FASE1!P93</x:f>
        <x:v>0</x:v>
      </x:c>
      <x:c r="L93" s="268" t="n">
        <x:f>FASE1!V93</x:f>
        <x:v>0</x:v>
      </x:c>
      <x:c r="M93" s="268" t="n">
        <x:f>AVERAGE(FASE2!F93:G93)</x:f>
        <x:v>0</x:v>
      </x:c>
      <x:c r="N93" s="268" t="n">
        <x:f>AVERAGE(FASE2!O93:P93,FASE2!S93)</x:f>
        <x:v>0</x:v>
      </x:c>
      <x:c r="O93" s="268" t="n">
        <x:f>FASE4!K93</x:f>
        <x:v>0</x:v>
      </x:c>
      <x:c r="P93" s="268" t="n">
        <x:f>FASE2!N93</x:f>
        <x:v>0</x:v>
      </x:c>
      <x:c r="Q93" s="268" t="n">
        <x:f>FASE3!P93</x:f>
        <x:v>0</x:v>
      </x:c>
      <x:c r="R93" s="268" t="n">
        <x:f>FASE3!N93</x:f>
        <x:v>0</x:v>
      </x:c>
      <x:c r="S93" s="268" t="n">
        <x:f>AVERAGE(FASE3!Q93,FASE3!R93,FASE3!T93,FASE3!S93)</x:f>
        <x:v>0</x:v>
      </x:c>
      <x:c r="T93" s="268" t="n">
        <x:f>AVERAGE(FASE3!U93,FASE3!V93,FASE3!W93)</x:f>
        <x:v>0</x:v>
      </x:c>
      <x:c r="U93" s="268" t="n">
        <x:f>FASE3!Y93</x:f>
        <x:v>0</x:v>
      </x:c>
      <x:c r="V93" s="268" t="n">
        <x:f>FASE3!X93</x:f>
        <x:v>0</x:v>
      </x:c>
      <x:c r="W93" s="268" t="n">
        <x:f>FASE4!M93</x:f>
        <x:v>0</x:v>
      </x:c>
      <x:c r="X93" s="268">
        <x:f t="shared" si="1"/>
        <x:v>0</x:v>
      </x:c>
    </x:row>
    <x:row r="94" ht="15.75">
      <x:c r="B94">
        <x:v>3</x:v>
      </x:c>
      <x:c r="C94" t="s">
        <x:v>115</x:v>
      </x:c>
      <x:c r="D94" s="243">
        <x:v>314</x:v>
      </x:c>
      <x:c r="E94" s="268" t="n">
        <x:f>FASE1!G94</x:f>
        <x:v>0</x:v>
      </x:c>
      <x:c r="F94" s="268" t="n">
        <x:f>FASE1!M94</x:f>
        <x:v>0</x:v>
      </x:c>
      <x:c r="G94" s="268" t="n">
        <x:f>FASE1!L94</x:f>
        <x:v>0</x:v>
      </x:c>
      <x:c r="H94" s="268" t="n">
        <x:f>FASE1!R94</x:f>
        <x:v>0</x:v>
      </x:c>
      <x:c r="I94" s="268" t="n">
        <x:f>FASE1!U94</x:f>
        <x:v>0</x:v>
      </x:c>
      <x:c r="J94" s="268" t="n">
        <x:f>FASE1!U94</x:f>
        <x:v>0</x:v>
      </x:c>
      <x:c r="K94" s="268" t="n">
        <x:f>FASE1!P94</x:f>
        <x:v>0</x:v>
      </x:c>
      <x:c r="L94" s="268" t="n">
        <x:f>FASE1!V94</x:f>
        <x:v>0</x:v>
      </x:c>
      <x:c r="M94" s="268" t="n">
        <x:f>AVERAGE(FASE2!F94:G94)</x:f>
        <x:v>0</x:v>
      </x:c>
      <x:c r="N94" s="268" t="n">
        <x:f>AVERAGE(FASE2!O94:P94,FASE2!S94)</x:f>
        <x:v>0</x:v>
      </x:c>
      <x:c r="O94" s="268" t="n">
        <x:f>FASE4!K94</x:f>
        <x:v>0</x:v>
      </x:c>
      <x:c r="P94" s="268" t="n">
        <x:f>FASE2!N94</x:f>
        <x:v>0</x:v>
      </x:c>
      <x:c r="Q94" s="268" t="n">
        <x:f>FASE3!P94</x:f>
        <x:v>0</x:v>
      </x:c>
      <x:c r="R94" s="268" t="n">
        <x:f>FASE3!N94</x:f>
        <x:v>0</x:v>
      </x:c>
      <x:c r="S94" s="268" t="n">
        <x:f>AVERAGE(FASE3!Q94,FASE3!R94,FASE3!T94,FASE3!S94)</x:f>
        <x:v>0</x:v>
      </x:c>
      <x:c r="T94" s="268" t="n">
        <x:f>AVERAGE(FASE3!U94,FASE3!V94,FASE3!W94)</x:f>
        <x:v>0</x:v>
      </x:c>
      <x:c r="U94" s="268" t="n">
        <x:f>FASE3!Y94</x:f>
        <x:v>0</x:v>
      </x:c>
      <x:c r="V94" s="268" t="n">
        <x:f>FASE3!X94</x:f>
        <x:v>0</x:v>
      </x:c>
      <x:c r="W94" s="268" t="n">
        <x:f>FASE4!M94</x:f>
        <x:v>0</x:v>
      </x:c>
      <x:c r="X94" s="268">
        <x:f t="shared" si="1"/>
        <x:v>0</x:v>
      </x:c>
    </x:row>
    <x:row r="95" ht="15.75">
      <x:c r="B95">
        <x:v>3</x:v>
      </x:c>
      <x:c r="C95" t="s">
        <x:v>115</x:v>
      </x:c>
      <x:c r="D95" s="243">
        <x:v>315</x:v>
      </x:c>
      <x:c r="E95" s="268" t="n">
        <x:f>FASE1!G95</x:f>
        <x:v>0</x:v>
      </x:c>
      <x:c r="F95" s="268" t="n">
        <x:f>FASE1!M95</x:f>
        <x:v>0</x:v>
      </x:c>
      <x:c r="G95" s="268" t="n">
        <x:f>FASE1!L95</x:f>
        <x:v>0</x:v>
      </x:c>
      <x:c r="H95" s="268" t="n">
        <x:f>FASE1!R95</x:f>
        <x:v>0</x:v>
      </x:c>
      <x:c r="I95" s="268" t="n">
        <x:f>FASE1!U95</x:f>
        <x:v>0</x:v>
      </x:c>
      <x:c r="J95" s="268" t="n">
        <x:f>FASE1!U95</x:f>
        <x:v>0</x:v>
      </x:c>
      <x:c r="K95" s="268" t="n">
        <x:f>FASE1!P95</x:f>
        <x:v>0</x:v>
      </x:c>
      <x:c r="L95" s="268" t="n">
        <x:f>FASE1!V95</x:f>
        <x:v>0</x:v>
      </x:c>
      <x:c r="M95" s="268" t="n">
        <x:f>AVERAGE(FASE2!F95:G95)</x:f>
        <x:v>0</x:v>
      </x:c>
      <x:c r="N95" s="268" t="n">
        <x:f>AVERAGE(FASE2!O95:P95,FASE2!S95)</x:f>
        <x:v>0</x:v>
      </x:c>
      <x:c r="O95" s="268" t="n">
        <x:f>FASE4!K95</x:f>
        <x:v>0</x:v>
      </x:c>
      <x:c r="P95" s="268" t="n">
        <x:f>FASE2!N95</x:f>
        <x:v>0</x:v>
      </x:c>
      <x:c r="Q95" s="268" t="n">
        <x:f>FASE3!P95</x:f>
        <x:v>0</x:v>
      </x:c>
      <x:c r="R95" s="268" t="n">
        <x:f>FASE3!N95</x:f>
        <x:v>0</x:v>
      </x:c>
      <x:c r="S95" s="268" t="n">
        <x:f>AVERAGE(FASE3!Q95,FASE3!R95,FASE3!T95,FASE3!S95)</x:f>
        <x:v>0</x:v>
      </x:c>
      <x:c r="T95" s="268" t="n">
        <x:f>AVERAGE(FASE3!U95,FASE3!V95,FASE3!W95)</x:f>
        <x:v>0</x:v>
      </x:c>
      <x:c r="U95" s="268" t="n">
        <x:f>FASE3!Y95</x:f>
        <x:v>0</x:v>
      </x:c>
      <x:c r="V95" s="268" t="n">
        <x:f>FASE3!X95</x:f>
        <x:v>0</x:v>
      </x:c>
      <x:c r="W95" s="268" t="n">
        <x:f>FASE4!M95</x:f>
        <x:v>0</x:v>
      </x:c>
      <x:c r="X95" s="268">
        <x:f t="shared" si="1"/>
        <x:v>0</x:v>
      </x:c>
    </x:row>
    <x:row r="96" ht="15.75">
      <x:c r="B96">
        <x:v>3</x:v>
      </x:c>
      <x:c r="C96" t="s">
        <x:v>115</x:v>
      </x:c>
      <x:c r="D96" s="243">
        <x:v>316</x:v>
      </x:c>
      <x:c r="E96" s="268" t="n">
        <x:f>FASE1!G96</x:f>
        <x:v>0</x:v>
      </x:c>
      <x:c r="F96" s="268" t="n">
        <x:f>FASE1!M96</x:f>
        <x:v>0</x:v>
      </x:c>
      <x:c r="G96" s="268" t="n">
        <x:f>FASE1!L96</x:f>
        <x:v>0</x:v>
      </x:c>
      <x:c r="H96" s="268" t="n">
        <x:f>FASE1!R96</x:f>
        <x:v>0</x:v>
      </x:c>
      <x:c r="I96" s="268" t="n">
        <x:f>FASE1!U96</x:f>
        <x:v>0</x:v>
      </x:c>
      <x:c r="J96" s="268" t="n">
        <x:f>FASE1!U96</x:f>
        <x:v>0</x:v>
      </x:c>
      <x:c r="K96" s="268" t="n">
        <x:f>FASE1!P96</x:f>
        <x:v>0</x:v>
      </x:c>
      <x:c r="L96" s="268" t="n">
        <x:f>FASE1!V96</x:f>
        <x:v>0</x:v>
      </x:c>
      <x:c r="M96" s="268" t="n">
        <x:f>AVERAGE(FASE2!F96:G96)</x:f>
        <x:v>0</x:v>
      </x:c>
      <x:c r="N96" s="268" t="n">
        <x:f>AVERAGE(FASE2!O96:P96,FASE2!S96)</x:f>
        <x:v>0</x:v>
      </x:c>
      <x:c r="O96" s="268" t="n">
        <x:f>FASE4!K96</x:f>
        <x:v>0</x:v>
      </x:c>
      <x:c r="P96" s="268" t="n">
        <x:f>FASE2!N96</x:f>
        <x:v>0</x:v>
      </x:c>
      <x:c r="Q96" s="268" t="n">
        <x:f>FASE3!P96</x:f>
        <x:v>0</x:v>
      </x:c>
      <x:c r="R96" s="268" t="n">
        <x:f>FASE3!N96</x:f>
        <x:v>0</x:v>
      </x:c>
      <x:c r="S96" s="268" t="n">
        <x:f>AVERAGE(FASE3!Q96,FASE3!R96,FASE3!T96,FASE3!S96)</x:f>
        <x:v>0</x:v>
      </x:c>
      <x:c r="T96" s="268" t="n">
        <x:f>AVERAGE(FASE3!U96,FASE3!V96,FASE3!W96)</x:f>
        <x:v>0</x:v>
      </x:c>
      <x:c r="U96" s="268" t="n">
        <x:f>FASE3!Y96</x:f>
        <x:v>0</x:v>
      </x:c>
      <x:c r="V96" s="268" t="n">
        <x:f>FASE3!X96</x:f>
        <x:v>0</x:v>
      </x:c>
      <x:c r="W96" s="268" t="n">
        <x:f>FASE4!M96</x:f>
        <x:v>0</x:v>
      </x:c>
      <x:c r="X96" s="268">
        <x:f t="shared" si="1"/>
        <x:v>0</x:v>
      </x:c>
    </x:row>
    <x:row r="97" ht="15.75">
      <x:c r="B97">
        <x:v>3</x:v>
      </x:c>
      <x:c r="C97" t="s">
        <x:v>115</x:v>
      </x:c>
      <x:c r="D97" s="243">
        <x:v>317</x:v>
      </x:c>
      <x:c r="E97" s="268" t="n">
        <x:f>FASE1!G97</x:f>
        <x:v>0</x:v>
      </x:c>
      <x:c r="F97" s="268" t="n">
        <x:f>FASE1!M97</x:f>
        <x:v>0</x:v>
      </x:c>
      <x:c r="G97" s="268" t="n">
        <x:f>FASE1!L97</x:f>
        <x:v>0</x:v>
      </x:c>
      <x:c r="H97" s="268" t="n">
        <x:f>FASE1!R97</x:f>
        <x:v>0</x:v>
      </x:c>
      <x:c r="I97" s="268" t="n">
        <x:f>FASE1!U97</x:f>
        <x:v>0</x:v>
      </x:c>
      <x:c r="J97" s="268" t="n">
        <x:f>FASE1!U97</x:f>
        <x:v>0</x:v>
      </x:c>
      <x:c r="K97" s="268" t="n">
        <x:f>FASE1!P97</x:f>
        <x:v>0</x:v>
      </x:c>
      <x:c r="L97" s="268" t="n">
        <x:f>FASE1!V97</x:f>
        <x:v>0</x:v>
      </x:c>
      <x:c r="M97" s="268" t="n">
        <x:f>AVERAGE(FASE2!F97:G97)</x:f>
        <x:v>0</x:v>
      </x:c>
      <x:c r="N97" s="268" t="n">
        <x:f>AVERAGE(FASE2!O97:P97,FASE2!S97)</x:f>
        <x:v>0</x:v>
      </x:c>
      <x:c r="O97" s="268" t="n">
        <x:f>FASE4!K97</x:f>
        <x:v>0</x:v>
      </x:c>
      <x:c r="P97" s="268" t="n">
        <x:f>FASE2!N97</x:f>
        <x:v>0</x:v>
      </x:c>
      <x:c r="Q97" s="268" t="n">
        <x:f>FASE3!P97</x:f>
        <x:v>0</x:v>
      </x:c>
      <x:c r="R97" s="268" t="n">
        <x:f>FASE3!N97</x:f>
        <x:v>0</x:v>
      </x:c>
      <x:c r="S97" s="268" t="n">
        <x:f>AVERAGE(FASE3!Q97,FASE3!R97,FASE3!T97,FASE3!S97)</x:f>
        <x:v>0</x:v>
      </x:c>
      <x:c r="T97" s="268" t="n">
        <x:f>AVERAGE(FASE3!U97,FASE3!V97,FASE3!W97)</x:f>
        <x:v>0</x:v>
      </x:c>
      <x:c r="U97" s="268" t="n">
        <x:f>FASE3!Y97</x:f>
        <x:v>0</x:v>
      </x:c>
      <x:c r="V97" s="268" t="n">
        <x:f>FASE3!X97</x:f>
        <x:v>0</x:v>
      </x:c>
      <x:c r="W97" s="268" t="n">
        <x:f>FASE4!M97</x:f>
        <x:v>0</x:v>
      </x:c>
      <x:c r="X97" s="268">
        <x:f t="shared" si="1"/>
        <x:v>0</x:v>
      </x:c>
    </x:row>
    <x:row r="98" ht="15.75">
      <x:c r="B98">
        <x:v>3</x:v>
      </x:c>
      <x:c r="C98" t="s">
        <x:v>115</x:v>
      </x:c>
      <x:c r="D98" s="243">
        <x:v>318</x:v>
      </x:c>
      <x:c r="E98" s="268" t="n">
        <x:f>FASE1!G98</x:f>
        <x:v>0</x:v>
      </x:c>
      <x:c r="F98" s="268" t="n">
        <x:f>FASE1!M98</x:f>
        <x:v>0</x:v>
      </x:c>
      <x:c r="G98" s="268" t="n">
        <x:f>FASE1!L98</x:f>
        <x:v>0</x:v>
      </x:c>
      <x:c r="H98" s="268" t="n">
        <x:f>FASE1!R98</x:f>
        <x:v>0</x:v>
      </x:c>
      <x:c r="I98" s="268" t="n">
        <x:f>FASE1!U98</x:f>
        <x:v>0</x:v>
      </x:c>
      <x:c r="J98" s="268" t="n">
        <x:f>FASE1!U98</x:f>
        <x:v>0</x:v>
      </x:c>
      <x:c r="K98" s="268" t="n">
        <x:f>FASE1!P98</x:f>
        <x:v>0</x:v>
      </x:c>
      <x:c r="L98" s="268" t="n">
        <x:f>FASE1!V98</x:f>
        <x:v>0</x:v>
      </x:c>
      <x:c r="M98" s="268" t="n">
        <x:f>AVERAGE(FASE2!F98:G98)</x:f>
        <x:v>0</x:v>
      </x:c>
      <x:c r="N98" s="268" t="n">
        <x:f>AVERAGE(FASE2!O98:P98,FASE2!S98)</x:f>
        <x:v>0</x:v>
      </x:c>
      <x:c r="O98" s="268" t="n">
        <x:f>FASE4!K98</x:f>
        <x:v>0</x:v>
      </x:c>
      <x:c r="P98" s="268" t="n">
        <x:f>FASE2!N98</x:f>
        <x:v>0</x:v>
      </x:c>
      <x:c r="Q98" s="268" t="n">
        <x:f>FASE3!P98</x:f>
        <x:v>0</x:v>
      </x:c>
      <x:c r="R98" s="268" t="n">
        <x:f>FASE3!N98</x:f>
        <x:v>0</x:v>
      </x:c>
      <x:c r="S98" s="268" t="n">
        <x:f>AVERAGE(FASE3!Q98,FASE3!R98,FASE3!T98,FASE3!S98)</x:f>
        <x:v>0</x:v>
      </x:c>
      <x:c r="T98" s="268" t="n">
        <x:f>AVERAGE(FASE3!U98,FASE3!V98,FASE3!W98)</x:f>
        <x:v>0</x:v>
      </x:c>
      <x:c r="U98" s="268" t="n">
        <x:f>FASE3!Y98</x:f>
        <x:v>0</x:v>
      </x:c>
      <x:c r="V98" s="268" t="n">
        <x:f>FASE3!X98</x:f>
        <x:v>0</x:v>
      </x:c>
      <x:c r="W98" s="268" t="n">
        <x:f>FASE4!M98</x:f>
        <x:v>0</x:v>
      </x:c>
      <x:c r="X98" s="268">
        <x:f t="shared" si="1"/>
        <x:v>0</x:v>
      </x:c>
    </x:row>
    <x:row r="99" ht="15.75">
      <x:c r="B99">
        <x:v>3</x:v>
      </x:c>
      <x:c r="C99" t="s">
        <x:v>115</x:v>
      </x:c>
      <x:c r="D99" s="243">
        <x:v>319</x:v>
      </x:c>
      <x:c r="E99" s="268" t="n">
        <x:f>FASE1!G99</x:f>
        <x:v>0</x:v>
      </x:c>
      <x:c r="F99" s="268" t="n">
        <x:f>FASE1!M99</x:f>
        <x:v>0</x:v>
      </x:c>
      <x:c r="G99" s="268" t="n">
        <x:f>FASE1!L99</x:f>
        <x:v>0</x:v>
      </x:c>
      <x:c r="H99" s="268" t="n">
        <x:f>FASE1!R99</x:f>
        <x:v>0</x:v>
      </x:c>
      <x:c r="I99" s="268" t="n">
        <x:f>FASE1!U99</x:f>
        <x:v>0</x:v>
      </x:c>
      <x:c r="J99" s="268" t="n">
        <x:f>FASE1!U99</x:f>
        <x:v>0</x:v>
      </x:c>
      <x:c r="K99" s="268" t="n">
        <x:f>FASE1!P99</x:f>
        <x:v>0</x:v>
      </x:c>
      <x:c r="L99" s="268" t="n">
        <x:f>FASE1!V99</x:f>
        <x:v>0</x:v>
      </x:c>
      <x:c r="M99" s="268" t="n">
        <x:f>AVERAGE(FASE2!F99:G99)</x:f>
        <x:v>0</x:v>
      </x:c>
      <x:c r="N99" s="268" t="n">
        <x:f>AVERAGE(FASE2!O99:P99,FASE2!S99)</x:f>
        <x:v>0</x:v>
      </x:c>
      <x:c r="O99" s="268" t="n">
        <x:f>FASE4!K99</x:f>
        <x:v>0</x:v>
      </x:c>
      <x:c r="P99" s="268" t="n">
        <x:f>FASE2!N99</x:f>
        <x:v>0</x:v>
      </x:c>
      <x:c r="Q99" s="268" t="n">
        <x:f>FASE3!P99</x:f>
        <x:v>0</x:v>
      </x:c>
      <x:c r="R99" s="268" t="n">
        <x:f>FASE3!N99</x:f>
        <x:v>0</x:v>
      </x:c>
      <x:c r="S99" s="268" t="n">
        <x:f>AVERAGE(FASE3!Q99,FASE3!R99,FASE3!T99,FASE3!S99)</x:f>
        <x:v>0</x:v>
      </x:c>
      <x:c r="T99" s="268" t="n">
        <x:f>AVERAGE(FASE3!U99,FASE3!V99,FASE3!W99)</x:f>
        <x:v>0</x:v>
      </x:c>
      <x:c r="U99" s="268" t="n">
        <x:f>FASE3!Y99</x:f>
        <x:v>0</x:v>
      </x:c>
      <x:c r="V99" s="268" t="n">
        <x:f>FASE3!X99</x:f>
        <x:v>0</x:v>
      </x:c>
      <x:c r="W99" s="268" t="n">
        <x:f>FASE4!M99</x:f>
        <x:v>0</x:v>
      </x:c>
      <x:c r="X99" s="268">
        <x:f t="shared" si="1"/>
        <x:v>0</x:v>
      </x:c>
    </x:row>
    <x:row r="100" ht="15.75">
      <x:c r="B100">
        <x:v>3</x:v>
      </x:c>
      <x:c r="C100" t="s">
        <x:v>115</x:v>
      </x:c>
      <x:c r="D100" s="243">
        <x:v>320</x:v>
      </x:c>
      <x:c r="E100" s="268" t="n">
        <x:f>FASE1!G100</x:f>
        <x:v>0</x:v>
      </x:c>
      <x:c r="F100" s="268" t="n">
        <x:f>FASE1!M100</x:f>
        <x:v>0</x:v>
      </x:c>
      <x:c r="G100" s="268" t="n">
        <x:f>FASE1!L100</x:f>
        <x:v>0</x:v>
      </x:c>
      <x:c r="H100" s="268" t="n">
        <x:f>FASE1!R100</x:f>
        <x:v>0</x:v>
      </x:c>
      <x:c r="I100" s="268" t="n">
        <x:f>FASE1!U100</x:f>
        <x:v>0</x:v>
      </x:c>
      <x:c r="J100" s="268" t="n">
        <x:f>FASE1!U100</x:f>
        <x:v>0</x:v>
      </x:c>
      <x:c r="K100" s="268" t="n">
        <x:f>FASE1!P100</x:f>
        <x:v>0</x:v>
      </x:c>
      <x:c r="L100" s="268" t="n">
        <x:f>FASE1!V100</x:f>
        <x:v>0</x:v>
      </x:c>
      <x:c r="M100" s="268" t="n">
        <x:f>AVERAGE(FASE2!F100:G100)</x:f>
        <x:v>0</x:v>
      </x:c>
      <x:c r="N100" s="268" t="n">
        <x:f>AVERAGE(FASE2!O100:P100,FASE2!S100)</x:f>
        <x:v>0</x:v>
      </x:c>
      <x:c r="O100" s="268" t="n">
        <x:f>FASE4!K100</x:f>
        <x:v>0</x:v>
      </x:c>
      <x:c r="P100" s="268" t="n">
        <x:f>FASE2!N100</x:f>
        <x:v>0</x:v>
      </x:c>
      <x:c r="Q100" s="268" t="n">
        <x:f>FASE3!P100</x:f>
        <x:v>0</x:v>
      </x:c>
      <x:c r="R100" s="268" t="n">
        <x:f>FASE3!N100</x:f>
        <x:v>0</x:v>
      </x:c>
      <x:c r="S100" s="268" t="n">
        <x:f>AVERAGE(FASE3!Q100,FASE3!R100,FASE3!T100,FASE3!S100)</x:f>
        <x:v>0</x:v>
      </x:c>
      <x:c r="T100" s="268" t="n">
        <x:f>AVERAGE(FASE3!U100,FASE3!V100,FASE3!W100)</x:f>
        <x:v>0</x:v>
      </x:c>
      <x:c r="U100" s="268" t="n">
        <x:f>FASE3!Y100</x:f>
        <x:v>0</x:v>
      </x:c>
      <x:c r="V100" s="268" t="n">
        <x:f>FASE3!X100</x:f>
        <x:v>0</x:v>
      </x:c>
      <x:c r="W100" s="268" t="n">
        <x:f>FASE4!M100</x:f>
        <x:v>0</x:v>
      </x:c>
      <x:c r="X100" s="268">
        <x:f t="shared" si="1"/>
        <x:v>0</x:v>
      </x:c>
    </x:row>
    <x:row r="101" ht="15.75">
      <x:c r="B101">
        <x:v>3</x:v>
      </x:c>
      <x:c r="C101" t="s">
        <x:v>115</x:v>
      </x:c>
      <x:c r="D101" s="243">
        <x:v>321</x:v>
      </x:c>
      <x:c r="E101" s="268" t="n">
        <x:f>FASE1!G101</x:f>
        <x:v>0</x:v>
      </x:c>
      <x:c r="F101" s="268" t="n">
        <x:f>FASE1!M101</x:f>
        <x:v>0</x:v>
      </x:c>
      <x:c r="G101" s="268" t="n">
        <x:f>FASE1!L101</x:f>
        <x:v>0</x:v>
      </x:c>
      <x:c r="H101" s="268" t="n">
        <x:f>FASE1!R101</x:f>
        <x:v>0</x:v>
      </x:c>
      <x:c r="I101" s="268" t="n">
        <x:f>FASE1!U101</x:f>
        <x:v>0</x:v>
      </x:c>
      <x:c r="J101" s="268" t="n">
        <x:f>FASE1!U101</x:f>
        <x:v>0</x:v>
      </x:c>
      <x:c r="K101" s="268" t="n">
        <x:f>FASE1!P101</x:f>
        <x:v>0</x:v>
      </x:c>
      <x:c r="L101" s="268" t="n">
        <x:f>FASE1!V101</x:f>
        <x:v>0</x:v>
      </x:c>
      <x:c r="M101" s="268" t="n">
        <x:f>AVERAGE(FASE2!F101:G101)</x:f>
        <x:v>0</x:v>
      </x:c>
      <x:c r="N101" s="268" t="n">
        <x:f>AVERAGE(FASE2!O101:P101,FASE2!S101)</x:f>
        <x:v>0</x:v>
      </x:c>
      <x:c r="O101" s="268" t="n">
        <x:f>FASE4!K101</x:f>
        <x:v>0</x:v>
      </x:c>
      <x:c r="P101" s="268" t="n">
        <x:f>FASE2!N101</x:f>
        <x:v>0</x:v>
      </x:c>
      <x:c r="Q101" s="268" t="n">
        <x:f>FASE3!P101</x:f>
        <x:v>0</x:v>
      </x:c>
      <x:c r="R101" s="268" t="n">
        <x:f>FASE3!N101</x:f>
        <x:v>0</x:v>
      </x:c>
      <x:c r="S101" s="268" t="n">
        <x:f>AVERAGE(FASE3!Q101,FASE3!R101,FASE3!T101,FASE3!S101)</x:f>
        <x:v>0</x:v>
      </x:c>
      <x:c r="T101" s="268" t="n">
        <x:f>AVERAGE(FASE3!U101,FASE3!V101,FASE3!W101)</x:f>
        <x:v>0</x:v>
      </x:c>
      <x:c r="U101" s="268" t="n">
        <x:f>FASE3!Y101</x:f>
        <x:v>0</x:v>
      </x:c>
      <x:c r="V101" s="268" t="n">
        <x:f>FASE3!X101</x:f>
        <x:v>0</x:v>
      </x:c>
      <x:c r="W101" s="268" t="n">
        <x:f>FASE4!M101</x:f>
        <x:v>0</x:v>
      </x:c>
      <x:c r="X101" s="268">
        <x:f t="shared" si="1"/>
        <x:v>0</x:v>
      </x:c>
    </x:row>
    <x:row r="102" ht="15.75">
      <x:c r="B102">
        <x:v>3</x:v>
      </x:c>
      <x:c r="C102" t="s">
        <x:v>135</x:v>
      </x:c>
      <x:c r="D102" s="243" t="s">
        <x:v>136</x:v>
      </x:c>
      <x:c r="E102" s="268" t="n">
        <x:f>FASE1!G102</x:f>
        <x:v>0</x:v>
      </x:c>
      <x:c r="F102" s="268" t="n">
        <x:f>FASE1!M102</x:f>
        <x:v>0</x:v>
      </x:c>
      <x:c r="G102" s="268" t="n">
        <x:f>FASE1!L102</x:f>
        <x:v>0</x:v>
      </x:c>
      <x:c r="H102" s="268" t="n">
        <x:f>FASE1!R102</x:f>
        <x:v>0</x:v>
      </x:c>
      <x:c r="I102" s="268" t="n">
        <x:f>FASE1!U102</x:f>
        <x:v>0</x:v>
      </x:c>
      <x:c r="J102" s="268" t="n">
        <x:f>FASE1!U102</x:f>
        <x:v>0</x:v>
      </x:c>
      <x:c r="K102" s="268" t="n">
        <x:f>FASE1!P102</x:f>
        <x:v>0</x:v>
      </x:c>
      <x:c r="L102" s="268" t="n">
        <x:f>FASE1!V102</x:f>
        <x:v>0</x:v>
      </x:c>
      <x:c r="M102" s="268" t="e">
        <x:f>AVERAGE(FASE2!F102:G102)</x:f>
        <x:v>#DIV/0!</x:v>
      </x:c>
      <x:c r="N102" s="268" t="e">
        <x:f>AVERAGE(FASE2!O102:P102,FASE2!S102)</x:f>
        <x:v>#DIV/0!</x:v>
      </x:c>
      <x:c r="O102" s="268" t="n">
        <x:f>FASE4!K102</x:f>
        <x:v>0</x:v>
      </x:c>
      <x:c r="P102" s="268" t="n">
        <x:f>FASE2!N102</x:f>
        <x:v>0</x:v>
      </x:c>
      <x:c r="Q102" s="268" t="n">
        <x:f>FASE3!P102</x:f>
        <x:v>0</x:v>
      </x:c>
      <x:c r="R102" s="268" t="n">
        <x:f>FASE3!N102</x:f>
        <x:v>0</x:v>
      </x:c>
      <x:c r="S102" s="268" t="n">
        <x:f>AVERAGE(FASE3!Q102,FASE3!R102,FASE3!T102,FASE3!S102)</x:f>
        <x:v>0</x:v>
      </x:c>
      <x:c r="T102" s="268" t="n">
        <x:f>AVERAGE(FASE3!U102,FASE3!V102,FASE3!W102)</x:f>
        <x:v>0</x:v>
      </x:c>
      <x:c r="U102" s="268" t="n">
        <x:f>FASE3!Y102</x:f>
        <x:v>0</x:v>
      </x:c>
      <x:c r="V102" s="268" t="n">
        <x:f>FASE3!X102</x:f>
        <x:v>0</x:v>
      </x:c>
      <x:c r="W102" s="268" t="n">
        <x:f>FASE4!M102</x:f>
        <x:v>0</x:v>
      </x:c>
      <x:c r="X102" s="268">
        <x:f t="shared" si="1"/>
        <x:v>2.7905303030303026</x:v>
      </x:c>
    </x:row>
    <x:row r="103" ht="15.75">
      <x:c r="B103">
        <x:v>4</x:v>
      </x:c>
      <x:c r="C103" t="s">
        <x:v>116</x:v>
      </x:c>
      <x:c r="D103" s="243">
        <x:v>401</x:v>
      </x:c>
      <x:c r="E103" s="268" t="n">
        <x:f>FASE1!G103</x:f>
        <x:v>0</x:v>
      </x:c>
      <x:c r="F103" s="268" t="n">
        <x:f>FASE1!M103</x:f>
        <x:v>0</x:v>
      </x:c>
      <x:c r="G103" s="268" t="n">
        <x:f>FASE1!L103</x:f>
        <x:v>0</x:v>
      </x:c>
      <x:c r="H103" s="268" t="n">
        <x:f>FASE1!R103</x:f>
        <x:v>0</x:v>
      </x:c>
      <x:c r="I103" s="268" t="n">
        <x:f>FASE1!U103</x:f>
        <x:v>0</x:v>
      </x:c>
      <x:c r="J103" s="268" t="n">
        <x:f>FASE1!U103</x:f>
        <x:v>0</x:v>
      </x:c>
      <x:c r="K103" s="268" t="n">
        <x:f>FASE1!P103</x:f>
        <x:v>0</x:v>
      </x:c>
      <x:c r="L103" s="268" t="n">
        <x:f>FASE1!V103</x:f>
        <x:v>0</x:v>
      </x:c>
      <x:c r="M103" s="268" t="n">
        <x:f>AVERAGE(FASE2!F103:G103)</x:f>
        <x:v>0</x:v>
      </x:c>
      <x:c r="N103" s="268" t="n">
        <x:f>AVERAGE(FASE2!O103:P103,FASE2!S103)</x:f>
        <x:v>0</x:v>
      </x:c>
      <x:c r="O103" s="268" t="n">
        <x:f>FASE4!K103</x:f>
        <x:v>0</x:v>
      </x:c>
      <x:c r="P103" s="268" t="n">
        <x:f>FASE2!N103</x:f>
        <x:v>0</x:v>
      </x:c>
      <x:c r="Q103" s="268" t="n">
        <x:f>FASE3!P103</x:f>
        <x:v>0</x:v>
      </x:c>
      <x:c r="R103" s="268" t="n">
        <x:f>FASE3!N103</x:f>
        <x:v>0</x:v>
      </x:c>
      <x:c r="S103" s="268" t="n">
        <x:f>AVERAGE(FASE3!Q103,FASE3!R103,FASE3!T103,FASE3!S103)</x:f>
        <x:v>0</x:v>
      </x:c>
      <x:c r="T103" s="268" t="n">
        <x:f>AVERAGE(FASE3!U103,FASE3!V103,FASE3!W103)</x:f>
        <x:v>0</x:v>
      </x:c>
      <x:c r="U103" s="268" t="n">
        <x:f>FASE3!Y103</x:f>
        <x:v>0</x:v>
      </x:c>
      <x:c r="V103" s="268" t="n">
        <x:f>FASE3!X103</x:f>
        <x:v>0</x:v>
      </x:c>
      <x:c r="W103" s="268" t="n">
        <x:f>FASE4!M103</x:f>
        <x:v>0</x:v>
      </x:c>
      <x:c r="X103" s="268">
        <x:f t="shared" si="1"/>
        <x:v>0</x:v>
      </x:c>
    </x:row>
    <x:row r="104" ht="15.75">
      <x:c r="B104">
        <x:v>4</x:v>
      </x:c>
      <x:c r="C104" t="s">
        <x:v>116</x:v>
      </x:c>
      <x:c r="D104" s="243">
        <x:v>402</x:v>
      </x:c>
      <x:c r="E104" s="268" t="n">
        <x:f>FASE1!G104</x:f>
        <x:v>0</x:v>
      </x:c>
      <x:c r="F104" s="268" t="n">
        <x:f>FASE1!M104</x:f>
        <x:v>0</x:v>
      </x:c>
      <x:c r="G104" s="268" t="n">
        <x:f>FASE1!L104</x:f>
        <x:v>0</x:v>
      </x:c>
      <x:c r="H104" s="268" t="n">
        <x:f>FASE1!R104</x:f>
        <x:v>0</x:v>
      </x:c>
      <x:c r="I104" s="268" t="n">
        <x:f>FASE1!U104</x:f>
        <x:v>0</x:v>
      </x:c>
      <x:c r="J104" s="268" t="n">
        <x:f>FASE1!U104</x:f>
        <x:v>0</x:v>
      </x:c>
      <x:c r="K104" s="268" t="n">
        <x:f>FASE1!P104</x:f>
        <x:v>0</x:v>
      </x:c>
      <x:c r="L104" s="268" t="n">
        <x:f>FASE1!V104</x:f>
        <x:v>0</x:v>
      </x:c>
      <x:c r="M104" s="268" t="n">
        <x:f>AVERAGE(FASE2!F104:G104)</x:f>
        <x:v>0</x:v>
      </x:c>
      <x:c r="N104" s="268" t="n">
        <x:f>AVERAGE(FASE2!O104:P104,FASE2!S104)</x:f>
        <x:v>0</x:v>
      </x:c>
      <x:c r="O104" s="268" t="n">
        <x:f>FASE4!K104</x:f>
        <x:v>0</x:v>
      </x:c>
      <x:c r="P104" s="268" t="n">
        <x:f>FASE2!N104</x:f>
        <x:v>0</x:v>
      </x:c>
      <x:c r="Q104" s="268" t="n">
        <x:f>FASE3!P104</x:f>
        <x:v>0</x:v>
      </x:c>
      <x:c r="R104" s="268" t="n">
        <x:f>FASE3!N104</x:f>
        <x:v>0</x:v>
      </x:c>
      <x:c r="S104" s="268" t="n">
        <x:f>AVERAGE(FASE3!Q104,FASE3!R104,FASE3!T104,FASE3!S104)</x:f>
        <x:v>0</x:v>
      </x:c>
      <x:c r="T104" s="268" t="n">
        <x:f>AVERAGE(FASE3!U104,FASE3!V104,FASE3!W104)</x:f>
        <x:v>0</x:v>
      </x:c>
      <x:c r="U104" s="268" t="n">
        <x:f>FASE3!Y104</x:f>
        <x:v>0</x:v>
      </x:c>
      <x:c r="V104" s="268" t="n">
        <x:f>FASE3!X104</x:f>
        <x:v>0</x:v>
      </x:c>
      <x:c r="W104" s="268" t="n">
        <x:f>FASE4!M104</x:f>
        <x:v>0</x:v>
      </x:c>
      <x:c r="X104" s="268">
        <x:f t="shared" si="1"/>
        <x:v>0</x:v>
      </x:c>
    </x:row>
    <x:row r="105" ht="15.75">
      <x:c r="B105">
        <x:v>4</x:v>
      </x:c>
      <x:c r="C105" t="s">
        <x:v>116</x:v>
      </x:c>
      <x:c r="D105" s="243">
        <x:v>403</x:v>
      </x:c>
      <x:c r="E105" s="268" t="n">
        <x:f>FASE1!G105</x:f>
        <x:v>0</x:v>
      </x:c>
      <x:c r="F105" s="268" t="n">
        <x:f>FASE1!M105</x:f>
        <x:v>0</x:v>
      </x:c>
      <x:c r="G105" s="268" t="n">
        <x:f>FASE1!L105</x:f>
        <x:v>0</x:v>
      </x:c>
      <x:c r="H105" s="268" t="n">
        <x:f>FASE1!R105</x:f>
        <x:v>0</x:v>
      </x:c>
      <x:c r="I105" s="268" t="n">
        <x:f>FASE1!U105</x:f>
        <x:v>0</x:v>
      </x:c>
      <x:c r="J105" s="268" t="n">
        <x:f>FASE1!U105</x:f>
        <x:v>0</x:v>
      </x:c>
      <x:c r="K105" s="268" t="n">
        <x:f>FASE1!P105</x:f>
        <x:v>0</x:v>
      </x:c>
      <x:c r="L105" s="268" t="n">
        <x:f>FASE1!V105</x:f>
        <x:v>0</x:v>
      </x:c>
      <x:c r="M105" s="268" t="n">
        <x:f>AVERAGE(FASE2!F105:G105)</x:f>
        <x:v>0</x:v>
      </x:c>
      <x:c r="N105" s="268" t="n">
        <x:f>AVERAGE(FASE2!O105:P105,FASE2!S105)</x:f>
        <x:v>0</x:v>
      </x:c>
      <x:c r="O105" s="268" t="n">
        <x:f>FASE4!K105</x:f>
        <x:v>0</x:v>
      </x:c>
      <x:c r="P105" s="268" t="n">
        <x:f>FASE2!N105</x:f>
        <x:v>0</x:v>
      </x:c>
      <x:c r="Q105" s="268" t="n">
        <x:f>FASE3!P105</x:f>
        <x:v>0</x:v>
      </x:c>
      <x:c r="R105" s="268" t="n">
        <x:f>FASE3!N105</x:f>
        <x:v>0</x:v>
      </x:c>
      <x:c r="S105" s="268" t="n">
        <x:f>AVERAGE(FASE3!Q105,FASE3!R105,FASE3!T105,FASE3!S105)</x:f>
        <x:v>0</x:v>
      </x:c>
      <x:c r="T105" s="268" t="n">
        <x:f>AVERAGE(FASE3!U105,FASE3!V105,FASE3!W105)</x:f>
        <x:v>0</x:v>
      </x:c>
      <x:c r="U105" s="268" t="n">
        <x:f>FASE3!Y105</x:f>
        <x:v>0</x:v>
      </x:c>
      <x:c r="V105" s="268" t="n">
        <x:f>FASE3!X105</x:f>
        <x:v>0</x:v>
      </x:c>
      <x:c r="W105" s="268" t="n">
        <x:f>FASE4!M105</x:f>
        <x:v>0</x:v>
      </x:c>
      <x:c r="X105" s="268">
        <x:f t="shared" si="1"/>
        <x:v>0</x:v>
      </x:c>
    </x:row>
    <x:row r="106" ht="15.75">
      <x:c r="B106">
        <x:v>4</x:v>
      </x:c>
      <x:c r="C106" t="s">
        <x:v>116</x:v>
      </x:c>
      <x:c r="D106" s="243">
        <x:v>404</x:v>
      </x:c>
      <x:c r="E106" s="268" t="n">
        <x:f>FASE1!G106</x:f>
        <x:v>0</x:v>
      </x:c>
      <x:c r="F106" s="268" t="n">
        <x:f>FASE1!M106</x:f>
        <x:v>0</x:v>
      </x:c>
      <x:c r="G106" s="268" t="n">
        <x:f>FASE1!L106</x:f>
        <x:v>0</x:v>
      </x:c>
      <x:c r="H106" s="268" t="n">
        <x:f>FASE1!R106</x:f>
        <x:v>0</x:v>
      </x:c>
      <x:c r="I106" s="268" t="n">
        <x:f>FASE1!U106</x:f>
        <x:v>0</x:v>
      </x:c>
      <x:c r="J106" s="268" t="n">
        <x:f>FASE1!U106</x:f>
        <x:v>0</x:v>
      </x:c>
      <x:c r="K106" s="268" t="n">
        <x:f>FASE1!P106</x:f>
        <x:v>0</x:v>
      </x:c>
      <x:c r="L106" s="268" t="n">
        <x:f>FASE1!V106</x:f>
        <x:v>0</x:v>
      </x:c>
      <x:c r="M106" s="268" t="n">
        <x:f>AVERAGE(FASE2!F106:G106)</x:f>
        <x:v>0</x:v>
      </x:c>
      <x:c r="N106" s="268" t="n">
        <x:f>AVERAGE(FASE2!O106:P106,FASE2!S106)</x:f>
        <x:v>0</x:v>
      </x:c>
      <x:c r="O106" s="268" t="n">
        <x:f>FASE4!K106</x:f>
        <x:v>0</x:v>
      </x:c>
      <x:c r="P106" s="268" t="n">
        <x:f>FASE2!N106</x:f>
        <x:v>0</x:v>
      </x:c>
      <x:c r="Q106" s="268" t="n">
        <x:f>FASE3!P106</x:f>
        <x:v>0</x:v>
      </x:c>
      <x:c r="R106" s="268" t="n">
        <x:f>FASE3!N106</x:f>
        <x:v>0</x:v>
      </x:c>
      <x:c r="S106" s="268" t="n">
        <x:f>AVERAGE(FASE3!Q106,FASE3!R106,FASE3!T106,FASE3!S106)</x:f>
        <x:v>0</x:v>
      </x:c>
      <x:c r="T106" s="268" t="n">
        <x:f>AVERAGE(FASE3!U106,FASE3!V106,FASE3!W106)</x:f>
        <x:v>0</x:v>
      </x:c>
      <x:c r="U106" s="268" t="n">
        <x:f>FASE3!Y106</x:f>
        <x:v>0</x:v>
      </x:c>
      <x:c r="V106" s="268" t="n">
        <x:f>FASE3!X106</x:f>
        <x:v>0</x:v>
      </x:c>
      <x:c r="W106" s="268" t="n">
        <x:f>FASE4!M106</x:f>
        <x:v>0</x:v>
      </x:c>
      <x:c r="X106" s="268">
        <x:f t="shared" si="1"/>
        <x:v>0</x:v>
      </x:c>
    </x:row>
    <x:row r="107" ht="15.75">
      <x:c r="B107">
        <x:v>4</x:v>
      </x:c>
      <x:c r="C107" t="s">
        <x:v>116</x:v>
      </x:c>
      <x:c r="D107" s="243">
        <x:v>405</x:v>
      </x:c>
      <x:c r="E107" s="268" t="n">
        <x:f>FASE1!G107</x:f>
        <x:v>0</x:v>
      </x:c>
      <x:c r="F107" s="268" t="n">
        <x:f>FASE1!M107</x:f>
        <x:v>0</x:v>
      </x:c>
      <x:c r="G107" s="268" t="n">
        <x:f>FASE1!L107</x:f>
        <x:v>0</x:v>
      </x:c>
      <x:c r="H107" s="268" t="n">
        <x:f>FASE1!R107</x:f>
        <x:v>0</x:v>
      </x:c>
      <x:c r="I107" s="268" t="n">
        <x:f>FASE1!U107</x:f>
        <x:v>0</x:v>
      </x:c>
      <x:c r="J107" s="268" t="n">
        <x:f>FASE1!U107</x:f>
        <x:v>0</x:v>
      </x:c>
      <x:c r="K107" s="268" t="n">
        <x:f>FASE1!P107</x:f>
        <x:v>0</x:v>
      </x:c>
      <x:c r="L107" s="268" t="n">
        <x:f>FASE1!V107</x:f>
        <x:v>0</x:v>
      </x:c>
      <x:c r="M107" s="268" t="n">
        <x:f>AVERAGE(FASE2!F107:G107)</x:f>
        <x:v>0</x:v>
      </x:c>
      <x:c r="N107" s="268" t="n">
        <x:f>AVERAGE(FASE2!O107:P107,FASE2!S107)</x:f>
        <x:v>0</x:v>
      </x:c>
      <x:c r="O107" s="268" t="n">
        <x:f>FASE4!K107</x:f>
        <x:v>0</x:v>
      </x:c>
      <x:c r="P107" s="268" t="n">
        <x:f>FASE2!N107</x:f>
        <x:v>0</x:v>
      </x:c>
      <x:c r="Q107" s="268" t="n">
        <x:f>FASE3!P107</x:f>
        <x:v>0</x:v>
      </x:c>
      <x:c r="R107" s="268" t="n">
        <x:f>FASE3!N107</x:f>
        <x:v>0</x:v>
      </x:c>
      <x:c r="S107" s="268" t="n">
        <x:f>AVERAGE(FASE3!Q107,FASE3!R107,FASE3!T107,FASE3!S107)</x:f>
        <x:v>0</x:v>
      </x:c>
      <x:c r="T107" s="268" t="n">
        <x:f>AVERAGE(FASE3!U107,FASE3!V107,FASE3!W107)</x:f>
        <x:v>0</x:v>
      </x:c>
      <x:c r="U107" s="268" t="n">
        <x:f>FASE3!Y107</x:f>
        <x:v>0</x:v>
      </x:c>
      <x:c r="V107" s="268" t="n">
        <x:f>FASE3!X107</x:f>
        <x:v>0</x:v>
      </x:c>
      <x:c r="W107" s="268" t="n">
        <x:f>FASE4!M107</x:f>
        <x:v>0</x:v>
      </x:c>
      <x:c r="X107" s="268">
        <x:f t="shared" si="1"/>
        <x:v>0</x:v>
      </x:c>
    </x:row>
    <x:row r="108" ht="15.75">
      <x:c r="B108">
        <x:v>4</x:v>
      </x:c>
      <x:c r="C108" t="s">
        <x:v>116</x:v>
      </x:c>
      <x:c r="D108" s="243">
        <x:v>406</x:v>
      </x:c>
      <x:c r="E108" s="268" t="n">
        <x:f>FASE1!G108</x:f>
        <x:v>0</x:v>
      </x:c>
      <x:c r="F108" s="268" t="n">
        <x:f>FASE1!M108</x:f>
        <x:v>0</x:v>
      </x:c>
      <x:c r="G108" s="268" t="n">
        <x:f>FASE1!L108</x:f>
        <x:v>0</x:v>
      </x:c>
      <x:c r="H108" s="268" t="n">
        <x:f>FASE1!R108</x:f>
        <x:v>0</x:v>
      </x:c>
      <x:c r="I108" s="268" t="n">
        <x:f>FASE1!U108</x:f>
        <x:v>0</x:v>
      </x:c>
      <x:c r="J108" s="268" t="n">
        <x:f>FASE1!U108</x:f>
        <x:v>0</x:v>
      </x:c>
      <x:c r="K108" s="268" t="n">
        <x:f>FASE1!P108</x:f>
        <x:v>0</x:v>
      </x:c>
      <x:c r="L108" s="268" t="n">
        <x:f>FASE1!V108</x:f>
        <x:v>0</x:v>
      </x:c>
      <x:c r="M108" s="268" t="n">
        <x:f>AVERAGE(FASE2!F108:G108)</x:f>
        <x:v>0</x:v>
      </x:c>
      <x:c r="N108" s="268" t="n">
        <x:f>AVERAGE(FASE2!O108:P108,FASE2!S108)</x:f>
        <x:v>0</x:v>
      </x:c>
      <x:c r="O108" s="268" t="n">
        <x:f>FASE4!K108</x:f>
        <x:v>0</x:v>
      </x:c>
      <x:c r="P108" s="268" t="n">
        <x:f>FASE2!N108</x:f>
        <x:v>0</x:v>
      </x:c>
      <x:c r="Q108" s="268" t="n">
        <x:f>FASE3!P108</x:f>
        <x:v>0</x:v>
      </x:c>
      <x:c r="R108" s="268" t="n">
        <x:f>FASE3!N108</x:f>
        <x:v>0</x:v>
      </x:c>
      <x:c r="S108" s="268" t="n">
        <x:f>AVERAGE(FASE3!Q108,FASE3!R108,FASE3!T108,FASE3!S108)</x:f>
        <x:v>0</x:v>
      </x:c>
      <x:c r="T108" s="268" t="n">
        <x:f>AVERAGE(FASE3!U108,FASE3!V108,FASE3!W108)</x:f>
        <x:v>0</x:v>
      </x:c>
      <x:c r="U108" s="268" t="n">
        <x:f>FASE3!Y108</x:f>
        <x:v>0</x:v>
      </x:c>
      <x:c r="V108" s="268" t="n">
        <x:f>FASE3!X108</x:f>
        <x:v>0</x:v>
      </x:c>
      <x:c r="W108" s="268" t="n">
        <x:f>FASE4!M108</x:f>
        <x:v>0</x:v>
      </x:c>
      <x:c r="X108" s="268">
        <x:f t="shared" si="1"/>
        <x:v>0</x:v>
      </x:c>
    </x:row>
    <x:row r="109" ht="15.75">
      <x:c r="B109">
        <x:v>4</x:v>
      </x:c>
      <x:c r="C109" t="s">
        <x:v>116</x:v>
      </x:c>
      <x:c r="D109" s="243">
        <x:v>407</x:v>
      </x:c>
      <x:c r="E109" s="268" t="n">
        <x:f>FASE1!G109</x:f>
        <x:v>0</x:v>
      </x:c>
      <x:c r="F109" s="268" t="n">
        <x:f>FASE1!M109</x:f>
        <x:v>0</x:v>
      </x:c>
      <x:c r="G109" s="268" t="n">
        <x:f>FASE1!L109</x:f>
        <x:v>0</x:v>
      </x:c>
      <x:c r="H109" s="268" t="n">
        <x:f>FASE1!R109</x:f>
        <x:v>0</x:v>
      </x:c>
      <x:c r="I109" s="268" t="n">
        <x:f>FASE1!U109</x:f>
        <x:v>0</x:v>
      </x:c>
      <x:c r="J109" s="268" t="n">
        <x:f>FASE1!U109</x:f>
        <x:v>0</x:v>
      </x:c>
      <x:c r="K109" s="268" t="n">
        <x:f>FASE1!P109</x:f>
        <x:v>0</x:v>
      </x:c>
      <x:c r="L109" s="268" t="n">
        <x:f>FASE1!V109</x:f>
        <x:v>0</x:v>
      </x:c>
      <x:c r="M109" s="268" t="n">
        <x:f>AVERAGE(FASE2!F109:G109)</x:f>
        <x:v>0</x:v>
      </x:c>
      <x:c r="N109" s="268" t="n">
        <x:f>AVERAGE(FASE2!O109:P109,FASE2!S109)</x:f>
        <x:v>0</x:v>
      </x:c>
      <x:c r="O109" s="268" t="n">
        <x:f>FASE4!K109</x:f>
        <x:v>0</x:v>
      </x:c>
      <x:c r="P109" s="268" t="n">
        <x:f>FASE2!N109</x:f>
        <x:v>0</x:v>
      </x:c>
      <x:c r="Q109" s="268" t="n">
        <x:f>FASE3!P109</x:f>
        <x:v>0</x:v>
      </x:c>
      <x:c r="R109" s="268" t="n">
        <x:f>FASE3!N109</x:f>
        <x:v>0</x:v>
      </x:c>
      <x:c r="S109" s="268" t="n">
        <x:f>AVERAGE(FASE3!Q109,FASE3!R109,FASE3!T109,FASE3!S109)</x:f>
        <x:v>0</x:v>
      </x:c>
      <x:c r="T109" s="268" t="n">
        <x:f>AVERAGE(FASE3!U109,FASE3!V109,FASE3!W109)</x:f>
        <x:v>0</x:v>
      </x:c>
      <x:c r="U109" s="268" t="n">
        <x:f>FASE3!Y109</x:f>
        <x:v>0</x:v>
      </x:c>
      <x:c r="V109" s="268" t="n">
        <x:f>FASE3!X109</x:f>
        <x:v>0</x:v>
      </x:c>
      <x:c r="W109" s="268" t="n">
        <x:f>FASE4!M109</x:f>
        <x:v>0</x:v>
      </x:c>
      <x:c r="X109" s="268">
        <x:f t="shared" si="1"/>
        <x:v>0</x:v>
      </x:c>
      <x:c r="Y109" s="2"/>
    </x:row>
    <x:row r="110" ht="15.75">
      <x:c r="B110">
        <x:v>4</x:v>
      </x:c>
      <x:c r="C110" t="s">
        <x:v>116</x:v>
      </x:c>
      <x:c r="D110" s="243">
        <x:v>408</x:v>
      </x:c>
      <x:c r="E110" s="268" t="n">
        <x:f>FASE1!G110</x:f>
        <x:v>0</x:v>
      </x:c>
      <x:c r="F110" s="268" t="n">
        <x:f>FASE1!M110</x:f>
        <x:v>0</x:v>
      </x:c>
      <x:c r="G110" s="268" t="n">
        <x:f>FASE1!L110</x:f>
        <x:v>0</x:v>
      </x:c>
      <x:c r="H110" s="268" t="n">
        <x:f>FASE1!R110</x:f>
        <x:v>0</x:v>
      </x:c>
      <x:c r="I110" s="268" t="n">
        <x:f>FASE1!U110</x:f>
        <x:v>0</x:v>
      </x:c>
      <x:c r="J110" s="268" t="n">
        <x:f>FASE1!U110</x:f>
        <x:v>0</x:v>
      </x:c>
      <x:c r="K110" s="268" t="n">
        <x:f>FASE1!P110</x:f>
        <x:v>0</x:v>
      </x:c>
      <x:c r="L110" s="268" t="n">
        <x:f>FASE1!V110</x:f>
        <x:v>0</x:v>
      </x:c>
      <x:c r="M110" s="268" t="n">
        <x:f>AVERAGE(FASE2!F110:G110)</x:f>
        <x:v>0</x:v>
      </x:c>
      <x:c r="N110" s="268" t="n">
        <x:f>AVERAGE(FASE2!O110:P110,FASE2!S110)</x:f>
        <x:v>0</x:v>
      </x:c>
      <x:c r="O110" s="268" t="n">
        <x:f>FASE4!K110</x:f>
        <x:v>0</x:v>
      </x:c>
      <x:c r="P110" s="268" t="n">
        <x:f>FASE2!N110</x:f>
        <x:v>0</x:v>
      </x:c>
      <x:c r="Q110" s="268" t="n">
        <x:f>FASE3!P110</x:f>
        <x:v>0</x:v>
      </x:c>
      <x:c r="R110" s="268" t="n">
        <x:f>FASE3!N110</x:f>
        <x:v>0</x:v>
      </x:c>
      <x:c r="S110" s="268" t="n">
        <x:f>AVERAGE(FASE3!Q110,FASE3!R110,FASE3!T110,FASE3!S110)</x:f>
        <x:v>0</x:v>
      </x:c>
      <x:c r="T110" s="268" t="n">
        <x:f>AVERAGE(FASE3!U110,FASE3!V110,FASE3!W110)</x:f>
        <x:v>0</x:v>
      </x:c>
      <x:c r="U110" s="268" t="n">
        <x:f>FASE3!Y110</x:f>
        <x:v>0</x:v>
      </x:c>
      <x:c r="V110" s="268" t="n">
        <x:f>FASE3!X110</x:f>
        <x:v>0</x:v>
      </x:c>
      <x:c r="W110" s="268" t="n">
        <x:f>FASE4!M110</x:f>
        <x:v>0</x:v>
      </x:c>
      <x:c r="X110" s="268">
        <x:f t="shared" si="1"/>
        <x:v>0</x:v>
      </x:c>
    </x:row>
    <x:row r="111" ht="15.75">
      <x:c r="B111">
        <x:v>4</x:v>
      </x:c>
      <x:c r="C111" t="s">
        <x:v>116</x:v>
      </x:c>
      <x:c r="D111" s="243">
        <x:v>409</x:v>
      </x:c>
      <x:c r="E111" s="268" t="n">
        <x:f>FASE1!G111</x:f>
        <x:v>0</x:v>
      </x:c>
      <x:c r="F111" s="268" t="n">
        <x:f>FASE1!M111</x:f>
        <x:v>0</x:v>
      </x:c>
      <x:c r="G111" s="268" t="n">
        <x:f>FASE1!L111</x:f>
        <x:v>0</x:v>
      </x:c>
      <x:c r="H111" s="268" t="n">
        <x:f>FASE1!R111</x:f>
        <x:v>0</x:v>
      </x:c>
      <x:c r="I111" s="268" t="n">
        <x:f>FASE1!U111</x:f>
        <x:v>0</x:v>
      </x:c>
      <x:c r="J111" s="268" t="n">
        <x:f>FASE1!U111</x:f>
        <x:v>0</x:v>
      </x:c>
      <x:c r="K111" s="268" t="n">
        <x:f>FASE1!P111</x:f>
        <x:v>0</x:v>
      </x:c>
      <x:c r="L111" s="268" t="n">
        <x:f>FASE1!V111</x:f>
        <x:v>0</x:v>
      </x:c>
      <x:c r="M111" s="268" t="n">
        <x:f>AVERAGE(FASE2!F111:G111)</x:f>
        <x:v>0</x:v>
      </x:c>
      <x:c r="N111" s="268" t="n">
        <x:f>AVERAGE(FASE2!O111:P111,FASE2!S111)</x:f>
        <x:v>0</x:v>
      </x:c>
      <x:c r="O111" s="268" t="n">
        <x:f>FASE4!K111</x:f>
        <x:v>0</x:v>
      </x:c>
      <x:c r="P111" s="268" t="n">
        <x:f>FASE2!N111</x:f>
        <x:v>0</x:v>
      </x:c>
      <x:c r="Q111" s="268" t="n">
        <x:f>FASE3!P111</x:f>
        <x:v>0</x:v>
      </x:c>
      <x:c r="R111" s="268" t="n">
        <x:f>FASE3!N111</x:f>
        <x:v>0</x:v>
      </x:c>
      <x:c r="S111" s="268" t="n">
        <x:f>AVERAGE(FASE3!Q111,FASE3!R111,FASE3!T111,FASE3!S111)</x:f>
        <x:v>0</x:v>
      </x:c>
      <x:c r="T111" s="268" t="n">
        <x:f>AVERAGE(FASE3!U111,FASE3!V111,FASE3!W111)</x:f>
        <x:v>0</x:v>
      </x:c>
      <x:c r="U111" s="268" t="n">
        <x:f>FASE3!Y111</x:f>
        <x:v>0</x:v>
      </x:c>
      <x:c r="V111" s="268" t="n">
        <x:f>FASE3!X111</x:f>
        <x:v>0</x:v>
      </x:c>
      <x:c r="W111" s="268" t="n">
        <x:f>FASE4!M111</x:f>
        <x:v>0</x:v>
      </x:c>
      <x:c r="X111" s="268">
        <x:f t="shared" si="1"/>
        <x:v>0</x:v>
      </x:c>
    </x:row>
    <x:row r="112" ht="15.75">
      <x:c r="B112">
        <x:v>4</x:v>
      </x:c>
      <x:c r="C112" t="s">
        <x:v>116</x:v>
      </x:c>
      <x:c r="D112" s="243">
        <x:v>410</x:v>
      </x:c>
      <x:c r="E112" s="268" t="n">
        <x:f>FASE1!G112</x:f>
        <x:v>0</x:v>
      </x:c>
      <x:c r="F112" s="268" t="n">
        <x:f>FASE1!M112</x:f>
        <x:v>0</x:v>
      </x:c>
      <x:c r="G112" s="268" t="n">
        <x:f>FASE1!L112</x:f>
        <x:v>0</x:v>
      </x:c>
      <x:c r="H112" s="268" t="n">
        <x:f>FASE1!R112</x:f>
        <x:v>0</x:v>
      </x:c>
      <x:c r="I112" s="268" t="n">
        <x:f>FASE1!U112</x:f>
        <x:v>0</x:v>
      </x:c>
      <x:c r="J112" s="268" t="n">
        <x:f>FASE1!U112</x:f>
        <x:v>0</x:v>
      </x:c>
      <x:c r="K112" s="268" t="n">
        <x:f>FASE1!P112</x:f>
        <x:v>0</x:v>
      </x:c>
      <x:c r="L112" s="268" t="n">
        <x:f>FASE1!V112</x:f>
        <x:v>0</x:v>
      </x:c>
      <x:c r="M112" s="268" t="n">
        <x:f>AVERAGE(FASE2!F112:G112)</x:f>
        <x:v>0</x:v>
      </x:c>
      <x:c r="N112" s="268" t="n">
        <x:f>AVERAGE(FASE2!O112:P112,FASE2!S112)</x:f>
        <x:v>0</x:v>
      </x:c>
      <x:c r="O112" s="268" t="n">
        <x:f>FASE4!K112</x:f>
        <x:v>0</x:v>
      </x:c>
      <x:c r="P112" s="268" t="n">
        <x:f>FASE2!N112</x:f>
        <x:v>0</x:v>
      </x:c>
      <x:c r="Q112" s="268" t="n">
        <x:f>FASE3!P112</x:f>
        <x:v>0</x:v>
      </x:c>
      <x:c r="R112" s="268" t="n">
        <x:f>FASE3!N112</x:f>
        <x:v>0</x:v>
      </x:c>
      <x:c r="S112" s="268" t="n">
        <x:f>AVERAGE(FASE3!Q112,FASE3!R112,FASE3!T112,FASE3!S112)</x:f>
        <x:v>0</x:v>
      </x:c>
      <x:c r="T112" s="268" t="n">
        <x:f>AVERAGE(FASE3!U112,FASE3!V112,FASE3!W112)</x:f>
        <x:v>0</x:v>
      </x:c>
      <x:c r="U112" s="268" t="n">
        <x:f>FASE3!Y112</x:f>
        <x:v>0</x:v>
      </x:c>
      <x:c r="V112" s="268" t="n">
        <x:f>FASE3!X112</x:f>
        <x:v>0</x:v>
      </x:c>
      <x:c r="W112" s="268" t="n">
        <x:f>FASE4!M112</x:f>
        <x:v>0</x:v>
      </x:c>
      <x:c r="X112" s="268">
        <x:f t="shared" si="1"/>
        <x:v>0</x:v>
      </x:c>
    </x:row>
    <x:row r="113" ht="15.75">
      <x:c r="B113">
        <x:v>4</x:v>
      </x:c>
      <x:c r="C113" t="s">
        <x:v>116</x:v>
      </x:c>
      <x:c r="D113" s="243">
        <x:v>411</x:v>
      </x:c>
      <x:c r="E113" s="268" t="n">
        <x:f>FASE1!G113</x:f>
        <x:v>0</x:v>
      </x:c>
      <x:c r="F113" s="268" t="n">
        <x:f>FASE1!M113</x:f>
        <x:v>0</x:v>
      </x:c>
      <x:c r="G113" s="268" t="n">
        <x:f>FASE1!L113</x:f>
        <x:v>0</x:v>
      </x:c>
      <x:c r="H113" s="268" t="n">
        <x:f>FASE1!R113</x:f>
        <x:v>0</x:v>
      </x:c>
      <x:c r="I113" s="268" t="n">
        <x:f>FASE1!U113</x:f>
        <x:v>0</x:v>
      </x:c>
      <x:c r="J113" s="268" t="n">
        <x:f>FASE1!U113</x:f>
        <x:v>0</x:v>
      </x:c>
      <x:c r="K113" s="268" t="n">
        <x:f>FASE1!P113</x:f>
        <x:v>0</x:v>
      </x:c>
      <x:c r="L113" s="268" t="n">
        <x:f>FASE1!V113</x:f>
        <x:v>0</x:v>
      </x:c>
      <x:c r="M113" s="268" t="n">
        <x:f>AVERAGE(FASE2!F113:G113)</x:f>
        <x:v>0</x:v>
      </x:c>
      <x:c r="N113" s="268" t="n">
        <x:f>AVERAGE(FASE2!O113:P113,FASE2!S113)</x:f>
        <x:v>0</x:v>
      </x:c>
      <x:c r="O113" s="268" t="n">
        <x:f>FASE4!K113</x:f>
        <x:v>0</x:v>
      </x:c>
      <x:c r="P113" s="268" t="n">
        <x:f>FASE2!N113</x:f>
        <x:v>0</x:v>
      </x:c>
      <x:c r="Q113" s="268" t="n">
        <x:f>FASE3!P113</x:f>
        <x:v>0</x:v>
      </x:c>
      <x:c r="R113" s="268" t="n">
        <x:f>FASE3!N113</x:f>
        <x:v>0</x:v>
      </x:c>
      <x:c r="S113" s="268" t="n">
        <x:f>AVERAGE(FASE3!Q113,FASE3!R113,FASE3!T113,FASE3!S113)</x:f>
        <x:v>0</x:v>
      </x:c>
      <x:c r="T113" s="268" t="n">
        <x:f>AVERAGE(FASE3!U113,FASE3!V113,FASE3!W113)</x:f>
        <x:v>0</x:v>
      </x:c>
      <x:c r="U113" s="268" t="n">
        <x:f>FASE3!Y113</x:f>
        <x:v>0</x:v>
      </x:c>
      <x:c r="V113" s="268" t="n">
        <x:f>FASE3!X113</x:f>
        <x:v>0</x:v>
      </x:c>
      <x:c r="W113" s="268" t="n">
        <x:f>FASE4!M113</x:f>
        <x:v>0</x:v>
      </x:c>
      <x:c r="X113" s="268">
        <x:f t="shared" si="1"/>
        <x:v>0</x:v>
      </x:c>
    </x:row>
    <x:row r="114" ht="15.75">
      <x:c r="B114">
        <x:v>4</x:v>
      </x:c>
      <x:c r="C114" t="s">
        <x:v>116</x:v>
      </x:c>
      <x:c r="D114" s="243">
        <x:v>412</x:v>
      </x:c>
      <x:c r="E114" s="268" t="n">
        <x:f>FASE1!G114</x:f>
        <x:v>0</x:v>
      </x:c>
      <x:c r="F114" s="268" t="n">
        <x:f>FASE1!M114</x:f>
        <x:v>0</x:v>
      </x:c>
      <x:c r="G114" s="268" t="n">
        <x:f>FASE1!L114</x:f>
        <x:v>0</x:v>
      </x:c>
      <x:c r="H114" s="268" t="n">
        <x:f>FASE1!R114</x:f>
        <x:v>0</x:v>
      </x:c>
      <x:c r="I114" s="268" t="n">
        <x:f>FASE1!U114</x:f>
        <x:v>0</x:v>
      </x:c>
      <x:c r="J114" s="268" t="n">
        <x:f>FASE1!U114</x:f>
        <x:v>0</x:v>
      </x:c>
      <x:c r="K114" s="268" t="n">
        <x:f>FASE1!P114</x:f>
        <x:v>0</x:v>
      </x:c>
      <x:c r="L114" s="268" t="n">
        <x:f>FASE1!V114</x:f>
        <x:v>0</x:v>
      </x:c>
      <x:c r="M114" s="268" t="n">
        <x:f>AVERAGE(FASE2!F114:G114)</x:f>
        <x:v>0</x:v>
      </x:c>
      <x:c r="N114" s="268" t="n">
        <x:f>AVERAGE(FASE2!O114:P114,FASE2!S114)</x:f>
        <x:v>0</x:v>
      </x:c>
      <x:c r="O114" s="268" t="n">
        <x:f>FASE4!K114</x:f>
        <x:v>0</x:v>
      </x:c>
      <x:c r="P114" s="268" t="n">
        <x:f>FASE2!N114</x:f>
        <x:v>0</x:v>
      </x:c>
      <x:c r="Q114" s="268" t="n">
        <x:f>FASE3!P114</x:f>
        <x:v>0</x:v>
      </x:c>
      <x:c r="R114" s="268" t="n">
        <x:f>FASE3!N114</x:f>
        <x:v>0</x:v>
      </x:c>
      <x:c r="S114" s="268" t="n">
        <x:f>AVERAGE(FASE3!Q114,FASE3!R114,FASE3!T114,FASE3!S114)</x:f>
        <x:v>0</x:v>
      </x:c>
      <x:c r="T114" s="268" t="n">
        <x:f>AVERAGE(FASE3!U114,FASE3!V114,FASE3!W114)</x:f>
        <x:v>0</x:v>
      </x:c>
      <x:c r="U114" s="268" t="n">
        <x:f>FASE3!Y114</x:f>
        <x:v>0</x:v>
      </x:c>
      <x:c r="V114" s="268" t="n">
        <x:f>FASE3!X114</x:f>
        <x:v>0</x:v>
      </x:c>
      <x:c r="W114" s="268" t="n">
        <x:f>FASE4!M114</x:f>
        <x:v>0</x:v>
      </x:c>
      <x:c r="X114" s="268">
        <x:f t="shared" si="1"/>
        <x:v>0</x:v>
      </x:c>
    </x:row>
    <x:row r="115" ht="15.75">
      <x:c r="B115">
        <x:v>4</x:v>
      </x:c>
      <x:c r="C115" t="s">
        <x:v>116</x:v>
      </x:c>
      <x:c r="D115" s="243">
        <x:v>413</x:v>
      </x:c>
      <x:c r="E115" s="268" t="n">
        <x:f>FASE1!G115</x:f>
        <x:v>0</x:v>
      </x:c>
      <x:c r="F115" s="268" t="n">
        <x:f>FASE1!M115</x:f>
        <x:v>0</x:v>
      </x:c>
      <x:c r="G115" s="268" t="n">
        <x:f>FASE1!L115</x:f>
        <x:v>0</x:v>
      </x:c>
      <x:c r="H115" s="268" t="n">
        <x:f>FASE1!R115</x:f>
        <x:v>0</x:v>
      </x:c>
      <x:c r="I115" s="268" t="n">
        <x:f>FASE1!U115</x:f>
        <x:v>0</x:v>
      </x:c>
      <x:c r="J115" s="268" t="n">
        <x:f>FASE1!U115</x:f>
        <x:v>0</x:v>
      </x:c>
      <x:c r="K115" s="268" t="n">
        <x:f>FASE1!P115</x:f>
        <x:v>0</x:v>
      </x:c>
      <x:c r="L115" s="268" t="n">
        <x:f>FASE1!V115</x:f>
        <x:v>0</x:v>
      </x:c>
      <x:c r="M115" s="268" t="n">
        <x:f>AVERAGE(FASE2!F115:G115)</x:f>
        <x:v>0</x:v>
      </x:c>
      <x:c r="N115" s="268" t="n">
        <x:f>AVERAGE(FASE2!O115:P115,FASE2!S115)</x:f>
        <x:v>0</x:v>
      </x:c>
      <x:c r="O115" s="268" t="n">
        <x:f>FASE4!K115</x:f>
        <x:v>0</x:v>
      </x:c>
      <x:c r="P115" s="268" t="n">
        <x:f>FASE2!N115</x:f>
        <x:v>0</x:v>
      </x:c>
      <x:c r="Q115" s="268" t="n">
        <x:f>FASE3!P115</x:f>
        <x:v>0</x:v>
      </x:c>
      <x:c r="R115" s="268" t="n">
        <x:f>FASE3!N115</x:f>
        <x:v>0</x:v>
      </x:c>
      <x:c r="S115" s="268" t="n">
        <x:f>AVERAGE(FASE3!Q115,FASE3!R115,FASE3!T115,FASE3!S115)</x:f>
        <x:v>0</x:v>
      </x:c>
      <x:c r="T115" s="268" t="n">
        <x:f>AVERAGE(FASE3!U115,FASE3!V115,FASE3!W115)</x:f>
        <x:v>0</x:v>
      </x:c>
      <x:c r="U115" s="268" t="n">
        <x:f>FASE3!Y115</x:f>
        <x:v>0</x:v>
      </x:c>
      <x:c r="V115" s="268" t="n">
        <x:f>FASE3!X115</x:f>
        <x:v>0</x:v>
      </x:c>
      <x:c r="W115" s="268" t="n">
        <x:f>FASE4!M115</x:f>
        <x:v>0</x:v>
      </x:c>
      <x:c r="X115" s="268">
        <x:f t="shared" si="1"/>
        <x:v>0</x:v>
      </x:c>
    </x:row>
    <x:row r="116" ht="15.75">
      <x:c r="B116">
        <x:v>4</x:v>
      </x:c>
      <x:c r="C116" t="s">
        <x:v>116</x:v>
      </x:c>
      <x:c r="D116" s="243">
        <x:v>414</x:v>
      </x:c>
      <x:c r="E116" s="268" t="n">
        <x:f>FASE1!G116</x:f>
        <x:v>0</x:v>
      </x:c>
      <x:c r="F116" s="268" t="n">
        <x:f>FASE1!M116</x:f>
        <x:v>0</x:v>
      </x:c>
      <x:c r="G116" s="268" t="n">
        <x:f>FASE1!L116</x:f>
        <x:v>0</x:v>
      </x:c>
      <x:c r="H116" s="268" t="n">
        <x:f>FASE1!R116</x:f>
        <x:v>0</x:v>
      </x:c>
      <x:c r="I116" s="268" t="n">
        <x:f>FASE1!U116</x:f>
        <x:v>0</x:v>
      </x:c>
      <x:c r="J116" s="268" t="n">
        <x:f>FASE1!U116</x:f>
        <x:v>0</x:v>
      </x:c>
      <x:c r="K116" s="268" t="n">
        <x:f>FASE1!P116</x:f>
        <x:v>0</x:v>
      </x:c>
      <x:c r="L116" s="268" t="n">
        <x:f>FASE1!V116</x:f>
        <x:v>0</x:v>
      </x:c>
      <x:c r="M116" s="268" t="n">
        <x:f>AVERAGE(FASE2!F116:G116)</x:f>
        <x:v>0</x:v>
      </x:c>
      <x:c r="N116" s="268" t="n">
        <x:f>AVERAGE(FASE2!O116:P116,FASE2!S116)</x:f>
        <x:v>0</x:v>
      </x:c>
      <x:c r="O116" s="268" t="n">
        <x:f>FASE4!K116</x:f>
        <x:v>0</x:v>
      </x:c>
      <x:c r="P116" s="268" t="n">
        <x:f>FASE2!N116</x:f>
        <x:v>0</x:v>
      </x:c>
      <x:c r="Q116" s="268" t="n">
        <x:f>FASE3!P116</x:f>
        <x:v>0</x:v>
      </x:c>
      <x:c r="R116" s="268" t="n">
        <x:f>FASE3!N116</x:f>
        <x:v>0</x:v>
      </x:c>
      <x:c r="S116" s="268" t="n">
        <x:f>AVERAGE(FASE3!Q116,FASE3!R116,FASE3!T116,FASE3!S116)</x:f>
        <x:v>0</x:v>
      </x:c>
      <x:c r="T116" s="268" t="n">
        <x:f>AVERAGE(FASE3!U116,FASE3!V116,FASE3!W116)</x:f>
        <x:v>0</x:v>
      </x:c>
      <x:c r="U116" s="268" t="n">
        <x:f>FASE3!Y116</x:f>
        <x:v>0</x:v>
      </x:c>
      <x:c r="V116" s="268" t="n">
        <x:f>FASE3!X116</x:f>
        <x:v>0</x:v>
      </x:c>
      <x:c r="W116" s="268" t="n">
        <x:f>FASE4!M116</x:f>
        <x:v>0</x:v>
      </x:c>
      <x:c r="X116" s="268">
        <x:f t="shared" si="1"/>
        <x:v>0</x:v>
      </x:c>
    </x:row>
    <x:row r="117" ht="15.75">
      <x:c r="B117">
        <x:v>4</x:v>
      </x:c>
      <x:c r="C117" t="s">
        <x:v>116</x:v>
      </x:c>
      <x:c r="D117" s="243">
        <x:v>415</x:v>
      </x:c>
      <x:c r="E117" s="268" t="n">
        <x:f>FASE1!G117</x:f>
        <x:v>0</x:v>
      </x:c>
      <x:c r="F117" s="268" t="n">
        <x:f>FASE1!M117</x:f>
        <x:v>0</x:v>
      </x:c>
      <x:c r="G117" s="268" t="n">
        <x:f>FASE1!L117</x:f>
        <x:v>0</x:v>
      </x:c>
      <x:c r="H117" s="268" t="n">
        <x:f>FASE1!R117</x:f>
        <x:v>0</x:v>
      </x:c>
      <x:c r="I117" s="268" t="n">
        <x:f>FASE1!U117</x:f>
        <x:v>0</x:v>
      </x:c>
      <x:c r="J117" s="268" t="n">
        <x:f>FASE1!U117</x:f>
        <x:v>0</x:v>
      </x:c>
      <x:c r="K117" s="268" t="n">
        <x:f>FASE1!P117</x:f>
        <x:v>0</x:v>
      </x:c>
      <x:c r="L117" s="268" t="n">
        <x:f>FASE1!V117</x:f>
        <x:v>0</x:v>
      </x:c>
      <x:c r="M117" s="268" t="n">
        <x:f>AVERAGE(FASE2!F117:G117)</x:f>
        <x:v>0</x:v>
      </x:c>
      <x:c r="N117" s="268" t="n">
        <x:f>AVERAGE(FASE2!O117:P117,FASE2!S117)</x:f>
        <x:v>0</x:v>
      </x:c>
      <x:c r="O117" s="268" t="n">
        <x:f>FASE4!K117</x:f>
        <x:v>0</x:v>
      </x:c>
      <x:c r="P117" s="268" t="n">
        <x:f>FASE2!N117</x:f>
        <x:v>0</x:v>
      </x:c>
      <x:c r="Q117" s="268" t="n">
        <x:f>FASE3!P117</x:f>
        <x:v>0</x:v>
      </x:c>
      <x:c r="R117" s="268" t="n">
        <x:f>FASE3!N117</x:f>
        <x:v>0</x:v>
      </x:c>
      <x:c r="S117" s="268" t="n">
        <x:f>AVERAGE(FASE3!Q117,FASE3!R117,FASE3!T117,FASE3!S117)</x:f>
        <x:v>0</x:v>
      </x:c>
      <x:c r="T117" s="268" t="n">
        <x:f>AVERAGE(FASE3!U117,FASE3!V117,FASE3!W117)</x:f>
        <x:v>0</x:v>
      </x:c>
      <x:c r="U117" s="268" t="n">
        <x:f>FASE3!Y117</x:f>
        <x:v>0</x:v>
      </x:c>
      <x:c r="V117" s="268" t="n">
        <x:f>FASE3!X117</x:f>
        <x:v>0</x:v>
      </x:c>
      <x:c r="W117" s="268" t="n">
        <x:f>FASE4!M117</x:f>
        <x:v>0</x:v>
      </x:c>
      <x:c r="X117" s="268">
        <x:f t="shared" si="1"/>
        <x:v>0</x:v>
      </x:c>
    </x:row>
    <x:row r="118" ht="15.75">
      <x:c r="B118">
        <x:v>4</x:v>
      </x:c>
      <x:c r="C118" t="s">
        <x:v>116</x:v>
      </x:c>
      <x:c r="D118" s="243">
        <x:v>416</x:v>
      </x:c>
      <x:c r="E118" s="268" t="n">
        <x:f>FASE1!G118</x:f>
        <x:v>0</x:v>
      </x:c>
      <x:c r="F118" s="268" t="n">
        <x:f>FASE1!M118</x:f>
        <x:v>0</x:v>
      </x:c>
      <x:c r="G118" s="268" t="n">
        <x:f>FASE1!L118</x:f>
        <x:v>0</x:v>
      </x:c>
      <x:c r="H118" s="268" t="n">
        <x:f>FASE1!R118</x:f>
        <x:v>0</x:v>
      </x:c>
      <x:c r="I118" s="268" t="n">
        <x:f>FASE1!U118</x:f>
        <x:v>0</x:v>
      </x:c>
      <x:c r="J118" s="268" t="n">
        <x:f>FASE1!U118</x:f>
        <x:v>0</x:v>
      </x:c>
      <x:c r="K118" s="268" t="n">
        <x:f>FASE1!P118</x:f>
        <x:v>0</x:v>
      </x:c>
      <x:c r="L118" s="268" t="n">
        <x:f>FASE1!V118</x:f>
        <x:v>0</x:v>
      </x:c>
      <x:c r="M118" s="268" t="n">
        <x:f>AVERAGE(FASE2!F118:G118)</x:f>
        <x:v>0</x:v>
      </x:c>
      <x:c r="N118" s="268" t="n">
        <x:f>AVERAGE(FASE2!O118:P118,FASE2!S118)</x:f>
        <x:v>0</x:v>
      </x:c>
      <x:c r="O118" s="268" t="n">
        <x:f>FASE4!K118</x:f>
        <x:v>0</x:v>
      </x:c>
      <x:c r="P118" s="268" t="n">
        <x:f>FASE2!N118</x:f>
        <x:v>0</x:v>
      </x:c>
      <x:c r="Q118" s="268" t="n">
        <x:f>FASE3!P118</x:f>
        <x:v>0</x:v>
      </x:c>
      <x:c r="R118" s="268" t="n">
        <x:f>FASE3!N118</x:f>
        <x:v>0</x:v>
      </x:c>
      <x:c r="S118" s="268" t="n">
        <x:f>AVERAGE(FASE3!Q118,FASE3!R118,FASE3!T118,FASE3!S118)</x:f>
        <x:v>0</x:v>
      </x:c>
      <x:c r="T118" s="268" t="n">
        <x:f>AVERAGE(FASE3!U118,FASE3!V118,FASE3!W118)</x:f>
        <x:v>0</x:v>
      </x:c>
      <x:c r="U118" s="268" t="n">
        <x:f>FASE3!Y118</x:f>
        <x:v>0</x:v>
      </x:c>
      <x:c r="V118" s="268" t="n">
        <x:f>FASE3!X118</x:f>
        <x:v>0</x:v>
      </x:c>
      <x:c r="W118" s="268" t="n">
        <x:f>FASE4!M118</x:f>
        <x:v>0</x:v>
      </x:c>
      <x:c r="X118" s="268">
        <x:f t="shared" si="1"/>
        <x:v>0</x:v>
      </x:c>
    </x:row>
    <x:row r="119" ht="15.75">
      <x:c r="B119">
        <x:v>4</x:v>
      </x:c>
      <x:c r="C119" t="s">
        <x:v>116</x:v>
      </x:c>
      <x:c r="D119" s="243">
        <x:v>417</x:v>
      </x:c>
      <x:c r="E119" s="268" t="n">
        <x:f>FASE1!G119</x:f>
        <x:v>0</x:v>
      </x:c>
      <x:c r="F119" s="268" t="n">
        <x:f>FASE1!M119</x:f>
        <x:v>0</x:v>
      </x:c>
      <x:c r="G119" s="268" t="n">
        <x:f>FASE1!L119</x:f>
        <x:v>0</x:v>
      </x:c>
      <x:c r="H119" s="268" t="n">
        <x:f>FASE1!R119</x:f>
        <x:v>0</x:v>
      </x:c>
      <x:c r="I119" s="268" t="n">
        <x:f>FASE1!U119</x:f>
        <x:v>0</x:v>
      </x:c>
      <x:c r="J119" s="268" t="n">
        <x:f>FASE1!U119</x:f>
        <x:v>0</x:v>
      </x:c>
      <x:c r="K119" s="268" t="n">
        <x:f>FASE1!P119</x:f>
        <x:v>0</x:v>
      </x:c>
      <x:c r="L119" s="268" t="n">
        <x:f>FASE1!V119</x:f>
        <x:v>0</x:v>
      </x:c>
      <x:c r="M119" s="268" t="n">
        <x:f>AVERAGE(FASE2!F119:G119)</x:f>
        <x:v>0</x:v>
      </x:c>
      <x:c r="N119" s="268" t="n">
        <x:f>AVERAGE(FASE2!O119:P119,FASE2!S119)</x:f>
        <x:v>0</x:v>
      </x:c>
      <x:c r="O119" s="268" t="n">
        <x:f>FASE4!K119</x:f>
        <x:v>0</x:v>
      </x:c>
      <x:c r="P119" s="268" t="n">
        <x:f>FASE2!N119</x:f>
        <x:v>0</x:v>
      </x:c>
      <x:c r="Q119" s="268" t="n">
        <x:f>FASE3!P119</x:f>
        <x:v>0</x:v>
      </x:c>
      <x:c r="R119" s="268" t="n">
        <x:f>FASE3!N119</x:f>
        <x:v>0</x:v>
      </x:c>
      <x:c r="S119" s="268" t="n">
        <x:f>AVERAGE(FASE3!Q119,FASE3!R119,FASE3!T119,FASE3!S119)</x:f>
        <x:v>0</x:v>
      </x:c>
      <x:c r="T119" s="268" t="n">
        <x:f>AVERAGE(FASE3!U119,FASE3!V119,FASE3!W119)</x:f>
        <x:v>0</x:v>
      </x:c>
      <x:c r="U119" s="268" t="n">
        <x:f>FASE3!Y119</x:f>
        <x:v>0</x:v>
      </x:c>
      <x:c r="V119" s="268" t="n">
        <x:f>FASE3!X119</x:f>
        <x:v>0</x:v>
      </x:c>
      <x:c r="W119" s="268" t="n">
        <x:f>FASE4!M119</x:f>
        <x:v>0</x:v>
      </x:c>
      <x:c r="X119" s="268">
        <x:f t="shared" si="1"/>
        <x:v>0</x:v>
      </x:c>
    </x:row>
    <x:row r="120" ht="15.75">
      <x:c r="B120">
        <x:v>4</x:v>
      </x:c>
      <x:c r="C120" t="s">
        <x:v>116</x:v>
      </x:c>
      <x:c r="D120" s="243">
        <x:v>418</x:v>
      </x:c>
      <x:c r="E120" s="268" t="n">
        <x:f>FASE1!G120</x:f>
        <x:v>0</x:v>
      </x:c>
      <x:c r="F120" s="268" t="n">
        <x:f>FASE1!M120</x:f>
        <x:v>0</x:v>
      </x:c>
      <x:c r="G120" s="268" t="n">
        <x:f>FASE1!L120</x:f>
        <x:v>0</x:v>
      </x:c>
      <x:c r="H120" s="268" t="n">
        <x:f>FASE1!R120</x:f>
        <x:v>0</x:v>
      </x:c>
      <x:c r="I120" s="268" t="n">
        <x:f>FASE1!U120</x:f>
        <x:v>0</x:v>
      </x:c>
      <x:c r="J120" s="268" t="n">
        <x:f>FASE1!U120</x:f>
        <x:v>0</x:v>
      </x:c>
      <x:c r="K120" s="268" t="n">
        <x:f>FASE1!P120</x:f>
        <x:v>0</x:v>
      </x:c>
      <x:c r="L120" s="268" t="n">
        <x:f>FASE1!V120</x:f>
        <x:v>0</x:v>
      </x:c>
      <x:c r="M120" s="268" t="n">
        <x:f>AVERAGE(FASE2!F120:G120)</x:f>
        <x:v>0</x:v>
      </x:c>
      <x:c r="N120" s="268" t="n">
        <x:f>AVERAGE(FASE2!O120:P120,FASE2!S120)</x:f>
        <x:v>0</x:v>
      </x:c>
      <x:c r="O120" s="268" t="n">
        <x:f>FASE4!K120</x:f>
        <x:v>0</x:v>
      </x:c>
      <x:c r="P120" s="268" t="n">
        <x:f>FASE2!N120</x:f>
        <x:v>0</x:v>
      </x:c>
      <x:c r="Q120" s="268" t="n">
        <x:f>FASE3!P120</x:f>
        <x:v>0</x:v>
      </x:c>
      <x:c r="R120" s="268" t="n">
        <x:f>FASE3!N120</x:f>
        <x:v>0</x:v>
      </x:c>
      <x:c r="S120" s="268" t="n">
        <x:f>AVERAGE(FASE3!Q120,FASE3!R120,FASE3!T120,FASE3!S120)</x:f>
        <x:v>0</x:v>
      </x:c>
      <x:c r="T120" s="268" t="n">
        <x:f>AVERAGE(FASE3!U120,FASE3!V120,FASE3!W120)</x:f>
        <x:v>0</x:v>
      </x:c>
      <x:c r="U120" s="268" t="n">
        <x:f>FASE3!Y120</x:f>
        <x:v>0</x:v>
      </x:c>
      <x:c r="V120" s="268" t="n">
        <x:f>FASE3!X120</x:f>
        <x:v>0</x:v>
      </x:c>
      <x:c r="W120" s="268" t="n">
        <x:f>FASE4!M120</x:f>
        <x:v>0</x:v>
      </x:c>
      <x:c r="X120" s="268">
        <x:f t="shared" si="1"/>
        <x:v>0</x:v>
      </x:c>
    </x:row>
    <x:row r="121" ht="15.75">
      <x:c r="B121">
        <x:v>4</x:v>
      </x:c>
      <x:c r="C121" t="s">
        <x:v>116</x:v>
      </x:c>
      <x:c r="D121" s="243">
        <x:v>419</x:v>
      </x:c>
      <x:c r="E121" s="268" t="n">
        <x:f>FASE1!G121</x:f>
        <x:v>0</x:v>
      </x:c>
      <x:c r="F121" s="268" t="n">
        <x:f>FASE1!M121</x:f>
        <x:v>0</x:v>
      </x:c>
      <x:c r="G121" s="268" t="n">
        <x:f>FASE1!L121</x:f>
        <x:v>0</x:v>
      </x:c>
      <x:c r="H121" s="268" t="n">
        <x:f>FASE1!R121</x:f>
        <x:v>0</x:v>
      </x:c>
      <x:c r="I121" s="268" t="n">
        <x:f>FASE1!U121</x:f>
        <x:v>0</x:v>
      </x:c>
      <x:c r="J121" s="268" t="n">
        <x:f>FASE1!U121</x:f>
        <x:v>0</x:v>
      </x:c>
      <x:c r="K121" s="268" t="n">
        <x:f>FASE1!P121</x:f>
        <x:v>0</x:v>
      </x:c>
      <x:c r="L121" s="268" t="n">
        <x:f>FASE1!V121</x:f>
        <x:v>0</x:v>
      </x:c>
      <x:c r="M121" s="268" t="n">
        <x:f>AVERAGE(FASE2!F121:G121)</x:f>
        <x:v>0</x:v>
      </x:c>
      <x:c r="N121" s="268" t="n">
        <x:f>AVERAGE(FASE2!O121:P121,FASE2!S121)</x:f>
        <x:v>0</x:v>
      </x:c>
      <x:c r="O121" s="268" t="n">
        <x:f>FASE4!K121</x:f>
        <x:v>0</x:v>
      </x:c>
      <x:c r="P121" s="268" t="n">
        <x:f>FASE2!N121</x:f>
        <x:v>0</x:v>
      </x:c>
      <x:c r="Q121" s="268" t="n">
        <x:f>FASE3!P121</x:f>
        <x:v>0</x:v>
      </x:c>
      <x:c r="R121" s="268" t="n">
        <x:f>FASE3!N121</x:f>
        <x:v>0</x:v>
      </x:c>
      <x:c r="S121" s="268" t="n">
        <x:f>AVERAGE(FASE3!Q121,FASE3!R121,FASE3!T121,FASE3!S121)</x:f>
        <x:v>0</x:v>
      </x:c>
      <x:c r="T121" s="268" t="n">
        <x:f>AVERAGE(FASE3!U121,FASE3!V121,FASE3!W121)</x:f>
        <x:v>0</x:v>
      </x:c>
      <x:c r="U121" s="268" t="n">
        <x:f>FASE3!Y121</x:f>
        <x:v>0</x:v>
      </x:c>
      <x:c r="V121" s="268" t="n">
        <x:f>FASE3!X121</x:f>
        <x:v>0</x:v>
      </x:c>
      <x:c r="W121" s="268" t="n">
        <x:f>FASE4!M121</x:f>
        <x:v>0</x:v>
      </x:c>
      <x:c r="X121" s="268">
        <x:f t="shared" si="1"/>
        <x:v>0</x:v>
      </x:c>
    </x:row>
    <x:row r="122" ht="15.75">
      <x:c r="B122">
        <x:v>4</x:v>
      </x:c>
      <x:c r="C122" t="s">
        <x:v>116</x:v>
      </x:c>
      <x:c r="D122" s="243">
        <x:v>420</x:v>
      </x:c>
      <x:c r="E122" s="268" t="n">
        <x:f>FASE1!G122</x:f>
        <x:v>0</x:v>
      </x:c>
      <x:c r="F122" s="268" t="n">
        <x:f>FASE1!M122</x:f>
        <x:v>0</x:v>
      </x:c>
      <x:c r="G122" s="268" t="n">
        <x:f>FASE1!L122</x:f>
        <x:v>0</x:v>
      </x:c>
      <x:c r="H122" s="268" t="n">
        <x:f>FASE1!R122</x:f>
        <x:v>0</x:v>
      </x:c>
      <x:c r="I122" s="268" t="n">
        <x:f>FASE1!U122</x:f>
        <x:v>0</x:v>
      </x:c>
      <x:c r="J122" s="268" t="n">
        <x:f>FASE1!U122</x:f>
        <x:v>0</x:v>
      </x:c>
      <x:c r="K122" s="268" t="n">
        <x:f>FASE1!P122</x:f>
        <x:v>0</x:v>
      </x:c>
      <x:c r="L122" s="268" t="n">
        <x:f>FASE1!V122</x:f>
        <x:v>0</x:v>
      </x:c>
      <x:c r="M122" s="268" t="n">
        <x:f>AVERAGE(FASE2!F122:G122)</x:f>
        <x:v>0</x:v>
      </x:c>
      <x:c r="N122" s="268" t="n">
        <x:f>AVERAGE(FASE2!O122:P122,FASE2!S122)</x:f>
        <x:v>0</x:v>
      </x:c>
      <x:c r="O122" s="268" t="n">
        <x:f>FASE4!K122</x:f>
        <x:v>0</x:v>
      </x:c>
      <x:c r="P122" s="268" t="n">
        <x:f>FASE2!N122</x:f>
        <x:v>0</x:v>
      </x:c>
      <x:c r="Q122" s="268" t="n">
        <x:f>FASE3!P122</x:f>
        <x:v>0</x:v>
      </x:c>
      <x:c r="R122" s="268" t="n">
        <x:f>FASE3!N122</x:f>
        <x:v>0</x:v>
      </x:c>
      <x:c r="S122" s="268" t="n">
        <x:f>AVERAGE(FASE3!Q122,FASE3!R122,FASE3!T122,FASE3!S122)</x:f>
        <x:v>0</x:v>
      </x:c>
      <x:c r="T122" s="268" t="n">
        <x:f>AVERAGE(FASE3!U122,FASE3!V122,FASE3!W122)</x:f>
        <x:v>0</x:v>
      </x:c>
      <x:c r="U122" s="268" t="n">
        <x:f>FASE3!Y122</x:f>
        <x:v>0</x:v>
      </x:c>
      <x:c r="V122" s="268" t="n">
        <x:f>FASE3!X122</x:f>
        <x:v>0</x:v>
      </x:c>
      <x:c r="W122" s="268" t="n">
        <x:f>FASE4!M122</x:f>
        <x:v>0</x:v>
      </x:c>
      <x:c r="X122" s="268">
        <x:f t="shared" si="1"/>
        <x:v>0</x:v>
      </x:c>
    </x:row>
    <x:row r="123" ht="15.75">
      <x:c r="B123">
        <x:v>4</x:v>
      </x:c>
      <x:c r="C123" t="s">
        <x:v>116</x:v>
      </x:c>
      <x:c r="D123" s="243">
        <x:v>421</x:v>
      </x:c>
      <x:c r="E123" s="268" t="n">
        <x:f>FASE1!G123</x:f>
        <x:v>0</x:v>
      </x:c>
      <x:c r="F123" s="268" t="n">
        <x:f>FASE1!M123</x:f>
        <x:v>0</x:v>
      </x:c>
      <x:c r="G123" s="268" t="n">
        <x:f>FASE1!L123</x:f>
        <x:v>0</x:v>
      </x:c>
      <x:c r="H123" s="268" t="n">
        <x:f>FASE1!R123</x:f>
        <x:v>0</x:v>
      </x:c>
      <x:c r="I123" s="268" t="n">
        <x:f>FASE1!U123</x:f>
        <x:v>0</x:v>
      </x:c>
      <x:c r="J123" s="268" t="n">
        <x:f>FASE1!U123</x:f>
        <x:v>0</x:v>
      </x:c>
      <x:c r="K123" s="268" t="n">
        <x:f>FASE1!P123</x:f>
        <x:v>0</x:v>
      </x:c>
      <x:c r="L123" s="268" t="n">
        <x:f>FASE1!V123</x:f>
        <x:v>0</x:v>
      </x:c>
      <x:c r="M123" s="268" t="n">
        <x:f>AVERAGE(FASE2!F123:G123)</x:f>
        <x:v>0</x:v>
      </x:c>
      <x:c r="N123" s="268" t="n">
        <x:f>AVERAGE(FASE2!O123:P123,FASE2!S123)</x:f>
        <x:v>0</x:v>
      </x:c>
      <x:c r="O123" s="268" t="n">
        <x:f>FASE4!K123</x:f>
        <x:v>0</x:v>
      </x:c>
      <x:c r="P123" s="268" t="n">
        <x:f>FASE2!N123</x:f>
        <x:v>0</x:v>
      </x:c>
      <x:c r="Q123" s="268" t="n">
        <x:f>FASE3!P123</x:f>
        <x:v>0</x:v>
      </x:c>
      <x:c r="R123" s="268" t="n">
        <x:f>FASE3!N123</x:f>
        <x:v>0</x:v>
      </x:c>
      <x:c r="S123" s="268" t="n">
        <x:f>AVERAGE(FASE3!Q123,FASE3!R123,FASE3!T123,FASE3!S123)</x:f>
        <x:v>0</x:v>
      </x:c>
      <x:c r="T123" s="268" t="n">
        <x:f>AVERAGE(FASE3!U123,FASE3!V123,FASE3!W123)</x:f>
        <x:v>0</x:v>
      </x:c>
      <x:c r="U123" s="268" t="n">
        <x:f>FASE3!Y123</x:f>
        <x:v>0</x:v>
      </x:c>
      <x:c r="V123" s="268" t="n">
        <x:f>FASE3!X123</x:f>
        <x:v>0</x:v>
      </x:c>
      <x:c r="W123" s="268" t="n">
        <x:f>FASE4!M123</x:f>
        <x:v>0</x:v>
      </x:c>
      <x:c r="X123" s="268">
        <x:f t="shared" si="1"/>
        <x:v>0</x:v>
      </x:c>
    </x:row>
    <x:row r="124" ht="15.75">
      <x:c r="B124">
        <x:v>4</x:v>
      </x:c>
      <x:c r="C124" t="s">
        <x:v>116</x:v>
      </x:c>
      <x:c r="D124" s="243">
        <x:v>422</x:v>
      </x:c>
      <x:c r="E124" s="268" t="n">
        <x:f>FASE1!G124</x:f>
        <x:v>0</x:v>
      </x:c>
      <x:c r="F124" s="268" t="n">
        <x:f>FASE1!M124</x:f>
        <x:v>0</x:v>
      </x:c>
      <x:c r="G124" s="268" t="n">
        <x:f>FASE1!L124</x:f>
        <x:v>0</x:v>
      </x:c>
      <x:c r="H124" s="268" t="n">
        <x:f>FASE1!R124</x:f>
        <x:v>0</x:v>
      </x:c>
      <x:c r="I124" s="268" t="n">
        <x:f>FASE1!U124</x:f>
        <x:v>0</x:v>
      </x:c>
      <x:c r="J124" s="268" t="n">
        <x:f>FASE1!U124</x:f>
        <x:v>0</x:v>
      </x:c>
      <x:c r="K124" s="268" t="n">
        <x:f>FASE1!P124</x:f>
        <x:v>0</x:v>
      </x:c>
      <x:c r="L124" s="268" t="n">
        <x:f>FASE1!V124</x:f>
        <x:v>0</x:v>
      </x:c>
      <x:c r="M124" s="268" t="n">
        <x:f>AVERAGE(FASE2!F124:G124)</x:f>
        <x:v>0</x:v>
      </x:c>
      <x:c r="N124" s="268" t="n">
        <x:f>AVERAGE(FASE2!O124:P124,FASE2!S124)</x:f>
        <x:v>0</x:v>
      </x:c>
      <x:c r="O124" s="268" t="n">
        <x:f>FASE4!K124</x:f>
        <x:v>0</x:v>
      </x:c>
      <x:c r="P124" s="268" t="n">
        <x:f>FASE2!N124</x:f>
        <x:v>0</x:v>
      </x:c>
      <x:c r="Q124" s="268" t="n">
        <x:f>FASE3!P124</x:f>
        <x:v>0</x:v>
      </x:c>
      <x:c r="R124" s="268" t="n">
        <x:f>FASE3!N124</x:f>
        <x:v>0</x:v>
      </x:c>
      <x:c r="S124" s="268" t="n">
        <x:f>AVERAGE(FASE3!Q124,FASE3!R124,FASE3!T124,FASE3!S124)</x:f>
        <x:v>0</x:v>
      </x:c>
      <x:c r="T124" s="268" t="n">
        <x:f>AVERAGE(FASE3!U124,FASE3!V124,FASE3!W124)</x:f>
        <x:v>0</x:v>
      </x:c>
      <x:c r="U124" s="268" t="n">
        <x:f>FASE3!Y124</x:f>
        <x:v>0</x:v>
      </x:c>
      <x:c r="V124" s="268" t="n">
        <x:f>FASE3!X124</x:f>
        <x:v>0</x:v>
      </x:c>
      <x:c r="W124" s="268" t="n">
        <x:f>FASE4!M124</x:f>
        <x:v>0</x:v>
      </x:c>
      <x:c r="X124" s="268">
        <x:f t="shared" si="1"/>
        <x:v>0</x:v>
      </x:c>
    </x:row>
    <x:row r="125" ht="15.75">
      <x:c r="B125">
        <x:v>4</x:v>
      </x:c>
      <x:c r="C125" t="s">
        <x:v>116</x:v>
      </x:c>
      <x:c r="D125" s="243">
        <x:v>423</x:v>
      </x:c>
      <x:c r="E125" s="268" t="n">
        <x:f>FASE1!G125</x:f>
        <x:v>0</x:v>
      </x:c>
      <x:c r="F125" s="268" t="n">
        <x:f>FASE1!M125</x:f>
        <x:v>0</x:v>
      </x:c>
      <x:c r="G125" s="268" t="n">
        <x:f>FASE1!L125</x:f>
        <x:v>0</x:v>
      </x:c>
      <x:c r="H125" s="268" t="n">
        <x:f>FASE1!R125</x:f>
        <x:v>0</x:v>
      </x:c>
      <x:c r="I125" s="268" t="n">
        <x:f>FASE1!U125</x:f>
        <x:v>0</x:v>
      </x:c>
      <x:c r="J125" s="268" t="n">
        <x:f>FASE1!U125</x:f>
        <x:v>0</x:v>
      </x:c>
      <x:c r="K125" s="268" t="n">
        <x:f>FASE1!P125</x:f>
        <x:v>0</x:v>
      </x:c>
      <x:c r="L125" s="268" t="n">
        <x:f>FASE1!V125</x:f>
        <x:v>0</x:v>
      </x:c>
      <x:c r="M125" s="268" t="n">
        <x:f>AVERAGE(FASE2!F125:G125)</x:f>
        <x:v>0</x:v>
      </x:c>
      <x:c r="N125" s="268" t="n">
        <x:f>AVERAGE(FASE2!O125:P125,FASE2!S125)</x:f>
        <x:v>0</x:v>
      </x:c>
      <x:c r="O125" s="268" t="n">
        <x:f>FASE4!K125</x:f>
        <x:v>0</x:v>
      </x:c>
      <x:c r="P125" s="268" t="n">
        <x:f>FASE2!N125</x:f>
        <x:v>0</x:v>
      </x:c>
      <x:c r="Q125" s="268" t="n">
        <x:f>FASE3!P125</x:f>
        <x:v>0</x:v>
      </x:c>
      <x:c r="R125" s="268" t="n">
        <x:f>FASE3!N125</x:f>
        <x:v>0</x:v>
      </x:c>
      <x:c r="S125" s="268" t="n">
        <x:f>AVERAGE(FASE3!Q125,FASE3!R125,FASE3!T125,FASE3!S125)</x:f>
        <x:v>0</x:v>
      </x:c>
      <x:c r="T125" s="268" t="n">
        <x:f>AVERAGE(FASE3!U125,FASE3!V125,FASE3!W125)</x:f>
        <x:v>0</x:v>
      </x:c>
      <x:c r="U125" s="268" t="n">
        <x:f>FASE3!Y125</x:f>
        <x:v>0</x:v>
      </x:c>
      <x:c r="V125" s="268" t="n">
        <x:f>FASE3!X125</x:f>
        <x:v>0</x:v>
      </x:c>
      <x:c r="W125" s="268" t="n">
        <x:f>FASE4!M125</x:f>
        <x:v>0</x:v>
      </x:c>
      <x:c r="X125" s="268">
        <x:f t="shared" si="1"/>
        <x:v>0</x:v>
      </x:c>
    </x:row>
    <x:row r="126" ht="15.75">
      <x:c r="B126">
        <x:v>4</x:v>
      </x:c>
      <x:c r="C126" t="s">
        <x:v>115</x:v>
      </x:c>
      <x:c r="D126" s="243">
        <x:v>401</x:v>
      </x:c>
      <x:c r="E126" s="268" t="n">
        <x:f>FASE1!G126</x:f>
        <x:v>0</x:v>
      </x:c>
      <x:c r="F126" s="268" t="n">
        <x:f>FASE1!M126</x:f>
        <x:v>0</x:v>
      </x:c>
      <x:c r="G126" s="268" t="n">
        <x:f>FASE1!L126</x:f>
        <x:v>0</x:v>
      </x:c>
      <x:c r="H126" s="268" t="n">
        <x:f>FASE1!R126</x:f>
        <x:v>0</x:v>
      </x:c>
      <x:c r="I126" s="268" t="n">
        <x:f>FASE1!U126</x:f>
        <x:v>0</x:v>
      </x:c>
      <x:c r="J126" s="268" t="n">
        <x:f>FASE1!U126</x:f>
        <x:v>0</x:v>
      </x:c>
      <x:c r="K126" s="268" t="n">
        <x:f>FASE1!P126</x:f>
        <x:v>0</x:v>
      </x:c>
      <x:c r="L126" s="268" t="n">
        <x:f>FASE1!V126</x:f>
        <x:v>0</x:v>
      </x:c>
      <x:c r="M126" s="268" t="n">
        <x:f>AVERAGE(FASE2!F126:G126)</x:f>
        <x:v>0</x:v>
      </x:c>
      <x:c r="N126" s="268" t="n">
        <x:f>AVERAGE(FASE2!O126:P126,FASE2!S126)</x:f>
        <x:v>0</x:v>
      </x:c>
      <x:c r="O126" s="268" t="n">
        <x:f>FASE4!K126</x:f>
        <x:v>0</x:v>
      </x:c>
      <x:c r="P126" s="268" t="n">
        <x:f>FASE2!N126</x:f>
        <x:v>0</x:v>
      </x:c>
      <x:c r="Q126" s="268" t="n">
        <x:f>FASE3!P126</x:f>
        <x:v>0</x:v>
      </x:c>
      <x:c r="R126" s="268" t="n">
        <x:f>FASE3!N126</x:f>
        <x:v>0</x:v>
      </x:c>
      <x:c r="S126" s="268" t="n">
        <x:f>AVERAGE(FASE3!Q126,FASE3!R126,FASE3!T126,FASE3!S126)</x:f>
        <x:v>0</x:v>
      </x:c>
      <x:c r="T126" s="268" t="n">
        <x:f>AVERAGE(FASE3!U126,FASE3!V126,FASE3!W126)</x:f>
        <x:v>0</x:v>
      </x:c>
      <x:c r="U126" s="268" t="n">
        <x:f>FASE3!Y126</x:f>
        <x:v>0</x:v>
      </x:c>
      <x:c r="V126" s="268" t="n">
        <x:f>FASE3!X126</x:f>
        <x:v>0</x:v>
      </x:c>
      <x:c r="W126" s="268" t="n">
        <x:f>FASE4!M126</x:f>
        <x:v>0</x:v>
      </x:c>
      <x:c r="X126" s="268">
        <x:f t="shared" si="1"/>
        <x:v>0</x:v>
      </x:c>
    </x:row>
    <x:row r="127" ht="15.75">
      <x:c r="B127">
        <x:v>4</x:v>
      </x:c>
      <x:c r="C127" t="s">
        <x:v>115</x:v>
      </x:c>
      <x:c r="D127" s="243">
        <x:v>402</x:v>
      </x:c>
      <x:c r="E127" s="268" t="n">
        <x:f>FASE1!G127</x:f>
        <x:v>0</x:v>
      </x:c>
      <x:c r="F127" s="268" t="n">
        <x:f>FASE1!M127</x:f>
        <x:v>0</x:v>
      </x:c>
      <x:c r="G127" s="268" t="n">
        <x:f>FASE1!L127</x:f>
        <x:v>0</x:v>
      </x:c>
      <x:c r="H127" s="268" t="n">
        <x:f>FASE1!R127</x:f>
        <x:v>0</x:v>
      </x:c>
      <x:c r="I127" s="268" t="n">
        <x:f>FASE1!U127</x:f>
        <x:v>0</x:v>
      </x:c>
      <x:c r="J127" s="268" t="n">
        <x:f>FASE1!U127</x:f>
        <x:v>0</x:v>
      </x:c>
      <x:c r="K127" s="268" t="n">
        <x:f>FASE1!P127</x:f>
        <x:v>0</x:v>
      </x:c>
      <x:c r="L127" s="268" t="n">
        <x:f>FASE1!V127</x:f>
        <x:v>0</x:v>
      </x:c>
      <x:c r="M127" s="268" t="n">
        <x:f>AVERAGE(FASE2!F127:G127)</x:f>
        <x:v>0</x:v>
      </x:c>
      <x:c r="N127" s="268" t="n">
        <x:f>AVERAGE(FASE2!O127:P127,FASE2!S127)</x:f>
        <x:v>0</x:v>
      </x:c>
      <x:c r="O127" s="268" t="n">
        <x:f>FASE4!K127</x:f>
        <x:v>0</x:v>
      </x:c>
      <x:c r="P127" s="268" t="n">
        <x:f>FASE2!N127</x:f>
        <x:v>0</x:v>
      </x:c>
      <x:c r="Q127" s="268" t="n">
        <x:f>FASE3!P127</x:f>
        <x:v>0</x:v>
      </x:c>
      <x:c r="R127" s="268" t="n">
        <x:f>FASE3!N127</x:f>
        <x:v>0</x:v>
      </x:c>
      <x:c r="S127" s="268" t="n">
        <x:f>AVERAGE(FASE3!Q127,FASE3!R127,FASE3!T127,FASE3!S127)</x:f>
        <x:v>0</x:v>
      </x:c>
      <x:c r="T127" s="268" t="n">
        <x:f>AVERAGE(FASE3!U127,FASE3!V127,FASE3!W127)</x:f>
        <x:v>0</x:v>
      </x:c>
      <x:c r="U127" s="268" t="n">
        <x:f>FASE3!Y127</x:f>
        <x:v>0</x:v>
      </x:c>
      <x:c r="V127" s="268" t="n">
        <x:f>FASE3!X127</x:f>
        <x:v>0</x:v>
      </x:c>
      <x:c r="W127" s="268" t="n">
        <x:f>FASE4!M127</x:f>
        <x:v>0</x:v>
      </x:c>
      <x:c r="X127" s="268">
        <x:f t="shared" si="1"/>
        <x:v>0</x:v>
      </x:c>
      <x:c r="Y127" s="2"/>
    </x:row>
    <x:row r="128" ht="15.75">
      <x:c r="B128">
        <x:v>4</x:v>
      </x:c>
      <x:c r="C128" t="s">
        <x:v>115</x:v>
      </x:c>
      <x:c r="D128" s="243">
        <x:v>403</x:v>
      </x:c>
      <x:c r="E128" s="268" t="n">
        <x:f>FASE1!G128</x:f>
        <x:v>0</x:v>
      </x:c>
      <x:c r="F128" s="268" t="n">
        <x:f>FASE1!M128</x:f>
        <x:v>0</x:v>
      </x:c>
      <x:c r="G128" s="268" t="n">
        <x:f>FASE1!L128</x:f>
        <x:v>0</x:v>
      </x:c>
      <x:c r="H128" s="268" t="n">
        <x:f>FASE1!R128</x:f>
        <x:v>0</x:v>
      </x:c>
      <x:c r="I128" s="268" t="n">
        <x:f>FASE1!U128</x:f>
        <x:v>0</x:v>
      </x:c>
      <x:c r="J128" s="268" t="n">
        <x:f>FASE1!U128</x:f>
        <x:v>0</x:v>
      </x:c>
      <x:c r="K128" s="268" t="n">
        <x:f>FASE1!P128</x:f>
        <x:v>0</x:v>
      </x:c>
      <x:c r="L128" s="268" t="n">
        <x:f>FASE1!V128</x:f>
        <x:v>0</x:v>
      </x:c>
      <x:c r="M128" s="268" t="n">
        <x:f>AVERAGE(FASE2!F128:G128)</x:f>
        <x:v>0</x:v>
      </x:c>
      <x:c r="N128" s="268" t="n">
        <x:f>AVERAGE(FASE2!O128:P128,FASE2!S128)</x:f>
        <x:v>0</x:v>
      </x:c>
      <x:c r="O128" s="268" t="n">
        <x:f>FASE4!K128</x:f>
        <x:v>0</x:v>
      </x:c>
      <x:c r="P128" s="268" t="n">
        <x:f>FASE2!N128</x:f>
        <x:v>0</x:v>
      </x:c>
      <x:c r="Q128" s="268" t="n">
        <x:f>FASE3!P128</x:f>
        <x:v>0</x:v>
      </x:c>
      <x:c r="R128" s="268" t="n">
        <x:f>FASE3!N128</x:f>
        <x:v>0</x:v>
      </x:c>
      <x:c r="S128" s="268" t="n">
        <x:f>AVERAGE(FASE3!Q128,FASE3!R128,FASE3!T128,FASE3!S128)</x:f>
        <x:v>0</x:v>
      </x:c>
      <x:c r="T128" s="268" t="n">
        <x:f>AVERAGE(FASE3!U128,FASE3!V128,FASE3!W128)</x:f>
        <x:v>0</x:v>
      </x:c>
      <x:c r="U128" s="268" t="n">
        <x:f>FASE3!Y128</x:f>
        <x:v>0</x:v>
      </x:c>
      <x:c r="V128" s="268" t="n">
        <x:f>FASE3!X128</x:f>
        <x:v>0</x:v>
      </x:c>
      <x:c r="W128" s="268" t="n">
        <x:f>FASE4!M128</x:f>
        <x:v>0</x:v>
      </x:c>
      <x:c r="X128" s="268">
        <x:f t="shared" si="1"/>
        <x:v>0</x:v>
      </x:c>
    </x:row>
    <x:row r="129" ht="15.75">
      <x:c r="B129">
        <x:v>4</x:v>
      </x:c>
      <x:c r="C129" t="s">
        <x:v>115</x:v>
      </x:c>
      <x:c r="D129" s="243">
        <x:v>404</x:v>
      </x:c>
      <x:c r="E129" s="268" t="n">
        <x:f>FASE1!G129</x:f>
        <x:v>0</x:v>
      </x:c>
      <x:c r="F129" s="268" t="n">
        <x:f>FASE1!M129</x:f>
        <x:v>0</x:v>
      </x:c>
      <x:c r="G129" s="268" t="n">
        <x:f>FASE1!L129</x:f>
        <x:v>0</x:v>
      </x:c>
      <x:c r="H129" s="268" t="n">
        <x:f>FASE1!R129</x:f>
        <x:v>0</x:v>
      </x:c>
      <x:c r="I129" s="268" t="n">
        <x:f>FASE1!U129</x:f>
        <x:v>0</x:v>
      </x:c>
      <x:c r="J129" s="268" t="n">
        <x:f>FASE1!U129</x:f>
        <x:v>0</x:v>
      </x:c>
      <x:c r="K129" s="268" t="n">
        <x:f>FASE1!P129</x:f>
        <x:v>0</x:v>
      </x:c>
      <x:c r="L129" s="268" t="n">
        <x:f>FASE1!V129</x:f>
        <x:v>0</x:v>
      </x:c>
      <x:c r="M129" s="268" t="n">
        <x:f>AVERAGE(FASE2!F129:G129)</x:f>
        <x:v>0</x:v>
      </x:c>
      <x:c r="N129" s="268" t="n">
        <x:f>AVERAGE(FASE2!O129:P129,FASE2!S129)</x:f>
        <x:v>0</x:v>
      </x:c>
      <x:c r="O129" s="268" t="n">
        <x:f>FASE4!K129</x:f>
        <x:v>0</x:v>
      </x:c>
      <x:c r="P129" s="268" t="n">
        <x:f>FASE2!N129</x:f>
        <x:v>0</x:v>
      </x:c>
      <x:c r="Q129" s="268" t="n">
        <x:f>FASE3!P129</x:f>
        <x:v>0</x:v>
      </x:c>
      <x:c r="R129" s="268" t="n">
        <x:f>FASE3!N129</x:f>
        <x:v>0</x:v>
      </x:c>
      <x:c r="S129" s="268" t="n">
        <x:f>AVERAGE(FASE3!Q129,FASE3!R129,FASE3!T129,FASE3!S129)</x:f>
        <x:v>0</x:v>
      </x:c>
      <x:c r="T129" s="268" t="n">
        <x:f>AVERAGE(FASE3!U129,FASE3!V129,FASE3!W129)</x:f>
        <x:v>0</x:v>
      </x:c>
      <x:c r="U129" s="268" t="n">
        <x:f>FASE3!Y129</x:f>
        <x:v>0</x:v>
      </x:c>
      <x:c r="V129" s="268" t="n">
        <x:f>FASE3!X129</x:f>
        <x:v>0</x:v>
      </x:c>
      <x:c r="W129" s="268" t="n">
        <x:f>FASE4!M129</x:f>
        <x:v>0</x:v>
      </x:c>
      <x:c r="X129" s="268">
        <x:f t="shared" si="1"/>
        <x:v>0</x:v>
      </x:c>
    </x:row>
    <x:row r="130" ht="15.75">
      <x:c r="B130">
        <x:v>4</x:v>
      </x:c>
      <x:c r="C130" t="s">
        <x:v>115</x:v>
      </x:c>
      <x:c r="D130" s="243">
        <x:v>405</x:v>
      </x:c>
      <x:c r="E130" s="268" t="n">
        <x:f>FASE1!G130</x:f>
        <x:v>0</x:v>
      </x:c>
      <x:c r="F130" s="268" t="n">
        <x:f>FASE1!M130</x:f>
        <x:v>0</x:v>
      </x:c>
      <x:c r="G130" s="268" t="n">
        <x:f>FASE1!L130</x:f>
        <x:v>0</x:v>
      </x:c>
      <x:c r="H130" s="268" t="n">
        <x:f>FASE1!R130</x:f>
        <x:v>0</x:v>
      </x:c>
      <x:c r="I130" s="268" t="n">
        <x:f>FASE1!U130</x:f>
        <x:v>0</x:v>
      </x:c>
      <x:c r="J130" s="268" t="n">
        <x:f>FASE1!U130</x:f>
        <x:v>0</x:v>
      </x:c>
      <x:c r="K130" s="268" t="n">
        <x:f>FASE1!P130</x:f>
        <x:v>0</x:v>
      </x:c>
      <x:c r="L130" s="268" t="n">
        <x:f>FASE1!V130</x:f>
        <x:v>0</x:v>
      </x:c>
      <x:c r="M130" s="268" t="n">
        <x:f>AVERAGE(FASE2!F130:G130)</x:f>
        <x:v>0</x:v>
      </x:c>
      <x:c r="N130" s="268" t="n">
        <x:f>AVERAGE(FASE2!O130:P130,FASE2!S130)</x:f>
        <x:v>0</x:v>
      </x:c>
      <x:c r="O130" s="268" t="n">
        <x:f>FASE4!K130</x:f>
        <x:v>0</x:v>
      </x:c>
      <x:c r="P130" s="268" t="n">
        <x:f>FASE2!N130</x:f>
        <x:v>0</x:v>
      </x:c>
      <x:c r="Q130" s="268" t="n">
        <x:f>FASE3!P130</x:f>
        <x:v>0</x:v>
      </x:c>
      <x:c r="R130" s="268" t="n">
        <x:f>FASE3!N130</x:f>
        <x:v>0</x:v>
      </x:c>
      <x:c r="S130" s="268" t="n">
        <x:f>AVERAGE(FASE3!Q130,FASE3!R130,FASE3!T130,FASE3!S130)</x:f>
        <x:v>0</x:v>
      </x:c>
      <x:c r="T130" s="268" t="n">
        <x:f>AVERAGE(FASE3!U130,FASE3!V130,FASE3!W130)</x:f>
        <x:v>0</x:v>
      </x:c>
      <x:c r="U130" s="268" t="n">
        <x:f>FASE3!Y130</x:f>
        <x:v>0</x:v>
      </x:c>
      <x:c r="V130" s="268" t="n">
        <x:f>FASE3!X130</x:f>
        <x:v>0</x:v>
      </x:c>
      <x:c r="W130" s="268" t="n">
        <x:f>FASE4!M130</x:f>
        <x:v>0</x:v>
      </x:c>
      <x:c r="X130" s="268" t="n">
        <x:f t="shared" ref="X130:X193" si="2">AVERAGE(E130:V130)</x:f>
        <x:v>0</x:v>
      </x:c>
    </x:row>
    <x:row r="131" ht="15.75">
      <x:c r="B131">
        <x:v>4</x:v>
      </x:c>
      <x:c r="C131" t="s">
        <x:v>115</x:v>
      </x:c>
      <x:c r="D131" s="243">
        <x:v>406</x:v>
      </x:c>
      <x:c r="E131" s="268" t="n">
        <x:f>FASE1!G131</x:f>
        <x:v>0</x:v>
      </x:c>
      <x:c r="F131" s="268" t="n">
        <x:f>FASE1!M131</x:f>
        <x:v>0</x:v>
      </x:c>
      <x:c r="G131" s="268" t="n">
        <x:f>FASE1!L131</x:f>
        <x:v>0</x:v>
      </x:c>
      <x:c r="H131" s="268" t="n">
        <x:f>FASE1!R131</x:f>
        <x:v>0</x:v>
      </x:c>
      <x:c r="I131" s="268" t="n">
        <x:f>FASE1!U131</x:f>
        <x:v>0</x:v>
      </x:c>
      <x:c r="J131" s="268" t="n">
        <x:f>FASE1!U131</x:f>
        <x:v>0</x:v>
      </x:c>
      <x:c r="K131" s="268" t="n">
        <x:f>FASE1!P131</x:f>
        <x:v>0</x:v>
      </x:c>
      <x:c r="L131" s="268" t="n">
        <x:f>FASE1!V131</x:f>
        <x:v>0</x:v>
      </x:c>
      <x:c r="M131" s="268" t="n">
        <x:f>AVERAGE(FASE2!F131:G131)</x:f>
        <x:v>0</x:v>
      </x:c>
      <x:c r="N131" s="268" t="n">
        <x:f>AVERAGE(FASE2!O131:P131,FASE2!S131)</x:f>
        <x:v>0</x:v>
      </x:c>
      <x:c r="O131" s="268" t="n">
        <x:f>FASE4!K131</x:f>
        <x:v>0</x:v>
      </x:c>
      <x:c r="P131" s="268" t="n">
        <x:f>FASE2!N131</x:f>
        <x:v>0</x:v>
      </x:c>
      <x:c r="Q131" s="268" t="n">
        <x:f>FASE3!P131</x:f>
        <x:v>0</x:v>
      </x:c>
      <x:c r="R131" s="268" t="n">
        <x:f>FASE3!N131</x:f>
        <x:v>0</x:v>
      </x:c>
      <x:c r="S131" s="268" t="n">
        <x:f>AVERAGE(FASE3!Q131,FASE3!R131,FASE3!T131,FASE3!S131)</x:f>
        <x:v>0</x:v>
      </x:c>
      <x:c r="T131" s="268" t="n">
        <x:f>AVERAGE(FASE3!U131,FASE3!V131,FASE3!W131)</x:f>
        <x:v>0</x:v>
      </x:c>
      <x:c r="U131" s="268" t="n">
        <x:f>FASE3!Y131</x:f>
        <x:v>0</x:v>
      </x:c>
      <x:c r="V131" s="268" t="n">
        <x:f>FASE3!X131</x:f>
        <x:v>0</x:v>
      </x:c>
      <x:c r="W131" s="268" t="n">
        <x:f>FASE4!M131</x:f>
        <x:v>0</x:v>
      </x:c>
      <x:c r="X131" s="268">
        <x:f t="shared" si="2"/>
        <x:v>0</x:v>
      </x:c>
    </x:row>
    <x:row r="132" ht="15.75">
      <x:c r="B132">
        <x:v>4</x:v>
      </x:c>
      <x:c r="C132" t="s">
        <x:v>115</x:v>
      </x:c>
      <x:c r="D132" s="243">
        <x:v>407</x:v>
      </x:c>
      <x:c r="E132" s="268" t="n">
        <x:f>FASE1!G132</x:f>
        <x:v>0</x:v>
      </x:c>
      <x:c r="F132" s="268" t="n">
        <x:f>FASE1!M132</x:f>
        <x:v>0</x:v>
      </x:c>
      <x:c r="G132" s="268" t="n">
        <x:f>FASE1!L132</x:f>
        <x:v>0</x:v>
      </x:c>
      <x:c r="H132" s="268" t="n">
        <x:f>FASE1!R132</x:f>
        <x:v>0</x:v>
      </x:c>
      <x:c r="I132" s="268" t="n">
        <x:f>FASE1!U132</x:f>
        <x:v>0</x:v>
      </x:c>
      <x:c r="J132" s="268" t="n">
        <x:f>FASE1!U132</x:f>
        <x:v>0</x:v>
      </x:c>
      <x:c r="K132" s="268" t="n">
        <x:f>FASE1!P132</x:f>
        <x:v>0</x:v>
      </x:c>
      <x:c r="L132" s="268" t="n">
        <x:f>FASE1!V132</x:f>
        <x:v>0</x:v>
      </x:c>
      <x:c r="M132" s="268" t="n">
        <x:f>AVERAGE(FASE2!F132:G132)</x:f>
        <x:v>0</x:v>
      </x:c>
      <x:c r="N132" s="268" t="n">
        <x:f>AVERAGE(FASE2!O132:P132,FASE2!S132)</x:f>
        <x:v>0</x:v>
      </x:c>
      <x:c r="O132" s="268" t="n">
        <x:f>FASE4!K132</x:f>
        <x:v>0</x:v>
      </x:c>
      <x:c r="P132" s="268" t="n">
        <x:f>FASE2!N132</x:f>
        <x:v>0</x:v>
      </x:c>
      <x:c r="Q132" s="268" t="n">
        <x:f>FASE3!P132</x:f>
        <x:v>0</x:v>
      </x:c>
      <x:c r="R132" s="268" t="n">
        <x:f>FASE3!N132</x:f>
        <x:v>0</x:v>
      </x:c>
      <x:c r="S132" s="268" t="n">
        <x:f>AVERAGE(FASE3!Q132,FASE3!R132,FASE3!T132,FASE3!S132)</x:f>
        <x:v>0</x:v>
      </x:c>
      <x:c r="T132" s="268" t="n">
        <x:f>AVERAGE(FASE3!U132,FASE3!V132,FASE3!W132)</x:f>
        <x:v>0</x:v>
      </x:c>
      <x:c r="U132" s="268" t="n">
        <x:f>FASE3!Y132</x:f>
        <x:v>0</x:v>
      </x:c>
      <x:c r="V132" s="268" t="n">
        <x:f>FASE3!X132</x:f>
        <x:v>0</x:v>
      </x:c>
      <x:c r="W132" s="268" t="n">
        <x:f>FASE4!M132</x:f>
        <x:v>0</x:v>
      </x:c>
      <x:c r="X132" s="268">
        <x:f t="shared" si="2"/>
        <x:v>0</x:v>
      </x:c>
    </x:row>
    <x:row r="133" ht="15.75">
      <x:c r="B133">
        <x:v>4</x:v>
      </x:c>
      <x:c r="C133" t="s">
        <x:v>115</x:v>
      </x:c>
      <x:c r="D133" s="243">
        <x:v>408</x:v>
      </x:c>
      <x:c r="E133" s="268" t="n">
        <x:f>FASE1!G133</x:f>
        <x:v>0</x:v>
      </x:c>
      <x:c r="F133" s="268" t="n">
        <x:f>FASE1!M133</x:f>
        <x:v>0</x:v>
      </x:c>
      <x:c r="G133" s="268" t="n">
        <x:f>FASE1!L133</x:f>
        <x:v>0</x:v>
      </x:c>
      <x:c r="H133" s="268" t="n">
        <x:f>FASE1!R133</x:f>
        <x:v>0</x:v>
      </x:c>
      <x:c r="I133" s="268" t="n">
        <x:f>FASE1!U133</x:f>
        <x:v>0</x:v>
      </x:c>
      <x:c r="J133" s="268" t="n">
        <x:f>FASE1!U133</x:f>
        <x:v>0</x:v>
      </x:c>
      <x:c r="K133" s="268" t="n">
        <x:f>FASE1!P133</x:f>
        <x:v>0</x:v>
      </x:c>
      <x:c r="L133" s="268" t="n">
        <x:f>FASE1!V133</x:f>
        <x:v>0</x:v>
      </x:c>
      <x:c r="M133" s="268" t="n">
        <x:f>AVERAGE(FASE2!F133:G133)</x:f>
        <x:v>0</x:v>
      </x:c>
      <x:c r="N133" s="268" t="n">
        <x:f>AVERAGE(FASE2!O133:P133,FASE2!S133)</x:f>
        <x:v>0</x:v>
      </x:c>
      <x:c r="O133" s="268" t="n">
        <x:f>FASE4!K133</x:f>
        <x:v>0</x:v>
      </x:c>
      <x:c r="P133" s="268" t="n">
        <x:f>FASE2!N133</x:f>
        <x:v>0</x:v>
      </x:c>
      <x:c r="Q133" s="268" t="n">
        <x:f>FASE3!P133</x:f>
        <x:v>0</x:v>
      </x:c>
      <x:c r="R133" s="268" t="n">
        <x:f>FASE3!N133</x:f>
        <x:v>0</x:v>
      </x:c>
      <x:c r="S133" s="268" t="n">
        <x:f>AVERAGE(FASE3!Q133,FASE3!R133,FASE3!T133,FASE3!S133)</x:f>
        <x:v>0</x:v>
      </x:c>
      <x:c r="T133" s="268" t="n">
        <x:f>AVERAGE(FASE3!U133,FASE3!V133,FASE3!W133)</x:f>
        <x:v>0</x:v>
      </x:c>
      <x:c r="U133" s="268" t="n">
        <x:f>FASE3!Y133</x:f>
        <x:v>0</x:v>
      </x:c>
      <x:c r="V133" s="268" t="n">
        <x:f>FASE3!X133</x:f>
        <x:v>0</x:v>
      </x:c>
      <x:c r="W133" s="268" t="n">
        <x:f>FASE4!M133</x:f>
        <x:v>0</x:v>
      </x:c>
      <x:c r="X133" s="268">
        <x:f t="shared" si="2"/>
        <x:v>0</x:v>
      </x:c>
    </x:row>
    <x:row r="134" ht="15.75">
      <x:c r="B134">
        <x:v>4</x:v>
      </x:c>
      <x:c r="C134" t="s">
        <x:v>115</x:v>
      </x:c>
      <x:c r="D134" s="243">
        <x:v>409</x:v>
      </x:c>
      <x:c r="E134" s="268" t="n">
        <x:f>FASE1!G134</x:f>
        <x:v>0</x:v>
      </x:c>
      <x:c r="F134" s="268" t="n">
        <x:f>FASE1!M134</x:f>
        <x:v>0</x:v>
      </x:c>
      <x:c r="G134" s="268" t="n">
        <x:f>FASE1!L134</x:f>
        <x:v>0</x:v>
      </x:c>
      <x:c r="H134" s="268" t="n">
        <x:f>FASE1!R134</x:f>
        <x:v>0</x:v>
      </x:c>
      <x:c r="I134" s="268" t="n">
        <x:f>FASE1!U134</x:f>
        <x:v>0</x:v>
      </x:c>
      <x:c r="J134" s="268" t="n">
        <x:f>FASE1!U134</x:f>
        <x:v>0</x:v>
      </x:c>
      <x:c r="K134" s="268" t="n">
        <x:f>FASE1!P134</x:f>
        <x:v>0</x:v>
      </x:c>
      <x:c r="L134" s="268" t="n">
        <x:f>FASE1!V134</x:f>
        <x:v>0</x:v>
      </x:c>
      <x:c r="M134" s="268" t="n">
        <x:f>AVERAGE(FASE2!F134:G134)</x:f>
        <x:v>0</x:v>
      </x:c>
      <x:c r="N134" s="268" t="n">
        <x:f>AVERAGE(FASE2!O134:P134,FASE2!S134)</x:f>
        <x:v>0</x:v>
      </x:c>
      <x:c r="O134" s="268" t="n">
        <x:f>FASE4!K134</x:f>
        <x:v>0</x:v>
      </x:c>
      <x:c r="P134" s="268" t="n">
        <x:f>FASE2!N134</x:f>
        <x:v>0</x:v>
      </x:c>
      <x:c r="Q134" s="268" t="n">
        <x:f>FASE3!P134</x:f>
        <x:v>0</x:v>
      </x:c>
      <x:c r="R134" s="268" t="n">
        <x:f>FASE3!N134</x:f>
        <x:v>0</x:v>
      </x:c>
      <x:c r="S134" s="268" t="n">
        <x:f>AVERAGE(FASE3!Q134,FASE3!R134,FASE3!T134,FASE3!S134)</x:f>
        <x:v>0</x:v>
      </x:c>
      <x:c r="T134" s="268" t="n">
        <x:f>AVERAGE(FASE3!U134,FASE3!V134,FASE3!W134)</x:f>
        <x:v>0</x:v>
      </x:c>
      <x:c r="U134" s="268" t="n">
        <x:f>FASE3!Y134</x:f>
        <x:v>0</x:v>
      </x:c>
      <x:c r="V134" s="268" t="n">
        <x:f>FASE3!X134</x:f>
        <x:v>0</x:v>
      </x:c>
      <x:c r="W134" s="268" t="n">
        <x:f>FASE4!M134</x:f>
        <x:v>0</x:v>
      </x:c>
      <x:c r="X134" s="268">
        <x:f t="shared" si="2"/>
        <x:v>0</x:v>
      </x:c>
    </x:row>
    <x:row r="135" ht="15.75">
      <x:c r="B135">
        <x:v>4</x:v>
      </x:c>
      <x:c r="C135" t="s">
        <x:v>115</x:v>
      </x:c>
      <x:c r="D135" s="243">
        <x:v>410</x:v>
      </x:c>
      <x:c r="E135" s="268" t="n">
        <x:f>FASE1!G135</x:f>
        <x:v>0</x:v>
      </x:c>
      <x:c r="F135" s="268" t="n">
        <x:f>FASE1!M135</x:f>
        <x:v>0</x:v>
      </x:c>
      <x:c r="G135" s="268" t="n">
        <x:f>FASE1!L135</x:f>
        <x:v>0</x:v>
      </x:c>
      <x:c r="H135" s="268" t="n">
        <x:f>FASE1!R135</x:f>
        <x:v>0</x:v>
      </x:c>
      <x:c r="I135" s="268" t="n">
        <x:f>FASE1!U135</x:f>
        <x:v>0</x:v>
      </x:c>
      <x:c r="J135" s="268" t="n">
        <x:f>FASE1!U135</x:f>
        <x:v>0</x:v>
      </x:c>
      <x:c r="K135" s="268" t="n">
        <x:f>FASE1!P135</x:f>
        <x:v>0</x:v>
      </x:c>
      <x:c r="L135" s="268" t="n">
        <x:f>FASE1!V135</x:f>
        <x:v>0</x:v>
      </x:c>
      <x:c r="M135" s="268" t="n">
        <x:f>AVERAGE(FASE2!F135:G135)</x:f>
        <x:v>0</x:v>
      </x:c>
      <x:c r="N135" s="268" t="n">
        <x:f>AVERAGE(FASE2!O135:P135,FASE2!S135)</x:f>
        <x:v>0</x:v>
      </x:c>
      <x:c r="O135" s="268" t="n">
        <x:f>FASE4!K135</x:f>
        <x:v>0</x:v>
      </x:c>
      <x:c r="P135" s="268" t="n">
        <x:f>FASE2!N135</x:f>
        <x:v>0</x:v>
      </x:c>
      <x:c r="Q135" s="268" t="n">
        <x:f>FASE3!P135</x:f>
        <x:v>0</x:v>
      </x:c>
      <x:c r="R135" s="268" t="n">
        <x:f>FASE3!N135</x:f>
        <x:v>0</x:v>
      </x:c>
      <x:c r="S135" s="268" t="n">
        <x:f>AVERAGE(FASE3!Q135,FASE3!R135,FASE3!T135,FASE3!S135)</x:f>
        <x:v>0</x:v>
      </x:c>
      <x:c r="T135" s="268" t="n">
        <x:f>AVERAGE(FASE3!U135,FASE3!V135,FASE3!W135)</x:f>
        <x:v>0</x:v>
      </x:c>
      <x:c r="U135" s="268" t="n">
        <x:f>FASE3!Y135</x:f>
        <x:v>0</x:v>
      </x:c>
      <x:c r="V135" s="268" t="n">
        <x:f>FASE3!X135</x:f>
        <x:v>0</x:v>
      </x:c>
      <x:c r="W135" s="268" t="n">
        <x:f>FASE4!M135</x:f>
        <x:v>0</x:v>
      </x:c>
      <x:c r="X135" s="268">
        <x:f t="shared" si="2"/>
        <x:v>0</x:v>
      </x:c>
    </x:row>
    <x:row r="136" ht="15.75">
      <x:c r="B136">
        <x:v>4</x:v>
      </x:c>
      <x:c r="C136" t="s">
        <x:v>115</x:v>
      </x:c>
      <x:c r="D136" s="243">
        <x:v>411</x:v>
      </x:c>
      <x:c r="E136" s="268" t="n">
        <x:f>FASE1!G136</x:f>
        <x:v>0</x:v>
      </x:c>
      <x:c r="F136" s="268" t="n">
        <x:f>FASE1!M136</x:f>
        <x:v>0</x:v>
      </x:c>
      <x:c r="G136" s="268" t="n">
        <x:f>FASE1!L136</x:f>
        <x:v>0</x:v>
      </x:c>
      <x:c r="H136" s="268" t="n">
        <x:f>FASE1!R136</x:f>
        <x:v>0</x:v>
      </x:c>
      <x:c r="I136" s="268" t="n">
        <x:f>FASE1!U136</x:f>
        <x:v>0</x:v>
      </x:c>
      <x:c r="J136" s="268" t="n">
        <x:f>FASE1!U136</x:f>
        <x:v>0</x:v>
      </x:c>
      <x:c r="K136" s="268" t="n">
        <x:f>FASE1!P136</x:f>
        <x:v>0</x:v>
      </x:c>
      <x:c r="L136" s="268" t="n">
        <x:f>FASE1!V136</x:f>
        <x:v>0</x:v>
      </x:c>
      <x:c r="M136" s="268" t="n">
        <x:f>AVERAGE(FASE2!F136:G136)</x:f>
        <x:v>0</x:v>
      </x:c>
      <x:c r="N136" s="268" t="n">
        <x:f>AVERAGE(FASE2!O136:P136,FASE2!S136)</x:f>
        <x:v>0</x:v>
      </x:c>
      <x:c r="O136" s="268" t="n">
        <x:f>FASE4!K136</x:f>
        <x:v>0</x:v>
      </x:c>
      <x:c r="P136" s="268" t="n">
        <x:f>FASE2!N136</x:f>
        <x:v>0</x:v>
      </x:c>
      <x:c r="Q136" s="268" t="n">
        <x:f>FASE3!P136</x:f>
        <x:v>0</x:v>
      </x:c>
      <x:c r="R136" s="268" t="n">
        <x:f>FASE3!N136</x:f>
        <x:v>0</x:v>
      </x:c>
      <x:c r="S136" s="268" t="n">
        <x:f>AVERAGE(FASE3!Q136,FASE3!R136,FASE3!T136,FASE3!S136)</x:f>
        <x:v>0</x:v>
      </x:c>
      <x:c r="T136" s="268" t="n">
        <x:f>AVERAGE(FASE3!U136,FASE3!V136,FASE3!W136)</x:f>
        <x:v>0</x:v>
      </x:c>
      <x:c r="U136" s="268" t="n">
        <x:f>FASE3!Y136</x:f>
        <x:v>0</x:v>
      </x:c>
      <x:c r="V136" s="268" t="n">
        <x:f>FASE3!X136</x:f>
        <x:v>0</x:v>
      </x:c>
      <x:c r="W136" s="268" t="n">
        <x:f>FASE4!M136</x:f>
        <x:v>0</x:v>
      </x:c>
      <x:c r="X136" s="268">
        <x:f t="shared" si="2"/>
        <x:v>0</x:v>
      </x:c>
    </x:row>
    <x:row r="137" ht="15.75">
      <x:c r="B137">
        <x:v>4</x:v>
      </x:c>
      <x:c r="C137" t="s">
        <x:v>115</x:v>
      </x:c>
      <x:c r="D137" s="243">
        <x:v>412</x:v>
      </x:c>
      <x:c r="E137" s="268" t="n">
        <x:f>FASE1!G137</x:f>
        <x:v>0</x:v>
      </x:c>
      <x:c r="F137" s="268" t="n">
        <x:f>FASE1!M137</x:f>
        <x:v>0</x:v>
      </x:c>
      <x:c r="G137" s="268" t="n">
        <x:f>FASE1!L137</x:f>
        <x:v>0</x:v>
      </x:c>
      <x:c r="H137" s="268" t="n">
        <x:f>FASE1!R137</x:f>
        <x:v>0</x:v>
      </x:c>
      <x:c r="I137" s="268" t="n">
        <x:f>FASE1!U137</x:f>
        <x:v>0</x:v>
      </x:c>
      <x:c r="J137" s="268" t="n">
        <x:f>FASE1!U137</x:f>
        <x:v>0</x:v>
      </x:c>
      <x:c r="K137" s="268" t="n">
        <x:f>FASE1!P137</x:f>
        <x:v>0</x:v>
      </x:c>
      <x:c r="L137" s="268" t="n">
        <x:f>FASE1!V137</x:f>
        <x:v>0</x:v>
      </x:c>
      <x:c r="M137" s="268" t="n">
        <x:f>AVERAGE(FASE2!F137:G137)</x:f>
        <x:v>0</x:v>
      </x:c>
      <x:c r="N137" s="268" t="n">
        <x:f>AVERAGE(FASE2!O137:P137,FASE2!S137)</x:f>
        <x:v>0</x:v>
      </x:c>
      <x:c r="O137" s="268" t="n">
        <x:f>FASE4!K137</x:f>
        <x:v>0</x:v>
      </x:c>
      <x:c r="P137" s="268" t="n">
        <x:f>FASE2!N137</x:f>
        <x:v>0</x:v>
      </x:c>
      <x:c r="Q137" s="268" t="n">
        <x:f>FASE3!P137</x:f>
        <x:v>0</x:v>
      </x:c>
      <x:c r="R137" s="268" t="n">
        <x:f>FASE3!N137</x:f>
        <x:v>0</x:v>
      </x:c>
      <x:c r="S137" s="268" t="n">
        <x:f>AVERAGE(FASE3!Q137,FASE3!R137,FASE3!T137,FASE3!S137)</x:f>
        <x:v>0</x:v>
      </x:c>
      <x:c r="T137" s="268" t="n">
        <x:f>AVERAGE(FASE3!U137,FASE3!V137,FASE3!W137)</x:f>
        <x:v>0</x:v>
      </x:c>
      <x:c r="U137" s="268" t="n">
        <x:f>FASE3!Y137</x:f>
        <x:v>0</x:v>
      </x:c>
      <x:c r="V137" s="268" t="n">
        <x:f>FASE3!X137</x:f>
        <x:v>0</x:v>
      </x:c>
      <x:c r="W137" s="268" t="n">
        <x:f>FASE4!M137</x:f>
        <x:v>0</x:v>
      </x:c>
      <x:c r="X137" s="268">
        <x:f t="shared" si="2"/>
        <x:v>0</x:v>
      </x:c>
    </x:row>
    <x:row r="138" ht="15.75">
      <x:c r="B138">
        <x:v>4</x:v>
      </x:c>
      <x:c r="C138" t="s">
        <x:v>115</x:v>
      </x:c>
      <x:c r="D138" s="243">
        <x:v>413</x:v>
      </x:c>
      <x:c r="E138" s="268" t="n">
        <x:f>FASE1!G138</x:f>
        <x:v>0</x:v>
      </x:c>
      <x:c r="F138" s="268" t="n">
        <x:f>FASE1!M138</x:f>
        <x:v>0</x:v>
      </x:c>
      <x:c r="G138" s="268" t="n">
        <x:f>FASE1!L138</x:f>
        <x:v>0</x:v>
      </x:c>
      <x:c r="H138" s="268" t="n">
        <x:f>FASE1!R138</x:f>
        <x:v>0</x:v>
      </x:c>
      <x:c r="I138" s="268" t="n">
        <x:f>FASE1!U138</x:f>
        <x:v>0</x:v>
      </x:c>
      <x:c r="J138" s="268" t="n">
        <x:f>FASE1!U138</x:f>
        <x:v>0</x:v>
      </x:c>
      <x:c r="K138" s="268" t="n">
        <x:f>FASE1!P138</x:f>
        <x:v>0</x:v>
      </x:c>
      <x:c r="L138" s="268" t="n">
        <x:f>FASE1!V138</x:f>
        <x:v>0</x:v>
      </x:c>
      <x:c r="M138" s="268" t="n">
        <x:f>AVERAGE(FASE2!F138:G138)</x:f>
        <x:v>0</x:v>
      </x:c>
      <x:c r="N138" s="268" t="n">
        <x:f>AVERAGE(FASE2!O138:P138,FASE2!S138)</x:f>
        <x:v>0</x:v>
      </x:c>
      <x:c r="O138" s="268" t="n">
        <x:f>FASE4!K138</x:f>
        <x:v>0</x:v>
      </x:c>
      <x:c r="P138" s="268" t="n">
        <x:f>FASE2!N138</x:f>
        <x:v>0</x:v>
      </x:c>
      <x:c r="Q138" s="268" t="n">
        <x:f>FASE3!P138</x:f>
        <x:v>0</x:v>
      </x:c>
      <x:c r="R138" s="268" t="n">
        <x:f>FASE3!N138</x:f>
        <x:v>0</x:v>
      </x:c>
      <x:c r="S138" s="268" t="n">
        <x:f>AVERAGE(FASE3!Q138,FASE3!R138,FASE3!T138,FASE3!S138)</x:f>
        <x:v>0</x:v>
      </x:c>
      <x:c r="T138" s="268" t="n">
        <x:f>AVERAGE(FASE3!U138,FASE3!V138,FASE3!W138)</x:f>
        <x:v>0</x:v>
      </x:c>
      <x:c r="U138" s="268" t="n">
        <x:f>FASE3!Y138</x:f>
        <x:v>0</x:v>
      </x:c>
      <x:c r="V138" s="268" t="n">
        <x:f>FASE3!X138</x:f>
        <x:v>0</x:v>
      </x:c>
      <x:c r="W138" s="268" t="n">
        <x:f>FASE4!M138</x:f>
        <x:v>0</x:v>
      </x:c>
      <x:c r="X138" s="268">
        <x:f t="shared" si="2"/>
        <x:v>0</x:v>
      </x:c>
    </x:row>
    <x:row r="139" ht="15.75">
      <x:c r="B139">
        <x:v>4</x:v>
      </x:c>
      <x:c r="C139" t="s">
        <x:v>115</x:v>
      </x:c>
      <x:c r="D139" s="243">
        <x:v>414</x:v>
      </x:c>
      <x:c r="E139" s="268" t="n">
        <x:f>FASE1!G139</x:f>
        <x:v>0</x:v>
      </x:c>
      <x:c r="F139" s="268" t="n">
        <x:f>FASE1!M139</x:f>
        <x:v>0</x:v>
      </x:c>
      <x:c r="G139" s="268" t="n">
        <x:f>FASE1!L139</x:f>
        <x:v>0</x:v>
      </x:c>
      <x:c r="H139" s="268" t="n">
        <x:f>FASE1!R139</x:f>
        <x:v>0</x:v>
      </x:c>
      <x:c r="I139" s="268" t="n">
        <x:f>FASE1!U139</x:f>
        <x:v>0</x:v>
      </x:c>
      <x:c r="J139" s="268" t="n">
        <x:f>FASE1!U139</x:f>
        <x:v>0</x:v>
      </x:c>
      <x:c r="K139" s="268" t="n">
        <x:f>FASE1!P139</x:f>
        <x:v>0</x:v>
      </x:c>
      <x:c r="L139" s="268" t="n">
        <x:f>FASE1!V139</x:f>
        <x:v>0</x:v>
      </x:c>
      <x:c r="M139" s="268" t="n">
        <x:f>AVERAGE(FASE2!F139:G139)</x:f>
        <x:v>0</x:v>
      </x:c>
      <x:c r="N139" s="268" t="n">
        <x:f>AVERAGE(FASE2!O139:P139,FASE2!S139)</x:f>
        <x:v>0</x:v>
      </x:c>
      <x:c r="O139" s="268" t="n">
        <x:f>FASE4!K139</x:f>
        <x:v>0</x:v>
      </x:c>
      <x:c r="P139" s="268" t="n">
        <x:f>FASE2!N139</x:f>
        <x:v>0</x:v>
      </x:c>
      <x:c r="Q139" s="268" t="n">
        <x:f>FASE3!P139</x:f>
        <x:v>0</x:v>
      </x:c>
      <x:c r="R139" s="268" t="n">
        <x:f>FASE3!N139</x:f>
        <x:v>0</x:v>
      </x:c>
      <x:c r="S139" s="268" t="n">
        <x:f>AVERAGE(FASE3!Q139,FASE3!R139,FASE3!T139,FASE3!S139)</x:f>
        <x:v>0</x:v>
      </x:c>
      <x:c r="T139" s="268" t="n">
        <x:f>AVERAGE(FASE3!U139,FASE3!V139,FASE3!W139)</x:f>
        <x:v>0</x:v>
      </x:c>
      <x:c r="U139" s="268" t="n">
        <x:f>FASE3!Y139</x:f>
        <x:v>0</x:v>
      </x:c>
      <x:c r="V139" s="268" t="n">
        <x:f>FASE3!X139</x:f>
        <x:v>0</x:v>
      </x:c>
      <x:c r="W139" s="268" t="n">
        <x:f>FASE4!M139</x:f>
        <x:v>0</x:v>
      </x:c>
      <x:c r="X139" s="268">
        <x:f t="shared" si="2"/>
        <x:v>0</x:v>
      </x:c>
    </x:row>
    <x:row r="140" ht="15.75">
      <x:c r="B140">
        <x:v>4</x:v>
      </x:c>
      <x:c r="C140" t="s">
        <x:v>115</x:v>
      </x:c>
      <x:c r="D140" s="243">
        <x:v>415</x:v>
      </x:c>
      <x:c r="E140" s="268" t="n">
        <x:f>FASE1!G140</x:f>
        <x:v>0</x:v>
      </x:c>
      <x:c r="F140" s="268" t="n">
        <x:f>FASE1!M140</x:f>
        <x:v>0</x:v>
      </x:c>
      <x:c r="G140" s="268" t="n">
        <x:f>FASE1!L140</x:f>
        <x:v>0</x:v>
      </x:c>
      <x:c r="H140" s="268" t="n">
        <x:f>FASE1!R140</x:f>
        <x:v>0</x:v>
      </x:c>
      <x:c r="I140" s="268" t="n">
        <x:f>FASE1!U140</x:f>
        <x:v>0</x:v>
      </x:c>
      <x:c r="J140" s="268" t="n">
        <x:f>FASE1!U140</x:f>
        <x:v>0</x:v>
      </x:c>
      <x:c r="K140" s="268" t="n">
        <x:f>FASE1!P140</x:f>
        <x:v>0</x:v>
      </x:c>
      <x:c r="L140" s="268" t="n">
        <x:f>FASE1!V140</x:f>
        <x:v>0</x:v>
      </x:c>
      <x:c r="M140" s="268" t="n">
        <x:f>AVERAGE(FASE2!F140:G140)</x:f>
        <x:v>0</x:v>
      </x:c>
      <x:c r="N140" s="268" t="n">
        <x:f>AVERAGE(FASE2!O140:P140,FASE2!S140)</x:f>
        <x:v>0</x:v>
      </x:c>
      <x:c r="O140" s="268" t="n">
        <x:f>FASE4!K140</x:f>
        <x:v>0</x:v>
      </x:c>
      <x:c r="P140" s="268" t="n">
        <x:f>FASE2!N140</x:f>
        <x:v>0</x:v>
      </x:c>
      <x:c r="Q140" s="268" t="n">
        <x:f>FASE3!P140</x:f>
        <x:v>0</x:v>
      </x:c>
      <x:c r="R140" s="268" t="n">
        <x:f>FASE3!N140</x:f>
        <x:v>0</x:v>
      </x:c>
      <x:c r="S140" s="268" t="n">
        <x:f>AVERAGE(FASE3!Q140,FASE3!R140,FASE3!T140,FASE3!S140)</x:f>
        <x:v>0</x:v>
      </x:c>
      <x:c r="T140" s="268" t="n">
        <x:f>AVERAGE(FASE3!U140,FASE3!V140,FASE3!W140)</x:f>
        <x:v>0</x:v>
      </x:c>
      <x:c r="U140" s="268" t="n">
        <x:f>FASE3!Y140</x:f>
        <x:v>0</x:v>
      </x:c>
      <x:c r="V140" s="268" t="n">
        <x:f>FASE3!X140</x:f>
        <x:v>0</x:v>
      </x:c>
      <x:c r="W140" s="268" t="n">
        <x:f>FASE4!M140</x:f>
        <x:v>0</x:v>
      </x:c>
      <x:c r="X140" s="268">
        <x:f t="shared" si="2"/>
        <x:v>0</x:v>
      </x:c>
    </x:row>
    <x:row r="141" ht="15.75">
      <x:c r="B141">
        <x:v>4</x:v>
      </x:c>
      <x:c r="C141" t="s">
        <x:v>115</x:v>
      </x:c>
      <x:c r="D141" s="243">
        <x:v>416</x:v>
      </x:c>
      <x:c r="E141" s="268" t="n">
        <x:f>FASE1!G141</x:f>
        <x:v>0</x:v>
      </x:c>
      <x:c r="F141" s="268" t="n">
        <x:f>FASE1!M141</x:f>
        <x:v>0</x:v>
      </x:c>
      <x:c r="G141" s="268" t="n">
        <x:f>FASE1!L141</x:f>
        <x:v>0</x:v>
      </x:c>
      <x:c r="H141" s="268" t="n">
        <x:f>FASE1!R141</x:f>
        <x:v>0</x:v>
      </x:c>
      <x:c r="I141" s="268" t="n">
        <x:f>FASE1!U141</x:f>
        <x:v>0</x:v>
      </x:c>
      <x:c r="J141" s="268" t="n">
        <x:f>FASE1!U141</x:f>
        <x:v>0</x:v>
      </x:c>
      <x:c r="K141" s="268" t="n">
        <x:f>FASE1!P141</x:f>
        <x:v>0</x:v>
      </x:c>
      <x:c r="L141" s="268" t="n">
        <x:f>FASE1!V141</x:f>
        <x:v>0</x:v>
      </x:c>
      <x:c r="M141" s="268" t="n">
        <x:f>AVERAGE(FASE2!F141:G141)</x:f>
        <x:v>0</x:v>
      </x:c>
      <x:c r="N141" s="268" t="n">
        <x:f>AVERAGE(FASE2!O141:P141,FASE2!S141)</x:f>
        <x:v>0</x:v>
      </x:c>
      <x:c r="O141" s="268" t="n">
        <x:f>FASE4!K141</x:f>
        <x:v>0</x:v>
      </x:c>
      <x:c r="P141" s="268" t="n">
        <x:f>FASE2!N141</x:f>
        <x:v>0</x:v>
      </x:c>
      <x:c r="Q141" s="268" t="n">
        <x:f>FASE3!P141</x:f>
        <x:v>0</x:v>
      </x:c>
      <x:c r="R141" s="268" t="n">
        <x:f>FASE3!N141</x:f>
        <x:v>0</x:v>
      </x:c>
      <x:c r="S141" s="268" t="n">
        <x:f>AVERAGE(FASE3!Q141,FASE3!R141,FASE3!T141,FASE3!S141)</x:f>
        <x:v>0</x:v>
      </x:c>
      <x:c r="T141" s="268" t="n">
        <x:f>AVERAGE(FASE3!U141,FASE3!V141,FASE3!W141)</x:f>
        <x:v>0</x:v>
      </x:c>
      <x:c r="U141" s="268" t="n">
        <x:f>FASE3!Y141</x:f>
        <x:v>0</x:v>
      </x:c>
      <x:c r="V141" s="268" t="n">
        <x:f>FASE3!X141</x:f>
        <x:v>0</x:v>
      </x:c>
      <x:c r="W141" s="268" t="n">
        <x:f>FASE4!M141</x:f>
        <x:v>0</x:v>
      </x:c>
      <x:c r="X141" s="268">
        <x:f t="shared" si="2"/>
        <x:v>0</x:v>
      </x:c>
    </x:row>
    <x:row r="142" ht="15.75">
      <x:c r="B142">
        <x:v>4</x:v>
      </x:c>
      <x:c r="C142" t="s">
        <x:v>115</x:v>
      </x:c>
      <x:c r="D142" s="243">
        <x:v>417</x:v>
      </x:c>
      <x:c r="E142" s="268" t="n">
        <x:f>FASE1!G142</x:f>
        <x:v>0</x:v>
      </x:c>
      <x:c r="F142" s="268" t="n">
        <x:f>FASE1!M142</x:f>
        <x:v>0</x:v>
      </x:c>
      <x:c r="G142" s="268" t="n">
        <x:f>FASE1!L142</x:f>
        <x:v>0</x:v>
      </x:c>
      <x:c r="H142" s="268" t="n">
        <x:f>FASE1!R142</x:f>
        <x:v>0</x:v>
      </x:c>
      <x:c r="I142" s="268" t="n">
        <x:f>FASE1!U142</x:f>
        <x:v>0</x:v>
      </x:c>
      <x:c r="J142" s="268" t="n">
        <x:f>FASE1!U142</x:f>
        <x:v>0</x:v>
      </x:c>
      <x:c r="K142" s="268" t="n">
        <x:f>FASE1!P142</x:f>
        <x:v>0</x:v>
      </x:c>
      <x:c r="L142" s="268" t="n">
        <x:f>FASE1!V142</x:f>
        <x:v>0</x:v>
      </x:c>
      <x:c r="M142" s="268" t="n">
        <x:f>AVERAGE(FASE2!F142:G142)</x:f>
        <x:v>0</x:v>
      </x:c>
      <x:c r="N142" s="268" t="n">
        <x:f>AVERAGE(FASE2!O142:P142,FASE2!S142)</x:f>
        <x:v>0</x:v>
      </x:c>
      <x:c r="O142" s="268" t="n">
        <x:f>FASE4!K142</x:f>
        <x:v>0</x:v>
      </x:c>
      <x:c r="P142" s="268" t="n">
        <x:f>FASE2!N142</x:f>
        <x:v>0</x:v>
      </x:c>
      <x:c r="Q142" s="268" t="n">
        <x:f>FASE3!P142</x:f>
        <x:v>0</x:v>
      </x:c>
      <x:c r="R142" s="268" t="n">
        <x:f>FASE3!N142</x:f>
        <x:v>0</x:v>
      </x:c>
      <x:c r="S142" s="268" t="n">
        <x:f>AVERAGE(FASE3!Q142,FASE3!R142,FASE3!T142,FASE3!S142)</x:f>
        <x:v>0</x:v>
      </x:c>
      <x:c r="T142" s="268" t="n">
        <x:f>AVERAGE(FASE3!U142,FASE3!V142,FASE3!W142)</x:f>
        <x:v>0</x:v>
      </x:c>
      <x:c r="U142" s="268" t="n">
        <x:f>FASE3!Y142</x:f>
        <x:v>0</x:v>
      </x:c>
      <x:c r="V142" s="268" t="n">
        <x:f>FASE3!X142</x:f>
        <x:v>0</x:v>
      </x:c>
      <x:c r="W142" s="268" t="n">
        <x:f>FASE4!M142</x:f>
        <x:v>0</x:v>
      </x:c>
      <x:c r="X142" s="268">
        <x:f t="shared" si="2"/>
        <x:v>0</x:v>
      </x:c>
    </x:row>
    <x:row r="143" ht="15.75">
      <x:c r="B143">
        <x:v>4</x:v>
      </x:c>
      <x:c r="C143" t="s">
        <x:v>115</x:v>
      </x:c>
      <x:c r="D143" s="243">
        <x:v>418</x:v>
      </x:c>
      <x:c r="E143" s="268" t="n">
        <x:f>FASE1!G143</x:f>
        <x:v>0</x:v>
      </x:c>
      <x:c r="F143" s="268" t="n">
        <x:f>FASE1!M143</x:f>
        <x:v>0</x:v>
      </x:c>
      <x:c r="G143" s="268" t="n">
        <x:f>FASE1!L143</x:f>
        <x:v>0</x:v>
      </x:c>
      <x:c r="H143" s="268" t="n">
        <x:f>FASE1!R143</x:f>
        <x:v>0</x:v>
      </x:c>
      <x:c r="I143" s="268" t="n">
        <x:f>FASE1!U143</x:f>
        <x:v>0</x:v>
      </x:c>
      <x:c r="J143" s="268" t="n">
        <x:f>FASE1!U143</x:f>
        <x:v>0</x:v>
      </x:c>
      <x:c r="K143" s="268" t="n">
        <x:f>FASE1!P143</x:f>
        <x:v>0</x:v>
      </x:c>
      <x:c r="L143" s="268" t="n">
        <x:f>FASE1!V143</x:f>
        <x:v>0</x:v>
      </x:c>
      <x:c r="M143" s="268" t="n">
        <x:f>AVERAGE(FASE2!F143:G143)</x:f>
        <x:v>0</x:v>
      </x:c>
      <x:c r="N143" s="268" t="n">
        <x:f>AVERAGE(FASE2!O143:P143,FASE2!S143)</x:f>
        <x:v>0</x:v>
      </x:c>
      <x:c r="O143" s="268" t="n">
        <x:f>FASE4!K143</x:f>
        <x:v>0</x:v>
      </x:c>
      <x:c r="P143" s="268" t="n">
        <x:f>FASE2!N143</x:f>
        <x:v>0</x:v>
      </x:c>
      <x:c r="Q143" s="268" t="n">
        <x:f>FASE3!P143</x:f>
        <x:v>0</x:v>
      </x:c>
      <x:c r="R143" s="268" t="n">
        <x:f>FASE3!N143</x:f>
        <x:v>0</x:v>
      </x:c>
      <x:c r="S143" s="268" t="n">
        <x:f>AVERAGE(FASE3!Q143,FASE3!R143,FASE3!T143,FASE3!S143)</x:f>
        <x:v>0</x:v>
      </x:c>
      <x:c r="T143" s="268" t="n">
        <x:f>AVERAGE(FASE3!U143,FASE3!V143,FASE3!W143)</x:f>
        <x:v>0</x:v>
      </x:c>
      <x:c r="U143" s="268" t="n">
        <x:f>FASE3!Y143</x:f>
        <x:v>0</x:v>
      </x:c>
      <x:c r="V143" s="268" t="n">
        <x:f>FASE3!X143</x:f>
        <x:v>0</x:v>
      </x:c>
      <x:c r="W143" s="268" t="n">
        <x:f>FASE4!M143</x:f>
        <x:v>0</x:v>
      </x:c>
      <x:c r="X143" s="268">
        <x:f t="shared" si="2"/>
        <x:v>0</x:v>
      </x:c>
    </x:row>
    <x:row r="144" ht="15.75">
      <x:c r="B144">
        <x:v>4</x:v>
      </x:c>
      <x:c r="C144" t="s">
        <x:v>115</x:v>
      </x:c>
      <x:c r="D144" s="243">
        <x:v>419</x:v>
      </x:c>
      <x:c r="E144" s="268" t="n">
        <x:f>FASE1!G144</x:f>
        <x:v>0</x:v>
      </x:c>
      <x:c r="F144" s="268" t="n">
        <x:f>FASE1!M144</x:f>
        <x:v>0</x:v>
      </x:c>
      <x:c r="G144" s="268" t="n">
        <x:f>FASE1!L144</x:f>
        <x:v>0</x:v>
      </x:c>
      <x:c r="H144" s="268" t="n">
        <x:f>FASE1!R144</x:f>
        <x:v>0</x:v>
      </x:c>
      <x:c r="I144" s="268" t="n">
        <x:f>FASE1!U144</x:f>
        <x:v>0</x:v>
      </x:c>
      <x:c r="J144" s="268" t="n">
        <x:f>FASE1!U144</x:f>
        <x:v>0</x:v>
      </x:c>
      <x:c r="K144" s="268" t="n">
        <x:f>FASE1!P144</x:f>
        <x:v>0</x:v>
      </x:c>
      <x:c r="L144" s="268" t="n">
        <x:f>FASE1!V144</x:f>
        <x:v>0</x:v>
      </x:c>
      <x:c r="M144" s="268" t="n">
        <x:f>AVERAGE(FASE2!F144:G144)</x:f>
        <x:v>0</x:v>
      </x:c>
      <x:c r="N144" s="268" t="n">
        <x:f>AVERAGE(FASE2!O144:P144,FASE2!S144)</x:f>
        <x:v>0</x:v>
      </x:c>
      <x:c r="O144" s="268" t="n">
        <x:f>FASE4!K144</x:f>
        <x:v>0</x:v>
      </x:c>
      <x:c r="P144" s="268" t="n">
        <x:f>FASE2!N144</x:f>
        <x:v>0</x:v>
      </x:c>
      <x:c r="Q144" s="268" t="n">
        <x:f>FASE3!P144</x:f>
        <x:v>0</x:v>
      </x:c>
      <x:c r="R144" s="268" t="n">
        <x:f>FASE3!N144</x:f>
        <x:v>0</x:v>
      </x:c>
      <x:c r="S144" s="268" t="n">
        <x:f>AVERAGE(FASE3!Q144,FASE3!R144,FASE3!T144,FASE3!S144)</x:f>
        <x:v>0</x:v>
      </x:c>
      <x:c r="T144" s="268" t="n">
        <x:f>AVERAGE(FASE3!U144,FASE3!V144,FASE3!W144)</x:f>
        <x:v>0</x:v>
      </x:c>
      <x:c r="U144" s="268" t="n">
        <x:f>FASE3!Y144</x:f>
        <x:v>0</x:v>
      </x:c>
      <x:c r="V144" s="268" t="n">
        <x:f>FASE3!X144</x:f>
        <x:v>0</x:v>
      </x:c>
      <x:c r="W144" s="268" t="n">
        <x:f>FASE4!M144</x:f>
        <x:v>0</x:v>
      </x:c>
      <x:c r="X144" s="268">
        <x:f t="shared" si="2"/>
        <x:v>0</x:v>
      </x:c>
    </x:row>
    <x:row r="145" ht="15.75">
      <x:c r="B145">
        <x:v>4</x:v>
      </x:c>
      <x:c r="C145" t="s">
        <x:v>115</x:v>
      </x:c>
      <x:c r="D145" s="243">
        <x:v>420</x:v>
      </x:c>
      <x:c r="E145" s="268" t="n">
        <x:f>FASE1!G145</x:f>
        <x:v>0</x:v>
      </x:c>
      <x:c r="F145" s="268" t="n">
        <x:f>FASE1!M145</x:f>
        <x:v>0</x:v>
      </x:c>
      <x:c r="G145" s="268" t="n">
        <x:f>FASE1!L145</x:f>
        <x:v>0</x:v>
      </x:c>
      <x:c r="H145" s="268" t="n">
        <x:f>FASE1!R145</x:f>
        <x:v>0</x:v>
      </x:c>
      <x:c r="I145" s="268" t="n">
        <x:f>FASE1!U145</x:f>
        <x:v>0</x:v>
      </x:c>
      <x:c r="J145" s="268" t="n">
        <x:f>FASE1!U145</x:f>
        <x:v>0</x:v>
      </x:c>
      <x:c r="K145" s="268" t="n">
        <x:f>FASE1!P145</x:f>
        <x:v>0</x:v>
      </x:c>
      <x:c r="L145" s="268" t="n">
        <x:f>FASE1!V145</x:f>
        <x:v>0</x:v>
      </x:c>
      <x:c r="M145" s="268" t="n">
        <x:f>AVERAGE(FASE2!F145:G145)</x:f>
        <x:v>0</x:v>
      </x:c>
      <x:c r="N145" s="268" t="n">
        <x:f>AVERAGE(FASE2!O145:P145,FASE2!S145)</x:f>
        <x:v>0</x:v>
      </x:c>
      <x:c r="O145" s="268" t="n">
        <x:f>FASE4!K145</x:f>
        <x:v>0</x:v>
      </x:c>
      <x:c r="P145" s="268" t="n">
        <x:f>FASE2!N145</x:f>
        <x:v>0</x:v>
      </x:c>
      <x:c r="Q145" s="268" t="n">
        <x:f>FASE3!P145</x:f>
        <x:v>0</x:v>
      </x:c>
      <x:c r="R145" s="268" t="n">
        <x:f>FASE3!N145</x:f>
        <x:v>0</x:v>
      </x:c>
      <x:c r="S145" s="268" t="n">
        <x:f>AVERAGE(FASE3!Q145,FASE3!R145,FASE3!T145,FASE3!S145)</x:f>
        <x:v>0</x:v>
      </x:c>
      <x:c r="T145" s="268" t="n">
        <x:f>AVERAGE(FASE3!U145,FASE3!V145,FASE3!W145)</x:f>
        <x:v>0</x:v>
      </x:c>
      <x:c r="U145" s="268" t="n">
        <x:f>FASE3!Y145</x:f>
        <x:v>0</x:v>
      </x:c>
      <x:c r="V145" s="268" t="n">
        <x:f>FASE3!X145</x:f>
        <x:v>0</x:v>
      </x:c>
      <x:c r="W145" s="268" t="n">
        <x:f>FASE4!M145</x:f>
        <x:v>0</x:v>
      </x:c>
      <x:c r="X145" s="268">
        <x:f t="shared" si="2"/>
        <x:v>0</x:v>
      </x:c>
      <x:c r="Y145" s="2"/>
    </x:row>
    <x:row r="146" ht="15.75">
      <x:c r="B146">
        <x:v>4</x:v>
      </x:c>
      <x:c r="C146" t="s">
        <x:v>115</x:v>
      </x:c>
      <x:c r="D146" s="243">
        <x:v>421</x:v>
      </x:c>
      <x:c r="E146" s="268" t="n">
        <x:f>FASE1!G146</x:f>
        <x:v>0</x:v>
      </x:c>
      <x:c r="F146" s="268" t="n">
        <x:f>FASE1!M146</x:f>
        <x:v>0</x:v>
      </x:c>
      <x:c r="G146" s="268" t="n">
        <x:f>FASE1!L146</x:f>
        <x:v>0</x:v>
      </x:c>
      <x:c r="H146" s="268" t="n">
        <x:f>FASE1!R146</x:f>
        <x:v>0</x:v>
      </x:c>
      <x:c r="I146" s="268" t="n">
        <x:f>FASE1!U146</x:f>
        <x:v>0</x:v>
      </x:c>
      <x:c r="J146" s="268" t="n">
        <x:f>FASE1!U146</x:f>
        <x:v>0</x:v>
      </x:c>
      <x:c r="K146" s="268" t="n">
        <x:f>FASE1!P146</x:f>
        <x:v>0</x:v>
      </x:c>
      <x:c r="L146" s="268" t="n">
        <x:f>FASE1!V146</x:f>
        <x:v>0</x:v>
      </x:c>
      <x:c r="M146" s="268" t="n">
        <x:f>AVERAGE(FASE2!F146:G146)</x:f>
        <x:v>0</x:v>
      </x:c>
      <x:c r="N146" s="268" t="n">
        <x:f>AVERAGE(FASE2!O146:P146,FASE2!S146)</x:f>
        <x:v>0</x:v>
      </x:c>
      <x:c r="O146" s="268" t="n">
        <x:f>FASE4!K146</x:f>
        <x:v>0</x:v>
      </x:c>
      <x:c r="P146" s="268" t="n">
        <x:f>FASE2!N146</x:f>
        <x:v>0</x:v>
      </x:c>
      <x:c r="Q146" s="268" t="n">
        <x:f>FASE3!P146</x:f>
        <x:v>0</x:v>
      </x:c>
      <x:c r="R146" s="268" t="n">
        <x:f>FASE3!N146</x:f>
        <x:v>0</x:v>
      </x:c>
      <x:c r="S146" s="268" t="n">
        <x:f>AVERAGE(FASE3!Q146,FASE3!R146,FASE3!T146,FASE3!S146)</x:f>
        <x:v>0</x:v>
      </x:c>
      <x:c r="T146" s="268" t="n">
        <x:f>AVERAGE(FASE3!U146,FASE3!V146,FASE3!W146)</x:f>
        <x:v>0</x:v>
      </x:c>
      <x:c r="U146" s="268" t="n">
        <x:f>FASE3!Y146</x:f>
        <x:v>0</x:v>
      </x:c>
      <x:c r="V146" s="268" t="n">
        <x:f>FASE3!X146</x:f>
        <x:v>0</x:v>
      </x:c>
      <x:c r="W146" s="268" t="n">
        <x:f>FASE4!M146</x:f>
        <x:v>0</x:v>
      </x:c>
      <x:c r="X146" s="268">
        <x:f t="shared" si="2"/>
        <x:v>0</x:v>
      </x:c>
    </x:row>
    <x:row r="147" ht="15.75">
      <x:c r="B147">
        <x:v>4</x:v>
      </x:c>
      <x:c r="C147" t="s">
        <x:v>135</x:v>
      </x:c>
      <x:c r="D147" s="243" t="s">
        <x:v>136</x:v>
      </x:c>
      <x:c r="E147" s="268" t="n">
        <x:f>FASE1!G147</x:f>
        <x:v>0</x:v>
      </x:c>
      <x:c r="F147" s="268" t="n">
        <x:f>FASE1!M147</x:f>
        <x:v>0</x:v>
      </x:c>
      <x:c r="G147" s="268" t="n">
        <x:f>FASE1!L147</x:f>
        <x:v>0</x:v>
      </x:c>
      <x:c r="H147" s="268" t="n">
        <x:f>FASE1!R147</x:f>
        <x:v>0</x:v>
      </x:c>
      <x:c r="I147" s="268" t="n">
        <x:f>FASE1!U147</x:f>
        <x:v>0</x:v>
      </x:c>
      <x:c r="J147" s="268" t="n">
        <x:f>FASE1!U147</x:f>
        <x:v>0</x:v>
      </x:c>
      <x:c r="K147" s="268" t="n">
        <x:f>FASE1!P147</x:f>
        <x:v>0</x:v>
      </x:c>
      <x:c r="L147" s="268" t="n">
        <x:f>FASE1!V147</x:f>
        <x:v>0</x:v>
      </x:c>
      <x:c r="M147" s="268" t="e">
        <x:f>AVERAGE(FASE2!F147:G147)</x:f>
        <x:v>#DIV/0!</x:v>
      </x:c>
      <x:c r="N147" s="268" t="e">
        <x:f>AVERAGE(FASE2!O147:P147,FASE2!S147)</x:f>
        <x:v>#DIV/0!</x:v>
      </x:c>
      <x:c r="O147" s="268" t="n">
        <x:f>FASE4!K147</x:f>
        <x:v>0</x:v>
      </x:c>
      <x:c r="P147" s="268" t="n">
        <x:f>FASE2!N147</x:f>
        <x:v>0</x:v>
      </x:c>
      <x:c r="Q147" s="268" t="n">
        <x:f>FASE3!P147</x:f>
        <x:v>0</x:v>
      </x:c>
      <x:c r="R147" s="268" t="n">
        <x:f>FASE3!N147</x:f>
        <x:v>0</x:v>
      </x:c>
      <x:c r="S147" s="268" t="n">
        <x:f>AVERAGE(FASE3!Q147,FASE3!R147,FASE3!T147,FASE3!S147)</x:f>
        <x:v>0</x:v>
      </x:c>
      <x:c r="T147" s="268" t="n">
        <x:f>AVERAGE(FASE3!U147,FASE3!V147,FASE3!W147)</x:f>
        <x:v>0</x:v>
      </x:c>
      <x:c r="U147" s="268" t="n">
        <x:f>FASE3!Y147</x:f>
        <x:v>0</x:v>
      </x:c>
      <x:c r="V147" s="268" t="n">
        <x:f>FASE3!X147</x:f>
        <x:v>0</x:v>
      </x:c>
      <x:c r="W147" s="268" t="n">
        <x:f>FASE4!M147</x:f>
        <x:v>0</x:v>
      </x:c>
      <x:c r="X147" s="268">
        <x:f t="shared" si="2"/>
        <x:v>0</x:v>
      </x:c>
    </x:row>
    <x:row r="148" ht="15.75">
      <x:c r="B148">
        <x:v>5</x:v>
      </x:c>
      <x:c r="C148" t="s">
        <x:v>116</x:v>
      </x:c>
      <x:c r="D148" s="243">
        <x:v>501</x:v>
      </x:c>
      <x:c r="E148" s="268" t="n">
        <x:f>FASE1!G148</x:f>
        <x:v>0</x:v>
      </x:c>
      <x:c r="F148" s="268" t="n">
        <x:f>FASE1!M148</x:f>
        <x:v>0</x:v>
      </x:c>
      <x:c r="G148" s="268" t="n">
        <x:f>FASE1!L148</x:f>
        <x:v>0</x:v>
      </x:c>
      <x:c r="H148" s="268" t="n">
        <x:f>FASE1!R148</x:f>
        <x:v>0</x:v>
      </x:c>
      <x:c r="I148" s="268" t="n">
        <x:f>FASE1!U148</x:f>
        <x:v>0</x:v>
      </x:c>
      <x:c r="J148" s="268" t="n">
        <x:f>FASE1!U148</x:f>
        <x:v>0</x:v>
      </x:c>
      <x:c r="K148" s="268" t="n">
        <x:f>FASE1!P148</x:f>
        <x:v>0</x:v>
      </x:c>
      <x:c r="L148" s="268" t="n">
        <x:f>FASE1!V148</x:f>
        <x:v>0</x:v>
      </x:c>
      <x:c r="M148" s="268" t="n">
        <x:f>AVERAGE(FASE2!F148:G148)</x:f>
        <x:v>0</x:v>
      </x:c>
      <x:c r="N148" s="268" t="n">
        <x:f>AVERAGE(FASE2!O148:P148,FASE2!S148)</x:f>
        <x:v>0</x:v>
      </x:c>
      <x:c r="O148" s="268" t="n">
        <x:f>FASE4!K148</x:f>
        <x:v>0</x:v>
      </x:c>
      <x:c r="P148" s="268" t="n">
        <x:f>FASE2!N148</x:f>
        <x:v>0</x:v>
      </x:c>
      <x:c r="Q148" s="268" t="n">
        <x:f>FASE3!P148</x:f>
        <x:v>0</x:v>
      </x:c>
      <x:c r="R148" s="268" t="n">
        <x:f>FASE3!N148</x:f>
        <x:v>0</x:v>
      </x:c>
      <x:c r="S148" s="268" t="n">
        <x:f>AVERAGE(FASE3!Q148,FASE3!R148,FASE3!T148,FASE3!S148)</x:f>
        <x:v>0</x:v>
      </x:c>
      <x:c r="T148" s="268" t="n">
        <x:f>AVERAGE(FASE3!U148,FASE3!V148,FASE3!W148)</x:f>
        <x:v>0</x:v>
      </x:c>
      <x:c r="U148" s="268" t="n">
        <x:f>FASE3!Y148</x:f>
        <x:v>0</x:v>
      </x:c>
      <x:c r="V148" s="268" t="n">
        <x:f>FASE3!X148</x:f>
        <x:v>0</x:v>
      </x:c>
      <x:c r="W148" s="268" t="n">
        <x:f>FASE4!M148</x:f>
        <x:v>0</x:v>
      </x:c>
      <x:c r="X148" s="268">
        <x:f t="shared" si="2"/>
        <x:v>0</x:v>
      </x:c>
    </x:row>
    <x:row r="149" ht="15.75">
      <x:c r="B149">
        <x:v>5</x:v>
      </x:c>
      <x:c r="C149" t="s">
        <x:v>116</x:v>
      </x:c>
      <x:c r="D149" s="243">
        <x:v>502</x:v>
      </x:c>
      <x:c r="E149" s="268" t="n">
        <x:f>FASE1!G149</x:f>
        <x:v>0</x:v>
      </x:c>
      <x:c r="F149" s="268" t="n">
        <x:f>FASE1!M149</x:f>
        <x:v>0</x:v>
      </x:c>
      <x:c r="G149" s="268" t="n">
        <x:f>FASE1!L149</x:f>
        <x:v>0</x:v>
      </x:c>
      <x:c r="H149" s="268" t="n">
        <x:f>FASE1!R149</x:f>
        <x:v>0</x:v>
      </x:c>
      <x:c r="I149" s="268" t="n">
        <x:f>FASE1!U149</x:f>
        <x:v>0</x:v>
      </x:c>
      <x:c r="J149" s="268" t="n">
        <x:f>FASE1!U149</x:f>
        <x:v>0</x:v>
      </x:c>
      <x:c r="K149" s="268" t="n">
        <x:f>FASE1!P149</x:f>
        <x:v>0</x:v>
      </x:c>
      <x:c r="L149" s="268" t="n">
        <x:f>FASE1!V149</x:f>
        <x:v>0</x:v>
      </x:c>
      <x:c r="M149" s="268" t="n">
        <x:f>AVERAGE(FASE2!F149:G149)</x:f>
        <x:v>0</x:v>
      </x:c>
      <x:c r="N149" s="268" t="n">
        <x:f>AVERAGE(FASE2!O149:P149,FASE2!S149)</x:f>
        <x:v>0</x:v>
      </x:c>
      <x:c r="O149" s="268" t="n">
        <x:f>FASE4!K149</x:f>
        <x:v>0</x:v>
      </x:c>
      <x:c r="P149" s="268" t="n">
        <x:f>FASE2!N149</x:f>
        <x:v>0</x:v>
      </x:c>
      <x:c r="Q149" s="268" t="n">
        <x:f>FASE3!P149</x:f>
        <x:v>0</x:v>
      </x:c>
      <x:c r="R149" s="268" t="n">
        <x:f>FASE3!N149</x:f>
        <x:v>0</x:v>
      </x:c>
      <x:c r="S149" s="268" t="n">
        <x:f>AVERAGE(FASE3!Q149,FASE3!R149,FASE3!T149,FASE3!S149)</x:f>
        <x:v>0</x:v>
      </x:c>
      <x:c r="T149" s="268" t="n">
        <x:f>AVERAGE(FASE3!U149,FASE3!V149,FASE3!W149)</x:f>
        <x:v>0</x:v>
      </x:c>
      <x:c r="U149" s="268" t="n">
        <x:f>FASE3!Y149</x:f>
        <x:v>0</x:v>
      </x:c>
      <x:c r="V149" s="268" t="n">
        <x:f>FASE3!X149</x:f>
        <x:v>0</x:v>
      </x:c>
      <x:c r="W149" s="268" t="n">
        <x:f>FASE4!M149</x:f>
        <x:v>0</x:v>
      </x:c>
      <x:c r="X149" s="268">
        <x:f t="shared" si="2"/>
        <x:v>0</x:v>
      </x:c>
    </x:row>
    <x:row r="150" ht="15.75">
      <x:c r="B150">
        <x:v>5</x:v>
      </x:c>
      <x:c r="C150" t="s">
        <x:v>116</x:v>
      </x:c>
      <x:c r="D150" s="243">
        <x:v>503</x:v>
      </x:c>
      <x:c r="E150" s="268" t="n">
        <x:f>FASE1!G150</x:f>
        <x:v>0</x:v>
      </x:c>
      <x:c r="F150" s="268" t="n">
        <x:f>FASE1!M150</x:f>
        <x:v>0</x:v>
      </x:c>
      <x:c r="G150" s="268" t="n">
        <x:f>FASE1!L150</x:f>
        <x:v>0</x:v>
      </x:c>
      <x:c r="H150" s="268" t="n">
        <x:f>FASE1!R150</x:f>
        <x:v>0</x:v>
      </x:c>
      <x:c r="I150" s="268" t="n">
        <x:f>FASE1!U150</x:f>
        <x:v>0</x:v>
      </x:c>
      <x:c r="J150" s="268" t="n">
        <x:f>FASE1!U150</x:f>
        <x:v>0</x:v>
      </x:c>
      <x:c r="K150" s="268" t="n">
        <x:f>FASE1!P150</x:f>
        <x:v>0</x:v>
      </x:c>
      <x:c r="L150" s="268" t="n">
        <x:f>FASE1!V150</x:f>
        <x:v>0</x:v>
      </x:c>
      <x:c r="M150" s="268" t="n">
        <x:f>AVERAGE(FASE2!F150:G150)</x:f>
        <x:v>0</x:v>
      </x:c>
      <x:c r="N150" s="268" t="n">
        <x:f>AVERAGE(FASE2!O150:P150,FASE2!S150)</x:f>
        <x:v>0</x:v>
      </x:c>
      <x:c r="O150" s="268" t="n">
        <x:f>FASE4!K150</x:f>
        <x:v>0</x:v>
      </x:c>
      <x:c r="P150" s="268" t="n">
        <x:f>FASE2!N150</x:f>
        <x:v>0</x:v>
      </x:c>
      <x:c r="Q150" s="268" t="n">
        <x:f>FASE3!P150</x:f>
        <x:v>0</x:v>
      </x:c>
      <x:c r="R150" s="268" t="n">
        <x:f>FASE3!N150</x:f>
        <x:v>0</x:v>
      </x:c>
      <x:c r="S150" s="268" t="n">
        <x:f>AVERAGE(FASE3!Q150,FASE3!R150,FASE3!T150,FASE3!S150)</x:f>
        <x:v>0</x:v>
      </x:c>
      <x:c r="T150" s="268" t="n">
        <x:f>AVERAGE(FASE3!U150,FASE3!V150,FASE3!W150)</x:f>
        <x:v>0</x:v>
      </x:c>
      <x:c r="U150" s="268" t="n">
        <x:f>FASE3!Y150</x:f>
        <x:v>0</x:v>
      </x:c>
      <x:c r="V150" s="268" t="n">
        <x:f>FASE3!X150</x:f>
        <x:v>0</x:v>
      </x:c>
      <x:c r="W150" s="268" t="n">
        <x:f>FASE4!M150</x:f>
        <x:v>0</x:v>
      </x:c>
      <x:c r="X150" s="268">
        <x:f t="shared" si="2"/>
        <x:v>0</x:v>
      </x:c>
    </x:row>
    <x:row r="151" ht="15.75">
      <x:c r="B151">
        <x:v>5</x:v>
      </x:c>
      <x:c r="C151" t="s">
        <x:v>116</x:v>
      </x:c>
      <x:c r="D151" s="243">
        <x:v>504</x:v>
      </x:c>
      <x:c r="E151" s="268" t="n">
        <x:f>FASE1!G151</x:f>
        <x:v>0</x:v>
      </x:c>
      <x:c r="F151" s="268" t="n">
        <x:f>FASE1!M151</x:f>
        <x:v>0</x:v>
      </x:c>
      <x:c r="G151" s="268" t="n">
        <x:f>FASE1!L151</x:f>
        <x:v>0</x:v>
      </x:c>
      <x:c r="H151" s="268" t="n">
        <x:f>FASE1!R151</x:f>
        <x:v>0</x:v>
      </x:c>
      <x:c r="I151" s="268" t="n">
        <x:f>FASE1!U151</x:f>
        <x:v>0</x:v>
      </x:c>
      <x:c r="J151" s="268" t="n">
        <x:f>FASE1!U151</x:f>
        <x:v>0</x:v>
      </x:c>
      <x:c r="K151" s="268" t="n">
        <x:f>FASE1!P151</x:f>
        <x:v>0</x:v>
      </x:c>
      <x:c r="L151" s="268" t="n">
        <x:f>FASE1!V151</x:f>
        <x:v>0</x:v>
      </x:c>
      <x:c r="M151" s="268" t="n">
        <x:f>AVERAGE(FASE2!F151:G151)</x:f>
        <x:v>0</x:v>
      </x:c>
      <x:c r="N151" s="268" t="n">
        <x:f>AVERAGE(FASE2!O151:P151,FASE2!S151)</x:f>
        <x:v>0</x:v>
      </x:c>
      <x:c r="O151" s="268" t="n">
        <x:f>FASE4!K151</x:f>
        <x:v>0</x:v>
      </x:c>
      <x:c r="P151" s="268" t="n">
        <x:f>FASE2!N151</x:f>
        <x:v>0</x:v>
      </x:c>
      <x:c r="Q151" s="268" t="n">
        <x:f>FASE3!P151</x:f>
        <x:v>0</x:v>
      </x:c>
      <x:c r="R151" s="268" t="n">
        <x:f>FASE3!N151</x:f>
        <x:v>0</x:v>
      </x:c>
      <x:c r="S151" s="268" t="n">
        <x:f>AVERAGE(FASE3!Q151,FASE3!R151,FASE3!T151,FASE3!S151)</x:f>
        <x:v>0</x:v>
      </x:c>
      <x:c r="T151" s="268" t="n">
        <x:f>AVERAGE(FASE3!U151,FASE3!V151,FASE3!W151)</x:f>
        <x:v>0</x:v>
      </x:c>
      <x:c r="U151" s="268" t="n">
        <x:f>FASE3!Y151</x:f>
        <x:v>0</x:v>
      </x:c>
      <x:c r="V151" s="268" t="n">
        <x:f>FASE3!X151</x:f>
        <x:v>0</x:v>
      </x:c>
      <x:c r="W151" s="268" t="n">
        <x:f>FASE4!M151</x:f>
        <x:v>0</x:v>
      </x:c>
      <x:c r="X151" s="268">
        <x:f t="shared" si="2"/>
        <x:v>0</x:v>
      </x:c>
    </x:row>
    <x:row r="152" ht="15.75">
      <x:c r="B152">
        <x:v>5</x:v>
      </x:c>
      <x:c r="C152" t="s">
        <x:v>116</x:v>
      </x:c>
      <x:c r="D152" s="243">
        <x:v>505</x:v>
      </x:c>
      <x:c r="E152" s="268" t="n">
        <x:f>FASE1!G152</x:f>
        <x:v>0</x:v>
      </x:c>
      <x:c r="F152" s="268" t="n">
        <x:f>FASE1!M152</x:f>
        <x:v>0</x:v>
      </x:c>
      <x:c r="G152" s="268" t="n">
        <x:f>FASE1!L152</x:f>
        <x:v>0</x:v>
      </x:c>
      <x:c r="H152" s="268" t="n">
        <x:f>FASE1!R152</x:f>
        <x:v>0</x:v>
      </x:c>
      <x:c r="I152" s="268" t="n">
        <x:f>FASE1!U152</x:f>
        <x:v>0</x:v>
      </x:c>
      <x:c r="J152" s="268" t="n">
        <x:f>FASE1!U152</x:f>
        <x:v>0</x:v>
      </x:c>
      <x:c r="K152" s="268" t="n">
        <x:f>FASE1!P152</x:f>
        <x:v>0</x:v>
      </x:c>
      <x:c r="L152" s="268" t="n">
        <x:f>FASE1!V152</x:f>
        <x:v>0</x:v>
      </x:c>
      <x:c r="M152" s="268" t="n">
        <x:f>AVERAGE(FASE2!F152:G152)</x:f>
        <x:v>0</x:v>
      </x:c>
      <x:c r="N152" s="268" t="n">
        <x:f>AVERAGE(FASE2!O152:P152,FASE2!S152)</x:f>
        <x:v>0</x:v>
      </x:c>
      <x:c r="O152" s="268" t="n">
        <x:f>FASE4!K152</x:f>
        <x:v>0</x:v>
      </x:c>
      <x:c r="P152" s="268" t="n">
        <x:f>FASE2!N152</x:f>
        <x:v>0</x:v>
      </x:c>
      <x:c r="Q152" s="268" t="n">
        <x:f>FASE3!P152</x:f>
        <x:v>0</x:v>
      </x:c>
      <x:c r="R152" s="268" t="n">
        <x:f>FASE3!N152</x:f>
        <x:v>0</x:v>
      </x:c>
      <x:c r="S152" s="268" t="n">
        <x:f>AVERAGE(FASE3!Q152,FASE3!R152,FASE3!T152,FASE3!S152)</x:f>
        <x:v>0</x:v>
      </x:c>
      <x:c r="T152" s="268" t="n">
        <x:f>AVERAGE(FASE3!U152,FASE3!V152,FASE3!W152)</x:f>
        <x:v>0</x:v>
      </x:c>
      <x:c r="U152" s="268" t="n">
        <x:f>FASE3!Y152</x:f>
        <x:v>0</x:v>
      </x:c>
      <x:c r="V152" s="268" t="n">
        <x:f>FASE3!X152</x:f>
        <x:v>0</x:v>
      </x:c>
      <x:c r="W152" s="268" t="n">
        <x:f>FASE4!M152</x:f>
        <x:v>0</x:v>
      </x:c>
      <x:c r="X152" s="268">
        <x:f t="shared" si="2"/>
        <x:v>0</x:v>
      </x:c>
    </x:row>
    <x:row r="153" ht="15.75">
      <x:c r="B153">
        <x:v>5</x:v>
      </x:c>
      <x:c r="C153" t="s">
        <x:v>116</x:v>
      </x:c>
      <x:c r="D153" s="243">
        <x:v>506</x:v>
      </x:c>
      <x:c r="E153" s="268" t="n">
        <x:f>FASE1!G153</x:f>
        <x:v>0</x:v>
      </x:c>
      <x:c r="F153" s="268" t="n">
        <x:f>FASE1!M153</x:f>
        <x:v>0</x:v>
      </x:c>
      <x:c r="G153" s="268" t="n">
        <x:f>FASE1!L153</x:f>
        <x:v>0</x:v>
      </x:c>
      <x:c r="H153" s="268" t="n">
        <x:f>FASE1!R153</x:f>
        <x:v>0</x:v>
      </x:c>
      <x:c r="I153" s="268" t="n">
        <x:f>FASE1!U153</x:f>
        <x:v>0</x:v>
      </x:c>
      <x:c r="J153" s="268" t="n">
        <x:f>FASE1!U153</x:f>
        <x:v>0</x:v>
      </x:c>
      <x:c r="K153" s="268" t="n">
        <x:f>FASE1!P153</x:f>
        <x:v>0</x:v>
      </x:c>
      <x:c r="L153" s="268" t="n">
        <x:f>FASE1!V153</x:f>
        <x:v>0</x:v>
      </x:c>
      <x:c r="M153" s="268" t="n">
        <x:f>AVERAGE(FASE2!F153:G153)</x:f>
        <x:v>0</x:v>
      </x:c>
      <x:c r="N153" s="268" t="n">
        <x:f>AVERAGE(FASE2!O153:P153,FASE2!S153)</x:f>
        <x:v>0</x:v>
      </x:c>
      <x:c r="O153" s="268" t="n">
        <x:f>FASE4!K153</x:f>
        <x:v>0</x:v>
      </x:c>
      <x:c r="P153" s="268" t="n">
        <x:f>FASE2!N153</x:f>
        <x:v>0</x:v>
      </x:c>
      <x:c r="Q153" s="268" t="n">
        <x:f>FASE3!P153</x:f>
        <x:v>0</x:v>
      </x:c>
      <x:c r="R153" s="268" t="n">
        <x:f>FASE3!N153</x:f>
        <x:v>0</x:v>
      </x:c>
      <x:c r="S153" s="268" t="n">
        <x:f>AVERAGE(FASE3!Q153,FASE3!R153,FASE3!T153,FASE3!S153)</x:f>
        <x:v>0</x:v>
      </x:c>
      <x:c r="T153" s="268" t="n">
        <x:f>AVERAGE(FASE3!U153,FASE3!V153,FASE3!W153)</x:f>
        <x:v>0</x:v>
      </x:c>
      <x:c r="U153" s="268" t="n">
        <x:f>FASE3!Y153</x:f>
        <x:v>0</x:v>
      </x:c>
      <x:c r="V153" s="268" t="n">
        <x:f>FASE3!X153</x:f>
        <x:v>0</x:v>
      </x:c>
      <x:c r="W153" s="268" t="n">
        <x:f>FASE4!M153</x:f>
        <x:v>0</x:v>
      </x:c>
      <x:c r="X153" s="268">
        <x:f t="shared" si="2"/>
        <x:v>0</x:v>
      </x:c>
    </x:row>
    <x:row r="154" ht="15.75">
      <x:c r="B154">
        <x:v>5</x:v>
      </x:c>
      <x:c r="C154" t="s">
        <x:v>116</x:v>
      </x:c>
      <x:c r="D154" s="243">
        <x:v>507</x:v>
      </x:c>
      <x:c r="E154" s="268" t="n">
        <x:f>FASE1!G154</x:f>
        <x:v>0</x:v>
      </x:c>
      <x:c r="F154" s="268" t="n">
        <x:f>FASE1!M154</x:f>
        <x:v>0</x:v>
      </x:c>
      <x:c r="G154" s="268" t="n">
        <x:f>FASE1!L154</x:f>
        <x:v>0</x:v>
      </x:c>
      <x:c r="H154" s="268" t="n">
        <x:f>FASE1!R154</x:f>
        <x:v>0</x:v>
      </x:c>
      <x:c r="I154" s="268" t="n">
        <x:f>FASE1!U154</x:f>
        <x:v>0</x:v>
      </x:c>
      <x:c r="J154" s="268" t="n">
        <x:f>FASE1!U154</x:f>
        <x:v>0</x:v>
      </x:c>
      <x:c r="K154" s="268" t="n">
        <x:f>FASE1!P154</x:f>
        <x:v>0</x:v>
      </x:c>
      <x:c r="L154" s="268" t="n">
        <x:f>FASE1!V154</x:f>
        <x:v>0</x:v>
      </x:c>
      <x:c r="M154" s="268" t="n">
        <x:f>AVERAGE(FASE2!F154:G154)</x:f>
        <x:v>0</x:v>
      </x:c>
      <x:c r="N154" s="268" t="n">
        <x:f>AVERAGE(FASE2!O154:P154,FASE2!S154)</x:f>
        <x:v>0</x:v>
      </x:c>
      <x:c r="O154" s="268" t="n">
        <x:f>FASE4!K154</x:f>
        <x:v>0</x:v>
      </x:c>
      <x:c r="P154" s="268" t="n">
        <x:f>FASE2!N154</x:f>
        <x:v>0</x:v>
      </x:c>
      <x:c r="Q154" s="268" t="n">
        <x:f>FASE3!P154</x:f>
        <x:v>0</x:v>
      </x:c>
      <x:c r="R154" s="268" t="n">
        <x:f>FASE3!N154</x:f>
        <x:v>0</x:v>
      </x:c>
      <x:c r="S154" s="268" t="n">
        <x:f>AVERAGE(FASE3!Q154,FASE3!R154,FASE3!T154,FASE3!S154)</x:f>
        <x:v>0</x:v>
      </x:c>
      <x:c r="T154" s="268" t="n">
        <x:f>AVERAGE(FASE3!U154,FASE3!V154,FASE3!W154)</x:f>
        <x:v>0</x:v>
      </x:c>
      <x:c r="U154" s="268" t="n">
        <x:f>FASE3!Y154</x:f>
        <x:v>0</x:v>
      </x:c>
      <x:c r="V154" s="268" t="n">
        <x:f>FASE3!X154</x:f>
        <x:v>0</x:v>
      </x:c>
      <x:c r="W154" s="268" t="n">
        <x:f>FASE4!M154</x:f>
        <x:v>0</x:v>
      </x:c>
      <x:c r="X154" s="268">
        <x:f t="shared" si="2"/>
        <x:v>0</x:v>
      </x:c>
    </x:row>
    <x:row r="155" ht="15.75">
      <x:c r="B155">
        <x:v>5</x:v>
      </x:c>
      <x:c r="C155" t="s">
        <x:v>116</x:v>
      </x:c>
      <x:c r="D155" s="243">
        <x:v>508</x:v>
      </x:c>
      <x:c r="E155" s="268" t="n">
        <x:f>FASE1!G155</x:f>
        <x:v>0</x:v>
      </x:c>
      <x:c r="F155" s="268" t="n">
        <x:f>FASE1!M155</x:f>
        <x:v>0</x:v>
      </x:c>
      <x:c r="G155" s="268" t="n">
        <x:f>FASE1!L155</x:f>
        <x:v>0</x:v>
      </x:c>
      <x:c r="H155" s="268" t="n">
        <x:f>FASE1!R155</x:f>
        <x:v>0</x:v>
      </x:c>
      <x:c r="I155" s="268" t="n">
        <x:f>FASE1!U155</x:f>
        <x:v>0</x:v>
      </x:c>
      <x:c r="J155" s="268" t="n">
        <x:f>FASE1!U155</x:f>
        <x:v>0</x:v>
      </x:c>
      <x:c r="K155" s="268" t="n">
        <x:f>FASE1!P155</x:f>
        <x:v>0</x:v>
      </x:c>
      <x:c r="L155" s="268" t="n">
        <x:f>FASE1!V155</x:f>
        <x:v>0</x:v>
      </x:c>
      <x:c r="M155" s="268" t="n">
        <x:f>AVERAGE(FASE2!F155:G155)</x:f>
        <x:v>0</x:v>
      </x:c>
      <x:c r="N155" s="268" t="n">
        <x:f>AVERAGE(FASE2!O155:P155,FASE2!S155)</x:f>
        <x:v>0</x:v>
      </x:c>
      <x:c r="O155" s="268" t="n">
        <x:f>FASE4!K155</x:f>
        <x:v>0</x:v>
      </x:c>
      <x:c r="P155" s="268" t="n">
        <x:f>FASE2!N155</x:f>
        <x:v>0</x:v>
      </x:c>
      <x:c r="Q155" s="268" t="n">
        <x:f>FASE3!P155</x:f>
        <x:v>0</x:v>
      </x:c>
      <x:c r="R155" s="268" t="n">
        <x:f>FASE3!N155</x:f>
        <x:v>0</x:v>
      </x:c>
      <x:c r="S155" s="268" t="n">
        <x:f>AVERAGE(FASE3!Q155,FASE3!R155,FASE3!T155,FASE3!S155)</x:f>
        <x:v>0</x:v>
      </x:c>
      <x:c r="T155" s="268" t="n">
        <x:f>AVERAGE(FASE3!U155,FASE3!V155,FASE3!W155)</x:f>
        <x:v>0</x:v>
      </x:c>
      <x:c r="U155" s="268" t="n">
        <x:f>FASE3!Y155</x:f>
        <x:v>0</x:v>
      </x:c>
      <x:c r="V155" s="268" t="n">
        <x:f>FASE3!X155</x:f>
        <x:v>0</x:v>
      </x:c>
      <x:c r="W155" s="268" t="n">
        <x:f>FASE4!M155</x:f>
        <x:v>0</x:v>
      </x:c>
      <x:c r="X155" s="268">
        <x:f t="shared" si="2"/>
        <x:v>0</x:v>
      </x:c>
    </x:row>
    <x:row r="156" ht="15.75">
      <x:c r="B156">
        <x:v>5</x:v>
      </x:c>
      <x:c r="C156" t="s">
        <x:v>116</x:v>
      </x:c>
      <x:c r="D156" s="243">
        <x:v>509</x:v>
      </x:c>
      <x:c r="E156" s="268" t="n">
        <x:f>FASE1!G156</x:f>
        <x:v>0</x:v>
      </x:c>
      <x:c r="F156" s="268" t="n">
        <x:f>FASE1!M156</x:f>
        <x:v>0</x:v>
      </x:c>
      <x:c r="G156" s="268" t="n">
        <x:f>FASE1!L156</x:f>
        <x:v>0</x:v>
      </x:c>
      <x:c r="H156" s="268" t="n">
        <x:f>FASE1!R156</x:f>
        <x:v>0</x:v>
      </x:c>
      <x:c r="I156" s="268" t="n">
        <x:f>FASE1!U156</x:f>
        <x:v>0</x:v>
      </x:c>
      <x:c r="J156" s="268" t="n">
        <x:f>FASE1!U156</x:f>
        <x:v>0</x:v>
      </x:c>
      <x:c r="K156" s="268" t="n">
        <x:f>FASE1!P156</x:f>
        <x:v>0</x:v>
      </x:c>
      <x:c r="L156" s="268" t="n">
        <x:f>FASE1!V156</x:f>
        <x:v>0</x:v>
      </x:c>
      <x:c r="M156" s="268" t="n">
        <x:f>AVERAGE(FASE2!F156:G156)</x:f>
        <x:v>0</x:v>
      </x:c>
      <x:c r="N156" s="268" t="n">
        <x:f>AVERAGE(FASE2!O156:P156,FASE2!S156)</x:f>
        <x:v>0</x:v>
      </x:c>
      <x:c r="O156" s="268" t="n">
        <x:f>FASE4!K156</x:f>
        <x:v>0</x:v>
      </x:c>
      <x:c r="P156" s="268" t="n">
        <x:f>FASE2!N156</x:f>
        <x:v>0</x:v>
      </x:c>
      <x:c r="Q156" s="268" t="n">
        <x:f>FASE3!P156</x:f>
        <x:v>0</x:v>
      </x:c>
      <x:c r="R156" s="268" t="n">
        <x:f>FASE3!N156</x:f>
        <x:v>0</x:v>
      </x:c>
      <x:c r="S156" s="268" t="n">
        <x:f>AVERAGE(FASE3!Q156,FASE3!R156,FASE3!T156,FASE3!S156)</x:f>
        <x:v>0</x:v>
      </x:c>
      <x:c r="T156" s="268" t="n">
        <x:f>AVERAGE(FASE3!U156,FASE3!V156,FASE3!W156)</x:f>
        <x:v>0</x:v>
      </x:c>
      <x:c r="U156" s="268" t="n">
        <x:f>FASE3!Y156</x:f>
        <x:v>0</x:v>
      </x:c>
      <x:c r="V156" s="268" t="n">
        <x:f>FASE3!X156</x:f>
        <x:v>0</x:v>
      </x:c>
      <x:c r="W156" s="268" t="n">
        <x:f>FASE4!M156</x:f>
        <x:v>0</x:v>
      </x:c>
      <x:c r="X156" s="268">
        <x:f t="shared" si="2"/>
        <x:v>0</x:v>
      </x:c>
    </x:row>
    <x:row r="157" ht="15.75">
      <x:c r="B157">
        <x:v>5</x:v>
      </x:c>
      <x:c r="C157" t="s">
        <x:v>116</x:v>
      </x:c>
      <x:c r="D157" s="243">
        <x:v>510</x:v>
      </x:c>
      <x:c r="E157" s="268" t="n">
        <x:f>FASE1!G157</x:f>
        <x:v>0</x:v>
      </x:c>
      <x:c r="F157" s="268" t="n">
        <x:f>FASE1!M157</x:f>
        <x:v>0</x:v>
      </x:c>
      <x:c r="G157" s="268" t="n">
        <x:f>FASE1!L157</x:f>
        <x:v>0</x:v>
      </x:c>
      <x:c r="H157" s="268" t="n">
        <x:f>FASE1!R157</x:f>
        <x:v>0</x:v>
      </x:c>
      <x:c r="I157" s="268" t="n">
        <x:f>FASE1!U157</x:f>
        <x:v>0</x:v>
      </x:c>
      <x:c r="J157" s="268" t="n">
        <x:f>FASE1!U157</x:f>
        <x:v>0</x:v>
      </x:c>
      <x:c r="K157" s="268" t="n">
        <x:f>FASE1!P157</x:f>
        <x:v>0</x:v>
      </x:c>
      <x:c r="L157" s="268" t="n">
        <x:f>FASE1!V157</x:f>
        <x:v>0</x:v>
      </x:c>
      <x:c r="M157" s="268" t="n">
        <x:f>AVERAGE(FASE2!F157:G157)</x:f>
        <x:v>0</x:v>
      </x:c>
      <x:c r="N157" s="268" t="n">
        <x:f>AVERAGE(FASE2!O157:P157,FASE2!S157)</x:f>
        <x:v>0</x:v>
      </x:c>
      <x:c r="O157" s="268" t="n">
        <x:f>FASE4!K157</x:f>
        <x:v>0</x:v>
      </x:c>
      <x:c r="P157" s="268" t="n">
        <x:f>FASE2!N157</x:f>
        <x:v>0</x:v>
      </x:c>
      <x:c r="Q157" s="268" t="n">
        <x:f>FASE3!P157</x:f>
        <x:v>0</x:v>
      </x:c>
      <x:c r="R157" s="268" t="n">
        <x:f>FASE3!N157</x:f>
        <x:v>0</x:v>
      </x:c>
      <x:c r="S157" s="268" t="n">
        <x:f>AVERAGE(FASE3!Q157,FASE3!R157,FASE3!T157,FASE3!S157)</x:f>
        <x:v>0</x:v>
      </x:c>
      <x:c r="T157" s="268" t="n">
        <x:f>AVERAGE(FASE3!U157,FASE3!V157,FASE3!W157)</x:f>
        <x:v>0</x:v>
      </x:c>
      <x:c r="U157" s="268" t="n">
        <x:f>FASE3!Y157</x:f>
        <x:v>0</x:v>
      </x:c>
      <x:c r="V157" s="268" t="n">
        <x:f>FASE3!X157</x:f>
        <x:v>0</x:v>
      </x:c>
      <x:c r="W157" s="268" t="n">
        <x:f>FASE4!M157</x:f>
        <x:v>0</x:v>
      </x:c>
      <x:c r="X157" s="268">
        <x:f t="shared" si="2"/>
        <x:v>0</x:v>
      </x:c>
    </x:row>
    <x:row r="158" ht="15.75">
      <x:c r="B158">
        <x:v>5</x:v>
      </x:c>
      <x:c r="C158" t="s">
        <x:v>116</x:v>
      </x:c>
      <x:c r="D158" s="243">
        <x:v>511</x:v>
      </x:c>
      <x:c r="E158" s="268" t="n">
        <x:f>FASE1!G158</x:f>
        <x:v>0</x:v>
      </x:c>
      <x:c r="F158" s="268" t="n">
        <x:f>FASE1!M158</x:f>
        <x:v>0</x:v>
      </x:c>
      <x:c r="G158" s="268" t="n">
        <x:f>FASE1!L158</x:f>
        <x:v>0</x:v>
      </x:c>
      <x:c r="H158" s="268" t="n">
        <x:f>FASE1!R158</x:f>
        <x:v>0</x:v>
      </x:c>
      <x:c r="I158" s="268" t="n">
        <x:f>FASE1!U158</x:f>
        <x:v>0</x:v>
      </x:c>
      <x:c r="J158" s="268" t="n">
        <x:f>FASE1!U158</x:f>
        <x:v>0</x:v>
      </x:c>
      <x:c r="K158" s="268" t="n">
        <x:f>FASE1!P158</x:f>
        <x:v>0</x:v>
      </x:c>
      <x:c r="L158" s="268" t="n">
        <x:f>FASE1!V158</x:f>
        <x:v>0</x:v>
      </x:c>
      <x:c r="M158" s="268" t="n">
        <x:f>AVERAGE(FASE2!F158:G158)</x:f>
        <x:v>0</x:v>
      </x:c>
      <x:c r="N158" s="268" t="n">
        <x:f>AVERAGE(FASE2!O158:P158,FASE2!S158)</x:f>
        <x:v>0</x:v>
      </x:c>
      <x:c r="O158" s="268" t="n">
        <x:f>FASE4!K158</x:f>
        <x:v>0</x:v>
      </x:c>
      <x:c r="P158" s="268" t="n">
        <x:f>FASE2!N158</x:f>
        <x:v>0</x:v>
      </x:c>
      <x:c r="Q158" s="268" t="n">
        <x:f>FASE3!P158</x:f>
        <x:v>0</x:v>
      </x:c>
      <x:c r="R158" s="268" t="n">
        <x:f>FASE3!N158</x:f>
        <x:v>0</x:v>
      </x:c>
      <x:c r="S158" s="268" t="n">
        <x:f>AVERAGE(FASE3!Q158,FASE3!R158,FASE3!T158,FASE3!S158)</x:f>
        <x:v>0</x:v>
      </x:c>
      <x:c r="T158" s="268" t="n">
        <x:f>AVERAGE(FASE3!U158,FASE3!V158,FASE3!W158)</x:f>
        <x:v>0</x:v>
      </x:c>
      <x:c r="U158" s="268" t="n">
        <x:f>FASE3!Y158</x:f>
        <x:v>0</x:v>
      </x:c>
      <x:c r="V158" s="268" t="n">
        <x:f>FASE3!X158</x:f>
        <x:v>0</x:v>
      </x:c>
      <x:c r="W158" s="268" t="n">
        <x:f>FASE4!M158</x:f>
        <x:v>0</x:v>
      </x:c>
      <x:c r="X158" s="268">
        <x:f t="shared" si="2"/>
        <x:v>0</x:v>
      </x:c>
    </x:row>
    <x:row r="159" ht="15.75">
      <x:c r="B159">
        <x:v>5</x:v>
      </x:c>
      <x:c r="C159" t="s">
        <x:v>116</x:v>
      </x:c>
      <x:c r="D159" s="243">
        <x:v>512</x:v>
      </x:c>
      <x:c r="E159" s="268" t="n">
        <x:f>FASE1!G159</x:f>
        <x:v>0</x:v>
      </x:c>
      <x:c r="F159" s="268" t="n">
        <x:f>FASE1!M159</x:f>
        <x:v>0</x:v>
      </x:c>
      <x:c r="G159" s="268" t="n">
        <x:f>FASE1!L159</x:f>
        <x:v>0</x:v>
      </x:c>
      <x:c r="H159" s="268" t="n">
        <x:f>FASE1!R159</x:f>
        <x:v>0</x:v>
      </x:c>
      <x:c r="I159" s="268" t="n">
        <x:f>FASE1!U159</x:f>
        <x:v>0</x:v>
      </x:c>
      <x:c r="J159" s="268" t="n">
        <x:f>FASE1!U159</x:f>
        <x:v>0</x:v>
      </x:c>
      <x:c r="K159" s="268" t="n">
        <x:f>FASE1!P159</x:f>
        <x:v>0</x:v>
      </x:c>
      <x:c r="L159" s="268" t="n">
        <x:f>FASE1!V159</x:f>
        <x:v>0</x:v>
      </x:c>
      <x:c r="M159" s="268" t="n">
        <x:f>AVERAGE(FASE2!F159:G159)</x:f>
        <x:v>0</x:v>
      </x:c>
      <x:c r="N159" s="268" t="n">
        <x:f>AVERAGE(FASE2!O159:P159,FASE2!S159)</x:f>
        <x:v>0</x:v>
      </x:c>
      <x:c r="O159" s="268" t="n">
        <x:f>FASE4!K159</x:f>
        <x:v>0</x:v>
      </x:c>
      <x:c r="P159" s="268" t="n">
        <x:f>FASE2!N159</x:f>
        <x:v>0</x:v>
      </x:c>
      <x:c r="Q159" s="268" t="n">
        <x:f>FASE3!P159</x:f>
        <x:v>0</x:v>
      </x:c>
      <x:c r="R159" s="268" t="n">
        <x:f>FASE3!N159</x:f>
        <x:v>0</x:v>
      </x:c>
      <x:c r="S159" s="268" t="n">
        <x:f>AVERAGE(FASE3!Q159,FASE3!R159,FASE3!T159,FASE3!S159)</x:f>
        <x:v>0</x:v>
      </x:c>
      <x:c r="T159" s="268" t="n">
        <x:f>AVERAGE(FASE3!U159,FASE3!V159,FASE3!W159)</x:f>
        <x:v>0</x:v>
      </x:c>
      <x:c r="U159" s="268" t="n">
        <x:f>FASE3!Y159</x:f>
        <x:v>0</x:v>
      </x:c>
      <x:c r="V159" s="268" t="n">
        <x:f>FASE3!X159</x:f>
        <x:v>0</x:v>
      </x:c>
      <x:c r="W159" s="268" t="n">
        <x:f>FASE4!M159</x:f>
        <x:v>0</x:v>
      </x:c>
      <x:c r="X159" s="268">
        <x:f t="shared" si="2"/>
        <x:v>0</x:v>
      </x:c>
    </x:row>
    <x:row r="160" ht="15.75">
      <x:c r="B160">
        <x:v>5</x:v>
      </x:c>
      <x:c r="C160" t="s">
        <x:v>116</x:v>
      </x:c>
      <x:c r="D160" s="243">
        <x:v>513</x:v>
      </x:c>
      <x:c r="E160" s="268" t="n">
        <x:f>FASE1!G160</x:f>
        <x:v>0</x:v>
      </x:c>
      <x:c r="F160" s="268" t="n">
        <x:f>FASE1!M160</x:f>
        <x:v>0</x:v>
      </x:c>
      <x:c r="G160" s="268" t="n">
        <x:f>FASE1!L160</x:f>
        <x:v>0</x:v>
      </x:c>
      <x:c r="H160" s="268" t="n">
        <x:f>FASE1!R160</x:f>
        <x:v>0</x:v>
      </x:c>
      <x:c r="I160" s="268" t="n">
        <x:f>FASE1!U160</x:f>
        <x:v>0</x:v>
      </x:c>
      <x:c r="J160" s="268" t="n">
        <x:f>FASE1!U160</x:f>
        <x:v>0</x:v>
      </x:c>
      <x:c r="K160" s="268" t="n">
        <x:f>FASE1!P160</x:f>
        <x:v>0</x:v>
      </x:c>
      <x:c r="L160" s="268" t="n">
        <x:f>FASE1!V160</x:f>
        <x:v>0</x:v>
      </x:c>
      <x:c r="M160" s="268" t="n">
        <x:f>AVERAGE(FASE2!F160:G160)</x:f>
        <x:v>0</x:v>
      </x:c>
      <x:c r="N160" s="268" t="n">
        <x:f>AVERAGE(FASE2!O160:P160,FASE2!S160)</x:f>
        <x:v>0</x:v>
      </x:c>
      <x:c r="O160" s="268" t="n">
        <x:f>FASE4!K160</x:f>
        <x:v>0</x:v>
      </x:c>
      <x:c r="P160" s="268" t="n">
        <x:f>FASE2!N160</x:f>
        <x:v>0</x:v>
      </x:c>
      <x:c r="Q160" s="268" t="n">
        <x:f>FASE3!P160</x:f>
        <x:v>0</x:v>
      </x:c>
      <x:c r="R160" s="268" t="n">
        <x:f>FASE3!N160</x:f>
        <x:v>0</x:v>
      </x:c>
      <x:c r="S160" s="268" t="n">
        <x:f>AVERAGE(FASE3!Q160,FASE3!R160,FASE3!T160,FASE3!S160)</x:f>
        <x:v>0</x:v>
      </x:c>
      <x:c r="T160" s="268" t="n">
        <x:f>AVERAGE(FASE3!U160,FASE3!V160,FASE3!W160)</x:f>
        <x:v>0</x:v>
      </x:c>
      <x:c r="U160" s="268" t="n">
        <x:f>FASE3!Y160</x:f>
        <x:v>0</x:v>
      </x:c>
      <x:c r="V160" s="268" t="n">
        <x:f>FASE3!X160</x:f>
        <x:v>0</x:v>
      </x:c>
      <x:c r="W160" s="268" t="n">
        <x:f>FASE4!M160</x:f>
        <x:v>0</x:v>
      </x:c>
      <x:c r="X160" s="268">
        <x:f t="shared" si="2"/>
        <x:v>0</x:v>
      </x:c>
    </x:row>
    <x:row r="161" ht="15.75">
      <x:c r="B161">
        <x:v>5</x:v>
      </x:c>
      <x:c r="C161" t="s">
        <x:v>116</x:v>
      </x:c>
      <x:c r="D161" s="243">
        <x:v>514</x:v>
      </x:c>
      <x:c r="E161" s="268" t="n">
        <x:f>FASE1!G161</x:f>
        <x:v>0</x:v>
      </x:c>
      <x:c r="F161" s="268" t="n">
        <x:f>FASE1!M161</x:f>
        <x:v>0</x:v>
      </x:c>
      <x:c r="G161" s="268" t="n">
        <x:f>FASE1!L161</x:f>
        <x:v>0</x:v>
      </x:c>
      <x:c r="H161" s="268" t="n">
        <x:f>FASE1!R161</x:f>
        <x:v>0</x:v>
      </x:c>
      <x:c r="I161" s="268" t="n">
        <x:f>FASE1!U161</x:f>
        <x:v>0</x:v>
      </x:c>
      <x:c r="J161" s="268" t="n">
        <x:f>FASE1!U161</x:f>
        <x:v>0</x:v>
      </x:c>
      <x:c r="K161" s="268" t="n">
        <x:f>FASE1!P161</x:f>
        <x:v>0</x:v>
      </x:c>
      <x:c r="L161" s="268" t="n">
        <x:f>FASE1!V161</x:f>
        <x:v>0</x:v>
      </x:c>
      <x:c r="M161" s="268" t="n">
        <x:f>AVERAGE(FASE2!F161:G161)</x:f>
        <x:v>0</x:v>
      </x:c>
      <x:c r="N161" s="268" t="n">
        <x:f>AVERAGE(FASE2!O161:P161,FASE2!S161)</x:f>
        <x:v>0</x:v>
      </x:c>
      <x:c r="O161" s="268" t="n">
        <x:f>FASE4!K161</x:f>
        <x:v>0</x:v>
      </x:c>
      <x:c r="P161" s="268" t="n">
        <x:f>FASE2!N161</x:f>
        <x:v>0</x:v>
      </x:c>
      <x:c r="Q161" s="268" t="n">
        <x:f>FASE3!P161</x:f>
        <x:v>0</x:v>
      </x:c>
      <x:c r="R161" s="268" t="n">
        <x:f>FASE3!N161</x:f>
        <x:v>0</x:v>
      </x:c>
      <x:c r="S161" s="268" t="n">
        <x:f>AVERAGE(FASE3!Q161,FASE3!R161,FASE3!T161,FASE3!S161)</x:f>
        <x:v>0</x:v>
      </x:c>
      <x:c r="T161" s="268" t="n">
        <x:f>AVERAGE(FASE3!U161,FASE3!V161,FASE3!W161)</x:f>
        <x:v>0</x:v>
      </x:c>
      <x:c r="U161" s="268" t="n">
        <x:f>FASE3!Y161</x:f>
        <x:v>0</x:v>
      </x:c>
      <x:c r="V161" s="268" t="n">
        <x:f>FASE3!X161</x:f>
        <x:v>0</x:v>
      </x:c>
      <x:c r="W161" s="268" t="n">
        <x:f>FASE4!M161</x:f>
        <x:v>0</x:v>
      </x:c>
      <x:c r="X161" s="268">
        <x:f t="shared" si="2"/>
        <x:v>0</x:v>
      </x:c>
    </x:row>
    <x:row r="162" ht="15.75">
      <x:c r="B162">
        <x:v>5</x:v>
      </x:c>
      <x:c r="C162" t="s">
        <x:v>116</x:v>
      </x:c>
      <x:c r="D162" s="243">
        <x:v>515</x:v>
      </x:c>
      <x:c r="E162" s="268" t="n">
        <x:f>FASE1!G162</x:f>
        <x:v>0</x:v>
      </x:c>
      <x:c r="F162" s="268" t="n">
        <x:f>FASE1!M162</x:f>
        <x:v>0</x:v>
      </x:c>
      <x:c r="G162" s="268" t="n">
        <x:f>FASE1!L162</x:f>
        <x:v>0</x:v>
      </x:c>
      <x:c r="H162" s="268" t="n">
        <x:f>FASE1!R162</x:f>
        <x:v>0</x:v>
      </x:c>
      <x:c r="I162" s="268" t="n">
        <x:f>FASE1!U162</x:f>
        <x:v>0</x:v>
      </x:c>
      <x:c r="J162" s="268" t="n">
        <x:f>FASE1!U162</x:f>
        <x:v>0</x:v>
      </x:c>
      <x:c r="K162" s="268" t="n">
        <x:f>FASE1!P162</x:f>
        <x:v>0</x:v>
      </x:c>
      <x:c r="L162" s="268" t="n">
        <x:f>FASE1!V162</x:f>
        <x:v>0</x:v>
      </x:c>
      <x:c r="M162" s="268" t="n">
        <x:f>AVERAGE(FASE2!F162:G162)</x:f>
        <x:v>0</x:v>
      </x:c>
      <x:c r="N162" s="268" t="n">
        <x:f>AVERAGE(FASE2!O162:P162,FASE2!S162)</x:f>
        <x:v>0</x:v>
      </x:c>
      <x:c r="O162" s="268" t="n">
        <x:f>FASE4!K162</x:f>
        <x:v>0</x:v>
      </x:c>
      <x:c r="P162" s="268" t="n">
        <x:f>FASE2!N162</x:f>
        <x:v>0</x:v>
      </x:c>
      <x:c r="Q162" s="268" t="n">
        <x:f>FASE3!P162</x:f>
        <x:v>0</x:v>
      </x:c>
      <x:c r="R162" s="268" t="n">
        <x:f>FASE3!N162</x:f>
        <x:v>0</x:v>
      </x:c>
      <x:c r="S162" s="268" t="n">
        <x:f>AVERAGE(FASE3!Q162,FASE3!R162,FASE3!T162,FASE3!S162)</x:f>
        <x:v>0</x:v>
      </x:c>
      <x:c r="T162" s="268" t="n">
        <x:f>AVERAGE(FASE3!U162,FASE3!V162,FASE3!W162)</x:f>
        <x:v>0</x:v>
      </x:c>
      <x:c r="U162" s="268" t="n">
        <x:f>FASE3!Y162</x:f>
        <x:v>0</x:v>
      </x:c>
      <x:c r="V162" s="268" t="n">
        <x:f>FASE3!X162</x:f>
        <x:v>0</x:v>
      </x:c>
      <x:c r="W162" s="268" t="n">
        <x:f>FASE4!M162</x:f>
        <x:v>0</x:v>
      </x:c>
      <x:c r="X162" s="268">
        <x:f t="shared" si="2"/>
        <x:v>0</x:v>
      </x:c>
    </x:row>
    <x:row r="163" ht="15.75">
      <x:c r="B163">
        <x:v>5</x:v>
      </x:c>
      <x:c r="C163" t="s">
        <x:v>116</x:v>
      </x:c>
      <x:c r="D163" s="243">
        <x:v>516</x:v>
      </x:c>
      <x:c r="E163" s="268" t="n">
        <x:f>FASE1!G163</x:f>
        <x:v>0</x:v>
      </x:c>
      <x:c r="F163" s="268" t="n">
        <x:f>FASE1!M163</x:f>
        <x:v>0</x:v>
      </x:c>
      <x:c r="G163" s="268" t="n">
        <x:f>FASE1!L163</x:f>
        <x:v>0</x:v>
      </x:c>
      <x:c r="H163" s="268" t="n">
        <x:f>FASE1!R163</x:f>
        <x:v>0</x:v>
      </x:c>
      <x:c r="I163" s="268" t="n">
        <x:f>FASE1!U163</x:f>
        <x:v>0</x:v>
      </x:c>
      <x:c r="J163" s="268" t="n">
        <x:f>FASE1!U163</x:f>
        <x:v>0</x:v>
      </x:c>
      <x:c r="K163" s="268" t="n">
        <x:f>FASE1!P163</x:f>
        <x:v>0</x:v>
      </x:c>
      <x:c r="L163" s="268" t="n">
        <x:f>FASE1!V163</x:f>
        <x:v>0</x:v>
      </x:c>
      <x:c r="M163" s="268" t="n">
        <x:f>AVERAGE(FASE2!F163:G163)</x:f>
        <x:v>0</x:v>
      </x:c>
      <x:c r="N163" s="268" t="n">
        <x:f>AVERAGE(FASE2!O163:P163,FASE2!S163)</x:f>
        <x:v>0</x:v>
      </x:c>
      <x:c r="O163" s="268" t="n">
        <x:f>FASE4!K163</x:f>
        <x:v>0</x:v>
      </x:c>
      <x:c r="P163" s="268" t="n">
        <x:f>FASE2!N163</x:f>
        <x:v>0</x:v>
      </x:c>
      <x:c r="Q163" s="268" t="n">
        <x:f>FASE3!P163</x:f>
        <x:v>0</x:v>
      </x:c>
      <x:c r="R163" s="268" t="n">
        <x:f>FASE3!N163</x:f>
        <x:v>0</x:v>
      </x:c>
      <x:c r="S163" s="268" t="n">
        <x:f>AVERAGE(FASE3!Q163,FASE3!R163,FASE3!T163,FASE3!S163)</x:f>
        <x:v>0</x:v>
      </x:c>
      <x:c r="T163" s="268" t="n">
        <x:f>AVERAGE(FASE3!U163,FASE3!V163,FASE3!W163)</x:f>
        <x:v>0</x:v>
      </x:c>
      <x:c r="U163" s="268" t="n">
        <x:f>FASE3!Y163</x:f>
        <x:v>0</x:v>
      </x:c>
      <x:c r="V163" s="268" t="n">
        <x:f>FASE3!X163</x:f>
        <x:v>0</x:v>
      </x:c>
      <x:c r="W163" s="268" t="n">
        <x:f>FASE4!M163</x:f>
        <x:v>0</x:v>
      </x:c>
      <x:c r="X163" s="268">
        <x:f t="shared" si="2"/>
        <x:v>0</x:v>
      </x:c>
      <x:c r="Y163" s="2"/>
    </x:row>
    <x:row r="164" ht="15.75">
      <x:c r="B164">
        <x:v>5</x:v>
      </x:c>
      <x:c r="C164" t="s">
        <x:v>116</x:v>
      </x:c>
      <x:c r="D164" s="243">
        <x:v>517</x:v>
      </x:c>
      <x:c r="E164" s="268" t="n">
        <x:f>FASE1!G164</x:f>
        <x:v>0</x:v>
      </x:c>
      <x:c r="F164" s="268" t="n">
        <x:f>FASE1!M164</x:f>
        <x:v>0</x:v>
      </x:c>
      <x:c r="G164" s="268" t="n">
        <x:f>FASE1!L164</x:f>
        <x:v>0</x:v>
      </x:c>
      <x:c r="H164" s="268" t="n">
        <x:f>FASE1!R164</x:f>
        <x:v>0</x:v>
      </x:c>
      <x:c r="I164" s="268" t="n">
        <x:f>FASE1!U164</x:f>
        <x:v>0</x:v>
      </x:c>
      <x:c r="J164" s="268" t="n">
        <x:f>FASE1!U164</x:f>
        <x:v>0</x:v>
      </x:c>
      <x:c r="K164" s="268" t="n">
        <x:f>FASE1!P164</x:f>
        <x:v>0</x:v>
      </x:c>
      <x:c r="L164" s="268" t="n">
        <x:f>FASE1!V164</x:f>
        <x:v>0</x:v>
      </x:c>
      <x:c r="M164" s="268" t="n">
        <x:f>AVERAGE(FASE2!F164:G164)</x:f>
        <x:v>0</x:v>
      </x:c>
      <x:c r="N164" s="268" t="n">
        <x:f>AVERAGE(FASE2!O164:P164,FASE2!S164)</x:f>
        <x:v>0</x:v>
      </x:c>
      <x:c r="O164" s="268" t="n">
        <x:f>FASE4!K164</x:f>
        <x:v>0</x:v>
      </x:c>
      <x:c r="P164" s="268" t="n">
        <x:f>FASE2!N164</x:f>
        <x:v>0</x:v>
      </x:c>
      <x:c r="Q164" s="268" t="n">
        <x:f>FASE3!P164</x:f>
        <x:v>0</x:v>
      </x:c>
      <x:c r="R164" s="268" t="n">
        <x:f>FASE3!N164</x:f>
        <x:v>0</x:v>
      </x:c>
      <x:c r="S164" s="268" t="n">
        <x:f>AVERAGE(FASE3!Q164,FASE3!R164,FASE3!T164,FASE3!S164)</x:f>
        <x:v>0</x:v>
      </x:c>
      <x:c r="T164" s="268" t="n">
        <x:f>AVERAGE(FASE3!U164,FASE3!V164,FASE3!W164)</x:f>
        <x:v>0</x:v>
      </x:c>
      <x:c r="U164" s="268" t="n">
        <x:f>FASE3!Y164</x:f>
        <x:v>0</x:v>
      </x:c>
      <x:c r="V164" s="268" t="n">
        <x:f>FASE3!X164</x:f>
        <x:v>0</x:v>
      </x:c>
      <x:c r="W164" s="268" t="n">
        <x:f>FASE4!M164</x:f>
        <x:v>0</x:v>
      </x:c>
      <x:c r="X164" s="268">
        <x:f t="shared" si="2"/>
        <x:v>0</x:v>
      </x:c>
    </x:row>
    <x:row r="165" ht="15.75">
      <x:c r="B165">
        <x:v>5</x:v>
      </x:c>
      <x:c r="C165" t="s">
        <x:v>116</x:v>
      </x:c>
      <x:c r="D165" s="243">
        <x:v>518</x:v>
      </x:c>
      <x:c r="E165" s="268" t="n">
        <x:f>FASE1!G165</x:f>
        <x:v>0</x:v>
      </x:c>
      <x:c r="F165" s="268" t="n">
        <x:f>FASE1!M165</x:f>
        <x:v>0</x:v>
      </x:c>
      <x:c r="G165" s="268" t="n">
        <x:f>FASE1!L165</x:f>
        <x:v>0</x:v>
      </x:c>
      <x:c r="H165" s="268" t="n">
        <x:f>FASE1!R165</x:f>
        <x:v>0</x:v>
      </x:c>
      <x:c r="I165" s="268" t="n">
        <x:f>FASE1!U165</x:f>
        <x:v>0</x:v>
      </x:c>
      <x:c r="J165" s="268" t="n">
        <x:f>FASE1!U165</x:f>
        <x:v>0</x:v>
      </x:c>
      <x:c r="K165" s="268" t="n">
        <x:f>FASE1!P165</x:f>
        <x:v>0</x:v>
      </x:c>
      <x:c r="L165" s="268" t="n">
        <x:f>FASE1!V165</x:f>
        <x:v>0</x:v>
      </x:c>
      <x:c r="M165" s="268" t="n">
        <x:f>AVERAGE(FASE2!F165:G165)</x:f>
        <x:v>0</x:v>
      </x:c>
      <x:c r="N165" s="268" t="n">
        <x:f>AVERAGE(FASE2!O165:P165,FASE2!S165)</x:f>
        <x:v>0</x:v>
      </x:c>
      <x:c r="O165" s="268" t="n">
        <x:f>FASE4!K165</x:f>
        <x:v>0</x:v>
      </x:c>
      <x:c r="P165" s="268" t="n">
        <x:f>FASE2!N165</x:f>
        <x:v>0</x:v>
      </x:c>
      <x:c r="Q165" s="268" t="n">
        <x:f>FASE3!P165</x:f>
        <x:v>0</x:v>
      </x:c>
      <x:c r="R165" s="268" t="n">
        <x:f>FASE3!N165</x:f>
        <x:v>0</x:v>
      </x:c>
      <x:c r="S165" s="268" t="n">
        <x:f>AVERAGE(FASE3!Q165,FASE3!R165,FASE3!T165,FASE3!S165)</x:f>
        <x:v>0</x:v>
      </x:c>
      <x:c r="T165" s="268" t="n">
        <x:f>AVERAGE(FASE3!U165,FASE3!V165,FASE3!W165)</x:f>
        <x:v>0</x:v>
      </x:c>
      <x:c r="U165" s="268" t="n">
        <x:f>FASE3!Y165</x:f>
        <x:v>0</x:v>
      </x:c>
      <x:c r="V165" s="268" t="n">
        <x:f>FASE3!X165</x:f>
        <x:v>0</x:v>
      </x:c>
      <x:c r="W165" s="268" t="n">
        <x:f>FASE4!M165</x:f>
        <x:v>0</x:v>
      </x:c>
      <x:c r="X165" s="268">
        <x:f t="shared" si="2"/>
        <x:v>0</x:v>
      </x:c>
    </x:row>
    <x:row r="166" ht="15.75">
      <x:c r="B166">
        <x:v>5</x:v>
      </x:c>
      <x:c r="C166" t="s">
        <x:v>116</x:v>
      </x:c>
      <x:c r="D166" s="243">
        <x:v>519</x:v>
      </x:c>
      <x:c r="E166" s="268" t="n">
        <x:f>FASE1!G166</x:f>
        <x:v>0</x:v>
      </x:c>
      <x:c r="F166" s="268" t="n">
        <x:f>FASE1!M166</x:f>
        <x:v>0</x:v>
      </x:c>
      <x:c r="G166" s="268" t="n">
        <x:f>FASE1!L166</x:f>
        <x:v>0</x:v>
      </x:c>
      <x:c r="H166" s="268" t="n">
        <x:f>FASE1!R166</x:f>
        <x:v>0</x:v>
      </x:c>
      <x:c r="I166" s="268" t="n">
        <x:f>FASE1!U166</x:f>
        <x:v>0</x:v>
      </x:c>
      <x:c r="J166" s="268" t="n">
        <x:f>FASE1!U166</x:f>
        <x:v>0</x:v>
      </x:c>
      <x:c r="K166" s="268" t="n">
        <x:f>FASE1!P166</x:f>
        <x:v>0</x:v>
      </x:c>
      <x:c r="L166" s="268" t="n">
        <x:f>FASE1!V166</x:f>
        <x:v>0</x:v>
      </x:c>
      <x:c r="M166" s="268" t="n">
        <x:f>AVERAGE(FASE2!F166:G166)</x:f>
        <x:v>0</x:v>
      </x:c>
      <x:c r="N166" s="268" t="n">
        <x:f>AVERAGE(FASE2!O166:P166,FASE2!S166)</x:f>
        <x:v>0</x:v>
      </x:c>
      <x:c r="O166" s="268" t="n">
        <x:f>FASE4!K166</x:f>
        <x:v>0</x:v>
      </x:c>
      <x:c r="P166" s="268" t="n">
        <x:f>FASE2!N166</x:f>
        <x:v>0</x:v>
      </x:c>
      <x:c r="Q166" s="268" t="n">
        <x:f>FASE3!P166</x:f>
        <x:v>0</x:v>
      </x:c>
      <x:c r="R166" s="268" t="n">
        <x:f>FASE3!N166</x:f>
        <x:v>0</x:v>
      </x:c>
      <x:c r="S166" s="268" t="n">
        <x:f>AVERAGE(FASE3!Q166,FASE3!R166,FASE3!T166,FASE3!S166)</x:f>
        <x:v>0</x:v>
      </x:c>
      <x:c r="T166" s="268" t="n">
        <x:f>AVERAGE(FASE3!U166,FASE3!V166,FASE3!W166)</x:f>
        <x:v>0</x:v>
      </x:c>
      <x:c r="U166" s="268" t="n">
        <x:f>FASE3!Y166</x:f>
        <x:v>0</x:v>
      </x:c>
      <x:c r="V166" s="268" t="n">
        <x:f>FASE3!X166</x:f>
        <x:v>0</x:v>
      </x:c>
      <x:c r="W166" s="268" t="n">
        <x:f>FASE4!M166</x:f>
        <x:v>0</x:v>
      </x:c>
      <x:c r="X166" s="268">
        <x:f t="shared" si="2"/>
        <x:v>0</x:v>
      </x:c>
    </x:row>
    <x:row r="167" ht="15.75">
      <x:c r="B167">
        <x:v>5</x:v>
      </x:c>
      <x:c r="C167" t="s">
        <x:v>116</x:v>
      </x:c>
      <x:c r="D167" s="243">
        <x:v>520</x:v>
      </x:c>
      <x:c r="E167" s="268" t="n">
        <x:f>FASE1!G167</x:f>
        <x:v>0</x:v>
      </x:c>
      <x:c r="F167" s="268" t="n">
        <x:f>FASE1!M167</x:f>
        <x:v>0</x:v>
      </x:c>
      <x:c r="G167" s="268" t="n">
        <x:f>FASE1!L167</x:f>
        <x:v>0</x:v>
      </x:c>
      <x:c r="H167" s="268" t="n">
        <x:f>FASE1!R167</x:f>
        <x:v>0</x:v>
      </x:c>
      <x:c r="I167" s="268" t="n">
        <x:f>FASE1!U167</x:f>
        <x:v>0</x:v>
      </x:c>
      <x:c r="J167" s="268" t="n">
        <x:f>FASE1!U167</x:f>
        <x:v>0</x:v>
      </x:c>
      <x:c r="K167" s="268" t="n">
        <x:f>FASE1!P167</x:f>
        <x:v>0</x:v>
      </x:c>
      <x:c r="L167" s="268" t="n">
        <x:f>FASE1!V167</x:f>
        <x:v>0</x:v>
      </x:c>
      <x:c r="M167" s="268" t="n">
        <x:f>AVERAGE(FASE2!F167:G167)</x:f>
        <x:v>0</x:v>
      </x:c>
      <x:c r="N167" s="268" t="n">
        <x:f>AVERAGE(FASE2!O167:P167,FASE2!S167)</x:f>
        <x:v>0</x:v>
      </x:c>
      <x:c r="O167" s="268" t="n">
        <x:f>FASE4!K167</x:f>
        <x:v>0</x:v>
      </x:c>
      <x:c r="P167" s="268" t="n">
        <x:f>FASE2!N167</x:f>
        <x:v>0</x:v>
      </x:c>
      <x:c r="Q167" s="268" t="n">
        <x:f>FASE3!P167</x:f>
        <x:v>0</x:v>
      </x:c>
      <x:c r="R167" s="268" t="n">
        <x:f>FASE3!N167</x:f>
        <x:v>0</x:v>
      </x:c>
      <x:c r="S167" s="268" t="n">
        <x:f>AVERAGE(FASE3!Q167,FASE3!R167,FASE3!T167,FASE3!S167)</x:f>
        <x:v>0</x:v>
      </x:c>
      <x:c r="T167" s="268" t="n">
        <x:f>AVERAGE(FASE3!U167,FASE3!V167,FASE3!W167)</x:f>
        <x:v>0</x:v>
      </x:c>
      <x:c r="U167" s="268" t="n">
        <x:f>FASE3!Y167</x:f>
        <x:v>0</x:v>
      </x:c>
      <x:c r="V167" s="268" t="n">
        <x:f>FASE3!X167</x:f>
        <x:v>0</x:v>
      </x:c>
      <x:c r="W167" s="268" t="n">
        <x:f>FASE4!M167</x:f>
        <x:v>0</x:v>
      </x:c>
      <x:c r="X167" s="268">
        <x:f t="shared" si="2"/>
        <x:v>0</x:v>
      </x:c>
    </x:row>
    <x:row r="168" ht="15.75">
      <x:c r="B168">
        <x:v>5</x:v>
      </x:c>
      <x:c r="C168" t="s">
        <x:v>116</x:v>
      </x:c>
      <x:c r="D168" s="243">
        <x:v>521</x:v>
      </x:c>
      <x:c r="E168" s="268" t="n">
        <x:f>FASE1!G168</x:f>
        <x:v>0</x:v>
      </x:c>
      <x:c r="F168" s="268" t="n">
        <x:f>FASE1!M168</x:f>
        <x:v>0</x:v>
      </x:c>
      <x:c r="G168" s="268" t="n">
        <x:f>FASE1!L168</x:f>
        <x:v>0</x:v>
      </x:c>
      <x:c r="H168" s="268" t="n">
        <x:f>FASE1!R168</x:f>
        <x:v>0</x:v>
      </x:c>
      <x:c r="I168" s="268" t="n">
        <x:f>FASE1!U168</x:f>
        <x:v>0</x:v>
      </x:c>
      <x:c r="J168" s="268" t="n">
        <x:f>FASE1!U168</x:f>
        <x:v>0</x:v>
      </x:c>
      <x:c r="K168" s="268" t="n">
        <x:f>FASE1!P168</x:f>
        <x:v>0</x:v>
      </x:c>
      <x:c r="L168" s="268" t="n">
        <x:f>FASE1!V168</x:f>
        <x:v>0</x:v>
      </x:c>
      <x:c r="M168" s="268" t="n">
        <x:f>AVERAGE(FASE2!F168:G168)</x:f>
        <x:v>0</x:v>
      </x:c>
      <x:c r="N168" s="268" t="n">
        <x:f>AVERAGE(FASE2!O168:P168,FASE2!S168)</x:f>
        <x:v>0</x:v>
      </x:c>
      <x:c r="O168" s="268" t="n">
        <x:f>FASE4!K168</x:f>
        <x:v>0</x:v>
      </x:c>
      <x:c r="P168" s="268" t="n">
        <x:f>FASE2!N168</x:f>
        <x:v>0</x:v>
      </x:c>
      <x:c r="Q168" s="268" t="n">
        <x:f>FASE3!P168</x:f>
        <x:v>0</x:v>
      </x:c>
      <x:c r="R168" s="268" t="n">
        <x:f>FASE3!N168</x:f>
        <x:v>0</x:v>
      </x:c>
      <x:c r="S168" s="268" t="n">
        <x:f>AVERAGE(FASE3!Q168,FASE3!R168,FASE3!T168,FASE3!S168)</x:f>
        <x:v>0</x:v>
      </x:c>
      <x:c r="T168" s="268" t="n">
        <x:f>AVERAGE(FASE3!U168,FASE3!V168,FASE3!W168)</x:f>
        <x:v>0</x:v>
      </x:c>
      <x:c r="U168" s="268" t="n">
        <x:f>FASE3!Y168</x:f>
        <x:v>0</x:v>
      </x:c>
      <x:c r="V168" s="268" t="n">
        <x:f>FASE3!X168</x:f>
        <x:v>0</x:v>
      </x:c>
      <x:c r="W168" s="268" t="n">
        <x:f>FASE4!M168</x:f>
        <x:v>0</x:v>
      </x:c>
      <x:c r="X168" s="268">
        <x:f t="shared" si="2"/>
        <x:v>0</x:v>
      </x:c>
    </x:row>
    <x:row r="169" ht="15.75">
      <x:c r="B169">
        <x:v>5</x:v>
      </x:c>
      <x:c r="C169" t="s">
        <x:v>116</x:v>
      </x:c>
      <x:c r="D169" s="243">
        <x:v>522</x:v>
      </x:c>
      <x:c r="E169" s="268" t="n">
        <x:f>FASE1!G169</x:f>
        <x:v>0</x:v>
      </x:c>
      <x:c r="F169" s="268" t="n">
        <x:f>FASE1!M169</x:f>
        <x:v>0</x:v>
      </x:c>
      <x:c r="G169" s="268" t="n">
        <x:f>FASE1!L169</x:f>
        <x:v>0</x:v>
      </x:c>
      <x:c r="H169" s="268" t="n">
        <x:f>FASE1!R169</x:f>
        <x:v>0</x:v>
      </x:c>
      <x:c r="I169" s="268" t="n">
        <x:f>FASE1!U169</x:f>
        <x:v>0</x:v>
      </x:c>
      <x:c r="J169" s="268" t="n">
        <x:f>FASE1!U169</x:f>
        <x:v>0</x:v>
      </x:c>
      <x:c r="K169" s="268" t="n">
        <x:f>FASE1!P169</x:f>
        <x:v>0</x:v>
      </x:c>
      <x:c r="L169" s="268" t="n">
        <x:f>FASE1!V169</x:f>
        <x:v>0</x:v>
      </x:c>
      <x:c r="M169" s="268" t="n">
        <x:f>AVERAGE(FASE2!F169:G169)</x:f>
        <x:v>0</x:v>
      </x:c>
      <x:c r="N169" s="268" t="n">
        <x:f>AVERAGE(FASE2!O169:P169,FASE2!S169)</x:f>
        <x:v>0</x:v>
      </x:c>
      <x:c r="O169" s="268" t="n">
        <x:f>FASE4!K169</x:f>
        <x:v>0</x:v>
      </x:c>
      <x:c r="P169" s="268" t="n">
        <x:f>FASE2!N169</x:f>
        <x:v>0</x:v>
      </x:c>
      <x:c r="Q169" s="268" t="n">
        <x:f>FASE3!P169</x:f>
        <x:v>0</x:v>
      </x:c>
      <x:c r="R169" s="268" t="n">
        <x:f>FASE3!N169</x:f>
        <x:v>0</x:v>
      </x:c>
      <x:c r="S169" s="268" t="n">
        <x:f>AVERAGE(FASE3!Q169,FASE3!R169,FASE3!T169,FASE3!S169)</x:f>
        <x:v>0</x:v>
      </x:c>
      <x:c r="T169" s="268" t="n">
        <x:f>AVERAGE(FASE3!U169,FASE3!V169,FASE3!W169)</x:f>
        <x:v>0</x:v>
      </x:c>
      <x:c r="U169" s="268" t="n">
        <x:f>FASE3!Y169</x:f>
        <x:v>0</x:v>
      </x:c>
      <x:c r="V169" s="268" t="n">
        <x:f>FASE3!X169</x:f>
        <x:v>0</x:v>
      </x:c>
      <x:c r="W169" s="268" t="n">
        <x:f>FASE4!M169</x:f>
        <x:v>0</x:v>
      </x:c>
      <x:c r="X169" s="268">
        <x:f t="shared" si="2"/>
        <x:v>0</x:v>
      </x:c>
    </x:row>
    <x:row r="170" ht="15.75">
      <x:c r="B170">
        <x:v>5</x:v>
      </x:c>
      <x:c r="C170" t="s">
        <x:v>116</x:v>
      </x:c>
      <x:c r="D170" s="243">
        <x:v>523</x:v>
      </x:c>
      <x:c r="E170" s="268" t="n">
        <x:f>FASE1!G170</x:f>
        <x:v>0</x:v>
      </x:c>
      <x:c r="F170" s="268" t="n">
        <x:f>FASE1!M170</x:f>
        <x:v>0</x:v>
      </x:c>
      <x:c r="G170" s="268" t="n">
        <x:f>FASE1!L170</x:f>
        <x:v>0</x:v>
      </x:c>
      <x:c r="H170" s="268" t="n">
        <x:f>FASE1!R170</x:f>
        <x:v>0</x:v>
      </x:c>
      <x:c r="I170" s="268" t="n">
        <x:f>FASE1!U170</x:f>
        <x:v>0</x:v>
      </x:c>
      <x:c r="J170" s="268" t="n">
        <x:f>FASE1!U170</x:f>
        <x:v>0</x:v>
      </x:c>
      <x:c r="K170" s="268" t="n">
        <x:f>FASE1!P170</x:f>
        <x:v>0</x:v>
      </x:c>
      <x:c r="L170" s="268" t="n">
        <x:f>FASE1!V170</x:f>
        <x:v>0</x:v>
      </x:c>
      <x:c r="M170" s="268" t="n">
        <x:f>AVERAGE(FASE2!F170:G170)</x:f>
        <x:v>0</x:v>
      </x:c>
      <x:c r="N170" s="268" t="n">
        <x:f>AVERAGE(FASE2!O170:P170,FASE2!S170)</x:f>
        <x:v>0</x:v>
      </x:c>
      <x:c r="O170" s="268" t="n">
        <x:f>FASE4!K170</x:f>
        <x:v>0</x:v>
      </x:c>
      <x:c r="P170" s="268" t="n">
        <x:f>FASE2!N170</x:f>
        <x:v>0</x:v>
      </x:c>
      <x:c r="Q170" s="268" t="n">
        <x:f>FASE3!P170</x:f>
        <x:v>0</x:v>
      </x:c>
      <x:c r="R170" s="268" t="n">
        <x:f>FASE3!N170</x:f>
        <x:v>0</x:v>
      </x:c>
      <x:c r="S170" s="268" t="n">
        <x:f>AVERAGE(FASE3!Q170,FASE3!R170,FASE3!T170,FASE3!S170)</x:f>
        <x:v>0</x:v>
      </x:c>
      <x:c r="T170" s="268" t="n">
        <x:f>AVERAGE(FASE3!U170,FASE3!V170,FASE3!W170)</x:f>
        <x:v>0</x:v>
      </x:c>
      <x:c r="U170" s="268" t="n">
        <x:f>FASE3!Y170</x:f>
        <x:v>0</x:v>
      </x:c>
      <x:c r="V170" s="268" t="n">
        <x:f>FASE3!X170</x:f>
        <x:v>0</x:v>
      </x:c>
      <x:c r="W170" s="268" t="n">
        <x:f>FASE4!M170</x:f>
        <x:v>0</x:v>
      </x:c>
      <x:c r="X170" s="268">
        <x:f t="shared" si="2"/>
        <x:v>0</x:v>
      </x:c>
    </x:row>
    <x:row r="171" ht="15.75">
      <x:c r="B171">
        <x:v>5</x:v>
      </x:c>
      <x:c r="C171" t="s">
        <x:v>115</x:v>
      </x:c>
      <x:c r="D171" s="243">
        <x:v>501</x:v>
      </x:c>
      <x:c r="E171" s="268" t="n">
        <x:f>FASE1!G171</x:f>
        <x:v>0</x:v>
      </x:c>
      <x:c r="F171" s="268" t="n">
        <x:f>FASE1!M171</x:f>
        <x:v>0</x:v>
      </x:c>
      <x:c r="G171" s="268" t="n">
        <x:f>FASE1!L171</x:f>
        <x:v>0</x:v>
      </x:c>
      <x:c r="H171" s="268" t="n">
        <x:f>FASE1!R171</x:f>
        <x:v>0</x:v>
      </x:c>
      <x:c r="I171" s="268" t="n">
        <x:f>FASE1!U171</x:f>
        <x:v>0</x:v>
      </x:c>
      <x:c r="J171" s="268" t="n">
        <x:f>FASE1!U171</x:f>
        <x:v>0</x:v>
      </x:c>
      <x:c r="K171" s="268" t="n">
        <x:f>FASE1!P171</x:f>
        <x:v>0</x:v>
      </x:c>
      <x:c r="L171" s="268" t="n">
        <x:f>FASE1!V171</x:f>
        <x:v>0</x:v>
      </x:c>
      <x:c r="M171" s="268" t="n">
        <x:f>AVERAGE(FASE2!F171:G171)</x:f>
        <x:v>0</x:v>
      </x:c>
      <x:c r="N171" s="268" t="n">
        <x:f>AVERAGE(FASE2!O171:P171,FASE2!S171)</x:f>
        <x:v>0</x:v>
      </x:c>
      <x:c r="O171" s="268" t="n">
        <x:f>FASE4!K171</x:f>
        <x:v>0</x:v>
      </x:c>
      <x:c r="P171" s="268" t="n">
        <x:f>FASE2!N171</x:f>
        <x:v>0</x:v>
      </x:c>
      <x:c r="Q171" s="268" t="n">
        <x:f>FASE3!P171</x:f>
        <x:v>0</x:v>
      </x:c>
      <x:c r="R171" s="268" t="n">
        <x:f>FASE3!N171</x:f>
        <x:v>0</x:v>
      </x:c>
      <x:c r="S171" s="268" t="n">
        <x:f>AVERAGE(FASE3!Q171,FASE3!R171,FASE3!T171,FASE3!S171)</x:f>
        <x:v>0</x:v>
      </x:c>
      <x:c r="T171" s="268" t="n">
        <x:f>AVERAGE(FASE3!U171,FASE3!V171,FASE3!W171)</x:f>
        <x:v>0</x:v>
      </x:c>
      <x:c r="U171" s="268" t="n">
        <x:f>FASE3!Y171</x:f>
        <x:v>0</x:v>
      </x:c>
      <x:c r="V171" s="268" t="n">
        <x:f>FASE3!X171</x:f>
        <x:v>0</x:v>
      </x:c>
      <x:c r="W171" s="268" t="n">
        <x:f>FASE4!M171</x:f>
        <x:v>0</x:v>
      </x:c>
      <x:c r="X171" s="268">
        <x:f t="shared" si="2"/>
        <x:v>0</x:v>
      </x:c>
    </x:row>
    <x:row r="172" ht="15.75">
      <x:c r="B172">
        <x:v>5</x:v>
      </x:c>
      <x:c r="C172" t="s">
        <x:v>115</x:v>
      </x:c>
      <x:c r="D172" s="243">
        <x:v>502</x:v>
      </x:c>
      <x:c r="E172" s="268" t="n">
        <x:f>FASE1!G172</x:f>
        <x:v>0</x:v>
      </x:c>
      <x:c r="F172" s="268" t="n">
        <x:f>FASE1!M172</x:f>
        <x:v>0</x:v>
      </x:c>
      <x:c r="G172" s="268" t="n">
        <x:f>FASE1!L172</x:f>
        <x:v>0</x:v>
      </x:c>
      <x:c r="H172" s="268" t="n">
        <x:f>FASE1!R172</x:f>
        <x:v>0</x:v>
      </x:c>
      <x:c r="I172" s="268" t="n">
        <x:f>FASE1!U172</x:f>
        <x:v>0</x:v>
      </x:c>
      <x:c r="J172" s="268" t="n">
        <x:f>FASE1!U172</x:f>
        <x:v>0</x:v>
      </x:c>
      <x:c r="K172" s="268" t="n">
        <x:f>FASE1!P172</x:f>
        <x:v>0</x:v>
      </x:c>
      <x:c r="L172" s="268" t="n">
        <x:f>FASE1!V172</x:f>
        <x:v>0</x:v>
      </x:c>
      <x:c r="M172" s="268" t="n">
        <x:f>AVERAGE(FASE2!F172:G172)</x:f>
        <x:v>0</x:v>
      </x:c>
      <x:c r="N172" s="268" t="n">
        <x:f>AVERAGE(FASE2!O172:P172,FASE2!S172)</x:f>
        <x:v>0</x:v>
      </x:c>
      <x:c r="O172" s="268" t="n">
        <x:f>FASE4!K172</x:f>
        <x:v>0</x:v>
      </x:c>
      <x:c r="P172" s="268" t="n">
        <x:f>FASE2!N172</x:f>
        <x:v>0</x:v>
      </x:c>
      <x:c r="Q172" s="268" t="n">
        <x:f>FASE3!P172</x:f>
        <x:v>0</x:v>
      </x:c>
      <x:c r="R172" s="268" t="n">
        <x:f>FASE3!N172</x:f>
        <x:v>0</x:v>
      </x:c>
      <x:c r="S172" s="268" t="n">
        <x:f>AVERAGE(FASE3!Q172,FASE3!R172,FASE3!T172,FASE3!S172)</x:f>
        <x:v>0</x:v>
      </x:c>
      <x:c r="T172" s="268" t="n">
        <x:f>AVERAGE(FASE3!U172,FASE3!V172,FASE3!W172)</x:f>
        <x:v>0</x:v>
      </x:c>
      <x:c r="U172" s="268" t="n">
        <x:f>FASE3!Y172</x:f>
        <x:v>0</x:v>
      </x:c>
      <x:c r="V172" s="268" t="n">
        <x:f>FASE3!X172</x:f>
        <x:v>0</x:v>
      </x:c>
      <x:c r="W172" s="268" t="n">
        <x:f>FASE4!M172</x:f>
        <x:v>0</x:v>
      </x:c>
      <x:c r="X172" s="268">
        <x:f t="shared" si="2"/>
        <x:v>0</x:v>
      </x:c>
    </x:row>
    <x:row r="173" ht="15.75">
      <x:c r="B173">
        <x:v>5</x:v>
      </x:c>
      <x:c r="C173" t="s">
        <x:v>115</x:v>
      </x:c>
      <x:c r="D173" s="243">
        <x:v>503</x:v>
      </x:c>
      <x:c r="E173" s="268" t="n">
        <x:f>FASE1!G173</x:f>
        <x:v>0</x:v>
      </x:c>
      <x:c r="F173" s="268" t="n">
        <x:f>FASE1!M173</x:f>
        <x:v>0</x:v>
      </x:c>
      <x:c r="G173" s="268" t="n">
        <x:f>FASE1!L173</x:f>
        <x:v>0</x:v>
      </x:c>
      <x:c r="H173" s="268" t="n">
        <x:f>FASE1!R173</x:f>
        <x:v>0</x:v>
      </x:c>
      <x:c r="I173" s="268" t="n">
        <x:f>FASE1!U173</x:f>
        <x:v>0</x:v>
      </x:c>
      <x:c r="J173" s="268" t="n">
        <x:f>FASE1!U173</x:f>
        <x:v>0</x:v>
      </x:c>
      <x:c r="K173" s="268" t="n">
        <x:f>FASE1!P173</x:f>
        <x:v>0</x:v>
      </x:c>
      <x:c r="L173" s="268" t="n">
        <x:f>FASE1!V173</x:f>
        <x:v>0</x:v>
      </x:c>
      <x:c r="M173" s="268" t="n">
        <x:f>AVERAGE(FASE2!F173:G173)</x:f>
        <x:v>0</x:v>
      </x:c>
      <x:c r="N173" s="268" t="n">
        <x:f>AVERAGE(FASE2!O173:P173,FASE2!S173)</x:f>
        <x:v>0</x:v>
      </x:c>
      <x:c r="O173" s="268" t="n">
        <x:f>FASE4!K173</x:f>
        <x:v>0</x:v>
      </x:c>
      <x:c r="P173" s="268" t="n">
        <x:f>FASE2!N173</x:f>
        <x:v>0</x:v>
      </x:c>
      <x:c r="Q173" s="268" t="n">
        <x:f>FASE3!P173</x:f>
        <x:v>0</x:v>
      </x:c>
      <x:c r="R173" s="268" t="n">
        <x:f>FASE3!N173</x:f>
        <x:v>0</x:v>
      </x:c>
      <x:c r="S173" s="268" t="n">
        <x:f>AVERAGE(FASE3!Q173,FASE3!R173,FASE3!T173,FASE3!S173)</x:f>
        <x:v>0</x:v>
      </x:c>
      <x:c r="T173" s="268" t="n">
        <x:f>AVERAGE(FASE3!U173,FASE3!V173,FASE3!W173)</x:f>
        <x:v>0</x:v>
      </x:c>
      <x:c r="U173" s="268" t="n">
        <x:f>FASE3!Y173</x:f>
        <x:v>0</x:v>
      </x:c>
      <x:c r="V173" s="268" t="n">
        <x:f>FASE3!X173</x:f>
        <x:v>0</x:v>
      </x:c>
      <x:c r="W173" s="268" t="n">
        <x:f>FASE4!M173</x:f>
        <x:v>0</x:v>
      </x:c>
      <x:c r="X173" s="268">
        <x:f t="shared" si="2"/>
        <x:v>0</x:v>
      </x:c>
    </x:row>
    <x:row r="174" ht="15.75">
      <x:c r="B174">
        <x:v>5</x:v>
      </x:c>
      <x:c r="C174" t="s">
        <x:v>115</x:v>
      </x:c>
      <x:c r="D174" s="243">
        <x:v>504</x:v>
      </x:c>
      <x:c r="E174" s="268" t="n">
        <x:f>FASE1!G174</x:f>
        <x:v>0</x:v>
      </x:c>
      <x:c r="F174" s="268" t="n">
        <x:f>FASE1!M174</x:f>
        <x:v>0</x:v>
      </x:c>
      <x:c r="G174" s="268" t="n">
        <x:f>FASE1!L174</x:f>
        <x:v>0</x:v>
      </x:c>
      <x:c r="H174" s="268" t="n">
        <x:f>FASE1!R174</x:f>
        <x:v>0</x:v>
      </x:c>
      <x:c r="I174" s="268" t="n">
        <x:f>FASE1!U174</x:f>
        <x:v>0</x:v>
      </x:c>
      <x:c r="J174" s="268" t="n">
        <x:f>FASE1!U174</x:f>
        <x:v>0</x:v>
      </x:c>
      <x:c r="K174" s="268" t="n">
        <x:f>FASE1!P174</x:f>
        <x:v>0</x:v>
      </x:c>
      <x:c r="L174" s="268" t="n">
        <x:f>FASE1!V174</x:f>
        <x:v>0</x:v>
      </x:c>
      <x:c r="M174" s="268" t="n">
        <x:f>AVERAGE(FASE2!F174:G174)</x:f>
        <x:v>0</x:v>
      </x:c>
      <x:c r="N174" s="268" t="n">
        <x:f>AVERAGE(FASE2!O174:P174,FASE2!S174)</x:f>
        <x:v>0</x:v>
      </x:c>
      <x:c r="O174" s="268" t="n">
        <x:f>FASE4!K174</x:f>
        <x:v>0</x:v>
      </x:c>
      <x:c r="P174" s="268" t="n">
        <x:f>FASE2!N174</x:f>
        <x:v>0</x:v>
      </x:c>
      <x:c r="Q174" s="268" t="n">
        <x:f>FASE3!P174</x:f>
        <x:v>0</x:v>
      </x:c>
      <x:c r="R174" s="268" t="n">
        <x:f>FASE3!N174</x:f>
        <x:v>0</x:v>
      </x:c>
      <x:c r="S174" s="268" t="n">
        <x:f>AVERAGE(FASE3!Q174,FASE3!R174,FASE3!T174,FASE3!S174)</x:f>
        <x:v>0</x:v>
      </x:c>
      <x:c r="T174" s="268" t="n">
        <x:f>AVERAGE(FASE3!U174,FASE3!V174,FASE3!W174)</x:f>
        <x:v>0</x:v>
      </x:c>
      <x:c r="U174" s="268" t="n">
        <x:f>FASE3!Y174</x:f>
        <x:v>0</x:v>
      </x:c>
      <x:c r="V174" s="268" t="n">
        <x:f>FASE3!X174</x:f>
        <x:v>0</x:v>
      </x:c>
      <x:c r="W174" s="268" t="n">
        <x:f>FASE4!M174</x:f>
        <x:v>0</x:v>
      </x:c>
      <x:c r="X174" s="268">
        <x:f t="shared" si="2"/>
        <x:v>0</x:v>
      </x:c>
    </x:row>
    <x:row r="175" ht="15.75">
      <x:c r="B175">
        <x:v>5</x:v>
      </x:c>
      <x:c r="C175" t="s">
        <x:v>115</x:v>
      </x:c>
      <x:c r="D175" s="243">
        <x:v>505</x:v>
      </x:c>
      <x:c r="E175" s="268" t="n">
        <x:f>FASE1!G175</x:f>
        <x:v>0</x:v>
      </x:c>
      <x:c r="F175" s="268" t="n">
        <x:f>FASE1!M175</x:f>
        <x:v>0</x:v>
      </x:c>
      <x:c r="G175" s="268" t="n">
        <x:f>FASE1!L175</x:f>
        <x:v>0</x:v>
      </x:c>
      <x:c r="H175" s="268" t="n">
        <x:f>FASE1!R175</x:f>
        <x:v>0</x:v>
      </x:c>
      <x:c r="I175" s="268" t="n">
        <x:f>FASE1!U175</x:f>
        <x:v>0</x:v>
      </x:c>
      <x:c r="J175" s="268" t="n">
        <x:f>FASE1!U175</x:f>
        <x:v>0</x:v>
      </x:c>
      <x:c r="K175" s="268" t="n">
        <x:f>FASE1!P175</x:f>
        <x:v>0</x:v>
      </x:c>
      <x:c r="L175" s="268" t="n">
        <x:f>FASE1!V175</x:f>
        <x:v>0</x:v>
      </x:c>
      <x:c r="M175" s="268" t="n">
        <x:f>AVERAGE(FASE2!F175:G175)</x:f>
        <x:v>0</x:v>
      </x:c>
      <x:c r="N175" s="268" t="n">
        <x:f>AVERAGE(FASE2!O175:P175,FASE2!S175)</x:f>
        <x:v>0</x:v>
      </x:c>
      <x:c r="O175" s="268" t="n">
        <x:f>FASE4!K175</x:f>
        <x:v>0</x:v>
      </x:c>
      <x:c r="P175" s="268" t="n">
        <x:f>FASE2!N175</x:f>
        <x:v>0</x:v>
      </x:c>
      <x:c r="Q175" s="268" t="n">
        <x:f>FASE3!P175</x:f>
        <x:v>0</x:v>
      </x:c>
      <x:c r="R175" s="268" t="n">
        <x:f>FASE3!N175</x:f>
        <x:v>0</x:v>
      </x:c>
      <x:c r="S175" s="268" t="n">
        <x:f>AVERAGE(FASE3!Q175,FASE3!R175,FASE3!T175,FASE3!S175)</x:f>
        <x:v>0</x:v>
      </x:c>
      <x:c r="T175" s="268" t="n">
        <x:f>AVERAGE(FASE3!U175,FASE3!V175,FASE3!W175)</x:f>
        <x:v>0</x:v>
      </x:c>
      <x:c r="U175" s="268" t="n">
        <x:f>FASE3!Y175</x:f>
        <x:v>0</x:v>
      </x:c>
      <x:c r="V175" s="268" t="n">
        <x:f>FASE3!X175</x:f>
        <x:v>0</x:v>
      </x:c>
      <x:c r="W175" s="268" t="n">
        <x:f>FASE4!M175</x:f>
        <x:v>0</x:v>
      </x:c>
      <x:c r="X175" s="268">
        <x:f t="shared" si="2"/>
        <x:v>0</x:v>
      </x:c>
    </x:row>
    <x:row r="176" ht="15.75">
      <x:c r="B176">
        <x:v>5</x:v>
      </x:c>
      <x:c r="C176" t="s">
        <x:v>115</x:v>
      </x:c>
      <x:c r="D176" s="243">
        <x:v>506</x:v>
      </x:c>
      <x:c r="E176" s="268" t="n">
        <x:f>FASE1!G176</x:f>
        <x:v>0</x:v>
      </x:c>
      <x:c r="F176" s="268" t="n">
        <x:f>FASE1!M176</x:f>
        <x:v>0</x:v>
      </x:c>
      <x:c r="G176" s="268" t="n">
        <x:f>FASE1!L176</x:f>
        <x:v>0</x:v>
      </x:c>
      <x:c r="H176" s="268" t="n">
        <x:f>FASE1!R176</x:f>
        <x:v>0</x:v>
      </x:c>
      <x:c r="I176" s="268" t="n">
        <x:f>FASE1!U176</x:f>
        <x:v>0</x:v>
      </x:c>
      <x:c r="J176" s="268" t="n">
        <x:f>FASE1!U176</x:f>
        <x:v>0</x:v>
      </x:c>
      <x:c r="K176" s="268" t="n">
        <x:f>FASE1!P176</x:f>
        <x:v>0</x:v>
      </x:c>
      <x:c r="L176" s="268" t="n">
        <x:f>FASE1!V176</x:f>
        <x:v>0</x:v>
      </x:c>
      <x:c r="M176" s="268" t="n">
        <x:f>AVERAGE(FASE2!F176:G176)</x:f>
        <x:v>0</x:v>
      </x:c>
      <x:c r="N176" s="268" t="n">
        <x:f>AVERAGE(FASE2!O176:P176,FASE2!S176)</x:f>
        <x:v>0</x:v>
      </x:c>
      <x:c r="O176" s="268" t="n">
        <x:f>FASE4!K176</x:f>
        <x:v>0</x:v>
      </x:c>
      <x:c r="P176" s="268" t="n">
        <x:f>FASE2!N176</x:f>
        <x:v>0</x:v>
      </x:c>
      <x:c r="Q176" s="268" t="n">
        <x:f>FASE3!P176</x:f>
        <x:v>0</x:v>
      </x:c>
      <x:c r="R176" s="268" t="n">
        <x:f>FASE3!N176</x:f>
        <x:v>0</x:v>
      </x:c>
      <x:c r="S176" s="268" t="n">
        <x:f>AVERAGE(FASE3!Q176,FASE3!R176,FASE3!T176,FASE3!S176)</x:f>
        <x:v>0</x:v>
      </x:c>
      <x:c r="T176" s="268" t="n">
        <x:f>AVERAGE(FASE3!U176,FASE3!V176,FASE3!W176)</x:f>
        <x:v>0</x:v>
      </x:c>
      <x:c r="U176" s="268" t="n">
        <x:f>FASE3!Y176</x:f>
        <x:v>0</x:v>
      </x:c>
      <x:c r="V176" s="268" t="n">
        <x:f>FASE3!X176</x:f>
        <x:v>0</x:v>
      </x:c>
      <x:c r="W176" s="268" t="n">
        <x:f>FASE4!M176</x:f>
        <x:v>0</x:v>
      </x:c>
      <x:c r="X176" s="268">
        <x:f t="shared" si="2"/>
        <x:v>0</x:v>
      </x:c>
    </x:row>
    <x:row r="177" ht="15.75">
      <x:c r="B177">
        <x:v>5</x:v>
      </x:c>
      <x:c r="C177" t="s">
        <x:v>115</x:v>
      </x:c>
      <x:c r="D177" s="243">
        <x:v>507</x:v>
      </x:c>
      <x:c r="E177" s="268" t="n">
        <x:f>FASE1!G177</x:f>
        <x:v>0</x:v>
      </x:c>
      <x:c r="F177" s="268" t="n">
        <x:f>FASE1!M177</x:f>
        <x:v>0</x:v>
      </x:c>
      <x:c r="G177" s="268" t="n">
        <x:f>FASE1!L177</x:f>
        <x:v>0</x:v>
      </x:c>
      <x:c r="H177" s="268" t="n">
        <x:f>FASE1!R177</x:f>
        <x:v>0</x:v>
      </x:c>
      <x:c r="I177" s="268" t="n">
        <x:f>FASE1!U177</x:f>
        <x:v>0</x:v>
      </x:c>
      <x:c r="J177" s="268" t="n">
        <x:f>FASE1!U177</x:f>
        <x:v>0</x:v>
      </x:c>
      <x:c r="K177" s="268" t="n">
        <x:f>FASE1!P177</x:f>
        <x:v>0</x:v>
      </x:c>
      <x:c r="L177" s="268" t="n">
        <x:f>FASE1!V177</x:f>
        <x:v>0</x:v>
      </x:c>
      <x:c r="M177" s="268" t="n">
        <x:f>AVERAGE(FASE2!F177:G177)</x:f>
        <x:v>0</x:v>
      </x:c>
      <x:c r="N177" s="268" t="n">
        <x:f>AVERAGE(FASE2!O177:P177,FASE2!S177)</x:f>
        <x:v>0</x:v>
      </x:c>
      <x:c r="O177" s="268" t="n">
        <x:f>FASE4!K177</x:f>
        <x:v>0</x:v>
      </x:c>
      <x:c r="P177" s="268" t="n">
        <x:f>FASE2!N177</x:f>
        <x:v>0</x:v>
      </x:c>
      <x:c r="Q177" s="268" t="n">
        <x:f>FASE3!P177</x:f>
        <x:v>0</x:v>
      </x:c>
      <x:c r="R177" s="268" t="n">
        <x:f>FASE3!N177</x:f>
        <x:v>0</x:v>
      </x:c>
      <x:c r="S177" s="268" t="n">
        <x:f>AVERAGE(FASE3!Q177,FASE3!R177,FASE3!T177,FASE3!S177)</x:f>
        <x:v>0</x:v>
      </x:c>
      <x:c r="T177" s="268" t="n">
        <x:f>AVERAGE(FASE3!U177,FASE3!V177,FASE3!W177)</x:f>
        <x:v>0</x:v>
      </x:c>
      <x:c r="U177" s="268" t="n">
        <x:f>FASE3!Y177</x:f>
        <x:v>0</x:v>
      </x:c>
      <x:c r="V177" s="268" t="n">
        <x:f>FASE3!X177</x:f>
        <x:v>0</x:v>
      </x:c>
      <x:c r="W177" s="268" t="n">
        <x:f>FASE4!M177</x:f>
        <x:v>0</x:v>
      </x:c>
      <x:c r="X177" s="268">
        <x:f t="shared" si="2"/>
        <x:v>0</x:v>
      </x:c>
    </x:row>
    <x:row r="178" ht="15.75">
      <x:c r="B178">
        <x:v>5</x:v>
      </x:c>
      <x:c r="C178" t="s">
        <x:v>115</x:v>
      </x:c>
      <x:c r="D178" s="243">
        <x:v>508</x:v>
      </x:c>
      <x:c r="E178" s="268" t="n">
        <x:f>FASE1!G178</x:f>
        <x:v>0</x:v>
      </x:c>
      <x:c r="F178" s="268" t="n">
        <x:f>FASE1!M178</x:f>
        <x:v>0</x:v>
      </x:c>
      <x:c r="G178" s="268" t="n">
        <x:f>FASE1!L178</x:f>
        <x:v>0</x:v>
      </x:c>
      <x:c r="H178" s="268" t="n">
        <x:f>FASE1!R178</x:f>
        <x:v>0</x:v>
      </x:c>
      <x:c r="I178" s="268" t="n">
        <x:f>FASE1!U178</x:f>
        <x:v>0</x:v>
      </x:c>
      <x:c r="J178" s="268" t="n">
        <x:f>FASE1!U178</x:f>
        <x:v>0</x:v>
      </x:c>
      <x:c r="K178" s="268" t="n">
        <x:f>FASE1!P178</x:f>
        <x:v>0</x:v>
      </x:c>
      <x:c r="L178" s="268" t="n">
        <x:f>FASE1!V178</x:f>
        <x:v>0</x:v>
      </x:c>
      <x:c r="M178" s="268" t="n">
        <x:f>AVERAGE(FASE2!F178:G178)</x:f>
        <x:v>0</x:v>
      </x:c>
      <x:c r="N178" s="268" t="n">
        <x:f>AVERAGE(FASE2!O178:P178,FASE2!S178)</x:f>
        <x:v>0</x:v>
      </x:c>
      <x:c r="O178" s="268" t="n">
        <x:f>FASE4!K178</x:f>
        <x:v>0</x:v>
      </x:c>
      <x:c r="P178" s="268" t="n">
        <x:f>FASE2!N178</x:f>
        <x:v>0</x:v>
      </x:c>
      <x:c r="Q178" s="268" t="n">
        <x:f>FASE3!P178</x:f>
        <x:v>0</x:v>
      </x:c>
      <x:c r="R178" s="268" t="n">
        <x:f>FASE3!N178</x:f>
        <x:v>0</x:v>
      </x:c>
      <x:c r="S178" s="268" t="n">
        <x:f>AVERAGE(FASE3!Q178,FASE3!R178,FASE3!T178,FASE3!S178)</x:f>
        <x:v>0</x:v>
      </x:c>
      <x:c r="T178" s="268" t="n">
        <x:f>AVERAGE(FASE3!U178,FASE3!V178,FASE3!W178)</x:f>
        <x:v>0</x:v>
      </x:c>
      <x:c r="U178" s="268" t="n">
        <x:f>FASE3!Y178</x:f>
        <x:v>0</x:v>
      </x:c>
      <x:c r="V178" s="268" t="n">
        <x:f>FASE3!X178</x:f>
        <x:v>0</x:v>
      </x:c>
      <x:c r="W178" s="268" t="n">
        <x:f>FASE4!M178</x:f>
        <x:v>0</x:v>
      </x:c>
      <x:c r="X178" s="268">
        <x:f t="shared" si="2"/>
        <x:v>0</x:v>
      </x:c>
    </x:row>
    <x:row r="179" ht="15.75">
      <x:c r="B179">
        <x:v>5</x:v>
      </x:c>
      <x:c r="C179" t="s">
        <x:v>115</x:v>
      </x:c>
      <x:c r="D179" s="243">
        <x:v>509</x:v>
      </x:c>
      <x:c r="E179" s="268" t="n">
        <x:f>FASE1!G179</x:f>
        <x:v>0</x:v>
      </x:c>
      <x:c r="F179" s="268" t="n">
        <x:f>FASE1!M179</x:f>
        <x:v>0</x:v>
      </x:c>
      <x:c r="G179" s="268" t="n">
        <x:f>FASE1!L179</x:f>
        <x:v>0</x:v>
      </x:c>
      <x:c r="H179" s="268" t="n">
        <x:f>FASE1!R179</x:f>
        <x:v>0</x:v>
      </x:c>
      <x:c r="I179" s="268" t="n">
        <x:f>FASE1!U179</x:f>
        <x:v>0</x:v>
      </x:c>
      <x:c r="J179" s="268" t="n">
        <x:f>FASE1!U179</x:f>
        <x:v>0</x:v>
      </x:c>
      <x:c r="K179" s="268" t="n">
        <x:f>FASE1!P179</x:f>
        <x:v>0</x:v>
      </x:c>
      <x:c r="L179" s="268" t="n">
        <x:f>FASE1!V179</x:f>
        <x:v>0</x:v>
      </x:c>
      <x:c r="M179" s="268" t="n">
        <x:f>AVERAGE(FASE2!F179:G179)</x:f>
        <x:v>0</x:v>
      </x:c>
      <x:c r="N179" s="268" t="n">
        <x:f>AVERAGE(FASE2!O179:P179,FASE2!S179)</x:f>
        <x:v>0</x:v>
      </x:c>
      <x:c r="O179" s="268" t="n">
        <x:f>FASE4!K179</x:f>
        <x:v>0</x:v>
      </x:c>
      <x:c r="P179" s="268" t="n">
        <x:f>FASE2!N179</x:f>
        <x:v>0</x:v>
      </x:c>
      <x:c r="Q179" s="268" t="n">
        <x:f>FASE3!P179</x:f>
        <x:v>0</x:v>
      </x:c>
      <x:c r="R179" s="268" t="n">
        <x:f>FASE3!N179</x:f>
        <x:v>0</x:v>
      </x:c>
      <x:c r="S179" s="268" t="n">
        <x:f>AVERAGE(FASE3!Q179,FASE3!R179,FASE3!T179,FASE3!S179)</x:f>
        <x:v>0</x:v>
      </x:c>
      <x:c r="T179" s="268" t="n">
        <x:f>AVERAGE(FASE3!U179,FASE3!V179,FASE3!W179)</x:f>
        <x:v>0</x:v>
      </x:c>
      <x:c r="U179" s="268" t="n">
        <x:f>FASE3!Y179</x:f>
        <x:v>0</x:v>
      </x:c>
      <x:c r="V179" s="268" t="n">
        <x:f>FASE3!X179</x:f>
        <x:v>0</x:v>
      </x:c>
      <x:c r="W179" s="268" t="n">
        <x:f>FASE4!M179</x:f>
        <x:v>0</x:v>
      </x:c>
      <x:c r="X179" s="268">
        <x:f t="shared" si="2"/>
        <x:v>0</x:v>
      </x:c>
    </x:row>
    <x:row r="180" ht="15.75">
      <x:c r="B180">
        <x:v>5</x:v>
      </x:c>
      <x:c r="C180" t="s">
        <x:v>115</x:v>
      </x:c>
      <x:c r="D180" s="243">
        <x:v>510</x:v>
      </x:c>
      <x:c r="E180" s="268" t="n">
        <x:f>FASE1!G180</x:f>
        <x:v>0</x:v>
      </x:c>
      <x:c r="F180" s="268" t="n">
        <x:f>FASE1!M180</x:f>
        <x:v>0</x:v>
      </x:c>
      <x:c r="G180" s="268" t="n">
        <x:f>FASE1!L180</x:f>
        <x:v>0</x:v>
      </x:c>
      <x:c r="H180" s="268" t="n">
        <x:f>FASE1!R180</x:f>
        <x:v>0</x:v>
      </x:c>
      <x:c r="I180" s="268" t="n">
        <x:f>FASE1!U180</x:f>
        <x:v>0</x:v>
      </x:c>
      <x:c r="J180" s="268" t="n">
        <x:f>FASE1!U180</x:f>
        <x:v>0</x:v>
      </x:c>
      <x:c r="K180" s="268" t="n">
        <x:f>FASE1!P180</x:f>
        <x:v>0</x:v>
      </x:c>
      <x:c r="L180" s="268" t="n">
        <x:f>FASE1!V180</x:f>
        <x:v>0</x:v>
      </x:c>
      <x:c r="M180" s="268" t="n">
        <x:f>AVERAGE(FASE2!F180:G180)</x:f>
        <x:v>0</x:v>
      </x:c>
      <x:c r="N180" s="268" t="n">
        <x:f>AVERAGE(FASE2!O180:P180,FASE2!S180)</x:f>
        <x:v>0</x:v>
      </x:c>
      <x:c r="O180" s="268" t="n">
        <x:f>FASE4!K180</x:f>
        <x:v>0</x:v>
      </x:c>
      <x:c r="P180" s="268" t="n">
        <x:f>FASE2!N180</x:f>
        <x:v>0</x:v>
      </x:c>
      <x:c r="Q180" s="268" t="n">
        <x:f>FASE3!P180</x:f>
        <x:v>0</x:v>
      </x:c>
      <x:c r="R180" s="268" t="n">
        <x:f>FASE3!N180</x:f>
        <x:v>0</x:v>
      </x:c>
      <x:c r="S180" s="268" t="n">
        <x:f>AVERAGE(FASE3!Q180,FASE3!R180,FASE3!T180,FASE3!S180)</x:f>
        <x:v>0</x:v>
      </x:c>
      <x:c r="T180" s="268" t="n">
        <x:f>AVERAGE(FASE3!U180,FASE3!V180,FASE3!W180)</x:f>
        <x:v>0</x:v>
      </x:c>
      <x:c r="U180" s="268" t="n">
        <x:f>FASE3!Y180</x:f>
        <x:v>0</x:v>
      </x:c>
      <x:c r="V180" s="268" t="n">
        <x:f>FASE3!X180</x:f>
        <x:v>0</x:v>
      </x:c>
      <x:c r="W180" s="268" t="n">
        <x:f>FASE4!M180</x:f>
        <x:v>0</x:v>
      </x:c>
      <x:c r="X180" s="268">
        <x:f t="shared" si="2"/>
        <x:v>0</x:v>
      </x:c>
    </x:row>
    <x:row r="181" ht="15.75">
      <x:c r="B181">
        <x:v>5</x:v>
      </x:c>
      <x:c r="C181" t="s">
        <x:v>115</x:v>
      </x:c>
      <x:c r="D181" s="243">
        <x:v>511</x:v>
      </x:c>
      <x:c r="E181" s="268" t="n">
        <x:f>FASE1!G181</x:f>
        <x:v>0</x:v>
      </x:c>
      <x:c r="F181" s="268" t="n">
        <x:f>FASE1!M181</x:f>
        <x:v>0</x:v>
      </x:c>
      <x:c r="G181" s="268" t="n">
        <x:f>FASE1!L181</x:f>
        <x:v>0</x:v>
      </x:c>
      <x:c r="H181" s="268" t="n">
        <x:f>FASE1!R181</x:f>
        <x:v>0</x:v>
      </x:c>
      <x:c r="I181" s="268" t="n">
        <x:f>FASE1!U181</x:f>
        <x:v>0</x:v>
      </x:c>
      <x:c r="J181" s="268" t="n">
        <x:f>FASE1!U181</x:f>
        <x:v>0</x:v>
      </x:c>
      <x:c r="K181" s="268" t="n">
        <x:f>FASE1!P181</x:f>
        <x:v>0</x:v>
      </x:c>
      <x:c r="L181" s="268" t="n">
        <x:f>FASE1!V181</x:f>
        <x:v>0</x:v>
      </x:c>
      <x:c r="M181" s="268" t="n">
        <x:f>AVERAGE(FASE2!F181:G181)</x:f>
        <x:v>0</x:v>
      </x:c>
      <x:c r="N181" s="268" t="n">
        <x:f>AVERAGE(FASE2!O181:P181,FASE2!S181)</x:f>
        <x:v>0</x:v>
      </x:c>
      <x:c r="O181" s="268" t="n">
        <x:f>FASE4!K181</x:f>
        <x:v>0</x:v>
      </x:c>
      <x:c r="P181" s="268" t="n">
        <x:f>FASE2!N181</x:f>
        <x:v>0</x:v>
      </x:c>
      <x:c r="Q181" s="268" t="n">
        <x:f>FASE3!P181</x:f>
        <x:v>0</x:v>
      </x:c>
      <x:c r="R181" s="268" t="n">
        <x:f>FASE3!N181</x:f>
        <x:v>0</x:v>
      </x:c>
      <x:c r="S181" s="268" t="n">
        <x:f>AVERAGE(FASE3!Q181,FASE3!R181,FASE3!T181,FASE3!S181)</x:f>
        <x:v>0</x:v>
      </x:c>
      <x:c r="T181" s="268" t="n">
        <x:f>AVERAGE(FASE3!U181,FASE3!V181,FASE3!W181)</x:f>
        <x:v>0</x:v>
      </x:c>
      <x:c r="U181" s="268" t="n">
        <x:f>FASE3!Y181</x:f>
        <x:v>0</x:v>
      </x:c>
      <x:c r="V181" s="268" t="n">
        <x:f>FASE3!X181</x:f>
        <x:v>0</x:v>
      </x:c>
      <x:c r="W181" s="268" t="n">
        <x:f>FASE4!M181</x:f>
        <x:v>0</x:v>
      </x:c>
      <x:c r="X181" s="268">
        <x:f t="shared" si="2"/>
        <x:v>0</x:v>
      </x:c>
      <x:c r="Y181" s="2"/>
    </x:row>
    <x:row r="182" ht="15.75">
      <x:c r="B182">
        <x:v>5</x:v>
      </x:c>
      <x:c r="C182" t="s">
        <x:v>115</x:v>
      </x:c>
      <x:c r="D182" s="243">
        <x:v>512</x:v>
      </x:c>
      <x:c r="E182" s="268" t="n">
        <x:f>FASE1!G182</x:f>
        <x:v>0</x:v>
      </x:c>
      <x:c r="F182" s="268" t="n">
        <x:f>FASE1!M182</x:f>
        <x:v>0</x:v>
      </x:c>
      <x:c r="G182" s="268" t="n">
        <x:f>FASE1!L182</x:f>
        <x:v>0</x:v>
      </x:c>
      <x:c r="H182" s="268" t="n">
        <x:f>FASE1!R182</x:f>
        <x:v>0</x:v>
      </x:c>
      <x:c r="I182" s="268" t="n">
        <x:f>FASE1!U182</x:f>
        <x:v>0</x:v>
      </x:c>
      <x:c r="J182" s="268" t="n">
        <x:f>FASE1!U182</x:f>
        <x:v>0</x:v>
      </x:c>
      <x:c r="K182" s="268" t="n">
        <x:f>FASE1!P182</x:f>
        <x:v>0</x:v>
      </x:c>
      <x:c r="L182" s="268" t="n">
        <x:f>FASE1!V182</x:f>
        <x:v>0</x:v>
      </x:c>
      <x:c r="M182" s="268" t="n">
        <x:f>AVERAGE(FASE2!F182:G182)</x:f>
        <x:v>0</x:v>
      </x:c>
      <x:c r="N182" s="268" t="n">
        <x:f>AVERAGE(FASE2!O182:P182,FASE2!S182)</x:f>
        <x:v>0</x:v>
      </x:c>
      <x:c r="O182" s="268" t="n">
        <x:f>FASE4!K182</x:f>
        <x:v>0</x:v>
      </x:c>
      <x:c r="P182" s="268" t="n">
        <x:f>FASE2!N182</x:f>
        <x:v>0</x:v>
      </x:c>
      <x:c r="Q182" s="268" t="n">
        <x:f>FASE3!P182</x:f>
        <x:v>0</x:v>
      </x:c>
      <x:c r="R182" s="268" t="n">
        <x:f>FASE3!N182</x:f>
        <x:v>0</x:v>
      </x:c>
      <x:c r="S182" s="268" t="n">
        <x:f>AVERAGE(FASE3!Q182,FASE3!R182,FASE3!T182,FASE3!S182)</x:f>
        <x:v>0</x:v>
      </x:c>
      <x:c r="T182" s="268" t="n">
        <x:f>AVERAGE(FASE3!U182,FASE3!V182,FASE3!W182)</x:f>
        <x:v>0</x:v>
      </x:c>
      <x:c r="U182" s="268" t="n">
        <x:f>FASE3!Y182</x:f>
        <x:v>0</x:v>
      </x:c>
      <x:c r="V182" s="268" t="n">
        <x:f>FASE3!X182</x:f>
        <x:v>0</x:v>
      </x:c>
      <x:c r="W182" s="268" t="n">
        <x:f>FASE4!M182</x:f>
        <x:v>0</x:v>
      </x:c>
      <x:c r="X182" s="268">
        <x:f t="shared" si="2"/>
        <x:v>0</x:v>
      </x:c>
    </x:row>
    <x:row r="183" ht="15.75">
      <x:c r="B183">
        <x:v>5</x:v>
      </x:c>
      <x:c r="C183" t="s">
        <x:v>115</x:v>
      </x:c>
      <x:c r="D183" s="243">
        <x:v>513</x:v>
      </x:c>
      <x:c r="E183" s="268" t="n">
        <x:f>FASE1!G183</x:f>
        <x:v>0</x:v>
      </x:c>
      <x:c r="F183" s="268" t="n">
        <x:f>FASE1!M183</x:f>
        <x:v>0</x:v>
      </x:c>
      <x:c r="G183" s="268" t="n">
        <x:f>FASE1!L183</x:f>
        <x:v>0</x:v>
      </x:c>
      <x:c r="H183" s="268" t="n">
        <x:f>FASE1!R183</x:f>
        <x:v>0</x:v>
      </x:c>
      <x:c r="I183" s="268" t="n">
        <x:f>FASE1!U183</x:f>
        <x:v>0</x:v>
      </x:c>
      <x:c r="J183" s="268" t="n">
        <x:f>FASE1!U183</x:f>
        <x:v>0</x:v>
      </x:c>
      <x:c r="K183" s="268" t="n">
        <x:f>FASE1!P183</x:f>
        <x:v>0</x:v>
      </x:c>
      <x:c r="L183" s="268" t="n">
        <x:f>FASE1!V183</x:f>
        <x:v>0</x:v>
      </x:c>
      <x:c r="M183" s="268" t="n">
        <x:f>AVERAGE(FASE2!F183:G183)</x:f>
        <x:v>0</x:v>
      </x:c>
      <x:c r="N183" s="268" t="n">
        <x:f>AVERAGE(FASE2!O183:P183,FASE2!S183)</x:f>
        <x:v>0</x:v>
      </x:c>
      <x:c r="O183" s="268" t="n">
        <x:f>FASE4!K183</x:f>
        <x:v>0</x:v>
      </x:c>
      <x:c r="P183" s="268" t="n">
        <x:f>FASE2!N183</x:f>
        <x:v>0</x:v>
      </x:c>
      <x:c r="Q183" s="268" t="n">
        <x:f>FASE3!P183</x:f>
        <x:v>0</x:v>
      </x:c>
      <x:c r="R183" s="268" t="n">
        <x:f>FASE3!N183</x:f>
        <x:v>0</x:v>
      </x:c>
      <x:c r="S183" s="268" t="n">
        <x:f>AVERAGE(FASE3!Q183,FASE3!R183,FASE3!T183,FASE3!S183)</x:f>
        <x:v>0</x:v>
      </x:c>
      <x:c r="T183" s="268" t="n">
        <x:f>AVERAGE(FASE3!U183,FASE3!V183,FASE3!W183)</x:f>
        <x:v>0</x:v>
      </x:c>
      <x:c r="U183" s="268" t="n">
        <x:f>FASE3!Y183</x:f>
        <x:v>0</x:v>
      </x:c>
      <x:c r="V183" s="268" t="n">
        <x:f>FASE3!X183</x:f>
        <x:v>0</x:v>
      </x:c>
      <x:c r="W183" s="268" t="n">
        <x:f>FASE4!M183</x:f>
        <x:v>0</x:v>
      </x:c>
      <x:c r="X183" s="268">
        <x:f t="shared" si="2"/>
        <x:v>0</x:v>
      </x:c>
    </x:row>
    <x:row r="184" ht="15.75">
      <x:c r="B184">
        <x:v>5</x:v>
      </x:c>
      <x:c r="C184" t="s">
        <x:v>115</x:v>
      </x:c>
      <x:c r="D184" s="243">
        <x:v>514</x:v>
      </x:c>
      <x:c r="E184" s="268" t="n">
        <x:f>FASE1!G184</x:f>
        <x:v>0</x:v>
      </x:c>
      <x:c r="F184" s="268" t="n">
        <x:f>FASE1!M184</x:f>
        <x:v>0</x:v>
      </x:c>
      <x:c r="G184" s="268" t="n">
        <x:f>FASE1!L184</x:f>
        <x:v>0</x:v>
      </x:c>
      <x:c r="H184" s="268" t="n">
        <x:f>FASE1!R184</x:f>
        <x:v>0</x:v>
      </x:c>
      <x:c r="I184" s="268" t="n">
        <x:f>FASE1!U184</x:f>
        <x:v>0</x:v>
      </x:c>
      <x:c r="J184" s="268" t="n">
        <x:f>FASE1!U184</x:f>
        <x:v>0</x:v>
      </x:c>
      <x:c r="K184" s="268" t="n">
        <x:f>FASE1!P184</x:f>
        <x:v>0</x:v>
      </x:c>
      <x:c r="L184" s="268" t="n">
        <x:f>FASE1!V184</x:f>
        <x:v>0</x:v>
      </x:c>
      <x:c r="M184" s="268" t="n">
        <x:f>AVERAGE(FASE2!F184:G184)</x:f>
        <x:v>0</x:v>
      </x:c>
      <x:c r="N184" s="268" t="n">
        <x:f>AVERAGE(FASE2!O184:P184,FASE2!S184)</x:f>
        <x:v>0</x:v>
      </x:c>
      <x:c r="O184" s="268" t="n">
        <x:f>FASE4!K184</x:f>
        <x:v>0</x:v>
      </x:c>
      <x:c r="P184" s="268" t="n">
        <x:f>FASE2!N184</x:f>
        <x:v>0</x:v>
      </x:c>
      <x:c r="Q184" s="268" t="n">
        <x:f>FASE3!P184</x:f>
        <x:v>0</x:v>
      </x:c>
      <x:c r="R184" s="268" t="n">
        <x:f>FASE3!N184</x:f>
        <x:v>0</x:v>
      </x:c>
      <x:c r="S184" s="268" t="n">
        <x:f>AVERAGE(FASE3!Q184,FASE3!R184,FASE3!T184,FASE3!S184)</x:f>
        <x:v>0</x:v>
      </x:c>
      <x:c r="T184" s="268" t="n">
        <x:f>AVERAGE(FASE3!U184,FASE3!V184,FASE3!W184)</x:f>
        <x:v>0</x:v>
      </x:c>
      <x:c r="U184" s="268" t="n">
        <x:f>FASE3!Y184</x:f>
        <x:v>0</x:v>
      </x:c>
      <x:c r="V184" s="268" t="n">
        <x:f>FASE3!X184</x:f>
        <x:v>0</x:v>
      </x:c>
      <x:c r="W184" s="268" t="n">
        <x:f>FASE4!M184</x:f>
        <x:v>0</x:v>
      </x:c>
      <x:c r="X184" s="268">
        <x:f t="shared" si="2"/>
        <x:v>0</x:v>
      </x:c>
    </x:row>
    <x:row r="185" ht="15.75">
      <x:c r="B185">
        <x:v>5</x:v>
      </x:c>
      <x:c r="C185" t="s">
        <x:v>115</x:v>
      </x:c>
      <x:c r="D185" s="243">
        <x:v>515</x:v>
      </x:c>
      <x:c r="E185" s="268" t="n">
        <x:f>FASE1!G185</x:f>
        <x:v>0</x:v>
      </x:c>
      <x:c r="F185" s="268" t="n">
        <x:f>FASE1!M185</x:f>
        <x:v>0</x:v>
      </x:c>
      <x:c r="G185" s="268" t="n">
        <x:f>FASE1!L185</x:f>
        <x:v>0</x:v>
      </x:c>
      <x:c r="H185" s="268" t="n">
        <x:f>FASE1!R185</x:f>
        <x:v>0</x:v>
      </x:c>
      <x:c r="I185" s="268" t="n">
        <x:f>FASE1!U185</x:f>
        <x:v>0</x:v>
      </x:c>
      <x:c r="J185" s="268" t="n">
        <x:f>FASE1!U185</x:f>
        <x:v>0</x:v>
      </x:c>
      <x:c r="K185" s="268" t="n">
        <x:f>FASE1!P185</x:f>
        <x:v>0</x:v>
      </x:c>
      <x:c r="L185" s="268" t="n">
        <x:f>FASE1!V185</x:f>
        <x:v>0</x:v>
      </x:c>
      <x:c r="M185" s="268" t="n">
        <x:f>AVERAGE(FASE2!F185:G185)</x:f>
        <x:v>0</x:v>
      </x:c>
      <x:c r="N185" s="268" t="n">
        <x:f>AVERAGE(FASE2!O185:P185,FASE2!S185)</x:f>
        <x:v>0</x:v>
      </x:c>
      <x:c r="O185" s="268" t="n">
        <x:f>FASE4!K185</x:f>
        <x:v>0</x:v>
      </x:c>
      <x:c r="P185" s="268" t="n">
        <x:f>FASE2!N185</x:f>
        <x:v>0</x:v>
      </x:c>
      <x:c r="Q185" s="268" t="n">
        <x:f>FASE3!P185</x:f>
        <x:v>0</x:v>
      </x:c>
      <x:c r="R185" s="268" t="n">
        <x:f>FASE3!N185</x:f>
        <x:v>0</x:v>
      </x:c>
      <x:c r="S185" s="268" t="n">
        <x:f>AVERAGE(FASE3!Q185,FASE3!R185,FASE3!T185,FASE3!S185)</x:f>
        <x:v>0</x:v>
      </x:c>
      <x:c r="T185" s="268" t="n">
        <x:f>AVERAGE(FASE3!U185,FASE3!V185,FASE3!W185)</x:f>
        <x:v>0</x:v>
      </x:c>
      <x:c r="U185" s="268" t="n">
        <x:f>FASE3!Y185</x:f>
        <x:v>0</x:v>
      </x:c>
      <x:c r="V185" s="268" t="n">
        <x:f>FASE3!X185</x:f>
        <x:v>0</x:v>
      </x:c>
      <x:c r="W185" s="268" t="n">
        <x:f>FASE4!M185</x:f>
        <x:v>0</x:v>
      </x:c>
      <x:c r="X185" s="268">
        <x:f t="shared" si="2"/>
        <x:v>0</x:v>
      </x:c>
    </x:row>
    <x:row r="186" ht="15.75">
      <x:c r="B186">
        <x:v>5</x:v>
      </x:c>
      <x:c r="C186" t="s">
        <x:v>115</x:v>
      </x:c>
      <x:c r="D186" s="243">
        <x:v>516</x:v>
      </x:c>
      <x:c r="E186" s="268" t="n">
        <x:f>FASE1!G186</x:f>
        <x:v>0</x:v>
      </x:c>
      <x:c r="F186" s="268" t="n">
        <x:f>FASE1!M186</x:f>
        <x:v>0</x:v>
      </x:c>
      <x:c r="G186" s="268" t="n">
        <x:f>FASE1!L186</x:f>
        <x:v>0</x:v>
      </x:c>
      <x:c r="H186" s="268" t="n">
        <x:f>FASE1!R186</x:f>
        <x:v>0</x:v>
      </x:c>
      <x:c r="I186" s="268" t="n">
        <x:f>FASE1!U186</x:f>
        <x:v>0</x:v>
      </x:c>
      <x:c r="J186" s="268" t="n">
        <x:f>FASE1!U186</x:f>
        <x:v>0</x:v>
      </x:c>
      <x:c r="K186" s="268" t="n">
        <x:f>FASE1!P186</x:f>
        <x:v>0</x:v>
      </x:c>
      <x:c r="L186" s="268" t="n">
        <x:f>FASE1!V186</x:f>
        <x:v>0</x:v>
      </x:c>
      <x:c r="M186" s="268" t="n">
        <x:f>AVERAGE(FASE2!F186:G186)</x:f>
        <x:v>0</x:v>
      </x:c>
      <x:c r="N186" s="268" t="n">
        <x:f>AVERAGE(FASE2!O186:P186,FASE2!S186)</x:f>
        <x:v>0</x:v>
      </x:c>
      <x:c r="O186" s="268" t="n">
        <x:f>FASE4!K186</x:f>
        <x:v>0</x:v>
      </x:c>
      <x:c r="P186" s="268" t="n">
        <x:f>FASE2!N186</x:f>
        <x:v>0</x:v>
      </x:c>
      <x:c r="Q186" s="268" t="n">
        <x:f>FASE3!P186</x:f>
        <x:v>0</x:v>
      </x:c>
      <x:c r="R186" s="268" t="n">
        <x:f>FASE3!N186</x:f>
        <x:v>0</x:v>
      </x:c>
      <x:c r="S186" s="268" t="n">
        <x:f>AVERAGE(FASE3!Q186,FASE3!R186,FASE3!T186,FASE3!S186)</x:f>
        <x:v>0</x:v>
      </x:c>
      <x:c r="T186" s="268" t="n">
        <x:f>AVERAGE(FASE3!U186,FASE3!V186,FASE3!W186)</x:f>
        <x:v>0</x:v>
      </x:c>
      <x:c r="U186" s="268" t="n">
        <x:f>FASE3!Y186</x:f>
        <x:v>0</x:v>
      </x:c>
      <x:c r="V186" s="268" t="n">
        <x:f>FASE3!X186</x:f>
        <x:v>0</x:v>
      </x:c>
      <x:c r="W186" s="268" t="n">
        <x:f>FASE4!M186</x:f>
        <x:v>0</x:v>
      </x:c>
      <x:c r="X186" s="268">
        <x:f t="shared" si="2"/>
        <x:v>0</x:v>
      </x:c>
    </x:row>
    <x:row r="187" ht="15.75">
      <x:c r="B187">
        <x:v>5</x:v>
      </x:c>
      <x:c r="C187" t="s">
        <x:v>115</x:v>
      </x:c>
      <x:c r="D187" s="243">
        <x:v>517</x:v>
      </x:c>
      <x:c r="E187" s="268" t="n">
        <x:f>FASE1!G187</x:f>
        <x:v>0</x:v>
      </x:c>
      <x:c r="F187" s="268" t="n">
        <x:f>FASE1!M187</x:f>
        <x:v>0</x:v>
      </x:c>
      <x:c r="G187" s="268" t="n">
        <x:f>FASE1!L187</x:f>
        <x:v>0</x:v>
      </x:c>
      <x:c r="H187" s="268" t="n">
        <x:f>FASE1!R187</x:f>
        <x:v>0</x:v>
      </x:c>
      <x:c r="I187" s="268" t="n">
        <x:f>FASE1!U187</x:f>
        <x:v>0</x:v>
      </x:c>
      <x:c r="J187" s="268" t="n">
        <x:f>FASE1!U187</x:f>
        <x:v>0</x:v>
      </x:c>
      <x:c r="K187" s="268" t="n">
        <x:f>FASE1!P187</x:f>
        <x:v>0</x:v>
      </x:c>
      <x:c r="L187" s="268" t="n">
        <x:f>FASE1!V187</x:f>
        <x:v>0</x:v>
      </x:c>
      <x:c r="M187" s="268" t="n">
        <x:f>AVERAGE(FASE2!F187:G187)</x:f>
        <x:v>0</x:v>
      </x:c>
      <x:c r="N187" s="268" t="n">
        <x:f>AVERAGE(FASE2!O187:P187,FASE2!S187)</x:f>
        <x:v>0</x:v>
      </x:c>
      <x:c r="O187" s="268" t="n">
        <x:f>FASE4!K187</x:f>
        <x:v>0</x:v>
      </x:c>
      <x:c r="P187" s="268" t="n">
        <x:f>FASE2!N187</x:f>
        <x:v>0</x:v>
      </x:c>
      <x:c r="Q187" s="268" t="n">
        <x:f>FASE3!P187</x:f>
        <x:v>0</x:v>
      </x:c>
      <x:c r="R187" s="268" t="n">
        <x:f>FASE3!N187</x:f>
        <x:v>0</x:v>
      </x:c>
      <x:c r="S187" s="268" t="n">
        <x:f>AVERAGE(FASE3!Q187,FASE3!R187,FASE3!T187,FASE3!S187)</x:f>
        <x:v>0</x:v>
      </x:c>
      <x:c r="T187" s="268" t="n">
        <x:f>AVERAGE(FASE3!U187,FASE3!V187,FASE3!W187)</x:f>
        <x:v>0</x:v>
      </x:c>
      <x:c r="U187" s="268" t="n">
        <x:f>FASE3!Y187</x:f>
        <x:v>0</x:v>
      </x:c>
      <x:c r="V187" s="268" t="n">
        <x:f>FASE3!X187</x:f>
        <x:v>0</x:v>
      </x:c>
      <x:c r="W187" s="268" t="n">
        <x:f>FASE4!M187</x:f>
        <x:v>0</x:v>
      </x:c>
      <x:c r="X187" s="268">
        <x:f t="shared" si="2"/>
        <x:v>0</x:v>
      </x:c>
    </x:row>
    <x:row r="188" ht="15.75">
      <x:c r="B188">
        <x:v>5</x:v>
      </x:c>
      <x:c r="C188" t="s">
        <x:v>115</x:v>
      </x:c>
      <x:c r="D188" s="243">
        <x:v>518</x:v>
      </x:c>
      <x:c r="E188" s="268" t="n">
        <x:f>FASE1!G188</x:f>
        <x:v>0</x:v>
      </x:c>
      <x:c r="F188" s="268" t="n">
        <x:f>FASE1!M188</x:f>
        <x:v>0</x:v>
      </x:c>
      <x:c r="G188" s="268" t="n">
        <x:f>FASE1!L188</x:f>
        <x:v>0</x:v>
      </x:c>
      <x:c r="H188" s="268" t="n">
        <x:f>FASE1!R188</x:f>
        <x:v>0</x:v>
      </x:c>
      <x:c r="I188" s="268" t="n">
        <x:f>FASE1!U188</x:f>
        <x:v>0</x:v>
      </x:c>
      <x:c r="J188" s="268" t="n">
        <x:f>FASE1!U188</x:f>
        <x:v>0</x:v>
      </x:c>
      <x:c r="K188" s="268" t="n">
        <x:f>FASE1!P188</x:f>
        <x:v>0</x:v>
      </x:c>
      <x:c r="L188" s="268" t="n">
        <x:f>FASE1!V188</x:f>
        <x:v>0</x:v>
      </x:c>
      <x:c r="M188" s="268" t="n">
        <x:f>AVERAGE(FASE2!F188:G188)</x:f>
        <x:v>0</x:v>
      </x:c>
      <x:c r="N188" s="268" t="n">
        <x:f>AVERAGE(FASE2!O188:P188,FASE2!S188)</x:f>
        <x:v>0</x:v>
      </x:c>
      <x:c r="O188" s="268" t="n">
        <x:f>FASE4!K188</x:f>
        <x:v>0</x:v>
      </x:c>
      <x:c r="P188" s="268" t="n">
        <x:f>FASE2!N188</x:f>
        <x:v>0</x:v>
      </x:c>
      <x:c r="Q188" s="268" t="n">
        <x:f>FASE3!P188</x:f>
        <x:v>0</x:v>
      </x:c>
      <x:c r="R188" s="268" t="n">
        <x:f>FASE3!N188</x:f>
        <x:v>0</x:v>
      </x:c>
      <x:c r="S188" s="268" t="n">
        <x:f>AVERAGE(FASE3!Q188,FASE3!R188,FASE3!T188,FASE3!S188)</x:f>
        <x:v>0</x:v>
      </x:c>
      <x:c r="T188" s="268" t="n">
        <x:f>AVERAGE(FASE3!U188,FASE3!V188,FASE3!W188)</x:f>
        <x:v>0</x:v>
      </x:c>
      <x:c r="U188" s="268" t="n">
        <x:f>FASE3!Y188</x:f>
        <x:v>0</x:v>
      </x:c>
      <x:c r="V188" s="268" t="n">
        <x:f>FASE3!X188</x:f>
        <x:v>0</x:v>
      </x:c>
      <x:c r="W188" s="268" t="n">
        <x:f>FASE4!M188</x:f>
        <x:v>0</x:v>
      </x:c>
      <x:c r="X188" s="268">
        <x:f t="shared" si="2"/>
        <x:v>0</x:v>
      </x:c>
    </x:row>
    <x:row r="189" ht="15.75">
      <x:c r="B189">
        <x:v>5</x:v>
      </x:c>
      <x:c r="C189" t="s">
        <x:v>115</x:v>
      </x:c>
      <x:c r="D189" s="243">
        <x:v>519</x:v>
      </x:c>
      <x:c r="E189" s="268" t="n">
        <x:f>FASE1!G189</x:f>
        <x:v>0</x:v>
      </x:c>
      <x:c r="F189" s="268" t="n">
        <x:f>FASE1!M189</x:f>
        <x:v>0</x:v>
      </x:c>
      <x:c r="G189" s="268" t="n">
        <x:f>FASE1!L189</x:f>
        <x:v>0</x:v>
      </x:c>
      <x:c r="H189" s="268" t="n">
        <x:f>FASE1!R189</x:f>
        <x:v>0</x:v>
      </x:c>
      <x:c r="I189" s="268" t="n">
        <x:f>FASE1!U189</x:f>
        <x:v>0</x:v>
      </x:c>
      <x:c r="J189" s="268" t="n">
        <x:f>FASE1!U189</x:f>
        <x:v>0</x:v>
      </x:c>
      <x:c r="K189" s="268" t="n">
        <x:f>FASE1!P189</x:f>
        <x:v>0</x:v>
      </x:c>
      <x:c r="L189" s="268" t="n">
        <x:f>FASE1!V189</x:f>
        <x:v>0</x:v>
      </x:c>
      <x:c r="M189" s="268" t="n">
        <x:f>AVERAGE(FASE2!F189:G189)</x:f>
        <x:v>0</x:v>
      </x:c>
      <x:c r="N189" s="268" t="n">
        <x:f>AVERAGE(FASE2!O189:P189,FASE2!S189)</x:f>
        <x:v>0</x:v>
      </x:c>
      <x:c r="O189" s="268" t="n">
        <x:f>FASE4!K189</x:f>
        <x:v>0</x:v>
      </x:c>
      <x:c r="P189" s="268" t="n">
        <x:f>FASE2!N189</x:f>
        <x:v>0</x:v>
      </x:c>
      <x:c r="Q189" s="268" t="n">
        <x:f>FASE3!P189</x:f>
        <x:v>0</x:v>
      </x:c>
      <x:c r="R189" s="268" t="n">
        <x:f>FASE3!N189</x:f>
        <x:v>0</x:v>
      </x:c>
      <x:c r="S189" s="268" t="n">
        <x:f>AVERAGE(FASE3!Q189,FASE3!R189,FASE3!T189,FASE3!S189)</x:f>
        <x:v>0</x:v>
      </x:c>
      <x:c r="T189" s="268" t="n">
        <x:f>AVERAGE(FASE3!U189,FASE3!V189,FASE3!W189)</x:f>
        <x:v>0</x:v>
      </x:c>
      <x:c r="U189" s="268" t="n">
        <x:f>FASE3!Y189</x:f>
        <x:v>0</x:v>
      </x:c>
      <x:c r="V189" s="268" t="n">
        <x:f>FASE3!X189</x:f>
        <x:v>0</x:v>
      </x:c>
      <x:c r="W189" s="268" t="n">
        <x:f>FASE4!M189</x:f>
        <x:v>0</x:v>
      </x:c>
      <x:c r="X189" s="268">
        <x:f t="shared" si="2"/>
        <x:v>0</x:v>
      </x:c>
    </x:row>
    <x:row r="190" ht="15.75">
      <x:c r="B190">
        <x:v>5</x:v>
      </x:c>
      <x:c r="C190" t="s">
        <x:v>115</x:v>
      </x:c>
      <x:c r="D190" s="243">
        <x:v>520</x:v>
      </x:c>
      <x:c r="E190" s="268" t="n">
        <x:f>FASE1!G190</x:f>
        <x:v>0</x:v>
      </x:c>
      <x:c r="F190" s="268" t="n">
        <x:f>FASE1!M190</x:f>
        <x:v>0</x:v>
      </x:c>
      <x:c r="G190" s="268" t="n">
        <x:f>FASE1!L190</x:f>
        <x:v>0</x:v>
      </x:c>
      <x:c r="H190" s="268" t="n">
        <x:f>FASE1!R190</x:f>
        <x:v>0</x:v>
      </x:c>
      <x:c r="I190" s="268" t="n">
        <x:f>FASE1!U190</x:f>
        <x:v>0</x:v>
      </x:c>
      <x:c r="J190" s="268" t="n">
        <x:f>FASE1!U190</x:f>
        <x:v>0</x:v>
      </x:c>
      <x:c r="K190" s="268" t="n">
        <x:f>FASE1!P190</x:f>
        <x:v>0</x:v>
      </x:c>
      <x:c r="L190" s="268" t="n">
        <x:f>FASE1!V190</x:f>
        <x:v>0</x:v>
      </x:c>
      <x:c r="M190" s="268" t="n">
        <x:f>AVERAGE(FASE2!F190:G190)</x:f>
        <x:v>0</x:v>
      </x:c>
      <x:c r="N190" s="268" t="n">
        <x:f>AVERAGE(FASE2!O190:P190,FASE2!S190)</x:f>
        <x:v>0</x:v>
      </x:c>
      <x:c r="O190" s="268" t="n">
        <x:f>FASE4!K190</x:f>
        <x:v>0</x:v>
      </x:c>
      <x:c r="P190" s="268" t="n">
        <x:f>FASE2!N190</x:f>
        <x:v>0</x:v>
      </x:c>
      <x:c r="Q190" s="268" t="n">
        <x:f>FASE3!P190</x:f>
        <x:v>0</x:v>
      </x:c>
      <x:c r="R190" s="268" t="n">
        <x:f>FASE3!N190</x:f>
        <x:v>0</x:v>
      </x:c>
      <x:c r="S190" s="268" t="n">
        <x:f>AVERAGE(FASE3!Q190,FASE3!R190,FASE3!T190,FASE3!S190)</x:f>
        <x:v>0</x:v>
      </x:c>
      <x:c r="T190" s="268" t="n">
        <x:f>AVERAGE(FASE3!U190,FASE3!V190,FASE3!W190)</x:f>
        <x:v>0</x:v>
      </x:c>
      <x:c r="U190" s="268" t="n">
        <x:f>FASE3!Y190</x:f>
        <x:v>0</x:v>
      </x:c>
      <x:c r="V190" s="268" t="n">
        <x:f>FASE3!X190</x:f>
        <x:v>0</x:v>
      </x:c>
      <x:c r="W190" s="268" t="n">
        <x:f>FASE4!M190</x:f>
        <x:v>0</x:v>
      </x:c>
      <x:c r="X190" s="268">
        <x:f t="shared" si="2"/>
        <x:v>0</x:v>
      </x:c>
    </x:row>
    <x:row r="191" ht="15.75">
      <x:c r="B191">
        <x:v>5</x:v>
      </x:c>
      <x:c r="C191" t="s">
        <x:v>115</x:v>
      </x:c>
      <x:c r="D191" s="243">
        <x:v>521</x:v>
      </x:c>
      <x:c r="E191" s="268" t="n">
        <x:f>FASE1!G191</x:f>
        <x:v>0</x:v>
      </x:c>
      <x:c r="F191" s="268" t="n">
        <x:f>FASE1!M191</x:f>
        <x:v>0</x:v>
      </x:c>
      <x:c r="G191" s="268" t="n">
        <x:f>FASE1!L191</x:f>
        <x:v>0</x:v>
      </x:c>
      <x:c r="H191" s="268" t="n">
        <x:f>FASE1!R191</x:f>
        <x:v>0</x:v>
      </x:c>
      <x:c r="I191" s="268" t="n">
        <x:f>FASE1!U191</x:f>
        <x:v>0</x:v>
      </x:c>
      <x:c r="J191" s="268" t="n">
        <x:f>FASE1!U191</x:f>
        <x:v>0</x:v>
      </x:c>
      <x:c r="K191" s="268" t="n">
        <x:f>FASE1!P191</x:f>
        <x:v>0</x:v>
      </x:c>
      <x:c r="L191" s="268" t="n">
        <x:f>FASE1!V191</x:f>
        <x:v>0</x:v>
      </x:c>
      <x:c r="M191" s="268" t="n">
        <x:f>AVERAGE(FASE2!F191:G191)</x:f>
        <x:v>0</x:v>
      </x:c>
      <x:c r="N191" s="268" t="n">
        <x:f>AVERAGE(FASE2!O191:P191,FASE2!S191)</x:f>
        <x:v>0</x:v>
      </x:c>
      <x:c r="O191" s="268" t="n">
        <x:f>FASE4!K191</x:f>
        <x:v>0</x:v>
      </x:c>
      <x:c r="P191" s="268" t="n">
        <x:f>FASE2!N191</x:f>
        <x:v>0</x:v>
      </x:c>
      <x:c r="Q191" s="268" t="n">
        <x:f>FASE3!P191</x:f>
        <x:v>0</x:v>
      </x:c>
      <x:c r="R191" s="268" t="n">
        <x:f>FASE3!N191</x:f>
        <x:v>0</x:v>
      </x:c>
      <x:c r="S191" s="268" t="n">
        <x:f>AVERAGE(FASE3!Q191,FASE3!R191,FASE3!T191,FASE3!S191)</x:f>
        <x:v>0</x:v>
      </x:c>
      <x:c r="T191" s="268" t="n">
        <x:f>AVERAGE(FASE3!U191,FASE3!V191,FASE3!W191)</x:f>
        <x:v>0</x:v>
      </x:c>
      <x:c r="U191" s="268" t="n">
        <x:f>FASE3!Y191</x:f>
        <x:v>0</x:v>
      </x:c>
      <x:c r="V191" s="268" t="n">
        <x:f>FASE3!X191</x:f>
        <x:v>0</x:v>
      </x:c>
      <x:c r="W191" s="268" t="n">
        <x:f>FASE4!M191</x:f>
        <x:v>0</x:v>
      </x:c>
      <x:c r="X191" s="268">
        <x:f t="shared" si="2"/>
        <x:v>0</x:v>
      </x:c>
    </x:row>
    <x:row r="192" ht="15.75">
      <x:c r="B192">
        <x:v>5</x:v>
      </x:c>
      <x:c r="C192" t="s">
        <x:v>135</x:v>
      </x:c>
      <x:c r="D192" s="243" t="s">
        <x:v>136</x:v>
      </x:c>
      <x:c r="E192" s="268" t="n">
        <x:f>FASE1!G192</x:f>
        <x:v>0</x:v>
      </x:c>
      <x:c r="F192" s="268" t="n">
        <x:f>FASE1!M192</x:f>
        <x:v>0</x:v>
      </x:c>
      <x:c r="G192" s="268" t="n">
        <x:f>FASE1!L192</x:f>
        <x:v>0</x:v>
      </x:c>
      <x:c r="H192" s="268" t="n">
        <x:f>FASE1!R192</x:f>
        <x:v>0</x:v>
      </x:c>
      <x:c r="I192" s="268" t="n">
        <x:f>FASE1!U192</x:f>
        <x:v>0</x:v>
      </x:c>
      <x:c r="J192" s="268" t="n">
        <x:f>FASE1!U192</x:f>
        <x:v>0</x:v>
      </x:c>
      <x:c r="K192" s="268" t="n">
        <x:f>FASE1!P192</x:f>
        <x:v>0</x:v>
      </x:c>
      <x:c r="L192" s="268" t="n">
        <x:f>FASE1!V192</x:f>
        <x:v>0</x:v>
      </x:c>
      <x:c r="M192" s="268" t="e">
        <x:f>AVERAGE(FASE2!F192:G192)</x:f>
        <x:v>#DIV/0!</x:v>
      </x:c>
      <x:c r="N192" s="268" t="e">
        <x:f>AVERAGE(FASE2!O192:P192,FASE2!S192)</x:f>
        <x:v>#DIV/0!</x:v>
      </x:c>
      <x:c r="O192" s="268" t="n">
        <x:f>FASE4!K192</x:f>
        <x:v>0</x:v>
      </x:c>
      <x:c r="P192" s="268" t="n">
        <x:f>FASE2!N192</x:f>
        <x:v>0</x:v>
      </x:c>
      <x:c r="Q192" s="268" t="n">
        <x:f>FASE3!P192</x:f>
        <x:v>0</x:v>
      </x:c>
      <x:c r="R192" s="268" t="n">
        <x:f>FASE3!N192</x:f>
        <x:v>0</x:v>
      </x:c>
      <x:c r="S192" s="268" t="n">
        <x:f>AVERAGE(FASE3!Q192,FASE3!R192,FASE3!T192,FASE3!S192)</x:f>
        <x:v>0</x:v>
      </x:c>
      <x:c r="T192" s="268" t="n">
        <x:f>AVERAGE(FASE3!U192,FASE3!V192,FASE3!W192)</x:f>
        <x:v>0</x:v>
      </x:c>
      <x:c r="U192" s="268" t="n">
        <x:f>FASE3!Y192</x:f>
        <x:v>0</x:v>
      </x:c>
      <x:c r="V192" s="268" t="n">
        <x:f>FASE3!X192</x:f>
        <x:v>0</x:v>
      </x:c>
      <x:c r="W192" s="268" t="n">
        <x:f>FASE4!M192</x:f>
        <x:v>0</x:v>
      </x:c>
      <x:c r="X192" s="268">
        <x:f t="shared" si="2"/>
        <x:v>0</x:v>
      </x:c>
    </x:row>
    <x:row r="193" ht="15.75">
      <x:c r="B193">
        <x:v>6</x:v>
      </x:c>
      <x:c r="C193" t="s">
        <x:v>116</x:v>
      </x:c>
      <x:c r="D193" s="243">
        <x:v>601</x:v>
      </x:c>
      <x:c r="E193" s="268" t="n">
        <x:f>FASE1!G193</x:f>
        <x:v>0</x:v>
      </x:c>
      <x:c r="F193" s="268" t="n">
        <x:f>FASE1!M193</x:f>
        <x:v>0</x:v>
      </x:c>
      <x:c r="G193" s="268" t="n">
        <x:f>FASE1!L193</x:f>
        <x:v>0</x:v>
      </x:c>
      <x:c r="H193" s="268" t="n">
        <x:f>FASE1!R193</x:f>
        <x:v>0</x:v>
      </x:c>
      <x:c r="I193" s="268" t="n">
        <x:f>FASE1!U193</x:f>
        <x:v>0</x:v>
      </x:c>
      <x:c r="J193" s="268" t="n">
        <x:f>FASE1!U193</x:f>
        <x:v>0</x:v>
      </x:c>
      <x:c r="K193" s="268" t="n">
        <x:f>FASE1!P193</x:f>
        <x:v>0</x:v>
      </x:c>
      <x:c r="L193" s="268" t="n">
        <x:f>FASE1!V193</x:f>
        <x:v>0</x:v>
      </x:c>
      <x:c r="M193" s="268" t="n">
        <x:f>AVERAGE(FASE2!F193:G193)</x:f>
        <x:v>0</x:v>
      </x:c>
      <x:c r="N193" s="268" t="n">
        <x:f>AVERAGE(FASE2!O193:P193,FASE2!S193)</x:f>
        <x:v>0</x:v>
      </x:c>
      <x:c r="O193" s="268" t="n">
        <x:f>FASE4!K193</x:f>
        <x:v>0</x:v>
      </x:c>
      <x:c r="P193" s="268" t="n">
        <x:f>FASE2!N193</x:f>
        <x:v>0</x:v>
      </x:c>
      <x:c r="Q193" s="268" t="n">
        <x:f>FASE3!P193</x:f>
        <x:v>0</x:v>
      </x:c>
      <x:c r="R193" s="268" t="n">
        <x:f>FASE3!N193</x:f>
        <x:v>0</x:v>
      </x:c>
      <x:c r="S193" s="268" t="n">
        <x:f>AVERAGE(FASE3!Q193,FASE3!R193,FASE3!T193,FASE3!S193)</x:f>
        <x:v>0</x:v>
      </x:c>
      <x:c r="T193" s="268" t="n">
        <x:f>AVERAGE(FASE3!U193,FASE3!V193,FASE3!W193)</x:f>
        <x:v>0</x:v>
      </x:c>
      <x:c r="U193" s="268" t="n">
        <x:f>FASE3!Y193</x:f>
        <x:v>0</x:v>
      </x:c>
      <x:c r="V193" s="268" t="n">
        <x:f>FASE3!X193</x:f>
        <x:v>0</x:v>
      </x:c>
      <x:c r="W193" s="268" t="n">
        <x:f>FASE4!M193</x:f>
        <x:v>0</x:v>
      </x:c>
      <x:c r="X193" s="268">
        <x:f t="shared" si="2"/>
        <x:v>0</x:v>
      </x:c>
    </x:row>
    <x:row r="194" ht="15.75">
      <x:c r="B194">
        <x:v>6</x:v>
      </x:c>
      <x:c r="C194" t="s">
        <x:v>116</x:v>
      </x:c>
      <x:c r="D194" s="243">
        <x:v>602</x:v>
      </x:c>
      <x:c r="E194" s="268" t="n">
        <x:f>FASE1!G194</x:f>
        <x:v>0</x:v>
      </x:c>
      <x:c r="F194" s="268" t="n">
        <x:f>FASE1!M194</x:f>
        <x:v>0</x:v>
      </x:c>
      <x:c r="G194" s="268" t="n">
        <x:f>FASE1!L194</x:f>
        <x:v>0</x:v>
      </x:c>
      <x:c r="H194" s="268" t="n">
        <x:f>FASE1!R194</x:f>
        <x:v>0</x:v>
      </x:c>
      <x:c r="I194" s="268" t="n">
        <x:f>FASE1!U194</x:f>
        <x:v>0</x:v>
      </x:c>
      <x:c r="J194" s="268" t="n">
        <x:f>FASE1!U194</x:f>
        <x:v>0</x:v>
      </x:c>
      <x:c r="K194" s="268" t="n">
        <x:f>FASE1!P194</x:f>
        <x:v>0</x:v>
      </x:c>
      <x:c r="L194" s="268" t="n">
        <x:f>FASE1!V194</x:f>
        <x:v>0</x:v>
      </x:c>
      <x:c r="M194" s="268" t="n">
        <x:f>AVERAGE(FASE2!F194:G194)</x:f>
        <x:v>0</x:v>
      </x:c>
      <x:c r="N194" s="268" t="n">
        <x:f>AVERAGE(FASE2!O194:P194,FASE2!S194)</x:f>
        <x:v>0</x:v>
      </x:c>
      <x:c r="O194" s="268" t="n">
        <x:f>FASE4!K194</x:f>
        <x:v>0</x:v>
      </x:c>
      <x:c r="P194" s="268" t="n">
        <x:f>FASE2!N194</x:f>
        <x:v>0</x:v>
      </x:c>
      <x:c r="Q194" s="268" t="n">
        <x:f>FASE3!P194</x:f>
        <x:v>0</x:v>
      </x:c>
      <x:c r="R194" s="268" t="n">
        <x:f>FASE3!N194</x:f>
        <x:v>0</x:v>
      </x:c>
      <x:c r="S194" s="268" t="n">
        <x:f>AVERAGE(FASE3!Q194,FASE3!R194,FASE3!T194,FASE3!S194)</x:f>
        <x:v>0</x:v>
      </x:c>
      <x:c r="T194" s="268" t="n">
        <x:f>AVERAGE(FASE3!U194,FASE3!V194,FASE3!W194)</x:f>
        <x:v>0</x:v>
      </x:c>
      <x:c r="U194" s="268" t="n">
        <x:f>FASE3!Y194</x:f>
        <x:v>0</x:v>
      </x:c>
      <x:c r="V194" s="268" t="n">
        <x:f>FASE3!X194</x:f>
        <x:v>0</x:v>
      </x:c>
      <x:c r="W194" s="268" t="n">
        <x:f>FASE4!M194</x:f>
        <x:v>0</x:v>
      </x:c>
      <x:c r="X194" s="268" t="n">
        <x:f t="shared" ref="X194:X257" si="3">AVERAGE(E194:V194)</x:f>
        <x:v>0</x:v>
      </x:c>
    </x:row>
    <x:row r="195" ht="15.75">
      <x:c r="B195">
        <x:v>6</x:v>
      </x:c>
      <x:c r="C195" t="s">
        <x:v>116</x:v>
      </x:c>
      <x:c r="D195" s="243">
        <x:v>603</x:v>
      </x:c>
      <x:c r="E195" s="268" t="n">
        <x:f>FASE1!G195</x:f>
        <x:v>0</x:v>
      </x:c>
      <x:c r="F195" s="268" t="n">
        <x:f>FASE1!M195</x:f>
        <x:v>0</x:v>
      </x:c>
      <x:c r="G195" s="268" t="n">
        <x:f>FASE1!L195</x:f>
        <x:v>0</x:v>
      </x:c>
      <x:c r="H195" s="268" t="n">
        <x:f>FASE1!R195</x:f>
        <x:v>0</x:v>
      </x:c>
      <x:c r="I195" s="268" t="n">
        <x:f>FASE1!U195</x:f>
        <x:v>0</x:v>
      </x:c>
      <x:c r="J195" s="268" t="n">
        <x:f>FASE1!U195</x:f>
        <x:v>0</x:v>
      </x:c>
      <x:c r="K195" s="268" t="n">
        <x:f>FASE1!P195</x:f>
        <x:v>0</x:v>
      </x:c>
      <x:c r="L195" s="268" t="n">
        <x:f>FASE1!V195</x:f>
        <x:v>0</x:v>
      </x:c>
      <x:c r="M195" s="268" t="n">
        <x:f>AVERAGE(FASE2!F195:G195)</x:f>
        <x:v>0</x:v>
      </x:c>
      <x:c r="N195" s="268" t="n">
        <x:f>AVERAGE(FASE2!O195:P195,FASE2!S195)</x:f>
        <x:v>0</x:v>
      </x:c>
      <x:c r="O195" s="268" t="n">
        <x:f>FASE4!K195</x:f>
        <x:v>0</x:v>
      </x:c>
      <x:c r="P195" s="268" t="n">
        <x:f>FASE2!N195</x:f>
        <x:v>0</x:v>
      </x:c>
      <x:c r="Q195" s="268" t="n">
        <x:f>FASE3!P195</x:f>
        <x:v>0</x:v>
      </x:c>
      <x:c r="R195" s="268" t="n">
        <x:f>FASE3!N195</x:f>
        <x:v>0</x:v>
      </x:c>
      <x:c r="S195" s="268" t="n">
        <x:f>AVERAGE(FASE3!Q195,FASE3!R195,FASE3!T195,FASE3!S195)</x:f>
        <x:v>0</x:v>
      </x:c>
      <x:c r="T195" s="268" t="n">
        <x:f>AVERAGE(FASE3!U195,FASE3!V195,FASE3!W195)</x:f>
        <x:v>0</x:v>
      </x:c>
      <x:c r="U195" s="268" t="n">
        <x:f>FASE3!Y195</x:f>
        <x:v>0</x:v>
      </x:c>
      <x:c r="V195" s="268" t="n">
        <x:f>FASE3!X195</x:f>
        <x:v>0</x:v>
      </x:c>
      <x:c r="W195" s="268" t="n">
        <x:f>FASE4!M195</x:f>
        <x:v>0</x:v>
      </x:c>
      <x:c r="X195" s="268">
        <x:f t="shared" si="3"/>
        <x:v>0</x:v>
      </x:c>
    </x:row>
    <x:row r="196" ht="15.75">
      <x:c r="B196">
        <x:v>6</x:v>
      </x:c>
      <x:c r="C196" t="s">
        <x:v>116</x:v>
      </x:c>
      <x:c r="D196" s="243">
        <x:v>604</x:v>
      </x:c>
      <x:c r="E196" s="268" t="n">
        <x:f>FASE1!G196</x:f>
        <x:v>0</x:v>
      </x:c>
      <x:c r="F196" s="268" t="n">
        <x:f>FASE1!M196</x:f>
        <x:v>0</x:v>
      </x:c>
      <x:c r="G196" s="268" t="n">
        <x:f>FASE1!L196</x:f>
        <x:v>0</x:v>
      </x:c>
      <x:c r="H196" s="268" t="n">
        <x:f>FASE1!R196</x:f>
        <x:v>0</x:v>
      </x:c>
      <x:c r="I196" s="268" t="n">
        <x:f>FASE1!U196</x:f>
        <x:v>0</x:v>
      </x:c>
      <x:c r="J196" s="268" t="n">
        <x:f>FASE1!U196</x:f>
        <x:v>0</x:v>
      </x:c>
      <x:c r="K196" s="268" t="n">
        <x:f>FASE1!P196</x:f>
        <x:v>0</x:v>
      </x:c>
      <x:c r="L196" s="268" t="n">
        <x:f>FASE1!V196</x:f>
        <x:v>0</x:v>
      </x:c>
      <x:c r="M196" s="268" t="n">
        <x:f>AVERAGE(FASE2!F196:G196)</x:f>
        <x:v>0</x:v>
      </x:c>
      <x:c r="N196" s="268" t="n">
        <x:f>AVERAGE(FASE2!O196:P196,FASE2!S196)</x:f>
        <x:v>0</x:v>
      </x:c>
      <x:c r="O196" s="268" t="n">
        <x:f>FASE4!K196</x:f>
        <x:v>0</x:v>
      </x:c>
      <x:c r="P196" s="268" t="n">
        <x:f>FASE2!N196</x:f>
        <x:v>0</x:v>
      </x:c>
      <x:c r="Q196" s="268" t="n">
        <x:f>FASE3!P196</x:f>
        <x:v>0</x:v>
      </x:c>
      <x:c r="R196" s="268" t="n">
        <x:f>FASE3!N196</x:f>
        <x:v>0</x:v>
      </x:c>
      <x:c r="S196" s="268" t="n">
        <x:f>AVERAGE(FASE3!Q196,FASE3!R196,FASE3!T196,FASE3!S196)</x:f>
        <x:v>0</x:v>
      </x:c>
      <x:c r="T196" s="268" t="n">
        <x:f>AVERAGE(FASE3!U196,FASE3!V196,FASE3!W196)</x:f>
        <x:v>0</x:v>
      </x:c>
      <x:c r="U196" s="268" t="n">
        <x:f>FASE3!Y196</x:f>
        <x:v>0</x:v>
      </x:c>
      <x:c r="V196" s="268" t="n">
        <x:f>FASE3!X196</x:f>
        <x:v>0</x:v>
      </x:c>
      <x:c r="W196" s="268" t="n">
        <x:f>FASE4!M196</x:f>
        <x:v>0</x:v>
      </x:c>
      <x:c r="X196" s="268">
        <x:f t="shared" si="3"/>
        <x:v>0</x:v>
      </x:c>
    </x:row>
    <x:row r="197" ht="15.75">
      <x:c r="B197">
        <x:v>6</x:v>
      </x:c>
      <x:c r="C197" t="s">
        <x:v>116</x:v>
      </x:c>
      <x:c r="D197" s="243">
        <x:v>605</x:v>
      </x:c>
      <x:c r="E197" s="268" t="n">
        <x:f>FASE1!G197</x:f>
        <x:v>0</x:v>
      </x:c>
      <x:c r="F197" s="268" t="n">
        <x:f>FASE1!M197</x:f>
        <x:v>0</x:v>
      </x:c>
      <x:c r="G197" s="268" t="n">
        <x:f>FASE1!L197</x:f>
        <x:v>0</x:v>
      </x:c>
      <x:c r="H197" s="268" t="n">
        <x:f>FASE1!R197</x:f>
        <x:v>0</x:v>
      </x:c>
      <x:c r="I197" s="268" t="n">
        <x:f>FASE1!U197</x:f>
        <x:v>0</x:v>
      </x:c>
      <x:c r="J197" s="268" t="n">
        <x:f>FASE1!U197</x:f>
        <x:v>0</x:v>
      </x:c>
      <x:c r="K197" s="268" t="n">
        <x:f>FASE1!P197</x:f>
        <x:v>0</x:v>
      </x:c>
      <x:c r="L197" s="268" t="n">
        <x:f>FASE1!V197</x:f>
        <x:v>0</x:v>
      </x:c>
      <x:c r="M197" s="268" t="n">
        <x:f>AVERAGE(FASE2!F197:G197)</x:f>
        <x:v>0</x:v>
      </x:c>
      <x:c r="N197" s="268" t="n">
        <x:f>AVERAGE(FASE2!O197:P197,FASE2!S197)</x:f>
        <x:v>0</x:v>
      </x:c>
      <x:c r="O197" s="268" t="n">
        <x:f>FASE4!K197</x:f>
        <x:v>0</x:v>
      </x:c>
      <x:c r="P197" s="268" t="n">
        <x:f>FASE2!N197</x:f>
        <x:v>0</x:v>
      </x:c>
      <x:c r="Q197" s="268" t="n">
        <x:f>FASE3!P197</x:f>
        <x:v>0</x:v>
      </x:c>
      <x:c r="R197" s="268" t="n">
        <x:f>FASE3!N197</x:f>
        <x:v>0</x:v>
      </x:c>
      <x:c r="S197" s="268" t="n">
        <x:f>AVERAGE(FASE3!Q197,FASE3!R197,FASE3!T197,FASE3!S197)</x:f>
        <x:v>0</x:v>
      </x:c>
      <x:c r="T197" s="268" t="n">
        <x:f>AVERAGE(FASE3!U197,FASE3!V197,FASE3!W197)</x:f>
        <x:v>0</x:v>
      </x:c>
      <x:c r="U197" s="268" t="n">
        <x:f>FASE3!Y197</x:f>
        <x:v>0</x:v>
      </x:c>
      <x:c r="V197" s="268" t="n">
        <x:f>FASE3!X197</x:f>
        <x:v>0</x:v>
      </x:c>
      <x:c r="W197" s="268" t="n">
        <x:f>FASE4!M197</x:f>
        <x:v>0</x:v>
      </x:c>
      <x:c r="X197" s="268">
        <x:f t="shared" si="3"/>
        <x:v>0</x:v>
      </x:c>
    </x:row>
    <x:row r="198" ht="15.75">
      <x:c r="B198">
        <x:v>6</x:v>
      </x:c>
      <x:c r="C198" t="s">
        <x:v>116</x:v>
      </x:c>
      <x:c r="D198" s="243">
        <x:v>606</x:v>
      </x:c>
      <x:c r="E198" s="268" t="n">
        <x:f>FASE1!G198</x:f>
        <x:v>0</x:v>
      </x:c>
      <x:c r="F198" s="268" t="n">
        <x:f>FASE1!M198</x:f>
        <x:v>0</x:v>
      </x:c>
      <x:c r="G198" s="268" t="n">
        <x:f>FASE1!L198</x:f>
        <x:v>0</x:v>
      </x:c>
      <x:c r="H198" s="268" t="n">
        <x:f>FASE1!R198</x:f>
        <x:v>0</x:v>
      </x:c>
      <x:c r="I198" s="268" t="n">
        <x:f>FASE1!U198</x:f>
        <x:v>0</x:v>
      </x:c>
      <x:c r="J198" s="268" t="n">
        <x:f>FASE1!U198</x:f>
        <x:v>0</x:v>
      </x:c>
      <x:c r="K198" s="268" t="n">
        <x:f>FASE1!P198</x:f>
        <x:v>0</x:v>
      </x:c>
      <x:c r="L198" s="268" t="n">
        <x:f>FASE1!V198</x:f>
        <x:v>0</x:v>
      </x:c>
      <x:c r="M198" s="268" t="n">
        <x:f>AVERAGE(FASE2!F198:G198)</x:f>
        <x:v>0</x:v>
      </x:c>
      <x:c r="N198" s="268" t="n">
        <x:f>AVERAGE(FASE2!O198:P198,FASE2!S198)</x:f>
        <x:v>0</x:v>
      </x:c>
      <x:c r="O198" s="268" t="n">
        <x:f>FASE4!K198</x:f>
        <x:v>0</x:v>
      </x:c>
      <x:c r="P198" s="268" t="n">
        <x:f>FASE2!N198</x:f>
        <x:v>0</x:v>
      </x:c>
      <x:c r="Q198" s="268" t="n">
        <x:f>FASE3!P198</x:f>
        <x:v>0</x:v>
      </x:c>
      <x:c r="R198" s="268" t="n">
        <x:f>FASE3!N198</x:f>
        <x:v>0</x:v>
      </x:c>
      <x:c r="S198" s="268" t="n">
        <x:f>AVERAGE(FASE3!Q198,FASE3!R198,FASE3!T198,FASE3!S198)</x:f>
        <x:v>0</x:v>
      </x:c>
      <x:c r="T198" s="268" t="n">
        <x:f>AVERAGE(FASE3!U198,FASE3!V198,FASE3!W198)</x:f>
        <x:v>0</x:v>
      </x:c>
      <x:c r="U198" s="268" t="n">
        <x:f>FASE3!Y198</x:f>
        <x:v>0</x:v>
      </x:c>
      <x:c r="V198" s="268" t="n">
        <x:f>FASE3!X198</x:f>
        <x:v>0</x:v>
      </x:c>
      <x:c r="W198" s="268" t="n">
        <x:f>FASE4!M198</x:f>
        <x:v>0</x:v>
      </x:c>
      <x:c r="X198" s="268">
        <x:f t="shared" si="3"/>
        <x:v>0</x:v>
      </x:c>
      <x:c r="Y198" s="2"/>
    </x:row>
    <x:row r="199" ht="15.75">
      <x:c r="B199">
        <x:v>6</x:v>
      </x:c>
      <x:c r="C199" t="s">
        <x:v>116</x:v>
      </x:c>
      <x:c r="D199" s="243">
        <x:v>607</x:v>
      </x:c>
      <x:c r="E199" s="268" t="n">
        <x:f>FASE1!G199</x:f>
        <x:v>0</x:v>
      </x:c>
      <x:c r="F199" s="268" t="n">
        <x:f>FASE1!M199</x:f>
        <x:v>0</x:v>
      </x:c>
      <x:c r="G199" s="268" t="n">
        <x:f>FASE1!L199</x:f>
        <x:v>0</x:v>
      </x:c>
      <x:c r="H199" s="268" t="n">
        <x:f>FASE1!R199</x:f>
        <x:v>0</x:v>
      </x:c>
      <x:c r="I199" s="268" t="n">
        <x:f>FASE1!U199</x:f>
        <x:v>0</x:v>
      </x:c>
      <x:c r="J199" s="268" t="n">
        <x:f>FASE1!U199</x:f>
        <x:v>0</x:v>
      </x:c>
      <x:c r="K199" s="268" t="n">
        <x:f>FASE1!P199</x:f>
        <x:v>0</x:v>
      </x:c>
      <x:c r="L199" s="268" t="n">
        <x:f>FASE1!V199</x:f>
        <x:v>0</x:v>
      </x:c>
      <x:c r="M199" s="268" t="n">
        <x:f>AVERAGE(FASE2!F199:G199)</x:f>
        <x:v>0</x:v>
      </x:c>
      <x:c r="N199" s="268" t="n">
        <x:f>AVERAGE(FASE2!O199:P199,FASE2!S199)</x:f>
        <x:v>0</x:v>
      </x:c>
      <x:c r="O199" s="268" t="n">
        <x:f>FASE4!K199</x:f>
        <x:v>0</x:v>
      </x:c>
      <x:c r="P199" s="268" t="n">
        <x:f>FASE2!N199</x:f>
        <x:v>0</x:v>
      </x:c>
      <x:c r="Q199" s="268" t="n">
        <x:f>FASE3!P199</x:f>
        <x:v>0</x:v>
      </x:c>
      <x:c r="R199" s="268" t="n">
        <x:f>FASE3!N199</x:f>
        <x:v>0</x:v>
      </x:c>
      <x:c r="S199" s="268" t="n">
        <x:f>AVERAGE(FASE3!Q199,FASE3!R199,FASE3!T199,FASE3!S199)</x:f>
        <x:v>0</x:v>
      </x:c>
      <x:c r="T199" s="268" t="n">
        <x:f>AVERAGE(FASE3!U199,FASE3!V199,FASE3!W199)</x:f>
        <x:v>0</x:v>
      </x:c>
      <x:c r="U199" s="268" t="n">
        <x:f>FASE3!Y199</x:f>
        <x:v>0</x:v>
      </x:c>
      <x:c r="V199" s="268" t="n">
        <x:f>FASE3!X199</x:f>
        <x:v>0</x:v>
      </x:c>
      <x:c r="W199" s="268" t="n">
        <x:f>FASE4!M199</x:f>
        <x:v>0</x:v>
      </x:c>
      <x:c r="X199" s="268">
        <x:f t="shared" si="3"/>
        <x:v>0</x:v>
      </x:c>
      <x:c r="Y199" s="2"/>
    </x:row>
    <x:row r="200" ht="15.75">
      <x:c r="B200">
        <x:v>6</x:v>
      </x:c>
      <x:c r="C200" t="s">
        <x:v>116</x:v>
      </x:c>
      <x:c r="D200" s="243">
        <x:v>608</x:v>
      </x:c>
      <x:c r="E200" s="268" t="n">
        <x:f>FASE1!G200</x:f>
        <x:v>0</x:v>
      </x:c>
      <x:c r="F200" s="268" t="n">
        <x:f>FASE1!M200</x:f>
        <x:v>0</x:v>
      </x:c>
      <x:c r="G200" s="268" t="n">
        <x:f>FASE1!L200</x:f>
        <x:v>0</x:v>
      </x:c>
      <x:c r="H200" s="268" t="n">
        <x:f>FASE1!R200</x:f>
        <x:v>0</x:v>
      </x:c>
      <x:c r="I200" s="268" t="n">
        <x:f>FASE1!U200</x:f>
        <x:v>0</x:v>
      </x:c>
      <x:c r="J200" s="268" t="n">
        <x:f>FASE1!U200</x:f>
        <x:v>0</x:v>
      </x:c>
      <x:c r="K200" s="268" t="n">
        <x:f>FASE1!P200</x:f>
        <x:v>0</x:v>
      </x:c>
      <x:c r="L200" s="268" t="n">
        <x:f>FASE1!V200</x:f>
        <x:v>0</x:v>
      </x:c>
      <x:c r="M200" s="268" t="n">
        <x:f>AVERAGE(FASE2!F200:G200)</x:f>
        <x:v>0</x:v>
      </x:c>
      <x:c r="N200" s="268" t="n">
        <x:f>AVERAGE(FASE2!O200:P200,FASE2!S200)</x:f>
        <x:v>0</x:v>
      </x:c>
      <x:c r="O200" s="268" t="n">
        <x:f>FASE4!K200</x:f>
        <x:v>0</x:v>
      </x:c>
      <x:c r="P200" s="268" t="n">
        <x:f>FASE2!N200</x:f>
        <x:v>0</x:v>
      </x:c>
      <x:c r="Q200" s="268" t="n">
        <x:f>FASE3!P200</x:f>
        <x:v>0</x:v>
      </x:c>
      <x:c r="R200" s="268" t="n">
        <x:f>FASE3!N200</x:f>
        <x:v>0</x:v>
      </x:c>
      <x:c r="S200" s="268" t="n">
        <x:f>AVERAGE(FASE3!Q200,FASE3!R200,FASE3!T200,FASE3!S200)</x:f>
        <x:v>0</x:v>
      </x:c>
      <x:c r="T200" s="268" t="n">
        <x:f>AVERAGE(FASE3!U200,FASE3!V200,FASE3!W200)</x:f>
        <x:v>0</x:v>
      </x:c>
      <x:c r="U200" s="268" t="n">
        <x:f>FASE3!Y200</x:f>
        <x:v>0</x:v>
      </x:c>
      <x:c r="V200" s="268" t="n">
        <x:f>FASE3!X200</x:f>
        <x:v>0</x:v>
      </x:c>
      <x:c r="W200" s="268" t="n">
        <x:f>FASE4!M200</x:f>
        <x:v>0</x:v>
      </x:c>
      <x:c r="X200" s="268">
        <x:f t="shared" si="3"/>
        <x:v>0</x:v>
      </x:c>
      <x:c r="Y200" s="2"/>
    </x:row>
    <x:row r="201" ht="15.75">
      <x:c r="B201">
        <x:v>6</x:v>
      </x:c>
      <x:c r="C201" t="s">
        <x:v>116</x:v>
      </x:c>
      <x:c r="D201" s="243">
        <x:v>609</x:v>
      </x:c>
      <x:c r="E201" s="268" t="n">
        <x:f>FASE1!G201</x:f>
        <x:v>0</x:v>
      </x:c>
      <x:c r="F201" s="268" t="n">
        <x:f>FASE1!M201</x:f>
        <x:v>0</x:v>
      </x:c>
      <x:c r="G201" s="268" t="n">
        <x:f>FASE1!L201</x:f>
        <x:v>0</x:v>
      </x:c>
      <x:c r="H201" s="268" t="n">
        <x:f>FASE1!R201</x:f>
        <x:v>0</x:v>
      </x:c>
      <x:c r="I201" s="268" t="n">
        <x:f>FASE1!U201</x:f>
        <x:v>0</x:v>
      </x:c>
      <x:c r="J201" s="268" t="n">
        <x:f>FASE1!U201</x:f>
        <x:v>0</x:v>
      </x:c>
      <x:c r="K201" s="268" t="n">
        <x:f>FASE1!P201</x:f>
        <x:v>0</x:v>
      </x:c>
      <x:c r="L201" s="268" t="n">
        <x:f>FASE1!V201</x:f>
        <x:v>0</x:v>
      </x:c>
      <x:c r="M201" s="268" t="n">
        <x:f>AVERAGE(FASE2!F201:G201)</x:f>
        <x:v>0</x:v>
      </x:c>
      <x:c r="N201" s="268" t="n">
        <x:f>AVERAGE(FASE2!O201:P201,FASE2!S201)</x:f>
        <x:v>0</x:v>
      </x:c>
      <x:c r="O201" s="268" t="n">
        <x:f>FASE4!K201</x:f>
        <x:v>0</x:v>
      </x:c>
      <x:c r="P201" s="268" t="n">
        <x:f>FASE2!N201</x:f>
        <x:v>0</x:v>
      </x:c>
      <x:c r="Q201" s="268" t="n">
        <x:f>FASE3!P201</x:f>
        <x:v>0</x:v>
      </x:c>
      <x:c r="R201" s="268" t="n">
        <x:f>FASE3!N201</x:f>
        <x:v>0</x:v>
      </x:c>
      <x:c r="S201" s="268" t="n">
        <x:f>AVERAGE(FASE3!Q201,FASE3!R201,FASE3!T201,FASE3!S201)</x:f>
        <x:v>0</x:v>
      </x:c>
      <x:c r="T201" s="268" t="n">
        <x:f>AVERAGE(FASE3!U201,FASE3!V201,FASE3!W201)</x:f>
        <x:v>0</x:v>
      </x:c>
      <x:c r="U201" s="268" t="n">
        <x:f>FASE3!Y201</x:f>
        <x:v>0</x:v>
      </x:c>
      <x:c r="V201" s="268" t="n">
        <x:f>FASE3!X201</x:f>
        <x:v>0</x:v>
      </x:c>
      <x:c r="W201" s="268" t="n">
        <x:f>FASE4!M201</x:f>
        <x:v>0</x:v>
      </x:c>
      <x:c r="X201" s="268">
        <x:f t="shared" si="3"/>
        <x:v>0</x:v>
      </x:c>
      <x:c r="Y201" s="2"/>
    </x:row>
    <x:row r="202" ht="15.75">
      <x:c r="B202">
        <x:v>6</x:v>
      </x:c>
      <x:c r="C202" t="s">
        <x:v>116</x:v>
      </x:c>
      <x:c r="D202" s="243">
        <x:v>610</x:v>
      </x:c>
      <x:c r="E202" s="268" t="n">
        <x:f>FASE1!G202</x:f>
        <x:v>0</x:v>
      </x:c>
      <x:c r="F202" s="268" t="n">
        <x:f>FASE1!M202</x:f>
        <x:v>0</x:v>
      </x:c>
      <x:c r="G202" s="268" t="n">
        <x:f>FASE1!L202</x:f>
        <x:v>0</x:v>
      </x:c>
      <x:c r="H202" s="268" t="n">
        <x:f>FASE1!R202</x:f>
        <x:v>0</x:v>
      </x:c>
      <x:c r="I202" s="268" t="n">
        <x:f>FASE1!U202</x:f>
        <x:v>0</x:v>
      </x:c>
      <x:c r="J202" s="268" t="n">
        <x:f>FASE1!U202</x:f>
        <x:v>0</x:v>
      </x:c>
      <x:c r="K202" s="268" t="n">
        <x:f>FASE1!P202</x:f>
        <x:v>0</x:v>
      </x:c>
      <x:c r="L202" s="268" t="n">
        <x:f>FASE1!V202</x:f>
        <x:v>0</x:v>
      </x:c>
      <x:c r="M202" s="268" t="n">
        <x:f>AVERAGE(FASE2!F202:G202)</x:f>
        <x:v>0</x:v>
      </x:c>
      <x:c r="N202" s="268" t="n">
        <x:f>AVERAGE(FASE2!O202:P202,FASE2!S202)</x:f>
        <x:v>0</x:v>
      </x:c>
      <x:c r="O202" s="268" t="n">
        <x:f>FASE4!K202</x:f>
        <x:v>0</x:v>
      </x:c>
      <x:c r="P202" s="268" t="n">
        <x:f>FASE2!N202</x:f>
        <x:v>0</x:v>
      </x:c>
      <x:c r="Q202" s="268" t="n">
        <x:f>FASE3!P202</x:f>
        <x:v>0</x:v>
      </x:c>
      <x:c r="R202" s="268" t="n">
        <x:f>FASE3!N202</x:f>
        <x:v>0</x:v>
      </x:c>
      <x:c r="S202" s="268" t="n">
        <x:f>AVERAGE(FASE3!Q202,FASE3!R202,FASE3!T202,FASE3!S202)</x:f>
        <x:v>0</x:v>
      </x:c>
      <x:c r="T202" s="268" t="n">
        <x:f>AVERAGE(FASE3!U202,FASE3!V202,FASE3!W202)</x:f>
        <x:v>0</x:v>
      </x:c>
      <x:c r="U202" s="268" t="n">
        <x:f>FASE3!Y202</x:f>
        <x:v>0</x:v>
      </x:c>
      <x:c r="V202" s="268" t="n">
        <x:f>FASE3!X202</x:f>
        <x:v>0</x:v>
      </x:c>
      <x:c r="W202" s="268" t="n">
        <x:f>FASE4!M202</x:f>
        <x:v>0</x:v>
      </x:c>
      <x:c r="X202" s="268">
        <x:f t="shared" si="3"/>
        <x:v>0</x:v>
      </x:c>
      <x:c r="Y202" s="2"/>
    </x:row>
    <x:row r="203" ht="15.75">
      <x:c r="B203">
        <x:v>6</x:v>
      </x:c>
      <x:c r="C203" t="s">
        <x:v>116</x:v>
      </x:c>
      <x:c r="D203" s="243">
        <x:v>611</x:v>
      </x:c>
      <x:c r="E203" s="268" t="n">
        <x:f>FASE1!G203</x:f>
        <x:v>0</x:v>
      </x:c>
      <x:c r="F203" s="268" t="n">
        <x:f>FASE1!M203</x:f>
        <x:v>0</x:v>
      </x:c>
      <x:c r="G203" s="268" t="n">
        <x:f>FASE1!L203</x:f>
        <x:v>0</x:v>
      </x:c>
      <x:c r="H203" s="268" t="n">
        <x:f>FASE1!R203</x:f>
        <x:v>0</x:v>
      </x:c>
      <x:c r="I203" s="268" t="n">
        <x:f>FASE1!U203</x:f>
        <x:v>0</x:v>
      </x:c>
      <x:c r="J203" s="268" t="n">
        <x:f>FASE1!U203</x:f>
        <x:v>0</x:v>
      </x:c>
      <x:c r="K203" s="268" t="n">
        <x:f>FASE1!P203</x:f>
        <x:v>0</x:v>
      </x:c>
      <x:c r="L203" s="268" t="n">
        <x:f>FASE1!V203</x:f>
        <x:v>0</x:v>
      </x:c>
      <x:c r="M203" s="268" t="n">
        <x:f>AVERAGE(FASE2!F203:G203)</x:f>
        <x:v>0</x:v>
      </x:c>
      <x:c r="N203" s="268" t="n">
        <x:f>AVERAGE(FASE2!O203:P203,FASE2!S203)</x:f>
        <x:v>0</x:v>
      </x:c>
      <x:c r="O203" s="268" t="n">
        <x:f>FASE4!K203</x:f>
        <x:v>0</x:v>
      </x:c>
      <x:c r="P203" s="268" t="n">
        <x:f>FASE2!N203</x:f>
        <x:v>0</x:v>
      </x:c>
      <x:c r="Q203" s="268" t="n">
        <x:f>FASE3!P203</x:f>
        <x:v>0</x:v>
      </x:c>
      <x:c r="R203" s="268" t="n">
        <x:f>FASE3!N203</x:f>
        <x:v>0</x:v>
      </x:c>
      <x:c r="S203" s="268" t="n">
        <x:f>AVERAGE(FASE3!Q203,FASE3!R203,FASE3!T203,FASE3!S203)</x:f>
        <x:v>0</x:v>
      </x:c>
      <x:c r="T203" s="268" t="n">
        <x:f>AVERAGE(FASE3!U203,FASE3!V203,FASE3!W203)</x:f>
        <x:v>0</x:v>
      </x:c>
      <x:c r="U203" s="268" t="n">
        <x:f>FASE3!Y203</x:f>
        <x:v>0</x:v>
      </x:c>
      <x:c r="V203" s="268" t="n">
        <x:f>FASE3!X203</x:f>
        <x:v>0</x:v>
      </x:c>
      <x:c r="W203" s="268" t="n">
        <x:f>FASE4!M203</x:f>
        <x:v>0</x:v>
      </x:c>
      <x:c r="X203" s="268">
        <x:f t="shared" si="3"/>
        <x:v>0</x:v>
      </x:c>
      <x:c r="Y203" s="2"/>
    </x:row>
    <x:row r="204" ht="15.75">
      <x:c r="B204">
        <x:v>6</x:v>
      </x:c>
      <x:c r="C204" t="s">
        <x:v>116</x:v>
      </x:c>
      <x:c r="D204" s="243">
        <x:v>612</x:v>
      </x:c>
      <x:c r="E204" s="268" t="n">
        <x:f>FASE1!G204</x:f>
        <x:v>0</x:v>
      </x:c>
      <x:c r="F204" s="268" t="n">
        <x:f>FASE1!M204</x:f>
        <x:v>0</x:v>
      </x:c>
      <x:c r="G204" s="268" t="n">
        <x:f>FASE1!L204</x:f>
        <x:v>0</x:v>
      </x:c>
      <x:c r="H204" s="268" t="n">
        <x:f>FASE1!R204</x:f>
        <x:v>0</x:v>
      </x:c>
      <x:c r="I204" s="268" t="n">
        <x:f>FASE1!U204</x:f>
        <x:v>0</x:v>
      </x:c>
      <x:c r="J204" s="268" t="n">
        <x:f>FASE1!U204</x:f>
        <x:v>0</x:v>
      </x:c>
      <x:c r="K204" s="268" t="n">
        <x:f>FASE1!P204</x:f>
        <x:v>0</x:v>
      </x:c>
      <x:c r="L204" s="268" t="n">
        <x:f>FASE1!V204</x:f>
        <x:v>0</x:v>
      </x:c>
      <x:c r="M204" s="268" t="n">
        <x:f>AVERAGE(FASE2!F204:G204)</x:f>
        <x:v>0</x:v>
      </x:c>
      <x:c r="N204" s="268" t="n">
        <x:f>AVERAGE(FASE2!O204:P204,FASE2!S204)</x:f>
        <x:v>0</x:v>
      </x:c>
      <x:c r="O204" s="268" t="n">
        <x:f>FASE4!K204</x:f>
        <x:v>0</x:v>
      </x:c>
      <x:c r="P204" s="268" t="n">
        <x:f>FASE2!N204</x:f>
        <x:v>0</x:v>
      </x:c>
      <x:c r="Q204" s="268" t="n">
        <x:f>FASE3!P204</x:f>
        <x:v>0</x:v>
      </x:c>
      <x:c r="R204" s="268" t="n">
        <x:f>FASE3!N204</x:f>
        <x:v>0</x:v>
      </x:c>
      <x:c r="S204" s="268" t="n">
        <x:f>AVERAGE(FASE3!Q204,FASE3!R204,FASE3!T204,FASE3!S204)</x:f>
        <x:v>0</x:v>
      </x:c>
      <x:c r="T204" s="268" t="n">
        <x:f>AVERAGE(FASE3!U204,FASE3!V204,FASE3!W204)</x:f>
        <x:v>0</x:v>
      </x:c>
      <x:c r="U204" s="268" t="n">
        <x:f>FASE3!Y204</x:f>
        <x:v>0</x:v>
      </x:c>
      <x:c r="V204" s="268" t="n">
        <x:f>FASE3!X204</x:f>
        <x:v>0</x:v>
      </x:c>
      <x:c r="W204" s="268" t="n">
        <x:f>FASE4!M204</x:f>
        <x:v>0</x:v>
      </x:c>
      <x:c r="X204" s="268">
        <x:f t="shared" si="3"/>
        <x:v>0</x:v>
      </x:c>
      <x:c r="Y204" s="2"/>
    </x:row>
    <x:row r="205" ht="15.75">
      <x:c r="B205">
        <x:v>6</x:v>
      </x:c>
      <x:c r="C205" t="s">
        <x:v>116</x:v>
      </x:c>
      <x:c r="D205" s="243">
        <x:v>613</x:v>
      </x:c>
      <x:c r="E205" s="268" t="n">
        <x:f>FASE1!G205</x:f>
        <x:v>0</x:v>
      </x:c>
      <x:c r="F205" s="268" t="n">
        <x:f>FASE1!M205</x:f>
        <x:v>0</x:v>
      </x:c>
      <x:c r="G205" s="268" t="n">
        <x:f>FASE1!L205</x:f>
        <x:v>0</x:v>
      </x:c>
      <x:c r="H205" s="268" t="n">
        <x:f>FASE1!R205</x:f>
        <x:v>0</x:v>
      </x:c>
      <x:c r="I205" s="268" t="n">
        <x:f>FASE1!U205</x:f>
        <x:v>0</x:v>
      </x:c>
      <x:c r="J205" s="268" t="n">
        <x:f>FASE1!U205</x:f>
        <x:v>0</x:v>
      </x:c>
      <x:c r="K205" s="268" t="n">
        <x:f>FASE1!P205</x:f>
        <x:v>0</x:v>
      </x:c>
      <x:c r="L205" s="268" t="n">
        <x:f>FASE1!V205</x:f>
        <x:v>0</x:v>
      </x:c>
      <x:c r="M205" s="268" t="n">
        <x:f>AVERAGE(FASE2!F205:G205)</x:f>
        <x:v>0</x:v>
      </x:c>
      <x:c r="N205" s="268" t="n">
        <x:f>AVERAGE(FASE2!O205:P205,FASE2!S205)</x:f>
        <x:v>0</x:v>
      </x:c>
      <x:c r="O205" s="268" t="n">
        <x:f>FASE4!K205</x:f>
        <x:v>0</x:v>
      </x:c>
      <x:c r="P205" s="268" t="n">
        <x:f>FASE2!N205</x:f>
        <x:v>0</x:v>
      </x:c>
      <x:c r="Q205" s="268" t="n">
        <x:f>FASE3!P205</x:f>
        <x:v>0</x:v>
      </x:c>
      <x:c r="R205" s="268" t="n">
        <x:f>FASE3!N205</x:f>
        <x:v>0</x:v>
      </x:c>
      <x:c r="S205" s="268" t="n">
        <x:f>AVERAGE(FASE3!Q205,FASE3!R205,FASE3!T205,FASE3!S205)</x:f>
        <x:v>0</x:v>
      </x:c>
      <x:c r="T205" s="268" t="n">
        <x:f>AVERAGE(FASE3!U205,FASE3!V205,FASE3!W205)</x:f>
        <x:v>0</x:v>
      </x:c>
      <x:c r="U205" s="268" t="n">
        <x:f>FASE3!Y205</x:f>
        <x:v>0</x:v>
      </x:c>
      <x:c r="V205" s="268" t="n">
        <x:f>FASE3!X205</x:f>
        <x:v>0</x:v>
      </x:c>
      <x:c r="W205" s="268" t="n">
        <x:f>FASE4!M205</x:f>
        <x:v>0</x:v>
      </x:c>
      <x:c r="X205" s="268">
        <x:f t="shared" si="3"/>
        <x:v>0</x:v>
      </x:c>
      <x:c r="Y205" s="2"/>
    </x:row>
    <x:row r="206" ht="15.75">
      <x:c r="B206">
        <x:v>6</x:v>
      </x:c>
      <x:c r="C206" t="s">
        <x:v>116</x:v>
      </x:c>
      <x:c r="D206" s="243">
        <x:v>614</x:v>
      </x:c>
      <x:c r="E206" s="268" t="n">
        <x:f>FASE1!G206</x:f>
        <x:v>0</x:v>
      </x:c>
      <x:c r="F206" s="268" t="n">
        <x:f>FASE1!M206</x:f>
        <x:v>0</x:v>
      </x:c>
      <x:c r="G206" s="268" t="n">
        <x:f>FASE1!L206</x:f>
        <x:v>0</x:v>
      </x:c>
      <x:c r="H206" s="268" t="n">
        <x:f>FASE1!R206</x:f>
        <x:v>0</x:v>
      </x:c>
      <x:c r="I206" s="268" t="n">
        <x:f>FASE1!U206</x:f>
        <x:v>0</x:v>
      </x:c>
      <x:c r="J206" s="268" t="n">
        <x:f>FASE1!U206</x:f>
        <x:v>0</x:v>
      </x:c>
      <x:c r="K206" s="268" t="n">
        <x:f>FASE1!P206</x:f>
        <x:v>0</x:v>
      </x:c>
      <x:c r="L206" s="268" t="n">
        <x:f>FASE1!V206</x:f>
        <x:v>0</x:v>
      </x:c>
      <x:c r="M206" s="268" t="n">
        <x:f>AVERAGE(FASE2!F206:G206)</x:f>
        <x:v>0</x:v>
      </x:c>
      <x:c r="N206" s="268" t="n">
        <x:f>AVERAGE(FASE2!O206:P206,FASE2!S206)</x:f>
        <x:v>0</x:v>
      </x:c>
      <x:c r="O206" s="268" t="n">
        <x:f>FASE4!K206</x:f>
        <x:v>0</x:v>
      </x:c>
      <x:c r="P206" s="268" t="n">
        <x:f>FASE2!N206</x:f>
        <x:v>0</x:v>
      </x:c>
      <x:c r="Q206" s="268" t="n">
        <x:f>FASE3!P206</x:f>
        <x:v>0</x:v>
      </x:c>
      <x:c r="R206" s="268" t="n">
        <x:f>FASE3!N206</x:f>
        <x:v>0</x:v>
      </x:c>
      <x:c r="S206" s="268" t="n">
        <x:f>AVERAGE(FASE3!Q206,FASE3!R206,FASE3!T206,FASE3!S206)</x:f>
        <x:v>0</x:v>
      </x:c>
      <x:c r="T206" s="268" t="n">
        <x:f>AVERAGE(FASE3!U206,FASE3!V206,FASE3!W206)</x:f>
        <x:v>0</x:v>
      </x:c>
      <x:c r="U206" s="268" t="n">
        <x:f>FASE3!Y206</x:f>
        <x:v>0</x:v>
      </x:c>
      <x:c r="V206" s="268" t="n">
        <x:f>FASE3!X206</x:f>
        <x:v>0</x:v>
      </x:c>
      <x:c r="W206" s="268" t="n">
        <x:f>FASE4!M206</x:f>
        <x:v>0</x:v>
      </x:c>
      <x:c r="X206" s="268">
        <x:f t="shared" si="3"/>
        <x:v>0</x:v>
      </x:c>
      <x:c r="Y206" s="2"/>
    </x:row>
    <x:row r="207" ht="15.75">
      <x:c r="B207">
        <x:v>6</x:v>
      </x:c>
      <x:c r="C207" t="s">
        <x:v>116</x:v>
      </x:c>
      <x:c r="D207" s="243">
        <x:v>615</x:v>
      </x:c>
      <x:c r="E207" s="268" t="n">
        <x:f>FASE1!G207</x:f>
        <x:v>0</x:v>
      </x:c>
      <x:c r="F207" s="268" t="n">
        <x:f>FASE1!M207</x:f>
        <x:v>0</x:v>
      </x:c>
      <x:c r="G207" s="268" t="n">
        <x:f>FASE1!L207</x:f>
        <x:v>0</x:v>
      </x:c>
      <x:c r="H207" s="268" t="n">
        <x:f>FASE1!R207</x:f>
        <x:v>0</x:v>
      </x:c>
      <x:c r="I207" s="268" t="n">
        <x:f>FASE1!U207</x:f>
        <x:v>0</x:v>
      </x:c>
      <x:c r="J207" s="268" t="n">
        <x:f>FASE1!U207</x:f>
        <x:v>0</x:v>
      </x:c>
      <x:c r="K207" s="268" t="n">
        <x:f>FASE1!P207</x:f>
        <x:v>0</x:v>
      </x:c>
      <x:c r="L207" s="268" t="n">
        <x:f>FASE1!V207</x:f>
        <x:v>0</x:v>
      </x:c>
      <x:c r="M207" s="268" t="n">
        <x:f>AVERAGE(FASE2!F207:G207)</x:f>
        <x:v>0</x:v>
      </x:c>
      <x:c r="N207" s="268" t="n">
        <x:f>AVERAGE(FASE2!O207:P207,FASE2!S207)</x:f>
        <x:v>0</x:v>
      </x:c>
      <x:c r="O207" s="268" t="n">
        <x:f>FASE4!K207</x:f>
        <x:v>0</x:v>
      </x:c>
      <x:c r="P207" s="268" t="n">
        <x:f>FASE2!N207</x:f>
        <x:v>0</x:v>
      </x:c>
      <x:c r="Q207" s="268" t="n">
        <x:f>FASE3!P207</x:f>
        <x:v>0</x:v>
      </x:c>
      <x:c r="R207" s="268" t="n">
        <x:f>FASE3!N207</x:f>
        <x:v>0</x:v>
      </x:c>
      <x:c r="S207" s="268" t="n">
        <x:f>AVERAGE(FASE3!Q207,FASE3!R207,FASE3!T207,FASE3!S207)</x:f>
        <x:v>0</x:v>
      </x:c>
      <x:c r="T207" s="268" t="n">
        <x:f>AVERAGE(FASE3!U207,FASE3!V207,FASE3!W207)</x:f>
        <x:v>0</x:v>
      </x:c>
      <x:c r="U207" s="268" t="n">
        <x:f>FASE3!Y207</x:f>
        <x:v>0</x:v>
      </x:c>
      <x:c r="V207" s="268" t="n">
        <x:f>FASE3!X207</x:f>
        <x:v>0</x:v>
      </x:c>
      <x:c r="W207" s="268" t="n">
        <x:f>FASE4!M207</x:f>
        <x:v>0</x:v>
      </x:c>
      <x:c r="X207" s="268">
        <x:f t="shared" si="3"/>
        <x:v>0</x:v>
      </x:c>
      <x:c r="Y207" s="2"/>
    </x:row>
    <x:row r="208" ht="15.75">
      <x:c r="B208">
        <x:v>6</x:v>
      </x:c>
      <x:c r="C208" t="s">
        <x:v>116</x:v>
      </x:c>
      <x:c r="D208" s="243">
        <x:v>616</x:v>
      </x:c>
      <x:c r="E208" s="268" t="n">
        <x:f>FASE1!G208</x:f>
        <x:v>0</x:v>
      </x:c>
      <x:c r="F208" s="268" t="n">
        <x:f>FASE1!M208</x:f>
        <x:v>0</x:v>
      </x:c>
      <x:c r="G208" s="268" t="n">
        <x:f>FASE1!L208</x:f>
        <x:v>0</x:v>
      </x:c>
      <x:c r="H208" s="268" t="n">
        <x:f>FASE1!R208</x:f>
        <x:v>0</x:v>
      </x:c>
      <x:c r="I208" s="268" t="n">
        <x:f>FASE1!U208</x:f>
        <x:v>0</x:v>
      </x:c>
      <x:c r="J208" s="268" t="n">
        <x:f>FASE1!U208</x:f>
        <x:v>0</x:v>
      </x:c>
      <x:c r="K208" s="268" t="n">
        <x:f>FASE1!P208</x:f>
        <x:v>0</x:v>
      </x:c>
      <x:c r="L208" s="268" t="n">
        <x:f>FASE1!V208</x:f>
        <x:v>0</x:v>
      </x:c>
      <x:c r="M208" s="268" t="n">
        <x:f>AVERAGE(FASE2!F208:G208)</x:f>
        <x:v>0</x:v>
      </x:c>
      <x:c r="N208" s="268" t="n">
        <x:f>AVERAGE(FASE2!O208:P208,FASE2!S208)</x:f>
        <x:v>0</x:v>
      </x:c>
      <x:c r="O208" s="268" t="n">
        <x:f>FASE4!K208</x:f>
        <x:v>0</x:v>
      </x:c>
      <x:c r="P208" s="268" t="n">
        <x:f>FASE2!N208</x:f>
        <x:v>0</x:v>
      </x:c>
      <x:c r="Q208" s="268" t="n">
        <x:f>FASE3!P208</x:f>
        <x:v>0</x:v>
      </x:c>
      <x:c r="R208" s="268" t="n">
        <x:f>FASE3!N208</x:f>
        <x:v>0</x:v>
      </x:c>
      <x:c r="S208" s="268" t="n">
        <x:f>AVERAGE(FASE3!Q208,FASE3!R208,FASE3!T208,FASE3!S208)</x:f>
        <x:v>0</x:v>
      </x:c>
      <x:c r="T208" s="268" t="n">
        <x:f>AVERAGE(FASE3!U208,FASE3!V208,FASE3!W208)</x:f>
        <x:v>0</x:v>
      </x:c>
      <x:c r="U208" s="268" t="n">
        <x:f>FASE3!Y208</x:f>
        <x:v>0</x:v>
      </x:c>
      <x:c r="V208" s="268" t="n">
        <x:f>FASE3!X208</x:f>
        <x:v>0</x:v>
      </x:c>
      <x:c r="W208" s="268" t="n">
        <x:f>FASE4!M208</x:f>
        <x:v>0</x:v>
      </x:c>
      <x:c r="X208" s="268">
        <x:f t="shared" si="3"/>
        <x:v>0</x:v>
      </x:c>
      <x:c r="Y208" s="2"/>
    </x:row>
    <x:row r="209" ht="15.75">
      <x:c r="B209">
        <x:v>6</x:v>
      </x:c>
      <x:c r="C209" t="s">
        <x:v>116</x:v>
      </x:c>
      <x:c r="D209" s="243">
        <x:v>617</x:v>
      </x:c>
      <x:c r="E209" s="268" t="n">
        <x:f>FASE1!G209</x:f>
        <x:v>0</x:v>
      </x:c>
      <x:c r="F209" s="268" t="n">
        <x:f>FASE1!M209</x:f>
        <x:v>0</x:v>
      </x:c>
      <x:c r="G209" s="268" t="n">
        <x:f>FASE1!L209</x:f>
        <x:v>0</x:v>
      </x:c>
      <x:c r="H209" s="268" t="n">
        <x:f>FASE1!R209</x:f>
        <x:v>0</x:v>
      </x:c>
      <x:c r="I209" s="268" t="n">
        <x:f>FASE1!U209</x:f>
        <x:v>0</x:v>
      </x:c>
      <x:c r="J209" s="268" t="n">
        <x:f>FASE1!U209</x:f>
        <x:v>0</x:v>
      </x:c>
      <x:c r="K209" s="268" t="n">
        <x:f>FASE1!P209</x:f>
        <x:v>0</x:v>
      </x:c>
      <x:c r="L209" s="268" t="n">
        <x:f>FASE1!V209</x:f>
        <x:v>0</x:v>
      </x:c>
      <x:c r="M209" s="268" t="n">
        <x:f>AVERAGE(FASE2!F209:G209)</x:f>
        <x:v>0</x:v>
      </x:c>
      <x:c r="N209" s="268" t="n">
        <x:f>AVERAGE(FASE2!O209:P209,FASE2!S209)</x:f>
        <x:v>0</x:v>
      </x:c>
      <x:c r="O209" s="268" t="n">
        <x:f>FASE4!K209</x:f>
        <x:v>0</x:v>
      </x:c>
      <x:c r="P209" s="268" t="n">
        <x:f>FASE2!N209</x:f>
        <x:v>0</x:v>
      </x:c>
      <x:c r="Q209" s="268" t="n">
        <x:f>FASE3!P209</x:f>
        <x:v>0</x:v>
      </x:c>
      <x:c r="R209" s="268" t="n">
        <x:f>FASE3!N209</x:f>
        <x:v>0</x:v>
      </x:c>
      <x:c r="S209" s="268" t="n">
        <x:f>AVERAGE(FASE3!Q209,FASE3!R209,FASE3!T209,FASE3!S209)</x:f>
        <x:v>0</x:v>
      </x:c>
      <x:c r="T209" s="268" t="n">
        <x:f>AVERAGE(FASE3!U209,FASE3!V209,FASE3!W209)</x:f>
        <x:v>0</x:v>
      </x:c>
      <x:c r="U209" s="268" t="n">
        <x:f>FASE3!Y209</x:f>
        <x:v>0</x:v>
      </x:c>
      <x:c r="V209" s="268" t="n">
        <x:f>FASE3!X209</x:f>
        <x:v>0</x:v>
      </x:c>
      <x:c r="W209" s="268" t="n">
        <x:f>FASE4!M209</x:f>
        <x:v>0</x:v>
      </x:c>
      <x:c r="X209" s="268">
        <x:f t="shared" si="3"/>
        <x:v>0</x:v>
      </x:c>
      <x:c r="Y209" s="2"/>
    </x:row>
    <x:row r="210" ht="15.75">
      <x:c r="B210">
        <x:v>6</x:v>
      </x:c>
      <x:c r="C210" t="s">
        <x:v>116</x:v>
      </x:c>
      <x:c r="D210" s="243">
        <x:v>618</x:v>
      </x:c>
      <x:c r="E210" s="268" t="n">
        <x:f>FASE1!G210</x:f>
        <x:v>0</x:v>
      </x:c>
      <x:c r="F210" s="268" t="n">
        <x:f>FASE1!M210</x:f>
        <x:v>0</x:v>
      </x:c>
      <x:c r="G210" s="268" t="n">
        <x:f>FASE1!L210</x:f>
        <x:v>0</x:v>
      </x:c>
      <x:c r="H210" s="268" t="n">
        <x:f>FASE1!R210</x:f>
        <x:v>0</x:v>
      </x:c>
      <x:c r="I210" s="268" t="n">
        <x:f>FASE1!U210</x:f>
        <x:v>0</x:v>
      </x:c>
      <x:c r="J210" s="268" t="n">
        <x:f>FASE1!U210</x:f>
        <x:v>0</x:v>
      </x:c>
      <x:c r="K210" s="268" t="n">
        <x:f>FASE1!P210</x:f>
        <x:v>0</x:v>
      </x:c>
      <x:c r="L210" s="268" t="n">
        <x:f>FASE1!V210</x:f>
        <x:v>0</x:v>
      </x:c>
      <x:c r="M210" s="268" t="n">
        <x:f>AVERAGE(FASE2!F210:G210)</x:f>
        <x:v>0</x:v>
      </x:c>
      <x:c r="N210" s="268" t="n">
        <x:f>AVERAGE(FASE2!O210:P210,FASE2!S210)</x:f>
        <x:v>0</x:v>
      </x:c>
      <x:c r="O210" s="268" t="n">
        <x:f>FASE4!K210</x:f>
        <x:v>0</x:v>
      </x:c>
      <x:c r="P210" s="268" t="n">
        <x:f>FASE2!N210</x:f>
        <x:v>0</x:v>
      </x:c>
      <x:c r="Q210" s="268" t="n">
        <x:f>FASE3!P210</x:f>
        <x:v>0</x:v>
      </x:c>
      <x:c r="R210" s="268" t="n">
        <x:f>FASE3!N210</x:f>
        <x:v>0</x:v>
      </x:c>
      <x:c r="S210" s="268" t="n">
        <x:f>AVERAGE(FASE3!Q210,FASE3!R210,FASE3!T210,FASE3!S210)</x:f>
        <x:v>0</x:v>
      </x:c>
      <x:c r="T210" s="268" t="n">
        <x:f>AVERAGE(FASE3!U210,FASE3!V210,FASE3!W210)</x:f>
        <x:v>0</x:v>
      </x:c>
      <x:c r="U210" s="268" t="n">
        <x:f>FASE3!Y210</x:f>
        <x:v>0</x:v>
      </x:c>
      <x:c r="V210" s="268" t="n">
        <x:f>FASE3!X210</x:f>
        <x:v>0</x:v>
      </x:c>
      <x:c r="W210" s="268" t="n">
        <x:f>FASE4!M210</x:f>
        <x:v>0</x:v>
      </x:c>
      <x:c r="X210" s="268">
        <x:f t="shared" si="3"/>
        <x:v>0</x:v>
      </x:c>
      <x:c r="Y210" s="2"/>
    </x:row>
    <x:row r="211" ht="15.75">
      <x:c r="B211">
        <x:v>6</x:v>
      </x:c>
      <x:c r="C211" t="s">
        <x:v>116</x:v>
      </x:c>
      <x:c r="D211" s="243">
        <x:v>619</x:v>
      </x:c>
      <x:c r="E211" s="268" t="n">
        <x:f>FASE1!G211</x:f>
        <x:v>0</x:v>
      </x:c>
      <x:c r="F211" s="268" t="n">
        <x:f>FASE1!M211</x:f>
        <x:v>0</x:v>
      </x:c>
      <x:c r="G211" s="268" t="n">
        <x:f>FASE1!L211</x:f>
        <x:v>0</x:v>
      </x:c>
      <x:c r="H211" s="268" t="n">
        <x:f>FASE1!R211</x:f>
        <x:v>0</x:v>
      </x:c>
      <x:c r="I211" s="268" t="n">
        <x:f>FASE1!U211</x:f>
        <x:v>0</x:v>
      </x:c>
      <x:c r="J211" s="268" t="n">
        <x:f>FASE1!U211</x:f>
        <x:v>0</x:v>
      </x:c>
      <x:c r="K211" s="268" t="n">
        <x:f>FASE1!P211</x:f>
        <x:v>0</x:v>
      </x:c>
      <x:c r="L211" s="268" t="n">
        <x:f>FASE1!V211</x:f>
        <x:v>0</x:v>
      </x:c>
      <x:c r="M211" s="268" t="n">
        <x:f>AVERAGE(FASE2!F211:G211)</x:f>
        <x:v>0</x:v>
      </x:c>
      <x:c r="N211" s="268" t="n">
        <x:f>AVERAGE(FASE2!O211:P211,FASE2!S211)</x:f>
        <x:v>0</x:v>
      </x:c>
      <x:c r="O211" s="268" t="n">
        <x:f>FASE4!K211</x:f>
        <x:v>0</x:v>
      </x:c>
      <x:c r="P211" s="268" t="n">
        <x:f>FASE2!N211</x:f>
        <x:v>0</x:v>
      </x:c>
      <x:c r="Q211" s="268" t="n">
        <x:f>FASE3!P211</x:f>
        <x:v>0</x:v>
      </x:c>
      <x:c r="R211" s="268" t="n">
        <x:f>FASE3!N211</x:f>
        <x:v>0</x:v>
      </x:c>
      <x:c r="S211" s="268" t="n">
        <x:f>AVERAGE(FASE3!Q211,FASE3!R211,FASE3!T211,FASE3!S211)</x:f>
        <x:v>0</x:v>
      </x:c>
      <x:c r="T211" s="268" t="n">
        <x:f>AVERAGE(FASE3!U211,FASE3!V211,FASE3!W211)</x:f>
        <x:v>0</x:v>
      </x:c>
      <x:c r="U211" s="268" t="n">
        <x:f>FASE3!Y211</x:f>
        <x:v>0</x:v>
      </x:c>
      <x:c r="V211" s="268" t="n">
        <x:f>FASE3!X211</x:f>
        <x:v>0</x:v>
      </x:c>
      <x:c r="W211" s="268" t="n">
        <x:f>FASE4!M211</x:f>
        <x:v>0</x:v>
      </x:c>
      <x:c r="X211" s="268">
        <x:f t="shared" si="3"/>
        <x:v>0</x:v>
      </x:c>
      <x:c r="Y211" s="2"/>
    </x:row>
    <x:row r="212" ht="15.75">
      <x:c r="B212">
        <x:v>6</x:v>
      </x:c>
      <x:c r="C212" t="s">
        <x:v>116</x:v>
      </x:c>
      <x:c r="D212" s="243">
        <x:v>620</x:v>
      </x:c>
      <x:c r="E212" s="268" t="n">
        <x:f>FASE1!G212</x:f>
        <x:v>0</x:v>
      </x:c>
      <x:c r="F212" s="268" t="n">
        <x:f>FASE1!M212</x:f>
        <x:v>0</x:v>
      </x:c>
      <x:c r="G212" s="268" t="n">
        <x:f>FASE1!L212</x:f>
        <x:v>0</x:v>
      </x:c>
      <x:c r="H212" s="268" t="n">
        <x:f>FASE1!R212</x:f>
        <x:v>0</x:v>
      </x:c>
      <x:c r="I212" s="268" t="n">
        <x:f>FASE1!U212</x:f>
        <x:v>0</x:v>
      </x:c>
      <x:c r="J212" s="268" t="n">
        <x:f>FASE1!U212</x:f>
        <x:v>0</x:v>
      </x:c>
      <x:c r="K212" s="268" t="n">
        <x:f>FASE1!P212</x:f>
        <x:v>0</x:v>
      </x:c>
      <x:c r="L212" s="268" t="n">
        <x:f>FASE1!V212</x:f>
        <x:v>0</x:v>
      </x:c>
      <x:c r="M212" s="268" t="n">
        <x:f>AVERAGE(FASE2!F212:G212)</x:f>
        <x:v>0</x:v>
      </x:c>
      <x:c r="N212" s="268" t="n">
        <x:f>AVERAGE(FASE2!O212:P212,FASE2!S212)</x:f>
        <x:v>0</x:v>
      </x:c>
      <x:c r="O212" s="268" t="n">
        <x:f>FASE4!K212</x:f>
        <x:v>0</x:v>
      </x:c>
      <x:c r="P212" s="268" t="n">
        <x:f>FASE2!N212</x:f>
        <x:v>0</x:v>
      </x:c>
      <x:c r="Q212" s="268" t="n">
        <x:f>FASE3!P212</x:f>
        <x:v>0</x:v>
      </x:c>
      <x:c r="R212" s="268" t="n">
        <x:f>FASE3!N212</x:f>
        <x:v>0</x:v>
      </x:c>
      <x:c r="S212" s="268" t="n">
        <x:f>AVERAGE(FASE3!Q212,FASE3!R212,FASE3!T212,FASE3!S212)</x:f>
        <x:v>0</x:v>
      </x:c>
      <x:c r="T212" s="268" t="n">
        <x:f>AVERAGE(FASE3!U212,FASE3!V212,FASE3!W212)</x:f>
        <x:v>0</x:v>
      </x:c>
      <x:c r="U212" s="268" t="n">
        <x:f>FASE3!Y212</x:f>
        <x:v>0</x:v>
      </x:c>
      <x:c r="V212" s="268" t="n">
        <x:f>FASE3!X212</x:f>
        <x:v>0</x:v>
      </x:c>
      <x:c r="W212" s="268" t="n">
        <x:f>FASE4!M212</x:f>
        <x:v>0</x:v>
      </x:c>
      <x:c r="X212" s="268">
        <x:f t="shared" si="3"/>
        <x:v>0</x:v>
      </x:c>
      <x:c r="Y212" s="2"/>
    </x:row>
    <x:row r="213" ht="15.75">
      <x:c r="B213">
        <x:v>6</x:v>
      </x:c>
      <x:c r="C213" t="s">
        <x:v>116</x:v>
      </x:c>
      <x:c r="D213" s="243">
        <x:v>621</x:v>
      </x:c>
      <x:c r="E213" s="268" t="n">
        <x:f>FASE1!G213</x:f>
        <x:v>0</x:v>
      </x:c>
      <x:c r="F213" s="268" t="n">
        <x:f>FASE1!M213</x:f>
        <x:v>0</x:v>
      </x:c>
      <x:c r="G213" s="268" t="n">
        <x:f>FASE1!L213</x:f>
        <x:v>0</x:v>
      </x:c>
      <x:c r="H213" s="268" t="n">
        <x:f>FASE1!R213</x:f>
        <x:v>0</x:v>
      </x:c>
      <x:c r="I213" s="268" t="n">
        <x:f>FASE1!U213</x:f>
        <x:v>0</x:v>
      </x:c>
      <x:c r="J213" s="268" t="n">
        <x:f>FASE1!U213</x:f>
        <x:v>0</x:v>
      </x:c>
      <x:c r="K213" s="268" t="n">
        <x:f>FASE1!P213</x:f>
        <x:v>0</x:v>
      </x:c>
      <x:c r="L213" s="268" t="n">
        <x:f>FASE1!V213</x:f>
        <x:v>0</x:v>
      </x:c>
      <x:c r="M213" s="268" t="n">
        <x:f>AVERAGE(FASE2!F213:G213)</x:f>
        <x:v>0</x:v>
      </x:c>
      <x:c r="N213" s="268" t="n">
        <x:f>AVERAGE(FASE2!O213:P213,FASE2!S213)</x:f>
        <x:v>0</x:v>
      </x:c>
      <x:c r="O213" s="268" t="n">
        <x:f>FASE4!K213</x:f>
        <x:v>0</x:v>
      </x:c>
      <x:c r="P213" s="268" t="n">
        <x:f>FASE2!N213</x:f>
        <x:v>0</x:v>
      </x:c>
      <x:c r="Q213" s="268" t="n">
        <x:f>FASE3!P213</x:f>
        <x:v>0</x:v>
      </x:c>
      <x:c r="R213" s="268" t="n">
        <x:f>FASE3!N213</x:f>
        <x:v>0</x:v>
      </x:c>
      <x:c r="S213" s="268" t="n">
        <x:f>AVERAGE(FASE3!Q213,FASE3!R213,FASE3!T213,FASE3!S213)</x:f>
        <x:v>0</x:v>
      </x:c>
      <x:c r="T213" s="268" t="n">
        <x:f>AVERAGE(FASE3!U213,FASE3!V213,FASE3!W213)</x:f>
        <x:v>0</x:v>
      </x:c>
      <x:c r="U213" s="268" t="n">
        <x:f>FASE3!Y213</x:f>
        <x:v>0</x:v>
      </x:c>
      <x:c r="V213" s="268" t="n">
        <x:f>FASE3!X213</x:f>
        <x:v>0</x:v>
      </x:c>
      <x:c r="W213" s="268" t="n">
        <x:f>FASE4!M213</x:f>
        <x:v>0</x:v>
      </x:c>
      <x:c r="X213" s="268">
        <x:f t="shared" si="3"/>
        <x:v>0</x:v>
      </x:c>
      <x:c r="Y213" s="2"/>
    </x:row>
    <x:row r="214" ht="15.75">
      <x:c r="B214">
        <x:v>6</x:v>
      </x:c>
      <x:c r="C214" t="s">
        <x:v>116</x:v>
      </x:c>
      <x:c r="D214" s="243">
        <x:v>622</x:v>
      </x:c>
      <x:c r="E214" s="268" t="n">
        <x:f>FASE1!G214</x:f>
        <x:v>0</x:v>
      </x:c>
      <x:c r="F214" s="268" t="n">
        <x:f>FASE1!M214</x:f>
        <x:v>0</x:v>
      </x:c>
      <x:c r="G214" s="268" t="n">
        <x:f>FASE1!L214</x:f>
        <x:v>0</x:v>
      </x:c>
      <x:c r="H214" s="268" t="n">
        <x:f>FASE1!R214</x:f>
        <x:v>0</x:v>
      </x:c>
      <x:c r="I214" s="268" t="n">
        <x:f>FASE1!U214</x:f>
        <x:v>0</x:v>
      </x:c>
      <x:c r="J214" s="268" t="n">
        <x:f>FASE1!U214</x:f>
        <x:v>0</x:v>
      </x:c>
      <x:c r="K214" s="268" t="n">
        <x:f>FASE1!P214</x:f>
        <x:v>0</x:v>
      </x:c>
      <x:c r="L214" s="268" t="n">
        <x:f>FASE1!V214</x:f>
        <x:v>0</x:v>
      </x:c>
      <x:c r="M214" s="268" t="n">
        <x:f>AVERAGE(FASE2!F214:G214)</x:f>
        <x:v>0</x:v>
      </x:c>
      <x:c r="N214" s="268" t="n">
        <x:f>AVERAGE(FASE2!O214:P214,FASE2!S214)</x:f>
        <x:v>0</x:v>
      </x:c>
      <x:c r="O214" s="268" t="n">
        <x:f>FASE4!K214</x:f>
        <x:v>0</x:v>
      </x:c>
      <x:c r="P214" s="268" t="n">
        <x:f>FASE2!N214</x:f>
        <x:v>0</x:v>
      </x:c>
      <x:c r="Q214" s="268" t="n">
        <x:f>FASE3!P214</x:f>
        <x:v>0</x:v>
      </x:c>
      <x:c r="R214" s="268" t="n">
        <x:f>FASE3!N214</x:f>
        <x:v>0</x:v>
      </x:c>
      <x:c r="S214" s="268" t="n">
        <x:f>AVERAGE(FASE3!Q214,FASE3!R214,FASE3!T214,FASE3!S214)</x:f>
        <x:v>0</x:v>
      </x:c>
      <x:c r="T214" s="268" t="n">
        <x:f>AVERAGE(FASE3!U214,FASE3!V214,FASE3!W214)</x:f>
        <x:v>0</x:v>
      </x:c>
      <x:c r="U214" s="268" t="n">
        <x:f>FASE3!Y214</x:f>
        <x:v>0</x:v>
      </x:c>
      <x:c r="V214" s="268" t="n">
        <x:f>FASE3!X214</x:f>
        <x:v>0</x:v>
      </x:c>
      <x:c r="W214" s="268" t="n">
        <x:f>FASE4!M214</x:f>
        <x:v>0</x:v>
      </x:c>
      <x:c r="X214" s="268">
        <x:f t="shared" si="3"/>
        <x:v>0</x:v>
      </x:c>
      <x:c r="Y214" s="2"/>
    </x:row>
    <x:row r="215" ht="15.75">
      <x:c r="B215">
        <x:v>6</x:v>
      </x:c>
      <x:c r="C215" t="s">
        <x:v>116</x:v>
      </x:c>
      <x:c r="D215" s="243">
        <x:v>623</x:v>
      </x:c>
      <x:c r="E215" s="268" t="n">
        <x:f>FASE1!G215</x:f>
        <x:v>0</x:v>
      </x:c>
      <x:c r="F215" s="268" t="n">
        <x:f>FASE1!M215</x:f>
        <x:v>0</x:v>
      </x:c>
      <x:c r="G215" s="268" t="n">
        <x:f>FASE1!L215</x:f>
        <x:v>0</x:v>
      </x:c>
      <x:c r="H215" s="268" t="n">
        <x:f>FASE1!R215</x:f>
        <x:v>0</x:v>
      </x:c>
      <x:c r="I215" s="268" t="n">
        <x:f>FASE1!U215</x:f>
        <x:v>0</x:v>
      </x:c>
      <x:c r="J215" s="268" t="n">
        <x:f>FASE1!U215</x:f>
        <x:v>0</x:v>
      </x:c>
      <x:c r="K215" s="268" t="n">
        <x:f>FASE1!P215</x:f>
        <x:v>0</x:v>
      </x:c>
      <x:c r="L215" s="268" t="n">
        <x:f>FASE1!V215</x:f>
        <x:v>0</x:v>
      </x:c>
      <x:c r="M215" s="268" t="n">
        <x:f>AVERAGE(FASE2!F215:G215)</x:f>
        <x:v>0</x:v>
      </x:c>
      <x:c r="N215" s="268" t="n">
        <x:f>AVERAGE(FASE2!O215:P215,FASE2!S215)</x:f>
        <x:v>0</x:v>
      </x:c>
      <x:c r="O215" s="268" t="n">
        <x:f>FASE4!K215</x:f>
        <x:v>0</x:v>
      </x:c>
      <x:c r="P215" s="268" t="n">
        <x:f>FASE2!N215</x:f>
        <x:v>0</x:v>
      </x:c>
      <x:c r="Q215" s="268" t="n">
        <x:f>FASE3!P215</x:f>
        <x:v>0</x:v>
      </x:c>
      <x:c r="R215" s="268" t="n">
        <x:f>FASE3!N215</x:f>
        <x:v>0</x:v>
      </x:c>
      <x:c r="S215" s="268" t="n">
        <x:f>AVERAGE(FASE3!Q215,FASE3!R215,FASE3!T215,FASE3!S215)</x:f>
        <x:v>0</x:v>
      </x:c>
      <x:c r="T215" s="268" t="n">
        <x:f>AVERAGE(FASE3!U215,FASE3!V215,FASE3!W215)</x:f>
        <x:v>0</x:v>
      </x:c>
      <x:c r="U215" s="268" t="n">
        <x:f>FASE3!Y215</x:f>
        <x:v>0</x:v>
      </x:c>
      <x:c r="V215" s="268" t="n">
        <x:f>FASE3!X215</x:f>
        <x:v>0</x:v>
      </x:c>
      <x:c r="W215" s="268" t="n">
        <x:f>FASE4!M215</x:f>
        <x:v>0</x:v>
      </x:c>
      <x:c r="X215" s="268">
        <x:f t="shared" si="3"/>
        <x:v>0</x:v>
      </x:c>
      <x:c r="Y215" s="2"/>
    </x:row>
    <x:row r="216" ht="15.75">
      <x:c r="B216">
        <x:v>6</x:v>
      </x:c>
      <x:c r="C216" t="s">
        <x:v>115</x:v>
      </x:c>
      <x:c r="D216" s="243">
        <x:v>601</x:v>
      </x:c>
      <x:c r="E216" s="268" t="n">
        <x:f>FASE1!G216</x:f>
        <x:v>0</x:v>
      </x:c>
      <x:c r="F216" s="268" t="n">
        <x:f>FASE1!M216</x:f>
        <x:v>0</x:v>
      </x:c>
      <x:c r="G216" s="268" t="n">
        <x:f>FASE1!L216</x:f>
        <x:v>0</x:v>
      </x:c>
      <x:c r="H216" s="268" t="n">
        <x:f>FASE1!R216</x:f>
        <x:v>0</x:v>
      </x:c>
      <x:c r="I216" s="268" t="n">
        <x:f>FASE1!U216</x:f>
        <x:v>0</x:v>
      </x:c>
      <x:c r="J216" s="268" t="n">
        <x:f>FASE1!U216</x:f>
        <x:v>0</x:v>
      </x:c>
      <x:c r="K216" s="268" t="n">
        <x:f>FASE1!P216</x:f>
        <x:v>0</x:v>
      </x:c>
      <x:c r="L216" s="268" t="n">
        <x:f>FASE1!V216</x:f>
        <x:v>0</x:v>
      </x:c>
      <x:c r="M216" s="268" t="n">
        <x:f>AVERAGE(FASE2!F216:G216)</x:f>
        <x:v>0</x:v>
      </x:c>
      <x:c r="N216" s="268" t="n">
        <x:f>AVERAGE(FASE2!O216:P216,FASE2!S216)</x:f>
        <x:v>0</x:v>
      </x:c>
      <x:c r="O216" s="268" t="n">
        <x:f>FASE4!K216</x:f>
        <x:v>0</x:v>
      </x:c>
      <x:c r="P216" s="268" t="n">
        <x:f>FASE2!N216</x:f>
        <x:v>0</x:v>
      </x:c>
      <x:c r="Q216" s="268" t="n">
        <x:f>FASE3!P216</x:f>
        <x:v>0</x:v>
      </x:c>
      <x:c r="R216" s="268" t="n">
        <x:f>FASE3!N216</x:f>
        <x:v>0</x:v>
      </x:c>
      <x:c r="S216" s="268" t="n">
        <x:f>AVERAGE(FASE3!Q216,FASE3!R216,FASE3!T216,FASE3!S216)</x:f>
        <x:v>0</x:v>
      </x:c>
      <x:c r="T216" s="268" t="n">
        <x:f>AVERAGE(FASE3!U216,FASE3!V216,FASE3!W216)</x:f>
        <x:v>0</x:v>
      </x:c>
      <x:c r="U216" s="268" t="n">
        <x:f>FASE3!Y216</x:f>
        <x:v>0</x:v>
      </x:c>
      <x:c r="V216" s="268" t="n">
        <x:f>FASE3!X216</x:f>
        <x:v>0</x:v>
      </x:c>
      <x:c r="W216" s="268" t="n">
        <x:f>FASE4!M216</x:f>
        <x:v>0</x:v>
      </x:c>
      <x:c r="X216" s="268">
        <x:f t="shared" si="3"/>
        <x:v>0</x:v>
      </x:c>
      <x:c r="Y216" s="2"/>
    </x:row>
    <x:row r="217" ht="15.75">
      <x:c r="B217">
        <x:v>6</x:v>
      </x:c>
      <x:c r="C217" t="s">
        <x:v>115</x:v>
      </x:c>
      <x:c r="D217" s="243">
        <x:v>602</x:v>
      </x:c>
      <x:c r="E217" s="268" t="n">
        <x:f>FASE1!G217</x:f>
        <x:v>0</x:v>
      </x:c>
      <x:c r="F217" s="268" t="n">
        <x:f>FASE1!M217</x:f>
        <x:v>0</x:v>
      </x:c>
      <x:c r="G217" s="268" t="n">
        <x:f>FASE1!L217</x:f>
        <x:v>0</x:v>
      </x:c>
      <x:c r="H217" s="268" t="n">
        <x:f>FASE1!R217</x:f>
        <x:v>0</x:v>
      </x:c>
      <x:c r="I217" s="268" t="n">
        <x:f>FASE1!U217</x:f>
        <x:v>0</x:v>
      </x:c>
      <x:c r="J217" s="268" t="n">
        <x:f>FASE1!U217</x:f>
        <x:v>0</x:v>
      </x:c>
      <x:c r="K217" s="268" t="n">
        <x:f>FASE1!P217</x:f>
        <x:v>0</x:v>
      </x:c>
      <x:c r="L217" s="268" t="n">
        <x:f>FASE1!V217</x:f>
        <x:v>0</x:v>
      </x:c>
      <x:c r="M217" s="268" t="n">
        <x:f>AVERAGE(FASE2!F217:G217)</x:f>
        <x:v>0</x:v>
      </x:c>
      <x:c r="N217" s="268" t="n">
        <x:f>AVERAGE(FASE2!O217:P217,FASE2!S217)</x:f>
        <x:v>0</x:v>
      </x:c>
      <x:c r="O217" s="268" t="n">
        <x:f>FASE4!K217</x:f>
        <x:v>0</x:v>
      </x:c>
      <x:c r="P217" s="268" t="n">
        <x:f>FASE2!N217</x:f>
        <x:v>0</x:v>
      </x:c>
      <x:c r="Q217" s="268" t="n">
        <x:f>FASE3!P217</x:f>
        <x:v>0</x:v>
      </x:c>
      <x:c r="R217" s="268" t="n">
        <x:f>FASE3!N217</x:f>
        <x:v>0</x:v>
      </x:c>
      <x:c r="S217" s="268" t="n">
        <x:f>AVERAGE(FASE3!Q217,FASE3!R217,FASE3!T217,FASE3!S217)</x:f>
        <x:v>0</x:v>
      </x:c>
      <x:c r="T217" s="268" t="n">
        <x:f>AVERAGE(FASE3!U217,FASE3!V217,FASE3!W217)</x:f>
        <x:v>0</x:v>
      </x:c>
      <x:c r="U217" s="268" t="n">
        <x:f>FASE3!Y217</x:f>
        <x:v>0</x:v>
      </x:c>
      <x:c r="V217" s="268" t="n">
        <x:f>FASE3!X217</x:f>
        <x:v>0</x:v>
      </x:c>
      <x:c r="W217" s="268" t="n">
        <x:f>FASE4!M217</x:f>
        <x:v>0</x:v>
      </x:c>
      <x:c r="X217" s="268">
        <x:f t="shared" si="3"/>
        <x:v>0</x:v>
      </x:c>
      <x:c r="Y217" s="2"/>
    </x:row>
    <x:row r="218" ht="15.75">
      <x:c r="B218">
        <x:v>6</x:v>
      </x:c>
      <x:c r="C218" t="s">
        <x:v>115</x:v>
      </x:c>
      <x:c r="D218" s="243">
        <x:v>603</x:v>
      </x:c>
      <x:c r="E218" s="268" t="n">
        <x:f>FASE1!G218</x:f>
        <x:v>0</x:v>
      </x:c>
      <x:c r="F218" s="268" t="n">
        <x:f>FASE1!M218</x:f>
        <x:v>0</x:v>
      </x:c>
      <x:c r="G218" s="268" t="n">
        <x:f>FASE1!L218</x:f>
        <x:v>0</x:v>
      </x:c>
      <x:c r="H218" s="268" t="n">
        <x:f>FASE1!R218</x:f>
        <x:v>0</x:v>
      </x:c>
      <x:c r="I218" s="268" t="n">
        <x:f>FASE1!U218</x:f>
        <x:v>0</x:v>
      </x:c>
      <x:c r="J218" s="268" t="n">
        <x:f>FASE1!U218</x:f>
        <x:v>0</x:v>
      </x:c>
      <x:c r="K218" s="268" t="n">
        <x:f>FASE1!P218</x:f>
        <x:v>0</x:v>
      </x:c>
      <x:c r="L218" s="268" t="n">
        <x:f>FASE1!V218</x:f>
        <x:v>0</x:v>
      </x:c>
      <x:c r="M218" s="268" t="n">
        <x:f>AVERAGE(FASE2!F218:G218)</x:f>
        <x:v>0</x:v>
      </x:c>
      <x:c r="N218" s="268" t="n">
        <x:f>AVERAGE(FASE2!O218:P218,FASE2!S218)</x:f>
        <x:v>0</x:v>
      </x:c>
      <x:c r="O218" s="268" t="n">
        <x:f>FASE4!K218</x:f>
        <x:v>0</x:v>
      </x:c>
      <x:c r="P218" s="268" t="n">
        <x:f>FASE2!N218</x:f>
        <x:v>0</x:v>
      </x:c>
      <x:c r="Q218" s="268" t="n">
        <x:f>FASE3!P218</x:f>
        <x:v>0</x:v>
      </x:c>
      <x:c r="R218" s="268" t="n">
        <x:f>FASE3!N218</x:f>
        <x:v>0</x:v>
      </x:c>
      <x:c r="S218" s="268" t="n">
        <x:f>AVERAGE(FASE3!Q218,FASE3!R218,FASE3!T218,FASE3!S218)</x:f>
        <x:v>0</x:v>
      </x:c>
      <x:c r="T218" s="268" t="n">
        <x:f>AVERAGE(FASE3!U218,FASE3!V218,FASE3!W218)</x:f>
        <x:v>0</x:v>
      </x:c>
      <x:c r="U218" s="268" t="n">
        <x:f>FASE3!Y218</x:f>
        <x:v>0</x:v>
      </x:c>
      <x:c r="V218" s="268" t="n">
        <x:f>FASE3!X218</x:f>
        <x:v>0</x:v>
      </x:c>
      <x:c r="W218" s="268" t="n">
        <x:f>FASE4!M218</x:f>
        <x:v>0</x:v>
      </x:c>
      <x:c r="X218" s="268">
        <x:f t="shared" si="3"/>
        <x:v>0</x:v>
      </x:c>
      <x:c r="Y218" s="2"/>
    </x:row>
    <x:row r="219" ht="15.75">
      <x:c r="B219">
        <x:v>6</x:v>
      </x:c>
      <x:c r="C219" t="s">
        <x:v>115</x:v>
      </x:c>
      <x:c r="D219" s="243">
        <x:v>604</x:v>
      </x:c>
      <x:c r="E219" s="268" t="n">
        <x:f>FASE1!G219</x:f>
        <x:v>0</x:v>
      </x:c>
      <x:c r="F219" s="268" t="n">
        <x:f>FASE1!M219</x:f>
        <x:v>0</x:v>
      </x:c>
      <x:c r="G219" s="268" t="n">
        <x:f>FASE1!L219</x:f>
        <x:v>0</x:v>
      </x:c>
      <x:c r="H219" s="268" t="n">
        <x:f>FASE1!R219</x:f>
        <x:v>0</x:v>
      </x:c>
      <x:c r="I219" s="268" t="n">
        <x:f>FASE1!U219</x:f>
        <x:v>0</x:v>
      </x:c>
      <x:c r="J219" s="268" t="n">
        <x:f>FASE1!U219</x:f>
        <x:v>0</x:v>
      </x:c>
      <x:c r="K219" s="268" t="n">
        <x:f>FASE1!P219</x:f>
        <x:v>0</x:v>
      </x:c>
      <x:c r="L219" s="268" t="n">
        <x:f>FASE1!V219</x:f>
        <x:v>0</x:v>
      </x:c>
      <x:c r="M219" s="268" t="n">
        <x:f>AVERAGE(FASE2!F219:G219)</x:f>
        <x:v>0</x:v>
      </x:c>
      <x:c r="N219" s="268" t="n">
        <x:f>AVERAGE(FASE2!O219:P219,FASE2!S219)</x:f>
        <x:v>0</x:v>
      </x:c>
      <x:c r="O219" s="268" t="n">
        <x:f>FASE4!K219</x:f>
        <x:v>0</x:v>
      </x:c>
      <x:c r="P219" s="268" t="n">
        <x:f>FASE2!N219</x:f>
        <x:v>0</x:v>
      </x:c>
      <x:c r="Q219" s="268" t="n">
        <x:f>FASE3!P219</x:f>
        <x:v>0</x:v>
      </x:c>
      <x:c r="R219" s="268" t="n">
        <x:f>FASE3!N219</x:f>
        <x:v>0</x:v>
      </x:c>
      <x:c r="S219" s="268" t="n">
        <x:f>AVERAGE(FASE3!Q219,FASE3!R219,FASE3!T219,FASE3!S219)</x:f>
        <x:v>0</x:v>
      </x:c>
      <x:c r="T219" s="268" t="n">
        <x:f>AVERAGE(FASE3!U219,FASE3!V219,FASE3!W219)</x:f>
        <x:v>0</x:v>
      </x:c>
      <x:c r="U219" s="268" t="n">
        <x:f>FASE3!Y219</x:f>
        <x:v>0</x:v>
      </x:c>
      <x:c r="V219" s="268" t="n">
        <x:f>FASE3!X219</x:f>
        <x:v>0</x:v>
      </x:c>
      <x:c r="W219" s="268" t="n">
        <x:f>FASE4!M219</x:f>
        <x:v>0</x:v>
      </x:c>
      <x:c r="X219" s="268">
        <x:f t="shared" si="3"/>
        <x:v>0</x:v>
      </x:c>
      <x:c r="Y219" s="2"/>
    </x:row>
    <x:row r="220" ht="15.75">
      <x:c r="B220">
        <x:v>6</x:v>
      </x:c>
      <x:c r="C220" t="s">
        <x:v>115</x:v>
      </x:c>
      <x:c r="D220" s="243">
        <x:v>605</x:v>
      </x:c>
      <x:c r="E220" s="268" t="n">
        <x:f>FASE1!G220</x:f>
        <x:v>0</x:v>
      </x:c>
      <x:c r="F220" s="268" t="n">
        <x:f>FASE1!M220</x:f>
        <x:v>0</x:v>
      </x:c>
      <x:c r="G220" s="268" t="n">
        <x:f>FASE1!L220</x:f>
        <x:v>0</x:v>
      </x:c>
      <x:c r="H220" s="268" t="n">
        <x:f>FASE1!R220</x:f>
        <x:v>0</x:v>
      </x:c>
      <x:c r="I220" s="268" t="n">
        <x:f>FASE1!U220</x:f>
        <x:v>0</x:v>
      </x:c>
      <x:c r="J220" s="268" t="n">
        <x:f>FASE1!U220</x:f>
        <x:v>0</x:v>
      </x:c>
      <x:c r="K220" s="268" t="n">
        <x:f>FASE1!P220</x:f>
        <x:v>0</x:v>
      </x:c>
      <x:c r="L220" s="268" t="n">
        <x:f>FASE1!V220</x:f>
        <x:v>0</x:v>
      </x:c>
      <x:c r="M220" s="268" t="n">
        <x:f>AVERAGE(FASE2!F220:G220)</x:f>
        <x:v>0</x:v>
      </x:c>
      <x:c r="N220" s="268" t="n">
        <x:f>AVERAGE(FASE2!O220:P220,FASE2!S220)</x:f>
        <x:v>0</x:v>
      </x:c>
      <x:c r="O220" s="268" t="n">
        <x:f>FASE4!K220</x:f>
        <x:v>0</x:v>
      </x:c>
      <x:c r="P220" s="268" t="n">
        <x:f>FASE2!N220</x:f>
        <x:v>0</x:v>
      </x:c>
      <x:c r="Q220" s="268" t="n">
        <x:f>FASE3!P220</x:f>
        <x:v>0</x:v>
      </x:c>
      <x:c r="R220" s="268" t="n">
        <x:f>FASE3!N220</x:f>
        <x:v>0</x:v>
      </x:c>
      <x:c r="S220" s="268" t="n">
        <x:f>AVERAGE(FASE3!Q220,FASE3!R220,FASE3!T220,FASE3!S220)</x:f>
        <x:v>0</x:v>
      </x:c>
      <x:c r="T220" s="268" t="n">
        <x:f>AVERAGE(FASE3!U220,FASE3!V220,FASE3!W220)</x:f>
        <x:v>0</x:v>
      </x:c>
      <x:c r="U220" s="268" t="n">
        <x:f>FASE3!Y220</x:f>
        <x:v>0</x:v>
      </x:c>
      <x:c r="V220" s="268" t="n">
        <x:f>FASE3!X220</x:f>
        <x:v>0</x:v>
      </x:c>
      <x:c r="W220" s="268" t="n">
        <x:f>FASE4!M220</x:f>
        <x:v>0</x:v>
      </x:c>
      <x:c r="X220" s="268">
        <x:f t="shared" si="3"/>
        <x:v>0</x:v>
      </x:c>
      <x:c r="Y220" s="2"/>
    </x:row>
    <x:row r="221" ht="15.75">
      <x:c r="B221">
        <x:v>6</x:v>
      </x:c>
      <x:c r="C221" t="s">
        <x:v>115</x:v>
      </x:c>
      <x:c r="D221" s="243">
        <x:v>606</x:v>
      </x:c>
      <x:c r="E221" s="268" t="n">
        <x:f>FASE1!G221</x:f>
        <x:v>0</x:v>
      </x:c>
      <x:c r="F221" s="268" t="n">
        <x:f>FASE1!M221</x:f>
        <x:v>0</x:v>
      </x:c>
      <x:c r="G221" s="268" t="n">
        <x:f>FASE1!L221</x:f>
        <x:v>0</x:v>
      </x:c>
      <x:c r="H221" s="268" t="n">
        <x:f>FASE1!R221</x:f>
        <x:v>0</x:v>
      </x:c>
      <x:c r="I221" s="268" t="n">
        <x:f>FASE1!U221</x:f>
        <x:v>0</x:v>
      </x:c>
      <x:c r="J221" s="268" t="n">
        <x:f>FASE1!U221</x:f>
        <x:v>0</x:v>
      </x:c>
      <x:c r="K221" s="268" t="n">
        <x:f>FASE1!P221</x:f>
        <x:v>0</x:v>
      </x:c>
      <x:c r="L221" s="268" t="n">
        <x:f>FASE1!V221</x:f>
        <x:v>0</x:v>
      </x:c>
      <x:c r="M221" s="268" t="n">
        <x:f>AVERAGE(FASE2!F221:G221)</x:f>
        <x:v>0</x:v>
      </x:c>
      <x:c r="N221" s="268" t="n">
        <x:f>AVERAGE(FASE2!O221:P221,FASE2!S221)</x:f>
        <x:v>0</x:v>
      </x:c>
      <x:c r="O221" s="268" t="n">
        <x:f>FASE4!K221</x:f>
        <x:v>0</x:v>
      </x:c>
      <x:c r="P221" s="268" t="n">
        <x:f>FASE2!N221</x:f>
        <x:v>0</x:v>
      </x:c>
      <x:c r="Q221" s="268" t="n">
        <x:f>FASE3!P221</x:f>
        <x:v>0</x:v>
      </x:c>
      <x:c r="R221" s="268" t="n">
        <x:f>FASE3!N221</x:f>
        <x:v>0</x:v>
      </x:c>
      <x:c r="S221" s="268" t="n">
        <x:f>AVERAGE(FASE3!Q221,FASE3!R221,FASE3!T221,FASE3!S221)</x:f>
        <x:v>0</x:v>
      </x:c>
      <x:c r="T221" s="268" t="n">
        <x:f>AVERAGE(FASE3!U221,FASE3!V221,FASE3!W221)</x:f>
        <x:v>0</x:v>
      </x:c>
      <x:c r="U221" s="268" t="n">
        <x:f>FASE3!Y221</x:f>
        <x:v>0</x:v>
      </x:c>
      <x:c r="V221" s="268" t="n">
        <x:f>FASE3!X221</x:f>
        <x:v>0</x:v>
      </x:c>
      <x:c r="W221" s="268" t="n">
        <x:f>FASE4!M221</x:f>
        <x:v>0</x:v>
      </x:c>
      <x:c r="X221" s="268">
        <x:f t="shared" si="3"/>
        <x:v>0</x:v>
      </x:c>
      <x:c r="Y221" s="2"/>
    </x:row>
    <x:row r="222" ht="15.75">
      <x:c r="B222">
        <x:v>6</x:v>
      </x:c>
      <x:c r="C222" t="s">
        <x:v>115</x:v>
      </x:c>
      <x:c r="D222" s="243">
        <x:v>607</x:v>
      </x:c>
      <x:c r="E222" s="268" t="n">
        <x:f>FASE1!G222</x:f>
        <x:v>0</x:v>
      </x:c>
      <x:c r="F222" s="268" t="n">
        <x:f>FASE1!M222</x:f>
        <x:v>0</x:v>
      </x:c>
      <x:c r="G222" s="268" t="n">
        <x:f>FASE1!L222</x:f>
        <x:v>0</x:v>
      </x:c>
      <x:c r="H222" s="268" t="n">
        <x:f>FASE1!R222</x:f>
        <x:v>0</x:v>
      </x:c>
      <x:c r="I222" s="268" t="n">
        <x:f>FASE1!U222</x:f>
        <x:v>0</x:v>
      </x:c>
      <x:c r="J222" s="268" t="n">
        <x:f>FASE1!U222</x:f>
        <x:v>0</x:v>
      </x:c>
      <x:c r="K222" s="268" t="n">
        <x:f>FASE1!P222</x:f>
        <x:v>0</x:v>
      </x:c>
      <x:c r="L222" s="268" t="n">
        <x:f>FASE1!V222</x:f>
        <x:v>0</x:v>
      </x:c>
      <x:c r="M222" s="268" t="n">
        <x:f>AVERAGE(FASE2!F222:G222)</x:f>
        <x:v>0</x:v>
      </x:c>
      <x:c r="N222" s="268" t="n">
        <x:f>AVERAGE(FASE2!O222:P222,FASE2!S222)</x:f>
        <x:v>0</x:v>
      </x:c>
      <x:c r="O222" s="268" t="n">
        <x:f>FASE4!K222</x:f>
        <x:v>0</x:v>
      </x:c>
      <x:c r="P222" s="268" t="n">
        <x:f>FASE2!N222</x:f>
        <x:v>0</x:v>
      </x:c>
      <x:c r="Q222" s="268" t="n">
        <x:f>FASE3!P222</x:f>
        <x:v>0</x:v>
      </x:c>
      <x:c r="R222" s="268" t="n">
        <x:f>FASE3!N222</x:f>
        <x:v>0</x:v>
      </x:c>
      <x:c r="S222" s="268" t="n">
        <x:f>AVERAGE(FASE3!Q222,FASE3!R222,FASE3!T222,FASE3!S222)</x:f>
        <x:v>0</x:v>
      </x:c>
      <x:c r="T222" s="268" t="n">
        <x:f>AVERAGE(FASE3!U222,FASE3!V222,FASE3!W222)</x:f>
        <x:v>0</x:v>
      </x:c>
      <x:c r="U222" s="268" t="n">
        <x:f>FASE3!Y222</x:f>
        <x:v>0</x:v>
      </x:c>
      <x:c r="V222" s="268" t="n">
        <x:f>FASE3!X222</x:f>
        <x:v>0</x:v>
      </x:c>
      <x:c r="W222" s="268" t="n">
        <x:f>FASE4!M222</x:f>
        <x:v>0</x:v>
      </x:c>
      <x:c r="X222" s="268">
        <x:f t="shared" si="3"/>
        <x:v>0</x:v>
      </x:c>
      <x:c r="Y222" s="2"/>
    </x:row>
    <x:row r="223" ht="15.75">
      <x:c r="B223">
        <x:v>6</x:v>
      </x:c>
      <x:c r="C223" t="s">
        <x:v>115</x:v>
      </x:c>
      <x:c r="D223" s="243">
        <x:v>608</x:v>
      </x:c>
      <x:c r="E223" s="268" t="n">
        <x:f>FASE1!G223</x:f>
        <x:v>0</x:v>
      </x:c>
      <x:c r="F223" s="268" t="n">
        <x:f>FASE1!M223</x:f>
        <x:v>0</x:v>
      </x:c>
      <x:c r="G223" s="268" t="n">
        <x:f>FASE1!L223</x:f>
        <x:v>0</x:v>
      </x:c>
      <x:c r="H223" s="268" t="n">
        <x:f>FASE1!R223</x:f>
        <x:v>0</x:v>
      </x:c>
      <x:c r="I223" s="268" t="n">
        <x:f>FASE1!U223</x:f>
        <x:v>0</x:v>
      </x:c>
      <x:c r="J223" s="268" t="n">
        <x:f>FASE1!U223</x:f>
        <x:v>0</x:v>
      </x:c>
      <x:c r="K223" s="268" t="n">
        <x:f>FASE1!P223</x:f>
        <x:v>0</x:v>
      </x:c>
      <x:c r="L223" s="268" t="n">
        <x:f>FASE1!V223</x:f>
        <x:v>0</x:v>
      </x:c>
      <x:c r="M223" s="268" t="n">
        <x:f>AVERAGE(FASE2!F223:G223)</x:f>
        <x:v>0</x:v>
      </x:c>
      <x:c r="N223" s="268" t="n">
        <x:f>AVERAGE(FASE2!O223:P223,FASE2!S223)</x:f>
        <x:v>0</x:v>
      </x:c>
      <x:c r="O223" s="268" t="n">
        <x:f>FASE4!K223</x:f>
        <x:v>0</x:v>
      </x:c>
      <x:c r="P223" s="268" t="n">
        <x:f>FASE2!N223</x:f>
        <x:v>0</x:v>
      </x:c>
      <x:c r="Q223" s="268" t="n">
        <x:f>FASE3!P223</x:f>
        <x:v>0</x:v>
      </x:c>
      <x:c r="R223" s="268" t="n">
        <x:f>FASE3!N223</x:f>
        <x:v>0</x:v>
      </x:c>
      <x:c r="S223" s="268" t="n">
        <x:f>AVERAGE(FASE3!Q223,FASE3!R223,FASE3!T223,FASE3!S223)</x:f>
        <x:v>0</x:v>
      </x:c>
      <x:c r="T223" s="268" t="n">
        <x:f>AVERAGE(FASE3!U223,FASE3!V223,FASE3!W223)</x:f>
        <x:v>0</x:v>
      </x:c>
      <x:c r="U223" s="268" t="n">
        <x:f>FASE3!Y223</x:f>
        <x:v>0</x:v>
      </x:c>
      <x:c r="V223" s="268" t="n">
        <x:f>FASE3!X223</x:f>
        <x:v>0</x:v>
      </x:c>
      <x:c r="W223" s="268" t="n">
        <x:f>FASE4!M223</x:f>
        <x:v>0</x:v>
      </x:c>
      <x:c r="X223" s="268">
        <x:f t="shared" si="3"/>
        <x:v>0</x:v>
      </x:c>
      <x:c r="Y223" s="2"/>
    </x:row>
    <x:row r="224" ht="15.75">
      <x:c r="B224">
        <x:v>6</x:v>
      </x:c>
      <x:c r="C224" t="s">
        <x:v>115</x:v>
      </x:c>
      <x:c r="D224" s="243">
        <x:v>609</x:v>
      </x:c>
      <x:c r="E224" s="268" t="n">
        <x:f>FASE1!G224</x:f>
        <x:v>0</x:v>
      </x:c>
      <x:c r="F224" s="268" t="n">
        <x:f>FASE1!M224</x:f>
        <x:v>0</x:v>
      </x:c>
      <x:c r="G224" s="268" t="n">
        <x:f>FASE1!L224</x:f>
        <x:v>0</x:v>
      </x:c>
      <x:c r="H224" s="268" t="n">
        <x:f>FASE1!R224</x:f>
        <x:v>0</x:v>
      </x:c>
      <x:c r="I224" s="268" t="n">
        <x:f>FASE1!U224</x:f>
        <x:v>0</x:v>
      </x:c>
      <x:c r="J224" s="268" t="n">
        <x:f>FASE1!U224</x:f>
        <x:v>0</x:v>
      </x:c>
      <x:c r="K224" s="268" t="n">
        <x:f>FASE1!P224</x:f>
        <x:v>0</x:v>
      </x:c>
      <x:c r="L224" s="268" t="n">
        <x:f>FASE1!V224</x:f>
        <x:v>0</x:v>
      </x:c>
      <x:c r="M224" s="268" t="n">
        <x:f>AVERAGE(FASE2!F224:G224)</x:f>
        <x:v>0</x:v>
      </x:c>
      <x:c r="N224" s="268" t="n">
        <x:f>AVERAGE(FASE2!O224:P224,FASE2!S224)</x:f>
        <x:v>0</x:v>
      </x:c>
      <x:c r="O224" s="268" t="n">
        <x:f>FASE4!K224</x:f>
        <x:v>0</x:v>
      </x:c>
      <x:c r="P224" s="268" t="n">
        <x:f>FASE2!N224</x:f>
        <x:v>0</x:v>
      </x:c>
      <x:c r="Q224" s="268" t="n">
        <x:f>FASE3!P224</x:f>
        <x:v>0</x:v>
      </x:c>
      <x:c r="R224" s="268" t="n">
        <x:f>FASE3!N224</x:f>
        <x:v>0</x:v>
      </x:c>
      <x:c r="S224" s="268" t="n">
        <x:f>AVERAGE(FASE3!Q224,FASE3!R224,FASE3!T224,FASE3!S224)</x:f>
        <x:v>0</x:v>
      </x:c>
      <x:c r="T224" s="268" t="n">
        <x:f>AVERAGE(FASE3!U224,FASE3!V224,FASE3!W224)</x:f>
        <x:v>0</x:v>
      </x:c>
      <x:c r="U224" s="268" t="n">
        <x:f>FASE3!Y224</x:f>
        <x:v>0</x:v>
      </x:c>
      <x:c r="V224" s="268" t="n">
        <x:f>FASE3!X224</x:f>
        <x:v>0</x:v>
      </x:c>
      <x:c r="W224" s="268" t="n">
        <x:f>FASE4!M224</x:f>
        <x:v>0</x:v>
      </x:c>
      <x:c r="X224" s="268">
        <x:f t="shared" si="3"/>
        <x:v>0</x:v>
      </x:c>
      <x:c r="Y224" s="2"/>
    </x:row>
    <x:row r="225" ht="15.75">
      <x:c r="B225">
        <x:v>6</x:v>
      </x:c>
      <x:c r="C225" t="s">
        <x:v>115</x:v>
      </x:c>
      <x:c r="D225" s="243">
        <x:v>610</x:v>
      </x:c>
      <x:c r="E225" s="268" t="n">
        <x:f>FASE1!G225</x:f>
        <x:v>0</x:v>
      </x:c>
      <x:c r="F225" s="268" t="n">
        <x:f>FASE1!M225</x:f>
        <x:v>0</x:v>
      </x:c>
      <x:c r="G225" s="268" t="n">
        <x:f>FASE1!L225</x:f>
        <x:v>0</x:v>
      </x:c>
      <x:c r="H225" s="268" t="n">
        <x:f>FASE1!R225</x:f>
        <x:v>0</x:v>
      </x:c>
      <x:c r="I225" s="268" t="n">
        <x:f>FASE1!U225</x:f>
        <x:v>0</x:v>
      </x:c>
      <x:c r="J225" s="268" t="n">
        <x:f>FASE1!U225</x:f>
        <x:v>0</x:v>
      </x:c>
      <x:c r="K225" s="268" t="n">
        <x:f>FASE1!P225</x:f>
        <x:v>0</x:v>
      </x:c>
      <x:c r="L225" s="268" t="n">
        <x:f>FASE1!V225</x:f>
        <x:v>0</x:v>
      </x:c>
      <x:c r="M225" s="268" t="n">
        <x:f>AVERAGE(FASE2!F225:G225)</x:f>
        <x:v>0</x:v>
      </x:c>
      <x:c r="N225" s="268" t="n">
        <x:f>AVERAGE(FASE2!O225:P225,FASE2!S225)</x:f>
        <x:v>0</x:v>
      </x:c>
      <x:c r="O225" s="268" t="n">
        <x:f>FASE4!K225</x:f>
        <x:v>0</x:v>
      </x:c>
      <x:c r="P225" s="268" t="n">
        <x:f>FASE2!N225</x:f>
        <x:v>0</x:v>
      </x:c>
      <x:c r="Q225" s="268" t="n">
        <x:f>FASE3!P225</x:f>
        <x:v>0</x:v>
      </x:c>
      <x:c r="R225" s="268" t="n">
        <x:f>FASE3!N225</x:f>
        <x:v>0</x:v>
      </x:c>
      <x:c r="S225" s="268" t="n">
        <x:f>AVERAGE(FASE3!Q225,FASE3!R225,FASE3!T225,FASE3!S225)</x:f>
        <x:v>0</x:v>
      </x:c>
      <x:c r="T225" s="268" t="n">
        <x:f>AVERAGE(FASE3!U225,FASE3!V225,FASE3!W225)</x:f>
        <x:v>0</x:v>
      </x:c>
      <x:c r="U225" s="268" t="n">
        <x:f>FASE3!Y225</x:f>
        <x:v>0</x:v>
      </x:c>
      <x:c r="V225" s="268" t="n">
        <x:f>FASE3!X225</x:f>
        <x:v>0</x:v>
      </x:c>
      <x:c r="W225" s="268" t="n">
        <x:f>FASE4!M225</x:f>
        <x:v>0</x:v>
      </x:c>
      <x:c r="X225" s="268">
        <x:f t="shared" si="3"/>
        <x:v>0</x:v>
      </x:c>
      <x:c r="Y225" s="2"/>
    </x:row>
    <x:row r="226" ht="15.75">
      <x:c r="B226">
        <x:v>6</x:v>
      </x:c>
      <x:c r="C226" t="s">
        <x:v>115</x:v>
      </x:c>
      <x:c r="D226" s="243">
        <x:v>611</x:v>
      </x:c>
      <x:c r="E226" s="268" t="n">
        <x:f>FASE1!G226</x:f>
        <x:v>0</x:v>
      </x:c>
      <x:c r="F226" s="268" t="n">
        <x:f>FASE1!M226</x:f>
        <x:v>0</x:v>
      </x:c>
      <x:c r="G226" s="268" t="n">
        <x:f>FASE1!L226</x:f>
        <x:v>0</x:v>
      </x:c>
      <x:c r="H226" s="268" t="n">
        <x:f>FASE1!R226</x:f>
        <x:v>0</x:v>
      </x:c>
      <x:c r="I226" s="268" t="n">
        <x:f>FASE1!U226</x:f>
        <x:v>0</x:v>
      </x:c>
      <x:c r="J226" s="268" t="n">
        <x:f>FASE1!U226</x:f>
        <x:v>0</x:v>
      </x:c>
      <x:c r="K226" s="268" t="n">
        <x:f>FASE1!P226</x:f>
        <x:v>0</x:v>
      </x:c>
      <x:c r="L226" s="268" t="n">
        <x:f>FASE1!V226</x:f>
        <x:v>0</x:v>
      </x:c>
      <x:c r="M226" s="268" t="n">
        <x:f>AVERAGE(FASE2!F226:G226)</x:f>
        <x:v>0</x:v>
      </x:c>
      <x:c r="N226" s="268" t="n">
        <x:f>AVERAGE(FASE2!O226:P226,FASE2!S226)</x:f>
        <x:v>0</x:v>
      </x:c>
      <x:c r="O226" s="268" t="n">
        <x:f>FASE4!K226</x:f>
        <x:v>0</x:v>
      </x:c>
      <x:c r="P226" s="268" t="n">
        <x:f>FASE2!N226</x:f>
        <x:v>0</x:v>
      </x:c>
      <x:c r="Q226" s="268" t="n">
        <x:f>FASE3!P226</x:f>
        <x:v>0</x:v>
      </x:c>
      <x:c r="R226" s="268" t="n">
        <x:f>FASE3!N226</x:f>
        <x:v>0</x:v>
      </x:c>
      <x:c r="S226" s="268" t="n">
        <x:f>AVERAGE(FASE3!Q226,FASE3!R226,FASE3!T226,FASE3!S226)</x:f>
        <x:v>0</x:v>
      </x:c>
      <x:c r="T226" s="268" t="n">
        <x:f>AVERAGE(FASE3!U226,FASE3!V226,FASE3!W226)</x:f>
        <x:v>0</x:v>
      </x:c>
      <x:c r="U226" s="268" t="n">
        <x:f>FASE3!Y226</x:f>
        <x:v>0</x:v>
      </x:c>
      <x:c r="V226" s="268" t="n">
        <x:f>FASE3!X226</x:f>
        <x:v>0</x:v>
      </x:c>
      <x:c r="W226" s="268" t="n">
        <x:f>FASE4!M226</x:f>
        <x:v>0</x:v>
      </x:c>
      <x:c r="X226" s="268">
        <x:f t="shared" si="3"/>
        <x:v>0</x:v>
      </x:c>
      <x:c r="Y226" s="2"/>
    </x:row>
    <x:row r="227" ht="15.75">
      <x:c r="B227">
        <x:v>6</x:v>
      </x:c>
      <x:c r="C227" t="s">
        <x:v>115</x:v>
      </x:c>
      <x:c r="D227" s="243">
        <x:v>612</x:v>
      </x:c>
      <x:c r="E227" s="268" t="n">
        <x:f>FASE1!G227</x:f>
        <x:v>0</x:v>
      </x:c>
      <x:c r="F227" s="268" t="n">
        <x:f>FASE1!M227</x:f>
        <x:v>0</x:v>
      </x:c>
      <x:c r="G227" s="268" t="n">
        <x:f>FASE1!L227</x:f>
        <x:v>0</x:v>
      </x:c>
      <x:c r="H227" s="268" t="n">
        <x:f>FASE1!R227</x:f>
        <x:v>0</x:v>
      </x:c>
      <x:c r="I227" s="268" t="n">
        <x:f>FASE1!U227</x:f>
        <x:v>0</x:v>
      </x:c>
      <x:c r="J227" s="268" t="n">
        <x:f>FASE1!U227</x:f>
        <x:v>0</x:v>
      </x:c>
      <x:c r="K227" s="268" t="n">
        <x:f>FASE1!P227</x:f>
        <x:v>0</x:v>
      </x:c>
      <x:c r="L227" s="268" t="n">
        <x:f>FASE1!V227</x:f>
        <x:v>0</x:v>
      </x:c>
      <x:c r="M227" s="268" t="n">
        <x:f>AVERAGE(FASE2!F227:G227)</x:f>
        <x:v>0</x:v>
      </x:c>
      <x:c r="N227" s="268" t="n">
        <x:f>AVERAGE(FASE2!O227:P227,FASE2!S227)</x:f>
        <x:v>0</x:v>
      </x:c>
      <x:c r="O227" s="268" t="n">
        <x:f>FASE4!K227</x:f>
        <x:v>0</x:v>
      </x:c>
      <x:c r="P227" s="268" t="n">
        <x:f>FASE2!N227</x:f>
        <x:v>0</x:v>
      </x:c>
      <x:c r="Q227" s="268" t="n">
        <x:f>FASE3!P227</x:f>
        <x:v>0</x:v>
      </x:c>
      <x:c r="R227" s="268" t="n">
        <x:f>FASE3!N227</x:f>
        <x:v>0</x:v>
      </x:c>
      <x:c r="S227" s="268" t="n">
        <x:f>AVERAGE(FASE3!Q227,FASE3!R227,FASE3!T227,FASE3!S227)</x:f>
        <x:v>0</x:v>
      </x:c>
      <x:c r="T227" s="268" t="n">
        <x:f>AVERAGE(FASE3!U227,FASE3!V227,FASE3!W227)</x:f>
        <x:v>0</x:v>
      </x:c>
      <x:c r="U227" s="268" t="n">
        <x:f>FASE3!Y227</x:f>
        <x:v>0</x:v>
      </x:c>
      <x:c r="V227" s="268" t="n">
        <x:f>FASE3!X227</x:f>
        <x:v>0</x:v>
      </x:c>
      <x:c r="W227" s="268" t="n">
        <x:f>FASE4!M227</x:f>
        <x:v>0</x:v>
      </x:c>
      <x:c r="X227" s="268">
        <x:f t="shared" si="3"/>
        <x:v>0</x:v>
      </x:c>
      <x:c r="Y227" s="2"/>
    </x:row>
    <x:row r="228" ht="15.75">
      <x:c r="B228">
        <x:v>6</x:v>
      </x:c>
      <x:c r="C228" t="s">
        <x:v>115</x:v>
      </x:c>
      <x:c r="D228" s="243">
        <x:v>613</x:v>
      </x:c>
      <x:c r="E228" s="268" t="n">
        <x:f>FASE1!G228</x:f>
        <x:v>0</x:v>
      </x:c>
      <x:c r="F228" s="268" t="n">
        <x:f>FASE1!M228</x:f>
        <x:v>0</x:v>
      </x:c>
      <x:c r="G228" s="268" t="n">
        <x:f>FASE1!L228</x:f>
        <x:v>0</x:v>
      </x:c>
      <x:c r="H228" s="268" t="n">
        <x:f>FASE1!R228</x:f>
        <x:v>0</x:v>
      </x:c>
      <x:c r="I228" s="268" t="n">
        <x:f>FASE1!U228</x:f>
        <x:v>0</x:v>
      </x:c>
      <x:c r="J228" s="268" t="n">
        <x:f>FASE1!U228</x:f>
        <x:v>0</x:v>
      </x:c>
      <x:c r="K228" s="268" t="n">
        <x:f>FASE1!P228</x:f>
        <x:v>0</x:v>
      </x:c>
      <x:c r="L228" s="268" t="n">
        <x:f>FASE1!V228</x:f>
        <x:v>0</x:v>
      </x:c>
      <x:c r="M228" s="268" t="n">
        <x:f>AVERAGE(FASE2!F228:G228)</x:f>
        <x:v>0</x:v>
      </x:c>
      <x:c r="N228" s="268" t="n">
        <x:f>AVERAGE(FASE2!O228:P228,FASE2!S228)</x:f>
        <x:v>0</x:v>
      </x:c>
      <x:c r="O228" s="268" t="n">
        <x:f>FASE4!K228</x:f>
        <x:v>0</x:v>
      </x:c>
      <x:c r="P228" s="268" t="n">
        <x:f>FASE2!N228</x:f>
        <x:v>0</x:v>
      </x:c>
      <x:c r="Q228" s="268" t="n">
        <x:f>FASE3!P228</x:f>
        <x:v>0</x:v>
      </x:c>
      <x:c r="R228" s="268" t="n">
        <x:f>FASE3!N228</x:f>
        <x:v>0</x:v>
      </x:c>
      <x:c r="S228" s="268" t="n">
        <x:f>AVERAGE(FASE3!Q228,FASE3!R228,FASE3!T228,FASE3!S228)</x:f>
        <x:v>0</x:v>
      </x:c>
      <x:c r="T228" s="268" t="n">
        <x:f>AVERAGE(FASE3!U228,FASE3!V228,FASE3!W228)</x:f>
        <x:v>0</x:v>
      </x:c>
      <x:c r="U228" s="268" t="n">
        <x:f>FASE3!Y228</x:f>
        <x:v>0</x:v>
      </x:c>
      <x:c r="V228" s="268" t="n">
        <x:f>FASE3!X228</x:f>
        <x:v>0</x:v>
      </x:c>
      <x:c r="W228" s="268" t="n">
        <x:f>FASE4!M228</x:f>
        <x:v>0</x:v>
      </x:c>
      <x:c r="X228" s="268">
        <x:f t="shared" si="3"/>
        <x:v>0</x:v>
      </x:c>
      <x:c r="Y228" s="2"/>
    </x:row>
    <x:row r="229" ht="15.75">
      <x:c r="B229">
        <x:v>6</x:v>
      </x:c>
      <x:c r="C229" t="s">
        <x:v>115</x:v>
      </x:c>
      <x:c r="D229" s="243">
        <x:v>614</x:v>
      </x:c>
      <x:c r="E229" s="268" t="n">
        <x:f>FASE1!G229</x:f>
        <x:v>0</x:v>
      </x:c>
      <x:c r="F229" s="268" t="n">
        <x:f>FASE1!M229</x:f>
        <x:v>0</x:v>
      </x:c>
      <x:c r="G229" s="268" t="n">
        <x:f>FASE1!L229</x:f>
        <x:v>0</x:v>
      </x:c>
      <x:c r="H229" s="268" t="n">
        <x:f>FASE1!R229</x:f>
        <x:v>0</x:v>
      </x:c>
      <x:c r="I229" s="268" t="n">
        <x:f>FASE1!U229</x:f>
        <x:v>0</x:v>
      </x:c>
      <x:c r="J229" s="268" t="n">
        <x:f>FASE1!U229</x:f>
        <x:v>0</x:v>
      </x:c>
      <x:c r="K229" s="268" t="n">
        <x:f>FASE1!P229</x:f>
        <x:v>0</x:v>
      </x:c>
      <x:c r="L229" s="268" t="n">
        <x:f>FASE1!V229</x:f>
        <x:v>0</x:v>
      </x:c>
      <x:c r="M229" s="268" t="n">
        <x:f>AVERAGE(FASE2!F229:G229)</x:f>
        <x:v>0</x:v>
      </x:c>
      <x:c r="N229" s="268" t="n">
        <x:f>AVERAGE(FASE2!O229:P229,FASE2!S229)</x:f>
        <x:v>0</x:v>
      </x:c>
      <x:c r="O229" s="268" t="n">
        <x:f>FASE4!K229</x:f>
        <x:v>0</x:v>
      </x:c>
      <x:c r="P229" s="268" t="n">
        <x:f>FASE2!N229</x:f>
        <x:v>0</x:v>
      </x:c>
      <x:c r="Q229" s="268" t="n">
        <x:f>FASE3!P229</x:f>
        <x:v>0</x:v>
      </x:c>
      <x:c r="R229" s="268" t="n">
        <x:f>FASE3!N229</x:f>
        <x:v>0</x:v>
      </x:c>
      <x:c r="S229" s="268" t="n">
        <x:f>AVERAGE(FASE3!Q229,FASE3!R229,FASE3!T229,FASE3!S229)</x:f>
        <x:v>0</x:v>
      </x:c>
      <x:c r="T229" s="268" t="n">
        <x:f>AVERAGE(FASE3!U229,FASE3!V229,FASE3!W229)</x:f>
        <x:v>0</x:v>
      </x:c>
      <x:c r="U229" s="268" t="n">
        <x:f>FASE3!Y229</x:f>
        <x:v>0</x:v>
      </x:c>
      <x:c r="V229" s="268" t="n">
        <x:f>FASE3!X229</x:f>
        <x:v>0</x:v>
      </x:c>
      <x:c r="W229" s="268" t="n">
        <x:f>FASE4!M229</x:f>
        <x:v>0</x:v>
      </x:c>
      <x:c r="X229" s="268">
        <x:f t="shared" si="3"/>
        <x:v>0</x:v>
      </x:c>
      <x:c r="Y229" s="2"/>
    </x:row>
    <x:row r="230" ht="15.75">
      <x:c r="B230">
        <x:v>6</x:v>
      </x:c>
      <x:c r="C230" t="s">
        <x:v>115</x:v>
      </x:c>
      <x:c r="D230" s="243">
        <x:v>615</x:v>
      </x:c>
      <x:c r="E230" s="268" t="n">
        <x:f>FASE1!G230</x:f>
        <x:v>0</x:v>
      </x:c>
      <x:c r="F230" s="268" t="n">
        <x:f>FASE1!M230</x:f>
        <x:v>0</x:v>
      </x:c>
      <x:c r="G230" s="268" t="n">
        <x:f>FASE1!L230</x:f>
        <x:v>0</x:v>
      </x:c>
      <x:c r="H230" s="268" t="n">
        <x:f>FASE1!R230</x:f>
        <x:v>0</x:v>
      </x:c>
      <x:c r="I230" s="268" t="n">
        <x:f>FASE1!U230</x:f>
        <x:v>0</x:v>
      </x:c>
      <x:c r="J230" s="268" t="n">
        <x:f>FASE1!U230</x:f>
        <x:v>0</x:v>
      </x:c>
      <x:c r="K230" s="268" t="n">
        <x:f>FASE1!P230</x:f>
        <x:v>0</x:v>
      </x:c>
      <x:c r="L230" s="268" t="n">
        <x:f>FASE1!V230</x:f>
        <x:v>0</x:v>
      </x:c>
      <x:c r="M230" s="268" t="n">
        <x:f>AVERAGE(FASE2!F230:G230)</x:f>
        <x:v>0</x:v>
      </x:c>
      <x:c r="N230" s="268" t="n">
        <x:f>AVERAGE(FASE2!O230:P230,FASE2!S230)</x:f>
        <x:v>0</x:v>
      </x:c>
      <x:c r="O230" s="268" t="n">
        <x:f>FASE4!K230</x:f>
        <x:v>0</x:v>
      </x:c>
      <x:c r="P230" s="268" t="n">
        <x:f>FASE2!N230</x:f>
        <x:v>0</x:v>
      </x:c>
      <x:c r="Q230" s="268" t="n">
        <x:f>FASE3!P230</x:f>
        <x:v>0</x:v>
      </x:c>
      <x:c r="R230" s="268" t="n">
        <x:f>FASE3!N230</x:f>
        <x:v>0</x:v>
      </x:c>
      <x:c r="S230" s="268" t="n">
        <x:f>AVERAGE(FASE3!Q230,FASE3!R230,FASE3!T230,FASE3!S230)</x:f>
        <x:v>0</x:v>
      </x:c>
      <x:c r="T230" s="268" t="n">
        <x:f>AVERAGE(FASE3!U230,FASE3!V230,FASE3!W230)</x:f>
        <x:v>0</x:v>
      </x:c>
      <x:c r="U230" s="268" t="n">
        <x:f>FASE3!Y230</x:f>
        <x:v>0</x:v>
      </x:c>
      <x:c r="V230" s="268" t="n">
        <x:f>FASE3!X230</x:f>
        <x:v>0</x:v>
      </x:c>
      <x:c r="W230" s="268" t="n">
        <x:f>FASE4!M230</x:f>
        <x:v>0</x:v>
      </x:c>
      <x:c r="X230" s="268">
        <x:f t="shared" si="3"/>
        <x:v>0</x:v>
      </x:c>
      <x:c r="Y230" s="2"/>
    </x:row>
    <x:row r="231" ht="15.75">
      <x:c r="B231">
        <x:v>6</x:v>
      </x:c>
      <x:c r="C231" t="s">
        <x:v>115</x:v>
      </x:c>
      <x:c r="D231" s="243">
        <x:v>616</x:v>
      </x:c>
      <x:c r="E231" s="268" t="n">
        <x:f>FASE1!G231</x:f>
        <x:v>0</x:v>
      </x:c>
      <x:c r="F231" s="268" t="n">
        <x:f>FASE1!M231</x:f>
        <x:v>0</x:v>
      </x:c>
      <x:c r="G231" s="268" t="n">
        <x:f>FASE1!L231</x:f>
        <x:v>0</x:v>
      </x:c>
      <x:c r="H231" s="268" t="n">
        <x:f>FASE1!R231</x:f>
        <x:v>0</x:v>
      </x:c>
      <x:c r="I231" s="268" t="n">
        <x:f>FASE1!U231</x:f>
        <x:v>0</x:v>
      </x:c>
      <x:c r="J231" s="268" t="n">
        <x:f>FASE1!U231</x:f>
        <x:v>0</x:v>
      </x:c>
      <x:c r="K231" s="268" t="n">
        <x:f>FASE1!P231</x:f>
        <x:v>0</x:v>
      </x:c>
      <x:c r="L231" s="268" t="n">
        <x:f>FASE1!V231</x:f>
        <x:v>0</x:v>
      </x:c>
      <x:c r="M231" s="268" t="n">
        <x:f>AVERAGE(FASE2!F231:G231)</x:f>
        <x:v>0</x:v>
      </x:c>
      <x:c r="N231" s="268" t="n">
        <x:f>AVERAGE(FASE2!O231:P231,FASE2!S231)</x:f>
        <x:v>0</x:v>
      </x:c>
      <x:c r="O231" s="268" t="n">
        <x:f>FASE4!K231</x:f>
        <x:v>0</x:v>
      </x:c>
      <x:c r="P231" s="268" t="n">
        <x:f>FASE2!N231</x:f>
        <x:v>0</x:v>
      </x:c>
      <x:c r="Q231" s="268" t="n">
        <x:f>FASE3!P231</x:f>
        <x:v>0</x:v>
      </x:c>
      <x:c r="R231" s="268" t="n">
        <x:f>FASE3!N231</x:f>
        <x:v>0</x:v>
      </x:c>
      <x:c r="S231" s="268" t="n">
        <x:f>AVERAGE(FASE3!Q231,FASE3!R231,FASE3!T231,FASE3!S231)</x:f>
        <x:v>0</x:v>
      </x:c>
      <x:c r="T231" s="268" t="n">
        <x:f>AVERAGE(FASE3!U231,FASE3!V231,FASE3!W231)</x:f>
        <x:v>0</x:v>
      </x:c>
      <x:c r="U231" s="268" t="n">
        <x:f>FASE3!Y231</x:f>
        <x:v>0</x:v>
      </x:c>
      <x:c r="V231" s="268" t="n">
        <x:f>FASE3!X231</x:f>
        <x:v>0</x:v>
      </x:c>
      <x:c r="W231" s="268" t="n">
        <x:f>FASE4!M231</x:f>
        <x:v>0</x:v>
      </x:c>
      <x:c r="X231" s="268">
        <x:f t="shared" si="3"/>
        <x:v>0</x:v>
      </x:c>
      <x:c r="Y231" s="2"/>
    </x:row>
    <x:row r="232" ht="15.75">
      <x:c r="B232">
        <x:v>6</x:v>
      </x:c>
      <x:c r="C232" t="s">
        <x:v>115</x:v>
      </x:c>
      <x:c r="D232" s="243">
        <x:v>617</x:v>
      </x:c>
      <x:c r="E232" s="268" t="n">
        <x:f>FASE1!G232</x:f>
        <x:v>0</x:v>
      </x:c>
      <x:c r="F232" s="268" t="n">
        <x:f>FASE1!M232</x:f>
        <x:v>0</x:v>
      </x:c>
      <x:c r="G232" s="268" t="n">
        <x:f>FASE1!L232</x:f>
        <x:v>0</x:v>
      </x:c>
      <x:c r="H232" s="268" t="n">
        <x:f>FASE1!R232</x:f>
        <x:v>0</x:v>
      </x:c>
      <x:c r="I232" s="268" t="n">
        <x:f>FASE1!U232</x:f>
        <x:v>0</x:v>
      </x:c>
      <x:c r="J232" s="268" t="n">
        <x:f>FASE1!U232</x:f>
        <x:v>0</x:v>
      </x:c>
      <x:c r="K232" s="268" t="n">
        <x:f>FASE1!P232</x:f>
        <x:v>0</x:v>
      </x:c>
      <x:c r="L232" s="268" t="n">
        <x:f>FASE1!V232</x:f>
        <x:v>0</x:v>
      </x:c>
      <x:c r="M232" s="268" t="n">
        <x:f>AVERAGE(FASE2!F232:G232)</x:f>
        <x:v>0</x:v>
      </x:c>
      <x:c r="N232" s="268" t="n">
        <x:f>AVERAGE(FASE2!O232:P232,FASE2!S232)</x:f>
        <x:v>0</x:v>
      </x:c>
      <x:c r="O232" s="268" t="n">
        <x:f>FASE4!K232</x:f>
        <x:v>0</x:v>
      </x:c>
      <x:c r="P232" s="268" t="n">
        <x:f>FASE2!N232</x:f>
        <x:v>0</x:v>
      </x:c>
      <x:c r="Q232" s="268" t="n">
        <x:f>FASE3!P232</x:f>
        <x:v>0</x:v>
      </x:c>
      <x:c r="R232" s="268" t="n">
        <x:f>FASE3!N232</x:f>
        <x:v>0</x:v>
      </x:c>
      <x:c r="S232" s="268" t="n">
        <x:f>AVERAGE(FASE3!Q232,FASE3!R232,FASE3!T232,FASE3!S232)</x:f>
        <x:v>0</x:v>
      </x:c>
      <x:c r="T232" s="268" t="n">
        <x:f>AVERAGE(FASE3!U232,FASE3!V232,FASE3!W232)</x:f>
        <x:v>0</x:v>
      </x:c>
      <x:c r="U232" s="268" t="n">
        <x:f>FASE3!Y232</x:f>
        <x:v>0</x:v>
      </x:c>
      <x:c r="V232" s="268" t="n">
        <x:f>FASE3!X232</x:f>
        <x:v>0</x:v>
      </x:c>
      <x:c r="W232" s="268" t="n">
        <x:f>FASE4!M232</x:f>
        <x:v>0</x:v>
      </x:c>
      <x:c r="X232" s="268">
        <x:f t="shared" si="3"/>
        <x:v>0</x:v>
      </x:c>
      <x:c r="Y232" s="2"/>
    </x:row>
    <x:row r="233" ht="15.75">
      <x:c r="B233">
        <x:v>6</x:v>
      </x:c>
      <x:c r="C233" t="s">
        <x:v>115</x:v>
      </x:c>
      <x:c r="D233" s="243">
        <x:v>618</x:v>
      </x:c>
      <x:c r="E233" s="268" t="n">
        <x:f>FASE1!G233</x:f>
        <x:v>0</x:v>
      </x:c>
      <x:c r="F233" s="268" t="n">
        <x:f>FASE1!M233</x:f>
        <x:v>0</x:v>
      </x:c>
      <x:c r="G233" s="268" t="n">
        <x:f>FASE1!L233</x:f>
        <x:v>0</x:v>
      </x:c>
      <x:c r="H233" s="268" t="n">
        <x:f>FASE1!R233</x:f>
        <x:v>0</x:v>
      </x:c>
      <x:c r="I233" s="268" t="n">
        <x:f>FASE1!U233</x:f>
        <x:v>0</x:v>
      </x:c>
      <x:c r="J233" s="268" t="n">
        <x:f>FASE1!U233</x:f>
        <x:v>0</x:v>
      </x:c>
      <x:c r="K233" s="268" t="n">
        <x:f>FASE1!P233</x:f>
        <x:v>0</x:v>
      </x:c>
      <x:c r="L233" s="268" t="n">
        <x:f>FASE1!V233</x:f>
        <x:v>0</x:v>
      </x:c>
      <x:c r="M233" s="268" t="n">
        <x:f>AVERAGE(FASE2!F233:G233)</x:f>
        <x:v>0</x:v>
      </x:c>
      <x:c r="N233" s="268" t="n">
        <x:f>AVERAGE(FASE2!O233:P233,FASE2!S233)</x:f>
        <x:v>0</x:v>
      </x:c>
      <x:c r="O233" s="268" t="n">
        <x:f>FASE4!K233</x:f>
        <x:v>0</x:v>
      </x:c>
      <x:c r="P233" s="268" t="n">
        <x:f>FASE2!N233</x:f>
        <x:v>0</x:v>
      </x:c>
      <x:c r="Q233" s="268" t="n">
        <x:f>FASE3!P233</x:f>
        <x:v>0</x:v>
      </x:c>
      <x:c r="R233" s="268" t="n">
        <x:f>FASE3!N233</x:f>
        <x:v>0</x:v>
      </x:c>
      <x:c r="S233" s="268" t="n">
        <x:f>AVERAGE(FASE3!Q233,FASE3!R233,FASE3!T233,FASE3!S233)</x:f>
        <x:v>0</x:v>
      </x:c>
      <x:c r="T233" s="268" t="n">
        <x:f>AVERAGE(FASE3!U233,FASE3!V233,FASE3!W233)</x:f>
        <x:v>0</x:v>
      </x:c>
      <x:c r="U233" s="268" t="n">
        <x:f>FASE3!Y233</x:f>
        <x:v>0</x:v>
      </x:c>
      <x:c r="V233" s="268" t="n">
        <x:f>FASE3!X233</x:f>
        <x:v>0</x:v>
      </x:c>
      <x:c r="W233" s="268" t="n">
        <x:f>FASE4!M233</x:f>
        <x:v>0</x:v>
      </x:c>
      <x:c r="X233" s="268">
        <x:f t="shared" si="3"/>
        <x:v>0</x:v>
      </x:c>
      <x:c r="Y233" s="2"/>
    </x:row>
    <x:row r="234" ht="15.75">
      <x:c r="B234">
        <x:v>6</x:v>
      </x:c>
      <x:c r="C234" t="s">
        <x:v>115</x:v>
      </x:c>
      <x:c r="D234" s="243">
        <x:v>619</x:v>
      </x:c>
      <x:c r="E234" s="268" t="n">
        <x:f>FASE1!G234</x:f>
        <x:v>0</x:v>
      </x:c>
      <x:c r="F234" s="268" t="n">
        <x:f>FASE1!M234</x:f>
        <x:v>0</x:v>
      </x:c>
      <x:c r="G234" s="268" t="n">
        <x:f>FASE1!L234</x:f>
        <x:v>0</x:v>
      </x:c>
      <x:c r="H234" s="268" t="n">
        <x:f>FASE1!R234</x:f>
        <x:v>0</x:v>
      </x:c>
      <x:c r="I234" s="268" t="n">
        <x:f>FASE1!U234</x:f>
        <x:v>0</x:v>
      </x:c>
      <x:c r="J234" s="268" t="n">
        <x:f>FASE1!U234</x:f>
        <x:v>0</x:v>
      </x:c>
      <x:c r="K234" s="268" t="n">
        <x:f>FASE1!P234</x:f>
        <x:v>0</x:v>
      </x:c>
      <x:c r="L234" s="268" t="n">
        <x:f>FASE1!V234</x:f>
        <x:v>0</x:v>
      </x:c>
      <x:c r="M234" s="268" t="n">
        <x:f>AVERAGE(FASE2!F234:G234)</x:f>
        <x:v>0</x:v>
      </x:c>
      <x:c r="N234" s="268" t="n">
        <x:f>AVERAGE(FASE2!O234:P234,FASE2!S234)</x:f>
        <x:v>0</x:v>
      </x:c>
      <x:c r="O234" s="268" t="n">
        <x:f>FASE4!K234</x:f>
        <x:v>0</x:v>
      </x:c>
      <x:c r="P234" s="268" t="n">
        <x:f>FASE2!N234</x:f>
        <x:v>0</x:v>
      </x:c>
      <x:c r="Q234" s="268" t="n">
        <x:f>FASE3!P234</x:f>
        <x:v>0</x:v>
      </x:c>
      <x:c r="R234" s="268" t="n">
        <x:f>FASE3!N234</x:f>
        <x:v>0</x:v>
      </x:c>
      <x:c r="S234" s="268" t="n">
        <x:f>AVERAGE(FASE3!Q234,FASE3!R234,FASE3!T234,FASE3!S234)</x:f>
        <x:v>0</x:v>
      </x:c>
      <x:c r="T234" s="268" t="n">
        <x:f>AVERAGE(FASE3!U234,FASE3!V234,FASE3!W234)</x:f>
        <x:v>0</x:v>
      </x:c>
      <x:c r="U234" s="268" t="n">
        <x:f>FASE3!Y234</x:f>
        <x:v>0</x:v>
      </x:c>
      <x:c r="V234" s="268" t="n">
        <x:f>FASE3!X234</x:f>
        <x:v>0</x:v>
      </x:c>
      <x:c r="W234" s="268" t="n">
        <x:f>FASE4!M234</x:f>
        <x:v>0</x:v>
      </x:c>
      <x:c r="X234" s="268">
        <x:f t="shared" si="3"/>
        <x:v>0</x:v>
      </x:c>
      <x:c r="Y234" s="2"/>
    </x:row>
    <x:row r="235" ht="15.75">
      <x:c r="B235">
        <x:v>6</x:v>
      </x:c>
      <x:c r="C235" t="s">
        <x:v>115</x:v>
      </x:c>
      <x:c r="D235" s="243">
        <x:v>620</x:v>
      </x:c>
      <x:c r="E235" s="268" t="n">
        <x:f>FASE1!G235</x:f>
        <x:v>0</x:v>
      </x:c>
      <x:c r="F235" s="268" t="n">
        <x:f>FASE1!M235</x:f>
        <x:v>0</x:v>
      </x:c>
      <x:c r="G235" s="268" t="n">
        <x:f>FASE1!L235</x:f>
        <x:v>0</x:v>
      </x:c>
      <x:c r="H235" s="268" t="n">
        <x:f>FASE1!R235</x:f>
        <x:v>0</x:v>
      </x:c>
      <x:c r="I235" s="268" t="n">
        <x:f>FASE1!U235</x:f>
        <x:v>0</x:v>
      </x:c>
      <x:c r="J235" s="268" t="n">
        <x:f>FASE1!U235</x:f>
        <x:v>0</x:v>
      </x:c>
      <x:c r="K235" s="268" t="n">
        <x:f>FASE1!P235</x:f>
        <x:v>0</x:v>
      </x:c>
      <x:c r="L235" s="268" t="n">
        <x:f>FASE1!V235</x:f>
        <x:v>0</x:v>
      </x:c>
      <x:c r="M235" s="268" t="n">
        <x:f>AVERAGE(FASE2!F235:G235)</x:f>
        <x:v>0</x:v>
      </x:c>
      <x:c r="N235" s="268" t="n">
        <x:f>AVERAGE(FASE2!O235:P235,FASE2!S235)</x:f>
        <x:v>0</x:v>
      </x:c>
      <x:c r="O235" s="268" t="n">
        <x:f>FASE4!K235</x:f>
        <x:v>0</x:v>
      </x:c>
      <x:c r="P235" s="268" t="n">
        <x:f>FASE2!N235</x:f>
        <x:v>0</x:v>
      </x:c>
      <x:c r="Q235" s="268" t="n">
        <x:f>FASE3!P235</x:f>
        <x:v>0</x:v>
      </x:c>
      <x:c r="R235" s="268" t="n">
        <x:f>FASE3!N235</x:f>
        <x:v>0</x:v>
      </x:c>
      <x:c r="S235" s="268" t="n">
        <x:f>AVERAGE(FASE3!Q235,FASE3!R235,FASE3!T235,FASE3!S235)</x:f>
        <x:v>0</x:v>
      </x:c>
      <x:c r="T235" s="268" t="n">
        <x:f>AVERAGE(FASE3!U235,FASE3!V235,FASE3!W235)</x:f>
        <x:v>0</x:v>
      </x:c>
      <x:c r="U235" s="268" t="n">
        <x:f>FASE3!Y235</x:f>
        <x:v>0</x:v>
      </x:c>
      <x:c r="V235" s="268" t="n">
        <x:f>FASE3!X235</x:f>
        <x:v>0</x:v>
      </x:c>
      <x:c r="W235" s="268" t="n">
        <x:f>FASE4!M235</x:f>
        <x:v>0</x:v>
      </x:c>
      <x:c r="X235" s="268">
        <x:f t="shared" si="3"/>
        <x:v>0</x:v>
      </x:c>
      <x:c r="Y235" s="2"/>
    </x:row>
    <x:row r="236" ht="15.75">
      <x:c r="B236">
        <x:v>6</x:v>
      </x:c>
      <x:c r="C236" t="s">
        <x:v>115</x:v>
      </x:c>
      <x:c r="D236" s="243">
        <x:v>621</x:v>
      </x:c>
      <x:c r="E236" s="268" t="n">
        <x:f>FASE1!G236</x:f>
        <x:v>0</x:v>
      </x:c>
      <x:c r="F236" s="268" t="n">
        <x:f>FASE1!M236</x:f>
        <x:v>0</x:v>
      </x:c>
      <x:c r="G236" s="268" t="n">
        <x:f>FASE1!L236</x:f>
        <x:v>0</x:v>
      </x:c>
      <x:c r="H236" s="268" t="n">
        <x:f>FASE1!R236</x:f>
        <x:v>0</x:v>
      </x:c>
      <x:c r="I236" s="268" t="n">
        <x:f>FASE1!U236</x:f>
        <x:v>0</x:v>
      </x:c>
      <x:c r="J236" s="268" t="n">
        <x:f>FASE1!U236</x:f>
        <x:v>0</x:v>
      </x:c>
      <x:c r="K236" s="268" t="n">
        <x:f>FASE1!P236</x:f>
        <x:v>0</x:v>
      </x:c>
      <x:c r="L236" s="268" t="n">
        <x:f>FASE1!V236</x:f>
        <x:v>0</x:v>
      </x:c>
      <x:c r="M236" s="268" t="n">
        <x:f>AVERAGE(FASE2!F236:G236)</x:f>
        <x:v>0</x:v>
      </x:c>
      <x:c r="N236" s="268" t="n">
        <x:f>AVERAGE(FASE2!O236:P236,FASE2!S236)</x:f>
        <x:v>0</x:v>
      </x:c>
      <x:c r="O236" s="268" t="n">
        <x:f>FASE4!K236</x:f>
        <x:v>0</x:v>
      </x:c>
      <x:c r="P236" s="268" t="n">
        <x:f>FASE2!N236</x:f>
        <x:v>0</x:v>
      </x:c>
      <x:c r="Q236" s="268" t="n">
        <x:f>FASE3!P236</x:f>
        <x:v>0</x:v>
      </x:c>
      <x:c r="R236" s="268" t="n">
        <x:f>FASE3!N236</x:f>
        <x:v>0</x:v>
      </x:c>
      <x:c r="S236" s="268" t="n">
        <x:f>AVERAGE(FASE3!Q236,FASE3!R236,FASE3!T236,FASE3!S236)</x:f>
        <x:v>0</x:v>
      </x:c>
      <x:c r="T236" s="268" t="n">
        <x:f>AVERAGE(FASE3!U236,FASE3!V236,FASE3!W236)</x:f>
        <x:v>0</x:v>
      </x:c>
      <x:c r="U236" s="268" t="n">
        <x:f>FASE3!Y236</x:f>
        <x:v>0</x:v>
      </x:c>
      <x:c r="V236" s="268" t="n">
        <x:f>FASE3!X236</x:f>
        <x:v>0</x:v>
      </x:c>
      <x:c r="W236" s="268" t="n">
        <x:f>FASE4!M236</x:f>
        <x:v>0</x:v>
      </x:c>
      <x:c r="X236" s="268">
        <x:f t="shared" si="3"/>
        <x:v>0</x:v>
      </x:c>
      <x:c r="Y236" s="2"/>
    </x:row>
    <x:row r="237" ht="15.75">
      <x:c r="B237">
        <x:v>6</x:v>
      </x:c>
      <x:c r="C237" t="s">
        <x:v>135</x:v>
      </x:c>
      <x:c r="D237" s="243" t="s">
        <x:v>136</x:v>
      </x:c>
      <x:c r="E237" s="268" t="n">
        <x:f>FASE1!G237</x:f>
        <x:v>0</x:v>
      </x:c>
      <x:c r="F237" s="268" t="n">
        <x:f>FASE1!M237</x:f>
        <x:v>0</x:v>
      </x:c>
      <x:c r="G237" s="268" t="n">
        <x:f>FASE1!L237</x:f>
        <x:v>0</x:v>
      </x:c>
      <x:c r="H237" s="268" t="n">
        <x:f>FASE1!R237</x:f>
        <x:v>0</x:v>
      </x:c>
      <x:c r="I237" s="268" t="n">
        <x:f>FASE1!U237</x:f>
        <x:v>0</x:v>
      </x:c>
      <x:c r="J237" s="268" t="n">
        <x:f>FASE1!U237</x:f>
        <x:v>0</x:v>
      </x:c>
      <x:c r="K237" s="268" t="n">
        <x:f>FASE1!P237</x:f>
        <x:v>0</x:v>
      </x:c>
      <x:c r="L237" s="268" t="n">
        <x:f>FASE1!V237</x:f>
        <x:v>0</x:v>
      </x:c>
      <x:c r="M237" s="268" t="e">
        <x:f>AVERAGE(FASE2!F237:G237)</x:f>
        <x:v>#DIV/0!</x:v>
      </x:c>
      <x:c r="N237" s="268" t="e">
        <x:f>AVERAGE(FASE2!O237:P237,FASE2!S237)</x:f>
        <x:v>#DIV/0!</x:v>
      </x:c>
      <x:c r="O237" s="268" t="n">
        <x:f>FASE4!K237</x:f>
        <x:v>0</x:v>
      </x:c>
      <x:c r="P237" s="268" t="n">
        <x:f>FASE2!N237</x:f>
        <x:v>0</x:v>
      </x:c>
      <x:c r="Q237" s="268" t="n">
        <x:f>FASE3!P237</x:f>
        <x:v>0</x:v>
      </x:c>
      <x:c r="R237" s="268" t="n">
        <x:f>FASE3!N237</x:f>
        <x:v>0</x:v>
      </x:c>
      <x:c r="S237" s="268" t="n">
        <x:f>AVERAGE(FASE3!Q237,FASE3!R237,FASE3!T237,FASE3!S237)</x:f>
        <x:v>0</x:v>
      </x:c>
      <x:c r="T237" s="268" t="n">
        <x:f>AVERAGE(FASE3!U237,FASE3!V237,FASE3!W237)</x:f>
        <x:v>0</x:v>
      </x:c>
      <x:c r="U237" s="268" t="n">
        <x:f>FASE3!Y237</x:f>
        <x:v>0</x:v>
      </x:c>
      <x:c r="V237" s="268" t="n">
        <x:f>FASE3!X237</x:f>
        <x:v>0</x:v>
      </x:c>
      <x:c r="W237" s="268" t="n">
        <x:f>FASE4!M237</x:f>
        <x:v>0</x:v>
      </x:c>
      <x:c r="X237" s="268">
        <x:f t="shared" si="3"/>
        <x:v>0</x:v>
      </x:c>
      <x:c r="Y237" s="2"/>
    </x:row>
    <x:row r="238" ht="15.75">
      <x:c r="B238">
        <x:v>7</x:v>
      </x:c>
      <x:c r="C238" t="s">
        <x:v>116</x:v>
      </x:c>
      <x:c r="D238" s="243">
        <x:v>701</x:v>
      </x:c>
      <x:c r="E238" s="268" t="n">
        <x:f>FASE1!G238</x:f>
        <x:v>0</x:v>
      </x:c>
      <x:c r="F238" s="268" t="n">
        <x:f>FASE1!M238</x:f>
        <x:v>0</x:v>
      </x:c>
      <x:c r="G238" s="268" t="n">
        <x:f>FASE1!L238</x:f>
        <x:v>0</x:v>
      </x:c>
      <x:c r="H238" s="268" t="n">
        <x:f>FASE1!R238</x:f>
        <x:v>0</x:v>
      </x:c>
      <x:c r="I238" s="268" t="n">
        <x:f>FASE1!U238</x:f>
        <x:v>0</x:v>
      </x:c>
      <x:c r="J238" s="268" t="n">
        <x:f>FASE1!U238</x:f>
        <x:v>0</x:v>
      </x:c>
      <x:c r="K238" s="268" t="n">
        <x:f>FASE1!P238</x:f>
        <x:v>0</x:v>
      </x:c>
      <x:c r="L238" s="268" t="n">
        <x:f>FASE1!V238</x:f>
        <x:v>0</x:v>
      </x:c>
      <x:c r="M238" s="268" t="n">
        <x:f>AVERAGE(FASE2!F238:G238)</x:f>
        <x:v>0</x:v>
      </x:c>
      <x:c r="N238" s="268" t="n">
        <x:f>AVERAGE(FASE2!O238:P238,FASE2!S238)</x:f>
        <x:v>0</x:v>
      </x:c>
      <x:c r="O238" s="268" t="n">
        <x:f>FASE4!K238</x:f>
        <x:v>0</x:v>
      </x:c>
      <x:c r="P238" s="268" t="n">
        <x:f>FASE2!N238</x:f>
        <x:v>0</x:v>
      </x:c>
      <x:c r="Q238" s="268" t="n">
        <x:f>FASE3!P238</x:f>
        <x:v>0</x:v>
      </x:c>
      <x:c r="R238" s="268" t="n">
        <x:f>FASE3!N238</x:f>
        <x:v>0</x:v>
      </x:c>
      <x:c r="S238" s="268" t="n">
        <x:f>AVERAGE(FASE3!Q238,FASE3!R238,FASE3!T238,FASE3!S238)</x:f>
        <x:v>0</x:v>
      </x:c>
      <x:c r="T238" s="268" t="n">
        <x:f>AVERAGE(FASE3!U238,FASE3!V238,FASE3!W238)</x:f>
        <x:v>0</x:v>
      </x:c>
      <x:c r="U238" s="268" t="n">
        <x:f>FASE3!Y238</x:f>
        <x:v>0</x:v>
      </x:c>
      <x:c r="V238" s="268" t="n">
        <x:f>FASE3!X238</x:f>
        <x:v>0</x:v>
      </x:c>
      <x:c r="W238" s="268" t="n">
        <x:f>FASE4!M238</x:f>
        <x:v>0</x:v>
      </x:c>
      <x:c r="X238" s="268">
        <x:f t="shared" si="3"/>
        <x:v>0</x:v>
      </x:c>
      <x:c r="Y238" s="2"/>
    </x:row>
    <x:row r="239" ht="15.75">
      <x:c r="B239">
        <x:v>7</x:v>
      </x:c>
      <x:c r="C239" t="s">
        <x:v>116</x:v>
      </x:c>
      <x:c r="D239" s="243">
        <x:v>702</x:v>
      </x:c>
      <x:c r="E239" s="268" t="n">
        <x:f>FASE1!G239</x:f>
        <x:v>0</x:v>
      </x:c>
      <x:c r="F239" s="268" t="n">
        <x:f>FASE1!M239</x:f>
        <x:v>0</x:v>
      </x:c>
      <x:c r="G239" s="268" t="n">
        <x:f>FASE1!L239</x:f>
        <x:v>0</x:v>
      </x:c>
      <x:c r="H239" s="268" t="n">
        <x:f>FASE1!R239</x:f>
        <x:v>0</x:v>
      </x:c>
      <x:c r="I239" s="268" t="n">
        <x:f>FASE1!U239</x:f>
        <x:v>0</x:v>
      </x:c>
      <x:c r="J239" s="268" t="n">
        <x:f>FASE1!U239</x:f>
        <x:v>0</x:v>
      </x:c>
      <x:c r="K239" s="268" t="n">
        <x:f>FASE1!P239</x:f>
        <x:v>0</x:v>
      </x:c>
      <x:c r="L239" s="268" t="n">
        <x:f>FASE1!V239</x:f>
        <x:v>0</x:v>
      </x:c>
      <x:c r="M239" s="268" t="n">
        <x:f>AVERAGE(FASE2!F239:G239)</x:f>
        <x:v>0</x:v>
      </x:c>
      <x:c r="N239" s="268" t="n">
        <x:f>AVERAGE(FASE2!O239:P239,FASE2!S239)</x:f>
        <x:v>0</x:v>
      </x:c>
      <x:c r="O239" s="268" t="n">
        <x:f>FASE4!K239</x:f>
        <x:v>0</x:v>
      </x:c>
      <x:c r="P239" s="268" t="n">
        <x:f>FASE2!N239</x:f>
        <x:v>0</x:v>
      </x:c>
      <x:c r="Q239" s="268" t="n">
        <x:f>FASE3!P239</x:f>
        <x:v>0</x:v>
      </x:c>
      <x:c r="R239" s="268" t="n">
        <x:f>FASE3!N239</x:f>
        <x:v>0</x:v>
      </x:c>
      <x:c r="S239" s="268" t="n">
        <x:f>AVERAGE(FASE3!Q239,FASE3!R239,FASE3!T239,FASE3!S239)</x:f>
        <x:v>0</x:v>
      </x:c>
      <x:c r="T239" s="268" t="n">
        <x:f>AVERAGE(FASE3!U239,FASE3!V239,FASE3!W239)</x:f>
        <x:v>0</x:v>
      </x:c>
      <x:c r="U239" s="268" t="n">
        <x:f>FASE3!Y239</x:f>
        <x:v>0</x:v>
      </x:c>
      <x:c r="V239" s="268" t="n">
        <x:f>FASE3!X239</x:f>
        <x:v>0</x:v>
      </x:c>
      <x:c r="W239" s="268" t="n">
        <x:f>FASE4!M239</x:f>
        <x:v>0</x:v>
      </x:c>
      <x:c r="X239" s="268">
        <x:f t="shared" si="3"/>
        <x:v>0</x:v>
      </x:c>
      <x:c r="Y239" s="2"/>
    </x:row>
    <x:row r="240" ht="15.75">
      <x:c r="B240">
        <x:v>7</x:v>
      </x:c>
      <x:c r="C240" t="s">
        <x:v>116</x:v>
      </x:c>
      <x:c r="D240" s="243">
        <x:v>703</x:v>
      </x:c>
      <x:c r="E240" s="268" t="n">
        <x:f>FASE1!G240</x:f>
        <x:v>0</x:v>
      </x:c>
      <x:c r="F240" s="268" t="n">
        <x:f>FASE1!M240</x:f>
        <x:v>0</x:v>
      </x:c>
      <x:c r="G240" s="268" t="n">
        <x:f>FASE1!L240</x:f>
        <x:v>0</x:v>
      </x:c>
      <x:c r="H240" s="268" t="n">
        <x:f>FASE1!R240</x:f>
        <x:v>0</x:v>
      </x:c>
      <x:c r="I240" s="268" t="n">
        <x:f>FASE1!U240</x:f>
        <x:v>0</x:v>
      </x:c>
      <x:c r="J240" s="268" t="n">
        <x:f>FASE1!U240</x:f>
        <x:v>0</x:v>
      </x:c>
      <x:c r="K240" s="268" t="n">
        <x:f>FASE1!P240</x:f>
        <x:v>0</x:v>
      </x:c>
      <x:c r="L240" s="268" t="n">
        <x:f>FASE1!V240</x:f>
        <x:v>0</x:v>
      </x:c>
      <x:c r="M240" s="268" t="n">
        <x:f>AVERAGE(FASE2!F240:G240)</x:f>
        <x:v>0</x:v>
      </x:c>
      <x:c r="N240" s="268" t="n">
        <x:f>AVERAGE(FASE2!O240:P240,FASE2!S240)</x:f>
        <x:v>0</x:v>
      </x:c>
      <x:c r="O240" s="268" t="n">
        <x:f>FASE4!K240</x:f>
        <x:v>0</x:v>
      </x:c>
      <x:c r="P240" s="268" t="n">
        <x:f>FASE2!N240</x:f>
        <x:v>0</x:v>
      </x:c>
      <x:c r="Q240" s="268" t="n">
        <x:f>FASE3!P240</x:f>
        <x:v>0</x:v>
      </x:c>
      <x:c r="R240" s="268" t="n">
        <x:f>FASE3!N240</x:f>
        <x:v>0</x:v>
      </x:c>
      <x:c r="S240" s="268" t="n">
        <x:f>AVERAGE(FASE3!Q240,FASE3!R240,FASE3!T240,FASE3!S240)</x:f>
        <x:v>0</x:v>
      </x:c>
      <x:c r="T240" s="268" t="n">
        <x:f>AVERAGE(FASE3!U240,FASE3!V240,FASE3!W240)</x:f>
        <x:v>0</x:v>
      </x:c>
      <x:c r="U240" s="268" t="n">
        <x:f>FASE3!Y240</x:f>
        <x:v>0</x:v>
      </x:c>
      <x:c r="V240" s="268" t="n">
        <x:f>FASE3!X240</x:f>
        <x:v>0</x:v>
      </x:c>
      <x:c r="W240" s="268" t="n">
        <x:f>FASE4!M240</x:f>
        <x:v>0</x:v>
      </x:c>
      <x:c r="X240" s="268">
        <x:f t="shared" si="3"/>
        <x:v>0</x:v>
      </x:c>
      <x:c r="Y240" s="2"/>
    </x:row>
    <x:row r="241" ht="15.75">
      <x:c r="B241">
        <x:v>7</x:v>
      </x:c>
      <x:c r="C241" t="s">
        <x:v>116</x:v>
      </x:c>
      <x:c r="D241" s="243">
        <x:v>704</x:v>
      </x:c>
      <x:c r="E241" s="268" t="n">
        <x:f>FASE1!G241</x:f>
        <x:v>0</x:v>
      </x:c>
      <x:c r="F241" s="268" t="n">
        <x:f>FASE1!M241</x:f>
        <x:v>0</x:v>
      </x:c>
      <x:c r="G241" s="268" t="n">
        <x:f>FASE1!L241</x:f>
        <x:v>0</x:v>
      </x:c>
      <x:c r="H241" s="268" t="n">
        <x:f>FASE1!R241</x:f>
        <x:v>0</x:v>
      </x:c>
      <x:c r="I241" s="268" t="n">
        <x:f>FASE1!U241</x:f>
        <x:v>0</x:v>
      </x:c>
      <x:c r="J241" s="268" t="n">
        <x:f>FASE1!U241</x:f>
        <x:v>0</x:v>
      </x:c>
      <x:c r="K241" s="268" t="n">
        <x:f>FASE1!P241</x:f>
        <x:v>0</x:v>
      </x:c>
      <x:c r="L241" s="268" t="n">
        <x:f>FASE1!V241</x:f>
        <x:v>0</x:v>
      </x:c>
      <x:c r="M241" s="268" t="n">
        <x:f>AVERAGE(FASE2!F241:G241)</x:f>
        <x:v>0</x:v>
      </x:c>
      <x:c r="N241" s="268" t="n">
        <x:f>AVERAGE(FASE2!O241:P241,FASE2!S241)</x:f>
        <x:v>0</x:v>
      </x:c>
      <x:c r="O241" s="268" t="n">
        <x:f>FASE4!K241</x:f>
        <x:v>0</x:v>
      </x:c>
      <x:c r="P241" s="268" t="n">
        <x:f>FASE2!N241</x:f>
        <x:v>0</x:v>
      </x:c>
      <x:c r="Q241" s="268" t="n">
        <x:f>FASE3!P241</x:f>
        <x:v>0</x:v>
      </x:c>
      <x:c r="R241" s="268" t="n">
        <x:f>FASE3!N241</x:f>
        <x:v>0</x:v>
      </x:c>
      <x:c r="S241" s="268" t="n">
        <x:f>AVERAGE(FASE3!Q241,FASE3!R241,FASE3!T241,FASE3!S241)</x:f>
        <x:v>0</x:v>
      </x:c>
      <x:c r="T241" s="268" t="n">
        <x:f>AVERAGE(FASE3!U241,FASE3!V241,FASE3!W241)</x:f>
        <x:v>0</x:v>
      </x:c>
      <x:c r="U241" s="268" t="n">
        <x:f>FASE3!Y241</x:f>
        <x:v>0</x:v>
      </x:c>
      <x:c r="V241" s="268" t="n">
        <x:f>FASE3!X241</x:f>
        <x:v>0</x:v>
      </x:c>
      <x:c r="W241" s="268" t="n">
        <x:f>FASE4!M241</x:f>
        <x:v>0</x:v>
      </x:c>
      <x:c r="X241" s="268">
        <x:f t="shared" si="3"/>
        <x:v>0</x:v>
      </x:c>
      <x:c r="Y241" s="2"/>
    </x:row>
    <x:row r="242" ht="15.75">
      <x:c r="B242">
        <x:v>7</x:v>
      </x:c>
      <x:c r="C242" t="s">
        <x:v>116</x:v>
      </x:c>
      <x:c r="D242" s="243">
        <x:v>705</x:v>
      </x:c>
      <x:c r="E242" s="268" t="n">
        <x:f>FASE1!G242</x:f>
        <x:v>0</x:v>
      </x:c>
      <x:c r="F242" s="268" t="n">
        <x:f>FASE1!M242</x:f>
        <x:v>0</x:v>
      </x:c>
      <x:c r="G242" s="268" t="n">
        <x:f>FASE1!L242</x:f>
        <x:v>0</x:v>
      </x:c>
      <x:c r="H242" s="268" t="n">
        <x:f>FASE1!R242</x:f>
        <x:v>0</x:v>
      </x:c>
      <x:c r="I242" s="268" t="n">
        <x:f>FASE1!U242</x:f>
        <x:v>0</x:v>
      </x:c>
      <x:c r="J242" s="268" t="n">
        <x:f>FASE1!U242</x:f>
        <x:v>0</x:v>
      </x:c>
      <x:c r="K242" s="268" t="n">
        <x:f>FASE1!P242</x:f>
        <x:v>0</x:v>
      </x:c>
      <x:c r="L242" s="268" t="n">
        <x:f>FASE1!V242</x:f>
        <x:v>0</x:v>
      </x:c>
      <x:c r="M242" s="268" t="n">
        <x:f>AVERAGE(FASE2!F242:G242)</x:f>
        <x:v>0</x:v>
      </x:c>
      <x:c r="N242" s="268" t="n">
        <x:f>AVERAGE(FASE2!O242:P242,FASE2!S242)</x:f>
        <x:v>0</x:v>
      </x:c>
      <x:c r="O242" s="268" t="n">
        <x:f>FASE4!K242</x:f>
        <x:v>0</x:v>
      </x:c>
      <x:c r="P242" s="268" t="n">
        <x:f>FASE2!N242</x:f>
        <x:v>0</x:v>
      </x:c>
      <x:c r="Q242" s="268" t="n">
        <x:f>FASE3!P242</x:f>
        <x:v>0</x:v>
      </x:c>
      <x:c r="R242" s="268" t="n">
        <x:f>FASE3!N242</x:f>
        <x:v>0</x:v>
      </x:c>
      <x:c r="S242" s="268" t="n">
        <x:f>AVERAGE(FASE3!Q242,FASE3!R242,FASE3!T242,FASE3!S242)</x:f>
        <x:v>0</x:v>
      </x:c>
      <x:c r="T242" s="268" t="n">
        <x:f>AVERAGE(FASE3!U242,FASE3!V242,FASE3!W242)</x:f>
        <x:v>0</x:v>
      </x:c>
      <x:c r="U242" s="268" t="n">
        <x:f>FASE3!Y242</x:f>
        <x:v>0</x:v>
      </x:c>
      <x:c r="V242" s="268" t="n">
        <x:f>FASE3!X242</x:f>
        <x:v>0</x:v>
      </x:c>
      <x:c r="W242" s="268" t="n">
        <x:f>FASE4!M242</x:f>
        <x:v>0</x:v>
      </x:c>
      <x:c r="X242" s="268">
        <x:f t="shared" si="3"/>
        <x:v>0</x:v>
      </x:c>
      <x:c r="Y242" s="2"/>
    </x:row>
    <x:row r="243" ht="15.75">
      <x:c r="B243">
        <x:v>7</x:v>
      </x:c>
      <x:c r="C243" t="s">
        <x:v>116</x:v>
      </x:c>
      <x:c r="D243" s="243">
        <x:v>706</x:v>
      </x:c>
      <x:c r="E243" s="268" t="n">
        <x:f>FASE1!G243</x:f>
        <x:v>0</x:v>
      </x:c>
      <x:c r="F243" s="268" t="n">
        <x:f>FASE1!M243</x:f>
        <x:v>0</x:v>
      </x:c>
      <x:c r="G243" s="268" t="n">
        <x:f>FASE1!L243</x:f>
        <x:v>0</x:v>
      </x:c>
      <x:c r="H243" s="268" t="n">
        <x:f>FASE1!R243</x:f>
        <x:v>0</x:v>
      </x:c>
      <x:c r="I243" s="268" t="n">
        <x:f>FASE1!U243</x:f>
        <x:v>0</x:v>
      </x:c>
      <x:c r="J243" s="268" t="n">
        <x:f>FASE1!U243</x:f>
        <x:v>0</x:v>
      </x:c>
      <x:c r="K243" s="268" t="n">
        <x:f>FASE1!P243</x:f>
        <x:v>0</x:v>
      </x:c>
      <x:c r="L243" s="268" t="n">
        <x:f>FASE1!V243</x:f>
        <x:v>0</x:v>
      </x:c>
      <x:c r="M243" s="268" t="n">
        <x:f>AVERAGE(FASE2!F243:G243)</x:f>
        <x:v>0</x:v>
      </x:c>
      <x:c r="N243" s="268" t="n">
        <x:f>AVERAGE(FASE2!O243:P243,FASE2!S243)</x:f>
        <x:v>0</x:v>
      </x:c>
      <x:c r="O243" s="268" t="n">
        <x:f>FASE4!K243</x:f>
        <x:v>0</x:v>
      </x:c>
      <x:c r="P243" s="268" t="n">
        <x:f>FASE2!N243</x:f>
        <x:v>0</x:v>
      </x:c>
      <x:c r="Q243" s="268" t="n">
        <x:f>FASE3!P243</x:f>
        <x:v>0</x:v>
      </x:c>
      <x:c r="R243" s="268" t="n">
        <x:f>FASE3!N243</x:f>
        <x:v>0</x:v>
      </x:c>
      <x:c r="S243" s="268" t="n">
        <x:f>AVERAGE(FASE3!Q243,FASE3!R243,FASE3!T243,FASE3!S243)</x:f>
        <x:v>0</x:v>
      </x:c>
      <x:c r="T243" s="268" t="n">
        <x:f>AVERAGE(FASE3!U243,FASE3!V243,FASE3!W243)</x:f>
        <x:v>0</x:v>
      </x:c>
      <x:c r="U243" s="268" t="n">
        <x:f>FASE3!Y243</x:f>
        <x:v>0</x:v>
      </x:c>
      <x:c r="V243" s="268" t="n">
        <x:f>FASE3!X243</x:f>
        <x:v>0</x:v>
      </x:c>
      <x:c r="W243" s="268" t="n">
        <x:f>FASE4!M243</x:f>
        <x:v>0</x:v>
      </x:c>
      <x:c r="X243" s="268">
        <x:f t="shared" si="3"/>
        <x:v>0</x:v>
      </x:c>
      <x:c r="Y243" s="2"/>
    </x:row>
    <x:row r="244" ht="15.75">
      <x:c r="B244">
        <x:v>7</x:v>
      </x:c>
      <x:c r="C244" t="s">
        <x:v>116</x:v>
      </x:c>
      <x:c r="D244" s="243">
        <x:v>707</x:v>
      </x:c>
      <x:c r="E244" s="268" t="n">
        <x:f>FASE1!G244</x:f>
        <x:v>0</x:v>
      </x:c>
      <x:c r="F244" s="268" t="n">
        <x:f>FASE1!M244</x:f>
        <x:v>0</x:v>
      </x:c>
      <x:c r="G244" s="268" t="n">
        <x:f>FASE1!L244</x:f>
        <x:v>0</x:v>
      </x:c>
      <x:c r="H244" s="268" t="n">
        <x:f>FASE1!R244</x:f>
        <x:v>0</x:v>
      </x:c>
      <x:c r="I244" s="268" t="n">
        <x:f>FASE1!U244</x:f>
        <x:v>0</x:v>
      </x:c>
      <x:c r="J244" s="268" t="n">
        <x:f>FASE1!U244</x:f>
        <x:v>0</x:v>
      </x:c>
      <x:c r="K244" s="268" t="n">
        <x:f>FASE1!P244</x:f>
        <x:v>0</x:v>
      </x:c>
      <x:c r="L244" s="268" t="n">
        <x:f>FASE1!V244</x:f>
        <x:v>0</x:v>
      </x:c>
      <x:c r="M244" s="268" t="n">
        <x:f>AVERAGE(FASE2!F244:G244)</x:f>
        <x:v>0</x:v>
      </x:c>
      <x:c r="N244" s="268" t="n">
        <x:f>AVERAGE(FASE2!O244:P244,FASE2!S244)</x:f>
        <x:v>0</x:v>
      </x:c>
      <x:c r="O244" s="268" t="n">
        <x:f>FASE4!K244</x:f>
        <x:v>0</x:v>
      </x:c>
      <x:c r="P244" s="268" t="n">
        <x:f>FASE2!N244</x:f>
        <x:v>0</x:v>
      </x:c>
      <x:c r="Q244" s="268" t="n">
        <x:f>FASE3!P244</x:f>
        <x:v>0</x:v>
      </x:c>
      <x:c r="R244" s="268" t="n">
        <x:f>FASE3!N244</x:f>
        <x:v>0</x:v>
      </x:c>
      <x:c r="S244" s="268" t="n">
        <x:f>AVERAGE(FASE3!Q244,FASE3!R244,FASE3!T244,FASE3!S244)</x:f>
        <x:v>0</x:v>
      </x:c>
      <x:c r="T244" s="268" t="n">
        <x:f>AVERAGE(FASE3!U244,FASE3!V244,FASE3!W244)</x:f>
        <x:v>0</x:v>
      </x:c>
      <x:c r="U244" s="268" t="n">
        <x:f>FASE3!Y244</x:f>
        <x:v>0</x:v>
      </x:c>
      <x:c r="V244" s="268" t="n">
        <x:f>FASE3!X244</x:f>
        <x:v>0</x:v>
      </x:c>
      <x:c r="W244" s="268" t="n">
        <x:f>FASE4!M244</x:f>
        <x:v>0</x:v>
      </x:c>
      <x:c r="X244" s="268">
        <x:f t="shared" si="3"/>
        <x:v>0</x:v>
      </x:c>
      <x:c r="Y244" s="2"/>
    </x:row>
    <x:row r="245" ht="15.75">
      <x:c r="B245">
        <x:v>7</x:v>
      </x:c>
      <x:c r="C245" t="s">
        <x:v>116</x:v>
      </x:c>
      <x:c r="D245" s="243">
        <x:v>708</x:v>
      </x:c>
      <x:c r="E245" s="268" t="n">
        <x:f>FASE1!G245</x:f>
        <x:v>0</x:v>
      </x:c>
      <x:c r="F245" s="268" t="n">
        <x:f>FASE1!M245</x:f>
        <x:v>0</x:v>
      </x:c>
      <x:c r="G245" s="268" t="n">
        <x:f>FASE1!L245</x:f>
        <x:v>0</x:v>
      </x:c>
      <x:c r="H245" s="268" t="n">
        <x:f>FASE1!R245</x:f>
        <x:v>0</x:v>
      </x:c>
      <x:c r="I245" s="268" t="n">
        <x:f>FASE1!U245</x:f>
        <x:v>0</x:v>
      </x:c>
      <x:c r="J245" s="268" t="n">
        <x:f>FASE1!U245</x:f>
        <x:v>0</x:v>
      </x:c>
      <x:c r="K245" s="268" t="n">
        <x:f>FASE1!P245</x:f>
        <x:v>0</x:v>
      </x:c>
      <x:c r="L245" s="268" t="n">
        <x:f>FASE1!V245</x:f>
        <x:v>0</x:v>
      </x:c>
      <x:c r="M245" s="268" t="n">
        <x:f>AVERAGE(FASE2!F245:G245)</x:f>
        <x:v>0</x:v>
      </x:c>
      <x:c r="N245" s="268" t="n">
        <x:f>AVERAGE(FASE2!O245:P245,FASE2!S245)</x:f>
        <x:v>0</x:v>
      </x:c>
      <x:c r="O245" s="268" t="n">
        <x:f>FASE4!K245</x:f>
        <x:v>0</x:v>
      </x:c>
      <x:c r="P245" s="268" t="n">
        <x:f>FASE2!N245</x:f>
        <x:v>0</x:v>
      </x:c>
      <x:c r="Q245" s="268" t="n">
        <x:f>FASE3!P245</x:f>
        <x:v>0</x:v>
      </x:c>
      <x:c r="R245" s="268" t="n">
        <x:f>FASE3!N245</x:f>
        <x:v>0</x:v>
      </x:c>
      <x:c r="S245" s="268" t="n">
        <x:f>AVERAGE(FASE3!Q245,FASE3!R245,FASE3!T245,FASE3!S245)</x:f>
        <x:v>0</x:v>
      </x:c>
      <x:c r="T245" s="268" t="n">
        <x:f>AVERAGE(FASE3!U245,FASE3!V245,FASE3!W245)</x:f>
        <x:v>0</x:v>
      </x:c>
      <x:c r="U245" s="268" t="n">
        <x:f>FASE3!Y245</x:f>
        <x:v>0</x:v>
      </x:c>
      <x:c r="V245" s="268" t="n">
        <x:f>FASE3!X245</x:f>
        <x:v>0</x:v>
      </x:c>
      <x:c r="W245" s="268" t="n">
        <x:f>FASE4!M245</x:f>
        <x:v>0</x:v>
      </x:c>
      <x:c r="X245" s="268">
        <x:f t="shared" si="3"/>
        <x:v>0</x:v>
      </x:c>
      <x:c r="Y245" s="2"/>
    </x:row>
    <x:row r="246" ht="15.75">
      <x:c r="B246">
        <x:v>7</x:v>
      </x:c>
      <x:c r="C246" t="s">
        <x:v>116</x:v>
      </x:c>
      <x:c r="D246" s="243">
        <x:v>709</x:v>
      </x:c>
      <x:c r="E246" s="268" t="n">
        <x:f>FASE1!G246</x:f>
        <x:v>0</x:v>
      </x:c>
      <x:c r="F246" s="268" t="n">
        <x:f>FASE1!M246</x:f>
        <x:v>0</x:v>
      </x:c>
      <x:c r="G246" s="268" t="n">
        <x:f>FASE1!L246</x:f>
        <x:v>0</x:v>
      </x:c>
      <x:c r="H246" s="268" t="n">
        <x:f>FASE1!R246</x:f>
        <x:v>0</x:v>
      </x:c>
      <x:c r="I246" s="268" t="n">
        <x:f>FASE1!U246</x:f>
        <x:v>0</x:v>
      </x:c>
      <x:c r="J246" s="268" t="n">
        <x:f>FASE1!U246</x:f>
        <x:v>0</x:v>
      </x:c>
      <x:c r="K246" s="268" t="n">
        <x:f>FASE1!P246</x:f>
        <x:v>0</x:v>
      </x:c>
      <x:c r="L246" s="268" t="n">
        <x:f>FASE1!V246</x:f>
        <x:v>0</x:v>
      </x:c>
      <x:c r="M246" s="268" t="n">
        <x:f>AVERAGE(FASE2!F246:G246)</x:f>
        <x:v>0</x:v>
      </x:c>
      <x:c r="N246" s="268" t="n">
        <x:f>AVERAGE(FASE2!O246:P246,FASE2!S246)</x:f>
        <x:v>0</x:v>
      </x:c>
      <x:c r="O246" s="268" t="n">
        <x:f>FASE4!K246</x:f>
        <x:v>0</x:v>
      </x:c>
      <x:c r="P246" s="268" t="n">
        <x:f>FASE2!N246</x:f>
        <x:v>0</x:v>
      </x:c>
      <x:c r="Q246" s="268" t="n">
        <x:f>FASE3!P246</x:f>
        <x:v>0</x:v>
      </x:c>
      <x:c r="R246" s="268" t="n">
        <x:f>FASE3!N246</x:f>
        <x:v>0</x:v>
      </x:c>
      <x:c r="S246" s="268" t="n">
        <x:f>AVERAGE(FASE3!Q246,FASE3!R246,FASE3!T246,FASE3!S246)</x:f>
        <x:v>0</x:v>
      </x:c>
      <x:c r="T246" s="268" t="n">
        <x:f>AVERAGE(FASE3!U246,FASE3!V246,FASE3!W246)</x:f>
        <x:v>0</x:v>
      </x:c>
      <x:c r="U246" s="268" t="n">
        <x:f>FASE3!Y246</x:f>
        <x:v>0</x:v>
      </x:c>
      <x:c r="V246" s="268" t="n">
        <x:f>FASE3!X246</x:f>
        <x:v>0</x:v>
      </x:c>
      <x:c r="W246" s="268" t="n">
        <x:f>FASE4!M246</x:f>
        <x:v>0</x:v>
      </x:c>
      <x:c r="X246" s="268">
        <x:f t="shared" si="3"/>
        <x:v>0</x:v>
      </x:c>
      <x:c r="Y246" s="2"/>
    </x:row>
    <x:row r="247" ht="15.75">
      <x:c r="B247">
        <x:v>7</x:v>
      </x:c>
      <x:c r="C247" t="s">
        <x:v>116</x:v>
      </x:c>
      <x:c r="D247" s="243">
        <x:v>710</x:v>
      </x:c>
      <x:c r="E247" s="268" t="n">
        <x:f>FASE1!G247</x:f>
        <x:v>0</x:v>
      </x:c>
      <x:c r="F247" s="268" t="n">
        <x:f>FASE1!M247</x:f>
        <x:v>0</x:v>
      </x:c>
      <x:c r="G247" s="268" t="n">
        <x:f>FASE1!L247</x:f>
        <x:v>0</x:v>
      </x:c>
      <x:c r="H247" s="268" t="n">
        <x:f>FASE1!R247</x:f>
        <x:v>0</x:v>
      </x:c>
      <x:c r="I247" s="268" t="n">
        <x:f>FASE1!U247</x:f>
        <x:v>0</x:v>
      </x:c>
      <x:c r="J247" s="268" t="n">
        <x:f>FASE1!U247</x:f>
        <x:v>0</x:v>
      </x:c>
      <x:c r="K247" s="268" t="n">
        <x:f>FASE1!P247</x:f>
        <x:v>0</x:v>
      </x:c>
      <x:c r="L247" s="268" t="n">
        <x:f>FASE1!V247</x:f>
        <x:v>0</x:v>
      </x:c>
      <x:c r="M247" s="268" t="n">
        <x:f>AVERAGE(FASE2!F247:G247)</x:f>
        <x:v>0</x:v>
      </x:c>
      <x:c r="N247" s="268" t="n">
        <x:f>AVERAGE(FASE2!O247:P247,FASE2!S247)</x:f>
        <x:v>0</x:v>
      </x:c>
      <x:c r="O247" s="268" t="n">
        <x:f>FASE4!K247</x:f>
        <x:v>0</x:v>
      </x:c>
      <x:c r="P247" s="268" t="n">
        <x:f>FASE2!N247</x:f>
        <x:v>0</x:v>
      </x:c>
      <x:c r="Q247" s="268" t="n">
        <x:f>FASE3!P247</x:f>
        <x:v>0</x:v>
      </x:c>
      <x:c r="R247" s="268" t="n">
        <x:f>FASE3!N247</x:f>
        <x:v>0</x:v>
      </x:c>
      <x:c r="S247" s="268" t="n">
        <x:f>AVERAGE(FASE3!Q247,FASE3!R247,FASE3!T247,FASE3!S247)</x:f>
        <x:v>0</x:v>
      </x:c>
      <x:c r="T247" s="268" t="n">
        <x:f>AVERAGE(FASE3!U247,FASE3!V247,FASE3!W247)</x:f>
        <x:v>0</x:v>
      </x:c>
      <x:c r="U247" s="268" t="n">
        <x:f>FASE3!Y247</x:f>
        <x:v>0</x:v>
      </x:c>
      <x:c r="V247" s="268" t="n">
        <x:f>FASE3!X247</x:f>
        <x:v>0</x:v>
      </x:c>
      <x:c r="W247" s="268" t="n">
        <x:f>FASE4!M247</x:f>
        <x:v>0</x:v>
      </x:c>
      <x:c r="X247" s="268">
        <x:f t="shared" si="3"/>
        <x:v>0</x:v>
      </x:c>
      <x:c r="Y247" s="2"/>
    </x:row>
    <x:row r="248" ht="15.75">
      <x:c r="B248">
        <x:v>7</x:v>
      </x:c>
      <x:c r="C248" t="s">
        <x:v>116</x:v>
      </x:c>
      <x:c r="D248" s="243">
        <x:v>711</x:v>
      </x:c>
      <x:c r="E248" s="268" t="n">
        <x:f>FASE1!G248</x:f>
        <x:v>0</x:v>
      </x:c>
      <x:c r="F248" s="268" t="n">
        <x:f>FASE1!M248</x:f>
        <x:v>0</x:v>
      </x:c>
      <x:c r="G248" s="268" t="n">
        <x:f>FASE1!L248</x:f>
        <x:v>0</x:v>
      </x:c>
      <x:c r="H248" s="268" t="n">
        <x:f>FASE1!R248</x:f>
        <x:v>0</x:v>
      </x:c>
      <x:c r="I248" s="268" t="n">
        <x:f>FASE1!U248</x:f>
        <x:v>0</x:v>
      </x:c>
      <x:c r="J248" s="268" t="n">
        <x:f>FASE1!U248</x:f>
        <x:v>0</x:v>
      </x:c>
      <x:c r="K248" s="268" t="n">
        <x:f>FASE1!P248</x:f>
        <x:v>0</x:v>
      </x:c>
      <x:c r="L248" s="268" t="n">
        <x:f>FASE1!V248</x:f>
        <x:v>0</x:v>
      </x:c>
      <x:c r="M248" s="268" t="n">
        <x:f>AVERAGE(FASE2!F248:G248)</x:f>
        <x:v>0</x:v>
      </x:c>
      <x:c r="N248" s="268" t="n">
        <x:f>AVERAGE(FASE2!O248:P248,FASE2!S248)</x:f>
        <x:v>0</x:v>
      </x:c>
      <x:c r="O248" s="268" t="n">
        <x:f>FASE4!K248</x:f>
        <x:v>0</x:v>
      </x:c>
      <x:c r="P248" s="268" t="n">
        <x:f>FASE2!N248</x:f>
        <x:v>0</x:v>
      </x:c>
      <x:c r="Q248" s="268" t="n">
        <x:f>FASE3!P248</x:f>
        <x:v>0</x:v>
      </x:c>
      <x:c r="R248" s="268" t="n">
        <x:f>FASE3!N248</x:f>
        <x:v>0</x:v>
      </x:c>
      <x:c r="S248" s="268" t="n">
        <x:f>AVERAGE(FASE3!Q248,FASE3!R248,FASE3!T248,FASE3!S248)</x:f>
        <x:v>0</x:v>
      </x:c>
      <x:c r="T248" s="268" t="n">
        <x:f>AVERAGE(FASE3!U248,FASE3!V248,FASE3!W248)</x:f>
        <x:v>0</x:v>
      </x:c>
      <x:c r="U248" s="268" t="n">
        <x:f>FASE3!Y248</x:f>
        <x:v>0</x:v>
      </x:c>
      <x:c r="V248" s="268" t="n">
        <x:f>FASE3!X248</x:f>
        <x:v>0</x:v>
      </x:c>
      <x:c r="W248" s="268" t="n">
        <x:f>FASE4!M248</x:f>
        <x:v>0</x:v>
      </x:c>
      <x:c r="X248" s="268">
        <x:f t="shared" si="3"/>
        <x:v>0</x:v>
      </x:c>
      <x:c r="Y248" s="2"/>
    </x:row>
    <x:row r="249" ht="15.75">
      <x:c r="B249">
        <x:v>7</x:v>
      </x:c>
      <x:c r="C249" t="s">
        <x:v>116</x:v>
      </x:c>
      <x:c r="D249" s="243">
        <x:v>712</x:v>
      </x:c>
      <x:c r="E249" s="268" t="n">
        <x:f>FASE1!G249</x:f>
        <x:v>0</x:v>
      </x:c>
      <x:c r="F249" s="268" t="n">
        <x:f>FASE1!M249</x:f>
        <x:v>0</x:v>
      </x:c>
      <x:c r="G249" s="268" t="n">
        <x:f>FASE1!L249</x:f>
        <x:v>0</x:v>
      </x:c>
      <x:c r="H249" s="268" t="n">
        <x:f>FASE1!R249</x:f>
        <x:v>0</x:v>
      </x:c>
      <x:c r="I249" s="268" t="n">
        <x:f>FASE1!U249</x:f>
        <x:v>0</x:v>
      </x:c>
      <x:c r="J249" s="268" t="n">
        <x:f>FASE1!U249</x:f>
        <x:v>0</x:v>
      </x:c>
      <x:c r="K249" s="268" t="n">
        <x:f>FASE1!P249</x:f>
        <x:v>0</x:v>
      </x:c>
      <x:c r="L249" s="268" t="n">
        <x:f>FASE1!V249</x:f>
        <x:v>0</x:v>
      </x:c>
      <x:c r="M249" s="268" t="n">
        <x:f>AVERAGE(FASE2!F249:G249)</x:f>
        <x:v>0</x:v>
      </x:c>
      <x:c r="N249" s="268" t="n">
        <x:f>AVERAGE(FASE2!O249:P249,FASE2!S249)</x:f>
        <x:v>0</x:v>
      </x:c>
      <x:c r="O249" s="268" t="n">
        <x:f>FASE4!K249</x:f>
        <x:v>0</x:v>
      </x:c>
      <x:c r="P249" s="268" t="n">
        <x:f>FASE2!N249</x:f>
        <x:v>0</x:v>
      </x:c>
      <x:c r="Q249" s="268" t="n">
        <x:f>FASE3!P249</x:f>
        <x:v>0</x:v>
      </x:c>
      <x:c r="R249" s="268" t="n">
        <x:f>FASE3!N249</x:f>
        <x:v>0</x:v>
      </x:c>
      <x:c r="S249" s="268" t="n">
        <x:f>AVERAGE(FASE3!Q249,FASE3!R249,FASE3!T249,FASE3!S249)</x:f>
        <x:v>0</x:v>
      </x:c>
      <x:c r="T249" s="268" t="n">
        <x:f>AVERAGE(FASE3!U249,FASE3!V249,FASE3!W249)</x:f>
        <x:v>0</x:v>
      </x:c>
      <x:c r="U249" s="268" t="n">
        <x:f>FASE3!Y249</x:f>
        <x:v>0</x:v>
      </x:c>
      <x:c r="V249" s="268" t="n">
        <x:f>FASE3!X249</x:f>
        <x:v>0</x:v>
      </x:c>
      <x:c r="W249" s="268" t="n">
        <x:f>FASE4!M249</x:f>
        <x:v>0</x:v>
      </x:c>
      <x:c r="X249" s="268">
        <x:f t="shared" si="3"/>
        <x:v>0</x:v>
      </x:c>
      <x:c r="Y249" s="2"/>
    </x:row>
    <x:row r="250" ht="15.75">
      <x:c r="B250">
        <x:v>7</x:v>
      </x:c>
      <x:c r="C250" t="s">
        <x:v>116</x:v>
      </x:c>
      <x:c r="D250" s="243">
        <x:v>713</x:v>
      </x:c>
      <x:c r="E250" s="268" t="n">
        <x:f>FASE1!G250</x:f>
        <x:v>0</x:v>
      </x:c>
      <x:c r="F250" s="268" t="n">
        <x:f>FASE1!M250</x:f>
        <x:v>0</x:v>
      </x:c>
      <x:c r="G250" s="268" t="n">
        <x:f>FASE1!L250</x:f>
        <x:v>0</x:v>
      </x:c>
      <x:c r="H250" s="268" t="n">
        <x:f>FASE1!R250</x:f>
        <x:v>0</x:v>
      </x:c>
      <x:c r="I250" s="268" t="n">
        <x:f>FASE1!U250</x:f>
        <x:v>0</x:v>
      </x:c>
      <x:c r="J250" s="268" t="n">
        <x:f>FASE1!U250</x:f>
        <x:v>0</x:v>
      </x:c>
      <x:c r="K250" s="268" t="n">
        <x:f>FASE1!P250</x:f>
        <x:v>0</x:v>
      </x:c>
      <x:c r="L250" s="268" t="n">
        <x:f>FASE1!V250</x:f>
        <x:v>0</x:v>
      </x:c>
      <x:c r="M250" s="268" t="n">
        <x:f>AVERAGE(FASE2!F250:G250)</x:f>
        <x:v>0</x:v>
      </x:c>
      <x:c r="N250" s="268" t="n">
        <x:f>AVERAGE(FASE2!O250:P250,FASE2!S250)</x:f>
        <x:v>0</x:v>
      </x:c>
      <x:c r="O250" s="268" t="n">
        <x:f>FASE4!K250</x:f>
        <x:v>0</x:v>
      </x:c>
      <x:c r="P250" s="268" t="n">
        <x:f>FASE2!N250</x:f>
        <x:v>0</x:v>
      </x:c>
      <x:c r="Q250" s="268" t="n">
        <x:f>FASE3!P250</x:f>
        <x:v>0</x:v>
      </x:c>
      <x:c r="R250" s="268" t="n">
        <x:f>FASE3!N250</x:f>
        <x:v>0</x:v>
      </x:c>
      <x:c r="S250" s="268" t="n">
        <x:f>AVERAGE(FASE3!Q250,FASE3!R250,FASE3!T250,FASE3!S250)</x:f>
        <x:v>0</x:v>
      </x:c>
      <x:c r="T250" s="268" t="n">
        <x:f>AVERAGE(FASE3!U250,FASE3!V250,FASE3!W250)</x:f>
        <x:v>0</x:v>
      </x:c>
      <x:c r="U250" s="268" t="n">
        <x:f>FASE3!Y250</x:f>
        <x:v>0</x:v>
      </x:c>
      <x:c r="V250" s="268" t="n">
        <x:f>FASE3!X250</x:f>
        <x:v>0</x:v>
      </x:c>
      <x:c r="W250" s="268" t="n">
        <x:f>FASE4!M250</x:f>
        <x:v>0</x:v>
      </x:c>
      <x:c r="X250" s="268">
        <x:f t="shared" si="3"/>
        <x:v>0</x:v>
      </x:c>
      <x:c r="Y250" s="2"/>
    </x:row>
    <x:row r="251" ht="15.75">
      <x:c r="B251">
        <x:v>7</x:v>
      </x:c>
      <x:c r="C251" t="s">
        <x:v>116</x:v>
      </x:c>
      <x:c r="D251" s="243">
        <x:v>714</x:v>
      </x:c>
      <x:c r="E251" s="268" t="n">
        <x:f>FASE1!G251</x:f>
        <x:v>0</x:v>
      </x:c>
      <x:c r="F251" s="268" t="n">
        <x:f>FASE1!M251</x:f>
        <x:v>0</x:v>
      </x:c>
      <x:c r="G251" s="268" t="n">
        <x:f>FASE1!L251</x:f>
        <x:v>0</x:v>
      </x:c>
      <x:c r="H251" s="268" t="n">
        <x:f>FASE1!R251</x:f>
        <x:v>0</x:v>
      </x:c>
      <x:c r="I251" s="268" t="n">
        <x:f>FASE1!U251</x:f>
        <x:v>0</x:v>
      </x:c>
      <x:c r="J251" s="268" t="n">
        <x:f>FASE1!U251</x:f>
        <x:v>0</x:v>
      </x:c>
      <x:c r="K251" s="268" t="n">
        <x:f>FASE1!P251</x:f>
        <x:v>0</x:v>
      </x:c>
      <x:c r="L251" s="268" t="n">
        <x:f>FASE1!V251</x:f>
        <x:v>0</x:v>
      </x:c>
      <x:c r="M251" s="268" t="n">
        <x:f>AVERAGE(FASE2!F251:G251)</x:f>
        <x:v>0</x:v>
      </x:c>
      <x:c r="N251" s="268" t="n">
        <x:f>AVERAGE(FASE2!O251:P251,FASE2!S251)</x:f>
        <x:v>0</x:v>
      </x:c>
      <x:c r="O251" s="268" t="n">
        <x:f>FASE4!K251</x:f>
        <x:v>0</x:v>
      </x:c>
      <x:c r="P251" s="268" t="n">
        <x:f>FASE2!N251</x:f>
        <x:v>0</x:v>
      </x:c>
      <x:c r="Q251" s="268" t="n">
        <x:f>FASE3!P251</x:f>
        <x:v>0</x:v>
      </x:c>
      <x:c r="R251" s="268" t="n">
        <x:f>FASE3!N251</x:f>
        <x:v>0</x:v>
      </x:c>
      <x:c r="S251" s="268" t="n">
        <x:f>AVERAGE(FASE3!Q251,FASE3!R251,FASE3!T251,FASE3!S251)</x:f>
        <x:v>0</x:v>
      </x:c>
      <x:c r="T251" s="268" t="n">
        <x:f>AVERAGE(FASE3!U251,FASE3!V251,FASE3!W251)</x:f>
        <x:v>0</x:v>
      </x:c>
      <x:c r="U251" s="268" t="n">
        <x:f>FASE3!Y251</x:f>
        <x:v>0</x:v>
      </x:c>
      <x:c r="V251" s="268" t="n">
        <x:f>FASE3!X251</x:f>
        <x:v>0</x:v>
      </x:c>
      <x:c r="W251" s="268" t="n">
        <x:f>FASE4!M251</x:f>
        <x:v>0</x:v>
      </x:c>
      <x:c r="X251" s="268">
        <x:f t="shared" si="3"/>
        <x:v>0</x:v>
      </x:c>
      <x:c r="Y251" s="2"/>
    </x:row>
    <x:row r="252" ht="15.75">
      <x:c r="B252">
        <x:v>7</x:v>
      </x:c>
      <x:c r="C252" t="s">
        <x:v>116</x:v>
      </x:c>
      <x:c r="D252" s="243">
        <x:v>715</x:v>
      </x:c>
      <x:c r="E252" s="268" t="n">
        <x:f>FASE1!G252</x:f>
        <x:v>0</x:v>
      </x:c>
      <x:c r="F252" s="268" t="n">
        <x:f>FASE1!M252</x:f>
        <x:v>0</x:v>
      </x:c>
      <x:c r="G252" s="268" t="n">
        <x:f>FASE1!L252</x:f>
        <x:v>0</x:v>
      </x:c>
      <x:c r="H252" s="268" t="n">
        <x:f>FASE1!R252</x:f>
        <x:v>0</x:v>
      </x:c>
      <x:c r="I252" s="268" t="n">
        <x:f>FASE1!U252</x:f>
        <x:v>0</x:v>
      </x:c>
      <x:c r="J252" s="268" t="n">
        <x:f>FASE1!U252</x:f>
        <x:v>0</x:v>
      </x:c>
      <x:c r="K252" s="268" t="n">
        <x:f>FASE1!P252</x:f>
        <x:v>0</x:v>
      </x:c>
      <x:c r="L252" s="268" t="n">
        <x:f>FASE1!V252</x:f>
        <x:v>0</x:v>
      </x:c>
      <x:c r="M252" s="268" t="n">
        <x:f>AVERAGE(FASE2!F252:G252)</x:f>
        <x:v>0</x:v>
      </x:c>
      <x:c r="N252" s="268" t="n">
        <x:f>AVERAGE(FASE2!O252:P252,FASE2!S252)</x:f>
        <x:v>0</x:v>
      </x:c>
      <x:c r="O252" s="268" t="n">
        <x:f>FASE4!K252</x:f>
        <x:v>0</x:v>
      </x:c>
      <x:c r="P252" s="268" t="n">
        <x:f>FASE2!N252</x:f>
        <x:v>0</x:v>
      </x:c>
      <x:c r="Q252" s="268" t="n">
        <x:f>FASE3!P252</x:f>
        <x:v>0</x:v>
      </x:c>
      <x:c r="R252" s="268" t="n">
        <x:f>FASE3!N252</x:f>
        <x:v>0</x:v>
      </x:c>
      <x:c r="S252" s="268" t="n">
        <x:f>AVERAGE(FASE3!Q252,FASE3!R252,FASE3!T252,FASE3!S252)</x:f>
        <x:v>0</x:v>
      </x:c>
      <x:c r="T252" s="268" t="n">
        <x:f>AVERAGE(FASE3!U252,FASE3!V252,FASE3!W252)</x:f>
        <x:v>0</x:v>
      </x:c>
      <x:c r="U252" s="268" t="n">
        <x:f>FASE3!Y252</x:f>
        <x:v>0</x:v>
      </x:c>
      <x:c r="V252" s="268" t="n">
        <x:f>FASE3!X252</x:f>
        <x:v>0</x:v>
      </x:c>
      <x:c r="W252" s="268" t="n">
        <x:f>FASE4!M252</x:f>
        <x:v>0</x:v>
      </x:c>
      <x:c r="X252" s="268">
        <x:f t="shared" si="3"/>
        <x:v>0</x:v>
      </x:c>
      <x:c r="Y252" s="2"/>
    </x:row>
    <x:row r="253" ht="15.75">
      <x:c r="B253">
        <x:v>7</x:v>
      </x:c>
      <x:c r="C253" t="s">
        <x:v>116</x:v>
      </x:c>
      <x:c r="D253" s="243">
        <x:v>716</x:v>
      </x:c>
      <x:c r="E253" s="268" t="n">
        <x:f>FASE1!G253</x:f>
        <x:v>0</x:v>
      </x:c>
      <x:c r="F253" s="268" t="n">
        <x:f>FASE1!M253</x:f>
        <x:v>0</x:v>
      </x:c>
      <x:c r="G253" s="268" t="n">
        <x:f>FASE1!L253</x:f>
        <x:v>0</x:v>
      </x:c>
      <x:c r="H253" s="268" t="n">
        <x:f>FASE1!R253</x:f>
        <x:v>0</x:v>
      </x:c>
      <x:c r="I253" s="268" t="n">
        <x:f>FASE1!U253</x:f>
        <x:v>0</x:v>
      </x:c>
      <x:c r="J253" s="268" t="n">
        <x:f>FASE1!U253</x:f>
        <x:v>0</x:v>
      </x:c>
      <x:c r="K253" s="268" t="n">
        <x:f>FASE1!P253</x:f>
        <x:v>0</x:v>
      </x:c>
      <x:c r="L253" s="268" t="n">
        <x:f>FASE1!V253</x:f>
        <x:v>0</x:v>
      </x:c>
      <x:c r="M253" s="268" t="n">
        <x:f>AVERAGE(FASE2!F253:G253)</x:f>
        <x:v>0</x:v>
      </x:c>
      <x:c r="N253" s="268" t="n">
        <x:f>AVERAGE(FASE2!O253:P253,FASE2!S253)</x:f>
        <x:v>0</x:v>
      </x:c>
      <x:c r="O253" s="268" t="n">
        <x:f>FASE4!K253</x:f>
        <x:v>0</x:v>
      </x:c>
      <x:c r="P253" s="268" t="n">
        <x:f>FASE2!N253</x:f>
        <x:v>0</x:v>
      </x:c>
      <x:c r="Q253" s="268" t="n">
        <x:f>FASE3!P253</x:f>
        <x:v>0</x:v>
      </x:c>
      <x:c r="R253" s="268" t="n">
        <x:f>FASE3!N253</x:f>
        <x:v>0</x:v>
      </x:c>
      <x:c r="S253" s="268" t="n">
        <x:f>AVERAGE(FASE3!Q253,FASE3!R253,FASE3!T253,FASE3!S253)</x:f>
        <x:v>0</x:v>
      </x:c>
      <x:c r="T253" s="268" t="n">
        <x:f>AVERAGE(FASE3!U253,FASE3!V253,FASE3!W253)</x:f>
        <x:v>0</x:v>
      </x:c>
      <x:c r="U253" s="268" t="n">
        <x:f>FASE3!Y253</x:f>
        <x:v>0</x:v>
      </x:c>
      <x:c r="V253" s="268" t="n">
        <x:f>FASE3!X253</x:f>
        <x:v>0</x:v>
      </x:c>
      <x:c r="W253" s="268" t="n">
        <x:f>FASE4!M253</x:f>
        <x:v>0</x:v>
      </x:c>
      <x:c r="X253" s="268">
        <x:f t="shared" si="3"/>
        <x:v>0</x:v>
      </x:c>
      <x:c r="Y253" s="2"/>
    </x:row>
    <x:row r="254" ht="15.75">
      <x:c r="B254">
        <x:v>7</x:v>
      </x:c>
      <x:c r="C254" t="s">
        <x:v>116</x:v>
      </x:c>
      <x:c r="D254" s="243">
        <x:v>717</x:v>
      </x:c>
      <x:c r="E254" s="268" t="n">
        <x:f>FASE1!G254</x:f>
        <x:v>0</x:v>
      </x:c>
      <x:c r="F254" s="268" t="n">
        <x:f>FASE1!M254</x:f>
        <x:v>0</x:v>
      </x:c>
      <x:c r="G254" s="268" t="n">
        <x:f>FASE1!L254</x:f>
        <x:v>0</x:v>
      </x:c>
      <x:c r="H254" s="268" t="n">
        <x:f>FASE1!R254</x:f>
        <x:v>0</x:v>
      </x:c>
      <x:c r="I254" s="268" t="n">
        <x:f>FASE1!U254</x:f>
        <x:v>0</x:v>
      </x:c>
      <x:c r="J254" s="268" t="n">
        <x:f>FASE1!U254</x:f>
        <x:v>0</x:v>
      </x:c>
      <x:c r="K254" s="268" t="n">
        <x:f>FASE1!P254</x:f>
        <x:v>0</x:v>
      </x:c>
      <x:c r="L254" s="268" t="n">
        <x:f>FASE1!V254</x:f>
        <x:v>0</x:v>
      </x:c>
      <x:c r="M254" s="268" t="n">
        <x:f>AVERAGE(FASE2!F254:G254)</x:f>
        <x:v>0</x:v>
      </x:c>
      <x:c r="N254" s="268" t="n">
        <x:f>AVERAGE(FASE2!O254:P254,FASE2!S254)</x:f>
        <x:v>0</x:v>
      </x:c>
      <x:c r="O254" s="268" t="n">
        <x:f>FASE4!K254</x:f>
        <x:v>0</x:v>
      </x:c>
      <x:c r="P254" s="268" t="n">
        <x:f>FASE2!N254</x:f>
        <x:v>0</x:v>
      </x:c>
      <x:c r="Q254" s="268" t="n">
        <x:f>FASE3!P254</x:f>
        <x:v>0</x:v>
      </x:c>
      <x:c r="R254" s="268" t="n">
        <x:f>FASE3!N254</x:f>
        <x:v>0</x:v>
      </x:c>
      <x:c r="S254" s="268" t="n">
        <x:f>AVERAGE(FASE3!Q254,FASE3!R254,FASE3!T254,FASE3!S254)</x:f>
        <x:v>0</x:v>
      </x:c>
      <x:c r="T254" s="268" t="n">
        <x:f>AVERAGE(FASE3!U254,FASE3!V254,FASE3!W254)</x:f>
        <x:v>0</x:v>
      </x:c>
      <x:c r="U254" s="268" t="n">
        <x:f>FASE3!Y254</x:f>
        <x:v>0</x:v>
      </x:c>
      <x:c r="V254" s="268" t="n">
        <x:f>FASE3!X254</x:f>
        <x:v>0</x:v>
      </x:c>
      <x:c r="W254" s="268" t="n">
        <x:f>FASE4!M254</x:f>
        <x:v>0</x:v>
      </x:c>
      <x:c r="X254" s="268">
        <x:f t="shared" si="3"/>
        <x:v>0</x:v>
      </x:c>
      <x:c r="Y254" s="2"/>
    </x:row>
    <x:row r="255" ht="15.75">
      <x:c r="B255">
        <x:v>7</x:v>
      </x:c>
      <x:c r="C255" t="s">
        <x:v>116</x:v>
      </x:c>
      <x:c r="D255" s="243">
        <x:v>718</x:v>
      </x:c>
      <x:c r="E255" s="268" t="n">
        <x:f>FASE1!G255</x:f>
        <x:v>0</x:v>
      </x:c>
      <x:c r="F255" s="268" t="n">
        <x:f>FASE1!M255</x:f>
        <x:v>0</x:v>
      </x:c>
      <x:c r="G255" s="268" t="n">
        <x:f>FASE1!L255</x:f>
        <x:v>0</x:v>
      </x:c>
      <x:c r="H255" s="268" t="n">
        <x:f>FASE1!R255</x:f>
        <x:v>0</x:v>
      </x:c>
      <x:c r="I255" s="268" t="n">
        <x:f>FASE1!U255</x:f>
        <x:v>0</x:v>
      </x:c>
      <x:c r="J255" s="268" t="n">
        <x:f>FASE1!U255</x:f>
        <x:v>0</x:v>
      </x:c>
      <x:c r="K255" s="268" t="n">
        <x:f>FASE1!P255</x:f>
        <x:v>0</x:v>
      </x:c>
      <x:c r="L255" s="268" t="n">
        <x:f>FASE1!V255</x:f>
        <x:v>0</x:v>
      </x:c>
      <x:c r="M255" s="268" t="n">
        <x:f>AVERAGE(FASE2!F255:G255)</x:f>
        <x:v>0</x:v>
      </x:c>
      <x:c r="N255" s="268" t="n">
        <x:f>AVERAGE(FASE2!O255:P255,FASE2!S255)</x:f>
        <x:v>0</x:v>
      </x:c>
      <x:c r="O255" s="268" t="n">
        <x:f>FASE4!K255</x:f>
        <x:v>0</x:v>
      </x:c>
      <x:c r="P255" s="268" t="n">
        <x:f>FASE2!N255</x:f>
        <x:v>0</x:v>
      </x:c>
      <x:c r="Q255" s="268" t="n">
        <x:f>FASE3!P255</x:f>
        <x:v>0</x:v>
      </x:c>
      <x:c r="R255" s="268" t="n">
        <x:f>FASE3!N255</x:f>
        <x:v>0</x:v>
      </x:c>
      <x:c r="S255" s="268" t="n">
        <x:f>AVERAGE(FASE3!Q255,FASE3!R255,FASE3!T255,FASE3!S255)</x:f>
        <x:v>0</x:v>
      </x:c>
      <x:c r="T255" s="268" t="n">
        <x:f>AVERAGE(FASE3!U255,FASE3!V255,FASE3!W255)</x:f>
        <x:v>0</x:v>
      </x:c>
      <x:c r="U255" s="268" t="n">
        <x:f>FASE3!Y255</x:f>
        <x:v>0</x:v>
      </x:c>
      <x:c r="V255" s="268" t="n">
        <x:f>FASE3!X255</x:f>
        <x:v>0</x:v>
      </x:c>
      <x:c r="W255" s="268" t="n">
        <x:f>FASE4!M255</x:f>
        <x:v>0</x:v>
      </x:c>
      <x:c r="X255" s="268">
        <x:f t="shared" si="3"/>
        <x:v>0</x:v>
      </x:c>
      <x:c r="Y255" s="2"/>
    </x:row>
    <x:row r="256" ht="15.75">
      <x:c r="B256">
        <x:v>7</x:v>
      </x:c>
      <x:c r="C256" t="s">
        <x:v>116</x:v>
      </x:c>
      <x:c r="D256" s="243">
        <x:v>719</x:v>
      </x:c>
      <x:c r="E256" s="268" t="n">
        <x:f>FASE1!G256</x:f>
        <x:v>0</x:v>
      </x:c>
      <x:c r="F256" s="268" t="n">
        <x:f>FASE1!M256</x:f>
        <x:v>0</x:v>
      </x:c>
      <x:c r="G256" s="268" t="n">
        <x:f>FASE1!L256</x:f>
        <x:v>0</x:v>
      </x:c>
      <x:c r="H256" s="268" t="n">
        <x:f>FASE1!R256</x:f>
        <x:v>0</x:v>
      </x:c>
      <x:c r="I256" s="268" t="n">
        <x:f>FASE1!U256</x:f>
        <x:v>0</x:v>
      </x:c>
      <x:c r="J256" s="268" t="n">
        <x:f>FASE1!U256</x:f>
        <x:v>0</x:v>
      </x:c>
      <x:c r="K256" s="268" t="n">
        <x:f>FASE1!P256</x:f>
        <x:v>0</x:v>
      </x:c>
      <x:c r="L256" s="268" t="n">
        <x:f>FASE1!V256</x:f>
        <x:v>0</x:v>
      </x:c>
      <x:c r="M256" s="268" t="n">
        <x:f>AVERAGE(FASE2!F256:G256)</x:f>
        <x:v>0</x:v>
      </x:c>
      <x:c r="N256" s="268" t="n">
        <x:f>AVERAGE(FASE2!O256:P256,FASE2!S256)</x:f>
        <x:v>0</x:v>
      </x:c>
      <x:c r="O256" s="268" t="n">
        <x:f>FASE4!K256</x:f>
        <x:v>0</x:v>
      </x:c>
      <x:c r="P256" s="268" t="n">
        <x:f>FASE2!N256</x:f>
        <x:v>0</x:v>
      </x:c>
      <x:c r="Q256" s="268" t="n">
        <x:f>FASE3!P256</x:f>
        <x:v>0</x:v>
      </x:c>
      <x:c r="R256" s="268" t="n">
        <x:f>FASE3!N256</x:f>
        <x:v>0</x:v>
      </x:c>
      <x:c r="S256" s="268" t="n">
        <x:f>AVERAGE(FASE3!Q256,FASE3!R256,FASE3!T256,FASE3!S256)</x:f>
        <x:v>0</x:v>
      </x:c>
      <x:c r="T256" s="268" t="n">
        <x:f>AVERAGE(FASE3!U256,FASE3!V256,FASE3!W256)</x:f>
        <x:v>0</x:v>
      </x:c>
      <x:c r="U256" s="268" t="n">
        <x:f>FASE3!Y256</x:f>
        <x:v>0</x:v>
      </x:c>
      <x:c r="V256" s="268" t="n">
        <x:f>FASE3!X256</x:f>
        <x:v>0</x:v>
      </x:c>
      <x:c r="W256" s="268" t="n">
        <x:f>FASE4!M256</x:f>
        <x:v>0</x:v>
      </x:c>
      <x:c r="X256" s="268">
        <x:f t="shared" si="3"/>
        <x:v>0</x:v>
      </x:c>
      <x:c r="Y256" s="2"/>
    </x:row>
    <x:row r="257" ht="15.75">
      <x:c r="B257">
        <x:v>7</x:v>
      </x:c>
      <x:c r="C257" t="s">
        <x:v>116</x:v>
      </x:c>
      <x:c r="D257" s="243">
        <x:v>720</x:v>
      </x:c>
      <x:c r="E257" s="268" t="n">
        <x:f>FASE1!G257</x:f>
        <x:v>0</x:v>
      </x:c>
      <x:c r="F257" s="268" t="n">
        <x:f>FASE1!M257</x:f>
        <x:v>0</x:v>
      </x:c>
      <x:c r="G257" s="268" t="n">
        <x:f>FASE1!L257</x:f>
        <x:v>0</x:v>
      </x:c>
      <x:c r="H257" s="268" t="n">
        <x:f>FASE1!R257</x:f>
        <x:v>0</x:v>
      </x:c>
      <x:c r="I257" s="268" t="n">
        <x:f>FASE1!U257</x:f>
        <x:v>0</x:v>
      </x:c>
      <x:c r="J257" s="268" t="n">
        <x:f>FASE1!U257</x:f>
        <x:v>0</x:v>
      </x:c>
      <x:c r="K257" s="268" t="n">
        <x:f>FASE1!P257</x:f>
        <x:v>0</x:v>
      </x:c>
      <x:c r="L257" s="268" t="n">
        <x:f>FASE1!V257</x:f>
        <x:v>0</x:v>
      </x:c>
      <x:c r="M257" s="268" t="n">
        <x:f>AVERAGE(FASE2!F257:G257)</x:f>
        <x:v>0</x:v>
      </x:c>
      <x:c r="N257" s="268" t="n">
        <x:f>AVERAGE(FASE2!O257:P257,FASE2!S257)</x:f>
        <x:v>0</x:v>
      </x:c>
      <x:c r="O257" s="268" t="n">
        <x:f>FASE4!K257</x:f>
        <x:v>0</x:v>
      </x:c>
      <x:c r="P257" s="268" t="n">
        <x:f>FASE2!N257</x:f>
        <x:v>0</x:v>
      </x:c>
      <x:c r="Q257" s="268" t="n">
        <x:f>FASE3!P257</x:f>
        <x:v>0</x:v>
      </x:c>
      <x:c r="R257" s="268" t="n">
        <x:f>FASE3!N257</x:f>
        <x:v>0</x:v>
      </x:c>
      <x:c r="S257" s="268" t="n">
        <x:f>AVERAGE(FASE3!Q257,FASE3!R257,FASE3!T257,FASE3!S257)</x:f>
        <x:v>0</x:v>
      </x:c>
      <x:c r="T257" s="268" t="n">
        <x:f>AVERAGE(FASE3!U257,FASE3!V257,FASE3!W257)</x:f>
        <x:v>0</x:v>
      </x:c>
      <x:c r="U257" s="268" t="n">
        <x:f>FASE3!Y257</x:f>
        <x:v>0</x:v>
      </x:c>
      <x:c r="V257" s="268" t="n">
        <x:f>FASE3!X257</x:f>
        <x:v>0</x:v>
      </x:c>
      <x:c r="W257" s="268" t="n">
        <x:f>FASE4!M257</x:f>
        <x:v>0</x:v>
      </x:c>
      <x:c r="X257" s="268">
        <x:f t="shared" si="3"/>
        <x:v>0</x:v>
      </x:c>
      <x:c r="Y257" s="2"/>
    </x:row>
    <x:row r="258" ht="15.75">
      <x:c r="B258">
        <x:v>7</x:v>
      </x:c>
      <x:c r="C258" t="s">
        <x:v>116</x:v>
      </x:c>
      <x:c r="D258" s="243">
        <x:v>721</x:v>
      </x:c>
      <x:c r="E258" s="268" t="n">
        <x:f>FASE1!G258</x:f>
        <x:v>0</x:v>
      </x:c>
      <x:c r="F258" s="268" t="n">
        <x:f>FASE1!M258</x:f>
        <x:v>0</x:v>
      </x:c>
      <x:c r="G258" s="268" t="n">
        <x:f>FASE1!L258</x:f>
        <x:v>0</x:v>
      </x:c>
      <x:c r="H258" s="268" t="n">
        <x:f>FASE1!R258</x:f>
        <x:v>0</x:v>
      </x:c>
      <x:c r="I258" s="268" t="n">
        <x:f>FASE1!U258</x:f>
        <x:v>0</x:v>
      </x:c>
      <x:c r="J258" s="268" t="n">
        <x:f>FASE1!U258</x:f>
        <x:v>0</x:v>
      </x:c>
      <x:c r="K258" s="268" t="n">
        <x:f>FASE1!P258</x:f>
        <x:v>0</x:v>
      </x:c>
      <x:c r="L258" s="268" t="n">
        <x:f>FASE1!V258</x:f>
        <x:v>0</x:v>
      </x:c>
      <x:c r="M258" s="268" t="n">
        <x:f>AVERAGE(FASE2!F258:G258)</x:f>
        <x:v>0</x:v>
      </x:c>
      <x:c r="N258" s="268" t="n">
        <x:f>AVERAGE(FASE2!O258:P258,FASE2!S258)</x:f>
        <x:v>0</x:v>
      </x:c>
      <x:c r="O258" s="268" t="n">
        <x:f>FASE4!K258</x:f>
        <x:v>0</x:v>
      </x:c>
      <x:c r="P258" s="268" t="n">
        <x:f>FASE2!N258</x:f>
        <x:v>0</x:v>
      </x:c>
      <x:c r="Q258" s="268" t="n">
        <x:f>FASE3!P258</x:f>
        <x:v>0</x:v>
      </x:c>
      <x:c r="R258" s="268" t="n">
        <x:f>FASE3!N258</x:f>
        <x:v>0</x:v>
      </x:c>
      <x:c r="S258" s="268" t="n">
        <x:f>AVERAGE(FASE3!Q258,FASE3!R258,FASE3!T258,FASE3!S258)</x:f>
        <x:v>0</x:v>
      </x:c>
      <x:c r="T258" s="268" t="n">
        <x:f>AVERAGE(FASE3!U258,FASE3!V258,FASE3!W258)</x:f>
        <x:v>0</x:v>
      </x:c>
      <x:c r="U258" s="268" t="n">
        <x:f>FASE3!Y258</x:f>
        <x:v>0</x:v>
      </x:c>
      <x:c r="V258" s="268" t="n">
        <x:f>FASE3!X258</x:f>
        <x:v>0</x:v>
      </x:c>
      <x:c r="W258" s="268" t="n">
        <x:f>FASE4!M258</x:f>
        <x:v>0</x:v>
      </x:c>
      <x:c r="X258" s="268" t="n">
        <x:f t="shared" ref="X258:X321" si="4">AVERAGE(E258:V258)</x:f>
        <x:v>0</x:v>
      </x:c>
      <x:c r="Y258" s="2"/>
    </x:row>
    <x:row r="259" ht="15.75">
      <x:c r="B259">
        <x:v>7</x:v>
      </x:c>
      <x:c r="C259" t="s">
        <x:v>116</x:v>
      </x:c>
      <x:c r="D259" s="243">
        <x:v>722</x:v>
      </x:c>
      <x:c r="E259" s="268" t="n">
        <x:f>FASE1!G259</x:f>
        <x:v>0</x:v>
      </x:c>
      <x:c r="F259" s="268" t="n">
        <x:f>FASE1!M259</x:f>
        <x:v>0</x:v>
      </x:c>
      <x:c r="G259" s="268" t="n">
        <x:f>FASE1!L259</x:f>
        <x:v>0</x:v>
      </x:c>
      <x:c r="H259" s="268" t="n">
        <x:f>FASE1!R259</x:f>
        <x:v>0</x:v>
      </x:c>
      <x:c r="I259" s="268" t="n">
        <x:f>FASE1!U259</x:f>
        <x:v>0</x:v>
      </x:c>
      <x:c r="J259" s="268" t="n">
        <x:f>FASE1!U259</x:f>
        <x:v>0</x:v>
      </x:c>
      <x:c r="K259" s="268" t="n">
        <x:f>FASE1!P259</x:f>
        <x:v>0</x:v>
      </x:c>
      <x:c r="L259" s="268" t="n">
        <x:f>FASE1!V259</x:f>
        <x:v>0</x:v>
      </x:c>
      <x:c r="M259" s="268" t="n">
        <x:f>AVERAGE(FASE2!F259:G259)</x:f>
        <x:v>0</x:v>
      </x:c>
      <x:c r="N259" s="268" t="n">
        <x:f>AVERAGE(FASE2!O259:P259,FASE2!S259)</x:f>
        <x:v>0</x:v>
      </x:c>
      <x:c r="O259" s="268" t="n">
        <x:f>FASE4!K259</x:f>
        <x:v>0</x:v>
      </x:c>
      <x:c r="P259" s="268" t="n">
        <x:f>FASE2!N259</x:f>
        <x:v>0</x:v>
      </x:c>
      <x:c r="Q259" s="268" t="n">
        <x:f>FASE3!P259</x:f>
        <x:v>0</x:v>
      </x:c>
      <x:c r="R259" s="268" t="n">
        <x:f>FASE3!N259</x:f>
        <x:v>0</x:v>
      </x:c>
      <x:c r="S259" s="268" t="n">
        <x:f>AVERAGE(FASE3!Q259,FASE3!R259,FASE3!T259,FASE3!S259)</x:f>
        <x:v>0</x:v>
      </x:c>
      <x:c r="T259" s="268" t="n">
        <x:f>AVERAGE(FASE3!U259,FASE3!V259,FASE3!W259)</x:f>
        <x:v>0</x:v>
      </x:c>
      <x:c r="U259" s="268" t="n">
        <x:f>FASE3!Y259</x:f>
        <x:v>0</x:v>
      </x:c>
      <x:c r="V259" s="268" t="n">
        <x:f>FASE3!X259</x:f>
        <x:v>0</x:v>
      </x:c>
      <x:c r="W259" s="268" t="n">
        <x:f>FASE4!M259</x:f>
        <x:v>0</x:v>
      </x:c>
      <x:c r="X259" s="268">
        <x:f t="shared" si="4"/>
        <x:v>0</x:v>
      </x:c>
      <x:c r="Y259" s="2"/>
    </x:row>
    <x:row r="260" ht="15.75">
      <x:c r="B260">
        <x:v>7</x:v>
      </x:c>
      <x:c r="C260" t="s">
        <x:v>116</x:v>
      </x:c>
      <x:c r="D260" s="243">
        <x:v>723</x:v>
      </x:c>
      <x:c r="E260" s="268" t="n">
        <x:f>FASE1!G260</x:f>
        <x:v>0</x:v>
      </x:c>
      <x:c r="F260" s="268" t="n">
        <x:f>FASE1!M260</x:f>
        <x:v>0</x:v>
      </x:c>
      <x:c r="G260" s="268" t="n">
        <x:f>FASE1!L260</x:f>
        <x:v>0</x:v>
      </x:c>
      <x:c r="H260" s="268" t="n">
        <x:f>FASE1!R260</x:f>
        <x:v>0</x:v>
      </x:c>
      <x:c r="I260" s="268" t="n">
        <x:f>FASE1!U260</x:f>
        <x:v>0</x:v>
      </x:c>
      <x:c r="J260" s="268" t="n">
        <x:f>FASE1!U260</x:f>
        <x:v>0</x:v>
      </x:c>
      <x:c r="K260" s="268" t="n">
        <x:f>FASE1!P260</x:f>
        <x:v>0</x:v>
      </x:c>
      <x:c r="L260" s="268" t="n">
        <x:f>FASE1!V260</x:f>
        <x:v>0</x:v>
      </x:c>
      <x:c r="M260" s="268" t="n">
        <x:f>AVERAGE(FASE2!F260:G260)</x:f>
        <x:v>0</x:v>
      </x:c>
      <x:c r="N260" s="268" t="n">
        <x:f>AVERAGE(FASE2!O260:P260,FASE2!S260)</x:f>
        <x:v>0</x:v>
      </x:c>
      <x:c r="O260" s="268" t="n">
        <x:f>FASE4!K260</x:f>
        <x:v>0</x:v>
      </x:c>
      <x:c r="P260" s="268" t="n">
        <x:f>FASE2!N260</x:f>
        <x:v>0</x:v>
      </x:c>
      <x:c r="Q260" s="268" t="n">
        <x:f>FASE3!P260</x:f>
        <x:v>0</x:v>
      </x:c>
      <x:c r="R260" s="268" t="n">
        <x:f>FASE3!N260</x:f>
        <x:v>0</x:v>
      </x:c>
      <x:c r="S260" s="268" t="n">
        <x:f>AVERAGE(FASE3!Q260,FASE3!R260,FASE3!T260,FASE3!S260)</x:f>
        <x:v>0</x:v>
      </x:c>
      <x:c r="T260" s="268" t="n">
        <x:f>AVERAGE(FASE3!U260,FASE3!V260,FASE3!W260)</x:f>
        <x:v>0</x:v>
      </x:c>
      <x:c r="U260" s="268" t="n">
        <x:f>FASE3!Y260</x:f>
        <x:v>0</x:v>
      </x:c>
      <x:c r="V260" s="268" t="n">
        <x:f>FASE3!X260</x:f>
        <x:v>0</x:v>
      </x:c>
      <x:c r="W260" s="268" t="n">
        <x:f>FASE4!M260</x:f>
        <x:v>0</x:v>
      </x:c>
      <x:c r="X260" s="268">
        <x:f t="shared" si="4"/>
        <x:v>0</x:v>
      </x:c>
      <x:c r="Y260" s="2"/>
    </x:row>
    <x:row r="261" ht="15.75">
      <x:c r="B261">
        <x:v>7</x:v>
      </x:c>
      <x:c r="C261" t="s">
        <x:v>115</x:v>
      </x:c>
      <x:c r="D261" s="243">
        <x:v>701</x:v>
      </x:c>
      <x:c r="E261" s="268" t="n">
        <x:f>FASE1!G261</x:f>
        <x:v>0</x:v>
      </x:c>
      <x:c r="F261" s="268" t="n">
        <x:f>FASE1!M261</x:f>
        <x:v>0</x:v>
      </x:c>
      <x:c r="G261" s="268" t="n">
        <x:f>FASE1!L261</x:f>
        <x:v>0</x:v>
      </x:c>
      <x:c r="H261" s="268" t="n">
        <x:f>FASE1!R261</x:f>
        <x:v>0</x:v>
      </x:c>
      <x:c r="I261" s="268" t="n">
        <x:f>FASE1!U261</x:f>
        <x:v>0</x:v>
      </x:c>
      <x:c r="J261" s="268" t="n">
        <x:f>FASE1!U261</x:f>
        <x:v>0</x:v>
      </x:c>
      <x:c r="K261" s="268" t="n">
        <x:f>FASE1!P261</x:f>
        <x:v>0</x:v>
      </x:c>
      <x:c r="L261" s="268" t="n">
        <x:f>FASE1!V261</x:f>
        <x:v>0</x:v>
      </x:c>
      <x:c r="M261" s="268" t="n">
        <x:f>AVERAGE(FASE2!F261:G261)</x:f>
        <x:v>0</x:v>
      </x:c>
      <x:c r="N261" s="268" t="n">
        <x:f>AVERAGE(FASE2!O261:P261,FASE2!S261)</x:f>
        <x:v>0</x:v>
      </x:c>
      <x:c r="O261" s="268" t="n">
        <x:f>FASE4!K261</x:f>
        <x:v>0</x:v>
      </x:c>
      <x:c r="P261" s="268" t="n">
        <x:f>FASE2!N261</x:f>
        <x:v>0</x:v>
      </x:c>
      <x:c r="Q261" s="268" t="n">
        <x:f>FASE3!P261</x:f>
        <x:v>0</x:v>
      </x:c>
      <x:c r="R261" s="268" t="n">
        <x:f>FASE3!N261</x:f>
        <x:v>0</x:v>
      </x:c>
      <x:c r="S261" s="268" t="n">
        <x:f>AVERAGE(FASE3!Q261,FASE3!R261,FASE3!T261,FASE3!S261)</x:f>
        <x:v>0</x:v>
      </x:c>
      <x:c r="T261" s="268" t="n">
        <x:f>AVERAGE(FASE3!U261,FASE3!V261,FASE3!W261)</x:f>
        <x:v>0</x:v>
      </x:c>
      <x:c r="U261" s="268" t="n">
        <x:f>FASE3!Y261</x:f>
        <x:v>0</x:v>
      </x:c>
      <x:c r="V261" s="268" t="n">
        <x:f>FASE3!X261</x:f>
        <x:v>0</x:v>
      </x:c>
      <x:c r="W261" s="268" t="n">
        <x:f>FASE4!M261</x:f>
        <x:v>0</x:v>
      </x:c>
      <x:c r="X261" s="268">
        <x:f t="shared" si="4"/>
        <x:v>0</x:v>
      </x:c>
      <x:c r="Y261" s="2"/>
    </x:row>
    <x:row r="262" ht="15.75">
      <x:c r="B262">
        <x:v>7</x:v>
      </x:c>
      <x:c r="C262" t="s">
        <x:v>115</x:v>
      </x:c>
      <x:c r="D262" s="243">
        <x:v>701</x:v>
      </x:c>
      <x:c r="E262" s="268" t="n">
        <x:f>FASE1!G262</x:f>
        <x:v>0</x:v>
      </x:c>
      <x:c r="F262" s="268" t="n">
        <x:f>FASE1!M262</x:f>
        <x:v>0</x:v>
      </x:c>
      <x:c r="G262" s="268" t="n">
        <x:f>FASE1!L262</x:f>
        <x:v>0</x:v>
      </x:c>
      <x:c r="H262" s="268" t="n">
        <x:f>FASE1!R262</x:f>
        <x:v>0</x:v>
      </x:c>
      <x:c r="I262" s="268" t="n">
        <x:f>FASE1!U262</x:f>
        <x:v>0</x:v>
      </x:c>
      <x:c r="J262" s="268" t="n">
        <x:f>FASE1!U262</x:f>
        <x:v>0</x:v>
      </x:c>
      <x:c r="K262" s="268" t="n">
        <x:f>FASE1!P262</x:f>
        <x:v>0</x:v>
      </x:c>
      <x:c r="L262" s="268" t="n">
        <x:f>FASE1!V262</x:f>
        <x:v>0</x:v>
      </x:c>
      <x:c r="M262" s="268" t="n">
        <x:f>AVERAGE(FASE2!F262:G262)</x:f>
        <x:v>0</x:v>
      </x:c>
      <x:c r="N262" s="268" t="n">
        <x:f>AVERAGE(FASE2!O262:P262,FASE2!S262)</x:f>
        <x:v>0</x:v>
      </x:c>
      <x:c r="O262" s="268" t="n">
        <x:f>FASE4!K262</x:f>
        <x:v>0</x:v>
      </x:c>
      <x:c r="P262" s="268" t="n">
        <x:f>FASE2!N262</x:f>
        <x:v>0</x:v>
      </x:c>
      <x:c r="Q262" s="268" t="n">
        <x:f>FASE3!P262</x:f>
        <x:v>0</x:v>
      </x:c>
      <x:c r="R262" s="268" t="n">
        <x:f>FASE3!N262</x:f>
        <x:v>0</x:v>
      </x:c>
      <x:c r="S262" s="268" t="n">
        <x:f>AVERAGE(FASE3!Q262,FASE3!R262,FASE3!T262,FASE3!S262)</x:f>
        <x:v>0</x:v>
      </x:c>
      <x:c r="T262" s="268" t="n">
        <x:f>AVERAGE(FASE3!U262,FASE3!V262,FASE3!W262)</x:f>
        <x:v>0</x:v>
      </x:c>
      <x:c r="U262" s="268" t="n">
        <x:f>FASE3!Y262</x:f>
        <x:v>0</x:v>
      </x:c>
      <x:c r="V262" s="268" t="n">
        <x:f>FASE3!X262</x:f>
        <x:v>0</x:v>
      </x:c>
      <x:c r="W262" s="268" t="n">
        <x:f>FASE4!M262</x:f>
        <x:v>0</x:v>
      </x:c>
      <x:c r="X262" s="268">
        <x:f t="shared" si="4"/>
        <x:v>0</x:v>
      </x:c>
      <x:c r="Y262" s="2"/>
    </x:row>
    <x:row r="263" ht="15.75">
      <x:c r="B263">
        <x:v>7</x:v>
      </x:c>
      <x:c r="C263" t="s">
        <x:v>115</x:v>
      </x:c>
      <x:c r="D263" s="243">
        <x:v>701</x:v>
      </x:c>
      <x:c r="E263" s="268" t="n">
        <x:f>FASE1!G263</x:f>
        <x:v>0</x:v>
      </x:c>
      <x:c r="F263" s="268" t="n">
        <x:f>FASE1!M263</x:f>
        <x:v>0</x:v>
      </x:c>
      <x:c r="G263" s="268" t="n">
        <x:f>FASE1!L263</x:f>
        <x:v>0</x:v>
      </x:c>
      <x:c r="H263" s="268" t="n">
        <x:f>FASE1!R263</x:f>
        <x:v>0</x:v>
      </x:c>
      <x:c r="I263" s="268" t="n">
        <x:f>FASE1!U263</x:f>
        <x:v>0</x:v>
      </x:c>
      <x:c r="J263" s="268" t="n">
        <x:f>FASE1!U263</x:f>
        <x:v>0</x:v>
      </x:c>
      <x:c r="K263" s="268" t="n">
        <x:f>FASE1!P263</x:f>
        <x:v>0</x:v>
      </x:c>
      <x:c r="L263" s="268" t="n">
        <x:f>FASE1!V263</x:f>
        <x:v>0</x:v>
      </x:c>
      <x:c r="M263" s="268" t="n">
        <x:f>AVERAGE(FASE2!F263:G263)</x:f>
        <x:v>0</x:v>
      </x:c>
      <x:c r="N263" s="268" t="n">
        <x:f>AVERAGE(FASE2!O263:P263,FASE2!S263)</x:f>
        <x:v>0</x:v>
      </x:c>
      <x:c r="O263" s="268" t="n">
        <x:f>FASE4!K263</x:f>
        <x:v>0</x:v>
      </x:c>
      <x:c r="P263" s="268" t="n">
        <x:f>FASE2!N263</x:f>
        <x:v>0</x:v>
      </x:c>
      <x:c r="Q263" s="268" t="n">
        <x:f>FASE3!P263</x:f>
        <x:v>0</x:v>
      </x:c>
      <x:c r="R263" s="268" t="n">
        <x:f>FASE3!N263</x:f>
        <x:v>0</x:v>
      </x:c>
      <x:c r="S263" s="268" t="n">
        <x:f>AVERAGE(FASE3!Q263,FASE3!R263,FASE3!T263,FASE3!S263)</x:f>
        <x:v>0</x:v>
      </x:c>
      <x:c r="T263" s="268" t="n">
        <x:f>AVERAGE(FASE3!U263,FASE3!V263,FASE3!W263)</x:f>
        <x:v>0</x:v>
      </x:c>
      <x:c r="U263" s="268" t="n">
        <x:f>FASE3!Y263</x:f>
        <x:v>0</x:v>
      </x:c>
      <x:c r="V263" s="268" t="n">
        <x:f>FASE3!X263</x:f>
        <x:v>0</x:v>
      </x:c>
      <x:c r="W263" s="268" t="n">
        <x:f>FASE4!M263</x:f>
        <x:v>0</x:v>
      </x:c>
      <x:c r="X263" s="268">
        <x:f t="shared" si="4"/>
        <x:v>0</x:v>
      </x:c>
      <x:c r="Y263" s="2"/>
    </x:row>
    <x:row r="264" ht="15.75">
      <x:c r="B264">
        <x:v>7</x:v>
      </x:c>
      <x:c r="C264" t="s">
        <x:v>115</x:v>
      </x:c>
      <x:c r="D264" s="243">
        <x:v>701</x:v>
      </x:c>
      <x:c r="E264" s="268" t="n">
        <x:f>FASE1!G264</x:f>
        <x:v>0</x:v>
      </x:c>
      <x:c r="F264" s="268" t="n">
        <x:f>FASE1!M264</x:f>
        <x:v>0</x:v>
      </x:c>
      <x:c r="G264" s="268" t="n">
        <x:f>FASE1!L264</x:f>
        <x:v>0</x:v>
      </x:c>
      <x:c r="H264" s="268" t="n">
        <x:f>FASE1!R264</x:f>
        <x:v>0</x:v>
      </x:c>
      <x:c r="I264" s="268" t="n">
        <x:f>FASE1!U264</x:f>
        <x:v>0</x:v>
      </x:c>
      <x:c r="J264" s="268" t="n">
        <x:f>FASE1!U264</x:f>
        <x:v>0</x:v>
      </x:c>
      <x:c r="K264" s="268" t="n">
        <x:f>FASE1!P264</x:f>
        <x:v>0</x:v>
      </x:c>
      <x:c r="L264" s="268" t="n">
        <x:f>FASE1!V264</x:f>
        <x:v>0</x:v>
      </x:c>
      <x:c r="M264" s="268" t="n">
        <x:f>AVERAGE(FASE2!F264:G264)</x:f>
        <x:v>0</x:v>
      </x:c>
      <x:c r="N264" s="268" t="n">
        <x:f>AVERAGE(FASE2!O264:P264,FASE2!S264)</x:f>
        <x:v>0</x:v>
      </x:c>
      <x:c r="O264" s="268" t="n">
        <x:f>FASE4!K264</x:f>
        <x:v>0</x:v>
      </x:c>
      <x:c r="P264" s="268" t="n">
        <x:f>FASE2!N264</x:f>
        <x:v>0</x:v>
      </x:c>
      <x:c r="Q264" s="268" t="n">
        <x:f>FASE3!P264</x:f>
        <x:v>0</x:v>
      </x:c>
      <x:c r="R264" s="268" t="n">
        <x:f>FASE3!N264</x:f>
        <x:v>0</x:v>
      </x:c>
      <x:c r="S264" s="268" t="n">
        <x:f>AVERAGE(FASE3!Q264,FASE3!R264,FASE3!T264,FASE3!S264)</x:f>
        <x:v>0</x:v>
      </x:c>
      <x:c r="T264" s="268" t="n">
        <x:f>AVERAGE(FASE3!U264,FASE3!V264,FASE3!W264)</x:f>
        <x:v>0</x:v>
      </x:c>
      <x:c r="U264" s="268" t="n">
        <x:f>FASE3!Y264</x:f>
        <x:v>0</x:v>
      </x:c>
      <x:c r="V264" s="268" t="n">
        <x:f>FASE3!X264</x:f>
        <x:v>0</x:v>
      </x:c>
      <x:c r="W264" s="268" t="n">
        <x:f>FASE4!M264</x:f>
        <x:v>0</x:v>
      </x:c>
      <x:c r="X264" s="268">
        <x:f t="shared" si="4"/>
        <x:v>0</x:v>
      </x:c>
      <x:c r="Y264" s="2"/>
    </x:row>
    <x:row r="265" ht="15.75">
      <x:c r="B265">
        <x:v>7</x:v>
      </x:c>
      <x:c r="C265" t="s">
        <x:v>115</x:v>
      </x:c>
      <x:c r="D265" s="243">
        <x:v>701</x:v>
      </x:c>
      <x:c r="E265" s="268" t="n">
        <x:f>FASE1!G265</x:f>
        <x:v>0</x:v>
      </x:c>
      <x:c r="F265" s="268" t="n">
        <x:f>FASE1!M265</x:f>
        <x:v>0</x:v>
      </x:c>
      <x:c r="G265" s="268" t="n">
        <x:f>FASE1!L265</x:f>
        <x:v>0</x:v>
      </x:c>
      <x:c r="H265" s="268" t="n">
        <x:f>FASE1!R265</x:f>
        <x:v>0</x:v>
      </x:c>
      <x:c r="I265" s="268" t="n">
        <x:f>FASE1!U265</x:f>
        <x:v>0</x:v>
      </x:c>
      <x:c r="J265" s="268" t="n">
        <x:f>FASE1!U265</x:f>
        <x:v>0</x:v>
      </x:c>
      <x:c r="K265" s="268" t="n">
        <x:f>FASE1!P265</x:f>
        <x:v>0</x:v>
      </x:c>
      <x:c r="L265" s="268" t="n">
        <x:f>FASE1!V265</x:f>
        <x:v>0</x:v>
      </x:c>
      <x:c r="M265" s="268" t="n">
        <x:f>AVERAGE(FASE2!F265:G265)</x:f>
        <x:v>0</x:v>
      </x:c>
      <x:c r="N265" s="268" t="n">
        <x:f>AVERAGE(FASE2!O265:P265,FASE2!S265)</x:f>
        <x:v>0</x:v>
      </x:c>
      <x:c r="O265" s="268" t="n">
        <x:f>FASE4!K265</x:f>
        <x:v>0</x:v>
      </x:c>
      <x:c r="P265" s="268" t="n">
        <x:f>FASE2!N265</x:f>
        <x:v>0</x:v>
      </x:c>
      <x:c r="Q265" s="268" t="n">
        <x:f>FASE3!P265</x:f>
        <x:v>0</x:v>
      </x:c>
      <x:c r="R265" s="268" t="n">
        <x:f>FASE3!N265</x:f>
        <x:v>0</x:v>
      </x:c>
      <x:c r="S265" s="268" t="n">
        <x:f>AVERAGE(FASE3!Q265,FASE3!R265,FASE3!T265,FASE3!S265)</x:f>
        <x:v>0</x:v>
      </x:c>
      <x:c r="T265" s="268" t="n">
        <x:f>AVERAGE(FASE3!U265,FASE3!V265,FASE3!W265)</x:f>
        <x:v>0</x:v>
      </x:c>
      <x:c r="U265" s="268" t="n">
        <x:f>FASE3!Y265</x:f>
        <x:v>0</x:v>
      </x:c>
      <x:c r="V265" s="268" t="n">
        <x:f>FASE3!X265</x:f>
        <x:v>0</x:v>
      </x:c>
      <x:c r="W265" s="268" t="n">
        <x:f>FASE4!M265</x:f>
        <x:v>0</x:v>
      </x:c>
      <x:c r="X265" s="268">
        <x:f t="shared" si="4"/>
        <x:v>0</x:v>
      </x:c>
      <x:c r="Y265" s="2"/>
    </x:row>
    <x:row r="266" ht="15.75">
      <x:c r="B266">
        <x:v>7</x:v>
      </x:c>
      <x:c r="C266" t="s">
        <x:v>115</x:v>
      </x:c>
      <x:c r="D266" s="243">
        <x:v>701</x:v>
      </x:c>
      <x:c r="E266" s="268" t="n">
        <x:f>FASE1!G266</x:f>
        <x:v>0</x:v>
      </x:c>
      <x:c r="F266" s="268" t="n">
        <x:f>FASE1!M266</x:f>
        <x:v>0</x:v>
      </x:c>
      <x:c r="G266" s="268" t="n">
        <x:f>FASE1!L266</x:f>
        <x:v>0</x:v>
      </x:c>
      <x:c r="H266" s="268" t="n">
        <x:f>FASE1!R266</x:f>
        <x:v>0</x:v>
      </x:c>
      <x:c r="I266" s="268" t="n">
        <x:f>FASE1!U266</x:f>
        <x:v>0</x:v>
      </x:c>
      <x:c r="J266" s="268" t="n">
        <x:f>FASE1!U266</x:f>
        <x:v>0</x:v>
      </x:c>
      <x:c r="K266" s="268" t="n">
        <x:f>FASE1!P266</x:f>
        <x:v>0</x:v>
      </x:c>
      <x:c r="L266" s="268" t="n">
        <x:f>FASE1!V266</x:f>
        <x:v>0</x:v>
      </x:c>
      <x:c r="M266" s="268" t="n">
        <x:f>AVERAGE(FASE2!F266:G266)</x:f>
        <x:v>0</x:v>
      </x:c>
      <x:c r="N266" s="268" t="n">
        <x:f>AVERAGE(FASE2!O266:P266,FASE2!S266)</x:f>
        <x:v>0</x:v>
      </x:c>
      <x:c r="O266" s="268" t="n">
        <x:f>FASE4!K266</x:f>
        <x:v>0</x:v>
      </x:c>
      <x:c r="P266" s="268" t="n">
        <x:f>FASE2!N266</x:f>
        <x:v>0</x:v>
      </x:c>
      <x:c r="Q266" s="268" t="n">
        <x:f>FASE3!P266</x:f>
        <x:v>0</x:v>
      </x:c>
      <x:c r="R266" s="268" t="n">
        <x:f>FASE3!N266</x:f>
        <x:v>0</x:v>
      </x:c>
      <x:c r="S266" s="268" t="n">
        <x:f>AVERAGE(FASE3!Q266,FASE3!R266,FASE3!T266,FASE3!S266)</x:f>
        <x:v>0</x:v>
      </x:c>
      <x:c r="T266" s="268" t="n">
        <x:f>AVERAGE(FASE3!U266,FASE3!V266,FASE3!W266)</x:f>
        <x:v>0</x:v>
      </x:c>
      <x:c r="U266" s="268" t="n">
        <x:f>FASE3!Y266</x:f>
        <x:v>0</x:v>
      </x:c>
      <x:c r="V266" s="268" t="n">
        <x:f>FASE3!X266</x:f>
        <x:v>0</x:v>
      </x:c>
      <x:c r="W266" s="268" t="n">
        <x:f>FASE4!M266</x:f>
        <x:v>0</x:v>
      </x:c>
      <x:c r="X266" s="268">
        <x:f t="shared" si="4"/>
        <x:v>0</x:v>
      </x:c>
      <x:c r="Y266" s="2"/>
    </x:row>
    <x:row r="267" ht="15.75">
      <x:c r="B267">
        <x:v>7</x:v>
      </x:c>
      <x:c r="C267" t="s">
        <x:v>115</x:v>
      </x:c>
      <x:c r="D267" s="243">
        <x:v>701</x:v>
      </x:c>
      <x:c r="E267" s="268" t="n">
        <x:f>FASE1!G267</x:f>
        <x:v>0</x:v>
      </x:c>
      <x:c r="F267" s="268" t="n">
        <x:f>FASE1!M267</x:f>
        <x:v>0</x:v>
      </x:c>
      <x:c r="G267" s="268" t="n">
        <x:f>FASE1!L267</x:f>
        <x:v>0</x:v>
      </x:c>
      <x:c r="H267" s="268" t="n">
        <x:f>FASE1!R267</x:f>
        <x:v>0</x:v>
      </x:c>
      <x:c r="I267" s="268" t="n">
        <x:f>FASE1!U267</x:f>
        <x:v>0</x:v>
      </x:c>
      <x:c r="J267" s="268" t="n">
        <x:f>FASE1!U267</x:f>
        <x:v>0</x:v>
      </x:c>
      <x:c r="K267" s="268" t="n">
        <x:f>FASE1!P267</x:f>
        <x:v>0</x:v>
      </x:c>
      <x:c r="L267" s="268" t="n">
        <x:f>FASE1!V267</x:f>
        <x:v>0</x:v>
      </x:c>
      <x:c r="M267" s="268" t="n">
        <x:f>AVERAGE(FASE2!F267:G267)</x:f>
        <x:v>0</x:v>
      </x:c>
      <x:c r="N267" s="268" t="n">
        <x:f>AVERAGE(FASE2!O267:P267,FASE2!S267)</x:f>
        <x:v>0</x:v>
      </x:c>
      <x:c r="O267" s="268" t="n">
        <x:f>FASE4!K267</x:f>
        <x:v>0</x:v>
      </x:c>
      <x:c r="P267" s="268" t="n">
        <x:f>FASE2!N267</x:f>
        <x:v>0</x:v>
      </x:c>
      <x:c r="Q267" s="268" t="n">
        <x:f>FASE3!P267</x:f>
        <x:v>0</x:v>
      </x:c>
      <x:c r="R267" s="268" t="n">
        <x:f>FASE3!N267</x:f>
        <x:v>0</x:v>
      </x:c>
      <x:c r="S267" s="268" t="n">
        <x:f>AVERAGE(FASE3!Q267,FASE3!R267,FASE3!T267,FASE3!S267)</x:f>
        <x:v>0</x:v>
      </x:c>
      <x:c r="T267" s="268" t="n">
        <x:f>AVERAGE(FASE3!U267,FASE3!V267,FASE3!W267)</x:f>
        <x:v>0</x:v>
      </x:c>
      <x:c r="U267" s="268" t="n">
        <x:f>FASE3!Y267</x:f>
        <x:v>0</x:v>
      </x:c>
      <x:c r="V267" s="268" t="n">
        <x:f>FASE3!X267</x:f>
        <x:v>0</x:v>
      </x:c>
      <x:c r="W267" s="268" t="n">
        <x:f>FASE4!M267</x:f>
        <x:v>0</x:v>
      </x:c>
      <x:c r="X267" s="268">
        <x:f t="shared" si="4"/>
        <x:v>0</x:v>
      </x:c>
      <x:c r="Y267" s="2"/>
    </x:row>
    <x:row r="268" ht="15.75">
      <x:c r="B268">
        <x:v>7</x:v>
      </x:c>
      <x:c r="C268" t="s">
        <x:v>115</x:v>
      </x:c>
      <x:c r="D268" s="243">
        <x:v>701</x:v>
      </x:c>
      <x:c r="E268" s="268" t="n">
        <x:f>FASE1!G268</x:f>
        <x:v>0</x:v>
      </x:c>
      <x:c r="F268" s="268" t="n">
        <x:f>FASE1!M268</x:f>
        <x:v>0</x:v>
      </x:c>
      <x:c r="G268" s="268" t="n">
        <x:f>FASE1!L268</x:f>
        <x:v>0</x:v>
      </x:c>
      <x:c r="H268" s="268" t="n">
        <x:f>FASE1!R268</x:f>
        <x:v>0</x:v>
      </x:c>
      <x:c r="I268" s="268" t="n">
        <x:f>FASE1!U268</x:f>
        <x:v>0</x:v>
      </x:c>
      <x:c r="J268" s="268" t="n">
        <x:f>FASE1!U268</x:f>
        <x:v>0</x:v>
      </x:c>
      <x:c r="K268" s="268" t="n">
        <x:f>FASE1!P268</x:f>
        <x:v>0</x:v>
      </x:c>
      <x:c r="L268" s="268" t="n">
        <x:f>FASE1!V268</x:f>
        <x:v>0</x:v>
      </x:c>
      <x:c r="M268" s="268" t="n">
        <x:f>AVERAGE(FASE2!F268:G268)</x:f>
        <x:v>0</x:v>
      </x:c>
      <x:c r="N268" s="268" t="n">
        <x:f>AVERAGE(FASE2!O268:P268,FASE2!S268)</x:f>
        <x:v>0</x:v>
      </x:c>
      <x:c r="O268" s="268" t="n">
        <x:f>FASE4!K268</x:f>
        <x:v>0</x:v>
      </x:c>
      <x:c r="P268" s="268" t="n">
        <x:f>FASE2!N268</x:f>
        <x:v>0</x:v>
      </x:c>
      <x:c r="Q268" s="268" t="n">
        <x:f>FASE3!P268</x:f>
        <x:v>0</x:v>
      </x:c>
      <x:c r="R268" s="268" t="n">
        <x:f>FASE3!N268</x:f>
        <x:v>0</x:v>
      </x:c>
      <x:c r="S268" s="268" t="n">
        <x:f>AVERAGE(FASE3!Q268,FASE3!R268,FASE3!T268,FASE3!S268)</x:f>
        <x:v>0</x:v>
      </x:c>
      <x:c r="T268" s="268" t="n">
        <x:f>AVERAGE(FASE3!U268,FASE3!V268,FASE3!W268)</x:f>
        <x:v>0</x:v>
      </x:c>
      <x:c r="U268" s="268" t="n">
        <x:f>FASE3!Y268</x:f>
        <x:v>0</x:v>
      </x:c>
      <x:c r="V268" s="268" t="n">
        <x:f>FASE3!X268</x:f>
        <x:v>0</x:v>
      </x:c>
      <x:c r="W268" s="268" t="n">
        <x:f>FASE4!M268</x:f>
        <x:v>0</x:v>
      </x:c>
      <x:c r="X268" s="268">
        <x:f t="shared" si="4"/>
        <x:v>0</x:v>
      </x:c>
      <x:c r="Y268" s="2"/>
    </x:row>
    <x:row r="269" ht="15.75">
      <x:c r="B269">
        <x:v>7</x:v>
      </x:c>
      <x:c r="C269" t="s">
        <x:v>115</x:v>
      </x:c>
      <x:c r="D269" s="243">
        <x:v>701</x:v>
      </x:c>
      <x:c r="E269" s="268" t="n">
        <x:f>FASE1!G269</x:f>
        <x:v>0</x:v>
      </x:c>
      <x:c r="F269" s="268" t="n">
        <x:f>FASE1!M269</x:f>
        <x:v>0</x:v>
      </x:c>
      <x:c r="G269" s="268" t="n">
        <x:f>FASE1!L269</x:f>
        <x:v>0</x:v>
      </x:c>
      <x:c r="H269" s="268" t="n">
        <x:f>FASE1!R269</x:f>
        <x:v>0</x:v>
      </x:c>
      <x:c r="I269" s="268" t="n">
        <x:f>FASE1!U269</x:f>
        <x:v>0</x:v>
      </x:c>
      <x:c r="J269" s="268" t="n">
        <x:f>FASE1!U269</x:f>
        <x:v>0</x:v>
      </x:c>
      <x:c r="K269" s="268" t="n">
        <x:f>FASE1!P269</x:f>
        <x:v>0</x:v>
      </x:c>
      <x:c r="L269" s="268" t="n">
        <x:f>FASE1!V269</x:f>
        <x:v>0</x:v>
      </x:c>
      <x:c r="M269" s="268" t="n">
        <x:f>AVERAGE(FASE2!F269:G269)</x:f>
        <x:v>0</x:v>
      </x:c>
      <x:c r="N269" s="268" t="n">
        <x:f>AVERAGE(FASE2!O269:P269,FASE2!S269)</x:f>
        <x:v>0</x:v>
      </x:c>
      <x:c r="O269" s="268" t="n">
        <x:f>FASE4!K269</x:f>
        <x:v>0</x:v>
      </x:c>
      <x:c r="P269" s="268" t="n">
        <x:f>FASE2!N269</x:f>
        <x:v>0</x:v>
      </x:c>
      <x:c r="Q269" s="268" t="n">
        <x:f>FASE3!P269</x:f>
        <x:v>0</x:v>
      </x:c>
      <x:c r="R269" s="268" t="n">
        <x:f>FASE3!N269</x:f>
        <x:v>0</x:v>
      </x:c>
      <x:c r="S269" s="268" t="n">
        <x:f>AVERAGE(FASE3!Q269,FASE3!R269,FASE3!T269,FASE3!S269)</x:f>
        <x:v>0</x:v>
      </x:c>
      <x:c r="T269" s="268" t="n">
        <x:f>AVERAGE(FASE3!U269,FASE3!V269,FASE3!W269)</x:f>
        <x:v>0</x:v>
      </x:c>
      <x:c r="U269" s="268" t="n">
        <x:f>FASE3!Y269</x:f>
        <x:v>0</x:v>
      </x:c>
      <x:c r="V269" s="268" t="n">
        <x:f>FASE3!X269</x:f>
        <x:v>0</x:v>
      </x:c>
      <x:c r="W269" s="268" t="n">
        <x:f>FASE4!M269</x:f>
        <x:v>0</x:v>
      </x:c>
      <x:c r="X269" s="268">
        <x:f t="shared" si="4"/>
        <x:v>0</x:v>
      </x:c>
      <x:c r="Y269" s="2"/>
    </x:row>
    <x:row r="270" ht="15.75">
      <x:c r="B270">
        <x:v>7</x:v>
      </x:c>
      <x:c r="C270" t="s">
        <x:v>115</x:v>
      </x:c>
      <x:c r="D270" s="243">
        <x:v>701</x:v>
      </x:c>
      <x:c r="E270" s="268" t="n">
        <x:f>FASE1!G270</x:f>
        <x:v>0</x:v>
      </x:c>
      <x:c r="F270" s="268" t="n">
        <x:f>FASE1!M270</x:f>
        <x:v>0</x:v>
      </x:c>
      <x:c r="G270" s="268" t="n">
        <x:f>FASE1!L270</x:f>
        <x:v>0</x:v>
      </x:c>
      <x:c r="H270" s="268" t="n">
        <x:f>FASE1!R270</x:f>
        <x:v>0</x:v>
      </x:c>
      <x:c r="I270" s="268" t="n">
        <x:f>FASE1!U270</x:f>
        <x:v>0</x:v>
      </x:c>
      <x:c r="J270" s="268" t="n">
        <x:f>FASE1!U270</x:f>
        <x:v>0</x:v>
      </x:c>
      <x:c r="K270" s="268" t="n">
        <x:f>FASE1!P270</x:f>
        <x:v>0</x:v>
      </x:c>
      <x:c r="L270" s="268" t="n">
        <x:f>FASE1!V270</x:f>
        <x:v>0</x:v>
      </x:c>
      <x:c r="M270" s="268" t="n">
        <x:f>AVERAGE(FASE2!F270:G270)</x:f>
        <x:v>0</x:v>
      </x:c>
      <x:c r="N270" s="268" t="n">
        <x:f>AVERAGE(FASE2!O270:P270,FASE2!S270)</x:f>
        <x:v>0</x:v>
      </x:c>
      <x:c r="O270" s="268" t="n">
        <x:f>FASE4!K270</x:f>
        <x:v>0</x:v>
      </x:c>
      <x:c r="P270" s="268" t="n">
        <x:f>FASE2!N270</x:f>
        <x:v>0</x:v>
      </x:c>
      <x:c r="Q270" s="268" t="n">
        <x:f>FASE3!P270</x:f>
        <x:v>0</x:v>
      </x:c>
      <x:c r="R270" s="268" t="n">
        <x:f>FASE3!N270</x:f>
        <x:v>0</x:v>
      </x:c>
      <x:c r="S270" s="268" t="n">
        <x:f>AVERAGE(FASE3!Q270,FASE3!R270,FASE3!T270,FASE3!S270)</x:f>
        <x:v>0</x:v>
      </x:c>
      <x:c r="T270" s="268" t="n">
        <x:f>AVERAGE(FASE3!U270,FASE3!V270,FASE3!W270)</x:f>
        <x:v>0</x:v>
      </x:c>
      <x:c r="U270" s="268" t="n">
        <x:f>FASE3!Y270</x:f>
        <x:v>0</x:v>
      </x:c>
      <x:c r="V270" s="268" t="n">
        <x:f>FASE3!X270</x:f>
        <x:v>0</x:v>
      </x:c>
      <x:c r="W270" s="268" t="n">
        <x:f>FASE4!M270</x:f>
        <x:v>0</x:v>
      </x:c>
      <x:c r="X270" s="268">
        <x:f t="shared" si="4"/>
        <x:v>0</x:v>
      </x:c>
      <x:c r="Y270" s="2"/>
    </x:row>
    <x:row r="271" ht="15.75">
      <x:c r="B271">
        <x:v>7</x:v>
      </x:c>
      <x:c r="C271" t="s">
        <x:v>115</x:v>
      </x:c>
      <x:c r="D271" s="243">
        <x:v>701</x:v>
      </x:c>
      <x:c r="E271" s="268" t="n">
        <x:f>FASE1!G271</x:f>
        <x:v>0</x:v>
      </x:c>
      <x:c r="F271" s="268" t="n">
        <x:f>FASE1!M271</x:f>
        <x:v>0</x:v>
      </x:c>
      <x:c r="G271" s="268" t="n">
        <x:f>FASE1!L271</x:f>
        <x:v>0</x:v>
      </x:c>
      <x:c r="H271" s="268" t="n">
        <x:f>FASE1!R271</x:f>
        <x:v>0</x:v>
      </x:c>
      <x:c r="I271" s="268" t="n">
        <x:f>FASE1!U271</x:f>
        <x:v>0</x:v>
      </x:c>
      <x:c r="J271" s="268" t="n">
        <x:f>FASE1!U271</x:f>
        <x:v>0</x:v>
      </x:c>
      <x:c r="K271" s="268" t="n">
        <x:f>FASE1!P271</x:f>
        <x:v>0</x:v>
      </x:c>
      <x:c r="L271" s="268" t="n">
        <x:f>FASE1!V271</x:f>
        <x:v>0</x:v>
      </x:c>
      <x:c r="M271" s="268" t="n">
        <x:f>AVERAGE(FASE2!F271:G271)</x:f>
        <x:v>0</x:v>
      </x:c>
      <x:c r="N271" s="268" t="n">
        <x:f>AVERAGE(FASE2!O271:P271,FASE2!S271)</x:f>
        <x:v>0</x:v>
      </x:c>
      <x:c r="O271" s="268" t="n">
        <x:f>FASE4!K271</x:f>
        <x:v>0</x:v>
      </x:c>
      <x:c r="P271" s="268" t="n">
        <x:f>FASE2!N271</x:f>
        <x:v>0</x:v>
      </x:c>
      <x:c r="Q271" s="268" t="n">
        <x:f>FASE3!P271</x:f>
        <x:v>0</x:v>
      </x:c>
      <x:c r="R271" s="268" t="n">
        <x:f>FASE3!N271</x:f>
        <x:v>0</x:v>
      </x:c>
      <x:c r="S271" s="268" t="n">
        <x:f>AVERAGE(FASE3!Q271,FASE3!R271,FASE3!T271,FASE3!S271)</x:f>
        <x:v>0</x:v>
      </x:c>
      <x:c r="T271" s="268" t="n">
        <x:f>AVERAGE(FASE3!U271,FASE3!V271,FASE3!W271)</x:f>
        <x:v>0</x:v>
      </x:c>
      <x:c r="U271" s="268" t="n">
        <x:f>FASE3!Y271</x:f>
        <x:v>0</x:v>
      </x:c>
      <x:c r="V271" s="268" t="n">
        <x:f>FASE3!X271</x:f>
        <x:v>0</x:v>
      </x:c>
      <x:c r="W271" s="268" t="n">
        <x:f>FASE4!M271</x:f>
        <x:v>0</x:v>
      </x:c>
      <x:c r="X271" s="268">
        <x:f t="shared" si="4"/>
        <x:v>0</x:v>
      </x:c>
      <x:c r="Y271" s="2"/>
    </x:row>
    <x:row r="272" ht="15.75">
      <x:c r="B272">
        <x:v>7</x:v>
      </x:c>
      <x:c r="C272" t="s">
        <x:v>115</x:v>
      </x:c>
      <x:c r="D272" s="243">
        <x:v>701</x:v>
      </x:c>
      <x:c r="E272" s="268" t="n">
        <x:f>FASE1!G272</x:f>
        <x:v>0</x:v>
      </x:c>
      <x:c r="F272" s="268" t="n">
        <x:f>FASE1!M272</x:f>
        <x:v>0</x:v>
      </x:c>
      <x:c r="G272" s="268" t="n">
        <x:f>FASE1!L272</x:f>
        <x:v>0</x:v>
      </x:c>
      <x:c r="H272" s="268" t="n">
        <x:f>FASE1!R272</x:f>
        <x:v>0</x:v>
      </x:c>
      <x:c r="I272" s="268" t="n">
        <x:f>FASE1!U272</x:f>
        <x:v>0</x:v>
      </x:c>
      <x:c r="J272" s="268" t="n">
        <x:f>FASE1!U272</x:f>
        <x:v>0</x:v>
      </x:c>
      <x:c r="K272" s="268" t="n">
        <x:f>FASE1!P272</x:f>
        <x:v>0</x:v>
      </x:c>
      <x:c r="L272" s="268" t="n">
        <x:f>FASE1!V272</x:f>
        <x:v>0</x:v>
      </x:c>
      <x:c r="M272" s="268" t="n">
        <x:f>AVERAGE(FASE2!F272:G272)</x:f>
        <x:v>0</x:v>
      </x:c>
      <x:c r="N272" s="268" t="n">
        <x:f>AVERAGE(FASE2!O272:P272,FASE2!S272)</x:f>
        <x:v>0</x:v>
      </x:c>
      <x:c r="O272" s="268" t="n">
        <x:f>FASE4!K272</x:f>
        <x:v>0</x:v>
      </x:c>
      <x:c r="P272" s="268" t="n">
        <x:f>FASE2!N272</x:f>
        <x:v>0</x:v>
      </x:c>
      <x:c r="Q272" s="268" t="n">
        <x:f>FASE3!P272</x:f>
        <x:v>0</x:v>
      </x:c>
      <x:c r="R272" s="268" t="n">
        <x:f>FASE3!N272</x:f>
        <x:v>0</x:v>
      </x:c>
      <x:c r="S272" s="268" t="n">
        <x:f>AVERAGE(FASE3!Q272,FASE3!R272,FASE3!T272,FASE3!S272)</x:f>
        <x:v>0</x:v>
      </x:c>
      <x:c r="T272" s="268" t="n">
        <x:f>AVERAGE(FASE3!U272,FASE3!V272,FASE3!W272)</x:f>
        <x:v>0</x:v>
      </x:c>
      <x:c r="U272" s="268" t="n">
        <x:f>FASE3!Y272</x:f>
        <x:v>0</x:v>
      </x:c>
      <x:c r="V272" s="268" t="n">
        <x:f>FASE3!X272</x:f>
        <x:v>0</x:v>
      </x:c>
      <x:c r="W272" s="268" t="n">
        <x:f>FASE4!M272</x:f>
        <x:v>0</x:v>
      </x:c>
      <x:c r="X272" s="268">
        <x:f t="shared" si="4"/>
        <x:v>0</x:v>
      </x:c>
      <x:c r="Y272" s="2"/>
    </x:row>
    <x:row r="273" ht="15.75">
      <x:c r="B273">
        <x:v>7</x:v>
      </x:c>
      <x:c r="C273" t="s">
        <x:v>115</x:v>
      </x:c>
      <x:c r="D273" s="243">
        <x:v>701</x:v>
      </x:c>
      <x:c r="E273" s="268" t="n">
        <x:f>FASE1!G273</x:f>
        <x:v>0</x:v>
      </x:c>
      <x:c r="F273" s="268" t="n">
        <x:f>FASE1!M273</x:f>
        <x:v>0</x:v>
      </x:c>
      <x:c r="G273" s="268" t="n">
        <x:f>FASE1!L273</x:f>
        <x:v>0</x:v>
      </x:c>
      <x:c r="H273" s="268" t="n">
        <x:f>FASE1!R273</x:f>
        <x:v>0</x:v>
      </x:c>
      <x:c r="I273" s="268" t="n">
        <x:f>FASE1!U273</x:f>
        <x:v>0</x:v>
      </x:c>
      <x:c r="J273" s="268" t="n">
        <x:f>FASE1!U273</x:f>
        <x:v>0</x:v>
      </x:c>
      <x:c r="K273" s="268" t="n">
        <x:f>FASE1!P273</x:f>
        <x:v>0</x:v>
      </x:c>
      <x:c r="L273" s="268" t="n">
        <x:f>FASE1!V273</x:f>
        <x:v>0</x:v>
      </x:c>
      <x:c r="M273" s="268" t="n">
        <x:f>AVERAGE(FASE2!F273:G273)</x:f>
        <x:v>0</x:v>
      </x:c>
      <x:c r="N273" s="268" t="n">
        <x:f>AVERAGE(FASE2!O273:P273,FASE2!S273)</x:f>
        <x:v>0</x:v>
      </x:c>
      <x:c r="O273" s="268" t="n">
        <x:f>FASE4!K273</x:f>
        <x:v>0</x:v>
      </x:c>
      <x:c r="P273" s="268" t="n">
        <x:f>FASE2!N273</x:f>
        <x:v>0</x:v>
      </x:c>
      <x:c r="Q273" s="268" t="n">
        <x:f>FASE3!P273</x:f>
        <x:v>0</x:v>
      </x:c>
      <x:c r="R273" s="268" t="n">
        <x:f>FASE3!N273</x:f>
        <x:v>0</x:v>
      </x:c>
      <x:c r="S273" s="268" t="n">
        <x:f>AVERAGE(FASE3!Q273,FASE3!R273,FASE3!T273,FASE3!S273)</x:f>
        <x:v>0</x:v>
      </x:c>
      <x:c r="T273" s="268" t="n">
        <x:f>AVERAGE(FASE3!U273,FASE3!V273,FASE3!W273)</x:f>
        <x:v>0</x:v>
      </x:c>
      <x:c r="U273" s="268" t="n">
        <x:f>FASE3!Y273</x:f>
        <x:v>0</x:v>
      </x:c>
      <x:c r="V273" s="268" t="n">
        <x:f>FASE3!X273</x:f>
        <x:v>0</x:v>
      </x:c>
      <x:c r="W273" s="268" t="n">
        <x:f>FASE4!M273</x:f>
        <x:v>0</x:v>
      </x:c>
      <x:c r="X273" s="268">
        <x:f t="shared" si="4"/>
        <x:v>0</x:v>
      </x:c>
      <x:c r="Y273" s="2"/>
    </x:row>
    <x:row r="274" ht="15.75">
      <x:c r="B274">
        <x:v>7</x:v>
      </x:c>
      <x:c r="C274" t="s">
        <x:v>115</x:v>
      </x:c>
      <x:c r="D274" s="243">
        <x:v>701</x:v>
      </x:c>
      <x:c r="E274" s="268" t="n">
        <x:f>FASE1!G274</x:f>
        <x:v>0</x:v>
      </x:c>
      <x:c r="F274" s="268" t="n">
        <x:f>FASE1!M274</x:f>
        <x:v>0</x:v>
      </x:c>
      <x:c r="G274" s="268" t="n">
        <x:f>FASE1!L274</x:f>
        <x:v>0</x:v>
      </x:c>
      <x:c r="H274" s="268" t="n">
        <x:f>FASE1!R274</x:f>
        <x:v>0</x:v>
      </x:c>
      <x:c r="I274" s="268" t="n">
        <x:f>FASE1!U274</x:f>
        <x:v>0</x:v>
      </x:c>
      <x:c r="J274" s="268" t="n">
        <x:f>FASE1!U274</x:f>
        <x:v>0</x:v>
      </x:c>
      <x:c r="K274" s="268" t="n">
        <x:f>FASE1!P274</x:f>
        <x:v>0</x:v>
      </x:c>
      <x:c r="L274" s="268" t="n">
        <x:f>FASE1!V274</x:f>
        <x:v>0</x:v>
      </x:c>
      <x:c r="M274" s="268" t="n">
        <x:f>AVERAGE(FASE2!F274:G274)</x:f>
        <x:v>0</x:v>
      </x:c>
      <x:c r="N274" s="268" t="n">
        <x:f>AVERAGE(FASE2!O274:P274,FASE2!S274)</x:f>
        <x:v>0</x:v>
      </x:c>
      <x:c r="O274" s="268" t="n">
        <x:f>FASE4!K274</x:f>
        <x:v>0</x:v>
      </x:c>
      <x:c r="P274" s="268" t="n">
        <x:f>FASE2!N274</x:f>
        <x:v>0</x:v>
      </x:c>
      <x:c r="Q274" s="268" t="n">
        <x:f>FASE3!P274</x:f>
        <x:v>0</x:v>
      </x:c>
      <x:c r="R274" s="268" t="n">
        <x:f>FASE3!N274</x:f>
        <x:v>0</x:v>
      </x:c>
      <x:c r="S274" s="268" t="n">
        <x:f>AVERAGE(FASE3!Q274,FASE3!R274,FASE3!T274,FASE3!S274)</x:f>
        <x:v>0</x:v>
      </x:c>
      <x:c r="T274" s="268" t="n">
        <x:f>AVERAGE(FASE3!U274,FASE3!V274,FASE3!W274)</x:f>
        <x:v>0</x:v>
      </x:c>
      <x:c r="U274" s="268" t="n">
        <x:f>FASE3!Y274</x:f>
        <x:v>0</x:v>
      </x:c>
      <x:c r="V274" s="268" t="n">
        <x:f>FASE3!X274</x:f>
        <x:v>0</x:v>
      </x:c>
      <x:c r="W274" s="268" t="n">
        <x:f>FASE4!M274</x:f>
        <x:v>0</x:v>
      </x:c>
      <x:c r="X274" s="268">
        <x:f t="shared" si="4"/>
        <x:v>0</x:v>
      </x:c>
      <x:c r="Y274" s="2"/>
    </x:row>
    <x:row r="275" ht="15.75">
      <x:c r="B275">
        <x:v>7</x:v>
      </x:c>
      <x:c r="C275" t="s">
        <x:v>115</x:v>
      </x:c>
      <x:c r="D275" s="243">
        <x:v>701</x:v>
      </x:c>
      <x:c r="E275" s="268" t="n">
        <x:f>FASE1!G275</x:f>
        <x:v>0</x:v>
      </x:c>
      <x:c r="F275" s="268" t="n">
        <x:f>FASE1!M275</x:f>
        <x:v>0</x:v>
      </x:c>
      <x:c r="G275" s="268" t="n">
        <x:f>FASE1!L275</x:f>
        <x:v>0</x:v>
      </x:c>
      <x:c r="H275" s="268" t="n">
        <x:f>FASE1!R275</x:f>
        <x:v>0</x:v>
      </x:c>
      <x:c r="I275" s="268" t="n">
        <x:f>FASE1!U275</x:f>
        <x:v>0</x:v>
      </x:c>
      <x:c r="J275" s="268" t="n">
        <x:f>FASE1!U275</x:f>
        <x:v>0</x:v>
      </x:c>
      <x:c r="K275" s="268" t="n">
        <x:f>FASE1!P275</x:f>
        <x:v>0</x:v>
      </x:c>
      <x:c r="L275" s="268" t="n">
        <x:f>FASE1!V275</x:f>
        <x:v>0</x:v>
      </x:c>
      <x:c r="M275" s="268" t="n">
        <x:f>AVERAGE(FASE2!F275:G275)</x:f>
        <x:v>0</x:v>
      </x:c>
      <x:c r="N275" s="268" t="n">
        <x:f>AVERAGE(FASE2!O275:P275,FASE2!S275)</x:f>
        <x:v>0</x:v>
      </x:c>
      <x:c r="O275" s="268" t="n">
        <x:f>FASE4!K275</x:f>
        <x:v>0</x:v>
      </x:c>
      <x:c r="P275" s="268" t="n">
        <x:f>FASE2!N275</x:f>
        <x:v>0</x:v>
      </x:c>
      <x:c r="Q275" s="268" t="n">
        <x:f>FASE3!P275</x:f>
        <x:v>0</x:v>
      </x:c>
      <x:c r="R275" s="268" t="n">
        <x:f>FASE3!N275</x:f>
        <x:v>0</x:v>
      </x:c>
      <x:c r="S275" s="268" t="n">
        <x:f>AVERAGE(FASE3!Q275,FASE3!R275,FASE3!T275,FASE3!S275)</x:f>
        <x:v>0</x:v>
      </x:c>
      <x:c r="T275" s="268" t="n">
        <x:f>AVERAGE(FASE3!U275,FASE3!V275,FASE3!W275)</x:f>
        <x:v>0</x:v>
      </x:c>
      <x:c r="U275" s="268" t="n">
        <x:f>FASE3!Y275</x:f>
        <x:v>0</x:v>
      </x:c>
      <x:c r="V275" s="268" t="n">
        <x:f>FASE3!X275</x:f>
        <x:v>0</x:v>
      </x:c>
      <x:c r="W275" s="268" t="n">
        <x:f>FASE4!M275</x:f>
        <x:v>0</x:v>
      </x:c>
      <x:c r="X275" s="268">
        <x:f t="shared" si="4"/>
        <x:v>0</x:v>
      </x:c>
      <x:c r="Y275" s="2"/>
    </x:row>
    <x:row r="276" ht="15.75">
      <x:c r="B276">
        <x:v>7</x:v>
      </x:c>
      <x:c r="C276" t="s">
        <x:v>115</x:v>
      </x:c>
      <x:c r="D276" s="243">
        <x:v>701</x:v>
      </x:c>
      <x:c r="E276" s="268" t="n">
        <x:f>FASE1!G276</x:f>
        <x:v>0</x:v>
      </x:c>
      <x:c r="F276" s="268" t="n">
        <x:f>FASE1!M276</x:f>
        <x:v>0</x:v>
      </x:c>
      <x:c r="G276" s="268" t="n">
        <x:f>FASE1!L276</x:f>
        <x:v>0</x:v>
      </x:c>
      <x:c r="H276" s="268" t="n">
        <x:f>FASE1!R276</x:f>
        <x:v>0</x:v>
      </x:c>
      <x:c r="I276" s="268" t="n">
        <x:f>FASE1!U276</x:f>
        <x:v>0</x:v>
      </x:c>
      <x:c r="J276" s="268" t="n">
        <x:f>FASE1!U276</x:f>
        <x:v>0</x:v>
      </x:c>
      <x:c r="K276" s="268" t="n">
        <x:f>FASE1!P276</x:f>
        <x:v>0</x:v>
      </x:c>
      <x:c r="L276" s="268" t="n">
        <x:f>FASE1!V276</x:f>
        <x:v>0</x:v>
      </x:c>
      <x:c r="M276" s="268" t="n">
        <x:f>AVERAGE(FASE2!F276:G276)</x:f>
        <x:v>0</x:v>
      </x:c>
      <x:c r="N276" s="268" t="n">
        <x:f>AVERAGE(FASE2!O276:P276,FASE2!S276)</x:f>
        <x:v>0</x:v>
      </x:c>
      <x:c r="O276" s="268" t="n">
        <x:f>FASE4!K276</x:f>
        <x:v>0</x:v>
      </x:c>
      <x:c r="P276" s="268" t="n">
        <x:f>FASE2!N276</x:f>
        <x:v>0</x:v>
      </x:c>
      <x:c r="Q276" s="268" t="n">
        <x:f>FASE3!P276</x:f>
        <x:v>0</x:v>
      </x:c>
      <x:c r="R276" s="268" t="n">
        <x:f>FASE3!N276</x:f>
        <x:v>0</x:v>
      </x:c>
      <x:c r="S276" s="268" t="n">
        <x:f>AVERAGE(FASE3!Q276,FASE3!R276,FASE3!T276,FASE3!S276)</x:f>
        <x:v>0</x:v>
      </x:c>
      <x:c r="T276" s="268" t="n">
        <x:f>AVERAGE(FASE3!U276,FASE3!V276,FASE3!W276)</x:f>
        <x:v>0</x:v>
      </x:c>
      <x:c r="U276" s="268" t="n">
        <x:f>FASE3!Y276</x:f>
        <x:v>0</x:v>
      </x:c>
      <x:c r="V276" s="268" t="n">
        <x:f>FASE3!X276</x:f>
        <x:v>0</x:v>
      </x:c>
      <x:c r="W276" s="268" t="n">
        <x:f>FASE4!M276</x:f>
        <x:v>0</x:v>
      </x:c>
      <x:c r="X276" s="268">
        <x:f t="shared" si="4"/>
        <x:v>0</x:v>
      </x:c>
      <x:c r="Y276" s="2"/>
    </x:row>
    <x:row r="277" ht="15.75">
      <x:c r="B277">
        <x:v>7</x:v>
      </x:c>
      <x:c r="C277" t="s">
        <x:v>115</x:v>
      </x:c>
      <x:c r="D277" s="243">
        <x:v>701</x:v>
      </x:c>
      <x:c r="E277" s="268" t="n">
        <x:f>FASE1!G277</x:f>
        <x:v>0</x:v>
      </x:c>
      <x:c r="F277" s="268" t="n">
        <x:f>FASE1!M277</x:f>
        <x:v>0</x:v>
      </x:c>
      <x:c r="G277" s="268" t="n">
        <x:f>FASE1!L277</x:f>
        <x:v>0</x:v>
      </x:c>
      <x:c r="H277" s="268" t="n">
        <x:f>FASE1!R277</x:f>
        <x:v>0</x:v>
      </x:c>
      <x:c r="I277" s="268" t="n">
        <x:f>FASE1!U277</x:f>
        <x:v>0</x:v>
      </x:c>
      <x:c r="J277" s="268" t="n">
        <x:f>FASE1!U277</x:f>
        <x:v>0</x:v>
      </x:c>
      <x:c r="K277" s="268" t="n">
        <x:f>FASE1!P277</x:f>
        <x:v>0</x:v>
      </x:c>
      <x:c r="L277" s="268" t="n">
        <x:f>FASE1!V277</x:f>
        <x:v>0</x:v>
      </x:c>
      <x:c r="M277" s="268" t="n">
        <x:f>AVERAGE(FASE2!F277:G277)</x:f>
        <x:v>0</x:v>
      </x:c>
      <x:c r="N277" s="268" t="n">
        <x:f>AVERAGE(FASE2!O277:P277,FASE2!S277)</x:f>
        <x:v>0</x:v>
      </x:c>
      <x:c r="O277" s="268" t="n">
        <x:f>FASE4!K277</x:f>
        <x:v>0</x:v>
      </x:c>
      <x:c r="P277" s="268" t="n">
        <x:f>FASE2!N277</x:f>
        <x:v>0</x:v>
      </x:c>
      <x:c r="Q277" s="268" t="n">
        <x:f>FASE3!P277</x:f>
        <x:v>0</x:v>
      </x:c>
      <x:c r="R277" s="268" t="n">
        <x:f>FASE3!N277</x:f>
        <x:v>0</x:v>
      </x:c>
      <x:c r="S277" s="268" t="n">
        <x:f>AVERAGE(FASE3!Q277,FASE3!R277,FASE3!T277,FASE3!S277)</x:f>
        <x:v>0</x:v>
      </x:c>
      <x:c r="T277" s="268" t="n">
        <x:f>AVERAGE(FASE3!U277,FASE3!V277,FASE3!W277)</x:f>
        <x:v>0</x:v>
      </x:c>
      <x:c r="U277" s="268" t="n">
        <x:f>FASE3!Y277</x:f>
        <x:v>0</x:v>
      </x:c>
      <x:c r="V277" s="268" t="n">
        <x:f>FASE3!X277</x:f>
        <x:v>0</x:v>
      </x:c>
      <x:c r="W277" s="268" t="n">
        <x:f>FASE4!M277</x:f>
        <x:v>0</x:v>
      </x:c>
      <x:c r="X277" s="268">
        <x:f t="shared" si="4"/>
        <x:v>0</x:v>
      </x:c>
      <x:c r="Y277" s="2"/>
    </x:row>
    <x:row r="278" ht="15.75">
      <x:c r="B278">
        <x:v>7</x:v>
      </x:c>
      <x:c r="C278" t="s">
        <x:v>115</x:v>
      </x:c>
      <x:c r="D278" s="243">
        <x:v>701</x:v>
      </x:c>
      <x:c r="E278" s="268" t="n">
        <x:f>FASE1!G278</x:f>
        <x:v>0</x:v>
      </x:c>
      <x:c r="F278" s="268" t="n">
        <x:f>FASE1!M278</x:f>
        <x:v>0</x:v>
      </x:c>
      <x:c r="G278" s="268" t="n">
        <x:f>FASE1!L278</x:f>
        <x:v>0</x:v>
      </x:c>
      <x:c r="H278" s="268" t="n">
        <x:f>FASE1!R278</x:f>
        <x:v>0</x:v>
      </x:c>
      <x:c r="I278" s="268" t="n">
        <x:f>FASE1!U278</x:f>
        <x:v>0</x:v>
      </x:c>
      <x:c r="J278" s="268" t="n">
        <x:f>FASE1!U278</x:f>
        <x:v>0</x:v>
      </x:c>
      <x:c r="K278" s="268" t="n">
        <x:f>FASE1!P278</x:f>
        <x:v>0</x:v>
      </x:c>
      <x:c r="L278" s="268" t="n">
        <x:f>FASE1!V278</x:f>
        <x:v>0</x:v>
      </x:c>
      <x:c r="M278" s="268" t="n">
        <x:f>AVERAGE(FASE2!F278:G278)</x:f>
        <x:v>0</x:v>
      </x:c>
      <x:c r="N278" s="268" t="n">
        <x:f>AVERAGE(FASE2!O278:P278,FASE2!S278)</x:f>
        <x:v>0</x:v>
      </x:c>
      <x:c r="O278" s="268" t="n">
        <x:f>FASE4!K278</x:f>
        <x:v>0</x:v>
      </x:c>
      <x:c r="P278" s="268" t="n">
        <x:f>FASE2!N278</x:f>
        <x:v>0</x:v>
      </x:c>
      <x:c r="Q278" s="268" t="n">
        <x:f>FASE3!P278</x:f>
        <x:v>0</x:v>
      </x:c>
      <x:c r="R278" s="268" t="n">
        <x:f>FASE3!N278</x:f>
        <x:v>0</x:v>
      </x:c>
      <x:c r="S278" s="268" t="n">
        <x:f>AVERAGE(FASE3!Q278,FASE3!R278,FASE3!T278,FASE3!S278)</x:f>
        <x:v>0</x:v>
      </x:c>
      <x:c r="T278" s="268" t="n">
        <x:f>AVERAGE(FASE3!U278,FASE3!V278,FASE3!W278)</x:f>
        <x:v>0</x:v>
      </x:c>
      <x:c r="U278" s="268" t="n">
        <x:f>FASE3!Y278</x:f>
        <x:v>0</x:v>
      </x:c>
      <x:c r="V278" s="268" t="n">
        <x:f>FASE3!X278</x:f>
        <x:v>0</x:v>
      </x:c>
      <x:c r="W278" s="268" t="n">
        <x:f>FASE4!M278</x:f>
        <x:v>0</x:v>
      </x:c>
      <x:c r="X278" s="268">
        <x:f t="shared" si="4"/>
        <x:v>0</x:v>
      </x:c>
      <x:c r="Y278" s="2"/>
    </x:row>
    <x:row r="279" ht="15.75">
      <x:c r="B279">
        <x:v>7</x:v>
      </x:c>
      <x:c r="C279" t="s">
        <x:v>115</x:v>
      </x:c>
      <x:c r="D279" s="243">
        <x:v>701</x:v>
      </x:c>
      <x:c r="E279" s="268" t="n">
        <x:f>FASE1!G279</x:f>
        <x:v>0</x:v>
      </x:c>
      <x:c r="F279" s="268" t="n">
        <x:f>FASE1!M279</x:f>
        <x:v>0</x:v>
      </x:c>
      <x:c r="G279" s="268" t="n">
        <x:f>FASE1!L279</x:f>
        <x:v>0</x:v>
      </x:c>
      <x:c r="H279" s="268" t="n">
        <x:f>FASE1!R279</x:f>
        <x:v>0</x:v>
      </x:c>
      <x:c r="I279" s="268" t="n">
        <x:f>FASE1!U279</x:f>
        <x:v>0</x:v>
      </x:c>
      <x:c r="J279" s="268" t="n">
        <x:f>FASE1!U279</x:f>
        <x:v>0</x:v>
      </x:c>
      <x:c r="K279" s="268" t="n">
        <x:f>FASE1!P279</x:f>
        <x:v>0</x:v>
      </x:c>
      <x:c r="L279" s="268" t="n">
        <x:f>FASE1!V279</x:f>
        <x:v>0</x:v>
      </x:c>
      <x:c r="M279" s="268" t="n">
        <x:f>AVERAGE(FASE2!F279:G279)</x:f>
        <x:v>0</x:v>
      </x:c>
      <x:c r="N279" s="268" t="n">
        <x:f>AVERAGE(FASE2!O279:P279,FASE2!S279)</x:f>
        <x:v>0</x:v>
      </x:c>
      <x:c r="O279" s="268" t="n">
        <x:f>FASE4!K279</x:f>
        <x:v>0</x:v>
      </x:c>
      <x:c r="P279" s="268" t="n">
        <x:f>FASE2!N279</x:f>
        <x:v>0</x:v>
      </x:c>
      <x:c r="Q279" s="268" t="n">
        <x:f>FASE3!P279</x:f>
        <x:v>0</x:v>
      </x:c>
      <x:c r="R279" s="268" t="n">
        <x:f>FASE3!N279</x:f>
        <x:v>0</x:v>
      </x:c>
      <x:c r="S279" s="268" t="n">
        <x:f>AVERAGE(FASE3!Q279,FASE3!R279,FASE3!T279,FASE3!S279)</x:f>
        <x:v>0</x:v>
      </x:c>
      <x:c r="T279" s="268" t="n">
        <x:f>AVERAGE(FASE3!U279,FASE3!V279,FASE3!W279)</x:f>
        <x:v>0</x:v>
      </x:c>
      <x:c r="U279" s="268" t="n">
        <x:f>FASE3!Y279</x:f>
        <x:v>0</x:v>
      </x:c>
      <x:c r="V279" s="268" t="n">
        <x:f>FASE3!X279</x:f>
        <x:v>0</x:v>
      </x:c>
      <x:c r="W279" s="268" t="n">
        <x:f>FASE4!M279</x:f>
        <x:v>0</x:v>
      </x:c>
      <x:c r="X279" s="268">
        <x:f t="shared" si="4"/>
        <x:v>0</x:v>
      </x:c>
      <x:c r="Y279" s="2"/>
    </x:row>
    <x:row r="280" ht="15.75">
      <x:c r="B280">
        <x:v>7</x:v>
      </x:c>
      <x:c r="C280" t="s">
        <x:v>115</x:v>
      </x:c>
      <x:c r="D280" s="243">
        <x:v>701</x:v>
      </x:c>
      <x:c r="E280" s="268" t="n">
        <x:f>FASE1!G280</x:f>
        <x:v>0</x:v>
      </x:c>
      <x:c r="F280" s="268" t="n">
        <x:f>FASE1!M280</x:f>
        <x:v>0</x:v>
      </x:c>
      <x:c r="G280" s="268" t="n">
        <x:f>FASE1!L280</x:f>
        <x:v>0</x:v>
      </x:c>
      <x:c r="H280" s="268" t="n">
        <x:f>FASE1!R280</x:f>
        <x:v>0</x:v>
      </x:c>
      <x:c r="I280" s="268" t="n">
        <x:f>FASE1!U280</x:f>
        <x:v>0</x:v>
      </x:c>
      <x:c r="J280" s="268" t="n">
        <x:f>FASE1!U280</x:f>
        <x:v>0</x:v>
      </x:c>
      <x:c r="K280" s="268" t="n">
        <x:f>FASE1!P280</x:f>
        <x:v>0</x:v>
      </x:c>
      <x:c r="L280" s="268" t="n">
        <x:f>FASE1!V280</x:f>
        <x:v>0</x:v>
      </x:c>
      <x:c r="M280" s="268" t="n">
        <x:f>AVERAGE(FASE2!F280:G280)</x:f>
        <x:v>0</x:v>
      </x:c>
      <x:c r="N280" s="268" t="n">
        <x:f>AVERAGE(FASE2!O280:P280,FASE2!S280)</x:f>
        <x:v>0</x:v>
      </x:c>
      <x:c r="O280" s="268" t="n">
        <x:f>FASE4!K280</x:f>
        <x:v>0</x:v>
      </x:c>
      <x:c r="P280" s="268" t="n">
        <x:f>FASE2!N280</x:f>
        <x:v>0</x:v>
      </x:c>
      <x:c r="Q280" s="268" t="n">
        <x:f>FASE3!P280</x:f>
        <x:v>0</x:v>
      </x:c>
      <x:c r="R280" s="268" t="n">
        <x:f>FASE3!N280</x:f>
        <x:v>0</x:v>
      </x:c>
      <x:c r="S280" s="268" t="n">
        <x:f>AVERAGE(FASE3!Q280,FASE3!R280,FASE3!T280,FASE3!S280)</x:f>
        <x:v>0</x:v>
      </x:c>
      <x:c r="T280" s="268" t="n">
        <x:f>AVERAGE(FASE3!U280,FASE3!V280,FASE3!W280)</x:f>
        <x:v>0</x:v>
      </x:c>
      <x:c r="U280" s="268" t="n">
        <x:f>FASE3!Y280</x:f>
        <x:v>0</x:v>
      </x:c>
      <x:c r="V280" s="268" t="n">
        <x:f>FASE3!X280</x:f>
        <x:v>0</x:v>
      </x:c>
      <x:c r="W280" s="268" t="n">
        <x:f>FASE4!M280</x:f>
        <x:v>0</x:v>
      </x:c>
      <x:c r="X280" s="268">
        <x:f t="shared" si="4"/>
        <x:v>0</x:v>
      </x:c>
      <x:c r="Y280" s="2"/>
    </x:row>
    <x:row r="281" ht="15.75">
      <x:c r="B281">
        <x:v>7</x:v>
      </x:c>
      <x:c r="C281" t="s">
        <x:v>115</x:v>
      </x:c>
      <x:c r="D281" s="243">
        <x:v>701</x:v>
      </x:c>
      <x:c r="E281" s="268" t="n">
        <x:f>FASE1!G281</x:f>
        <x:v>0</x:v>
      </x:c>
      <x:c r="F281" s="268" t="n">
        <x:f>FASE1!M281</x:f>
        <x:v>0</x:v>
      </x:c>
      <x:c r="G281" s="268" t="n">
        <x:f>FASE1!L281</x:f>
        <x:v>0</x:v>
      </x:c>
      <x:c r="H281" s="268" t="n">
        <x:f>FASE1!R281</x:f>
        <x:v>0</x:v>
      </x:c>
      <x:c r="I281" s="268" t="n">
        <x:f>FASE1!U281</x:f>
        <x:v>0</x:v>
      </x:c>
      <x:c r="J281" s="268" t="n">
        <x:f>FASE1!U281</x:f>
        <x:v>0</x:v>
      </x:c>
      <x:c r="K281" s="268" t="n">
        <x:f>FASE1!P281</x:f>
        <x:v>0</x:v>
      </x:c>
      <x:c r="L281" s="268" t="n">
        <x:f>FASE1!V281</x:f>
        <x:v>0</x:v>
      </x:c>
      <x:c r="M281" s="268" t="n">
        <x:f>AVERAGE(FASE2!F281:G281)</x:f>
        <x:v>0</x:v>
      </x:c>
      <x:c r="N281" s="268" t="n">
        <x:f>AVERAGE(FASE2!O281:P281,FASE2!S281)</x:f>
        <x:v>0</x:v>
      </x:c>
      <x:c r="O281" s="268" t="n">
        <x:f>FASE4!K281</x:f>
        <x:v>0</x:v>
      </x:c>
      <x:c r="P281" s="268" t="n">
        <x:f>FASE2!N281</x:f>
        <x:v>0</x:v>
      </x:c>
      <x:c r="Q281" s="268" t="n">
        <x:f>FASE3!P281</x:f>
        <x:v>0</x:v>
      </x:c>
      <x:c r="R281" s="268" t="n">
        <x:f>FASE3!N281</x:f>
        <x:v>0</x:v>
      </x:c>
      <x:c r="S281" s="268" t="n">
        <x:f>AVERAGE(FASE3!Q281,FASE3!R281,FASE3!T281,FASE3!S281)</x:f>
        <x:v>0</x:v>
      </x:c>
      <x:c r="T281" s="268" t="n">
        <x:f>AVERAGE(FASE3!U281,FASE3!V281,FASE3!W281)</x:f>
        <x:v>0</x:v>
      </x:c>
      <x:c r="U281" s="268" t="n">
        <x:f>FASE3!Y281</x:f>
        <x:v>0</x:v>
      </x:c>
      <x:c r="V281" s="268" t="n">
        <x:f>FASE3!X281</x:f>
        <x:v>0</x:v>
      </x:c>
      <x:c r="W281" s="268" t="n">
        <x:f>FASE4!M281</x:f>
        <x:v>0</x:v>
      </x:c>
      <x:c r="X281" s="268">
        <x:f t="shared" si="4"/>
        <x:v>0</x:v>
      </x:c>
      <x:c r="Y281" s="2"/>
    </x:row>
    <x:row r="282" ht="15.75">
      <x:c r="B282">
        <x:v>7</x:v>
      </x:c>
      <x:c r="C282" t="s">
        <x:v>135</x:v>
      </x:c>
      <x:c r="D282" s="243" t="s">
        <x:v>136</x:v>
      </x:c>
      <x:c r="E282" s="268" t="n">
        <x:f>FASE1!G282</x:f>
        <x:v>0</x:v>
      </x:c>
      <x:c r="F282" s="268" t="n">
        <x:f>FASE1!M282</x:f>
        <x:v>0</x:v>
      </x:c>
      <x:c r="G282" s="268" t="n">
        <x:f>FASE1!L282</x:f>
        <x:v>0</x:v>
      </x:c>
      <x:c r="H282" s="268" t="n">
        <x:f>FASE1!R282</x:f>
        <x:v>0</x:v>
      </x:c>
      <x:c r="I282" s="268" t="n">
        <x:f>FASE1!U282</x:f>
        <x:v>0</x:v>
      </x:c>
      <x:c r="J282" s="268" t="n">
        <x:f>FASE1!U282</x:f>
        <x:v>0</x:v>
      </x:c>
      <x:c r="K282" s="268" t="n">
        <x:f>FASE1!P282</x:f>
        <x:v>0</x:v>
      </x:c>
      <x:c r="L282" s="268" t="n">
        <x:f>FASE1!V282</x:f>
        <x:v>0</x:v>
      </x:c>
      <x:c r="M282" s="268" t="e">
        <x:f>AVERAGE(FASE2!F282:G282)</x:f>
        <x:v>#DIV/0!</x:v>
      </x:c>
      <x:c r="N282" s="268" t="e">
        <x:f>AVERAGE(FASE2!O282:P282,FASE2!S282)</x:f>
        <x:v>#DIV/0!</x:v>
      </x:c>
      <x:c r="O282" s="268" t="n">
        <x:f>FASE4!K282</x:f>
        <x:v>0</x:v>
      </x:c>
      <x:c r="P282" s="268" t="n">
        <x:f>FASE2!N282</x:f>
        <x:v>0</x:v>
      </x:c>
      <x:c r="Q282" s="268" t="n">
        <x:f>FASE3!P282</x:f>
        <x:v>0</x:v>
      </x:c>
      <x:c r="R282" s="268" t="n">
        <x:f>FASE3!N282</x:f>
        <x:v>0</x:v>
      </x:c>
      <x:c r="S282" s="268" t="n">
        <x:f>AVERAGE(FASE3!Q282,FASE3!R282,FASE3!T282,FASE3!S282)</x:f>
        <x:v>0</x:v>
      </x:c>
      <x:c r="T282" s="268" t="n">
        <x:f>AVERAGE(FASE3!U282,FASE3!V282,FASE3!W282)</x:f>
        <x:v>0</x:v>
      </x:c>
      <x:c r="U282" s="268" t="n">
        <x:f>FASE3!Y282</x:f>
        <x:v>0</x:v>
      </x:c>
      <x:c r="V282" s="268" t="n">
        <x:f>FASE3!X282</x:f>
        <x:v>0</x:v>
      </x:c>
      <x:c r="W282" s="268" t="n">
        <x:f>FASE4!M282</x:f>
        <x:v>0</x:v>
      </x:c>
      <x:c r="X282" s="268">
        <x:f t="shared" si="4"/>
        <x:v>0</x:v>
      </x:c>
      <x:c r="Y282" s="2"/>
    </x:row>
    <x:row r="283" ht="15.75">
      <x:c r="B283">
        <x:v>8</x:v>
      </x:c>
      <x:c r="C283" t="s">
        <x:v>116</x:v>
      </x:c>
      <x:c r="D283" s="243">
        <x:v>801</x:v>
      </x:c>
      <x:c r="E283" s="268" t="n">
        <x:f>FASE1!G283</x:f>
        <x:v>0</x:v>
      </x:c>
      <x:c r="F283" s="268" t="n">
        <x:f>FASE1!M283</x:f>
        <x:v>0</x:v>
      </x:c>
      <x:c r="G283" s="268" t="n">
        <x:f>FASE1!L283</x:f>
        <x:v>0</x:v>
      </x:c>
      <x:c r="H283" s="268" t="n">
        <x:f>FASE1!R283</x:f>
        <x:v>0</x:v>
      </x:c>
      <x:c r="I283" s="268" t="n">
        <x:f>FASE1!U283</x:f>
        <x:v>0</x:v>
      </x:c>
      <x:c r="J283" s="268" t="n">
        <x:f>FASE1!U283</x:f>
        <x:v>0</x:v>
      </x:c>
      <x:c r="K283" s="268" t="n">
        <x:f>FASE1!P283</x:f>
        <x:v>0</x:v>
      </x:c>
      <x:c r="L283" s="268" t="n">
        <x:f>FASE1!V283</x:f>
        <x:v>0</x:v>
      </x:c>
      <x:c r="M283" s="268" t="n">
        <x:f>AVERAGE(FASE2!F283:G283)</x:f>
        <x:v>0</x:v>
      </x:c>
      <x:c r="N283" s="268" t="n">
        <x:f>AVERAGE(FASE2!O283:P283,FASE2!S283)</x:f>
        <x:v>0</x:v>
      </x:c>
      <x:c r="O283" s="268" t="n">
        <x:f>FASE4!K283</x:f>
        <x:v>0</x:v>
      </x:c>
      <x:c r="P283" s="268" t="n">
        <x:f>FASE2!N283</x:f>
        <x:v>0</x:v>
      </x:c>
      <x:c r="Q283" s="268" t="n">
        <x:f>FASE3!P283</x:f>
        <x:v>0</x:v>
      </x:c>
      <x:c r="R283" s="268" t="n">
        <x:f>FASE3!N283</x:f>
        <x:v>0</x:v>
      </x:c>
      <x:c r="S283" s="268" t="n">
        <x:f>AVERAGE(FASE3!Q283,FASE3!R283,FASE3!T283,FASE3!S283)</x:f>
        <x:v>0</x:v>
      </x:c>
      <x:c r="T283" s="268" t="n">
        <x:f>AVERAGE(FASE3!U283,FASE3!V283,FASE3!W283)</x:f>
        <x:v>0</x:v>
      </x:c>
      <x:c r="U283" s="268" t="n">
        <x:f>FASE3!Y283</x:f>
        <x:v>0</x:v>
      </x:c>
      <x:c r="V283" s="268" t="n">
        <x:f>FASE3!X283</x:f>
        <x:v>0</x:v>
      </x:c>
      <x:c r="W283" s="268" t="n">
        <x:f>FASE4!M283</x:f>
        <x:v>0</x:v>
      </x:c>
      <x:c r="X283" s="268">
        <x:f t="shared" si="4"/>
        <x:v>0</x:v>
      </x:c>
      <x:c r="Y283" s="2"/>
    </x:row>
    <x:row r="284" ht="15.75">
      <x:c r="B284">
        <x:v>8</x:v>
      </x:c>
      <x:c r="C284" t="s">
        <x:v>116</x:v>
      </x:c>
      <x:c r="D284" s="243">
        <x:v>802</x:v>
      </x:c>
      <x:c r="E284" s="268" t="n">
        <x:f>FASE1!G284</x:f>
        <x:v>0</x:v>
      </x:c>
      <x:c r="F284" s="268" t="n">
        <x:f>FASE1!M284</x:f>
        <x:v>0</x:v>
      </x:c>
      <x:c r="G284" s="268" t="n">
        <x:f>FASE1!L284</x:f>
        <x:v>0</x:v>
      </x:c>
      <x:c r="H284" s="268" t="n">
        <x:f>FASE1!R284</x:f>
        <x:v>0</x:v>
      </x:c>
      <x:c r="I284" s="268" t="n">
        <x:f>FASE1!U284</x:f>
        <x:v>0</x:v>
      </x:c>
      <x:c r="J284" s="268" t="n">
        <x:f>FASE1!U284</x:f>
        <x:v>0</x:v>
      </x:c>
      <x:c r="K284" s="268" t="n">
        <x:f>FASE1!P284</x:f>
        <x:v>0</x:v>
      </x:c>
      <x:c r="L284" s="268" t="n">
        <x:f>FASE1!V284</x:f>
        <x:v>0</x:v>
      </x:c>
      <x:c r="M284" s="268" t="n">
        <x:f>AVERAGE(FASE2!F284:G284)</x:f>
        <x:v>0</x:v>
      </x:c>
      <x:c r="N284" s="268" t="n">
        <x:f>AVERAGE(FASE2!O284:P284,FASE2!S284)</x:f>
        <x:v>0</x:v>
      </x:c>
      <x:c r="O284" s="268" t="n">
        <x:f>FASE4!K284</x:f>
        <x:v>0</x:v>
      </x:c>
      <x:c r="P284" s="268" t="n">
        <x:f>FASE2!N284</x:f>
        <x:v>0</x:v>
      </x:c>
      <x:c r="Q284" s="268" t="n">
        <x:f>FASE3!P284</x:f>
        <x:v>0</x:v>
      </x:c>
      <x:c r="R284" s="268" t="n">
        <x:f>FASE3!N284</x:f>
        <x:v>0</x:v>
      </x:c>
      <x:c r="S284" s="268" t="n">
        <x:f>AVERAGE(FASE3!Q284,FASE3!R284,FASE3!T284,FASE3!S284)</x:f>
        <x:v>0</x:v>
      </x:c>
      <x:c r="T284" s="268" t="n">
        <x:f>AVERAGE(FASE3!U284,FASE3!V284,FASE3!W284)</x:f>
        <x:v>0</x:v>
      </x:c>
      <x:c r="U284" s="268" t="n">
        <x:f>FASE3!Y284</x:f>
        <x:v>0</x:v>
      </x:c>
      <x:c r="V284" s="268" t="n">
        <x:f>FASE3!X284</x:f>
        <x:v>0</x:v>
      </x:c>
      <x:c r="W284" s="268" t="n">
        <x:f>FASE4!M284</x:f>
        <x:v>0</x:v>
      </x:c>
      <x:c r="X284" s="268">
        <x:f t="shared" si="4"/>
        <x:v>0</x:v>
      </x:c>
      <x:c r="Y284" s="2"/>
    </x:row>
    <x:row r="285" ht="15.75">
      <x:c r="B285">
        <x:v>8</x:v>
      </x:c>
      <x:c r="C285" t="s">
        <x:v>116</x:v>
      </x:c>
      <x:c r="D285" s="243">
        <x:v>803</x:v>
      </x:c>
      <x:c r="E285" s="268" t="n">
        <x:f>FASE1!G285</x:f>
        <x:v>0</x:v>
      </x:c>
      <x:c r="F285" s="268" t="n">
        <x:f>FASE1!M285</x:f>
        <x:v>0</x:v>
      </x:c>
      <x:c r="G285" s="268" t="n">
        <x:f>FASE1!L285</x:f>
        <x:v>0</x:v>
      </x:c>
      <x:c r="H285" s="268" t="n">
        <x:f>FASE1!R285</x:f>
        <x:v>0</x:v>
      </x:c>
      <x:c r="I285" s="268" t="n">
        <x:f>FASE1!U285</x:f>
        <x:v>0</x:v>
      </x:c>
      <x:c r="J285" s="268" t="n">
        <x:f>FASE1!U285</x:f>
        <x:v>0</x:v>
      </x:c>
      <x:c r="K285" s="268" t="n">
        <x:f>FASE1!P285</x:f>
        <x:v>0</x:v>
      </x:c>
      <x:c r="L285" s="268" t="n">
        <x:f>FASE1!V285</x:f>
        <x:v>0</x:v>
      </x:c>
      <x:c r="M285" s="268" t="n">
        <x:f>AVERAGE(FASE2!F285:G285)</x:f>
        <x:v>0</x:v>
      </x:c>
      <x:c r="N285" s="268" t="n">
        <x:f>AVERAGE(FASE2!O285:P285,FASE2!S285)</x:f>
        <x:v>0</x:v>
      </x:c>
      <x:c r="O285" s="268" t="n">
        <x:f>FASE4!K285</x:f>
        <x:v>0</x:v>
      </x:c>
      <x:c r="P285" s="268" t="n">
        <x:f>FASE2!N285</x:f>
        <x:v>0</x:v>
      </x:c>
      <x:c r="Q285" s="268" t="n">
        <x:f>FASE3!P285</x:f>
        <x:v>0</x:v>
      </x:c>
      <x:c r="R285" s="268" t="n">
        <x:f>FASE3!N285</x:f>
        <x:v>0</x:v>
      </x:c>
      <x:c r="S285" s="268" t="n">
        <x:f>AVERAGE(FASE3!Q285,FASE3!R285,FASE3!T285,FASE3!S285)</x:f>
        <x:v>0</x:v>
      </x:c>
      <x:c r="T285" s="268" t="n">
        <x:f>AVERAGE(FASE3!U285,FASE3!V285,FASE3!W285)</x:f>
        <x:v>0</x:v>
      </x:c>
      <x:c r="U285" s="268" t="n">
        <x:f>FASE3!Y285</x:f>
        <x:v>0</x:v>
      </x:c>
      <x:c r="V285" s="268" t="n">
        <x:f>FASE3!X285</x:f>
        <x:v>0</x:v>
      </x:c>
      <x:c r="W285" s="268" t="n">
        <x:f>FASE4!M285</x:f>
        <x:v>0</x:v>
      </x:c>
      <x:c r="X285" s="268">
        <x:f t="shared" si="4"/>
        <x:v>0</x:v>
      </x:c>
      <x:c r="Y285" s="2"/>
    </x:row>
    <x:row r="286" ht="15.75">
      <x:c r="B286">
        <x:v>8</x:v>
      </x:c>
      <x:c r="C286" t="s">
        <x:v>116</x:v>
      </x:c>
      <x:c r="D286" s="243">
        <x:v>804</x:v>
      </x:c>
      <x:c r="E286" s="268" t="n">
        <x:f>FASE1!G286</x:f>
        <x:v>0</x:v>
      </x:c>
      <x:c r="F286" s="268" t="n">
        <x:f>FASE1!M286</x:f>
        <x:v>0</x:v>
      </x:c>
      <x:c r="G286" s="268" t="n">
        <x:f>FASE1!L286</x:f>
        <x:v>0</x:v>
      </x:c>
      <x:c r="H286" s="268" t="n">
        <x:f>FASE1!R286</x:f>
        <x:v>0</x:v>
      </x:c>
      <x:c r="I286" s="268" t="n">
        <x:f>FASE1!U286</x:f>
        <x:v>0</x:v>
      </x:c>
      <x:c r="J286" s="268" t="n">
        <x:f>FASE1!U286</x:f>
        <x:v>0</x:v>
      </x:c>
      <x:c r="K286" s="268" t="n">
        <x:f>FASE1!P286</x:f>
        <x:v>0</x:v>
      </x:c>
      <x:c r="L286" s="268" t="n">
        <x:f>FASE1!V286</x:f>
        <x:v>0</x:v>
      </x:c>
      <x:c r="M286" s="268" t="n">
        <x:f>AVERAGE(FASE2!F286:G286)</x:f>
        <x:v>0</x:v>
      </x:c>
      <x:c r="N286" s="268" t="n">
        <x:f>AVERAGE(FASE2!O286:P286,FASE2!S286)</x:f>
        <x:v>0</x:v>
      </x:c>
      <x:c r="O286" s="268" t="n">
        <x:f>FASE4!K286</x:f>
        <x:v>0</x:v>
      </x:c>
      <x:c r="P286" s="268" t="n">
        <x:f>FASE2!N286</x:f>
        <x:v>0</x:v>
      </x:c>
      <x:c r="Q286" s="268" t="n">
        <x:f>FASE3!P286</x:f>
        <x:v>0</x:v>
      </x:c>
      <x:c r="R286" s="268" t="n">
        <x:f>FASE3!N286</x:f>
        <x:v>0</x:v>
      </x:c>
      <x:c r="S286" s="268" t="n">
        <x:f>AVERAGE(FASE3!Q286,FASE3!R286,FASE3!T286,FASE3!S286)</x:f>
        <x:v>0</x:v>
      </x:c>
      <x:c r="T286" s="268" t="n">
        <x:f>AVERAGE(FASE3!U286,FASE3!V286,FASE3!W286)</x:f>
        <x:v>0</x:v>
      </x:c>
      <x:c r="U286" s="268" t="n">
        <x:f>FASE3!Y286</x:f>
        <x:v>0</x:v>
      </x:c>
      <x:c r="V286" s="268" t="n">
        <x:f>FASE3!X286</x:f>
        <x:v>0</x:v>
      </x:c>
      <x:c r="W286" s="268" t="n">
        <x:f>FASE4!M286</x:f>
        <x:v>0</x:v>
      </x:c>
      <x:c r="X286" s="268">
        <x:f t="shared" si="4"/>
        <x:v>0</x:v>
      </x:c>
      <x:c r="Y286" s="2"/>
    </x:row>
    <x:row r="287" ht="15.75">
      <x:c r="B287">
        <x:v>8</x:v>
      </x:c>
      <x:c r="C287" t="s">
        <x:v>116</x:v>
      </x:c>
      <x:c r="D287" s="243">
        <x:v>805</x:v>
      </x:c>
      <x:c r="E287" s="268" t="n">
        <x:f>FASE1!G287</x:f>
        <x:v>0</x:v>
      </x:c>
      <x:c r="F287" s="268" t="n">
        <x:f>FASE1!M287</x:f>
        <x:v>0</x:v>
      </x:c>
      <x:c r="G287" s="268" t="n">
        <x:f>FASE1!L287</x:f>
        <x:v>0</x:v>
      </x:c>
      <x:c r="H287" s="268" t="n">
        <x:f>FASE1!R287</x:f>
        <x:v>0</x:v>
      </x:c>
      <x:c r="I287" s="268" t="n">
        <x:f>FASE1!U287</x:f>
        <x:v>0</x:v>
      </x:c>
      <x:c r="J287" s="268" t="n">
        <x:f>FASE1!U287</x:f>
        <x:v>0</x:v>
      </x:c>
      <x:c r="K287" s="268" t="n">
        <x:f>FASE1!P287</x:f>
        <x:v>0</x:v>
      </x:c>
      <x:c r="L287" s="268" t="n">
        <x:f>FASE1!V287</x:f>
        <x:v>0</x:v>
      </x:c>
      <x:c r="M287" s="268" t="n">
        <x:f>AVERAGE(FASE2!F287:G287)</x:f>
        <x:v>0</x:v>
      </x:c>
      <x:c r="N287" s="268" t="n">
        <x:f>AVERAGE(FASE2!O287:P287,FASE2!S287)</x:f>
        <x:v>0</x:v>
      </x:c>
      <x:c r="O287" s="268" t="n">
        <x:f>FASE4!K287</x:f>
        <x:v>0</x:v>
      </x:c>
      <x:c r="P287" s="268" t="n">
        <x:f>FASE2!N287</x:f>
        <x:v>0</x:v>
      </x:c>
      <x:c r="Q287" s="268" t="n">
        <x:f>FASE3!P287</x:f>
        <x:v>0</x:v>
      </x:c>
      <x:c r="R287" s="268" t="n">
        <x:f>FASE3!N287</x:f>
        <x:v>0</x:v>
      </x:c>
      <x:c r="S287" s="268" t="n">
        <x:f>AVERAGE(FASE3!Q287,FASE3!R287,FASE3!T287,FASE3!S287)</x:f>
        <x:v>0</x:v>
      </x:c>
      <x:c r="T287" s="268" t="n">
        <x:f>AVERAGE(FASE3!U287,FASE3!V287,FASE3!W287)</x:f>
        <x:v>0</x:v>
      </x:c>
      <x:c r="U287" s="268" t="n">
        <x:f>FASE3!Y287</x:f>
        <x:v>0</x:v>
      </x:c>
      <x:c r="V287" s="268" t="n">
        <x:f>FASE3!X287</x:f>
        <x:v>0</x:v>
      </x:c>
      <x:c r="W287" s="268" t="n">
        <x:f>FASE4!M287</x:f>
        <x:v>0</x:v>
      </x:c>
      <x:c r="X287" s="268">
        <x:f t="shared" si="4"/>
        <x:v>0</x:v>
      </x:c>
      <x:c r="Y287" s="2"/>
    </x:row>
    <x:row r="288" ht="15.75">
      <x:c r="B288">
        <x:v>8</x:v>
      </x:c>
      <x:c r="C288" t="s">
        <x:v>116</x:v>
      </x:c>
      <x:c r="D288" s="243">
        <x:v>806</x:v>
      </x:c>
      <x:c r="E288" s="268" t="n">
        <x:f>FASE1!G288</x:f>
        <x:v>0</x:v>
      </x:c>
      <x:c r="F288" s="268" t="n">
        <x:f>FASE1!M288</x:f>
        <x:v>0</x:v>
      </x:c>
      <x:c r="G288" s="268" t="n">
        <x:f>FASE1!L288</x:f>
        <x:v>0</x:v>
      </x:c>
      <x:c r="H288" s="268" t="n">
        <x:f>FASE1!R288</x:f>
        <x:v>0</x:v>
      </x:c>
      <x:c r="I288" s="268" t="n">
        <x:f>FASE1!U288</x:f>
        <x:v>0</x:v>
      </x:c>
      <x:c r="J288" s="268" t="n">
        <x:f>FASE1!U288</x:f>
        <x:v>0</x:v>
      </x:c>
      <x:c r="K288" s="268" t="n">
        <x:f>FASE1!P288</x:f>
        <x:v>0</x:v>
      </x:c>
      <x:c r="L288" s="268" t="n">
        <x:f>FASE1!V288</x:f>
        <x:v>0</x:v>
      </x:c>
      <x:c r="M288" s="268" t="n">
        <x:f>AVERAGE(FASE2!F288:G288)</x:f>
        <x:v>0</x:v>
      </x:c>
      <x:c r="N288" s="268" t="n">
        <x:f>AVERAGE(FASE2!O288:P288,FASE2!S288)</x:f>
        <x:v>0</x:v>
      </x:c>
      <x:c r="O288" s="268" t="n">
        <x:f>FASE4!K288</x:f>
        <x:v>0</x:v>
      </x:c>
      <x:c r="P288" s="268" t="n">
        <x:f>FASE2!N288</x:f>
        <x:v>0</x:v>
      </x:c>
      <x:c r="Q288" s="268" t="n">
        <x:f>FASE3!P288</x:f>
        <x:v>0</x:v>
      </x:c>
      <x:c r="R288" s="268" t="n">
        <x:f>FASE3!N288</x:f>
        <x:v>0</x:v>
      </x:c>
      <x:c r="S288" s="268" t="n">
        <x:f>AVERAGE(FASE3!Q288,FASE3!R288,FASE3!T288,FASE3!S288)</x:f>
        <x:v>0</x:v>
      </x:c>
      <x:c r="T288" s="268" t="n">
        <x:f>AVERAGE(FASE3!U288,FASE3!V288,FASE3!W288)</x:f>
        <x:v>0</x:v>
      </x:c>
      <x:c r="U288" s="268" t="n">
        <x:f>FASE3!Y288</x:f>
        <x:v>0</x:v>
      </x:c>
      <x:c r="V288" s="268" t="n">
        <x:f>FASE3!X288</x:f>
        <x:v>0</x:v>
      </x:c>
      <x:c r="W288" s="268" t="n">
        <x:f>FASE4!M288</x:f>
        <x:v>0</x:v>
      </x:c>
      <x:c r="X288" s="268">
        <x:f t="shared" si="4"/>
        <x:v>0</x:v>
      </x:c>
      <x:c r="Y288" s="2"/>
    </x:row>
    <x:row r="289" ht="15.75">
      <x:c r="B289">
        <x:v>8</x:v>
      </x:c>
      <x:c r="C289" t="s">
        <x:v>116</x:v>
      </x:c>
      <x:c r="D289" s="243">
        <x:v>807</x:v>
      </x:c>
      <x:c r="E289" s="268" t="n">
        <x:f>FASE1!G289</x:f>
        <x:v>0</x:v>
      </x:c>
      <x:c r="F289" s="268" t="n">
        <x:f>FASE1!M289</x:f>
        <x:v>0</x:v>
      </x:c>
      <x:c r="G289" s="268" t="n">
        <x:f>FASE1!L289</x:f>
        <x:v>0</x:v>
      </x:c>
      <x:c r="H289" s="268" t="n">
        <x:f>FASE1!R289</x:f>
        <x:v>0</x:v>
      </x:c>
      <x:c r="I289" s="268" t="n">
        <x:f>FASE1!U289</x:f>
        <x:v>0</x:v>
      </x:c>
      <x:c r="J289" s="268" t="n">
        <x:f>FASE1!U289</x:f>
        <x:v>0</x:v>
      </x:c>
      <x:c r="K289" s="268" t="n">
        <x:f>FASE1!P289</x:f>
        <x:v>0</x:v>
      </x:c>
      <x:c r="L289" s="268" t="n">
        <x:f>FASE1!V289</x:f>
        <x:v>0</x:v>
      </x:c>
      <x:c r="M289" s="268" t="n">
        <x:f>AVERAGE(FASE2!F289:G289)</x:f>
        <x:v>0</x:v>
      </x:c>
      <x:c r="N289" s="268" t="n">
        <x:f>AVERAGE(FASE2!O289:P289,FASE2!S289)</x:f>
        <x:v>0</x:v>
      </x:c>
      <x:c r="O289" s="268" t="n">
        <x:f>FASE4!K289</x:f>
        <x:v>0</x:v>
      </x:c>
      <x:c r="P289" s="268" t="n">
        <x:f>FASE2!N289</x:f>
        <x:v>0</x:v>
      </x:c>
      <x:c r="Q289" s="268" t="n">
        <x:f>FASE3!P289</x:f>
        <x:v>0</x:v>
      </x:c>
      <x:c r="R289" s="268" t="n">
        <x:f>FASE3!N289</x:f>
        <x:v>0</x:v>
      </x:c>
      <x:c r="S289" s="268" t="n">
        <x:f>AVERAGE(FASE3!Q289,FASE3!R289,FASE3!T289,FASE3!S289)</x:f>
        <x:v>0</x:v>
      </x:c>
      <x:c r="T289" s="268" t="n">
        <x:f>AVERAGE(FASE3!U289,FASE3!V289,FASE3!W289)</x:f>
        <x:v>0</x:v>
      </x:c>
      <x:c r="U289" s="268" t="n">
        <x:f>FASE3!Y289</x:f>
        <x:v>0</x:v>
      </x:c>
      <x:c r="V289" s="268" t="n">
        <x:f>FASE3!X289</x:f>
        <x:v>0</x:v>
      </x:c>
      <x:c r="W289" s="268" t="n">
        <x:f>FASE4!M289</x:f>
        <x:v>0</x:v>
      </x:c>
      <x:c r="X289" s="268">
        <x:f t="shared" si="4"/>
        <x:v>0</x:v>
      </x:c>
      <x:c r="Y289" s="2"/>
    </x:row>
    <x:row r="290" ht="15.75">
      <x:c r="B290">
        <x:v>8</x:v>
      </x:c>
      <x:c r="C290" t="s">
        <x:v>116</x:v>
      </x:c>
      <x:c r="D290" s="243">
        <x:v>808</x:v>
      </x:c>
      <x:c r="E290" s="268" t="n">
        <x:f>FASE1!G290</x:f>
        <x:v>0</x:v>
      </x:c>
      <x:c r="F290" s="268" t="n">
        <x:f>FASE1!M290</x:f>
        <x:v>0</x:v>
      </x:c>
      <x:c r="G290" s="268" t="n">
        <x:f>FASE1!L290</x:f>
        <x:v>0</x:v>
      </x:c>
      <x:c r="H290" s="268" t="n">
        <x:f>FASE1!R290</x:f>
        <x:v>0</x:v>
      </x:c>
      <x:c r="I290" s="268" t="n">
        <x:f>FASE1!U290</x:f>
        <x:v>0</x:v>
      </x:c>
      <x:c r="J290" s="268" t="n">
        <x:f>FASE1!U290</x:f>
        <x:v>0</x:v>
      </x:c>
      <x:c r="K290" s="268" t="n">
        <x:f>FASE1!P290</x:f>
        <x:v>0</x:v>
      </x:c>
      <x:c r="L290" s="268" t="n">
        <x:f>FASE1!V290</x:f>
        <x:v>0</x:v>
      </x:c>
      <x:c r="M290" s="268" t="n">
        <x:f>AVERAGE(FASE2!F290:G290)</x:f>
        <x:v>0</x:v>
      </x:c>
      <x:c r="N290" s="268" t="n">
        <x:f>AVERAGE(FASE2!O290:P290,FASE2!S290)</x:f>
        <x:v>0</x:v>
      </x:c>
      <x:c r="O290" s="268" t="n">
        <x:f>FASE4!K290</x:f>
        <x:v>0</x:v>
      </x:c>
      <x:c r="P290" s="268" t="n">
        <x:f>FASE2!N290</x:f>
        <x:v>0</x:v>
      </x:c>
      <x:c r="Q290" s="268" t="n">
        <x:f>FASE3!P290</x:f>
        <x:v>0</x:v>
      </x:c>
      <x:c r="R290" s="268" t="n">
        <x:f>FASE3!N290</x:f>
        <x:v>0</x:v>
      </x:c>
      <x:c r="S290" s="268" t="n">
        <x:f>AVERAGE(FASE3!Q290,FASE3!R290,FASE3!T290,FASE3!S290)</x:f>
        <x:v>0</x:v>
      </x:c>
      <x:c r="T290" s="268" t="n">
        <x:f>AVERAGE(FASE3!U290,FASE3!V290,FASE3!W290)</x:f>
        <x:v>0</x:v>
      </x:c>
      <x:c r="U290" s="268" t="n">
        <x:f>FASE3!Y290</x:f>
        <x:v>0</x:v>
      </x:c>
      <x:c r="V290" s="268" t="n">
        <x:f>FASE3!X290</x:f>
        <x:v>0</x:v>
      </x:c>
      <x:c r="W290" s="268" t="n">
        <x:f>FASE4!M290</x:f>
        <x:v>0</x:v>
      </x:c>
      <x:c r="X290" s="268">
        <x:f t="shared" si="4"/>
        <x:v>0</x:v>
      </x:c>
      <x:c r="Y290" s="2"/>
    </x:row>
    <x:row r="291" ht="15.75">
      <x:c r="B291">
        <x:v>8</x:v>
      </x:c>
      <x:c r="C291" t="s">
        <x:v>116</x:v>
      </x:c>
      <x:c r="D291" s="243">
        <x:v>809</x:v>
      </x:c>
      <x:c r="E291" s="268" t="n">
        <x:f>FASE1!G291</x:f>
        <x:v>0</x:v>
      </x:c>
      <x:c r="F291" s="268" t="n">
        <x:f>FASE1!M291</x:f>
        <x:v>0</x:v>
      </x:c>
      <x:c r="G291" s="268" t="n">
        <x:f>FASE1!L291</x:f>
        <x:v>0</x:v>
      </x:c>
      <x:c r="H291" s="268" t="n">
        <x:f>FASE1!R291</x:f>
        <x:v>0</x:v>
      </x:c>
      <x:c r="I291" s="268" t="n">
        <x:f>FASE1!U291</x:f>
        <x:v>0</x:v>
      </x:c>
      <x:c r="J291" s="268" t="n">
        <x:f>FASE1!U291</x:f>
        <x:v>0</x:v>
      </x:c>
      <x:c r="K291" s="268" t="n">
        <x:f>FASE1!P291</x:f>
        <x:v>0</x:v>
      </x:c>
      <x:c r="L291" s="268" t="n">
        <x:f>FASE1!V291</x:f>
        <x:v>0</x:v>
      </x:c>
      <x:c r="M291" s="268" t="n">
        <x:f>AVERAGE(FASE2!F291:G291)</x:f>
        <x:v>0</x:v>
      </x:c>
      <x:c r="N291" s="268" t="n">
        <x:f>AVERAGE(FASE2!O291:P291,FASE2!S291)</x:f>
        <x:v>0</x:v>
      </x:c>
      <x:c r="O291" s="268" t="n">
        <x:f>FASE4!K291</x:f>
        <x:v>0</x:v>
      </x:c>
      <x:c r="P291" s="268" t="n">
        <x:f>FASE2!N291</x:f>
        <x:v>0</x:v>
      </x:c>
      <x:c r="Q291" s="268" t="n">
        <x:f>FASE3!P291</x:f>
        <x:v>0</x:v>
      </x:c>
      <x:c r="R291" s="268" t="n">
        <x:f>FASE3!N291</x:f>
        <x:v>0</x:v>
      </x:c>
      <x:c r="S291" s="268" t="n">
        <x:f>AVERAGE(FASE3!Q291,FASE3!R291,FASE3!T291,FASE3!S291)</x:f>
        <x:v>0</x:v>
      </x:c>
      <x:c r="T291" s="268" t="n">
        <x:f>AVERAGE(FASE3!U291,FASE3!V291,FASE3!W291)</x:f>
        <x:v>0</x:v>
      </x:c>
      <x:c r="U291" s="268" t="n">
        <x:f>FASE3!Y291</x:f>
        <x:v>0</x:v>
      </x:c>
      <x:c r="V291" s="268" t="n">
        <x:f>FASE3!X291</x:f>
        <x:v>0</x:v>
      </x:c>
      <x:c r="W291" s="268" t="n">
        <x:f>FASE4!M291</x:f>
        <x:v>0</x:v>
      </x:c>
      <x:c r="X291" s="268">
        <x:f t="shared" si="4"/>
        <x:v>0</x:v>
      </x:c>
      <x:c r="Y291" s="2"/>
    </x:row>
    <x:row r="292" ht="15.75">
      <x:c r="B292">
        <x:v>8</x:v>
      </x:c>
      <x:c r="C292" t="s">
        <x:v>116</x:v>
      </x:c>
      <x:c r="D292" s="243">
        <x:v>810</x:v>
      </x:c>
      <x:c r="E292" s="268" t="n">
        <x:f>FASE1!G292</x:f>
        <x:v>0</x:v>
      </x:c>
      <x:c r="F292" s="268" t="n">
        <x:f>FASE1!M292</x:f>
        <x:v>0</x:v>
      </x:c>
      <x:c r="G292" s="268" t="n">
        <x:f>FASE1!L292</x:f>
        <x:v>0</x:v>
      </x:c>
      <x:c r="H292" s="268" t="n">
        <x:f>FASE1!R292</x:f>
        <x:v>0</x:v>
      </x:c>
      <x:c r="I292" s="268" t="n">
        <x:f>FASE1!U292</x:f>
        <x:v>0</x:v>
      </x:c>
      <x:c r="J292" s="268" t="n">
        <x:f>FASE1!U292</x:f>
        <x:v>0</x:v>
      </x:c>
      <x:c r="K292" s="268" t="n">
        <x:f>FASE1!P292</x:f>
        <x:v>0</x:v>
      </x:c>
      <x:c r="L292" s="268" t="n">
        <x:f>FASE1!V292</x:f>
        <x:v>0</x:v>
      </x:c>
      <x:c r="M292" s="268" t="n">
        <x:f>AVERAGE(FASE2!F292:G292)</x:f>
        <x:v>0</x:v>
      </x:c>
      <x:c r="N292" s="268" t="n">
        <x:f>AVERAGE(FASE2!O292:P292,FASE2!S292)</x:f>
        <x:v>0</x:v>
      </x:c>
      <x:c r="O292" s="268" t="n">
        <x:f>FASE4!K292</x:f>
        <x:v>0</x:v>
      </x:c>
      <x:c r="P292" s="268" t="n">
        <x:f>FASE2!N292</x:f>
        <x:v>0</x:v>
      </x:c>
      <x:c r="Q292" s="268" t="n">
        <x:f>FASE3!P292</x:f>
        <x:v>0</x:v>
      </x:c>
      <x:c r="R292" s="268" t="n">
        <x:f>FASE3!N292</x:f>
        <x:v>0</x:v>
      </x:c>
      <x:c r="S292" s="268" t="n">
        <x:f>AVERAGE(FASE3!Q292,FASE3!R292,FASE3!T292,FASE3!S292)</x:f>
        <x:v>0</x:v>
      </x:c>
      <x:c r="T292" s="268" t="n">
        <x:f>AVERAGE(FASE3!U292,FASE3!V292,FASE3!W292)</x:f>
        <x:v>0</x:v>
      </x:c>
      <x:c r="U292" s="268" t="n">
        <x:f>FASE3!Y292</x:f>
        <x:v>0</x:v>
      </x:c>
      <x:c r="V292" s="268" t="n">
        <x:f>FASE3!X292</x:f>
        <x:v>0</x:v>
      </x:c>
      <x:c r="W292" s="268" t="n">
        <x:f>FASE4!M292</x:f>
        <x:v>0</x:v>
      </x:c>
      <x:c r="X292" s="268">
        <x:f t="shared" si="4"/>
        <x:v>0</x:v>
      </x:c>
      <x:c r="Y292" s="2"/>
    </x:row>
    <x:row r="293" ht="15.75">
      <x:c r="B293">
        <x:v>8</x:v>
      </x:c>
      <x:c r="C293" t="s">
        <x:v>116</x:v>
      </x:c>
      <x:c r="D293" s="243">
        <x:v>811</x:v>
      </x:c>
      <x:c r="E293" s="268" t="n">
        <x:f>FASE1!G293</x:f>
        <x:v>0</x:v>
      </x:c>
      <x:c r="F293" s="268" t="n">
        <x:f>FASE1!M293</x:f>
        <x:v>0</x:v>
      </x:c>
      <x:c r="G293" s="268" t="n">
        <x:f>FASE1!L293</x:f>
        <x:v>0</x:v>
      </x:c>
      <x:c r="H293" s="268" t="n">
        <x:f>FASE1!R293</x:f>
        <x:v>0</x:v>
      </x:c>
      <x:c r="I293" s="268" t="n">
        <x:f>FASE1!U293</x:f>
        <x:v>0</x:v>
      </x:c>
      <x:c r="J293" s="268" t="n">
        <x:f>FASE1!U293</x:f>
        <x:v>0</x:v>
      </x:c>
      <x:c r="K293" s="268" t="n">
        <x:f>FASE1!P293</x:f>
        <x:v>0</x:v>
      </x:c>
      <x:c r="L293" s="268" t="n">
        <x:f>FASE1!V293</x:f>
        <x:v>0</x:v>
      </x:c>
      <x:c r="M293" s="268" t="n">
        <x:f>AVERAGE(FASE2!F293:G293)</x:f>
        <x:v>0</x:v>
      </x:c>
      <x:c r="N293" s="268" t="n">
        <x:f>AVERAGE(FASE2!O293:P293,FASE2!S293)</x:f>
        <x:v>0</x:v>
      </x:c>
      <x:c r="O293" s="268" t="n">
        <x:f>FASE4!K293</x:f>
        <x:v>0</x:v>
      </x:c>
      <x:c r="P293" s="268" t="n">
        <x:f>FASE2!N293</x:f>
        <x:v>0</x:v>
      </x:c>
      <x:c r="Q293" s="268" t="n">
        <x:f>FASE3!P293</x:f>
        <x:v>0</x:v>
      </x:c>
      <x:c r="R293" s="268" t="n">
        <x:f>FASE3!N293</x:f>
        <x:v>0</x:v>
      </x:c>
      <x:c r="S293" s="268" t="n">
        <x:f>AVERAGE(FASE3!Q293,FASE3!R293,FASE3!T293,FASE3!S293)</x:f>
        <x:v>0</x:v>
      </x:c>
      <x:c r="T293" s="268" t="n">
        <x:f>AVERAGE(FASE3!U293,FASE3!V293,FASE3!W293)</x:f>
        <x:v>0</x:v>
      </x:c>
      <x:c r="U293" s="268" t="n">
        <x:f>FASE3!Y293</x:f>
        <x:v>0</x:v>
      </x:c>
      <x:c r="V293" s="268" t="n">
        <x:f>FASE3!X293</x:f>
        <x:v>0</x:v>
      </x:c>
      <x:c r="W293" s="268" t="n">
        <x:f>FASE4!M293</x:f>
        <x:v>0</x:v>
      </x:c>
      <x:c r="X293" s="268">
        <x:f t="shared" si="4"/>
        <x:v>0</x:v>
      </x:c>
      <x:c r="Y293" s="2"/>
    </x:row>
    <x:row r="294" ht="15.75">
      <x:c r="B294">
        <x:v>8</x:v>
      </x:c>
      <x:c r="C294" t="s">
        <x:v>116</x:v>
      </x:c>
      <x:c r="D294" s="243">
        <x:v>812</x:v>
      </x:c>
      <x:c r="E294" s="268" t="n">
        <x:f>FASE1!G294</x:f>
        <x:v>0</x:v>
      </x:c>
      <x:c r="F294" s="268" t="n">
        <x:f>FASE1!M294</x:f>
        <x:v>0</x:v>
      </x:c>
      <x:c r="G294" s="268" t="n">
        <x:f>FASE1!L294</x:f>
        <x:v>0</x:v>
      </x:c>
      <x:c r="H294" s="268" t="n">
        <x:f>FASE1!R294</x:f>
        <x:v>0</x:v>
      </x:c>
      <x:c r="I294" s="268" t="n">
        <x:f>FASE1!U294</x:f>
        <x:v>0</x:v>
      </x:c>
      <x:c r="J294" s="268" t="n">
        <x:f>FASE1!U294</x:f>
        <x:v>0</x:v>
      </x:c>
      <x:c r="K294" s="268" t="n">
        <x:f>FASE1!P294</x:f>
        <x:v>0</x:v>
      </x:c>
      <x:c r="L294" s="268" t="n">
        <x:f>FASE1!V294</x:f>
        <x:v>0</x:v>
      </x:c>
      <x:c r="M294" s="268" t="n">
        <x:f>AVERAGE(FASE2!F294:G294)</x:f>
        <x:v>0</x:v>
      </x:c>
      <x:c r="N294" s="268" t="n">
        <x:f>AVERAGE(FASE2!O294:P294,FASE2!S294)</x:f>
        <x:v>0</x:v>
      </x:c>
      <x:c r="O294" s="268" t="n">
        <x:f>FASE4!K294</x:f>
        <x:v>0</x:v>
      </x:c>
      <x:c r="P294" s="268" t="n">
        <x:f>FASE2!N294</x:f>
        <x:v>0</x:v>
      </x:c>
      <x:c r="Q294" s="268" t="n">
        <x:f>FASE3!P294</x:f>
        <x:v>0</x:v>
      </x:c>
      <x:c r="R294" s="268" t="n">
        <x:f>FASE3!N294</x:f>
        <x:v>0</x:v>
      </x:c>
      <x:c r="S294" s="268" t="n">
        <x:f>AVERAGE(FASE3!Q294,FASE3!R294,FASE3!T294,FASE3!S294)</x:f>
        <x:v>0</x:v>
      </x:c>
      <x:c r="T294" s="268" t="n">
        <x:f>AVERAGE(FASE3!U294,FASE3!V294,FASE3!W294)</x:f>
        <x:v>0</x:v>
      </x:c>
      <x:c r="U294" s="268" t="n">
        <x:f>FASE3!Y294</x:f>
        <x:v>0</x:v>
      </x:c>
      <x:c r="V294" s="268" t="n">
        <x:f>FASE3!X294</x:f>
        <x:v>0</x:v>
      </x:c>
      <x:c r="W294" s="268" t="n">
        <x:f>FASE4!M294</x:f>
        <x:v>0</x:v>
      </x:c>
      <x:c r="X294" s="268">
        <x:f t="shared" si="4"/>
        <x:v>0</x:v>
      </x:c>
      <x:c r="Y294" s="2"/>
    </x:row>
    <x:row r="295" ht="15.75">
      <x:c r="B295">
        <x:v>8</x:v>
      </x:c>
      <x:c r="C295" t="s">
        <x:v>116</x:v>
      </x:c>
      <x:c r="D295" s="243">
        <x:v>813</x:v>
      </x:c>
      <x:c r="E295" s="268" t="n">
        <x:f>FASE1!G295</x:f>
        <x:v>0</x:v>
      </x:c>
      <x:c r="F295" s="268" t="n">
        <x:f>FASE1!M295</x:f>
        <x:v>0</x:v>
      </x:c>
      <x:c r="G295" s="268" t="n">
        <x:f>FASE1!L295</x:f>
        <x:v>0</x:v>
      </x:c>
      <x:c r="H295" s="268" t="n">
        <x:f>FASE1!R295</x:f>
        <x:v>0</x:v>
      </x:c>
      <x:c r="I295" s="268" t="n">
        <x:f>FASE1!U295</x:f>
        <x:v>0</x:v>
      </x:c>
      <x:c r="J295" s="268" t="n">
        <x:f>FASE1!U295</x:f>
        <x:v>0</x:v>
      </x:c>
      <x:c r="K295" s="268" t="n">
        <x:f>FASE1!P295</x:f>
        <x:v>0</x:v>
      </x:c>
      <x:c r="L295" s="268" t="n">
        <x:f>FASE1!V295</x:f>
        <x:v>0</x:v>
      </x:c>
      <x:c r="M295" s="268" t="n">
        <x:f>AVERAGE(FASE2!F295:G295)</x:f>
        <x:v>0</x:v>
      </x:c>
      <x:c r="N295" s="268" t="n">
        <x:f>AVERAGE(FASE2!O295:P295,FASE2!S295)</x:f>
        <x:v>0</x:v>
      </x:c>
      <x:c r="O295" s="268" t="n">
        <x:f>FASE4!K295</x:f>
        <x:v>0</x:v>
      </x:c>
      <x:c r="P295" s="268" t="n">
        <x:f>FASE2!N295</x:f>
        <x:v>0</x:v>
      </x:c>
      <x:c r="Q295" s="268" t="n">
        <x:f>FASE3!P295</x:f>
        <x:v>0</x:v>
      </x:c>
      <x:c r="R295" s="268" t="n">
        <x:f>FASE3!N295</x:f>
        <x:v>0</x:v>
      </x:c>
      <x:c r="S295" s="268" t="n">
        <x:f>AVERAGE(FASE3!Q295,FASE3!R295,FASE3!T295,FASE3!S295)</x:f>
        <x:v>0</x:v>
      </x:c>
      <x:c r="T295" s="268" t="n">
        <x:f>AVERAGE(FASE3!U295,FASE3!V295,FASE3!W295)</x:f>
        <x:v>0</x:v>
      </x:c>
      <x:c r="U295" s="268" t="n">
        <x:f>FASE3!Y295</x:f>
        <x:v>0</x:v>
      </x:c>
      <x:c r="V295" s="268" t="n">
        <x:f>FASE3!X295</x:f>
        <x:v>0</x:v>
      </x:c>
      <x:c r="W295" s="268" t="n">
        <x:f>FASE4!M295</x:f>
        <x:v>0</x:v>
      </x:c>
      <x:c r="X295" s="268">
        <x:f t="shared" si="4"/>
        <x:v>0</x:v>
      </x:c>
      <x:c r="Y295" s="2"/>
    </x:row>
    <x:row r="296" ht="15.75">
      <x:c r="B296">
        <x:v>8</x:v>
      </x:c>
      <x:c r="C296" t="s">
        <x:v>116</x:v>
      </x:c>
      <x:c r="D296" s="243">
        <x:v>814</x:v>
      </x:c>
      <x:c r="E296" s="268" t="n">
        <x:f>FASE1!G296</x:f>
        <x:v>0</x:v>
      </x:c>
      <x:c r="F296" s="268" t="n">
        <x:f>FASE1!M296</x:f>
        <x:v>0</x:v>
      </x:c>
      <x:c r="G296" s="268" t="n">
        <x:f>FASE1!L296</x:f>
        <x:v>0</x:v>
      </x:c>
      <x:c r="H296" s="268" t="n">
        <x:f>FASE1!R296</x:f>
        <x:v>0</x:v>
      </x:c>
      <x:c r="I296" s="268" t="n">
        <x:f>FASE1!U296</x:f>
        <x:v>0</x:v>
      </x:c>
      <x:c r="J296" s="268" t="n">
        <x:f>FASE1!U296</x:f>
        <x:v>0</x:v>
      </x:c>
      <x:c r="K296" s="268" t="n">
        <x:f>FASE1!P296</x:f>
        <x:v>0</x:v>
      </x:c>
      <x:c r="L296" s="268" t="n">
        <x:f>FASE1!V296</x:f>
        <x:v>0</x:v>
      </x:c>
      <x:c r="M296" s="268" t="n">
        <x:f>AVERAGE(FASE2!F296:G296)</x:f>
        <x:v>0</x:v>
      </x:c>
      <x:c r="N296" s="268" t="n">
        <x:f>AVERAGE(FASE2!O296:P296,FASE2!S296)</x:f>
        <x:v>0</x:v>
      </x:c>
      <x:c r="O296" s="268" t="n">
        <x:f>FASE4!K296</x:f>
        <x:v>0</x:v>
      </x:c>
      <x:c r="P296" s="268" t="n">
        <x:f>FASE2!N296</x:f>
        <x:v>0</x:v>
      </x:c>
      <x:c r="Q296" s="268" t="n">
        <x:f>FASE3!P296</x:f>
        <x:v>0</x:v>
      </x:c>
      <x:c r="R296" s="268" t="n">
        <x:f>FASE3!N296</x:f>
        <x:v>0</x:v>
      </x:c>
      <x:c r="S296" s="268" t="n">
        <x:f>AVERAGE(FASE3!Q296,FASE3!R296,FASE3!T296,FASE3!S296)</x:f>
        <x:v>0</x:v>
      </x:c>
      <x:c r="T296" s="268" t="n">
        <x:f>AVERAGE(FASE3!U296,FASE3!V296,FASE3!W296)</x:f>
        <x:v>0</x:v>
      </x:c>
      <x:c r="U296" s="268" t="n">
        <x:f>FASE3!Y296</x:f>
        <x:v>0</x:v>
      </x:c>
      <x:c r="V296" s="268" t="n">
        <x:f>FASE3!X296</x:f>
        <x:v>0</x:v>
      </x:c>
      <x:c r="W296" s="268" t="n">
        <x:f>FASE4!M296</x:f>
        <x:v>0</x:v>
      </x:c>
      <x:c r="X296" s="268">
        <x:f t="shared" si="4"/>
        <x:v>0</x:v>
      </x:c>
      <x:c r="Y296" s="2"/>
    </x:row>
    <x:row r="297" ht="15.75">
      <x:c r="B297">
        <x:v>8</x:v>
      </x:c>
      <x:c r="C297" t="s">
        <x:v>116</x:v>
      </x:c>
      <x:c r="D297" s="243">
        <x:v>815</x:v>
      </x:c>
      <x:c r="E297" s="268" t="n">
        <x:f>FASE1!G297</x:f>
        <x:v>0</x:v>
      </x:c>
      <x:c r="F297" s="268" t="n">
        <x:f>FASE1!M297</x:f>
        <x:v>0</x:v>
      </x:c>
      <x:c r="G297" s="268" t="n">
        <x:f>FASE1!L297</x:f>
        <x:v>0</x:v>
      </x:c>
      <x:c r="H297" s="268" t="n">
        <x:f>FASE1!R297</x:f>
        <x:v>0</x:v>
      </x:c>
      <x:c r="I297" s="268" t="n">
        <x:f>FASE1!U297</x:f>
        <x:v>0</x:v>
      </x:c>
      <x:c r="J297" s="268" t="n">
        <x:f>FASE1!U297</x:f>
        <x:v>0</x:v>
      </x:c>
      <x:c r="K297" s="268" t="n">
        <x:f>FASE1!P297</x:f>
        <x:v>0</x:v>
      </x:c>
      <x:c r="L297" s="268" t="n">
        <x:f>FASE1!V297</x:f>
        <x:v>0</x:v>
      </x:c>
      <x:c r="M297" s="268" t="n">
        <x:f>AVERAGE(FASE2!F297:G297)</x:f>
        <x:v>0</x:v>
      </x:c>
      <x:c r="N297" s="268" t="n">
        <x:f>AVERAGE(FASE2!O297:P297,FASE2!S297)</x:f>
        <x:v>0</x:v>
      </x:c>
      <x:c r="O297" s="268" t="n">
        <x:f>FASE4!K297</x:f>
        <x:v>0</x:v>
      </x:c>
      <x:c r="P297" s="268" t="n">
        <x:f>FASE2!N297</x:f>
        <x:v>0</x:v>
      </x:c>
      <x:c r="Q297" s="268" t="n">
        <x:f>FASE3!P297</x:f>
        <x:v>0</x:v>
      </x:c>
      <x:c r="R297" s="268" t="n">
        <x:f>FASE3!N297</x:f>
        <x:v>0</x:v>
      </x:c>
      <x:c r="S297" s="268" t="n">
        <x:f>AVERAGE(FASE3!Q297,FASE3!R297,FASE3!T297,FASE3!S297)</x:f>
        <x:v>0</x:v>
      </x:c>
      <x:c r="T297" s="268" t="n">
        <x:f>AVERAGE(FASE3!U297,FASE3!V297,FASE3!W297)</x:f>
        <x:v>0</x:v>
      </x:c>
      <x:c r="U297" s="268" t="n">
        <x:f>FASE3!Y297</x:f>
        <x:v>0</x:v>
      </x:c>
      <x:c r="V297" s="268" t="n">
        <x:f>FASE3!X297</x:f>
        <x:v>0</x:v>
      </x:c>
      <x:c r="W297" s="268" t="n">
        <x:f>FASE4!M297</x:f>
        <x:v>0</x:v>
      </x:c>
      <x:c r="X297" s="268">
        <x:f t="shared" si="4"/>
        <x:v>0</x:v>
      </x:c>
      <x:c r="Y297" s="2"/>
    </x:row>
    <x:row r="298" ht="15.75">
      <x:c r="B298">
        <x:v>8</x:v>
      </x:c>
      <x:c r="C298" t="s">
        <x:v>116</x:v>
      </x:c>
      <x:c r="D298" s="243">
        <x:v>816</x:v>
      </x:c>
      <x:c r="E298" s="268" t="n">
        <x:f>FASE1!G298</x:f>
        <x:v>0</x:v>
      </x:c>
      <x:c r="F298" s="268" t="n">
        <x:f>FASE1!M298</x:f>
        <x:v>0</x:v>
      </x:c>
      <x:c r="G298" s="268" t="n">
        <x:f>FASE1!L298</x:f>
        <x:v>0</x:v>
      </x:c>
      <x:c r="H298" s="268" t="n">
        <x:f>FASE1!R298</x:f>
        <x:v>0</x:v>
      </x:c>
      <x:c r="I298" s="268" t="n">
        <x:f>FASE1!U298</x:f>
        <x:v>0</x:v>
      </x:c>
      <x:c r="J298" s="268" t="n">
        <x:f>FASE1!U298</x:f>
        <x:v>0</x:v>
      </x:c>
      <x:c r="K298" s="268" t="n">
        <x:f>FASE1!P298</x:f>
        <x:v>0</x:v>
      </x:c>
      <x:c r="L298" s="268" t="n">
        <x:f>FASE1!V298</x:f>
        <x:v>0</x:v>
      </x:c>
      <x:c r="M298" s="268" t="n">
        <x:f>AVERAGE(FASE2!F298:G298)</x:f>
        <x:v>0</x:v>
      </x:c>
      <x:c r="N298" s="268" t="n">
        <x:f>AVERAGE(FASE2!O298:P298,FASE2!S298)</x:f>
        <x:v>0</x:v>
      </x:c>
      <x:c r="O298" s="268" t="n">
        <x:f>FASE4!K298</x:f>
        <x:v>0</x:v>
      </x:c>
      <x:c r="P298" s="268" t="n">
        <x:f>FASE2!N298</x:f>
        <x:v>0</x:v>
      </x:c>
      <x:c r="Q298" s="268" t="n">
        <x:f>FASE3!P298</x:f>
        <x:v>0</x:v>
      </x:c>
      <x:c r="R298" s="268" t="n">
        <x:f>FASE3!N298</x:f>
        <x:v>0</x:v>
      </x:c>
      <x:c r="S298" s="268" t="n">
        <x:f>AVERAGE(FASE3!Q298,FASE3!R298,FASE3!T298,FASE3!S298)</x:f>
        <x:v>0</x:v>
      </x:c>
      <x:c r="T298" s="268" t="n">
        <x:f>AVERAGE(FASE3!U298,FASE3!V298,FASE3!W298)</x:f>
        <x:v>0</x:v>
      </x:c>
      <x:c r="U298" s="268" t="n">
        <x:f>FASE3!Y298</x:f>
        <x:v>0</x:v>
      </x:c>
      <x:c r="V298" s="268" t="n">
        <x:f>FASE3!X298</x:f>
        <x:v>0</x:v>
      </x:c>
      <x:c r="W298" s="268" t="n">
        <x:f>FASE4!M298</x:f>
        <x:v>0</x:v>
      </x:c>
      <x:c r="X298" s="268">
        <x:f t="shared" si="4"/>
        <x:v>0</x:v>
      </x:c>
      <x:c r="Y298" s="2"/>
    </x:row>
    <x:row r="299" ht="15.75">
      <x:c r="B299">
        <x:v>8</x:v>
      </x:c>
      <x:c r="C299" t="s">
        <x:v>116</x:v>
      </x:c>
      <x:c r="D299" s="243">
        <x:v>817</x:v>
      </x:c>
      <x:c r="E299" s="268" t="n">
        <x:f>FASE1!G299</x:f>
        <x:v>0</x:v>
      </x:c>
      <x:c r="F299" s="268" t="n">
        <x:f>FASE1!M299</x:f>
        <x:v>0</x:v>
      </x:c>
      <x:c r="G299" s="268" t="n">
        <x:f>FASE1!L299</x:f>
        <x:v>0</x:v>
      </x:c>
      <x:c r="H299" s="268" t="n">
        <x:f>FASE1!R299</x:f>
        <x:v>0</x:v>
      </x:c>
      <x:c r="I299" s="268" t="n">
        <x:f>FASE1!U299</x:f>
        <x:v>0</x:v>
      </x:c>
      <x:c r="J299" s="268" t="n">
        <x:f>FASE1!U299</x:f>
        <x:v>0</x:v>
      </x:c>
      <x:c r="K299" s="268" t="n">
        <x:f>FASE1!P299</x:f>
        <x:v>0</x:v>
      </x:c>
      <x:c r="L299" s="268" t="n">
        <x:f>FASE1!V299</x:f>
        <x:v>0</x:v>
      </x:c>
      <x:c r="M299" s="268" t="n">
        <x:f>AVERAGE(FASE2!F299:G299)</x:f>
        <x:v>0</x:v>
      </x:c>
      <x:c r="N299" s="268" t="n">
        <x:f>AVERAGE(FASE2!O299:P299,FASE2!S299)</x:f>
        <x:v>0</x:v>
      </x:c>
      <x:c r="O299" s="268" t="n">
        <x:f>FASE4!K299</x:f>
        <x:v>0</x:v>
      </x:c>
      <x:c r="P299" s="268" t="n">
        <x:f>FASE2!N299</x:f>
        <x:v>0</x:v>
      </x:c>
      <x:c r="Q299" s="268" t="n">
        <x:f>FASE3!P299</x:f>
        <x:v>0</x:v>
      </x:c>
      <x:c r="R299" s="268" t="n">
        <x:f>FASE3!N299</x:f>
        <x:v>0</x:v>
      </x:c>
      <x:c r="S299" s="268" t="n">
        <x:f>AVERAGE(FASE3!Q299,FASE3!R299,FASE3!T299,FASE3!S299)</x:f>
        <x:v>0</x:v>
      </x:c>
      <x:c r="T299" s="268" t="n">
        <x:f>AVERAGE(FASE3!U299,FASE3!V299,FASE3!W299)</x:f>
        <x:v>0</x:v>
      </x:c>
      <x:c r="U299" s="268" t="n">
        <x:f>FASE3!Y299</x:f>
        <x:v>0</x:v>
      </x:c>
      <x:c r="V299" s="268" t="n">
        <x:f>FASE3!X299</x:f>
        <x:v>0</x:v>
      </x:c>
      <x:c r="W299" s="268" t="n">
        <x:f>FASE4!M299</x:f>
        <x:v>0</x:v>
      </x:c>
      <x:c r="X299" s="268">
        <x:f t="shared" si="4"/>
        <x:v>0</x:v>
      </x:c>
      <x:c r="Y299" s="2"/>
    </x:row>
    <x:row r="300" ht="15.75">
      <x:c r="B300">
        <x:v>8</x:v>
      </x:c>
      <x:c r="C300" t="s">
        <x:v>116</x:v>
      </x:c>
      <x:c r="D300" s="243">
        <x:v>818</x:v>
      </x:c>
      <x:c r="E300" s="268" t="n">
        <x:f>FASE1!G300</x:f>
        <x:v>0</x:v>
      </x:c>
      <x:c r="F300" s="268" t="n">
        <x:f>FASE1!M300</x:f>
        <x:v>0</x:v>
      </x:c>
      <x:c r="G300" s="268" t="n">
        <x:f>FASE1!L300</x:f>
        <x:v>0</x:v>
      </x:c>
      <x:c r="H300" s="268" t="n">
        <x:f>FASE1!R300</x:f>
        <x:v>0</x:v>
      </x:c>
      <x:c r="I300" s="268" t="n">
        <x:f>FASE1!U300</x:f>
        <x:v>0</x:v>
      </x:c>
      <x:c r="J300" s="268" t="n">
        <x:f>FASE1!U300</x:f>
        <x:v>0</x:v>
      </x:c>
      <x:c r="K300" s="268" t="n">
        <x:f>FASE1!P300</x:f>
        <x:v>0</x:v>
      </x:c>
      <x:c r="L300" s="268" t="n">
        <x:f>FASE1!V300</x:f>
        <x:v>0</x:v>
      </x:c>
      <x:c r="M300" s="268" t="n">
        <x:f>AVERAGE(FASE2!F300:G300)</x:f>
        <x:v>0</x:v>
      </x:c>
      <x:c r="N300" s="268" t="n">
        <x:f>AVERAGE(FASE2!O300:P300,FASE2!S300)</x:f>
        <x:v>0</x:v>
      </x:c>
      <x:c r="O300" s="268" t="n">
        <x:f>FASE4!K300</x:f>
        <x:v>0</x:v>
      </x:c>
      <x:c r="P300" s="268" t="n">
        <x:f>FASE2!N300</x:f>
        <x:v>0</x:v>
      </x:c>
      <x:c r="Q300" s="268" t="n">
        <x:f>FASE3!P300</x:f>
        <x:v>0</x:v>
      </x:c>
      <x:c r="R300" s="268" t="n">
        <x:f>FASE3!N300</x:f>
        <x:v>0</x:v>
      </x:c>
      <x:c r="S300" s="268" t="n">
        <x:f>AVERAGE(FASE3!Q300,FASE3!R300,FASE3!T300,FASE3!S300)</x:f>
        <x:v>0</x:v>
      </x:c>
      <x:c r="T300" s="268" t="n">
        <x:f>AVERAGE(FASE3!U300,FASE3!V300,FASE3!W300)</x:f>
        <x:v>0</x:v>
      </x:c>
      <x:c r="U300" s="268" t="n">
        <x:f>FASE3!Y300</x:f>
        <x:v>0</x:v>
      </x:c>
      <x:c r="V300" s="268" t="n">
        <x:f>FASE3!X300</x:f>
        <x:v>0</x:v>
      </x:c>
      <x:c r="W300" s="268" t="n">
        <x:f>FASE4!M300</x:f>
        <x:v>0</x:v>
      </x:c>
      <x:c r="X300" s="268">
        <x:f t="shared" si="4"/>
        <x:v>0</x:v>
      </x:c>
      <x:c r="Y300" s="2"/>
    </x:row>
    <x:row r="301" ht="15.75">
      <x:c r="B301">
        <x:v>8</x:v>
      </x:c>
      <x:c r="C301" t="s">
        <x:v>116</x:v>
      </x:c>
      <x:c r="D301" s="243">
        <x:v>819</x:v>
      </x:c>
      <x:c r="E301" s="268" t="n">
        <x:f>FASE1!G301</x:f>
        <x:v>0</x:v>
      </x:c>
      <x:c r="F301" s="268" t="n">
        <x:f>FASE1!M301</x:f>
        <x:v>0</x:v>
      </x:c>
      <x:c r="G301" s="268" t="n">
        <x:f>FASE1!L301</x:f>
        <x:v>0</x:v>
      </x:c>
      <x:c r="H301" s="268" t="n">
        <x:f>FASE1!R301</x:f>
        <x:v>0</x:v>
      </x:c>
      <x:c r="I301" s="268" t="n">
        <x:f>FASE1!U301</x:f>
        <x:v>0</x:v>
      </x:c>
      <x:c r="J301" s="268" t="n">
        <x:f>FASE1!U301</x:f>
        <x:v>0</x:v>
      </x:c>
      <x:c r="K301" s="268" t="n">
        <x:f>FASE1!P301</x:f>
        <x:v>0</x:v>
      </x:c>
      <x:c r="L301" s="268" t="n">
        <x:f>FASE1!V301</x:f>
        <x:v>0</x:v>
      </x:c>
      <x:c r="M301" s="268" t="n">
        <x:f>AVERAGE(FASE2!F301:G301)</x:f>
        <x:v>0</x:v>
      </x:c>
      <x:c r="N301" s="268" t="n">
        <x:f>AVERAGE(FASE2!O301:P301,FASE2!S301)</x:f>
        <x:v>0</x:v>
      </x:c>
      <x:c r="O301" s="268" t="n">
        <x:f>FASE4!K301</x:f>
        <x:v>0</x:v>
      </x:c>
      <x:c r="P301" s="268" t="n">
        <x:f>FASE2!N301</x:f>
        <x:v>0</x:v>
      </x:c>
      <x:c r="Q301" s="268" t="n">
        <x:f>FASE3!P301</x:f>
        <x:v>0</x:v>
      </x:c>
      <x:c r="R301" s="268" t="n">
        <x:f>FASE3!N301</x:f>
        <x:v>0</x:v>
      </x:c>
      <x:c r="S301" s="268" t="n">
        <x:f>AVERAGE(FASE3!Q301,FASE3!R301,FASE3!T301,FASE3!S301)</x:f>
        <x:v>0</x:v>
      </x:c>
      <x:c r="T301" s="268" t="n">
        <x:f>AVERAGE(FASE3!U301,FASE3!V301,FASE3!W301)</x:f>
        <x:v>0</x:v>
      </x:c>
      <x:c r="U301" s="268" t="n">
        <x:f>FASE3!Y301</x:f>
        <x:v>0</x:v>
      </x:c>
      <x:c r="V301" s="268" t="n">
        <x:f>FASE3!X301</x:f>
        <x:v>0</x:v>
      </x:c>
      <x:c r="W301" s="268" t="n">
        <x:f>FASE4!M301</x:f>
        <x:v>0</x:v>
      </x:c>
      <x:c r="X301" s="268">
        <x:f t="shared" si="4"/>
        <x:v>0</x:v>
      </x:c>
      <x:c r="Y301" s="2"/>
    </x:row>
    <x:row r="302" ht="15.75">
      <x:c r="B302">
        <x:v>8</x:v>
      </x:c>
      <x:c r="C302" t="s">
        <x:v>116</x:v>
      </x:c>
      <x:c r="D302" s="243">
        <x:v>820</x:v>
      </x:c>
      <x:c r="E302" s="268" t="n">
        <x:f>FASE1!G302</x:f>
        <x:v>0</x:v>
      </x:c>
      <x:c r="F302" s="268" t="n">
        <x:f>FASE1!M302</x:f>
        <x:v>0</x:v>
      </x:c>
      <x:c r="G302" s="268" t="n">
        <x:f>FASE1!L302</x:f>
        <x:v>0</x:v>
      </x:c>
      <x:c r="H302" s="268" t="n">
        <x:f>FASE1!R302</x:f>
        <x:v>0</x:v>
      </x:c>
      <x:c r="I302" s="268" t="n">
        <x:f>FASE1!U302</x:f>
        <x:v>0</x:v>
      </x:c>
      <x:c r="J302" s="268" t="n">
        <x:f>FASE1!U302</x:f>
        <x:v>0</x:v>
      </x:c>
      <x:c r="K302" s="268" t="n">
        <x:f>FASE1!P302</x:f>
        <x:v>0</x:v>
      </x:c>
      <x:c r="L302" s="268" t="n">
        <x:f>FASE1!V302</x:f>
        <x:v>0</x:v>
      </x:c>
      <x:c r="M302" s="268" t="n">
        <x:f>AVERAGE(FASE2!F302:G302)</x:f>
        <x:v>0</x:v>
      </x:c>
      <x:c r="N302" s="268" t="n">
        <x:f>AVERAGE(FASE2!O302:P302,FASE2!S302)</x:f>
        <x:v>0</x:v>
      </x:c>
      <x:c r="O302" s="268" t="n">
        <x:f>FASE4!K302</x:f>
        <x:v>0</x:v>
      </x:c>
      <x:c r="P302" s="268" t="n">
        <x:f>FASE2!N302</x:f>
        <x:v>0</x:v>
      </x:c>
      <x:c r="Q302" s="268" t="n">
        <x:f>FASE3!P302</x:f>
        <x:v>0</x:v>
      </x:c>
      <x:c r="R302" s="268" t="n">
        <x:f>FASE3!N302</x:f>
        <x:v>0</x:v>
      </x:c>
      <x:c r="S302" s="268" t="n">
        <x:f>AVERAGE(FASE3!Q302,FASE3!R302,FASE3!T302,FASE3!S302)</x:f>
        <x:v>0</x:v>
      </x:c>
      <x:c r="T302" s="268" t="n">
        <x:f>AVERAGE(FASE3!U302,FASE3!V302,FASE3!W302)</x:f>
        <x:v>0</x:v>
      </x:c>
      <x:c r="U302" s="268" t="n">
        <x:f>FASE3!Y302</x:f>
        <x:v>0</x:v>
      </x:c>
      <x:c r="V302" s="268" t="n">
        <x:f>FASE3!X302</x:f>
        <x:v>0</x:v>
      </x:c>
      <x:c r="W302" s="268" t="n">
        <x:f>FASE4!M302</x:f>
        <x:v>0</x:v>
      </x:c>
      <x:c r="X302" s="268">
        <x:f t="shared" si="4"/>
        <x:v>0</x:v>
      </x:c>
      <x:c r="Y302" s="2"/>
    </x:row>
    <x:row r="303" ht="15.75">
      <x:c r="B303">
        <x:v>8</x:v>
      </x:c>
      <x:c r="C303" t="s">
        <x:v>116</x:v>
      </x:c>
      <x:c r="D303" s="243">
        <x:v>821</x:v>
      </x:c>
      <x:c r="E303" s="268" t="n">
        <x:f>FASE1!G303</x:f>
        <x:v>0</x:v>
      </x:c>
      <x:c r="F303" s="268" t="n">
        <x:f>FASE1!M303</x:f>
        <x:v>0</x:v>
      </x:c>
      <x:c r="G303" s="268" t="n">
        <x:f>FASE1!L303</x:f>
        <x:v>0</x:v>
      </x:c>
      <x:c r="H303" s="268" t="n">
        <x:f>FASE1!R303</x:f>
        <x:v>0</x:v>
      </x:c>
      <x:c r="I303" s="268" t="n">
        <x:f>FASE1!U303</x:f>
        <x:v>0</x:v>
      </x:c>
      <x:c r="J303" s="268" t="n">
        <x:f>FASE1!U303</x:f>
        <x:v>0</x:v>
      </x:c>
      <x:c r="K303" s="268" t="n">
        <x:f>FASE1!P303</x:f>
        <x:v>0</x:v>
      </x:c>
      <x:c r="L303" s="268" t="n">
        <x:f>FASE1!V303</x:f>
        <x:v>0</x:v>
      </x:c>
      <x:c r="M303" s="268" t="n">
        <x:f>AVERAGE(FASE2!F303:G303)</x:f>
        <x:v>0</x:v>
      </x:c>
      <x:c r="N303" s="268" t="n">
        <x:f>AVERAGE(FASE2!O303:P303,FASE2!S303)</x:f>
        <x:v>0</x:v>
      </x:c>
      <x:c r="O303" s="268" t="n">
        <x:f>FASE4!K303</x:f>
        <x:v>0</x:v>
      </x:c>
      <x:c r="P303" s="268" t="n">
        <x:f>FASE2!N303</x:f>
        <x:v>0</x:v>
      </x:c>
      <x:c r="Q303" s="268" t="n">
        <x:f>FASE3!P303</x:f>
        <x:v>0</x:v>
      </x:c>
      <x:c r="R303" s="268" t="n">
        <x:f>FASE3!N303</x:f>
        <x:v>0</x:v>
      </x:c>
      <x:c r="S303" s="268" t="n">
        <x:f>AVERAGE(FASE3!Q303,FASE3!R303,FASE3!T303,FASE3!S303)</x:f>
        <x:v>0</x:v>
      </x:c>
      <x:c r="T303" s="268" t="n">
        <x:f>AVERAGE(FASE3!U303,FASE3!V303,FASE3!W303)</x:f>
        <x:v>0</x:v>
      </x:c>
      <x:c r="U303" s="268" t="n">
        <x:f>FASE3!Y303</x:f>
        <x:v>0</x:v>
      </x:c>
      <x:c r="V303" s="268" t="n">
        <x:f>FASE3!X303</x:f>
        <x:v>0</x:v>
      </x:c>
      <x:c r="W303" s="268" t="n">
        <x:f>FASE4!M303</x:f>
        <x:v>0</x:v>
      </x:c>
      <x:c r="X303" s="268">
        <x:f t="shared" si="4"/>
        <x:v>0</x:v>
      </x:c>
      <x:c r="Y303" s="2"/>
    </x:row>
    <x:row r="304" ht="15.75">
      <x:c r="B304">
        <x:v>8</x:v>
      </x:c>
      <x:c r="C304" t="s">
        <x:v>116</x:v>
      </x:c>
      <x:c r="D304" s="243">
        <x:v>822</x:v>
      </x:c>
      <x:c r="E304" s="268" t="n">
        <x:f>FASE1!G304</x:f>
        <x:v>0</x:v>
      </x:c>
      <x:c r="F304" s="268" t="n">
        <x:f>FASE1!M304</x:f>
        <x:v>0</x:v>
      </x:c>
      <x:c r="G304" s="268" t="n">
        <x:f>FASE1!L304</x:f>
        <x:v>0</x:v>
      </x:c>
      <x:c r="H304" s="268" t="n">
        <x:f>FASE1!R304</x:f>
        <x:v>0</x:v>
      </x:c>
      <x:c r="I304" s="268" t="n">
        <x:f>FASE1!U304</x:f>
        <x:v>0</x:v>
      </x:c>
      <x:c r="J304" s="268" t="n">
        <x:f>FASE1!U304</x:f>
        <x:v>0</x:v>
      </x:c>
      <x:c r="K304" s="268" t="n">
        <x:f>FASE1!P304</x:f>
        <x:v>0</x:v>
      </x:c>
      <x:c r="L304" s="268" t="n">
        <x:f>FASE1!V304</x:f>
        <x:v>0</x:v>
      </x:c>
      <x:c r="M304" s="268" t="n">
        <x:f>AVERAGE(FASE2!F304:G304)</x:f>
        <x:v>0</x:v>
      </x:c>
      <x:c r="N304" s="268" t="n">
        <x:f>AVERAGE(FASE2!O304:P304,FASE2!S304)</x:f>
        <x:v>0</x:v>
      </x:c>
      <x:c r="O304" s="268" t="n">
        <x:f>FASE4!K304</x:f>
        <x:v>0</x:v>
      </x:c>
      <x:c r="P304" s="268" t="n">
        <x:f>FASE2!N304</x:f>
        <x:v>0</x:v>
      </x:c>
      <x:c r="Q304" s="268" t="n">
        <x:f>FASE3!P304</x:f>
        <x:v>0</x:v>
      </x:c>
      <x:c r="R304" s="268" t="n">
        <x:f>FASE3!N304</x:f>
        <x:v>0</x:v>
      </x:c>
      <x:c r="S304" s="268" t="n">
        <x:f>AVERAGE(FASE3!Q304,FASE3!R304,FASE3!T304,FASE3!S304)</x:f>
        <x:v>0</x:v>
      </x:c>
      <x:c r="T304" s="268" t="n">
        <x:f>AVERAGE(FASE3!U304,FASE3!V304,FASE3!W304)</x:f>
        <x:v>0</x:v>
      </x:c>
      <x:c r="U304" s="268" t="n">
        <x:f>FASE3!Y304</x:f>
        <x:v>0</x:v>
      </x:c>
      <x:c r="V304" s="268" t="n">
        <x:f>FASE3!X304</x:f>
        <x:v>0</x:v>
      </x:c>
      <x:c r="W304" s="268" t="n">
        <x:f>FASE4!M304</x:f>
        <x:v>0</x:v>
      </x:c>
      <x:c r="X304" s="268">
        <x:f t="shared" si="4"/>
        <x:v>0</x:v>
      </x:c>
      <x:c r="Y304" s="2"/>
    </x:row>
    <x:row r="305" ht="15.75">
      <x:c r="B305">
        <x:v>8</x:v>
      </x:c>
      <x:c r="C305" t="s">
        <x:v>116</x:v>
      </x:c>
      <x:c r="D305" s="243">
        <x:v>823</x:v>
      </x:c>
      <x:c r="E305" s="268" t="n">
        <x:f>FASE1!G305</x:f>
        <x:v>0</x:v>
      </x:c>
      <x:c r="F305" s="268" t="n">
        <x:f>FASE1!M305</x:f>
        <x:v>0</x:v>
      </x:c>
      <x:c r="G305" s="268" t="n">
        <x:f>FASE1!L305</x:f>
        <x:v>0</x:v>
      </x:c>
      <x:c r="H305" s="268" t="n">
        <x:f>FASE1!R305</x:f>
        <x:v>0</x:v>
      </x:c>
      <x:c r="I305" s="268" t="n">
        <x:f>FASE1!U305</x:f>
        <x:v>0</x:v>
      </x:c>
      <x:c r="J305" s="268" t="n">
        <x:f>FASE1!U305</x:f>
        <x:v>0</x:v>
      </x:c>
      <x:c r="K305" s="268" t="n">
        <x:f>FASE1!P305</x:f>
        <x:v>0</x:v>
      </x:c>
      <x:c r="L305" s="268" t="n">
        <x:f>FASE1!V305</x:f>
        <x:v>0</x:v>
      </x:c>
      <x:c r="M305" s="268" t="n">
        <x:f>AVERAGE(FASE2!F305:G305)</x:f>
        <x:v>0</x:v>
      </x:c>
      <x:c r="N305" s="268" t="n">
        <x:f>AVERAGE(FASE2!O305:P305,FASE2!S305)</x:f>
        <x:v>0</x:v>
      </x:c>
      <x:c r="O305" s="268" t="n">
        <x:f>FASE4!K305</x:f>
        <x:v>0</x:v>
      </x:c>
      <x:c r="P305" s="268" t="n">
        <x:f>FASE2!N305</x:f>
        <x:v>0</x:v>
      </x:c>
      <x:c r="Q305" s="268" t="n">
        <x:f>FASE3!P305</x:f>
        <x:v>0</x:v>
      </x:c>
      <x:c r="R305" s="268" t="n">
        <x:f>FASE3!N305</x:f>
        <x:v>0</x:v>
      </x:c>
      <x:c r="S305" s="268" t="n">
        <x:f>AVERAGE(FASE3!Q305,FASE3!R305,FASE3!T305,FASE3!S305)</x:f>
        <x:v>0</x:v>
      </x:c>
      <x:c r="T305" s="268" t="n">
        <x:f>AVERAGE(FASE3!U305,FASE3!V305,FASE3!W305)</x:f>
        <x:v>0</x:v>
      </x:c>
      <x:c r="U305" s="268" t="n">
        <x:f>FASE3!Y305</x:f>
        <x:v>0</x:v>
      </x:c>
      <x:c r="V305" s="268" t="n">
        <x:f>FASE3!X305</x:f>
        <x:v>0</x:v>
      </x:c>
      <x:c r="W305" s="268" t="n">
        <x:f>FASE4!M305</x:f>
        <x:v>0</x:v>
      </x:c>
      <x:c r="X305" s="268">
        <x:f t="shared" si="4"/>
        <x:v>0</x:v>
      </x:c>
      <x:c r="Y305" s="2"/>
    </x:row>
    <x:row r="306" ht="15.75">
      <x:c r="B306">
        <x:v>8</x:v>
      </x:c>
      <x:c r="C306" t="s">
        <x:v>115</x:v>
      </x:c>
      <x:c r="D306" s="243">
        <x:v>801</x:v>
      </x:c>
      <x:c r="E306" s="268" t="n">
        <x:f>FASE1!G306</x:f>
        <x:v>0</x:v>
      </x:c>
      <x:c r="F306" s="268" t="n">
        <x:f>FASE1!M306</x:f>
        <x:v>0</x:v>
      </x:c>
      <x:c r="G306" s="268" t="n">
        <x:f>FASE1!L306</x:f>
        <x:v>0</x:v>
      </x:c>
      <x:c r="H306" s="268" t="n">
        <x:f>FASE1!R306</x:f>
        <x:v>0</x:v>
      </x:c>
      <x:c r="I306" s="268" t="n">
        <x:f>FASE1!U306</x:f>
        <x:v>0</x:v>
      </x:c>
      <x:c r="J306" s="268" t="n">
        <x:f>FASE1!U306</x:f>
        <x:v>0</x:v>
      </x:c>
      <x:c r="K306" s="268" t="n">
        <x:f>FASE1!P306</x:f>
        <x:v>0</x:v>
      </x:c>
      <x:c r="L306" s="268" t="n">
        <x:f>FASE1!V306</x:f>
        <x:v>0</x:v>
      </x:c>
      <x:c r="M306" s="268" t="n">
        <x:f>AVERAGE(FASE2!F306:G306)</x:f>
        <x:v>0</x:v>
      </x:c>
      <x:c r="N306" s="268" t="n">
        <x:f>AVERAGE(FASE2!O306:P306,FASE2!S306)</x:f>
        <x:v>0</x:v>
      </x:c>
      <x:c r="O306" s="268" t="n">
        <x:f>FASE4!K306</x:f>
        <x:v>0</x:v>
      </x:c>
      <x:c r="P306" s="268" t="n">
        <x:f>FASE2!N306</x:f>
        <x:v>0</x:v>
      </x:c>
      <x:c r="Q306" s="268" t="n">
        <x:f>FASE3!P306</x:f>
        <x:v>0</x:v>
      </x:c>
      <x:c r="R306" s="268" t="n">
        <x:f>FASE3!N306</x:f>
        <x:v>0</x:v>
      </x:c>
      <x:c r="S306" s="268" t="n">
        <x:f>AVERAGE(FASE3!Q306,FASE3!R306,FASE3!T306,FASE3!S306)</x:f>
        <x:v>0</x:v>
      </x:c>
      <x:c r="T306" s="268" t="n">
        <x:f>AVERAGE(FASE3!U306,FASE3!V306,FASE3!W306)</x:f>
        <x:v>0</x:v>
      </x:c>
      <x:c r="U306" s="268" t="n">
        <x:f>FASE3!Y306</x:f>
        <x:v>0</x:v>
      </x:c>
      <x:c r="V306" s="268" t="n">
        <x:f>FASE3!X306</x:f>
        <x:v>0</x:v>
      </x:c>
      <x:c r="W306" s="268" t="n">
        <x:f>FASE4!M306</x:f>
        <x:v>0</x:v>
      </x:c>
      <x:c r="X306" s="268">
        <x:f t="shared" si="4"/>
        <x:v>0</x:v>
      </x:c>
      <x:c r="Y306" s="2"/>
    </x:row>
    <x:row r="307" ht="15.75">
      <x:c r="B307">
        <x:v>8</x:v>
      </x:c>
      <x:c r="C307" t="s">
        <x:v>115</x:v>
      </x:c>
      <x:c r="D307" s="243">
        <x:v>802</x:v>
      </x:c>
      <x:c r="E307" s="268" t="n">
        <x:f>FASE1!G307</x:f>
        <x:v>0</x:v>
      </x:c>
      <x:c r="F307" s="268" t="n">
        <x:f>FASE1!M307</x:f>
        <x:v>0</x:v>
      </x:c>
      <x:c r="G307" s="268" t="n">
        <x:f>FASE1!L307</x:f>
        <x:v>0</x:v>
      </x:c>
      <x:c r="H307" s="268" t="n">
        <x:f>FASE1!R307</x:f>
        <x:v>0</x:v>
      </x:c>
      <x:c r="I307" s="268" t="n">
        <x:f>FASE1!U307</x:f>
        <x:v>0</x:v>
      </x:c>
      <x:c r="J307" s="268" t="n">
        <x:f>FASE1!U307</x:f>
        <x:v>0</x:v>
      </x:c>
      <x:c r="K307" s="268" t="n">
        <x:f>FASE1!P307</x:f>
        <x:v>0</x:v>
      </x:c>
      <x:c r="L307" s="268" t="n">
        <x:f>FASE1!V307</x:f>
        <x:v>0</x:v>
      </x:c>
      <x:c r="M307" s="268" t="n">
        <x:f>AVERAGE(FASE2!F307:G307)</x:f>
        <x:v>0</x:v>
      </x:c>
      <x:c r="N307" s="268" t="n">
        <x:f>AVERAGE(FASE2!O307:P307,FASE2!S307)</x:f>
        <x:v>0</x:v>
      </x:c>
      <x:c r="O307" s="268" t="n">
        <x:f>FASE4!K307</x:f>
        <x:v>0</x:v>
      </x:c>
      <x:c r="P307" s="268" t="n">
        <x:f>FASE2!N307</x:f>
        <x:v>0</x:v>
      </x:c>
      <x:c r="Q307" s="268" t="n">
        <x:f>FASE3!P307</x:f>
        <x:v>0</x:v>
      </x:c>
      <x:c r="R307" s="268" t="n">
        <x:f>FASE3!N307</x:f>
        <x:v>0</x:v>
      </x:c>
      <x:c r="S307" s="268" t="n">
        <x:f>AVERAGE(FASE3!Q307,FASE3!R307,FASE3!T307,FASE3!S307)</x:f>
        <x:v>0</x:v>
      </x:c>
      <x:c r="T307" s="268" t="n">
        <x:f>AVERAGE(FASE3!U307,FASE3!V307,FASE3!W307)</x:f>
        <x:v>0</x:v>
      </x:c>
      <x:c r="U307" s="268" t="n">
        <x:f>FASE3!Y307</x:f>
        <x:v>0</x:v>
      </x:c>
      <x:c r="V307" s="268" t="n">
        <x:f>FASE3!X307</x:f>
        <x:v>0</x:v>
      </x:c>
      <x:c r="W307" s="268" t="n">
        <x:f>FASE4!M307</x:f>
        <x:v>0</x:v>
      </x:c>
      <x:c r="X307" s="268">
        <x:f t="shared" si="4"/>
        <x:v>0</x:v>
      </x:c>
      <x:c r="Y307" s="2"/>
    </x:row>
    <x:row r="308" ht="15.75">
      <x:c r="B308">
        <x:v>8</x:v>
      </x:c>
      <x:c r="C308" t="s">
        <x:v>115</x:v>
      </x:c>
      <x:c r="D308" s="243">
        <x:v>803</x:v>
      </x:c>
      <x:c r="E308" s="268" t="n">
        <x:f>FASE1!G308</x:f>
        <x:v>0</x:v>
      </x:c>
      <x:c r="F308" s="268" t="n">
        <x:f>FASE1!M308</x:f>
        <x:v>0</x:v>
      </x:c>
      <x:c r="G308" s="268" t="n">
        <x:f>FASE1!L308</x:f>
        <x:v>0</x:v>
      </x:c>
      <x:c r="H308" s="268" t="n">
        <x:f>FASE1!R308</x:f>
        <x:v>0</x:v>
      </x:c>
      <x:c r="I308" s="268" t="n">
        <x:f>FASE1!U308</x:f>
        <x:v>0</x:v>
      </x:c>
      <x:c r="J308" s="268" t="n">
        <x:f>FASE1!U308</x:f>
        <x:v>0</x:v>
      </x:c>
      <x:c r="K308" s="268" t="n">
        <x:f>FASE1!P308</x:f>
        <x:v>0</x:v>
      </x:c>
      <x:c r="L308" s="268" t="n">
        <x:f>FASE1!V308</x:f>
        <x:v>0</x:v>
      </x:c>
      <x:c r="M308" s="268" t="n">
        <x:f>AVERAGE(FASE2!F308:G308)</x:f>
        <x:v>0</x:v>
      </x:c>
      <x:c r="N308" s="268" t="n">
        <x:f>AVERAGE(FASE2!O308:P308,FASE2!S308)</x:f>
        <x:v>0</x:v>
      </x:c>
      <x:c r="O308" s="268" t="n">
        <x:f>FASE4!K308</x:f>
        <x:v>0</x:v>
      </x:c>
      <x:c r="P308" s="268" t="n">
        <x:f>FASE2!N308</x:f>
        <x:v>0</x:v>
      </x:c>
      <x:c r="Q308" s="268" t="n">
        <x:f>FASE3!P308</x:f>
        <x:v>0</x:v>
      </x:c>
      <x:c r="R308" s="268" t="n">
        <x:f>FASE3!N308</x:f>
        <x:v>0</x:v>
      </x:c>
      <x:c r="S308" s="268" t="n">
        <x:f>AVERAGE(FASE3!Q308,FASE3!R308,FASE3!T308,FASE3!S308)</x:f>
        <x:v>0</x:v>
      </x:c>
      <x:c r="T308" s="268" t="n">
        <x:f>AVERAGE(FASE3!U308,FASE3!V308,FASE3!W308)</x:f>
        <x:v>0</x:v>
      </x:c>
      <x:c r="U308" s="268" t="n">
        <x:f>FASE3!Y308</x:f>
        <x:v>0</x:v>
      </x:c>
      <x:c r="V308" s="268" t="n">
        <x:f>FASE3!X308</x:f>
        <x:v>0</x:v>
      </x:c>
      <x:c r="W308" s="268" t="n">
        <x:f>FASE4!M308</x:f>
        <x:v>0</x:v>
      </x:c>
      <x:c r="X308" s="268">
        <x:f t="shared" si="4"/>
        <x:v>0</x:v>
      </x:c>
      <x:c r="Y308" s="2"/>
    </x:row>
    <x:row r="309" ht="15.75">
      <x:c r="B309">
        <x:v>8</x:v>
      </x:c>
      <x:c r="C309" t="s">
        <x:v>115</x:v>
      </x:c>
      <x:c r="D309" s="243">
        <x:v>804</x:v>
      </x:c>
      <x:c r="E309" s="268" t="n">
        <x:f>FASE1!G309</x:f>
        <x:v>0</x:v>
      </x:c>
      <x:c r="F309" s="268" t="n">
        <x:f>FASE1!M309</x:f>
        <x:v>0</x:v>
      </x:c>
      <x:c r="G309" s="268" t="n">
        <x:f>FASE1!L309</x:f>
        <x:v>0</x:v>
      </x:c>
      <x:c r="H309" s="268" t="n">
        <x:f>FASE1!R309</x:f>
        <x:v>0</x:v>
      </x:c>
      <x:c r="I309" s="268" t="n">
        <x:f>FASE1!U309</x:f>
        <x:v>0</x:v>
      </x:c>
      <x:c r="J309" s="268" t="n">
        <x:f>FASE1!U309</x:f>
        <x:v>0</x:v>
      </x:c>
      <x:c r="K309" s="268" t="n">
        <x:f>FASE1!P309</x:f>
        <x:v>0</x:v>
      </x:c>
      <x:c r="L309" s="268" t="n">
        <x:f>FASE1!V309</x:f>
        <x:v>0</x:v>
      </x:c>
      <x:c r="M309" s="268" t="n">
        <x:f>AVERAGE(FASE2!F309:G309)</x:f>
        <x:v>0</x:v>
      </x:c>
      <x:c r="N309" s="268" t="n">
        <x:f>AVERAGE(FASE2!O309:P309,FASE2!S309)</x:f>
        <x:v>0</x:v>
      </x:c>
      <x:c r="O309" s="268" t="n">
        <x:f>FASE4!K309</x:f>
        <x:v>0</x:v>
      </x:c>
      <x:c r="P309" s="268" t="n">
        <x:f>FASE2!N309</x:f>
        <x:v>0</x:v>
      </x:c>
      <x:c r="Q309" s="268" t="n">
        <x:f>FASE3!P309</x:f>
        <x:v>0</x:v>
      </x:c>
      <x:c r="R309" s="268" t="n">
        <x:f>FASE3!N309</x:f>
        <x:v>0</x:v>
      </x:c>
      <x:c r="S309" s="268" t="n">
        <x:f>AVERAGE(FASE3!Q309,FASE3!R309,FASE3!T309,FASE3!S309)</x:f>
        <x:v>0</x:v>
      </x:c>
      <x:c r="T309" s="268" t="n">
        <x:f>AVERAGE(FASE3!U309,FASE3!V309,FASE3!W309)</x:f>
        <x:v>0</x:v>
      </x:c>
      <x:c r="U309" s="268" t="n">
        <x:f>FASE3!Y309</x:f>
        <x:v>0</x:v>
      </x:c>
      <x:c r="V309" s="268" t="n">
        <x:f>FASE3!X309</x:f>
        <x:v>0</x:v>
      </x:c>
      <x:c r="W309" s="268" t="n">
        <x:f>FASE4!M309</x:f>
        <x:v>0</x:v>
      </x:c>
      <x:c r="X309" s="268">
        <x:f t="shared" si="4"/>
        <x:v>0</x:v>
      </x:c>
      <x:c r="Y309" s="2"/>
    </x:row>
    <x:row r="310" ht="15.75">
      <x:c r="B310">
        <x:v>8</x:v>
      </x:c>
      <x:c r="C310" t="s">
        <x:v>115</x:v>
      </x:c>
      <x:c r="D310" s="243">
        <x:v>805</x:v>
      </x:c>
      <x:c r="E310" s="268" t="n">
        <x:f>FASE1!G310</x:f>
        <x:v>0</x:v>
      </x:c>
      <x:c r="F310" s="268" t="n">
        <x:f>FASE1!M310</x:f>
        <x:v>0</x:v>
      </x:c>
      <x:c r="G310" s="268" t="n">
        <x:f>FASE1!L310</x:f>
        <x:v>0</x:v>
      </x:c>
      <x:c r="H310" s="268" t="n">
        <x:f>FASE1!R310</x:f>
        <x:v>0</x:v>
      </x:c>
      <x:c r="I310" s="268" t="n">
        <x:f>FASE1!U310</x:f>
        <x:v>0</x:v>
      </x:c>
      <x:c r="J310" s="268" t="n">
        <x:f>FASE1!U310</x:f>
        <x:v>0</x:v>
      </x:c>
      <x:c r="K310" s="268" t="n">
        <x:f>FASE1!P310</x:f>
        <x:v>0</x:v>
      </x:c>
      <x:c r="L310" s="268" t="n">
        <x:f>FASE1!V310</x:f>
        <x:v>0</x:v>
      </x:c>
      <x:c r="M310" s="268" t="n">
        <x:f>AVERAGE(FASE2!F310:G310)</x:f>
        <x:v>0</x:v>
      </x:c>
      <x:c r="N310" s="268" t="n">
        <x:f>AVERAGE(FASE2!O310:P310,FASE2!S310)</x:f>
        <x:v>0</x:v>
      </x:c>
      <x:c r="O310" s="268" t="n">
        <x:f>FASE4!K310</x:f>
        <x:v>0</x:v>
      </x:c>
      <x:c r="P310" s="268" t="n">
        <x:f>FASE2!N310</x:f>
        <x:v>0</x:v>
      </x:c>
      <x:c r="Q310" s="268" t="n">
        <x:f>FASE3!P310</x:f>
        <x:v>0</x:v>
      </x:c>
      <x:c r="R310" s="268" t="n">
        <x:f>FASE3!N310</x:f>
        <x:v>0</x:v>
      </x:c>
      <x:c r="S310" s="268" t="n">
        <x:f>AVERAGE(FASE3!Q310,FASE3!R310,FASE3!T310,FASE3!S310)</x:f>
        <x:v>0</x:v>
      </x:c>
      <x:c r="T310" s="268" t="n">
        <x:f>AVERAGE(FASE3!U310,FASE3!V310,FASE3!W310)</x:f>
        <x:v>0</x:v>
      </x:c>
      <x:c r="U310" s="268" t="n">
        <x:f>FASE3!Y310</x:f>
        <x:v>0</x:v>
      </x:c>
      <x:c r="V310" s="268" t="n">
        <x:f>FASE3!X310</x:f>
        <x:v>0</x:v>
      </x:c>
      <x:c r="W310" s="268" t="n">
        <x:f>FASE4!M310</x:f>
        <x:v>0</x:v>
      </x:c>
      <x:c r="X310" s="268">
        <x:f t="shared" si="4"/>
        <x:v>0</x:v>
      </x:c>
      <x:c r="Y310" s="2"/>
    </x:row>
    <x:row r="311" ht="15.75">
      <x:c r="B311">
        <x:v>8</x:v>
      </x:c>
      <x:c r="C311" t="s">
        <x:v>115</x:v>
      </x:c>
      <x:c r="D311" s="243">
        <x:v>806</x:v>
      </x:c>
      <x:c r="E311" s="268" t="n">
        <x:f>FASE1!G311</x:f>
        <x:v>0</x:v>
      </x:c>
      <x:c r="F311" s="268" t="n">
        <x:f>FASE1!M311</x:f>
        <x:v>0</x:v>
      </x:c>
      <x:c r="G311" s="268" t="n">
        <x:f>FASE1!L311</x:f>
        <x:v>0</x:v>
      </x:c>
      <x:c r="H311" s="268" t="n">
        <x:f>FASE1!R311</x:f>
        <x:v>0</x:v>
      </x:c>
      <x:c r="I311" s="268" t="n">
        <x:f>FASE1!U311</x:f>
        <x:v>0</x:v>
      </x:c>
      <x:c r="J311" s="268" t="n">
        <x:f>FASE1!U311</x:f>
        <x:v>0</x:v>
      </x:c>
      <x:c r="K311" s="268" t="n">
        <x:f>FASE1!P311</x:f>
        <x:v>0</x:v>
      </x:c>
      <x:c r="L311" s="268" t="n">
        <x:f>FASE1!V311</x:f>
        <x:v>0</x:v>
      </x:c>
      <x:c r="M311" s="268" t="n">
        <x:f>AVERAGE(FASE2!F311:G311)</x:f>
        <x:v>0</x:v>
      </x:c>
      <x:c r="N311" s="268" t="n">
        <x:f>AVERAGE(FASE2!O311:P311,FASE2!S311)</x:f>
        <x:v>0</x:v>
      </x:c>
      <x:c r="O311" s="268" t="n">
        <x:f>FASE4!K311</x:f>
        <x:v>0</x:v>
      </x:c>
      <x:c r="P311" s="268" t="n">
        <x:f>FASE2!N311</x:f>
        <x:v>0</x:v>
      </x:c>
      <x:c r="Q311" s="268" t="n">
        <x:f>FASE3!P311</x:f>
        <x:v>0</x:v>
      </x:c>
      <x:c r="R311" s="268" t="n">
        <x:f>FASE3!N311</x:f>
        <x:v>0</x:v>
      </x:c>
      <x:c r="S311" s="268" t="n">
        <x:f>AVERAGE(FASE3!Q311,FASE3!R311,FASE3!T311,FASE3!S311)</x:f>
        <x:v>0</x:v>
      </x:c>
      <x:c r="T311" s="268" t="n">
        <x:f>AVERAGE(FASE3!U311,FASE3!V311,FASE3!W311)</x:f>
        <x:v>0</x:v>
      </x:c>
      <x:c r="U311" s="268" t="n">
        <x:f>FASE3!Y311</x:f>
        <x:v>0</x:v>
      </x:c>
      <x:c r="V311" s="268" t="n">
        <x:f>FASE3!X311</x:f>
        <x:v>0</x:v>
      </x:c>
      <x:c r="W311" s="268" t="n">
        <x:f>FASE4!M311</x:f>
        <x:v>0</x:v>
      </x:c>
      <x:c r="X311" s="268">
        <x:f t="shared" si="4"/>
        <x:v>0</x:v>
      </x:c>
      <x:c r="Y311" s="2"/>
    </x:row>
    <x:row r="312" ht="15.75">
      <x:c r="B312">
        <x:v>8</x:v>
      </x:c>
      <x:c r="C312" t="s">
        <x:v>115</x:v>
      </x:c>
      <x:c r="D312" s="243">
        <x:v>807</x:v>
      </x:c>
      <x:c r="E312" s="268" t="n">
        <x:f>FASE1!G312</x:f>
        <x:v>0</x:v>
      </x:c>
      <x:c r="F312" s="268" t="n">
        <x:f>FASE1!M312</x:f>
        <x:v>0</x:v>
      </x:c>
      <x:c r="G312" s="268" t="n">
        <x:f>FASE1!L312</x:f>
        <x:v>0</x:v>
      </x:c>
      <x:c r="H312" s="268" t="n">
        <x:f>FASE1!R312</x:f>
        <x:v>0</x:v>
      </x:c>
      <x:c r="I312" s="268" t="n">
        <x:f>FASE1!U312</x:f>
        <x:v>0</x:v>
      </x:c>
      <x:c r="J312" s="268" t="n">
        <x:f>FASE1!U312</x:f>
        <x:v>0</x:v>
      </x:c>
      <x:c r="K312" s="268" t="n">
        <x:f>FASE1!P312</x:f>
        <x:v>0</x:v>
      </x:c>
      <x:c r="L312" s="268" t="n">
        <x:f>FASE1!V312</x:f>
        <x:v>0</x:v>
      </x:c>
      <x:c r="M312" s="268" t="n">
        <x:f>AVERAGE(FASE2!F312:G312)</x:f>
        <x:v>0</x:v>
      </x:c>
      <x:c r="N312" s="268" t="n">
        <x:f>AVERAGE(FASE2!O312:P312,FASE2!S312)</x:f>
        <x:v>0</x:v>
      </x:c>
      <x:c r="O312" s="268" t="n">
        <x:f>FASE4!K312</x:f>
        <x:v>0</x:v>
      </x:c>
      <x:c r="P312" s="268" t="n">
        <x:f>FASE2!N312</x:f>
        <x:v>0</x:v>
      </x:c>
      <x:c r="Q312" s="268" t="n">
        <x:f>FASE3!P312</x:f>
        <x:v>0</x:v>
      </x:c>
      <x:c r="R312" s="268" t="n">
        <x:f>FASE3!N312</x:f>
        <x:v>0</x:v>
      </x:c>
      <x:c r="S312" s="268" t="n">
        <x:f>AVERAGE(FASE3!Q312,FASE3!R312,FASE3!T312,FASE3!S312)</x:f>
        <x:v>0</x:v>
      </x:c>
      <x:c r="T312" s="268" t="n">
        <x:f>AVERAGE(FASE3!U312,FASE3!V312,FASE3!W312)</x:f>
        <x:v>0</x:v>
      </x:c>
      <x:c r="U312" s="268" t="n">
        <x:f>FASE3!Y312</x:f>
        <x:v>0</x:v>
      </x:c>
      <x:c r="V312" s="268" t="n">
        <x:f>FASE3!X312</x:f>
        <x:v>0</x:v>
      </x:c>
      <x:c r="W312" s="268" t="n">
        <x:f>FASE4!M312</x:f>
        <x:v>0</x:v>
      </x:c>
      <x:c r="X312" s="268">
        <x:f t="shared" si="4"/>
        <x:v>0</x:v>
      </x:c>
      <x:c r="Y312" s="2"/>
    </x:row>
    <x:row r="313" ht="15.75">
      <x:c r="B313">
        <x:v>8</x:v>
      </x:c>
      <x:c r="C313" t="s">
        <x:v>115</x:v>
      </x:c>
      <x:c r="D313" s="243">
        <x:v>808</x:v>
      </x:c>
      <x:c r="E313" s="268" t="n">
        <x:f>FASE1!G313</x:f>
        <x:v>0</x:v>
      </x:c>
      <x:c r="F313" s="268" t="n">
        <x:f>FASE1!M313</x:f>
        <x:v>0</x:v>
      </x:c>
      <x:c r="G313" s="268" t="n">
        <x:f>FASE1!L313</x:f>
        <x:v>0</x:v>
      </x:c>
      <x:c r="H313" s="268" t="n">
        <x:f>FASE1!R313</x:f>
        <x:v>0</x:v>
      </x:c>
      <x:c r="I313" s="268" t="n">
        <x:f>FASE1!U313</x:f>
        <x:v>0</x:v>
      </x:c>
      <x:c r="J313" s="268" t="n">
        <x:f>FASE1!U313</x:f>
        <x:v>0</x:v>
      </x:c>
      <x:c r="K313" s="268" t="n">
        <x:f>FASE1!P313</x:f>
        <x:v>0</x:v>
      </x:c>
      <x:c r="L313" s="268" t="n">
        <x:f>FASE1!V313</x:f>
        <x:v>0</x:v>
      </x:c>
      <x:c r="M313" s="268" t="n">
        <x:f>AVERAGE(FASE2!F313:G313)</x:f>
        <x:v>0</x:v>
      </x:c>
      <x:c r="N313" s="268" t="n">
        <x:f>AVERAGE(FASE2!O313:P313,FASE2!S313)</x:f>
        <x:v>0</x:v>
      </x:c>
      <x:c r="O313" s="268" t="n">
        <x:f>FASE4!K313</x:f>
        <x:v>0</x:v>
      </x:c>
      <x:c r="P313" s="268" t="n">
        <x:f>FASE2!N313</x:f>
        <x:v>0</x:v>
      </x:c>
      <x:c r="Q313" s="268" t="n">
        <x:f>FASE3!P313</x:f>
        <x:v>0</x:v>
      </x:c>
      <x:c r="R313" s="268" t="n">
        <x:f>FASE3!N313</x:f>
        <x:v>0</x:v>
      </x:c>
      <x:c r="S313" s="268" t="n">
        <x:f>AVERAGE(FASE3!Q313,FASE3!R313,FASE3!T313,FASE3!S313)</x:f>
        <x:v>0</x:v>
      </x:c>
      <x:c r="T313" s="268" t="n">
        <x:f>AVERAGE(FASE3!U313,FASE3!V313,FASE3!W313)</x:f>
        <x:v>0</x:v>
      </x:c>
      <x:c r="U313" s="268" t="n">
        <x:f>FASE3!Y313</x:f>
        <x:v>0</x:v>
      </x:c>
      <x:c r="V313" s="268" t="n">
        <x:f>FASE3!X313</x:f>
        <x:v>0</x:v>
      </x:c>
      <x:c r="W313" s="268" t="n">
        <x:f>FASE4!M313</x:f>
        <x:v>0</x:v>
      </x:c>
      <x:c r="X313" s="268">
        <x:f t="shared" si="4"/>
        <x:v>0</x:v>
      </x:c>
      <x:c r="Y313" s="2"/>
    </x:row>
    <x:row r="314" ht="15.75">
      <x:c r="B314">
        <x:v>8</x:v>
      </x:c>
      <x:c r="C314" t="s">
        <x:v>115</x:v>
      </x:c>
      <x:c r="D314" s="243">
        <x:v>809</x:v>
      </x:c>
      <x:c r="E314" s="268" t="n">
        <x:f>FASE1!G314</x:f>
        <x:v>0</x:v>
      </x:c>
      <x:c r="F314" s="268" t="n">
        <x:f>FASE1!M314</x:f>
        <x:v>0</x:v>
      </x:c>
      <x:c r="G314" s="268" t="n">
        <x:f>FASE1!L314</x:f>
        <x:v>0</x:v>
      </x:c>
      <x:c r="H314" s="268" t="n">
        <x:f>FASE1!R314</x:f>
        <x:v>0</x:v>
      </x:c>
      <x:c r="I314" s="268" t="n">
        <x:f>FASE1!U314</x:f>
        <x:v>0</x:v>
      </x:c>
      <x:c r="J314" s="268" t="n">
        <x:f>FASE1!U314</x:f>
        <x:v>0</x:v>
      </x:c>
      <x:c r="K314" s="268" t="n">
        <x:f>FASE1!P314</x:f>
        <x:v>0</x:v>
      </x:c>
      <x:c r="L314" s="268" t="n">
        <x:f>FASE1!V314</x:f>
        <x:v>0</x:v>
      </x:c>
      <x:c r="M314" s="268" t="n">
        <x:f>AVERAGE(FASE2!F314:G314)</x:f>
        <x:v>0</x:v>
      </x:c>
      <x:c r="N314" s="268" t="n">
        <x:f>AVERAGE(FASE2!O314:P314,FASE2!S314)</x:f>
        <x:v>0</x:v>
      </x:c>
      <x:c r="O314" s="268" t="n">
        <x:f>FASE4!K314</x:f>
        <x:v>0</x:v>
      </x:c>
      <x:c r="P314" s="268" t="n">
        <x:f>FASE2!N314</x:f>
        <x:v>0</x:v>
      </x:c>
      <x:c r="Q314" s="268" t="n">
        <x:f>FASE3!P314</x:f>
        <x:v>0</x:v>
      </x:c>
      <x:c r="R314" s="268" t="n">
        <x:f>FASE3!N314</x:f>
        <x:v>0</x:v>
      </x:c>
      <x:c r="S314" s="268" t="n">
        <x:f>AVERAGE(FASE3!Q314,FASE3!R314,FASE3!T314,FASE3!S314)</x:f>
        <x:v>0</x:v>
      </x:c>
      <x:c r="T314" s="268" t="n">
        <x:f>AVERAGE(FASE3!U314,FASE3!V314,FASE3!W314)</x:f>
        <x:v>0</x:v>
      </x:c>
      <x:c r="U314" s="268" t="n">
        <x:f>FASE3!Y314</x:f>
        <x:v>0</x:v>
      </x:c>
      <x:c r="V314" s="268" t="n">
        <x:f>FASE3!X314</x:f>
        <x:v>0</x:v>
      </x:c>
      <x:c r="W314" s="268" t="n">
        <x:f>FASE4!M314</x:f>
        <x:v>0</x:v>
      </x:c>
      <x:c r="X314" s="268">
        <x:f t="shared" si="4"/>
        <x:v>0</x:v>
      </x:c>
      <x:c r="Y314" s="2"/>
    </x:row>
    <x:row r="315" ht="15.75">
      <x:c r="B315">
        <x:v>8</x:v>
      </x:c>
      <x:c r="C315" t="s">
        <x:v>115</x:v>
      </x:c>
      <x:c r="D315" s="243">
        <x:v>810</x:v>
      </x:c>
      <x:c r="E315" s="268" t="n">
        <x:f>FASE1!G315</x:f>
        <x:v>0</x:v>
      </x:c>
      <x:c r="F315" s="268" t="n">
        <x:f>FASE1!M315</x:f>
        <x:v>0</x:v>
      </x:c>
      <x:c r="G315" s="268" t="n">
        <x:f>FASE1!L315</x:f>
        <x:v>0</x:v>
      </x:c>
      <x:c r="H315" s="268" t="n">
        <x:f>FASE1!R315</x:f>
        <x:v>0</x:v>
      </x:c>
      <x:c r="I315" s="268" t="n">
        <x:f>FASE1!U315</x:f>
        <x:v>0</x:v>
      </x:c>
      <x:c r="J315" s="268" t="n">
        <x:f>FASE1!U315</x:f>
        <x:v>0</x:v>
      </x:c>
      <x:c r="K315" s="268" t="n">
        <x:f>FASE1!P315</x:f>
        <x:v>0</x:v>
      </x:c>
      <x:c r="L315" s="268" t="n">
        <x:f>FASE1!V315</x:f>
        <x:v>0</x:v>
      </x:c>
      <x:c r="M315" s="268" t="n">
        <x:f>AVERAGE(FASE2!F315:G315)</x:f>
        <x:v>0</x:v>
      </x:c>
      <x:c r="N315" s="268" t="n">
        <x:f>AVERAGE(FASE2!O315:P315,FASE2!S315)</x:f>
        <x:v>0</x:v>
      </x:c>
      <x:c r="O315" s="268" t="n">
        <x:f>FASE4!K315</x:f>
        <x:v>0</x:v>
      </x:c>
      <x:c r="P315" s="268" t="n">
        <x:f>FASE2!N315</x:f>
        <x:v>0</x:v>
      </x:c>
      <x:c r="Q315" s="268" t="n">
        <x:f>FASE3!P315</x:f>
        <x:v>0</x:v>
      </x:c>
      <x:c r="R315" s="268" t="n">
        <x:f>FASE3!N315</x:f>
        <x:v>0</x:v>
      </x:c>
      <x:c r="S315" s="268" t="n">
        <x:f>AVERAGE(FASE3!Q315,FASE3!R315,FASE3!T315,FASE3!S315)</x:f>
        <x:v>0</x:v>
      </x:c>
      <x:c r="T315" s="268" t="n">
        <x:f>AVERAGE(FASE3!U315,FASE3!V315,FASE3!W315)</x:f>
        <x:v>0</x:v>
      </x:c>
      <x:c r="U315" s="268" t="n">
        <x:f>FASE3!Y315</x:f>
        <x:v>0</x:v>
      </x:c>
      <x:c r="V315" s="268" t="n">
        <x:f>FASE3!X315</x:f>
        <x:v>0</x:v>
      </x:c>
      <x:c r="W315" s="268" t="n">
        <x:f>FASE4!M315</x:f>
        <x:v>0</x:v>
      </x:c>
      <x:c r="X315" s="268">
        <x:f t="shared" si="4"/>
        <x:v>0</x:v>
      </x:c>
      <x:c r="Y315" s="2"/>
    </x:row>
    <x:row r="316" ht="15.75">
      <x:c r="B316">
        <x:v>8</x:v>
      </x:c>
      <x:c r="C316" t="s">
        <x:v>115</x:v>
      </x:c>
      <x:c r="D316" s="243">
        <x:v>811</x:v>
      </x:c>
      <x:c r="E316" s="268" t="n">
        <x:f>FASE1!G316</x:f>
        <x:v>0</x:v>
      </x:c>
      <x:c r="F316" s="268" t="n">
        <x:f>FASE1!M316</x:f>
        <x:v>0</x:v>
      </x:c>
      <x:c r="G316" s="268" t="n">
        <x:f>FASE1!L316</x:f>
        <x:v>0</x:v>
      </x:c>
      <x:c r="H316" s="268" t="n">
        <x:f>FASE1!R316</x:f>
        <x:v>0</x:v>
      </x:c>
      <x:c r="I316" s="268" t="n">
        <x:f>FASE1!U316</x:f>
        <x:v>0</x:v>
      </x:c>
      <x:c r="J316" s="268" t="n">
        <x:f>FASE1!U316</x:f>
        <x:v>0</x:v>
      </x:c>
      <x:c r="K316" s="268" t="n">
        <x:f>FASE1!P316</x:f>
        <x:v>0</x:v>
      </x:c>
      <x:c r="L316" s="268" t="n">
        <x:f>FASE1!V316</x:f>
        <x:v>0</x:v>
      </x:c>
      <x:c r="M316" s="268" t="n">
        <x:f>AVERAGE(FASE2!F316:G316)</x:f>
        <x:v>0</x:v>
      </x:c>
      <x:c r="N316" s="268" t="n">
        <x:f>AVERAGE(FASE2!O316:P316,FASE2!S316)</x:f>
        <x:v>0</x:v>
      </x:c>
      <x:c r="O316" s="268" t="n">
        <x:f>FASE4!K316</x:f>
        <x:v>0</x:v>
      </x:c>
      <x:c r="P316" s="268" t="n">
        <x:f>FASE2!N316</x:f>
        <x:v>0</x:v>
      </x:c>
      <x:c r="Q316" s="268" t="n">
        <x:f>FASE3!P316</x:f>
        <x:v>0</x:v>
      </x:c>
      <x:c r="R316" s="268" t="n">
        <x:f>FASE3!N316</x:f>
        <x:v>0</x:v>
      </x:c>
      <x:c r="S316" s="268" t="n">
        <x:f>AVERAGE(FASE3!Q316,FASE3!R316,FASE3!T316,FASE3!S316)</x:f>
        <x:v>0</x:v>
      </x:c>
      <x:c r="T316" s="268" t="n">
        <x:f>AVERAGE(FASE3!U316,FASE3!V316,FASE3!W316)</x:f>
        <x:v>0</x:v>
      </x:c>
      <x:c r="U316" s="268" t="n">
        <x:f>FASE3!Y316</x:f>
        <x:v>0</x:v>
      </x:c>
      <x:c r="V316" s="268" t="n">
        <x:f>FASE3!X316</x:f>
        <x:v>0</x:v>
      </x:c>
      <x:c r="W316" s="268" t="n">
        <x:f>FASE4!M316</x:f>
        <x:v>0</x:v>
      </x:c>
      <x:c r="X316" s="268">
        <x:f t="shared" si="4"/>
        <x:v>0</x:v>
      </x:c>
      <x:c r="Y316" s="2"/>
    </x:row>
    <x:row r="317" ht="15.75">
      <x:c r="B317">
        <x:v>8</x:v>
      </x:c>
      <x:c r="C317" t="s">
        <x:v>115</x:v>
      </x:c>
      <x:c r="D317" s="243">
        <x:v>812</x:v>
      </x:c>
      <x:c r="E317" s="268" t="n">
        <x:f>FASE1!G317</x:f>
        <x:v>0</x:v>
      </x:c>
      <x:c r="F317" s="268" t="n">
        <x:f>FASE1!M317</x:f>
        <x:v>0</x:v>
      </x:c>
      <x:c r="G317" s="268" t="n">
        <x:f>FASE1!L317</x:f>
        <x:v>0</x:v>
      </x:c>
      <x:c r="H317" s="268" t="n">
        <x:f>FASE1!R317</x:f>
        <x:v>0</x:v>
      </x:c>
      <x:c r="I317" s="268" t="n">
        <x:f>FASE1!U317</x:f>
        <x:v>0</x:v>
      </x:c>
      <x:c r="J317" s="268" t="n">
        <x:f>FASE1!U317</x:f>
        <x:v>0</x:v>
      </x:c>
      <x:c r="K317" s="268" t="n">
        <x:f>FASE1!P317</x:f>
        <x:v>0</x:v>
      </x:c>
      <x:c r="L317" s="268" t="n">
        <x:f>FASE1!V317</x:f>
        <x:v>0</x:v>
      </x:c>
      <x:c r="M317" s="268" t="n">
        <x:f>AVERAGE(FASE2!F317:G317)</x:f>
        <x:v>0</x:v>
      </x:c>
      <x:c r="N317" s="268" t="n">
        <x:f>AVERAGE(FASE2!O317:P317,FASE2!S317)</x:f>
        <x:v>0</x:v>
      </x:c>
      <x:c r="O317" s="268" t="n">
        <x:f>FASE4!K317</x:f>
        <x:v>0</x:v>
      </x:c>
      <x:c r="P317" s="268" t="n">
        <x:f>FASE2!N317</x:f>
        <x:v>0</x:v>
      </x:c>
      <x:c r="Q317" s="268" t="n">
        <x:f>FASE3!P317</x:f>
        <x:v>0</x:v>
      </x:c>
      <x:c r="R317" s="268" t="n">
        <x:f>FASE3!N317</x:f>
        <x:v>0</x:v>
      </x:c>
      <x:c r="S317" s="268" t="n">
        <x:f>AVERAGE(FASE3!Q317,FASE3!R317,FASE3!T317,FASE3!S317)</x:f>
        <x:v>0</x:v>
      </x:c>
      <x:c r="T317" s="268" t="n">
        <x:f>AVERAGE(FASE3!U317,FASE3!V317,FASE3!W317)</x:f>
        <x:v>0</x:v>
      </x:c>
      <x:c r="U317" s="268" t="n">
        <x:f>FASE3!Y317</x:f>
        <x:v>0</x:v>
      </x:c>
      <x:c r="V317" s="268" t="n">
        <x:f>FASE3!X317</x:f>
        <x:v>0</x:v>
      </x:c>
      <x:c r="W317" s="268" t="n">
        <x:f>FASE4!M317</x:f>
        <x:v>0</x:v>
      </x:c>
      <x:c r="X317" s="268">
        <x:f t="shared" si="4"/>
        <x:v>0</x:v>
      </x:c>
      <x:c r="Y317" s="2"/>
    </x:row>
    <x:row r="318" ht="15.75">
      <x:c r="B318">
        <x:v>8</x:v>
      </x:c>
      <x:c r="C318" t="s">
        <x:v>115</x:v>
      </x:c>
      <x:c r="D318" s="243">
        <x:v>813</x:v>
      </x:c>
      <x:c r="E318" s="268" t="n">
        <x:f>FASE1!G318</x:f>
        <x:v>0</x:v>
      </x:c>
      <x:c r="F318" s="268" t="n">
        <x:f>FASE1!M318</x:f>
        <x:v>0</x:v>
      </x:c>
      <x:c r="G318" s="268" t="n">
        <x:f>FASE1!L318</x:f>
        <x:v>0</x:v>
      </x:c>
      <x:c r="H318" s="268" t="n">
        <x:f>FASE1!R318</x:f>
        <x:v>0</x:v>
      </x:c>
      <x:c r="I318" s="268" t="n">
        <x:f>FASE1!U318</x:f>
        <x:v>0</x:v>
      </x:c>
      <x:c r="J318" s="268" t="n">
        <x:f>FASE1!U318</x:f>
        <x:v>0</x:v>
      </x:c>
      <x:c r="K318" s="268" t="n">
        <x:f>FASE1!P318</x:f>
        <x:v>0</x:v>
      </x:c>
      <x:c r="L318" s="268" t="n">
        <x:f>FASE1!V318</x:f>
        <x:v>0</x:v>
      </x:c>
      <x:c r="M318" s="268" t="n">
        <x:f>AVERAGE(FASE2!F318:G318)</x:f>
        <x:v>0</x:v>
      </x:c>
      <x:c r="N318" s="268" t="n">
        <x:f>AVERAGE(FASE2!O318:P318,FASE2!S318)</x:f>
        <x:v>0</x:v>
      </x:c>
      <x:c r="O318" s="268" t="n">
        <x:f>FASE4!K318</x:f>
        <x:v>0</x:v>
      </x:c>
      <x:c r="P318" s="268" t="n">
        <x:f>FASE2!N318</x:f>
        <x:v>0</x:v>
      </x:c>
      <x:c r="Q318" s="268" t="n">
        <x:f>FASE3!P318</x:f>
        <x:v>0</x:v>
      </x:c>
      <x:c r="R318" s="268" t="n">
        <x:f>FASE3!N318</x:f>
        <x:v>0</x:v>
      </x:c>
      <x:c r="S318" s="268" t="n">
        <x:f>AVERAGE(FASE3!Q318,FASE3!R318,FASE3!T318,FASE3!S318)</x:f>
        <x:v>0</x:v>
      </x:c>
      <x:c r="T318" s="268" t="n">
        <x:f>AVERAGE(FASE3!U318,FASE3!V318,FASE3!W318)</x:f>
        <x:v>0</x:v>
      </x:c>
      <x:c r="U318" s="268" t="n">
        <x:f>FASE3!Y318</x:f>
        <x:v>0</x:v>
      </x:c>
      <x:c r="V318" s="268" t="n">
        <x:f>FASE3!X318</x:f>
        <x:v>0</x:v>
      </x:c>
      <x:c r="W318" s="268" t="n">
        <x:f>FASE4!M318</x:f>
        <x:v>0</x:v>
      </x:c>
      <x:c r="X318" s="268">
        <x:f t="shared" si="4"/>
        <x:v>0</x:v>
      </x:c>
      <x:c r="Y318" s="2"/>
    </x:row>
    <x:row r="319" ht="15.75">
      <x:c r="B319">
        <x:v>8</x:v>
      </x:c>
      <x:c r="C319" t="s">
        <x:v>115</x:v>
      </x:c>
      <x:c r="D319" s="243">
        <x:v>814</x:v>
      </x:c>
      <x:c r="E319" s="268" t="n">
        <x:f>FASE1!G319</x:f>
        <x:v>0</x:v>
      </x:c>
      <x:c r="F319" s="268" t="n">
        <x:f>FASE1!M319</x:f>
        <x:v>0</x:v>
      </x:c>
      <x:c r="G319" s="268" t="n">
        <x:f>FASE1!L319</x:f>
        <x:v>0</x:v>
      </x:c>
      <x:c r="H319" s="268" t="n">
        <x:f>FASE1!R319</x:f>
        <x:v>0</x:v>
      </x:c>
      <x:c r="I319" s="268" t="n">
        <x:f>FASE1!U319</x:f>
        <x:v>0</x:v>
      </x:c>
      <x:c r="J319" s="268" t="n">
        <x:f>FASE1!U319</x:f>
        <x:v>0</x:v>
      </x:c>
      <x:c r="K319" s="268" t="n">
        <x:f>FASE1!P319</x:f>
        <x:v>0</x:v>
      </x:c>
      <x:c r="L319" s="268" t="n">
        <x:f>FASE1!V319</x:f>
        <x:v>0</x:v>
      </x:c>
      <x:c r="M319" s="268" t="n">
        <x:f>AVERAGE(FASE2!F319:G319)</x:f>
        <x:v>0</x:v>
      </x:c>
      <x:c r="N319" s="268" t="n">
        <x:f>AVERAGE(FASE2!O319:P319,FASE2!S319)</x:f>
        <x:v>0</x:v>
      </x:c>
      <x:c r="O319" s="268" t="n">
        <x:f>FASE4!K319</x:f>
        <x:v>0</x:v>
      </x:c>
      <x:c r="P319" s="268" t="n">
        <x:f>FASE2!N319</x:f>
        <x:v>0</x:v>
      </x:c>
      <x:c r="Q319" s="268" t="n">
        <x:f>FASE3!P319</x:f>
        <x:v>0</x:v>
      </x:c>
      <x:c r="R319" s="268" t="n">
        <x:f>FASE3!N319</x:f>
        <x:v>0</x:v>
      </x:c>
      <x:c r="S319" s="268" t="n">
        <x:f>AVERAGE(FASE3!Q319,FASE3!R319,FASE3!T319,FASE3!S319)</x:f>
        <x:v>0</x:v>
      </x:c>
      <x:c r="T319" s="268" t="n">
        <x:f>AVERAGE(FASE3!U319,FASE3!V319,FASE3!W319)</x:f>
        <x:v>0</x:v>
      </x:c>
      <x:c r="U319" s="268" t="n">
        <x:f>FASE3!Y319</x:f>
        <x:v>0</x:v>
      </x:c>
      <x:c r="V319" s="268" t="n">
        <x:f>FASE3!X319</x:f>
        <x:v>0</x:v>
      </x:c>
      <x:c r="W319" s="268" t="n">
        <x:f>FASE4!M319</x:f>
        <x:v>0</x:v>
      </x:c>
      <x:c r="X319" s="268">
        <x:f t="shared" si="4"/>
        <x:v>0</x:v>
      </x:c>
      <x:c r="Y319" s="2"/>
    </x:row>
    <x:row r="320" ht="15.75">
      <x:c r="B320">
        <x:v>8</x:v>
      </x:c>
      <x:c r="C320" t="s">
        <x:v>115</x:v>
      </x:c>
      <x:c r="D320" s="243">
        <x:v>815</x:v>
      </x:c>
      <x:c r="E320" s="268" t="n">
        <x:f>FASE1!G320</x:f>
        <x:v>0</x:v>
      </x:c>
      <x:c r="F320" s="268" t="n">
        <x:f>FASE1!M320</x:f>
        <x:v>0</x:v>
      </x:c>
      <x:c r="G320" s="268" t="n">
        <x:f>FASE1!L320</x:f>
        <x:v>0</x:v>
      </x:c>
      <x:c r="H320" s="268" t="n">
        <x:f>FASE1!R320</x:f>
        <x:v>0</x:v>
      </x:c>
      <x:c r="I320" s="268" t="n">
        <x:f>FASE1!U320</x:f>
        <x:v>0</x:v>
      </x:c>
      <x:c r="J320" s="268" t="n">
        <x:f>FASE1!U320</x:f>
        <x:v>0</x:v>
      </x:c>
      <x:c r="K320" s="268" t="n">
        <x:f>FASE1!P320</x:f>
        <x:v>0</x:v>
      </x:c>
      <x:c r="L320" s="268" t="n">
        <x:f>FASE1!V320</x:f>
        <x:v>0</x:v>
      </x:c>
      <x:c r="M320" s="268" t="n">
        <x:f>AVERAGE(FASE2!F320:G320)</x:f>
        <x:v>0</x:v>
      </x:c>
      <x:c r="N320" s="268" t="n">
        <x:f>AVERAGE(FASE2!O320:P320,FASE2!S320)</x:f>
        <x:v>0</x:v>
      </x:c>
      <x:c r="O320" s="268" t="n">
        <x:f>FASE4!K320</x:f>
        <x:v>0</x:v>
      </x:c>
      <x:c r="P320" s="268" t="n">
        <x:f>FASE2!N320</x:f>
        <x:v>0</x:v>
      </x:c>
      <x:c r="Q320" s="268" t="n">
        <x:f>FASE3!P320</x:f>
        <x:v>0</x:v>
      </x:c>
      <x:c r="R320" s="268" t="n">
        <x:f>FASE3!N320</x:f>
        <x:v>0</x:v>
      </x:c>
      <x:c r="S320" s="268" t="n">
        <x:f>AVERAGE(FASE3!Q320,FASE3!R320,FASE3!T320,FASE3!S320)</x:f>
        <x:v>0</x:v>
      </x:c>
      <x:c r="T320" s="268" t="n">
        <x:f>AVERAGE(FASE3!U320,FASE3!V320,FASE3!W320)</x:f>
        <x:v>0</x:v>
      </x:c>
      <x:c r="U320" s="268" t="n">
        <x:f>FASE3!Y320</x:f>
        <x:v>0</x:v>
      </x:c>
      <x:c r="V320" s="268" t="n">
        <x:f>FASE3!X320</x:f>
        <x:v>0</x:v>
      </x:c>
      <x:c r="W320" s="268" t="n">
        <x:f>FASE4!M320</x:f>
        <x:v>0</x:v>
      </x:c>
      <x:c r="X320" s="268">
        <x:f t="shared" si="4"/>
        <x:v>0</x:v>
      </x:c>
      <x:c r="Y320" s="2"/>
    </x:row>
    <x:row r="321" ht="15.75">
      <x:c r="B321">
        <x:v>8</x:v>
      </x:c>
      <x:c r="C321" t="s">
        <x:v>115</x:v>
      </x:c>
      <x:c r="D321" s="243">
        <x:v>816</x:v>
      </x:c>
      <x:c r="E321" s="268" t="n">
        <x:f>FASE1!G321</x:f>
        <x:v>0</x:v>
      </x:c>
      <x:c r="F321" s="268" t="n">
        <x:f>FASE1!M321</x:f>
        <x:v>0</x:v>
      </x:c>
      <x:c r="G321" s="268" t="n">
        <x:f>FASE1!L321</x:f>
        <x:v>0</x:v>
      </x:c>
      <x:c r="H321" s="268" t="n">
        <x:f>FASE1!R321</x:f>
        <x:v>0</x:v>
      </x:c>
      <x:c r="I321" s="268" t="n">
        <x:f>FASE1!U321</x:f>
        <x:v>0</x:v>
      </x:c>
      <x:c r="J321" s="268" t="n">
        <x:f>FASE1!U321</x:f>
        <x:v>0</x:v>
      </x:c>
      <x:c r="K321" s="268" t="n">
        <x:f>FASE1!P321</x:f>
        <x:v>0</x:v>
      </x:c>
      <x:c r="L321" s="268" t="n">
        <x:f>FASE1!V321</x:f>
        <x:v>0</x:v>
      </x:c>
      <x:c r="M321" s="268" t="n">
        <x:f>AVERAGE(FASE2!F321:G321)</x:f>
        <x:v>0</x:v>
      </x:c>
      <x:c r="N321" s="268" t="n">
        <x:f>AVERAGE(FASE2!O321:P321,FASE2!S321)</x:f>
        <x:v>0</x:v>
      </x:c>
      <x:c r="O321" s="268" t="n">
        <x:f>FASE4!K321</x:f>
        <x:v>0</x:v>
      </x:c>
      <x:c r="P321" s="268" t="n">
        <x:f>FASE2!N321</x:f>
        <x:v>0</x:v>
      </x:c>
      <x:c r="Q321" s="268" t="n">
        <x:f>FASE3!P321</x:f>
        <x:v>0</x:v>
      </x:c>
      <x:c r="R321" s="268" t="n">
        <x:f>FASE3!N321</x:f>
        <x:v>0</x:v>
      </x:c>
      <x:c r="S321" s="268" t="n">
        <x:f>AVERAGE(FASE3!Q321,FASE3!R321,FASE3!T321,FASE3!S321)</x:f>
        <x:v>0</x:v>
      </x:c>
      <x:c r="T321" s="268" t="n">
        <x:f>AVERAGE(FASE3!U321,FASE3!V321,FASE3!W321)</x:f>
        <x:v>0</x:v>
      </x:c>
      <x:c r="U321" s="268" t="n">
        <x:f>FASE3!Y321</x:f>
        <x:v>0</x:v>
      </x:c>
      <x:c r="V321" s="268" t="n">
        <x:f>FASE3!X321</x:f>
        <x:v>0</x:v>
      </x:c>
      <x:c r="W321" s="268" t="n">
        <x:f>FASE4!M321</x:f>
        <x:v>0</x:v>
      </x:c>
      <x:c r="X321" s="268">
        <x:f t="shared" si="4"/>
        <x:v>0</x:v>
      </x:c>
      <x:c r="Y321" s="2"/>
    </x:row>
    <x:row r="322" ht="15.75">
      <x:c r="B322">
        <x:v>8</x:v>
      </x:c>
      <x:c r="C322" t="s">
        <x:v>115</x:v>
      </x:c>
      <x:c r="D322" s="243">
        <x:v>817</x:v>
      </x:c>
      <x:c r="E322" s="268" t="n">
        <x:f>FASE1!G322</x:f>
        <x:v>0</x:v>
      </x:c>
      <x:c r="F322" s="268" t="n">
        <x:f>FASE1!M322</x:f>
        <x:v>0</x:v>
      </x:c>
      <x:c r="G322" s="268" t="n">
        <x:f>FASE1!L322</x:f>
        <x:v>0</x:v>
      </x:c>
      <x:c r="H322" s="268" t="n">
        <x:f>FASE1!R322</x:f>
        <x:v>0</x:v>
      </x:c>
      <x:c r="I322" s="268" t="n">
        <x:f>FASE1!U322</x:f>
        <x:v>0</x:v>
      </x:c>
      <x:c r="J322" s="268" t="n">
        <x:f>FASE1!U322</x:f>
        <x:v>0</x:v>
      </x:c>
      <x:c r="K322" s="268" t="n">
        <x:f>FASE1!P322</x:f>
        <x:v>0</x:v>
      </x:c>
      <x:c r="L322" s="268" t="n">
        <x:f>FASE1!V322</x:f>
        <x:v>0</x:v>
      </x:c>
      <x:c r="M322" s="268" t="n">
        <x:f>AVERAGE(FASE2!F322:G322)</x:f>
        <x:v>0</x:v>
      </x:c>
      <x:c r="N322" s="268" t="n">
        <x:f>AVERAGE(FASE2!O322:P322,FASE2!S322)</x:f>
        <x:v>0</x:v>
      </x:c>
      <x:c r="O322" s="268" t="n">
        <x:f>FASE4!K322</x:f>
        <x:v>0</x:v>
      </x:c>
      <x:c r="P322" s="268" t="n">
        <x:f>FASE2!N322</x:f>
        <x:v>0</x:v>
      </x:c>
      <x:c r="Q322" s="268" t="n">
        <x:f>FASE3!P322</x:f>
        <x:v>0</x:v>
      </x:c>
      <x:c r="R322" s="268" t="n">
        <x:f>FASE3!N322</x:f>
        <x:v>0</x:v>
      </x:c>
      <x:c r="S322" s="268" t="n">
        <x:f>AVERAGE(FASE3!Q322,FASE3!R322,FASE3!T322,FASE3!S322)</x:f>
        <x:v>0</x:v>
      </x:c>
      <x:c r="T322" s="268" t="n">
        <x:f>AVERAGE(FASE3!U322,FASE3!V322,FASE3!W322)</x:f>
        <x:v>0</x:v>
      </x:c>
      <x:c r="U322" s="268" t="n">
        <x:f>FASE3!Y322</x:f>
        <x:v>0</x:v>
      </x:c>
      <x:c r="V322" s="268" t="n">
        <x:f>FASE3!X322</x:f>
        <x:v>0</x:v>
      </x:c>
      <x:c r="W322" s="268" t="n">
        <x:f>FASE4!M322</x:f>
        <x:v>0</x:v>
      </x:c>
      <x:c r="X322" s="268" t="n">
        <x:f t="shared" ref="X322:X369" si="5">AVERAGE(E322:V322)</x:f>
        <x:v>0</x:v>
      </x:c>
      <x:c r="Y322" s="2"/>
    </x:row>
    <x:row r="323" ht="15.75">
      <x:c r="B323">
        <x:v>8</x:v>
      </x:c>
      <x:c r="C323" t="s">
        <x:v>115</x:v>
      </x:c>
      <x:c r="D323" s="243">
        <x:v>818</x:v>
      </x:c>
      <x:c r="E323" s="268" t="n">
        <x:f>FASE1!G323</x:f>
        <x:v>0</x:v>
      </x:c>
      <x:c r="F323" s="268" t="n">
        <x:f>FASE1!M323</x:f>
        <x:v>0</x:v>
      </x:c>
      <x:c r="G323" s="268" t="n">
        <x:f>FASE1!L323</x:f>
        <x:v>0</x:v>
      </x:c>
      <x:c r="H323" s="268" t="n">
        <x:f>FASE1!R323</x:f>
        <x:v>0</x:v>
      </x:c>
      <x:c r="I323" s="268" t="n">
        <x:f>FASE1!U323</x:f>
        <x:v>0</x:v>
      </x:c>
      <x:c r="J323" s="268" t="n">
        <x:f>FASE1!U323</x:f>
        <x:v>0</x:v>
      </x:c>
      <x:c r="K323" s="268" t="n">
        <x:f>FASE1!P323</x:f>
        <x:v>0</x:v>
      </x:c>
      <x:c r="L323" s="268" t="n">
        <x:f>FASE1!V323</x:f>
        <x:v>0</x:v>
      </x:c>
      <x:c r="M323" s="268" t="n">
        <x:f>AVERAGE(FASE2!F323:G323)</x:f>
        <x:v>0</x:v>
      </x:c>
      <x:c r="N323" s="268" t="n">
        <x:f>AVERAGE(FASE2!O323:P323,FASE2!S323)</x:f>
        <x:v>0</x:v>
      </x:c>
      <x:c r="O323" s="268" t="n">
        <x:f>FASE4!K323</x:f>
        <x:v>0</x:v>
      </x:c>
      <x:c r="P323" s="268" t="n">
        <x:f>FASE2!N323</x:f>
        <x:v>0</x:v>
      </x:c>
      <x:c r="Q323" s="268" t="n">
        <x:f>FASE3!P323</x:f>
        <x:v>0</x:v>
      </x:c>
      <x:c r="R323" s="268" t="n">
        <x:f>FASE3!N323</x:f>
        <x:v>0</x:v>
      </x:c>
      <x:c r="S323" s="268" t="n">
        <x:f>AVERAGE(FASE3!Q323,FASE3!R323,FASE3!T323,FASE3!S323)</x:f>
        <x:v>0</x:v>
      </x:c>
      <x:c r="T323" s="268" t="n">
        <x:f>AVERAGE(FASE3!U323,FASE3!V323,FASE3!W323)</x:f>
        <x:v>0</x:v>
      </x:c>
      <x:c r="U323" s="268" t="n">
        <x:f>FASE3!Y323</x:f>
        <x:v>0</x:v>
      </x:c>
      <x:c r="V323" s="268" t="n">
        <x:f>FASE3!X323</x:f>
        <x:v>0</x:v>
      </x:c>
      <x:c r="W323" s="268" t="n">
        <x:f>FASE4!M323</x:f>
        <x:v>0</x:v>
      </x:c>
      <x:c r="X323" s="268">
        <x:f t="shared" si="5"/>
        <x:v>0</x:v>
      </x:c>
      <x:c r="Y323" s="2"/>
    </x:row>
    <x:row r="324" ht="15.75">
      <x:c r="B324">
        <x:v>8</x:v>
      </x:c>
      <x:c r="C324" t="s">
        <x:v>115</x:v>
      </x:c>
      <x:c r="D324" s="243">
        <x:v>819</x:v>
      </x:c>
      <x:c r="E324" s="268" t="n">
        <x:f>FASE1!G324</x:f>
        <x:v>0</x:v>
      </x:c>
      <x:c r="F324" s="268" t="n">
        <x:f>FASE1!M324</x:f>
        <x:v>0</x:v>
      </x:c>
      <x:c r="G324" s="268" t="n">
        <x:f>FASE1!L324</x:f>
        <x:v>0</x:v>
      </x:c>
      <x:c r="H324" s="268" t="n">
        <x:f>FASE1!R324</x:f>
        <x:v>0</x:v>
      </x:c>
      <x:c r="I324" s="268" t="n">
        <x:f>FASE1!U324</x:f>
        <x:v>0</x:v>
      </x:c>
      <x:c r="J324" s="268" t="n">
        <x:f>FASE1!U324</x:f>
        <x:v>0</x:v>
      </x:c>
      <x:c r="K324" s="268" t="n">
        <x:f>FASE1!P324</x:f>
        <x:v>0</x:v>
      </x:c>
      <x:c r="L324" s="268" t="n">
        <x:f>FASE1!V324</x:f>
        <x:v>0</x:v>
      </x:c>
      <x:c r="M324" s="268" t="n">
        <x:f>AVERAGE(FASE2!F324:G324)</x:f>
        <x:v>0</x:v>
      </x:c>
      <x:c r="N324" s="268" t="n">
        <x:f>AVERAGE(FASE2!O324:P324,FASE2!S324)</x:f>
        <x:v>0</x:v>
      </x:c>
      <x:c r="O324" s="268" t="n">
        <x:f>FASE4!K324</x:f>
        <x:v>0</x:v>
      </x:c>
      <x:c r="P324" s="268" t="n">
        <x:f>FASE2!N324</x:f>
        <x:v>0</x:v>
      </x:c>
      <x:c r="Q324" s="268" t="n">
        <x:f>FASE3!P324</x:f>
        <x:v>0</x:v>
      </x:c>
      <x:c r="R324" s="268" t="n">
        <x:f>FASE3!N324</x:f>
        <x:v>0</x:v>
      </x:c>
      <x:c r="S324" s="268" t="n">
        <x:f>AVERAGE(FASE3!Q324,FASE3!R324,FASE3!T324,FASE3!S324)</x:f>
        <x:v>0</x:v>
      </x:c>
      <x:c r="T324" s="268" t="n">
        <x:f>AVERAGE(FASE3!U324,FASE3!V324,FASE3!W324)</x:f>
        <x:v>0</x:v>
      </x:c>
      <x:c r="U324" s="268" t="n">
        <x:f>FASE3!Y324</x:f>
        <x:v>0</x:v>
      </x:c>
      <x:c r="V324" s="268" t="n">
        <x:f>FASE3!X324</x:f>
        <x:v>0</x:v>
      </x:c>
      <x:c r="W324" s="268" t="n">
        <x:f>FASE4!M324</x:f>
        <x:v>0</x:v>
      </x:c>
      <x:c r="X324" s="268">
        <x:f t="shared" si="5"/>
        <x:v>0</x:v>
      </x:c>
      <x:c r="Y324" s="2"/>
    </x:row>
    <x:row r="325" ht="15.75">
      <x:c r="B325">
        <x:v>8</x:v>
      </x:c>
      <x:c r="C325" t="s">
        <x:v>115</x:v>
      </x:c>
      <x:c r="D325" s="243">
        <x:v>820</x:v>
      </x:c>
      <x:c r="E325" s="268" t="n">
        <x:f>FASE1!G325</x:f>
        <x:v>0</x:v>
      </x:c>
      <x:c r="F325" s="268" t="n">
        <x:f>FASE1!M325</x:f>
        <x:v>0</x:v>
      </x:c>
      <x:c r="G325" s="268" t="n">
        <x:f>FASE1!L325</x:f>
        <x:v>0</x:v>
      </x:c>
      <x:c r="H325" s="268" t="n">
        <x:f>FASE1!R325</x:f>
        <x:v>0</x:v>
      </x:c>
      <x:c r="I325" s="268" t="n">
        <x:f>FASE1!U325</x:f>
        <x:v>0</x:v>
      </x:c>
      <x:c r="J325" s="268" t="n">
        <x:f>FASE1!U325</x:f>
        <x:v>0</x:v>
      </x:c>
      <x:c r="K325" s="268" t="n">
        <x:f>FASE1!P325</x:f>
        <x:v>0</x:v>
      </x:c>
      <x:c r="L325" s="268" t="n">
        <x:f>FASE1!V325</x:f>
        <x:v>0</x:v>
      </x:c>
      <x:c r="M325" s="268" t="n">
        <x:f>AVERAGE(FASE2!F325:G325)</x:f>
        <x:v>0</x:v>
      </x:c>
      <x:c r="N325" s="268" t="n">
        <x:f>AVERAGE(FASE2!O325:P325,FASE2!S325)</x:f>
        <x:v>0</x:v>
      </x:c>
      <x:c r="O325" s="268" t="n">
        <x:f>FASE4!K325</x:f>
        <x:v>0</x:v>
      </x:c>
      <x:c r="P325" s="268" t="n">
        <x:f>FASE2!N325</x:f>
        <x:v>0</x:v>
      </x:c>
      <x:c r="Q325" s="268" t="n">
        <x:f>FASE3!P325</x:f>
        <x:v>0</x:v>
      </x:c>
      <x:c r="R325" s="268" t="n">
        <x:f>FASE3!N325</x:f>
        <x:v>0</x:v>
      </x:c>
      <x:c r="S325" s="268" t="n">
        <x:f>AVERAGE(FASE3!Q325,FASE3!R325,FASE3!T325,FASE3!S325)</x:f>
        <x:v>0</x:v>
      </x:c>
      <x:c r="T325" s="268" t="n">
        <x:f>AVERAGE(FASE3!U325,FASE3!V325,FASE3!W325)</x:f>
        <x:v>0</x:v>
      </x:c>
      <x:c r="U325" s="268" t="n">
        <x:f>FASE3!Y325</x:f>
        <x:v>0</x:v>
      </x:c>
      <x:c r="V325" s="268" t="n">
        <x:f>FASE3!X325</x:f>
        <x:v>0</x:v>
      </x:c>
      <x:c r="W325" s="268" t="n">
        <x:f>FASE4!M325</x:f>
        <x:v>0</x:v>
      </x:c>
      <x:c r="X325" s="268">
        <x:f t="shared" si="5"/>
        <x:v>0</x:v>
      </x:c>
      <x:c r="Y325" s="2"/>
    </x:row>
    <x:row r="326" ht="15.75">
      <x:c r="B326">
        <x:v>8</x:v>
      </x:c>
      <x:c r="C326" t="s">
        <x:v>115</x:v>
      </x:c>
      <x:c r="D326" s="243">
        <x:v>821</x:v>
      </x:c>
      <x:c r="E326" s="268" t="n">
        <x:f>FASE1!G326</x:f>
        <x:v>0</x:v>
      </x:c>
      <x:c r="F326" s="268" t="n">
        <x:f>FASE1!M326</x:f>
        <x:v>0</x:v>
      </x:c>
      <x:c r="G326" s="268" t="n">
        <x:f>FASE1!L326</x:f>
        <x:v>0</x:v>
      </x:c>
      <x:c r="H326" s="268" t="n">
        <x:f>FASE1!R326</x:f>
        <x:v>0</x:v>
      </x:c>
      <x:c r="I326" s="268" t="n">
        <x:f>FASE1!U326</x:f>
        <x:v>0</x:v>
      </x:c>
      <x:c r="J326" s="268" t="n">
        <x:f>FASE1!U326</x:f>
        <x:v>0</x:v>
      </x:c>
      <x:c r="K326" s="268" t="n">
        <x:f>FASE1!P326</x:f>
        <x:v>0</x:v>
      </x:c>
      <x:c r="L326" s="268" t="n">
        <x:f>FASE1!V326</x:f>
        <x:v>0</x:v>
      </x:c>
      <x:c r="M326" s="268" t="n">
        <x:f>AVERAGE(FASE2!F326:G326)</x:f>
        <x:v>0</x:v>
      </x:c>
      <x:c r="N326" s="268" t="n">
        <x:f>AVERAGE(FASE2!O326:P326,FASE2!S326)</x:f>
        <x:v>0</x:v>
      </x:c>
      <x:c r="O326" s="268" t="n">
        <x:f>FASE4!K326</x:f>
        <x:v>0</x:v>
      </x:c>
      <x:c r="P326" s="268" t="n">
        <x:f>FASE2!N326</x:f>
        <x:v>0</x:v>
      </x:c>
      <x:c r="Q326" s="268" t="n">
        <x:f>FASE3!P326</x:f>
        <x:v>0</x:v>
      </x:c>
      <x:c r="R326" s="268" t="n">
        <x:f>FASE3!N326</x:f>
        <x:v>0</x:v>
      </x:c>
      <x:c r="S326" s="268" t="n">
        <x:f>AVERAGE(FASE3!Q326,FASE3!R326,FASE3!T326,FASE3!S326)</x:f>
        <x:v>0</x:v>
      </x:c>
      <x:c r="T326" s="268" t="n">
        <x:f>AVERAGE(FASE3!U326,FASE3!V326,FASE3!W326)</x:f>
        <x:v>0</x:v>
      </x:c>
      <x:c r="U326" s="268" t="n">
        <x:f>FASE3!Y326</x:f>
        <x:v>0</x:v>
      </x:c>
      <x:c r="V326" s="268" t="n">
        <x:f>FASE3!X326</x:f>
        <x:v>0</x:v>
      </x:c>
      <x:c r="W326" s="268" t="n">
        <x:f>FASE4!M326</x:f>
        <x:v>0</x:v>
      </x:c>
      <x:c r="X326" s="268">
        <x:f t="shared" si="5"/>
        <x:v>0</x:v>
      </x:c>
      <x:c r="Y326" s="2"/>
    </x:row>
    <x:row r="327" ht="15.75">
      <x:c r="B327">
        <x:v>8</x:v>
      </x:c>
      <x:c r="C327" t="s">
        <x:v>135</x:v>
      </x:c>
      <x:c r="D327" s="243" t="s">
        <x:v>136</x:v>
      </x:c>
      <x:c r="E327" s="268" t="n">
        <x:f>FASE1!G327</x:f>
        <x:v>0</x:v>
      </x:c>
      <x:c r="F327" s="268" t="n">
        <x:f>FASE1!M327</x:f>
        <x:v>0</x:v>
      </x:c>
      <x:c r="G327" s="268" t="n">
        <x:f>FASE1!L327</x:f>
        <x:v>0</x:v>
      </x:c>
      <x:c r="H327" s="268" t="n">
        <x:f>FASE1!R327</x:f>
        <x:v>0</x:v>
      </x:c>
      <x:c r="I327" s="268" t="n">
        <x:f>FASE1!U327</x:f>
        <x:v>0</x:v>
      </x:c>
      <x:c r="J327" s="268" t="n">
        <x:f>FASE1!U327</x:f>
        <x:v>0</x:v>
      </x:c>
      <x:c r="K327" s="268" t="n">
        <x:f>FASE1!P327</x:f>
        <x:v>0</x:v>
      </x:c>
      <x:c r="L327" s="268" t="n">
        <x:f>FASE1!V327</x:f>
        <x:v>0</x:v>
      </x:c>
      <x:c r="M327" s="268" t="e">
        <x:f>AVERAGE(FASE2!F327:G327)</x:f>
        <x:v>#DIV/0!</x:v>
      </x:c>
      <x:c r="N327" s="268" t="e">
        <x:f>AVERAGE(FASE2!O327:P327,FASE2!S327)</x:f>
        <x:v>#DIV/0!</x:v>
      </x:c>
      <x:c r="O327" s="268" t="n">
        <x:f>FASE4!K327</x:f>
        <x:v>0</x:v>
      </x:c>
      <x:c r="P327" s="268" t="n">
        <x:f>FASE2!N327</x:f>
        <x:v>0</x:v>
      </x:c>
      <x:c r="Q327" s="268" t="n">
        <x:f>FASE3!P327</x:f>
        <x:v>0</x:v>
      </x:c>
      <x:c r="R327" s="268" t="n">
        <x:f>FASE3!N327</x:f>
        <x:v>0</x:v>
      </x:c>
      <x:c r="S327" s="268" t="n">
        <x:f>AVERAGE(FASE3!Q327,FASE3!R327,FASE3!T327,FASE3!S327)</x:f>
        <x:v>0</x:v>
      </x:c>
      <x:c r="T327" s="268" t="n">
        <x:f>AVERAGE(FASE3!U327,FASE3!V327,FASE3!W327)</x:f>
        <x:v>0</x:v>
      </x:c>
      <x:c r="U327" s="268" t="n">
        <x:f>FASE3!Y327</x:f>
        <x:v>0</x:v>
      </x:c>
      <x:c r="V327" s="268" t="n">
        <x:f>FASE3!X327</x:f>
        <x:v>0</x:v>
      </x:c>
      <x:c r="W327" s="268" t="n">
        <x:f>FASE4!M327</x:f>
        <x:v>0</x:v>
      </x:c>
      <x:c r="X327" s="268">
        <x:f t="shared" si="5"/>
        <x:v>0</x:v>
      </x:c>
      <x:c r="Y327" s="2"/>
    </x:row>
    <x:row r="328" ht="15.75">
      <x:c r="B328">
        <x:v>9</x:v>
      </x:c>
      <x:c r="C328" t="s">
        <x:v>116</x:v>
      </x:c>
      <x:c r="D328" s="243">
        <x:v>901</x:v>
      </x:c>
      <x:c r="E328" s="268" t="n">
        <x:f>FASE1!G328</x:f>
        <x:v>0</x:v>
      </x:c>
      <x:c r="F328" s="268" t="n">
        <x:f>FASE1!M328</x:f>
        <x:v>0</x:v>
      </x:c>
      <x:c r="G328" s="268" t="n">
        <x:f>FASE1!L328</x:f>
        <x:v>0</x:v>
      </x:c>
      <x:c r="H328" s="268" t="n">
        <x:f>FASE1!R328</x:f>
        <x:v>0</x:v>
      </x:c>
      <x:c r="I328" s="268" t="n">
        <x:f>FASE1!U328</x:f>
        <x:v>0</x:v>
      </x:c>
      <x:c r="J328" s="268" t="n">
        <x:f>FASE1!U328</x:f>
        <x:v>0</x:v>
      </x:c>
      <x:c r="K328" s="268" t="n">
        <x:f>FASE1!P328</x:f>
        <x:v>0</x:v>
      </x:c>
      <x:c r="L328" s="268" t="n">
        <x:f>FASE1!V328</x:f>
        <x:v>0</x:v>
      </x:c>
      <x:c r="M328" s="268" t="n">
        <x:f>AVERAGE(FASE2!F328:G328)</x:f>
        <x:v>0</x:v>
      </x:c>
      <x:c r="N328" s="268" t="n">
        <x:f>AVERAGE(FASE2!O328:P328,FASE2!S328)</x:f>
        <x:v>0</x:v>
      </x:c>
      <x:c r="O328" s="268" t="n">
        <x:f>FASE4!K328</x:f>
        <x:v>0</x:v>
      </x:c>
      <x:c r="P328" s="268" t="n">
        <x:f>FASE2!N328</x:f>
        <x:v>0</x:v>
      </x:c>
      <x:c r="Q328" s="268" t="n">
        <x:f>FASE3!P328</x:f>
        <x:v>0</x:v>
      </x:c>
      <x:c r="R328" s="268" t="n">
        <x:f>FASE3!N328</x:f>
        <x:v>0</x:v>
      </x:c>
      <x:c r="S328" s="268" t="n">
        <x:f>AVERAGE(FASE3!Q328,FASE3!R328,FASE3!T328,FASE3!S328)</x:f>
        <x:v>0</x:v>
      </x:c>
      <x:c r="T328" s="268" t="n">
        <x:f>AVERAGE(FASE3!U328,FASE3!V328,FASE3!W328)</x:f>
        <x:v>0</x:v>
      </x:c>
      <x:c r="U328" s="268" t="n">
        <x:f>FASE3!Y328</x:f>
        <x:v>0</x:v>
      </x:c>
      <x:c r="V328" s="268" t="n">
        <x:f>FASE3!X328</x:f>
        <x:v>0</x:v>
      </x:c>
      <x:c r="W328" s="268" t="n">
        <x:f>FASE4!M328</x:f>
        <x:v>0</x:v>
      </x:c>
      <x:c r="X328" s="268">
        <x:f t="shared" si="5"/>
        <x:v>0</x:v>
      </x:c>
      <x:c r="Y328" s="2"/>
    </x:row>
    <x:row r="329" ht="15.75">
      <x:c r="B329">
        <x:v>9</x:v>
      </x:c>
      <x:c r="C329" t="s">
        <x:v>116</x:v>
      </x:c>
      <x:c r="D329" s="243">
        <x:v>902</x:v>
      </x:c>
      <x:c r="E329" s="268" t="n">
        <x:f>FASE1!G329</x:f>
        <x:v>0</x:v>
      </x:c>
      <x:c r="F329" s="268" t="n">
        <x:f>FASE1!M329</x:f>
        <x:v>0</x:v>
      </x:c>
      <x:c r="G329" s="268" t="n">
        <x:f>FASE1!L329</x:f>
        <x:v>0</x:v>
      </x:c>
      <x:c r="H329" s="268" t="n">
        <x:f>FASE1!R329</x:f>
        <x:v>0</x:v>
      </x:c>
      <x:c r="I329" s="268" t="n">
        <x:f>FASE1!U329</x:f>
        <x:v>0</x:v>
      </x:c>
      <x:c r="J329" s="268" t="n">
        <x:f>FASE1!U329</x:f>
        <x:v>0</x:v>
      </x:c>
      <x:c r="K329" s="268" t="n">
        <x:f>FASE1!P329</x:f>
        <x:v>0</x:v>
      </x:c>
      <x:c r="L329" s="268" t="n">
        <x:f>FASE1!V329</x:f>
        <x:v>0</x:v>
      </x:c>
      <x:c r="M329" s="268" t="n">
        <x:f>AVERAGE(FASE2!F329:G329)</x:f>
        <x:v>0</x:v>
      </x:c>
      <x:c r="N329" s="268" t="n">
        <x:f>AVERAGE(FASE2!O329:P329,FASE2!S329)</x:f>
        <x:v>0</x:v>
      </x:c>
      <x:c r="O329" s="268" t="n">
        <x:f>FASE4!K329</x:f>
        <x:v>0</x:v>
      </x:c>
      <x:c r="P329" s="268" t="n">
        <x:f>FASE2!N329</x:f>
        <x:v>0</x:v>
      </x:c>
      <x:c r="Q329" s="268" t="n">
        <x:f>FASE3!P329</x:f>
        <x:v>0</x:v>
      </x:c>
      <x:c r="R329" s="268" t="n">
        <x:f>FASE3!N329</x:f>
        <x:v>0</x:v>
      </x:c>
      <x:c r="S329" s="268" t="n">
        <x:f>AVERAGE(FASE3!Q329,FASE3!R329,FASE3!T329,FASE3!S329)</x:f>
        <x:v>0</x:v>
      </x:c>
      <x:c r="T329" s="268" t="n">
        <x:f>AVERAGE(FASE3!U329,FASE3!V329,FASE3!W329)</x:f>
        <x:v>0</x:v>
      </x:c>
      <x:c r="U329" s="268" t="n">
        <x:f>FASE3!Y329</x:f>
        <x:v>0</x:v>
      </x:c>
      <x:c r="V329" s="268" t="n">
        <x:f>FASE3!X329</x:f>
        <x:v>0</x:v>
      </x:c>
      <x:c r="W329" s="268" t="n">
        <x:f>FASE4!M329</x:f>
        <x:v>0</x:v>
      </x:c>
      <x:c r="X329" s="268">
        <x:f t="shared" si="5"/>
        <x:v>0</x:v>
      </x:c>
      <x:c r="Y329" s="2"/>
    </x:row>
    <x:row r="330" ht="15.75">
      <x:c r="B330">
        <x:v>9</x:v>
      </x:c>
      <x:c r="C330" t="s">
        <x:v>116</x:v>
      </x:c>
      <x:c r="D330" s="243">
        <x:v>903</x:v>
      </x:c>
      <x:c r="E330" s="268" t="n">
        <x:f>FASE1!G330</x:f>
        <x:v>0</x:v>
      </x:c>
      <x:c r="F330" s="268" t="n">
        <x:f>FASE1!M330</x:f>
        <x:v>0</x:v>
      </x:c>
      <x:c r="G330" s="268" t="n">
        <x:f>FASE1!L330</x:f>
        <x:v>0</x:v>
      </x:c>
      <x:c r="H330" s="268" t="n">
        <x:f>FASE1!R330</x:f>
        <x:v>0</x:v>
      </x:c>
      <x:c r="I330" s="268" t="n">
        <x:f>FASE1!U330</x:f>
        <x:v>0</x:v>
      </x:c>
      <x:c r="J330" s="268" t="n">
        <x:f>FASE1!U330</x:f>
        <x:v>0</x:v>
      </x:c>
      <x:c r="K330" s="268" t="n">
        <x:f>FASE1!P330</x:f>
        <x:v>0</x:v>
      </x:c>
      <x:c r="L330" s="268" t="n">
        <x:f>FASE1!V330</x:f>
        <x:v>0</x:v>
      </x:c>
      <x:c r="M330" s="268" t="n">
        <x:f>AVERAGE(FASE2!F330:G330)</x:f>
        <x:v>0</x:v>
      </x:c>
      <x:c r="N330" s="268" t="n">
        <x:f>AVERAGE(FASE2!O330:P330,FASE2!S330)</x:f>
        <x:v>0</x:v>
      </x:c>
      <x:c r="O330" s="268" t="n">
        <x:f>FASE4!K330</x:f>
        <x:v>0</x:v>
      </x:c>
      <x:c r="P330" s="268" t="n">
        <x:f>FASE2!N330</x:f>
        <x:v>0</x:v>
      </x:c>
      <x:c r="Q330" s="268" t="n">
        <x:f>FASE3!P330</x:f>
        <x:v>0</x:v>
      </x:c>
      <x:c r="R330" s="268" t="n">
        <x:f>FASE3!N330</x:f>
        <x:v>0</x:v>
      </x:c>
      <x:c r="S330" s="268" t="n">
        <x:f>AVERAGE(FASE3!Q330,FASE3!R330,FASE3!T330,FASE3!S330)</x:f>
        <x:v>0</x:v>
      </x:c>
      <x:c r="T330" s="268" t="n">
        <x:f>AVERAGE(FASE3!U330,FASE3!V330,FASE3!W330)</x:f>
        <x:v>0</x:v>
      </x:c>
      <x:c r="U330" s="268" t="n">
        <x:f>FASE3!Y330</x:f>
        <x:v>0</x:v>
      </x:c>
      <x:c r="V330" s="268" t="n">
        <x:f>FASE3!X330</x:f>
        <x:v>0</x:v>
      </x:c>
      <x:c r="W330" s="268" t="n">
        <x:f>FASE4!M330</x:f>
        <x:v>0</x:v>
      </x:c>
      <x:c r="X330" s="268">
        <x:f t="shared" si="5"/>
        <x:v>0</x:v>
      </x:c>
      <x:c r="Y330" s="2"/>
    </x:row>
    <x:row r="331" ht="15.75">
      <x:c r="B331">
        <x:v>9</x:v>
      </x:c>
      <x:c r="C331" t="s">
        <x:v>116</x:v>
      </x:c>
      <x:c r="D331" s="243">
        <x:v>904</x:v>
      </x:c>
      <x:c r="E331" s="268" t="n">
        <x:f>FASE1!G331</x:f>
        <x:v>0</x:v>
      </x:c>
      <x:c r="F331" s="268" t="n">
        <x:f>FASE1!M331</x:f>
        <x:v>0</x:v>
      </x:c>
      <x:c r="G331" s="268" t="n">
        <x:f>FASE1!L331</x:f>
        <x:v>0</x:v>
      </x:c>
      <x:c r="H331" s="268" t="n">
        <x:f>FASE1!R331</x:f>
        <x:v>0</x:v>
      </x:c>
      <x:c r="I331" s="268" t="n">
        <x:f>FASE1!U331</x:f>
        <x:v>0</x:v>
      </x:c>
      <x:c r="J331" s="268" t="n">
        <x:f>FASE1!U331</x:f>
        <x:v>0</x:v>
      </x:c>
      <x:c r="K331" s="268" t="n">
        <x:f>FASE1!P331</x:f>
        <x:v>0</x:v>
      </x:c>
      <x:c r="L331" s="268" t="n">
        <x:f>FASE1!V331</x:f>
        <x:v>0</x:v>
      </x:c>
      <x:c r="M331" s="268" t="n">
        <x:f>AVERAGE(FASE2!F331:G331)</x:f>
        <x:v>0</x:v>
      </x:c>
      <x:c r="N331" s="268" t="n">
        <x:f>AVERAGE(FASE2!O331:P331,FASE2!S331)</x:f>
        <x:v>0</x:v>
      </x:c>
      <x:c r="O331" s="268" t="n">
        <x:f>FASE4!K331</x:f>
        <x:v>0</x:v>
      </x:c>
      <x:c r="P331" s="268" t="n">
        <x:f>FASE2!N331</x:f>
        <x:v>0</x:v>
      </x:c>
      <x:c r="Q331" s="268" t="n">
        <x:f>FASE3!P331</x:f>
        <x:v>0</x:v>
      </x:c>
      <x:c r="R331" s="268" t="n">
        <x:f>FASE3!N331</x:f>
        <x:v>0</x:v>
      </x:c>
      <x:c r="S331" s="268" t="n">
        <x:f>AVERAGE(FASE3!Q331,FASE3!R331,FASE3!T331,FASE3!S331)</x:f>
        <x:v>0</x:v>
      </x:c>
      <x:c r="T331" s="268" t="n">
        <x:f>AVERAGE(FASE3!U331,FASE3!V331,FASE3!W331)</x:f>
        <x:v>0</x:v>
      </x:c>
      <x:c r="U331" s="268" t="n">
        <x:f>FASE3!Y331</x:f>
        <x:v>0</x:v>
      </x:c>
      <x:c r="V331" s="268" t="n">
        <x:f>FASE3!X331</x:f>
        <x:v>0</x:v>
      </x:c>
      <x:c r="W331" s="268" t="n">
        <x:f>FASE4!M331</x:f>
        <x:v>0</x:v>
      </x:c>
      <x:c r="X331" s="268">
        <x:f t="shared" si="5"/>
        <x:v>0</x:v>
      </x:c>
      <x:c r="Y331" s="2"/>
    </x:row>
    <x:row r="332" ht="15.75">
      <x:c r="B332">
        <x:v>9</x:v>
      </x:c>
      <x:c r="C332" t="s">
        <x:v>116</x:v>
      </x:c>
      <x:c r="D332" s="243">
        <x:v>905</x:v>
      </x:c>
      <x:c r="E332" s="268" t="n">
        <x:f>FASE1!G332</x:f>
        <x:v>0</x:v>
      </x:c>
      <x:c r="F332" s="268" t="n">
        <x:f>FASE1!M332</x:f>
        <x:v>0</x:v>
      </x:c>
      <x:c r="G332" s="268" t="n">
        <x:f>FASE1!L332</x:f>
        <x:v>0</x:v>
      </x:c>
      <x:c r="H332" s="268" t="n">
        <x:f>FASE1!R332</x:f>
        <x:v>0</x:v>
      </x:c>
      <x:c r="I332" s="268" t="n">
        <x:f>FASE1!U332</x:f>
        <x:v>0</x:v>
      </x:c>
      <x:c r="J332" s="268" t="n">
        <x:f>FASE1!U332</x:f>
        <x:v>0</x:v>
      </x:c>
      <x:c r="K332" s="268" t="n">
        <x:f>FASE1!P332</x:f>
        <x:v>0</x:v>
      </x:c>
      <x:c r="L332" s="268" t="n">
        <x:f>FASE1!V332</x:f>
        <x:v>0</x:v>
      </x:c>
      <x:c r="M332" s="268" t="n">
        <x:f>AVERAGE(FASE2!F332:G332)</x:f>
        <x:v>0</x:v>
      </x:c>
      <x:c r="N332" s="268" t="n">
        <x:f>AVERAGE(FASE2!O332:P332,FASE2!S332)</x:f>
        <x:v>0</x:v>
      </x:c>
      <x:c r="O332" s="268" t="n">
        <x:f>FASE4!K332</x:f>
        <x:v>0</x:v>
      </x:c>
      <x:c r="P332" s="268" t="n">
        <x:f>FASE2!N332</x:f>
        <x:v>0</x:v>
      </x:c>
      <x:c r="Q332" s="268" t="n">
        <x:f>FASE3!P332</x:f>
        <x:v>0</x:v>
      </x:c>
      <x:c r="R332" s="268" t="n">
        <x:f>FASE3!N332</x:f>
        <x:v>0</x:v>
      </x:c>
      <x:c r="S332" s="268" t="n">
        <x:f>AVERAGE(FASE3!Q332,FASE3!R332,FASE3!T332,FASE3!S332)</x:f>
        <x:v>0</x:v>
      </x:c>
      <x:c r="T332" s="268" t="n">
        <x:f>AVERAGE(FASE3!U332,FASE3!V332,FASE3!W332)</x:f>
        <x:v>0</x:v>
      </x:c>
      <x:c r="U332" s="268" t="n">
        <x:f>FASE3!Y332</x:f>
        <x:v>0</x:v>
      </x:c>
      <x:c r="V332" s="268" t="n">
        <x:f>FASE3!X332</x:f>
        <x:v>0</x:v>
      </x:c>
      <x:c r="W332" s="268" t="n">
        <x:f>FASE4!M332</x:f>
        <x:v>0</x:v>
      </x:c>
      <x:c r="X332" s="268">
        <x:f t="shared" si="5"/>
        <x:v>0</x:v>
      </x:c>
      <x:c r="Y332" s="2"/>
    </x:row>
    <x:row r="333" ht="15.75">
      <x:c r="B333">
        <x:v>9</x:v>
      </x:c>
      <x:c r="C333" t="s">
        <x:v>116</x:v>
      </x:c>
      <x:c r="D333" s="243">
        <x:v>906</x:v>
      </x:c>
      <x:c r="E333" s="268" t="n">
        <x:f>FASE1!G333</x:f>
        <x:v>0</x:v>
      </x:c>
      <x:c r="F333" s="268" t="n">
        <x:f>FASE1!M333</x:f>
        <x:v>0</x:v>
      </x:c>
      <x:c r="G333" s="268" t="n">
        <x:f>FASE1!L333</x:f>
        <x:v>0</x:v>
      </x:c>
      <x:c r="H333" s="268" t="n">
        <x:f>FASE1!R333</x:f>
        <x:v>0</x:v>
      </x:c>
      <x:c r="I333" s="268" t="n">
        <x:f>FASE1!U333</x:f>
        <x:v>0</x:v>
      </x:c>
      <x:c r="J333" s="268" t="n">
        <x:f>FASE1!U333</x:f>
        <x:v>0</x:v>
      </x:c>
      <x:c r="K333" s="268" t="n">
        <x:f>FASE1!P333</x:f>
        <x:v>0</x:v>
      </x:c>
      <x:c r="L333" s="268" t="n">
        <x:f>FASE1!V333</x:f>
        <x:v>0</x:v>
      </x:c>
      <x:c r="M333" s="268" t="n">
        <x:f>AVERAGE(FASE2!F333:G333)</x:f>
        <x:v>0</x:v>
      </x:c>
      <x:c r="N333" s="268" t="n">
        <x:f>AVERAGE(FASE2!O333:P333,FASE2!S333)</x:f>
        <x:v>0</x:v>
      </x:c>
      <x:c r="O333" s="268" t="n">
        <x:f>FASE4!K333</x:f>
        <x:v>0</x:v>
      </x:c>
      <x:c r="P333" s="268" t="n">
        <x:f>FASE2!N333</x:f>
        <x:v>0</x:v>
      </x:c>
      <x:c r="Q333" s="268" t="n">
        <x:f>FASE3!P333</x:f>
        <x:v>0</x:v>
      </x:c>
      <x:c r="R333" s="268" t="n">
        <x:f>FASE3!N333</x:f>
        <x:v>0</x:v>
      </x:c>
      <x:c r="S333" s="268" t="n">
        <x:f>AVERAGE(FASE3!Q333,FASE3!R333,FASE3!T333,FASE3!S333)</x:f>
        <x:v>0</x:v>
      </x:c>
      <x:c r="T333" s="268" t="n">
        <x:f>AVERAGE(FASE3!U333,FASE3!V333,FASE3!W333)</x:f>
        <x:v>0</x:v>
      </x:c>
      <x:c r="U333" s="268" t="n">
        <x:f>FASE3!Y333</x:f>
        <x:v>0</x:v>
      </x:c>
      <x:c r="V333" s="268" t="n">
        <x:f>FASE3!X333</x:f>
        <x:v>0</x:v>
      </x:c>
      <x:c r="W333" s="268" t="n">
        <x:f>FASE4!M333</x:f>
        <x:v>0</x:v>
      </x:c>
      <x:c r="X333" s="268">
        <x:f t="shared" si="5"/>
        <x:v>0</x:v>
      </x:c>
      <x:c r="Y333" s="2"/>
    </x:row>
    <x:row r="334" ht="15.75">
      <x:c r="B334">
        <x:v>9</x:v>
      </x:c>
      <x:c r="C334" t="s">
        <x:v>116</x:v>
      </x:c>
      <x:c r="D334" s="243">
        <x:v>907</x:v>
      </x:c>
      <x:c r="E334" s="268" t="n">
        <x:f>FASE1!G334</x:f>
        <x:v>0</x:v>
      </x:c>
      <x:c r="F334" s="268" t="n">
        <x:f>FASE1!M334</x:f>
        <x:v>0</x:v>
      </x:c>
      <x:c r="G334" s="268" t="n">
        <x:f>FASE1!L334</x:f>
        <x:v>0</x:v>
      </x:c>
      <x:c r="H334" s="268" t="n">
        <x:f>FASE1!R334</x:f>
        <x:v>0</x:v>
      </x:c>
      <x:c r="I334" s="268" t="n">
        <x:f>FASE1!U334</x:f>
        <x:v>0</x:v>
      </x:c>
      <x:c r="J334" s="268" t="n">
        <x:f>FASE1!U334</x:f>
        <x:v>0</x:v>
      </x:c>
      <x:c r="K334" s="268" t="n">
        <x:f>FASE1!P334</x:f>
        <x:v>0</x:v>
      </x:c>
      <x:c r="L334" s="268" t="n">
        <x:f>FASE1!V334</x:f>
        <x:v>0</x:v>
      </x:c>
      <x:c r="M334" s="268" t="n">
        <x:f>AVERAGE(FASE2!F334:G334)</x:f>
        <x:v>0</x:v>
      </x:c>
      <x:c r="N334" s="268" t="n">
        <x:f>AVERAGE(FASE2!O334:P334,FASE2!S334)</x:f>
        <x:v>0</x:v>
      </x:c>
      <x:c r="O334" s="268" t="n">
        <x:f>FASE4!K334</x:f>
        <x:v>0</x:v>
      </x:c>
      <x:c r="P334" s="268" t="n">
        <x:f>FASE2!N334</x:f>
        <x:v>0</x:v>
      </x:c>
      <x:c r="Q334" s="268" t="n">
        <x:f>FASE3!P334</x:f>
        <x:v>0</x:v>
      </x:c>
      <x:c r="R334" s="268" t="n">
        <x:f>FASE3!N334</x:f>
        <x:v>0</x:v>
      </x:c>
      <x:c r="S334" s="268" t="n">
        <x:f>AVERAGE(FASE3!Q334,FASE3!R334,FASE3!T334,FASE3!S334)</x:f>
        <x:v>0</x:v>
      </x:c>
      <x:c r="T334" s="268" t="n">
        <x:f>AVERAGE(FASE3!U334,FASE3!V334,FASE3!W334)</x:f>
        <x:v>0</x:v>
      </x:c>
      <x:c r="U334" s="268" t="n">
        <x:f>FASE3!Y334</x:f>
        <x:v>0</x:v>
      </x:c>
      <x:c r="V334" s="268" t="n">
        <x:f>FASE3!X334</x:f>
        <x:v>0</x:v>
      </x:c>
      <x:c r="W334" s="268" t="n">
        <x:f>FASE4!M334</x:f>
        <x:v>0</x:v>
      </x:c>
      <x:c r="X334" s="268">
        <x:f t="shared" si="5"/>
        <x:v>0</x:v>
      </x:c>
      <x:c r="Y334" s="2"/>
    </x:row>
    <x:row r="335" ht="15.75">
      <x:c r="B335">
        <x:v>9</x:v>
      </x:c>
      <x:c r="C335" t="s">
        <x:v>116</x:v>
      </x:c>
      <x:c r="D335" s="243">
        <x:v>908</x:v>
      </x:c>
      <x:c r="E335" s="268" t="n">
        <x:f>FASE1!G335</x:f>
        <x:v>0</x:v>
      </x:c>
      <x:c r="F335" s="268" t="n">
        <x:f>FASE1!M335</x:f>
        <x:v>0</x:v>
      </x:c>
      <x:c r="G335" s="268" t="n">
        <x:f>FASE1!L335</x:f>
        <x:v>0</x:v>
      </x:c>
      <x:c r="H335" s="268" t="n">
        <x:f>FASE1!R335</x:f>
        <x:v>0</x:v>
      </x:c>
      <x:c r="I335" s="268" t="n">
        <x:f>FASE1!U335</x:f>
        <x:v>0</x:v>
      </x:c>
      <x:c r="J335" s="268" t="n">
        <x:f>FASE1!U335</x:f>
        <x:v>0</x:v>
      </x:c>
      <x:c r="K335" s="268" t="n">
        <x:f>FASE1!P335</x:f>
        <x:v>0</x:v>
      </x:c>
      <x:c r="L335" s="268" t="n">
        <x:f>FASE1!V335</x:f>
        <x:v>0</x:v>
      </x:c>
      <x:c r="M335" s="268" t="n">
        <x:f>AVERAGE(FASE2!F335:G335)</x:f>
        <x:v>0</x:v>
      </x:c>
      <x:c r="N335" s="268" t="n">
        <x:f>AVERAGE(FASE2!O335:P335,FASE2!S335)</x:f>
        <x:v>0</x:v>
      </x:c>
      <x:c r="O335" s="268" t="n">
        <x:f>FASE4!K335</x:f>
        <x:v>0</x:v>
      </x:c>
      <x:c r="P335" s="268" t="n">
        <x:f>FASE2!N335</x:f>
        <x:v>0</x:v>
      </x:c>
      <x:c r="Q335" s="268" t="n">
        <x:f>FASE3!P335</x:f>
        <x:v>0</x:v>
      </x:c>
      <x:c r="R335" s="268" t="n">
        <x:f>FASE3!N335</x:f>
        <x:v>0</x:v>
      </x:c>
      <x:c r="S335" s="268" t="n">
        <x:f>AVERAGE(FASE3!Q335,FASE3!R335,FASE3!T335,FASE3!S335)</x:f>
        <x:v>0</x:v>
      </x:c>
      <x:c r="T335" s="268" t="n">
        <x:f>AVERAGE(FASE3!U335,FASE3!V335,FASE3!W335)</x:f>
        <x:v>0</x:v>
      </x:c>
      <x:c r="U335" s="268" t="n">
        <x:f>FASE3!Y335</x:f>
        <x:v>0</x:v>
      </x:c>
      <x:c r="V335" s="268" t="n">
        <x:f>FASE3!X335</x:f>
        <x:v>0</x:v>
      </x:c>
      <x:c r="W335" s="268" t="n">
        <x:f>FASE4!M335</x:f>
        <x:v>0</x:v>
      </x:c>
      <x:c r="X335" s="268">
        <x:f t="shared" si="5"/>
        <x:v>0</x:v>
      </x:c>
      <x:c r="Y335" s="2"/>
    </x:row>
    <x:row r="336" ht="15.75">
      <x:c r="B336">
        <x:v>9</x:v>
      </x:c>
      <x:c r="C336" t="s">
        <x:v>116</x:v>
      </x:c>
      <x:c r="D336" s="243">
        <x:v>909</x:v>
      </x:c>
      <x:c r="E336" s="268" t="n">
        <x:f>FASE1!G336</x:f>
        <x:v>0</x:v>
      </x:c>
      <x:c r="F336" s="268" t="n">
        <x:f>FASE1!M336</x:f>
        <x:v>0</x:v>
      </x:c>
      <x:c r="G336" s="268" t="n">
        <x:f>FASE1!L336</x:f>
        <x:v>0</x:v>
      </x:c>
      <x:c r="H336" s="268" t="n">
        <x:f>FASE1!R336</x:f>
        <x:v>0</x:v>
      </x:c>
      <x:c r="I336" s="268" t="n">
        <x:f>FASE1!U336</x:f>
        <x:v>0</x:v>
      </x:c>
      <x:c r="J336" s="268" t="n">
        <x:f>FASE1!U336</x:f>
        <x:v>0</x:v>
      </x:c>
      <x:c r="K336" s="268" t="n">
        <x:f>FASE1!P336</x:f>
        <x:v>0</x:v>
      </x:c>
      <x:c r="L336" s="268" t="n">
        <x:f>FASE1!V336</x:f>
        <x:v>0</x:v>
      </x:c>
      <x:c r="M336" s="268" t="n">
        <x:f>AVERAGE(FASE2!F336:G336)</x:f>
        <x:v>0</x:v>
      </x:c>
      <x:c r="N336" s="268" t="n">
        <x:f>AVERAGE(FASE2!O336:P336,FASE2!S336)</x:f>
        <x:v>0</x:v>
      </x:c>
      <x:c r="O336" s="268" t="n">
        <x:f>FASE4!K336</x:f>
        <x:v>0</x:v>
      </x:c>
      <x:c r="P336" s="268" t="n">
        <x:f>FASE2!N336</x:f>
        <x:v>0</x:v>
      </x:c>
      <x:c r="Q336" s="268" t="n">
        <x:f>FASE3!P336</x:f>
        <x:v>0</x:v>
      </x:c>
      <x:c r="R336" s="268" t="n">
        <x:f>FASE3!N336</x:f>
        <x:v>0</x:v>
      </x:c>
      <x:c r="S336" s="268" t="n">
        <x:f>AVERAGE(FASE3!Q336,FASE3!R336,FASE3!T336,FASE3!S336)</x:f>
        <x:v>0</x:v>
      </x:c>
      <x:c r="T336" s="268" t="n">
        <x:f>AVERAGE(FASE3!U336,FASE3!V336,FASE3!W336)</x:f>
        <x:v>0</x:v>
      </x:c>
      <x:c r="U336" s="268" t="n">
        <x:f>FASE3!Y336</x:f>
        <x:v>0</x:v>
      </x:c>
      <x:c r="V336" s="268" t="n">
        <x:f>FASE3!X336</x:f>
        <x:v>0</x:v>
      </x:c>
      <x:c r="W336" s="268" t="n">
        <x:f>FASE4!M336</x:f>
        <x:v>0</x:v>
      </x:c>
      <x:c r="X336" s="268">
        <x:f t="shared" si="5"/>
        <x:v>0</x:v>
      </x:c>
      <x:c r="Y336" s="2"/>
    </x:row>
    <x:row r="337" ht="15.75">
      <x:c r="B337">
        <x:v>9</x:v>
      </x:c>
      <x:c r="C337" t="s">
        <x:v>116</x:v>
      </x:c>
      <x:c r="D337" s="243">
        <x:v>910</x:v>
      </x:c>
      <x:c r="E337" s="268" t="n">
        <x:f>FASE1!G337</x:f>
        <x:v>0</x:v>
      </x:c>
      <x:c r="F337" s="268" t="n">
        <x:f>FASE1!M337</x:f>
        <x:v>0</x:v>
      </x:c>
      <x:c r="G337" s="268" t="n">
        <x:f>FASE1!L337</x:f>
        <x:v>0</x:v>
      </x:c>
      <x:c r="H337" s="268" t="n">
        <x:f>FASE1!R337</x:f>
        <x:v>0</x:v>
      </x:c>
      <x:c r="I337" s="268" t="n">
        <x:f>FASE1!U337</x:f>
        <x:v>0</x:v>
      </x:c>
      <x:c r="J337" s="268" t="n">
        <x:f>FASE1!U337</x:f>
        <x:v>0</x:v>
      </x:c>
      <x:c r="K337" s="268" t="n">
        <x:f>FASE1!P337</x:f>
        <x:v>0</x:v>
      </x:c>
      <x:c r="L337" s="268" t="n">
        <x:f>FASE1!V337</x:f>
        <x:v>0</x:v>
      </x:c>
      <x:c r="M337" s="268" t="n">
        <x:f>AVERAGE(FASE2!F337:G337)</x:f>
        <x:v>0</x:v>
      </x:c>
      <x:c r="N337" s="268" t="n">
        <x:f>AVERAGE(FASE2!O337:P337,FASE2!S337)</x:f>
        <x:v>0</x:v>
      </x:c>
      <x:c r="O337" s="268" t="n">
        <x:f>FASE4!K337</x:f>
        <x:v>0</x:v>
      </x:c>
      <x:c r="P337" s="268" t="n">
        <x:f>FASE2!N337</x:f>
        <x:v>0</x:v>
      </x:c>
      <x:c r="Q337" s="268" t="n">
        <x:f>FASE3!P337</x:f>
        <x:v>0</x:v>
      </x:c>
      <x:c r="R337" s="268" t="n">
        <x:f>FASE3!N337</x:f>
        <x:v>0</x:v>
      </x:c>
      <x:c r="S337" s="268" t="n">
        <x:f>AVERAGE(FASE3!Q337,FASE3!R337,FASE3!T337,FASE3!S337)</x:f>
        <x:v>0</x:v>
      </x:c>
      <x:c r="T337" s="268" t="n">
        <x:f>AVERAGE(FASE3!U337,FASE3!V337,FASE3!W337)</x:f>
        <x:v>0</x:v>
      </x:c>
      <x:c r="U337" s="268" t="n">
        <x:f>FASE3!Y337</x:f>
        <x:v>0</x:v>
      </x:c>
      <x:c r="V337" s="268" t="n">
        <x:f>FASE3!X337</x:f>
        <x:v>0</x:v>
      </x:c>
      <x:c r="W337" s="268" t="n">
        <x:f>FASE4!M337</x:f>
        <x:v>0</x:v>
      </x:c>
      <x:c r="X337" s="268">
        <x:f t="shared" si="5"/>
        <x:v>0</x:v>
      </x:c>
      <x:c r="Y337" s="2"/>
    </x:row>
    <x:row r="338" ht="15.75">
      <x:c r="B338">
        <x:v>9</x:v>
      </x:c>
      <x:c r="C338" t="s">
        <x:v>116</x:v>
      </x:c>
      <x:c r="D338" s="243">
        <x:v>911</x:v>
      </x:c>
      <x:c r="E338" s="268" t="n">
        <x:f>FASE1!G338</x:f>
        <x:v>0</x:v>
      </x:c>
      <x:c r="F338" s="268" t="n">
        <x:f>FASE1!M338</x:f>
        <x:v>0</x:v>
      </x:c>
      <x:c r="G338" s="268" t="n">
        <x:f>FASE1!L338</x:f>
        <x:v>0</x:v>
      </x:c>
      <x:c r="H338" s="268" t="n">
        <x:f>FASE1!R338</x:f>
        <x:v>0</x:v>
      </x:c>
      <x:c r="I338" s="268" t="n">
        <x:f>FASE1!U338</x:f>
        <x:v>0</x:v>
      </x:c>
      <x:c r="J338" s="268" t="n">
        <x:f>FASE1!U338</x:f>
        <x:v>0</x:v>
      </x:c>
      <x:c r="K338" s="268" t="n">
        <x:f>FASE1!P338</x:f>
        <x:v>0</x:v>
      </x:c>
      <x:c r="L338" s="268" t="n">
        <x:f>FASE1!V338</x:f>
        <x:v>0</x:v>
      </x:c>
      <x:c r="M338" s="268" t="n">
        <x:f>AVERAGE(FASE2!F338:G338)</x:f>
        <x:v>0</x:v>
      </x:c>
      <x:c r="N338" s="268" t="n">
        <x:f>AVERAGE(FASE2!O338:P338,FASE2!S338)</x:f>
        <x:v>0</x:v>
      </x:c>
      <x:c r="O338" s="268" t="n">
        <x:f>FASE4!K338</x:f>
        <x:v>0</x:v>
      </x:c>
      <x:c r="P338" s="268" t="n">
        <x:f>FASE2!N338</x:f>
        <x:v>0</x:v>
      </x:c>
      <x:c r="Q338" s="268" t="n">
        <x:f>FASE3!P338</x:f>
        <x:v>0</x:v>
      </x:c>
      <x:c r="R338" s="268" t="n">
        <x:f>FASE3!N338</x:f>
        <x:v>0</x:v>
      </x:c>
      <x:c r="S338" s="268" t="n">
        <x:f>AVERAGE(FASE3!Q338,FASE3!R338,FASE3!T338,FASE3!S338)</x:f>
        <x:v>0</x:v>
      </x:c>
      <x:c r="T338" s="268" t="n">
        <x:f>AVERAGE(FASE3!U338,FASE3!V338,FASE3!W338)</x:f>
        <x:v>0</x:v>
      </x:c>
      <x:c r="U338" s="268" t="n">
        <x:f>FASE3!Y338</x:f>
        <x:v>0</x:v>
      </x:c>
      <x:c r="V338" s="268" t="n">
        <x:f>FASE3!X338</x:f>
        <x:v>0</x:v>
      </x:c>
      <x:c r="W338" s="268" t="n">
        <x:f>FASE4!M338</x:f>
        <x:v>0</x:v>
      </x:c>
      <x:c r="X338" s="268">
        <x:f t="shared" si="5"/>
        <x:v>0</x:v>
      </x:c>
      <x:c r="Y338" s="2"/>
    </x:row>
    <x:row r="339" ht="15.75">
      <x:c r="B339">
        <x:v>9</x:v>
      </x:c>
      <x:c r="C339" t="s">
        <x:v>116</x:v>
      </x:c>
      <x:c r="D339" s="243">
        <x:v>912</x:v>
      </x:c>
      <x:c r="E339" s="268" t="n">
        <x:f>FASE1!G339</x:f>
        <x:v>0</x:v>
      </x:c>
      <x:c r="F339" s="268" t="n">
        <x:f>FASE1!M339</x:f>
        <x:v>0</x:v>
      </x:c>
      <x:c r="G339" s="268" t="n">
        <x:f>FASE1!L339</x:f>
        <x:v>0</x:v>
      </x:c>
      <x:c r="H339" s="268" t="n">
        <x:f>FASE1!R339</x:f>
        <x:v>0</x:v>
      </x:c>
      <x:c r="I339" s="268" t="n">
        <x:f>FASE1!U339</x:f>
        <x:v>0</x:v>
      </x:c>
      <x:c r="J339" s="268" t="n">
        <x:f>FASE1!U339</x:f>
        <x:v>0</x:v>
      </x:c>
      <x:c r="K339" s="268" t="n">
        <x:f>FASE1!P339</x:f>
        <x:v>0</x:v>
      </x:c>
      <x:c r="L339" s="268" t="n">
        <x:f>FASE1!V339</x:f>
        <x:v>0</x:v>
      </x:c>
      <x:c r="M339" s="268" t="n">
        <x:f>AVERAGE(FASE2!F339:G339)</x:f>
        <x:v>0</x:v>
      </x:c>
      <x:c r="N339" s="268" t="n">
        <x:f>AVERAGE(FASE2!O339:P339,FASE2!S339)</x:f>
        <x:v>0</x:v>
      </x:c>
      <x:c r="O339" s="268" t="n">
        <x:f>FASE4!K339</x:f>
        <x:v>0</x:v>
      </x:c>
      <x:c r="P339" s="268" t="n">
        <x:f>FASE2!N339</x:f>
        <x:v>0</x:v>
      </x:c>
      <x:c r="Q339" s="268" t="n">
        <x:f>FASE3!P339</x:f>
        <x:v>0</x:v>
      </x:c>
      <x:c r="R339" s="268" t="n">
        <x:f>FASE3!N339</x:f>
        <x:v>0</x:v>
      </x:c>
      <x:c r="S339" s="268" t="n">
        <x:f>AVERAGE(FASE3!Q339,FASE3!R339,FASE3!T339,FASE3!S339)</x:f>
        <x:v>0</x:v>
      </x:c>
      <x:c r="T339" s="268" t="n">
        <x:f>AVERAGE(FASE3!U339,FASE3!V339,FASE3!W339)</x:f>
        <x:v>0</x:v>
      </x:c>
      <x:c r="U339" s="268" t="n">
        <x:f>FASE3!Y339</x:f>
        <x:v>0</x:v>
      </x:c>
      <x:c r="V339" s="268" t="n">
        <x:f>FASE3!X339</x:f>
        <x:v>0</x:v>
      </x:c>
      <x:c r="W339" s="268" t="n">
        <x:f>FASE4!M339</x:f>
        <x:v>0</x:v>
      </x:c>
      <x:c r="X339" s="268">
        <x:f t="shared" si="5"/>
        <x:v>0</x:v>
      </x:c>
      <x:c r="Y339" s="2"/>
    </x:row>
    <x:row r="340" ht="15.75">
      <x:c r="B340">
        <x:v>9</x:v>
      </x:c>
      <x:c r="C340" t="s">
        <x:v>116</x:v>
      </x:c>
      <x:c r="D340" s="243">
        <x:v>913</x:v>
      </x:c>
      <x:c r="E340" s="268" t="n">
        <x:f>FASE1!G340</x:f>
        <x:v>0</x:v>
      </x:c>
      <x:c r="F340" s="268" t="n">
        <x:f>FASE1!M340</x:f>
        <x:v>0</x:v>
      </x:c>
      <x:c r="G340" s="268" t="n">
        <x:f>FASE1!L340</x:f>
        <x:v>0</x:v>
      </x:c>
      <x:c r="H340" s="268" t="n">
        <x:f>FASE1!R340</x:f>
        <x:v>0</x:v>
      </x:c>
      <x:c r="I340" s="268" t="n">
        <x:f>FASE1!U340</x:f>
        <x:v>0</x:v>
      </x:c>
      <x:c r="J340" s="268" t="n">
        <x:f>FASE1!U340</x:f>
        <x:v>0</x:v>
      </x:c>
      <x:c r="K340" s="268" t="n">
        <x:f>FASE1!P340</x:f>
        <x:v>0</x:v>
      </x:c>
      <x:c r="L340" s="268" t="n">
        <x:f>FASE1!V340</x:f>
        <x:v>0</x:v>
      </x:c>
      <x:c r="M340" s="268" t="n">
        <x:f>AVERAGE(FASE2!F340:G340)</x:f>
        <x:v>0</x:v>
      </x:c>
      <x:c r="N340" s="268" t="n">
        <x:f>AVERAGE(FASE2!O340:P340,FASE2!S340)</x:f>
        <x:v>0</x:v>
      </x:c>
      <x:c r="O340" s="268" t="n">
        <x:f>FASE4!K340</x:f>
        <x:v>0</x:v>
      </x:c>
      <x:c r="P340" s="268" t="n">
        <x:f>FASE2!N340</x:f>
        <x:v>0</x:v>
      </x:c>
      <x:c r="Q340" s="268" t="n">
        <x:f>FASE3!P340</x:f>
        <x:v>0</x:v>
      </x:c>
      <x:c r="R340" s="268" t="n">
        <x:f>FASE3!N340</x:f>
        <x:v>0</x:v>
      </x:c>
      <x:c r="S340" s="268" t="n">
        <x:f>AVERAGE(FASE3!Q340,FASE3!R340,FASE3!T340,FASE3!S340)</x:f>
        <x:v>0</x:v>
      </x:c>
      <x:c r="T340" s="268" t="n">
        <x:f>AVERAGE(FASE3!U340,FASE3!V340,FASE3!W340)</x:f>
        <x:v>0</x:v>
      </x:c>
      <x:c r="U340" s="268" t="n">
        <x:f>FASE3!Y340</x:f>
        <x:v>0</x:v>
      </x:c>
      <x:c r="V340" s="268" t="n">
        <x:f>FASE3!X340</x:f>
        <x:v>0</x:v>
      </x:c>
      <x:c r="W340" s="268" t="n">
        <x:f>FASE4!M340</x:f>
        <x:v>0</x:v>
      </x:c>
      <x:c r="X340" s="268">
        <x:f t="shared" si="5"/>
        <x:v>0</x:v>
      </x:c>
      <x:c r="Y340" s="2"/>
    </x:row>
    <x:row r="341" ht="15.75">
      <x:c r="B341">
        <x:v>9</x:v>
      </x:c>
      <x:c r="C341" t="s">
        <x:v>116</x:v>
      </x:c>
      <x:c r="D341" s="243">
        <x:v>914</x:v>
      </x:c>
      <x:c r="E341" s="268" t="n">
        <x:f>FASE1!G341</x:f>
        <x:v>0</x:v>
      </x:c>
      <x:c r="F341" s="268" t="n">
        <x:f>FASE1!M341</x:f>
        <x:v>0</x:v>
      </x:c>
      <x:c r="G341" s="268" t="n">
        <x:f>FASE1!L341</x:f>
        <x:v>0</x:v>
      </x:c>
      <x:c r="H341" s="268" t="n">
        <x:f>FASE1!R341</x:f>
        <x:v>0</x:v>
      </x:c>
      <x:c r="I341" s="268" t="n">
        <x:f>FASE1!U341</x:f>
        <x:v>0</x:v>
      </x:c>
      <x:c r="J341" s="268" t="n">
        <x:f>FASE1!U341</x:f>
        <x:v>0</x:v>
      </x:c>
      <x:c r="K341" s="268" t="n">
        <x:f>FASE1!P341</x:f>
        <x:v>0</x:v>
      </x:c>
      <x:c r="L341" s="268" t="n">
        <x:f>FASE1!V341</x:f>
        <x:v>0</x:v>
      </x:c>
      <x:c r="M341" s="268" t="n">
        <x:f>AVERAGE(FASE2!F341:G341)</x:f>
        <x:v>0</x:v>
      </x:c>
      <x:c r="N341" s="268" t="n">
        <x:f>AVERAGE(FASE2!O341:P341,FASE2!S341)</x:f>
        <x:v>0</x:v>
      </x:c>
      <x:c r="O341" s="268" t="n">
        <x:f>FASE4!K341</x:f>
        <x:v>0</x:v>
      </x:c>
      <x:c r="P341" s="268" t="n">
        <x:f>FASE2!N341</x:f>
        <x:v>0</x:v>
      </x:c>
      <x:c r="Q341" s="268" t="n">
        <x:f>FASE3!P341</x:f>
        <x:v>0</x:v>
      </x:c>
      <x:c r="R341" s="268" t="n">
        <x:f>FASE3!N341</x:f>
        <x:v>0</x:v>
      </x:c>
      <x:c r="S341" s="268" t="n">
        <x:f>AVERAGE(FASE3!Q341,FASE3!R341,FASE3!T341,FASE3!S341)</x:f>
        <x:v>0</x:v>
      </x:c>
      <x:c r="T341" s="268" t="n">
        <x:f>AVERAGE(FASE3!U341,FASE3!V341,FASE3!W341)</x:f>
        <x:v>0</x:v>
      </x:c>
      <x:c r="U341" s="268" t="n">
        <x:f>FASE3!Y341</x:f>
        <x:v>0</x:v>
      </x:c>
      <x:c r="V341" s="268" t="n">
        <x:f>FASE3!X341</x:f>
        <x:v>0</x:v>
      </x:c>
      <x:c r="W341" s="268" t="n">
        <x:f>FASE4!M341</x:f>
        <x:v>0</x:v>
      </x:c>
      <x:c r="X341" s="268">
        <x:f t="shared" si="5"/>
        <x:v>0</x:v>
      </x:c>
      <x:c r="Y341" s="2"/>
    </x:row>
    <x:row r="342" ht="15.75">
      <x:c r="B342">
        <x:v>9</x:v>
      </x:c>
      <x:c r="C342" t="s">
        <x:v>116</x:v>
      </x:c>
      <x:c r="D342" s="243">
        <x:v>915</x:v>
      </x:c>
      <x:c r="E342" s="268" t="n">
        <x:f>FASE1!G342</x:f>
        <x:v>0</x:v>
      </x:c>
      <x:c r="F342" s="268" t="n">
        <x:f>FASE1!M342</x:f>
        <x:v>0</x:v>
      </x:c>
      <x:c r="G342" s="268" t="n">
        <x:f>FASE1!L342</x:f>
        <x:v>0</x:v>
      </x:c>
      <x:c r="H342" s="268" t="n">
        <x:f>FASE1!R342</x:f>
        <x:v>0</x:v>
      </x:c>
      <x:c r="I342" s="268" t="n">
        <x:f>FASE1!U342</x:f>
        <x:v>0</x:v>
      </x:c>
      <x:c r="J342" s="268" t="n">
        <x:f>FASE1!U342</x:f>
        <x:v>0</x:v>
      </x:c>
      <x:c r="K342" s="268" t="n">
        <x:f>FASE1!P342</x:f>
        <x:v>0</x:v>
      </x:c>
      <x:c r="L342" s="268" t="n">
        <x:f>FASE1!V342</x:f>
        <x:v>0</x:v>
      </x:c>
      <x:c r="M342" s="268" t="n">
        <x:f>AVERAGE(FASE2!F342:G342)</x:f>
        <x:v>0</x:v>
      </x:c>
      <x:c r="N342" s="268" t="n">
        <x:f>AVERAGE(FASE2!O342:P342,FASE2!S342)</x:f>
        <x:v>0</x:v>
      </x:c>
      <x:c r="O342" s="268" t="n">
        <x:f>FASE4!K342</x:f>
        <x:v>0</x:v>
      </x:c>
      <x:c r="P342" s="268" t="n">
        <x:f>FASE2!N342</x:f>
        <x:v>0</x:v>
      </x:c>
      <x:c r="Q342" s="268" t="n">
        <x:f>FASE3!P342</x:f>
        <x:v>0</x:v>
      </x:c>
      <x:c r="R342" s="268" t="n">
        <x:f>FASE3!N342</x:f>
        <x:v>0</x:v>
      </x:c>
      <x:c r="S342" s="268" t="n">
        <x:f>AVERAGE(FASE3!Q342,FASE3!R342,FASE3!T342,FASE3!S342)</x:f>
        <x:v>0</x:v>
      </x:c>
      <x:c r="T342" s="268" t="n">
        <x:f>AVERAGE(FASE3!U342,FASE3!V342,FASE3!W342)</x:f>
        <x:v>0</x:v>
      </x:c>
      <x:c r="U342" s="268" t="n">
        <x:f>FASE3!Y342</x:f>
        <x:v>0</x:v>
      </x:c>
      <x:c r="V342" s="268" t="n">
        <x:f>FASE3!X342</x:f>
        <x:v>0</x:v>
      </x:c>
      <x:c r="W342" s="268" t="n">
        <x:f>FASE4!M342</x:f>
        <x:v>0</x:v>
      </x:c>
      <x:c r="X342" s="268">
        <x:f t="shared" si="5"/>
        <x:v>0</x:v>
      </x:c>
      <x:c r="Y342" s="2"/>
    </x:row>
    <x:row r="343" ht="15.75">
      <x:c r="B343">
        <x:v>9</x:v>
      </x:c>
      <x:c r="C343" t="s">
        <x:v>116</x:v>
      </x:c>
      <x:c r="D343" s="243">
        <x:v>916</x:v>
      </x:c>
      <x:c r="E343" s="268" t="n">
        <x:f>FASE1!G343</x:f>
        <x:v>0</x:v>
      </x:c>
      <x:c r="F343" s="268" t="n">
        <x:f>FASE1!M343</x:f>
        <x:v>0</x:v>
      </x:c>
      <x:c r="G343" s="268" t="n">
        <x:f>FASE1!L343</x:f>
        <x:v>0</x:v>
      </x:c>
      <x:c r="H343" s="268" t="n">
        <x:f>FASE1!R343</x:f>
        <x:v>0</x:v>
      </x:c>
      <x:c r="I343" s="268" t="n">
        <x:f>FASE1!U343</x:f>
        <x:v>0</x:v>
      </x:c>
      <x:c r="J343" s="268" t="n">
        <x:f>FASE1!U343</x:f>
        <x:v>0</x:v>
      </x:c>
      <x:c r="K343" s="268" t="n">
        <x:f>FASE1!P343</x:f>
        <x:v>0</x:v>
      </x:c>
      <x:c r="L343" s="268" t="n">
        <x:f>FASE1!V343</x:f>
        <x:v>0</x:v>
      </x:c>
      <x:c r="M343" s="268" t="n">
        <x:f>AVERAGE(FASE2!F343:G343)</x:f>
        <x:v>0</x:v>
      </x:c>
      <x:c r="N343" s="268" t="n">
        <x:f>AVERAGE(FASE2!O343:P343,FASE2!S343)</x:f>
        <x:v>0</x:v>
      </x:c>
      <x:c r="O343" s="268" t="n">
        <x:f>FASE4!K343</x:f>
        <x:v>0</x:v>
      </x:c>
      <x:c r="P343" s="268" t="n">
        <x:f>FASE2!N343</x:f>
        <x:v>0</x:v>
      </x:c>
      <x:c r="Q343" s="268" t="n">
        <x:f>FASE3!P343</x:f>
        <x:v>0</x:v>
      </x:c>
      <x:c r="R343" s="268" t="n">
        <x:f>FASE3!N343</x:f>
        <x:v>0</x:v>
      </x:c>
      <x:c r="S343" s="268" t="n">
        <x:f>AVERAGE(FASE3!Q343,FASE3!R343,FASE3!T343,FASE3!S343)</x:f>
        <x:v>0</x:v>
      </x:c>
      <x:c r="T343" s="268" t="n">
        <x:f>AVERAGE(FASE3!U343,FASE3!V343,FASE3!W343)</x:f>
        <x:v>0</x:v>
      </x:c>
      <x:c r="U343" s="268" t="n">
        <x:f>FASE3!Y343</x:f>
        <x:v>0</x:v>
      </x:c>
      <x:c r="V343" s="268" t="n">
        <x:f>FASE3!X343</x:f>
        <x:v>0</x:v>
      </x:c>
      <x:c r="W343" s="268" t="n">
        <x:f>FASE4!M343</x:f>
        <x:v>0</x:v>
      </x:c>
      <x:c r="X343" s="268">
        <x:f t="shared" si="5"/>
        <x:v>0</x:v>
      </x:c>
      <x:c r="Y343" s="2"/>
    </x:row>
    <x:row r="344" ht="15.75">
      <x:c r="B344">
        <x:v>9</x:v>
      </x:c>
      <x:c r="C344" t="s">
        <x:v>116</x:v>
      </x:c>
      <x:c r="D344" s="243">
        <x:v>917</x:v>
      </x:c>
      <x:c r="E344" s="268" t="n">
        <x:f>FASE1!G344</x:f>
        <x:v>0</x:v>
      </x:c>
      <x:c r="F344" s="268" t="n">
        <x:f>FASE1!M344</x:f>
        <x:v>0</x:v>
      </x:c>
      <x:c r="G344" s="268" t="n">
        <x:f>FASE1!L344</x:f>
        <x:v>0</x:v>
      </x:c>
      <x:c r="H344" s="268" t="n">
        <x:f>FASE1!R344</x:f>
        <x:v>0</x:v>
      </x:c>
      <x:c r="I344" s="268" t="n">
        <x:f>FASE1!U344</x:f>
        <x:v>0</x:v>
      </x:c>
      <x:c r="J344" s="268" t="n">
        <x:f>FASE1!U344</x:f>
        <x:v>0</x:v>
      </x:c>
      <x:c r="K344" s="268" t="n">
        <x:f>FASE1!P344</x:f>
        <x:v>0</x:v>
      </x:c>
      <x:c r="L344" s="268" t="n">
        <x:f>FASE1!V344</x:f>
        <x:v>0</x:v>
      </x:c>
      <x:c r="M344" s="268" t="n">
        <x:f>AVERAGE(FASE2!F344:G344)</x:f>
        <x:v>0</x:v>
      </x:c>
      <x:c r="N344" s="268" t="n">
        <x:f>AVERAGE(FASE2!O344:P344,FASE2!S344)</x:f>
        <x:v>0</x:v>
      </x:c>
      <x:c r="O344" s="268" t="n">
        <x:f>FASE4!K344</x:f>
        <x:v>0</x:v>
      </x:c>
      <x:c r="P344" s="268" t="n">
        <x:f>FASE2!N344</x:f>
        <x:v>0</x:v>
      </x:c>
      <x:c r="Q344" s="268" t="n">
        <x:f>FASE3!P344</x:f>
        <x:v>0</x:v>
      </x:c>
      <x:c r="R344" s="268" t="n">
        <x:f>FASE3!N344</x:f>
        <x:v>0</x:v>
      </x:c>
      <x:c r="S344" s="268" t="n">
        <x:f>AVERAGE(FASE3!Q344,FASE3!R344,FASE3!T344,FASE3!S344)</x:f>
        <x:v>0</x:v>
      </x:c>
      <x:c r="T344" s="268" t="n">
        <x:f>AVERAGE(FASE3!U344,FASE3!V344,FASE3!W344)</x:f>
        <x:v>0</x:v>
      </x:c>
      <x:c r="U344" s="268" t="n">
        <x:f>FASE3!Y344</x:f>
        <x:v>0</x:v>
      </x:c>
      <x:c r="V344" s="268" t="n">
        <x:f>FASE3!X344</x:f>
        <x:v>0</x:v>
      </x:c>
      <x:c r="W344" s="268" t="n">
        <x:f>FASE4!M344</x:f>
        <x:v>0</x:v>
      </x:c>
      <x:c r="X344" s="268">
        <x:f t="shared" si="5"/>
        <x:v>0</x:v>
      </x:c>
      <x:c r="Y344" s="2"/>
    </x:row>
    <x:row r="345" ht="15.75">
      <x:c r="B345">
        <x:v>9</x:v>
      </x:c>
      <x:c r="C345" t="s">
        <x:v>116</x:v>
      </x:c>
      <x:c r="D345" s="243">
        <x:v>918</x:v>
      </x:c>
      <x:c r="E345" s="268" t="n">
        <x:f>FASE1!G345</x:f>
        <x:v>0</x:v>
      </x:c>
      <x:c r="F345" s="268" t="n">
        <x:f>FASE1!M345</x:f>
        <x:v>0</x:v>
      </x:c>
      <x:c r="G345" s="268" t="n">
        <x:f>FASE1!L345</x:f>
        <x:v>0</x:v>
      </x:c>
      <x:c r="H345" s="268" t="n">
        <x:f>FASE1!R345</x:f>
        <x:v>0</x:v>
      </x:c>
      <x:c r="I345" s="268" t="n">
        <x:f>FASE1!U345</x:f>
        <x:v>0</x:v>
      </x:c>
      <x:c r="J345" s="268" t="n">
        <x:f>FASE1!U345</x:f>
        <x:v>0</x:v>
      </x:c>
      <x:c r="K345" s="268" t="n">
        <x:f>FASE1!P345</x:f>
        <x:v>0</x:v>
      </x:c>
      <x:c r="L345" s="268" t="n">
        <x:f>FASE1!V345</x:f>
        <x:v>0</x:v>
      </x:c>
      <x:c r="M345" s="268" t="n">
        <x:f>AVERAGE(FASE2!F345:G345)</x:f>
        <x:v>0</x:v>
      </x:c>
      <x:c r="N345" s="268" t="n">
        <x:f>AVERAGE(FASE2!O345:P345,FASE2!S345)</x:f>
        <x:v>0</x:v>
      </x:c>
      <x:c r="O345" s="268" t="n">
        <x:f>FASE4!K345</x:f>
        <x:v>0</x:v>
      </x:c>
      <x:c r="P345" s="268" t="n">
        <x:f>FASE2!N345</x:f>
        <x:v>0</x:v>
      </x:c>
      <x:c r="Q345" s="268" t="n">
        <x:f>FASE3!P345</x:f>
        <x:v>0</x:v>
      </x:c>
      <x:c r="R345" s="268" t="n">
        <x:f>FASE3!N345</x:f>
        <x:v>0</x:v>
      </x:c>
      <x:c r="S345" s="268" t="n">
        <x:f>AVERAGE(FASE3!Q345,FASE3!R345,FASE3!T345,FASE3!S345)</x:f>
        <x:v>0</x:v>
      </x:c>
      <x:c r="T345" s="268" t="n">
        <x:f>AVERAGE(FASE3!U345,FASE3!V345,FASE3!W345)</x:f>
        <x:v>0</x:v>
      </x:c>
      <x:c r="U345" s="268" t="n">
        <x:f>FASE3!Y345</x:f>
        <x:v>0</x:v>
      </x:c>
      <x:c r="V345" s="268" t="n">
        <x:f>FASE3!X345</x:f>
        <x:v>0</x:v>
      </x:c>
      <x:c r="W345" s="268" t="n">
        <x:f>FASE4!M345</x:f>
        <x:v>0</x:v>
      </x:c>
      <x:c r="X345" s="268">
        <x:f t="shared" si="5"/>
        <x:v>0</x:v>
      </x:c>
      <x:c r="Y345" s="2"/>
    </x:row>
    <x:row r="346" ht="15.75">
      <x:c r="B346">
        <x:v>9</x:v>
      </x:c>
      <x:c r="C346" t="s">
        <x:v>116</x:v>
      </x:c>
      <x:c r="D346" s="243">
        <x:v>919</x:v>
      </x:c>
      <x:c r="E346" s="268" t="n">
        <x:f>FASE1!G346</x:f>
        <x:v>0</x:v>
      </x:c>
      <x:c r="F346" s="268" t="n">
        <x:f>FASE1!M346</x:f>
        <x:v>0</x:v>
      </x:c>
      <x:c r="G346" s="268" t="n">
        <x:f>FASE1!L346</x:f>
        <x:v>0</x:v>
      </x:c>
      <x:c r="H346" s="268" t="n">
        <x:f>FASE1!R346</x:f>
        <x:v>0</x:v>
      </x:c>
      <x:c r="I346" s="268" t="n">
        <x:f>FASE1!U346</x:f>
        <x:v>0</x:v>
      </x:c>
      <x:c r="J346" s="268" t="n">
        <x:f>FASE1!U346</x:f>
        <x:v>0</x:v>
      </x:c>
      <x:c r="K346" s="268" t="n">
        <x:f>FASE1!P346</x:f>
        <x:v>0</x:v>
      </x:c>
      <x:c r="L346" s="268" t="n">
        <x:f>FASE1!V346</x:f>
        <x:v>0</x:v>
      </x:c>
      <x:c r="M346" s="268" t="n">
        <x:f>AVERAGE(FASE2!F346:G346)</x:f>
        <x:v>0</x:v>
      </x:c>
      <x:c r="N346" s="268" t="n">
        <x:f>AVERAGE(FASE2!O346:P346,FASE2!S346)</x:f>
        <x:v>0</x:v>
      </x:c>
      <x:c r="O346" s="268" t="n">
        <x:f>FASE4!K346</x:f>
        <x:v>0</x:v>
      </x:c>
      <x:c r="P346" s="268" t="n">
        <x:f>FASE2!N346</x:f>
        <x:v>0</x:v>
      </x:c>
      <x:c r="Q346" s="268" t="n">
        <x:f>FASE3!P346</x:f>
        <x:v>0</x:v>
      </x:c>
      <x:c r="R346" s="268" t="n">
        <x:f>FASE3!N346</x:f>
        <x:v>0</x:v>
      </x:c>
      <x:c r="S346" s="268" t="n">
        <x:f>AVERAGE(FASE3!Q346,FASE3!R346,FASE3!T346,FASE3!S346)</x:f>
        <x:v>0</x:v>
      </x:c>
      <x:c r="T346" s="268" t="n">
        <x:f>AVERAGE(FASE3!U346,FASE3!V346,FASE3!W346)</x:f>
        <x:v>0</x:v>
      </x:c>
      <x:c r="U346" s="268" t="n">
        <x:f>FASE3!Y346</x:f>
        <x:v>0</x:v>
      </x:c>
      <x:c r="V346" s="268" t="n">
        <x:f>FASE3!X346</x:f>
        <x:v>0</x:v>
      </x:c>
      <x:c r="W346" s="268" t="n">
        <x:f>FASE4!M346</x:f>
        <x:v>0</x:v>
      </x:c>
      <x:c r="X346" s="268">
        <x:f t="shared" si="5"/>
        <x:v>0</x:v>
      </x:c>
      <x:c r="Y346" s="2"/>
    </x:row>
    <x:row r="347" ht="15.75">
      <x:c r="B347">
        <x:v>9</x:v>
      </x:c>
      <x:c r="C347" t="s">
        <x:v>116</x:v>
      </x:c>
      <x:c r="D347" s="243">
        <x:v>923</x:v>
      </x:c>
      <x:c r="E347" s="268" t="n">
        <x:f>FASE1!G347</x:f>
        <x:v>0</x:v>
      </x:c>
      <x:c r="F347" s="268" t="n">
        <x:f>FASE1!M347</x:f>
        <x:v>0</x:v>
      </x:c>
      <x:c r="G347" s="268" t="n">
        <x:f>FASE1!L347</x:f>
        <x:v>0</x:v>
      </x:c>
      <x:c r="H347" s="268" t="n">
        <x:f>FASE1!R347</x:f>
        <x:v>0</x:v>
      </x:c>
      <x:c r="I347" s="268" t="n">
        <x:f>FASE1!U347</x:f>
        <x:v>0</x:v>
      </x:c>
      <x:c r="J347" s="268" t="n">
        <x:f>FASE1!U347</x:f>
        <x:v>0</x:v>
      </x:c>
      <x:c r="K347" s="268" t="n">
        <x:f>FASE1!P347</x:f>
        <x:v>0</x:v>
      </x:c>
      <x:c r="L347" s="268" t="n">
        <x:f>FASE1!V347</x:f>
        <x:v>0</x:v>
      </x:c>
      <x:c r="M347" s="268" t="n">
        <x:f>AVERAGE(FASE2!F347:G347)</x:f>
        <x:v>0</x:v>
      </x:c>
      <x:c r="N347" s="268" t="n">
        <x:f>AVERAGE(FASE2!O347:P347,FASE2!S347)</x:f>
        <x:v>0</x:v>
      </x:c>
      <x:c r="O347" s="268" t="n">
        <x:f>FASE4!K347</x:f>
        <x:v>0</x:v>
      </x:c>
      <x:c r="P347" s="268" t="n">
        <x:f>FASE2!N347</x:f>
        <x:v>0</x:v>
      </x:c>
      <x:c r="Q347" s="268" t="n">
        <x:f>FASE3!P347</x:f>
        <x:v>0</x:v>
      </x:c>
      <x:c r="R347" s="268" t="n">
        <x:f>FASE3!N347</x:f>
        <x:v>0</x:v>
      </x:c>
      <x:c r="S347" s="268" t="n">
        <x:f>AVERAGE(FASE3!Q347,FASE3!R347,FASE3!T347,FASE3!S347)</x:f>
        <x:v>0</x:v>
      </x:c>
      <x:c r="T347" s="268" t="n">
        <x:f>AVERAGE(FASE3!U347,FASE3!V347,FASE3!W347)</x:f>
        <x:v>0</x:v>
      </x:c>
      <x:c r="U347" s="268" t="n">
        <x:f>FASE3!Y347</x:f>
        <x:v>0</x:v>
      </x:c>
      <x:c r="V347" s="268" t="n">
        <x:f>FASE3!X347</x:f>
        <x:v>0</x:v>
      </x:c>
      <x:c r="W347" s="268" t="n">
        <x:f>FASE4!M347</x:f>
        <x:v>0</x:v>
      </x:c>
      <x:c r="X347" s="268">
        <x:f t="shared" si="5"/>
        <x:v>0</x:v>
      </x:c>
      <x:c r="Y347" s="2"/>
    </x:row>
    <x:row r="348" ht="15.75">
      <x:c r="B348">
        <x:v>9</x:v>
      </x:c>
      <x:c r="C348" t="s">
        <x:v>115</x:v>
      </x:c>
      <x:c r="D348" s="243">
        <x:v>901</x:v>
      </x:c>
      <x:c r="E348" s="268" t="n">
        <x:f>FASE1!G348</x:f>
        <x:v>0</x:v>
      </x:c>
      <x:c r="F348" s="268" t="n">
        <x:f>FASE1!M348</x:f>
        <x:v>0</x:v>
      </x:c>
      <x:c r="G348" s="268" t="n">
        <x:f>FASE1!L348</x:f>
        <x:v>0</x:v>
      </x:c>
      <x:c r="H348" s="268" t="n">
        <x:f>FASE1!R348</x:f>
        <x:v>0</x:v>
      </x:c>
      <x:c r="I348" s="268" t="n">
        <x:f>FASE1!U348</x:f>
        <x:v>0</x:v>
      </x:c>
      <x:c r="J348" s="268" t="n">
        <x:f>FASE1!U348</x:f>
        <x:v>0</x:v>
      </x:c>
      <x:c r="K348" s="268" t="n">
        <x:f>FASE1!P348</x:f>
        <x:v>0</x:v>
      </x:c>
      <x:c r="L348" s="268" t="n">
        <x:f>FASE1!V348</x:f>
        <x:v>0</x:v>
      </x:c>
      <x:c r="M348" s="268" t="n">
        <x:f>AVERAGE(FASE2!F348:G348)</x:f>
        <x:v>0</x:v>
      </x:c>
      <x:c r="N348" s="268" t="n">
        <x:f>AVERAGE(FASE2!O348:P348,FASE2!S348)</x:f>
        <x:v>0</x:v>
      </x:c>
      <x:c r="O348" s="268" t="n">
        <x:f>FASE4!K348</x:f>
        <x:v>0</x:v>
      </x:c>
      <x:c r="P348" s="268" t="n">
        <x:f>FASE2!N348</x:f>
        <x:v>0</x:v>
      </x:c>
      <x:c r="Q348" s="268" t="n">
        <x:f>FASE3!P348</x:f>
        <x:v>0</x:v>
      </x:c>
      <x:c r="R348" s="268" t="n">
        <x:f>FASE3!N348</x:f>
        <x:v>0</x:v>
      </x:c>
      <x:c r="S348" s="268" t="n">
        <x:f>AVERAGE(FASE3!Q348,FASE3!R348,FASE3!T348,FASE3!S348)</x:f>
        <x:v>0</x:v>
      </x:c>
      <x:c r="T348" s="268" t="n">
        <x:f>AVERAGE(FASE3!U348,FASE3!V348,FASE3!W348)</x:f>
        <x:v>0</x:v>
      </x:c>
      <x:c r="U348" s="268" t="n">
        <x:f>FASE3!Y348</x:f>
        <x:v>0</x:v>
      </x:c>
      <x:c r="V348" s="268" t="n">
        <x:f>FASE3!X348</x:f>
        <x:v>0</x:v>
      </x:c>
      <x:c r="W348" s="268" t="n">
        <x:f>FASE4!M348</x:f>
        <x:v>0</x:v>
      </x:c>
      <x:c r="X348" s="268">
        <x:f t="shared" si="5"/>
        <x:v>0</x:v>
      </x:c>
      <x:c r="Y348" s="2"/>
    </x:row>
    <x:row r="349" ht="15.75">
      <x:c r="B349">
        <x:v>9</x:v>
      </x:c>
      <x:c r="C349" t="s">
        <x:v>115</x:v>
      </x:c>
      <x:c r="D349" s="243">
        <x:v>902</x:v>
      </x:c>
      <x:c r="E349" s="268" t="n">
        <x:f>FASE1!G349</x:f>
        <x:v>0</x:v>
      </x:c>
      <x:c r="F349" s="268" t="n">
        <x:f>FASE1!M349</x:f>
        <x:v>0</x:v>
      </x:c>
      <x:c r="G349" s="268" t="n">
        <x:f>FASE1!L349</x:f>
        <x:v>0</x:v>
      </x:c>
      <x:c r="H349" s="268" t="n">
        <x:f>FASE1!R349</x:f>
        <x:v>0</x:v>
      </x:c>
      <x:c r="I349" s="268" t="n">
        <x:f>FASE1!U349</x:f>
        <x:v>0</x:v>
      </x:c>
      <x:c r="J349" s="268" t="n">
        <x:f>FASE1!U349</x:f>
        <x:v>0</x:v>
      </x:c>
      <x:c r="K349" s="268" t="n">
        <x:f>FASE1!P349</x:f>
        <x:v>0</x:v>
      </x:c>
      <x:c r="L349" s="268" t="n">
        <x:f>FASE1!V349</x:f>
        <x:v>0</x:v>
      </x:c>
      <x:c r="M349" s="268" t="n">
        <x:f>AVERAGE(FASE2!F349:G349)</x:f>
        <x:v>0</x:v>
      </x:c>
      <x:c r="N349" s="268" t="n">
        <x:f>AVERAGE(FASE2!O349:P349,FASE2!S349)</x:f>
        <x:v>0</x:v>
      </x:c>
      <x:c r="O349" s="268" t="n">
        <x:f>FASE4!K349</x:f>
        <x:v>0</x:v>
      </x:c>
      <x:c r="P349" s="268" t="n">
        <x:f>FASE2!N349</x:f>
        <x:v>0</x:v>
      </x:c>
      <x:c r="Q349" s="268" t="n">
        <x:f>FASE3!P349</x:f>
        <x:v>0</x:v>
      </x:c>
      <x:c r="R349" s="268" t="n">
        <x:f>FASE3!N349</x:f>
        <x:v>0</x:v>
      </x:c>
      <x:c r="S349" s="268" t="n">
        <x:f>AVERAGE(FASE3!Q349,FASE3!R349,FASE3!T349,FASE3!S349)</x:f>
        <x:v>0</x:v>
      </x:c>
      <x:c r="T349" s="268" t="n">
        <x:f>AVERAGE(FASE3!U349,FASE3!V349,FASE3!W349)</x:f>
        <x:v>0</x:v>
      </x:c>
      <x:c r="U349" s="268" t="n">
        <x:f>FASE3!Y349</x:f>
        <x:v>0</x:v>
      </x:c>
      <x:c r="V349" s="268" t="n">
        <x:f>FASE3!X349</x:f>
        <x:v>0</x:v>
      </x:c>
      <x:c r="W349" s="268" t="n">
        <x:f>FASE4!M349</x:f>
        <x:v>0</x:v>
      </x:c>
      <x:c r="X349" s="268">
        <x:f t="shared" si="5"/>
        <x:v>0</x:v>
      </x:c>
      <x:c r="Y349" s="2"/>
    </x:row>
    <x:row r="350" ht="15.75">
      <x:c r="B350">
        <x:v>9</x:v>
      </x:c>
      <x:c r="C350" t="s">
        <x:v>115</x:v>
      </x:c>
      <x:c r="D350" s="243">
        <x:v>903</x:v>
      </x:c>
      <x:c r="E350" s="268" t="n">
        <x:f>FASE1!G350</x:f>
        <x:v>0</x:v>
      </x:c>
      <x:c r="F350" s="268" t="n">
        <x:f>FASE1!M350</x:f>
        <x:v>0</x:v>
      </x:c>
      <x:c r="G350" s="268" t="n">
        <x:f>FASE1!L350</x:f>
        <x:v>0</x:v>
      </x:c>
      <x:c r="H350" s="268" t="n">
        <x:f>FASE1!R350</x:f>
        <x:v>0</x:v>
      </x:c>
      <x:c r="I350" s="268" t="n">
        <x:f>FASE1!U350</x:f>
        <x:v>0</x:v>
      </x:c>
      <x:c r="J350" s="268" t="n">
        <x:f>FASE1!U350</x:f>
        <x:v>0</x:v>
      </x:c>
      <x:c r="K350" s="268" t="n">
        <x:f>FASE1!P350</x:f>
        <x:v>0</x:v>
      </x:c>
      <x:c r="L350" s="268" t="n">
        <x:f>FASE1!V350</x:f>
        <x:v>0</x:v>
      </x:c>
      <x:c r="M350" s="268" t="n">
        <x:f>AVERAGE(FASE2!F350:G350)</x:f>
        <x:v>0</x:v>
      </x:c>
      <x:c r="N350" s="268" t="n">
        <x:f>AVERAGE(FASE2!O350:P350,FASE2!S350)</x:f>
        <x:v>0</x:v>
      </x:c>
      <x:c r="O350" s="268" t="n">
        <x:f>FASE4!K350</x:f>
        <x:v>0</x:v>
      </x:c>
      <x:c r="P350" s="268" t="n">
        <x:f>FASE2!N350</x:f>
        <x:v>0</x:v>
      </x:c>
      <x:c r="Q350" s="268" t="n">
        <x:f>FASE3!P350</x:f>
        <x:v>0</x:v>
      </x:c>
      <x:c r="R350" s="268" t="n">
        <x:f>FASE3!N350</x:f>
        <x:v>0</x:v>
      </x:c>
      <x:c r="S350" s="268" t="n">
        <x:f>AVERAGE(FASE3!Q350,FASE3!R350,FASE3!T350,FASE3!S350)</x:f>
        <x:v>0</x:v>
      </x:c>
      <x:c r="T350" s="268" t="n">
        <x:f>AVERAGE(FASE3!U350,FASE3!V350,FASE3!W350)</x:f>
        <x:v>0</x:v>
      </x:c>
      <x:c r="U350" s="268" t="n">
        <x:f>FASE3!Y350</x:f>
        <x:v>0</x:v>
      </x:c>
      <x:c r="V350" s="268" t="n">
        <x:f>FASE3!X350</x:f>
        <x:v>0</x:v>
      </x:c>
      <x:c r="W350" s="268" t="n">
        <x:f>FASE4!M350</x:f>
        <x:v>0</x:v>
      </x:c>
      <x:c r="X350" s="268">
        <x:f t="shared" si="5"/>
        <x:v>0</x:v>
      </x:c>
      <x:c r="Y350" s="2"/>
    </x:row>
    <x:row r="351" ht="15.75">
      <x:c r="B351">
        <x:v>9</x:v>
      </x:c>
      <x:c r="C351" t="s">
        <x:v>115</x:v>
      </x:c>
      <x:c r="D351" s="243">
        <x:v>904</x:v>
      </x:c>
      <x:c r="E351" s="268" t="n">
        <x:f>FASE1!G351</x:f>
        <x:v>0</x:v>
      </x:c>
      <x:c r="F351" s="268" t="n">
        <x:f>FASE1!M351</x:f>
        <x:v>0</x:v>
      </x:c>
      <x:c r="G351" s="268" t="n">
        <x:f>FASE1!L351</x:f>
        <x:v>0</x:v>
      </x:c>
      <x:c r="H351" s="268" t="n">
        <x:f>FASE1!R351</x:f>
        <x:v>0</x:v>
      </x:c>
      <x:c r="I351" s="268" t="n">
        <x:f>FASE1!U351</x:f>
        <x:v>0</x:v>
      </x:c>
      <x:c r="J351" s="268" t="n">
        <x:f>FASE1!U351</x:f>
        <x:v>0</x:v>
      </x:c>
      <x:c r="K351" s="268" t="n">
        <x:f>FASE1!P351</x:f>
        <x:v>0</x:v>
      </x:c>
      <x:c r="L351" s="268" t="n">
        <x:f>FASE1!V351</x:f>
        <x:v>0</x:v>
      </x:c>
      <x:c r="M351" s="268" t="n">
        <x:f>AVERAGE(FASE2!F351:G351)</x:f>
        <x:v>0</x:v>
      </x:c>
      <x:c r="N351" s="268" t="n">
        <x:f>AVERAGE(FASE2!O351:P351,FASE2!S351)</x:f>
        <x:v>0</x:v>
      </x:c>
      <x:c r="O351" s="268" t="n">
        <x:f>FASE4!K351</x:f>
        <x:v>0</x:v>
      </x:c>
      <x:c r="P351" s="268" t="n">
        <x:f>FASE2!N351</x:f>
        <x:v>0</x:v>
      </x:c>
      <x:c r="Q351" s="268" t="n">
        <x:f>FASE3!P351</x:f>
        <x:v>0</x:v>
      </x:c>
      <x:c r="R351" s="268" t="n">
        <x:f>FASE3!N351</x:f>
        <x:v>0</x:v>
      </x:c>
      <x:c r="S351" s="268" t="n">
        <x:f>AVERAGE(FASE3!Q351,FASE3!R351,FASE3!T351,FASE3!S351)</x:f>
        <x:v>0</x:v>
      </x:c>
      <x:c r="T351" s="268" t="n">
        <x:f>AVERAGE(FASE3!U351,FASE3!V351,FASE3!W351)</x:f>
        <x:v>0</x:v>
      </x:c>
      <x:c r="U351" s="268" t="n">
        <x:f>FASE3!Y351</x:f>
        <x:v>0</x:v>
      </x:c>
      <x:c r="V351" s="268" t="n">
        <x:f>FASE3!X351</x:f>
        <x:v>0</x:v>
      </x:c>
      <x:c r="W351" s="268" t="n">
        <x:f>FASE4!M351</x:f>
        <x:v>0</x:v>
      </x:c>
      <x:c r="X351" s="268">
        <x:f t="shared" si="5"/>
        <x:v>0</x:v>
      </x:c>
      <x:c r="Y351" s="2"/>
    </x:row>
    <x:row r="352" ht="15.75">
      <x:c r="B352">
        <x:v>9</x:v>
      </x:c>
      <x:c r="C352" t="s">
        <x:v>115</x:v>
      </x:c>
      <x:c r="D352" s="243">
        <x:v>905</x:v>
      </x:c>
      <x:c r="E352" s="268" t="n">
        <x:f>FASE1!G352</x:f>
        <x:v>0</x:v>
      </x:c>
      <x:c r="F352" s="268" t="n">
        <x:f>FASE1!M352</x:f>
        <x:v>0</x:v>
      </x:c>
      <x:c r="G352" s="268" t="n">
        <x:f>FASE1!L352</x:f>
        <x:v>0</x:v>
      </x:c>
      <x:c r="H352" s="268" t="n">
        <x:f>FASE1!R352</x:f>
        <x:v>0</x:v>
      </x:c>
      <x:c r="I352" s="268" t="n">
        <x:f>FASE1!U352</x:f>
        <x:v>0</x:v>
      </x:c>
      <x:c r="J352" s="268" t="n">
        <x:f>FASE1!U352</x:f>
        <x:v>0</x:v>
      </x:c>
      <x:c r="K352" s="268" t="n">
        <x:f>FASE1!P352</x:f>
        <x:v>0</x:v>
      </x:c>
      <x:c r="L352" s="268" t="n">
        <x:f>FASE1!V352</x:f>
        <x:v>0</x:v>
      </x:c>
      <x:c r="M352" s="268" t="n">
        <x:f>AVERAGE(FASE2!F352:G352)</x:f>
        <x:v>0</x:v>
      </x:c>
      <x:c r="N352" s="268" t="n">
        <x:f>AVERAGE(FASE2!O352:P352,FASE2!S352)</x:f>
        <x:v>0</x:v>
      </x:c>
      <x:c r="O352" s="268" t="n">
        <x:f>FASE4!K352</x:f>
        <x:v>0</x:v>
      </x:c>
      <x:c r="P352" s="268" t="n">
        <x:f>FASE2!N352</x:f>
        <x:v>0</x:v>
      </x:c>
      <x:c r="Q352" s="268" t="n">
        <x:f>FASE3!P352</x:f>
        <x:v>0</x:v>
      </x:c>
      <x:c r="R352" s="268" t="n">
        <x:f>FASE3!N352</x:f>
        <x:v>0</x:v>
      </x:c>
      <x:c r="S352" s="268" t="n">
        <x:f>AVERAGE(FASE3!Q352,FASE3!R352,FASE3!T352,FASE3!S352)</x:f>
        <x:v>0</x:v>
      </x:c>
      <x:c r="T352" s="268" t="n">
        <x:f>AVERAGE(FASE3!U352,FASE3!V352,FASE3!W352)</x:f>
        <x:v>0</x:v>
      </x:c>
      <x:c r="U352" s="268" t="n">
        <x:f>FASE3!Y352</x:f>
        <x:v>0</x:v>
      </x:c>
      <x:c r="V352" s="268" t="n">
        <x:f>FASE3!X352</x:f>
        <x:v>0</x:v>
      </x:c>
      <x:c r="W352" s="268" t="n">
        <x:f>FASE4!M352</x:f>
        <x:v>0</x:v>
      </x:c>
      <x:c r="X352" s="268">
        <x:f t="shared" si="5"/>
        <x:v>0</x:v>
      </x:c>
      <x:c r="Y352" s="2"/>
    </x:row>
    <x:row r="353" ht="15.75">
      <x:c r="B353">
        <x:v>9</x:v>
      </x:c>
      <x:c r="C353" t="s">
        <x:v>115</x:v>
      </x:c>
      <x:c r="D353" s="243">
        <x:v>906</x:v>
      </x:c>
      <x:c r="E353" s="268" t="n">
        <x:f>FASE1!G353</x:f>
        <x:v>0</x:v>
      </x:c>
      <x:c r="F353" s="268" t="n">
        <x:f>FASE1!M353</x:f>
        <x:v>0</x:v>
      </x:c>
      <x:c r="G353" s="268" t="n">
        <x:f>FASE1!L353</x:f>
        <x:v>0</x:v>
      </x:c>
      <x:c r="H353" s="268" t="n">
        <x:f>FASE1!R353</x:f>
        <x:v>0</x:v>
      </x:c>
      <x:c r="I353" s="268" t="n">
        <x:f>FASE1!U353</x:f>
        <x:v>0</x:v>
      </x:c>
      <x:c r="J353" s="268" t="n">
        <x:f>FASE1!U353</x:f>
        <x:v>0</x:v>
      </x:c>
      <x:c r="K353" s="268" t="n">
        <x:f>FASE1!P353</x:f>
        <x:v>0</x:v>
      </x:c>
      <x:c r="L353" s="268" t="n">
        <x:f>FASE1!V353</x:f>
        <x:v>0</x:v>
      </x:c>
      <x:c r="M353" s="268" t="n">
        <x:f>AVERAGE(FASE2!F353:G353)</x:f>
        <x:v>0</x:v>
      </x:c>
      <x:c r="N353" s="268" t="n">
        <x:f>AVERAGE(FASE2!O353:P353,FASE2!S353)</x:f>
        <x:v>0</x:v>
      </x:c>
      <x:c r="O353" s="268" t="n">
        <x:f>FASE4!K353</x:f>
        <x:v>0</x:v>
      </x:c>
      <x:c r="P353" s="268" t="n">
        <x:f>FASE2!N353</x:f>
        <x:v>0</x:v>
      </x:c>
      <x:c r="Q353" s="268" t="n">
        <x:f>FASE3!P353</x:f>
        <x:v>0</x:v>
      </x:c>
      <x:c r="R353" s="268" t="n">
        <x:f>FASE3!N353</x:f>
        <x:v>0</x:v>
      </x:c>
      <x:c r="S353" s="268" t="n">
        <x:f>AVERAGE(FASE3!Q353,FASE3!R353,FASE3!T353,FASE3!S353)</x:f>
        <x:v>0</x:v>
      </x:c>
      <x:c r="T353" s="268" t="n">
        <x:f>AVERAGE(FASE3!U353,FASE3!V353,FASE3!W353)</x:f>
        <x:v>0</x:v>
      </x:c>
      <x:c r="U353" s="268" t="n">
        <x:f>FASE3!Y353</x:f>
        <x:v>0</x:v>
      </x:c>
      <x:c r="V353" s="268" t="n">
        <x:f>FASE3!X353</x:f>
        <x:v>0</x:v>
      </x:c>
      <x:c r="W353" s="268" t="n">
        <x:f>FASE4!M353</x:f>
        <x:v>0</x:v>
      </x:c>
      <x:c r="X353" s="268">
        <x:f t="shared" si="5"/>
        <x:v>0</x:v>
      </x:c>
      <x:c r="Y353" s="2"/>
    </x:row>
    <x:row r="354" ht="15.75">
      <x:c r="B354">
        <x:v>9</x:v>
      </x:c>
      <x:c r="C354" t="s">
        <x:v>115</x:v>
      </x:c>
      <x:c r="D354" s="243">
        <x:v>907</x:v>
      </x:c>
      <x:c r="E354" s="268" t="n">
        <x:f>FASE1!G354</x:f>
        <x:v>0</x:v>
      </x:c>
      <x:c r="F354" s="268" t="n">
        <x:f>FASE1!M354</x:f>
        <x:v>0</x:v>
      </x:c>
      <x:c r="G354" s="268" t="n">
        <x:f>FASE1!L354</x:f>
        <x:v>0</x:v>
      </x:c>
      <x:c r="H354" s="268" t="n">
        <x:f>FASE1!R354</x:f>
        <x:v>0</x:v>
      </x:c>
      <x:c r="I354" s="268" t="n">
        <x:f>FASE1!U354</x:f>
        <x:v>0</x:v>
      </x:c>
      <x:c r="J354" s="268" t="n">
        <x:f>FASE1!U354</x:f>
        <x:v>0</x:v>
      </x:c>
      <x:c r="K354" s="268" t="n">
        <x:f>FASE1!P354</x:f>
        <x:v>0</x:v>
      </x:c>
      <x:c r="L354" s="268" t="n">
        <x:f>FASE1!V354</x:f>
        <x:v>0</x:v>
      </x:c>
      <x:c r="M354" s="268" t="n">
        <x:f>AVERAGE(FASE2!F354:G354)</x:f>
        <x:v>0</x:v>
      </x:c>
      <x:c r="N354" s="268" t="n">
        <x:f>AVERAGE(FASE2!O354:P354,FASE2!S354)</x:f>
        <x:v>0</x:v>
      </x:c>
      <x:c r="O354" s="268" t="n">
        <x:f>FASE4!K354</x:f>
        <x:v>0</x:v>
      </x:c>
      <x:c r="P354" s="268" t="n">
        <x:f>FASE2!N354</x:f>
        <x:v>0</x:v>
      </x:c>
      <x:c r="Q354" s="268" t="n">
        <x:f>FASE3!P354</x:f>
        <x:v>0</x:v>
      </x:c>
      <x:c r="R354" s="268" t="n">
        <x:f>FASE3!N354</x:f>
        <x:v>0</x:v>
      </x:c>
      <x:c r="S354" s="268" t="n">
        <x:f>AVERAGE(FASE3!Q354,FASE3!R354,FASE3!T354,FASE3!S354)</x:f>
        <x:v>0</x:v>
      </x:c>
      <x:c r="T354" s="268" t="n">
        <x:f>AVERAGE(FASE3!U354,FASE3!V354,FASE3!W354)</x:f>
        <x:v>0</x:v>
      </x:c>
      <x:c r="U354" s="268" t="n">
        <x:f>FASE3!Y354</x:f>
        <x:v>0</x:v>
      </x:c>
      <x:c r="V354" s="268" t="n">
        <x:f>FASE3!X354</x:f>
        <x:v>0</x:v>
      </x:c>
      <x:c r="W354" s="268" t="n">
        <x:f>FASE4!M354</x:f>
        <x:v>0</x:v>
      </x:c>
      <x:c r="X354" s="268">
        <x:f t="shared" si="5"/>
        <x:v>0</x:v>
      </x:c>
      <x:c r="Y354" s="2"/>
    </x:row>
    <x:row r="355" ht="15.75">
      <x:c r="B355">
        <x:v>9</x:v>
      </x:c>
      <x:c r="C355" t="s">
        <x:v>115</x:v>
      </x:c>
      <x:c r="D355" s="243">
        <x:v>908</x:v>
      </x:c>
      <x:c r="E355" s="268" t="n">
        <x:f>FASE1!G355</x:f>
        <x:v>0</x:v>
      </x:c>
      <x:c r="F355" s="268" t="n">
        <x:f>FASE1!M355</x:f>
        <x:v>0</x:v>
      </x:c>
      <x:c r="G355" s="268" t="n">
        <x:f>FASE1!L355</x:f>
        <x:v>0</x:v>
      </x:c>
      <x:c r="H355" s="268" t="n">
        <x:f>FASE1!R355</x:f>
        <x:v>0</x:v>
      </x:c>
      <x:c r="I355" s="268" t="n">
        <x:f>FASE1!U355</x:f>
        <x:v>0</x:v>
      </x:c>
      <x:c r="J355" s="268" t="n">
        <x:f>FASE1!U355</x:f>
        <x:v>0</x:v>
      </x:c>
      <x:c r="K355" s="268" t="n">
        <x:f>FASE1!P355</x:f>
        <x:v>0</x:v>
      </x:c>
      <x:c r="L355" s="268" t="n">
        <x:f>FASE1!V355</x:f>
        <x:v>0</x:v>
      </x:c>
      <x:c r="M355" s="268" t="n">
        <x:f>AVERAGE(FASE2!F355:G355)</x:f>
        <x:v>0</x:v>
      </x:c>
      <x:c r="N355" s="268" t="n">
        <x:f>AVERAGE(FASE2!O355:P355,FASE2!S355)</x:f>
        <x:v>0</x:v>
      </x:c>
      <x:c r="O355" s="268" t="n">
        <x:f>FASE4!K355</x:f>
        <x:v>0</x:v>
      </x:c>
      <x:c r="P355" s="268" t="n">
        <x:f>FASE2!N355</x:f>
        <x:v>0</x:v>
      </x:c>
      <x:c r="Q355" s="268" t="n">
        <x:f>FASE3!P355</x:f>
        <x:v>0</x:v>
      </x:c>
      <x:c r="R355" s="268" t="n">
        <x:f>FASE3!N355</x:f>
        <x:v>0</x:v>
      </x:c>
      <x:c r="S355" s="268" t="n">
        <x:f>AVERAGE(FASE3!Q355,FASE3!R355,FASE3!T355,FASE3!S355)</x:f>
        <x:v>0</x:v>
      </x:c>
      <x:c r="T355" s="268" t="n">
        <x:f>AVERAGE(FASE3!U355,FASE3!V355,FASE3!W355)</x:f>
        <x:v>0</x:v>
      </x:c>
      <x:c r="U355" s="268" t="n">
        <x:f>FASE3!Y355</x:f>
        <x:v>0</x:v>
      </x:c>
      <x:c r="V355" s="268" t="n">
        <x:f>FASE3!X355</x:f>
        <x:v>0</x:v>
      </x:c>
      <x:c r="W355" s="268" t="n">
        <x:f>FASE4!M355</x:f>
        <x:v>0</x:v>
      </x:c>
      <x:c r="X355" s="268">
        <x:f t="shared" si="5"/>
        <x:v>0</x:v>
      </x:c>
      <x:c r="Y355" s="2"/>
    </x:row>
    <x:row r="356" ht="15.75">
      <x:c r="B356">
        <x:v>9</x:v>
      </x:c>
      <x:c r="C356" t="s">
        <x:v>115</x:v>
      </x:c>
      <x:c r="D356" s="243">
        <x:v>909</x:v>
      </x:c>
      <x:c r="E356" s="268" t="n">
        <x:f>FASE1!G356</x:f>
        <x:v>0</x:v>
      </x:c>
      <x:c r="F356" s="268" t="n">
        <x:f>FASE1!M356</x:f>
        <x:v>0</x:v>
      </x:c>
      <x:c r="G356" s="268" t="n">
        <x:f>FASE1!L356</x:f>
        <x:v>0</x:v>
      </x:c>
      <x:c r="H356" s="268" t="n">
        <x:f>FASE1!R356</x:f>
        <x:v>0</x:v>
      </x:c>
      <x:c r="I356" s="268" t="n">
        <x:f>FASE1!U356</x:f>
        <x:v>0</x:v>
      </x:c>
      <x:c r="J356" s="268" t="n">
        <x:f>FASE1!U356</x:f>
        <x:v>0</x:v>
      </x:c>
      <x:c r="K356" s="268" t="n">
        <x:f>FASE1!P356</x:f>
        <x:v>0</x:v>
      </x:c>
      <x:c r="L356" s="268" t="n">
        <x:f>FASE1!V356</x:f>
        <x:v>0</x:v>
      </x:c>
      <x:c r="M356" s="268" t="n">
        <x:f>AVERAGE(FASE2!F356:G356)</x:f>
        <x:v>0</x:v>
      </x:c>
      <x:c r="N356" s="268" t="n">
        <x:f>AVERAGE(FASE2!O356:P356,FASE2!S356)</x:f>
        <x:v>0</x:v>
      </x:c>
      <x:c r="O356" s="268" t="n">
        <x:f>FASE4!K356</x:f>
        <x:v>0</x:v>
      </x:c>
      <x:c r="P356" s="268" t="n">
        <x:f>FASE2!N356</x:f>
        <x:v>0</x:v>
      </x:c>
      <x:c r="Q356" s="268" t="n">
        <x:f>FASE3!P356</x:f>
        <x:v>0</x:v>
      </x:c>
      <x:c r="R356" s="268" t="n">
        <x:f>FASE3!N356</x:f>
        <x:v>0</x:v>
      </x:c>
      <x:c r="S356" s="268" t="n">
        <x:f>AVERAGE(FASE3!Q356,FASE3!R356,FASE3!T356,FASE3!S356)</x:f>
        <x:v>0</x:v>
      </x:c>
      <x:c r="T356" s="268" t="n">
        <x:f>AVERAGE(FASE3!U356,FASE3!V356,FASE3!W356)</x:f>
        <x:v>0</x:v>
      </x:c>
      <x:c r="U356" s="268" t="n">
        <x:f>FASE3!Y356</x:f>
        <x:v>0</x:v>
      </x:c>
      <x:c r="V356" s="268" t="n">
        <x:f>FASE3!X356</x:f>
        <x:v>0</x:v>
      </x:c>
      <x:c r="W356" s="268" t="n">
        <x:f>FASE4!M356</x:f>
        <x:v>0</x:v>
      </x:c>
      <x:c r="X356" s="268">
        <x:f t="shared" si="5"/>
        <x:v>0</x:v>
      </x:c>
      <x:c r="Y356" s="2"/>
    </x:row>
    <x:row r="357" ht="15.75">
      <x:c r="B357">
        <x:v>9</x:v>
      </x:c>
      <x:c r="C357" t="s">
        <x:v>115</x:v>
      </x:c>
      <x:c r="D357" s="243">
        <x:v>910</x:v>
      </x:c>
      <x:c r="E357" s="268" t="n">
        <x:f>FASE1!G357</x:f>
        <x:v>0</x:v>
      </x:c>
      <x:c r="F357" s="268" t="n">
        <x:f>FASE1!M357</x:f>
        <x:v>0</x:v>
      </x:c>
      <x:c r="G357" s="268" t="n">
        <x:f>FASE1!L357</x:f>
        <x:v>0</x:v>
      </x:c>
      <x:c r="H357" s="268" t="n">
        <x:f>FASE1!R357</x:f>
        <x:v>0</x:v>
      </x:c>
      <x:c r="I357" s="268" t="n">
        <x:f>FASE1!U357</x:f>
        <x:v>0</x:v>
      </x:c>
      <x:c r="J357" s="268" t="n">
        <x:f>FASE1!U357</x:f>
        <x:v>0</x:v>
      </x:c>
      <x:c r="K357" s="268" t="n">
        <x:f>FASE1!P357</x:f>
        <x:v>0</x:v>
      </x:c>
      <x:c r="L357" s="268" t="n">
        <x:f>FASE1!V357</x:f>
        <x:v>0</x:v>
      </x:c>
      <x:c r="M357" s="268" t="n">
        <x:f>AVERAGE(FASE2!F357:G357)</x:f>
        <x:v>0</x:v>
      </x:c>
      <x:c r="N357" s="268" t="n">
        <x:f>AVERAGE(FASE2!O357:P357,FASE2!S357)</x:f>
        <x:v>0</x:v>
      </x:c>
      <x:c r="O357" s="268" t="n">
        <x:f>FASE4!K357</x:f>
        <x:v>0</x:v>
      </x:c>
      <x:c r="P357" s="268" t="n">
        <x:f>FASE2!N357</x:f>
        <x:v>0</x:v>
      </x:c>
      <x:c r="Q357" s="268" t="n">
        <x:f>FASE3!P357</x:f>
        <x:v>0</x:v>
      </x:c>
      <x:c r="R357" s="268" t="n">
        <x:f>FASE3!N357</x:f>
        <x:v>0</x:v>
      </x:c>
      <x:c r="S357" s="268" t="n">
        <x:f>AVERAGE(FASE3!Q357,FASE3!R357,FASE3!T357,FASE3!S357)</x:f>
        <x:v>0</x:v>
      </x:c>
      <x:c r="T357" s="268" t="n">
        <x:f>AVERAGE(FASE3!U357,FASE3!V357,FASE3!W357)</x:f>
        <x:v>0</x:v>
      </x:c>
      <x:c r="U357" s="268" t="n">
        <x:f>FASE3!Y357</x:f>
        <x:v>0</x:v>
      </x:c>
      <x:c r="V357" s="268" t="n">
        <x:f>FASE3!X357</x:f>
        <x:v>0</x:v>
      </x:c>
      <x:c r="W357" s="268" t="n">
        <x:f>FASE4!M357</x:f>
        <x:v>0</x:v>
      </x:c>
      <x:c r="X357" s="268">
        <x:f t="shared" si="5"/>
        <x:v>0</x:v>
      </x:c>
      <x:c r="Y357" s="2"/>
    </x:row>
    <x:row r="358" ht="15.75">
      <x:c r="B358">
        <x:v>9</x:v>
      </x:c>
      <x:c r="C358" t="s">
        <x:v>115</x:v>
      </x:c>
      <x:c r="D358" s="243">
        <x:v>911</x:v>
      </x:c>
      <x:c r="E358" s="268" t="n">
        <x:f>FASE1!G358</x:f>
        <x:v>0</x:v>
      </x:c>
      <x:c r="F358" s="268" t="n">
        <x:f>FASE1!M358</x:f>
        <x:v>0</x:v>
      </x:c>
      <x:c r="G358" s="268" t="n">
        <x:f>FASE1!L358</x:f>
        <x:v>0</x:v>
      </x:c>
      <x:c r="H358" s="268" t="n">
        <x:f>FASE1!R358</x:f>
        <x:v>0</x:v>
      </x:c>
      <x:c r="I358" s="268" t="n">
        <x:f>FASE1!U358</x:f>
        <x:v>0</x:v>
      </x:c>
      <x:c r="J358" s="268" t="n">
        <x:f>FASE1!U358</x:f>
        <x:v>0</x:v>
      </x:c>
      <x:c r="K358" s="268" t="n">
        <x:f>FASE1!P358</x:f>
        <x:v>0</x:v>
      </x:c>
      <x:c r="L358" s="268" t="n">
        <x:f>FASE1!V358</x:f>
        <x:v>0</x:v>
      </x:c>
      <x:c r="M358" s="268" t="n">
        <x:f>AVERAGE(FASE2!F358:G358)</x:f>
        <x:v>0</x:v>
      </x:c>
      <x:c r="N358" s="268" t="n">
        <x:f>AVERAGE(FASE2!O358:P358,FASE2!S358)</x:f>
        <x:v>0</x:v>
      </x:c>
      <x:c r="O358" s="268" t="n">
        <x:f>FASE4!K358</x:f>
        <x:v>0</x:v>
      </x:c>
      <x:c r="P358" s="268" t="n">
        <x:f>FASE2!N358</x:f>
        <x:v>0</x:v>
      </x:c>
      <x:c r="Q358" s="268" t="n">
        <x:f>FASE3!P358</x:f>
        <x:v>0</x:v>
      </x:c>
      <x:c r="R358" s="268" t="n">
        <x:f>FASE3!N358</x:f>
        <x:v>0</x:v>
      </x:c>
      <x:c r="S358" s="268" t="n">
        <x:f>AVERAGE(FASE3!Q358,FASE3!R358,FASE3!T358,FASE3!S358)</x:f>
        <x:v>0</x:v>
      </x:c>
      <x:c r="T358" s="268" t="n">
        <x:f>AVERAGE(FASE3!U358,FASE3!V358,FASE3!W358)</x:f>
        <x:v>0</x:v>
      </x:c>
      <x:c r="U358" s="268" t="n">
        <x:f>FASE3!Y358</x:f>
        <x:v>0</x:v>
      </x:c>
      <x:c r="V358" s="268" t="n">
        <x:f>FASE3!X358</x:f>
        <x:v>0</x:v>
      </x:c>
      <x:c r="W358" s="268" t="n">
        <x:f>FASE4!M358</x:f>
        <x:v>0</x:v>
      </x:c>
      <x:c r="X358" s="268">
        <x:f t="shared" si="5"/>
        <x:v>0</x:v>
      </x:c>
      <x:c r="Y358" s="2"/>
    </x:row>
    <x:row r="359" ht="15.75">
      <x:c r="B359">
        <x:v>9</x:v>
      </x:c>
      <x:c r="C359" t="s">
        <x:v>115</x:v>
      </x:c>
      <x:c r="D359" s="243">
        <x:v>912</x:v>
      </x:c>
      <x:c r="E359" s="268" t="n">
        <x:f>FASE1!G359</x:f>
        <x:v>0</x:v>
      </x:c>
      <x:c r="F359" s="268" t="n">
        <x:f>FASE1!M359</x:f>
        <x:v>0</x:v>
      </x:c>
      <x:c r="G359" s="268" t="n">
        <x:f>FASE1!L359</x:f>
        <x:v>0</x:v>
      </x:c>
      <x:c r="H359" s="268" t="n">
        <x:f>FASE1!R359</x:f>
        <x:v>0</x:v>
      </x:c>
      <x:c r="I359" s="268" t="n">
        <x:f>FASE1!U359</x:f>
        <x:v>0</x:v>
      </x:c>
      <x:c r="J359" s="268" t="n">
        <x:f>FASE1!U359</x:f>
        <x:v>0</x:v>
      </x:c>
      <x:c r="K359" s="268" t="n">
        <x:f>FASE1!P359</x:f>
        <x:v>0</x:v>
      </x:c>
      <x:c r="L359" s="268" t="n">
        <x:f>FASE1!V359</x:f>
        <x:v>0</x:v>
      </x:c>
      <x:c r="M359" s="268" t="n">
        <x:f>AVERAGE(FASE2!F359:G359)</x:f>
        <x:v>0</x:v>
      </x:c>
      <x:c r="N359" s="268" t="n">
        <x:f>AVERAGE(FASE2!O359:P359,FASE2!S359)</x:f>
        <x:v>0</x:v>
      </x:c>
      <x:c r="O359" s="268" t="n">
        <x:f>FASE4!K359</x:f>
        <x:v>0</x:v>
      </x:c>
      <x:c r="P359" s="268" t="n">
        <x:f>FASE2!N359</x:f>
        <x:v>0</x:v>
      </x:c>
      <x:c r="Q359" s="268" t="n">
        <x:f>FASE3!P359</x:f>
        <x:v>0</x:v>
      </x:c>
      <x:c r="R359" s="268" t="n">
        <x:f>FASE3!N359</x:f>
        <x:v>0</x:v>
      </x:c>
      <x:c r="S359" s="268" t="n">
        <x:f>AVERAGE(FASE3!Q359,FASE3!R359,FASE3!T359,FASE3!S359)</x:f>
        <x:v>0</x:v>
      </x:c>
      <x:c r="T359" s="268" t="n">
        <x:f>AVERAGE(FASE3!U359,FASE3!V359,FASE3!W359)</x:f>
        <x:v>0</x:v>
      </x:c>
      <x:c r="U359" s="268" t="n">
        <x:f>FASE3!Y359</x:f>
        <x:v>0</x:v>
      </x:c>
      <x:c r="V359" s="268" t="n">
        <x:f>FASE3!X359</x:f>
        <x:v>0</x:v>
      </x:c>
      <x:c r="W359" s="268" t="n">
        <x:f>FASE4!M359</x:f>
        <x:v>0</x:v>
      </x:c>
      <x:c r="X359" s="268">
        <x:f t="shared" si="5"/>
        <x:v>0</x:v>
      </x:c>
      <x:c r="Y359" s="2"/>
    </x:row>
    <x:row r="360" ht="15.75">
      <x:c r="B360">
        <x:v>9</x:v>
      </x:c>
      <x:c r="C360" t="s">
        <x:v>115</x:v>
      </x:c>
      <x:c r="D360" s="243">
        <x:v>913</x:v>
      </x:c>
      <x:c r="E360" s="268" t="n">
        <x:f>FASE1!G360</x:f>
        <x:v>0</x:v>
      </x:c>
      <x:c r="F360" s="268" t="n">
        <x:f>FASE1!M360</x:f>
        <x:v>0</x:v>
      </x:c>
      <x:c r="G360" s="268" t="n">
        <x:f>FASE1!L360</x:f>
        <x:v>0</x:v>
      </x:c>
      <x:c r="H360" s="268" t="n">
        <x:f>FASE1!R360</x:f>
        <x:v>0</x:v>
      </x:c>
      <x:c r="I360" s="268" t="n">
        <x:f>FASE1!U360</x:f>
        <x:v>0</x:v>
      </x:c>
      <x:c r="J360" s="268" t="n">
        <x:f>FASE1!U360</x:f>
        <x:v>0</x:v>
      </x:c>
      <x:c r="K360" s="268" t="n">
        <x:f>FASE1!P360</x:f>
        <x:v>0</x:v>
      </x:c>
      <x:c r="L360" s="268" t="n">
        <x:f>FASE1!V360</x:f>
        <x:v>0</x:v>
      </x:c>
      <x:c r="M360" s="268" t="n">
        <x:f>AVERAGE(FASE2!F360:G360)</x:f>
        <x:v>0</x:v>
      </x:c>
      <x:c r="N360" s="268" t="n">
        <x:f>AVERAGE(FASE2!O360:P360,FASE2!S360)</x:f>
        <x:v>0</x:v>
      </x:c>
      <x:c r="O360" s="268" t="n">
        <x:f>FASE4!K360</x:f>
        <x:v>0</x:v>
      </x:c>
      <x:c r="P360" s="268" t="n">
        <x:f>FASE2!N360</x:f>
        <x:v>0</x:v>
      </x:c>
      <x:c r="Q360" s="268" t="n">
        <x:f>FASE3!P360</x:f>
        <x:v>0</x:v>
      </x:c>
      <x:c r="R360" s="268" t="n">
        <x:f>FASE3!N360</x:f>
        <x:v>0</x:v>
      </x:c>
      <x:c r="S360" s="268" t="n">
        <x:f>AVERAGE(FASE3!Q360,FASE3!R360,FASE3!T360,FASE3!S360)</x:f>
        <x:v>0</x:v>
      </x:c>
      <x:c r="T360" s="268" t="n">
        <x:f>AVERAGE(FASE3!U360,FASE3!V360,FASE3!W360)</x:f>
        <x:v>0</x:v>
      </x:c>
      <x:c r="U360" s="268" t="n">
        <x:f>FASE3!Y360</x:f>
        <x:v>0</x:v>
      </x:c>
      <x:c r="V360" s="268" t="n">
        <x:f>FASE3!X360</x:f>
        <x:v>0</x:v>
      </x:c>
      <x:c r="W360" s="268" t="n">
        <x:f>FASE4!M360</x:f>
        <x:v>0</x:v>
      </x:c>
      <x:c r="X360" s="268">
        <x:f t="shared" si="5"/>
        <x:v>0</x:v>
      </x:c>
      <x:c r="Y360" s="2"/>
    </x:row>
    <x:row r="361" ht="15.75">
      <x:c r="B361">
        <x:v>9</x:v>
      </x:c>
      <x:c r="C361" t="s">
        <x:v>115</x:v>
      </x:c>
      <x:c r="D361" s="243">
        <x:v>914</x:v>
      </x:c>
      <x:c r="E361" s="268" t="n">
        <x:f>FASE1!G361</x:f>
        <x:v>0</x:v>
      </x:c>
      <x:c r="F361" s="268" t="n">
        <x:f>FASE1!M361</x:f>
        <x:v>0</x:v>
      </x:c>
      <x:c r="G361" s="268" t="n">
        <x:f>FASE1!L361</x:f>
        <x:v>0</x:v>
      </x:c>
      <x:c r="H361" s="268" t="n">
        <x:f>FASE1!R361</x:f>
        <x:v>0</x:v>
      </x:c>
      <x:c r="I361" s="268" t="n">
        <x:f>FASE1!U361</x:f>
        <x:v>0</x:v>
      </x:c>
      <x:c r="J361" s="268" t="n">
        <x:f>FASE1!U361</x:f>
        <x:v>0</x:v>
      </x:c>
      <x:c r="K361" s="268" t="n">
        <x:f>FASE1!P361</x:f>
        <x:v>0</x:v>
      </x:c>
      <x:c r="L361" s="268" t="n">
        <x:f>FASE1!V361</x:f>
        <x:v>0</x:v>
      </x:c>
      <x:c r="M361" s="268" t="n">
        <x:f>AVERAGE(FASE2!F361:G361)</x:f>
        <x:v>0</x:v>
      </x:c>
      <x:c r="N361" s="268" t="n">
        <x:f>AVERAGE(FASE2!O361:P361,FASE2!S361)</x:f>
        <x:v>0</x:v>
      </x:c>
      <x:c r="O361" s="268" t="n">
        <x:f>FASE4!K361</x:f>
        <x:v>0</x:v>
      </x:c>
      <x:c r="P361" s="268" t="n">
        <x:f>FASE2!N361</x:f>
        <x:v>0</x:v>
      </x:c>
      <x:c r="Q361" s="268" t="n">
        <x:f>FASE3!P361</x:f>
        <x:v>0</x:v>
      </x:c>
      <x:c r="R361" s="268" t="n">
        <x:f>FASE3!N361</x:f>
        <x:v>0</x:v>
      </x:c>
      <x:c r="S361" s="268" t="n">
        <x:f>AVERAGE(FASE3!Q361,FASE3!R361,FASE3!T361,FASE3!S361)</x:f>
        <x:v>0</x:v>
      </x:c>
      <x:c r="T361" s="268" t="n">
        <x:f>AVERAGE(FASE3!U361,FASE3!V361,FASE3!W361)</x:f>
        <x:v>0</x:v>
      </x:c>
      <x:c r="U361" s="268" t="n">
        <x:f>FASE3!Y361</x:f>
        <x:v>0</x:v>
      </x:c>
      <x:c r="V361" s="268" t="n">
        <x:f>FASE3!X361</x:f>
        <x:v>0</x:v>
      </x:c>
      <x:c r="W361" s="268" t="n">
        <x:f>FASE4!M361</x:f>
        <x:v>0</x:v>
      </x:c>
      <x:c r="X361" s="268">
        <x:f t="shared" si="5"/>
        <x:v>0</x:v>
      </x:c>
      <x:c r="Y361" s="2"/>
    </x:row>
    <x:row r="362" ht="15.75">
      <x:c r="B362">
        <x:v>9</x:v>
      </x:c>
      <x:c r="C362" t="s">
        <x:v>115</x:v>
      </x:c>
      <x:c r="D362" s="243">
        <x:v>915</x:v>
      </x:c>
      <x:c r="E362" s="268" t="n">
        <x:f>FASE1!G362</x:f>
        <x:v>0</x:v>
      </x:c>
      <x:c r="F362" s="268" t="n">
        <x:f>FASE1!M362</x:f>
        <x:v>0</x:v>
      </x:c>
      <x:c r="G362" s="268" t="n">
        <x:f>FASE1!L362</x:f>
        <x:v>0</x:v>
      </x:c>
      <x:c r="H362" s="268" t="n">
        <x:f>FASE1!R362</x:f>
        <x:v>0</x:v>
      </x:c>
      <x:c r="I362" s="268" t="n">
        <x:f>FASE1!U362</x:f>
        <x:v>0</x:v>
      </x:c>
      <x:c r="J362" s="268" t="n">
        <x:f>FASE1!U362</x:f>
        <x:v>0</x:v>
      </x:c>
      <x:c r="K362" s="268" t="n">
        <x:f>FASE1!P362</x:f>
        <x:v>0</x:v>
      </x:c>
      <x:c r="L362" s="268" t="n">
        <x:f>FASE1!V362</x:f>
        <x:v>0</x:v>
      </x:c>
      <x:c r="M362" s="268" t="n">
        <x:f>AVERAGE(FASE2!F362:G362)</x:f>
        <x:v>0</x:v>
      </x:c>
      <x:c r="N362" s="268" t="n">
        <x:f>AVERAGE(FASE2!O362:P362,FASE2!S362)</x:f>
        <x:v>0</x:v>
      </x:c>
      <x:c r="O362" s="268" t="n">
        <x:f>FASE4!K362</x:f>
        <x:v>0</x:v>
      </x:c>
      <x:c r="P362" s="268" t="n">
        <x:f>FASE2!N362</x:f>
        <x:v>0</x:v>
      </x:c>
      <x:c r="Q362" s="268" t="n">
        <x:f>FASE3!P362</x:f>
        <x:v>0</x:v>
      </x:c>
      <x:c r="R362" s="268" t="n">
        <x:f>FASE3!N362</x:f>
        <x:v>0</x:v>
      </x:c>
      <x:c r="S362" s="268" t="n">
        <x:f>AVERAGE(FASE3!Q362,FASE3!R362,FASE3!T362,FASE3!S362)</x:f>
        <x:v>0</x:v>
      </x:c>
      <x:c r="T362" s="268" t="n">
        <x:f>AVERAGE(FASE3!U362,FASE3!V362,FASE3!W362)</x:f>
        <x:v>0</x:v>
      </x:c>
      <x:c r="U362" s="268" t="n">
        <x:f>FASE3!Y362</x:f>
        <x:v>0</x:v>
      </x:c>
      <x:c r="V362" s="268" t="n">
        <x:f>FASE3!X362</x:f>
        <x:v>0</x:v>
      </x:c>
      <x:c r="W362" s="268" t="n">
        <x:f>FASE4!M362</x:f>
        <x:v>0</x:v>
      </x:c>
      <x:c r="X362" s="268">
        <x:f t="shared" si="5"/>
        <x:v>0</x:v>
      </x:c>
      <x:c r="Y362" s="2"/>
    </x:row>
    <x:row r="363" ht="15.75">
      <x:c r="B363">
        <x:v>9</x:v>
      </x:c>
      <x:c r="C363" t="s">
        <x:v>115</x:v>
      </x:c>
      <x:c r="D363" s="243">
        <x:v>916</x:v>
      </x:c>
      <x:c r="E363" s="268" t="n">
        <x:f>FASE1!G363</x:f>
        <x:v>0</x:v>
      </x:c>
      <x:c r="F363" s="268" t="n">
        <x:f>FASE1!M363</x:f>
        <x:v>0</x:v>
      </x:c>
      <x:c r="G363" s="268" t="n">
        <x:f>FASE1!L363</x:f>
        <x:v>0</x:v>
      </x:c>
      <x:c r="H363" s="268" t="n">
        <x:f>FASE1!R363</x:f>
        <x:v>0</x:v>
      </x:c>
      <x:c r="I363" s="268" t="n">
        <x:f>FASE1!U363</x:f>
        <x:v>0</x:v>
      </x:c>
      <x:c r="J363" s="268" t="n">
        <x:f>FASE1!U363</x:f>
        <x:v>0</x:v>
      </x:c>
      <x:c r="K363" s="268" t="n">
        <x:f>FASE1!P363</x:f>
        <x:v>0</x:v>
      </x:c>
      <x:c r="L363" s="268" t="n">
        <x:f>FASE1!V363</x:f>
        <x:v>0</x:v>
      </x:c>
      <x:c r="M363" s="268" t="n">
        <x:f>AVERAGE(FASE2!F363:G363)</x:f>
        <x:v>0</x:v>
      </x:c>
      <x:c r="N363" s="268" t="n">
        <x:f>AVERAGE(FASE2!O363:P363,FASE2!S363)</x:f>
        <x:v>0</x:v>
      </x:c>
      <x:c r="O363" s="268" t="n">
        <x:f>FASE4!K363</x:f>
        <x:v>0</x:v>
      </x:c>
      <x:c r="P363" s="268" t="n">
        <x:f>FASE2!N363</x:f>
        <x:v>0</x:v>
      </x:c>
      <x:c r="Q363" s="268" t="n">
        <x:f>FASE3!P363</x:f>
        <x:v>0</x:v>
      </x:c>
      <x:c r="R363" s="268" t="n">
        <x:f>FASE3!N363</x:f>
        <x:v>0</x:v>
      </x:c>
      <x:c r="S363" s="268" t="n">
        <x:f>AVERAGE(FASE3!Q363,FASE3!R363,FASE3!T363,FASE3!S363)</x:f>
        <x:v>0</x:v>
      </x:c>
      <x:c r="T363" s="268" t="n">
        <x:f>AVERAGE(FASE3!U363,FASE3!V363,FASE3!W363)</x:f>
        <x:v>0</x:v>
      </x:c>
      <x:c r="U363" s="268" t="n">
        <x:f>FASE3!Y363</x:f>
        <x:v>0</x:v>
      </x:c>
      <x:c r="V363" s="268" t="n">
        <x:f>FASE3!X363</x:f>
        <x:v>0</x:v>
      </x:c>
      <x:c r="W363" s="268" t="n">
        <x:f>FASE4!M363</x:f>
        <x:v>0</x:v>
      </x:c>
      <x:c r="X363" s="268">
        <x:f t="shared" si="5"/>
        <x:v>0</x:v>
      </x:c>
      <x:c r="Y363" s="2"/>
    </x:row>
    <x:row r="364" ht="15.75">
      <x:c r="B364">
        <x:v>9</x:v>
      </x:c>
      <x:c r="C364" t="s">
        <x:v>115</x:v>
      </x:c>
      <x:c r="D364" s="243">
        <x:v>917</x:v>
      </x:c>
      <x:c r="E364" s="268" t="n">
        <x:f>FASE1!G364</x:f>
        <x:v>0</x:v>
      </x:c>
      <x:c r="F364" s="268" t="n">
        <x:f>FASE1!M364</x:f>
        <x:v>0</x:v>
      </x:c>
      <x:c r="G364" s="268" t="n">
        <x:f>FASE1!L364</x:f>
        <x:v>0</x:v>
      </x:c>
      <x:c r="H364" s="268" t="n">
        <x:f>FASE1!R364</x:f>
        <x:v>0</x:v>
      </x:c>
      <x:c r="I364" s="268" t="n">
        <x:f>FASE1!U364</x:f>
        <x:v>0</x:v>
      </x:c>
      <x:c r="J364" s="268" t="n">
        <x:f>FASE1!U364</x:f>
        <x:v>0</x:v>
      </x:c>
      <x:c r="K364" s="268" t="n">
        <x:f>FASE1!P364</x:f>
        <x:v>0</x:v>
      </x:c>
      <x:c r="L364" s="268" t="n">
        <x:f>FASE1!V364</x:f>
        <x:v>0</x:v>
      </x:c>
      <x:c r="M364" s="268" t="n">
        <x:f>AVERAGE(FASE2!F364:G364)</x:f>
        <x:v>0</x:v>
      </x:c>
      <x:c r="N364" s="268" t="n">
        <x:f>AVERAGE(FASE2!O364:P364,FASE2!S364)</x:f>
        <x:v>0</x:v>
      </x:c>
      <x:c r="O364" s="268" t="n">
        <x:f>FASE4!K364</x:f>
        <x:v>0</x:v>
      </x:c>
      <x:c r="P364" s="268" t="n">
        <x:f>FASE2!N364</x:f>
        <x:v>0</x:v>
      </x:c>
      <x:c r="Q364" s="268" t="n">
        <x:f>FASE3!P364</x:f>
        <x:v>0</x:v>
      </x:c>
      <x:c r="R364" s="268" t="n">
        <x:f>FASE3!N364</x:f>
        <x:v>0</x:v>
      </x:c>
      <x:c r="S364" s="268" t="n">
        <x:f>AVERAGE(FASE3!Q364,FASE3!R364,FASE3!T364,FASE3!S364)</x:f>
        <x:v>0</x:v>
      </x:c>
      <x:c r="T364" s="268" t="n">
        <x:f>AVERAGE(FASE3!U364,FASE3!V364,FASE3!W364)</x:f>
        <x:v>0</x:v>
      </x:c>
      <x:c r="U364" s="268" t="n">
        <x:f>FASE3!Y364</x:f>
        <x:v>0</x:v>
      </x:c>
      <x:c r="V364" s="268" t="n">
        <x:f>FASE3!X364</x:f>
        <x:v>0</x:v>
      </x:c>
      <x:c r="W364" s="268" t="n">
        <x:f>FASE4!M364</x:f>
        <x:v>0</x:v>
      </x:c>
      <x:c r="X364" s="268">
        <x:f t="shared" si="5"/>
        <x:v>0</x:v>
      </x:c>
      <x:c r="Y364" s="2"/>
    </x:row>
    <x:row r="365" ht="15.75">
      <x:c r="B365">
        <x:v>9</x:v>
      </x:c>
      <x:c r="C365" t="s">
        <x:v>115</x:v>
      </x:c>
      <x:c r="D365" s="243">
        <x:v>918</x:v>
      </x:c>
      <x:c r="E365" s="268" t="n">
        <x:f>FASE1!G365</x:f>
        <x:v>0</x:v>
      </x:c>
      <x:c r="F365" s="268" t="n">
        <x:f>FASE1!M365</x:f>
        <x:v>0</x:v>
      </x:c>
      <x:c r="G365" s="268" t="n">
        <x:f>FASE1!L365</x:f>
        <x:v>0</x:v>
      </x:c>
      <x:c r="H365" s="268" t="n">
        <x:f>FASE1!R365</x:f>
        <x:v>0</x:v>
      </x:c>
      <x:c r="I365" s="268" t="n">
        <x:f>FASE1!U365</x:f>
        <x:v>0</x:v>
      </x:c>
      <x:c r="J365" s="268" t="n">
        <x:f>FASE1!U365</x:f>
        <x:v>0</x:v>
      </x:c>
      <x:c r="K365" s="268" t="n">
        <x:f>FASE1!P365</x:f>
        <x:v>0</x:v>
      </x:c>
      <x:c r="L365" s="268" t="n">
        <x:f>FASE1!V365</x:f>
        <x:v>0</x:v>
      </x:c>
      <x:c r="M365" s="268" t="n">
        <x:f>AVERAGE(FASE2!F365:G365)</x:f>
        <x:v>0</x:v>
      </x:c>
      <x:c r="N365" s="268" t="n">
        <x:f>AVERAGE(FASE2!O365:P365,FASE2!S365)</x:f>
        <x:v>0</x:v>
      </x:c>
      <x:c r="O365" s="268" t="n">
        <x:f>FASE4!K365</x:f>
        <x:v>0</x:v>
      </x:c>
      <x:c r="P365" s="268" t="n">
        <x:f>FASE2!N365</x:f>
        <x:v>0</x:v>
      </x:c>
      <x:c r="Q365" s="268" t="n">
        <x:f>FASE3!P365</x:f>
        <x:v>0</x:v>
      </x:c>
      <x:c r="R365" s="268" t="n">
        <x:f>FASE3!N365</x:f>
        <x:v>0</x:v>
      </x:c>
      <x:c r="S365" s="268" t="n">
        <x:f>AVERAGE(FASE3!Q365,FASE3!R365,FASE3!T365,FASE3!S365)</x:f>
        <x:v>0</x:v>
      </x:c>
      <x:c r="T365" s="268" t="n">
        <x:f>AVERAGE(FASE3!U365,FASE3!V365,FASE3!W365)</x:f>
        <x:v>0</x:v>
      </x:c>
      <x:c r="U365" s="268" t="n">
        <x:f>FASE3!Y365</x:f>
        <x:v>0</x:v>
      </x:c>
      <x:c r="V365" s="268" t="n">
        <x:f>FASE3!X365</x:f>
        <x:v>0</x:v>
      </x:c>
      <x:c r="W365" s="268" t="n">
        <x:f>FASE4!M365</x:f>
        <x:v>0</x:v>
      </x:c>
      <x:c r="X365" s="268">
        <x:f t="shared" si="5"/>
        <x:v>0</x:v>
      </x:c>
      <x:c r="Y365" s="2"/>
    </x:row>
    <x:row r="366" ht="15.75">
      <x:c r="B366">
        <x:v>9</x:v>
      </x:c>
      <x:c r="C366" t="s">
        <x:v>115</x:v>
      </x:c>
      <x:c r="D366" s="243">
        <x:v>919</x:v>
      </x:c>
      <x:c r="E366" s="268" t="n">
        <x:f>FASE1!G366</x:f>
        <x:v>0</x:v>
      </x:c>
      <x:c r="F366" s="268" t="n">
        <x:f>FASE1!M366</x:f>
        <x:v>0</x:v>
      </x:c>
      <x:c r="G366" s="268" t="n">
        <x:f>FASE1!L366</x:f>
        <x:v>0</x:v>
      </x:c>
      <x:c r="H366" s="268" t="n">
        <x:f>FASE1!R366</x:f>
        <x:v>0</x:v>
      </x:c>
      <x:c r="I366" s="268" t="n">
        <x:f>FASE1!U366</x:f>
        <x:v>0</x:v>
      </x:c>
      <x:c r="J366" s="268" t="n">
        <x:f>FASE1!U366</x:f>
        <x:v>0</x:v>
      </x:c>
      <x:c r="K366" s="268" t="n">
        <x:f>FASE1!P366</x:f>
        <x:v>0</x:v>
      </x:c>
      <x:c r="L366" s="268" t="n">
        <x:f>FASE1!V366</x:f>
        <x:v>0</x:v>
      </x:c>
      <x:c r="M366" s="268" t="n">
        <x:f>AVERAGE(FASE2!F366:G366)</x:f>
        <x:v>0</x:v>
      </x:c>
      <x:c r="N366" s="268" t="n">
        <x:f>AVERAGE(FASE2!O366:P366,FASE2!S366)</x:f>
        <x:v>0</x:v>
      </x:c>
      <x:c r="O366" s="268" t="n">
        <x:f>FASE4!K366</x:f>
        <x:v>0</x:v>
      </x:c>
      <x:c r="P366" s="268" t="n">
        <x:f>FASE2!N366</x:f>
        <x:v>0</x:v>
      </x:c>
      <x:c r="Q366" s="268" t="n">
        <x:f>FASE3!P366</x:f>
        <x:v>0</x:v>
      </x:c>
      <x:c r="R366" s="268" t="n">
        <x:f>FASE3!N366</x:f>
        <x:v>0</x:v>
      </x:c>
      <x:c r="S366" s="268" t="n">
        <x:f>AVERAGE(FASE3!Q366,FASE3!R366,FASE3!T366,FASE3!S366)</x:f>
        <x:v>0</x:v>
      </x:c>
      <x:c r="T366" s="268" t="n">
        <x:f>AVERAGE(FASE3!U366,FASE3!V366,FASE3!W366)</x:f>
        <x:v>0</x:v>
      </x:c>
      <x:c r="U366" s="268" t="n">
        <x:f>FASE3!Y366</x:f>
        <x:v>0</x:v>
      </x:c>
      <x:c r="V366" s="268" t="n">
        <x:f>FASE3!X366</x:f>
        <x:v>0</x:v>
      </x:c>
      <x:c r="W366" s="268" t="n">
        <x:f>FASE4!M366</x:f>
        <x:v>0</x:v>
      </x:c>
      <x:c r="X366" s="268">
        <x:f t="shared" si="5"/>
        <x:v>0</x:v>
      </x:c>
      <x:c r="Y366" s="2"/>
    </x:row>
    <x:row r="367" ht="15.75">
      <x:c r="B367">
        <x:v>9</x:v>
      </x:c>
      <x:c r="C367" t="s">
        <x:v>115</x:v>
      </x:c>
      <x:c r="D367" s="243">
        <x:v>920</x:v>
      </x:c>
      <x:c r="E367" s="268" t="n">
        <x:f>FASE1!G367</x:f>
        <x:v>0</x:v>
      </x:c>
      <x:c r="F367" s="268" t="n">
        <x:f>FASE1!M367</x:f>
        <x:v>0</x:v>
      </x:c>
      <x:c r="G367" s="268" t="n">
        <x:f>FASE1!L367</x:f>
        <x:v>0</x:v>
      </x:c>
      <x:c r="H367" s="268" t="n">
        <x:f>FASE1!R367</x:f>
        <x:v>0</x:v>
      </x:c>
      <x:c r="I367" s="268" t="n">
        <x:f>FASE1!U367</x:f>
        <x:v>0</x:v>
      </x:c>
      <x:c r="J367" s="268" t="n">
        <x:f>FASE1!U367</x:f>
        <x:v>0</x:v>
      </x:c>
      <x:c r="K367" s="268" t="n">
        <x:f>FASE1!P367</x:f>
        <x:v>0</x:v>
      </x:c>
      <x:c r="L367" s="268" t="n">
        <x:f>FASE1!V367</x:f>
        <x:v>0</x:v>
      </x:c>
      <x:c r="M367" s="268" t="n">
        <x:f>AVERAGE(FASE2!F367:G367)</x:f>
        <x:v>0</x:v>
      </x:c>
      <x:c r="N367" s="268" t="n">
        <x:f>AVERAGE(FASE2!O367:P367,FASE2!S367)</x:f>
        <x:v>0</x:v>
      </x:c>
      <x:c r="O367" s="268" t="n">
        <x:f>FASE4!K367</x:f>
        <x:v>0</x:v>
      </x:c>
      <x:c r="P367" s="268" t="n">
        <x:f>FASE2!N367</x:f>
        <x:v>0</x:v>
      </x:c>
      <x:c r="Q367" s="268" t="n">
        <x:f>FASE3!P367</x:f>
        <x:v>0</x:v>
      </x:c>
      <x:c r="R367" s="268" t="n">
        <x:f>FASE3!N367</x:f>
        <x:v>0</x:v>
      </x:c>
      <x:c r="S367" s="268" t="n">
        <x:f>AVERAGE(FASE3!Q367,FASE3!R367,FASE3!T367,FASE3!S367)</x:f>
        <x:v>0</x:v>
      </x:c>
      <x:c r="T367" s="268" t="n">
        <x:f>AVERAGE(FASE3!U367,FASE3!V367,FASE3!W367)</x:f>
        <x:v>0</x:v>
      </x:c>
      <x:c r="U367" s="268" t="n">
        <x:f>FASE3!Y367</x:f>
        <x:v>0</x:v>
      </x:c>
      <x:c r="V367" s="268" t="n">
        <x:f>FASE3!X367</x:f>
        <x:v>0</x:v>
      </x:c>
      <x:c r="W367" s="268" t="n">
        <x:f>FASE4!M367</x:f>
        <x:v>0</x:v>
      </x:c>
      <x:c r="X367" s="268">
        <x:f t="shared" si="5"/>
        <x:v>0</x:v>
      </x:c>
      <x:c r="Y367" s="2"/>
    </x:row>
    <x:row r="368" ht="15.75">
      <x:c r="B368">
        <x:v>9</x:v>
      </x:c>
      <x:c r="C368" t="s">
        <x:v>115</x:v>
      </x:c>
      <x:c r="D368" s="243">
        <x:v>921</x:v>
      </x:c>
      <x:c r="E368" s="268" t="n">
        <x:f>FASE1!G368</x:f>
        <x:v>0</x:v>
      </x:c>
      <x:c r="F368" s="268" t="n">
        <x:f>FASE1!M368</x:f>
        <x:v>0</x:v>
      </x:c>
      <x:c r="G368" s="268" t="n">
        <x:f>FASE1!L368</x:f>
        <x:v>0</x:v>
      </x:c>
      <x:c r="H368" s="268" t="n">
        <x:f>FASE1!R368</x:f>
        <x:v>0</x:v>
      </x:c>
      <x:c r="I368" s="268" t="n">
        <x:f>FASE1!U368</x:f>
        <x:v>0</x:v>
      </x:c>
      <x:c r="J368" s="268" t="n">
        <x:f>FASE1!U368</x:f>
        <x:v>0</x:v>
      </x:c>
      <x:c r="K368" s="268" t="n">
        <x:f>FASE1!P368</x:f>
        <x:v>0</x:v>
      </x:c>
      <x:c r="L368" s="268" t="n">
        <x:f>FASE1!V368</x:f>
        <x:v>0</x:v>
      </x:c>
      <x:c r="M368" s="268" t="n">
        <x:f>AVERAGE(FASE2!F368:G368)</x:f>
        <x:v>0</x:v>
      </x:c>
      <x:c r="N368" s="268" t="n">
        <x:f>AVERAGE(FASE2!O368:P368,FASE2!S368)</x:f>
        <x:v>0</x:v>
      </x:c>
      <x:c r="O368" s="268" t="n">
        <x:f>FASE4!K368</x:f>
        <x:v>0</x:v>
      </x:c>
      <x:c r="P368" s="268" t="n">
        <x:f>FASE2!N368</x:f>
        <x:v>0</x:v>
      </x:c>
      <x:c r="Q368" s="268" t="n">
        <x:f>FASE3!P368</x:f>
        <x:v>0</x:v>
      </x:c>
      <x:c r="R368" s="268" t="n">
        <x:f>FASE3!N368</x:f>
        <x:v>0</x:v>
      </x:c>
      <x:c r="S368" s="268" t="n">
        <x:f>AVERAGE(FASE3!Q368,FASE3!R368,FASE3!T368,FASE3!S368)</x:f>
        <x:v>0</x:v>
      </x:c>
      <x:c r="T368" s="268" t="n">
        <x:f>AVERAGE(FASE3!U368,FASE3!V368,FASE3!W368)</x:f>
        <x:v>0</x:v>
      </x:c>
      <x:c r="U368" s="268" t="n">
        <x:f>FASE3!Y368</x:f>
        <x:v>0</x:v>
      </x:c>
      <x:c r="V368" s="268" t="n">
        <x:f>FASE3!X368</x:f>
        <x:v>0</x:v>
      </x:c>
      <x:c r="W368" s="268" t="n">
        <x:f>FASE4!M368</x:f>
        <x:v>0</x:v>
      </x:c>
      <x:c r="X368" s="268">
        <x:f t="shared" si="5"/>
        <x:v>0</x:v>
      </x:c>
      <x:c r="Y368" s="2"/>
    </x:row>
    <x:row r="369" ht="15.75">
      <x:c r="B369">
        <x:v>9</x:v>
      </x:c>
      <x:c r="C369" t="s">
        <x:v>135</x:v>
      </x:c>
      <x:c r="D369" s="243" t="s">
        <x:v>136</x:v>
      </x:c>
      <x:c r="E369" s="268" t="n">
        <x:f>FASE1!G369</x:f>
        <x:v>0</x:v>
      </x:c>
      <x:c r="F369" s="268" t="n">
        <x:f>FASE1!M369</x:f>
        <x:v>0</x:v>
      </x:c>
      <x:c r="G369" s="268" t="n">
        <x:f>FASE1!L369</x:f>
        <x:v>0</x:v>
      </x:c>
      <x:c r="H369" s="268" t="n">
        <x:f>FASE1!R369</x:f>
        <x:v>0</x:v>
      </x:c>
      <x:c r="I369" s="268" t="n">
        <x:f>FASE1!U369</x:f>
        <x:v>0</x:v>
      </x:c>
      <x:c r="J369" s="268" t="n">
        <x:f>FASE1!U369</x:f>
        <x:v>0</x:v>
      </x:c>
      <x:c r="K369" s="268" t="n">
        <x:f>FASE1!P369</x:f>
        <x:v>0</x:v>
      </x:c>
      <x:c r="L369" s="268" t="n">
        <x:f>FASE1!V369</x:f>
        <x:v>0</x:v>
      </x:c>
      <x:c r="M369" s="268" t="e">
        <x:f>AVERAGE(FASE2!F369:G369)</x:f>
        <x:v>#DIV/0!</x:v>
      </x:c>
      <x:c r="N369" s="268" t="e">
        <x:f>AVERAGE(FASE2!O369:P369,FASE2!S369)</x:f>
        <x:v>#DIV/0!</x:v>
      </x:c>
      <x:c r="O369" s="268" t="n">
        <x:f>FASE4!K369</x:f>
        <x:v>0</x:v>
      </x:c>
      <x:c r="P369" s="268" t="n">
        <x:f>FASE2!N369</x:f>
        <x:v>0</x:v>
      </x:c>
      <x:c r="Q369" s="268" t="n">
        <x:f>FASE3!P369</x:f>
        <x:v>0</x:v>
      </x:c>
      <x:c r="R369" s="268" t="n">
        <x:f>FASE3!N369</x:f>
        <x:v>0</x:v>
      </x:c>
      <x:c r="S369" s="268" t="n">
        <x:f>AVERAGE(FASE3!Q369,FASE3!R369,FASE3!T369,FASE3!S369)</x:f>
        <x:v>0</x:v>
      </x:c>
      <x:c r="T369" s="268" t="n">
        <x:f>AVERAGE(FASE3!U369,FASE3!V369,FASE3!W369)</x:f>
        <x:v>0</x:v>
      </x:c>
      <x:c r="U369" s="268" t="n">
        <x:f>FASE3!Y369</x:f>
        <x:v>0</x:v>
      </x:c>
      <x:c r="V369" s="268" t="n">
        <x:f>FASE3!X369</x:f>
        <x:v>0</x:v>
      </x:c>
      <x:c r="W369" s="268" t="n">
        <x:f>FASE4!M369</x:f>
        <x:v>0</x:v>
      </x:c>
      <x:c r="X369" s="268">
        <x:f t="shared" si="5"/>
        <x:v>0</x:v>
      </x:c>
      <x:c r="Y369" s="2"/>
    </x:row>
    <x:row r="370" ht="15.75">
      <x:c r="D370" s="24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2"/>
    </x:row>
    <x:row r="371" ht="15.75"/>
    <x:row r="372" ht="16.5">
      <x:c r="C372" s="148" t="s">
        <x:v>137</x:v>
      </x:c>
      <x:c r="E372" s="271" t="n">
        <x:f>AVERAGE(E13,E57,E102,E147,E192,E237,E282,E327,E369)/100</x:f>
        <x:v>0</x:v>
      </x:c>
      <x:c r="F372" s="271" t="n">
        <x:f t="shared" ref="F372:X372" si="6">AVERAGE(F13,F57,F102,F147,F192,F237,F282,F327,F369)/100</x:f>
        <x:v>0</x:v>
      </x:c>
      <x:c r="G372" s="271">
        <x:f t="shared" si="6"/>
        <x:v>0.21045337091848718</x:v>
      </x:c>
      <x:c r="H372" s="271">
        <x:f t="shared" si="6"/>
        <x:v>0.12677942212825932</x:v>
      </x:c>
      <x:c r="I372" s="271">
        <x:f t="shared" si="6"/>
        <x:v>0.10786351891003054</x:v>
      </x:c>
      <x:c r="J372" s="271">
        <x:f t="shared" si="6"/>
        <x:v>0.10786351891003054</x:v>
      </x:c>
      <x:c r="K372" s="271">
        <x:f t="shared" si="6"/>
        <x:v>6.0952548743246418E-2</x:v>
      </x:c>
      <x:c r="L372" s="271">
        <x:f t="shared" si="6"/>
        <x:v>8.1818181818181804E-2</x:v>
      </x:c>
      <x:c r="M372" s="271">
        <x:f t="shared" si="6"/>
        <x:v>2.0202020202020205E-4</x:v>
      </x:c>
      <x:c r="N372" s="271">
        <x:f t="shared" si="6"/>
        <x:v>3.232323232323233E-4</x:v>
      </x:c>
      <x:c r="O372" s="271">
        <x:f t="shared" si="6"/>
        <x:v>0</x:v>
      </x:c>
      <x:c r="P372" s="271">
        <x:f t="shared" si="6"/>
        <x:v>3.1612638007986836E-4</x:v>
      </x:c>
      <x:c r="Q372" s="271">
        <x:f t="shared" si="6"/>
        <x:v>2.0202020202020205E-4</x:v>
      </x:c>
      <x:c r="R372" s="271">
        <x:f t="shared" si="6"/>
        <x:v>2.0202020202020205E-4</x:v>
      </x:c>
      <x:c r="S372" s="271">
        <x:f t="shared" si="6"/>
        <x:v>2.0202020202020205E-4</x:v>
      </x:c>
      <x:c r="T372" s="271">
        <x:f t="shared" si="6"/>
        <x:v>2.0202020202020199E-4</x:v>
      </x:c>
      <x:c r="U372" s="271">
        <x:f t="shared" si="6"/>
        <x:v>0</x:v>
      </x:c>
      <x:c r="V372" s="271">
        <x:f t="shared" si="6"/>
        <x:v>2.0202020202020205E-4</x:v>
      </x:c>
      <x:c r="W372" s="271">
        <x:f t="shared" si="6"/>
        <x:v>0</x:v>
      </x:c>
      <x:c r="X372" s="271">
        <x:f t="shared" si="6"/>
        <x:v>5.7068185080781965E-2</x:v>
      </x:c>
    </x:row>
    <x:row r="374">
      <x:c r="F374" s="264"/>
      <x:c r="G374" s="264"/>
      <x:c r="H374" s="264"/>
      <x:c r="I374" s="264"/>
      <x:c r="J374" s="264"/>
      <x:c r="K374" s="264"/>
      <x:c r="L374" s="264"/>
      <x:c r="M374" s="264"/>
      <x:c r="N374" s="264"/>
      <x:c r="O374" s="150"/>
      <x:c r="P374" s="150"/>
      <x:c r="Q374" s="150"/>
    </x:row>
    <x:row r="375" ht="15.75">
      <x:c r="D375" s="298" t="s">
        <x:v>138</x:v>
      </x:c>
      <x:c r="E375" s="298"/>
      <x:c r="F375" s="255" t="s">
        <x:v>139</x:v>
      </x:c>
      <x:c r="G375" s="255" t="s">
        <x:v>140</x:v>
      </x:c>
      <x:c r="H375" s="255" t="s">
        <x:v>141</x:v>
      </x:c>
      <x:c r="I375" s="255" t="s">
        <x:v>142</x:v>
      </x:c>
      <x:c r="J375" s="255" t="s">
        <x:v>143</x:v>
      </x:c>
      <x:c r="K375" s="255" t="s">
        <x:v>144</x:v>
      </x:c>
      <x:c r="L375" s="255" t="s">
        <x:v>145</x:v>
      </x:c>
      <x:c r="M375" s="255" t="s">
        <x:v>146</x:v>
      </x:c>
      <x:c r="N375" s="255" t="s">
        <x:v>147</x:v>
      </x:c>
      <x:c r="O375" s="261"/>
      <x:c r="P375" s="261"/>
      <x:c r="Q375" s="261"/>
    </x:row>
    <x:row r="376" ht="15.75">
      <x:c r="D376" s="298" t="s">
        <x:v>148</x:v>
      </x:c>
      <x:c r="E376" s="298"/>
      <x:c r="F376" s="256"/>
      <x:c r="G376" s="256" t="n">
        <x:f>$X19</x:f>
        <x:v>7.222222222222222</x:v>
      </x:c>
      <x:c r="H376" s="256" t="n">
        <x:f>$X37</x:f>
        <x:v>30.005555555555556</x:v>
      </x:c>
      <x:c r="I376" s="256" t="n">
        <x:f>$X55</x:f>
        <x:v>11.944444444444445</x:v>
      </x:c>
      <x:c r="J376" s="256" t="n">
        <x:f>$X73</x:f>
        <x:v>0</x:v>
      </x:c>
      <x:c r="K376" s="256" t="n">
        <x:f>X91</x:f>
        <x:v>0</x:v>
      </x:c>
      <x:c r="L376" s="256" t="n">
        <x:f>X109</x:f>
        <x:v>0</x:v>
      </x:c>
      <x:c r="M376" s="256" t="n">
        <x:f>X127</x:f>
        <x:v>0</x:v>
      </x:c>
      <x:c r="N376" s="256" t="n">
        <x:f>X145</x:f>
        <x:v>0</x:v>
      </x:c>
      <x:c r="O376" s="265"/>
      <x:c r="P376" s="265"/>
      <x:c r="Q376" s="265"/>
    </x:row>
    <x:row r="378">
      <x:c r="F378" s="264"/>
      <x:c r="G378" s="264"/>
      <x:c r="H378" s="264"/>
      <x:c r="I378" s="264"/>
      <x:c r="J378" s="264"/>
      <x:c r="K378" s="264"/>
      <x:c r="L378" s="264"/>
      <x:c r="M378" s="264"/>
      <x:c r="N378" s="264"/>
      <x:c r="O378" s="150"/>
      <x:c r="P378" s="150"/>
      <x:c r="Q378" s="150"/>
    </x:row>
    <x:row r="379" ht="15.75">
      <x:c r="D379" s="298" t="s">
        <x:v>149</x:v>
      </x:c>
      <x:c r="E379" s="298"/>
      <x:c r="F379" s="255" t="s">
        <x:v>139</x:v>
      </x:c>
      <x:c r="G379" s="255" t="s">
        <x:v>140</x:v>
      </x:c>
      <x:c r="H379" s="255" t="s">
        <x:v>141</x:v>
      </x:c>
      <x:c r="I379" s="255" t="s">
        <x:v>142</x:v>
      </x:c>
      <x:c r="J379" s="255" t="s">
        <x:v>143</x:v>
      </x:c>
      <x:c r="K379" s="255" t="s">
        <x:v>144</x:v>
      </x:c>
      <x:c r="L379" s="255" t="s">
        <x:v>145</x:v>
      </x:c>
      <x:c r="M379" s="255" t="s">
        <x:v>146</x:v>
      </x:c>
      <x:c r="N379" s="255" t="s">
        <x:v>147</x:v>
      </x:c>
      <x:c r="O379" s="261"/>
      <x:c r="P379" s="261"/>
      <x:c r="Q379" s="261"/>
    </x:row>
    <x:row r="380" ht="15.75">
      <x:c r="D380" s="298" t="s">
        <x:v>148</x:v>
      </x:c>
      <x:c r="E380" s="298"/>
      <x:c r="F380" s="256"/>
      <x:c r="G380" s="256"/>
      <x:c r="H380" s="256"/>
      <x:c r="I380" s="256"/>
      <x:c r="J380" s="256"/>
      <x:c r="K380" s="256"/>
      <x:c r="L380" s="256"/>
      <x:c r="M380" s="256"/>
      <x:c r="N380" s="256"/>
      <x:c r="O380" s="265"/>
      <x:c r="P380" s="265"/>
      <x:c r="Q380" s="265"/>
    </x:row>
    <x:row r="381" ht="15.75"/>
    <x:row r="382" ht="16.5">
      <x:c r="G382" s="258">
        <x:v>0.996</x:v>
      </x:c>
      <x:c r="H382" s="259">
        <x:v>1</x:v>
      </x:c>
      <x:c r="I382" s="259">
        <x:v>1</x:v>
      </x:c>
      <x:c r="J382" s="259">
        <x:v>1</x:v>
      </x:c>
      <x:c r="K382" s="259">
        <x:v>1</x:v>
      </x:c>
      <x:c r="L382" s="259">
        <x:v>1</x:v>
      </x:c>
      <x:c r="M382" s="259">
        <x:v>1</x:v>
      </x:c>
      <x:c r="N382" s="259">
        <x:v>1</x:v>
      </x:c>
      <x:c r="O382" s="259">
        <x:v>0.97</x:v>
      </x:c>
      <x:c r="P382" s="259">
        <x:v>0.95</x:v>
      </x:c>
      <x:c r="Q382" s="260">
        <x:v>0.9</x:v>
      </x:c>
      <x:c r="X382" s="254" t="n">
        <x:f>AVERAGE(G382:Q382)</x:f>
        <x:v>0.9832727272727273</x:v>
      </x:c>
    </x:row>
    <x:row r="383">
      <x:c r="D383" s="299" t="s">
        <x:v>150</x:v>
      </x:c>
      <x:c r="E383" s="299"/>
      <x:c r="F383" s="299"/>
      <x:c r="G383" s="299"/>
      <x:c r="H383" s="299"/>
      <x:c r="I383" s="299"/>
      <x:c r="J383" s="299"/>
      <x:c r="K383" s="299"/>
      <x:c r="L383" s="299"/>
      <x:c r="M383" s="299"/>
      <x:c r="N383" s="299"/>
      <x:c r="O383" s="299"/>
      <x:c r="P383" s="299"/>
      <x:c r="Q383" s="299"/>
      <x:c r="R383" s="299"/>
      <x:c r="S383" s="299"/>
      <x:c r="T383" s="299"/>
      <x:c r="U383" s="299"/>
    </x:row>
  </x:sheetData>
  <x:mergeCells>
    <x:mergeCell ref="D375:E375"/>
    <x:mergeCell ref="D383:U383"/>
    <x:mergeCell ref="D379:E379"/>
    <x:mergeCell ref="D376:E376"/>
    <x:mergeCell ref="D380:E380"/>
  </x:mergeCells>
  <x:conditionalFormatting sqref="E19:L19 O19:R19 U19:X19">
    <x:cfRule type="dataBar" priority="605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{2F05300B-3B8B-41A0-8730-8A38AA5133C0}</x14:id>
        </x:ext>
      </x:extLst>
    </x:cfRule>
  </x:conditionalFormatting>
  <x:conditionalFormatting sqref="E37:L37 O37:R37 U37:X37">
    <x:cfRule type="dataBar" priority="609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{389358CD-432F-4C3E-A421-FE98B9356646}</x14:id>
        </x:ext>
      </x:extLst>
    </x:cfRule>
  </x:conditionalFormatting>
  <x:conditionalFormatting sqref="E55:L55 O55:R55 U55:X55">
    <x:cfRule type="dataBar" priority="613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{EB93A843-7F19-4A10-AA92-711F801663AE}</x14:id>
        </x:ext>
      </x:extLst>
    </x:cfRule>
  </x:conditionalFormatting>
  <x:conditionalFormatting sqref="E73:L73 O73:R73 U73:X73">
    <x:cfRule type="dataBar" priority="617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{394E2769-B48A-4017-A8A0-9C0CC1C0404E}</x14:id>
        </x:ext>
      </x:extLst>
    </x:cfRule>
  </x:conditionalFormatting>
  <x:conditionalFormatting sqref="E91:L91 O91:R91 U91:X91">
    <x:cfRule type="dataBar" priority="621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{E5DB958F-BE6D-4663-9C95-884754EDF2BB}</x14:id>
        </x:ext>
      </x:extLst>
    </x:cfRule>
  </x:conditionalFormatting>
  <x:conditionalFormatting sqref="E109:L109 O109:R109 U109:X109">
    <x:cfRule type="dataBar" priority="625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{0B0EE1D0-5FCF-41D4-8BD7-52DCB2281C18}</x14:id>
        </x:ext>
      </x:extLst>
    </x:cfRule>
  </x:conditionalFormatting>
  <x:conditionalFormatting sqref="E127:L127 O127:R127 U127:X127">
    <x:cfRule type="dataBar" priority="629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{D4534D08-F05C-4FBF-AB57-30C975F11C02}</x14:id>
        </x:ext>
      </x:extLst>
    </x:cfRule>
  </x:conditionalFormatting>
  <x:conditionalFormatting sqref="E145:L145 O145:R145 U145:X145">
    <x:cfRule type="dataBar" priority="633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{0D19EB0B-EAB9-4F63-8E09-1EBCFD1FC070}</x14:id>
        </x:ext>
      </x:extLst>
    </x:cfRule>
  </x:conditionalFormatting>
  <x:conditionalFormatting sqref="E163:L163 O163:R163 U163:X163">
    <x:cfRule type="dataBar" priority="637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{C96A06A7-DEDA-40F7-801F-C70221A1B196}</x14:id>
        </x:ext>
      </x:extLst>
    </x:cfRule>
  </x:conditionalFormatting>
  <x:conditionalFormatting sqref="E181:L181 O181:R181 U181:X181">
    <x:cfRule type="dataBar" priority="641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{CD3230BC-A9AB-49F5-B771-1DE96F53E050}</x14:id>
        </x:ext>
      </x:extLst>
    </x:cfRule>
  </x:conditionalFormatting>
  <x:conditionalFormatting sqref="E2:W2 E370:X370 U19:X19 U37:X37 U55:X55 U73:X73 U91:X91 U109:X109 U127:X127 U163:X163 U181:X181 U20:W36 U3:W18 U38:W54 U56:W72 U74:W90 U92:W108 U110:W126 U128:W144 U146:W162 U164:W180 U145:X145 U182:W369 E3:T369">
    <x:cfRule type="dataBar" priority="64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{82E35F56-C4B3-4449-963F-1423DF7C7494}</x14:id>
        </x:ext>
      </x:extLst>
    </x:cfRule>
  </x:conditionalFormatting>
  <x:conditionalFormatting sqref="E370:X370">
    <x:cfRule type="dataBar" priority="694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{72E5B14D-B038-42F3-AAFC-BA0B6E7FD00A}</x14:id>
        </x:ext>
      </x:extLst>
    </x:cfRule>
  </x:conditionalFormatting>
  <x:conditionalFormatting sqref="E372:X372">
    <x:cfRule type="dataBar" priority="64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{00565431-14E6-4B23-8EDB-CEA5F79C72FC}</x14:id>
        </x:ext>
      </x:extLst>
    </x:cfRule>
  </x:conditionalFormatting>
  <x:conditionalFormatting sqref="G382:Q382">
    <x:cfRule type="dataBar" priority="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{E128F0E9-6781-497E-8B04-FDD865FFA3CC}</x14:id>
        </x:ext>
      </x:extLst>
    </x:cfRule>
  </x:conditionalFormatting>
  <x:conditionalFormatting sqref="X2:X18">
    <x:cfRule type="dataBar" priority="2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{4E8923DD-FE0F-44F7-B926-9ECA40B39F3E}</x14:id>
        </x:ext>
      </x:extLst>
    </x:cfRule>
    <x:cfRule type="dataBar" priority="26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{A4DC4A44-B8E5-40AA-BDBB-5BC7C23E2AE1}</x14:id>
        </x:ext>
      </x:extLst>
    </x:cfRule>
  </x:conditionalFormatting>
  <x:conditionalFormatting sqref="X20:X36">
    <x:cfRule type="dataBar" priority="2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{D75372AA-2CCC-455D-91F8-208F95DE1B54}</x14:id>
        </x:ext>
      </x:extLst>
    </x:cfRule>
    <x:cfRule type="dataBar" priority="24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{C93770EE-62BE-4512-98A1-F46BB615506E}</x14:id>
        </x:ext>
      </x:extLst>
    </x:cfRule>
  </x:conditionalFormatting>
  <x:conditionalFormatting sqref="X38:X54">
    <x:cfRule type="dataBar" priority="22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{D2772E05-54AD-470E-8895-45509D006300}</x14:id>
        </x:ext>
      </x:extLst>
    </x:cfRule>
    <x:cfRule type="dataBar" priority="2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{ECDB7744-E0D4-4A5C-AE88-F584AE34D5F0}</x14:id>
        </x:ext>
      </x:extLst>
    </x:cfRule>
  </x:conditionalFormatting>
  <x:conditionalFormatting sqref="X56:X72">
    <x:cfRule type="dataBar" priority="2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{9F3E65FD-B590-40CA-94D1-C646793FCD67}</x14:id>
        </x:ext>
      </x:extLst>
    </x:cfRule>
    <x:cfRule type="dataBar" priority="20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{E05DF0B6-3AA6-4C54-BBB5-A650532037A9}</x14:id>
        </x:ext>
      </x:extLst>
    </x:cfRule>
  </x:conditionalFormatting>
  <x:conditionalFormatting sqref="X74:X90">
    <x:cfRule type="dataBar" priority="1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{799C94EA-308C-4375-B4EE-4FEF54E774C4}</x14:id>
        </x:ext>
      </x:extLst>
    </x:cfRule>
    <x:cfRule type="dataBar" priority="18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{A82E9F85-6FD6-4CE9-882C-C621CF947572}</x14:id>
        </x:ext>
      </x:extLst>
    </x:cfRule>
  </x:conditionalFormatting>
  <x:conditionalFormatting sqref="X92:X108">
    <x:cfRule type="dataBar" priority="1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{18374187-0BF9-437D-A8B9-E6E84F6D886A}</x14:id>
        </x:ext>
      </x:extLst>
    </x:cfRule>
    <x:cfRule type="dataBar" priority="16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{627654D8-6622-4314-9DB5-2A2822A356A3}</x14:id>
        </x:ext>
      </x:extLst>
    </x:cfRule>
  </x:conditionalFormatting>
  <x:conditionalFormatting sqref="X109:X109">
    <x:cfRule type="dataBar" priority="33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{F392647D-E946-4496-9586-2A1B3D9965EE}</x14:id>
        </x:ext>
      </x:extLst>
    </x:cfRule>
  </x:conditionalFormatting>
  <x:conditionalFormatting sqref="X110:X126">
    <x:cfRule type="dataBar" priority="1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{2DB27CE4-0F06-4FFA-9DA6-C2DDF21DAF9A}</x14:id>
        </x:ext>
      </x:extLst>
    </x:cfRule>
    <x:cfRule type="dataBar" priority="14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{5FECE6D8-19D8-455E-A018-555A7A3C5B86}</x14:id>
        </x:ext>
      </x:extLst>
    </x:cfRule>
  </x:conditionalFormatting>
  <x:conditionalFormatting sqref="X127:X127">
    <x:cfRule type="dataBar" priority="32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{6CE47209-DDD2-417A-8A73-5D143D47E099}</x14:id>
        </x:ext>
      </x:extLst>
    </x:cfRule>
  </x:conditionalFormatting>
  <x:conditionalFormatting sqref="X128:X144">
    <x:cfRule type="dataBar" priority="1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{4C1F2D51-D016-469F-A8FB-DBB6BEA8977C}</x14:id>
        </x:ext>
      </x:extLst>
    </x:cfRule>
    <x:cfRule type="dataBar" priority="12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{21FED3F2-0EA6-4A75-92C5-D68EFF681E62}</x14:id>
        </x:ext>
      </x:extLst>
    </x:cfRule>
  </x:conditionalFormatting>
  <x:conditionalFormatting sqref="X145:X145">
    <x:cfRule type="dataBar" priority="31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{6ECBE5C7-9001-4310-80B7-56F254F690B6}</x14:id>
        </x:ext>
      </x:extLst>
    </x:cfRule>
  </x:conditionalFormatting>
  <x:conditionalFormatting sqref="X146:X162">
    <x:cfRule type="dataBar" priority="1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{DEB44E21-92C6-481C-9385-BBE6DE4B690B}</x14:id>
        </x:ext>
      </x:extLst>
    </x:cfRule>
    <x:cfRule type="dataBar" priority="10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{9F6B84F9-FAF5-467D-A8FC-28888C1893A8}</x14:id>
        </x:ext>
      </x:extLst>
    </x:cfRule>
  </x:conditionalFormatting>
  <x:conditionalFormatting sqref="X163:X163">
    <x:cfRule type="dataBar" priority="30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{35FCC25C-571D-4210-A83F-0DC5EFDFD5D7}</x14:id>
        </x:ext>
      </x:extLst>
    </x:cfRule>
  </x:conditionalFormatting>
  <x:conditionalFormatting sqref="X164:X180">
    <x:cfRule type="dataBar" priority="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{D33C1981-C041-485B-96B3-DD11F0C5A0F4}</x14:id>
        </x:ext>
      </x:extLst>
    </x:cfRule>
    <x:cfRule type="dataBar" priority="8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{4D660E8A-DF81-469D-AAB5-3072308ED4DF}</x14:id>
        </x:ext>
      </x:extLst>
    </x:cfRule>
  </x:conditionalFormatting>
  <x:conditionalFormatting sqref="X181:X181">
    <x:cfRule type="dataBar" priority="29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{3389976D-26DA-4CA6-B952-3363A547C43D}</x14:id>
        </x:ext>
      </x:extLst>
    </x:cfRule>
  </x:conditionalFormatting>
  <x:conditionalFormatting sqref="X182:X369">
    <x:cfRule type="dataBar" priority="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{A03D2FFC-14AE-48F9-8C65-7412D642D652}</x14:id>
        </x:ext>
      </x:extLst>
    </x:cfRule>
    <x:cfRule type="dataBar" priority="6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{D78B475C-8CA6-42D2-BF3B-AFF8F83FB3F0}</x14:id>
        </x:ext>
      </x:extLst>
    </x:cfRule>
  </x:conditionalFormatting>
  <x:conditionalFormatting sqref="X370:X370">
    <x:cfRule type="dataBar" priority="604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{BED67A89-D8D4-4A3D-A45B-5EF27C3DE85E}</x14:id>
        </x:ext>
      </x:extLst>
    </x:cfRule>
  </x:conditionalFormatting>
  <x:conditionalFormatting sqref="X382:X382">
    <x:cfRule type="dataBar" priority="1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{06304666-61C3-444F-86E5-906609EC2620}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e82d2c82a0045e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05" id="{2F05300B-3B8B-41A0-8730-8A38AA5133C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E19:L19 O19:R19 U19:X19</xm:sqref>
        </x14:conditionalFormatting>
        <x14:conditionalFormatting>
          <x14:cfRule type="dataBar" priority="609" id="{389358CD-432F-4C3E-A421-FE98B9356646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E37:L37 O37:R37 U37:X37</xm:sqref>
        </x14:conditionalFormatting>
        <x14:conditionalFormatting>
          <x14:cfRule type="dataBar" priority="613" id="{EB93A843-7F19-4A10-AA92-711F801663AE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E55:L55 O55:R55 U55:X55</xm:sqref>
        </x14:conditionalFormatting>
        <x14:conditionalFormatting>
          <x14:cfRule type="dataBar" priority="617" id="{394E2769-B48A-4017-A8A0-9C0CC1C0404E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E73:L73 O73:R73 U73:X73</xm:sqref>
        </x14:conditionalFormatting>
        <x14:conditionalFormatting>
          <x14:cfRule type="dataBar" priority="621" id="{E5DB958F-BE6D-4663-9C95-884754EDF2BB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E91:L91 O91:R91 U91:X91</xm:sqref>
        </x14:conditionalFormatting>
        <x14:conditionalFormatting>
          <x14:cfRule type="dataBar" priority="625" id="{0B0EE1D0-5FCF-41D4-8BD7-52DCB2281C18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E109:L109 O109:R109 U109:X109</xm:sqref>
        </x14:conditionalFormatting>
        <x14:conditionalFormatting>
          <x14:cfRule type="dataBar" priority="629" id="{D4534D08-F05C-4FBF-AB57-30C975F11C02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E127:L127 O127:R127 U127:X127</xm:sqref>
        </x14:conditionalFormatting>
        <x14:conditionalFormatting>
          <x14:cfRule type="dataBar" priority="633" id="{0D19EB0B-EAB9-4F63-8E09-1EBCFD1FC07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E145:L145 O145:R145 U145:X145</xm:sqref>
        </x14:conditionalFormatting>
        <x14:conditionalFormatting>
          <x14:cfRule type="dataBar" priority="637" id="{C96A06A7-DEDA-40F7-801F-C70221A1B196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E163:L163 O163:R163 U163:X163</xm:sqref>
        </x14:conditionalFormatting>
        <x14:conditionalFormatting>
          <x14:cfRule type="dataBar" priority="641" id="{CD3230BC-A9AB-49F5-B771-1DE96F53E05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E181:L181 O181:R181 U181:X181</xm:sqref>
        </x14:conditionalFormatting>
        <x14:conditionalFormatting>
          <x14:cfRule type="dataBar" priority="647" id="{82E35F56-C4B3-4449-963F-1423DF7C749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E2:W2 E370:X370 U19:X19 U37:X37 U55:X55 U73:X73 U91:X91 U109:X109 U127:X127 U163:X163 U181:X181 U20:W36 U3:W18 U38:W54 U56:W72 U74:W90 U92:W108 U110:W126 U128:W144 U146:W162 U164:W180 U145:X145 U182:W369 E3:T369</xm:sqref>
        </x14:conditionalFormatting>
        <x14:conditionalFormatting>
          <x14:cfRule type="dataBar" priority="694" id="{72E5B14D-B038-42F3-AAFC-BA0B6E7FD00A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E370:X370</xm:sqref>
        </x14:conditionalFormatting>
        <x14:conditionalFormatting>
          <x14:cfRule type="dataBar" priority="645" id="{00565431-14E6-4B23-8EDB-CEA5F79C72FC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E372:X372</xm:sqref>
        </x14:conditionalFormatting>
        <x14:conditionalFormatting>
          <x14:cfRule type="dataBar" priority="3" id="{E128F0E9-6781-497E-8B04-FDD865FFA3CC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G382:Q382</xm:sqref>
        </x14:conditionalFormatting>
        <x14:conditionalFormatting>
          <x14:cfRule type="dataBar" priority="27" id="{4E8923DD-FE0F-44F7-B926-9ECA40B39F3E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26" id="{A4DC4A44-B8E5-40AA-BDBB-5BC7C23E2AE1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X2:X18</xm:sqref>
        </x14:conditionalFormatting>
        <x14:conditionalFormatting>
          <x14:cfRule type="dataBar" priority="25" id="{D75372AA-2CCC-455D-91F8-208F95DE1B5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24" id="{C93770EE-62BE-4512-98A1-F46BB615506E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X20:X36</xm:sqref>
        </x14:conditionalFormatting>
        <x14:conditionalFormatting>
          <x14:cfRule type="dataBar" priority="22" id="{D2772E05-54AD-470E-8895-45509D00630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priority="23" id="{ECDB7744-E0D4-4A5C-AE88-F584AE34D5F0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X38:X54</xm:sqref>
        </x14:conditionalFormatting>
        <x14:conditionalFormatting>
          <x14:cfRule type="dataBar" priority="21" id="{9F3E65FD-B590-40CA-94D1-C646793FCD6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20" id="{E05DF0B6-3AA6-4C54-BBB5-A650532037A9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X56:X72</xm:sqref>
        </x14:conditionalFormatting>
        <x14:conditionalFormatting>
          <x14:cfRule type="dataBar" priority="19" id="{799C94EA-308C-4375-B4EE-4FEF54E774C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18" id="{A82E9F85-6FD6-4CE9-882C-C621CF947572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X74:X90</xm:sqref>
        </x14:conditionalFormatting>
        <x14:conditionalFormatting>
          <x14:cfRule type="dataBar" priority="17" id="{18374187-0BF9-437D-A8B9-E6E84F6D886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16" id="{627654D8-6622-4314-9DB5-2A2822A356A3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X92:X108</xm:sqref>
        </x14:conditionalFormatting>
        <x14:conditionalFormatting>
          <x14:cfRule type="dataBar" priority="33" id="{F392647D-E946-4496-9586-2A1B3D9965EE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X109:X109</xm:sqref>
        </x14:conditionalFormatting>
        <x14:conditionalFormatting>
          <x14:cfRule type="dataBar" priority="15" id="{2DB27CE4-0F06-4FFA-9DA6-C2DDF21DAF9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14" id="{5FECE6D8-19D8-455E-A018-555A7A3C5B86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X110:X126</xm:sqref>
        </x14:conditionalFormatting>
        <x14:conditionalFormatting>
          <x14:cfRule type="dataBar" priority="32" id="{6CE47209-DDD2-417A-8A73-5D143D47E099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X127:X127</xm:sqref>
        </x14:conditionalFormatting>
        <x14:conditionalFormatting>
          <x14:cfRule type="dataBar" priority="13" id="{4C1F2D51-D016-469F-A8FB-DBB6BEA8977C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12" id="{21FED3F2-0EA6-4A75-92C5-D68EFF681E62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X128:X144</xm:sqref>
        </x14:conditionalFormatting>
        <x14:conditionalFormatting>
          <x14:cfRule type="dataBar" priority="31" id="{6ECBE5C7-9001-4310-80B7-56F254F690B6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X145:X145</xm:sqref>
        </x14:conditionalFormatting>
        <x14:conditionalFormatting>
          <x14:cfRule type="dataBar" priority="11" id="{DEB44E21-92C6-481C-9385-BBE6DE4B690B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10" id="{9F6B84F9-FAF5-467D-A8FC-28888C1893A8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X146:X162</xm:sqref>
        </x14:conditionalFormatting>
        <x14:conditionalFormatting>
          <x14:cfRule type="dataBar" priority="30" id="{35FCC25C-571D-4210-A83F-0DC5EFDFD5D7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X163:X163</xm:sqref>
        </x14:conditionalFormatting>
        <x14:conditionalFormatting>
          <x14:cfRule type="dataBar" priority="9" id="{D33C1981-C041-485B-96B3-DD11F0C5A0F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8" id="{4D660E8A-DF81-469D-AAB5-3072308ED4DF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X164:X180</xm:sqref>
        </x14:conditionalFormatting>
        <x14:conditionalFormatting>
          <x14:cfRule type="dataBar" priority="29" id="{3389976D-26DA-4CA6-B952-3363A547C43D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X181:X181</xm:sqref>
        </x14:conditionalFormatting>
        <x14:conditionalFormatting>
          <x14:cfRule type="dataBar" priority="7" id="{A03D2FFC-14AE-48F9-8C65-7412D642D652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6" id="{D78B475C-8CA6-42D2-BF3B-AFF8F83FB3F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X182:X369</xm:sqref>
        </x14:conditionalFormatting>
        <x14:conditionalFormatting>
          <x14:cfRule type="dataBar" priority="604" id="{BED67A89-D8D4-4A3D-A45B-5EF27C3DE85E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X370:X370</xm:sqref>
        </x14:conditionalFormatting>
        <x14:conditionalFormatting>
          <x14:cfRule type="dataBar" priority="1" id="{06304666-61C3-444F-86E5-906609EC262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X382:X382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baseColWidth="10" defaultColWidth="10.7109375" defaultRowHeight="15"/>
  <x:cols>
    <x:col min="2" max="2" width="9.7109375" style="241" customWidth="1"/>
  </x:cols>
  <x:sheetData>
    <x:row r="3" ht="45">
      <x:c r="D3" s="300" t="s">
        <x:v>151</x:v>
      </x:c>
      <x:c r="E3" s="300"/>
      <x:c r="F3" s="300"/>
      <x:c r="G3" s="300"/>
      <x:c r="H3" s="300"/>
      <x:c r="I3" s="300"/>
      <x:c r="J3" s="300"/>
      <x:c r="K3" s="300"/>
      <x:c r="L3" s="300"/>
      <x:c r="M3" s="300"/>
      <x:c r="N3" s="300"/>
      <x:c r="O3" s="300"/>
      <x:c r="P3" s="300"/>
      <x:c r="Q3" s="300"/>
      <x:c r="R3" s="300"/>
      <x:c r="S3" s="300"/>
      <x:c r="T3" s="300"/>
      <x:c r="U3" s="300"/>
      <x:c r="V3" s="300"/>
      <x:c r="W3" s="300"/>
      <x:c r="X3" s="300"/>
      <x:c r="Y3" s="300"/>
      <x:c r="Z3" s="300"/>
      <x:c r="AA3" s="300"/>
      <x:c r="AB3" s="300"/>
      <x:c r="AC3" s="300"/>
    </x:row>
    <x:row r="5" s="240" customFormat="1" ht="154.5" customHeight="1">
      <x:c r="B5" s="245" t="s">
        <x:v>113</x:v>
      </x:c>
      <x:c r="C5" s="246" t="s">
        <x:v>118</x:v>
      </x:c>
      <x:c r="D5" s="246" t="s">
        <x:v>28</x:v>
      </x:c>
      <x:c r="E5" s="246" t="s">
        <x:v>27</x:v>
      </x:c>
      <x:c r="F5" s="246" t="s">
        <x:v>33</x:v>
      </x:c>
      <x:c r="G5" s="246" t="s">
        <x:v>119</x:v>
      </x:c>
      <x:c r="H5" s="246" t="s">
        <x:v>120</x:v>
      </x:c>
      <x:c r="I5" s="246" t="s">
        <x:v>121</x:v>
      </x:c>
      <x:c r="J5" s="246" t="s">
        <x:v>122</x:v>
      </x:c>
      <x:c r="K5" s="246" t="s">
        <x:v>123</x:v>
      </x:c>
      <x:c r="L5" s="246" t="s">
        <x:v>124</x:v>
      </x:c>
      <x:c r="M5" s="246" t="s">
        <x:v>125</x:v>
      </x:c>
      <x:c r="N5" s="246" t="s">
        <x:v>126</x:v>
      </x:c>
      <x:c r="O5" s="246" t="s">
        <x:v>127</x:v>
      </x:c>
      <x:c r="P5" s="246" t="s">
        <x:v>128</x:v>
      </x:c>
      <x:c r="Q5" s="246" t="s">
        <x:v>129</x:v>
      </x:c>
      <x:c r="R5" s="246" t="s">
        <x:v>130</x:v>
      </x:c>
      <x:c r="S5" s="246" t="s">
        <x:v>131</x:v>
      </x:c>
      <x:c r="T5" s="246" t="s">
        <x:v>132</x:v>
      </x:c>
      <x:c r="U5" s="246" t="s">
        <x:v>152</x:v>
      </x:c>
      <x:c r="V5" s="246" t="s">
        <x:v>134</x:v>
      </x:c>
      <x:c r="W5" s="239"/>
    </x:row>
    <x:row r="6" ht="15.75">
      <x:c r="B6" s="243">
        <x:v>201</x:v>
      </x:c>
      <x:c r="C6" s="248"/>
      <x:c r="D6" s="249"/>
      <x:c r="E6" s="249"/>
      <x:c r="F6" s="249"/>
      <x:c r="G6" s="249"/>
      <x:c r="H6" s="249"/>
      <x:c r="I6" s="249"/>
      <x:c r="J6" s="249"/>
      <x:c r="K6" s="249"/>
      <x:c r="L6" s="249"/>
      <x:c r="M6" s="249"/>
      <x:c r="N6" s="249"/>
      <x:c r="O6" s="249"/>
      <x:c r="P6" s="249"/>
      <x:c r="Q6" s="249"/>
      <x:c r="R6" s="249"/>
      <x:c r="S6" s="249"/>
      <x:c r="T6" s="249"/>
      <x:c r="U6" s="249"/>
      <x:c r="V6" s="250"/>
    </x:row>
    <x:row r="7" ht="15.75">
      <x:c r="B7" s="243">
        <x:v>202</x:v>
      </x:c>
      <x:c r="C7" s="248"/>
      <x:c r="D7" s="249"/>
      <x:c r="E7" s="249"/>
      <x:c r="F7" s="249"/>
      <x:c r="G7" s="249"/>
      <x:c r="H7" s="249"/>
      <x:c r="I7" s="249"/>
      <x:c r="J7" s="249"/>
      <x:c r="K7" s="249"/>
      <x:c r="L7" s="249"/>
      <x:c r="M7" s="249"/>
      <x:c r="N7" s="249"/>
      <x:c r="O7" s="249"/>
      <x:c r="P7" s="249"/>
      <x:c r="Q7" s="249"/>
      <x:c r="R7" s="249"/>
      <x:c r="S7" s="249"/>
      <x:c r="T7" s="249"/>
      <x:c r="U7" s="249"/>
      <x:c r="V7" s="247"/>
    </x:row>
    <x:row r="8" ht="15.75">
      <x:c r="B8" s="243">
        <x:v>203</x:v>
      </x:c>
      <x:c r="C8" s="248"/>
      <x:c r="D8" s="249"/>
      <x:c r="E8" s="249"/>
      <x:c r="F8" s="249"/>
      <x:c r="G8" s="249"/>
      <x:c r="H8" s="249"/>
      <x:c r="I8" s="249"/>
      <x:c r="J8" s="249"/>
      <x:c r="K8" s="249"/>
      <x:c r="L8" s="249"/>
      <x:c r="M8" s="249"/>
      <x:c r="N8" s="249"/>
      <x:c r="O8" s="249"/>
      <x:c r="P8" s="249"/>
      <x:c r="Q8" s="249"/>
      <x:c r="R8" s="249"/>
      <x:c r="S8" s="249"/>
      <x:c r="T8" s="249"/>
      <x:c r="U8" s="249"/>
      <x:c r="V8" s="247"/>
    </x:row>
    <x:row r="9" ht="15.75">
      <x:c r="B9" s="243">
        <x:v>204</x:v>
      </x:c>
      <x:c r="C9" s="248"/>
      <x:c r="D9" s="249"/>
      <x:c r="E9" s="249"/>
      <x:c r="F9" s="249"/>
      <x:c r="G9" s="249"/>
      <x:c r="H9" s="249"/>
      <x:c r="I9" s="249"/>
      <x:c r="J9" s="249"/>
      <x:c r="K9" s="249"/>
      <x:c r="L9" s="249"/>
      <x:c r="M9" s="249"/>
      <x:c r="N9" s="249"/>
      <x:c r="O9" s="249"/>
      <x:c r="P9" s="249"/>
      <x:c r="Q9" s="249"/>
      <x:c r="R9" s="249"/>
      <x:c r="S9" s="249"/>
      <x:c r="T9" s="249"/>
      <x:c r="U9" s="249"/>
      <x:c r="V9" s="247"/>
    </x:row>
    <x:row r="10" ht="15.75">
      <x:c r="B10" s="243">
        <x:v>205</x:v>
      </x:c>
      <x:c r="C10" s="248"/>
      <x:c r="D10" s="249"/>
      <x:c r="E10" s="249"/>
      <x:c r="F10" s="249"/>
      <x:c r="G10" s="249"/>
      <x:c r="H10" s="249"/>
      <x:c r="I10" s="249"/>
      <x:c r="J10" s="249"/>
      <x:c r="K10" s="249"/>
      <x:c r="L10" s="249"/>
      <x:c r="M10" s="249"/>
      <x:c r="N10" s="249"/>
      <x:c r="O10" s="249"/>
      <x:c r="P10" s="249"/>
      <x:c r="Q10" s="249"/>
      <x:c r="R10" s="249"/>
      <x:c r="S10" s="249"/>
      <x:c r="T10" s="249"/>
      <x:c r="U10" s="249"/>
      <x:c r="V10" s="247"/>
    </x:row>
    <x:row r="11" ht="15.75">
      <x:c r="B11" s="243">
        <x:v>206</x:v>
      </x:c>
      <x:c r="C11" s="248"/>
      <x:c r="D11" s="249"/>
      <x:c r="E11" s="249"/>
      <x:c r="F11" s="249"/>
      <x:c r="G11" s="249"/>
      <x:c r="H11" s="249"/>
      <x:c r="I11" s="249"/>
      <x:c r="J11" s="249"/>
      <x:c r="K11" s="249"/>
      <x:c r="L11" s="249"/>
      <x:c r="M11" s="249"/>
      <x:c r="N11" s="249"/>
      <x:c r="O11" s="249"/>
      <x:c r="P11" s="249"/>
      <x:c r="Q11" s="249"/>
      <x:c r="R11" s="249"/>
      <x:c r="S11" s="249"/>
      <x:c r="T11" s="249"/>
      <x:c r="U11" s="249"/>
      <x:c r="V11" s="247"/>
    </x:row>
    <x:row r="12" ht="15.75">
      <x:c r="B12" s="243">
        <x:v>207</x:v>
      </x:c>
      <x:c r="C12" s="248"/>
      <x:c r="D12" s="249"/>
      <x:c r="E12" s="249"/>
      <x:c r="F12" s="249"/>
      <x:c r="G12" s="249"/>
      <x:c r="H12" s="249"/>
      <x:c r="I12" s="249"/>
      <x:c r="J12" s="249"/>
      <x:c r="K12" s="249"/>
      <x:c r="L12" s="249"/>
      <x:c r="M12" s="249"/>
      <x:c r="N12" s="249"/>
      <x:c r="O12" s="249"/>
      <x:c r="P12" s="249"/>
      <x:c r="Q12" s="249"/>
      <x:c r="R12" s="249"/>
      <x:c r="S12" s="249"/>
      <x:c r="T12" s="249"/>
      <x:c r="U12" s="249"/>
      <x:c r="V12" s="247"/>
    </x:row>
    <x:row r="13" ht="15.75">
      <x:c r="B13" s="243">
        <x:v>208</x:v>
      </x:c>
      <x:c r="C13" s="248"/>
      <x:c r="D13" s="249"/>
      <x:c r="E13" s="249"/>
      <x:c r="F13" s="249"/>
      <x:c r="G13" s="249"/>
      <x:c r="H13" s="249"/>
      <x:c r="I13" s="249"/>
      <x:c r="J13" s="249"/>
      <x:c r="K13" s="249"/>
      <x:c r="L13" s="249"/>
      <x:c r="M13" s="249"/>
      <x:c r="N13" s="249"/>
      <x:c r="O13" s="249"/>
      <x:c r="P13" s="249"/>
      <x:c r="Q13" s="249"/>
      <x:c r="R13" s="249"/>
      <x:c r="S13" s="249"/>
      <x:c r="T13" s="249"/>
      <x:c r="U13" s="249"/>
      <x:c r="V13" s="247"/>
    </x:row>
    <x:row r="14" ht="15.75">
      <x:c r="B14" s="243">
        <x:v>209</x:v>
      </x:c>
      <x:c r="C14" s="248"/>
      <x:c r="D14" s="249"/>
      <x:c r="E14" s="249"/>
      <x:c r="F14" s="249"/>
      <x:c r="G14" s="249"/>
      <x:c r="H14" s="249"/>
      <x:c r="I14" s="249"/>
      <x:c r="J14" s="249"/>
      <x:c r="K14" s="249"/>
      <x:c r="L14" s="249"/>
      <x:c r="M14" s="249"/>
      <x:c r="N14" s="249"/>
      <x:c r="O14" s="249"/>
      <x:c r="P14" s="249"/>
      <x:c r="Q14" s="249"/>
      <x:c r="R14" s="249"/>
      <x:c r="S14" s="249"/>
      <x:c r="T14" s="249"/>
      <x:c r="U14" s="249"/>
      <x:c r="V14" s="247"/>
    </x:row>
    <x:row r="15" ht="15.75">
      <x:c r="B15" s="243">
        <x:v>210</x:v>
      </x:c>
      <x:c r="C15" s="248"/>
      <x:c r="D15" s="249"/>
      <x:c r="E15" s="249"/>
      <x:c r="F15" s="249"/>
      <x:c r="G15" s="249"/>
      <x:c r="H15" s="249"/>
      <x:c r="I15" s="249"/>
      <x:c r="J15" s="249"/>
      <x:c r="K15" s="249"/>
      <x:c r="L15" s="249"/>
      <x:c r="M15" s="249"/>
      <x:c r="N15" s="249"/>
      <x:c r="O15" s="249"/>
      <x:c r="P15" s="249"/>
      <x:c r="Q15" s="249"/>
      <x:c r="R15" s="249"/>
      <x:c r="S15" s="249"/>
      <x:c r="T15" s="249"/>
      <x:c r="U15" s="249"/>
      <x:c r="V15" s="247"/>
    </x:row>
    <x:row r="16" ht="15.75">
      <x:c r="B16" s="243">
        <x:v>211</x:v>
      </x:c>
      <x:c r="C16" s="248"/>
      <x:c r="D16" s="249"/>
      <x:c r="E16" s="249"/>
      <x:c r="F16" s="249"/>
      <x:c r="G16" s="249"/>
      <x:c r="H16" s="249"/>
      <x:c r="I16" s="249"/>
      <x:c r="J16" s="249"/>
      <x:c r="K16" s="249"/>
      <x:c r="L16" s="249"/>
      <x:c r="M16" s="249"/>
      <x:c r="N16" s="249"/>
      <x:c r="O16" s="249"/>
      <x:c r="P16" s="249"/>
      <x:c r="Q16" s="249"/>
      <x:c r="R16" s="249"/>
      <x:c r="S16" s="249"/>
      <x:c r="T16" s="249"/>
      <x:c r="U16" s="249"/>
      <x:c r="V16" s="247"/>
    </x:row>
    <x:row r="17" ht="15.75">
      <x:c r="B17" s="243">
        <x:v>212</x:v>
      </x:c>
      <x:c r="C17" s="248"/>
      <x:c r="D17" s="249"/>
      <x:c r="E17" s="249"/>
      <x:c r="F17" s="249"/>
      <x:c r="G17" s="249"/>
      <x:c r="H17" s="249"/>
      <x:c r="I17" s="249"/>
      <x:c r="J17" s="249"/>
      <x:c r="K17" s="249"/>
      <x:c r="L17" s="249"/>
      <x:c r="M17" s="249"/>
      <x:c r="N17" s="249"/>
      <x:c r="O17" s="249"/>
      <x:c r="P17" s="249"/>
      <x:c r="Q17" s="249"/>
      <x:c r="R17" s="249"/>
      <x:c r="S17" s="249"/>
      <x:c r="T17" s="249"/>
      <x:c r="U17" s="249"/>
      <x:c r="V17" s="247"/>
    </x:row>
    <x:row r="18" ht="15.75">
      <x:c r="B18" s="243">
        <x:v>213</x:v>
      </x:c>
      <x:c r="C18" s="248"/>
      <x:c r="D18" s="249"/>
      <x:c r="E18" s="249"/>
      <x:c r="F18" s="249"/>
      <x:c r="G18" s="249"/>
      <x:c r="H18" s="249"/>
      <x:c r="I18" s="249"/>
      <x:c r="J18" s="249"/>
      <x:c r="K18" s="249"/>
      <x:c r="L18" s="249"/>
      <x:c r="M18" s="249"/>
      <x:c r="N18" s="249"/>
      <x:c r="O18" s="249"/>
      <x:c r="P18" s="249"/>
      <x:c r="Q18" s="249"/>
      <x:c r="R18" s="249"/>
      <x:c r="S18" s="249"/>
      <x:c r="T18" s="249"/>
      <x:c r="U18" s="249"/>
      <x:c r="V18" s="247"/>
    </x:row>
    <x:row r="19" ht="15.75">
      <x:c r="B19" s="243">
        <x:v>214</x:v>
      </x:c>
      <x:c r="C19" s="248"/>
      <x:c r="D19" s="249"/>
      <x:c r="E19" s="249"/>
      <x:c r="F19" s="249"/>
      <x:c r="G19" s="249"/>
      <x:c r="H19" s="249"/>
      <x:c r="I19" s="249"/>
      <x:c r="J19" s="249"/>
      <x:c r="K19" s="249"/>
      <x:c r="L19" s="249"/>
      <x:c r="M19" s="249"/>
      <x:c r="N19" s="249"/>
      <x:c r="O19" s="249"/>
      <x:c r="P19" s="249"/>
      <x:c r="Q19" s="249"/>
      <x:c r="R19" s="249"/>
      <x:c r="S19" s="249"/>
      <x:c r="T19" s="249"/>
      <x:c r="U19" s="249"/>
      <x:c r="V19" s="247"/>
    </x:row>
    <x:row r="20" ht="15.75">
      <x:c r="B20" s="243">
        <x:v>215</x:v>
      </x:c>
      <x:c r="C20" s="248"/>
      <x:c r="D20" s="249"/>
      <x:c r="E20" s="249"/>
      <x:c r="F20" s="249"/>
      <x:c r="G20" s="249"/>
      <x:c r="H20" s="249"/>
      <x:c r="I20" s="249"/>
      <x:c r="J20" s="249"/>
      <x:c r="K20" s="249"/>
      <x:c r="L20" s="249"/>
      <x:c r="M20" s="249"/>
      <x:c r="N20" s="249"/>
      <x:c r="O20" s="249"/>
      <x:c r="P20" s="249"/>
      <x:c r="Q20" s="249"/>
      <x:c r="R20" s="249"/>
      <x:c r="S20" s="249"/>
      <x:c r="T20" s="249"/>
      <x:c r="U20" s="249"/>
      <x:c r="V20" s="247"/>
    </x:row>
    <x:row r="21" ht="15.75">
      <x:c r="B21" s="243">
        <x:v>216</x:v>
      </x:c>
      <x:c r="C21" s="248"/>
      <x:c r="D21" s="249"/>
      <x:c r="E21" s="249"/>
      <x:c r="F21" s="249"/>
      <x:c r="G21" s="249"/>
      <x:c r="H21" s="249"/>
      <x:c r="I21" s="249"/>
      <x:c r="J21" s="249"/>
      <x:c r="K21" s="249"/>
      <x:c r="L21" s="249"/>
      <x:c r="M21" s="249"/>
      <x:c r="N21" s="249"/>
      <x:c r="O21" s="249"/>
      <x:c r="P21" s="249"/>
      <x:c r="Q21" s="249"/>
      <x:c r="R21" s="249"/>
      <x:c r="S21" s="249"/>
      <x:c r="T21" s="249"/>
      <x:c r="U21" s="249"/>
      <x:c r="V21" s="247"/>
    </x:row>
    <x:row r="22" ht="15.75">
      <x:c r="B22" s="243">
        <x:v>217</x:v>
      </x:c>
      <x:c r="C22" s="248"/>
      <x:c r="D22" s="249"/>
      <x:c r="E22" s="249"/>
      <x:c r="F22" s="249"/>
      <x:c r="G22" s="249"/>
      <x:c r="H22" s="249"/>
      <x:c r="I22" s="249"/>
      <x:c r="J22" s="249"/>
      <x:c r="K22" s="249"/>
      <x:c r="L22" s="249"/>
      <x:c r="M22" s="249"/>
      <x:c r="N22" s="249"/>
      <x:c r="O22" s="249"/>
      <x:c r="P22" s="249"/>
      <x:c r="Q22" s="249"/>
      <x:c r="R22" s="249"/>
      <x:c r="S22" s="249"/>
      <x:c r="T22" s="249"/>
      <x:c r="U22" s="249"/>
      <x:c r="V22" s="251"/>
    </x:row>
    <x:row r="23" ht="15.75">
      <x:c r="B23" s="244" t="s">
        <x:v>140</x:v>
      </x:c>
      <x:c r="C23" s="252"/>
      <x:c r="D23" s="252"/>
      <x:c r="E23" s="252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  <x:c r="Q23" s="252"/>
      <x:c r="R23" s="252"/>
      <x:c r="S23" s="252"/>
      <x:c r="T23" s="252"/>
      <x:c r="U23" s="252"/>
      <x:c r="V23" s="252"/>
    </x:row>
    <x:row r="24" ht="15.75">
      <x:c r="B24" s="243">
        <x:v>301</x:v>
      </x:c>
      <x:c r="C24" s="248"/>
      <x:c r="D24" s="249"/>
      <x:c r="E24" s="249"/>
      <x:c r="F24" s="249"/>
      <x:c r="G24" s="249"/>
      <x:c r="H24" s="249"/>
      <x:c r="I24" s="249"/>
      <x:c r="J24" s="249"/>
      <x:c r="K24" s="249"/>
      <x:c r="L24" s="249"/>
      <x:c r="M24" s="249"/>
      <x:c r="N24" s="249"/>
      <x:c r="O24" s="249"/>
      <x:c r="P24" s="249"/>
      <x:c r="Q24" s="249"/>
      <x:c r="R24" s="249"/>
      <x:c r="S24" s="249"/>
      <x:c r="T24" s="249"/>
      <x:c r="U24" s="249"/>
      <x:c r="V24" s="250"/>
    </x:row>
    <x:row r="25" ht="15.75">
      <x:c r="B25" s="243">
        <x:v>302</x:v>
      </x:c>
      <x:c r="C25" s="248"/>
      <x:c r="D25" s="249"/>
      <x:c r="E25" s="249"/>
      <x:c r="F25" s="249"/>
      <x:c r="G25" s="249"/>
      <x:c r="H25" s="249"/>
      <x:c r="I25" s="249"/>
      <x:c r="J25" s="249"/>
      <x:c r="K25" s="249"/>
      <x:c r="L25" s="249"/>
      <x:c r="M25" s="249"/>
      <x:c r="N25" s="249"/>
      <x:c r="O25" s="249"/>
      <x:c r="P25" s="249"/>
      <x:c r="Q25" s="249"/>
      <x:c r="R25" s="249"/>
      <x:c r="S25" s="249"/>
      <x:c r="T25" s="249"/>
      <x:c r="U25" s="249"/>
      <x:c r="V25" s="247"/>
    </x:row>
    <x:row r="26" ht="15.75">
      <x:c r="B26" s="243">
        <x:v>303</x:v>
      </x:c>
      <x:c r="C26" s="248"/>
      <x:c r="D26" s="249"/>
      <x:c r="E26" s="249"/>
      <x:c r="F26" s="249"/>
      <x:c r="G26" s="249"/>
      <x:c r="H26" s="249"/>
      <x:c r="I26" s="249"/>
      <x:c r="J26" s="249"/>
      <x:c r="K26" s="249"/>
      <x:c r="L26" s="249"/>
      <x:c r="M26" s="249"/>
      <x:c r="N26" s="249"/>
      <x:c r="O26" s="249"/>
      <x:c r="P26" s="249"/>
      <x:c r="Q26" s="249"/>
      <x:c r="R26" s="249"/>
      <x:c r="S26" s="249"/>
      <x:c r="T26" s="249"/>
      <x:c r="U26" s="249"/>
      <x:c r="V26" s="247"/>
    </x:row>
    <x:row r="27" ht="15.75">
      <x:c r="B27" s="243">
        <x:v>304</x:v>
      </x:c>
      <x:c r="C27" s="248"/>
      <x:c r="D27" s="249"/>
      <x:c r="E27" s="249"/>
      <x:c r="F27" s="249"/>
      <x:c r="G27" s="249"/>
      <x:c r="H27" s="249"/>
      <x:c r="I27" s="249"/>
      <x:c r="J27" s="249"/>
      <x:c r="K27" s="249"/>
      <x:c r="L27" s="249"/>
      <x:c r="M27" s="249"/>
      <x:c r="N27" s="249"/>
      <x:c r="O27" s="249"/>
      <x:c r="P27" s="249"/>
      <x:c r="Q27" s="249"/>
      <x:c r="R27" s="249"/>
      <x:c r="S27" s="249"/>
      <x:c r="T27" s="249"/>
      <x:c r="U27" s="249"/>
      <x:c r="V27" s="247"/>
    </x:row>
    <x:row r="28" ht="15.75">
      <x:c r="B28" s="243">
        <x:v>305</x:v>
      </x:c>
      <x:c r="C28" s="248"/>
      <x:c r="D28" s="249"/>
      <x:c r="E28" s="249"/>
      <x:c r="F28" s="249"/>
      <x:c r="G28" s="249"/>
      <x:c r="H28" s="249"/>
      <x:c r="I28" s="249"/>
      <x:c r="J28" s="249"/>
      <x:c r="K28" s="249"/>
      <x:c r="L28" s="249"/>
      <x:c r="M28" s="249"/>
      <x:c r="N28" s="249"/>
      <x:c r="O28" s="249"/>
      <x:c r="P28" s="249"/>
      <x:c r="Q28" s="249"/>
      <x:c r="R28" s="249"/>
      <x:c r="S28" s="249"/>
      <x:c r="T28" s="249"/>
      <x:c r="U28" s="249"/>
      <x:c r="V28" s="247"/>
    </x:row>
    <x:row r="29" ht="15.75">
      <x:c r="B29" s="243">
        <x:v>306</x:v>
      </x:c>
      <x:c r="C29" s="248"/>
      <x:c r="D29" s="249"/>
      <x:c r="E29" s="249"/>
      <x:c r="F29" s="249"/>
      <x:c r="G29" s="249"/>
      <x:c r="H29" s="249"/>
      <x:c r="I29" s="249"/>
      <x:c r="J29" s="249"/>
      <x:c r="K29" s="249"/>
      <x:c r="L29" s="249"/>
      <x:c r="M29" s="249"/>
      <x:c r="N29" s="249"/>
      <x:c r="O29" s="249"/>
      <x:c r="P29" s="249"/>
      <x:c r="Q29" s="249"/>
      <x:c r="R29" s="249"/>
      <x:c r="S29" s="249"/>
      <x:c r="T29" s="249"/>
      <x:c r="U29" s="249"/>
      <x:c r="V29" s="247"/>
    </x:row>
    <x:row r="30" ht="15.75">
      <x:c r="B30" s="243">
        <x:v>307</x:v>
      </x:c>
      <x:c r="C30" s="248"/>
      <x:c r="D30" s="249"/>
      <x:c r="E30" s="249"/>
      <x:c r="F30" s="249"/>
      <x:c r="G30" s="249"/>
      <x:c r="H30" s="249"/>
      <x:c r="I30" s="249"/>
      <x:c r="J30" s="249"/>
      <x:c r="K30" s="249"/>
      <x:c r="L30" s="249"/>
      <x:c r="M30" s="249"/>
      <x:c r="N30" s="249"/>
      <x:c r="O30" s="249"/>
      <x:c r="P30" s="249"/>
      <x:c r="Q30" s="249"/>
      <x:c r="R30" s="249"/>
      <x:c r="S30" s="249"/>
      <x:c r="T30" s="249"/>
      <x:c r="U30" s="249"/>
      <x:c r="V30" s="247"/>
    </x:row>
    <x:row r="31" ht="15.75">
      <x:c r="B31" s="243">
        <x:v>308</x:v>
      </x:c>
      <x:c r="C31" s="248"/>
      <x:c r="D31" s="249"/>
      <x:c r="E31" s="249"/>
      <x:c r="F31" s="249"/>
      <x:c r="G31" s="249"/>
      <x:c r="H31" s="249"/>
      <x:c r="I31" s="249"/>
      <x:c r="J31" s="249"/>
      <x:c r="K31" s="249"/>
      <x:c r="L31" s="249"/>
      <x:c r="M31" s="249"/>
      <x:c r="N31" s="249"/>
      <x:c r="O31" s="249"/>
      <x:c r="P31" s="249"/>
      <x:c r="Q31" s="249"/>
      <x:c r="R31" s="249"/>
      <x:c r="S31" s="249"/>
      <x:c r="T31" s="249"/>
      <x:c r="U31" s="249"/>
      <x:c r="V31" s="247"/>
    </x:row>
    <x:row r="32" ht="15.75">
      <x:c r="B32" s="243">
        <x:v>309</x:v>
      </x:c>
      <x:c r="C32" s="248"/>
      <x:c r="D32" s="249"/>
      <x:c r="E32" s="249"/>
      <x:c r="F32" s="249"/>
      <x:c r="G32" s="249"/>
      <x:c r="H32" s="249"/>
      <x:c r="I32" s="249"/>
      <x:c r="J32" s="249"/>
      <x:c r="K32" s="249"/>
      <x:c r="L32" s="249"/>
      <x:c r="M32" s="249"/>
      <x:c r="N32" s="249"/>
      <x:c r="O32" s="249"/>
      <x:c r="P32" s="249"/>
      <x:c r="Q32" s="249"/>
      <x:c r="R32" s="249"/>
      <x:c r="S32" s="249"/>
      <x:c r="T32" s="249"/>
      <x:c r="U32" s="249"/>
      <x:c r="V32" s="247"/>
    </x:row>
    <x:row r="33" ht="15.75">
      <x:c r="B33" s="243">
        <x:v>310</x:v>
      </x:c>
      <x:c r="C33" s="248"/>
      <x:c r="D33" s="249"/>
      <x:c r="E33" s="249"/>
      <x:c r="F33" s="249"/>
      <x:c r="G33" s="249"/>
      <x:c r="H33" s="249"/>
      <x:c r="I33" s="249"/>
      <x:c r="J33" s="249"/>
      <x:c r="K33" s="249"/>
      <x:c r="L33" s="249"/>
      <x:c r="M33" s="249"/>
      <x:c r="N33" s="249"/>
      <x:c r="O33" s="249"/>
      <x:c r="P33" s="249"/>
      <x:c r="Q33" s="249"/>
      <x:c r="R33" s="249"/>
      <x:c r="S33" s="249"/>
      <x:c r="T33" s="249"/>
      <x:c r="U33" s="249"/>
      <x:c r="V33" s="247"/>
    </x:row>
    <x:row r="34" ht="15.75">
      <x:c r="B34" s="243">
        <x:v>311</x:v>
      </x:c>
      <x:c r="C34" s="248"/>
      <x:c r="D34" s="249"/>
      <x:c r="E34" s="249"/>
      <x:c r="F34" s="249"/>
      <x:c r="G34" s="249"/>
      <x:c r="H34" s="249"/>
      <x:c r="I34" s="249"/>
      <x:c r="J34" s="249"/>
      <x:c r="K34" s="249"/>
      <x:c r="L34" s="249"/>
      <x:c r="M34" s="249"/>
      <x:c r="N34" s="249"/>
      <x:c r="O34" s="249"/>
      <x:c r="P34" s="249"/>
      <x:c r="Q34" s="249"/>
      <x:c r="R34" s="249"/>
      <x:c r="S34" s="249"/>
      <x:c r="T34" s="249"/>
      <x:c r="U34" s="249"/>
      <x:c r="V34" s="247"/>
    </x:row>
    <x:row r="35" ht="15.75">
      <x:c r="B35" s="243">
        <x:v>312</x:v>
      </x:c>
      <x:c r="C35" s="248"/>
      <x:c r="D35" s="249"/>
      <x:c r="E35" s="249"/>
      <x:c r="F35" s="249"/>
      <x:c r="G35" s="249"/>
      <x:c r="H35" s="249"/>
      <x:c r="I35" s="249"/>
      <x:c r="J35" s="249"/>
      <x:c r="K35" s="249"/>
      <x:c r="L35" s="249"/>
      <x:c r="M35" s="249"/>
      <x:c r="N35" s="249"/>
      <x:c r="O35" s="249"/>
      <x:c r="P35" s="249"/>
      <x:c r="Q35" s="249"/>
      <x:c r="R35" s="249"/>
      <x:c r="S35" s="249"/>
      <x:c r="T35" s="249"/>
      <x:c r="U35" s="249"/>
      <x:c r="V35" s="247"/>
    </x:row>
    <x:row r="36" ht="15.75">
      <x:c r="B36" s="243">
        <x:v>313</x:v>
      </x:c>
      <x:c r="C36" s="248"/>
      <x:c r="D36" s="249"/>
      <x:c r="E36" s="249"/>
      <x:c r="F36" s="249"/>
      <x:c r="G36" s="249"/>
      <x:c r="H36" s="249"/>
      <x:c r="I36" s="249"/>
      <x:c r="J36" s="249"/>
      <x:c r="K36" s="249"/>
      <x:c r="L36" s="249"/>
      <x:c r="M36" s="249"/>
      <x:c r="N36" s="249"/>
      <x:c r="O36" s="249"/>
      <x:c r="P36" s="249"/>
      <x:c r="Q36" s="249"/>
      <x:c r="R36" s="249"/>
      <x:c r="S36" s="249"/>
      <x:c r="T36" s="249"/>
      <x:c r="U36" s="249"/>
      <x:c r="V36" s="247"/>
    </x:row>
    <x:row r="37" ht="15.75">
      <x:c r="B37" s="243">
        <x:v>314</x:v>
      </x:c>
      <x:c r="C37" s="248"/>
      <x:c r="D37" s="249"/>
      <x:c r="E37" s="249"/>
      <x:c r="F37" s="249"/>
      <x:c r="G37" s="249"/>
      <x:c r="H37" s="249"/>
      <x:c r="I37" s="249"/>
      <x:c r="J37" s="249"/>
      <x:c r="K37" s="249"/>
      <x:c r="L37" s="249"/>
      <x:c r="M37" s="249"/>
      <x:c r="N37" s="249"/>
      <x:c r="O37" s="249"/>
      <x:c r="P37" s="249"/>
      <x:c r="Q37" s="249"/>
      <x:c r="R37" s="249"/>
      <x:c r="S37" s="249"/>
      <x:c r="T37" s="249"/>
      <x:c r="U37" s="249"/>
      <x:c r="V37" s="247"/>
    </x:row>
    <x:row r="38" ht="15.75">
      <x:c r="B38" s="243">
        <x:v>315</x:v>
      </x:c>
      <x:c r="C38" s="248"/>
      <x:c r="D38" s="249"/>
      <x:c r="E38" s="249"/>
      <x:c r="F38" s="249"/>
      <x:c r="G38" s="249"/>
      <x:c r="H38" s="249"/>
      <x:c r="I38" s="249"/>
      <x:c r="J38" s="249"/>
      <x:c r="K38" s="249"/>
      <x:c r="L38" s="249"/>
      <x:c r="M38" s="249"/>
      <x:c r="N38" s="249"/>
      <x:c r="O38" s="249"/>
      <x:c r="P38" s="249"/>
      <x:c r="Q38" s="249"/>
      <x:c r="R38" s="249"/>
      <x:c r="S38" s="249"/>
      <x:c r="T38" s="249"/>
      <x:c r="U38" s="249"/>
      <x:c r="V38" s="247"/>
    </x:row>
    <x:row r="39" ht="15.75">
      <x:c r="B39" s="243">
        <x:v>316</x:v>
      </x:c>
      <x:c r="C39" s="248"/>
      <x:c r="D39" s="249"/>
      <x:c r="E39" s="249"/>
      <x:c r="F39" s="249"/>
      <x:c r="G39" s="249"/>
      <x:c r="H39" s="249"/>
      <x:c r="I39" s="249"/>
      <x:c r="J39" s="249"/>
      <x:c r="K39" s="249"/>
      <x:c r="L39" s="249"/>
      <x:c r="M39" s="249"/>
      <x:c r="N39" s="249"/>
      <x:c r="O39" s="249"/>
      <x:c r="P39" s="249"/>
      <x:c r="Q39" s="249"/>
      <x:c r="R39" s="249"/>
      <x:c r="S39" s="249"/>
      <x:c r="T39" s="249"/>
      <x:c r="U39" s="249"/>
      <x:c r="V39" s="247"/>
    </x:row>
    <x:row r="40" ht="15.75">
      <x:c r="B40" s="243">
        <x:v>317</x:v>
      </x:c>
      <x:c r="C40" s="248"/>
      <x:c r="D40" s="249"/>
      <x:c r="E40" s="249"/>
      <x:c r="F40" s="249"/>
      <x:c r="G40" s="249"/>
      <x:c r="H40" s="249"/>
      <x:c r="I40" s="249"/>
      <x:c r="J40" s="249"/>
      <x:c r="K40" s="249"/>
      <x:c r="L40" s="249"/>
      <x:c r="M40" s="249"/>
      <x:c r="N40" s="249"/>
      <x:c r="O40" s="249"/>
      <x:c r="P40" s="249"/>
      <x:c r="Q40" s="249"/>
      <x:c r="R40" s="249"/>
      <x:c r="S40" s="249"/>
      <x:c r="T40" s="249"/>
      <x:c r="U40" s="249"/>
      <x:c r="V40" s="251"/>
    </x:row>
    <x:row r="41" ht="15.75">
      <x:c r="B41" s="244" t="s">
        <x:v>141</x:v>
      </x:c>
      <x:c r="C41" s="252"/>
      <x:c r="D41" s="252"/>
      <x:c r="E41" s="252"/>
      <x:c r="F41" s="252"/>
      <x:c r="G41" s="252"/>
      <x:c r="H41" s="252"/>
      <x:c r="I41" s="252"/>
      <x:c r="J41" s="252"/>
      <x:c r="K41" s="252"/>
      <x:c r="L41" s="252"/>
      <x:c r="M41" s="252"/>
      <x:c r="N41" s="252"/>
      <x:c r="O41" s="252"/>
      <x:c r="P41" s="252"/>
      <x:c r="Q41" s="252"/>
      <x:c r="R41" s="252"/>
      <x:c r="S41" s="252"/>
      <x:c r="T41" s="252"/>
      <x:c r="U41" s="252"/>
      <x:c r="V41" s="252"/>
    </x:row>
    <x:row r="42" ht="15.75">
      <x:c r="B42" s="243">
        <x:v>401</x:v>
      </x:c>
      <x:c r="C42" s="248"/>
      <x:c r="D42" s="249"/>
      <x:c r="E42" s="249"/>
      <x:c r="F42" s="249"/>
      <x:c r="G42" s="249"/>
      <x:c r="H42" s="249"/>
      <x:c r="I42" s="249"/>
      <x:c r="J42" s="249"/>
      <x:c r="K42" s="249"/>
      <x:c r="L42" s="249"/>
      <x:c r="M42" s="249"/>
      <x:c r="N42" s="249"/>
      <x:c r="O42" s="249"/>
      <x:c r="P42" s="249"/>
      <x:c r="Q42" s="249"/>
      <x:c r="R42" s="249"/>
      <x:c r="S42" s="249"/>
      <x:c r="T42" s="249"/>
      <x:c r="U42" s="249"/>
      <x:c r="V42" s="250"/>
    </x:row>
    <x:row r="43" ht="15.75">
      <x:c r="B43" s="243">
        <x:v>402</x:v>
      </x:c>
      <x:c r="C43" s="248"/>
      <x:c r="D43" s="249"/>
      <x:c r="E43" s="249"/>
      <x:c r="F43" s="249"/>
      <x:c r="G43" s="249"/>
      <x:c r="H43" s="249"/>
      <x:c r="I43" s="249"/>
      <x:c r="J43" s="249"/>
      <x:c r="K43" s="249"/>
      <x:c r="L43" s="249"/>
      <x:c r="M43" s="249"/>
      <x:c r="N43" s="249"/>
      <x:c r="O43" s="249"/>
      <x:c r="P43" s="249"/>
      <x:c r="Q43" s="249"/>
      <x:c r="R43" s="249"/>
      <x:c r="S43" s="249"/>
      <x:c r="T43" s="249"/>
      <x:c r="U43" s="249"/>
      <x:c r="V43" s="247"/>
    </x:row>
    <x:row r="44" ht="15.75">
      <x:c r="B44" s="243">
        <x:v>403</x:v>
      </x:c>
      <x:c r="C44" s="248"/>
      <x:c r="D44" s="249"/>
      <x:c r="E44" s="249"/>
      <x:c r="F44" s="249"/>
      <x:c r="G44" s="249"/>
      <x:c r="H44" s="249"/>
      <x:c r="I44" s="249"/>
      <x:c r="J44" s="249"/>
      <x:c r="K44" s="249"/>
      <x:c r="L44" s="249"/>
      <x:c r="M44" s="249"/>
      <x:c r="N44" s="249"/>
      <x:c r="O44" s="249"/>
      <x:c r="P44" s="249"/>
      <x:c r="Q44" s="249"/>
      <x:c r="R44" s="249"/>
      <x:c r="S44" s="249"/>
      <x:c r="T44" s="249"/>
      <x:c r="U44" s="249"/>
      <x:c r="V44" s="247"/>
    </x:row>
    <x:row r="45" ht="15.75">
      <x:c r="B45" s="243">
        <x:v>404</x:v>
      </x:c>
      <x:c r="C45" s="248"/>
      <x:c r="D45" s="249"/>
      <x:c r="E45" s="249"/>
      <x:c r="F45" s="249"/>
      <x:c r="G45" s="249"/>
      <x:c r="H45" s="249"/>
      <x:c r="I45" s="249"/>
      <x:c r="J45" s="249"/>
      <x:c r="K45" s="249"/>
      <x:c r="L45" s="249"/>
      <x:c r="M45" s="249"/>
      <x:c r="N45" s="249"/>
      <x:c r="O45" s="249"/>
      <x:c r="P45" s="249"/>
      <x:c r="Q45" s="249"/>
      <x:c r="R45" s="249"/>
      <x:c r="S45" s="249"/>
      <x:c r="T45" s="249"/>
      <x:c r="U45" s="249"/>
      <x:c r="V45" s="247"/>
    </x:row>
    <x:row r="46" ht="15.75">
      <x:c r="B46" s="243">
        <x:v>405</x:v>
      </x:c>
      <x:c r="C46" s="248"/>
      <x:c r="D46" s="249"/>
      <x:c r="E46" s="249"/>
      <x:c r="F46" s="249"/>
      <x:c r="G46" s="249"/>
      <x:c r="H46" s="249"/>
      <x:c r="I46" s="249"/>
      <x:c r="J46" s="249"/>
      <x:c r="K46" s="249"/>
      <x:c r="L46" s="249"/>
      <x:c r="M46" s="249"/>
      <x:c r="N46" s="249"/>
      <x:c r="O46" s="249"/>
      <x:c r="P46" s="249"/>
      <x:c r="Q46" s="249"/>
      <x:c r="R46" s="249"/>
      <x:c r="S46" s="249"/>
      <x:c r="T46" s="249"/>
      <x:c r="U46" s="249"/>
      <x:c r="V46" s="247"/>
    </x:row>
    <x:row r="47" ht="15.75">
      <x:c r="B47" s="243">
        <x:v>406</x:v>
      </x:c>
      <x:c r="C47" s="248"/>
      <x:c r="D47" s="249"/>
      <x:c r="E47" s="249"/>
      <x:c r="F47" s="249"/>
      <x:c r="G47" s="249"/>
      <x:c r="H47" s="249"/>
      <x:c r="I47" s="249"/>
      <x:c r="J47" s="249"/>
      <x:c r="K47" s="249"/>
      <x:c r="L47" s="249"/>
      <x:c r="M47" s="249"/>
      <x:c r="N47" s="249"/>
      <x:c r="O47" s="249"/>
      <x:c r="P47" s="249"/>
      <x:c r="Q47" s="249"/>
      <x:c r="R47" s="249"/>
      <x:c r="S47" s="249"/>
      <x:c r="T47" s="249"/>
      <x:c r="U47" s="249"/>
      <x:c r="V47" s="247"/>
    </x:row>
    <x:row r="48" ht="15.75">
      <x:c r="B48" s="243">
        <x:v>407</x:v>
      </x:c>
      <x:c r="C48" s="248"/>
      <x:c r="D48" s="249"/>
      <x:c r="E48" s="249"/>
      <x:c r="F48" s="249"/>
      <x:c r="G48" s="249"/>
      <x:c r="H48" s="249"/>
      <x:c r="I48" s="249"/>
      <x:c r="J48" s="249"/>
      <x:c r="K48" s="249"/>
      <x:c r="L48" s="249"/>
      <x:c r="M48" s="249"/>
      <x:c r="N48" s="249"/>
      <x:c r="O48" s="249"/>
      <x:c r="P48" s="249"/>
      <x:c r="Q48" s="249"/>
      <x:c r="R48" s="249"/>
      <x:c r="S48" s="249"/>
      <x:c r="T48" s="249"/>
      <x:c r="U48" s="249"/>
      <x:c r="V48" s="247"/>
    </x:row>
    <x:row r="49" ht="15.75">
      <x:c r="B49" s="243">
        <x:v>408</x:v>
      </x:c>
      <x:c r="C49" s="248"/>
      <x:c r="D49" s="249"/>
      <x:c r="E49" s="249"/>
      <x:c r="F49" s="249"/>
      <x:c r="G49" s="249"/>
      <x:c r="H49" s="249"/>
      <x:c r="I49" s="249"/>
      <x:c r="J49" s="249"/>
      <x:c r="K49" s="249"/>
      <x:c r="L49" s="249"/>
      <x:c r="M49" s="249"/>
      <x:c r="N49" s="249"/>
      <x:c r="O49" s="249"/>
      <x:c r="P49" s="249"/>
      <x:c r="Q49" s="249"/>
      <x:c r="R49" s="249"/>
      <x:c r="S49" s="249"/>
      <x:c r="T49" s="249"/>
      <x:c r="U49" s="249"/>
      <x:c r="V49" s="247"/>
    </x:row>
    <x:row r="50" ht="15.75">
      <x:c r="B50" s="243">
        <x:v>409</x:v>
      </x:c>
      <x:c r="C50" s="248"/>
      <x:c r="D50" s="249"/>
      <x:c r="E50" s="249"/>
      <x:c r="F50" s="249"/>
      <x:c r="G50" s="249"/>
      <x:c r="H50" s="249"/>
      <x:c r="I50" s="249"/>
      <x:c r="J50" s="249"/>
      <x:c r="K50" s="249"/>
      <x:c r="L50" s="249"/>
      <x:c r="M50" s="249"/>
      <x:c r="N50" s="249"/>
      <x:c r="O50" s="249"/>
      <x:c r="P50" s="249"/>
      <x:c r="Q50" s="249"/>
      <x:c r="R50" s="249"/>
      <x:c r="S50" s="249"/>
      <x:c r="T50" s="249"/>
      <x:c r="U50" s="249"/>
      <x:c r="V50" s="247"/>
    </x:row>
    <x:row r="51" ht="15.75">
      <x:c r="B51" s="243">
        <x:v>410</x:v>
      </x:c>
      <x:c r="C51" s="248"/>
      <x:c r="D51" s="249"/>
      <x:c r="E51" s="249"/>
      <x:c r="F51" s="249"/>
      <x:c r="G51" s="249"/>
      <x:c r="H51" s="249"/>
      <x:c r="I51" s="249"/>
      <x:c r="J51" s="249"/>
      <x:c r="K51" s="249"/>
      <x:c r="L51" s="249"/>
      <x:c r="M51" s="249"/>
      <x:c r="N51" s="249"/>
      <x:c r="O51" s="249"/>
      <x:c r="P51" s="249"/>
      <x:c r="Q51" s="249"/>
      <x:c r="R51" s="249"/>
      <x:c r="S51" s="249"/>
      <x:c r="T51" s="249"/>
      <x:c r="U51" s="249"/>
      <x:c r="V51" s="247"/>
    </x:row>
    <x:row r="52" ht="15.75">
      <x:c r="B52" s="243">
        <x:v>411</x:v>
      </x:c>
      <x:c r="C52" s="248"/>
      <x:c r="D52" s="249"/>
      <x:c r="E52" s="249"/>
      <x:c r="F52" s="249"/>
      <x:c r="G52" s="249"/>
      <x:c r="H52" s="249"/>
      <x:c r="I52" s="249"/>
      <x:c r="J52" s="249"/>
      <x:c r="K52" s="249"/>
      <x:c r="L52" s="249"/>
      <x:c r="M52" s="249"/>
      <x:c r="N52" s="249"/>
      <x:c r="O52" s="249"/>
      <x:c r="P52" s="249"/>
      <x:c r="Q52" s="249"/>
      <x:c r="R52" s="249"/>
      <x:c r="S52" s="249"/>
      <x:c r="T52" s="249"/>
      <x:c r="U52" s="249"/>
      <x:c r="V52" s="247"/>
    </x:row>
    <x:row r="53" ht="15.75">
      <x:c r="B53" s="243">
        <x:v>412</x:v>
      </x:c>
      <x:c r="C53" s="248"/>
      <x:c r="D53" s="249"/>
      <x:c r="E53" s="249"/>
      <x:c r="F53" s="249"/>
      <x:c r="G53" s="249"/>
      <x:c r="H53" s="249"/>
      <x:c r="I53" s="249"/>
      <x:c r="J53" s="249"/>
      <x:c r="K53" s="249"/>
      <x:c r="L53" s="249"/>
      <x:c r="M53" s="249"/>
      <x:c r="N53" s="249"/>
      <x:c r="O53" s="249"/>
      <x:c r="P53" s="249"/>
      <x:c r="Q53" s="249"/>
      <x:c r="R53" s="249"/>
      <x:c r="S53" s="249"/>
      <x:c r="T53" s="249"/>
      <x:c r="U53" s="249"/>
      <x:c r="V53" s="247"/>
    </x:row>
    <x:row r="54" ht="15.75">
      <x:c r="B54" s="243">
        <x:v>413</x:v>
      </x:c>
      <x:c r="C54" s="248"/>
      <x:c r="D54" s="249"/>
      <x:c r="E54" s="249"/>
      <x:c r="F54" s="249"/>
      <x:c r="G54" s="249"/>
      <x:c r="H54" s="249"/>
      <x:c r="I54" s="249"/>
      <x:c r="J54" s="249"/>
      <x:c r="K54" s="249"/>
      <x:c r="L54" s="249"/>
      <x:c r="M54" s="249"/>
      <x:c r="N54" s="249"/>
      <x:c r="O54" s="249"/>
      <x:c r="P54" s="249"/>
      <x:c r="Q54" s="249"/>
      <x:c r="R54" s="249"/>
      <x:c r="S54" s="249"/>
      <x:c r="T54" s="249"/>
      <x:c r="U54" s="249"/>
      <x:c r="V54" s="247"/>
    </x:row>
    <x:row r="55" ht="15.75">
      <x:c r="B55" s="243">
        <x:v>414</x:v>
      </x:c>
      <x:c r="C55" s="248"/>
      <x:c r="D55" s="249"/>
      <x:c r="E55" s="249"/>
      <x:c r="F55" s="249"/>
      <x:c r="G55" s="249"/>
      <x:c r="H55" s="249"/>
      <x:c r="I55" s="249"/>
      <x:c r="J55" s="249"/>
      <x:c r="K55" s="249"/>
      <x:c r="L55" s="249"/>
      <x:c r="M55" s="249"/>
      <x:c r="N55" s="249"/>
      <x:c r="O55" s="249"/>
      <x:c r="P55" s="249"/>
      <x:c r="Q55" s="249"/>
      <x:c r="R55" s="249"/>
      <x:c r="S55" s="249"/>
      <x:c r="T55" s="249"/>
      <x:c r="U55" s="249"/>
      <x:c r="V55" s="247"/>
    </x:row>
    <x:row r="56" ht="15.75">
      <x:c r="B56" s="243">
        <x:v>415</x:v>
      </x:c>
      <x:c r="C56" s="248"/>
      <x:c r="D56" s="249"/>
      <x:c r="E56" s="249"/>
      <x:c r="F56" s="249"/>
      <x:c r="G56" s="249"/>
      <x:c r="H56" s="249"/>
      <x:c r="I56" s="249"/>
      <x:c r="J56" s="249"/>
      <x:c r="K56" s="249"/>
      <x:c r="L56" s="249"/>
      <x:c r="M56" s="249"/>
      <x:c r="N56" s="249"/>
      <x:c r="O56" s="249"/>
      <x:c r="P56" s="249"/>
      <x:c r="Q56" s="249"/>
      <x:c r="R56" s="249"/>
      <x:c r="S56" s="249"/>
      <x:c r="T56" s="249"/>
      <x:c r="U56" s="249"/>
      <x:c r="V56" s="247"/>
    </x:row>
    <x:row r="57" ht="15.75">
      <x:c r="B57" s="243">
        <x:v>416</x:v>
      </x:c>
      <x:c r="C57" s="248"/>
      <x:c r="D57" s="249"/>
      <x:c r="E57" s="249"/>
      <x:c r="F57" s="249"/>
      <x:c r="G57" s="249"/>
      <x:c r="H57" s="249"/>
      <x:c r="I57" s="249"/>
      <x:c r="J57" s="249"/>
      <x:c r="K57" s="249"/>
      <x:c r="L57" s="249"/>
      <x:c r="M57" s="249"/>
      <x:c r="N57" s="249"/>
      <x:c r="O57" s="249"/>
      <x:c r="P57" s="249"/>
      <x:c r="Q57" s="249"/>
      <x:c r="R57" s="249"/>
      <x:c r="S57" s="249"/>
      <x:c r="T57" s="249"/>
      <x:c r="U57" s="249"/>
      <x:c r="V57" s="247"/>
    </x:row>
    <x:row r="58" ht="15.75">
      <x:c r="B58" s="243">
        <x:v>417</x:v>
      </x:c>
      <x:c r="C58" s="248"/>
      <x:c r="D58" s="249"/>
      <x:c r="E58" s="249"/>
      <x:c r="F58" s="249"/>
      <x:c r="G58" s="249"/>
      <x:c r="H58" s="249"/>
      <x:c r="I58" s="249"/>
      <x:c r="J58" s="249"/>
      <x:c r="K58" s="249"/>
      <x:c r="L58" s="249"/>
      <x:c r="M58" s="249"/>
      <x:c r="N58" s="249"/>
      <x:c r="O58" s="249"/>
      <x:c r="P58" s="249"/>
      <x:c r="Q58" s="249"/>
      <x:c r="R58" s="249"/>
      <x:c r="S58" s="249"/>
      <x:c r="T58" s="249"/>
      <x:c r="U58" s="249"/>
      <x:c r="V58" s="251"/>
    </x:row>
    <x:row r="59" ht="15.75">
      <x:c r="B59" s="244" t="s">
        <x:v>142</x:v>
      </x:c>
      <x:c r="C59" s="252"/>
      <x:c r="D59" s="252"/>
      <x:c r="E59" s="252"/>
      <x:c r="F59" s="252"/>
      <x:c r="G59" s="252"/>
      <x:c r="H59" s="252"/>
      <x:c r="I59" s="252"/>
      <x:c r="J59" s="252"/>
      <x:c r="K59" s="252"/>
      <x:c r="L59" s="252"/>
      <x:c r="M59" s="252"/>
      <x:c r="N59" s="252"/>
      <x:c r="O59" s="252"/>
      <x:c r="P59" s="252"/>
      <x:c r="Q59" s="252"/>
      <x:c r="R59" s="252"/>
      <x:c r="S59" s="252"/>
      <x:c r="T59" s="252"/>
      <x:c r="U59" s="252"/>
      <x:c r="V59" s="252"/>
    </x:row>
    <x:row r="60" ht="15.75">
      <x:c r="B60" s="243">
        <x:v>501</x:v>
      </x:c>
      <x:c r="C60" s="248"/>
      <x:c r="D60" s="249"/>
      <x:c r="E60" s="249"/>
      <x:c r="F60" s="249"/>
      <x:c r="G60" s="249"/>
      <x:c r="H60" s="249"/>
      <x:c r="I60" s="249"/>
      <x:c r="J60" s="249"/>
      <x:c r="K60" s="249"/>
      <x:c r="L60" s="249"/>
      <x:c r="M60" s="249"/>
      <x:c r="N60" s="249"/>
      <x:c r="O60" s="249"/>
      <x:c r="P60" s="249"/>
      <x:c r="Q60" s="249"/>
      <x:c r="R60" s="249"/>
      <x:c r="S60" s="249"/>
      <x:c r="T60" s="249"/>
      <x:c r="U60" s="249"/>
      <x:c r="V60" s="250"/>
    </x:row>
    <x:row r="61" ht="15.75">
      <x:c r="B61" s="243">
        <x:v>502</x:v>
      </x:c>
      <x:c r="C61" s="248"/>
      <x:c r="D61" s="249"/>
      <x:c r="E61" s="249"/>
      <x:c r="F61" s="249"/>
      <x:c r="G61" s="249"/>
      <x:c r="H61" s="249"/>
      <x:c r="I61" s="249"/>
      <x:c r="J61" s="249"/>
      <x:c r="K61" s="249"/>
      <x:c r="L61" s="249"/>
      <x:c r="M61" s="249"/>
      <x:c r="N61" s="249"/>
      <x:c r="O61" s="249"/>
      <x:c r="P61" s="249"/>
      <x:c r="Q61" s="249"/>
      <x:c r="R61" s="249"/>
      <x:c r="S61" s="249"/>
      <x:c r="T61" s="249"/>
      <x:c r="U61" s="249"/>
      <x:c r="V61" s="247"/>
    </x:row>
    <x:row r="62" ht="15.75">
      <x:c r="B62" s="243">
        <x:v>503</x:v>
      </x:c>
      <x:c r="C62" s="248"/>
      <x:c r="D62" s="249"/>
      <x:c r="E62" s="249"/>
      <x:c r="F62" s="249"/>
      <x:c r="G62" s="249"/>
      <x:c r="H62" s="249"/>
      <x:c r="I62" s="249"/>
      <x:c r="J62" s="249"/>
      <x:c r="K62" s="249"/>
      <x:c r="L62" s="249"/>
      <x:c r="M62" s="249"/>
      <x:c r="N62" s="249"/>
      <x:c r="O62" s="249"/>
      <x:c r="P62" s="249"/>
      <x:c r="Q62" s="249"/>
      <x:c r="R62" s="249"/>
      <x:c r="S62" s="249"/>
      <x:c r="T62" s="249"/>
      <x:c r="U62" s="249"/>
      <x:c r="V62" s="247"/>
    </x:row>
    <x:row r="63" ht="15.75">
      <x:c r="B63" s="243">
        <x:v>504</x:v>
      </x:c>
      <x:c r="C63" s="248"/>
      <x:c r="D63" s="249"/>
      <x:c r="E63" s="249"/>
      <x:c r="F63" s="249"/>
      <x:c r="G63" s="249"/>
      <x:c r="H63" s="249"/>
      <x:c r="I63" s="249"/>
      <x:c r="J63" s="249"/>
      <x:c r="K63" s="249"/>
      <x:c r="L63" s="249"/>
      <x:c r="M63" s="249"/>
      <x:c r="N63" s="249"/>
      <x:c r="O63" s="249"/>
      <x:c r="P63" s="249"/>
      <x:c r="Q63" s="249"/>
      <x:c r="R63" s="249"/>
      <x:c r="S63" s="249"/>
      <x:c r="T63" s="249"/>
      <x:c r="U63" s="249"/>
      <x:c r="V63" s="247"/>
    </x:row>
    <x:row r="64" ht="15.75">
      <x:c r="B64" s="243">
        <x:v>505</x:v>
      </x:c>
      <x:c r="C64" s="248"/>
      <x:c r="D64" s="249"/>
      <x:c r="E64" s="249"/>
      <x:c r="F64" s="249"/>
      <x:c r="G64" s="249"/>
      <x:c r="H64" s="249"/>
      <x:c r="I64" s="249"/>
      <x:c r="J64" s="249"/>
      <x:c r="K64" s="249"/>
      <x:c r="L64" s="249"/>
      <x:c r="M64" s="249"/>
      <x:c r="N64" s="249"/>
      <x:c r="O64" s="249"/>
      <x:c r="P64" s="249"/>
      <x:c r="Q64" s="249"/>
      <x:c r="R64" s="249"/>
      <x:c r="S64" s="249"/>
      <x:c r="T64" s="249"/>
      <x:c r="U64" s="249"/>
      <x:c r="V64" s="247"/>
    </x:row>
    <x:row r="65" ht="15.75">
      <x:c r="B65" s="243">
        <x:v>506</x:v>
      </x:c>
      <x:c r="C65" s="248"/>
      <x:c r="D65" s="249"/>
      <x:c r="E65" s="249"/>
      <x:c r="F65" s="249"/>
      <x:c r="G65" s="249"/>
      <x:c r="H65" s="249"/>
      <x:c r="I65" s="249"/>
      <x:c r="J65" s="249"/>
      <x:c r="K65" s="249"/>
      <x:c r="L65" s="249"/>
      <x:c r="M65" s="249"/>
      <x:c r="N65" s="249"/>
      <x:c r="O65" s="249"/>
      <x:c r="P65" s="249"/>
      <x:c r="Q65" s="249"/>
      <x:c r="R65" s="249"/>
      <x:c r="S65" s="249"/>
      <x:c r="T65" s="249"/>
      <x:c r="U65" s="249"/>
      <x:c r="V65" s="247"/>
    </x:row>
    <x:row r="66" ht="15.75">
      <x:c r="B66" s="243">
        <x:v>507</x:v>
      </x:c>
      <x:c r="C66" s="248"/>
      <x:c r="D66" s="249"/>
      <x:c r="E66" s="249"/>
      <x:c r="F66" s="249"/>
      <x:c r="G66" s="249"/>
      <x:c r="H66" s="249"/>
      <x:c r="I66" s="249"/>
      <x:c r="J66" s="249"/>
      <x:c r="K66" s="249"/>
      <x:c r="L66" s="249"/>
      <x:c r="M66" s="249"/>
      <x:c r="N66" s="249"/>
      <x:c r="O66" s="249"/>
      <x:c r="P66" s="249"/>
      <x:c r="Q66" s="249"/>
      <x:c r="R66" s="249"/>
      <x:c r="S66" s="249"/>
      <x:c r="T66" s="249"/>
      <x:c r="U66" s="249"/>
      <x:c r="V66" s="247"/>
    </x:row>
    <x:row r="67" ht="15.75">
      <x:c r="B67" s="243">
        <x:v>508</x:v>
      </x:c>
      <x:c r="C67" s="248"/>
      <x:c r="D67" s="249"/>
      <x:c r="E67" s="249"/>
      <x:c r="F67" s="249"/>
      <x:c r="G67" s="249"/>
      <x:c r="H67" s="249"/>
      <x:c r="I67" s="249"/>
      <x:c r="J67" s="249"/>
      <x:c r="K67" s="249"/>
      <x:c r="L67" s="249"/>
      <x:c r="M67" s="249"/>
      <x:c r="N67" s="249"/>
      <x:c r="O67" s="249"/>
      <x:c r="P67" s="249"/>
      <x:c r="Q67" s="249"/>
      <x:c r="R67" s="249"/>
      <x:c r="S67" s="249"/>
      <x:c r="T67" s="249"/>
      <x:c r="U67" s="249"/>
      <x:c r="V67" s="247"/>
    </x:row>
    <x:row r="68" ht="15.75">
      <x:c r="B68" s="243">
        <x:v>509</x:v>
      </x:c>
      <x:c r="C68" s="248"/>
      <x:c r="D68" s="249"/>
      <x:c r="E68" s="249"/>
      <x:c r="F68" s="249"/>
      <x:c r="G68" s="249"/>
      <x:c r="H68" s="249"/>
      <x:c r="I68" s="249"/>
      <x:c r="J68" s="249"/>
      <x:c r="K68" s="249"/>
      <x:c r="L68" s="249"/>
      <x:c r="M68" s="249"/>
      <x:c r="N68" s="249"/>
      <x:c r="O68" s="249"/>
      <x:c r="P68" s="249"/>
      <x:c r="Q68" s="249"/>
      <x:c r="R68" s="249"/>
      <x:c r="S68" s="249"/>
      <x:c r="T68" s="249"/>
      <x:c r="U68" s="249"/>
      <x:c r="V68" s="247"/>
    </x:row>
    <x:row r="69" ht="15.75">
      <x:c r="B69" s="243">
        <x:v>510</x:v>
      </x:c>
      <x:c r="C69" s="248"/>
      <x:c r="D69" s="249"/>
      <x:c r="E69" s="249"/>
      <x:c r="F69" s="249"/>
      <x:c r="G69" s="249"/>
      <x:c r="H69" s="249"/>
      <x:c r="I69" s="249"/>
      <x:c r="J69" s="249"/>
      <x:c r="K69" s="249"/>
      <x:c r="L69" s="249"/>
      <x:c r="M69" s="249"/>
      <x:c r="N69" s="249"/>
      <x:c r="O69" s="249"/>
      <x:c r="P69" s="249"/>
      <x:c r="Q69" s="249"/>
      <x:c r="R69" s="249"/>
      <x:c r="S69" s="249"/>
      <x:c r="T69" s="249"/>
      <x:c r="U69" s="249"/>
      <x:c r="V69" s="247"/>
    </x:row>
    <x:row r="70" ht="15.75">
      <x:c r="B70" s="243">
        <x:v>511</x:v>
      </x:c>
      <x:c r="C70" s="248"/>
      <x:c r="D70" s="249"/>
      <x:c r="E70" s="249"/>
      <x:c r="F70" s="249"/>
      <x:c r="G70" s="249"/>
      <x:c r="H70" s="249"/>
      <x:c r="I70" s="249"/>
      <x:c r="J70" s="249"/>
      <x:c r="K70" s="249"/>
      <x:c r="L70" s="249"/>
      <x:c r="M70" s="249"/>
      <x:c r="N70" s="249"/>
      <x:c r="O70" s="249"/>
      <x:c r="P70" s="249"/>
      <x:c r="Q70" s="249"/>
      <x:c r="R70" s="249"/>
      <x:c r="S70" s="249"/>
      <x:c r="T70" s="249"/>
      <x:c r="U70" s="249"/>
      <x:c r="V70" s="247"/>
    </x:row>
    <x:row r="71" ht="15.75">
      <x:c r="B71" s="243">
        <x:v>512</x:v>
      </x:c>
      <x:c r="C71" s="248"/>
      <x:c r="D71" s="249"/>
      <x:c r="E71" s="249"/>
      <x:c r="F71" s="249"/>
      <x:c r="G71" s="249"/>
      <x:c r="H71" s="249"/>
      <x:c r="I71" s="249"/>
      <x:c r="J71" s="249"/>
      <x:c r="K71" s="249"/>
      <x:c r="L71" s="249"/>
      <x:c r="M71" s="249"/>
      <x:c r="N71" s="249"/>
      <x:c r="O71" s="249"/>
      <x:c r="P71" s="249"/>
      <x:c r="Q71" s="249"/>
      <x:c r="R71" s="249"/>
      <x:c r="S71" s="249"/>
      <x:c r="T71" s="249"/>
      <x:c r="U71" s="249"/>
      <x:c r="V71" s="247"/>
    </x:row>
    <x:row r="72" ht="15.75">
      <x:c r="B72" s="243">
        <x:v>513</x:v>
      </x:c>
      <x:c r="C72" s="248"/>
      <x:c r="D72" s="249"/>
      <x:c r="E72" s="249"/>
      <x:c r="F72" s="249"/>
      <x:c r="G72" s="249"/>
      <x:c r="H72" s="249"/>
      <x:c r="I72" s="249"/>
      <x:c r="J72" s="249"/>
      <x:c r="K72" s="249"/>
      <x:c r="L72" s="249"/>
      <x:c r="M72" s="249"/>
      <x:c r="N72" s="249"/>
      <x:c r="O72" s="249"/>
      <x:c r="P72" s="249"/>
      <x:c r="Q72" s="249"/>
      <x:c r="R72" s="249"/>
      <x:c r="S72" s="249"/>
      <x:c r="T72" s="249"/>
      <x:c r="U72" s="249"/>
      <x:c r="V72" s="247"/>
    </x:row>
    <x:row r="73" ht="15.75">
      <x:c r="B73" s="243">
        <x:v>514</x:v>
      </x:c>
      <x:c r="C73" s="248"/>
      <x:c r="D73" s="249"/>
      <x:c r="E73" s="249"/>
      <x:c r="F73" s="249"/>
      <x:c r="G73" s="249"/>
      <x:c r="H73" s="249"/>
      <x:c r="I73" s="249"/>
      <x:c r="J73" s="249"/>
      <x:c r="K73" s="249"/>
      <x:c r="L73" s="249"/>
      <x:c r="M73" s="249"/>
      <x:c r="N73" s="249"/>
      <x:c r="O73" s="249"/>
      <x:c r="P73" s="249"/>
      <x:c r="Q73" s="249"/>
      <x:c r="R73" s="249"/>
      <x:c r="S73" s="249"/>
      <x:c r="T73" s="249"/>
      <x:c r="U73" s="249"/>
      <x:c r="V73" s="247"/>
    </x:row>
    <x:row r="74" ht="15.75">
      <x:c r="B74" s="243">
        <x:v>515</x:v>
      </x:c>
      <x:c r="C74" s="248"/>
      <x:c r="D74" s="249"/>
      <x:c r="E74" s="249"/>
      <x:c r="F74" s="249"/>
      <x:c r="G74" s="249"/>
      <x:c r="H74" s="249"/>
      <x:c r="I74" s="249"/>
      <x:c r="J74" s="249"/>
      <x:c r="K74" s="249"/>
      <x:c r="L74" s="249"/>
      <x:c r="M74" s="249"/>
      <x:c r="N74" s="249"/>
      <x:c r="O74" s="249"/>
      <x:c r="P74" s="249"/>
      <x:c r="Q74" s="249"/>
      <x:c r="R74" s="249"/>
      <x:c r="S74" s="249"/>
      <x:c r="T74" s="249"/>
      <x:c r="U74" s="249"/>
      <x:c r="V74" s="247"/>
    </x:row>
    <x:row r="75" ht="15.75">
      <x:c r="B75" s="243">
        <x:v>516</x:v>
      </x:c>
      <x:c r="C75" s="248"/>
      <x:c r="D75" s="249"/>
      <x:c r="E75" s="249"/>
      <x:c r="F75" s="249"/>
      <x:c r="G75" s="249"/>
      <x:c r="H75" s="249"/>
      <x:c r="I75" s="249"/>
      <x:c r="J75" s="249"/>
      <x:c r="K75" s="249"/>
      <x:c r="L75" s="249"/>
      <x:c r="M75" s="249"/>
      <x:c r="N75" s="249"/>
      <x:c r="O75" s="249"/>
      <x:c r="P75" s="249"/>
      <x:c r="Q75" s="249"/>
      <x:c r="R75" s="249"/>
      <x:c r="S75" s="249"/>
      <x:c r="T75" s="249"/>
      <x:c r="U75" s="249"/>
      <x:c r="V75" s="247"/>
    </x:row>
    <x:row r="76" ht="15.75">
      <x:c r="B76" s="243">
        <x:v>517</x:v>
      </x:c>
      <x:c r="C76" s="248"/>
      <x:c r="D76" s="249"/>
      <x:c r="E76" s="249"/>
      <x:c r="F76" s="249"/>
      <x:c r="G76" s="249"/>
      <x:c r="H76" s="249"/>
      <x:c r="I76" s="249"/>
      <x:c r="J76" s="249"/>
      <x:c r="K76" s="249"/>
      <x:c r="L76" s="249"/>
      <x:c r="M76" s="249"/>
      <x:c r="N76" s="249"/>
      <x:c r="O76" s="249"/>
      <x:c r="P76" s="249"/>
      <x:c r="Q76" s="249"/>
      <x:c r="R76" s="249"/>
      <x:c r="S76" s="249"/>
      <x:c r="T76" s="249"/>
      <x:c r="U76" s="249"/>
      <x:c r="V76" s="251"/>
    </x:row>
    <x:row r="77" ht="15.75">
      <x:c r="B77" s="244" t="s">
        <x:v>143</x:v>
      </x:c>
      <x:c r="C77" s="252"/>
      <x:c r="D77" s="252"/>
      <x:c r="E77" s="252"/>
      <x:c r="F77" s="252"/>
      <x:c r="G77" s="252"/>
      <x:c r="H77" s="252"/>
      <x:c r="I77" s="252"/>
      <x:c r="J77" s="252"/>
      <x:c r="K77" s="252"/>
      <x:c r="L77" s="252"/>
      <x:c r="M77" s="252"/>
      <x:c r="N77" s="252"/>
      <x:c r="O77" s="252"/>
      <x:c r="P77" s="252"/>
      <x:c r="Q77" s="252"/>
      <x:c r="R77" s="252"/>
      <x:c r="S77" s="252"/>
      <x:c r="T77" s="252"/>
      <x:c r="U77" s="252"/>
      <x:c r="V77" s="252"/>
    </x:row>
    <x:row r="78" ht="15.75">
      <x:c r="B78" s="243">
        <x:v>601</x:v>
      </x:c>
      <x:c r="C78" s="248"/>
      <x:c r="D78" s="249"/>
      <x:c r="E78" s="249"/>
      <x:c r="F78" s="249"/>
      <x:c r="G78" s="249"/>
      <x:c r="H78" s="249"/>
      <x:c r="I78" s="249"/>
      <x:c r="J78" s="249"/>
      <x:c r="K78" s="249"/>
      <x:c r="L78" s="249"/>
      <x:c r="M78" s="249"/>
      <x:c r="N78" s="249"/>
      <x:c r="O78" s="249"/>
      <x:c r="P78" s="249"/>
      <x:c r="Q78" s="249"/>
      <x:c r="R78" s="249"/>
      <x:c r="S78" s="249"/>
      <x:c r="T78" s="249"/>
      <x:c r="U78" s="249"/>
      <x:c r="V78" s="250"/>
    </x:row>
    <x:row r="79" ht="15.75">
      <x:c r="B79" s="243">
        <x:v>602</x:v>
      </x:c>
      <x:c r="C79" s="248"/>
      <x:c r="D79" s="249"/>
      <x:c r="E79" s="249"/>
      <x:c r="F79" s="249"/>
      <x:c r="G79" s="249"/>
      <x:c r="H79" s="249"/>
      <x:c r="I79" s="249"/>
      <x:c r="J79" s="249"/>
      <x:c r="K79" s="249"/>
      <x:c r="L79" s="249"/>
      <x:c r="M79" s="249"/>
      <x:c r="N79" s="249"/>
      <x:c r="O79" s="249"/>
      <x:c r="P79" s="249"/>
      <x:c r="Q79" s="249"/>
      <x:c r="R79" s="249"/>
      <x:c r="S79" s="249"/>
      <x:c r="T79" s="249"/>
      <x:c r="U79" s="249"/>
      <x:c r="V79" s="247"/>
    </x:row>
    <x:row r="80" ht="15.75">
      <x:c r="B80" s="243">
        <x:v>603</x:v>
      </x:c>
      <x:c r="C80" s="248"/>
      <x:c r="D80" s="249"/>
      <x:c r="E80" s="249"/>
      <x:c r="F80" s="249"/>
      <x:c r="G80" s="249"/>
      <x:c r="H80" s="249"/>
      <x:c r="I80" s="249"/>
      <x:c r="J80" s="249"/>
      <x:c r="K80" s="249"/>
      <x:c r="L80" s="249"/>
      <x:c r="M80" s="249"/>
      <x:c r="N80" s="249"/>
      <x:c r="O80" s="249"/>
      <x:c r="P80" s="249"/>
      <x:c r="Q80" s="249"/>
      <x:c r="R80" s="249"/>
      <x:c r="S80" s="249"/>
      <x:c r="T80" s="249"/>
      <x:c r="U80" s="249"/>
      <x:c r="V80" s="247"/>
    </x:row>
    <x:row r="81" ht="15.75">
      <x:c r="B81" s="243">
        <x:v>604</x:v>
      </x:c>
      <x:c r="C81" s="248"/>
      <x:c r="D81" s="249"/>
      <x:c r="E81" s="249"/>
      <x:c r="F81" s="249"/>
      <x:c r="G81" s="249"/>
      <x:c r="H81" s="249"/>
      <x:c r="I81" s="249"/>
      <x:c r="J81" s="249"/>
      <x:c r="K81" s="249"/>
      <x:c r="L81" s="249"/>
      <x:c r="M81" s="249"/>
      <x:c r="N81" s="249"/>
      <x:c r="O81" s="249"/>
      <x:c r="P81" s="249"/>
      <x:c r="Q81" s="249"/>
      <x:c r="R81" s="249"/>
      <x:c r="S81" s="249"/>
      <x:c r="T81" s="249"/>
      <x:c r="U81" s="249"/>
      <x:c r="V81" s="247"/>
    </x:row>
    <x:row r="82" ht="15.75">
      <x:c r="B82" s="243">
        <x:v>605</x:v>
      </x:c>
      <x:c r="C82" s="248"/>
      <x:c r="D82" s="249"/>
      <x:c r="E82" s="249"/>
      <x:c r="F82" s="249"/>
      <x:c r="G82" s="249"/>
      <x:c r="H82" s="249"/>
      <x:c r="I82" s="249"/>
      <x:c r="J82" s="249"/>
      <x:c r="K82" s="249"/>
      <x:c r="L82" s="249"/>
      <x:c r="M82" s="249"/>
      <x:c r="N82" s="249"/>
      <x:c r="O82" s="249"/>
      <x:c r="P82" s="249"/>
      <x:c r="Q82" s="249"/>
      <x:c r="R82" s="249"/>
      <x:c r="S82" s="249"/>
      <x:c r="T82" s="249"/>
      <x:c r="U82" s="249"/>
      <x:c r="V82" s="247"/>
    </x:row>
    <x:row r="83" ht="15.75">
      <x:c r="B83" s="243">
        <x:v>606</x:v>
      </x:c>
      <x:c r="C83" s="248"/>
      <x:c r="D83" s="249"/>
      <x:c r="E83" s="249"/>
      <x:c r="F83" s="249"/>
      <x:c r="G83" s="249"/>
      <x:c r="H83" s="249"/>
      <x:c r="I83" s="249"/>
      <x:c r="J83" s="249"/>
      <x:c r="K83" s="249"/>
      <x:c r="L83" s="249"/>
      <x:c r="M83" s="249"/>
      <x:c r="N83" s="249"/>
      <x:c r="O83" s="249"/>
      <x:c r="P83" s="249"/>
      <x:c r="Q83" s="249"/>
      <x:c r="R83" s="249"/>
      <x:c r="S83" s="249"/>
      <x:c r="T83" s="249"/>
      <x:c r="U83" s="249"/>
      <x:c r="V83" s="247"/>
    </x:row>
    <x:row r="84" ht="15.75">
      <x:c r="B84" s="243">
        <x:v>607</x:v>
      </x:c>
      <x:c r="C84" s="248"/>
      <x:c r="D84" s="249"/>
      <x:c r="E84" s="249"/>
      <x:c r="F84" s="249"/>
      <x:c r="G84" s="249"/>
      <x:c r="H84" s="249"/>
      <x:c r="I84" s="249"/>
      <x:c r="J84" s="249"/>
      <x:c r="K84" s="249"/>
      <x:c r="L84" s="249"/>
      <x:c r="M84" s="249"/>
      <x:c r="N84" s="249"/>
      <x:c r="O84" s="249"/>
      <x:c r="P84" s="249"/>
      <x:c r="Q84" s="249"/>
      <x:c r="R84" s="249"/>
      <x:c r="S84" s="249"/>
      <x:c r="T84" s="249"/>
      <x:c r="U84" s="249"/>
      <x:c r="V84" s="247"/>
    </x:row>
    <x:row r="85" ht="15.75">
      <x:c r="B85" s="243">
        <x:v>608</x:v>
      </x:c>
      <x:c r="C85" s="248"/>
      <x:c r="D85" s="249"/>
      <x:c r="E85" s="249"/>
      <x:c r="F85" s="249"/>
      <x:c r="G85" s="249"/>
      <x:c r="H85" s="249"/>
      <x:c r="I85" s="249"/>
      <x:c r="J85" s="249"/>
      <x:c r="K85" s="249"/>
      <x:c r="L85" s="249"/>
      <x:c r="M85" s="249"/>
      <x:c r="N85" s="249"/>
      <x:c r="O85" s="249"/>
      <x:c r="P85" s="249"/>
      <x:c r="Q85" s="249"/>
      <x:c r="R85" s="249"/>
      <x:c r="S85" s="249"/>
      <x:c r="T85" s="249"/>
      <x:c r="U85" s="249"/>
      <x:c r="V85" s="247"/>
    </x:row>
    <x:row r="86" ht="15.75">
      <x:c r="B86" s="243">
        <x:v>609</x:v>
      </x:c>
      <x:c r="C86" s="248"/>
      <x:c r="D86" s="249"/>
      <x:c r="E86" s="249"/>
      <x:c r="F86" s="249"/>
      <x:c r="G86" s="249"/>
      <x:c r="H86" s="249"/>
      <x:c r="I86" s="249"/>
      <x:c r="J86" s="249"/>
      <x:c r="K86" s="249"/>
      <x:c r="L86" s="249"/>
      <x:c r="M86" s="249"/>
      <x:c r="N86" s="249"/>
      <x:c r="O86" s="249"/>
      <x:c r="P86" s="249"/>
      <x:c r="Q86" s="249"/>
      <x:c r="R86" s="249"/>
      <x:c r="S86" s="249"/>
      <x:c r="T86" s="249"/>
      <x:c r="U86" s="249"/>
      <x:c r="V86" s="247"/>
    </x:row>
    <x:row r="87" ht="15.75">
      <x:c r="B87" s="243">
        <x:v>610</x:v>
      </x:c>
      <x:c r="C87" s="248"/>
      <x:c r="D87" s="249"/>
      <x:c r="E87" s="249"/>
      <x:c r="F87" s="249"/>
      <x:c r="G87" s="249"/>
      <x:c r="H87" s="249"/>
      <x:c r="I87" s="249"/>
      <x:c r="J87" s="249"/>
      <x:c r="K87" s="249"/>
      <x:c r="L87" s="249"/>
      <x:c r="M87" s="249"/>
      <x:c r="N87" s="249"/>
      <x:c r="O87" s="249"/>
      <x:c r="P87" s="249"/>
      <x:c r="Q87" s="249"/>
      <x:c r="R87" s="249"/>
      <x:c r="S87" s="249"/>
      <x:c r="T87" s="249"/>
      <x:c r="U87" s="249"/>
      <x:c r="V87" s="247"/>
    </x:row>
    <x:row r="88" ht="15.75">
      <x:c r="B88" s="243">
        <x:v>611</x:v>
      </x:c>
      <x:c r="C88" s="248"/>
      <x:c r="D88" s="249"/>
      <x:c r="E88" s="249"/>
      <x:c r="F88" s="249"/>
      <x:c r="G88" s="249"/>
      <x:c r="H88" s="249"/>
      <x:c r="I88" s="249"/>
      <x:c r="J88" s="249"/>
      <x:c r="K88" s="249"/>
      <x:c r="L88" s="249"/>
      <x:c r="M88" s="249"/>
      <x:c r="N88" s="249"/>
      <x:c r="O88" s="249"/>
      <x:c r="P88" s="249"/>
      <x:c r="Q88" s="249"/>
      <x:c r="R88" s="249"/>
      <x:c r="S88" s="249"/>
      <x:c r="T88" s="249"/>
      <x:c r="U88" s="249"/>
      <x:c r="V88" s="247"/>
    </x:row>
    <x:row r="89" ht="15.75">
      <x:c r="B89" s="243">
        <x:v>612</x:v>
      </x:c>
      <x:c r="C89" s="248"/>
      <x:c r="D89" s="249"/>
      <x:c r="E89" s="249"/>
      <x:c r="F89" s="249"/>
      <x:c r="G89" s="249"/>
      <x:c r="H89" s="249"/>
      <x:c r="I89" s="249"/>
      <x:c r="J89" s="249"/>
      <x:c r="K89" s="249"/>
      <x:c r="L89" s="249"/>
      <x:c r="M89" s="249"/>
      <x:c r="N89" s="249"/>
      <x:c r="O89" s="249"/>
      <x:c r="P89" s="249"/>
      <x:c r="Q89" s="249"/>
      <x:c r="R89" s="249"/>
      <x:c r="S89" s="249"/>
      <x:c r="T89" s="249"/>
      <x:c r="U89" s="249"/>
      <x:c r="V89" s="247"/>
    </x:row>
    <x:row r="90" ht="15.75">
      <x:c r="B90" s="243">
        <x:v>613</x:v>
      </x:c>
      <x:c r="C90" s="248"/>
      <x:c r="D90" s="249"/>
      <x:c r="E90" s="249"/>
      <x:c r="F90" s="249"/>
      <x:c r="G90" s="249"/>
      <x:c r="H90" s="249"/>
      <x:c r="I90" s="249"/>
      <x:c r="J90" s="249"/>
      <x:c r="K90" s="249"/>
      <x:c r="L90" s="249"/>
      <x:c r="M90" s="249"/>
      <x:c r="N90" s="249"/>
      <x:c r="O90" s="249"/>
      <x:c r="P90" s="249"/>
      <x:c r="Q90" s="249"/>
      <x:c r="R90" s="249"/>
      <x:c r="S90" s="249"/>
      <x:c r="T90" s="249"/>
      <x:c r="U90" s="249"/>
      <x:c r="V90" s="247"/>
    </x:row>
    <x:row r="91" ht="15.75">
      <x:c r="B91" s="243">
        <x:v>614</x:v>
      </x:c>
      <x:c r="C91" s="248"/>
      <x:c r="D91" s="249"/>
      <x:c r="E91" s="249"/>
      <x:c r="F91" s="249"/>
      <x:c r="G91" s="249"/>
      <x:c r="H91" s="249"/>
      <x:c r="I91" s="249"/>
      <x:c r="J91" s="249"/>
      <x:c r="K91" s="249"/>
      <x:c r="L91" s="249"/>
      <x:c r="M91" s="249"/>
      <x:c r="N91" s="249"/>
      <x:c r="O91" s="249"/>
      <x:c r="P91" s="249"/>
      <x:c r="Q91" s="249"/>
      <x:c r="R91" s="249"/>
      <x:c r="S91" s="249"/>
      <x:c r="T91" s="249"/>
      <x:c r="U91" s="249"/>
      <x:c r="V91" s="247"/>
    </x:row>
    <x:row r="92" ht="15.75">
      <x:c r="B92" s="243">
        <x:v>615</x:v>
      </x:c>
      <x:c r="C92" s="248"/>
      <x:c r="D92" s="249"/>
      <x:c r="E92" s="249"/>
      <x:c r="F92" s="249"/>
      <x:c r="G92" s="249"/>
      <x:c r="H92" s="249"/>
      <x:c r="I92" s="249"/>
      <x:c r="J92" s="249"/>
      <x:c r="K92" s="249"/>
      <x:c r="L92" s="249"/>
      <x:c r="M92" s="249"/>
      <x:c r="N92" s="249"/>
      <x:c r="O92" s="249"/>
      <x:c r="P92" s="249"/>
      <x:c r="Q92" s="249"/>
      <x:c r="R92" s="249"/>
      <x:c r="S92" s="249"/>
      <x:c r="T92" s="249"/>
      <x:c r="U92" s="249"/>
      <x:c r="V92" s="247"/>
    </x:row>
    <x:row r="93" ht="15.75">
      <x:c r="B93" s="243">
        <x:v>616</x:v>
      </x:c>
      <x:c r="C93" s="248"/>
      <x:c r="D93" s="249"/>
      <x:c r="E93" s="249"/>
      <x:c r="F93" s="249"/>
      <x:c r="G93" s="249"/>
      <x:c r="H93" s="249"/>
      <x:c r="I93" s="249"/>
      <x:c r="J93" s="249"/>
      <x:c r="K93" s="249"/>
      <x:c r="L93" s="249"/>
      <x:c r="M93" s="249"/>
      <x:c r="N93" s="249"/>
      <x:c r="O93" s="249"/>
      <x:c r="P93" s="249"/>
      <x:c r="Q93" s="249"/>
      <x:c r="R93" s="249"/>
      <x:c r="S93" s="249"/>
      <x:c r="T93" s="249"/>
      <x:c r="U93" s="249"/>
      <x:c r="V93" s="247"/>
    </x:row>
    <x:row r="94" ht="15.75">
      <x:c r="B94" s="243">
        <x:v>617</x:v>
      </x:c>
      <x:c r="C94" s="248"/>
      <x:c r="D94" s="249"/>
      <x:c r="E94" s="249"/>
      <x:c r="F94" s="249"/>
      <x:c r="G94" s="249"/>
      <x:c r="H94" s="249"/>
      <x:c r="I94" s="249"/>
      <x:c r="J94" s="249"/>
      <x:c r="K94" s="249"/>
      <x:c r="L94" s="249"/>
      <x:c r="M94" s="249"/>
      <x:c r="N94" s="249"/>
      <x:c r="O94" s="249"/>
      <x:c r="P94" s="249"/>
      <x:c r="Q94" s="249"/>
      <x:c r="R94" s="249"/>
      <x:c r="S94" s="249"/>
      <x:c r="T94" s="249"/>
      <x:c r="U94" s="249"/>
      <x:c r="V94" s="251"/>
    </x:row>
    <x:row r="95" ht="15.75">
      <x:c r="B95" s="244" t="s">
        <x:v>144</x:v>
      </x:c>
      <x:c r="C95" s="252"/>
      <x:c r="D95" s="252"/>
      <x:c r="E95" s="252"/>
      <x:c r="F95" s="252"/>
      <x:c r="G95" s="252"/>
      <x:c r="H95" s="252"/>
      <x:c r="I95" s="252"/>
      <x:c r="J95" s="252"/>
      <x:c r="K95" s="252"/>
      <x:c r="L95" s="252"/>
      <x:c r="M95" s="252"/>
      <x:c r="N95" s="252"/>
      <x:c r="O95" s="252"/>
      <x:c r="P95" s="252"/>
      <x:c r="Q95" s="252"/>
      <x:c r="R95" s="252"/>
      <x:c r="S95" s="252"/>
      <x:c r="T95" s="252"/>
      <x:c r="U95" s="252"/>
      <x:c r="V95" s="252"/>
    </x:row>
    <x:row r="96" ht="15.75">
      <x:c r="B96" s="243">
        <x:v>701</x:v>
      </x:c>
      <x:c r="C96" s="248"/>
      <x:c r="D96" s="249"/>
      <x:c r="E96" s="249"/>
      <x:c r="F96" s="249"/>
      <x:c r="G96" s="249"/>
      <x:c r="H96" s="249"/>
      <x:c r="I96" s="249"/>
      <x:c r="J96" s="249"/>
      <x:c r="K96" s="249"/>
      <x:c r="L96" s="249"/>
      <x:c r="M96" s="249"/>
      <x:c r="N96" s="249"/>
      <x:c r="O96" s="249"/>
      <x:c r="P96" s="249"/>
      <x:c r="Q96" s="249"/>
      <x:c r="R96" s="249"/>
      <x:c r="S96" s="249"/>
      <x:c r="T96" s="249"/>
      <x:c r="U96" s="249"/>
      <x:c r="V96" s="250"/>
    </x:row>
    <x:row r="97" ht="15.75">
      <x:c r="B97" s="243">
        <x:v>702</x:v>
      </x:c>
      <x:c r="C97" s="248"/>
      <x:c r="D97" s="249"/>
      <x:c r="E97" s="249"/>
      <x:c r="F97" s="249"/>
      <x:c r="G97" s="249"/>
      <x:c r="H97" s="249"/>
      <x:c r="I97" s="249"/>
      <x:c r="J97" s="249"/>
      <x:c r="K97" s="249"/>
      <x:c r="L97" s="249"/>
      <x:c r="M97" s="249"/>
      <x:c r="N97" s="249"/>
      <x:c r="O97" s="249"/>
      <x:c r="P97" s="249"/>
      <x:c r="Q97" s="249"/>
      <x:c r="R97" s="249"/>
      <x:c r="S97" s="249"/>
      <x:c r="T97" s="249"/>
      <x:c r="U97" s="249"/>
      <x:c r="V97" s="247"/>
    </x:row>
    <x:row r="98" ht="15.75">
      <x:c r="B98" s="243">
        <x:v>703</x:v>
      </x:c>
      <x:c r="C98" s="248"/>
      <x:c r="D98" s="249"/>
      <x:c r="E98" s="249"/>
      <x:c r="F98" s="249"/>
      <x:c r="G98" s="249"/>
      <x:c r="H98" s="249"/>
      <x:c r="I98" s="249"/>
      <x:c r="J98" s="249"/>
      <x:c r="K98" s="249"/>
      <x:c r="L98" s="249"/>
      <x:c r="M98" s="249"/>
      <x:c r="N98" s="249"/>
      <x:c r="O98" s="249"/>
      <x:c r="P98" s="249"/>
      <x:c r="Q98" s="249"/>
      <x:c r="R98" s="249"/>
      <x:c r="S98" s="249"/>
      <x:c r="T98" s="249"/>
      <x:c r="U98" s="249"/>
      <x:c r="V98" s="247"/>
    </x:row>
    <x:row r="99" ht="15.75">
      <x:c r="B99" s="243">
        <x:v>704</x:v>
      </x:c>
      <x:c r="C99" s="248"/>
      <x:c r="D99" s="249"/>
      <x:c r="E99" s="249"/>
      <x:c r="F99" s="249"/>
      <x:c r="G99" s="249"/>
      <x:c r="H99" s="249"/>
      <x:c r="I99" s="249"/>
      <x:c r="J99" s="249"/>
      <x:c r="K99" s="249"/>
      <x:c r="L99" s="249"/>
      <x:c r="M99" s="249"/>
      <x:c r="N99" s="249"/>
      <x:c r="O99" s="249"/>
      <x:c r="P99" s="249"/>
      <x:c r="Q99" s="249"/>
      <x:c r="R99" s="249"/>
      <x:c r="S99" s="249"/>
      <x:c r="T99" s="249"/>
      <x:c r="U99" s="249"/>
      <x:c r="V99" s="247"/>
    </x:row>
    <x:row r="100" ht="15.75">
      <x:c r="B100" s="243">
        <x:v>705</x:v>
      </x:c>
      <x:c r="C100" s="248"/>
      <x:c r="D100" s="249"/>
      <x:c r="E100" s="249"/>
      <x:c r="F100" s="249"/>
      <x:c r="G100" s="249"/>
      <x:c r="H100" s="249"/>
      <x:c r="I100" s="249"/>
      <x:c r="J100" s="249"/>
      <x:c r="K100" s="249"/>
      <x:c r="L100" s="249"/>
      <x:c r="M100" s="249"/>
      <x:c r="N100" s="249"/>
      <x:c r="O100" s="249"/>
      <x:c r="P100" s="249"/>
      <x:c r="Q100" s="249"/>
      <x:c r="R100" s="249"/>
      <x:c r="S100" s="249"/>
      <x:c r="T100" s="249"/>
      <x:c r="U100" s="249"/>
      <x:c r="V100" s="247"/>
    </x:row>
    <x:row r="101" ht="15.75">
      <x:c r="B101" s="243">
        <x:v>706</x:v>
      </x:c>
      <x:c r="C101" s="248"/>
      <x:c r="D101" s="249"/>
      <x:c r="E101" s="249"/>
      <x:c r="F101" s="249"/>
      <x:c r="G101" s="249"/>
      <x:c r="H101" s="249"/>
      <x:c r="I101" s="249"/>
      <x:c r="J101" s="249"/>
      <x:c r="K101" s="249"/>
      <x:c r="L101" s="249"/>
      <x:c r="M101" s="249"/>
      <x:c r="N101" s="249"/>
      <x:c r="O101" s="249"/>
      <x:c r="P101" s="249"/>
      <x:c r="Q101" s="249"/>
      <x:c r="R101" s="249"/>
      <x:c r="S101" s="249"/>
      <x:c r="T101" s="249"/>
      <x:c r="U101" s="249"/>
      <x:c r="V101" s="247"/>
    </x:row>
    <x:row r="102" ht="15.75">
      <x:c r="B102" s="243">
        <x:v>707</x:v>
      </x:c>
      <x:c r="C102" s="248"/>
      <x:c r="D102" s="249"/>
      <x:c r="E102" s="249"/>
      <x:c r="F102" s="249"/>
      <x:c r="G102" s="249"/>
      <x:c r="H102" s="249"/>
      <x:c r="I102" s="249"/>
      <x:c r="J102" s="249"/>
      <x:c r="K102" s="249"/>
      <x:c r="L102" s="249"/>
      <x:c r="M102" s="249"/>
      <x:c r="N102" s="249"/>
      <x:c r="O102" s="249"/>
      <x:c r="P102" s="249"/>
      <x:c r="Q102" s="249"/>
      <x:c r="R102" s="249"/>
      <x:c r="S102" s="249"/>
      <x:c r="T102" s="249"/>
      <x:c r="U102" s="249"/>
      <x:c r="V102" s="247"/>
    </x:row>
    <x:row r="103" ht="15.75">
      <x:c r="B103" s="243">
        <x:v>708</x:v>
      </x:c>
      <x:c r="C103" s="248"/>
      <x:c r="D103" s="249"/>
      <x:c r="E103" s="249"/>
      <x:c r="F103" s="249"/>
      <x:c r="G103" s="249"/>
      <x:c r="H103" s="249"/>
      <x:c r="I103" s="249"/>
      <x:c r="J103" s="249"/>
      <x:c r="K103" s="249"/>
      <x:c r="L103" s="249"/>
      <x:c r="M103" s="249"/>
      <x:c r="N103" s="249"/>
      <x:c r="O103" s="249"/>
      <x:c r="P103" s="249"/>
      <x:c r="Q103" s="249"/>
      <x:c r="R103" s="249"/>
      <x:c r="S103" s="249"/>
      <x:c r="T103" s="249"/>
      <x:c r="U103" s="249"/>
      <x:c r="V103" s="247"/>
    </x:row>
    <x:row r="104" ht="15.75">
      <x:c r="B104" s="243">
        <x:v>709</x:v>
      </x:c>
      <x:c r="C104" s="248"/>
      <x:c r="D104" s="249"/>
      <x:c r="E104" s="249"/>
      <x:c r="F104" s="249"/>
      <x:c r="G104" s="249"/>
      <x:c r="H104" s="249"/>
      <x:c r="I104" s="249"/>
      <x:c r="J104" s="249"/>
      <x:c r="K104" s="249"/>
      <x:c r="L104" s="249"/>
      <x:c r="M104" s="249"/>
      <x:c r="N104" s="249"/>
      <x:c r="O104" s="249"/>
      <x:c r="P104" s="249"/>
      <x:c r="Q104" s="249"/>
      <x:c r="R104" s="249"/>
      <x:c r="S104" s="249"/>
      <x:c r="T104" s="249"/>
      <x:c r="U104" s="249"/>
      <x:c r="V104" s="247"/>
    </x:row>
    <x:row r="105" ht="15.75">
      <x:c r="B105" s="243">
        <x:v>710</x:v>
      </x:c>
      <x:c r="C105" s="248"/>
      <x:c r="D105" s="249"/>
      <x:c r="E105" s="249"/>
      <x:c r="F105" s="249"/>
      <x:c r="G105" s="249"/>
      <x:c r="H105" s="249"/>
      <x:c r="I105" s="249"/>
      <x:c r="J105" s="249"/>
      <x:c r="K105" s="249"/>
      <x:c r="L105" s="249"/>
      <x:c r="M105" s="249"/>
      <x:c r="N105" s="249"/>
      <x:c r="O105" s="249"/>
      <x:c r="P105" s="249"/>
      <x:c r="Q105" s="249"/>
      <x:c r="R105" s="249"/>
      <x:c r="S105" s="249"/>
      <x:c r="T105" s="249"/>
      <x:c r="U105" s="249"/>
      <x:c r="V105" s="247"/>
    </x:row>
    <x:row r="106" ht="15.75">
      <x:c r="B106" s="243">
        <x:v>711</x:v>
      </x:c>
      <x:c r="C106" s="248"/>
      <x:c r="D106" s="249"/>
      <x:c r="E106" s="249"/>
      <x:c r="F106" s="249"/>
      <x:c r="G106" s="249"/>
      <x:c r="H106" s="249"/>
      <x:c r="I106" s="249"/>
      <x:c r="J106" s="249"/>
      <x:c r="K106" s="249"/>
      <x:c r="L106" s="249"/>
      <x:c r="M106" s="249"/>
      <x:c r="N106" s="249"/>
      <x:c r="O106" s="249"/>
      <x:c r="P106" s="249"/>
      <x:c r="Q106" s="249"/>
      <x:c r="R106" s="249"/>
      <x:c r="S106" s="249"/>
      <x:c r="T106" s="249"/>
      <x:c r="U106" s="249"/>
      <x:c r="V106" s="247"/>
    </x:row>
    <x:row r="107" ht="15.75">
      <x:c r="B107" s="243">
        <x:v>712</x:v>
      </x:c>
      <x:c r="C107" s="248"/>
      <x:c r="D107" s="249"/>
      <x:c r="E107" s="249"/>
      <x:c r="F107" s="249"/>
      <x:c r="G107" s="249"/>
      <x:c r="H107" s="249"/>
      <x:c r="I107" s="249"/>
      <x:c r="J107" s="249"/>
      <x:c r="K107" s="249"/>
      <x:c r="L107" s="249"/>
      <x:c r="M107" s="249"/>
      <x:c r="N107" s="249"/>
      <x:c r="O107" s="249"/>
      <x:c r="P107" s="249"/>
      <x:c r="Q107" s="249"/>
      <x:c r="R107" s="249"/>
      <x:c r="S107" s="249"/>
      <x:c r="T107" s="249"/>
      <x:c r="U107" s="249"/>
      <x:c r="V107" s="247"/>
    </x:row>
    <x:row r="108" ht="15.75">
      <x:c r="B108" s="243">
        <x:v>713</x:v>
      </x:c>
      <x:c r="C108" s="248"/>
      <x:c r="D108" s="249"/>
      <x:c r="E108" s="249"/>
      <x:c r="F108" s="249"/>
      <x:c r="G108" s="249"/>
      <x:c r="H108" s="249"/>
      <x:c r="I108" s="249"/>
      <x:c r="J108" s="249"/>
      <x:c r="K108" s="249"/>
      <x:c r="L108" s="249"/>
      <x:c r="M108" s="249"/>
      <x:c r="N108" s="249"/>
      <x:c r="O108" s="249"/>
      <x:c r="P108" s="249"/>
      <x:c r="Q108" s="249"/>
      <x:c r="R108" s="249"/>
      <x:c r="S108" s="249"/>
      <x:c r="T108" s="249"/>
      <x:c r="U108" s="249"/>
      <x:c r="V108" s="247"/>
    </x:row>
    <x:row r="109" ht="15.75">
      <x:c r="B109" s="243">
        <x:v>714</x:v>
      </x:c>
      <x:c r="C109" s="248"/>
      <x:c r="D109" s="249"/>
      <x:c r="E109" s="249"/>
      <x:c r="F109" s="249"/>
      <x:c r="G109" s="249"/>
      <x:c r="H109" s="249"/>
      <x:c r="I109" s="249"/>
      <x:c r="J109" s="249"/>
      <x:c r="K109" s="249"/>
      <x:c r="L109" s="249"/>
      <x:c r="M109" s="249"/>
      <x:c r="N109" s="249"/>
      <x:c r="O109" s="249"/>
      <x:c r="P109" s="249"/>
      <x:c r="Q109" s="249"/>
      <x:c r="R109" s="249"/>
      <x:c r="S109" s="249"/>
      <x:c r="T109" s="249"/>
      <x:c r="U109" s="249"/>
      <x:c r="V109" s="247"/>
    </x:row>
    <x:row r="110" ht="15.75">
      <x:c r="B110" s="243">
        <x:v>715</x:v>
      </x:c>
      <x:c r="C110" s="248"/>
      <x:c r="D110" s="249"/>
      <x:c r="E110" s="249"/>
      <x:c r="F110" s="249"/>
      <x:c r="G110" s="249"/>
      <x:c r="H110" s="249"/>
      <x:c r="I110" s="249"/>
      <x:c r="J110" s="249"/>
      <x:c r="K110" s="249"/>
      <x:c r="L110" s="249"/>
      <x:c r="M110" s="249"/>
      <x:c r="N110" s="249"/>
      <x:c r="O110" s="249"/>
      <x:c r="P110" s="249"/>
      <x:c r="Q110" s="249"/>
      <x:c r="R110" s="249"/>
      <x:c r="S110" s="249"/>
      <x:c r="T110" s="249"/>
      <x:c r="U110" s="249"/>
      <x:c r="V110" s="247"/>
    </x:row>
    <x:row r="111" ht="15.75">
      <x:c r="B111" s="243">
        <x:v>716</x:v>
      </x:c>
      <x:c r="C111" s="248"/>
      <x:c r="D111" s="249"/>
      <x:c r="E111" s="249"/>
      <x:c r="F111" s="249"/>
      <x:c r="G111" s="249"/>
      <x:c r="H111" s="249"/>
      <x:c r="I111" s="249"/>
      <x:c r="J111" s="249"/>
      <x:c r="K111" s="249"/>
      <x:c r="L111" s="249"/>
      <x:c r="M111" s="249"/>
      <x:c r="N111" s="249"/>
      <x:c r="O111" s="249"/>
      <x:c r="P111" s="249"/>
      <x:c r="Q111" s="249"/>
      <x:c r="R111" s="249"/>
      <x:c r="S111" s="249"/>
      <x:c r="T111" s="249"/>
      <x:c r="U111" s="249"/>
      <x:c r="V111" s="247"/>
    </x:row>
    <x:row r="112" ht="15.75">
      <x:c r="B112" s="243">
        <x:v>717</x:v>
      </x:c>
      <x:c r="C112" s="248"/>
      <x:c r="D112" s="249"/>
      <x:c r="E112" s="249"/>
      <x:c r="F112" s="249"/>
      <x:c r="G112" s="249"/>
      <x:c r="H112" s="249"/>
      <x:c r="I112" s="249"/>
      <x:c r="J112" s="249"/>
      <x:c r="K112" s="249"/>
      <x:c r="L112" s="249"/>
      <x:c r="M112" s="249"/>
      <x:c r="N112" s="249"/>
      <x:c r="O112" s="249"/>
      <x:c r="P112" s="249"/>
      <x:c r="Q112" s="249"/>
      <x:c r="R112" s="249"/>
      <x:c r="S112" s="249"/>
      <x:c r="T112" s="249"/>
      <x:c r="U112" s="249"/>
      <x:c r="V112" s="251"/>
    </x:row>
    <x:row r="113" ht="15.75">
      <x:c r="B113" s="244" t="s">
        <x:v>145</x:v>
      </x:c>
      <x:c r="C113" s="252"/>
      <x:c r="D113" s="252"/>
      <x:c r="E113" s="252"/>
      <x:c r="F113" s="252"/>
      <x:c r="G113" s="252"/>
      <x:c r="H113" s="252"/>
      <x:c r="I113" s="252"/>
      <x:c r="J113" s="252"/>
      <x:c r="K113" s="252"/>
      <x:c r="L113" s="252"/>
      <x:c r="M113" s="252"/>
      <x:c r="N113" s="252"/>
      <x:c r="O113" s="252"/>
      <x:c r="P113" s="252"/>
      <x:c r="Q113" s="252"/>
      <x:c r="R113" s="252"/>
      <x:c r="S113" s="252"/>
      <x:c r="T113" s="252"/>
      <x:c r="U113" s="252"/>
      <x:c r="V113" s="252"/>
    </x:row>
    <x:row r="114" ht="15.75">
      <x:c r="B114" s="243">
        <x:v>801</x:v>
      </x:c>
      <x:c r="C114" s="248"/>
      <x:c r="D114" s="249"/>
      <x:c r="E114" s="249"/>
      <x:c r="F114" s="249"/>
      <x:c r="G114" s="249"/>
      <x:c r="H114" s="249"/>
      <x:c r="I114" s="249"/>
      <x:c r="J114" s="249"/>
      <x:c r="K114" s="249"/>
      <x:c r="L114" s="249"/>
      <x:c r="M114" s="249"/>
      <x:c r="N114" s="249"/>
      <x:c r="O114" s="249"/>
      <x:c r="P114" s="249"/>
      <x:c r="Q114" s="249"/>
      <x:c r="R114" s="249"/>
      <x:c r="S114" s="249"/>
      <x:c r="T114" s="249"/>
      <x:c r="U114" s="249"/>
      <x:c r="V114" s="250"/>
    </x:row>
    <x:row r="115" ht="15.75">
      <x:c r="B115" s="243">
        <x:v>802</x:v>
      </x:c>
      <x:c r="C115" s="248"/>
      <x:c r="D115" s="249"/>
      <x:c r="E115" s="249"/>
      <x:c r="F115" s="249"/>
      <x:c r="G115" s="249"/>
      <x:c r="H115" s="249"/>
      <x:c r="I115" s="249"/>
      <x:c r="J115" s="249"/>
      <x:c r="K115" s="249"/>
      <x:c r="L115" s="249"/>
      <x:c r="M115" s="249"/>
      <x:c r="N115" s="249"/>
      <x:c r="O115" s="249"/>
      <x:c r="P115" s="249"/>
      <x:c r="Q115" s="249"/>
      <x:c r="R115" s="249"/>
      <x:c r="S115" s="249"/>
      <x:c r="T115" s="249"/>
      <x:c r="U115" s="249"/>
      <x:c r="V115" s="247"/>
    </x:row>
    <x:row r="116" ht="15.75">
      <x:c r="B116" s="243">
        <x:v>803</x:v>
      </x:c>
      <x:c r="C116" s="248"/>
      <x:c r="D116" s="249"/>
      <x:c r="E116" s="249"/>
      <x:c r="F116" s="249"/>
      <x:c r="G116" s="249"/>
      <x:c r="H116" s="249"/>
      <x:c r="I116" s="249"/>
      <x:c r="J116" s="249"/>
      <x:c r="K116" s="249"/>
      <x:c r="L116" s="249"/>
      <x:c r="M116" s="249"/>
      <x:c r="N116" s="249"/>
      <x:c r="O116" s="249"/>
      <x:c r="P116" s="249"/>
      <x:c r="Q116" s="249"/>
      <x:c r="R116" s="249"/>
      <x:c r="S116" s="249"/>
      <x:c r="T116" s="249"/>
      <x:c r="U116" s="249"/>
      <x:c r="V116" s="247"/>
    </x:row>
    <x:row r="117" ht="15.75">
      <x:c r="B117" s="243">
        <x:v>804</x:v>
      </x:c>
      <x:c r="C117" s="248"/>
      <x:c r="D117" s="249"/>
      <x:c r="E117" s="249"/>
      <x:c r="F117" s="249"/>
      <x:c r="G117" s="249"/>
      <x:c r="H117" s="249"/>
      <x:c r="I117" s="249"/>
      <x:c r="J117" s="249"/>
      <x:c r="K117" s="249"/>
      <x:c r="L117" s="249"/>
      <x:c r="M117" s="249"/>
      <x:c r="N117" s="249"/>
      <x:c r="O117" s="249"/>
      <x:c r="P117" s="249"/>
      <x:c r="Q117" s="249"/>
      <x:c r="R117" s="249"/>
      <x:c r="S117" s="249"/>
      <x:c r="T117" s="249"/>
      <x:c r="U117" s="249"/>
      <x:c r="V117" s="247"/>
    </x:row>
    <x:row r="118" ht="15.75">
      <x:c r="B118" s="243">
        <x:v>805</x:v>
      </x:c>
      <x:c r="C118" s="248"/>
      <x:c r="D118" s="249"/>
      <x:c r="E118" s="249"/>
      <x:c r="F118" s="249"/>
      <x:c r="G118" s="249"/>
      <x:c r="H118" s="249"/>
      <x:c r="I118" s="249"/>
      <x:c r="J118" s="249"/>
      <x:c r="K118" s="249"/>
      <x:c r="L118" s="249"/>
      <x:c r="M118" s="249"/>
      <x:c r="N118" s="249"/>
      <x:c r="O118" s="249"/>
      <x:c r="P118" s="249"/>
      <x:c r="Q118" s="249"/>
      <x:c r="R118" s="249"/>
      <x:c r="S118" s="249"/>
      <x:c r="T118" s="249"/>
      <x:c r="U118" s="249"/>
      <x:c r="V118" s="247"/>
    </x:row>
    <x:row r="119" ht="15.75">
      <x:c r="B119" s="243">
        <x:v>806</x:v>
      </x:c>
      <x:c r="C119" s="248"/>
      <x:c r="D119" s="249"/>
      <x:c r="E119" s="249"/>
      <x:c r="F119" s="249"/>
      <x:c r="G119" s="249"/>
      <x:c r="H119" s="249"/>
      <x:c r="I119" s="249"/>
      <x:c r="J119" s="249"/>
      <x:c r="K119" s="249"/>
      <x:c r="L119" s="249"/>
      <x:c r="M119" s="249"/>
      <x:c r="N119" s="249"/>
      <x:c r="O119" s="249"/>
      <x:c r="P119" s="249"/>
      <x:c r="Q119" s="249"/>
      <x:c r="R119" s="249"/>
      <x:c r="S119" s="249"/>
      <x:c r="T119" s="249"/>
      <x:c r="U119" s="249"/>
      <x:c r="V119" s="247"/>
    </x:row>
    <x:row r="120" ht="15.75">
      <x:c r="B120" s="243">
        <x:v>807</x:v>
      </x:c>
      <x:c r="C120" s="248"/>
      <x:c r="D120" s="249"/>
      <x:c r="E120" s="249"/>
      <x:c r="F120" s="249"/>
      <x:c r="G120" s="249"/>
      <x:c r="H120" s="249"/>
      <x:c r="I120" s="249"/>
      <x:c r="J120" s="249"/>
      <x:c r="K120" s="249"/>
      <x:c r="L120" s="249"/>
      <x:c r="M120" s="249"/>
      <x:c r="N120" s="249"/>
      <x:c r="O120" s="249"/>
      <x:c r="P120" s="249"/>
      <x:c r="Q120" s="249"/>
      <x:c r="R120" s="249"/>
      <x:c r="S120" s="249"/>
      <x:c r="T120" s="249"/>
      <x:c r="U120" s="249"/>
      <x:c r="V120" s="247"/>
    </x:row>
    <x:row r="121" ht="15.75">
      <x:c r="B121" s="243">
        <x:v>808</x:v>
      </x:c>
      <x:c r="C121" s="248"/>
      <x:c r="D121" s="249"/>
      <x:c r="E121" s="249"/>
      <x:c r="F121" s="249"/>
      <x:c r="G121" s="249"/>
      <x:c r="H121" s="249"/>
      <x:c r="I121" s="249"/>
      <x:c r="J121" s="249"/>
      <x:c r="K121" s="249"/>
      <x:c r="L121" s="249"/>
      <x:c r="M121" s="249"/>
      <x:c r="N121" s="249"/>
      <x:c r="O121" s="249"/>
      <x:c r="P121" s="249"/>
      <x:c r="Q121" s="249"/>
      <x:c r="R121" s="249"/>
      <x:c r="S121" s="249"/>
      <x:c r="T121" s="249"/>
      <x:c r="U121" s="249"/>
      <x:c r="V121" s="247"/>
    </x:row>
    <x:row r="122" ht="15.75">
      <x:c r="B122" s="243">
        <x:v>809</x:v>
      </x:c>
      <x:c r="C122" s="248"/>
      <x:c r="D122" s="249"/>
      <x:c r="E122" s="249"/>
      <x:c r="F122" s="249"/>
      <x:c r="G122" s="249"/>
      <x:c r="H122" s="249"/>
      <x:c r="I122" s="249"/>
      <x:c r="J122" s="249"/>
      <x:c r="K122" s="249"/>
      <x:c r="L122" s="249"/>
      <x:c r="M122" s="249"/>
      <x:c r="N122" s="249"/>
      <x:c r="O122" s="249"/>
      <x:c r="P122" s="249"/>
      <x:c r="Q122" s="249"/>
      <x:c r="R122" s="249"/>
      <x:c r="S122" s="249"/>
      <x:c r="T122" s="249"/>
      <x:c r="U122" s="249"/>
      <x:c r="V122" s="247"/>
    </x:row>
    <x:row r="123" ht="15.75">
      <x:c r="B123" s="243">
        <x:v>810</x:v>
      </x:c>
      <x:c r="C123" s="248"/>
      <x:c r="D123" s="249"/>
      <x:c r="E123" s="249"/>
      <x:c r="F123" s="249"/>
      <x:c r="G123" s="249"/>
      <x:c r="H123" s="249"/>
      <x:c r="I123" s="249"/>
      <x:c r="J123" s="249"/>
      <x:c r="K123" s="249"/>
      <x:c r="L123" s="249"/>
      <x:c r="M123" s="249"/>
      <x:c r="N123" s="249"/>
      <x:c r="O123" s="249"/>
      <x:c r="P123" s="249"/>
      <x:c r="Q123" s="249"/>
      <x:c r="R123" s="249"/>
      <x:c r="S123" s="249"/>
      <x:c r="T123" s="249"/>
      <x:c r="U123" s="249"/>
      <x:c r="V123" s="247"/>
    </x:row>
    <x:row r="124" ht="15.75">
      <x:c r="B124" s="243">
        <x:v>811</x:v>
      </x:c>
      <x:c r="C124" s="248"/>
      <x:c r="D124" s="249"/>
      <x:c r="E124" s="249"/>
      <x:c r="F124" s="249"/>
      <x:c r="G124" s="249"/>
      <x:c r="H124" s="249"/>
      <x:c r="I124" s="249"/>
      <x:c r="J124" s="249"/>
      <x:c r="K124" s="249"/>
      <x:c r="L124" s="249"/>
      <x:c r="M124" s="249"/>
      <x:c r="N124" s="249"/>
      <x:c r="O124" s="249"/>
      <x:c r="P124" s="249"/>
      <x:c r="Q124" s="249"/>
      <x:c r="R124" s="249"/>
      <x:c r="S124" s="249"/>
      <x:c r="T124" s="249"/>
      <x:c r="U124" s="249"/>
      <x:c r="V124" s="247"/>
    </x:row>
    <x:row r="125" ht="15.75">
      <x:c r="B125" s="243">
        <x:v>812</x:v>
      </x:c>
      <x:c r="C125" s="248"/>
      <x:c r="D125" s="249"/>
      <x:c r="E125" s="249"/>
      <x:c r="F125" s="249"/>
      <x:c r="G125" s="249"/>
      <x:c r="H125" s="249"/>
      <x:c r="I125" s="249"/>
      <x:c r="J125" s="249"/>
      <x:c r="K125" s="249"/>
      <x:c r="L125" s="249"/>
      <x:c r="M125" s="249"/>
      <x:c r="N125" s="249"/>
      <x:c r="O125" s="249"/>
      <x:c r="P125" s="249"/>
      <x:c r="Q125" s="249"/>
      <x:c r="R125" s="249"/>
      <x:c r="S125" s="249"/>
      <x:c r="T125" s="249"/>
      <x:c r="U125" s="249"/>
      <x:c r="V125" s="247"/>
    </x:row>
    <x:row r="126" ht="15.75">
      <x:c r="B126" s="243">
        <x:v>813</x:v>
      </x:c>
      <x:c r="C126" s="248"/>
      <x:c r="D126" s="249"/>
      <x:c r="E126" s="249"/>
      <x:c r="F126" s="249"/>
      <x:c r="G126" s="249"/>
      <x:c r="H126" s="249"/>
      <x:c r="I126" s="249"/>
      <x:c r="J126" s="249"/>
      <x:c r="K126" s="249"/>
      <x:c r="L126" s="249"/>
      <x:c r="M126" s="249"/>
      <x:c r="N126" s="249"/>
      <x:c r="O126" s="249"/>
      <x:c r="P126" s="249"/>
      <x:c r="Q126" s="249"/>
      <x:c r="R126" s="249"/>
      <x:c r="S126" s="249"/>
      <x:c r="T126" s="249"/>
      <x:c r="U126" s="249"/>
      <x:c r="V126" s="247"/>
    </x:row>
    <x:row r="127" ht="15.75">
      <x:c r="B127" s="243">
        <x:v>814</x:v>
      </x:c>
      <x:c r="C127" s="248"/>
      <x:c r="D127" s="249"/>
      <x:c r="E127" s="249"/>
      <x:c r="F127" s="249"/>
      <x:c r="G127" s="249"/>
      <x:c r="H127" s="249"/>
      <x:c r="I127" s="249"/>
      <x:c r="J127" s="249"/>
      <x:c r="K127" s="249"/>
      <x:c r="L127" s="249"/>
      <x:c r="M127" s="249"/>
      <x:c r="N127" s="249"/>
      <x:c r="O127" s="249"/>
      <x:c r="P127" s="249"/>
      <x:c r="Q127" s="249"/>
      <x:c r="R127" s="249"/>
      <x:c r="S127" s="249"/>
      <x:c r="T127" s="249"/>
      <x:c r="U127" s="249"/>
      <x:c r="V127" s="247"/>
    </x:row>
    <x:row r="128" ht="15.75">
      <x:c r="B128" s="243">
        <x:v>815</x:v>
      </x:c>
      <x:c r="C128" s="248"/>
      <x:c r="D128" s="249"/>
      <x:c r="E128" s="249"/>
      <x:c r="F128" s="249"/>
      <x:c r="G128" s="249"/>
      <x:c r="H128" s="249"/>
      <x:c r="I128" s="249"/>
      <x:c r="J128" s="249"/>
      <x:c r="K128" s="249"/>
      <x:c r="L128" s="249"/>
      <x:c r="M128" s="249"/>
      <x:c r="N128" s="249"/>
      <x:c r="O128" s="249"/>
      <x:c r="P128" s="249"/>
      <x:c r="Q128" s="249"/>
      <x:c r="R128" s="249"/>
      <x:c r="S128" s="249"/>
      <x:c r="T128" s="249"/>
      <x:c r="U128" s="249"/>
      <x:c r="V128" s="247"/>
    </x:row>
    <x:row r="129" ht="15.75">
      <x:c r="B129" s="243">
        <x:v>816</x:v>
      </x:c>
      <x:c r="C129" s="248"/>
      <x:c r="D129" s="249"/>
      <x:c r="E129" s="249"/>
      <x:c r="F129" s="249"/>
      <x:c r="G129" s="249"/>
      <x:c r="H129" s="249"/>
      <x:c r="I129" s="249"/>
      <x:c r="J129" s="249"/>
      <x:c r="K129" s="249"/>
      <x:c r="L129" s="249"/>
      <x:c r="M129" s="249"/>
      <x:c r="N129" s="249"/>
      <x:c r="O129" s="249"/>
      <x:c r="P129" s="249"/>
      <x:c r="Q129" s="249"/>
      <x:c r="R129" s="249"/>
      <x:c r="S129" s="249"/>
      <x:c r="T129" s="249"/>
      <x:c r="U129" s="249"/>
      <x:c r="V129" s="247"/>
    </x:row>
    <x:row r="130" ht="15.75">
      <x:c r="B130" s="243">
        <x:v>817</x:v>
      </x:c>
      <x:c r="C130" s="248"/>
      <x:c r="D130" s="249"/>
      <x:c r="E130" s="249"/>
      <x:c r="F130" s="249"/>
      <x:c r="G130" s="249"/>
      <x:c r="H130" s="249"/>
      <x:c r="I130" s="249"/>
      <x:c r="J130" s="249"/>
      <x:c r="K130" s="249"/>
      <x:c r="L130" s="249"/>
      <x:c r="M130" s="249"/>
      <x:c r="N130" s="249"/>
      <x:c r="O130" s="249"/>
      <x:c r="P130" s="249"/>
      <x:c r="Q130" s="249"/>
      <x:c r="R130" s="249"/>
      <x:c r="S130" s="249"/>
      <x:c r="T130" s="249"/>
      <x:c r="U130" s="249"/>
      <x:c r="V130" s="251"/>
    </x:row>
    <x:row r="131" ht="15.75">
      <x:c r="B131" s="244" t="s">
        <x:v>146</x:v>
      </x:c>
      <x:c r="C131" s="252"/>
      <x:c r="D131" s="252"/>
      <x:c r="E131" s="252"/>
      <x:c r="F131" s="252"/>
      <x:c r="G131" s="252"/>
      <x:c r="H131" s="252"/>
      <x:c r="I131" s="252"/>
      <x:c r="J131" s="252"/>
      <x:c r="K131" s="252"/>
      <x:c r="L131" s="252"/>
      <x:c r="M131" s="252"/>
      <x:c r="N131" s="252"/>
      <x:c r="O131" s="252"/>
      <x:c r="P131" s="252"/>
      <x:c r="Q131" s="252"/>
      <x:c r="R131" s="252"/>
      <x:c r="S131" s="252"/>
      <x:c r="T131" s="252"/>
      <x:c r="U131" s="252"/>
      <x:c r="V131" s="252"/>
    </x:row>
    <x:row r="132" ht="15.75">
      <x:c r="B132" s="243">
        <x:v>901</x:v>
      </x:c>
      <x:c r="C132" s="248"/>
      <x:c r="D132" s="249"/>
      <x:c r="E132" s="249"/>
      <x:c r="F132" s="249"/>
      <x:c r="G132" s="249"/>
      <x:c r="H132" s="249"/>
      <x:c r="I132" s="249"/>
      <x:c r="J132" s="249"/>
      <x:c r="K132" s="249"/>
      <x:c r="L132" s="249"/>
      <x:c r="M132" s="249"/>
      <x:c r="N132" s="249"/>
      <x:c r="O132" s="249"/>
      <x:c r="P132" s="249"/>
      <x:c r="Q132" s="249"/>
      <x:c r="R132" s="249"/>
      <x:c r="S132" s="249"/>
      <x:c r="T132" s="249"/>
      <x:c r="U132" s="249"/>
      <x:c r="V132" s="250"/>
    </x:row>
    <x:row r="133" ht="15.75">
      <x:c r="B133" s="243">
        <x:v>902</x:v>
      </x:c>
      <x:c r="C133" s="248"/>
      <x:c r="D133" s="249"/>
      <x:c r="E133" s="249"/>
      <x:c r="F133" s="249"/>
      <x:c r="G133" s="249"/>
      <x:c r="H133" s="249"/>
      <x:c r="I133" s="249"/>
      <x:c r="J133" s="249"/>
      <x:c r="K133" s="249"/>
      <x:c r="L133" s="249"/>
      <x:c r="M133" s="249"/>
      <x:c r="N133" s="249"/>
      <x:c r="O133" s="249"/>
      <x:c r="P133" s="249"/>
      <x:c r="Q133" s="249"/>
      <x:c r="R133" s="249"/>
      <x:c r="S133" s="249"/>
      <x:c r="T133" s="249"/>
      <x:c r="U133" s="249"/>
      <x:c r="V133" s="247"/>
    </x:row>
    <x:row r="134" ht="15.75">
      <x:c r="B134" s="243">
        <x:v>903</x:v>
      </x:c>
      <x:c r="C134" s="248"/>
      <x:c r="D134" s="249"/>
      <x:c r="E134" s="249"/>
      <x:c r="F134" s="249"/>
      <x:c r="G134" s="249"/>
      <x:c r="H134" s="249"/>
      <x:c r="I134" s="249"/>
      <x:c r="J134" s="249"/>
      <x:c r="K134" s="249"/>
      <x:c r="L134" s="249"/>
      <x:c r="M134" s="249"/>
      <x:c r="N134" s="249"/>
      <x:c r="O134" s="249"/>
      <x:c r="P134" s="249"/>
      <x:c r="Q134" s="249"/>
      <x:c r="R134" s="249"/>
      <x:c r="S134" s="249"/>
      <x:c r="T134" s="249"/>
      <x:c r="U134" s="249"/>
      <x:c r="V134" s="247"/>
    </x:row>
    <x:row r="135" ht="15.75">
      <x:c r="B135" s="243">
        <x:v>904</x:v>
      </x:c>
      <x:c r="C135" s="248"/>
      <x:c r="D135" s="249"/>
      <x:c r="E135" s="249"/>
      <x:c r="F135" s="249"/>
      <x:c r="G135" s="249"/>
      <x:c r="H135" s="249"/>
      <x:c r="I135" s="249"/>
      <x:c r="J135" s="249"/>
      <x:c r="K135" s="249"/>
      <x:c r="L135" s="249"/>
      <x:c r="M135" s="249"/>
      <x:c r="N135" s="249"/>
      <x:c r="O135" s="249"/>
      <x:c r="P135" s="249"/>
      <x:c r="Q135" s="249"/>
      <x:c r="R135" s="249"/>
      <x:c r="S135" s="249"/>
      <x:c r="T135" s="249"/>
      <x:c r="U135" s="249"/>
      <x:c r="V135" s="247"/>
    </x:row>
    <x:row r="136" ht="15.75">
      <x:c r="B136" s="243">
        <x:v>905</x:v>
      </x:c>
      <x:c r="C136" s="248"/>
      <x:c r="D136" s="249"/>
      <x:c r="E136" s="249"/>
      <x:c r="F136" s="249"/>
      <x:c r="G136" s="249"/>
      <x:c r="H136" s="249"/>
      <x:c r="I136" s="249"/>
      <x:c r="J136" s="249"/>
      <x:c r="K136" s="249"/>
      <x:c r="L136" s="249"/>
      <x:c r="M136" s="249"/>
      <x:c r="N136" s="249"/>
      <x:c r="O136" s="249"/>
      <x:c r="P136" s="249"/>
      <x:c r="Q136" s="249"/>
      <x:c r="R136" s="249"/>
      <x:c r="S136" s="249"/>
      <x:c r="T136" s="249"/>
      <x:c r="U136" s="249"/>
      <x:c r="V136" s="247"/>
    </x:row>
    <x:row r="137" ht="15.75">
      <x:c r="B137" s="243">
        <x:v>906</x:v>
      </x:c>
      <x:c r="C137" s="248"/>
      <x:c r="D137" s="249"/>
      <x:c r="E137" s="249"/>
      <x:c r="F137" s="249"/>
      <x:c r="G137" s="249"/>
      <x:c r="H137" s="249"/>
      <x:c r="I137" s="249"/>
      <x:c r="J137" s="249"/>
      <x:c r="K137" s="249"/>
      <x:c r="L137" s="249"/>
      <x:c r="M137" s="249"/>
      <x:c r="N137" s="249"/>
      <x:c r="O137" s="249"/>
      <x:c r="P137" s="249"/>
      <x:c r="Q137" s="249"/>
      <x:c r="R137" s="249"/>
      <x:c r="S137" s="249"/>
      <x:c r="T137" s="249"/>
      <x:c r="U137" s="249"/>
      <x:c r="V137" s="247"/>
    </x:row>
    <x:row r="138" ht="15.75">
      <x:c r="B138" s="243">
        <x:v>907</x:v>
      </x:c>
      <x:c r="C138" s="248"/>
      <x:c r="D138" s="249"/>
      <x:c r="E138" s="249"/>
      <x:c r="F138" s="249"/>
      <x:c r="G138" s="249"/>
      <x:c r="H138" s="249"/>
      <x:c r="I138" s="249"/>
      <x:c r="J138" s="249"/>
      <x:c r="K138" s="249"/>
      <x:c r="L138" s="249"/>
      <x:c r="M138" s="249"/>
      <x:c r="N138" s="249"/>
      <x:c r="O138" s="249"/>
      <x:c r="P138" s="249"/>
      <x:c r="Q138" s="249"/>
      <x:c r="R138" s="249"/>
      <x:c r="S138" s="249"/>
      <x:c r="T138" s="249"/>
      <x:c r="U138" s="249"/>
      <x:c r="V138" s="247"/>
    </x:row>
    <x:row r="139" ht="15.75">
      <x:c r="B139" s="243">
        <x:v>908</x:v>
      </x:c>
      <x:c r="C139" s="248"/>
      <x:c r="D139" s="249"/>
      <x:c r="E139" s="249"/>
      <x:c r="F139" s="249"/>
      <x:c r="G139" s="249"/>
      <x:c r="H139" s="249"/>
      <x:c r="I139" s="249"/>
      <x:c r="J139" s="249"/>
      <x:c r="K139" s="249"/>
      <x:c r="L139" s="249"/>
      <x:c r="M139" s="249"/>
      <x:c r="N139" s="249"/>
      <x:c r="O139" s="249"/>
      <x:c r="P139" s="249"/>
      <x:c r="Q139" s="249"/>
      <x:c r="R139" s="249"/>
      <x:c r="S139" s="249"/>
      <x:c r="T139" s="249"/>
      <x:c r="U139" s="249"/>
      <x:c r="V139" s="247"/>
    </x:row>
    <x:row r="140" ht="15.75">
      <x:c r="B140" s="243">
        <x:v>909</x:v>
      </x:c>
      <x:c r="C140" s="248"/>
      <x:c r="D140" s="249"/>
      <x:c r="E140" s="249"/>
      <x:c r="F140" s="249"/>
      <x:c r="G140" s="249"/>
      <x:c r="H140" s="249"/>
      <x:c r="I140" s="249"/>
      <x:c r="J140" s="249"/>
      <x:c r="K140" s="249"/>
      <x:c r="L140" s="249"/>
      <x:c r="M140" s="249"/>
      <x:c r="N140" s="249"/>
      <x:c r="O140" s="249"/>
      <x:c r="P140" s="249"/>
      <x:c r="Q140" s="249"/>
      <x:c r="R140" s="249"/>
      <x:c r="S140" s="249"/>
      <x:c r="T140" s="249"/>
      <x:c r="U140" s="249"/>
      <x:c r="V140" s="247"/>
    </x:row>
    <x:row r="141" ht="15.75">
      <x:c r="B141" s="243">
        <x:v>910</x:v>
      </x:c>
      <x:c r="C141" s="248"/>
      <x:c r="D141" s="249"/>
      <x:c r="E141" s="249"/>
      <x:c r="F141" s="249"/>
      <x:c r="G141" s="249"/>
      <x:c r="H141" s="249"/>
      <x:c r="I141" s="249"/>
      <x:c r="J141" s="249"/>
      <x:c r="K141" s="249"/>
      <x:c r="L141" s="249"/>
      <x:c r="M141" s="249"/>
      <x:c r="N141" s="249"/>
      <x:c r="O141" s="249"/>
      <x:c r="P141" s="249"/>
      <x:c r="Q141" s="249"/>
      <x:c r="R141" s="249"/>
      <x:c r="S141" s="249"/>
      <x:c r="T141" s="249"/>
      <x:c r="U141" s="249"/>
      <x:c r="V141" s="247"/>
    </x:row>
    <x:row r="142" ht="15.75">
      <x:c r="B142" s="243">
        <x:v>911</x:v>
      </x:c>
      <x:c r="C142" s="248"/>
      <x:c r="D142" s="249"/>
      <x:c r="E142" s="249"/>
      <x:c r="F142" s="249"/>
      <x:c r="G142" s="249"/>
      <x:c r="H142" s="249"/>
      <x:c r="I142" s="249"/>
      <x:c r="J142" s="249"/>
      <x:c r="K142" s="249"/>
      <x:c r="L142" s="249"/>
      <x:c r="M142" s="249"/>
      <x:c r="N142" s="249"/>
      <x:c r="O142" s="249"/>
      <x:c r="P142" s="249"/>
      <x:c r="Q142" s="249"/>
      <x:c r="R142" s="249"/>
      <x:c r="S142" s="249"/>
      <x:c r="T142" s="249"/>
      <x:c r="U142" s="249"/>
      <x:c r="V142" s="247"/>
    </x:row>
    <x:row r="143" ht="15.75">
      <x:c r="B143" s="243">
        <x:v>912</x:v>
      </x:c>
      <x:c r="C143" s="248"/>
      <x:c r="D143" s="249"/>
      <x:c r="E143" s="249"/>
      <x:c r="F143" s="249"/>
      <x:c r="G143" s="249"/>
      <x:c r="H143" s="249"/>
      <x:c r="I143" s="249"/>
      <x:c r="J143" s="249"/>
      <x:c r="K143" s="249"/>
      <x:c r="L143" s="249"/>
      <x:c r="M143" s="249"/>
      <x:c r="N143" s="249"/>
      <x:c r="O143" s="249"/>
      <x:c r="P143" s="249"/>
      <x:c r="Q143" s="249"/>
      <x:c r="R143" s="249"/>
      <x:c r="S143" s="249"/>
      <x:c r="T143" s="249"/>
      <x:c r="U143" s="249"/>
      <x:c r="V143" s="247"/>
    </x:row>
    <x:row r="144" ht="15.75">
      <x:c r="B144" s="243">
        <x:v>913</x:v>
      </x:c>
      <x:c r="C144" s="248"/>
      <x:c r="D144" s="249"/>
      <x:c r="E144" s="249"/>
      <x:c r="F144" s="249"/>
      <x:c r="G144" s="249"/>
      <x:c r="H144" s="249"/>
      <x:c r="I144" s="249"/>
      <x:c r="J144" s="249"/>
      <x:c r="K144" s="249"/>
      <x:c r="L144" s="249"/>
      <x:c r="M144" s="249"/>
      <x:c r="N144" s="249"/>
      <x:c r="O144" s="249"/>
      <x:c r="P144" s="249"/>
      <x:c r="Q144" s="249"/>
      <x:c r="R144" s="249"/>
      <x:c r="S144" s="249"/>
      <x:c r="T144" s="249"/>
      <x:c r="U144" s="249"/>
      <x:c r="V144" s="247"/>
    </x:row>
    <x:row r="145" ht="15.75">
      <x:c r="B145" s="243">
        <x:v>914</x:v>
      </x:c>
      <x:c r="C145" s="248"/>
      <x:c r="D145" s="249"/>
      <x:c r="E145" s="249"/>
      <x:c r="F145" s="249"/>
      <x:c r="G145" s="249"/>
      <x:c r="H145" s="249"/>
      <x:c r="I145" s="249"/>
      <x:c r="J145" s="249"/>
      <x:c r="K145" s="249"/>
      <x:c r="L145" s="249"/>
      <x:c r="M145" s="249"/>
      <x:c r="N145" s="249"/>
      <x:c r="O145" s="249"/>
      <x:c r="P145" s="249"/>
      <x:c r="Q145" s="249"/>
      <x:c r="R145" s="249"/>
      <x:c r="S145" s="249"/>
      <x:c r="T145" s="249"/>
      <x:c r="U145" s="249"/>
      <x:c r="V145" s="247"/>
    </x:row>
    <x:row r="146" ht="15.75">
      <x:c r="B146" s="243">
        <x:v>915</x:v>
      </x:c>
      <x:c r="C146" s="248"/>
      <x:c r="D146" s="249"/>
      <x:c r="E146" s="249"/>
      <x:c r="F146" s="249"/>
      <x:c r="G146" s="249"/>
      <x:c r="H146" s="249"/>
      <x:c r="I146" s="249"/>
      <x:c r="J146" s="249"/>
      <x:c r="K146" s="249"/>
      <x:c r="L146" s="249"/>
      <x:c r="M146" s="249"/>
      <x:c r="N146" s="249"/>
      <x:c r="O146" s="249"/>
      <x:c r="P146" s="249"/>
      <x:c r="Q146" s="249"/>
      <x:c r="R146" s="249"/>
      <x:c r="S146" s="249"/>
      <x:c r="T146" s="249"/>
      <x:c r="U146" s="249"/>
      <x:c r="V146" s="247"/>
    </x:row>
    <x:row r="147" ht="15.75">
      <x:c r="B147" s="243">
        <x:v>916</x:v>
      </x:c>
      <x:c r="C147" s="248"/>
      <x:c r="D147" s="249"/>
      <x:c r="E147" s="249"/>
      <x:c r="F147" s="249"/>
      <x:c r="G147" s="249"/>
      <x:c r="H147" s="249"/>
      <x:c r="I147" s="249"/>
      <x:c r="J147" s="249"/>
      <x:c r="K147" s="249"/>
      <x:c r="L147" s="249"/>
      <x:c r="M147" s="249"/>
      <x:c r="N147" s="249"/>
      <x:c r="O147" s="249"/>
      <x:c r="P147" s="249"/>
      <x:c r="Q147" s="249"/>
      <x:c r="R147" s="249"/>
      <x:c r="S147" s="249"/>
      <x:c r="T147" s="249"/>
      <x:c r="U147" s="249"/>
      <x:c r="V147" s="247"/>
    </x:row>
    <x:row r="148" ht="15.75">
      <x:c r="B148" s="243">
        <x:v>917</x:v>
      </x:c>
      <x:c r="C148" s="248"/>
      <x:c r="D148" s="249"/>
      <x:c r="E148" s="249"/>
      <x:c r="F148" s="249"/>
      <x:c r="G148" s="249"/>
      <x:c r="H148" s="249"/>
      <x:c r="I148" s="249"/>
      <x:c r="J148" s="249"/>
      <x:c r="K148" s="249"/>
      <x:c r="L148" s="249"/>
      <x:c r="M148" s="249"/>
      <x:c r="N148" s="249"/>
      <x:c r="O148" s="249"/>
      <x:c r="P148" s="249"/>
      <x:c r="Q148" s="249"/>
      <x:c r="R148" s="249"/>
      <x:c r="S148" s="249"/>
      <x:c r="T148" s="249"/>
      <x:c r="U148" s="249"/>
      <x:c r="V148" s="251"/>
    </x:row>
    <x:row r="149" ht="15.75">
      <x:c r="B149" s="244" t="s">
        <x:v>147</x:v>
      </x:c>
      <x:c r="C149" s="252"/>
      <x:c r="D149" s="252"/>
      <x:c r="E149" s="252"/>
      <x:c r="F149" s="252"/>
      <x:c r="G149" s="252"/>
      <x:c r="H149" s="252"/>
      <x:c r="I149" s="252"/>
      <x:c r="J149" s="252"/>
      <x:c r="K149" s="252"/>
      <x:c r="L149" s="252"/>
      <x:c r="M149" s="252"/>
      <x:c r="N149" s="252"/>
      <x:c r="O149" s="252"/>
      <x:c r="P149" s="252"/>
      <x:c r="Q149" s="252"/>
      <x:c r="R149" s="252"/>
      <x:c r="S149" s="252"/>
      <x:c r="T149" s="252"/>
      <x:c r="U149" s="252"/>
      <x:c r="V149" s="252"/>
    </x:row>
    <x:row r="150" ht="15.75">
      <x:c r="B150" s="243">
        <x:v>1001</x:v>
      </x:c>
      <x:c r="C150" s="248"/>
      <x:c r="D150" s="249"/>
      <x:c r="E150" s="249"/>
      <x:c r="F150" s="249"/>
      <x:c r="G150" s="249"/>
      <x:c r="H150" s="249"/>
      <x:c r="I150" s="249"/>
      <x:c r="J150" s="249"/>
      <x:c r="K150" s="249"/>
      <x:c r="L150" s="249"/>
      <x:c r="M150" s="249"/>
      <x:c r="N150" s="249"/>
      <x:c r="O150" s="249"/>
      <x:c r="P150" s="249"/>
      <x:c r="Q150" s="249"/>
      <x:c r="R150" s="249"/>
      <x:c r="S150" s="249"/>
      <x:c r="T150" s="249"/>
      <x:c r="U150" s="249"/>
      <x:c r="V150" s="250"/>
    </x:row>
    <x:row r="151" ht="15.75">
      <x:c r="B151" s="243">
        <x:v>1002</x:v>
      </x:c>
      <x:c r="C151" s="248"/>
      <x:c r="D151" s="249"/>
      <x:c r="E151" s="249"/>
      <x:c r="F151" s="249"/>
      <x:c r="G151" s="249"/>
      <x:c r="H151" s="249"/>
      <x:c r="I151" s="249"/>
      <x:c r="J151" s="249"/>
      <x:c r="K151" s="249"/>
      <x:c r="L151" s="249"/>
      <x:c r="M151" s="249"/>
      <x:c r="N151" s="249"/>
      <x:c r="O151" s="249"/>
      <x:c r="P151" s="249"/>
      <x:c r="Q151" s="249"/>
      <x:c r="R151" s="249"/>
      <x:c r="S151" s="249"/>
      <x:c r="T151" s="249"/>
      <x:c r="U151" s="249"/>
      <x:c r="V151" s="247"/>
    </x:row>
    <x:row r="152" ht="15.75">
      <x:c r="B152" s="243">
        <x:v>1003</x:v>
      </x:c>
      <x:c r="C152" s="248"/>
      <x:c r="D152" s="249"/>
      <x:c r="E152" s="249"/>
      <x:c r="F152" s="249"/>
      <x:c r="G152" s="249"/>
      <x:c r="H152" s="249"/>
      <x:c r="I152" s="249"/>
      <x:c r="J152" s="249"/>
      <x:c r="K152" s="249"/>
      <x:c r="L152" s="249"/>
      <x:c r="M152" s="249"/>
      <x:c r="N152" s="249"/>
      <x:c r="O152" s="249"/>
      <x:c r="P152" s="249"/>
      <x:c r="Q152" s="249"/>
      <x:c r="R152" s="249"/>
      <x:c r="S152" s="249"/>
      <x:c r="T152" s="249"/>
      <x:c r="U152" s="249"/>
      <x:c r="V152" s="247"/>
    </x:row>
    <x:row r="153" ht="15.75">
      <x:c r="B153" s="243">
        <x:v>1004</x:v>
      </x:c>
      <x:c r="C153" s="248"/>
      <x:c r="D153" s="249"/>
      <x:c r="E153" s="249"/>
      <x:c r="F153" s="249"/>
      <x:c r="G153" s="249"/>
      <x:c r="H153" s="249"/>
      <x:c r="I153" s="249"/>
      <x:c r="J153" s="249"/>
      <x:c r="K153" s="249"/>
      <x:c r="L153" s="249"/>
      <x:c r="M153" s="249"/>
      <x:c r="N153" s="249"/>
      <x:c r="O153" s="249"/>
      <x:c r="P153" s="249"/>
      <x:c r="Q153" s="249"/>
      <x:c r="R153" s="249"/>
      <x:c r="S153" s="249"/>
      <x:c r="T153" s="249"/>
      <x:c r="U153" s="249"/>
      <x:c r="V153" s="247"/>
    </x:row>
    <x:row r="154" ht="15.75">
      <x:c r="B154" s="243">
        <x:v>1005</x:v>
      </x:c>
      <x:c r="C154" s="248"/>
      <x:c r="D154" s="249"/>
      <x:c r="E154" s="249"/>
      <x:c r="F154" s="249"/>
      <x:c r="G154" s="249"/>
      <x:c r="H154" s="249"/>
      <x:c r="I154" s="249"/>
      <x:c r="J154" s="249"/>
      <x:c r="K154" s="249"/>
      <x:c r="L154" s="249"/>
      <x:c r="M154" s="249"/>
      <x:c r="N154" s="249"/>
      <x:c r="O154" s="249"/>
      <x:c r="P154" s="249"/>
      <x:c r="Q154" s="249"/>
      <x:c r="R154" s="249"/>
      <x:c r="S154" s="249"/>
      <x:c r="T154" s="249"/>
      <x:c r="U154" s="249"/>
      <x:c r="V154" s="247"/>
    </x:row>
    <x:row r="155" ht="15.75">
      <x:c r="B155" s="243">
        <x:v>1006</x:v>
      </x:c>
      <x:c r="C155" s="248"/>
      <x:c r="D155" s="249"/>
      <x:c r="E155" s="249"/>
      <x:c r="F155" s="249"/>
      <x:c r="G155" s="249"/>
      <x:c r="H155" s="249"/>
      <x:c r="I155" s="249"/>
      <x:c r="J155" s="249"/>
      <x:c r="K155" s="249"/>
      <x:c r="L155" s="249"/>
      <x:c r="M155" s="249"/>
      <x:c r="N155" s="249"/>
      <x:c r="O155" s="249"/>
      <x:c r="P155" s="249"/>
      <x:c r="Q155" s="249"/>
      <x:c r="R155" s="249"/>
      <x:c r="S155" s="249"/>
      <x:c r="T155" s="249"/>
      <x:c r="U155" s="249"/>
      <x:c r="V155" s="247"/>
    </x:row>
    <x:row r="156" ht="15.75">
      <x:c r="B156" s="243">
        <x:v>1007</x:v>
      </x:c>
      <x:c r="C156" s="248"/>
      <x:c r="D156" s="249"/>
      <x:c r="E156" s="249"/>
      <x:c r="F156" s="249"/>
      <x:c r="G156" s="249"/>
      <x:c r="H156" s="249"/>
      <x:c r="I156" s="249"/>
      <x:c r="J156" s="249"/>
      <x:c r="K156" s="249"/>
      <x:c r="L156" s="249"/>
      <x:c r="M156" s="249"/>
      <x:c r="N156" s="249"/>
      <x:c r="O156" s="249"/>
      <x:c r="P156" s="249"/>
      <x:c r="Q156" s="249"/>
      <x:c r="R156" s="249"/>
      <x:c r="S156" s="249"/>
      <x:c r="T156" s="249"/>
      <x:c r="U156" s="249"/>
      <x:c r="V156" s="247"/>
    </x:row>
    <x:row r="157" ht="15.75">
      <x:c r="B157" s="243">
        <x:v>1008</x:v>
      </x:c>
      <x:c r="C157" s="248"/>
      <x:c r="D157" s="249"/>
      <x:c r="E157" s="249"/>
      <x:c r="F157" s="249"/>
      <x:c r="G157" s="249"/>
      <x:c r="H157" s="249"/>
      <x:c r="I157" s="249"/>
      <x:c r="J157" s="249"/>
      <x:c r="K157" s="249"/>
      <x:c r="L157" s="249"/>
      <x:c r="M157" s="249"/>
      <x:c r="N157" s="249"/>
      <x:c r="O157" s="249"/>
      <x:c r="P157" s="249"/>
      <x:c r="Q157" s="249"/>
      <x:c r="R157" s="249"/>
      <x:c r="S157" s="249"/>
      <x:c r="T157" s="249"/>
      <x:c r="U157" s="249"/>
      <x:c r="V157" s="247"/>
    </x:row>
    <x:row r="158" ht="15.75">
      <x:c r="B158" s="243">
        <x:v>1009</x:v>
      </x:c>
      <x:c r="C158" s="248"/>
      <x:c r="D158" s="249"/>
      <x:c r="E158" s="249"/>
      <x:c r="F158" s="249"/>
      <x:c r="G158" s="249"/>
      <x:c r="H158" s="249"/>
      <x:c r="I158" s="249"/>
      <x:c r="J158" s="249"/>
      <x:c r="K158" s="249"/>
      <x:c r="L158" s="249"/>
      <x:c r="M158" s="249"/>
      <x:c r="N158" s="249"/>
      <x:c r="O158" s="249"/>
      <x:c r="P158" s="249"/>
      <x:c r="Q158" s="249"/>
      <x:c r="R158" s="249"/>
      <x:c r="S158" s="249"/>
      <x:c r="T158" s="249"/>
      <x:c r="U158" s="249"/>
      <x:c r="V158" s="247"/>
    </x:row>
    <x:row r="159" ht="15.75">
      <x:c r="B159" s="243">
        <x:v>1010</x:v>
      </x:c>
      <x:c r="C159" s="248"/>
      <x:c r="D159" s="249"/>
      <x:c r="E159" s="249"/>
      <x:c r="F159" s="249"/>
      <x:c r="G159" s="249"/>
      <x:c r="H159" s="249"/>
      <x:c r="I159" s="249"/>
      <x:c r="J159" s="249"/>
      <x:c r="K159" s="249"/>
      <x:c r="L159" s="249"/>
      <x:c r="M159" s="249"/>
      <x:c r="N159" s="249"/>
      <x:c r="O159" s="249"/>
      <x:c r="P159" s="249"/>
      <x:c r="Q159" s="249"/>
      <x:c r="R159" s="249"/>
      <x:c r="S159" s="249"/>
      <x:c r="T159" s="249"/>
      <x:c r="U159" s="249"/>
      <x:c r="V159" s="247"/>
    </x:row>
    <x:row r="160" ht="15.75">
      <x:c r="B160" s="243">
        <x:v>1011</x:v>
      </x:c>
      <x:c r="C160" s="248"/>
      <x:c r="D160" s="249"/>
      <x:c r="E160" s="249"/>
      <x:c r="F160" s="249"/>
      <x:c r="G160" s="249"/>
      <x:c r="H160" s="249"/>
      <x:c r="I160" s="249"/>
      <x:c r="J160" s="249"/>
      <x:c r="K160" s="249"/>
      <x:c r="L160" s="249"/>
      <x:c r="M160" s="249"/>
      <x:c r="N160" s="249"/>
      <x:c r="O160" s="249"/>
      <x:c r="P160" s="249"/>
      <x:c r="Q160" s="249"/>
      <x:c r="R160" s="249"/>
      <x:c r="S160" s="249"/>
      <x:c r="T160" s="249"/>
      <x:c r="U160" s="249"/>
      <x:c r="V160" s="247"/>
    </x:row>
    <x:row r="161" ht="15.75">
      <x:c r="B161" s="243">
        <x:v>1012</x:v>
      </x:c>
      <x:c r="C161" s="248"/>
      <x:c r="D161" s="249"/>
      <x:c r="E161" s="249"/>
      <x:c r="F161" s="249"/>
      <x:c r="G161" s="249"/>
      <x:c r="H161" s="249"/>
      <x:c r="I161" s="249"/>
      <x:c r="J161" s="249"/>
      <x:c r="K161" s="249"/>
      <x:c r="L161" s="249"/>
      <x:c r="M161" s="249"/>
      <x:c r="N161" s="249"/>
      <x:c r="O161" s="249"/>
      <x:c r="P161" s="249"/>
      <x:c r="Q161" s="249"/>
      <x:c r="R161" s="249"/>
      <x:c r="S161" s="249"/>
      <x:c r="T161" s="249"/>
      <x:c r="U161" s="249"/>
      <x:c r="V161" s="247"/>
    </x:row>
    <x:row r="162" ht="15.75">
      <x:c r="B162" s="243">
        <x:v>1013</x:v>
      </x:c>
      <x:c r="C162" s="248"/>
      <x:c r="D162" s="249"/>
      <x:c r="E162" s="249"/>
      <x:c r="F162" s="249"/>
      <x:c r="G162" s="249"/>
      <x:c r="H162" s="249"/>
      <x:c r="I162" s="249"/>
      <x:c r="J162" s="249"/>
      <x:c r="K162" s="249"/>
      <x:c r="L162" s="249"/>
      <x:c r="M162" s="249"/>
      <x:c r="N162" s="249"/>
      <x:c r="O162" s="249"/>
      <x:c r="P162" s="249"/>
      <x:c r="Q162" s="249"/>
      <x:c r="R162" s="249"/>
      <x:c r="S162" s="249"/>
      <x:c r="T162" s="249"/>
      <x:c r="U162" s="249"/>
      <x:c r="V162" s="247"/>
    </x:row>
    <x:row r="163" ht="15.75">
      <x:c r="B163" s="243">
        <x:v>1014</x:v>
      </x:c>
      <x:c r="C163" s="248"/>
      <x:c r="D163" s="249"/>
      <x:c r="E163" s="249"/>
      <x:c r="F163" s="249"/>
      <x:c r="G163" s="249"/>
      <x:c r="H163" s="249"/>
      <x:c r="I163" s="249"/>
      <x:c r="J163" s="249"/>
      <x:c r="K163" s="249"/>
      <x:c r="L163" s="249"/>
      <x:c r="M163" s="249"/>
      <x:c r="N163" s="249"/>
      <x:c r="O163" s="249"/>
      <x:c r="P163" s="249"/>
      <x:c r="Q163" s="249"/>
      <x:c r="R163" s="249"/>
      <x:c r="S163" s="249"/>
      <x:c r="T163" s="249"/>
      <x:c r="U163" s="249"/>
      <x:c r="V163" s="247"/>
    </x:row>
    <x:row r="164" ht="15.75">
      <x:c r="B164" s="243">
        <x:v>1015</x:v>
      </x:c>
      <x:c r="C164" s="248"/>
      <x:c r="D164" s="249"/>
      <x:c r="E164" s="249"/>
      <x:c r="F164" s="249"/>
      <x:c r="G164" s="249"/>
      <x:c r="H164" s="249"/>
      <x:c r="I164" s="249"/>
      <x:c r="J164" s="249"/>
      <x:c r="K164" s="249"/>
      <x:c r="L164" s="249"/>
      <x:c r="M164" s="249"/>
      <x:c r="N164" s="249"/>
      <x:c r="O164" s="249"/>
      <x:c r="P164" s="249"/>
      <x:c r="Q164" s="249"/>
      <x:c r="R164" s="249"/>
      <x:c r="S164" s="249"/>
      <x:c r="T164" s="249"/>
      <x:c r="U164" s="249"/>
      <x:c r="V164" s="247"/>
    </x:row>
    <x:row r="165" ht="15.75">
      <x:c r="B165" s="243">
        <x:v>1016</x:v>
      </x:c>
      <x:c r="C165" s="248"/>
      <x:c r="D165" s="249"/>
      <x:c r="E165" s="249"/>
      <x:c r="F165" s="249"/>
      <x:c r="G165" s="249"/>
      <x:c r="H165" s="249"/>
      <x:c r="I165" s="249"/>
      <x:c r="J165" s="249"/>
      <x:c r="K165" s="249"/>
      <x:c r="L165" s="249"/>
      <x:c r="M165" s="249"/>
      <x:c r="N165" s="249"/>
      <x:c r="O165" s="249"/>
      <x:c r="P165" s="249"/>
      <x:c r="Q165" s="249"/>
      <x:c r="R165" s="249"/>
      <x:c r="S165" s="249"/>
      <x:c r="T165" s="249"/>
      <x:c r="U165" s="249"/>
      <x:c r="V165" s="247"/>
    </x:row>
    <x:row r="166" ht="15.75">
      <x:c r="B166" s="243">
        <x:v>1017</x:v>
      </x:c>
      <x:c r="C166" s="248"/>
      <x:c r="D166" s="249"/>
      <x:c r="E166" s="249"/>
      <x:c r="F166" s="249"/>
      <x:c r="G166" s="249"/>
      <x:c r="H166" s="249"/>
      <x:c r="I166" s="249"/>
      <x:c r="J166" s="249"/>
      <x:c r="K166" s="249"/>
      <x:c r="L166" s="249"/>
      <x:c r="M166" s="249"/>
      <x:c r="N166" s="249"/>
      <x:c r="O166" s="249"/>
      <x:c r="P166" s="249"/>
      <x:c r="Q166" s="249"/>
      <x:c r="R166" s="249"/>
      <x:c r="S166" s="249"/>
      <x:c r="T166" s="249"/>
      <x:c r="U166" s="249"/>
      <x:c r="V166" s="251"/>
    </x:row>
    <x:row r="167" ht="15.75">
      <x:c r="B167" s="244" t="s">
        <x:v>153</x:v>
      </x:c>
      <x:c r="C167" s="252"/>
      <x:c r="D167" s="252"/>
      <x:c r="E167" s="252"/>
      <x:c r="F167" s="252"/>
      <x:c r="G167" s="252"/>
      <x:c r="H167" s="252"/>
      <x:c r="I167" s="252"/>
      <x:c r="J167" s="252"/>
      <x:c r="K167" s="252"/>
      <x:c r="L167" s="252"/>
      <x:c r="M167" s="252"/>
      <x:c r="N167" s="252"/>
      <x:c r="O167" s="252"/>
      <x:c r="P167" s="252"/>
      <x:c r="Q167" s="252"/>
      <x:c r="R167" s="252"/>
      <x:c r="S167" s="252"/>
      <x:c r="T167" s="252"/>
      <x:c r="U167" s="252"/>
      <x:c r="V167" s="252"/>
    </x:row>
    <x:row r="168" ht="15.75">
      <x:c r="B168" s="243">
        <x:v>1101</x:v>
      </x:c>
      <x:c r="C168" s="248"/>
      <x:c r="D168" s="249"/>
      <x:c r="E168" s="249"/>
      <x:c r="F168" s="249"/>
      <x:c r="G168" s="249"/>
      <x:c r="H168" s="249"/>
      <x:c r="I168" s="249"/>
      <x:c r="J168" s="249"/>
      <x:c r="K168" s="249"/>
      <x:c r="L168" s="249"/>
      <x:c r="M168" s="249"/>
      <x:c r="N168" s="249"/>
      <x:c r="O168" s="249"/>
      <x:c r="P168" s="249"/>
      <x:c r="Q168" s="249"/>
      <x:c r="R168" s="249"/>
      <x:c r="S168" s="249"/>
      <x:c r="T168" s="249"/>
      <x:c r="U168" s="249"/>
      <x:c r="V168" s="250"/>
    </x:row>
    <x:row r="169" ht="15.75">
      <x:c r="B169" s="243">
        <x:v>1102</x:v>
      </x:c>
      <x:c r="C169" s="248"/>
      <x:c r="D169" s="249"/>
      <x:c r="E169" s="249"/>
      <x:c r="F169" s="249"/>
      <x:c r="G169" s="249"/>
      <x:c r="H169" s="249"/>
      <x:c r="I169" s="249"/>
      <x:c r="J169" s="249"/>
      <x:c r="K169" s="249"/>
      <x:c r="L169" s="249"/>
      <x:c r="M169" s="249"/>
      <x:c r="N169" s="249"/>
      <x:c r="O169" s="249"/>
      <x:c r="P169" s="249"/>
      <x:c r="Q169" s="249"/>
      <x:c r="R169" s="249"/>
      <x:c r="S169" s="249"/>
      <x:c r="T169" s="249"/>
      <x:c r="U169" s="249"/>
      <x:c r="V169" s="247"/>
    </x:row>
    <x:row r="170" ht="15.75">
      <x:c r="B170" s="243">
        <x:v>1103</x:v>
      </x:c>
      <x:c r="C170" s="248"/>
      <x:c r="D170" s="249"/>
      <x:c r="E170" s="249"/>
      <x:c r="F170" s="249"/>
      <x:c r="G170" s="249"/>
      <x:c r="H170" s="249"/>
      <x:c r="I170" s="249"/>
      <x:c r="J170" s="249"/>
      <x:c r="K170" s="249"/>
      <x:c r="L170" s="249"/>
      <x:c r="M170" s="249"/>
      <x:c r="N170" s="249"/>
      <x:c r="O170" s="249"/>
      <x:c r="P170" s="249"/>
      <x:c r="Q170" s="249"/>
      <x:c r="R170" s="249"/>
      <x:c r="S170" s="249"/>
      <x:c r="T170" s="249"/>
      <x:c r="U170" s="249"/>
      <x:c r="V170" s="247"/>
    </x:row>
    <x:row r="171" ht="15.75">
      <x:c r="B171" s="243">
        <x:v>1104</x:v>
      </x:c>
      <x:c r="C171" s="248"/>
      <x:c r="D171" s="249"/>
      <x:c r="E171" s="249"/>
      <x:c r="F171" s="249"/>
      <x:c r="G171" s="249"/>
      <x:c r="H171" s="249"/>
      <x:c r="I171" s="249"/>
      <x:c r="J171" s="249"/>
      <x:c r="K171" s="249"/>
      <x:c r="L171" s="249"/>
      <x:c r="M171" s="249"/>
      <x:c r="N171" s="249"/>
      <x:c r="O171" s="249"/>
      <x:c r="P171" s="249"/>
      <x:c r="Q171" s="249"/>
      <x:c r="R171" s="249"/>
      <x:c r="S171" s="249"/>
      <x:c r="T171" s="249"/>
      <x:c r="U171" s="249"/>
      <x:c r="V171" s="247"/>
    </x:row>
    <x:row r="172" ht="15.75">
      <x:c r="B172" s="243">
        <x:v>1105</x:v>
      </x:c>
      <x:c r="C172" s="248"/>
      <x:c r="D172" s="249"/>
      <x:c r="E172" s="249"/>
      <x:c r="F172" s="249"/>
      <x:c r="G172" s="249"/>
      <x:c r="H172" s="249"/>
      <x:c r="I172" s="249"/>
      <x:c r="J172" s="249"/>
      <x:c r="K172" s="249"/>
      <x:c r="L172" s="249"/>
      <x:c r="M172" s="249"/>
      <x:c r="N172" s="249"/>
      <x:c r="O172" s="249"/>
      <x:c r="P172" s="249"/>
      <x:c r="Q172" s="249"/>
      <x:c r="R172" s="249"/>
      <x:c r="S172" s="249"/>
      <x:c r="T172" s="249"/>
      <x:c r="U172" s="249"/>
      <x:c r="V172" s="247"/>
    </x:row>
    <x:row r="173" ht="15.75">
      <x:c r="B173" s="243">
        <x:v>1106</x:v>
      </x:c>
      <x:c r="C173" s="248"/>
      <x:c r="D173" s="249"/>
      <x:c r="E173" s="249"/>
      <x:c r="F173" s="249"/>
      <x:c r="G173" s="249"/>
      <x:c r="H173" s="249"/>
      <x:c r="I173" s="249"/>
      <x:c r="J173" s="249"/>
      <x:c r="K173" s="249"/>
      <x:c r="L173" s="249"/>
      <x:c r="M173" s="249"/>
      <x:c r="N173" s="249"/>
      <x:c r="O173" s="249"/>
      <x:c r="P173" s="249"/>
      <x:c r="Q173" s="249"/>
      <x:c r="R173" s="249"/>
      <x:c r="S173" s="249"/>
      <x:c r="T173" s="249"/>
      <x:c r="U173" s="249"/>
      <x:c r="V173" s="247"/>
    </x:row>
    <x:row r="174" ht="15.75">
      <x:c r="B174" s="243">
        <x:v>1107</x:v>
      </x:c>
      <x:c r="C174" s="248"/>
      <x:c r="D174" s="249"/>
      <x:c r="E174" s="249"/>
      <x:c r="F174" s="249"/>
      <x:c r="G174" s="249"/>
      <x:c r="H174" s="249"/>
      <x:c r="I174" s="249"/>
      <x:c r="J174" s="249"/>
      <x:c r="K174" s="249"/>
      <x:c r="L174" s="249"/>
      <x:c r="M174" s="249"/>
      <x:c r="N174" s="249"/>
      <x:c r="O174" s="249"/>
      <x:c r="P174" s="249"/>
      <x:c r="Q174" s="249"/>
      <x:c r="R174" s="249"/>
      <x:c r="S174" s="249"/>
      <x:c r="T174" s="249"/>
      <x:c r="U174" s="249"/>
      <x:c r="V174" s="247"/>
    </x:row>
    <x:row r="175" ht="15.75">
      <x:c r="B175" s="243">
        <x:v>1108</x:v>
      </x:c>
      <x:c r="C175" s="248"/>
      <x:c r="D175" s="249"/>
      <x:c r="E175" s="249"/>
      <x:c r="F175" s="249"/>
      <x:c r="G175" s="249"/>
      <x:c r="H175" s="249"/>
      <x:c r="I175" s="249"/>
      <x:c r="J175" s="249"/>
      <x:c r="K175" s="249"/>
      <x:c r="L175" s="249"/>
      <x:c r="M175" s="249"/>
      <x:c r="N175" s="249"/>
      <x:c r="O175" s="249"/>
      <x:c r="P175" s="249"/>
      <x:c r="Q175" s="249"/>
      <x:c r="R175" s="249"/>
      <x:c r="S175" s="249"/>
      <x:c r="T175" s="249"/>
      <x:c r="U175" s="249"/>
      <x:c r="V175" s="247"/>
    </x:row>
    <x:row r="176" ht="15.75">
      <x:c r="B176" s="243">
        <x:v>1109</x:v>
      </x:c>
      <x:c r="C176" s="248"/>
      <x:c r="D176" s="249"/>
      <x:c r="E176" s="249"/>
      <x:c r="F176" s="249"/>
      <x:c r="G176" s="249"/>
      <x:c r="H176" s="249"/>
      <x:c r="I176" s="249"/>
      <x:c r="J176" s="249"/>
      <x:c r="K176" s="249"/>
      <x:c r="L176" s="249"/>
      <x:c r="M176" s="249"/>
      <x:c r="N176" s="249"/>
      <x:c r="O176" s="249"/>
      <x:c r="P176" s="249"/>
      <x:c r="Q176" s="249"/>
      <x:c r="R176" s="249"/>
      <x:c r="S176" s="249"/>
      <x:c r="T176" s="249"/>
      <x:c r="U176" s="249"/>
      <x:c r="V176" s="247"/>
    </x:row>
    <x:row r="177" ht="15.75">
      <x:c r="B177" s="243">
        <x:v>1110</x:v>
      </x:c>
      <x:c r="C177" s="248"/>
      <x:c r="D177" s="249"/>
      <x:c r="E177" s="249"/>
      <x:c r="F177" s="249"/>
      <x:c r="G177" s="249"/>
      <x:c r="H177" s="249"/>
      <x:c r="I177" s="249"/>
      <x:c r="J177" s="249"/>
      <x:c r="K177" s="249"/>
      <x:c r="L177" s="249"/>
      <x:c r="M177" s="249"/>
      <x:c r="N177" s="249"/>
      <x:c r="O177" s="249"/>
      <x:c r="P177" s="249"/>
      <x:c r="Q177" s="249"/>
      <x:c r="R177" s="249"/>
      <x:c r="S177" s="249"/>
      <x:c r="T177" s="249"/>
      <x:c r="U177" s="249"/>
      <x:c r="V177" s="247"/>
    </x:row>
    <x:row r="178" ht="15.75">
      <x:c r="B178" s="243">
        <x:v>1111</x:v>
      </x:c>
      <x:c r="C178" s="248"/>
      <x:c r="D178" s="249"/>
      <x:c r="E178" s="249"/>
      <x:c r="F178" s="249"/>
      <x:c r="G178" s="249"/>
      <x:c r="H178" s="249"/>
      <x:c r="I178" s="249"/>
      <x:c r="J178" s="249"/>
      <x:c r="K178" s="249"/>
      <x:c r="L178" s="249"/>
      <x:c r="M178" s="249"/>
      <x:c r="N178" s="249"/>
      <x:c r="O178" s="249"/>
      <x:c r="P178" s="249"/>
      <x:c r="Q178" s="249"/>
      <x:c r="R178" s="249"/>
      <x:c r="S178" s="249"/>
      <x:c r="T178" s="249"/>
      <x:c r="U178" s="249"/>
      <x:c r="V178" s="247"/>
    </x:row>
    <x:row r="179" ht="15.75">
      <x:c r="B179" s="243">
        <x:v>1112</x:v>
      </x:c>
      <x:c r="C179" s="248"/>
      <x:c r="D179" s="249"/>
      <x:c r="E179" s="249"/>
      <x:c r="F179" s="249"/>
      <x:c r="G179" s="249"/>
      <x:c r="H179" s="249"/>
      <x:c r="I179" s="249"/>
      <x:c r="J179" s="249"/>
      <x:c r="K179" s="249"/>
      <x:c r="L179" s="249"/>
      <x:c r="M179" s="249"/>
      <x:c r="N179" s="249"/>
      <x:c r="O179" s="249"/>
      <x:c r="P179" s="249"/>
      <x:c r="Q179" s="249"/>
      <x:c r="R179" s="249"/>
      <x:c r="S179" s="249"/>
      <x:c r="T179" s="249"/>
      <x:c r="U179" s="249"/>
      <x:c r="V179" s="247"/>
    </x:row>
    <x:row r="180" ht="15.75">
      <x:c r="B180" s="243">
        <x:v>1113</x:v>
      </x:c>
      <x:c r="C180" s="248"/>
      <x:c r="D180" s="249"/>
      <x:c r="E180" s="249"/>
      <x:c r="F180" s="249"/>
      <x:c r="G180" s="249"/>
      <x:c r="H180" s="249"/>
      <x:c r="I180" s="249"/>
      <x:c r="J180" s="249"/>
      <x:c r="K180" s="249"/>
      <x:c r="L180" s="249"/>
      <x:c r="M180" s="249"/>
      <x:c r="N180" s="249"/>
      <x:c r="O180" s="249"/>
      <x:c r="P180" s="249"/>
      <x:c r="Q180" s="249"/>
      <x:c r="R180" s="249"/>
      <x:c r="S180" s="249"/>
      <x:c r="T180" s="249"/>
      <x:c r="U180" s="249"/>
      <x:c r="V180" s="247"/>
    </x:row>
    <x:row r="181" ht="15.75">
      <x:c r="B181" s="243">
        <x:v>1114</x:v>
      </x:c>
      <x:c r="C181" s="248"/>
      <x:c r="D181" s="249"/>
      <x:c r="E181" s="249"/>
      <x:c r="F181" s="249"/>
      <x:c r="G181" s="249"/>
      <x:c r="H181" s="249"/>
      <x:c r="I181" s="249"/>
      <x:c r="J181" s="249"/>
      <x:c r="K181" s="249"/>
      <x:c r="L181" s="249"/>
      <x:c r="M181" s="249"/>
      <x:c r="N181" s="249"/>
      <x:c r="O181" s="249"/>
      <x:c r="P181" s="249"/>
      <x:c r="Q181" s="249"/>
      <x:c r="R181" s="249"/>
      <x:c r="S181" s="249"/>
      <x:c r="T181" s="249"/>
      <x:c r="U181" s="249"/>
      <x:c r="V181" s="247"/>
    </x:row>
    <x:row r="182" ht="15.75">
      <x:c r="B182" s="243">
        <x:v>1115</x:v>
      </x:c>
      <x:c r="C182" s="248"/>
      <x:c r="D182" s="249"/>
      <x:c r="E182" s="249"/>
      <x:c r="F182" s="249"/>
      <x:c r="G182" s="249"/>
      <x:c r="H182" s="249"/>
      <x:c r="I182" s="249"/>
      <x:c r="J182" s="249"/>
      <x:c r="K182" s="249"/>
      <x:c r="L182" s="249"/>
      <x:c r="M182" s="249"/>
      <x:c r="N182" s="249"/>
      <x:c r="O182" s="249"/>
      <x:c r="P182" s="249"/>
      <x:c r="Q182" s="249"/>
      <x:c r="R182" s="249"/>
      <x:c r="S182" s="249"/>
      <x:c r="T182" s="249"/>
      <x:c r="U182" s="249"/>
      <x:c r="V182" s="247"/>
    </x:row>
    <x:row r="183" ht="15.75">
      <x:c r="B183" s="243">
        <x:v>1116</x:v>
      </x:c>
      <x:c r="C183" s="248"/>
      <x:c r="D183" s="249"/>
      <x:c r="E183" s="249"/>
      <x:c r="F183" s="249"/>
      <x:c r="G183" s="249"/>
      <x:c r="H183" s="249"/>
      <x:c r="I183" s="249"/>
      <x:c r="J183" s="249"/>
      <x:c r="K183" s="249"/>
      <x:c r="L183" s="249"/>
      <x:c r="M183" s="249"/>
      <x:c r="N183" s="249"/>
      <x:c r="O183" s="249"/>
      <x:c r="P183" s="249"/>
      <x:c r="Q183" s="249"/>
      <x:c r="R183" s="249"/>
      <x:c r="S183" s="249"/>
      <x:c r="T183" s="249"/>
      <x:c r="U183" s="249"/>
      <x:c r="V183" s="247"/>
    </x:row>
    <x:row r="184" ht="15.75">
      <x:c r="B184" s="243">
        <x:v>1117</x:v>
      </x:c>
      <x:c r="C184" s="248"/>
      <x:c r="D184" s="249"/>
      <x:c r="E184" s="249"/>
      <x:c r="F184" s="249"/>
      <x:c r="G184" s="249"/>
      <x:c r="H184" s="249"/>
      <x:c r="I184" s="249"/>
      <x:c r="J184" s="249"/>
      <x:c r="K184" s="249"/>
      <x:c r="L184" s="249"/>
      <x:c r="M184" s="249"/>
      <x:c r="N184" s="249"/>
      <x:c r="O184" s="249"/>
      <x:c r="P184" s="249"/>
      <x:c r="Q184" s="249"/>
      <x:c r="R184" s="249"/>
      <x:c r="S184" s="249"/>
      <x:c r="T184" s="249"/>
      <x:c r="U184" s="249"/>
      <x:c r="V184" s="251"/>
    </x:row>
    <x:row r="185" ht="15.75">
      <x:c r="B185" s="244" t="s">
        <x:v>154</x:v>
      </x:c>
      <x:c r="C185" s="252"/>
      <x:c r="D185" s="252"/>
      <x:c r="E185" s="252"/>
      <x:c r="F185" s="252"/>
      <x:c r="G185" s="252"/>
      <x:c r="H185" s="252"/>
      <x:c r="I185" s="252"/>
      <x:c r="J185" s="252"/>
      <x:c r="K185" s="252"/>
      <x:c r="L185" s="252"/>
      <x:c r="M185" s="252"/>
      <x:c r="N185" s="252"/>
      <x:c r="O185" s="252"/>
      <x:c r="P185" s="252"/>
      <x:c r="Q185" s="252"/>
      <x:c r="R185" s="252"/>
      <x:c r="S185" s="252"/>
      <x:c r="T185" s="252"/>
      <x:c r="U185" s="252"/>
      <x:c r="V185" s="252"/>
    </x:row>
    <x:row r="186" ht="15.75">
      <x:c r="B186" s="243">
        <x:v>1201</x:v>
      </x:c>
      <x:c r="C186" s="248"/>
      <x:c r="D186" s="249"/>
      <x:c r="E186" s="249"/>
      <x:c r="F186" s="249"/>
      <x:c r="G186" s="249"/>
      <x:c r="H186" s="249"/>
      <x:c r="I186" s="249"/>
      <x:c r="J186" s="249"/>
      <x:c r="K186" s="249"/>
      <x:c r="L186" s="249"/>
      <x:c r="M186" s="249"/>
      <x:c r="N186" s="249"/>
      <x:c r="O186" s="249"/>
      <x:c r="P186" s="249"/>
      <x:c r="Q186" s="249"/>
      <x:c r="R186" s="249"/>
      <x:c r="S186" s="249"/>
      <x:c r="T186" s="249"/>
      <x:c r="U186" s="249"/>
      <x:c r="V186" s="250"/>
    </x:row>
    <x:row r="187" ht="15.75">
      <x:c r="B187" s="243">
        <x:v>1202</x:v>
      </x:c>
      <x:c r="C187" s="248"/>
      <x:c r="D187" s="249"/>
      <x:c r="E187" s="249"/>
      <x:c r="F187" s="249"/>
      <x:c r="G187" s="249"/>
      <x:c r="H187" s="249"/>
      <x:c r="I187" s="249"/>
      <x:c r="J187" s="249"/>
      <x:c r="K187" s="249"/>
      <x:c r="L187" s="249"/>
      <x:c r="M187" s="249"/>
      <x:c r="N187" s="249"/>
      <x:c r="O187" s="249"/>
      <x:c r="P187" s="249"/>
      <x:c r="Q187" s="249"/>
      <x:c r="R187" s="249"/>
      <x:c r="S187" s="249"/>
      <x:c r="T187" s="249"/>
      <x:c r="U187" s="249"/>
      <x:c r="V187" s="247"/>
    </x:row>
    <x:row r="188" ht="15.75">
      <x:c r="B188" s="243">
        <x:v>1203</x:v>
      </x:c>
      <x:c r="C188" s="248"/>
      <x:c r="D188" s="249"/>
      <x:c r="E188" s="249"/>
      <x:c r="F188" s="249"/>
      <x:c r="G188" s="249"/>
      <x:c r="H188" s="249"/>
      <x:c r="I188" s="249"/>
      <x:c r="J188" s="249"/>
      <x:c r="K188" s="249"/>
      <x:c r="L188" s="249"/>
      <x:c r="M188" s="249"/>
      <x:c r="N188" s="249"/>
      <x:c r="O188" s="249"/>
      <x:c r="P188" s="249"/>
      <x:c r="Q188" s="249"/>
      <x:c r="R188" s="249"/>
      <x:c r="S188" s="249"/>
      <x:c r="T188" s="249"/>
      <x:c r="U188" s="249"/>
      <x:c r="V188" s="247"/>
    </x:row>
    <x:row r="189" ht="15.75">
      <x:c r="B189" s="243">
        <x:v>1204</x:v>
      </x:c>
      <x:c r="C189" s="248"/>
      <x:c r="D189" s="249"/>
      <x:c r="E189" s="249"/>
      <x:c r="F189" s="249"/>
      <x:c r="G189" s="249"/>
      <x:c r="H189" s="249"/>
      <x:c r="I189" s="249"/>
      <x:c r="J189" s="249"/>
      <x:c r="K189" s="249"/>
      <x:c r="L189" s="249"/>
      <x:c r="M189" s="249"/>
      <x:c r="N189" s="249"/>
      <x:c r="O189" s="249"/>
      <x:c r="P189" s="249"/>
      <x:c r="Q189" s="249"/>
      <x:c r="R189" s="249"/>
      <x:c r="S189" s="249"/>
      <x:c r="T189" s="249"/>
      <x:c r="U189" s="249"/>
      <x:c r="V189" s="247"/>
    </x:row>
    <x:row r="190" ht="15.75">
      <x:c r="B190" s="243">
        <x:v>1205</x:v>
      </x:c>
      <x:c r="C190" s="248"/>
      <x:c r="D190" s="249"/>
      <x:c r="E190" s="249"/>
      <x:c r="F190" s="249"/>
      <x:c r="G190" s="249"/>
      <x:c r="H190" s="249"/>
      <x:c r="I190" s="249"/>
      <x:c r="J190" s="249"/>
      <x:c r="K190" s="249"/>
      <x:c r="L190" s="249"/>
      <x:c r="M190" s="249"/>
      <x:c r="N190" s="249"/>
      <x:c r="O190" s="249"/>
      <x:c r="P190" s="249"/>
      <x:c r="Q190" s="249"/>
      <x:c r="R190" s="249"/>
      <x:c r="S190" s="249"/>
      <x:c r="T190" s="249"/>
      <x:c r="U190" s="249"/>
      <x:c r="V190" s="247"/>
    </x:row>
    <x:row r="191" ht="15.75">
      <x:c r="B191" s="243">
        <x:v>1206</x:v>
      </x:c>
      <x:c r="C191" s="248"/>
      <x:c r="D191" s="249"/>
      <x:c r="E191" s="249"/>
      <x:c r="F191" s="249"/>
      <x:c r="G191" s="249"/>
      <x:c r="H191" s="249"/>
      <x:c r="I191" s="249"/>
      <x:c r="J191" s="249"/>
      <x:c r="K191" s="249"/>
      <x:c r="L191" s="249"/>
      <x:c r="M191" s="249"/>
      <x:c r="N191" s="249"/>
      <x:c r="O191" s="249"/>
      <x:c r="P191" s="249"/>
      <x:c r="Q191" s="249"/>
      <x:c r="R191" s="249"/>
      <x:c r="S191" s="249"/>
      <x:c r="T191" s="249"/>
      <x:c r="U191" s="249"/>
      <x:c r="V191" s="247"/>
    </x:row>
    <x:row r="192" ht="15.75">
      <x:c r="B192" s="243">
        <x:v>1207</x:v>
      </x:c>
      <x:c r="C192" s="248"/>
      <x:c r="D192" s="249"/>
      <x:c r="E192" s="249"/>
      <x:c r="F192" s="249"/>
      <x:c r="G192" s="249"/>
      <x:c r="H192" s="249"/>
      <x:c r="I192" s="249"/>
      <x:c r="J192" s="249"/>
      <x:c r="K192" s="249"/>
      <x:c r="L192" s="249"/>
      <x:c r="M192" s="249"/>
      <x:c r="N192" s="249"/>
      <x:c r="O192" s="249"/>
      <x:c r="P192" s="249"/>
      <x:c r="Q192" s="249"/>
      <x:c r="R192" s="249"/>
      <x:c r="S192" s="249"/>
      <x:c r="T192" s="249"/>
      <x:c r="U192" s="249"/>
      <x:c r="V192" s="247"/>
    </x:row>
    <x:row r="193" ht="15.75">
      <x:c r="B193" s="243">
        <x:v>1208</x:v>
      </x:c>
      <x:c r="C193" s="248"/>
      <x:c r="D193" s="249"/>
      <x:c r="E193" s="249"/>
      <x:c r="F193" s="249"/>
      <x:c r="G193" s="249"/>
      <x:c r="H193" s="249"/>
      <x:c r="I193" s="249"/>
      <x:c r="J193" s="249"/>
      <x:c r="K193" s="249"/>
      <x:c r="L193" s="249"/>
      <x:c r="M193" s="249"/>
      <x:c r="N193" s="249"/>
      <x:c r="O193" s="249"/>
      <x:c r="P193" s="249"/>
      <x:c r="Q193" s="249"/>
      <x:c r="R193" s="249"/>
      <x:c r="S193" s="249"/>
      <x:c r="T193" s="249"/>
      <x:c r="U193" s="249"/>
      <x:c r="V193" s="247"/>
    </x:row>
    <x:row r="194" ht="15.75">
      <x:c r="B194" s="243">
        <x:v>1209</x:v>
      </x:c>
      <x:c r="C194" s="248"/>
      <x:c r="D194" s="249"/>
      <x:c r="E194" s="249"/>
      <x:c r="F194" s="249"/>
      <x:c r="G194" s="249"/>
      <x:c r="H194" s="249"/>
      <x:c r="I194" s="249"/>
      <x:c r="J194" s="249"/>
      <x:c r="K194" s="249"/>
      <x:c r="L194" s="249"/>
      <x:c r="M194" s="249"/>
      <x:c r="N194" s="249"/>
      <x:c r="O194" s="249"/>
      <x:c r="P194" s="249"/>
      <x:c r="Q194" s="249"/>
      <x:c r="R194" s="249"/>
      <x:c r="S194" s="249"/>
      <x:c r="T194" s="249"/>
      <x:c r="U194" s="249"/>
      <x:c r="V194" s="247"/>
    </x:row>
    <x:row r="195" ht="15.75">
      <x:c r="B195" s="243">
        <x:v>1210</x:v>
      </x:c>
      <x:c r="C195" s="248"/>
      <x:c r="D195" s="249"/>
      <x:c r="E195" s="249"/>
      <x:c r="F195" s="249"/>
      <x:c r="G195" s="249"/>
      <x:c r="H195" s="249"/>
      <x:c r="I195" s="249"/>
      <x:c r="J195" s="249"/>
      <x:c r="K195" s="249"/>
      <x:c r="L195" s="249"/>
      <x:c r="M195" s="249"/>
      <x:c r="N195" s="249"/>
      <x:c r="O195" s="249"/>
      <x:c r="P195" s="249"/>
      <x:c r="Q195" s="249"/>
      <x:c r="R195" s="249"/>
      <x:c r="S195" s="249"/>
      <x:c r="T195" s="249"/>
      <x:c r="U195" s="249"/>
      <x:c r="V195" s="247"/>
    </x:row>
    <x:row r="196" ht="15.75">
      <x:c r="B196" s="243">
        <x:v>1211</x:v>
      </x:c>
      <x:c r="C196" s="248"/>
      <x:c r="D196" s="249"/>
      <x:c r="E196" s="249"/>
      <x:c r="F196" s="249"/>
      <x:c r="G196" s="249"/>
      <x:c r="H196" s="249"/>
      <x:c r="I196" s="249"/>
      <x:c r="J196" s="249"/>
      <x:c r="K196" s="249"/>
      <x:c r="L196" s="249"/>
      <x:c r="M196" s="249"/>
      <x:c r="N196" s="249"/>
      <x:c r="O196" s="249"/>
      <x:c r="P196" s="249"/>
      <x:c r="Q196" s="249"/>
      <x:c r="R196" s="249"/>
      <x:c r="S196" s="249"/>
      <x:c r="T196" s="249"/>
      <x:c r="U196" s="249"/>
      <x:c r="V196" s="247"/>
    </x:row>
    <x:row r="197" ht="15.75">
      <x:c r="B197" s="243">
        <x:v>1212</x:v>
      </x:c>
      <x:c r="C197" s="248"/>
      <x:c r="D197" s="249"/>
      <x:c r="E197" s="249"/>
      <x:c r="F197" s="249"/>
      <x:c r="G197" s="249"/>
      <x:c r="H197" s="249"/>
      <x:c r="I197" s="249"/>
      <x:c r="J197" s="249"/>
      <x:c r="K197" s="249"/>
      <x:c r="L197" s="249"/>
      <x:c r="M197" s="249"/>
      <x:c r="N197" s="249"/>
      <x:c r="O197" s="249"/>
      <x:c r="P197" s="249"/>
      <x:c r="Q197" s="249"/>
      <x:c r="R197" s="249"/>
      <x:c r="S197" s="249"/>
      <x:c r="T197" s="249"/>
      <x:c r="U197" s="249"/>
      <x:c r="V197" s="247"/>
    </x:row>
    <x:row r="198" ht="15.75">
      <x:c r="B198" s="243">
        <x:v>1213</x:v>
      </x:c>
      <x:c r="C198" s="248"/>
      <x:c r="D198" s="249"/>
      <x:c r="E198" s="249"/>
      <x:c r="F198" s="249"/>
      <x:c r="G198" s="249"/>
      <x:c r="H198" s="249"/>
      <x:c r="I198" s="249"/>
      <x:c r="J198" s="249"/>
      <x:c r="K198" s="249"/>
      <x:c r="L198" s="249"/>
      <x:c r="M198" s="249"/>
      <x:c r="N198" s="249"/>
      <x:c r="O198" s="249"/>
      <x:c r="P198" s="249"/>
      <x:c r="Q198" s="249"/>
      <x:c r="R198" s="249"/>
      <x:c r="S198" s="249"/>
      <x:c r="T198" s="249"/>
      <x:c r="U198" s="249"/>
      <x:c r="V198" s="247"/>
    </x:row>
    <x:row r="199" ht="15.75">
      <x:c r="B199" s="243">
        <x:v>1214</x:v>
      </x:c>
      <x:c r="C199" s="248"/>
      <x:c r="D199" s="249"/>
      <x:c r="E199" s="249"/>
      <x:c r="F199" s="249"/>
      <x:c r="G199" s="249"/>
      <x:c r="H199" s="249"/>
      <x:c r="I199" s="249"/>
      <x:c r="J199" s="249"/>
      <x:c r="K199" s="249"/>
      <x:c r="L199" s="249"/>
      <x:c r="M199" s="249"/>
      <x:c r="N199" s="249"/>
      <x:c r="O199" s="249"/>
      <x:c r="P199" s="249"/>
      <x:c r="Q199" s="249"/>
      <x:c r="R199" s="249"/>
      <x:c r="S199" s="249"/>
      <x:c r="T199" s="249"/>
      <x:c r="U199" s="249"/>
      <x:c r="V199" s="247"/>
    </x:row>
    <x:row r="200" ht="15.75">
      <x:c r="B200" s="243">
        <x:v>1215</x:v>
      </x:c>
      <x:c r="C200" s="248"/>
      <x:c r="D200" s="249"/>
      <x:c r="E200" s="249"/>
      <x:c r="F200" s="249"/>
      <x:c r="G200" s="249"/>
      <x:c r="H200" s="249"/>
      <x:c r="I200" s="249"/>
      <x:c r="J200" s="249"/>
      <x:c r="K200" s="249"/>
      <x:c r="L200" s="249"/>
      <x:c r="M200" s="249"/>
      <x:c r="N200" s="249"/>
      <x:c r="O200" s="249"/>
      <x:c r="P200" s="249"/>
      <x:c r="Q200" s="249"/>
      <x:c r="R200" s="249"/>
      <x:c r="S200" s="249"/>
      <x:c r="T200" s="249"/>
      <x:c r="U200" s="249"/>
      <x:c r="V200" s="247"/>
    </x:row>
    <x:row r="201" ht="15.75">
      <x:c r="B201" s="243">
        <x:v>1216</x:v>
      </x:c>
      <x:c r="C201" s="248"/>
      <x:c r="D201" s="249"/>
      <x:c r="E201" s="249"/>
      <x:c r="F201" s="249"/>
      <x:c r="G201" s="249"/>
      <x:c r="H201" s="249"/>
      <x:c r="I201" s="249"/>
      <x:c r="J201" s="249"/>
      <x:c r="K201" s="249"/>
      <x:c r="L201" s="249"/>
      <x:c r="M201" s="249"/>
      <x:c r="N201" s="249"/>
      <x:c r="O201" s="249"/>
      <x:c r="P201" s="249"/>
      <x:c r="Q201" s="249"/>
      <x:c r="R201" s="249"/>
      <x:c r="S201" s="249"/>
      <x:c r="T201" s="249"/>
      <x:c r="U201" s="249"/>
      <x:c r="V201" s="251"/>
    </x:row>
    <x:row r="202" ht="15.75">
      <x:c r="B202" s="244" t="s">
        <x:v>155</x:v>
      </x:c>
      <x:c r="C202" s="252"/>
      <x:c r="D202" s="252"/>
      <x:c r="E202" s="252"/>
      <x:c r="F202" s="252"/>
      <x:c r="G202" s="252"/>
      <x:c r="H202" s="252"/>
      <x:c r="I202" s="252"/>
      <x:c r="J202" s="252"/>
      <x:c r="K202" s="252"/>
      <x:c r="L202" s="252"/>
      <x:c r="M202" s="252"/>
      <x:c r="N202" s="252"/>
      <x:c r="O202" s="252"/>
      <x:c r="P202" s="252"/>
      <x:c r="Q202" s="252"/>
      <x:c r="R202" s="252"/>
      <x:c r="S202" s="252"/>
      <x:c r="T202" s="252"/>
      <x:c r="U202" s="252"/>
      <x:c r="V202" s="252"/>
    </x:row>
  </x:sheetData>
  <x:mergeCells>
    <x:mergeCell ref="D3:AC3"/>
  </x:mergeCells>
  <x:conditionalFormatting sqref="C6:U6 C7:C202 D149:V149 D7:U22 D23:V23 D24:U40 D41:V41 D42:U58 D59:V59 D60:U76 D77:V77 D78:U94 D95:V95 D96:U112 D113:V113 D114:U130 D131:V131 D132:U148 D150:U166 D167:V167 D168:U184 D185:V185 D186:U201 D202:V202">
    <x:cfRule type="dataBar" priority="1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{89CEE39F-CCD2-4953-9845-856AC112C525}</x14:id>
        </x:ext>
      </x:extLst>
    </x:cfRule>
  </x:conditionalFormatting>
  <x:conditionalFormatting sqref="C23:V23">
    <x:cfRule type="dataBar" priority="17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{3AF9B56D-70DC-4F30-BD74-804FB6F84D5C}</x14:id>
        </x:ext>
      </x:extLst>
    </x:cfRule>
  </x:conditionalFormatting>
  <x:conditionalFormatting sqref="C41:V41">
    <x:cfRule type="dataBar" priority="16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{7308AE18-1153-4EA0-80B1-C3941717DEF6}</x14:id>
        </x:ext>
      </x:extLst>
    </x:cfRule>
  </x:conditionalFormatting>
  <x:conditionalFormatting sqref="C59:V59">
    <x:cfRule type="dataBar" priority="15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{1BFAADC5-63D4-4C67-A7DD-DB92E39C18C3}</x14:id>
        </x:ext>
      </x:extLst>
    </x:cfRule>
  </x:conditionalFormatting>
  <x:conditionalFormatting sqref="C77:V77">
    <x:cfRule type="dataBar" priority="14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{8097C407-D534-44B8-980F-1F876BFF7389}</x14:id>
        </x:ext>
      </x:extLst>
    </x:cfRule>
  </x:conditionalFormatting>
  <x:conditionalFormatting sqref="C95:V95">
    <x:cfRule type="dataBar" priority="13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{533ADF6C-84C3-4FA8-B2D5-4165E33C3FE6}</x14:id>
        </x:ext>
      </x:extLst>
    </x:cfRule>
  </x:conditionalFormatting>
  <x:conditionalFormatting sqref="C113:V113">
    <x:cfRule type="dataBar" priority="12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{36737082-5D3C-45B0-ABC9-16AB5F57DE0E}</x14:id>
        </x:ext>
      </x:extLst>
    </x:cfRule>
  </x:conditionalFormatting>
  <x:conditionalFormatting sqref="C131:V131">
    <x:cfRule type="dataBar" priority="11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{5F37B0CC-9828-4D75-91E7-82B364DC247D}</x14:id>
        </x:ext>
      </x:extLst>
    </x:cfRule>
  </x:conditionalFormatting>
  <x:conditionalFormatting sqref="C149:V149">
    <x:cfRule type="dataBar" priority="10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{1F6637F9-36F7-4761-BCB3-1EDCC688D948}</x14:id>
        </x:ext>
      </x:extLst>
    </x:cfRule>
  </x:conditionalFormatting>
  <x:conditionalFormatting sqref="C167:V167">
    <x:cfRule type="dataBar" priority="9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{E4E76B31-740C-4B2F-A723-1B35760205FF}</x14:id>
        </x:ext>
      </x:extLst>
    </x:cfRule>
  </x:conditionalFormatting>
  <x:conditionalFormatting sqref="C185:V185">
    <x:cfRule type="dataBar" priority="8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{4C0EF4FA-2C7B-4957-A443-9F449076F2A3}</x14:id>
        </x:ext>
      </x:extLst>
    </x:cfRule>
  </x:conditionalFormatting>
  <x:conditionalFormatting sqref="C202:V202">
    <x:cfRule type="dataBar" priority="7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{20DCFE29-CEDA-4CA7-AB3F-C6578F1EDAF6}</x14:id>
        </x:ext>
      </x:extLst>
    </x:cfRule>
  </x:conditionalFormatting>
  <x:conditionalFormatting sqref="V113:V113">
    <x:cfRule type="dataBar" priority="6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{5270A2B4-B0BC-43DA-83AB-16987154351A}</x14:id>
        </x:ext>
      </x:extLst>
    </x:cfRule>
  </x:conditionalFormatting>
  <x:conditionalFormatting sqref="V131:V131">
    <x:cfRule type="dataBar" priority="5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{9887A63F-F34A-49E3-8F6A-C6E1B24F3D54}</x14:id>
        </x:ext>
      </x:extLst>
    </x:cfRule>
  </x:conditionalFormatting>
  <x:conditionalFormatting sqref="V149:V149">
    <x:cfRule type="dataBar" priority="4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{60D210A2-CF21-4866-92CB-276BD3D1CC62}</x14:id>
        </x:ext>
      </x:extLst>
    </x:cfRule>
  </x:conditionalFormatting>
  <x:conditionalFormatting sqref="V167:V167">
    <x:cfRule type="dataBar" priority="3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{389516FF-2BE1-4561-B4F0-75B453FF8158}</x14:id>
        </x:ext>
      </x:extLst>
    </x:cfRule>
  </x:conditionalFormatting>
  <x:conditionalFormatting sqref="V185:V185">
    <x:cfRule type="dataBar" priority="2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{74B5E9EB-746F-472B-80C2-A0962724CA6F}</x14:id>
        </x:ext>
      </x:extLst>
    </x:cfRule>
  </x:conditionalFormatting>
  <x:conditionalFormatting sqref="V202:V202">
    <x:cfRule type="dataBar" priority="1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{6FA6B0E3-1901-40E9-BB58-D888367E7C8D}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8a606aac6be42a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8" id="{89CEE39F-CCD2-4953-9845-856AC112C525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C6:U6 C7:C202 D149:V149 D7:U22 D23:V23 D24:U40 D41:V41 D42:U58 D59:V59 D60:U76 D77:V77 D78:U94 D95:V95 D96:U112 D113:V113 D114:U130 D131:V131 D132:U148 D150:U166 D167:V167 D168:U184 D185:V185 D186:U201 D202:V202</xm:sqref>
        </x14:conditionalFormatting>
        <x14:conditionalFormatting>
          <x14:cfRule type="dataBar" priority="17" id="{3AF9B56D-70DC-4F30-BD74-804FB6F84D5C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C23:V23</xm:sqref>
        </x14:conditionalFormatting>
        <x14:conditionalFormatting>
          <x14:cfRule type="dataBar" priority="16" id="{7308AE18-1153-4EA0-80B1-C3941717DEF6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C41:V41</xm:sqref>
        </x14:conditionalFormatting>
        <x14:conditionalFormatting>
          <x14:cfRule type="dataBar" priority="15" id="{1BFAADC5-63D4-4C67-A7DD-DB92E39C18C3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C59:V59</xm:sqref>
        </x14:conditionalFormatting>
        <x14:conditionalFormatting>
          <x14:cfRule type="dataBar" priority="14" id="{8097C407-D534-44B8-980F-1F876BFF7389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C77:V77</xm:sqref>
        </x14:conditionalFormatting>
        <x14:conditionalFormatting>
          <x14:cfRule type="dataBar" priority="13" id="{533ADF6C-84C3-4FA8-B2D5-4165E33C3FE6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C95:V95</xm:sqref>
        </x14:conditionalFormatting>
        <x14:conditionalFormatting>
          <x14:cfRule type="dataBar" priority="12" id="{36737082-5D3C-45B0-ABC9-16AB5F57DE0E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C113:V113</xm:sqref>
        </x14:conditionalFormatting>
        <x14:conditionalFormatting>
          <x14:cfRule type="dataBar" priority="11" id="{5F37B0CC-9828-4D75-91E7-82B364DC247D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C131:V131</xm:sqref>
        </x14:conditionalFormatting>
        <x14:conditionalFormatting>
          <x14:cfRule type="dataBar" priority="10" id="{1F6637F9-36F7-4761-BCB3-1EDCC688D948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C149:V149</xm:sqref>
        </x14:conditionalFormatting>
        <x14:conditionalFormatting>
          <x14:cfRule type="dataBar" priority="9" id="{E4E76B31-740C-4B2F-A723-1B35760205FF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C167:V167</xm:sqref>
        </x14:conditionalFormatting>
        <x14:conditionalFormatting>
          <x14:cfRule type="dataBar" priority="8" id="{4C0EF4FA-2C7B-4957-A443-9F449076F2A3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C185:V185</xm:sqref>
        </x14:conditionalFormatting>
        <x14:conditionalFormatting>
          <x14:cfRule type="dataBar" priority="7" id="{20DCFE29-CEDA-4CA7-AB3F-C6578F1EDAF6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C202:V202</xm:sqref>
        </x14:conditionalFormatting>
        <x14:conditionalFormatting>
          <x14:cfRule type="dataBar" priority="6" id="{5270A2B4-B0BC-43DA-83AB-16987154351A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V113:V113</xm:sqref>
        </x14:conditionalFormatting>
        <x14:conditionalFormatting>
          <x14:cfRule type="dataBar" priority="5" id="{9887A63F-F34A-49E3-8F6A-C6E1B24F3D54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V131:V131</xm:sqref>
        </x14:conditionalFormatting>
        <x14:conditionalFormatting>
          <x14:cfRule type="dataBar" priority="4" id="{60D210A2-CF21-4866-92CB-276BD3D1CC62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V149:V149</xm:sqref>
        </x14:conditionalFormatting>
        <x14:conditionalFormatting>
          <x14:cfRule type="dataBar" priority="3" id="{389516FF-2BE1-4561-B4F0-75B453FF8158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V167:V167</xm:sqref>
        </x14:conditionalFormatting>
        <x14:conditionalFormatting>
          <x14:cfRule type="dataBar" priority="2" id="{74B5E9EB-746F-472B-80C2-A0962724CA6F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V185:V185</xm:sqref>
        </x14:conditionalFormatting>
        <x14:conditionalFormatting>
          <x14:cfRule type="dataBar" priority="1" id="{6FA6B0E3-1901-40E9-BB58-D888367E7C8D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V202:V202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baseColWidth="10" defaultColWidth="10.7109375" defaultRowHeight="12.75"/>
  <x:cols>
    <x:col min="1" max="1" width="17.85546875" customWidth="1"/>
    <x:col min="2" max="2" width="23.140625" customWidth="1"/>
    <x:col min="3" max="197" width="23" customWidth="1"/>
    <x:col min="198" max="198" width="13.140625" customWidth="1"/>
  </x:cols>
  <x:sheetData>
    <x:row r="3">
      <x:c r="A3" s="242" t="str">
        <x:v>Row Labels</x:v>
      </x:c>
      <x:c r="B3" t="s">
        <x:v>156</x:v>
      </x:c>
    </x:row>
    <x:row r="4">
      <x:c r="A4" s="238" t="s">
        <x:v>140</x:v>
      </x:c>
      <x:c r="B4" s="253">
        <x:v>1</x:v>
      </x:c>
    </x:row>
    <x:row r="5">
      <x:c r="A5" s="238" t="s">
        <x:v>141</x:v>
      </x:c>
      <x:c r="B5" s="253">
        <x:v>0</x:v>
      </x:c>
    </x:row>
    <x:row r="6">
      <x:c r="A6" s="238" t="s">
        <x:v>142</x:v>
      </x:c>
      <x:c r="B6" s="253">
        <x:v>0</x:v>
      </x:c>
    </x:row>
    <x:row r="7">
      <x:c r="A7" s="238" t="s">
        <x:v>143</x:v>
      </x:c>
      <x:c r="B7" s="253">
        <x:v>0</x:v>
      </x:c>
    </x:row>
    <x:row r="8">
      <x:c r="A8" s="238" t="s">
        <x:v>144</x:v>
      </x:c>
      <x:c r="B8" s="253">
        <x:v>0</x:v>
      </x:c>
    </x:row>
    <x:row r="9">
      <x:c r="A9" s="238" t="s">
        <x:v>145</x:v>
      </x:c>
      <x:c r="B9" s="253">
        <x:v>0</x:v>
      </x:c>
    </x:row>
    <x:row r="10">
      <x:c r="A10" s="238" t="s">
        <x:v>146</x:v>
      </x:c>
      <x:c r="B10" s="253">
        <x:v>0</x:v>
      </x:c>
    </x:row>
    <x:row r="11">
      <x:c r="A11" s="238" t="s">
        <x:v>147</x:v>
      </x:c>
      <x:c r="B11" s="253">
        <x:v>0</x:v>
      </x:c>
    </x:row>
    <x:row r="12">
      <x:c r="A12" s="238" t="s">
        <x:v>153</x:v>
      </x:c>
      <x:c r="B12" s="253">
        <x:v>0</x:v>
      </x:c>
    </x:row>
    <x:row r="13">
      <x:c r="A13" s="238" t="s">
        <x:v>154</x:v>
      </x:c>
      <x:c r="B13" s="253">
        <x:v>0</x:v>
      </x:c>
    </x:row>
    <x:row r="14">
      <x:c r="A14" s="238" t="s">
        <x:v>155</x:v>
      </x:c>
      <x:c r="B14" s="253">
        <x:v>0</x:v>
      </x:c>
    </x:row>
    <x:row r="15">
      <x:c r="A15" s="238" t="s">
        <x:v>157</x:v>
      </x:c>
      <x:c r="B15" s="253">
        <x:v>1</x:v>
      </x:c>
    </x:row>
    <x:row r="18">
      <x:c r="A18" s="242" t="str">
        <x:v>Row Labels</x:v>
      </x:c>
      <x:c r="B18" t="str">
        <x:v>Suma de Av. Depto/Piso</x:v>
      </x:c>
    </x:row>
    <x:row r="19">
      <x:c r="A19" s="238" t="str">
        <x:v>FASE 1 </x:v>
      </x:c>
      <x:c r="B19" s="627" t="n">
        <x:v>0</x:v>
      </x:c>
    </x:row>
    <x:row r="20">
      <x:c r="A20" s="238" t="str">
        <x:v>FASE 2</x:v>
      </x:c>
      <x:c r="B20" s="627" t="n">
        <x:v>0</x:v>
      </x:c>
    </x:row>
    <x:row r="21">
      <x:c r="A21" s="238" t="str">
        <x:v>FASE 3</x:v>
      </x:c>
      <x:c r="B21" s="627" t="n">
        <x:v>0</x:v>
      </x:c>
    </x:row>
    <x:row r="22">
      <x:c r="A22" s="238" t="str">
        <x:v>FASE 4</x:v>
      </x:c>
      <x:c r="B22" s="627" t="n">
        <x:v>0</x:v>
      </x:c>
    </x:row>
    <x:row r="23">
      <x:c r="A23" s="238" t="str"/>
      <x:c r="B23" s="627" t="n">
        <x:v>1</x:v>
      </x:c>
    </x:row>
    <x:row r="24">
      <x:c r="A24" s="238" t="str">
        <x:v>Grand Total</x:v>
      </x:c>
      <x:c r="B24" s="627" t="n">
        <x:v>1</x:v>
      </x:c>
    </x:row>
    <x:row r="25">
      <x:c r="A25" s="238">
        <x:v>207</x:v>
      </x:c>
      <x:c r="B25" s="253">
        <x:v>5.0483803113167865E-2</x:v>
      </x:c>
    </x:row>
    <x:row r="26">
      <x:c r="A26" s="238">
        <x:v>208</x:v>
      </x:c>
      <x:c r="B26" s="253">
        <x:v>5.0483803113167865E-2</x:v>
      </x:c>
    </x:row>
    <x:row r="27">
      <x:c r="A27" s="238">
        <x:v>209</x:v>
      </x:c>
      <x:c r="B27" s="253">
        <x:v>5.0483803113167865E-2</x:v>
      </x:c>
    </x:row>
    <x:row r="28">
      <x:c r="A28" s="238">
        <x:v>210</x:v>
      </x:c>
      <x:c r="B28" s="253">
        <x:v>5.0483803113167865E-2</x:v>
      </x:c>
    </x:row>
    <x:row r="29">
      <x:c r="A29" s="238">
        <x:v>211</x:v>
      </x:c>
      <x:c r="B29" s="253">
        <x:v>8.166222596176323E-2</x:v>
      </x:c>
    </x:row>
    <x:row r="30">
      <x:c r="A30" s="238">
        <x:v>212</x:v>
      </x:c>
      <x:c r="B30" s="253">
        <x:v>8.2410134156032364E-2</x:v>
      </x:c>
    </x:row>
    <x:row r="31">
      <x:c r="A31" s="238">
        <x:v>213</x:v>
      </x:c>
      <x:c r="B31" s="253">
        <x:v>9.0029448885149341E-2</x:v>
      </x:c>
    </x:row>
    <x:row r="32">
      <x:c r="A32" s="238">
        <x:v>214</x:v>
      </x:c>
      <x:c r="B32" s="253">
        <x:v>8.9889216098723898E-2</x:v>
      </x:c>
    </x:row>
    <x:row r="33">
      <x:c r="A33" s="238">
        <x:v>215</x:v>
      </x:c>
      <x:c r="B33" s="253">
        <x:v>5.5812648997335582E-2</x:v>
      </x:c>
    </x:row>
    <x:row r="34">
      <x:c r="A34" s="238">
        <x:v>216</x:v>
      </x:c>
      <x:c r="B34" s="253">
        <x:v>4.7679147384658539E-2</x:v>
      </x:c>
    </x:row>
    <x:row r="35">
      <x:c r="A35" s="238">
        <x:v>217</x:v>
      </x:c>
      <x:c r="B35" s="253">
        <x:v>4.7679147384658539E-2</x:v>
      </x:c>
    </x:row>
    <x:row r="36">
      <x:c r="A36" s="238" t="s">
        <x:v>157</x:v>
      </x:c>
      <x:c r="B36" s="253">
        <x:v>1</x:v>
      </x:c>
    </x:row>
    <x:row r="39">
      <x:c r="A39" s="242" t="str">
        <x:v>Row Labels</x:v>
      </x:c>
      <x:c r="B39" t="s">
        <x:v>156</x:v>
      </x:c>
    </x:row>
    <x:row r="40">
      <x:c r="A40" s="238">
        <x:v>301</x:v>
      </x:c>
      <x:c r="B40">
        <x:v>0</x:v>
      </x:c>
    </x:row>
    <x:row r="41">
      <x:c r="A41" s="238">
        <x:v>302</x:v>
      </x:c>
      <x:c r="B41">
        <x:v>0</x:v>
      </x:c>
    </x:row>
    <x:row r="42">
      <x:c r="A42" s="238">
        <x:v>303</x:v>
      </x:c>
      <x:c r="B42">
        <x:v>0</x:v>
      </x:c>
    </x:row>
    <x:row r="43">
      <x:c r="A43" s="238">
        <x:v>304</x:v>
      </x:c>
      <x:c r="B43">
        <x:v>0</x:v>
      </x:c>
    </x:row>
    <x:row r="44">
      <x:c r="A44" s="238">
        <x:v>305</x:v>
      </x:c>
      <x:c r="B44">
        <x:v>0</x:v>
      </x:c>
    </x:row>
    <x:row r="45">
      <x:c r="A45" s="238">
        <x:v>306</x:v>
      </x:c>
      <x:c r="B45">
        <x:v>0</x:v>
      </x:c>
    </x:row>
    <x:row r="46">
      <x:c r="A46" s="238">
        <x:v>307</x:v>
      </x:c>
      <x:c r="B46">
        <x:v>0</x:v>
      </x:c>
    </x:row>
    <x:row r="47">
      <x:c r="A47" s="238">
        <x:v>308</x:v>
      </x:c>
      <x:c r="B47">
        <x:v>0</x:v>
      </x:c>
    </x:row>
    <x:row r="48">
      <x:c r="A48" s="238">
        <x:v>309</x:v>
      </x:c>
      <x:c r="B48">
        <x:v>0</x:v>
      </x:c>
    </x:row>
    <x:row r="49">
      <x:c r="A49" s="238">
        <x:v>310</x:v>
      </x:c>
      <x:c r="B49">
        <x:v>0</x:v>
      </x:c>
    </x:row>
    <x:row r="50">
      <x:c r="A50" s="238">
        <x:v>311</x:v>
      </x:c>
      <x:c r="B50">
        <x:v>0</x:v>
      </x:c>
    </x:row>
    <x:row r="51">
      <x:c r="A51" s="238">
        <x:v>312</x:v>
      </x:c>
      <x:c r="B51">
        <x:v>0</x:v>
      </x:c>
    </x:row>
    <x:row r="52">
      <x:c r="A52" s="238">
        <x:v>313</x:v>
      </x:c>
      <x:c r="B52">
        <x:v>0</x:v>
      </x:c>
    </x:row>
    <x:row r="53">
      <x:c r="A53" s="238">
        <x:v>314</x:v>
      </x:c>
      <x:c r="B53">
        <x:v>0</x:v>
      </x:c>
    </x:row>
    <x:row r="54">
      <x:c r="A54" s="238">
        <x:v>315</x:v>
      </x:c>
      <x:c r="B54">
        <x:v>0</x:v>
      </x:c>
    </x:row>
    <x:row r="55">
      <x:c r="A55" s="238">
        <x:v>316</x:v>
      </x:c>
      <x:c r="B55">
        <x:v>0</x:v>
      </x:c>
    </x:row>
    <x:row r="56">
      <x:c r="A56" s="238">
        <x:v>317</x:v>
      </x:c>
      <x:c r="B56">
        <x:v>0</x:v>
      </x:c>
    </x:row>
    <x:row r="57">
      <x:c r="A57" s="238" t="s">
        <x:v>157</x:v>
      </x:c>
      <x:c r="B57">
        <x:v>0</x:v>
      </x:c>
    </x:row>
    <x:row r="60">
      <x:c r="A60" s="242" t="str">
        <x:v>Row Labels</x:v>
      </x:c>
      <x:c r="B60" t="s">
        <x:v>156</x:v>
      </x:c>
    </x:row>
    <x:row r="61">
      <x:c r="A61" s="238">
        <x:v>401</x:v>
      </x:c>
      <x:c r="B61">
        <x:v>0</x:v>
      </x:c>
    </x:row>
    <x:row r="62">
      <x:c r="A62" s="238">
        <x:v>402</x:v>
      </x:c>
      <x:c r="B62">
        <x:v>0</x:v>
      </x:c>
    </x:row>
    <x:row r="63">
      <x:c r="A63" s="238">
        <x:v>403</x:v>
      </x:c>
      <x:c r="B63">
        <x:v>0</x:v>
      </x:c>
    </x:row>
    <x:row r="64">
      <x:c r="A64" s="238">
        <x:v>404</x:v>
      </x:c>
      <x:c r="B64">
        <x:v>0</x:v>
      </x:c>
    </x:row>
    <x:row r="65">
      <x:c r="A65" s="238">
        <x:v>405</x:v>
      </x:c>
      <x:c r="B65">
        <x:v>0</x:v>
      </x:c>
    </x:row>
    <x:row r="66">
      <x:c r="A66" s="238">
        <x:v>406</x:v>
      </x:c>
      <x:c r="B66">
        <x:v>0</x:v>
      </x:c>
    </x:row>
    <x:row r="67">
      <x:c r="A67" s="238">
        <x:v>407</x:v>
      </x:c>
      <x:c r="B67">
        <x:v>0</x:v>
      </x:c>
    </x:row>
    <x:row r="68">
      <x:c r="A68" s="238">
        <x:v>408</x:v>
      </x:c>
      <x:c r="B68">
        <x:v>0</x:v>
      </x:c>
    </x:row>
    <x:row r="69">
      <x:c r="A69" s="238">
        <x:v>409</x:v>
      </x:c>
      <x:c r="B69">
        <x:v>0</x:v>
      </x:c>
    </x:row>
    <x:row r="70">
      <x:c r="A70" s="238">
        <x:v>410</x:v>
      </x:c>
      <x:c r="B70">
        <x:v>0</x:v>
      </x:c>
    </x:row>
    <x:row r="71">
      <x:c r="A71" s="238">
        <x:v>411</x:v>
      </x:c>
      <x:c r="B71">
        <x:v>0</x:v>
      </x:c>
    </x:row>
    <x:row r="72">
      <x:c r="A72" s="238">
        <x:v>412</x:v>
      </x:c>
      <x:c r="B72">
        <x:v>0</x:v>
      </x:c>
    </x:row>
    <x:row r="73">
      <x:c r="A73" s="238">
        <x:v>413</x:v>
      </x:c>
      <x:c r="B73">
        <x:v>0</x:v>
      </x:c>
    </x:row>
    <x:row r="74">
      <x:c r="A74" s="238">
        <x:v>414</x:v>
      </x:c>
      <x:c r="B74">
        <x:v>0</x:v>
      </x:c>
    </x:row>
    <x:row r="75">
      <x:c r="A75" s="238">
        <x:v>415</x:v>
      </x:c>
      <x:c r="B75">
        <x:v>0</x:v>
      </x:c>
    </x:row>
    <x:row r="76">
      <x:c r="A76" s="238">
        <x:v>416</x:v>
      </x:c>
      <x:c r="B76">
        <x:v>0</x:v>
      </x:c>
    </x:row>
    <x:row r="77">
      <x:c r="A77" s="238">
        <x:v>417</x:v>
      </x:c>
      <x:c r="B77">
        <x:v>0</x:v>
      </x:c>
    </x:row>
    <x:row r="78">
      <x:c r="A78" s="238" t="s">
        <x:v>157</x:v>
      </x:c>
      <x:c r="B78">
        <x:v>0</x:v>
      </x:c>
    </x:row>
  </x:sheetData>
  <x:pageMargins left="0.7" right="0.7" top="0.75" bottom="0.75" header="0.3" footer="0.3"/>
  <x:drawing xmlns:r="http://schemas.openxmlformats.org/officeDocument/2006/relationships" r:id="R414b16645ffd4e78"/>
</x:worksheet>
</file>

<file path=xl/worksheets/sheet10.xml><?xml version="1.0" encoding="utf-8"?>
<x:worksheet xmlns:x="http://schemas.openxmlformats.org/spreadsheetml/2006/main">
  <x:sheetPr>
    <x:tabColor rgb="FFFF9900"/>
  </x:sheetPr>
  <x:sheetFormatPr baseColWidth="10" defaultColWidth="9.140625" defaultRowHeight="28.5"/>
  <x:cols>
    <x:col min="1" max="1" width="17.5703125" style="6" customWidth="1"/>
    <x:col min="2" max="2" width="75.28515625" style="37" customWidth="1"/>
    <x:col min="3" max="5" width="11.28515625" style="1" customWidth="1"/>
    <x:col min="6" max="6" width="11.5703125" style="1" customWidth="1"/>
    <x:col min="7" max="8" width="11.28515625" style="1" customWidth="1"/>
    <x:col min="9" max="9" width="12.28515625" style="1" customWidth="1"/>
    <x:col min="10" max="19" width="12.28515625" style="1" customWidth="1"/>
    <x:col min="20" max="20" width="13.42578125" style="1" customWidth="1"/>
    <x:col min="21" max="21" width="12.85546875" style="1" customWidth="1"/>
    <x:col min="22" max="22" width="15.5703125" style="1" customWidth="1"/>
    <x:col min="23" max="23" width="20" style="1" customWidth="1"/>
    <x:col min="24" max="24" width="40.5703125" style="1" customWidth="1"/>
    <x:col min="25" max="25" width="22.28515625" style="1" customWidth="1"/>
    <x:col min="26" max="26" width="1.42578125" style="1" customWidth="1"/>
    <x:col min="27" max="30" width="9.140625" style="1" customWidth="0"/>
  </x:cols>
  <x:sheetData>
    <x:row r="1" s="4" customFormat="1" ht="12.75">
      <x:c r="A1" s="301" t="s">
        <x:v>158</x:v>
      </x:c>
      <x:c r="B1" s="301"/>
      <x:c r="C1" s="301"/>
      <x:c r="D1" s="301"/>
      <x:c r="E1" s="301"/>
      <x:c r="F1" s="301"/>
      <x:c r="G1" s="301"/>
      <x:c r="H1" s="301"/>
      <x:c r="I1" s="301"/>
      <x:c r="J1" s="301"/>
      <x:c r="K1" s="301"/>
      <x:c r="L1" s="301"/>
      <x:c r="M1" s="301"/>
      <x:c r="N1" s="301"/>
      <x:c r="O1" s="301"/>
      <x:c r="P1" s="301"/>
      <x:c r="Q1" s="301"/>
      <x:c r="R1" s="301"/>
      <x:c r="S1" s="301"/>
      <x:c r="T1" s="301"/>
      <x:c r="U1" s="301"/>
      <x:c r="V1" s="301"/>
      <x:c r="W1" s="301"/>
      <x:c r="X1" s="301"/>
      <x:c r="Y1" s="301"/>
      <x:c r="Z1" s="5"/>
      <x:c r="AA1" s="5"/>
      <x:c r="AB1" s="5"/>
      <x:c r="AC1" s="5"/>
      <x:c r="AD1" s="5"/>
    </x:row>
    <x:row r="2" s="4" customFormat="1" ht="31.5" customHeight="1">
      <x:c r="A2" s="301"/>
      <x:c r="B2" s="301"/>
      <x:c r="C2" s="301"/>
      <x:c r="D2" s="301"/>
      <x:c r="E2" s="301"/>
      <x:c r="F2" s="301"/>
      <x:c r="G2" s="301"/>
      <x:c r="H2" s="301"/>
      <x:c r="I2" s="301"/>
      <x:c r="J2" s="301"/>
      <x:c r="K2" s="301"/>
      <x:c r="L2" s="301"/>
      <x:c r="M2" s="301"/>
      <x:c r="N2" s="301"/>
      <x:c r="O2" s="301"/>
      <x:c r="P2" s="301"/>
      <x:c r="Q2" s="301"/>
      <x:c r="R2" s="301"/>
      <x:c r="S2" s="301"/>
      <x:c r="T2" s="301"/>
      <x:c r="U2" s="301"/>
      <x:c r="V2" s="301"/>
      <x:c r="W2" s="301"/>
      <x:c r="X2" s="301"/>
      <x:c r="Y2" s="301"/>
      <x:c r="Z2" s="5"/>
      <x:c r="AA2" s="5"/>
      <x:c r="AB2" s="5"/>
      <x:c r="AC2" s="5"/>
      <x:c r="AD2" s="5"/>
    </x:row>
    <x:row r="3" s="4" customFormat="1" ht="31.5" customHeight="1">
      <x:c r="A3" s="301"/>
      <x:c r="B3" s="301"/>
      <x:c r="C3" s="301"/>
      <x:c r="D3" s="301"/>
      <x:c r="E3" s="301"/>
      <x:c r="F3" s="301"/>
      <x:c r="G3" s="301"/>
      <x:c r="H3" s="301"/>
      <x:c r="I3" s="301"/>
      <x:c r="J3" s="301"/>
      <x:c r="K3" s="301"/>
      <x:c r="L3" s="301"/>
      <x:c r="M3" s="301"/>
      <x:c r="N3" s="301"/>
      <x:c r="O3" s="301"/>
      <x:c r="P3" s="301"/>
      <x:c r="Q3" s="301"/>
      <x:c r="R3" s="301"/>
      <x:c r="S3" s="301"/>
      <x:c r="T3" s="301"/>
      <x:c r="U3" s="301"/>
      <x:c r="V3" s="301"/>
      <x:c r="W3" s="301"/>
      <x:c r="X3" s="301"/>
      <x:c r="Y3" s="301"/>
      <x:c r="Z3" s="5"/>
      <x:c r="AA3" s="5"/>
      <x:c r="AB3" s="5"/>
      <x:c r="AC3" s="5"/>
      <x:c r="AD3" s="5"/>
    </x:row>
    <x:row r="4" s="4" customFormat="1" ht="29.25" customHeight="1">
      <x:c r="A4" s="301"/>
      <x:c r="B4" s="301"/>
      <x:c r="C4" s="301"/>
      <x:c r="D4" s="301"/>
      <x:c r="E4" s="301"/>
      <x:c r="F4" s="301"/>
      <x:c r="G4" s="301"/>
      <x:c r="H4" s="301"/>
      <x:c r="I4" s="301"/>
      <x:c r="J4" s="301"/>
      <x:c r="K4" s="301"/>
      <x:c r="L4" s="301"/>
      <x:c r="M4" s="301"/>
      <x:c r="N4" s="301"/>
      <x:c r="O4" s="301"/>
      <x:c r="P4" s="301"/>
      <x:c r="Q4" s="301"/>
      <x:c r="R4" s="301"/>
      <x:c r="S4" s="301"/>
      <x:c r="T4" s="301"/>
      <x:c r="U4" s="301"/>
      <x:c r="V4" s="301"/>
      <x:c r="W4" s="301"/>
      <x:c r="X4" s="301"/>
      <x:c r="Y4" s="301"/>
      <x:c r="Z4" s="5"/>
      <x:c r="AA4" s="5"/>
      <x:c r="AB4" s="5"/>
      <x:c r="AC4" s="5"/>
      <x:c r="AD4" s="5"/>
    </x:row>
    <x:row r="5" ht="29.25" customHeight="1">
      <x:c r="B5" s="284" t="s">
        <x:v>6</x:v>
      </x:c>
      <x:c r="C5" s="9" t="s">
        <x:v>7</x:v>
      </x:c>
      <x:c r="D5" s="9" t="s">
        <x:v>7</x:v>
      </x:c>
      <x:c r="E5" s="9" t="s">
        <x:v>7</x:v>
      </x:c>
      <x:c r="F5" s="9" t="s">
        <x:v>7</x:v>
      </x:c>
      <x:c r="G5" s="9" t="s">
        <x:v>7</x:v>
      </x:c>
      <x:c r="H5" s="9" t="s">
        <x:v>7</x:v>
      </x:c>
      <x:c r="I5" s="9" t="s">
        <x:v>7</x:v>
      </x:c>
      <x:c r="J5" s="9" t="s">
        <x:v>7</x:v>
      </x:c>
      <x:c r="K5" s="9" t="s">
        <x:v>7</x:v>
      </x:c>
      <x:c r="L5" s="9" t="s">
        <x:v>7</x:v>
      </x:c>
      <x:c r="M5" s="9" t="s">
        <x:v>7</x:v>
      </x:c>
      <x:c r="N5" s="9" t="s">
        <x:v>7</x:v>
      </x:c>
      <x:c r="O5" s="9" t="s">
        <x:v>7</x:v>
      </x:c>
      <x:c r="P5" s="9" t="s">
        <x:v>7</x:v>
      </x:c>
      <x:c r="Q5" s="9" t="s">
        <x:v>7</x:v>
      </x:c>
      <x:c r="R5" s="9" t="s">
        <x:v>7</x:v>
      </x:c>
      <x:c r="S5" s="9" t="s">
        <x:v>7</x:v>
      </x:c>
      <x:c r="T5" s="9" t="s">
        <x:v>7</x:v>
      </x:c>
      <x:c r="U5" s="302">
        <x:v>144</x:v>
      </x:c>
      <x:c r="V5" s="281" t="s">
        <x:v>8</x:v>
      </x:c>
      <x:c r="W5" s="304" t="s">
        <x:v>9</x:v>
      </x:c>
      <x:c r="X5" s="281" t="s">
        <x:v>10</x:v>
      </x:c>
      <x:c r="Y5" s="295" t="s">
        <x:v>11</x:v>
      </x:c>
    </x:row>
    <x:row r="6" ht="75" customHeight="1">
      <x:c r="B6" s="285"/>
      <x:c r="C6" s="11">
        <x:v>1</x:v>
      </x:c>
      <x:c r="D6" s="11">
        <x:v>2</x:v>
      </x:c>
      <x:c r="E6" s="11">
        <x:v>3</x:v>
      </x:c>
      <x:c r="F6" s="11">
        <x:v>4</x:v>
      </x:c>
      <x:c r="G6" s="11">
        <x:v>5</x:v>
      </x:c>
      <x:c r="H6" s="11">
        <x:v>6</x:v>
      </x:c>
      <x:c r="I6" s="11">
        <x:v>7</x:v>
      </x:c>
      <x:c r="J6" s="11">
        <x:v>8</x:v>
      </x:c>
      <x:c r="K6" s="11">
        <x:v>9</x:v>
      </x:c>
      <x:c r="L6" s="11">
        <x:v>10</x:v>
      </x:c>
      <x:c r="M6" s="11">
        <x:v>11</x:v>
      </x:c>
      <x:c r="N6" s="11">
        <x:v>12</x:v>
      </x:c>
      <x:c r="O6" s="11">
        <x:v>13</x:v>
      </x:c>
      <x:c r="P6" s="11">
        <x:v>14</x:v>
      </x:c>
      <x:c r="Q6" s="11">
        <x:v>15</x:v>
      </x:c>
      <x:c r="R6" s="11">
        <x:v>16</x:v>
      </x:c>
      <x:c r="S6" s="11">
        <x:v>17</x:v>
      </x:c>
      <x:c r="T6" s="11">
        <x:v>18</x:v>
      </x:c>
      <x:c r="U6" s="303"/>
      <x:c r="V6" s="282"/>
      <x:c r="W6" s="305"/>
      <x:c r="X6" s="282"/>
      <x:c r="Y6" s="296"/>
    </x:row>
    <x:row r="7" ht="29.25" customHeight="1">
      <x:c r="B7" s="12" t="n">
        <x:f>0%/100</x:f>
        <x:v>0</x:v>
      </x:c>
      <x:c r="C7" s="12" t="n">
        <x:f>555.555%/100</x:f>
        <x:v>0.055555499999999994</x:v>
      </x:c>
      <x:c r="D7" s="12" t="n">
        <x:f>(555.555%/100)*2</x:f>
        <x:v>0.11111099999999999</x:v>
      </x:c>
      <x:c r="E7" s="12" t="n">
        <x:f>(555.555%/100)*3</x:f>
        <x:v>0.1666665</x:v>
      </x:c>
      <x:c r="F7" s="12" t="n">
        <x:f>(555.555%/100)*4</x:f>
        <x:v>0.22222199999999998</x:v>
      </x:c>
      <x:c r="G7" s="12" t="n">
        <x:f>(555.555%/100)*5</x:f>
        <x:v>0.27777749999999996</x:v>
      </x:c>
      <x:c r="H7" s="12" t="n">
        <x:f>(555.555%/100)*6</x:f>
        <x:v>0.333333</x:v>
      </x:c>
      <x:c r="I7" s="12" t="n">
        <x:f>(555.555%/100)*7</x:f>
        <x:v>0.38888849999999997</x:v>
      </x:c>
      <x:c r="J7" s="12" t="n">
        <x:f>(555.555%/100)*8</x:f>
        <x:v>0.44444399999999995</x:v>
      </x:c>
      <x:c r="K7" s="12" t="n">
        <x:f>(555.555%/100)*9</x:f>
        <x:v>0.49999949999999993</x:v>
      </x:c>
      <x:c r="L7" s="12" t="n">
        <x:f>(555.555%/100)*10</x:f>
        <x:v>0.5555549999999999</x:v>
      </x:c>
      <x:c r="M7" s="12" t="n">
        <x:f>(555.555%/100)*11</x:f>
        <x:v>0.6111104999999999</x:v>
      </x:c>
      <x:c r="N7" s="12" t="n">
        <x:f>(555.555%/100)*12</x:f>
        <x:v>0.666666</x:v>
      </x:c>
      <x:c r="O7" s="12" t="n">
        <x:f>(555.555%/100)*13</x:f>
        <x:v>0.7222215</x:v>
      </x:c>
      <x:c r="P7" s="12" t="n">
        <x:f>(555.555%/100)*14</x:f>
        <x:v>0.7777769999999999</x:v>
      </x:c>
      <x:c r="Q7" s="12" t="n">
        <x:f>(555.555%/100)*15</x:f>
        <x:v>0.8333324999999999</x:v>
      </x:c>
      <x:c r="R7" s="12" t="n">
        <x:f>(555.555%/100)*16</x:f>
        <x:v>0.8888879999999999</x:v>
      </x:c>
      <x:c r="S7" s="12" t="n">
        <x:f>(555.555%/100)*17</x:f>
        <x:v>0.9444434999999999</x:v>
      </x:c>
      <x:c r="T7" s="12" t="n">
        <x:f>(555.555%/100)*18</x:f>
        <x:v>0.9999989999999999</x:v>
      </x:c>
      <x:c r="U7" s="12" t="n">
        <x:f>(526.32%/100)*19</x:f>
        <x:v>1.000008</x:v>
      </x:c>
      <x:c r="V7" s="14"/>
      <x:c r="W7" s="14"/>
      <x:c r="X7" s="14"/>
      <x:c r="Y7" s="15"/>
    </x:row>
    <x:row r="8" ht="29.25" customHeight="1">
      <x:c r="A8" s="53">
        <x:v>1</x:v>
      </x:c>
      <x:c r="B8" s="73" t="s">
        <x:v>159</x:v>
      </x:c>
      <x:c r="C8" s="99">
        <x:v>0</x:v>
      </x:c>
      <x:c r="D8" s="99">
        <x:v>0</x:v>
      </x:c>
      <x:c r="E8" s="99" t="e">
        <x:f>#REF!*8/100</x:f>
        <x:v>#REF!</x:v>
      </x:c>
      <x:c r="F8" s="99" t="e">
        <x:f>#REF!*8/100</x:f>
        <x:v>#REF!</x:v>
      </x:c>
      <x:c r="G8" s="99" t="e">
        <x:f>#REF!*8/100</x:f>
        <x:v>#REF!</x:v>
      </x:c>
      <x:c r="H8" s="99" t="e">
        <x:f>#REF!*8/100</x:f>
        <x:v>#REF!</x:v>
      </x:c>
      <x:c r="I8" s="99" t="e">
        <x:f>#REF!*8/100</x:f>
        <x:v>#REF!</x:v>
      </x:c>
      <x:c r="J8" s="99" t="e">
        <x:f>#REF!*8/100</x:f>
        <x:v>#REF!</x:v>
      </x:c>
      <x:c r="K8" s="99" t="e">
        <x:f>#REF!*8/100</x:f>
        <x:v>#REF!</x:v>
      </x:c>
      <x:c r="L8" s="99" t="e">
        <x:f>#REF!*8/100</x:f>
        <x:v>#REF!</x:v>
      </x:c>
      <x:c r="M8" s="99" t="e">
        <x:f>#REF!*8/100</x:f>
        <x:v>#REF!</x:v>
      </x:c>
      <x:c r="N8" s="99" t="e">
        <x:f>#REF!*8/100</x:f>
        <x:v>#REF!</x:v>
      </x:c>
      <x:c r="O8" s="99" t="e">
        <x:f>#REF!*8/100</x:f>
        <x:v>#REF!</x:v>
      </x:c>
      <x:c r="P8" s="99" t="e">
        <x:f>#REF!*8/100</x:f>
        <x:v>#REF!</x:v>
      </x:c>
      <x:c r="Q8" s="99" t="e">
        <x:f>#REF!*8/100</x:f>
        <x:v>#REF!</x:v>
      </x:c>
      <x:c r="R8" s="99" t="e">
        <x:f>#REF!*8/100</x:f>
        <x:v>#REF!</x:v>
      </x:c>
      <x:c r="S8" s="99" t="e">
        <x:f>#REF!*8/100</x:f>
        <x:v>#REF!</x:v>
      </x:c>
      <x:c r="T8" s="99" t="e">
        <x:f>#REF!*8/100</x:f>
        <x:v>#REF!</x:v>
      </x:c>
      <x:c r="U8" s="17" t="e">
        <x:f>SUM(C8:T8)</x:f>
        <x:v>#REF!</x:v>
      </x:c>
      <x:c r="V8" s="18" t="e">
        <x:f>IF($U$5&gt;0,U8/$U$5,0)</x:f>
        <x:v>#REF!</x:v>
      </x:c>
      <x:c r="W8" s="19" t="e">
        <x:f t="shared" ref="W8:W39" si="0">AVERAGE(C8:T8)/100*18</x:f>
        <x:v>#VALUE!</x:v>
      </x:c>
      <x:c r="X8" s="20"/>
      <x:c r="Y8" s="21"/>
    </x:row>
    <x:row r="9" ht="29.25">
      <x:c r="A9" s="53">
        <x:v>2</x:v>
      </x:c>
      <x:c r="B9" s="73" t="s">
        <x:v>160</x:v>
      </x:c>
      <x:c r="C9" s="99" t="e">
        <x:f>#REF!*8/100</x:f>
        <x:v>#REF!</x:v>
      </x:c>
      <x:c r="D9" s="99" t="e">
        <x:f>#REF!*8/100</x:f>
        <x:v>#REF!</x:v>
      </x:c>
      <x:c r="E9" s="99" t="e">
        <x:f>#REF!*8/100</x:f>
        <x:v>#REF!</x:v>
      </x:c>
      <x:c r="F9" s="99" t="e">
        <x:f>#REF!*8/100</x:f>
        <x:v>#REF!</x:v>
      </x:c>
      <x:c r="G9" s="99" t="e">
        <x:f>#REF!*8/100</x:f>
        <x:v>#REF!</x:v>
      </x:c>
      <x:c r="H9" s="99" t="e">
        <x:f>#REF!*8/100</x:f>
        <x:v>#REF!</x:v>
      </x:c>
      <x:c r="I9" s="99" t="e">
        <x:f>#REF!*8/100</x:f>
        <x:v>#REF!</x:v>
      </x:c>
      <x:c r="J9" s="99" t="e">
        <x:f>#REF!*8/100</x:f>
        <x:v>#REF!</x:v>
      </x:c>
      <x:c r="K9" s="99" t="e">
        <x:f>#REF!*8/100</x:f>
        <x:v>#REF!</x:v>
      </x:c>
      <x:c r="L9" s="99" t="e">
        <x:f>#REF!*8/100</x:f>
        <x:v>#REF!</x:v>
      </x:c>
      <x:c r="M9" s="99" t="e">
        <x:f>#REF!*8/100</x:f>
        <x:v>#REF!</x:v>
      </x:c>
      <x:c r="N9" s="99" t="e">
        <x:f>#REF!*8/100</x:f>
        <x:v>#REF!</x:v>
      </x:c>
      <x:c r="O9" s="99" t="e">
        <x:f>#REF!*8/100</x:f>
        <x:v>#REF!</x:v>
      </x:c>
      <x:c r="P9" s="99" t="e">
        <x:f>#REF!*8/100</x:f>
        <x:v>#REF!</x:v>
      </x:c>
      <x:c r="Q9" s="99" t="e">
        <x:f>#REF!*8/100</x:f>
        <x:v>#REF!</x:v>
      </x:c>
      <x:c r="R9" s="99" t="e">
        <x:f>#REF!*8/100</x:f>
        <x:v>#REF!</x:v>
      </x:c>
      <x:c r="S9" s="99" t="e">
        <x:f>#REF!*8/100</x:f>
        <x:v>#REF!</x:v>
      </x:c>
      <x:c r="T9" s="99" t="e">
        <x:f>#REF!*8/100</x:f>
        <x:v>#REF!</x:v>
      </x:c>
      <x:c r="U9" s="17" t="e">
        <x:f t="shared" ref="U9:U56" si="1">SUM(C9:T9)</x:f>
        <x:v>#REF!</x:v>
      </x:c>
      <x:c r="V9" s="18" t="e">
        <x:f>IF($U$5&gt;0,U9/$U$5,0)</x:f>
        <x:v>#REF!</x:v>
      </x:c>
      <x:c r="W9" s="19" t="e">
        <x:f t="shared" si="0"/>
        <x:v>#REF!</x:v>
      </x:c>
      <x:c r="X9" s="20"/>
      <x:c r="Y9" s="21"/>
    </x:row>
    <x:row r="10" ht="29.25">
      <x:c r="A10" s="53">
        <x:v>3</x:v>
      </x:c>
      <x:c r="B10" s="73" t="s">
        <x:v>161</x:v>
      </x:c>
      <x:c r="C10" s="99" t="e">
        <x:f>#REF!*8/100</x:f>
        <x:v>#REF!</x:v>
      </x:c>
      <x:c r="D10" s="99" t="e">
        <x:f>#REF!*8/100</x:f>
        <x:v>#REF!</x:v>
      </x:c>
      <x:c r="E10" s="99" t="e">
        <x:f>#REF!*8/100</x:f>
        <x:v>#REF!</x:v>
      </x:c>
      <x:c r="F10" s="99" t="e">
        <x:f>#REF!*8/100</x:f>
        <x:v>#REF!</x:v>
      </x:c>
      <x:c r="G10" s="99" t="e">
        <x:f>#REF!*8/100</x:f>
        <x:v>#REF!</x:v>
      </x:c>
      <x:c r="H10" s="99" t="e">
        <x:f>#REF!*8/100</x:f>
        <x:v>#REF!</x:v>
      </x:c>
      <x:c r="I10" s="99" t="e">
        <x:f>#REF!*8/100</x:f>
        <x:v>#REF!</x:v>
      </x:c>
      <x:c r="J10" s="99" t="e">
        <x:f>#REF!*8/100</x:f>
        <x:v>#REF!</x:v>
      </x:c>
      <x:c r="K10" s="99" t="e">
        <x:f>#REF!*8/100</x:f>
        <x:v>#REF!</x:v>
      </x:c>
      <x:c r="L10" s="99" t="e">
        <x:f>#REF!*8/100</x:f>
        <x:v>#REF!</x:v>
      </x:c>
      <x:c r="M10" s="99" t="e">
        <x:f>#REF!*8/100</x:f>
        <x:v>#REF!</x:v>
      </x:c>
      <x:c r="N10" s="99" t="e">
        <x:f>#REF!*8/100</x:f>
        <x:v>#REF!</x:v>
      </x:c>
      <x:c r="O10" s="99" t="e">
        <x:f>#REF!*8/100</x:f>
        <x:v>#REF!</x:v>
      </x:c>
      <x:c r="P10" s="99" t="e">
        <x:f>#REF!*8/100</x:f>
        <x:v>#REF!</x:v>
      </x:c>
      <x:c r="Q10" s="99" t="e">
        <x:f>#REF!*8/100</x:f>
        <x:v>#REF!</x:v>
      </x:c>
      <x:c r="R10" s="99" t="e">
        <x:f>#REF!*8/100</x:f>
        <x:v>#REF!</x:v>
      </x:c>
      <x:c r="S10" s="99" t="e">
        <x:f>#REF!*8/100</x:f>
        <x:v>#REF!</x:v>
      </x:c>
      <x:c r="T10" s="99" t="e">
        <x:f>#REF!*8/100</x:f>
        <x:v>#REF!</x:v>
      </x:c>
      <x:c r="U10" s="17" t="e">
        <x:f t="shared" si="1"/>
        <x:v>#REF!</x:v>
      </x:c>
      <x:c r="V10" s="18" t="e">
        <x:f>IF($U$5&gt;0,U10/$U$5,0)</x:f>
        <x:v>#REF!</x:v>
      </x:c>
      <x:c r="W10" s="19" t="e">
        <x:f t="shared" si="0"/>
        <x:v>#REF!</x:v>
      </x:c>
      <x:c r="X10" s="20"/>
      <x:c r="Y10" s="21"/>
    </x:row>
    <x:row r="11" ht="29.25">
      <x:c r="A11" s="53">
        <x:v>4</x:v>
      </x:c>
      <x:c r="B11" s="73" t="s">
        <x:v>162</x:v>
      </x:c>
      <x:c r="C11" s="99" t="e">
        <x:f>#REF!*8/100</x:f>
        <x:v>#REF!</x:v>
      </x:c>
      <x:c r="D11" s="99" t="e">
        <x:f>#REF!*8/100</x:f>
        <x:v>#REF!</x:v>
      </x:c>
      <x:c r="E11" s="99" t="e">
        <x:f>#REF!*8/100</x:f>
        <x:v>#REF!</x:v>
      </x:c>
      <x:c r="F11" s="99" t="e">
        <x:f>#REF!*8/100</x:f>
        <x:v>#REF!</x:v>
      </x:c>
      <x:c r="G11" s="99" t="e">
        <x:f>#REF!*8/100</x:f>
        <x:v>#REF!</x:v>
      </x:c>
      <x:c r="H11" s="99" t="e">
        <x:f>#REF!*8/100</x:f>
        <x:v>#REF!</x:v>
      </x:c>
      <x:c r="I11" s="99" t="e">
        <x:f>#REF!*8/100</x:f>
        <x:v>#REF!</x:v>
      </x:c>
      <x:c r="J11" s="99" t="e">
        <x:f>#REF!*8/100</x:f>
        <x:v>#REF!</x:v>
      </x:c>
      <x:c r="K11" s="99" t="e">
        <x:f>#REF!*8/100</x:f>
        <x:v>#REF!</x:v>
      </x:c>
      <x:c r="L11" s="99" t="e">
        <x:f>#REF!*8/100</x:f>
        <x:v>#REF!</x:v>
      </x:c>
      <x:c r="M11" s="99" t="e">
        <x:f>#REF!*8/100</x:f>
        <x:v>#REF!</x:v>
      </x:c>
      <x:c r="N11" s="99" t="e">
        <x:f>#REF!*8/100</x:f>
        <x:v>#REF!</x:v>
      </x:c>
      <x:c r="O11" s="99" t="e">
        <x:f>#REF!*8/100</x:f>
        <x:v>#REF!</x:v>
      </x:c>
      <x:c r="P11" s="99" t="e">
        <x:f>#REF!*8/100</x:f>
        <x:v>#REF!</x:v>
      </x:c>
      <x:c r="Q11" s="99" t="e">
        <x:f>#REF!*8/100</x:f>
        <x:v>#REF!</x:v>
      </x:c>
      <x:c r="R11" s="99" t="e">
        <x:f>#REF!*8/100</x:f>
        <x:v>#REF!</x:v>
      </x:c>
      <x:c r="S11" s="99" t="e">
        <x:f>#REF!*8/100</x:f>
        <x:v>#REF!</x:v>
      </x:c>
      <x:c r="T11" s="99" t="e">
        <x:f>#REF!*8/100</x:f>
        <x:v>#REF!</x:v>
      </x:c>
      <x:c r="U11" s="17" t="e">
        <x:f t="shared" si="1"/>
        <x:v>#REF!</x:v>
      </x:c>
      <x:c r="V11" s="18" t="e">
        <x:f>IF($U$5&gt;0,U11/$U$5,0)</x:f>
        <x:v>#REF!</x:v>
      </x:c>
      <x:c r="W11" s="19" t="e">
        <x:f t="shared" si="0"/>
        <x:v>#REF!</x:v>
      </x:c>
      <x:c r="X11" s="20"/>
      <x:c r="Y11" s="21"/>
    </x:row>
    <x:row r="12" ht="29.25" customHeight="1">
      <x:c r="A12" s="53">
        <x:v>5</x:v>
      </x:c>
      <x:c r="B12" s="71" t="s">
        <x:v>163</x:v>
      </x:c>
      <x:c r="C12" s="99" t="e">
        <x:f>#REF!*8/100</x:f>
        <x:v>#REF!</x:v>
      </x:c>
      <x:c r="D12" s="99" t="e">
        <x:f>#REF!*8/100</x:f>
        <x:v>#REF!</x:v>
      </x:c>
      <x:c r="E12" s="99" t="e">
        <x:f>#REF!*8/100</x:f>
        <x:v>#REF!</x:v>
      </x:c>
      <x:c r="F12" s="99" t="e">
        <x:f>#REF!*8/100</x:f>
        <x:v>#REF!</x:v>
      </x:c>
      <x:c r="G12" s="99" t="e">
        <x:f>#REF!*8/100</x:f>
        <x:v>#REF!</x:v>
      </x:c>
      <x:c r="H12" s="99" t="e">
        <x:f>#REF!*8/100</x:f>
        <x:v>#REF!</x:v>
      </x:c>
      <x:c r="I12" s="99" t="e">
        <x:f>#REF!*8/100</x:f>
        <x:v>#REF!</x:v>
      </x:c>
      <x:c r="J12" s="99" t="e">
        <x:f>#REF!*8/100</x:f>
        <x:v>#REF!</x:v>
      </x:c>
      <x:c r="K12" s="99" t="e">
        <x:f>#REF!*8/100</x:f>
        <x:v>#REF!</x:v>
      </x:c>
      <x:c r="L12" s="99" t="e">
        <x:f>#REF!*8/100</x:f>
        <x:v>#REF!</x:v>
      </x:c>
      <x:c r="M12" s="99" t="e">
        <x:f>#REF!*8/100</x:f>
        <x:v>#REF!</x:v>
      </x:c>
      <x:c r="N12" s="99" t="e">
        <x:f>#REF!*8/100</x:f>
        <x:v>#REF!</x:v>
      </x:c>
      <x:c r="O12" s="99" t="e">
        <x:f>#REF!*8/100</x:f>
        <x:v>#REF!</x:v>
      </x:c>
      <x:c r="P12" s="99" t="e">
        <x:f>#REF!*8/100</x:f>
        <x:v>#REF!</x:v>
      </x:c>
      <x:c r="Q12" s="99" t="e">
        <x:f>#REF!*8/100</x:f>
        <x:v>#REF!</x:v>
      </x:c>
      <x:c r="R12" s="99" t="e">
        <x:f>#REF!*8/100</x:f>
        <x:v>#REF!</x:v>
      </x:c>
      <x:c r="S12" s="99" t="e">
        <x:f>#REF!*8/100</x:f>
        <x:v>#REF!</x:v>
      </x:c>
      <x:c r="T12" s="99" t="e">
        <x:f>#REF!*8/100</x:f>
        <x:v>#REF!</x:v>
      </x:c>
      <x:c r="U12" s="17" t="e">
        <x:f t="shared" si="1"/>
        <x:v>#REF!</x:v>
      </x:c>
      <x:c r="V12" s="18" t="e">
        <x:f>IF($U$5&gt;0,U12/$U$5,0)</x:f>
        <x:v>#REF!</x:v>
      </x:c>
      <x:c r="W12" s="19" t="e">
        <x:f t="shared" si="0"/>
        <x:v>#REF!</x:v>
      </x:c>
      <x:c r="X12" s="22"/>
      <x:c r="Y12" s="23"/>
    </x:row>
    <x:row r="13" ht="29.25" customHeight="1">
      <x:c r="A13" s="53">
        <x:v>6</x:v>
      </x:c>
      <x:c r="B13" s="71" t="s">
        <x:v>164</x:v>
      </x:c>
      <x:c r="C13" s="99" t="e">
        <x:f>#REF!*8/100</x:f>
        <x:v>#REF!</x:v>
      </x:c>
      <x:c r="D13" s="99" t="e">
        <x:f>#REF!*8/100</x:f>
        <x:v>#REF!</x:v>
      </x:c>
      <x:c r="E13" s="99" t="e">
        <x:f>#REF!*8/100</x:f>
        <x:v>#REF!</x:v>
      </x:c>
      <x:c r="F13" s="99" t="e">
        <x:f>#REF!*8/100</x:f>
        <x:v>#REF!</x:v>
      </x:c>
      <x:c r="G13" s="99" t="e">
        <x:f>#REF!*8/100</x:f>
        <x:v>#REF!</x:v>
      </x:c>
      <x:c r="H13" s="99" t="e">
        <x:f>#REF!*8/100</x:f>
        <x:v>#REF!</x:v>
      </x:c>
      <x:c r="I13" s="99" t="e">
        <x:f>#REF!*8/100</x:f>
        <x:v>#REF!</x:v>
      </x:c>
      <x:c r="J13" s="99" t="e">
        <x:f>#REF!*8/100</x:f>
        <x:v>#REF!</x:v>
      </x:c>
      <x:c r="K13" s="99" t="e">
        <x:f>#REF!*8/100</x:f>
        <x:v>#REF!</x:v>
      </x:c>
      <x:c r="L13" s="99" t="e">
        <x:f>#REF!*8/100</x:f>
        <x:v>#REF!</x:v>
      </x:c>
      <x:c r="M13" s="99" t="e">
        <x:f>#REF!*8/100</x:f>
        <x:v>#REF!</x:v>
      </x:c>
      <x:c r="N13" s="99" t="e">
        <x:f>#REF!*8/100</x:f>
        <x:v>#REF!</x:v>
      </x:c>
      <x:c r="O13" s="99" t="e">
        <x:f>#REF!*8/100</x:f>
        <x:v>#REF!</x:v>
      </x:c>
      <x:c r="P13" s="99" t="e">
        <x:f>#REF!*8/100</x:f>
        <x:v>#REF!</x:v>
      </x:c>
      <x:c r="Q13" s="99" t="e">
        <x:f>#REF!*8/100</x:f>
        <x:v>#REF!</x:v>
      </x:c>
      <x:c r="R13" s="99" t="e">
        <x:f>#REF!*8/100</x:f>
        <x:v>#REF!</x:v>
      </x:c>
      <x:c r="S13" s="99" t="e">
        <x:f>#REF!*8/100</x:f>
        <x:v>#REF!</x:v>
      </x:c>
      <x:c r="T13" s="99" t="e">
        <x:f>#REF!*8/100</x:f>
        <x:v>#REF!</x:v>
      </x:c>
      <x:c r="U13" s="17" t="e">
        <x:f t="shared" si="1"/>
        <x:v>#REF!</x:v>
      </x:c>
      <x:c r="V13" s="18" t="e">
        <x:f t="shared" ref="V13:V56" si="2">IF($U$5&gt;0,U13/$U$5,0)</x:f>
        <x:v>#REF!</x:v>
      </x:c>
      <x:c r="W13" s="19" t="e">
        <x:f t="shared" si="0"/>
        <x:v>#REF!</x:v>
      </x:c>
      <x:c r="X13" s="22"/>
      <x:c r="Y13" s="23"/>
    </x:row>
    <x:row r="14" ht="29.25" customHeight="1">
      <x:c r="A14" s="53">
        <x:v>7</x:v>
      </x:c>
      <x:c r="B14" s="71" t="s">
        <x:v>165</x:v>
      </x:c>
      <x:c r="C14" s="99" t="e">
        <x:f>#REF!*8/100</x:f>
        <x:v>#REF!</x:v>
      </x:c>
      <x:c r="D14" s="99" t="e">
        <x:f>#REF!*8/100</x:f>
        <x:v>#REF!</x:v>
      </x:c>
      <x:c r="E14" s="99" t="e">
        <x:f>#REF!*8/100</x:f>
        <x:v>#REF!</x:v>
      </x:c>
      <x:c r="F14" s="99" t="e">
        <x:f>#REF!*8/100</x:f>
        <x:v>#REF!</x:v>
      </x:c>
      <x:c r="G14" s="99" t="e">
        <x:f>#REF!*8/100</x:f>
        <x:v>#REF!</x:v>
      </x:c>
      <x:c r="H14" s="99" t="e">
        <x:f>#REF!*8/100</x:f>
        <x:v>#REF!</x:v>
      </x:c>
      <x:c r="I14" s="99" t="e">
        <x:f>#REF!*8/100</x:f>
        <x:v>#REF!</x:v>
      </x:c>
      <x:c r="J14" s="99" t="e">
        <x:f>#REF!*8/100</x:f>
        <x:v>#REF!</x:v>
      </x:c>
      <x:c r="K14" s="99" t="e">
        <x:f>#REF!*8/100</x:f>
        <x:v>#REF!</x:v>
      </x:c>
      <x:c r="L14" s="99" t="e">
        <x:f>#REF!*8/100</x:f>
        <x:v>#REF!</x:v>
      </x:c>
      <x:c r="M14" s="99" t="e">
        <x:f>#REF!*8/100</x:f>
        <x:v>#REF!</x:v>
      </x:c>
      <x:c r="N14" s="99" t="e">
        <x:f>#REF!*8/100</x:f>
        <x:v>#REF!</x:v>
      </x:c>
      <x:c r="O14" s="99" t="e">
        <x:f>#REF!*8/100</x:f>
        <x:v>#REF!</x:v>
      </x:c>
      <x:c r="P14" s="99" t="e">
        <x:f>#REF!*8/100</x:f>
        <x:v>#REF!</x:v>
      </x:c>
      <x:c r="Q14" s="99" t="e">
        <x:f>#REF!*8/100</x:f>
        <x:v>#REF!</x:v>
      </x:c>
      <x:c r="R14" s="99" t="e">
        <x:f>#REF!*8/100</x:f>
        <x:v>#REF!</x:v>
      </x:c>
      <x:c r="S14" s="99" t="e">
        <x:f>#REF!*8/100</x:f>
        <x:v>#REF!</x:v>
      </x:c>
      <x:c r="T14" s="99" t="e">
        <x:f>#REF!*8/100</x:f>
        <x:v>#REF!</x:v>
      </x:c>
      <x:c r="U14" s="17" t="e">
        <x:f t="shared" si="1"/>
        <x:v>#REF!</x:v>
      </x:c>
      <x:c r="V14" s="18" t="e">
        <x:f t="shared" si="2"/>
        <x:v>#REF!</x:v>
      </x:c>
      <x:c r="W14" s="19" t="e">
        <x:f t="shared" si="0"/>
        <x:v>#REF!</x:v>
      </x:c>
      <x:c r="X14" s="22"/>
      <x:c r="Y14" s="23"/>
    </x:row>
    <x:row r="15" ht="29.25" customHeight="1">
      <x:c r="A15" s="53">
        <x:v>8</x:v>
      </x:c>
      <x:c r="B15" s="71" t="s">
        <x:v>166</x:v>
      </x:c>
      <x:c r="C15" s="99" t="e">
        <x:f>#REF!*8/100</x:f>
        <x:v>#REF!</x:v>
      </x:c>
      <x:c r="D15" s="99" t="e">
        <x:f>#REF!*8/100</x:f>
        <x:v>#REF!</x:v>
      </x:c>
      <x:c r="E15" s="99" t="e">
        <x:f>#REF!*8/100</x:f>
        <x:v>#REF!</x:v>
      </x:c>
      <x:c r="F15" s="99" t="e">
        <x:f>#REF!*8/100</x:f>
        <x:v>#REF!</x:v>
      </x:c>
      <x:c r="G15" s="99" t="e">
        <x:f>#REF!*8/100</x:f>
        <x:v>#REF!</x:v>
      </x:c>
      <x:c r="H15" s="99" t="e">
        <x:f>#REF!*8/100</x:f>
        <x:v>#REF!</x:v>
      </x:c>
      <x:c r="I15" s="99" t="e">
        <x:f>#REF!*8/100</x:f>
        <x:v>#REF!</x:v>
      </x:c>
      <x:c r="J15" s="99" t="e">
        <x:f>#REF!*8/100</x:f>
        <x:v>#REF!</x:v>
      </x:c>
      <x:c r="K15" s="99" t="e">
        <x:f>#REF!*8/100</x:f>
        <x:v>#REF!</x:v>
      </x:c>
      <x:c r="L15" s="99" t="e">
        <x:f>#REF!*8/100</x:f>
        <x:v>#REF!</x:v>
      </x:c>
      <x:c r="M15" s="99" t="e">
        <x:f>#REF!*8/100</x:f>
        <x:v>#REF!</x:v>
      </x:c>
      <x:c r="N15" s="99" t="e">
        <x:f>#REF!*8/100</x:f>
        <x:v>#REF!</x:v>
      </x:c>
      <x:c r="O15" s="99" t="e">
        <x:f>#REF!*8/100</x:f>
        <x:v>#REF!</x:v>
      </x:c>
      <x:c r="P15" s="99" t="e">
        <x:f>#REF!*8/100</x:f>
        <x:v>#REF!</x:v>
      </x:c>
      <x:c r="Q15" s="99" t="e">
        <x:f>#REF!*8/100</x:f>
        <x:v>#REF!</x:v>
      </x:c>
      <x:c r="R15" s="99" t="e">
        <x:f>#REF!*8/100</x:f>
        <x:v>#REF!</x:v>
      </x:c>
      <x:c r="S15" s="99" t="e">
        <x:f>#REF!*8/100</x:f>
        <x:v>#REF!</x:v>
      </x:c>
      <x:c r="T15" s="99" t="e">
        <x:f>#REF!*8/100*8/100</x:f>
        <x:v>#REF!</x:v>
      </x:c>
      <x:c r="U15" s="17" t="e">
        <x:f t="shared" si="1"/>
        <x:v>#REF!</x:v>
      </x:c>
      <x:c r="V15" s="18" t="e">
        <x:f t="shared" si="2"/>
        <x:v>#REF!</x:v>
      </x:c>
      <x:c r="W15" s="19" t="e">
        <x:f t="shared" si="0"/>
        <x:v>#REF!</x:v>
      </x:c>
      <x:c r="X15" s="22"/>
      <x:c r="Y15" s="23"/>
    </x:row>
    <x:row r="16" ht="29.25">
      <x:c r="A16" s="53">
        <x:v>9</x:v>
      </x:c>
      <x:c r="B16" s="71" t="s">
        <x:v>167</x:v>
      </x:c>
      <x:c r="C16" s="99" t="e">
        <x:f>#REF!*8/100</x:f>
        <x:v>#REF!</x:v>
      </x:c>
      <x:c r="D16" s="99" t="e">
        <x:f>#REF!*8/100</x:f>
        <x:v>#REF!</x:v>
      </x:c>
      <x:c r="E16" s="99" t="e">
        <x:f>#REF!*8/100</x:f>
        <x:v>#REF!</x:v>
      </x:c>
      <x:c r="F16" s="99" t="e">
        <x:f>#REF!*8/100</x:f>
        <x:v>#REF!</x:v>
      </x:c>
      <x:c r="G16" s="99" t="e">
        <x:f>#REF!*8/100</x:f>
        <x:v>#REF!</x:v>
      </x:c>
      <x:c r="H16" s="99" t="e">
        <x:f>#REF!*8/100</x:f>
        <x:v>#REF!</x:v>
      </x:c>
      <x:c r="I16" s="99" t="e">
        <x:f>#REF!*8/100</x:f>
        <x:v>#REF!</x:v>
      </x:c>
      <x:c r="J16" s="99" t="e">
        <x:f>#REF!*8/100</x:f>
        <x:v>#REF!</x:v>
      </x:c>
      <x:c r="K16" s="99" t="e">
        <x:f>#REF!*8/100</x:f>
        <x:v>#REF!</x:v>
      </x:c>
      <x:c r="L16" s="99" t="e">
        <x:f>#REF!*8/100</x:f>
        <x:v>#REF!</x:v>
      </x:c>
      <x:c r="M16" s="99" t="e">
        <x:f>#REF!*8/100</x:f>
        <x:v>#REF!</x:v>
      </x:c>
      <x:c r="N16" s="99" t="e">
        <x:f>#REF!*8/100</x:f>
        <x:v>#REF!</x:v>
      </x:c>
      <x:c r="O16" s="99" t="e">
        <x:f>#REF!*8/100</x:f>
        <x:v>#REF!</x:v>
      </x:c>
      <x:c r="P16" s="99" t="e">
        <x:f>#REF!*8/100</x:f>
        <x:v>#REF!</x:v>
      </x:c>
      <x:c r="Q16" s="99" t="e">
        <x:f>#REF!*8/100</x:f>
        <x:v>#REF!</x:v>
      </x:c>
      <x:c r="R16" s="99" t="e">
        <x:f>#REF!*8/100</x:f>
        <x:v>#REF!</x:v>
      </x:c>
      <x:c r="S16" s="99" t="e">
        <x:f>#REF!*8/100</x:f>
        <x:v>#REF!</x:v>
      </x:c>
      <x:c r="T16" s="99" t="e">
        <x:f>#REF!*8/100</x:f>
        <x:v>#REF!</x:v>
      </x:c>
      <x:c r="U16" s="17" t="e">
        <x:f t="shared" si="1"/>
        <x:v>#REF!</x:v>
      </x:c>
      <x:c r="V16" s="18" t="e">
        <x:f t="shared" si="2"/>
        <x:v>#REF!</x:v>
      </x:c>
      <x:c r="W16" s="19" t="e">
        <x:f t="shared" si="0"/>
        <x:v>#REF!</x:v>
      </x:c>
      <x:c r="X16" s="22"/>
      <x:c r="Y16" s="23"/>
    </x:row>
    <x:row r="17" ht="29.25">
      <x:c r="A17" s="53">
        <x:v>10</x:v>
      </x:c>
      <x:c r="B17" s="71" t="s">
        <x:v>168</x:v>
      </x:c>
      <x:c r="C17" s="99" t="e">
        <x:f>#REF!*8/100</x:f>
        <x:v>#REF!</x:v>
      </x:c>
      <x:c r="D17" s="99" t="e">
        <x:f>#REF!*8/100</x:f>
        <x:v>#REF!</x:v>
      </x:c>
      <x:c r="E17" s="99" t="e">
        <x:f>#REF!*8/100</x:f>
        <x:v>#REF!</x:v>
      </x:c>
      <x:c r="F17" s="99" t="e">
        <x:f>#REF!*8/100</x:f>
        <x:v>#REF!</x:v>
      </x:c>
      <x:c r="G17" s="99" t="e">
        <x:f>#REF!*8/100</x:f>
        <x:v>#REF!</x:v>
      </x:c>
      <x:c r="H17" s="99" t="e">
        <x:f>#REF!*8/100</x:f>
        <x:v>#REF!</x:v>
      </x:c>
      <x:c r="I17" s="99" t="e">
        <x:f>#REF!*8/100</x:f>
        <x:v>#REF!</x:v>
      </x:c>
      <x:c r="J17" s="99" t="e">
        <x:f>#REF!*8/100</x:f>
        <x:v>#REF!</x:v>
      </x:c>
      <x:c r="K17" s="99" t="e">
        <x:f>#REF!*8/100</x:f>
        <x:v>#REF!</x:v>
      </x:c>
      <x:c r="L17" s="99" t="e">
        <x:f>#REF!*8/100</x:f>
        <x:v>#REF!</x:v>
      </x:c>
      <x:c r="M17" s="99" t="e">
        <x:f>#REF!*8/100</x:f>
        <x:v>#REF!</x:v>
      </x:c>
      <x:c r="N17" s="99" t="e">
        <x:f>#REF!*8/100</x:f>
        <x:v>#REF!</x:v>
      </x:c>
      <x:c r="O17" s="99" t="e">
        <x:f>#REF!*8/100</x:f>
        <x:v>#REF!</x:v>
      </x:c>
      <x:c r="P17" s="99" t="e">
        <x:f>#REF!*8/100</x:f>
        <x:v>#REF!</x:v>
      </x:c>
      <x:c r="Q17" s="99" t="e">
        <x:f>#REF!*8/100</x:f>
        <x:v>#REF!</x:v>
      </x:c>
      <x:c r="R17" s="99" t="e">
        <x:f>#REF!*8/100</x:f>
        <x:v>#REF!</x:v>
      </x:c>
      <x:c r="S17" s="99" t="e">
        <x:f>#REF!*8/100</x:f>
        <x:v>#REF!</x:v>
      </x:c>
      <x:c r="T17" s="99" t="e">
        <x:f>#REF!*8/100</x:f>
        <x:v>#REF!</x:v>
      </x:c>
      <x:c r="U17" s="17" t="e">
        <x:f t="shared" si="1"/>
        <x:v>#REF!</x:v>
      </x:c>
      <x:c r="V17" s="18" t="e">
        <x:f t="shared" si="2"/>
        <x:v>#REF!</x:v>
      </x:c>
      <x:c r="W17" s="19" t="e">
        <x:f t="shared" si="0"/>
        <x:v>#REF!</x:v>
      </x:c>
      <x:c r="X17" s="22"/>
      <x:c r="Y17" s="23"/>
    </x:row>
    <x:row r="18" ht="29.25">
      <x:c r="A18" s="53">
        <x:v>11</x:v>
      </x:c>
      <x:c r="B18" s="71" t="s">
        <x:v>169</x:v>
      </x:c>
      <x:c r="C18" s="99" t="e">
        <x:f>#REF!*8/100</x:f>
        <x:v>#REF!</x:v>
      </x:c>
      <x:c r="D18" s="99" t="e">
        <x:f>#REF!*8/100</x:f>
        <x:v>#REF!</x:v>
      </x:c>
      <x:c r="E18" s="99" t="e">
        <x:f>#REF!*8/100</x:f>
        <x:v>#REF!</x:v>
      </x:c>
      <x:c r="F18" s="99" t="e">
        <x:f>#REF!*8/100</x:f>
        <x:v>#REF!</x:v>
      </x:c>
      <x:c r="G18" s="99" t="e">
        <x:f>#REF!*8/100</x:f>
        <x:v>#REF!</x:v>
      </x:c>
      <x:c r="H18" s="99" t="e">
        <x:f>#REF!*8/100</x:f>
        <x:v>#REF!</x:v>
      </x:c>
      <x:c r="I18" s="99" t="e">
        <x:f>#REF!*8/100</x:f>
        <x:v>#REF!</x:v>
      </x:c>
      <x:c r="J18" s="99" t="e">
        <x:f>#REF!*8/100</x:f>
        <x:v>#REF!</x:v>
      </x:c>
      <x:c r="K18" s="99" t="e">
        <x:f>#REF!*8/100</x:f>
        <x:v>#REF!</x:v>
      </x:c>
      <x:c r="L18" s="99" t="e">
        <x:f>#REF!*8/100</x:f>
        <x:v>#REF!</x:v>
      </x:c>
      <x:c r="M18" s="99" t="e">
        <x:f>#REF!*8/100</x:f>
        <x:v>#REF!</x:v>
      </x:c>
      <x:c r="N18" s="99" t="e">
        <x:f>#REF!*8/100</x:f>
        <x:v>#REF!</x:v>
      </x:c>
      <x:c r="O18" s="99" t="e">
        <x:f>#REF!*8/100</x:f>
        <x:v>#REF!</x:v>
      </x:c>
      <x:c r="P18" s="99" t="e">
        <x:f>#REF!*8/100</x:f>
        <x:v>#REF!</x:v>
      </x:c>
      <x:c r="Q18" s="99" t="e">
        <x:f>#REF!*8/100</x:f>
        <x:v>#REF!</x:v>
      </x:c>
      <x:c r="R18" s="99" t="e">
        <x:f>#REF!*8/100</x:f>
        <x:v>#REF!</x:v>
      </x:c>
      <x:c r="S18" s="99" t="e">
        <x:f>#REF!*8/100</x:f>
        <x:v>#REF!</x:v>
      </x:c>
      <x:c r="T18" s="99" t="e">
        <x:f>#REF!*8/100</x:f>
        <x:v>#REF!</x:v>
      </x:c>
      <x:c r="U18" s="17" t="e">
        <x:f t="shared" si="1"/>
        <x:v>#REF!</x:v>
      </x:c>
      <x:c r="V18" s="18" t="e">
        <x:f t="shared" si="2"/>
        <x:v>#REF!</x:v>
      </x:c>
      <x:c r="W18" s="19" t="e">
        <x:f t="shared" si="0"/>
        <x:v>#REF!</x:v>
      </x:c>
      <x:c r="X18" s="22"/>
      <x:c r="Y18" s="23"/>
    </x:row>
    <x:row r="19" ht="29.25" customHeight="1">
      <x:c r="A19" s="53">
        <x:v>12</x:v>
      </x:c>
      <x:c r="B19" s="71" t="s">
        <x:v>170</x:v>
      </x:c>
      <x:c r="C19" s="99" t="e">
        <x:f>#REF!*8/100</x:f>
        <x:v>#REF!</x:v>
      </x:c>
      <x:c r="D19" s="99" t="e">
        <x:f>#REF!*8/100</x:f>
        <x:v>#REF!</x:v>
      </x:c>
      <x:c r="E19" s="99" t="e">
        <x:f>#REF!*8/100</x:f>
        <x:v>#REF!</x:v>
      </x:c>
      <x:c r="F19" s="99" t="e">
        <x:f>#REF!*8/100</x:f>
        <x:v>#REF!</x:v>
      </x:c>
      <x:c r="G19" s="99" t="e">
        <x:f>#REF!*8/100</x:f>
        <x:v>#REF!</x:v>
      </x:c>
      <x:c r="H19" s="99" t="e">
        <x:f>#REF!*8/100</x:f>
        <x:v>#REF!</x:v>
      </x:c>
      <x:c r="I19" s="99" t="e">
        <x:f>#REF!*8/100</x:f>
        <x:v>#REF!</x:v>
      </x:c>
      <x:c r="J19" s="99" t="e">
        <x:f>#REF!*8/100</x:f>
        <x:v>#REF!</x:v>
      </x:c>
      <x:c r="K19" s="99" t="e">
        <x:f>#REF!*8/100</x:f>
        <x:v>#REF!</x:v>
      </x:c>
      <x:c r="L19" s="99" t="e">
        <x:f>#REF!*8/100</x:f>
        <x:v>#REF!</x:v>
      </x:c>
      <x:c r="M19" s="99" t="e">
        <x:f>#REF!*8/100</x:f>
        <x:v>#REF!</x:v>
      </x:c>
      <x:c r="N19" s="99" t="e">
        <x:f>#REF!*8/100</x:f>
        <x:v>#REF!</x:v>
      </x:c>
      <x:c r="O19" s="99" t="e">
        <x:f>#REF!*8/100</x:f>
        <x:v>#REF!</x:v>
      </x:c>
      <x:c r="P19" s="99" t="e">
        <x:f>#REF!*8/100</x:f>
        <x:v>#REF!</x:v>
      </x:c>
      <x:c r="Q19" s="99" t="e">
        <x:f>#REF!*8/100</x:f>
        <x:v>#REF!</x:v>
      </x:c>
      <x:c r="R19" s="99" t="e">
        <x:f>#REF!*8/100</x:f>
        <x:v>#REF!</x:v>
      </x:c>
      <x:c r="S19" s="99" t="e">
        <x:f>#REF!*8/100</x:f>
        <x:v>#REF!</x:v>
      </x:c>
      <x:c r="T19" s="99" t="e">
        <x:f>#REF!*8/100</x:f>
        <x:v>#REF!</x:v>
      </x:c>
      <x:c r="U19" s="17" t="e">
        <x:f t="shared" si="1"/>
        <x:v>#REF!</x:v>
      </x:c>
      <x:c r="V19" s="18" t="e">
        <x:f t="shared" si="2"/>
        <x:v>#REF!</x:v>
      </x:c>
      <x:c r="W19" s="19" t="e">
        <x:f t="shared" si="0"/>
        <x:v>#REF!</x:v>
      </x:c>
      <x:c r="X19" s="22"/>
      <x:c r="Y19" s="23"/>
    </x:row>
    <x:row r="20" s="1" customFormat="1" ht="29.25" customHeight="1">
      <x:c r="A20" s="53">
        <x:v>13</x:v>
      </x:c>
      <x:c r="B20" s="63" t="s">
        <x:v>171</x:v>
      </x:c>
      <x:c r="C20" s="100" t="e">
        <x:f>#REF!*8/100</x:f>
        <x:v>#REF!</x:v>
      </x:c>
      <x:c r="D20" s="100" t="e">
        <x:f>#REF!*8/100</x:f>
        <x:v>#REF!</x:v>
      </x:c>
      <x:c r="E20" s="100" t="e">
        <x:f>#REF!*8/100</x:f>
        <x:v>#REF!</x:v>
      </x:c>
      <x:c r="F20" s="100" t="e">
        <x:f>#REF!*8/100</x:f>
        <x:v>#REF!</x:v>
      </x:c>
      <x:c r="G20" s="100" t="e">
        <x:f>#REF!*8/100</x:f>
        <x:v>#REF!</x:v>
      </x:c>
      <x:c r="H20" s="100" t="e">
        <x:f>#REF!*8/100</x:f>
        <x:v>#REF!</x:v>
      </x:c>
      <x:c r="I20" s="100" t="e">
        <x:f>#REF!*8/100</x:f>
        <x:v>#REF!</x:v>
      </x:c>
      <x:c r="J20" s="100" t="e">
        <x:f>#REF!*8/100</x:f>
        <x:v>#REF!</x:v>
      </x:c>
      <x:c r="K20" s="100" t="e">
        <x:f>#REF!*8/100</x:f>
        <x:v>#REF!</x:v>
      </x:c>
      <x:c r="L20" s="100" t="e">
        <x:f>#REF!*8/100</x:f>
        <x:v>#REF!</x:v>
      </x:c>
      <x:c r="M20" s="100" t="e">
        <x:f>#REF!*8/100</x:f>
        <x:v>#REF!</x:v>
      </x:c>
      <x:c r="N20" s="100" t="e">
        <x:f>#REF!*8/100</x:f>
        <x:v>#REF!</x:v>
      </x:c>
      <x:c r="O20" s="100" t="e">
        <x:f>#REF!*8/100</x:f>
        <x:v>#REF!</x:v>
      </x:c>
      <x:c r="P20" s="100" t="e">
        <x:f>#REF!*8/100</x:f>
        <x:v>#REF!</x:v>
      </x:c>
      <x:c r="Q20" s="100" t="e">
        <x:f>#REF!*8/100</x:f>
        <x:v>#REF!</x:v>
      </x:c>
      <x:c r="R20" s="100" t="e">
        <x:f>#REF!*8/100</x:f>
        <x:v>#REF!</x:v>
      </x:c>
      <x:c r="S20" s="100" t="e">
        <x:f>#REF!*8/100</x:f>
        <x:v>#REF!</x:v>
      </x:c>
      <x:c r="T20" s="100" t="e">
        <x:f>#REF!*8/100</x:f>
        <x:v>#REF!</x:v>
      </x:c>
      <x:c r="U20" s="17" t="e">
        <x:f t="shared" si="1"/>
        <x:v>#REF!</x:v>
      </x:c>
      <x:c r="V20" s="18" t="e">
        <x:f t="shared" si="2"/>
        <x:v>#REF!</x:v>
      </x:c>
      <x:c r="W20" s="19" t="e">
        <x:f t="shared" si="0"/>
        <x:v>#REF!</x:v>
      </x:c>
      <x:c r="X20" s="25"/>
      <x:c r="Y20" s="23"/>
    </x:row>
    <x:row r="21" s="1" customFormat="1" ht="29.25" customHeight="1">
      <x:c r="A21" s="53">
        <x:v>14</x:v>
      </x:c>
      <x:c r="B21" s="72" t="s">
        <x:v>172</x:v>
      </x:c>
      <x:c r="C21" s="101" t="e">
        <x:f>#REF!*8/100</x:f>
        <x:v>#REF!</x:v>
      </x:c>
      <x:c r="D21" s="101" t="e">
        <x:f>#REF!*8/100</x:f>
        <x:v>#REF!</x:v>
      </x:c>
      <x:c r="E21" s="101" t="e">
        <x:f>#REF!*8/100</x:f>
        <x:v>#REF!</x:v>
      </x:c>
      <x:c r="F21" s="101" t="e">
        <x:f>#REF!*8/100</x:f>
        <x:v>#REF!</x:v>
      </x:c>
      <x:c r="G21" s="101" t="e">
        <x:f>#REF!*8/100</x:f>
        <x:v>#REF!</x:v>
      </x:c>
      <x:c r="H21" s="101" t="e">
        <x:f>#REF!*8/100</x:f>
        <x:v>#REF!</x:v>
      </x:c>
      <x:c r="I21" s="101" t="e">
        <x:f>#REF!*8/100</x:f>
        <x:v>#REF!</x:v>
      </x:c>
      <x:c r="J21" s="101" t="e">
        <x:f>#REF!*8/100</x:f>
        <x:v>#REF!</x:v>
      </x:c>
      <x:c r="K21" s="101" t="e">
        <x:f>#REF!*8/100</x:f>
        <x:v>#REF!</x:v>
      </x:c>
      <x:c r="L21" s="101" t="e">
        <x:f>#REF!*8/100</x:f>
        <x:v>#REF!</x:v>
      </x:c>
      <x:c r="M21" s="101" t="e">
        <x:f>#REF!*8/100</x:f>
        <x:v>#REF!</x:v>
      </x:c>
      <x:c r="N21" s="101" t="e">
        <x:f>#REF!*8/100</x:f>
        <x:v>#REF!</x:v>
      </x:c>
      <x:c r="O21" s="101" t="e">
        <x:f>#REF!*8/100</x:f>
        <x:v>#REF!</x:v>
      </x:c>
      <x:c r="P21" s="101" t="e">
        <x:f>#REF!*8/100</x:f>
        <x:v>#REF!</x:v>
      </x:c>
      <x:c r="Q21" s="101" t="e">
        <x:f>#REF!*8/100</x:f>
        <x:v>#REF!</x:v>
      </x:c>
      <x:c r="R21" s="101" t="e">
        <x:f>#REF!*8/100</x:f>
        <x:v>#REF!</x:v>
      </x:c>
      <x:c r="S21" s="101" t="e">
        <x:f>#REF!*8/100</x:f>
        <x:v>#REF!</x:v>
      </x:c>
      <x:c r="T21" s="101" t="e">
        <x:f>#REF!*8/100</x:f>
        <x:v>#REF!</x:v>
      </x:c>
      <x:c r="U21" s="17" t="e">
        <x:f t="shared" si="1"/>
        <x:v>#REF!</x:v>
      </x:c>
      <x:c r="V21" s="18" t="e">
        <x:f t="shared" si="2"/>
        <x:v>#REF!</x:v>
      </x:c>
      <x:c r="W21" s="19" t="e">
        <x:f t="shared" si="0"/>
        <x:v>#REF!</x:v>
      </x:c>
      <x:c r="X21" s="27"/>
      <x:c r="Y21" s="28"/>
    </x:row>
    <x:row r="22" s="1" customFormat="1" ht="29.25" customHeight="1">
      <x:c r="A22" s="53">
        <x:v>15</x:v>
      </x:c>
      <x:c r="B22" s="63" t="s">
        <x:v>173</x:v>
      </x:c>
      <x:c r="C22" s="102" t="e">
        <x:f>#REF!*8/100</x:f>
        <x:v>#REF!</x:v>
      </x:c>
      <x:c r="D22" s="102" t="e">
        <x:f>#REF!*8/100</x:f>
        <x:v>#REF!</x:v>
      </x:c>
      <x:c r="E22" s="102" t="e">
        <x:f>#REF!*8/100</x:f>
        <x:v>#REF!</x:v>
      </x:c>
      <x:c r="F22" s="102" t="e">
        <x:f>#REF!*8/100</x:f>
        <x:v>#REF!</x:v>
      </x:c>
      <x:c r="G22" s="102" t="e">
        <x:f>#REF!*8/100</x:f>
        <x:v>#REF!</x:v>
      </x:c>
      <x:c r="H22" s="102" t="e">
        <x:f>#REF!*8/100</x:f>
        <x:v>#REF!</x:v>
      </x:c>
      <x:c r="I22" s="102" t="e">
        <x:f>#REF!*8/100</x:f>
        <x:v>#REF!</x:v>
      </x:c>
      <x:c r="J22" s="102" t="e">
        <x:f>#REF!*8/100</x:f>
        <x:v>#REF!</x:v>
      </x:c>
      <x:c r="K22" s="102" t="e">
        <x:f>#REF!*8/100</x:f>
        <x:v>#REF!</x:v>
      </x:c>
      <x:c r="L22" s="102" t="e">
        <x:f>#REF!*8/100</x:f>
        <x:v>#REF!</x:v>
      </x:c>
      <x:c r="M22" s="102" t="e">
        <x:f>#REF!*8/100</x:f>
        <x:v>#REF!</x:v>
      </x:c>
      <x:c r="N22" s="102" t="e">
        <x:f>#REF!*8/100</x:f>
        <x:v>#REF!</x:v>
      </x:c>
      <x:c r="O22" s="102" t="e">
        <x:f>#REF!*8/100</x:f>
        <x:v>#REF!</x:v>
      </x:c>
      <x:c r="P22" s="102" t="e">
        <x:f>#REF!*8/100</x:f>
        <x:v>#REF!</x:v>
      </x:c>
      <x:c r="Q22" s="102" t="e">
        <x:f>#REF!*8/100</x:f>
        <x:v>#REF!</x:v>
      </x:c>
      <x:c r="R22" s="102" t="e">
        <x:f>#REF!*8/100</x:f>
        <x:v>#REF!</x:v>
      </x:c>
      <x:c r="S22" s="102" t="e">
        <x:f>#REF!*8/100</x:f>
        <x:v>#REF!</x:v>
      </x:c>
      <x:c r="T22" s="102" t="e">
        <x:f>#REF!*8/100</x:f>
        <x:v>#REF!</x:v>
      </x:c>
      <x:c r="U22" s="17" t="e">
        <x:f t="shared" si="1"/>
        <x:v>#REF!</x:v>
      </x:c>
      <x:c r="V22" s="18" t="e">
        <x:f t="shared" si="2"/>
        <x:v>#REF!</x:v>
      </x:c>
      <x:c r="W22" s="19" t="e">
        <x:f t="shared" si="0"/>
        <x:v>#REF!</x:v>
      </x:c>
      <x:c r="X22" s="30"/>
      <x:c r="Y22" s="23"/>
    </x:row>
    <x:row r="23" s="1" customFormat="1" ht="29.25">
      <x:c r="A23" s="53">
        <x:v>16</x:v>
      </x:c>
      <x:c r="B23" s="65" t="s">
        <x:v>174</x:v>
      </x:c>
      <x:c r="C23" s="101" t="e">
        <x:f>#REF!*8/100</x:f>
        <x:v>#REF!</x:v>
      </x:c>
      <x:c r="D23" s="101" t="e">
        <x:f>#REF!*8/100</x:f>
        <x:v>#REF!</x:v>
      </x:c>
      <x:c r="E23" s="101" t="e">
        <x:f>#REF!*8/100</x:f>
        <x:v>#REF!</x:v>
      </x:c>
      <x:c r="F23" s="101" t="e">
        <x:f>#REF!*8/100</x:f>
        <x:v>#REF!</x:v>
      </x:c>
      <x:c r="G23" s="101" t="e">
        <x:f>#REF!*8/100</x:f>
        <x:v>#REF!</x:v>
      </x:c>
      <x:c r="H23" s="101" t="e">
        <x:f>#REF!*8/100</x:f>
        <x:v>#REF!</x:v>
      </x:c>
      <x:c r="I23" s="101" t="e">
        <x:f>#REF!*8/100</x:f>
        <x:v>#REF!</x:v>
      </x:c>
      <x:c r="J23" s="101" t="e">
        <x:f>#REF!*8/100</x:f>
        <x:v>#REF!</x:v>
      </x:c>
      <x:c r="K23" s="101" t="e">
        <x:f>#REF!*8/100</x:f>
        <x:v>#REF!</x:v>
      </x:c>
      <x:c r="L23" s="101" t="e">
        <x:f>#REF!*8/100</x:f>
        <x:v>#REF!</x:v>
      </x:c>
      <x:c r="M23" s="101" t="e">
        <x:f>#REF!*8/100</x:f>
        <x:v>#REF!</x:v>
      </x:c>
      <x:c r="N23" s="101" t="e">
        <x:f>#REF!*8/100</x:f>
        <x:v>#REF!</x:v>
      </x:c>
      <x:c r="O23" s="101" t="e">
        <x:f>#REF!*8/100</x:f>
        <x:v>#REF!</x:v>
      </x:c>
      <x:c r="P23" s="101" t="e">
        <x:f>#REF!*8/100</x:f>
        <x:v>#REF!</x:v>
      </x:c>
      <x:c r="Q23" s="101" t="e">
        <x:f>#REF!*8/100</x:f>
        <x:v>#REF!</x:v>
      </x:c>
      <x:c r="R23" s="101" t="e">
        <x:f>#REF!*8/100</x:f>
        <x:v>#REF!</x:v>
      </x:c>
      <x:c r="S23" s="101" t="e">
        <x:f>#REF!*8/100</x:f>
        <x:v>#REF!</x:v>
      </x:c>
      <x:c r="T23" s="101" t="e">
        <x:f>#REF!*8/100</x:f>
        <x:v>#REF!</x:v>
      </x:c>
      <x:c r="U23" s="17" t="e">
        <x:f t="shared" si="1"/>
        <x:v>#REF!</x:v>
      </x:c>
      <x:c r="V23" s="18" t="e">
        <x:f t="shared" si="2"/>
        <x:v>#REF!</x:v>
      </x:c>
      <x:c r="W23" s="19" t="e">
        <x:f t="shared" si="0"/>
        <x:v>#REF!</x:v>
      </x:c>
      <x:c r="X23" s="30"/>
      <x:c r="Y23" s="23"/>
    </x:row>
    <x:row r="24" s="1" customFormat="1" ht="36.75">
      <x:c r="A24" s="53">
        <x:v>17</x:v>
      </x:c>
      <x:c r="B24" s="66" t="s">
        <x:v>175</x:v>
      </x:c>
      <x:c r="C24" s="103" t="e">
        <x:f>#REF!*8/100</x:f>
        <x:v>#REF!</x:v>
      </x:c>
      <x:c r="D24" s="103" t="e">
        <x:f>#REF!*8/100</x:f>
        <x:v>#REF!</x:v>
      </x:c>
      <x:c r="E24" s="103" t="e">
        <x:f>#REF!*8/100</x:f>
        <x:v>#REF!</x:v>
      </x:c>
      <x:c r="F24" s="103" t="e">
        <x:f>#REF!*8/100</x:f>
        <x:v>#REF!</x:v>
      </x:c>
      <x:c r="G24" s="103" t="e">
        <x:f>#REF!*8/100</x:f>
        <x:v>#REF!</x:v>
      </x:c>
      <x:c r="H24" s="103" t="e">
        <x:f>#REF!*8/100</x:f>
        <x:v>#REF!</x:v>
      </x:c>
      <x:c r="I24" s="103" t="e">
        <x:f>#REF!*8/100</x:f>
        <x:v>#REF!</x:v>
      </x:c>
      <x:c r="J24" s="103" t="e">
        <x:f>#REF!*8/100</x:f>
        <x:v>#REF!</x:v>
      </x:c>
      <x:c r="K24" s="103" t="e">
        <x:f>#REF!*8/100</x:f>
        <x:v>#REF!</x:v>
      </x:c>
      <x:c r="L24" s="103" t="e">
        <x:f>#REF!*8/100</x:f>
        <x:v>#REF!</x:v>
      </x:c>
      <x:c r="M24" s="103" t="e">
        <x:f>#REF!*8/100</x:f>
        <x:v>#REF!</x:v>
      </x:c>
      <x:c r="N24" s="103" t="e">
        <x:f>#REF!*8/100</x:f>
        <x:v>#REF!</x:v>
      </x:c>
      <x:c r="O24" s="103" t="e">
        <x:f>#REF!*8/100</x:f>
        <x:v>#REF!</x:v>
      </x:c>
      <x:c r="P24" s="103" t="e">
        <x:f>#REF!*8/100</x:f>
        <x:v>#REF!</x:v>
      </x:c>
      <x:c r="Q24" s="103" t="e">
        <x:f>#REF!*8/100</x:f>
        <x:v>#REF!</x:v>
      </x:c>
      <x:c r="R24" s="103" t="e">
        <x:f>#REF!*8/100</x:f>
        <x:v>#REF!</x:v>
      </x:c>
      <x:c r="S24" s="103" t="e">
        <x:f>#REF!*8/100</x:f>
        <x:v>#REF!</x:v>
      </x:c>
      <x:c r="T24" s="103" t="e">
        <x:f>#REF!*8/100</x:f>
        <x:v>#REF!</x:v>
      </x:c>
      <x:c r="U24" s="17" t="e">
        <x:f t="shared" si="1"/>
        <x:v>#REF!</x:v>
      </x:c>
      <x:c r="V24" s="18" t="e">
        <x:f t="shared" si="2"/>
        <x:v>#REF!</x:v>
      </x:c>
      <x:c r="W24" s="19" t="e">
        <x:f t="shared" si="0"/>
        <x:v>#REF!</x:v>
      </x:c>
      <x:c r="X24" s="30"/>
      <x:c r="Y24" s="23"/>
    </x:row>
    <x:row r="25" s="1" customFormat="1" ht="29.25">
      <x:c r="A25" s="53">
        <x:v>18</x:v>
      </x:c>
      <x:c r="B25" s="71" t="s">
        <x:v>176</x:v>
      </x:c>
      <x:c r="C25" s="103" t="e">
        <x:f>#REF!*8/100</x:f>
        <x:v>#REF!</x:v>
      </x:c>
      <x:c r="D25" s="103" t="e">
        <x:f>#REF!*8/100</x:f>
        <x:v>#REF!</x:v>
      </x:c>
      <x:c r="E25" s="103" t="e">
        <x:f>#REF!*8/100</x:f>
        <x:v>#REF!</x:v>
      </x:c>
      <x:c r="F25" s="103" t="e">
        <x:f>#REF!*8/100</x:f>
        <x:v>#REF!</x:v>
      </x:c>
      <x:c r="G25" s="103" t="e">
        <x:f>#REF!*8/100</x:f>
        <x:v>#REF!</x:v>
      </x:c>
      <x:c r="H25" s="103" t="e">
        <x:f>#REF!*8/100</x:f>
        <x:v>#REF!</x:v>
      </x:c>
      <x:c r="I25" s="103" t="e">
        <x:f>#REF!*8/100</x:f>
        <x:v>#REF!</x:v>
      </x:c>
      <x:c r="J25" s="103" t="e">
        <x:f>#REF!*8/100</x:f>
        <x:v>#REF!</x:v>
      </x:c>
      <x:c r="K25" s="103" t="e">
        <x:f>#REF!*8/100</x:f>
        <x:v>#REF!</x:v>
      </x:c>
      <x:c r="L25" s="103" t="e">
        <x:f>#REF!*8/100</x:f>
        <x:v>#REF!</x:v>
      </x:c>
      <x:c r="M25" s="103" t="e">
        <x:f>#REF!*8/100</x:f>
        <x:v>#REF!</x:v>
      </x:c>
      <x:c r="N25" s="103" t="e">
        <x:f>#REF!*8/100</x:f>
        <x:v>#REF!</x:v>
      </x:c>
      <x:c r="O25" s="103" t="e">
        <x:f>#REF!*8/100</x:f>
        <x:v>#REF!</x:v>
      </x:c>
      <x:c r="P25" s="103" t="e">
        <x:f>#REF!*8/100</x:f>
        <x:v>#REF!</x:v>
      </x:c>
      <x:c r="Q25" s="103" t="e">
        <x:f>#REF!*8/100</x:f>
        <x:v>#REF!</x:v>
      </x:c>
      <x:c r="R25" s="103" t="e">
        <x:f>#REF!*8/100</x:f>
        <x:v>#REF!</x:v>
      </x:c>
      <x:c r="S25" s="103" t="e">
        <x:f>#REF!*8/100</x:f>
        <x:v>#REF!</x:v>
      </x:c>
      <x:c r="T25" s="103" t="e">
        <x:f>#REF!*8/100</x:f>
        <x:v>#REF!</x:v>
      </x:c>
      <x:c r="U25" s="17" t="e">
        <x:f t="shared" si="1"/>
        <x:v>#REF!</x:v>
      </x:c>
      <x:c r="V25" s="18" t="e">
        <x:f t="shared" si="2"/>
        <x:v>#REF!</x:v>
      </x:c>
      <x:c r="W25" s="19" t="e">
        <x:f t="shared" si="0"/>
        <x:v>#REF!</x:v>
      </x:c>
      <x:c r="X25" s="30"/>
      <x:c r="Y25" s="23"/>
    </x:row>
    <x:row r="26" s="1" customFormat="1" ht="29.25" customHeight="1">
      <x:c r="A26" s="53">
        <x:v>19</x:v>
      </x:c>
      <x:c r="B26" s="67" t="s">
        <x:v>177</x:v>
      </x:c>
      <x:c r="C26" s="103" t="e">
        <x:f>#REF!*8/100</x:f>
        <x:v>#REF!</x:v>
      </x:c>
      <x:c r="D26" s="103" t="e">
        <x:f>#REF!*8/100</x:f>
        <x:v>#REF!</x:v>
      </x:c>
      <x:c r="E26" s="103" t="e">
        <x:f>#REF!*8/100</x:f>
        <x:v>#REF!</x:v>
      </x:c>
      <x:c r="F26" s="103" t="e">
        <x:f>#REF!*8/100</x:f>
        <x:v>#REF!</x:v>
      </x:c>
      <x:c r="G26" s="103" t="e">
        <x:f>#REF!*8/100</x:f>
        <x:v>#REF!</x:v>
      </x:c>
      <x:c r="H26" s="103" t="e">
        <x:f>#REF!*8/100</x:f>
        <x:v>#REF!</x:v>
      </x:c>
      <x:c r="I26" s="103" t="e">
        <x:f>#REF!*8/100</x:f>
        <x:v>#REF!</x:v>
      </x:c>
      <x:c r="J26" s="103" t="e">
        <x:f>#REF!*8/100</x:f>
        <x:v>#REF!</x:v>
      </x:c>
      <x:c r="K26" s="103" t="e">
        <x:f>#REF!*8/100</x:f>
        <x:v>#REF!</x:v>
      </x:c>
      <x:c r="L26" s="103" t="e">
        <x:f>#REF!*8/100</x:f>
        <x:v>#REF!</x:v>
      </x:c>
      <x:c r="M26" s="103" t="e">
        <x:f>#REF!*8/100</x:f>
        <x:v>#REF!</x:v>
      </x:c>
      <x:c r="N26" s="103" t="e">
        <x:f>#REF!*8/100</x:f>
        <x:v>#REF!</x:v>
      </x:c>
      <x:c r="O26" s="103" t="e">
        <x:f>#REF!*8/100</x:f>
        <x:v>#REF!</x:v>
      </x:c>
      <x:c r="P26" s="103" t="e">
        <x:f>#REF!*8/100</x:f>
        <x:v>#REF!</x:v>
      </x:c>
      <x:c r="Q26" s="103" t="e">
        <x:f>#REF!*8/100</x:f>
        <x:v>#REF!</x:v>
      </x:c>
      <x:c r="R26" s="103" t="e">
        <x:f>#REF!*8/100</x:f>
        <x:v>#REF!</x:v>
      </x:c>
      <x:c r="S26" s="103" t="e">
        <x:f>#REF!*8/100</x:f>
        <x:v>#REF!</x:v>
      </x:c>
      <x:c r="T26" s="103" t="e">
        <x:f>#REF!*8/100</x:f>
        <x:v>#REF!</x:v>
      </x:c>
      <x:c r="U26" s="17" t="e">
        <x:f t="shared" si="1"/>
        <x:v>#REF!</x:v>
      </x:c>
      <x:c r="V26" s="18" t="e">
        <x:f t="shared" si="2"/>
        <x:v>#REF!</x:v>
      </x:c>
      <x:c r="W26" s="19" t="e">
        <x:f t="shared" si="0"/>
        <x:v>#REF!</x:v>
      </x:c>
      <x:c r="X26" s="30"/>
      <x:c r="Y26" s="23"/>
    </x:row>
    <x:row r="27" s="1" customFormat="1" ht="29.25" customHeight="1">
      <x:c r="A27" s="53">
        <x:v>20</x:v>
      </x:c>
      <x:c r="B27" s="67" t="s">
        <x:v>178</x:v>
      </x:c>
      <x:c r="C27" s="103" t="e">
        <x:f>#REF!*8/100</x:f>
        <x:v>#REF!</x:v>
      </x:c>
      <x:c r="D27" s="103" t="e">
        <x:f>#REF!*8/100</x:f>
        <x:v>#REF!</x:v>
      </x:c>
      <x:c r="E27" s="103" t="e">
        <x:f>#REF!*8/100</x:f>
        <x:v>#REF!</x:v>
      </x:c>
      <x:c r="F27" s="103" t="e">
        <x:f>#REF!*8/100</x:f>
        <x:v>#REF!</x:v>
      </x:c>
      <x:c r="G27" s="103" t="e">
        <x:f>#REF!*8/100</x:f>
        <x:v>#REF!</x:v>
      </x:c>
      <x:c r="H27" s="103" t="e">
        <x:f>#REF!*8/100</x:f>
        <x:v>#REF!</x:v>
      </x:c>
      <x:c r="I27" s="103" t="e">
        <x:f>#REF!*8/100</x:f>
        <x:v>#REF!</x:v>
      </x:c>
      <x:c r="J27" s="103" t="e">
        <x:f>#REF!*8/100</x:f>
        <x:v>#REF!</x:v>
      </x:c>
      <x:c r="K27" s="103" t="e">
        <x:f>#REF!*8/100</x:f>
        <x:v>#REF!</x:v>
      </x:c>
      <x:c r="L27" s="103" t="e">
        <x:f>#REF!*8/100</x:f>
        <x:v>#REF!</x:v>
      </x:c>
      <x:c r="M27" s="103" t="e">
        <x:f>#REF!*8/100</x:f>
        <x:v>#REF!</x:v>
      </x:c>
      <x:c r="N27" s="103" t="e">
        <x:f>#REF!*8/100</x:f>
        <x:v>#REF!</x:v>
      </x:c>
      <x:c r="O27" s="103" t="e">
        <x:f>#REF!*8/100</x:f>
        <x:v>#REF!</x:v>
      </x:c>
      <x:c r="P27" s="103" t="e">
        <x:f>#REF!*8/100</x:f>
        <x:v>#REF!</x:v>
      </x:c>
      <x:c r="Q27" s="103" t="e">
        <x:f>#REF!*8/100</x:f>
        <x:v>#REF!</x:v>
      </x:c>
      <x:c r="R27" s="103" t="e">
        <x:f>#REF!*8/100</x:f>
        <x:v>#REF!</x:v>
      </x:c>
      <x:c r="S27" s="103" t="e">
        <x:f>#REF!*8/100</x:f>
        <x:v>#REF!</x:v>
      </x:c>
      <x:c r="T27" s="103" t="e">
        <x:f>#REF!*8/100</x:f>
        <x:v>#REF!</x:v>
      </x:c>
      <x:c r="U27" s="17" t="e">
        <x:f t="shared" si="1"/>
        <x:v>#REF!</x:v>
      </x:c>
      <x:c r="V27" s="18" t="e">
        <x:f t="shared" si="2"/>
        <x:v>#REF!</x:v>
      </x:c>
      <x:c r="W27" s="19" t="e">
        <x:f t="shared" si="0"/>
        <x:v>#REF!</x:v>
      </x:c>
      <x:c r="X27" s="30"/>
      <x:c r="Y27" s="23"/>
    </x:row>
    <x:row r="28" s="1" customFormat="1" ht="29.25" customHeight="1">
      <x:c r="A28" s="53">
        <x:v>21</x:v>
      </x:c>
      <x:c r="B28" s="67" t="s">
        <x:v>179</x:v>
      </x:c>
      <x:c r="C28" s="103" t="e">
        <x:f>#REF!*8/100</x:f>
        <x:v>#REF!</x:v>
      </x:c>
      <x:c r="D28" s="103" t="e">
        <x:f>#REF!*8/100</x:f>
        <x:v>#REF!</x:v>
      </x:c>
      <x:c r="E28" s="103" t="e">
        <x:f>#REF!*8/100</x:f>
        <x:v>#REF!</x:v>
      </x:c>
      <x:c r="F28" s="103" t="e">
        <x:f>#REF!*8/100</x:f>
        <x:v>#REF!</x:v>
      </x:c>
      <x:c r="G28" s="103" t="e">
        <x:f>#REF!*8/100</x:f>
        <x:v>#REF!</x:v>
      </x:c>
      <x:c r="H28" s="103" t="e">
        <x:f>#REF!*8/100</x:f>
        <x:v>#REF!</x:v>
      </x:c>
      <x:c r="I28" s="103" t="e">
        <x:f>#REF!*8/100</x:f>
        <x:v>#REF!</x:v>
      </x:c>
      <x:c r="J28" s="103" t="e">
        <x:f>#REF!*8/100</x:f>
        <x:v>#REF!</x:v>
      </x:c>
      <x:c r="K28" s="103" t="e">
        <x:f>#REF!*8/100</x:f>
        <x:v>#REF!</x:v>
      </x:c>
      <x:c r="L28" s="103" t="e">
        <x:f>#REF!*8/100</x:f>
        <x:v>#REF!</x:v>
      </x:c>
      <x:c r="M28" s="103" t="e">
        <x:f>#REF!*8/100</x:f>
        <x:v>#REF!</x:v>
      </x:c>
      <x:c r="N28" s="103" t="e">
        <x:f>#REF!*8/100</x:f>
        <x:v>#REF!</x:v>
      </x:c>
      <x:c r="O28" s="103" t="e">
        <x:f>#REF!*8/100</x:f>
        <x:v>#REF!</x:v>
      </x:c>
      <x:c r="P28" s="103" t="e">
        <x:f>#REF!*8/100</x:f>
        <x:v>#REF!</x:v>
      </x:c>
      <x:c r="Q28" s="103" t="e">
        <x:f>#REF!*8/100</x:f>
        <x:v>#REF!</x:v>
      </x:c>
      <x:c r="R28" s="103" t="e">
        <x:f>#REF!*8/100</x:f>
        <x:v>#REF!</x:v>
      </x:c>
      <x:c r="S28" s="103" t="e">
        <x:f>#REF!*8/100</x:f>
        <x:v>#REF!</x:v>
      </x:c>
      <x:c r="T28" s="103" t="e">
        <x:f>#REF!*8/100</x:f>
        <x:v>#REF!</x:v>
      </x:c>
      <x:c r="U28" s="17" t="e">
        <x:f t="shared" si="1"/>
        <x:v>#REF!</x:v>
      </x:c>
      <x:c r="V28" s="18" t="e">
        <x:f t="shared" si="2"/>
        <x:v>#REF!</x:v>
      </x:c>
      <x:c r="W28" s="19" t="e">
        <x:f t="shared" si="0"/>
        <x:v>#REF!</x:v>
      </x:c>
      <x:c r="X28" s="30"/>
      <x:c r="Y28" s="23"/>
    </x:row>
    <x:row r="29" s="1" customFormat="1" ht="29.25" customHeight="1">
      <x:c r="A29" s="53">
        <x:v>22</x:v>
      </x:c>
      <x:c r="B29" s="67" t="s">
        <x:v>180</x:v>
      </x:c>
      <x:c r="C29" s="103" t="e">
        <x:f>#REF!*8/100</x:f>
        <x:v>#REF!</x:v>
      </x:c>
      <x:c r="D29" s="103" t="e">
        <x:f>#REF!*8/100</x:f>
        <x:v>#REF!</x:v>
      </x:c>
      <x:c r="E29" s="103" t="e">
        <x:f>#REF!*8/100</x:f>
        <x:v>#REF!</x:v>
      </x:c>
      <x:c r="F29" s="103" t="e">
        <x:f>#REF!*8/100</x:f>
        <x:v>#REF!</x:v>
      </x:c>
      <x:c r="G29" s="103" t="e">
        <x:f>#REF!*8/100</x:f>
        <x:v>#REF!</x:v>
      </x:c>
      <x:c r="H29" s="103" t="e">
        <x:f>#REF!*8/100</x:f>
        <x:v>#REF!</x:v>
      </x:c>
      <x:c r="I29" s="103" t="e">
        <x:f>#REF!*8/100</x:f>
        <x:v>#REF!</x:v>
      </x:c>
      <x:c r="J29" s="103" t="e">
        <x:f>#REF!*8/100</x:f>
        <x:v>#REF!</x:v>
      </x:c>
      <x:c r="K29" s="103" t="e">
        <x:f>#REF!*8/100</x:f>
        <x:v>#REF!</x:v>
      </x:c>
      <x:c r="L29" s="103" t="e">
        <x:f>#REF!*8/100</x:f>
        <x:v>#REF!</x:v>
      </x:c>
      <x:c r="M29" s="103" t="e">
        <x:f>#REF!*8/100</x:f>
        <x:v>#REF!</x:v>
      </x:c>
      <x:c r="N29" s="103" t="e">
        <x:f>#REF!*8/100</x:f>
        <x:v>#REF!</x:v>
      </x:c>
      <x:c r="O29" s="103" t="e">
        <x:f>#REF!*8/100</x:f>
        <x:v>#REF!</x:v>
      </x:c>
      <x:c r="P29" s="103" t="e">
        <x:f>#REF!*8/100</x:f>
        <x:v>#REF!</x:v>
      </x:c>
      <x:c r="Q29" s="103" t="e">
        <x:f>#REF!*8/100</x:f>
        <x:v>#REF!</x:v>
      </x:c>
      <x:c r="R29" s="103" t="e">
        <x:f>#REF!*8/100</x:f>
        <x:v>#REF!</x:v>
      </x:c>
      <x:c r="S29" s="103" t="e">
        <x:f>#REF!*8/100</x:f>
        <x:v>#REF!</x:v>
      </x:c>
      <x:c r="T29" s="103" t="e">
        <x:f>#REF!*8/100*8/100</x:f>
        <x:v>#REF!</x:v>
      </x:c>
      <x:c r="U29" s="17" t="e">
        <x:f t="shared" si="1"/>
        <x:v>#REF!</x:v>
      </x:c>
      <x:c r="V29" s="18" t="e">
        <x:f t="shared" si="2"/>
        <x:v>#REF!</x:v>
      </x:c>
      <x:c r="W29" s="19" t="e">
        <x:f t="shared" si="0"/>
        <x:v>#REF!</x:v>
      </x:c>
      <x:c r="X29" s="30"/>
      <x:c r="Y29" s="23"/>
    </x:row>
    <x:row r="30" s="1" customFormat="1" ht="29.25">
      <x:c r="A30" s="75">
        <x:v>23</x:v>
      </x:c>
      <x:c r="B30" s="67" t="s">
        <x:v>181</x:v>
      </x:c>
      <x:c r="C30" s="103" t="e">
        <x:f>AVERAGE(#REF!+#REF!+#REF!+#REF!+#REF!)/5*8/100</x:f>
        <x:v>#REF!</x:v>
      </x:c>
      <x:c r="D30" s="103" t="e">
        <x:f>AVERAGE(#REF!+#REF!+#REF!+#REF!+#REF!)/5*8/100</x:f>
        <x:v>#REF!</x:v>
      </x:c>
      <x:c r="E30" s="103" t="e">
        <x:f>AVERAGE(#REF!+#REF!+#REF!+#REF!+#REF!)/5*8/100</x:f>
        <x:v>#REF!</x:v>
      </x:c>
      <x:c r="F30" s="103" t="e">
        <x:f>AVERAGE(#REF!+#REF!+#REF!+#REF!+#REF!)/5*8/100</x:f>
        <x:v>#REF!</x:v>
      </x:c>
      <x:c r="G30" s="103" t="e">
        <x:f>AVERAGE(#REF!+#REF!+#REF!+#REF!+#REF!)/5*8/100</x:f>
        <x:v>#REF!</x:v>
      </x:c>
      <x:c r="H30" s="103" t="e">
        <x:f>AVERAGE(#REF!+#REF!+#REF!+#REF!+#REF!)/5*8/100</x:f>
        <x:v>#REF!</x:v>
      </x:c>
      <x:c r="I30" s="103" t="e">
        <x:f>AVERAGE(#REF!+#REF!+#REF!+#REF!+#REF!)/5*8/100</x:f>
        <x:v>#REF!</x:v>
      </x:c>
      <x:c r="J30" s="103" t="e">
        <x:f>AVERAGE(#REF!+#REF!+#REF!+#REF!+#REF!)/5*8/100</x:f>
        <x:v>#REF!</x:v>
      </x:c>
      <x:c r="K30" s="103" t="e">
        <x:f>AVERAGE(#REF!+#REF!+#REF!+#REF!+#REF!)/5*8/100</x:f>
        <x:v>#REF!</x:v>
      </x:c>
      <x:c r="L30" s="103" t="e">
        <x:f>AVERAGE(#REF!+#REF!+#REF!+#REF!+#REF!)/5*8/100</x:f>
        <x:v>#REF!</x:v>
      </x:c>
      <x:c r="M30" s="103" t="e">
        <x:f>AVERAGE(#REF!+#REF!+#REF!+#REF!+#REF!)/5*8/100</x:f>
        <x:v>#REF!</x:v>
      </x:c>
      <x:c r="N30" s="103" t="e">
        <x:f>AVERAGE(#REF!+#REF!+#REF!+#REF!+#REF!)/5*8/100</x:f>
        <x:v>#REF!</x:v>
      </x:c>
      <x:c r="O30" s="103" t="e">
        <x:f>AVERAGE(#REF!+#REF!+#REF!+#REF!+#REF!)/5*8/100</x:f>
        <x:v>#REF!</x:v>
      </x:c>
      <x:c r="P30" s="103" t="e">
        <x:f>AVERAGE(#REF!+#REF!+#REF!+#REF!+#REF!)/5*8/100</x:f>
        <x:v>#REF!</x:v>
      </x:c>
      <x:c r="Q30" s="103" t="e">
        <x:f>AVERAGE(#REF!+#REF!+#REF!+#REF!+#REF!)/5*8/100</x:f>
        <x:v>#REF!</x:v>
      </x:c>
      <x:c r="R30" s="103" t="e">
        <x:f>AVERAGE(#REF!+#REF!+#REF!+#REF!+#REF!)/5*8/100</x:f>
        <x:v>#REF!</x:v>
      </x:c>
      <x:c r="S30" s="103" t="e">
        <x:f>AVERAGE(#REF!+#REF!+#REF!+#REF!+#REF!)/5*8/100</x:f>
        <x:v>#REF!</x:v>
      </x:c>
      <x:c r="T30" s="103" t="e">
        <x:f>AVERAGE(#REF!+#REF!+#REF!+#REF!+#REF!)/5*8/100</x:f>
        <x:v>#REF!</x:v>
      </x:c>
      <x:c r="U30" s="17" t="e">
        <x:f t="shared" si="1"/>
        <x:v>#REF!</x:v>
      </x:c>
      <x:c r="V30" s="18" t="e">
        <x:f t="shared" si="2"/>
        <x:v>#REF!</x:v>
      </x:c>
      <x:c r="W30" s="19" t="e">
        <x:f t="shared" si="0"/>
        <x:v>#REF!</x:v>
      </x:c>
      <x:c r="X30" s="30"/>
      <x:c r="Y30" s="23"/>
    </x:row>
    <x:row r="31" s="1" customFormat="1" ht="29.25">
      <x:c r="A31" s="53">
        <x:v>24</x:v>
      </x:c>
      <x:c r="B31" s="66" t="s">
        <x:v>182</x:v>
      </x:c>
      <x:c r="C31" s="103" t="e">
        <x:f>#REF!*8/100</x:f>
        <x:v>#REF!</x:v>
      </x:c>
      <x:c r="D31" s="103" t="e">
        <x:f>#REF!*8/100</x:f>
        <x:v>#REF!</x:v>
      </x:c>
      <x:c r="E31" s="103" t="e">
        <x:f>#REF!*8/100</x:f>
        <x:v>#REF!</x:v>
      </x:c>
      <x:c r="F31" s="103" t="e">
        <x:f>#REF!*8/100</x:f>
        <x:v>#REF!</x:v>
      </x:c>
      <x:c r="G31" s="103" t="e">
        <x:f>#REF!*8/100</x:f>
        <x:v>#REF!</x:v>
      </x:c>
      <x:c r="H31" s="103" t="e">
        <x:f>#REF!*8/100</x:f>
        <x:v>#REF!</x:v>
      </x:c>
      <x:c r="I31" s="103" t="e">
        <x:f>#REF!*8/100</x:f>
        <x:v>#REF!</x:v>
      </x:c>
      <x:c r="J31" s="103" t="e">
        <x:f>#REF!*8/100</x:f>
        <x:v>#REF!</x:v>
      </x:c>
      <x:c r="K31" s="103" t="e">
        <x:f>#REF!*8/100</x:f>
        <x:v>#REF!</x:v>
      </x:c>
      <x:c r="L31" s="103" t="e">
        <x:f>#REF!*8/100</x:f>
        <x:v>#REF!</x:v>
      </x:c>
      <x:c r="M31" s="103" t="e">
        <x:f>#REF!*8/100</x:f>
        <x:v>#REF!</x:v>
      </x:c>
      <x:c r="N31" s="103" t="e">
        <x:f>#REF!*8/100</x:f>
        <x:v>#REF!</x:v>
      </x:c>
      <x:c r="O31" s="103" t="e">
        <x:f>#REF!*8/100</x:f>
        <x:v>#REF!</x:v>
      </x:c>
      <x:c r="P31" s="103" t="e">
        <x:f>#REF!*8/100</x:f>
        <x:v>#REF!</x:v>
      </x:c>
      <x:c r="Q31" s="103" t="e">
        <x:f>#REF!*8/100</x:f>
        <x:v>#REF!</x:v>
      </x:c>
      <x:c r="R31" s="103" t="e">
        <x:f>#REF!*8/100</x:f>
        <x:v>#REF!</x:v>
      </x:c>
      <x:c r="S31" s="103" t="e">
        <x:f>#REF!*8/100</x:f>
        <x:v>#REF!</x:v>
      </x:c>
      <x:c r="T31" s="103" t="e">
        <x:f>#REF!*8/100</x:f>
        <x:v>#REF!</x:v>
      </x:c>
      <x:c r="U31" s="17" t="e">
        <x:f t="shared" si="1"/>
        <x:v>#REF!</x:v>
      </x:c>
      <x:c r="V31" s="18" t="e">
        <x:f t="shared" si="2"/>
        <x:v>#REF!</x:v>
      </x:c>
      <x:c r="W31" s="19" t="e">
        <x:f t="shared" si="0"/>
        <x:v>#REF!</x:v>
      </x:c>
      <x:c r="X31" s="30"/>
      <x:c r="Y31" s="23"/>
    </x:row>
    <x:row r="32" s="1" customFormat="1" ht="29.25">
      <x:c r="A32" s="53">
        <x:v>25</x:v>
      </x:c>
      <x:c r="B32" s="66" t="s">
        <x:v>183</x:v>
      </x:c>
      <x:c r="C32" s="103" t="e">
        <x:f>#REF!*8/100</x:f>
        <x:v>#REF!</x:v>
      </x:c>
      <x:c r="D32" s="103" t="e">
        <x:f>#REF!*8/100</x:f>
        <x:v>#REF!</x:v>
      </x:c>
      <x:c r="E32" s="103" t="e">
        <x:f>#REF!*8/100</x:f>
        <x:v>#REF!</x:v>
      </x:c>
      <x:c r="F32" s="103" t="e">
        <x:f>#REF!*8/100</x:f>
        <x:v>#REF!</x:v>
      </x:c>
      <x:c r="G32" s="103" t="e">
        <x:f>#REF!*8/100</x:f>
        <x:v>#REF!</x:v>
      </x:c>
      <x:c r="H32" s="103" t="e">
        <x:f>#REF!*8/100</x:f>
        <x:v>#REF!</x:v>
      </x:c>
      <x:c r="I32" s="103" t="e">
        <x:f>#REF!*8/100</x:f>
        <x:v>#REF!</x:v>
      </x:c>
      <x:c r="J32" s="103" t="e">
        <x:f>#REF!*8/100</x:f>
        <x:v>#REF!</x:v>
      </x:c>
      <x:c r="K32" s="103" t="e">
        <x:f>#REF!*8/100</x:f>
        <x:v>#REF!</x:v>
      </x:c>
      <x:c r="L32" s="103" t="e">
        <x:f>#REF!*8/100</x:f>
        <x:v>#REF!</x:v>
      </x:c>
      <x:c r="M32" s="103" t="e">
        <x:f>#REF!*8/100</x:f>
        <x:v>#REF!</x:v>
      </x:c>
      <x:c r="N32" s="103" t="e">
        <x:f>#REF!*8/100</x:f>
        <x:v>#REF!</x:v>
      </x:c>
      <x:c r="O32" s="103" t="e">
        <x:f>#REF!*8/100</x:f>
        <x:v>#REF!</x:v>
      </x:c>
      <x:c r="P32" s="103" t="e">
        <x:f>#REF!*8/100</x:f>
        <x:v>#REF!</x:v>
      </x:c>
      <x:c r="Q32" s="103" t="e">
        <x:f>#REF!*8/100</x:f>
        <x:v>#REF!</x:v>
      </x:c>
      <x:c r="R32" s="103" t="e">
        <x:f>#REF!*8/100</x:f>
        <x:v>#REF!</x:v>
      </x:c>
      <x:c r="S32" s="103" t="e">
        <x:f>#REF!*8/100</x:f>
        <x:v>#REF!</x:v>
      </x:c>
      <x:c r="T32" s="103" t="e">
        <x:f>#REF!*8/100</x:f>
        <x:v>#REF!</x:v>
      </x:c>
      <x:c r="U32" s="17" t="e">
        <x:f t="shared" si="1"/>
        <x:v>#REF!</x:v>
      </x:c>
      <x:c r="V32" s="18" t="e">
        <x:f t="shared" si="2"/>
        <x:v>#REF!</x:v>
      </x:c>
      <x:c r="W32" s="19" t="e">
        <x:f t="shared" si="0"/>
        <x:v>#REF!</x:v>
      </x:c>
      <x:c r="X32" s="30"/>
      <x:c r="Y32" s="23"/>
    </x:row>
    <x:row r="33" s="1" customFormat="1" ht="29.25" customHeight="1">
      <x:c r="A33" s="53">
        <x:v>26</x:v>
      </x:c>
      <x:c r="B33" s="66" t="s">
        <x:v>184</x:v>
      </x:c>
      <x:c r="C33" s="103" t="e">
        <x:f>#REF!*8/100</x:f>
        <x:v>#REF!</x:v>
      </x:c>
      <x:c r="D33" s="103" t="e">
        <x:f>#REF!*8/100</x:f>
        <x:v>#REF!</x:v>
      </x:c>
      <x:c r="E33" s="103" t="e">
        <x:f>#REF!*8/100</x:f>
        <x:v>#REF!</x:v>
      </x:c>
      <x:c r="F33" s="103" t="e">
        <x:f>#REF!*8/100</x:f>
        <x:v>#REF!</x:v>
      </x:c>
      <x:c r="G33" s="103" t="e">
        <x:f>#REF!*8/100</x:f>
        <x:v>#REF!</x:v>
      </x:c>
      <x:c r="H33" s="103" t="e">
        <x:f>#REF!*8/100</x:f>
        <x:v>#REF!</x:v>
      </x:c>
      <x:c r="I33" s="103" t="e">
        <x:f>#REF!*8/100</x:f>
        <x:v>#REF!</x:v>
      </x:c>
      <x:c r="J33" s="103" t="e">
        <x:f>#REF!*8/100</x:f>
        <x:v>#REF!</x:v>
      </x:c>
      <x:c r="K33" s="103" t="e">
        <x:f>#REF!*8/100</x:f>
        <x:v>#REF!</x:v>
      </x:c>
      <x:c r="L33" s="103" t="e">
        <x:f>#REF!*8/100</x:f>
        <x:v>#REF!</x:v>
      </x:c>
      <x:c r="M33" s="103" t="e">
        <x:f>#REF!*8/100</x:f>
        <x:v>#REF!</x:v>
      </x:c>
      <x:c r="N33" s="103" t="e">
        <x:f>#REF!*8/100</x:f>
        <x:v>#REF!</x:v>
      </x:c>
      <x:c r="O33" s="103" t="e">
        <x:f>#REF!*8/100</x:f>
        <x:v>#REF!</x:v>
      </x:c>
      <x:c r="P33" s="103" t="e">
        <x:f>#REF!*8/100</x:f>
        <x:v>#REF!</x:v>
      </x:c>
      <x:c r="Q33" s="103" t="e">
        <x:f>#REF!*8/100</x:f>
        <x:v>#REF!</x:v>
      </x:c>
      <x:c r="R33" s="103" t="e">
        <x:f>#REF!*8/100</x:f>
        <x:v>#REF!</x:v>
      </x:c>
      <x:c r="S33" s="103" t="e">
        <x:f>#REF!*8/100</x:f>
        <x:v>#REF!</x:v>
      </x:c>
      <x:c r="T33" s="103" t="e">
        <x:f>#REF!*8/100</x:f>
        <x:v>#REF!</x:v>
      </x:c>
      <x:c r="U33" s="17" t="e">
        <x:f t="shared" si="1"/>
        <x:v>#REF!</x:v>
      </x:c>
      <x:c r="V33" s="18" t="e">
        <x:f t="shared" si="2"/>
        <x:v>#REF!</x:v>
      </x:c>
      <x:c r="W33" s="19" t="e">
        <x:f t="shared" si="0"/>
        <x:v>#REF!</x:v>
      </x:c>
      <x:c r="X33" s="30"/>
      <x:c r="Y33" s="23"/>
    </x:row>
    <x:row r="34" s="1" customFormat="1" ht="29.25" customHeight="1">
      <x:c r="A34" s="75">
        <x:v>27</x:v>
      </x:c>
      <x:c r="B34" s="68" t="s">
        <x:v>185</x:v>
      </x:c>
      <x:c r="C34" s="104" t="e">
        <x:f>AVERAGE(#REF!+#REF!)/2*8/100</x:f>
        <x:v>#REF!</x:v>
      </x:c>
      <x:c r="D34" s="104" t="e">
        <x:f>AVERAGE(#REF!+#REF!)/2*8/100</x:f>
        <x:v>#REF!</x:v>
      </x:c>
      <x:c r="E34" s="104" t="e">
        <x:f>AVERAGE(#REF!+#REF!)/2*8/100</x:f>
        <x:v>#REF!</x:v>
      </x:c>
      <x:c r="F34" s="104" t="e">
        <x:f>AVERAGE(#REF!+#REF!)/2*8/100</x:f>
        <x:v>#REF!</x:v>
      </x:c>
      <x:c r="G34" s="104" t="e">
        <x:f>AVERAGE(#REF!+#REF!)/2*8/100</x:f>
        <x:v>#REF!</x:v>
      </x:c>
      <x:c r="H34" s="104" t="e">
        <x:f>AVERAGE(#REF!+#REF!)/2*8/100</x:f>
        <x:v>#REF!</x:v>
      </x:c>
      <x:c r="I34" s="104" t="e">
        <x:f>AVERAGE(#REF!+#REF!)/2*8/100</x:f>
        <x:v>#REF!</x:v>
      </x:c>
      <x:c r="J34" s="104" t="e">
        <x:f>AVERAGE(#REF!+#REF!)/2*8/100</x:f>
        <x:v>#REF!</x:v>
      </x:c>
      <x:c r="K34" s="104" t="e">
        <x:f>AVERAGE(#REF!+#REF!)/2*8/100</x:f>
        <x:v>#REF!</x:v>
      </x:c>
      <x:c r="L34" s="104" t="e">
        <x:f>AVERAGE(#REF!+#REF!)/2*8/100</x:f>
        <x:v>#REF!</x:v>
      </x:c>
      <x:c r="M34" s="104" t="e">
        <x:f>AVERAGE(#REF!+#REF!)/2*8/100</x:f>
        <x:v>#REF!</x:v>
      </x:c>
      <x:c r="N34" s="104" t="e">
        <x:f>AVERAGE(#REF!+#REF!)/2*8/100</x:f>
        <x:v>#REF!</x:v>
      </x:c>
      <x:c r="O34" s="104" t="e">
        <x:f>AVERAGE(#REF!+#REF!)/2*8/100</x:f>
        <x:v>#REF!</x:v>
      </x:c>
      <x:c r="P34" s="104" t="e">
        <x:f>AVERAGE(#REF!+#REF!)/2*8/100</x:f>
        <x:v>#REF!</x:v>
      </x:c>
      <x:c r="Q34" s="104" t="e">
        <x:f>AVERAGE(#REF!+#REF!)/2*8/100</x:f>
        <x:v>#REF!</x:v>
      </x:c>
      <x:c r="R34" s="104" t="e">
        <x:f>AVERAGE(#REF!+#REF!)/2*8/100</x:f>
        <x:v>#REF!</x:v>
      </x:c>
      <x:c r="S34" s="104" t="e">
        <x:f>AVERAGE(#REF!+#REF!)/2*8/100</x:f>
        <x:v>#REF!</x:v>
      </x:c>
      <x:c r="T34" s="104" t="e">
        <x:f>AVERAGE(#REF!+#REF!)/2*8/100</x:f>
        <x:v>#REF!</x:v>
      </x:c>
      <x:c r="U34" s="17" t="e">
        <x:f t="shared" si="1"/>
        <x:v>#REF!</x:v>
      </x:c>
      <x:c r="V34" s="18" t="e">
        <x:f t="shared" si="2"/>
        <x:v>#REF!</x:v>
      </x:c>
      <x:c r="W34" s="19" t="e">
        <x:f t="shared" si="0"/>
        <x:v>#REF!</x:v>
      </x:c>
      <x:c r="X34" s="32"/>
      <x:c r="Y34" s="33"/>
    </x:row>
    <x:row r="35" s="1" customFormat="1" ht="29.25" customHeight="1">
      <x:c r="A35" s="53">
        <x:v>28</x:v>
      </x:c>
      <x:c r="B35" s="64" t="s">
        <x:v>186</x:v>
      </x:c>
      <x:c r="C35" s="103" t="e">
        <x:f>#REF!*8/100</x:f>
        <x:v>#REF!</x:v>
      </x:c>
      <x:c r="D35" s="103" t="e">
        <x:f>#REF!*8/100</x:f>
        <x:v>#REF!</x:v>
      </x:c>
      <x:c r="E35" s="103" t="e">
        <x:f>#REF!*8/100</x:f>
        <x:v>#REF!</x:v>
      </x:c>
      <x:c r="F35" s="103" t="e">
        <x:f>#REF!*8/100</x:f>
        <x:v>#REF!</x:v>
      </x:c>
      <x:c r="G35" s="103" t="e">
        <x:f>#REF!*8/100</x:f>
        <x:v>#REF!</x:v>
      </x:c>
      <x:c r="H35" s="103" t="e">
        <x:f>#REF!*8/100</x:f>
        <x:v>#REF!</x:v>
      </x:c>
      <x:c r="I35" s="103" t="e">
        <x:f>#REF!*8/100</x:f>
        <x:v>#REF!</x:v>
      </x:c>
      <x:c r="J35" s="103" t="e">
        <x:f>#REF!*8/100</x:f>
        <x:v>#REF!</x:v>
      </x:c>
      <x:c r="K35" s="103" t="e">
        <x:f>#REF!*8/100</x:f>
        <x:v>#REF!</x:v>
      </x:c>
      <x:c r="L35" s="103" t="e">
        <x:f>#REF!*8/100</x:f>
        <x:v>#REF!</x:v>
      </x:c>
      <x:c r="M35" s="103" t="e">
        <x:f>#REF!*8/100</x:f>
        <x:v>#REF!</x:v>
      </x:c>
      <x:c r="N35" s="103" t="e">
        <x:f>#REF!*8/100</x:f>
        <x:v>#REF!</x:v>
      </x:c>
      <x:c r="O35" s="103" t="e">
        <x:f>#REF!*8/100</x:f>
        <x:v>#REF!</x:v>
      </x:c>
      <x:c r="P35" s="103" t="e">
        <x:f>#REF!*8/100</x:f>
        <x:v>#REF!</x:v>
      </x:c>
      <x:c r="Q35" s="103" t="e">
        <x:f>#REF!*8/100</x:f>
        <x:v>#REF!</x:v>
      </x:c>
      <x:c r="R35" s="103" t="e">
        <x:f>#REF!*8/100</x:f>
        <x:v>#REF!</x:v>
      </x:c>
      <x:c r="S35" s="103" t="e">
        <x:f>#REF!*8/100</x:f>
        <x:v>#REF!</x:v>
      </x:c>
      <x:c r="T35" s="103" t="e">
        <x:f>#REF!*8/100</x:f>
        <x:v>#REF!</x:v>
      </x:c>
      <x:c r="U35" s="17" t="e">
        <x:f t="shared" si="1"/>
        <x:v>#REF!</x:v>
      </x:c>
      <x:c r="V35" s="18" t="e">
        <x:f t="shared" si="2"/>
        <x:v>#REF!</x:v>
      </x:c>
      <x:c r="W35" s="19" t="e">
        <x:f t="shared" si="0"/>
        <x:v>#REF!</x:v>
      </x:c>
      <x:c r="X35" s="27"/>
      <x:c r="Y35" s="28"/>
    </x:row>
    <x:row r="36" s="1" customFormat="1" ht="29.25" customHeight="1">
      <x:c r="A36" s="53">
        <x:v>29</x:v>
      </x:c>
      <x:c r="B36" s="66" t="s">
        <x:v>187</x:v>
      </x:c>
      <x:c r="C36" s="103" t="e">
        <x:f>#REF!*8/100</x:f>
        <x:v>#REF!</x:v>
      </x:c>
      <x:c r="D36" s="103" t="e">
        <x:f>#REF!*8/100</x:f>
        <x:v>#REF!</x:v>
      </x:c>
      <x:c r="E36" s="103" t="e">
        <x:f>#REF!*8/100</x:f>
        <x:v>#REF!</x:v>
      </x:c>
      <x:c r="F36" s="103" t="e">
        <x:f>#REF!*8/100</x:f>
        <x:v>#REF!</x:v>
      </x:c>
      <x:c r="G36" s="103" t="e">
        <x:f>#REF!*8/100</x:f>
        <x:v>#REF!</x:v>
      </x:c>
      <x:c r="H36" s="103" t="e">
        <x:f>#REF!*8/100</x:f>
        <x:v>#REF!</x:v>
      </x:c>
      <x:c r="I36" s="103" t="e">
        <x:f>#REF!*8/100</x:f>
        <x:v>#REF!</x:v>
      </x:c>
      <x:c r="J36" s="103" t="e">
        <x:f>#REF!*8/100</x:f>
        <x:v>#REF!</x:v>
      </x:c>
      <x:c r="K36" s="103" t="e">
        <x:f>#REF!*8/100</x:f>
        <x:v>#REF!</x:v>
      </x:c>
      <x:c r="L36" s="103" t="e">
        <x:f>#REF!*8/100</x:f>
        <x:v>#REF!</x:v>
      </x:c>
      <x:c r="M36" s="103" t="e">
        <x:f>#REF!*8/100</x:f>
        <x:v>#REF!</x:v>
      </x:c>
      <x:c r="N36" s="103" t="e">
        <x:f>#REF!*8/100</x:f>
        <x:v>#REF!</x:v>
      </x:c>
      <x:c r="O36" s="103" t="e">
        <x:f>#REF!*8/100</x:f>
        <x:v>#REF!</x:v>
      </x:c>
      <x:c r="P36" s="103" t="e">
        <x:f>#REF!*8/100</x:f>
        <x:v>#REF!</x:v>
      </x:c>
      <x:c r="Q36" s="103" t="e">
        <x:f>#REF!*8/100</x:f>
        <x:v>#REF!</x:v>
      </x:c>
      <x:c r="R36" s="103" t="e">
        <x:f>#REF!*8/100</x:f>
        <x:v>#REF!</x:v>
      </x:c>
      <x:c r="S36" s="103" t="e">
        <x:f>#REF!*8/100</x:f>
        <x:v>#REF!</x:v>
      </x:c>
      <x:c r="T36" s="103" t="e">
        <x:f>#REF!*8/100</x:f>
        <x:v>#REF!</x:v>
      </x:c>
      <x:c r="U36" s="17" t="e">
        <x:f t="shared" si="1"/>
        <x:v>#REF!</x:v>
      </x:c>
      <x:c r="V36" s="18" t="e">
        <x:f t="shared" si="2"/>
        <x:v>#REF!</x:v>
      </x:c>
      <x:c r="W36" s="19" t="e">
        <x:f t="shared" si="0"/>
        <x:v>#REF!</x:v>
      </x:c>
      <x:c r="X36" s="30"/>
      <x:c r="Y36" s="23"/>
    </x:row>
    <x:row r="37" s="1" customFormat="1" ht="29.25">
      <x:c r="A37" s="53">
        <x:v>30</x:v>
      </x:c>
      <x:c r="B37" s="68" t="s">
        <x:v>188</x:v>
      </x:c>
      <x:c r="C37" s="104" t="e">
        <x:f>#REF!*8/100</x:f>
        <x:v>#REF!</x:v>
      </x:c>
      <x:c r="D37" s="104" t="e">
        <x:f>#REF!*8/100</x:f>
        <x:v>#REF!</x:v>
      </x:c>
      <x:c r="E37" s="104" t="e">
        <x:f>#REF!*8/100</x:f>
        <x:v>#REF!</x:v>
      </x:c>
      <x:c r="F37" s="104" t="e">
        <x:f>#REF!*8/100</x:f>
        <x:v>#REF!</x:v>
      </x:c>
      <x:c r="G37" s="104" t="e">
        <x:f>#REF!*8/100</x:f>
        <x:v>#REF!</x:v>
      </x:c>
      <x:c r="H37" s="104" t="e">
        <x:f>#REF!*8/100</x:f>
        <x:v>#REF!</x:v>
      </x:c>
      <x:c r="I37" s="104" t="e">
        <x:f>#REF!*8/100</x:f>
        <x:v>#REF!</x:v>
      </x:c>
      <x:c r="J37" s="104" t="e">
        <x:f>#REF!*8/100</x:f>
        <x:v>#REF!</x:v>
      </x:c>
      <x:c r="K37" s="104" t="e">
        <x:f>#REF!*8/100</x:f>
        <x:v>#REF!</x:v>
      </x:c>
      <x:c r="L37" s="104" t="e">
        <x:f>#REF!*8/100</x:f>
        <x:v>#REF!</x:v>
      </x:c>
      <x:c r="M37" s="104" t="e">
        <x:f>#REF!*8/100</x:f>
        <x:v>#REF!</x:v>
      </x:c>
      <x:c r="N37" s="104" t="e">
        <x:f>#REF!*8/100</x:f>
        <x:v>#REF!</x:v>
      </x:c>
      <x:c r="O37" s="104" t="e">
        <x:f>#REF!*8/100</x:f>
        <x:v>#REF!</x:v>
      </x:c>
      <x:c r="P37" s="104" t="e">
        <x:f>#REF!*8/100</x:f>
        <x:v>#REF!</x:v>
      </x:c>
      <x:c r="Q37" s="104" t="e">
        <x:f>#REF!*8/100</x:f>
        <x:v>#REF!</x:v>
      </x:c>
      <x:c r="R37" s="104" t="e">
        <x:f>#REF!*8/100</x:f>
        <x:v>#REF!</x:v>
      </x:c>
      <x:c r="S37" s="104" t="e">
        <x:f>#REF!*8/100</x:f>
        <x:v>#REF!</x:v>
      </x:c>
      <x:c r="T37" s="104" t="e">
        <x:f>#REF!*8/100</x:f>
        <x:v>#REF!</x:v>
      </x:c>
      <x:c r="U37" s="17" t="e">
        <x:f t="shared" si="1"/>
        <x:v>#REF!</x:v>
      </x:c>
      <x:c r="V37" s="18" t="e">
        <x:f t="shared" si="2"/>
        <x:v>#REF!</x:v>
      </x:c>
      <x:c r="W37" s="19" t="e">
        <x:f t="shared" si="0"/>
        <x:v>#REF!</x:v>
      </x:c>
      <x:c r="X37" s="30"/>
      <x:c r="Y37" s="23"/>
    </x:row>
    <x:row r="38" s="1" customFormat="1" ht="29.25" customHeight="1">
      <x:c r="A38" s="53">
        <x:v>31</x:v>
      </x:c>
      <x:c r="B38" s="69" t="s">
        <x:v>189</x:v>
      </x:c>
      <x:c r="C38" s="103" t="e">
        <x:f>#REF!*8/100</x:f>
        <x:v>#REF!</x:v>
      </x:c>
      <x:c r="D38" s="103" t="e">
        <x:f>#REF!*8/100</x:f>
        <x:v>#REF!</x:v>
      </x:c>
      <x:c r="E38" s="103" t="e">
        <x:f>#REF!*8/100</x:f>
        <x:v>#REF!</x:v>
      </x:c>
      <x:c r="F38" s="103" t="e">
        <x:f>#REF!*8/100</x:f>
        <x:v>#REF!</x:v>
      </x:c>
      <x:c r="G38" s="103" t="e">
        <x:f>#REF!*8/100</x:f>
        <x:v>#REF!</x:v>
      </x:c>
      <x:c r="H38" s="103" t="e">
        <x:f>#REF!*8/100</x:f>
        <x:v>#REF!</x:v>
      </x:c>
      <x:c r="I38" s="103" t="e">
        <x:f>#REF!*8/100</x:f>
        <x:v>#REF!</x:v>
      </x:c>
      <x:c r="J38" s="103" t="e">
        <x:f>#REF!*8/100</x:f>
        <x:v>#REF!</x:v>
      </x:c>
      <x:c r="K38" s="103" t="e">
        <x:f>#REF!*8/100</x:f>
        <x:v>#REF!</x:v>
      </x:c>
      <x:c r="L38" s="103" t="e">
        <x:f>#REF!*8/100</x:f>
        <x:v>#REF!</x:v>
      </x:c>
      <x:c r="M38" s="103" t="e">
        <x:f>#REF!*8/100</x:f>
        <x:v>#REF!</x:v>
      </x:c>
      <x:c r="N38" s="103" t="e">
        <x:f>#REF!*8/100</x:f>
        <x:v>#REF!</x:v>
      </x:c>
      <x:c r="O38" s="103" t="e">
        <x:f>#REF!*8/100</x:f>
        <x:v>#REF!</x:v>
      </x:c>
      <x:c r="P38" s="103" t="e">
        <x:f>#REF!*8/100</x:f>
        <x:v>#REF!</x:v>
      </x:c>
      <x:c r="Q38" s="103" t="e">
        <x:f>#REF!*8/100</x:f>
        <x:v>#REF!</x:v>
      </x:c>
      <x:c r="R38" s="103" t="e">
        <x:f>#REF!*8/100</x:f>
        <x:v>#REF!</x:v>
      </x:c>
      <x:c r="S38" s="103" t="e">
        <x:f>#REF!*8/100</x:f>
        <x:v>#REF!</x:v>
      </x:c>
      <x:c r="T38" s="103" t="e">
        <x:f>#REF!*8/100</x:f>
        <x:v>#REF!</x:v>
      </x:c>
      <x:c r="U38" s="17" t="e">
        <x:f t="shared" si="1"/>
        <x:v>#REF!</x:v>
      </x:c>
      <x:c r="V38" s="18" t="e">
        <x:f t="shared" si="2"/>
        <x:v>#REF!</x:v>
      </x:c>
      <x:c r="W38" s="19" t="e">
        <x:f t="shared" si="0"/>
        <x:v>#REF!</x:v>
      </x:c>
      <x:c r="X38" s="30"/>
      <x:c r="Y38" s="23"/>
    </x:row>
    <x:row r="39" s="1" customFormat="1" ht="29.25" customHeight="1">
      <x:c r="A39" s="53">
        <x:v>32</x:v>
      </x:c>
      <x:c r="B39" s="70" t="s">
        <x:v>190</x:v>
      </x:c>
      <x:c r="C39" s="103" t="e">
        <x:f>#REF!*8/100</x:f>
        <x:v>#REF!</x:v>
      </x:c>
      <x:c r="D39" s="103" t="e">
        <x:f>#REF!*8/100</x:f>
        <x:v>#REF!</x:v>
      </x:c>
      <x:c r="E39" s="103" t="e">
        <x:f>#REF!*8/100</x:f>
        <x:v>#REF!</x:v>
      </x:c>
      <x:c r="F39" s="103" t="e">
        <x:f>#REF!*8/100</x:f>
        <x:v>#REF!</x:v>
      </x:c>
      <x:c r="G39" s="103" t="e">
        <x:f>#REF!*8/100</x:f>
        <x:v>#REF!</x:v>
      </x:c>
      <x:c r="H39" s="103" t="e">
        <x:f>#REF!*8/100</x:f>
        <x:v>#REF!</x:v>
      </x:c>
      <x:c r="I39" s="103" t="e">
        <x:f>#REF!*8/100</x:f>
        <x:v>#REF!</x:v>
      </x:c>
      <x:c r="J39" s="103" t="e">
        <x:f>#REF!*8/100</x:f>
        <x:v>#REF!</x:v>
      </x:c>
      <x:c r="K39" s="103" t="e">
        <x:f>#REF!*8/100</x:f>
        <x:v>#REF!</x:v>
      </x:c>
      <x:c r="L39" s="103" t="e">
        <x:f>#REF!*8/100</x:f>
        <x:v>#REF!</x:v>
      </x:c>
      <x:c r="M39" s="103" t="e">
        <x:f>#REF!*8/100</x:f>
        <x:v>#REF!</x:v>
      </x:c>
      <x:c r="N39" s="103" t="e">
        <x:f>#REF!*8/100</x:f>
        <x:v>#REF!</x:v>
      </x:c>
      <x:c r="O39" s="103" t="e">
        <x:f>#REF!*8/100</x:f>
        <x:v>#REF!</x:v>
      </x:c>
      <x:c r="P39" s="103" t="e">
        <x:f>#REF!*8/100</x:f>
        <x:v>#REF!</x:v>
      </x:c>
      <x:c r="Q39" s="103" t="e">
        <x:f>#REF!*8/100</x:f>
        <x:v>#REF!</x:v>
      </x:c>
      <x:c r="R39" s="103" t="e">
        <x:f>#REF!*8/100</x:f>
        <x:v>#REF!</x:v>
      </x:c>
      <x:c r="S39" s="103" t="e">
        <x:f>#REF!*8/100</x:f>
        <x:v>#REF!</x:v>
      </x:c>
      <x:c r="T39" s="103" t="e">
        <x:f>#REF!*8/100</x:f>
        <x:v>#REF!</x:v>
      </x:c>
      <x:c r="U39" s="17" t="e">
        <x:f t="shared" si="1"/>
        <x:v>#REF!</x:v>
      </x:c>
      <x:c r="V39" s="18" t="e">
        <x:f t="shared" si="2"/>
        <x:v>#REF!</x:v>
      </x:c>
      <x:c r="W39" s="19" t="e">
        <x:f t="shared" si="0"/>
        <x:v>#REF!</x:v>
      </x:c>
      <x:c r="X39" s="30"/>
      <x:c r="Y39" s="35"/>
    </x:row>
    <x:row r="40" s="1" customFormat="1" ht="29.25" customHeight="1">
      <x:c r="A40" s="53">
        <x:v>33</x:v>
      </x:c>
      <x:c r="B40" s="66" t="s">
        <x:v>191</x:v>
      </x:c>
      <x:c r="C40" s="103" t="e">
        <x:f>#REF!*8/100</x:f>
        <x:v>#REF!</x:v>
      </x:c>
      <x:c r="D40" s="103" t="e">
        <x:f>#REF!*8/100</x:f>
        <x:v>#REF!</x:v>
      </x:c>
      <x:c r="E40" s="103" t="e">
        <x:f>#REF!*8/100</x:f>
        <x:v>#REF!</x:v>
      </x:c>
      <x:c r="F40" s="103" t="e">
        <x:f>#REF!*8/100</x:f>
        <x:v>#REF!</x:v>
      </x:c>
      <x:c r="G40" s="103" t="e">
        <x:f>#REF!*8/100</x:f>
        <x:v>#REF!</x:v>
      </x:c>
      <x:c r="H40" s="103" t="e">
        <x:f>#REF!*8/100</x:f>
        <x:v>#REF!</x:v>
      </x:c>
      <x:c r="I40" s="103" t="e">
        <x:f>#REF!*8/100</x:f>
        <x:v>#REF!</x:v>
      </x:c>
      <x:c r="J40" s="103" t="e">
        <x:f>#REF!*8/100</x:f>
        <x:v>#REF!</x:v>
      </x:c>
      <x:c r="K40" s="103" t="e">
        <x:f>#REF!*8/100</x:f>
        <x:v>#REF!</x:v>
      </x:c>
      <x:c r="L40" s="103" t="e">
        <x:f>#REF!*8/100</x:f>
        <x:v>#REF!</x:v>
      </x:c>
      <x:c r="M40" s="103" t="e">
        <x:f>#REF!*8/100</x:f>
        <x:v>#REF!</x:v>
      </x:c>
      <x:c r="N40" s="103" t="e">
        <x:f>#REF!*8/100</x:f>
        <x:v>#REF!</x:v>
      </x:c>
      <x:c r="O40" s="103" t="e">
        <x:f>#REF!*8/100</x:f>
        <x:v>#REF!</x:v>
      </x:c>
      <x:c r="P40" s="103" t="e">
        <x:f>#REF!*8/100</x:f>
        <x:v>#REF!</x:v>
      </x:c>
      <x:c r="Q40" s="103" t="e">
        <x:f>#REF!*8/100</x:f>
        <x:v>#REF!</x:v>
      </x:c>
      <x:c r="R40" s="103" t="e">
        <x:f>#REF!*8/100</x:f>
        <x:v>#REF!</x:v>
      </x:c>
      <x:c r="S40" s="103" t="e">
        <x:f>#REF!*8/100</x:f>
        <x:v>#REF!</x:v>
      </x:c>
      <x:c r="T40" s="103" t="e">
        <x:f>#REF!*8/100</x:f>
        <x:v>#REF!</x:v>
      </x:c>
      <x:c r="U40" s="17" t="e">
        <x:f t="shared" si="1"/>
        <x:v>#REF!</x:v>
      </x:c>
      <x:c r="V40" s="18" t="e">
        <x:f t="shared" si="2"/>
        <x:v>#REF!</x:v>
      </x:c>
      <x:c r="W40" s="19" t="e">
        <x:f t="shared" ref="W40:W56" si="3">AVERAGE(C40:T40)/100*18</x:f>
        <x:v>#VALUE!</x:v>
      </x:c>
      <x:c r="X40" s="30"/>
      <x:c r="Y40" s="35"/>
    </x:row>
    <x:row r="41" s="1" customFormat="1" ht="29.25" customHeight="1">
      <x:c r="A41" s="53">
        <x:v>34</x:v>
      </x:c>
      <x:c r="B41" s="70" t="s">
        <x:v>192</x:v>
      </x:c>
      <x:c r="C41" s="103" t="e">
        <x:f>#REF!*8/100</x:f>
        <x:v>#REF!</x:v>
      </x:c>
      <x:c r="D41" s="103" t="e">
        <x:f>#REF!*8/100</x:f>
        <x:v>#REF!</x:v>
      </x:c>
      <x:c r="E41" s="103" t="e">
        <x:f>#REF!*8/100</x:f>
        <x:v>#REF!</x:v>
      </x:c>
      <x:c r="F41" s="103" t="e">
        <x:f>#REF!*8/100</x:f>
        <x:v>#REF!</x:v>
      </x:c>
      <x:c r="G41" s="103" t="e">
        <x:f>#REF!*8/100</x:f>
        <x:v>#REF!</x:v>
      </x:c>
      <x:c r="H41" s="103" t="e">
        <x:f>#REF!*8/100</x:f>
        <x:v>#REF!</x:v>
      </x:c>
      <x:c r="I41" s="103" t="e">
        <x:f>#REF!*8/100</x:f>
        <x:v>#REF!</x:v>
      </x:c>
      <x:c r="J41" s="103" t="e">
        <x:f>#REF!*8/100</x:f>
        <x:v>#REF!</x:v>
      </x:c>
      <x:c r="K41" s="103" t="e">
        <x:f>#REF!*8/100</x:f>
        <x:v>#REF!</x:v>
      </x:c>
      <x:c r="L41" s="103" t="e">
        <x:f>#REF!*8/100</x:f>
        <x:v>#REF!</x:v>
      </x:c>
      <x:c r="M41" s="103" t="e">
        <x:f>#REF!*8/100</x:f>
        <x:v>#REF!</x:v>
      </x:c>
      <x:c r="N41" s="103" t="e">
        <x:f>#REF!*8/100</x:f>
        <x:v>#REF!</x:v>
      </x:c>
      <x:c r="O41" s="103" t="e">
        <x:f>#REF!*8/100</x:f>
        <x:v>#REF!</x:v>
      </x:c>
      <x:c r="P41" s="103" t="e">
        <x:f>#REF!*8/100</x:f>
        <x:v>#REF!</x:v>
      </x:c>
      <x:c r="Q41" s="103" t="e">
        <x:f>#REF!*8/100</x:f>
        <x:v>#REF!</x:v>
      </x:c>
      <x:c r="R41" s="103" t="e">
        <x:f>#REF!*8/100</x:f>
        <x:v>#REF!</x:v>
      </x:c>
      <x:c r="S41" s="103" t="e">
        <x:f>#REF!*8/100</x:f>
        <x:v>#REF!</x:v>
      </x:c>
      <x:c r="T41" s="103" t="e">
        <x:f>#REF!*8/100</x:f>
        <x:v>#REF!</x:v>
      </x:c>
      <x:c r="U41" s="17" t="e">
        <x:f t="shared" si="1"/>
        <x:v>#REF!</x:v>
      </x:c>
      <x:c r="V41" s="18" t="e">
        <x:f t="shared" si="2"/>
        <x:v>#REF!</x:v>
      </x:c>
      <x:c r="W41" s="19" t="e">
        <x:f t="shared" si="3"/>
        <x:v>#REF!</x:v>
      </x:c>
      <x:c r="X41" s="30"/>
      <x:c r="Y41" s="35"/>
    </x:row>
    <x:row r="42" s="1" customFormat="1" ht="29.25">
      <x:c r="A42" s="75">
        <x:v>35</x:v>
      </x:c>
      <x:c r="B42" s="70" t="s">
        <x:v>193</x:v>
      </x:c>
      <x:c r="C42" s="103" t="e">
        <x:f>#REF!*8/100</x:f>
        <x:v>#REF!</x:v>
      </x:c>
      <x:c r="D42" s="103" t="e">
        <x:f>#REF!*8/100</x:f>
        <x:v>#REF!</x:v>
      </x:c>
      <x:c r="E42" s="103" t="e">
        <x:f>#REF!*8/100</x:f>
        <x:v>#REF!</x:v>
      </x:c>
      <x:c r="F42" s="103" t="e">
        <x:f>#REF!*8/100</x:f>
        <x:v>#REF!</x:v>
      </x:c>
      <x:c r="G42" s="103" t="e">
        <x:f>#REF!*8/100</x:f>
        <x:v>#REF!</x:v>
      </x:c>
      <x:c r="H42" s="103" t="e">
        <x:f>#REF!*8/100</x:f>
        <x:v>#REF!</x:v>
      </x:c>
      <x:c r="I42" s="103" t="e">
        <x:f>#REF!*8/100</x:f>
        <x:v>#REF!</x:v>
      </x:c>
      <x:c r="J42" s="103" t="e">
        <x:f>#REF!*8/100</x:f>
        <x:v>#REF!</x:v>
      </x:c>
      <x:c r="K42" s="103" t="e">
        <x:f>#REF!*8/100</x:f>
        <x:v>#REF!</x:v>
      </x:c>
      <x:c r="L42" s="103" t="e">
        <x:f>#REF!*8/100</x:f>
        <x:v>#REF!</x:v>
      </x:c>
      <x:c r="M42" s="103" t="e">
        <x:f>#REF!*8/100</x:f>
        <x:v>#REF!</x:v>
      </x:c>
      <x:c r="N42" s="103" t="e">
        <x:f>#REF!*8/100</x:f>
        <x:v>#REF!</x:v>
      </x:c>
      <x:c r="O42" s="103" t="e">
        <x:f>#REF!*8/100</x:f>
        <x:v>#REF!</x:v>
      </x:c>
      <x:c r="P42" s="103" t="e">
        <x:f>#REF!*8/100</x:f>
        <x:v>#REF!</x:v>
      </x:c>
      <x:c r="Q42" s="103" t="e">
        <x:f>#REF!*8/100</x:f>
        <x:v>#REF!</x:v>
      </x:c>
      <x:c r="R42" s="103" t="e">
        <x:f>#REF!*8/100</x:f>
        <x:v>#REF!</x:v>
      </x:c>
      <x:c r="S42" s="103" t="e">
        <x:f>#REF!*8/100</x:f>
        <x:v>#REF!</x:v>
      </x:c>
      <x:c r="T42" s="103" t="e">
        <x:f>#REF!*8/100</x:f>
        <x:v>#REF!</x:v>
      </x:c>
      <x:c r="U42" s="17" t="e">
        <x:f t="shared" si="1"/>
        <x:v>#REF!</x:v>
      </x:c>
      <x:c r="V42" s="18" t="e">
        <x:f t="shared" si="2"/>
        <x:v>#REF!</x:v>
      </x:c>
      <x:c r="W42" s="19" t="e">
        <x:f t="shared" si="3"/>
        <x:v>#REF!</x:v>
      </x:c>
      <x:c r="X42" s="30"/>
      <x:c r="Y42" s="35"/>
    </x:row>
    <x:row r="43" s="1" customFormat="1" ht="29.25">
      <x:c r="A43" s="53">
        <x:v>36</x:v>
      </x:c>
      <x:c r="B43" s="70" t="s">
        <x:v>194</x:v>
      </x:c>
      <x:c r="C43" s="103" t="e">
        <x:f>#REF!*8/100</x:f>
        <x:v>#REF!</x:v>
      </x:c>
      <x:c r="D43" s="103" t="e">
        <x:f>#REF!*8/100</x:f>
        <x:v>#REF!</x:v>
      </x:c>
      <x:c r="E43" s="103" t="e">
        <x:f>#REF!*8/100</x:f>
        <x:v>#REF!</x:v>
      </x:c>
      <x:c r="F43" s="103" t="e">
        <x:f>#REF!*8/100</x:f>
        <x:v>#REF!</x:v>
      </x:c>
      <x:c r="G43" s="103" t="e">
        <x:f>#REF!*8/100</x:f>
        <x:v>#REF!</x:v>
      </x:c>
      <x:c r="H43" s="103" t="e">
        <x:f>#REF!*8/100</x:f>
        <x:v>#REF!</x:v>
      </x:c>
      <x:c r="I43" s="103" t="e">
        <x:f>#REF!*8/100</x:f>
        <x:v>#REF!</x:v>
      </x:c>
      <x:c r="J43" s="103" t="e">
        <x:f>#REF!*8/100</x:f>
        <x:v>#REF!</x:v>
      </x:c>
      <x:c r="K43" s="103" t="e">
        <x:f>#REF!*8/100</x:f>
        <x:v>#REF!</x:v>
      </x:c>
      <x:c r="L43" s="103" t="e">
        <x:f>#REF!*8/100</x:f>
        <x:v>#REF!</x:v>
      </x:c>
      <x:c r="M43" s="103" t="e">
        <x:f>#REF!*8/100</x:f>
        <x:v>#REF!</x:v>
      </x:c>
      <x:c r="N43" s="103" t="e">
        <x:f>#REF!*8/100</x:f>
        <x:v>#REF!</x:v>
      </x:c>
      <x:c r="O43" s="103" t="e">
        <x:f>#REF!*8/100</x:f>
        <x:v>#REF!</x:v>
      </x:c>
      <x:c r="P43" s="103" t="e">
        <x:f>#REF!*8/100</x:f>
        <x:v>#REF!</x:v>
      </x:c>
      <x:c r="Q43" s="103" t="e">
        <x:f>#REF!*8/100</x:f>
        <x:v>#REF!</x:v>
      </x:c>
      <x:c r="R43" s="103" t="e">
        <x:f>#REF!*8/100</x:f>
        <x:v>#REF!</x:v>
      </x:c>
      <x:c r="S43" s="103" t="e">
        <x:f>#REF!*8/100</x:f>
        <x:v>#REF!</x:v>
      </x:c>
      <x:c r="T43" s="103" t="e">
        <x:f>#REF!*8/100</x:f>
        <x:v>#REF!</x:v>
      </x:c>
      <x:c r="U43" s="17" t="e">
        <x:f t="shared" si="1"/>
        <x:v>#REF!</x:v>
      </x:c>
      <x:c r="V43" s="18" t="e">
        <x:f t="shared" si="2"/>
        <x:v>#REF!</x:v>
      </x:c>
      <x:c r="W43" s="19" t="e">
        <x:f t="shared" si="3"/>
        <x:v>#REF!</x:v>
      </x:c>
      <x:c r="X43" s="30"/>
      <x:c r="Y43" s="35"/>
    </x:row>
    <x:row r="44" s="1" customFormat="1" ht="29.25">
      <x:c r="A44" s="53">
        <x:v>37</x:v>
      </x:c>
      <x:c r="B44" s="52" t="s">
        <x:v>195</x:v>
      </x:c>
      <x:c r="C44" s="103" t="e">
        <x:f>#REF!*8/100</x:f>
        <x:v>#REF!</x:v>
      </x:c>
      <x:c r="D44" s="103" t="e">
        <x:f>#REF!*8/100</x:f>
        <x:v>#REF!</x:v>
      </x:c>
      <x:c r="E44" s="103" t="e">
        <x:f>#REF!*8/100</x:f>
        <x:v>#REF!</x:v>
      </x:c>
      <x:c r="F44" s="103" t="e">
        <x:f>#REF!*8/100</x:f>
        <x:v>#REF!</x:v>
      </x:c>
      <x:c r="G44" s="103" t="e">
        <x:f>#REF!*8/100</x:f>
        <x:v>#REF!</x:v>
      </x:c>
      <x:c r="H44" s="103" t="e">
        <x:f>#REF!*8/100</x:f>
        <x:v>#REF!</x:v>
      </x:c>
      <x:c r="I44" s="103" t="e">
        <x:f>#REF!*8/100</x:f>
        <x:v>#REF!</x:v>
      </x:c>
      <x:c r="J44" s="103" t="e">
        <x:f>#REF!*8/100</x:f>
        <x:v>#REF!</x:v>
      </x:c>
      <x:c r="K44" s="103" t="e">
        <x:f>#REF!*8/100</x:f>
        <x:v>#REF!</x:v>
      </x:c>
      <x:c r="L44" s="103" t="e">
        <x:f>#REF!*8/100</x:f>
        <x:v>#REF!</x:v>
      </x:c>
      <x:c r="M44" s="103" t="e">
        <x:f>#REF!*8/100</x:f>
        <x:v>#REF!</x:v>
      </x:c>
      <x:c r="N44" s="103" t="e">
        <x:f>#REF!*8/100</x:f>
        <x:v>#REF!</x:v>
      </x:c>
      <x:c r="O44" s="103" t="e">
        <x:f>#REF!*8/100</x:f>
        <x:v>#REF!</x:v>
      </x:c>
      <x:c r="P44" s="103" t="e">
        <x:f>#REF!*8/100</x:f>
        <x:v>#REF!</x:v>
      </x:c>
      <x:c r="Q44" s="103" t="e">
        <x:f>#REF!*8/100</x:f>
        <x:v>#REF!</x:v>
      </x:c>
      <x:c r="R44" s="103" t="e">
        <x:f>#REF!*8/100</x:f>
        <x:v>#REF!</x:v>
      </x:c>
      <x:c r="S44" s="103" t="e">
        <x:f>#REF!*8/100</x:f>
        <x:v>#REF!</x:v>
      </x:c>
      <x:c r="T44" s="103" t="e">
        <x:f>#REF!*8/100</x:f>
        <x:v>#REF!</x:v>
      </x:c>
      <x:c r="U44" s="17" t="e">
        <x:f t="shared" si="1"/>
        <x:v>#REF!</x:v>
      </x:c>
      <x:c r="V44" s="18" t="e">
        <x:f t="shared" si="2"/>
        <x:v>#REF!</x:v>
      </x:c>
      <x:c r="W44" s="19" t="e">
        <x:f t="shared" si="3"/>
        <x:v>#REF!</x:v>
      </x:c>
      <x:c r="X44" s="30"/>
      <x:c r="Y44" s="23"/>
    </x:row>
    <x:row r="45" s="1" customFormat="1" ht="29.25" customHeight="1">
      <x:c r="A45" s="53">
        <x:v>38</x:v>
      </x:c>
      <x:c r="B45" s="52" t="s">
        <x:v>196</x:v>
      </x:c>
      <x:c r="C45" s="103" t="e">
        <x:f>#REF!*8/100</x:f>
        <x:v>#REF!</x:v>
      </x:c>
      <x:c r="D45" s="103" t="e">
        <x:f>#REF!*8/100</x:f>
        <x:v>#REF!</x:v>
      </x:c>
      <x:c r="E45" s="103" t="e">
        <x:f>#REF!*8/100</x:f>
        <x:v>#REF!</x:v>
      </x:c>
      <x:c r="F45" s="103" t="e">
        <x:f>#REF!*8/100</x:f>
        <x:v>#REF!</x:v>
      </x:c>
      <x:c r="G45" s="103" t="e">
        <x:f>#REF!*8/100</x:f>
        <x:v>#REF!</x:v>
      </x:c>
      <x:c r="H45" s="103" t="e">
        <x:f>#REF!*8/100</x:f>
        <x:v>#REF!</x:v>
      </x:c>
      <x:c r="I45" s="103" t="e">
        <x:f>#REF!*8/100</x:f>
        <x:v>#REF!</x:v>
      </x:c>
      <x:c r="J45" s="103" t="e">
        <x:f>#REF!*8/100</x:f>
        <x:v>#REF!</x:v>
      </x:c>
      <x:c r="K45" s="103" t="e">
        <x:f>#REF!*8/100</x:f>
        <x:v>#REF!</x:v>
      </x:c>
      <x:c r="L45" s="103" t="e">
        <x:f>#REF!*8/100</x:f>
        <x:v>#REF!</x:v>
      </x:c>
      <x:c r="M45" s="103" t="e">
        <x:f>#REF!*8/100</x:f>
        <x:v>#REF!</x:v>
      </x:c>
      <x:c r="N45" s="103" t="e">
        <x:f>#REF!*8/100</x:f>
        <x:v>#REF!</x:v>
      </x:c>
      <x:c r="O45" s="103" t="e">
        <x:f>#REF!*8/100</x:f>
        <x:v>#REF!</x:v>
      </x:c>
      <x:c r="P45" s="103" t="e">
        <x:f>#REF!*8/100</x:f>
        <x:v>#REF!</x:v>
      </x:c>
      <x:c r="Q45" s="103" t="e">
        <x:f>#REF!*8/100</x:f>
        <x:v>#REF!</x:v>
      </x:c>
      <x:c r="R45" s="103" t="e">
        <x:f>#REF!*8/100</x:f>
        <x:v>#REF!</x:v>
      </x:c>
      <x:c r="S45" s="103" t="e">
        <x:f>#REF!*8/100</x:f>
        <x:v>#REF!</x:v>
      </x:c>
      <x:c r="T45" s="103" t="e">
        <x:f>#REF!*8/100</x:f>
        <x:v>#REF!</x:v>
      </x:c>
      <x:c r="U45" s="17" t="e">
        <x:f t="shared" si="1"/>
        <x:v>#REF!</x:v>
      </x:c>
      <x:c r="V45" s="18" t="e">
        <x:f t="shared" si="2"/>
        <x:v>#REF!</x:v>
      </x:c>
      <x:c r="W45" s="19" t="e">
        <x:f t="shared" si="3"/>
        <x:v>#REF!</x:v>
      </x:c>
      <x:c r="X45" s="30"/>
      <x:c r="Y45" s="35"/>
    </x:row>
    <x:row r="46" s="1" customFormat="1" ht="29.25" customHeight="1">
      <x:c r="A46" s="53">
        <x:v>39</x:v>
      </x:c>
      <x:c r="B46" s="52" t="s">
        <x:v>197</x:v>
      </x:c>
      <x:c r="C46" s="103" t="e">
        <x:f>#REF!*8/100</x:f>
        <x:v>#REF!</x:v>
      </x:c>
      <x:c r="D46" s="103" t="e">
        <x:f>#REF!*8/100</x:f>
        <x:v>#REF!</x:v>
      </x:c>
      <x:c r="E46" s="103" t="e">
        <x:f>#REF!*8/100</x:f>
        <x:v>#REF!</x:v>
      </x:c>
      <x:c r="F46" s="103" t="e">
        <x:f>#REF!*8/100</x:f>
        <x:v>#REF!</x:v>
      </x:c>
      <x:c r="G46" s="103" t="e">
        <x:f>#REF!*8/100</x:f>
        <x:v>#REF!</x:v>
      </x:c>
      <x:c r="H46" s="103" t="e">
        <x:f>#REF!*8/100</x:f>
        <x:v>#REF!</x:v>
      </x:c>
      <x:c r="I46" s="103" t="e">
        <x:f>#REF!*8/100</x:f>
        <x:v>#REF!</x:v>
      </x:c>
      <x:c r="J46" s="103" t="e">
        <x:f>#REF!*8/100</x:f>
        <x:v>#REF!</x:v>
      </x:c>
      <x:c r="K46" s="103" t="e">
        <x:f>#REF!*8/100</x:f>
        <x:v>#REF!</x:v>
      </x:c>
      <x:c r="L46" s="103" t="e">
        <x:f>#REF!*8/100</x:f>
        <x:v>#REF!</x:v>
      </x:c>
      <x:c r="M46" s="103" t="e">
        <x:f>#REF!*8/100</x:f>
        <x:v>#REF!</x:v>
      </x:c>
      <x:c r="N46" s="103" t="e">
        <x:f>#REF!*8/100</x:f>
        <x:v>#REF!</x:v>
      </x:c>
      <x:c r="O46" s="103" t="e">
        <x:f>#REF!*8/100</x:f>
        <x:v>#REF!</x:v>
      </x:c>
      <x:c r="P46" s="103" t="e">
        <x:f>#REF!*8/100</x:f>
        <x:v>#REF!</x:v>
      </x:c>
      <x:c r="Q46" s="103" t="e">
        <x:f>#REF!*8/100</x:f>
        <x:v>#REF!</x:v>
      </x:c>
      <x:c r="R46" s="103" t="e">
        <x:f>#REF!*8/100</x:f>
        <x:v>#REF!</x:v>
      </x:c>
      <x:c r="S46" s="103" t="e">
        <x:f>#REF!*8/100</x:f>
        <x:v>#REF!</x:v>
      </x:c>
      <x:c r="T46" s="103" t="e">
        <x:f>#REF!*8/100</x:f>
        <x:v>#REF!</x:v>
      </x:c>
      <x:c r="U46" s="17" t="e">
        <x:f t="shared" si="1"/>
        <x:v>#REF!</x:v>
      </x:c>
      <x:c r="V46" s="18" t="e">
        <x:f t="shared" si="2"/>
        <x:v>#REF!</x:v>
      </x:c>
      <x:c r="W46" s="19" t="e">
        <x:f t="shared" si="3"/>
        <x:v>#REF!</x:v>
      </x:c>
      <x:c r="X46" s="30"/>
      <x:c r="Y46" s="35"/>
    </x:row>
    <x:row r="47" s="1" customFormat="1" ht="29.25">
      <x:c r="A47" s="53">
        <x:v>40</x:v>
      </x:c>
      <x:c r="B47" s="52" t="s">
        <x:v>198</x:v>
      </x:c>
      <x:c r="C47" s="103" t="e">
        <x:f>#REF!*8/100</x:f>
        <x:v>#REF!</x:v>
      </x:c>
      <x:c r="D47" s="103" t="e">
        <x:f>#REF!*8/100</x:f>
        <x:v>#REF!</x:v>
      </x:c>
      <x:c r="E47" s="103" t="e">
        <x:f>#REF!*8/100</x:f>
        <x:v>#REF!</x:v>
      </x:c>
      <x:c r="F47" s="103" t="e">
        <x:f>#REF!*8/100</x:f>
        <x:v>#REF!</x:v>
      </x:c>
      <x:c r="G47" s="103" t="e">
        <x:f>#REF!*8/100</x:f>
        <x:v>#REF!</x:v>
      </x:c>
      <x:c r="H47" s="103" t="e">
        <x:f>#REF!*8/100</x:f>
        <x:v>#REF!</x:v>
      </x:c>
      <x:c r="I47" s="103" t="e">
        <x:f>#REF!*8/100</x:f>
        <x:v>#REF!</x:v>
      </x:c>
      <x:c r="J47" s="103" t="e">
        <x:f>#REF!*8/100</x:f>
        <x:v>#REF!</x:v>
      </x:c>
      <x:c r="K47" s="103" t="e">
        <x:f>#REF!*8/100</x:f>
        <x:v>#REF!</x:v>
      </x:c>
      <x:c r="L47" s="103" t="e">
        <x:f>#REF!*8/100</x:f>
        <x:v>#REF!</x:v>
      </x:c>
      <x:c r="M47" s="103" t="e">
        <x:f>#REF!*8/100</x:f>
        <x:v>#REF!</x:v>
      </x:c>
      <x:c r="N47" s="103" t="e">
        <x:f>#REF!*8/100</x:f>
        <x:v>#REF!</x:v>
      </x:c>
      <x:c r="O47" s="103" t="e">
        <x:f>#REF!*8/100</x:f>
        <x:v>#REF!</x:v>
      </x:c>
      <x:c r="P47" s="103" t="e">
        <x:f>#REF!*8/100</x:f>
        <x:v>#REF!</x:v>
      </x:c>
      <x:c r="Q47" s="103" t="e">
        <x:f>#REF!*8/100</x:f>
        <x:v>#REF!</x:v>
      </x:c>
      <x:c r="R47" s="103" t="e">
        <x:f>#REF!*8/100</x:f>
        <x:v>#REF!</x:v>
      </x:c>
      <x:c r="S47" s="103" t="e">
        <x:f>#REF!*8/100</x:f>
        <x:v>#REF!</x:v>
      </x:c>
      <x:c r="T47" s="103" t="e">
        <x:f>#REF!*8/100</x:f>
        <x:v>#REF!</x:v>
      </x:c>
      <x:c r="U47" s="17" t="e">
        <x:f t="shared" si="1"/>
        <x:v>#REF!</x:v>
      </x:c>
      <x:c r="V47" s="18" t="e">
        <x:f t="shared" si="2"/>
        <x:v>#REF!</x:v>
      </x:c>
      <x:c r="W47" s="19" t="e">
        <x:f t="shared" si="3"/>
        <x:v>#REF!</x:v>
      </x:c>
      <x:c r="X47" s="30"/>
      <x:c r="Y47" s="35"/>
    </x:row>
    <x:row r="48" s="1" customFormat="1" ht="29.25">
      <x:c r="A48" s="53">
        <x:v>41</x:v>
      </x:c>
      <x:c r="B48" s="71" t="s">
        <x:v>199</x:v>
      </x:c>
      <x:c r="C48" s="103" t="e">
        <x:f>#REF!*8/100</x:f>
        <x:v>#REF!</x:v>
      </x:c>
      <x:c r="D48" s="103" t="e">
        <x:f>#REF!*8/100</x:f>
        <x:v>#REF!</x:v>
      </x:c>
      <x:c r="E48" s="103" t="e">
        <x:f>#REF!*8/100</x:f>
        <x:v>#REF!</x:v>
      </x:c>
      <x:c r="F48" s="103" t="e">
        <x:f>#REF!*8/100</x:f>
        <x:v>#REF!</x:v>
      </x:c>
      <x:c r="G48" s="103" t="e">
        <x:f>#REF!*8/100</x:f>
        <x:v>#REF!</x:v>
      </x:c>
      <x:c r="H48" s="103" t="e">
        <x:f>#REF!*8/100</x:f>
        <x:v>#REF!</x:v>
      </x:c>
      <x:c r="I48" s="103" t="e">
        <x:f>#REF!*8/100</x:f>
        <x:v>#REF!</x:v>
      </x:c>
      <x:c r="J48" s="103" t="e">
        <x:f>#REF!*8/100</x:f>
        <x:v>#REF!</x:v>
      </x:c>
      <x:c r="K48" s="103" t="e">
        <x:f>#REF!*8/100</x:f>
        <x:v>#REF!</x:v>
      </x:c>
      <x:c r="L48" s="103" t="e">
        <x:f>#REF!*8/100</x:f>
        <x:v>#REF!</x:v>
      </x:c>
      <x:c r="M48" s="103" t="e">
        <x:f>#REF!*8/100</x:f>
        <x:v>#REF!</x:v>
      </x:c>
      <x:c r="N48" s="103" t="e">
        <x:f>#REF!*8/100</x:f>
        <x:v>#REF!</x:v>
      </x:c>
      <x:c r="O48" s="103" t="e">
        <x:f>#REF!*8/100</x:f>
        <x:v>#REF!</x:v>
      </x:c>
      <x:c r="P48" s="103" t="e">
        <x:f>#REF!*8/100</x:f>
        <x:v>#REF!</x:v>
      </x:c>
      <x:c r="Q48" s="103" t="e">
        <x:f>#REF!*8/100</x:f>
        <x:v>#REF!</x:v>
      </x:c>
      <x:c r="R48" s="103" t="e">
        <x:f>#REF!*8/100</x:f>
        <x:v>#REF!</x:v>
      </x:c>
      <x:c r="S48" s="103" t="e">
        <x:f>#REF!*8/100</x:f>
        <x:v>#REF!</x:v>
      </x:c>
      <x:c r="T48" s="103" t="e">
        <x:f>#REF!*8/100</x:f>
        <x:v>#REF!</x:v>
      </x:c>
      <x:c r="U48" s="17" t="e">
        <x:f t="shared" si="1"/>
        <x:v>#REF!</x:v>
      </x:c>
      <x:c r="V48" s="18" t="e">
        <x:f t="shared" si="2"/>
        <x:v>#REF!</x:v>
      </x:c>
      <x:c r="W48" s="19" t="e">
        <x:f t="shared" si="3"/>
        <x:v>#REF!</x:v>
      </x:c>
      <x:c r="X48" s="30"/>
      <x:c r="Y48" s="23"/>
    </x:row>
    <x:row r="49" s="1" customFormat="1" ht="29.25">
      <x:c r="A49" s="53">
        <x:v>42</x:v>
      </x:c>
      <x:c r="B49" s="52" t="s">
        <x:v>200</x:v>
      </x:c>
      <x:c r="C49" s="103" t="e">
        <x:f>#REF!*8/100</x:f>
        <x:v>#REF!</x:v>
      </x:c>
      <x:c r="D49" s="103" t="e">
        <x:f>#REF!*8/100</x:f>
        <x:v>#REF!</x:v>
      </x:c>
      <x:c r="E49" s="103" t="e">
        <x:f>#REF!*8/100</x:f>
        <x:v>#REF!</x:v>
      </x:c>
      <x:c r="F49" s="103" t="e">
        <x:f>#REF!*8/100</x:f>
        <x:v>#REF!</x:v>
      </x:c>
      <x:c r="G49" s="103" t="e">
        <x:f>#REF!*8/100</x:f>
        <x:v>#REF!</x:v>
      </x:c>
      <x:c r="H49" s="103" t="e">
        <x:f>#REF!*8/100</x:f>
        <x:v>#REF!</x:v>
      </x:c>
      <x:c r="I49" s="103" t="e">
        <x:f>#REF!*8/100</x:f>
        <x:v>#REF!</x:v>
      </x:c>
      <x:c r="J49" s="103" t="e">
        <x:f>#REF!*8/100</x:f>
        <x:v>#REF!</x:v>
      </x:c>
      <x:c r="K49" s="103" t="e">
        <x:f>#REF!*8/100</x:f>
        <x:v>#REF!</x:v>
      </x:c>
      <x:c r="L49" s="103" t="e">
        <x:f>#REF!*8/100</x:f>
        <x:v>#REF!</x:v>
      </x:c>
      <x:c r="M49" s="103" t="e">
        <x:f>#REF!*8/100</x:f>
        <x:v>#REF!</x:v>
      </x:c>
      <x:c r="N49" s="103" t="e">
        <x:f>#REF!*8/100</x:f>
        <x:v>#REF!</x:v>
      </x:c>
      <x:c r="O49" s="103" t="e">
        <x:f>#REF!*8/100</x:f>
        <x:v>#REF!</x:v>
      </x:c>
      <x:c r="P49" s="103" t="e">
        <x:f>#REF!*8/100</x:f>
        <x:v>#REF!</x:v>
      </x:c>
      <x:c r="Q49" s="103" t="e">
        <x:f>#REF!*8/100</x:f>
        <x:v>#REF!</x:v>
      </x:c>
      <x:c r="R49" s="103" t="e">
        <x:f>#REF!*8/100</x:f>
        <x:v>#REF!</x:v>
      </x:c>
      <x:c r="S49" s="103" t="e">
        <x:f>#REF!*8/100</x:f>
        <x:v>#REF!</x:v>
      </x:c>
      <x:c r="T49" s="103" t="e">
        <x:f>#REF!*8/100</x:f>
        <x:v>#REF!</x:v>
      </x:c>
      <x:c r="U49" s="17" t="e">
        <x:f t="shared" si="1"/>
        <x:v>#REF!</x:v>
      </x:c>
      <x:c r="V49" s="18" t="e">
        <x:f t="shared" si="2"/>
        <x:v>#REF!</x:v>
      </x:c>
      <x:c r="W49" s="19" t="e">
        <x:f t="shared" si="3"/>
        <x:v>#REF!</x:v>
      </x:c>
      <x:c r="X49" s="30"/>
      <x:c r="Y49" s="35"/>
    </x:row>
    <x:row r="50" s="1" customFormat="1" ht="29.25" customHeight="1">
      <x:c r="A50" s="53">
        <x:v>43</x:v>
      </x:c>
      <x:c r="B50" s="62" t="s">
        <x:v>201</x:v>
      </x:c>
      <x:c r="C50" s="102" t="e">
        <x:f>#REF!*8/100</x:f>
        <x:v>#REF!</x:v>
      </x:c>
      <x:c r="D50" s="102" t="e">
        <x:f>#REF!*8/100</x:f>
        <x:v>#REF!</x:v>
      </x:c>
      <x:c r="E50" s="102" t="e">
        <x:f>#REF!*8/100</x:f>
        <x:v>#REF!</x:v>
      </x:c>
      <x:c r="F50" s="102" t="e">
        <x:f>#REF!*8/100</x:f>
        <x:v>#REF!</x:v>
      </x:c>
      <x:c r="G50" s="102" t="e">
        <x:f>#REF!*8/100</x:f>
        <x:v>#REF!</x:v>
      </x:c>
      <x:c r="H50" s="102" t="e">
        <x:f>#REF!*8/100</x:f>
        <x:v>#REF!</x:v>
      </x:c>
      <x:c r="I50" s="102" t="e">
        <x:f>#REF!*8/100</x:f>
        <x:v>#REF!</x:v>
      </x:c>
      <x:c r="J50" s="102" t="e">
        <x:f>#REF!*8/100</x:f>
        <x:v>#REF!</x:v>
      </x:c>
      <x:c r="K50" s="102" t="e">
        <x:f>#REF!*8/100</x:f>
        <x:v>#REF!</x:v>
      </x:c>
      <x:c r="L50" s="102" t="e">
        <x:f>#REF!*8/100</x:f>
        <x:v>#REF!</x:v>
      </x:c>
      <x:c r="M50" s="102" t="e">
        <x:f>#REF!*8/100</x:f>
        <x:v>#REF!</x:v>
      </x:c>
      <x:c r="N50" s="102" t="e">
        <x:f>#REF!*8/100</x:f>
        <x:v>#REF!</x:v>
      </x:c>
      <x:c r="O50" s="102" t="e">
        <x:f>#REF!*8/100</x:f>
        <x:v>#REF!</x:v>
      </x:c>
      <x:c r="P50" s="102" t="e">
        <x:f>#REF!*8/100</x:f>
        <x:v>#REF!</x:v>
      </x:c>
      <x:c r="Q50" s="102" t="e">
        <x:f>#REF!*8/100</x:f>
        <x:v>#REF!</x:v>
      </x:c>
      <x:c r="R50" s="102" t="e">
        <x:f>#REF!*8/100</x:f>
        <x:v>#REF!</x:v>
      </x:c>
      <x:c r="S50" s="102" t="e">
        <x:f>#REF!*8/100</x:f>
        <x:v>#REF!</x:v>
      </x:c>
      <x:c r="T50" s="102" t="e">
        <x:f>#REF!*8/100</x:f>
        <x:v>#REF!</x:v>
      </x:c>
      <x:c r="U50" s="17" t="e">
        <x:f t="shared" si="1"/>
        <x:v>#REF!</x:v>
      </x:c>
      <x:c r="V50" s="18" t="e">
        <x:f t="shared" si="2"/>
        <x:v>#REF!</x:v>
      </x:c>
      <x:c r="W50" s="19" t="e">
        <x:f t="shared" si="3"/>
        <x:v>#REF!</x:v>
      </x:c>
      <x:c r="X50" s="32"/>
      <x:c r="Y50" s="33"/>
    </x:row>
    <x:row r="51" s="1" customFormat="1" ht="29.25" customHeight="1">
      <x:c r="A51" s="53">
        <x:v>44</x:v>
      </x:c>
      <x:c r="B51" s="61" t="s">
        <x:v>202</x:v>
      </x:c>
      <x:c r="C51" s="102" t="e">
        <x:f>#REF!*8/100</x:f>
        <x:v>#REF!</x:v>
      </x:c>
      <x:c r="D51" s="102" t="e">
        <x:f>#REF!*8/100</x:f>
        <x:v>#REF!</x:v>
      </x:c>
      <x:c r="E51" s="102" t="e">
        <x:f>#REF!*8/100</x:f>
        <x:v>#REF!</x:v>
      </x:c>
      <x:c r="F51" s="102" t="e">
        <x:f>#REF!*8/100</x:f>
        <x:v>#REF!</x:v>
      </x:c>
      <x:c r="G51" s="102" t="e">
        <x:f>#REF!*8/100</x:f>
        <x:v>#REF!</x:v>
      </x:c>
      <x:c r="H51" s="102" t="e">
        <x:f>#REF!*8/100</x:f>
        <x:v>#REF!</x:v>
      </x:c>
      <x:c r="I51" s="102" t="e">
        <x:f>#REF!*8/100</x:f>
        <x:v>#REF!</x:v>
      </x:c>
      <x:c r="J51" s="102" t="e">
        <x:f>#REF!*8/100</x:f>
        <x:v>#REF!</x:v>
      </x:c>
      <x:c r="K51" s="102" t="e">
        <x:f>#REF!*8/100</x:f>
        <x:v>#REF!</x:v>
      </x:c>
      <x:c r="L51" s="102" t="e">
        <x:f>#REF!*8/100</x:f>
        <x:v>#REF!</x:v>
      </x:c>
      <x:c r="M51" s="102" t="e">
        <x:f>#REF!*8/100</x:f>
        <x:v>#REF!</x:v>
      </x:c>
      <x:c r="N51" s="102" t="e">
        <x:f>#REF!*8/100</x:f>
        <x:v>#REF!</x:v>
      </x:c>
      <x:c r="O51" s="102" t="e">
        <x:f>#REF!*8/100</x:f>
        <x:v>#REF!</x:v>
      </x:c>
      <x:c r="P51" s="102" t="e">
        <x:f>#REF!*8/100</x:f>
        <x:v>#REF!</x:v>
      </x:c>
      <x:c r="Q51" s="102" t="e">
        <x:f>#REF!*8/100</x:f>
        <x:v>#REF!</x:v>
      </x:c>
      <x:c r="R51" s="102" t="e">
        <x:f>#REF!*8/100</x:f>
        <x:v>#REF!</x:v>
      </x:c>
      <x:c r="S51" s="102" t="e">
        <x:f>#REF!*8/100</x:f>
        <x:v>#REF!</x:v>
      </x:c>
      <x:c r="T51" s="102" t="e">
        <x:f>#REF!*8/100</x:f>
        <x:v>#REF!</x:v>
      </x:c>
      <x:c r="U51" s="17" t="e">
        <x:f t="shared" si="1"/>
        <x:v>#REF!</x:v>
      </x:c>
      <x:c r="V51" s="18" t="e">
        <x:f t="shared" si="2"/>
        <x:v>#REF!</x:v>
      </x:c>
      <x:c r="W51" s="19" t="e">
        <x:f t="shared" si="3"/>
        <x:v>#REF!</x:v>
      </x:c>
      <x:c r="X51" s="27"/>
      <x:c r="Y51" s="28"/>
    </x:row>
    <x:row r="52" s="1" customFormat="1" ht="29.25">
      <x:c r="A52" s="53">
        <x:v>45</x:v>
      </x:c>
      <x:c r="B52" s="52" t="s">
        <x:v>203</x:v>
      </x:c>
      <x:c r="C52" s="102" t="e">
        <x:f>#REF!*8/100</x:f>
        <x:v>#REF!</x:v>
      </x:c>
      <x:c r="D52" s="102" t="e">
        <x:f>#REF!*8/100</x:f>
        <x:v>#REF!</x:v>
      </x:c>
      <x:c r="E52" s="102" t="e">
        <x:f>#REF!*8/100</x:f>
        <x:v>#REF!</x:v>
      </x:c>
      <x:c r="F52" s="102" t="e">
        <x:f>#REF!*8/100</x:f>
        <x:v>#REF!</x:v>
      </x:c>
      <x:c r="G52" s="102" t="e">
        <x:f>#REF!*8/100</x:f>
        <x:v>#REF!</x:v>
      </x:c>
      <x:c r="H52" s="102" t="e">
        <x:f>#REF!*8/100</x:f>
        <x:v>#REF!</x:v>
      </x:c>
      <x:c r="I52" s="102" t="e">
        <x:f>#REF!*8/100</x:f>
        <x:v>#REF!</x:v>
      </x:c>
      <x:c r="J52" s="102" t="e">
        <x:f>#REF!*8/100</x:f>
        <x:v>#REF!</x:v>
      </x:c>
      <x:c r="K52" s="102" t="e">
        <x:f>#REF!*8/100</x:f>
        <x:v>#REF!</x:v>
      </x:c>
      <x:c r="L52" s="102" t="e">
        <x:f>#REF!*8/100</x:f>
        <x:v>#REF!</x:v>
      </x:c>
      <x:c r="M52" s="102" t="e">
        <x:f>#REF!*8/100</x:f>
        <x:v>#REF!</x:v>
      </x:c>
      <x:c r="N52" s="102" t="e">
        <x:f>#REF!*8/100</x:f>
        <x:v>#REF!</x:v>
      </x:c>
      <x:c r="O52" s="102" t="e">
        <x:f>#REF!*8/100</x:f>
        <x:v>#REF!</x:v>
      </x:c>
      <x:c r="P52" s="102" t="e">
        <x:f>#REF!*8/100</x:f>
        <x:v>#REF!</x:v>
      </x:c>
      <x:c r="Q52" s="102" t="e">
        <x:f>#REF!*8/100</x:f>
        <x:v>#REF!</x:v>
      </x:c>
      <x:c r="R52" s="102" t="e">
        <x:f>#REF!*8/100</x:f>
        <x:v>#REF!</x:v>
      </x:c>
      <x:c r="S52" s="102" t="e">
        <x:f>#REF!*8/100</x:f>
        <x:v>#REF!</x:v>
      </x:c>
      <x:c r="T52" s="102" t="e">
        <x:f>#REF!*8/100</x:f>
        <x:v>#REF!</x:v>
      </x:c>
      <x:c r="U52" s="17" t="e">
        <x:f t="shared" si="1"/>
        <x:v>#REF!</x:v>
      </x:c>
      <x:c r="V52" s="18" t="e">
        <x:f t="shared" si="2"/>
        <x:v>#REF!</x:v>
      </x:c>
      <x:c r="W52" s="19" t="e">
        <x:f t="shared" si="3"/>
        <x:v>#REF!</x:v>
      </x:c>
      <x:c r="X52" s="30"/>
      <x:c r="Y52" s="35"/>
    </x:row>
    <x:row r="53" s="1" customFormat="1" ht="29.25" customHeight="1">
      <x:c r="A53" s="53">
        <x:v>46</x:v>
      </x:c>
      <x:c r="B53" s="52" t="s">
        <x:v>204</x:v>
      </x:c>
      <x:c r="C53" s="102" t="e">
        <x:f>#REF!*8/100</x:f>
        <x:v>#REF!</x:v>
      </x:c>
      <x:c r="D53" s="102" t="e">
        <x:f>#REF!*8/100</x:f>
        <x:v>#REF!</x:v>
      </x:c>
      <x:c r="E53" s="102" t="e">
        <x:f>#REF!*8/100</x:f>
        <x:v>#REF!</x:v>
      </x:c>
      <x:c r="F53" s="102" t="e">
        <x:f>#REF!*8/100</x:f>
        <x:v>#REF!</x:v>
      </x:c>
      <x:c r="G53" s="102" t="e">
        <x:f>#REF!*8/100</x:f>
        <x:v>#REF!</x:v>
      </x:c>
      <x:c r="H53" s="102" t="e">
        <x:f>#REF!*8/100</x:f>
        <x:v>#REF!</x:v>
      </x:c>
      <x:c r="I53" s="102" t="e">
        <x:f>#REF!*8/100</x:f>
        <x:v>#REF!</x:v>
      </x:c>
      <x:c r="J53" s="102" t="e">
        <x:f>#REF!*8/100</x:f>
        <x:v>#REF!</x:v>
      </x:c>
      <x:c r="K53" s="102" t="e">
        <x:f>#REF!*8/100</x:f>
        <x:v>#REF!</x:v>
      </x:c>
      <x:c r="L53" s="102" t="e">
        <x:f>#REF!*8/100</x:f>
        <x:v>#REF!</x:v>
      </x:c>
      <x:c r="M53" s="102" t="e">
        <x:f>#REF!*8/100</x:f>
        <x:v>#REF!</x:v>
      </x:c>
      <x:c r="N53" s="102" t="e">
        <x:f>#REF!*8/100</x:f>
        <x:v>#REF!</x:v>
      </x:c>
      <x:c r="O53" s="102" t="e">
        <x:f>#REF!*8/100</x:f>
        <x:v>#REF!</x:v>
      </x:c>
      <x:c r="P53" s="102" t="e">
        <x:f>#REF!*8/100</x:f>
        <x:v>#REF!</x:v>
      </x:c>
      <x:c r="Q53" s="102" t="e">
        <x:f>#REF!*8/100</x:f>
        <x:v>#REF!</x:v>
      </x:c>
      <x:c r="R53" s="102" t="e">
        <x:f>#REF!*8/100</x:f>
        <x:v>#REF!</x:v>
      </x:c>
      <x:c r="S53" s="102" t="e">
        <x:f>#REF!*8/100</x:f>
        <x:v>#REF!</x:v>
      </x:c>
      <x:c r="T53" s="102" t="e">
        <x:f>#REF!*8/100</x:f>
        <x:v>#REF!</x:v>
      </x:c>
      <x:c r="U53" s="17" t="e">
        <x:f t="shared" si="1"/>
        <x:v>#REF!</x:v>
      </x:c>
      <x:c r="V53" s="18" t="e">
        <x:f t="shared" si="2"/>
        <x:v>#REF!</x:v>
      </x:c>
      <x:c r="W53" s="19" t="e">
        <x:f t="shared" si="3"/>
        <x:v>#REF!</x:v>
      </x:c>
      <x:c r="X53" s="30"/>
      <x:c r="Y53" s="23"/>
    </x:row>
    <x:row r="54" s="1" customFormat="1" ht="29.25">
      <x:c r="A54" s="53">
        <x:v>47</x:v>
      </x:c>
      <x:c r="B54" s="52" t="s">
        <x:v>205</x:v>
      </x:c>
      <x:c r="C54" s="102" t="e">
        <x:f>#REF!*8/100</x:f>
        <x:v>#REF!</x:v>
      </x:c>
      <x:c r="D54" s="102" t="e">
        <x:f>#REF!*8/100</x:f>
        <x:v>#REF!</x:v>
      </x:c>
      <x:c r="E54" s="102" t="e">
        <x:f>#REF!*8/100</x:f>
        <x:v>#REF!</x:v>
      </x:c>
      <x:c r="F54" s="102" t="e">
        <x:f>#REF!*8/100</x:f>
        <x:v>#REF!</x:v>
      </x:c>
      <x:c r="G54" s="102" t="e">
        <x:f>#REF!*8/100</x:f>
        <x:v>#REF!</x:v>
      </x:c>
      <x:c r="H54" s="102" t="e">
        <x:f>#REF!*8/100</x:f>
        <x:v>#REF!</x:v>
      </x:c>
      <x:c r="I54" s="102" t="e">
        <x:f>#REF!*8/100</x:f>
        <x:v>#REF!</x:v>
      </x:c>
      <x:c r="J54" s="102" t="e">
        <x:f>#REF!*8/100</x:f>
        <x:v>#REF!</x:v>
      </x:c>
      <x:c r="K54" s="102" t="e">
        <x:f>#REF!*8/100</x:f>
        <x:v>#REF!</x:v>
      </x:c>
      <x:c r="L54" s="102" t="e">
        <x:f>#REF!*8/100</x:f>
        <x:v>#REF!</x:v>
      </x:c>
      <x:c r="M54" s="102" t="e">
        <x:f>#REF!*8/100</x:f>
        <x:v>#REF!</x:v>
      </x:c>
      <x:c r="N54" s="102" t="e">
        <x:f>#REF!*8/100</x:f>
        <x:v>#REF!</x:v>
      </x:c>
      <x:c r="O54" s="102" t="e">
        <x:f>#REF!*8/100</x:f>
        <x:v>#REF!</x:v>
      </x:c>
      <x:c r="P54" s="102" t="e">
        <x:f>#REF!*8/100</x:f>
        <x:v>#REF!</x:v>
      </x:c>
      <x:c r="Q54" s="102" t="e">
        <x:f>#REF!*8/100</x:f>
        <x:v>#REF!</x:v>
      </x:c>
      <x:c r="R54" s="102" t="e">
        <x:f>#REF!*8/100</x:f>
        <x:v>#REF!</x:v>
      </x:c>
      <x:c r="S54" s="102" t="e">
        <x:f>#REF!*8/100</x:f>
        <x:v>#REF!</x:v>
      </x:c>
      <x:c r="T54" s="102" t="e">
        <x:f>#REF!*8/100</x:f>
        <x:v>#REF!</x:v>
      </x:c>
      <x:c r="U54" s="17" t="e">
        <x:f t="shared" si="1"/>
        <x:v>#REF!</x:v>
      </x:c>
      <x:c r="V54" s="18" t="e">
        <x:f t="shared" si="2"/>
        <x:v>#REF!</x:v>
      </x:c>
      <x:c r="W54" s="19" t="e">
        <x:f t="shared" si="3"/>
        <x:v>#REF!</x:v>
      </x:c>
      <x:c r="X54" s="30"/>
      <x:c r="Y54" s="23"/>
    </x:row>
    <x:row r="55" s="1" customFormat="1" ht="29.25" customHeight="1">
      <x:c r="A55" s="53">
        <x:v>48</x:v>
      </x:c>
      <x:c r="B55" s="52" t="s">
        <x:v>206</x:v>
      </x:c>
      <x:c r="C55" s="102" t="e">
        <x:f>#REF!*8/100</x:f>
        <x:v>#REF!</x:v>
      </x:c>
      <x:c r="D55" s="102" t="e">
        <x:f>#REF!*8/100</x:f>
        <x:v>#REF!</x:v>
      </x:c>
      <x:c r="E55" s="102" t="e">
        <x:f>#REF!*8/100</x:f>
        <x:v>#REF!</x:v>
      </x:c>
      <x:c r="F55" s="102" t="e">
        <x:f>#REF!*8/100</x:f>
        <x:v>#REF!</x:v>
      </x:c>
      <x:c r="G55" s="102" t="e">
        <x:f>#REF!*8/100</x:f>
        <x:v>#REF!</x:v>
      </x:c>
      <x:c r="H55" s="102" t="e">
        <x:f>#REF!*8/100</x:f>
        <x:v>#REF!</x:v>
      </x:c>
      <x:c r="I55" s="102" t="e">
        <x:f>#REF!*8/100</x:f>
        <x:v>#REF!</x:v>
      </x:c>
      <x:c r="J55" s="102" t="e">
        <x:f>#REF!*8/100</x:f>
        <x:v>#REF!</x:v>
      </x:c>
      <x:c r="K55" s="102" t="e">
        <x:f>#REF!*8/100</x:f>
        <x:v>#REF!</x:v>
      </x:c>
      <x:c r="L55" s="102" t="e">
        <x:f>#REF!*8/100</x:f>
        <x:v>#REF!</x:v>
      </x:c>
      <x:c r="M55" s="102" t="e">
        <x:f>#REF!*8/100</x:f>
        <x:v>#REF!</x:v>
      </x:c>
      <x:c r="N55" s="102" t="e">
        <x:f>#REF!*8/100</x:f>
        <x:v>#REF!</x:v>
      </x:c>
      <x:c r="O55" s="102" t="e">
        <x:f>#REF!*8/100</x:f>
        <x:v>#REF!</x:v>
      </x:c>
      <x:c r="P55" s="102" t="e">
        <x:f>#REF!*8/100</x:f>
        <x:v>#REF!</x:v>
      </x:c>
      <x:c r="Q55" s="102" t="e">
        <x:f>#REF!*8/100</x:f>
        <x:v>#REF!</x:v>
      </x:c>
      <x:c r="R55" s="102" t="e">
        <x:f>#REF!*8/100</x:f>
        <x:v>#REF!</x:v>
      </x:c>
      <x:c r="S55" s="102" t="e">
        <x:f>#REF!*8/100</x:f>
        <x:v>#REF!</x:v>
      </x:c>
      <x:c r="T55" s="102" t="e">
        <x:f>#REF!*8/100</x:f>
        <x:v>#REF!</x:v>
      </x:c>
      <x:c r="U55" s="17" t="e">
        <x:f t="shared" si="1"/>
        <x:v>#REF!</x:v>
      </x:c>
      <x:c r="V55" s="18" t="e">
        <x:f t="shared" si="2"/>
        <x:v>#REF!</x:v>
      </x:c>
      <x:c r="W55" s="19" t="e">
        <x:f t="shared" si="3"/>
        <x:v>#REF!</x:v>
      </x:c>
      <x:c r="X55" s="30"/>
      <x:c r="Y55" s="23"/>
    </x:row>
    <x:row r="56" s="1" customFormat="1" ht="29.25" customHeight="1">
      <x:c r="A56" s="53">
        <x:v>49</x:v>
      </x:c>
      <x:c r="B56" s="52" t="s">
        <x:v>207</x:v>
      </x:c>
      <x:c r="C56" s="102" t="e">
        <x:f>#REF!*8/100</x:f>
        <x:v>#REF!</x:v>
      </x:c>
      <x:c r="D56" s="102" t="e">
        <x:f>#REF!*8/100</x:f>
        <x:v>#REF!</x:v>
      </x:c>
      <x:c r="E56" s="102" t="e">
        <x:f>#REF!*8/100</x:f>
        <x:v>#REF!</x:v>
      </x:c>
      <x:c r="F56" s="102" t="e">
        <x:f>#REF!*8/100</x:f>
        <x:v>#REF!</x:v>
      </x:c>
      <x:c r="G56" s="102" t="e">
        <x:f>#REF!*8/100</x:f>
        <x:v>#REF!</x:v>
      </x:c>
      <x:c r="H56" s="102" t="e">
        <x:f>#REF!*8/100</x:f>
        <x:v>#REF!</x:v>
      </x:c>
      <x:c r="I56" s="102" t="e">
        <x:f>#REF!*8/100</x:f>
        <x:v>#REF!</x:v>
      </x:c>
      <x:c r="J56" s="102" t="e">
        <x:f>#REF!*8/100</x:f>
        <x:v>#REF!</x:v>
      </x:c>
      <x:c r="K56" s="102" t="e">
        <x:f>#REF!*8/100</x:f>
        <x:v>#REF!</x:v>
      </x:c>
      <x:c r="L56" s="102" t="e">
        <x:f>#REF!*8/100</x:f>
        <x:v>#REF!</x:v>
      </x:c>
      <x:c r="M56" s="102" t="e">
        <x:f>#REF!*8/100</x:f>
        <x:v>#REF!</x:v>
      </x:c>
      <x:c r="N56" s="102" t="e">
        <x:f>#REF!*8/100</x:f>
        <x:v>#REF!</x:v>
      </x:c>
      <x:c r="O56" s="102" t="e">
        <x:f>#REF!*8/100</x:f>
        <x:v>#REF!</x:v>
      </x:c>
      <x:c r="P56" s="102" t="e">
        <x:f>#REF!*8/100</x:f>
        <x:v>#REF!</x:v>
      </x:c>
      <x:c r="Q56" s="102" t="e">
        <x:f>#REF!*8/100</x:f>
        <x:v>#REF!</x:v>
      </x:c>
      <x:c r="R56" s="102" t="e">
        <x:f>#REF!*8/100</x:f>
        <x:v>#REF!</x:v>
      </x:c>
      <x:c r="S56" s="102" t="e">
        <x:f>#REF!*8/100</x:f>
        <x:v>#REF!</x:v>
      </x:c>
      <x:c r="T56" s="102" t="e">
        <x:f>#REF!*8/100</x:f>
        <x:v>#REF!</x:v>
      </x:c>
      <x:c r="U56" s="17" t="e">
        <x:f t="shared" si="1"/>
        <x:v>#REF!</x:v>
      </x:c>
      <x:c r="V56" s="18" t="e">
        <x:f t="shared" si="2"/>
        <x:v>#REF!</x:v>
      </x:c>
      <x:c r="W56" s="19" t="e">
        <x:f t="shared" si="3"/>
        <x:v>#REF!</x:v>
      </x:c>
      <x:c r="X56" s="30"/>
      <x:c r="Y56" s="35"/>
    </x:row>
    <x:row r="57" s="1" customFormat="1">
      <x:c r="A57" s="6"/>
      <x:c r="B57" s="37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</x:row>
    <x:row r="58" s="1" customFormat="1">
      <x:c r="A58" s="6"/>
      <x:c r="B58" s="37"/>
      <x:c r="E58" s="283"/>
      <x:c r="F58" s="283"/>
      <x:c r="G58" s="283"/>
    </x:row>
    <x:row r="59" s="1" customFormat="1">
      <x:c r="A59" s="6"/>
      <x:c r="B59" s="7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</x:row>
    <x:row r="60" ht="31.5" customHeight="1">
      <x:c r="A60" s="301" t="s">
        <x:v>208</x:v>
      </x:c>
      <x:c r="B60" s="301"/>
      <x:c r="C60" s="301"/>
      <x:c r="D60" s="301"/>
      <x:c r="E60" s="301"/>
      <x:c r="F60" s="301"/>
      <x:c r="G60" s="301"/>
      <x:c r="H60" s="301"/>
      <x:c r="I60" s="301"/>
      <x:c r="J60" s="301"/>
      <x:c r="K60" s="301"/>
      <x:c r="L60" s="301"/>
      <x:c r="M60" s="301"/>
      <x:c r="N60" s="301"/>
      <x:c r="O60" s="301"/>
      <x:c r="P60" s="301"/>
      <x:c r="Q60" s="301"/>
      <x:c r="R60" s="301"/>
      <x:c r="S60" s="301"/>
      <x:c r="T60" s="301"/>
      <x:c r="U60" s="301"/>
      <x:c r="V60" s="301"/>
      <x:c r="W60" s="301"/>
      <x:c r="X60" s="301"/>
      <x:c r="Y60" s="301"/>
    </x:row>
    <x:row r="61" ht="31.5" customHeight="1">
      <x:c r="A61" s="301"/>
      <x:c r="B61" s="301"/>
      <x:c r="C61" s="301"/>
      <x:c r="D61" s="301"/>
      <x:c r="E61" s="301"/>
      <x:c r="F61" s="301"/>
      <x:c r="G61" s="301"/>
      <x:c r="H61" s="301"/>
      <x:c r="I61" s="301"/>
      <x:c r="J61" s="301"/>
      <x:c r="K61" s="301"/>
      <x:c r="L61" s="301"/>
      <x:c r="M61" s="301"/>
      <x:c r="N61" s="301"/>
      <x:c r="O61" s="301"/>
      <x:c r="P61" s="301"/>
      <x:c r="Q61" s="301"/>
      <x:c r="R61" s="301"/>
      <x:c r="S61" s="301"/>
      <x:c r="T61" s="301"/>
      <x:c r="U61" s="301"/>
      <x:c r="V61" s="301"/>
      <x:c r="W61" s="301"/>
      <x:c r="X61" s="301"/>
      <x:c r="Y61" s="301"/>
    </x:row>
    <x:row r="62" s="1" customFormat="1" ht="29.25" customHeight="1">
      <x:c r="A62" s="301"/>
      <x:c r="B62" s="301"/>
      <x:c r="C62" s="301"/>
      <x:c r="D62" s="301"/>
      <x:c r="E62" s="301"/>
      <x:c r="F62" s="301"/>
      <x:c r="G62" s="301"/>
      <x:c r="H62" s="301"/>
      <x:c r="I62" s="301"/>
      <x:c r="J62" s="301"/>
      <x:c r="K62" s="301"/>
      <x:c r="L62" s="301"/>
      <x:c r="M62" s="301"/>
      <x:c r="N62" s="301"/>
      <x:c r="O62" s="301"/>
      <x:c r="P62" s="301"/>
      <x:c r="Q62" s="301"/>
      <x:c r="R62" s="301"/>
      <x:c r="S62" s="301"/>
      <x:c r="T62" s="301"/>
      <x:c r="U62" s="301"/>
      <x:c r="V62" s="301"/>
      <x:c r="W62" s="301"/>
      <x:c r="X62" s="301"/>
      <x:c r="Y62" s="301"/>
    </x:row>
    <x:row r="63" ht="28.5" customHeight="1">
      <x:c r="B63" s="284" t="s">
        <x:v>6</x:v>
      </x:c>
      <x:c r="C63" s="9" t="s">
        <x:v>7</x:v>
      </x:c>
      <x:c r="D63" s="9" t="s">
        <x:v>7</x:v>
      </x:c>
      <x:c r="E63" s="9" t="s">
        <x:v>7</x:v>
      </x:c>
      <x:c r="F63" s="9" t="s">
        <x:v>7</x:v>
      </x:c>
      <x:c r="G63" s="9" t="s">
        <x:v>7</x:v>
      </x:c>
      <x:c r="H63" s="9" t="s">
        <x:v>7</x:v>
      </x:c>
      <x:c r="I63" s="9" t="s">
        <x:v>7</x:v>
      </x:c>
      <x:c r="J63" s="9" t="s">
        <x:v>7</x:v>
      </x:c>
      <x:c r="K63" s="9" t="s">
        <x:v>7</x:v>
      </x:c>
      <x:c r="L63" s="9" t="s">
        <x:v>7</x:v>
      </x:c>
      <x:c r="M63" s="9" t="s">
        <x:v>7</x:v>
      </x:c>
      <x:c r="N63" s="9" t="s">
        <x:v>7</x:v>
      </x:c>
      <x:c r="O63" s="9" t="s">
        <x:v>7</x:v>
      </x:c>
      <x:c r="P63" s="9" t="s">
        <x:v>7</x:v>
      </x:c>
      <x:c r="Q63" s="9" t="s">
        <x:v>7</x:v>
      </x:c>
      <x:c r="R63" s="9" t="s">
        <x:v>7</x:v>
      </x:c>
      <x:c r="S63" s="9" t="s">
        <x:v>7</x:v>
      </x:c>
      <x:c r="T63" s="9" t="s">
        <x:v>7</x:v>
      </x:c>
      <x:c r="U63" s="302">
        <x:v>144</x:v>
      </x:c>
      <x:c r="V63" s="281" t="s">
        <x:v>8</x:v>
      </x:c>
      <x:c r="W63" s="304" t="s">
        <x:v>9</x:v>
      </x:c>
      <x:c r="X63" s="281" t="s">
        <x:v>10</x:v>
      </x:c>
      <x:c r="Y63" s="295" t="s">
        <x:v>11</x:v>
      </x:c>
    </x:row>
    <x:row r="64" ht="29.25" customHeight="1">
      <x:c r="B64" s="285"/>
      <x:c r="C64" s="11">
        <x:v>1</x:v>
      </x:c>
      <x:c r="D64" s="11">
        <x:v>2</x:v>
      </x:c>
      <x:c r="E64" s="11">
        <x:v>3</x:v>
      </x:c>
      <x:c r="F64" s="11">
        <x:v>4</x:v>
      </x:c>
      <x:c r="G64" s="11">
        <x:v>5</x:v>
      </x:c>
      <x:c r="H64" s="11">
        <x:v>6</x:v>
      </x:c>
      <x:c r="I64" s="11">
        <x:v>7</x:v>
      </x:c>
      <x:c r="J64" s="11">
        <x:v>8</x:v>
      </x:c>
      <x:c r="K64" s="11">
        <x:v>9</x:v>
      </x:c>
      <x:c r="L64" s="11">
        <x:v>10</x:v>
      </x:c>
      <x:c r="M64" s="11">
        <x:v>11</x:v>
      </x:c>
      <x:c r="N64" s="11">
        <x:v>12</x:v>
      </x:c>
      <x:c r="O64" s="11">
        <x:v>13</x:v>
      </x:c>
      <x:c r="P64" s="11">
        <x:v>14</x:v>
      </x:c>
      <x:c r="Q64" s="11">
        <x:v>15</x:v>
      </x:c>
      <x:c r="R64" s="11">
        <x:v>16</x:v>
      </x:c>
      <x:c r="S64" s="11">
        <x:v>17</x:v>
      </x:c>
      <x:c r="T64" s="11">
        <x:v>18</x:v>
      </x:c>
      <x:c r="U64" s="303"/>
      <x:c r="V64" s="282"/>
      <x:c r="W64" s="305"/>
      <x:c r="X64" s="282"/>
      <x:c r="Y64" s="296"/>
    </x:row>
    <x:row r="65" ht="29.25">
      <x:c r="B65" s="12" t="n">
        <x:f>0%/100</x:f>
        <x:v>0</x:v>
      </x:c>
      <x:c r="C65" s="111">
        <x:v>5.5E-2</x:v>
      </x:c>
      <x:c r="D65" s="111"/>
      <x:c r="E65" s="111">
        <x:v>0.11</x:v>
      </x:c>
      <x:c r="F65" s="110">
        <x:v>0.16500000000000001</x:v>
      </x:c>
      <x:c r="G65" s="110">
        <x:v>0.22</x:v>
      </x:c>
      <x:c r="H65" s="110">
        <x:v>0.27500000000000002</x:v>
      </x:c>
      <x:c r="I65" s="110">
        <x:v>0.33</x:v>
      </x:c>
      <x:c r="J65" s="110">
        <x:v>0.38500000000000001</x:v>
      </x:c>
      <x:c r="K65" s="110">
        <x:v>0.44</x:v>
      </x:c>
      <x:c r="L65" s="110">
        <x:v>0.495</x:v>
      </x:c>
      <x:c r="M65" s="110">
        <x:v>0.55000000000000004</x:v>
      </x:c>
      <x:c r="N65" s="110">
        <x:v>0.60499999999999998</x:v>
      </x:c>
      <x:c r="O65" s="110">
        <x:v>0.66</x:v>
      </x:c>
      <x:c r="P65" s="110">
        <x:v>0.71499999999999997</x:v>
      </x:c>
      <x:c r="Q65" s="110">
        <x:v>0.77</x:v>
      </x:c>
      <x:c r="R65" s="110">
        <x:v>0.82499999999999996</x:v>
      </x:c>
      <x:c r="S65" s="110">
        <x:v>0.88</x:v>
      </x:c>
      <x:c r="T65" s="110">
        <x:v>0.93500000000000005</x:v>
      </x:c>
      <x:c r="U65" s="13"/>
      <x:c r="V65" s="14"/>
      <x:c r="W65" s="14"/>
      <x:c r="X65" s="14"/>
      <x:c r="Y65" s="15"/>
    </x:row>
    <x:row r="66" ht="29.25" customHeight="1">
      <x:c r="A66" s="53">
        <x:v>1</x:v>
      </x:c>
      <x:c r="B66" s="73" t="s">
        <x:v>159</x:v>
      </x:c>
      <x:c r="C66" s="102">
        <x:v>0</x:v>
      </x:c>
      <x:c r="D66" s="102">
        <x:v>0</x:v>
      </x:c>
      <x:c r="E66" s="102">
        <x:v>0</x:v>
      </x:c>
      <x:c r="F66" s="102">
        <x:v>0</x:v>
      </x:c>
      <x:c r="G66" s="102">
        <x:v>0</x:v>
      </x:c>
      <x:c r="H66" s="102">
        <x:v>0</x:v>
      </x:c>
      <x:c r="I66" s="102">
        <x:v>0</x:v>
      </x:c>
      <x:c r="J66" s="102">
        <x:v>0</x:v>
      </x:c>
      <x:c r="K66" s="102">
        <x:v>0</x:v>
      </x:c>
      <x:c r="L66" s="102">
        <x:v>0</x:v>
      </x:c>
      <x:c r="M66" s="102">
        <x:v>0</x:v>
      </x:c>
      <x:c r="N66" s="102">
        <x:v>0</x:v>
      </x:c>
      <x:c r="O66" s="102">
        <x:v>0</x:v>
      </x:c>
      <x:c r="P66" s="102">
        <x:v>0</x:v>
      </x:c>
      <x:c r="Q66" s="102">
        <x:v>0</x:v>
      </x:c>
      <x:c r="R66" s="102">
        <x:v>0</x:v>
      </x:c>
      <x:c r="S66" s="102">
        <x:v>0</x:v>
      </x:c>
      <x:c r="T66" s="102">
        <x:v>0</x:v>
      </x:c>
      <x:c r="U66" s="17" t="n">
        <x:f>SUM(C66:T66)</x:f>
        <x:v>0</x:v>
      </x:c>
      <x:c r="V66" s="18" t="n">
        <x:f>IF($U$63&gt;0,U66/$U$63,0)</x:f>
        <x:v>0</x:v>
      </x:c>
      <x:c r="W66" s="19" t="n">
        <x:f t="shared" ref="W66:W97" si="4">AVERAGE(C66:T66)/100*18</x:f>
        <x:v>0</x:v>
      </x:c>
      <x:c r="X66" s="20"/>
      <x:c r="Y66" s="21"/>
    </x:row>
    <x:row r="67" ht="29.25">
      <x:c r="A67" s="53">
        <x:v>2</x:v>
      </x:c>
      <x:c r="B67" s="73" t="s">
        <x:v>160</x:v>
      </x:c>
      <x:c r="C67" s="102">
        <x:v>0</x:v>
      </x:c>
      <x:c r="D67" s="102">
        <x:v>0</x:v>
      </x:c>
      <x:c r="E67" s="102">
        <x:v>0</x:v>
      </x:c>
      <x:c r="F67" s="102">
        <x:v>0</x:v>
      </x:c>
      <x:c r="G67" s="102">
        <x:v>0</x:v>
      </x:c>
      <x:c r="H67" s="102">
        <x:v>0</x:v>
      </x:c>
      <x:c r="I67" s="102">
        <x:v>0</x:v>
      </x:c>
      <x:c r="J67" s="102">
        <x:v>0</x:v>
      </x:c>
      <x:c r="K67" s="102">
        <x:v>0</x:v>
      </x:c>
      <x:c r="L67" s="102">
        <x:v>0</x:v>
      </x:c>
      <x:c r="M67" s="102">
        <x:v>0</x:v>
      </x:c>
      <x:c r="N67" s="102">
        <x:v>0</x:v>
      </x:c>
      <x:c r="O67" s="102">
        <x:v>0</x:v>
      </x:c>
      <x:c r="P67" s="102">
        <x:v>0</x:v>
      </x:c>
      <x:c r="Q67" s="102">
        <x:v>0</x:v>
      </x:c>
      <x:c r="R67" s="102">
        <x:v>0</x:v>
      </x:c>
      <x:c r="S67" s="102">
        <x:v>0</x:v>
      </x:c>
      <x:c r="T67" s="102">
        <x:v>0</x:v>
      </x:c>
      <x:c r="U67" s="17" t="n">
        <x:f t="shared" ref="U67:U114" si="5">SUM(C67:T67)</x:f>
        <x:v>0</x:v>
      </x:c>
      <x:c r="V67" s="18" t="n">
        <x:f t="shared" ref="V67:V114" si="6">IF($U$63&gt;0,U67/$U$63,0)</x:f>
        <x:v>0</x:v>
      </x:c>
      <x:c r="W67" s="19">
        <x:f t="shared" si="4"/>
        <x:v>0</x:v>
      </x:c>
      <x:c r="X67" s="20"/>
      <x:c r="Y67" s="21"/>
    </x:row>
    <x:row r="68" ht="29.25">
      <x:c r="A68" s="53">
        <x:v>3</x:v>
      </x:c>
      <x:c r="B68" s="73" t="s">
        <x:v>161</x:v>
      </x:c>
      <x:c r="C68" s="102">
        <x:v>0</x:v>
      </x:c>
      <x:c r="D68" s="102">
        <x:v>0</x:v>
      </x:c>
      <x:c r="E68" s="102">
        <x:v>0</x:v>
      </x:c>
      <x:c r="F68" s="102">
        <x:v>0</x:v>
      </x:c>
      <x:c r="G68" s="102">
        <x:v>0</x:v>
      </x:c>
      <x:c r="H68" s="102">
        <x:v>0</x:v>
      </x:c>
      <x:c r="I68" s="102">
        <x:v>0</x:v>
      </x:c>
      <x:c r="J68" s="102">
        <x:v>0</x:v>
      </x:c>
      <x:c r="K68" s="102">
        <x:v>0</x:v>
      </x:c>
      <x:c r="L68" s="102">
        <x:v>0</x:v>
      </x:c>
      <x:c r="M68" s="102">
        <x:v>0</x:v>
      </x:c>
      <x:c r="N68" s="102">
        <x:v>0</x:v>
      </x:c>
      <x:c r="O68" s="102">
        <x:v>0</x:v>
      </x:c>
      <x:c r="P68" s="102">
        <x:v>0</x:v>
      </x:c>
      <x:c r="Q68" s="102">
        <x:v>0</x:v>
      </x:c>
      <x:c r="R68" s="102">
        <x:v>0</x:v>
      </x:c>
      <x:c r="S68" s="102">
        <x:v>0</x:v>
      </x:c>
      <x:c r="T68" s="102">
        <x:v>0</x:v>
      </x:c>
      <x:c r="U68" s="17">
        <x:f t="shared" si="5"/>
        <x:v>0</x:v>
      </x:c>
      <x:c r="V68" s="18">
        <x:f t="shared" si="6"/>
        <x:v>0</x:v>
      </x:c>
      <x:c r="W68" s="19">
        <x:f t="shared" si="4"/>
        <x:v>0</x:v>
      </x:c>
      <x:c r="X68" s="20"/>
      <x:c r="Y68" s="21"/>
    </x:row>
    <x:row r="69" ht="29.25">
      <x:c r="A69" s="53">
        <x:v>4</x:v>
      </x:c>
      <x:c r="B69" s="73" t="s">
        <x:v>162</x:v>
      </x:c>
      <x:c r="C69" s="102">
        <x:v>0</x:v>
      </x:c>
      <x:c r="D69" s="102">
        <x:v>0</x:v>
      </x:c>
      <x:c r="E69" s="102">
        <x:v>0</x:v>
      </x:c>
      <x:c r="F69" s="102">
        <x:v>0</x:v>
      </x:c>
      <x:c r="G69" s="102">
        <x:v>0</x:v>
      </x:c>
      <x:c r="H69" s="102">
        <x:v>0</x:v>
      </x:c>
      <x:c r="I69" s="102">
        <x:v>0</x:v>
      </x:c>
      <x:c r="J69" s="102">
        <x:v>0</x:v>
      </x:c>
      <x:c r="K69" s="102">
        <x:v>0</x:v>
      </x:c>
      <x:c r="L69" s="102">
        <x:v>0</x:v>
      </x:c>
      <x:c r="M69" s="102">
        <x:v>0</x:v>
      </x:c>
      <x:c r="N69" s="102">
        <x:v>0</x:v>
      </x:c>
      <x:c r="O69" s="102">
        <x:v>0</x:v>
      </x:c>
      <x:c r="P69" s="102">
        <x:v>0</x:v>
      </x:c>
      <x:c r="Q69" s="102">
        <x:v>0</x:v>
      </x:c>
      <x:c r="R69" s="102">
        <x:v>0</x:v>
      </x:c>
      <x:c r="S69" s="102">
        <x:v>0</x:v>
      </x:c>
      <x:c r="T69" s="102">
        <x:v>0</x:v>
      </x:c>
      <x:c r="U69" s="17">
        <x:f t="shared" si="5"/>
        <x:v>0</x:v>
      </x:c>
      <x:c r="V69" s="18">
        <x:f t="shared" si="6"/>
        <x:v>0</x:v>
      </x:c>
      <x:c r="W69" s="19">
        <x:f t="shared" si="4"/>
        <x:v>0</x:v>
      </x:c>
      <x:c r="X69" s="20"/>
      <x:c r="Y69" s="21"/>
    </x:row>
    <x:row r="70" ht="29.25">
      <x:c r="A70" s="53">
        <x:v>5</x:v>
      </x:c>
      <x:c r="B70" s="71" t="s">
        <x:v>163</x:v>
      </x:c>
      <x:c r="C70" s="102">
        <x:v>0</x:v>
      </x:c>
      <x:c r="D70" s="102">
        <x:v>0</x:v>
      </x:c>
      <x:c r="E70" s="102">
        <x:v>0</x:v>
      </x:c>
      <x:c r="F70" s="102">
        <x:v>0</x:v>
      </x:c>
      <x:c r="G70" s="102">
        <x:v>0</x:v>
      </x:c>
      <x:c r="H70" s="102">
        <x:v>0</x:v>
      </x:c>
      <x:c r="I70" s="102">
        <x:v>0</x:v>
      </x:c>
      <x:c r="J70" s="102">
        <x:v>0</x:v>
      </x:c>
      <x:c r="K70" s="102">
        <x:v>0</x:v>
      </x:c>
      <x:c r="L70" s="102">
        <x:v>0</x:v>
      </x:c>
      <x:c r="M70" s="102">
        <x:v>0</x:v>
      </x:c>
      <x:c r="N70" s="102">
        <x:v>0</x:v>
      </x:c>
      <x:c r="O70" s="102">
        <x:v>0</x:v>
      </x:c>
      <x:c r="P70" s="102">
        <x:v>0</x:v>
      </x:c>
      <x:c r="Q70" s="102">
        <x:v>0</x:v>
      </x:c>
      <x:c r="R70" s="102">
        <x:v>0</x:v>
      </x:c>
      <x:c r="S70" s="102">
        <x:v>0</x:v>
      </x:c>
      <x:c r="T70" s="102">
        <x:v>0</x:v>
      </x:c>
      <x:c r="U70" s="17">
        <x:f t="shared" si="5"/>
        <x:v>0</x:v>
      </x:c>
      <x:c r="V70" s="18">
        <x:f t="shared" si="6"/>
        <x:v>0</x:v>
      </x:c>
      <x:c r="W70" s="19">
        <x:f t="shared" si="4"/>
        <x:v>0</x:v>
      </x:c>
      <x:c r="X70" s="22"/>
      <x:c r="Y70" s="23"/>
    </x:row>
    <x:row r="71" ht="29.25">
      <x:c r="A71" s="53">
        <x:v>6</x:v>
      </x:c>
      <x:c r="B71" s="71" t="s">
        <x:v>164</x:v>
      </x:c>
      <x:c r="C71" s="102">
        <x:v>0</x:v>
      </x:c>
      <x:c r="D71" s="102">
        <x:v>0</x:v>
      </x:c>
      <x:c r="E71" s="102">
        <x:v>0</x:v>
      </x:c>
      <x:c r="F71" s="102">
        <x:v>0</x:v>
      </x:c>
      <x:c r="G71" s="102">
        <x:v>0</x:v>
      </x:c>
      <x:c r="H71" s="102">
        <x:v>0</x:v>
      </x:c>
      <x:c r="I71" s="102">
        <x:v>0</x:v>
      </x:c>
      <x:c r="J71" s="102">
        <x:v>0</x:v>
      </x:c>
      <x:c r="K71" s="102">
        <x:v>0</x:v>
      </x:c>
      <x:c r="L71" s="102">
        <x:v>0</x:v>
      </x:c>
      <x:c r="M71" s="102">
        <x:v>0</x:v>
      </x:c>
      <x:c r="N71" s="102">
        <x:v>0</x:v>
      </x:c>
      <x:c r="O71" s="102">
        <x:v>0</x:v>
      </x:c>
      <x:c r="P71" s="102">
        <x:v>0</x:v>
      </x:c>
      <x:c r="Q71" s="102">
        <x:v>0</x:v>
      </x:c>
      <x:c r="R71" s="102">
        <x:v>0</x:v>
      </x:c>
      <x:c r="S71" s="102">
        <x:v>0</x:v>
      </x:c>
      <x:c r="T71" s="102">
        <x:v>0</x:v>
      </x:c>
      <x:c r="U71" s="17">
        <x:f t="shared" si="5"/>
        <x:v>0</x:v>
      </x:c>
      <x:c r="V71" s="18">
        <x:f t="shared" si="6"/>
        <x:v>0</x:v>
      </x:c>
      <x:c r="W71" s="19">
        <x:f t="shared" si="4"/>
        <x:v>0</x:v>
      </x:c>
      <x:c r="X71" s="22"/>
      <x:c r="Y71" s="23"/>
    </x:row>
    <x:row r="72" ht="29.25">
      <x:c r="A72" s="53">
        <x:v>7</x:v>
      </x:c>
      <x:c r="B72" s="71" t="s">
        <x:v>165</x:v>
      </x:c>
      <x:c r="C72" s="102">
        <x:v>0</x:v>
      </x:c>
      <x:c r="D72" s="102">
        <x:v>0</x:v>
      </x:c>
      <x:c r="E72" s="102">
        <x:v>0</x:v>
      </x:c>
      <x:c r="F72" s="102">
        <x:v>0</x:v>
      </x:c>
      <x:c r="G72" s="102">
        <x:v>0</x:v>
      </x:c>
      <x:c r="H72" s="102">
        <x:v>0</x:v>
      </x:c>
      <x:c r="I72" s="102">
        <x:v>0</x:v>
      </x:c>
      <x:c r="J72" s="102">
        <x:v>0</x:v>
      </x:c>
      <x:c r="K72" s="102">
        <x:v>0</x:v>
      </x:c>
      <x:c r="L72" s="102">
        <x:v>0</x:v>
      </x:c>
      <x:c r="M72" s="102">
        <x:v>0</x:v>
      </x:c>
      <x:c r="N72" s="102">
        <x:v>0</x:v>
      </x:c>
      <x:c r="O72" s="102">
        <x:v>0</x:v>
      </x:c>
      <x:c r="P72" s="102">
        <x:v>0</x:v>
      </x:c>
      <x:c r="Q72" s="102">
        <x:v>0</x:v>
      </x:c>
      <x:c r="R72" s="102">
        <x:v>0</x:v>
      </x:c>
      <x:c r="S72" s="102">
        <x:v>0</x:v>
      </x:c>
      <x:c r="T72" s="102">
        <x:v>0</x:v>
      </x:c>
      <x:c r="U72" s="17">
        <x:f t="shared" si="5"/>
        <x:v>0</x:v>
      </x:c>
      <x:c r="V72" s="18">
        <x:f t="shared" si="6"/>
        <x:v>0</x:v>
      </x:c>
      <x:c r="W72" s="19">
        <x:f t="shared" si="4"/>
        <x:v>0</x:v>
      </x:c>
      <x:c r="X72" s="22"/>
      <x:c r="Y72" s="23"/>
    </x:row>
    <x:row r="73" ht="29.25">
      <x:c r="A73" s="53">
        <x:v>8</x:v>
      </x:c>
      <x:c r="B73" s="71" t="s">
        <x:v>166</x:v>
      </x:c>
      <x:c r="C73" s="102">
        <x:v>0</x:v>
      </x:c>
      <x:c r="D73" s="102">
        <x:v>0</x:v>
      </x:c>
      <x:c r="E73" s="102">
        <x:v>0</x:v>
      </x:c>
      <x:c r="F73" s="102">
        <x:v>0</x:v>
      </x:c>
      <x:c r="G73" s="102">
        <x:v>0</x:v>
      </x:c>
      <x:c r="H73" s="102">
        <x:v>0</x:v>
      </x:c>
      <x:c r="I73" s="102">
        <x:v>0</x:v>
      </x:c>
      <x:c r="J73" s="102">
        <x:v>0</x:v>
      </x:c>
      <x:c r="K73" s="102">
        <x:v>0</x:v>
      </x:c>
      <x:c r="L73" s="102">
        <x:v>0</x:v>
      </x:c>
      <x:c r="M73" s="102">
        <x:v>0</x:v>
      </x:c>
      <x:c r="N73" s="102">
        <x:v>0</x:v>
      </x:c>
      <x:c r="O73" s="102">
        <x:v>0</x:v>
      </x:c>
      <x:c r="P73" s="102">
        <x:v>0</x:v>
      </x:c>
      <x:c r="Q73" s="102">
        <x:v>0</x:v>
      </x:c>
      <x:c r="R73" s="102">
        <x:v>0</x:v>
      </x:c>
      <x:c r="S73" s="102">
        <x:v>0</x:v>
      </x:c>
      <x:c r="T73" s="102">
        <x:v>0</x:v>
      </x:c>
      <x:c r="U73" s="17">
        <x:f t="shared" si="5"/>
        <x:v>0</x:v>
      </x:c>
      <x:c r="V73" s="18">
        <x:f t="shared" si="6"/>
        <x:v>0</x:v>
      </x:c>
      <x:c r="W73" s="19">
        <x:f t="shared" si="4"/>
        <x:v>0</x:v>
      </x:c>
      <x:c r="X73" s="22"/>
      <x:c r="Y73" s="23"/>
    </x:row>
    <x:row r="74" ht="29.25">
      <x:c r="A74" s="53">
        <x:v>9</x:v>
      </x:c>
      <x:c r="B74" s="71" t="s">
        <x:v>167</x:v>
      </x:c>
      <x:c r="C74" s="102">
        <x:v>0</x:v>
      </x:c>
      <x:c r="D74" s="102">
        <x:v>0</x:v>
      </x:c>
      <x:c r="E74" s="102">
        <x:v>0</x:v>
      </x:c>
      <x:c r="F74" s="102">
        <x:v>0</x:v>
      </x:c>
      <x:c r="G74" s="102">
        <x:v>0</x:v>
      </x:c>
      <x:c r="H74" s="102">
        <x:v>0</x:v>
      </x:c>
      <x:c r="I74" s="102">
        <x:v>0</x:v>
      </x:c>
      <x:c r="J74" s="102">
        <x:v>0</x:v>
      </x:c>
      <x:c r="K74" s="102">
        <x:v>0</x:v>
      </x:c>
      <x:c r="L74" s="102">
        <x:v>0</x:v>
      </x:c>
      <x:c r="M74" s="102">
        <x:v>0</x:v>
      </x:c>
      <x:c r="N74" s="102">
        <x:v>0</x:v>
      </x:c>
      <x:c r="O74" s="102">
        <x:v>0</x:v>
      </x:c>
      <x:c r="P74" s="102">
        <x:v>0</x:v>
      </x:c>
      <x:c r="Q74" s="102">
        <x:v>0</x:v>
      </x:c>
      <x:c r="R74" s="102">
        <x:v>0</x:v>
      </x:c>
      <x:c r="S74" s="102">
        <x:v>0</x:v>
      </x:c>
      <x:c r="T74" s="102">
        <x:v>0</x:v>
      </x:c>
      <x:c r="U74" s="17">
        <x:f t="shared" si="5"/>
        <x:v>0</x:v>
      </x:c>
      <x:c r="V74" s="18">
        <x:f t="shared" si="6"/>
        <x:v>0</x:v>
      </x:c>
      <x:c r="W74" s="19">
        <x:f t="shared" si="4"/>
        <x:v>0</x:v>
      </x:c>
      <x:c r="X74" s="22"/>
      <x:c r="Y74" s="23"/>
    </x:row>
    <x:row r="75" ht="36.75" customHeight="1">
      <x:c r="A75" s="53">
        <x:v>10</x:v>
      </x:c>
      <x:c r="B75" s="71" t="s">
        <x:v>168</x:v>
      </x:c>
      <x:c r="C75" s="102">
        <x:v>0</x:v>
      </x:c>
      <x:c r="D75" s="102">
        <x:v>0</x:v>
      </x:c>
      <x:c r="E75" s="102">
        <x:v>0</x:v>
      </x:c>
      <x:c r="F75" s="102">
        <x:v>0</x:v>
      </x:c>
      <x:c r="G75" s="102">
        <x:v>0</x:v>
      </x:c>
      <x:c r="H75" s="102">
        <x:v>0</x:v>
      </x:c>
      <x:c r="I75" s="102">
        <x:v>0</x:v>
      </x:c>
      <x:c r="J75" s="102">
        <x:v>0</x:v>
      </x:c>
      <x:c r="K75" s="102">
        <x:v>0</x:v>
      </x:c>
      <x:c r="L75" s="102">
        <x:v>0</x:v>
      </x:c>
      <x:c r="M75" s="102">
        <x:v>0</x:v>
      </x:c>
      <x:c r="N75" s="102">
        <x:v>0</x:v>
      </x:c>
      <x:c r="O75" s="102">
        <x:v>0</x:v>
      </x:c>
      <x:c r="P75" s="102">
        <x:v>0</x:v>
      </x:c>
      <x:c r="Q75" s="102">
        <x:v>0</x:v>
      </x:c>
      <x:c r="R75" s="102">
        <x:v>0</x:v>
      </x:c>
      <x:c r="S75" s="102">
        <x:v>0</x:v>
      </x:c>
      <x:c r="T75" s="102">
        <x:v>0</x:v>
      </x:c>
      <x:c r="U75" s="17">
        <x:f t="shared" si="5"/>
        <x:v>0</x:v>
      </x:c>
      <x:c r="V75" s="18">
        <x:f t="shared" si="6"/>
        <x:v>0</x:v>
      </x:c>
      <x:c r="W75" s="19">
        <x:f t="shared" si="4"/>
        <x:v>0</x:v>
      </x:c>
      <x:c r="X75" s="22"/>
      <x:c r="Y75" s="23"/>
    </x:row>
    <x:row r="76" ht="29.25">
      <x:c r="A76" s="53">
        <x:v>11</x:v>
      </x:c>
      <x:c r="B76" s="71" t="s">
        <x:v>169</x:v>
      </x:c>
      <x:c r="C76" s="102">
        <x:v>0</x:v>
      </x:c>
      <x:c r="D76" s="102">
        <x:v>0</x:v>
      </x:c>
      <x:c r="E76" s="102">
        <x:v>0</x:v>
      </x:c>
      <x:c r="F76" s="102">
        <x:v>0</x:v>
      </x:c>
      <x:c r="G76" s="102">
        <x:v>0</x:v>
      </x:c>
      <x:c r="H76" s="102">
        <x:v>0</x:v>
      </x:c>
      <x:c r="I76" s="102">
        <x:v>0</x:v>
      </x:c>
      <x:c r="J76" s="102">
        <x:v>0</x:v>
      </x:c>
      <x:c r="K76" s="102">
        <x:v>0</x:v>
      </x:c>
      <x:c r="L76" s="102">
        <x:v>0</x:v>
      </x:c>
      <x:c r="M76" s="102">
        <x:v>0</x:v>
      </x:c>
      <x:c r="N76" s="102">
        <x:v>0</x:v>
      </x:c>
      <x:c r="O76" s="102">
        <x:v>0</x:v>
      </x:c>
      <x:c r="P76" s="102">
        <x:v>0</x:v>
      </x:c>
      <x:c r="Q76" s="102">
        <x:v>0</x:v>
      </x:c>
      <x:c r="R76" s="102">
        <x:v>0</x:v>
      </x:c>
      <x:c r="S76" s="102">
        <x:v>0</x:v>
      </x:c>
      <x:c r="T76" s="102">
        <x:v>0</x:v>
      </x:c>
      <x:c r="U76" s="17">
        <x:f t="shared" si="5"/>
        <x:v>0</x:v>
      </x:c>
      <x:c r="V76" s="18">
        <x:f t="shared" si="6"/>
        <x:v>0</x:v>
      </x:c>
      <x:c r="W76" s="19">
        <x:f t="shared" si="4"/>
        <x:v>0</x:v>
      </x:c>
      <x:c r="X76" s="22"/>
      <x:c r="Y76" s="23"/>
    </x:row>
    <x:row r="77" ht="29.25">
      <x:c r="A77" s="53">
        <x:v>12</x:v>
      </x:c>
      <x:c r="B77" s="71" t="s">
        <x:v>170</x:v>
      </x:c>
      <x:c r="C77" s="102">
        <x:v>0</x:v>
      </x:c>
      <x:c r="D77" s="102">
        <x:v>0</x:v>
      </x:c>
      <x:c r="E77" s="102">
        <x:v>0</x:v>
      </x:c>
      <x:c r="F77" s="102">
        <x:v>0</x:v>
      </x:c>
      <x:c r="G77" s="102">
        <x:v>0</x:v>
      </x:c>
      <x:c r="H77" s="102">
        <x:v>0</x:v>
      </x:c>
      <x:c r="I77" s="102">
        <x:v>0</x:v>
      </x:c>
      <x:c r="J77" s="102">
        <x:v>0</x:v>
      </x:c>
      <x:c r="K77" s="102">
        <x:v>0</x:v>
      </x:c>
      <x:c r="L77" s="102">
        <x:v>0</x:v>
      </x:c>
      <x:c r="M77" s="102">
        <x:v>0</x:v>
      </x:c>
      <x:c r="N77" s="102">
        <x:v>0</x:v>
      </x:c>
      <x:c r="O77" s="102">
        <x:v>0</x:v>
      </x:c>
      <x:c r="P77" s="102">
        <x:v>0</x:v>
      </x:c>
      <x:c r="Q77" s="102">
        <x:v>0</x:v>
      </x:c>
      <x:c r="R77" s="102">
        <x:v>0</x:v>
      </x:c>
      <x:c r="S77" s="102">
        <x:v>0</x:v>
      </x:c>
      <x:c r="T77" s="102">
        <x:v>0</x:v>
      </x:c>
      <x:c r="U77" s="17">
        <x:f t="shared" si="5"/>
        <x:v>0</x:v>
      </x:c>
      <x:c r="V77" s="18">
        <x:f t="shared" si="6"/>
        <x:v>0</x:v>
      </x:c>
      <x:c r="W77" s="19">
        <x:f t="shared" si="4"/>
        <x:v>0</x:v>
      </x:c>
      <x:c r="X77" s="22"/>
      <x:c r="Y77" s="23"/>
    </x:row>
    <x:row r="78" ht="29.25">
      <x:c r="A78" s="53">
        <x:v>13</x:v>
      </x:c>
      <x:c r="B78" s="63" t="s">
        <x:v>171</x:v>
      </x:c>
      <x:c r="C78" s="102">
        <x:v>0</x:v>
      </x:c>
      <x:c r="D78" s="102">
        <x:v>0</x:v>
      </x:c>
      <x:c r="E78" s="102">
        <x:v>0</x:v>
      </x:c>
      <x:c r="F78" s="102">
        <x:v>0</x:v>
      </x:c>
      <x:c r="G78" s="102">
        <x:v>0</x:v>
      </x:c>
      <x:c r="H78" s="102">
        <x:v>0</x:v>
      </x:c>
      <x:c r="I78" s="102">
        <x:v>0</x:v>
      </x:c>
      <x:c r="J78" s="102">
        <x:v>0</x:v>
      </x:c>
      <x:c r="K78" s="102">
        <x:v>0</x:v>
      </x:c>
      <x:c r="L78" s="102">
        <x:v>0</x:v>
      </x:c>
      <x:c r="M78" s="102">
        <x:v>0</x:v>
      </x:c>
      <x:c r="N78" s="102">
        <x:v>0</x:v>
      </x:c>
      <x:c r="O78" s="102">
        <x:v>0</x:v>
      </x:c>
      <x:c r="P78" s="102">
        <x:v>0</x:v>
      </x:c>
      <x:c r="Q78" s="102">
        <x:v>0</x:v>
      </x:c>
      <x:c r="R78" s="102">
        <x:v>0</x:v>
      </x:c>
      <x:c r="S78" s="102">
        <x:v>0</x:v>
      </x:c>
      <x:c r="T78" s="102">
        <x:v>0</x:v>
      </x:c>
      <x:c r="U78" s="17">
        <x:f t="shared" si="5"/>
        <x:v>0</x:v>
      </x:c>
      <x:c r="V78" s="18">
        <x:f t="shared" si="6"/>
        <x:v>0</x:v>
      </x:c>
      <x:c r="W78" s="19">
        <x:f t="shared" si="4"/>
        <x:v>0</x:v>
      </x:c>
      <x:c r="X78" s="25"/>
      <x:c r="Y78" s="23"/>
    </x:row>
    <x:row r="79" ht="29.25" customHeight="1">
      <x:c r="A79" s="53">
        <x:v>14</x:v>
      </x:c>
      <x:c r="B79" s="72" t="s">
        <x:v>172</x:v>
      </x:c>
      <x:c r="C79" s="102">
        <x:v>0</x:v>
      </x:c>
      <x:c r="D79" s="102">
        <x:v>0</x:v>
      </x:c>
      <x:c r="E79" s="102">
        <x:v>0</x:v>
      </x:c>
      <x:c r="F79" s="102">
        <x:v>0</x:v>
      </x:c>
      <x:c r="G79" s="102">
        <x:v>0</x:v>
      </x:c>
      <x:c r="H79" s="102">
        <x:v>0</x:v>
      </x:c>
      <x:c r="I79" s="102">
        <x:v>0</x:v>
      </x:c>
      <x:c r="J79" s="102">
        <x:v>0</x:v>
      </x:c>
      <x:c r="K79" s="102">
        <x:v>0</x:v>
      </x:c>
      <x:c r="L79" s="102">
        <x:v>0</x:v>
      </x:c>
      <x:c r="M79" s="102">
        <x:v>0</x:v>
      </x:c>
      <x:c r="N79" s="102">
        <x:v>0</x:v>
      </x:c>
      <x:c r="O79" s="102">
        <x:v>0</x:v>
      </x:c>
      <x:c r="P79" s="102">
        <x:v>0</x:v>
      </x:c>
      <x:c r="Q79" s="102">
        <x:v>0</x:v>
      </x:c>
      <x:c r="R79" s="102">
        <x:v>0</x:v>
      </x:c>
      <x:c r="S79" s="102">
        <x:v>0</x:v>
      </x:c>
      <x:c r="T79" s="102">
        <x:v>0</x:v>
      </x:c>
      <x:c r="U79" s="17">
        <x:f t="shared" si="5"/>
        <x:v>0</x:v>
      </x:c>
      <x:c r="V79" s="18">
        <x:f t="shared" si="6"/>
        <x:v>0</x:v>
      </x:c>
      <x:c r="W79" s="19">
        <x:f t="shared" si="4"/>
        <x:v>0</x:v>
      </x:c>
      <x:c r="X79" s="27"/>
      <x:c r="Y79" s="28"/>
    </x:row>
    <x:row r="80" ht="29.25">
      <x:c r="A80" s="53">
        <x:v>15</x:v>
      </x:c>
      <x:c r="B80" s="63" t="s">
        <x:v>173</x:v>
      </x:c>
      <x:c r="C80" s="102">
        <x:v>0</x:v>
      </x:c>
      <x:c r="D80" s="102">
        <x:v>0</x:v>
      </x:c>
      <x:c r="E80" s="102">
        <x:v>0</x:v>
      </x:c>
      <x:c r="F80" s="102">
        <x:v>0</x:v>
      </x:c>
      <x:c r="G80" s="102">
        <x:v>0</x:v>
      </x:c>
      <x:c r="H80" s="102">
        <x:v>0</x:v>
      </x:c>
      <x:c r="I80" s="102">
        <x:v>0</x:v>
      </x:c>
      <x:c r="J80" s="102">
        <x:v>0</x:v>
      </x:c>
      <x:c r="K80" s="102">
        <x:v>0</x:v>
      </x:c>
      <x:c r="L80" s="102">
        <x:v>0</x:v>
      </x:c>
      <x:c r="M80" s="102">
        <x:v>0</x:v>
      </x:c>
      <x:c r="N80" s="102">
        <x:v>0</x:v>
      </x:c>
      <x:c r="O80" s="102">
        <x:v>0</x:v>
      </x:c>
      <x:c r="P80" s="102">
        <x:v>0</x:v>
      </x:c>
      <x:c r="Q80" s="102">
        <x:v>0</x:v>
      </x:c>
      <x:c r="R80" s="102">
        <x:v>0</x:v>
      </x:c>
      <x:c r="S80" s="102">
        <x:v>0</x:v>
      </x:c>
      <x:c r="T80" s="102">
        <x:v>0</x:v>
      </x:c>
      <x:c r="U80" s="17">
        <x:f t="shared" si="5"/>
        <x:v>0</x:v>
      </x:c>
      <x:c r="V80" s="18">
        <x:f t="shared" si="6"/>
        <x:v>0</x:v>
      </x:c>
      <x:c r="W80" s="19">
        <x:f t="shared" si="4"/>
        <x:v>0</x:v>
      </x:c>
      <x:c r="X80" s="30"/>
      <x:c r="Y80" s="23"/>
    </x:row>
    <x:row r="81" ht="29.25">
      <x:c r="A81" s="53">
        <x:v>16</x:v>
      </x:c>
      <x:c r="B81" s="65" t="s">
        <x:v>174</x:v>
      </x:c>
      <x:c r="C81" s="102">
        <x:v>0</x:v>
      </x:c>
      <x:c r="D81" s="102">
        <x:v>0</x:v>
      </x:c>
      <x:c r="E81" s="102">
        <x:v>0</x:v>
      </x:c>
      <x:c r="F81" s="102">
        <x:v>0</x:v>
      </x:c>
      <x:c r="G81" s="102">
        <x:v>0</x:v>
      </x:c>
      <x:c r="H81" s="102">
        <x:v>0</x:v>
      </x:c>
      <x:c r="I81" s="102">
        <x:v>0</x:v>
      </x:c>
      <x:c r="J81" s="102">
        <x:v>0</x:v>
      </x:c>
      <x:c r="K81" s="102">
        <x:v>0</x:v>
      </x:c>
      <x:c r="L81" s="102">
        <x:v>0</x:v>
      </x:c>
      <x:c r="M81" s="102">
        <x:v>0</x:v>
      </x:c>
      <x:c r="N81" s="102">
        <x:v>0</x:v>
      </x:c>
      <x:c r="O81" s="102">
        <x:v>0</x:v>
      </x:c>
      <x:c r="P81" s="102">
        <x:v>0</x:v>
      </x:c>
      <x:c r="Q81" s="102">
        <x:v>0</x:v>
      </x:c>
      <x:c r="R81" s="102">
        <x:v>0</x:v>
      </x:c>
      <x:c r="S81" s="102">
        <x:v>0</x:v>
      </x:c>
      <x:c r="T81" s="102">
        <x:v>0</x:v>
      </x:c>
      <x:c r="U81" s="17">
        <x:f t="shared" si="5"/>
        <x:v>0</x:v>
      </x:c>
      <x:c r="V81" s="18">
        <x:f t="shared" si="6"/>
        <x:v>0</x:v>
      </x:c>
      <x:c r="W81" s="19">
        <x:f t="shared" si="4"/>
        <x:v>0</x:v>
      </x:c>
      <x:c r="X81" s="30"/>
      <x:c r="Y81" s="23"/>
    </x:row>
    <x:row r="82" ht="36.75">
      <x:c r="A82" s="53">
        <x:v>17</x:v>
      </x:c>
      <x:c r="B82" s="66" t="s">
        <x:v>175</x:v>
      </x:c>
      <x:c r="C82" s="102">
        <x:v>0</x:v>
      </x:c>
      <x:c r="D82" s="102">
        <x:v>0</x:v>
      </x:c>
      <x:c r="E82" s="102">
        <x:v>0</x:v>
      </x:c>
      <x:c r="F82" s="102">
        <x:v>0</x:v>
      </x:c>
      <x:c r="G82" s="102">
        <x:v>0</x:v>
      </x:c>
      <x:c r="H82" s="102">
        <x:v>0</x:v>
      </x:c>
      <x:c r="I82" s="102">
        <x:v>0</x:v>
      </x:c>
      <x:c r="J82" s="102">
        <x:v>0</x:v>
      </x:c>
      <x:c r="K82" s="102">
        <x:v>0</x:v>
      </x:c>
      <x:c r="L82" s="102">
        <x:v>0</x:v>
      </x:c>
      <x:c r="M82" s="102">
        <x:v>0</x:v>
      </x:c>
      <x:c r="N82" s="102">
        <x:v>0</x:v>
      </x:c>
      <x:c r="O82" s="102">
        <x:v>0</x:v>
      </x:c>
      <x:c r="P82" s="102">
        <x:v>0</x:v>
      </x:c>
      <x:c r="Q82" s="102">
        <x:v>0</x:v>
      </x:c>
      <x:c r="R82" s="102">
        <x:v>0</x:v>
      </x:c>
      <x:c r="S82" s="102">
        <x:v>0</x:v>
      </x:c>
      <x:c r="T82" s="102">
        <x:v>0</x:v>
      </x:c>
      <x:c r="U82" s="17">
        <x:f t="shared" si="5"/>
        <x:v>0</x:v>
      </x:c>
      <x:c r="V82" s="18">
        <x:f t="shared" si="6"/>
        <x:v>0</x:v>
      </x:c>
      <x:c r="W82" s="19">
        <x:f t="shared" si="4"/>
        <x:v>0</x:v>
      </x:c>
      <x:c r="X82" s="30"/>
      <x:c r="Y82" s="23"/>
    </x:row>
    <x:row r="83" ht="29.25">
      <x:c r="A83" s="53">
        <x:v>18</x:v>
      </x:c>
      <x:c r="B83" s="71" t="s">
        <x:v>176</x:v>
      </x:c>
      <x:c r="C83" s="102">
        <x:v>0</x:v>
      </x:c>
      <x:c r="D83" s="102">
        <x:v>0</x:v>
      </x:c>
      <x:c r="E83" s="102">
        <x:v>0</x:v>
      </x:c>
      <x:c r="F83" s="102">
        <x:v>0</x:v>
      </x:c>
      <x:c r="G83" s="102">
        <x:v>0</x:v>
      </x:c>
      <x:c r="H83" s="102">
        <x:v>0</x:v>
      </x:c>
      <x:c r="I83" s="102">
        <x:v>0</x:v>
      </x:c>
      <x:c r="J83" s="102">
        <x:v>0</x:v>
      </x:c>
      <x:c r="K83" s="102">
        <x:v>0</x:v>
      </x:c>
      <x:c r="L83" s="102">
        <x:v>0</x:v>
      </x:c>
      <x:c r="M83" s="102">
        <x:v>0</x:v>
      </x:c>
      <x:c r="N83" s="102">
        <x:v>0</x:v>
      </x:c>
      <x:c r="O83" s="102">
        <x:v>0</x:v>
      </x:c>
      <x:c r="P83" s="102">
        <x:v>0</x:v>
      </x:c>
      <x:c r="Q83" s="102">
        <x:v>0</x:v>
      </x:c>
      <x:c r="R83" s="102">
        <x:v>0</x:v>
      </x:c>
      <x:c r="S83" s="102">
        <x:v>0</x:v>
      </x:c>
      <x:c r="T83" s="102">
        <x:v>0</x:v>
      </x:c>
      <x:c r="U83" s="17">
        <x:f t="shared" si="5"/>
        <x:v>0</x:v>
      </x:c>
      <x:c r="V83" s="18">
        <x:f t="shared" si="6"/>
        <x:v>0</x:v>
      </x:c>
      <x:c r="W83" s="19">
        <x:f t="shared" si="4"/>
        <x:v>0</x:v>
      </x:c>
      <x:c r="X83" s="30"/>
      <x:c r="Y83" s="23"/>
    </x:row>
    <x:row r="84" ht="29.25">
      <x:c r="A84" s="53">
        <x:v>19</x:v>
      </x:c>
      <x:c r="B84" s="67" t="s">
        <x:v>177</x:v>
      </x:c>
      <x:c r="C84" s="102">
        <x:v>0</x:v>
      </x:c>
      <x:c r="D84" s="102">
        <x:v>0</x:v>
      </x:c>
      <x:c r="E84" s="102">
        <x:v>0</x:v>
      </x:c>
      <x:c r="F84" s="102">
        <x:v>0</x:v>
      </x:c>
      <x:c r="G84" s="102">
        <x:v>0</x:v>
      </x:c>
      <x:c r="H84" s="102">
        <x:v>0</x:v>
      </x:c>
      <x:c r="I84" s="102">
        <x:v>0</x:v>
      </x:c>
      <x:c r="J84" s="102">
        <x:v>0</x:v>
      </x:c>
      <x:c r="K84" s="102">
        <x:v>0</x:v>
      </x:c>
      <x:c r="L84" s="102">
        <x:v>0</x:v>
      </x:c>
      <x:c r="M84" s="102">
        <x:v>0</x:v>
      </x:c>
      <x:c r="N84" s="102">
        <x:v>0</x:v>
      </x:c>
      <x:c r="O84" s="102">
        <x:v>0</x:v>
      </x:c>
      <x:c r="P84" s="102">
        <x:v>0</x:v>
      </x:c>
      <x:c r="Q84" s="102">
        <x:v>0</x:v>
      </x:c>
      <x:c r="R84" s="102">
        <x:v>0</x:v>
      </x:c>
      <x:c r="S84" s="102">
        <x:v>0</x:v>
      </x:c>
      <x:c r="T84" s="102">
        <x:v>0</x:v>
      </x:c>
      <x:c r="U84" s="17">
        <x:f t="shared" si="5"/>
        <x:v>0</x:v>
      </x:c>
      <x:c r="V84" s="18">
        <x:f t="shared" si="6"/>
        <x:v>0</x:v>
      </x:c>
      <x:c r="W84" s="19">
        <x:f t="shared" si="4"/>
        <x:v>0</x:v>
      </x:c>
      <x:c r="X84" s="30"/>
      <x:c r="Y84" s="23"/>
    </x:row>
    <x:row r="85" ht="29.25">
      <x:c r="A85" s="53">
        <x:v>20</x:v>
      </x:c>
      <x:c r="B85" s="67" t="s">
        <x:v>178</x:v>
      </x:c>
      <x:c r="C85" s="102">
        <x:v>0</x:v>
      </x:c>
      <x:c r="D85" s="102">
        <x:v>0</x:v>
      </x:c>
      <x:c r="E85" s="102">
        <x:v>0</x:v>
      </x:c>
      <x:c r="F85" s="102">
        <x:v>0</x:v>
      </x:c>
      <x:c r="G85" s="102">
        <x:v>0</x:v>
      </x:c>
      <x:c r="H85" s="102">
        <x:v>0</x:v>
      </x:c>
      <x:c r="I85" s="102">
        <x:v>0</x:v>
      </x:c>
      <x:c r="J85" s="102">
        <x:v>0</x:v>
      </x:c>
      <x:c r="K85" s="102">
        <x:v>0</x:v>
      </x:c>
      <x:c r="L85" s="102">
        <x:v>0</x:v>
      </x:c>
      <x:c r="M85" s="102">
        <x:v>0</x:v>
      </x:c>
      <x:c r="N85" s="102">
        <x:v>0</x:v>
      </x:c>
      <x:c r="O85" s="102">
        <x:v>0</x:v>
      </x:c>
      <x:c r="P85" s="102">
        <x:v>0</x:v>
      </x:c>
      <x:c r="Q85" s="102">
        <x:v>0</x:v>
      </x:c>
      <x:c r="R85" s="102">
        <x:v>0</x:v>
      </x:c>
      <x:c r="S85" s="102">
        <x:v>0</x:v>
      </x:c>
      <x:c r="T85" s="102">
        <x:v>0</x:v>
      </x:c>
      <x:c r="U85" s="17">
        <x:f t="shared" si="5"/>
        <x:v>0</x:v>
      </x:c>
      <x:c r="V85" s="18">
        <x:f t="shared" si="6"/>
        <x:v>0</x:v>
      </x:c>
      <x:c r="W85" s="19">
        <x:f t="shared" si="4"/>
        <x:v>0</x:v>
      </x:c>
      <x:c r="X85" s="30"/>
      <x:c r="Y85" s="23"/>
    </x:row>
    <x:row r="86" ht="29.25">
      <x:c r="A86" s="53">
        <x:v>21</x:v>
      </x:c>
      <x:c r="B86" s="67" t="s">
        <x:v>179</x:v>
      </x:c>
      <x:c r="C86" s="102">
        <x:v>0</x:v>
      </x:c>
      <x:c r="D86" s="102">
        <x:v>0</x:v>
      </x:c>
      <x:c r="E86" s="102">
        <x:v>0</x:v>
      </x:c>
      <x:c r="F86" s="102">
        <x:v>0</x:v>
      </x:c>
      <x:c r="G86" s="102">
        <x:v>0</x:v>
      </x:c>
      <x:c r="H86" s="102">
        <x:v>0</x:v>
      </x:c>
      <x:c r="I86" s="102">
        <x:v>0</x:v>
      </x:c>
      <x:c r="J86" s="102">
        <x:v>0</x:v>
      </x:c>
      <x:c r="K86" s="102">
        <x:v>0</x:v>
      </x:c>
      <x:c r="L86" s="102">
        <x:v>0</x:v>
      </x:c>
      <x:c r="M86" s="102">
        <x:v>0</x:v>
      </x:c>
      <x:c r="N86" s="102">
        <x:v>0</x:v>
      </x:c>
      <x:c r="O86" s="102">
        <x:v>0</x:v>
      </x:c>
      <x:c r="P86" s="102">
        <x:v>0</x:v>
      </x:c>
      <x:c r="Q86" s="102">
        <x:v>0</x:v>
      </x:c>
      <x:c r="R86" s="102">
        <x:v>0</x:v>
      </x:c>
      <x:c r="S86" s="102">
        <x:v>0</x:v>
      </x:c>
      <x:c r="T86" s="102">
        <x:v>0</x:v>
      </x:c>
      <x:c r="U86" s="17">
        <x:f t="shared" si="5"/>
        <x:v>0</x:v>
      </x:c>
      <x:c r="V86" s="18">
        <x:f t="shared" si="6"/>
        <x:v>0</x:v>
      </x:c>
      <x:c r="W86" s="19">
        <x:f t="shared" si="4"/>
        <x:v>0</x:v>
      </x:c>
      <x:c r="X86" s="30"/>
      <x:c r="Y86" s="23"/>
    </x:row>
    <x:row r="87" ht="29.25">
      <x:c r="A87" s="53">
        <x:v>22</x:v>
      </x:c>
      <x:c r="B87" s="67" t="s">
        <x:v>180</x:v>
      </x:c>
      <x:c r="C87" s="102">
        <x:v>0</x:v>
      </x:c>
      <x:c r="D87" s="102">
        <x:v>0</x:v>
      </x:c>
      <x:c r="E87" s="102">
        <x:v>0</x:v>
      </x:c>
      <x:c r="F87" s="102">
        <x:v>0</x:v>
      </x:c>
      <x:c r="G87" s="102">
        <x:v>0</x:v>
      </x:c>
      <x:c r="H87" s="102">
        <x:v>0</x:v>
      </x:c>
      <x:c r="I87" s="102">
        <x:v>0</x:v>
      </x:c>
      <x:c r="J87" s="102">
        <x:v>0</x:v>
      </x:c>
      <x:c r="K87" s="102">
        <x:v>0</x:v>
      </x:c>
      <x:c r="L87" s="102">
        <x:v>0</x:v>
      </x:c>
      <x:c r="M87" s="102">
        <x:v>0</x:v>
      </x:c>
      <x:c r="N87" s="102">
        <x:v>0</x:v>
      </x:c>
      <x:c r="O87" s="102">
        <x:v>0</x:v>
      </x:c>
      <x:c r="P87" s="102">
        <x:v>0</x:v>
      </x:c>
      <x:c r="Q87" s="102">
        <x:v>0</x:v>
      </x:c>
      <x:c r="R87" s="102">
        <x:v>0</x:v>
      </x:c>
      <x:c r="S87" s="102">
        <x:v>0</x:v>
      </x:c>
      <x:c r="T87" s="102">
        <x:v>0</x:v>
      </x:c>
      <x:c r="U87" s="17">
        <x:f t="shared" si="5"/>
        <x:v>0</x:v>
      </x:c>
      <x:c r="V87" s="18">
        <x:f t="shared" si="6"/>
        <x:v>0</x:v>
      </x:c>
      <x:c r="W87" s="19">
        <x:f t="shared" si="4"/>
        <x:v>0</x:v>
      </x:c>
      <x:c r="X87" s="30"/>
      <x:c r="Y87" s="23"/>
    </x:row>
    <x:row r="88" ht="36.75" customHeight="1">
      <x:c r="A88" s="53">
        <x:v>23</x:v>
      </x:c>
      <x:c r="B88" s="67" t="s">
        <x:v>181</x:v>
      </x:c>
      <x:c r="C88" s="102">
        <x:v>0</x:v>
      </x:c>
      <x:c r="D88" s="102">
        <x:v>0</x:v>
      </x:c>
      <x:c r="E88" s="102">
        <x:v>0</x:v>
      </x:c>
      <x:c r="F88" s="102">
        <x:v>0</x:v>
      </x:c>
      <x:c r="G88" s="102">
        <x:v>0</x:v>
      </x:c>
      <x:c r="H88" s="102">
        <x:v>0</x:v>
      </x:c>
      <x:c r="I88" s="102">
        <x:v>0</x:v>
      </x:c>
      <x:c r="J88" s="102">
        <x:v>0</x:v>
      </x:c>
      <x:c r="K88" s="102">
        <x:v>0</x:v>
      </x:c>
      <x:c r="L88" s="102">
        <x:v>0</x:v>
      </x:c>
      <x:c r="M88" s="102">
        <x:v>0</x:v>
      </x:c>
      <x:c r="N88" s="102">
        <x:v>0</x:v>
      </x:c>
      <x:c r="O88" s="102">
        <x:v>0</x:v>
      </x:c>
      <x:c r="P88" s="102">
        <x:v>0</x:v>
      </x:c>
      <x:c r="Q88" s="102">
        <x:v>0</x:v>
      </x:c>
      <x:c r="R88" s="102">
        <x:v>0</x:v>
      </x:c>
      <x:c r="S88" s="102">
        <x:v>0</x:v>
      </x:c>
      <x:c r="T88" s="102">
        <x:v>0</x:v>
      </x:c>
      <x:c r="U88" s="17">
        <x:f t="shared" si="5"/>
        <x:v>0</x:v>
      </x:c>
      <x:c r="V88" s="18">
        <x:f t="shared" si="6"/>
        <x:v>0</x:v>
      </x:c>
      <x:c r="W88" s="19">
        <x:f t="shared" si="4"/>
        <x:v>0</x:v>
      </x:c>
      <x:c r="X88" s="30"/>
      <x:c r="Y88" s="23"/>
    </x:row>
    <x:row r="89" ht="29.25">
      <x:c r="A89" s="53">
        <x:v>24</x:v>
      </x:c>
      <x:c r="B89" s="66" t="s">
        <x:v>182</x:v>
      </x:c>
      <x:c r="C89" s="102">
        <x:v>0</x:v>
      </x:c>
      <x:c r="D89" s="102">
        <x:v>0</x:v>
      </x:c>
      <x:c r="E89" s="102">
        <x:v>0</x:v>
      </x:c>
      <x:c r="F89" s="102">
        <x:v>0</x:v>
      </x:c>
      <x:c r="G89" s="102">
        <x:v>0</x:v>
      </x:c>
      <x:c r="H89" s="102">
        <x:v>0</x:v>
      </x:c>
      <x:c r="I89" s="102">
        <x:v>0</x:v>
      </x:c>
      <x:c r="J89" s="102">
        <x:v>0</x:v>
      </x:c>
      <x:c r="K89" s="102">
        <x:v>0</x:v>
      </x:c>
      <x:c r="L89" s="102">
        <x:v>0</x:v>
      </x:c>
      <x:c r="M89" s="102">
        <x:v>0</x:v>
      </x:c>
      <x:c r="N89" s="102">
        <x:v>0</x:v>
      </x:c>
      <x:c r="O89" s="102">
        <x:v>0</x:v>
      </x:c>
      <x:c r="P89" s="102">
        <x:v>0</x:v>
      </x:c>
      <x:c r="Q89" s="102">
        <x:v>0</x:v>
      </x:c>
      <x:c r="R89" s="102">
        <x:v>0</x:v>
      </x:c>
      <x:c r="S89" s="102">
        <x:v>0</x:v>
      </x:c>
      <x:c r="T89" s="102">
        <x:v>0</x:v>
      </x:c>
      <x:c r="U89" s="17">
        <x:f t="shared" si="5"/>
        <x:v>0</x:v>
      </x:c>
      <x:c r="V89" s="18">
        <x:f t="shared" si="6"/>
        <x:v>0</x:v>
      </x:c>
      <x:c r="W89" s="19">
        <x:f t="shared" si="4"/>
        <x:v>0</x:v>
      </x:c>
      <x:c r="X89" s="30"/>
      <x:c r="Y89" s="23"/>
    </x:row>
    <x:row r="90" ht="29.25">
      <x:c r="A90" s="53">
        <x:v>25</x:v>
      </x:c>
      <x:c r="B90" s="66" t="s">
        <x:v>183</x:v>
      </x:c>
      <x:c r="C90" s="102">
        <x:v>0</x:v>
      </x:c>
      <x:c r="D90" s="102">
        <x:v>0</x:v>
      </x:c>
      <x:c r="E90" s="102">
        <x:v>0</x:v>
      </x:c>
      <x:c r="F90" s="102">
        <x:v>0</x:v>
      </x:c>
      <x:c r="G90" s="102">
        <x:v>0</x:v>
      </x:c>
      <x:c r="H90" s="102">
        <x:v>0</x:v>
      </x:c>
      <x:c r="I90" s="102">
        <x:v>0</x:v>
      </x:c>
      <x:c r="J90" s="102">
        <x:v>0</x:v>
      </x:c>
      <x:c r="K90" s="102">
        <x:v>0</x:v>
      </x:c>
      <x:c r="L90" s="102">
        <x:v>0</x:v>
      </x:c>
      <x:c r="M90" s="102">
        <x:v>0</x:v>
      </x:c>
      <x:c r="N90" s="102">
        <x:v>0</x:v>
      </x:c>
      <x:c r="O90" s="102">
        <x:v>0</x:v>
      </x:c>
      <x:c r="P90" s="102">
        <x:v>0</x:v>
      </x:c>
      <x:c r="Q90" s="102">
        <x:v>0</x:v>
      </x:c>
      <x:c r="R90" s="102">
        <x:v>0</x:v>
      </x:c>
      <x:c r="S90" s="102">
        <x:v>0</x:v>
      </x:c>
      <x:c r="T90" s="102">
        <x:v>0</x:v>
      </x:c>
      <x:c r="U90" s="17">
        <x:f t="shared" si="5"/>
        <x:v>0</x:v>
      </x:c>
      <x:c r="V90" s="18">
        <x:f t="shared" si="6"/>
        <x:v>0</x:v>
      </x:c>
      <x:c r="W90" s="19">
        <x:f t="shared" si="4"/>
        <x:v>0</x:v>
      </x:c>
      <x:c r="X90" s="30"/>
      <x:c r="Y90" s="23"/>
    </x:row>
    <x:row r="91" ht="29.25">
      <x:c r="A91" s="53">
        <x:v>26</x:v>
      </x:c>
      <x:c r="B91" s="66" t="s">
        <x:v>184</x:v>
      </x:c>
      <x:c r="C91" s="102">
        <x:v>0</x:v>
      </x:c>
      <x:c r="D91" s="102">
        <x:v>0</x:v>
      </x:c>
      <x:c r="E91" s="102">
        <x:v>0</x:v>
      </x:c>
      <x:c r="F91" s="102">
        <x:v>0</x:v>
      </x:c>
      <x:c r="G91" s="102">
        <x:v>0</x:v>
      </x:c>
      <x:c r="H91" s="102">
        <x:v>0</x:v>
      </x:c>
      <x:c r="I91" s="102">
        <x:v>0</x:v>
      </x:c>
      <x:c r="J91" s="102">
        <x:v>0</x:v>
      </x:c>
      <x:c r="K91" s="102">
        <x:v>0</x:v>
      </x:c>
      <x:c r="L91" s="102">
        <x:v>0</x:v>
      </x:c>
      <x:c r="M91" s="102">
        <x:v>0</x:v>
      </x:c>
      <x:c r="N91" s="102">
        <x:v>0</x:v>
      </x:c>
      <x:c r="O91" s="102">
        <x:v>0</x:v>
      </x:c>
      <x:c r="P91" s="102">
        <x:v>0</x:v>
      </x:c>
      <x:c r="Q91" s="102">
        <x:v>0</x:v>
      </x:c>
      <x:c r="R91" s="102">
        <x:v>0</x:v>
      </x:c>
      <x:c r="S91" s="102">
        <x:v>0</x:v>
      </x:c>
      <x:c r="T91" s="102">
        <x:v>0</x:v>
      </x:c>
      <x:c r="U91" s="17">
        <x:f t="shared" si="5"/>
        <x:v>0</x:v>
      </x:c>
      <x:c r="V91" s="18">
        <x:f t="shared" si="6"/>
        <x:v>0</x:v>
      </x:c>
      <x:c r="W91" s="19">
        <x:f t="shared" si="4"/>
        <x:v>0</x:v>
      </x:c>
      <x:c r="X91" s="30"/>
      <x:c r="Y91" s="23"/>
    </x:row>
    <x:row r="92" ht="36.75">
      <x:c r="A92" s="53">
        <x:v>27</x:v>
      </x:c>
      <x:c r="B92" s="68" t="s">
        <x:v>185</x:v>
      </x:c>
      <x:c r="C92" s="102">
        <x:v>0</x:v>
      </x:c>
      <x:c r="D92" s="102">
        <x:v>0</x:v>
      </x:c>
      <x:c r="E92" s="102">
        <x:v>0</x:v>
      </x:c>
      <x:c r="F92" s="102">
        <x:v>0</x:v>
      </x:c>
      <x:c r="G92" s="102">
        <x:v>0</x:v>
      </x:c>
      <x:c r="H92" s="102">
        <x:v>0</x:v>
      </x:c>
      <x:c r="I92" s="102">
        <x:v>0</x:v>
      </x:c>
      <x:c r="J92" s="102">
        <x:v>0</x:v>
      </x:c>
      <x:c r="K92" s="102">
        <x:v>0</x:v>
      </x:c>
      <x:c r="L92" s="102">
        <x:v>0</x:v>
      </x:c>
      <x:c r="M92" s="102">
        <x:v>0</x:v>
      </x:c>
      <x:c r="N92" s="102">
        <x:v>0</x:v>
      </x:c>
      <x:c r="O92" s="102">
        <x:v>0</x:v>
      </x:c>
      <x:c r="P92" s="102">
        <x:v>0</x:v>
      </x:c>
      <x:c r="Q92" s="102">
        <x:v>0</x:v>
      </x:c>
      <x:c r="R92" s="102">
        <x:v>0</x:v>
      </x:c>
      <x:c r="S92" s="102">
        <x:v>0</x:v>
      </x:c>
      <x:c r="T92" s="102">
        <x:v>0</x:v>
      </x:c>
      <x:c r="U92" s="17">
        <x:f t="shared" si="5"/>
        <x:v>0</x:v>
      </x:c>
      <x:c r="V92" s="18">
        <x:f t="shared" si="6"/>
        <x:v>0</x:v>
      </x:c>
      <x:c r="W92" s="19">
        <x:f t="shared" si="4"/>
        <x:v>0</x:v>
      </x:c>
      <x:c r="X92" s="32"/>
      <x:c r="Y92" s="33"/>
    </x:row>
    <x:row r="93" ht="29.25" customHeight="1">
      <x:c r="A93" s="53">
        <x:v>28</x:v>
      </x:c>
      <x:c r="B93" s="64" t="s">
        <x:v>186</x:v>
      </x:c>
      <x:c r="C93" s="102">
        <x:v>0</x:v>
      </x:c>
      <x:c r="D93" s="102">
        <x:v>0</x:v>
      </x:c>
      <x:c r="E93" s="102">
        <x:v>0</x:v>
      </x:c>
      <x:c r="F93" s="102">
        <x:v>0</x:v>
      </x:c>
      <x:c r="G93" s="102">
        <x:v>0</x:v>
      </x:c>
      <x:c r="H93" s="102">
        <x:v>0</x:v>
      </x:c>
      <x:c r="I93" s="102">
        <x:v>0</x:v>
      </x:c>
      <x:c r="J93" s="102">
        <x:v>0</x:v>
      </x:c>
      <x:c r="K93" s="102">
        <x:v>0</x:v>
      </x:c>
      <x:c r="L93" s="102">
        <x:v>0</x:v>
      </x:c>
      <x:c r="M93" s="102">
        <x:v>0</x:v>
      </x:c>
      <x:c r="N93" s="102">
        <x:v>0</x:v>
      </x:c>
      <x:c r="O93" s="102">
        <x:v>0</x:v>
      </x:c>
      <x:c r="P93" s="102">
        <x:v>0</x:v>
      </x:c>
      <x:c r="Q93" s="102">
        <x:v>0</x:v>
      </x:c>
      <x:c r="R93" s="102">
        <x:v>0</x:v>
      </x:c>
      <x:c r="S93" s="102">
        <x:v>0</x:v>
      </x:c>
      <x:c r="T93" s="102">
        <x:v>0</x:v>
      </x:c>
      <x:c r="U93" s="17">
        <x:f t="shared" si="5"/>
        <x:v>0</x:v>
      </x:c>
      <x:c r="V93" s="18">
        <x:f t="shared" si="6"/>
        <x:v>0</x:v>
      </x:c>
      <x:c r="W93" s="19">
        <x:f t="shared" si="4"/>
        <x:v>0</x:v>
      </x:c>
      <x:c r="X93" s="27"/>
      <x:c r="Y93" s="28"/>
    </x:row>
    <x:row r="94" ht="29.25">
      <x:c r="A94" s="53">
        <x:v>29</x:v>
      </x:c>
      <x:c r="B94" s="66" t="s">
        <x:v>187</x:v>
      </x:c>
      <x:c r="C94" s="102">
        <x:v>0</x:v>
      </x:c>
      <x:c r="D94" s="102">
        <x:v>0</x:v>
      </x:c>
      <x:c r="E94" s="102">
        <x:v>0</x:v>
      </x:c>
      <x:c r="F94" s="102">
        <x:v>0</x:v>
      </x:c>
      <x:c r="G94" s="102">
        <x:v>0</x:v>
      </x:c>
      <x:c r="H94" s="102">
        <x:v>0</x:v>
      </x:c>
      <x:c r="I94" s="102">
        <x:v>0</x:v>
      </x:c>
      <x:c r="J94" s="102">
        <x:v>0</x:v>
      </x:c>
      <x:c r="K94" s="102">
        <x:v>0</x:v>
      </x:c>
      <x:c r="L94" s="102">
        <x:v>0</x:v>
      </x:c>
      <x:c r="M94" s="102">
        <x:v>0</x:v>
      </x:c>
      <x:c r="N94" s="102">
        <x:v>0</x:v>
      </x:c>
      <x:c r="O94" s="102">
        <x:v>0</x:v>
      </x:c>
      <x:c r="P94" s="102">
        <x:v>0</x:v>
      </x:c>
      <x:c r="Q94" s="102">
        <x:v>0</x:v>
      </x:c>
      <x:c r="R94" s="102">
        <x:v>0</x:v>
      </x:c>
      <x:c r="S94" s="102">
        <x:v>0</x:v>
      </x:c>
      <x:c r="T94" s="102">
        <x:v>0</x:v>
      </x:c>
      <x:c r="U94" s="17">
        <x:f t="shared" si="5"/>
        <x:v>0</x:v>
      </x:c>
      <x:c r="V94" s="18">
        <x:f t="shared" si="6"/>
        <x:v>0</x:v>
      </x:c>
      <x:c r="W94" s="19">
        <x:f t="shared" si="4"/>
        <x:v>0</x:v>
      </x:c>
      <x:c r="X94" s="30"/>
      <x:c r="Y94" s="23"/>
    </x:row>
    <x:row r="95" ht="29.25">
      <x:c r="A95" s="53">
        <x:v>30</x:v>
      </x:c>
      <x:c r="B95" s="68" t="s">
        <x:v>188</x:v>
      </x:c>
      <x:c r="C95" s="102">
        <x:v>0</x:v>
      </x:c>
      <x:c r="D95" s="102">
        <x:v>0</x:v>
      </x:c>
      <x:c r="E95" s="102">
        <x:v>0</x:v>
      </x:c>
      <x:c r="F95" s="102">
        <x:v>0</x:v>
      </x:c>
      <x:c r="G95" s="102">
        <x:v>0</x:v>
      </x:c>
      <x:c r="H95" s="102">
        <x:v>0</x:v>
      </x:c>
      <x:c r="I95" s="102">
        <x:v>0</x:v>
      </x:c>
      <x:c r="J95" s="102">
        <x:v>0</x:v>
      </x:c>
      <x:c r="K95" s="102">
        <x:v>0</x:v>
      </x:c>
      <x:c r="L95" s="102">
        <x:v>0</x:v>
      </x:c>
      <x:c r="M95" s="102">
        <x:v>0</x:v>
      </x:c>
      <x:c r="N95" s="102">
        <x:v>0</x:v>
      </x:c>
      <x:c r="O95" s="102">
        <x:v>0</x:v>
      </x:c>
      <x:c r="P95" s="102">
        <x:v>0</x:v>
      </x:c>
      <x:c r="Q95" s="102">
        <x:v>0</x:v>
      </x:c>
      <x:c r="R95" s="102">
        <x:v>0</x:v>
      </x:c>
      <x:c r="S95" s="102">
        <x:v>0</x:v>
      </x:c>
      <x:c r="T95" s="102">
        <x:v>0</x:v>
      </x:c>
      <x:c r="U95" s="17">
        <x:f t="shared" si="5"/>
        <x:v>0</x:v>
      </x:c>
      <x:c r="V95" s="18">
        <x:f t="shared" si="6"/>
        <x:v>0</x:v>
      </x:c>
      <x:c r="W95" s="19">
        <x:f t="shared" si="4"/>
        <x:v>0</x:v>
      </x:c>
      <x:c r="X95" s="30"/>
      <x:c r="Y95" s="23"/>
    </x:row>
    <x:row r="96" ht="29.25">
      <x:c r="A96" s="53">
        <x:v>31</x:v>
      </x:c>
      <x:c r="B96" s="69" t="s">
        <x:v>189</x:v>
      </x:c>
      <x:c r="C96" s="102">
        <x:v>0</x:v>
      </x:c>
      <x:c r="D96" s="102">
        <x:v>0</x:v>
      </x:c>
      <x:c r="E96" s="102">
        <x:v>0</x:v>
      </x:c>
      <x:c r="F96" s="102">
        <x:v>0</x:v>
      </x:c>
      <x:c r="G96" s="102">
        <x:v>0</x:v>
      </x:c>
      <x:c r="H96" s="102">
        <x:v>0</x:v>
      </x:c>
      <x:c r="I96" s="102">
        <x:v>0</x:v>
      </x:c>
      <x:c r="J96" s="102">
        <x:v>0</x:v>
      </x:c>
      <x:c r="K96" s="102">
        <x:v>0</x:v>
      </x:c>
      <x:c r="L96" s="102">
        <x:v>0</x:v>
      </x:c>
      <x:c r="M96" s="102">
        <x:v>0</x:v>
      </x:c>
      <x:c r="N96" s="102">
        <x:v>0</x:v>
      </x:c>
      <x:c r="O96" s="102">
        <x:v>0</x:v>
      </x:c>
      <x:c r="P96" s="102">
        <x:v>0</x:v>
      </x:c>
      <x:c r="Q96" s="102">
        <x:v>0</x:v>
      </x:c>
      <x:c r="R96" s="102">
        <x:v>0</x:v>
      </x:c>
      <x:c r="S96" s="102">
        <x:v>0</x:v>
      </x:c>
      <x:c r="T96" s="102">
        <x:v>0</x:v>
      </x:c>
      <x:c r="U96" s="17">
        <x:f t="shared" si="5"/>
        <x:v>0</x:v>
      </x:c>
      <x:c r="V96" s="18">
        <x:f t="shared" si="6"/>
        <x:v>0</x:v>
      </x:c>
      <x:c r="W96" s="19">
        <x:f t="shared" si="4"/>
        <x:v>0</x:v>
      </x:c>
      <x:c r="X96" s="30"/>
      <x:c r="Y96" s="23"/>
    </x:row>
    <x:row r="97" ht="29.25">
      <x:c r="A97" s="53">
        <x:v>32</x:v>
      </x:c>
      <x:c r="B97" s="70" t="s">
        <x:v>190</x:v>
      </x:c>
      <x:c r="C97" s="102">
        <x:v>0</x:v>
      </x:c>
      <x:c r="D97" s="102">
        <x:v>0</x:v>
      </x:c>
      <x:c r="E97" s="102">
        <x:v>0</x:v>
      </x:c>
      <x:c r="F97" s="102">
        <x:v>0</x:v>
      </x:c>
      <x:c r="G97" s="102">
        <x:v>0</x:v>
      </x:c>
      <x:c r="H97" s="102">
        <x:v>0</x:v>
      </x:c>
      <x:c r="I97" s="102">
        <x:v>0</x:v>
      </x:c>
      <x:c r="J97" s="102">
        <x:v>0</x:v>
      </x:c>
      <x:c r="K97" s="102">
        <x:v>0</x:v>
      </x:c>
      <x:c r="L97" s="102">
        <x:v>0</x:v>
      </x:c>
      <x:c r="M97" s="102">
        <x:v>0</x:v>
      </x:c>
      <x:c r="N97" s="102">
        <x:v>0</x:v>
      </x:c>
      <x:c r="O97" s="102">
        <x:v>0</x:v>
      </x:c>
      <x:c r="P97" s="102">
        <x:v>0</x:v>
      </x:c>
      <x:c r="Q97" s="102">
        <x:v>0</x:v>
      </x:c>
      <x:c r="R97" s="102">
        <x:v>0</x:v>
      </x:c>
      <x:c r="S97" s="102">
        <x:v>0</x:v>
      </x:c>
      <x:c r="T97" s="102">
        <x:v>0</x:v>
      </x:c>
      <x:c r="U97" s="17">
        <x:f t="shared" si="5"/>
        <x:v>0</x:v>
      </x:c>
      <x:c r="V97" s="18">
        <x:f t="shared" si="6"/>
        <x:v>0</x:v>
      </x:c>
      <x:c r="W97" s="19">
        <x:f t="shared" si="4"/>
        <x:v>0</x:v>
      </x:c>
      <x:c r="X97" s="30"/>
      <x:c r="Y97" s="35"/>
    </x:row>
    <x:row r="98" ht="29.25">
      <x:c r="A98" s="53">
        <x:v>33</x:v>
      </x:c>
      <x:c r="B98" s="66" t="s">
        <x:v>191</x:v>
      </x:c>
      <x:c r="C98" s="102">
        <x:v>0</x:v>
      </x:c>
      <x:c r="D98" s="102">
        <x:v>0</x:v>
      </x:c>
      <x:c r="E98" s="102">
        <x:v>0</x:v>
      </x:c>
      <x:c r="F98" s="102">
        <x:v>0</x:v>
      </x:c>
      <x:c r="G98" s="102">
        <x:v>0</x:v>
      </x:c>
      <x:c r="H98" s="102">
        <x:v>0</x:v>
      </x:c>
      <x:c r="I98" s="102">
        <x:v>0</x:v>
      </x:c>
      <x:c r="J98" s="102">
        <x:v>0</x:v>
      </x:c>
      <x:c r="K98" s="102">
        <x:v>0</x:v>
      </x:c>
      <x:c r="L98" s="102">
        <x:v>0</x:v>
      </x:c>
      <x:c r="M98" s="102">
        <x:v>0</x:v>
      </x:c>
      <x:c r="N98" s="102">
        <x:v>0</x:v>
      </x:c>
      <x:c r="O98" s="102">
        <x:v>0</x:v>
      </x:c>
      <x:c r="P98" s="102">
        <x:v>0</x:v>
      </x:c>
      <x:c r="Q98" s="102">
        <x:v>0</x:v>
      </x:c>
      <x:c r="R98" s="102">
        <x:v>0</x:v>
      </x:c>
      <x:c r="S98" s="102">
        <x:v>0</x:v>
      </x:c>
      <x:c r="T98" s="102">
        <x:v>0</x:v>
      </x:c>
      <x:c r="U98" s="17">
        <x:f t="shared" si="5"/>
        <x:v>0</x:v>
      </x:c>
      <x:c r="V98" s="18">
        <x:f t="shared" si="6"/>
        <x:v>0</x:v>
      </x:c>
      <x:c r="W98" s="19" t="n">
        <x:f t="shared" ref="W98:W114" si="7">AVERAGE(C98:T98)/100*18</x:f>
        <x:v>0</x:v>
      </x:c>
      <x:c r="X98" s="30"/>
      <x:c r="Y98" s="35"/>
    </x:row>
    <x:row r="99" ht="29.25">
      <x:c r="A99" s="53">
        <x:v>34</x:v>
      </x:c>
      <x:c r="B99" s="70" t="s">
        <x:v>192</x:v>
      </x:c>
      <x:c r="C99" s="102">
        <x:v>0</x:v>
      </x:c>
      <x:c r="D99" s="102">
        <x:v>0</x:v>
      </x:c>
      <x:c r="E99" s="102">
        <x:v>0</x:v>
      </x:c>
      <x:c r="F99" s="102">
        <x:v>0</x:v>
      </x:c>
      <x:c r="G99" s="102">
        <x:v>0</x:v>
      </x:c>
      <x:c r="H99" s="102">
        <x:v>0</x:v>
      </x:c>
      <x:c r="I99" s="102">
        <x:v>0</x:v>
      </x:c>
      <x:c r="J99" s="102">
        <x:v>0</x:v>
      </x:c>
      <x:c r="K99" s="102">
        <x:v>0</x:v>
      </x:c>
      <x:c r="L99" s="102">
        <x:v>0</x:v>
      </x:c>
      <x:c r="M99" s="102">
        <x:v>0</x:v>
      </x:c>
      <x:c r="N99" s="102">
        <x:v>0</x:v>
      </x:c>
      <x:c r="O99" s="102">
        <x:v>0</x:v>
      </x:c>
      <x:c r="P99" s="102">
        <x:v>0</x:v>
      </x:c>
      <x:c r="Q99" s="102">
        <x:v>0</x:v>
      </x:c>
      <x:c r="R99" s="102">
        <x:v>0</x:v>
      </x:c>
      <x:c r="S99" s="102">
        <x:v>0</x:v>
      </x:c>
      <x:c r="T99" s="102">
        <x:v>0</x:v>
      </x:c>
      <x:c r="U99" s="17">
        <x:f t="shared" si="5"/>
        <x:v>0</x:v>
      </x:c>
      <x:c r="V99" s="18">
        <x:f t="shared" si="6"/>
        <x:v>0</x:v>
      </x:c>
      <x:c r="W99" s="19">
        <x:f t="shared" si="7"/>
        <x:v>0</x:v>
      </x:c>
      <x:c r="X99" s="30"/>
      <x:c r="Y99" s="35"/>
    </x:row>
    <x:row r="100" ht="29.25">
      <x:c r="A100" s="53">
        <x:v>35</x:v>
      </x:c>
      <x:c r="B100" s="71" t="s">
        <x:v>193</x:v>
      </x:c>
      <x:c r="C100" s="102">
        <x:v>0</x:v>
      </x:c>
      <x:c r="D100" s="102">
        <x:v>0</x:v>
      </x:c>
      <x:c r="E100" s="102">
        <x:v>0</x:v>
      </x:c>
      <x:c r="F100" s="102">
        <x:v>0</x:v>
      </x:c>
      <x:c r="G100" s="102">
        <x:v>0</x:v>
      </x:c>
      <x:c r="H100" s="102">
        <x:v>0</x:v>
      </x:c>
      <x:c r="I100" s="102">
        <x:v>0</x:v>
      </x:c>
      <x:c r="J100" s="102">
        <x:v>0</x:v>
      </x:c>
      <x:c r="K100" s="102">
        <x:v>0</x:v>
      </x:c>
      <x:c r="L100" s="102">
        <x:v>0</x:v>
      </x:c>
      <x:c r="M100" s="102">
        <x:v>0</x:v>
      </x:c>
      <x:c r="N100" s="102">
        <x:v>0</x:v>
      </x:c>
      <x:c r="O100" s="102">
        <x:v>0</x:v>
      </x:c>
      <x:c r="P100" s="102">
        <x:v>0</x:v>
      </x:c>
      <x:c r="Q100" s="102">
        <x:v>0</x:v>
      </x:c>
      <x:c r="R100" s="102">
        <x:v>0</x:v>
      </x:c>
      <x:c r="S100" s="102">
        <x:v>0</x:v>
      </x:c>
      <x:c r="T100" s="102">
        <x:v>0</x:v>
      </x:c>
      <x:c r="U100" s="17">
        <x:f t="shared" si="5"/>
        <x:v>0</x:v>
      </x:c>
      <x:c r="V100" s="18">
        <x:f t="shared" si="6"/>
        <x:v>0</x:v>
      </x:c>
      <x:c r="W100" s="19">
        <x:f t="shared" si="7"/>
        <x:v>0</x:v>
      </x:c>
      <x:c r="X100" s="30"/>
      <x:c r="Y100" s="35"/>
    </x:row>
    <x:row r="101" ht="29.25">
      <x:c r="A101" s="53">
        <x:v>36</x:v>
      </x:c>
      <x:c r="B101" s="70" t="s">
        <x:v>194</x:v>
      </x:c>
      <x:c r="C101" s="102">
        <x:v>0</x:v>
      </x:c>
      <x:c r="D101" s="102">
        <x:v>0</x:v>
      </x:c>
      <x:c r="E101" s="102">
        <x:v>0</x:v>
      </x:c>
      <x:c r="F101" s="102">
        <x:v>0</x:v>
      </x:c>
      <x:c r="G101" s="102">
        <x:v>0</x:v>
      </x:c>
      <x:c r="H101" s="102">
        <x:v>0</x:v>
      </x:c>
      <x:c r="I101" s="102">
        <x:v>0</x:v>
      </x:c>
      <x:c r="J101" s="102">
        <x:v>0</x:v>
      </x:c>
      <x:c r="K101" s="102">
        <x:v>0</x:v>
      </x:c>
      <x:c r="L101" s="102">
        <x:v>0</x:v>
      </x:c>
      <x:c r="M101" s="102">
        <x:v>0</x:v>
      </x:c>
      <x:c r="N101" s="102">
        <x:v>0</x:v>
      </x:c>
      <x:c r="O101" s="102">
        <x:v>0</x:v>
      </x:c>
      <x:c r="P101" s="102">
        <x:v>0</x:v>
      </x:c>
      <x:c r="Q101" s="102">
        <x:v>0</x:v>
      </x:c>
      <x:c r="R101" s="102">
        <x:v>0</x:v>
      </x:c>
      <x:c r="S101" s="102">
        <x:v>0</x:v>
      </x:c>
      <x:c r="T101" s="102">
        <x:v>0</x:v>
      </x:c>
      <x:c r="U101" s="17">
        <x:f t="shared" si="5"/>
        <x:v>0</x:v>
      </x:c>
      <x:c r="V101" s="18">
        <x:f t="shared" si="6"/>
        <x:v>0</x:v>
      </x:c>
      <x:c r="W101" s="19">
        <x:f t="shared" si="7"/>
        <x:v>0</x:v>
      </x:c>
      <x:c r="X101" s="30"/>
      <x:c r="Y101" s="35"/>
    </x:row>
    <x:row r="102" ht="29.25">
      <x:c r="A102" s="53">
        <x:v>37</x:v>
      </x:c>
      <x:c r="B102" s="52" t="s">
        <x:v>195</x:v>
      </x:c>
      <x:c r="C102" s="102">
        <x:v>0</x:v>
      </x:c>
      <x:c r="D102" s="102">
        <x:v>0</x:v>
      </x:c>
      <x:c r="E102" s="102">
        <x:v>0</x:v>
      </x:c>
      <x:c r="F102" s="102">
        <x:v>0</x:v>
      </x:c>
      <x:c r="G102" s="102">
        <x:v>0</x:v>
      </x:c>
      <x:c r="H102" s="102">
        <x:v>0</x:v>
      </x:c>
      <x:c r="I102" s="102">
        <x:v>0</x:v>
      </x:c>
      <x:c r="J102" s="102">
        <x:v>0</x:v>
      </x:c>
      <x:c r="K102" s="102">
        <x:v>0</x:v>
      </x:c>
      <x:c r="L102" s="102">
        <x:v>0</x:v>
      </x:c>
      <x:c r="M102" s="102">
        <x:v>0</x:v>
      </x:c>
      <x:c r="N102" s="102">
        <x:v>0</x:v>
      </x:c>
      <x:c r="O102" s="102">
        <x:v>0</x:v>
      </x:c>
      <x:c r="P102" s="102">
        <x:v>0</x:v>
      </x:c>
      <x:c r="Q102" s="102">
        <x:v>0</x:v>
      </x:c>
      <x:c r="R102" s="102">
        <x:v>0</x:v>
      </x:c>
      <x:c r="S102" s="102">
        <x:v>0</x:v>
      </x:c>
      <x:c r="T102" s="102">
        <x:v>0</x:v>
      </x:c>
      <x:c r="U102" s="17">
        <x:f t="shared" si="5"/>
        <x:v>0</x:v>
      </x:c>
      <x:c r="V102" s="18">
        <x:f t="shared" si="6"/>
        <x:v>0</x:v>
      </x:c>
      <x:c r="W102" s="19">
        <x:f t="shared" si="7"/>
        <x:v>0</x:v>
      </x:c>
      <x:c r="X102" s="30"/>
      <x:c r="Y102" s="23"/>
    </x:row>
    <x:row r="103" ht="29.25">
      <x:c r="A103" s="53">
        <x:v>38</x:v>
      </x:c>
      <x:c r="B103" s="52" t="s">
        <x:v>196</x:v>
      </x:c>
      <x:c r="C103" s="102">
        <x:v>0</x:v>
      </x:c>
      <x:c r="D103" s="102">
        <x:v>0</x:v>
      </x:c>
      <x:c r="E103" s="102">
        <x:v>0</x:v>
      </x:c>
      <x:c r="F103" s="102">
        <x:v>0</x:v>
      </x:c>
      <x:c r="G103" s="102">
        <x:v>0</x:v>
      </x:c>
      <x:c r="H103" s="102">
        <x:v>0</x:v>
      </x:c>
      <x:c r="I103" s="102">
        <x:v>0</x:v>
      </x:c>
      <x:c r="J103" s="102">
        <x:v>0</x:v>
      </x:c>
      <x:c r="K103" s="102">
        <x:v>0</x:v>
      </x:c>
      <x:c r="L103" s="102">
        <x:v>0</x:v>
      </x:c>
      <x:c r="M103" s="102">
        <x:v>0</x:v>
      </x:c>
      <x:c r="N103" s="102">
        <x:v>0</x:v>
      </x:c>
      <x:c r="O103" s="102">
        <x:v>0</x:v>
      </x:c>
      <x:c r="P103" s="102">
        <x:v>0</x:v>
      </x:c>
      <x:c r="Q103" s="102">
        <x:v>0</x:v>
      </x:c>
      <x:c r="R103" s="102">
        <x:v>0</x:v>
      </x:c>
      <x:c r="S103" s="102">
        <x:v>0</x:v>
      </x:c>
      <x:c r="T103" s="102">
        <x:v>0</x:v>
      </x:c>
      <x:c r="U103" s="17">
        <x:f t="shared" si="5"/>
        <x:v>0</x:v>
      </x:c>
      <x:c r="V103" s="18">
        <x:f t="shared" si="6"/>
        <x:v>0</x:v>
      </x:c>
      <x:c r="W103" s="19">
        <x:f t="shared" si="7"/>
        <x:v>0</x:v>
      </x:c>
      <x:c r="X103" s="30"/>
      <x:c r="Y103" s="35"/>
    </x:row>
    <x:row r="104" ht="29.25">
      <x:c r="A104" s="53">
        <x:v>39</x:v>
      </x:c>
      <x:c r="B104" s="52" t="s">
        <x:v>197</x:v>
      </x:c>
      <x:c r="C104" s="102">
        <x:v>0</x:v>
      </x:c>
      <x:c r="D104" s="102">
        <x:v>0</x:v>
      </x:c>
      <x:c r="E104" s="102">
        <x:v>0</x:v>
      </x:c>
      <x:c r="F104" s="102">
        <x:v>0</x:v>
      </x:c>
      <x:c r="G104" s="102">
        <x:v>0</x:v>
      </x:c>
      <x:c r="H104" s="102">
        <x:v>0</x:v>
      </x:c>
      <x:c r="I104" s="102">
        <x:v>0</x:v>
      </x:c>
      <x:c r="J104" s="102">
        <x:v>0</x:v>
      </x:c>
      <x:c r="K104" s="102">
        <x:v>0</x:v>
      </x:c>
      <x:c r="L104" s="102">
        <x:v>0</x:v>
      </x:c>
      <x:c r="M104" s="102">
        <x:v>0</x:v>
      </x:c>
      <x:c r="N104" s="102">
        <x:v>0</x:v>
      </x:c>
      <x:c r="O104" s="102">
        <x:v>0</x:v>
      </x:c>
      <x:c r="P104" s="102">
        <x:v>0</x:v>
      </x:c>
      <x:c r="Q104" s="102">
        <x:v>0</x:v>
      </x:c>
      <x:c r="R104" s="102">
        <x:v>0</x:v>
      </x:c>
      <x:c r="S104" s="102">
        <x:v>0</x:v>
      </x:c>
      <x:c r="T104" s="102">
        <x:v>0</x:v>
      </x:c>
      <x:c r="U104" s="17">
        <x:f t="shared" si="5"/>
        <x:v>0</x:v>
      </x:c>
      <x:c r="V104" s="18">
        <x:f t="shared" si="6"/>
        <x:v>0</x:v>
      </x:c>
      <x:c r="W104" s="19">
        <x:f t="shared" si="7"/>
        <x:v>0</x:v>
      </x:c>
      <x:c r="X104" s="30"/>
      <x:c r="Y104" s="35"/>
    </x:row>
    <x:row r="105" ht="29.25">
      <x:c r="A105" s="53">
        <x:v>40</x:v>
      </x:c>
      <x:c r="B105" s="52" t="s">
        <x:v>198</x:v>
      </x:c>
      <x:c r="C105" s="102">
        <x:v>0</x:v>
      </x:c>
      <x:c r="D105" s="102">
        <x:v>0</x:v>
      </x:c>
      <x:c r="E105" s="102">
        <x:v>0</x:v>
      </x:c>
      <x:c r="F105" s="102">
        <x:v>0</x:v>
      </x:c>
      <x:c r="G105" s="102">
        <x:v>0</x:v>
      </x:c>
      <x:c r="H105" s="102">
        <x:v>0</x:v>
      </x:c>
      <x:c r="I105" s="102">
        <x:v>0</x:v>
      </x:c>
      <x:c r="J105" s="102">
        <x:v>0</x:v>
      </x:c>
      <x:c r="K105" s="102">
        <x:v>0</x:v>
      </x:c>
      <x:c r="L105" s="102">
        <x:v>0</x:v>
      </x:c>
      <x:c r="M105" s="102">
        <x:v>0</x:v>
      </x:c>
      <x:c r="N105" s="102">
        <x:v>0</x:v>
      </x:c>
      <x:c r="O105" s="102">
        <x:v>0</x:v>
      </x:c>
      <x:c r="P105" s="102">
        <x:v>0</x:v>
      </x:c>
      <x:c r="Q105" s="102">
        <x:v>0</x:v>
      </x:c>
      <x:c r="R105" s="102">
        <x:v>0</x:v>
      </x:c>
      <x:c r="S105" s="102">
        <x:v>0</x:v>
      </x:c>
      <x:c r="T105" s="102">
        <x:v>0</x:v>
      </x:c>
      <x:c r="U105" s="17">
        <x:f t="shared" si="5"/>
        <x:v>0</x:v>
      </x:c>
      <x:c r="V105" s="18">
        <x:f t="shared" si="6"/>
        <x:v>0</x:v>
      </x:c>
      <x:c r="W105" s="19">
        <x:f t="shared" si="7"/>
        <x:v>0</x:v>
      </x:c>
      <x:c r="X105" s="30"/>
      <x:c r="Y105" s="35"/>
    </x:row>
    <x:row r="106" ht="29.25">
      <x:c r="A106" s="53">
        <x:v>41</x:v>
      </x:c>
      <x:c r="B106" s="71" t="s">
        <x:v>199</x:v>
      </x:c>
      <x:c r="C106" s="102">
        <x:v>0</x:v>
      </x:c>
      <x:c r="D106" s="102">
        <x:v>0</x:v>
      </x:c>
      <x:c r="E106" s="102">
        <x:v>0</x:v>
      </x:c>
      <x:c r="F106" s="102">
        <x:v>0</x:v>
      </x:c>
      <x:c r="G106" s="102">
        <x:v>0</x:v>
      </x:c>
      <x:c r="H106" s="102">
        <x:v>0</x:v>
      </x:c>
      <x:c r="I106" s="102">
        <x:v>0</x:v>
      </x:c>
      <x:c r="J106" s="102">
        <x:v>0</x:v>
      </x:c>
      <x:c r="K106" s="102">
        <x:v>0</x:v>
      </x:c>
      <x:c r="L106" s="102">
        <x:v>0</x:v>
      </x:c>
      <x:c r="M106" s="102">
        <x:v>0</x:v>
      </x:c>
      <x:c r="N106" s="102">
        <x:v>0</x:v>
      </x:c>
      <x:c r="O106" s="102">
        <x:v>0</x:v>
      </x:c>
      <x:c r="P106" s="102">
        <x:v>0</x:v>
      </x:c>
      <x:c r="Q106" s="102">
        <x:v>0</x:v>
      </x:c>
      <x:c r="R106" s="102">
        <x:v>0</x:v>
      </x:c>
      <x:c r="S106" s="102">
        <x:v>0</x:v>
      </x:c>
      <x:c r="T106" s="102">
        <x:v>0</x:v>
      </x:c>
      <x:c r="U106" s="17">
        <x:f t="shared" si="5"/>
        <x:v>0</x:v>
      </x:c>
      <x:c r="V106" s="18">
        <x:f t="shared" si="6"/>
        <x:v>0</x:v>
      </x:c>
      <x:c r="W106" s="19">
        <x:f t="shared" si="7"/>
        <x:v>0</x:v>
      </x:c>
      <x:c r="X106" s="30"/>
      <x:c r="Y106" s="23"/>
    </x:row>
    <x:row r="107" ht="29.25">
      <x:c r="A107" s="53">
        <x:v>42</x:v>
      </x:c>
      <x:c r="B107" s="52" t="s">
        <x:v>200</x:v>
      </x:c>
      <x:c r="C107" s="102">
        <x:v>0</x:v>
      </x:c>
      <x:c r="D107" s="102">
        <x:v>0</x:v>
      </x:c>
      <x:c r="E107" s="102">
        <x:v>0</x:v>
      </x:c>
      <x:c r="F107" s="102">
        <x:v>0</x:v>
      </x:c>
      <x:c r="G107" s="102">
        <x:v>0</x:v>
      </x:c>
      <x:c r="H107" s="102">
        <x:v>0</x:v>
      </x:c>
      <x:c r="I107" s="102">
        <x:v>0</x:v>
      </x:c>
      <x:c r="J107" s="102">
        <x:v>0</x:v>
      </x:c>
      <x:c r="K107" s="102">
        <x:v>0</x:v>
      </x:c>
      <x:c r="L107" s="102">
        <x:v>0</x:v>
      </x:c>
      <x:c r="M107" s="102">
        <x:v>0</x:v>
      </x:c>
      <x:c r="N107" s="102">
        <x:v>0</x:v>
      </x:c>
      <x:c r="O107" s="102">
        <x:v>0</x:v>
      </x:c>
      <x:c r="P107" s="102">
        <x:v>0</x:v>
      </x:c>
      <x:c r="Q107" s="102">
        <x:v>0</x:v>
      </x:c>
      <x:c r="R107" s="102">
        <x:v>0</x:v>
      </x:c>
      <x:c r="S107" s="102">
        <x:v>0</x:v>
      </x:c>
      <x:c r="T107" s="102">
        <x:v>0</x:v>
      </x:c>
      <x:c r="U107" s="17">
        <x:f t="shared" si="5"/>
        <x:v>0</x:v>
      </x:c>
      <x:c r="V107" s="18">
        <x:f t="shared" si="6"/>
        <x:v>0</x:v>
      </x:c>
      <x:c r="W107" s="19">
        <x:f t="shared" si="7"/>
        <x:v>0</x:v>
      </x:c>
      <x:c r="X107" s="30"/>
      <x:c r="Y107" s="35"/>
    </x:row>
    <x:row r="108" ht="29.25">
      <x:c r="A108" s="53">
        <x:v>43</x:v>
      </x:c>
      <x:c r="B108" s="62" t="s">
        <x:v>201</x:v>
      </x:c>
      <x:c r="C108" s="102">
        <x:v>0</x:v>
      </x:c>
      <x:c r="D108" s="102">
        <x:v>0</x:v>
      </x:c>
      <x:c r="E108" s="102">
        <x:v>0</x:v>
      </x:c>
      <x:c r="F108" s="102">
        <x:v>0</x:v>
      </x:c>
      <x:c r="G108" s="102">
        <x:v>0</x:v>
      </x:c>
      <x:c r="H108" s="102">
        <x:v>0</x:v>
      </x:c>
      <x:c r="I108" s="102">
        <x:v>0</x:v>
      </x:c>
      <x:c r="J108" s="102">
        <x:v>0</x:v>
      </x:c>
      <x:c r="K108" s="102">
        <x:v>0</x:v>
      </x:c>
      <x:c r="L108" s="102">
        <x:v>0</x:v>
      </x:c>
      <x:c r="M108" s="102">
        <x:v>0</x:v>
      </x:c>
      <x:c r="N108" s="102">
        <x:v>0</x:v>
      </x:c>
      <x:c r="O108" s="102">
        <x:v>0</x:v>
      </x:c>
      <x:c r="P108" s="102">
        <x:v>0</x:v>
      </x:c>
      <x:c r="Q108" s="102">
        <x:v>0</x:v>
      </x:c>
      <x:c r="R108" s="102">
        <x:v>0</x:v>
      </x:c>
      <x:c r="S108" s="102">
        <x:v>0</x:v>
      </x:c>
      <x:c r="T108" s="102">
        <x:v>0</x:v>
      </x:c>
      <x:c r="U108" s="17">
        <x:f t="shared" si="5"/>
        <x:v>0</x:v>
      </x:c>
      <x:c r="V108" s="18">
        <x:f t="shared" si="6"/>
        <x:v>0</x:v>
      </x:c>
      <x:c r="W108" s="19">
        <x:f t="shared" si="7"/>
        <x:v>0</x:v>
      </x:c>
      <x:c r="X108" s="32"/>
      <x:c r="Y108" s="33"/>
    </x:row>
    <x:row r="109" ht="29.25" customHeight="1">
      <x:c r="A109" s="53">
        <x:v>44</x:v>
      </x:c>
      <x:c r="B109" s="61" t="s">
        <x:v>202</x:v>
      </x:c>
      <x:c r="C109" s="102">
        <x:v>0</x:v>
      </x:c>
      <x:c r="D109" s="102">
        <x:v>0</x:v>
      </x:c>
      <x:c r="E109" s="102">
        <x:v>0</x:v>
      </x:c>
      <x:c r="F109" s="102">
        <x:v>0</x:v>
      </x:c>
      <x:c r="G109" s="102">
        <x:v>0</x:v>
      </x:c>
      <x:c r="H109" s="102">
        <x:v>0</x:v>
      </x:c>
      <x:c r="I109" s="102">
        <x:v>0</x:v>
      </x:c>
      <x:c r="J109" s="102">
        <x:v>0</x:v>
      </x:c>
      <x:c r="K109" s="102">
        <x:v>0</x:v>
      </x:c>
      <x:c r="L109" s="102">
        <x:v>0</x:v>
      </x:c>
      <x:c r="M109" s="102">
        <x:v>0</x:v>
      </x:c>
      <x:c r="N109" s="102">
        <x:v>0</x:v>
      </x:c>
      <x:c r="O109" s="102">
        <x:v>0</x:v>
      </x:c>
      <x:c r="P109" s="102">
        <x:v>0</x:v>
      </x:c>
      <x:c r="Q109" s="102">
        <x:v>0</x:v>
      </x:c>
      <x:c r="R109" s="102">
        <x:v>0</x:v>
      </x:c>
      <x:c r="S109" s="102">
        <x:v>0</x:v>
      </x:c>
      <x:c r="T109" s="102">
        <x:v>0</x:v>
      </x:c>
      <x:c r="U109" s="17">
        <x:f t="shared" si="5"/>
        <x:v>0</x:v>
      </x:c>
      <x:c r="V109" s="18">
        <x:f t="shared" si="6"/>
        <x:v>0</x:v>
      </x:c>
      <x:c r="W109" s="19">
        <x:f t="shared" si="7"/>
        <x:v>0</x:v>
      </x:c>
      <x:c r="X109" s="27"/>
      <x:c r="Y109" s="28"/>
    </x:row>
    <x:row r="110" ht="29.25">
      <x:c r="A110" s="53">
        <x:v>45</x:v>
      </x:c>
      <x:c r="B110" s="52" t="s">
        <x:v>203</x:v>
      </x:c>
      <x:c r="C110" s="102">
        <x:v>0</x:v>
      </x:c>
      <x:c r="D110" s="102">
        <x:v>0</x:v>
      </x:c>
      <x:c r="E110" s="102">
        <x:v>0</x:v>
      </x:c>
      <x:c r="F110" s="102">
        <x:v>0</x:v>
      </x:c>
      <x:c r="G110" s="102">
        <x:v>0</x:v>
      </x:c>
      <x:c r="H110" s="102">
        <x:v>0</x:v>
      </x:c>
      <x:c r="I110" s="102">
        <x:v>0</x:v>
      </x:c>
      <x:c r="J110" s="102">
        <x:v>0</x:v>
      </x:c>
      <x:c r="K110" s="102">
        <x:v>0</x:v>
      </x:c>
      <x:c r="L110" s="102">
        <x:v>0</x:v>
      </x:c>
      <x:c r="M110" s="102">
        <x:v>0</x:v>
      </x:c>
      <x:c r="N110" s="102">
        <x:v>0</x:v>
      </x:c>
      <x:c r="O110" s="102">
        <x:v>0</x:v>
      </x:c>
      <x:c r="P110" s="102">
        <x:v>0</x:v>
      </x:c>
      <x:c r="Q110" s="102">
        <x:v>0</x:v>
      </x:c>
      <x:c r="R110" s="102">
        <x:v>0</x:v>
      </x:c>
      <x:c r="S110" s="102">
        <x:v>0</x:v>
      </x:c>
      <x:c r="T110" s="102">
        <x:v>0</x:v>
      </x:c>
      <x:c r="U110" s="17">
        <x:f t="shared" si="5"/>
        <x:v>0</x:v>
      </x:c>
      <x:c r="V110" s="18">
        <x:f t="shared" si="6"/>
        <x:v>0</x:v>
      </x:c>
      <x:c r="W110" s="19">
        <x:f t="shared" si="7"/>
        <x:v>0</x:v>
      </x:c>
      <x:c r="X110" s="30"/>
      <x:c r="Y110" s="35"/>
    </x:row>
    <x:row r="111" ht="29.25">
      <x:c r="A111" s="53">
        <x:v>46</x:v>
      </x:c>
      <x:c r="B111" s="52" t="s">
        <x:v>204</x:v>
      </x:c>
      <x:c r="C111" s="102">
        <x:v>0</x:v>
      </x:c>
      <x:c r="D111" s="102">
        <x:v>0</x:v>
      </x:c>
      <x:c r="E111" s="102">
        <x:v>0</x:v>
      </x:c>
      <x:c r="F111" s="102">
        <x:v>0</x:v>
      </x:c>
      <x:c r="G111" s="102">
        <x:v>0</x:v>
      </x:c>
      <x:c r="H111" s="102">
        <x:v>0</x:v>
      </x:c>
      <x:c r="I111" s="102">
        <x:v>0</x:v>
      </x:c>
      <x:c r="J111" s="102">
        <x:v>0</x:v>
      </x:c>
      <x:c r="K111" s="102">
        <x:v>0</x:v>
      </x:c>
      <x:c r="L111" s="102">
        <x:v>0</x:v>
      </x:c>
      <x:c r="M111" s="102">
        <x:v>0</x:v>
      </x:c>
      <x:c r="N111" s="102">
        <x:v>0</x:v>
      </x:c>
      <x:c r="O111" s="102">
        <x:v>0</x:v>
      </x:c>
      <x:c r="P111" s="102">
        <x:v>0</x:v>
      </x:c>
      <x:c r="Q111" s="102">
        <x:v>0</x:v>
      </x:c>
      <x:c r="R111" s="102">
        <x:v>0</x:v>
      </x:c>
      <x:c r="S111" s="102">
        <x:v>0</x:v>
      </x:c>
      <x:c r="T111" s="102">
        <x:v>0</x:v>
      </x:c>
      <x:c r="U111" s="17">
        <x:f t="shared" si="5"/>
        <x:v>0</x:v>
      </x:c>
      <x:c r="V111" s="18">
        <x:f t="shared" si="6"/>
        <x:v>0</x:v>
      </x:c>
      <x:c r="W111" s="19">
        <x:f t="shared" si="7"/>
        <x:v>0</x:v>
      </x:c>
      <x:c r="X111" s="30"/>
      <x:c r="Y111" s="23"/>
    </x:row>
    <x:row r="112" ht="29.25">
      <x:c r="A112" s="53">
        <x:v>47</x:v>
      </x:c>
      <x:c r="B112" s="52" t="s">
        <x:v>205</x:v>
      </x:c>
      <x:c r="C112" s="102">
        <x:v>0</x:v>
      </x:c>
      <x:c r="D112" s="102">
        <x:v>0</x:v>
      </x:c>
      <x:c r="E112" s="102">
        <x:v>0</x:v>
      </x:c>
      <x:c r="F112" s="102">
        <x:v>0</x:v>
      </x:c>
      <x:c r="G112" s="102">
        <x:v>0</x:v>
      </x:c>
      <x:c r="H112" s="102">
        <x:v>0</x:v>
      </x:c>
      <x:c r="I112" s="102">
        <x:v>0</x:v>
      </x:c>
      <x:c r="J112" s="102">
        <x:v>0</x:v>
      </x:c>
      <x:c r="K112" s="102">
        <x:v>0</x:v>
      </x:c>
      <x:c r="L112" s="102">
        <x:v>0</x:v>
      </x:c>
      <x:c r="M112" s="102">
        <x:v>0</x:v>
      </x:c>
      <x:c r="N112" s="102">
        <x:v>0</x:v>
      </x:c>
      <x:c r="O112" s="102">
        <x:v>0</x:v>
      </x:c>
      <x:c r="P112" s="102">
        <x:v>0</x:v>
      </x:c>
      <x:c r="Q112" s="102">
        <x:v>0</x:v>
      </x:c>
      <x:c r="R112" s="102">
        <x:v>0</x:v>
      </x:c>
      <x:c r="S112" s="102">
        <x:v>0</x:v>
      </x:c>
      <x:c r="T112" s="102">
        <x:v>0</x:v>
      </x:c>
      <x:c r="U112" s="17">
        <x:f t="shared" si="5"/>
        <x:v>0</x:v>
      </x:c>
      <x:c r="V112" s="18">
        <x:f t="shared" si="6"/>
        <x:v>0</x:v>
      </x:c>
      <x:c r="W112" s="19">
        <x:f t="shared" si="7"/>
        <x:v>0</x:v>
      </x:c>
      <x:c r="X112" s="30"/>
      <x:c r="Y112" s="23"/>
    </x:row>
    <x:row r="113" ht="29.25">
      <x:c r="A113" s="53">
        <x:v>48</x:v>
      </x:c>
      <x:c r="B113" s="52" t="s">
        <x:v>206</x:v>
      </x:c>
      <x:c r="C113" s="102">
        <x:v>0</x:v>
      </x:c>
      <x:c r="D113" s="102">
        <x:v>0</x:v>
      </x:c>
      <x:c r="E113" s="102">
        <x:v>0</x:v>
      </x:c>
      <x:c r="F113" s="102">
        <x:v>0</x:v>
      </x:c>
      <x:c r="G113" s="102">
        <x:v>0</x:v>
      </x:c>
      <x:c r="H113" s="102">
        <x:v>0</x:v>
      </x:c>
      <x:c r="I113" s="102">
        <x:v>0</x:v>
      </x:c>
      <x:c r="J113" s="102">
        <x:v>0</x:v>
      </x:c>
      <x:c r="K113" s="102">
        <x:v>0</x:v>
      </x:c>
      <x:c r="L113" s="102">
        <x:v>0</x:v>
      </x:c>
      <x:c r="M113" s="102">
        <x:v>0</x:v>
      </x:c>
      <x:c r="N113" s="102">
        <x:v>0</x:v>
      </x:c>
      <x:c r="O113" s="102">
        <x:v>0</x:v>
      </x:c>
      <x:c r="P113" s="102">
        <x:v>0</x:v>
      </x:c>
      <x:c r="Q113" s="102">
        <x:v>0</x:v>
      </x:c>
      <x:c r="R113" s="102">
        <x:v>0</x:v>
      </x:c>
      <x:c r="S113" s="102">
        <x:v>0</x:v>
      </x:c>
      <x:c r="T113" s="102">
        <x:v>0</x:v>
      </x:c>
      <x:c r="U113" s="17">
        <x:f t="shared" si="5"/>
        <x:v>0</x:v>
      </x:c>
      <x:c r="V113" s="18">
        <x:f t="shared" si="6"/>
        <x:v>0</x:v>
      </x:c>
      <x:c r="W113" s="19">
        <x:f t="shared" si="7"/>
        <x:v>0</x:v>
      </x:c>
      <x:c r="X113" s="30"/>
      <x:c r="Y113" s="23"/>
    </x:row>
    <x:row r="114">
      <x:c r="A114" s="53">
        <x:v>49</x:v>
      </x:c>
      <x:c r="B114" s="52" t="s">
        <x:v>207</x:v>
      </x:c>
      <x:c r="C114" s="102">
        <x:v>0</x:v>
      </x:c>
      <x:c r="D114" s="102">
        <x:v>0</x:v>
      </x:c>
      <x:c r="E114" s="102">
        <x:v>0</x:v>
      </x:c>
      <x:c r="F114" s="102">
        <x:v>0</x:v>
      </x:c>
      <x:c r="G114" s="102">
        <x:v>0</x:v>
      </x:c>
      <x:c r="H114" s="102">
        <x:v>0</x:v>
      </x:c>
      <x:c r="I114" s="102">
        <x:v>0</x:v>
      </x:c>
      <x:c r="J114" s="102">
        <x:v>0</x:v>
      </x:c>
      <x:c r="K114" s="102">
        <x:v>0</x:v>
      </x:c>
      <x:c r="L114" s="102">
        <x:v>0</x:v>
      </x:c>
      <x:c r="M114" s="102">
        <x:v>0</x:v>
      </x:c>
      <x:c r="N114" s="102">
        <x:v>0</x:v>
      </x:c>
      <x:c r="O114" s="102">
        <x:v>0</x:v>
      </x:c>
      <x:c r="P114" s="102">
        <x:v>0</x:v>
      </x:c>
      <x:c r="Q114" s="102">
        <x:v>0</x:v>
      </x:c>
      <x:c r="R114" s="102">
        <x:v>0</x:v>
      </x:c>
      <x:c r="S114" s="102">
        <x:v>0</x:v>
      </x:c>
      <x:c r="T114" s="102">
        <x:v>0</x:v>
      </x:c>
      <x:c r="U114" s="17">
        <x:f t="shared" si="5"/>
        <x:v>0</x:v>
      </x:c>
      <x:c r="V114" s="18">
        <x:f t="shared" si="6"/>
        <x:v>0</x:v>
      </x:c>
      <x:c r="W114" s="19">
        <x:f t="shared" si="7"/>
        <x:v>0</x:v>
      </x:c>
      <x:c r="X114" s="30"/>
      <x:c r="Y114" s="35"/>
    </x:row>
  </x:sheetData>
  <x:mergeCells>
    <x:mergeCell ref="A60:Y62"/>
    <x:mergeCell ref="A1:Y4"/>
    <x:mergeCell ref="Y63:Y64"/>
    <x:mergeCell ref="E58:G58"/>
    <x:mergeCell ref="X5:X6"/>
    <x:mergeCell ref="Y5:Y6"/>
    <x:mergeCell ref="B5:B6"/>
    <x:mergeCell ref="U5:U6"/>
    <x:mergeCell ref="V5:V6"/>
    <x:mergeCell ref="W5:W6"/>
    <x:mergeCell ref="B63:B64"/>
    <x:mergeCell ref="U63:U64"/>
    <x:mergeCell ref="V63:V64"/>
    <x:mergeCell ref="W63:W64"/>
    <x:mergeCell ref="X63:X64"/>
  </x:mergeCells>
  <x:conditionalFormatting sqref="C8:T37">
    <x:cfRule type="cellIs" dxfId="45" priority="149" operator="between">
      <x:formula>1</x:formula>
      <x:formula>50</x:formula>
    </x:cfRule>
  </x:conditionalFormatting>
  <x:conditionalFormatting sqref="C8:T56">
    <x:cfRule type="cellIs" dxfId="44" priority="73" operator="equal">
      <x:formula>100</x:formula>
    </x:cfRule>
    <x:cfRule type="cellIs" dxfId="43" priority="70" operator="equal">
      <x:formula>0</x:formula>
    </x:cfRule>
    <x:cfRule type="cellIs" dxfId="42" priority="55" operator="equal">
      <x:formula>8</x:formula>
    </x:cfRule>
    <x:cfRule type="cellIs" dxfId="41" priority="56" operator="between">
      <x:formula>4</x:formula>
      <x:formula>7</x:formula>
    </x:cfRule>
    <x:cfRule type="cellIs" dxfId="40" priority="57" operator="between">
      <x:formula>1</x:formula>
      <x:formula>3</x:formula>
    </x:cfRule>
    <x:cfRule type="cellIs" dxfId="39" priority="83" operator="between">
      <x:formula>50</x:formula>
      <x:formula>99</x:formula>
    </x:cfRule>
  </x:conditionalFormatting>
  <x:conditionalFormatting sqref="C38:T43 D39:T47 C43:C47 C46:T56">
    <x:cfRule type="cellIs" dxfId="38" priority="165" operator="between">
      <x:formula>1</x:formula>
      <x:formula>50</x:formula>
    </x:cfRule>
  </x:conditionalFormatting>
  <x:conditionalFormatting sqref="C44:T45">
    <x:cfRule type="cellIs" dxfId="37" priority="84" operator="between">
      <x:formula>1</x:formula>
      <x:formula>50</x:formula>
    </x:cfRule>
  </x:conditionalFormatting>
  <x:conditionalFormatting sqref="C51:T53">
    <x:cfRule type="cellIs" dxfId="36" priority="71" operator="between">
      <x:formula>50</x:formula>
      <x:formula>99</x:formula>
    </x:cfRule>
    <x:cfRule type="cellIs" dxfId="35" priority="72" operator="between">
      <x:formula>1</x:formula>
      <x:formula>50</x:formula>
    </x:cfRule>
  </x:conditionalFormatting>
  <x:conditionalFormatting sqref="C55:T56">
    <x:cfRule type="cellIs" dxfId="34" priority="63" stopIfTrue="1" operator="between">
      <x:formula>4</x:formula>
      <x:formula>7</x:formula>
    </x:cfRule>
    <x:cfRule type="cellIs" dxfId="33" priority="64" stopIfTrue="1" operator="between">
      <x:formula>1</x:formula>
      <x:formula>3</x:formula>
    </x:cfRule>
    <x:cfRule type="cellIs" dxfId="32" priority="65" stopIfTrue="1" operator="equal">
      <x:formula>8</x:formula>
    </x:cfRule>
    <x:cfRule type="cellIs" dxfId="31" priority="62" stopIfTrue="1" operator="equal">
      <x:formula>0</x:formula>
    </x:cfRule>
  </x:conditionalFormatting>
  <x:conditionalFormatting sqref="C66:T114">
    <x:cfRule type="cellIs" dxfId="30" priority="10" operator="between">
      <x:formula>1</x:formula>
      <x:formula>3</x:formula>
    </x:cfRule>
    <x:cfRule type="cellIs" dxfId="29" priority="11" stopIfTrue="1" operator="equal">
      <x:formula>0</x:formula>
    </x:cfRule>
    <x:cfRule type="cellIs" dxfId="28" priority="12" stopIfTrue="1" operator="between">
      <x:formula>4</x:formula>
      <x:formula>7</x:formula>
    </x:cfRule>
    <x:cfRule type="cellIs" dxfId="27" priority="13" stopIfTrue="1" operator="between">
      <x:formula>1</x:formula>
      <x:formula>3</x:formula>
    </x:cfRule>
    <x:cfRule type="cellIs" dxfId="26" priority="14" stopIfTrue="1" operator="equal">
      <x:formula>8</x:formula>
    </x:cfRule>
    <x:cfRule type="cellIs" dxfId="25" priority="8" operator="equal">
      <x:formula>8</x:formula>
    </x:cfRule>
    <x:cfRule type="cellIs" dxfId="24" priority="9" operator="between">
      <x:formula>4</x:formula>
      <x:formula>7</x:formula>
    </x:cfRule>
  </x:conditionalFormatting>
  <x:conditionalFormatting sqref="D39:T47 C43:C47">
    <x:cfRule type="cellIs" dxfId="23" priority="163" operator="equal">
      <x:formula>0</x:formula>
    </x:cfRule>
    <x:cfRule type="cellIs" dxfId="22" priority="164" operator="between">
      <x:formula>50</x:formula>
      <x:formula>99</x:formula>
    </x:cfRule>
    <x:cfRule type="cellIs" dxfId="21" priority="166" operator="equal">
      <x:formula>100</x:formula>
    </x:cfRule>
  </x:conditionalFormatting>
  <x:conditionalFormatting sqref="U8:V56">
    <x:cfRule type="dataBar" priority="20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{051FDCA5-35C3-4D1F-B48F-A3ACE68955BD}</x14:id>
        </x:ext>
      </x:extLst>
    </x:cfRule>
  </x:conditionalFormatting>
  <x:conditionalFormatting sqref="U66:V114">
    <x:cfRule type="dataBar" priority="14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{BDC747CE-670E-4E39-8A47-EB9576EDE7D8}</x14:id>
        </x:ext>
      </x:extLst>
    </x:cfRule>
  </x:conditionalFormatting>
  <x:conditionalFormatting sqref="V8:V56">
    <x:cfRule type="iconSet" priority="199">
      <x:iconSet iconSet="3Symbols2">
        <x:cfvo type="percent" val="0"/>
        <x:cfvo type="percent" val="33"/>
        <x:cfvo type="percent" val="67"/>
      </x:iconSet>
    </x:cfRule>
    <x:cfRule type="dataBar" priority="200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{E16F83C6-D6F9-454A-B4B3-BAB74202A47D}</x14:id>
        </x:ext>
      </x:extLst>
    </x:cfRule>
    <x:cfRule type="cellIs" dxfId="20" priority="201" stopIfTrue="1" operator="equal">
      <x:formula>1</x:formula>
    </x:cfRule>
  </x:conditionalFormatting>
  <x:conditionalFormatting sqref="V66:V114">
    <x:cfRule type="iconSet" priority="141">
      <x:iconSet iconSet="3Symbols2">
        <x:cfvo type="percent" val="0"/>
        <x:cfvo type="percent" val="33"/>
        <x:cfvo type="percent" val="67"/>
      </x:iconSet>
    </x:cfRule>
    <x:cfRule type="dataBar" priority="14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{E22A3F57-9D57-4982-BCA7-9AA674132DE6}</x14:id>
        </x:ext>
      </x:extLst>
    </x:cfRule>
    <x:cfRule type="cellIs" dxfId="19" priority="143" stopIfTrue="1" operator="equal">
      <x:formula>1</x:formula>
    </x:cfRule>
  </x:conditionalFormatting>
  <x:conditionalFormatting sqref="W8:W56">
    <x:cfRule type="dataBar" priority="202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{DBC5C854-7E52-47D6-BFD6-32DB93B206E2}</x14:id>
        </x:ext>
      </x:extLst>
    </x:cfRule>
  </x:conditionalFormatting>
  <x:conditionalFormatting sqref="W35:W35">
    <x:cfRule type="dataBar" priority="167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{FA298AD3-D355-40CC-9F75-2C7CB2260042}</x14:id>
        </x:ext>
      </x:extLst>
    </x:cfRule>
  </x:conditionalFormatting>
  <x:conditionalFormatting sqref="W35:W56">
    <x:cfRule type="dataBar" priority="204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{B5A9CA20-A629-43DB-967E-138CD1B819AA}</x14:id>
        </x:ext>
      </x:extLst>
    </x:cfRule>
  </x:conditionalFormatting>
  <x:conditionalFormatting sqref="W66:W66">
    <x:cfRule type="dataBar" priority="61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{FD5A34E7-611B-4434-A3ED-98D7CEF6BC9E}</x14:id>
        </x:ext>
      </x:extLst>
    </x:cfRule>
  </x:conditionalFormatting>
  <x:conditionalFormatting sqref="W67:W114">
    <x:cfRule type="dataBar" priority="59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{619052B7-915E-415C-92F2-CDC8888A77BA}</x14:id>
        </x:ext>
      </x:extLst>
    </x:cfRule>
  </x:conditionalFormatting>
  <x:conditionalFormatting sqref="W8:X56">
    <x:cfRule type="cellIs" dxfId="18" priority="172" stopIfTrue="1" operator="equal">
      <x:formula>1</x:formula>
    </x:cfRule>
  </x:conditionalFormatting>
  <x:conditionalFormatting sqref="W66:X114">
    <x:cfRule type="cellIs" dxfId="17" priority="58" stopIfTrue="1" operator="equal">
      <x:formula>1</x:formula>
    </x:cfRule>
  </x:conditionalFormatting>
  <x:pageMargins left="0.7" right="0.7" top="0.75" bottom="0.75" header="0.3" footer="0.3"/>
  <x:legacyDrawing xmlns:r="http://schemas.openxmlformats.org/officeDocument/2006/relationships" r:id="R22bf06a527cb4cf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03" id="{051FDCA5-35C3-4D1F-B48F-A3ACE68955BD}">
            <x14:dataBar minLength="0" maxLength="100" negativeBarColorSameAsPositive="1">
              <x14:cfvo type="min"/>
              <x14:cfvo type="max"/>
              <x14:fillColor rgb="FFFFB628"/>
            </x14:dataBar>
          </x14:cfRule>
          <xm:sqref>U8:V56</xm:sqref>
        </x14:conditionalFormatting>
        <x14:conditionalFormatting>
          <x14:cfRule type="dataBar" priority="145" id="{BDC747CE-670E-4E39-8A47-EB9576EDE7D8}">
            <x14:dataBar minLength="0" maxLength="100" negativeBarColorSameAsPositive="1">
              <x14:cfvo type="min"/>
              <x14:cfvo type="max"/>
              <x14:fillColor rgb="FFFFB628"/>
            </x14:dataBar>
          </x14:cfRule>
          <xm:sqref>U66:V114</xm:sqref>
        </x14:conditionalFormatting>
        <x14:conditionalFormatting>
          <x14:cfRule type="dataBar" priority="200" id="{E16F83C6-D6F9-454A-B4B3-BAB74202A47D}">
            <x14:dataBar minLength="0" maxLength="100" negativeBarColorSameAsPositive="1">
              <x14:cfvo type="min"/>
              <x14:cfvo type="max"/>
              <x14:fillColor rgb="FFFFB628"/>
            </x14:dataBar>
          </x14:cfRule>
          <xm:sqref>V8:V56</xm:sqref>
        </x14:conditionalFormatting>
        <x14:conditionalFormatting>
          <x14:cfRule type="dataBar" priority="142" id="{E22A3F57-9D57-4982-BCA7-9AA674132DE6}">
            <x14:dataBar minLength="0" maxLength="100" negativeBarColorSameAsPositive="1">
              <x14:cfvo type="min"/>
              <x14:cfvo type="max"/>
              <x14:fillColor rgb="FFFFB628"/>
            </x14:dataBar>
          </x14:cfRule>
          <xm:sqref>V66:V114</xm:sqref>
        </x14:conditionalFormatting>
        <x14:conditionalFormatting>
          <x14:cfRule type="dataBar" priority="202" id="{DBC5C854-7E52-47D6-BFD6-32DB93B206E2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W8:W56</xm:sqref>
        </x14:conditionalFormatting>
        <x14:conditionalFormatting>
          <x14:cfRule type="dataBar" priority="167" id="{FA298AD3-D355-40CC-9F75-2C7CB2260042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W35:W35</xm:sqref>
        </x14:conditionalFormatting>
        <x14:conditionalFormatting>
          <x14:cfRule type="dataBar" priority="204" id="{B5A9CA20-A629-43DB-967E-138CD1B819AA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W35:W56</xm:sqref>
        </x14:conditionalFormatting>
        <x14:conditionalFormatting>
          <x14:cfRule type="dataBar" priority="61" id="{FD5A34E7-611B-4434-A3ED-98D7CEF6BC9E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W66:W66</xm:sqref>
        </x14:conditionalFormatting>
        <x14:conditionalFormatting>
          <x14:cfRule type="dataBar" priority="59" id="{619052B7-915E-415C-92F2-CDC8888A77BA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W67:W114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Pr>
    <x:tabColor rgb="FF00B0F0"/>
  </x:sheetPr>
  <x:sheetViews>
    <x:sheetView showGridLines="0" workbookViewId="0"/>
  </x:sheetViews>
  <x:sheetFormatPr baseColWidth="10" defaultColWidth="11.42578125" defaultRowHeight="15"/>
  <x:cols>
    <x:col min="1" max="1" width="99" style="114" customWidth="1"/>
    <x:col min="2" max="287" width="16.140625" style="113" customWidth="1"/>
    <x:col min="288" max="16384" width="11.42578125" style="113" customWidth="0"/>
  </x:cols>
  <x:sheetData>
    <x:row r="8">
      <x:c r="A8" s="112" t="s">
        <x:v>209</x:v>
      </x:c>
    </x:row>
    <x:row r="9">
      <x:c r="A9" s="112" t="s">
        <x:v>210</x:v>
      </x:c>
    </x:row>
    <x:row r="10" ht="15.75">
      <x:c r="A10" s="112"/>
    </x:row>
    <x:row r="11" ht="84.75" customHeight="1">
      <x:c r="B11" s="115" t="s">
        <x:v>211</x:v>
      </x:c>
      <x:c r="C11" s="116" t="s">
        <x:v>212</x:v>
      </x:c>
      <x:c r="D11" s="116" t="s">
        <x:v>213</x:v>
      </x:c>
      <x:c r="E11" s="116" t="s">
        <x:v>214</x:v>
      </x:c>
      <x:c r="F11" s="116" t="s">
        <x:v>215</x:v>
      </x:c>
      <x:c r="G11" s="116" t="s">
        <x:v>216</x:v>
      </x:c>
      <x:c r="H11" s="117" t="s">
        <x:v>217</x:v>
      </x:c>
      <x:c r="I11" s="118" t="s">
        <x:v>218</x:v>
      </x:c>
      <x:c r="J11" s="116" t="s">
        <x:v>219</x:v>
      </x:c>
      <x:c r="K11" s="116" t="s">
        <x:v>220</x:v>
      </x:c>
      <x:c r="L11" s="116" t="s">
        <x:v>221</x:v>
      </x:c>
      <x:c r="M11" s="116" t="s">
        <x:v>222</x:v>
      </x:c>
      <x:c r="N11" s="116" t="s">
        <x:v>223</x:v>
      </x:c>
      <x:c r="O11" s="116" t="s">
        <x:v>224</x:v>
      </x:c>
      <x:c r="P11" s="117" t="s">
        <x:v>225</x:v>
      </x:c>
      <x:c r="Q11" s="118" t="s">
        <x:v>226</x:v>
      </x:c>
      <x:c r="R11" s="116" t="s">
        <x:v>227</x:v>
      </x:c>
      <x:c r="S11" s="116" t="s">
        <x:v>228</x:v>
      </x:c>
      <x:c r="T11" s="116" t="s">
        <x:v>229</x:v>
      </x:c>
      <x:c r="U11" s="116" t="s">
        <x:v>230</x:v>
      </x:c>
      <x:c r="V11" s="116" t="s">
        <x:v>231</x:v>
      </x:c>
      <x:c r="W11" s="116" t="s">
        <x:v>232</x:v>
      </x:c>
      <x:c r="X11" s="117" t="s">
        <x:v>233</x:v>
      </x:c>
      <x:c r="Y11" s="118" t="s">
        <x:v>234</x:v>
      </x:c>
      <x:c r="Z11" s="116" t="s">
        <x:v>235</x:v>
      </x:c>
      <x:c r="AA11" s="116" t="s">
        <x:v>236</x:v>
      </x:c>
      <x:c r="AB11" s="116" t="s">
        <x:v>237</x:v>
      </x:c>
      <x:c r="AC11" s="116" t="s">
        <x:v>238</x:v>
      </x:c>
      <x:c r="AD11" s="116" t="s">
        <x:v>239</x:v>
      </x:c>
      <x:c r="AE11" s="116" t="s">
        <x:v>240</x:v>
      </x:c>
      <x:c r="AF11" s="117" t="s">
        <x:v>241</x:v>
      </x:c>
      <x:c r="AG11" s="118" t="s">
        <x:v>242</x:v>
      </x:c>
      <x:c r="AH11" s="116" t="s">
        <x:v>243</x:v>
      </x:c>
      <x:c r="AI11" s="116" t="s">
        <x:v>244</x:v>
      </x:c>
      <x:c r="AJ11" s="116" t="s">
        <x:v>245</x:v>
      </x:c>
      <x:c r="AK11" s="116" t="s">
        <x:v>246</x:v>
      </x:c>
      <x:c r="AL11" s="116" t="s">
        <x:v>247</x:v>
      </x:c>
      <x:c r="AM11" s="116" t="s">
        <x:v>248</x:v>
      </x:c>
      <x:c r="AN11" s="117" t="s">
        <x:v>249</x:v>
      </x:c>
      <x:c r="AO11" s="118" t="s">
        <x:v>250</x:v>
      </x:c>
      <x:c r="AP11" s="116" t="s">
        <x:v>251</x:v>
      </x:c>
      <x:c r="AQ11" s="116" t="s">
        <x:v>252</x:v>
      </x:c>
      <x:c r="AR11" s="116" t="s">
        <x:v>253</x:v>
      </x:c>
      <x:c r="AS11" s="116" t="s">
        <x:v>254</x:v>
      </x:c>
      <x:c r="AT11" s="116" t="s">
        <x:v>255</x:v>
      </x:c>
      <x:c r="AU11" s="116" t="s">
        <x:v>256</x:v>
      </x:c>
      <x:c r="AV11" s="117" t="s">
        <x:v>257</x:v>
      </x:c>
      <x:c r="AW11" s="118" t="s">
        <x:v>258</x:v>
      </x:c>
      <x:c r="AX11" s="116" t="s">
        <x:v>259</x:v>
      </x:c>
      <x:c r="AY11" s="116" t="s">
        <x:v>260</x:v>
      </x:c>
      <x:c r="AZ11" s="116" t="s">
        <x:v>261</x:v>
      </x:c>
      <x:c r="BA11" s="116" t="s">
        <x:v>262</x:v>
      </x:c>
      <x:c r="BB11" s="116" t="s">
        <x:v>263</x:v>
      </x:c>
      <x:c r="BC11" s="116" t="s">
        <x:v>264</x:v>
      </x:c>
      <x:c r="BD11" s="117" t="s">
        <x:v>265</x:v>
      </x:c>
      <x:c r="BE11" s="118" t="s">
        <x:v>266</x:v>
      </x:c>
      <x:c r="BF11" s="116" t="s">
        <x:v>267</x:v>
      </x:c>
      <x:c r="BG11" s="116" t="s">
        <x:v>268</x:v>
      </x:c>
      <x:c r="BH11" s="116" t="s">
        <x:v>269</x:v>
      </x:c>
      <x:c r="BI11" s="116" t="s">
        <x:v>270</x:v>
      </x:c>
      <x:c r="BJ11" s="116" t="s">
        <x:v>271</x:v>
      </x:c>
      <x:c r="BK11" s="116" t="s">
        <x:v>272</x:v>
      </x:c>
      <x:c r="BL11" s="117" t="s">
        <x:v>273</x:v>
      </x:c>
      <x:c r="BM11" s="118" t="s">
        <x:v>274</x:v>
      </x:c>
      <x:c r="BN11" s="116" t="s">
        <x:v>275</x:v>
      </x:c>
      <x:c r="BO11" s="116" t="s">
        <x:v>276</x:v>
      </x:c>
      <x:c r="BP11" s="116" t="s">
        <x:v>277</x:v>
      </x:c>
      <x:c r="BQ11" s="116" t="s">
        <x:v>278</x:v>
      </x:c>
      <x:c r="BR11" s="116" t="s">
        <x:v>279</x:v>
      </x:c>
      <x:c r="BS11" s="116" t="s">
        <x:v>280</x:v>
      </x:c>
      <x:c r="BT11" s="117" t="s">
        <x:v>281</x:v>
      </x:c>
      <x:c r="BU11" s="118" t="s">
        <x:v>282</x:v>
      </x:c>
      <x:c r="BV11" s="116" t="s">
        <x:v>283</x:v>
      </x:c>
      <x:c r="BW11" s="116" t="s">
        <x:v>284</x:v>
      </x:c>
      <x:c r="BX11" s="116" t="s">
        <x:v>285</x:v>
      </x:c>
      <x:c r="BY11" s="116" t="s">
        <x:v>286</x:v>
      </x:c>
      <x:c r="BZ11" s="116" t="s">
        <x:v>287</x:v>
      </x:c>
      <x:c r="CA11" s="116" t="s">
        <x:v>288</x:v>
      </x:c>
      <x:c r="CB11" s="117" t="s">
        <x:v>289</x:v>
      </x:c>
      <x:c r="CC11" s="118" t="s">
        <x:v>290</x:v>
      </x:c>
      <x:c r="CD11" s="116" t="s">
        <x:v>291</x:v>
      </x:c>
      <x:c r="CE11" s="116" t="s">
        <x:v>292</x:v>
      </x:c>
      <x:c r="CF11" s="116" t="s">
        <x:v>293</x:v>
      </x:c>
      <x:c r="CG11" s="116" t="s">
        <x:v>294</x:v>
      </x:c>
      <x:c r="CH11" s="116" t="s">
        <x:v>295</x:v>
      </x:c>
      <x:c r="CI11" s="116" t="s">
        <x:v>296</x:v>
      </x:c>
      <x:c r="CJ11" s="117" t="s">
        <x:v>297</x:v>
      </x:c>
      <x:c r="CK11" s="118" t="s">
        <x:v>298</x:v>
      </x:c>
      <x:c r="CL11" s="116" t="s">
        <x:v>299</x:v>
      </x:c>
      <x:c r="CM11" s="116" t="s">
        <x:v>300</x:v>
      </x:c>
      <x:c r="CN11" s="116" t="s">
        <x:v>301</x:v>
      </x:c>
      <x:c r="CO11" s="116" t="s">
        <x:v>302</x:v>
      </x:c>
      <x:c r="CP11" s="116" t="s">
        <x:v>303</x:v>
      </x:c>
      <x:c r="CQ11" s="116" t="s">
        <x:v>304</x:v>
      </x:c>
      <x:c r="CR11" s="117" t="s">
        <x:v>305</x:v>
      </x:c>
      <x:c r="CS11" s="118" t="s">
        <x:v>306</x:v>
      </x:c>
      <x:c r="CT11" s="116" t="s">
        <x:v>307</x:v>
      </x:c>
      <x:c r="CU11" s="116" t="s">
        <x:v>308</x:v>
      </x:c>
      <x:c r="CV11" s="116" t="s">
        <x:v>309</x:v>
      </x:c>
      <x:c r="CW11" s="116" t="s">
        <x:v>310</x:v>
      </x:c>
      <x:c r="CX11" s="116" t="s">
        <x:v>311</x:v>
      </x:c>
      <x:c r="CY11" s="116" t="s">
        <x:v>312</x:v>
      </x:c>
      <x:c r="CZ11" s="117" t="s">
        <x:v>313</x:v>
      </x:c>
      <x:c r="DA11" s="118" t="s">
        <x:v>314</x:v>
      </x:c>
      <x:c r="DB11" s="116" t="s">
        <x:v>315</x:v>
      </x:c>
      <x:c r="DC11" s="116" t="s">
        <x:v>316</x:v>
      </x:c>
      <x:c r="DD11" s="116" t="s">
        <x:v>317</x:v>
      </x:c>
      <x:c r="DE11" s="116" t="s">
        <x:v>318</x:v>
      </x:c>
      <x:c r="DF11" s="116" t="s">
        <x:v>319</x:v>
      </x:c>
      <x:c r="DG11" s="116" t="s">
        <x:v>320</x:v>
      </x:c>
      <x:c r="DH11" s="117" t="s">
        <x:v>321</x:v>
      </x:c>
      <x:c r="DI11" s="118" t="s">
        <x:v>322</x:v>
      </x:c>
      <x:c r="DJ11" s="116" t="s">
        <x:v>323</x:v>
      </x:c>
      <x:c r="DK11" s="116" t="s">
        <x:v>324</x:v>
      </x:c>
      <x:c r="DL11" s="116" t="s">
        <x:v>325</x:v>
      </x:c>
      <x:c r="DM11" s="116" t="s">
        <x:v>326</x:v>
      </x:c>
      <x:c r="DN11" s="116" t="s">
        <x:v>327</x:v>
      </x:c>
      <x:c r="DO11" s="116" t="s">
        <x:v>328</x:v>
      </x:c>
      <x:c r="DP11" s="117" t="s">
        <x:v>329</x:v>
      </x:c>
      <x:c r="DQ11" s="118" t="s">
        <x:v>330</x:v>
      </x:c>
      <x:c r="DR11" s="116" t="s">
        <x:v>331</x:v>
      </x:c>
      <x:c r="DS11" s="116" t="s">
        <x:v>332</x:v>
      </x:c>
      <x:c r="DT11" s="116" t="s">
        <x:v>333</x:v>
      </x:c>
      <x:c r="DU11" s="116" t="s">
        <x:v>334</x:v>
      </x:c>
      <x:c r="DV11" s="116" t="s">
        <x:v>335</x:v>
      </x:c>
      <x:c r="DW11" s="116" t="s">
        <x:v>336</x:v>
      </x:c>
      <x:c r="DX11" s="117" t="s">
        <x:v>337</x:v>
      </x:c>
      <x:c r="DY11" s="118" t="s">
        <x:v>338</x:v>
      </x:c>
      <x:c r="DZ11" s="116" t="s">
        <x:v>339</x:v>
      </x:c>
      <x:c r="EA11" s="116" t="s">
        <x:v>340</x:v>
      </x:c>
      <x:c r="EB11" s="116" t="s">
        <x:v>341</x:v>
      </x:c>
      <x:c r="EC11" s="116" t="s">
        <x:v>342</x:v>
      </x:c>
      <x:c r="ED11" s="116" t="s">
        <x:v>343</x:v>
      </x:c>
      <x:c r="EE11" s="116" t="s">
        <x:v>344</x:v>
      </x:c>
      <x:c r="EF11" s="117" t="s">
        <x:v>345</x:v>
      </x:c>
      <x:c r="EG11" s="118" t="s">
        <x:v>346</x:v>
      </x:c>
      <x:c r="EH11" s="116" t="s">
        <x:v>347</x:v>
      </x:c>
      <x:c r="EI11" s="116" t="s">
        <x:v>348</x:v>
      </x:c>
      <x:c r="EJ11" s="116" t="s">
        <x:v>349</x:v>
      </x:c>
      <x:c r="EK11" s="116" t="s">
        <x:v>350</x:v>
      </x:c>
      <x:c r="EL11" s="116" t="s">
        <x:v>351</x:v>
      </x:c>
      <x:c r="EM11" s="116" t="s">
        <x:v>352</x:v>
      </x:c>
      <x:c r="EN11" s="119" t="s">
        <x:v>353</x:v>
      </x:c>
      <x:c r="EO11" s="132" t="s">
        <x:v>354</x:v>
      </x:c>
      <x:c r="EP11" s="133" t="s">
        <x:v>355</x:v>
      </x:c>
      <x:c r="EQ11" s="133" t="s">
        <x:v>356</x:v>
      </x:c>
      <x:c r="ER11" s="133" t="s">
        <x:v>357</x:v>
      </x:c>
      <x:c r="ES11" s="133" t="s">
        <x:v>358</x:v>
      </x:c>
      <x:c r="ET11" s="133" t="s">
        <x:v>359</x:v>
      </x:c>
      <x:c r="EU11" s="134" t="s">
        <x:v>360</x:v>
      </x:c>
      <x:c r="EV11" s="132" t="s">
        <x:v>361</x:v>
      </x:c>
      <x:c r="EW11" s="133" t="s">
        <x:v>362</x:v>
      </x:c>
      <x:c r="EX11" s="133" t="s">
        <x:v>363</x:v>
      </x:c>
      <x:c r="EY11" s="133" t="s">
        <x:v>364</x:v>
      </x:c>
      <x:c r="EZ11" s="133" t="s">
        <x:v>365</x:v>
      </x:c>
      <x:c r="FA11" s="133" t="s">
        <x:v>366</x:v>
      </x:c>
      <x:c r="FB11" s="133" t="s">
        <x:v>367</x:v>
      </x:c>
      <x:c r="FC11" s="134" t="s">
        <x:v>368</x:v>
      </x:c>
      <x:c r="FD11" s="132" t="s">
        <x:v>369</x:v>
      </x:c>
      <x:c r="FE11" s="133" t="s">
        <x:v>370</x:v>
      </x:c>
      <x:c r="FF11" s="133" t="s">
        <x:v>371</x:v>
      </x:c>
      <x:c r="FG11" s="133" t="s">
        <x:v>372</x:v>
      </x:c>
      <x:c r="FH11" s="133" t="s">
        <x:v>373</x:v>
      </x:c>
      <x:c r="FI11" s="133" t="s">
        <x:v>374</x:v>
      </x:c>
      <x:c r="FJ11" s="133" t="s">
        <x:v>375</x:v>
      </x:c>
      <x:c r="FK11" s="134" t="s">
        <x:v>376</x:v>
      </x:c>
      <x:c r="FL11" s="132" t="s">
        <x:v>377</x:v>
      </x:c>
      <x:c r="FM11" s="133" t="s">
        <x:v>378</x:v>
      </x:c>
      <x:c r="FN11" s="133" t="s">
        <x:v>379</x:v>
      </x:c>
      <x:c r="FO11" s="133" t="s">
        <x:v>380</x:v>
      </x:c>
      <x:c r="FP11" s="133" t="s">
        <x:v>381</x:v>
      </x:c>
      <x:c r="FQ11" s="133" t="s">
        <x:v>382</x:v>
      </x:c>
      <x:c r="FR11" s="133" t="s">
        <x:v>383</x:v>
      </x:c>
      <x:c r="FS11" s="134" t="s">
        <x:v>384</x:v>
      </x:c>
      <x:c r="FT11" s="132" t="s">
        <x:v>385</x:v>
      </x:c>
      <x:c r="FU11" s="133" t="s">
        <x:v>386</x:v>
      </x:c>
      <x:c r="FV11" s="133" t="s">
        <x:v>387</x:v>
      </x:c>
      <x:c r="FW11" s="133" t="s">
        <x:v>388</x:v>
      </x:c>
      <x:c r="FX11" s="133" t="s">
        <x:v>389</x:v>
      </x:c>
      <x:c r="FY11" s="133" t="s">
        <x:v>390</x:v>
      </x:c>
      <x:c r="FZ11" s="133" t="s">
        <x:v>391</x:v>
      </x:c>
      <x:c r="GA11" s="134" t="s">
        <x:v>392</x:v>
      </x:c>
      <x:c r="GB11" s="132" t="s">
        <x:v>393</x:v>
      </x:c>
      <x:c r="GC11" s="133" t="s">
        <x:v>394</x:v>
      </x:c>
      <x:c r="GD11" s="133" t="s">
        <x:v>395</x:v>
      </x:c>
      <x:c r="GE11" s="133" t="s">
        <x:v>396</x:v>
      </x:c>
      <x:c r="GF11" s="133" t="s">
        <x:v>397</x:v>
      </x:c>
      <x:c r="GG11" s="133" t="s">
        <x:v>398</x:v>
      </x:c>
      <x:c r="GH11" s="133" t="s">
        <x:v>399</x:v>
      </x:c>
      <x:c r="GI11" s="134" t="s">
        <x:v>400</x:v>
      </x:c>
      <x:c r="GJ11" s="132" t="s">
        <x:v>401</x:v>
      </x:c>
      <x:c r="GK11" s="133" t="s">
        <x:v>402</x:v>
      </x:c>
      <x:c r="GL11" s="133" t="s">
        <x:v>403</x:v>
      </x:c>
      <x:c r="GM11" s="133" t="s">
        <x:v>404</x:v>
      </x:c>
      <x:c r="GN11" s="133" t="s">
        <x:v>405</x:v>
      </x:c>
      <x:c r="GO11" s="133" t="s">
        <x:v>406</x:v>
      </x:c>
      <x:c r="GP11" s="133" t="s">
        <x:v>407</x:v>
      </x:c>
      <x:c r="GQ11" s="134" t="s">
        <x:v>408</x:v>
      </x:c>
      <x:c r="GR11" s="132" t="s">
        <x:v>409</x:v>
      </x:c>
      <x:c r="GS11" s="133" t="s">
        <x:v>410</x:v>
      </x:c>
      <x:c r="GT11" s="133" t="s">
        <x:v>411</x:v>
      </x:c>
      <x:c r="GU11" s="133" t="s">
        <x:v>412</x:v>
      </x:c>
      <x:c r="GV11" s="133" t="s">
        <x:v>413</x:v>
      </x:c>
      <x:c r="GW11" s="133" t="s">
        <x:v>414</x:v>
      </x:c>
      <x:c r="GX11" s="133" t="s">
        <x:v>415</x:v>
      </x:c>
      <x:c r="GY11" s="134" t="s">
        <x:v>416</x:v>
      </x:c>
      <x:c r="GZ11" s="132" t="s">
        <x:v>417</x:v>
      </x:c>
      <x:c r="HA11" s="133" t="s">
        <x:v>418</x:v>
      </x:c>
      <x:c r="HB11" s="133" t="s">
        <x:v>419</x:v>
      </x:c>
      <x:c r="HC11" s="133" t="s">
        <x:v>420</x:v>
      </x:c>
      <x:c r="HD11" s="133" t="s">
        <x:v>421</x:v>
      </x:c>
      <x:c r="HE11" s="133" t="s">
        <x:v>422</x:v>
      </x:c>
      <x:c r="HF11" s="133" t="s">
        <x:v>423</x:v>
      </x:c>
      <x:c r="HG11" s="134" t="s">
        <x:v>424</x:v>
      </x:c>
      <x:c r="HH11" s="132" t="s">
        <x:v>425</x:v>
      </x:c>
      <x:c r="HI11" s="133" t="s">
        <x:v>426</x:v>
      </x:c>
      <x:c r="HJ11" s="133" t="s">
        <x:v>427</x:v>
      </x:c>
      <x:c r="HK11" s="133" t="s">
        <x:v>428</x:v>
      </x:c>
      <x:c r="HL11" s="133" t="s">
        <x:v>429</x:v>
      </x:c>
      <x:c r="HM11" s="133" t="s">
        <x:v>430</x:v>
      </x:c>
      <x:c r="HN11" s="133" t="s">
        <x:v>431</x:v>
      </x:c>
      <x:c r="HO11" s="134" t="s">
        <x:v>432</x:v>
      </x:c>
      <x:c r="HP11" s="132" t="s">
        <x:v>433</x:v>
      </x:c>
      <x:c r="HQ11" s="133" t="s">
        <x:v>434</x:v>
      </x:c>
      <x:c r="HR11" s="133" t="s">
        <x:v>435</x:v>
      </x:c>
      <x:c r="HS11" s="133" t="s">
        <x:v>436</x:v>
      </x:c>
      <x:c r="HT11" s="133" t="s">
        <x:v>437</x:v>
      </x:c>
      <x:c r="HU11" s="133" t="s">
        <x:v>438</x:v>
      </x:c>
      <x:c r="HV11" s="133" t="s">
        <x:v>439</x:v>
      </x:c>
      <x:c r="HW11" s="134" t="s">
        <x:v>440</x:v>
      </x:c>
      <x:c r="HX11" s="132" t="s">
        <x:v>441</x:v>
      </x:c>
      <x:c r="HY11" s="133" t="s">
        <x:v>442</x:v>
      </x:c>
      <x:c r="HZ11" s="133" t="s">
        <x:v>443</x:v>
      </x:c>
      <x:c r="IA11" s="133" t="s">
        <x:v>444</x:v>
      </x:c>
      <x:c r="IB11" s="133" t="s">
        <x:v>445</x:v>
      </x:c>
      <x:c r="IC11" s="133" t="s">
        <x:v>446</x:v>
      </x:c>
      <x:c r="ID11" s="133" t="s">
        <x:v>447</x:v>
      </x:c>
      <x:c r="IE11" s="134" t="s">
        <x:v>448</x:v>
      </x:c>
      <x:c r="IF11" s="132" t="s">
        <x:v>449</x:v>
      </x:c>
      <x:c r="IG11" s="133" t="s">
        <x:v>450</x:v>
      </x:c>
      <x:c r="IH11" s="133" t="s">
        <x:v>451</x:v>
      </x:c>
      <x:c r="II11" s="133" t="s">
        <x:v>452</x:v>
      </x:c>
      <x:c r="IJ11" s="133" t="s">
        <x:v>453</x:v>
      </x:c>
      <x:c r="IK11" s="133" t="s">
        <x:v>454</x:v>
      </x:c>
      <x:c r="IL11" s="133" t="s">
        <x:v>455</x:v>
      </x:c>
      <x:c r="IM11" s="134" t="s">
        <x:v>456</x:v>
      </x:c>
      <x:c r="IN11" s="132" t="s">
        <x:v>457</x:v>
      </x:c>
      <x:c r="IO11" s="133" t="s">
        <x:v>458</x:v>
      </x:c>
      <x:c r="IP11" s="133" t="s">
        <x:v>459</x:v>
      </x:c>
      <x:c r="IQ11" s="133" t="s">
        <x:v>460</x:v>
      </x:c>
      <x:c r="IR11" s="133" t="s">
        <x:v>461</x:v>
      </x:c>
      <x:c r="IS11" s="133" t="s">
        <x:v>462</x:v>
      </x:c>
      <x:c r="IT11" s="133" t="s">
        <x:v>463</x:v>
      </x:c>
      <x:c r="IU11" s="134" t="s">
        <x:v>464</x:v>
      </x:c>
      <x:c r="IV11" s="132" t="s">
        <x:v>465</x:v>
      </x:c>
      <x:c r="IW11" s="133" t="s">
        <x:v>466</x:v>
      </x:c>
      <x:c r="IX11" s="133" t="s">
        <x:v>467</x:v>
      </x:c>
      <x:c r="IY11" s="133" t="s">
        <x:v>468</x:v>
      </x:c>
      <x:c r="IZ11" s="133" t="s">
        <x:v>469</x:v>
      </x:c>
      <x:c r="JA11" s="133" t="s">
        <x:v>470</x:v>
      </x:c>
      <x:c r="JB11" s="133" t="s">
        <x:v>471</x:v>
      </x:c>
      <x:c r="JC11" s="134" t="s">
        <x:v>472</x:v>
      </x:c>
      <x:c r="JD11" s="132" t="s">
        <x:v>473</x:v>
      </x:c>
      <x:c r="JE11" s="133" t="s">
        <x:v>474</x:v>
      </x:c>
      <x:c r="JF11" s="133" t="s">
        <x:v>475</x:v>
      </x:c>
      <x:c r="JG11" s="133" t="s">
        <x:v>476</x:v>
      </x:c>
      <x:c r="JH11" s="133" t="s">
        <x:v>477</x:v>
      </x:c>
      <x:c r="JI11" s="133" t="s">
        <x:v>478</x:v>
      </x:c>
      <x:c r="JJ11" s="133" t="s">
        <x:v>479</x:v>
      </x:c>
      <x:c r="JK11" s="134" t="s">
        <x:v>480</x:v>
      </x:c>
      <x:c r="JL11" s="132" t="s">
        <x:v>481</x:v>
      </x:c>
      <x:c r="JM11" s="133" t="s">
        <x:v>482</x:v>
      </x:c>
      <x:c r="JN11" s="133" t="s">
        <x:v>483</x:v>
      </x:c>
      <x:c r="JO11" s="133" t="s">
        <x:v>484</x:v>
      </x:c>
      <x:c r="JP11" s="133" t="s">
        <x:v>485</x:v>
      </x:c>
      <x:c r="JQ11" s="133" t="s">
        <x:v>486</x:v>
      </x:c>
      <x:c r="JR11" s="133" t="s">
        <x:v>487</x:v>
      </x:c>
      <x:c r="JS11" s="134" t="s">
        <x:v>488</x:v>
      </x:c>
      <x:c r="JT11" s="132" t="s">
        <x:v>489</x:v>
      </x:c>
      <x:c r="JU11" s="133" t="s">
        <x:v>490</x:v>
      </x:c>
      <x:c r="JV11" s="133" t="s">
        <x:v>491</x:v>
      </x:c>
      <x:c r="JW11" s="133" t="s">
        <x:v>492</x:v>
      </x:c>
      <x:c r="JX11" s="133" t="s">
        <x:v>493</x:v>
      </x:c>
      <x:c r="JY11" s="133" t="s">
        <x:v>494</x:v>
      </x:c>
      <x:c r="JZ11" s="133" t="s">
        <x:v>495</x:v>
      </x:c>
      <x:c r="KA11" s="134" t="s">
        <x:v>496</x:v>
      </x:c>
    </x:row>
    <x:row r="12" ht="21">
      <x:c r="A12" s="130" t="s">
        <x:v>497</x:v>
      </x:c>
      <x:c r="B12" s="128" t="n">
        <x:f>'PROJECT TA Y TB KARINA'!$C$8/8</x:f>
        <x:v>0</x:v>
      </x:c>
      <x:c r="C12" s="128" t="n">
        <x:f>'PROJECT TA Y TB KARINA'!$C$8/8</x:f>
        <x:v>0</x:v>
      </x:c>
      <x:c r="D12" s="128" t="n">
        <x:f>'PROJECT TA Y TB KARINA'!$C$8/8</x:f>
        <x:v>0</x:v>
      </x:c>
      <x:c r="E12" s="128" t="n">
        <x:f>'PROJECT TA Y TB KARINA'!$C$8/8</x:f>
        <x:v>0</x:v>
      </x:c>
      <x:c r="F12" s="128" t="n">
        <x:f>'PROJECT TA Y TB KARINA'!$C$8/8</x:f>
        <x:v>0</x:v>
      </x:c>
      <x:c r="G12" s="128" t="n">
        <x:f>'PROJECT TA Y TB KARINA'!$C$8/8</x:f>
        <x:v>0</x:v>
      </x:c>
      <x:c r="H12" s="128" t="n">
        <x:f>'PROJECT TA Y TB KARINA'!$C$8/8</x:f>
        <x:v>0</x:v>
      </x:c>
      <x:c r="I12" s="128" t="e">
        <x:f>'PROJECT TA Y TB KARINA'!$E8/8</x:f>
        <x:v>#REF!</x:v>
      </x:c>
      <x:c r="J12" s="128" t="e">
        <x:f>'PROJECT TA Y TB KARINA'!$E8/8</x:f>
        <x:v>#REF!</x:v>
      </x:c>
      <x:c r="K12" s="128" t="e">
        <x:f>'PROJECT TA Y TB KARINA'!$E8/8</x:f>
        <x:v>#REF!</x:v>
      </x:c>
      <x:c r="L12" s="128" t="e">
        <x:f>'PROJECT TA Y TB KARINA'!$E8/8</x:f>
        <x:v>#REF!</x:v>
      </x:c>
      <x:c r="M12" s="128" t="e">
        <x:f>'PROJECT TA Y TB KARINA'!$E8/8</x:f>
        <x:v>#REF!</x:v>
      </x:c>
      <x:c r="N12" s="128" t="e">
        <x:f>'PROJECT TA Y TB KARINA'!$E8/8</x:f>
        <x:v>#REF!</x:v>
      </x:c>
      <x:c r="O12" s="128" t="e">
        <x:f>'PROJECT TA Y TB KARINA'!$E8/8</x:f>
        <x:v>#REF!</x:v>
      </x:c>
      <x:c r="P12" s="128" t="e">
        <x:f>'PROJECT TA Y TB KARINA'!$E8/8</x:f>
        <x:v>#REF!</x:v>
      </x:c>
      <x:c r="Q12" s="128" t="e">
        <x:f>'PROJECT TA Y TB KARINA'!$F8/8</x:f>
        <x:v>#REF!</x:v>
      </x:c>
      <x:c r="R12" s="128" t="e">
        <x:f>'PROJECT TA Y TB KARINA'!$F8/8</x:f>
        <x:v>#REF!</x:v>
      </x:c>
      <x:c r="S12" s="128" t="e">
        <x:f>'PROJECT TA Y TB KARINA'!$F8/8</x:f>
        <x:v>#REF!</x:v>
      </x:c>
      <x:c r="T12" s="128" t="e">
        <x:f>'PROJECT TA Y TB KARINA'!$F8/8</x:f>
        <x:v>#REF!</x:v>
      </x:c>
      <x:c r="U12" s="128" t="e">
        <x:f>'PROJECT TA Y TB KARINA'!$F8/8</x:f>
        <x:v>#REF!</x:v>
      </x:c>
      <x:c r="V12" s="128" t="e">
        <x:f>'PROJECT TA Y TB KARINA'!$F8/8</x:f>
        <x:v>#REF!</x:v>
      </x:c>
      <x:c r="W12" s="128" t="e">
        <x:f>'PROJECT TA Y TB KARINA'!$F8/8</x:f>
        <x:v>#REF!</x:v>
      </x:c>
      <x:c r="X12" s="128" t="e">
        <x:f>'PROJECT TA Y TB KARINA'!$F8/8</x:f>
        <x:v>#REF!</x:v>
      </x:c>
      <x:c r="Y12" s="128" t="e">
        <x:f>'PROJECT TA Y TB KARINA'!$G8/8</x:f>
        <x:v>#REF!</x:v>
      </x:c>
      <x:c r="Z12" s="128" t="e">
        <x:f>'PROJECT TA Y TB KARINA'!$G8/8</x:f>
        <x:v>#REF!</x:v>
      </x:c>
      <x:c r="AA12" s="128" t="e">
        <x:f>'PROJECT TA Y TB KARINA'!$G8/8</x:f>
        <x:v>#REF!</x:v>
      </x:c>
      <x:c r="AB12" s="128" t="e">
        <x:f>'PROJECT TA Y TB KARINA'!$G8/8</x:f>
        <x:v>#REF!</x:v>
      </x:c>
      <x:c r="AC12" s="128" t="e">
        <x:f>'PROJECT TA Y TB KARINA'!$G8/8</x:f>
        <x:v>#REF!</x:v>
      </x:c>
      <x:c r="AD12" s="128" t="e">
        <x:f>'PROJECT TA Y TB KARINA'!$G8/8</x:f>
        <x:v>#REF!</x:v>
      </x:c>
      <x:c r="AE12" s="128" t="e">
        <x:f>'PROJECT TA Y TB KARINA'!$G8/8</x:f>
        <x:v>#REF!</x:v>
      </x:c>
      <x:c r="AF12" s="128" t="e">
        <x:f>'PROJECT TA Y TB KARINA'!$G8/8</x:f>
        <x:v>#REF!</x:v>
      </x:c>
      <x:c r="AG12" s="128" t="e">
        <x:f>'PROJECT TA Y TB KARINA'!$H8/8</x:f>
        <x:v>#REF!</x:v>
      </x:c>
      <x:c r="AH12" s="128" t="e">
        <x:f>'PROJECT TA Y TB KARINA'!$H8/8</x:f>
        <x:v>#REF!</x:v>
      </x:c>
      <x:c r="AI12" s="128" t="e">
        <x:f>'PROJECT TA Y TB KARINA'!$H8/8</x:f>
        <x:v>#REF!</x:v>
      </x:c>
      <x:c r="AJ12" s="128" t="e">
        <x:f>'PROJECT TA Y TB KARINA'!$H8/8</x:f>
        <x:v>#REF!</x:v>
      </x:c>
      <x:c r="AK12" s="128" t="e">
        <x:f>'PROJECT TA Y TB KARINA'!$H8/8</x:f>
        <x:v>#REF!</x:v>
      </x:c>
      <x:c r="AL12" s="128" t="e">
        <x:f>'PROJECT TA Y TB KARINA'!$H8/8</x:f>
        <x:v>#REF!</x:v>
      </x:c>
      <x:c r="AM12" s="128" t="e">
        <x:f>'PROJECT TA Y TB KARINA'!$H8/8</x:f>
        <x:v>#REF!</x:v>
      </x:c>
      <x:c r="AN12" s="128" t="e">
        <x:f>'PROJECT TA Y TB KARINA'!$H8/8</x:f>
        <x:v>#REF!</x:v>
      </x:c>
      <x:c r="AO12" s="128" t="e">
        <x:f>'PROJECT TA Y TB KARINA'!$I8/8</x:f>
        <x:v>#REF!</x:v>
      </x:c>
      <x:c r="AP12" s="128" t="e">
        <x:f>'PROJECT TA Y TB KARINA'!$I8/8</x:f>
        <x:v>#REF!</x:v>
      </x:c>
      <x:c r="AQ12" s="128" t="e">
        <x:f>'PROJECT TA Y TB KARINA'!$I8/8</x:f>
        <x:v>#REF!</x:v>
      </x:c>
      <x:c r="AR12" s="128" t="e">
        <x:f>'PROJECT TA Y TB KARINA'!$I8/8</x:f>
        <x:v>#REF!</x:v>
      </x:c>
      <x:c r="AS12" s="128" t="e">
        <x:f>'PROJECT TA Y TB KARINA'!$I8/8</x:f>
        <x:v>#REF!</x:v>
      </x:c>
      <x:c r="AT12" s="128" t="e">
        <x:f>'PROJECT TA Y TB KARINA'!$I8/8</x:f>
        <x:v>#REF!</x:v>
      </x:c>
      <x:c r="AU12" s="128" t="e">
        <x:f>'PROJECT TA Y TB KARINA'!$I8/8</x:f>
        <x:v>#REF!</x:v>
      </x:c>
      <x:c r="AV12" s="128" t="e">
        <x:f>'PROJECT TA Y TB KARINA'!$I8/8</x:f>
        <x:v>#REF!</x:v>
      </x:c>
      <x:c r="AW12" s="128" t="e">
        <x:f>'PROJECT TA Y TB KARINA'!$J8/8</x:f>
        <x:v>#REF!</x:v>
      </x:c>
      <x:c r="AX12" s="128" t="e">
        <x:f>'PROJECT TA Y TB KARINA'!$J8/8</x:f>
        <x:v>#REF!</x:v>
      </x:c>
      <x:c r="AY12" s="128" t="e">
        <x:f>'PROJECT TA Y TB KARINA'!$J8/8</x:f>
        <x:v>#REF!</x:v>
      </x:c>
      <x:c r="AZ12" s="128" t="e">
        <x:f>'PROJECT TA Y TB KARINA'!$J8/8</x:f>
        <x:v>#REF!</x:v>
      </x:c>
      <x:c r="BA12" s="128" t="e">
        <x:f>'PROJECT TA Y TB KARINA'!$J8/8</x:f>
        <x:v>#REF!</x:v>
      </x:c>
      <x:c r="BB12" s="128" t="e">
        <x:f>'PROJECT TA Y TB KARINA'!$J8/8</x:f>
        <x:v>#REF!</x:v>
      </x:c>
      <x:c r="BC12" s="128" t="e">
        <x:f>'PROJECT TA Y TB KARINA'!$J8/8</x:f>
        <x:v>#REF!</x:v>
      </x:c>
      <x:c r="BD12" s="128" t="e">
        <x:f>'PROJECT TA Y TB KARINA'!$J8/8</x:f>
        <x:v>#REF!</x:v>
      </x:c>
      <x:c r="BE12" s="128" t="e">
        <x:f>'PROJECT TA Y TB KARINA'!$K8/8</x:f>
        <x:v>#REF!</x:v>
      </x:c>
      <x:c r="BF12" s="128" t="e">
        <x:f>'PROJECT TA Y TB KARINA'!$K8/8</x:f>
        <x:v>#REF!</x:v>
      </x:c>
      <x:c r="BG12" s="128" t="e">
        <x:f>'PROJECT TA Y TB KARINA'!$K8/8</x:f>
        <x:v>#REF!</x:v>
      </x:c>
      <x:c r="BH12" s="128" t="e">
        <x:f>'PROJECT TA Y TB KARINA'!$K8/8</x:f>
        <x:v>#REF!</x:v>
      </x:c>
      <x:c r="BI12" s="128" t="e">
        <x:f>'PROJECT TA Y TB KARINA'!$K8/8</x:f>
        <x:v>#REF!</x:v>
      </x:c>
      <x:c r="BJ12" s="128" t="e">
        <x:f>'PROJECT TA Y TB KARINA'!$K8/8</x:f>
        <x:v>#REF!</x:v>
      </x:c>
      <x:c r="BK12" s="128" t="e">
        <x:f>'PROJECT TA Y TB KARINA'!$K8/8</x:f>
        <x:v>#REF!</x:v>
      </x:c>
      <x:c r="BL12" s="128" t="e">
        <x:f>'PROJECT TA Y TB KARINA'!$K8/8</x:f>
        <x:v>#REF!</x:v>
      </x:c>
      <x:c r="BM12" s="128" t="e">
        <x:f>'PROJECT TA Y TB KARINA'!$L8/8</x:f>
        <x:v>#REF!</x:v>
      </x:c>
      <x:c r="BN12" s="128" t="e">
        <x:f>'PROJECT TA Y TB KARINA'!$L8/8</x:f>
        <x:v>#REF!</x:v>
      </x:c>
      <x:c r="BO12" s="128" t="e">
        <x:f>'PROJECT TA Y TB KARINA'!$L8/8</x:f>
        <x:v>#REF!</x:v>
      </x:c>
      <x:c r="BP12" s="128" t="e">
        <x:f>'PROJECT TA Y TB KARINA'!$L8/8</x:f>
        <x:v>#REF!</x:v>
      </x:c>
      <x:c r="BQ12" s="128" t="e">
        <x:f>'PROJECT TA Y TB KARINA'!$L8/8</x:f>
        <x:v>#REF!</x:v>
      </x:c>
      <x:c r="BR12" s="128" t="e">
        <x:f>'PROJECT TA Y TB KARINA'!$L8/8</x:f>
        <x:v>#REF!</x:v>
      </x:c>
      <x:c r="BS12" s="128" t="e">
        <x:f>'PROJECT TA Y TB KARINA'!$L8/8</x:f>
        <x:v>#REF!</x:v>
      </x:c>
      <x:c r="BT12" s="128" t="e">
        <x:f>'PROJECT TA Y TB KARINA'!$L8/8</x:f>
        <x:v>#REF!</x:v>
      </x:c>
      <x:c r="BU12" s="128" t="e">
        <x:f>'PROJECT TA Y TB KARINA'!$M8/8</x:f>
        <x:v>#REF!</x:v>
      </x:c>
      <x:c r="BV12" s="128" t="e">
        <x:f>'PROJECT TA Y TB KARINA'!$M8/8</x:f>
        <x:v>#REF!</x:v>
      </x:c>
      <x:c r="BW12" s="128" t="e">
        <x:f>'PROJECT TA Y TB KARINA'!$M8/8</x:f>
        <x:v>#REF!</x:v>
      </x:c>
      <x:c r="BX12" s="128" t="e">
        <x:f>'PROJECT TA Y TB KARINA'!$M8/8</x:f>
        <x:v>#REF!</x:v>
      </x:c>
      <x:c r="BY12" s="128" t="e">
        <x:f>'PROJECT TA Y TB KARINA'!$M8/8</x:f>
        <x:v>#REF!</x:v>
      </x:c>
      <x:c r="BZ12" s="128" t="e">
        <x:f>'PROJECT TA Y TB KARINA'!$M8/8</x:f>
        <x:v>#REF!</x:v>
      </x:c>
      <x:c r="CA12" s="128" t="e">
        <x:f>'PROJECT TA Y TB KARINA'!$M8/8</x:f>
        <x:v>#REF!</x:v>
      </x:c>
      <x:c r="CB12" s="128" t="e">
        <x:f>'PROJECT TA Y TB KARINA'!$M8/8</x:f>
        <x:v>#REF!</x:v>
      </x:c>
      <x:c r="CC12" s="128" t="e">
        <x:f>'PROJECT TA Y TB KARINA'!$N8/8</x:f>
        <x:v>#REF!</x:v>
      </x:c>
      <x:c r="CD12" s="128" t="e">
        <x:f>'PROJECT TA Y TB KARINA'!$N8/8</x:f>
        <x:v>#REF!</x:v>
      </x:c>
      <x:c r="CE12" s="128" t="e">
        <x:f>'PROJECT TA Y TB KARINA'!$N8/8</x:f>
        <x:v>#REF!</x:v>
      </x:c>
      <x:c r="CF12" s="128" t="e">
        <x:f>'PROJECT TA Y TB KARINA'!$N8/8</x:f>
        <x:v>#REF!</x:v>
      </x:c>
      <x:c r="CG12" s="128" t="e">
        <x:f>'PROJECT TA Y TB KARINA'!$N8/8</x:f>
        <x:v>#REF!</x:v>
      </x:c>
      <x:c r="CH12" s="128" t="e">
        <x:f>'PROJECT TA Y TB KARINA'!$N8/8</x:f>
        <x:v>#REF!</x:v>
      </x:c>
      <x:c r="CI12" s="128" t="e">
        <x:f>'PROJECT TA Y TB KARINA'!$N8/8</x:f>
        <x:v>#REF!</x:v>
      </x:c>
      <x:c r="CJ12" s="128" t="e">
        <x:f>'PROJECT TA Y TB KARINA'!$N8/8</x:f>
        <x:v>#REF!</x:v>
      </x:c>
      <x:c r="CK12" s="128" t="e">
        <x:f>'PROJECT TA Y TB KARINA'!$O8/8</x:f>
        <x:v>#REF!</x:v>
      </x:c>
      <x:c r="CL12" s="128" t="e">
        <x:f>'PROJECT TA Y TB KARINA'!$O8/8</x:f>
        <x:v>#REF!</x:v>
      </x:c>
      <x:c r="CM12" s="128" t="e">
        <x:f>'PROJECT TA Y TB KARINA'!$O8/8</x:f>
        <x:v>#REF!</x:v>
      </x:c>
      <x:c r="CN12" s="128" t="e">
        <x:f>'PROJECT TA Y TB KARINA'!$O8/8</x:f>
        <x:v>#REF!</x:v>
      </x:c>
      <x:c r="CO12" s="128" t="e">
        <x:f>'PROJECT TA Y TB KARINA'!$O8/8</x:f>
        <x:v>#REF!</x:v>
      </x:c>
      <x:c r="CP12" s="128" t="e">
        <x:f>'PROJECT TA Y TB KARINA'!$O8/8</x:f>
        <x:v>#REF!</x:v>
      </x:c>
      <x:c r="CQ12" s="128" t="e">
        <x:f>'PROJECT TA Y TB KARINA'!$O8/8</x:f>
        <x:v>#REF!</x:v>
      </x:c>
      <x:c r="CR12" s="128" t="e">
        <x:f>'PROJECT TA Y TB KARINA'!$O8/8</x:f>
        <x:v>#REF!</x:v>
      </x:c>
      <x:c r="CS12" s="128" t="e">
        <x:f>'PROJECT TA Y TB KARINA'!$P8/8</x:f>
        <x:v>#REF!</x:v>
      </x:c>
      <x:c r="CT12" s="128" t="e">
        <x:f>'PROJECT TA Y TB KARINA'!$P8/8</x:f>
        <x:v>#REF!</x:v>
      </x:c>
      <x:c r="CU12" s="128" t="e">
        <x:f>'PROJECT TA Y TB KARINA'!$P8/8</x:f>
        <x:v>#REF!</x:v>
      </x:c>
      <x:c r="CV12" s="128" t="e">
        <x:f>'PROJECT TA Y TB KARINA'!$P8/8</x:f>
        <x:v>#REF!</x:v>
      </x:c>
      <x:c r="CW12" s="128" t="e">
        <x:f>'PROJECT TA Y TB KARINA'!$P8/8</x:f>
        <x:v>#REF!</x:v>
      </x:c>
      <x:c r="CX12" s="128" t="e">
        <x:f>'PROJECT TA Y TB KARINA'!$P8/8</x:f>
        <x:v>#REF!</x:v>
      </x:c>
      <x:c r="CY12" s="128" t="e">
        <x:f>'PROJECT TA Y TB KARINA'!$P8/8</x:f>
        <x:v>#REF!</x:v>
      </x:c>
      <x:c r="CZ12" s="128" t="e">
        <x:f>'PROJECT TA Y TB KARINA'!$P8/8</x:f>
        <x:v>#REF!</x:v>
      </x:c>
      <x:c r="DA12" s="128" t="e">
        <x:f>'PROJECT TA Y TB KARINA'!$Q8/8</x:f>
        <x:v>#REF!</x:v>
      </x:c>
      <x:c r="DB12" s="128" t="e">
        <x:f>'PROJECT TA Y TB KARINA'!$Q8/8</x:f>
        <x:v>#REF!</x:v>
      </x:c>
      <x:c r="DC12" s="128" t="e">
        <x:f>'PROJECT TA Y TB KARINA'!$Q8/8</x:f>
        <x:v>#REF!</x:v>
      </x:c>
      <x:c r="DD12" s="128" t="e">
        <x:f>'PROJECT TA Y TB KARINA'!$Q8/8</x:f>
        <x:v>#REF!</x:v>
      </x:c>
      <x:c r="DE12" s="128" t="e">
        <x:f>'PROJECT TA Y TB KARINA'!$Q8/8</x:f>
        <x:v>#REF!</x:v>
      </x:c>
      <x:c r="DF12" s="128" t="e">
        <x:f>'PROJECT TA Y TB KARINA'!$Q8/8</x:f>
        <x:v>#REF!</x:v>
      </x:c>
      <x:c r="DG12" s="128" t="e">
        <x:f>'PROJECT TA Y TB KARINA'!$Q8/8</x:f>
        <x:v>#REF!</x:v>
      </x:c>
      <x:c r="DH12" s="128" t="e">
        <x:f>'PROJECT TA Y TB KARINA'!$Q8/8</x:f>
        <x:v>#REF!</x:v>
      </x:c>
      <x:c r="DI12" s="128" t="e">
        <x:f>'PROJECT TA Y TB KARINA'!$R8/8</x:f>
        <x:v>#REF!</x:v>
      </x:c>
      <x:c r="DJ12" s="128" t="e">
        <x:f>'PROJECT TA Y TB KARINA'!$R8/8</x:f>
        <x:v>#REF!</x:v>
      </x:c>
      <x:c r="DK12" s="128" t="e">
        <x:f>'PROJECT TA Y TB KARINA'!$R8/8</x:f>
        <x:v>#REF!</x:v>
      </x:c>
      <x:c r="DL12" s="128" t="e">
        <x:f>'PROJECT TA Y TB KARINA'!$R8/8</x:f>
        <x:v>#REF!</x:v>
      </x:c>
      <x:c r="DM12" s="128" t="e">
        <x:f>'PROJECT TA Y TB KARINA'!$R8/8</x:f>
        <x:v>#REF!</x:v>
      </x:c>
      <x:c r="DN12" s="128" t="e">
        <x:f>'PROJECT TA Y TB KARINA'!$R8/8</x:f>
        <x:v>#REF!</x:v>
      </x:c>
      <x:c r="DO12" s="128" t="e">
        <x:f>'PROJECT TA Y TB KARINA'!$R8/8</x:f>
        <x:v>#REF!</x:v>
      </x:c>
      <x:c r="DP12" s="128" t="e">
        <x:f>'PROJECT TA Y TB KARINA'!$R8/8</x:f>
        <x:v>#REF!</x:v>
      </x:c>
      <x:c r="DQ12" s="128" t="e">
        <x:f>'PROJECT TA Y TB KARINA'!$S8/8</x:f>
        <x:v>#REF!</x:v>
      </x:c>
      <x:c r="DR12" s="128" t="e">
        <x:f>'PROJECT TA Y TB KARINA'!$S8/8</x:f>
        <x:v>#REF!</x:v>
      </x:c>
      <x:c r="DS12" s="128" t="e">
        <x:f>'PROJECT TA Y TB KARINA'!$S8/8</x:f>
        <x:v>#REF!</x:v>
      </x:c>
      <x:c r="DT12" s="128" t="e">
        <x:f>'PROJECT TA Y TB KARINA'!$S8/8</x:f>
        <x:v>#REF!</x:v>
      </x:c>
      <x:c r="DU12" s="128" t="e">
        <x:f>'PROJECT TA Y TB KARINA'!$S8/8</x:f>
        <x:v>#REF!</x:v>
      </x:c>
      <x:c r="DV12" s="128" t="e">
        <x:f>'PROJECT TA Y TB KARINA'!$S8/8</x:f>
        <x:v>#REF!</x:v>
      </x:c>
      <x:c r="DW12" s="128" t="e">
        <x:f>'PROJECT TA Y TB KARINA'!$S8/8</x:f>
        <x:v>#REF!</x:v>
      </x:c>
      <x:c r="DX12" s="128" t="e">
        <x:f>'PROJECT TA Y TB KARINA'!$S8/8</x:f>
        <x:v>#REF!</x:v>
      </x:c>
      <x:c r="DY12" s="128" t="e">
        <x:f>'PROJECT TA Y TB KARINA'!$T8/8</x:f>
        <x:v>#REF!</x:v>
      </x:c>
      <x:c r="DZ12" s="128" t="e">
        <x:f>'PROJECT TA Y TB KARINA'!$T8/8</x:f>
        <x:v>#REF!</x:v>
      </x:c>
      <x:c r="EA12" s="128" t="e">
        <x:f>'PROJECT TA Y TB KARINA'!$T8/8</x:f>
        <x:v>#REF!</x:v>
      </x:c>
      <x:c r="EB12" s="128" t="e">
        <x:f>'PROJECT TA Y TB KARINA'!$T8/8</x:f>
        <x:v>#REF!</x:v>
      </x:c>
      <x:c r="EC12" s="128" t="e">
        <x:f>'PROJECT TA Y TB KARINA'!$T8/8</x:f>
        <x:v>#REF!</x:v>
      </x:c>
      <x:c r="ED12" s="128" t="e">
        <x:f>'PROJECT TA Y TB KARINA'!$T8/8</x:f>
        <x:v>#REF!</x:v>
      </x:c>
      <x:c r="EE12" s="128" t="e">
        <x:f>'PROJECT TA Y TB KARINA'!$T8/8</x:f>
        <x:v>#REF!</x:v>
      </x:c>
      <x:c r="EF12" s="128" t="e">
        <x:f>'PROJECT TA Y TB KARINA'!$T8/8</x:f>
        <x:v>#REF!</x:v>
      </x:c>
      <x:c r="EG12" s="128" t="e">
        <x:f>'PROJECT TA Y TB KARINA'!#REF!/8</x:f>
        <x:v>#NAME?</x:v>
      </x:c>
      <x:c r="EH12" s="128" t="e">
        <x:f>'PROJECT TA Y TB KARINA'!#REF!/8</x:f>
        <x:v>#NAME?</x:v>
      </x:c>
      <x:c r="EI12" s="128" t="e">
        <x:f>'PROJECT TA Y TB KARINA'!#REF!/8</x:f>
        <x:v>#NAME?</x:v>
      </x:c>
      <x:c r="EJ12" s="128" t="e">
        <x:f>'PROJECT TA Y TB KARINA'!#REF!/8</x:f>
        <x:v>#NAME?</x:v>
      </x:c>
      <x:c r="EK12" s="128" t="e">
        <x:f>'PROJECT TA Y TB KARINA'!#REF!/8</x:f>
        <x:v>#NAME?</x:v>
      </x:c>
      <x:c r="EL12" s="128" t="e">
        <x:f>'PROJECT TA Y TB KARINA'!#REF!/8</x:f>
        <x:v>#NAME?</x:v>
      </x:c>
      <x:c r="EM12" s="128" t="e">
        <x:f>'PROJECT TA Y TB KARINA'!#REF!/8</x:f>
        <x:v>#NAME?</x:v>
      </x:c>
      <x:c r="EN12" s="128" t="e">
        <x:f>'PROJECT TA Y TB KARINA'!#REF!/8</x:f>
        <x:v>#NAME?</x:v>
      </x:c>
      <x:c r="EO12" s="128" t="n">
        <x:f>'PROJECT TA Y TB KARINA'!$C66/8</x:f>
        <x:v>0</x:v>
      </x:c>
      <x:c r="EP12" s="128" t="n">
        <x:f>'PROJECT TA Y TB KARINA'!$C66/8</x:f>
        <x:v>0</x:v>
      </x:c>
      <x:c r="EQ12" s="128" t="n">
        <x:f>'PROJECT TA Y TB KARINA'!$C66/8</x:f>
        <x:v>0</x:v>
      </x:c>
      <x:c r="ER12" s="128" t="n">
        <x:f>'PROJECT TA Y TB KARINA'!$C66/8</x:f>
        <x:v>0</x:v>
      </x:c>
      <x:c r="ES12" s="128" t="n">
        <x:f>'PROJECT TA Y TB KARINA'!$C66/8</x:f>
        <x:v>0</x:v>
      </x:c>
      <x:c r="ET12" s="128" t="n">
        <x:f>'PROJECT TA Y TB KARINA'!$C66/8</x:f>
        <x:v>0</x:v>
      </x:c>
      <x:c r="EU12" s="128" t="n">
        <x:f>'PROJECT TA Y TB KARINA'!$C66/8</x:f>
        <x:v>0</x:v>
      </x:c>
      <x:c r="EV12" s="128" t="n">
        <x:f>'PROJECT TA Y TB KARINA'!$E66/8</x:f>
        <x:v>0</x:v>
      </x:c>
      <x:c r="EW12" s="128" t="n">
        <x:f>'PROJECT TA Y TB KARINA'!$E66/8</x:f>
        <x:v>0</x:v>
      </x:c>
      <x:c r="EX12" s="128" t="n">
        <x:f>'PROJECT TA Y TB KARINA'!$E66/8</x:f>
        <x:v>0</x:v>
      </x:c>
      <x:c r="EY12" s="128" t="n">
        <x:f>'PROJECT TA Y TB KARINA'!$E66/8</x:f>
        <x:v>0</x:v>
      </x:c>
      <x:c r="EZ12" s="128" t="n">
        <x:f>'PROJECT TA Y TB KARINA'!$E66/8</x:f>
        <x:v>0</x:v>
      </x:c>
      <x:c r="FA12" s="128" t="n">
        <x:f>'PROJECT TA Y TB KARINA'!$E66/8</x:f>
        <x:v>0</x:v>
      </x:c>
      <x:c r="FB12" s="128" t="n">
        <x:f>'PROJECT TA Y TB KARINA'!$E66/8</x:f>
        <x:v>0</x:v>
      </x:c>
      <x:c r="FC12" s="128" t="n">
        <x:f>'PROJECT TA Y TB KARINA'!$E66/8</x:f>
        <x:v>0</x:v>
      </x:c>
      <x:c r="FD12" s="128" t="n">
        <x:f>'PROJECT TA Y TB KARINA'!$F66/8</x:f>
        <x:v>0</x:v>
      </x:c>
      <x:c r="FE12" s="128" t="n">
        <x:f>'PROJECT TA Y TB KARINA'!$F66/8</x:f>
        <x:v>0</x:v>
      </x:c>
      <x:c r="FF12" s="128" t="n">
        <x:f>'PROJECT TA Y TB KARINA'!$F66/8</x:f>
        <x:v>0</x:v>
      </x:c>
      <x:c r="FG12" s="128" t="n">
        <x:f>'PROJECT TA Y TB KARINA'!$F66/8</x:f>
        <x:v>0</x:v>
      </x:c>
      <x:c r="FH12" s="128" t="n">
        <x:f>'PROJECT TA Y TB KARINA'!$F66/8</x:f>
        <x:v>0</x:v>
      </x:c>
      <x:c r="FI12" s="128" t="n">
        <x:f>'PROJECT TA Y TB KARINA'!$F66/8</x:f>
        <x:v>0</x:v>
      </x:c>
      <x:c r="FJ12" s="128" t="n">
        <x:f>'PROJECT TA Y TB KARINA'!$F66/8</x:f>
        <x:v>0</x:v>
      </x:c>
      <x:c r="FK12" s="128" t="n">
        <x:f>'PROJECT TA Y TB KARINA'!$F66/8</x:f>
        <x:v>0</x:v>
      </x:c>
      <x:c r="FL12" s="128" t="n">
        <x:f>'PROJECT TA Y TB KARINA'!$G66/8</x:f>
        <x:v>0</x:v>
      </x:c>
      <x:c r="FM12" s="128" t="n">
        <x:f>'PROJECT TA Y TB KARINA'!$G66/8</x:f>
        <x:v>0</x:v>
      </x:c>
      <x:c r="FN12" s="128" t="n">
        <x:f>'PROJECT TA Y TB KARINA'!$G66/8</x:f>
        <x:v>0</x:v>
      </x:c>
      <x:c r="FO12" s="128" t="n">
        <x:f>'PROJECT TA Y TB KARINA'!$G66/8</x:f>
        <x:v>0</x:v>
      </x:c>
      <x:c r="FP12" s="128" t="n">
        <x:f>'PROJECT TA Y TB KARINA'!$G66/8</x:f>
        <x:v>0</x:v>
      </x:c>
      <x:c r="FQ12" s="128" t="n">
        <x:f>'PROJECT TA Y TB KARINA'!$G66/8</x:f>
        <x:v>0</x:v>
      </x:c>
      <x:c r="FR12" s="128" t="n">
        <x:f>'PROJECT TA Y TB KARINA'!$G66/8</x:f>
        <x:v>0</x:v>
      </x:c>
      <x:c r="FS12" s="128" t="n">
        <x:f>'PROJECT TA Y TB KARINA'!$G66/8</x:f>
        <x:v>0</x:v>
      </x:c>
      <x:c r="FT12" s="128" t="n">
        <x:f>'PROJECT TA Y TB KARINA'!$H66/8</x:f>
        <x:v>0</x:v>
      </x:c>
      <x:c r="FU12" s="128" t="n">
        <x:f>'PROJECT TA Y TB KARINA'!$H66/8</x:f>
        <x:v>0</x:v>
      </x:c>
      <x:c r="FV12" s="128" t="n">
        <x:f>'PROJECT TA Y TB KARINA'!$H66/8</x:f>
        <x:v>0</x:v>
      </x:c>
      <x:c r="FW12" s="128" t="n">
        <x:f>'PROJECT TA Y TB KARINA'!$H66/8</x:f>
        <x:v>0</x:v>
      </x:c>
      <x:c r="FX12" s="128" t="n">
        <x:f>'PROJECT TA Y TB KARINA'!$H66/8</x:f>
        <x:v>0</x:v>
      </x:c>
      <x:c r="FY12" s="128" t="n">
        <x:f>'PROJECT TA Y TB KARINA'!$H66/8</x:f>
        <x:v>0</x:v>
      </x:c>
      <x:c r="FZ12" s="128" t="n">
        <x:f>'PROJECT TA Y TB KARINA'!$H66/8</x:f>
        <x:v>0</x:v>
      </x:c>
      <x:c r="GA12" s="128" t="n">
        <x:f>'PROJECT TA Y TB KARINA'!$H66/8</x:f>
        <x:v>0</x:v>
      </x:c>
      <x:c r="GB12" s="128" t="n">
        <x:f>'PROJECT TA Y TB KARINA'!$I66/8</x:f>
        <x:v>0</x:v>
      </x:c>
      <x:c r="GC12" s="128" t="n">
        <x:f>'PROJECT TA Y TB KARINA'!$I66/8</x:f>
        <x:v>0</x:v>
      </x:c>
      <x:c r="GD12" s="128" t="n">
        <x:f>'PROJECT TA Y TB KARINA'!$I66/8</x:f>
        <x:v>0</x:v>
      </x:c>
      <x:c r="GE12" s="128" t="n">
        <x:f>'PROJECT TA Y TB KARINA'!$I66/8</x:f>
        <x:v>0</x:v>
      </x:c>
      <x:c r="GF12" s="128" t="n">
        <x:f>'PROJECT TA Y TB KARINA'!$I66/8</x:f>
        <x:v>0</x:v>
      </x:c>
      <x:c r="GG12" s="128" t="n">
        <x:f>'PROJECT TA Y TB KARINA'!$I66/8</x:f>
        <x:v>0</x:v>
      </x:c>
      <x:c r="GH12" s="128" t="n">
        <x:f>'PROJECT TA Y TB KARINA'!$I66/8</x:f>
        <x:v>0</x:v>
      </x:c>
      <x:c r="GI12" s="128" t="n">
        <x:f>'PROJECT TA Y TB KARINA'!$I66/8</x:f>
        <x:v>0</x:v>
      </x:c>
      <x:c r="GJ12" s="128" t="n">
        <x:f>'PROJECT TA Y TB KARINA'!$J66/8</x:f>
        <x:v>0</x:v>
      </x:c>
      <x:c r="GK12" s="128" t="n">
        <x:f>'PROJECT TA Y TB KARINA'!$J66/8</x:f>
        <x:v>0</x:v>
      </x:c>
      <x:c r="GL12" s="128" t="n">
        <x:f>'PROJECT TA Y TB KARINA'!$J66/8</x:f>
        <x:v>0</x:v>
      </x:c>
      <x:c r="GM12" s="128" t="n">
        <x:f>'PROJECT TA Y TB KARINA'!$J66/8</x:f>
        <x:v>0</x:v>
      </x:c>
      <x:c r="GN12" s="128" t="n">
        <x:f>'PROJECT TA Y TB KARINA'!$J66/8</x:f>
        <x:v>0</x:v>
      </x:c>
      <x:c r="GO12" s="128" t="n">
        <x:f>'PROJECT TA Y TB KARINA'!$J66/8</x:f>
        <x:v>0</x:v>
      </x:c>
      <x:c r="GP12" s="128" t="n">
        <x:f>'PROJECT TA Y TB KARINA'!$J66/8</x:f>
        <x:v>0</x:v>
      </x:c>
      <x:c r="GQ12" s="128" t="n">
        <x:f>'PROJECT TA Y TB KARINA'!$J66/8</x:f>
        <x:v>0</x:v>
      </x:c>
      <x:c r="GR12" s="128" t="n">
        <x:f>'PROJECT TA Y TB KARINA'!$K66/8</x:f>
        <x:v>0</x:v>
      </x:c>
      <x:c r="GS12" s="128" t="n">
        <x:f>'PROJECT TA Y TB KARINA'!$K66/8</x:f>
        <x:v>0</x:v>
      </x:c>
      <x:c r="GT12" s="128" t="n">
        <x:f>'PROJECT TA Y TB KARINA'!$K66/8</x:f>
        <x:v>0</x:v>
      </x:c>
      <x:c r="GU12" s="128" t="n">
        <x:f>'PROJECT TA Y TB KARINA'!$K66/8</x:f>
        <x:v>0</x:v>
      </x:c>
      <x:c r="GV12" s="128" t="n">
        <x:f>'PROJECT TA Y TB KARINA'!$K66/8</x:f>
        <x:v>0</x:v>
      </x:c>
      <x:c r="GW12" s="128" t="n">
        <x:f>'PROJECT TA Y TB KARINA'!$K66/8</x:f>
        <x:v>0</x:v>
      </x:c>
      <x:c r="GX12" s="128" t="n">
        <x:f>'PROJECT TA Y TB KARINA'!$K66/8</x:f>
        <x:v>0</x:v>
      </x:c>
      <x:c r="GY12" s="128" t="n">
        <x:f>'PROJECT TA Y TB KARINA'!$K66/8</x:f>
        <x:v>0</x:v>
      </x:c>
      <x:c r="GZ12" s="128" t="n">
        <x:f>'PROJECT TA Y TB KARINA'!$L66/8</x:f>
        <x:v>0</x:v>
      </x:c>
      <x:c r="HA12" s="128" t="n">
        <x:f>'PROJECT TA Y TB KARINA'!$L66/8</x:f>
        <x:v>0</x:v>
      </x:c>
      <x:c r="HB12" s="128" t="n">
        <x:f>'PROJECT TA Y TB KARINA'!$L66/8</x:f>
        <x:v>0</x:v>
      </x:c>
      <x:c r="HC12" s="128" t="n">
        <x:f>'PROJECT TA Y TB KARINA'!$L66/8</x:f>
        <x:v>0</x:v>
      </x:c>
      <x:c r="HD12" s="128" t="n">
        <x:f>'PROJECT TA Y TB KARINA'!$L66/8</x:f>
        <x:v>0</x:v>
      </x:c>
      <x:c r="HE12" s="128" t="n">
        <x:f>'PROJECT TA Y TB KARINA'!$L66/8</x:f>
        <x:v>0</x:v>
      </x:c>
      <x:c r="HF12" s="128" t="n">
        <x:f>'PROJECT TA Y TB KARINA'!$L66/8</x:f>
        <x:v>0</x:v>
      </x:c>
      <x:c r="HG12" s="128" t="n">
        <x:f>'PROJECT TA Y TB KARINA'!$L66/8</x:f>
        <x:v>0</x:v>
      </x:c>
      <x:c r="HH12" s="128" t="n">
        <x:f>'PROJECT TA Y TB KARINA'!$M66/8</x:f>
        <x:v>0</x:v>
      </x:c>
      <x:c r="HI12" s="128" t="n">
        <x:f>'PROJECT TA Y TB KARINA'!$M66/8</x:f>
        <x:v>0</x:v>
      </x:c>
      <x:c r="HJ12" s="128" t="n">
        <x:f>'PROJECT TA Y TB KARINA'!$M66/8</x:f>
        <x:v>0</x:v>
      </x:c>
      <x:c r="HK12" s="128" t="n">
        <x:f>'PROJECT TA Y TB KARINA'!$M66/8</x:f>
        <x:v>0</x:v>
      </x:c>
      <x:c r="HL12" s="128" t="n">
        <x:f>'PROJECT TA Y TB KARINA'!$M66/8</x:f>
        <x:v>0</x:v>
      </x:c>
      <x:c r="HM12" s="128" t="n">
        <x:f>'PROJECT TA Y TB KARINA'!$M66/8</x:f>
        <x:v>0</x:v>
      </x:c>
      <x:c r="HN12" s="128" t="n">
        <x:f>'PROJECT TA Y TB KARINA'!$M66/8</x:f>
        <x:v>0</x:v>
      </x:c>
      <x:c r="HO12" s="128" t="n">
        <x:f>'PROJECT TA Y TB KARINA'!$M66/8</x:f>
        <x:v>0</x:v>
      </x:c>
      <x:c r="HP12" s="128" t="n">
        <x:f>'PROJECT TA Y TB KARINA'!$N66/8</x:f>
        <x:v>0</x:v>
      </x:c>
      <x:c r="HQ12" s="128" t="n">
        <x:f>'PROJECT TA Y TB KARINA'!$N66/8</x:f>
        <x:v>0</x:v>
      </x:c>
      <x:c r="HR12" s="128" t="n">
        <x:f>'PROJECT TA Y TB KARINA'!$N66/8</x:f>
        <x:v>0</x:v>
      </x:c>
      <x:c r="HS12" s="128" t="n">
        <x:f>'PROJECT TA Y TB KARINA'!$N66/8</x:f>
        <x:v>0</x:v>
      </x:c>
      <x:c r="HT12" s="128" t="n">
        <x:f>'PROJECT TA Y TB KARINA'!$N66/8</x:f>
        <x:v>0</x:v>
      </x:c>
      <x:c r="HU12" s="128" t="n">
        <x:f>'PROJECT TA Y TB KARINA'!$N66/8</x:f>
        <x:v>0</x:v>
      </x:c>
      <x:c r="HV12" s="128" t="n">
        <x:f>'PROJECT TA Y TB KARINA'!$N66/8</x:f>
        <x:v>0</x:v>
      </x:c>
      <x:c r="HW12" s="128" t="n">
        <x:f>'PROJECT TA Y TB KARINA'!$N66/8</x:f>
        <x:v>0</x:v>
      </x:c>
      <x:c r="HX12" s="128" t="n">
        <x:f>'PROJECT TA Y TB KARINA'!$O66/8</x:f>
        <x:v>0</x:v>
      </x:c>
      <x:c r="HY12" s="128" t="n">
        <x:f>'PROJECT TA Y TB KARINA'!$O66/8</x:f>
        <x:v>0</x:v>
      </x:c>
      <x:c r="HZ12" s="128" t="n">
        <x:f>'PROJECT TA Y TB KARINA'!$O66/8</x:f>
        <x:v>0</x:v>
      </x:c>
      <x:c r="IA12" s="128" t="n">
        <x:f>'PROJECT TA Y TB KARINA'!$O66/8</x:f>
        <x:v>0</x:v>
      </x:c>
      <x:c r="IB12" s="128" t="n">
        <x:f>'PROJECT TA Y TB KARINA'!$O66/8</x:f>
        <x:v>0</x:v>
      </x:c>
      <x:c r="IC12" s="128" t="n">
        <x:f>'PROJECT TA Y TB KARINA'!$O66/8</x:f>
        <x:v>0</x:v>
      </x:c>
      <x:c r="ID12" s="128" t="n">
        <x:f>'PROJECT TA Y TB KARINA'!$O66/8</x:f>
        <x:v>0</x:v>
      </x:c>
      <x:c r="IE12" s="128" t="n">
        <x:f>'PROJECT TA Y TB KARINA'!$O66/8</x:f>
        <x:v>0</x:v>
      </x:c>
      <x:c r="IF12" s="128" t="n">
        <x:f>'PROJECT TA Y TB KARINA'!$P66/8</x:f>
        <x:v>0</x:v>
      </x:c>
      <x:c r="IG12" s="128" t="n">
        <x:f>'PROJECT TA Y TB KARINA'!$P66/8</x:f>
        <x:v>0</x:v>
      </x:c>
      <x:c r="IH12" s="128" t="n">
        <x:f>'PROJECT TA Y TB KARINA'!$P66/8</x:f>
        <x:v>0</x:v>
      </x:c>
      <x:c r="II12" s="128" t="n">
        <x:f>'PROJECT TA Y TB KARINA'!$P66/8</x:f>
        <x:v>0</x:v>
      </x:c>
      <x:c r="IJ12" s="128" t="n">
        <x:f>'PROJECT TA Y TB KARINA'!$P66/8</x:f>
        <x:v>0</x:v>
      </x:c>
      <x:c r="IK12" s="128" t="n">
        <x:f>'PROJECT TA Y TB KARINA'!$P66/8</x:f>
        <x:v>0</x:v>
      </x:c>
      <x:c r="IL12" s="128" t="n">
        <x:f>'PROJECT TA Y TB KARINA'!$P66/8</x:f>
        <x:v>0</x:v>
      </x:c>
      <x:c r="IM12" s="128" t="n">
        <x:f>'PROJECT TA Y TB KARINA'!$P66/8</x:f>
        <x:v>0</x:v>
      </x:c>
      <x:c r="IN12" s="128" t="n">
        <x:f>'PROJECT TA Y TB KARINA'!$Q66/8</x:f>
        <x:v>0</x:v>
      </x:c>
      <x:c r="IO12" s="128" t="n">
        <x:f>'PROJECT TA Y TB KARINA'!$Q66/8</x:f>
        <x:v>0</x:v>
      </x:c>
      <x:c r="IP12" s="128" t="n">
        <x:f>'PROJECT TA Y TB KARINA'!$Q66/8</x:f>
        <x:v>0</x:v>
      </x:c>
      <x:c r="IQ12" s="128" t="n">
        <x:f>'PROJECT TA Y TB KARINA'!$Q66/8</x:f>
        <x:v>0</x:v>
      </x:c>
      <x:c r="IR12" s="128" t="n">
        <x:f>'PROJECT TA Y TB KARINA'!$Q66/8</x:f>
        <x:v>0</x:v>
      </x:c>
      <x:c r="IS12" s="128" t="n">
        <x:f>'PROJECT TA Y TB KARINA'!$Q66/8</x:f>
        <x:v>0</x:v>
      </x:c>
      <x:c r="IT12" s="128" t="n">
        <x:f>'PROJECT TA Y TB KARINA'!$Q66/8</x:f>
        <x:v>0</x:v>
      </x:c>
      <x:c r="IU12" s="128" t="n">
        <x:f>'PROJECT TA Y TB KARINA'!$Q66/8</x:f>
        <x:v>0</x:v>
      </x:c>
      <x:c r="IV12" s="128" t="n">
        <x:f>'PROJECT TA Y TB KARINA'!$R66/8</x:f>
        <x:v>0</x:v>
      </x:c>
      <x:c r="IW12" s="128" t="n">
        <x:f>'PROJECT TA Y TB KARINA'!$R66/8</x:f>
        <x:v>0</x:v>
      </x:c>
      <x:c r="IX12" s="128" t="n">
        <x:f>'PROJECT TA Y TB KARINA'!$R66/8</x:f>
        <x:v>0</x:v>
      </x:c>
      <x:c r="IY12" s="128" t="n">
        <x:f>'PROJECT TA Y TB KARINA'!$R66/8</x:f>
        <x:v>0</x:v>
      </x:c>
      <x:c r="IZ12" s="128" t="n">
        <x:f>'PROJECT TA Y TB KARINA'!$R66/8</x:f>
        <x:v>0</x:v>
      </x:c>
      <x:c r="JA12" s="128" t="n">
        <x:f>'PROJECT TA Y TB KARINA'!$R66/8</x:f>
        <x:v>0</x:v>
      </x:c>
      <x:c r="JB12" s="128" t="n">
        <x:f>'PROJECT TA Y TB KARINA'!$R66/8</x:f>
        <x:v>0</x:v>
      </x:c>
      <x:c r="JC12" s="128" t="n">
        <x:f>'PROJECT TA Y TB KARINA'!$R66/8</x:f>
        <x:v>0</x:v>
      </x:c>
      <x:c r="JD12" s="128" t="n">
        <x:f>'PROJECT TA Y TB KARINA'!$S66/8</x:f>
        <x:v>0</x:v>
      </x:c>
      <x:c r="JE12" s="128" t="n">
        <x:f>'PROJECT TA Y TB KARINA'!$S66/8</x:f>
        <x:v>0</x:v>
      </x:c>
      <x:c r="JF12" s="128" t="n">
        <x:f>'PROJECT TA Y TB KARINA'!$S66/8</x:f>
        <x:v>0</x:v>
      </x:c>
      <x:c r="JG12" s="128" t="n">
        <x:f>'PROJECT TA Y TB KARINA'!$S66/8</x:f>
        <x:v>0</x:v>
      </x:c>
      <x:c r="JH12" s="128" t="n">
        <x:f>'PROJECT TA Y TB KARINA'!$S66/8</x:f>
        <x:v>0</x:v>
      </x:c>
      <x:c r="JI12" s="128" t="n">
        <x:f>'PROJECT TA Y TB KARINA'!$S66/8</x:f>
        <x:v>0</x:v>
      </x:c>
      <x:c r="JJ12" s="128" t="n">
        <x:f>'PROJECT TA Y TB KARINA'!$S66/8</x:f>
        <x:v>0</x:v>
      </x:c>
      <x:c r="JK12" s="128" t="n">
        <x:f>'PROJECT TA Y TB KARINA'!$S66/8</x:f>
        <x:v>0</x:v>
      </x:c>
      <x:c r="JL12" s="128" t="n">
        <x:f>'PROJECT TA Y TB KARINA'!$T66/8</x:f>
        <x:v>0</x:v>
      </x:c>
      <x:c r="JM12" s="128" t="n">
        <x:f>'PROJECT TA Y TB KARINA'!$T66/8</x:f>
        <x:v>0</x:v>
      </x:c>
      <x:c r="JN12" s="128" t="n">
        <x:f>'PROJECT TA Y TB KARINA'!$T66/8</x:f>
        <x:v>0</x:v>
      </x:c>
      <x:c r="JO12" s="128" t="n">
        <x:f>'PROJECT TA Y TB KARINA'!$T66/8</x:f>
        <x:v>0</x:v>
      </x:c>
      <x:c r="JP12" s="128" t="n">
        <x:f>'PROJECT TA Y TB KARINA'!$T66/8</x:f>
        <x:v>0</x:v>
      </x:c>
      <x:c r="JQ12" s="128" t="n">
        <x:f>'PROJECT TA Y TB KARINA'!$T66/8</x:f>
        <x:v>0</x:v>
      </x:c>
      <x:c r="JR12" s="128" t="n">
        <x:f>'PROJECT TA Y TB KARINA'!$T66/8</x:f>
        <x:v>0</x:v>
      </x:c>
      <x:c r="JS12" s="128" t="n">
        <x:f>'PROJECT TA Y TB KARINA'!$T66/8</x:f>
        <x:v>0</x:v>
      </x:c>
      <x:c r="JT12" s="128" t="e">
        <x:f>'PROJECT TA Y TB KARINA'!#REF!/8</x:f>
        <x:v>#NAME?</x:v>
      </x:c>
      <x:c r="JU12" s="128" t="e">
        <x:f>'PROJECT TA Y TB KARINA'!#REF!/8</x:f>
        <x:v>#NAME?</x:v>
      </x:c>
      <x:c r="JV12" s="128" t="e">
        <x:f>'PROJECT TA Y TB KARINA'!#REF!/8</x:f>
        <x:v>#NAME?</x:v>
      </x:c>
      <x:c r="JW12" s="128" t="e">
        <x:f>'PROJECT TA Y TB KARINA'!#REF!/8</x:f>
        <x:v>#NAME?</x:v>
      </x:c>
      <x:c r="JX12" s="128" t="e">
        <x:f>'PROJECT TA Y TB KARINA'!#REF!/8</x:f>
        <x:v>#NAME?</x:v>
      </x:c>
      <x:c r="JY12" s="128" t="e">
        <x:f>'PROJECT TA Y TB KARINA'!#REF!/8</x:f>
        <x:v>#NAME?</x:v>
      </x:c>
      <x:c r="JZ12" s="128" t="e">
        <x:f>'PROJECT TA Y TB KARINA'!#REF!/8</x:f>
        <x:v>#NAME?</x:v>
      </x:c>
      <x:c r="KA12" s="128" t="e">
        <x:f>'PROJECT TA Y TB KARINA'!#REF!/8</x:f>
        <x:v>#NAME?</x:v>
      </x:c>
    </x:row>
    <x:row r="13" ht="21">
      <x:c r="A13" s="130" t="s">
        <x:v>498</x:v>
      </x:c>
      <x:c r="B13" s="128" t="e">
        <x:f>'PROJECT TA Y TB KARINA'!$C$9/8</x:f>
        <x:v>#REF!</x:v>
      </x:c>
      <x:c r="C13" s="128" t="e">
        <x:f>'PROJECT TA Y TB KARINA'!$C$9/8</x:f>
        <x:v>#REF!</x:v>
      </x:c>
      <x:c r="D13" s="128" t="e">
        <x:f>'PROJECT TA Y TB KARINA'!$C$9/8</x:f>
        <x:v>#REF!</x:v>
      </x:c>
      <x:c r="E13" s="128" t="e">
        <x:f>'PROJECT TA Y TB KARINA'!$C$9/8</x:f>
        <x:v>#REF!</x:v>
      </x:c>
      <x:c r="F13" s="128" t="e">
        <x:f>'PROJECT TA Y TB KARINA'!$C$9/8</x:f>
        <x:v>#REF!</x:v>
      </x:c>
      <x:c r="G13" s="128" t="e">
        <x:f>'PROJECT TA Y TB KARINA'!$C$9/8</x:f>
        <x:v>#REF!</x:v>
      </x:c>
      <x:c r="H13" s="128" t="e">
        <x:f>'PROJECT TA Y TB KARINA'!$C$9/8</x:f>
        <x:v>#REF!</x:v>
      </x:c>
      <x:c r="I13" s="128" t="e">
        <x:f>'PROJECT TA Y TB KARINA'!$E9/8</x:f>
        <x:v>#REF!</x:v>
      </x:c>
      <x:c r="J13" s="128" t="e">
        <x:f>'PROJECT TA Y TB KARINA'!$E9/8</x:f>
        <x:v>#REF!</x:v>
      </x:c>
      <x:c r="K13" s="128" t="e">
        <x:f>'PROJECT TA Y TB KARINA'!$E9/8</x:f>
        <x:v>#REF!</x:v>
      </x:c>
      <x:c r="L13" s="128" t="e">
        <x:f>'PROJECT TA Y TB KARINA'!$E9/8</x:f>
        <x:v>#REF!</x:v>
      </x:c>
      <x:c r="M13" s="128" t="e">
        <x:f>'PROJECT TA Y TB KARINA'!$E9/8</x:f>
        <x:v>#REF!</x:v>
      </x:c>
      <x:c r="N13" s="128" t="e">
        <x:f>'PROJECT TA Y TB KARINA'!$E9/8</x:f>
        <x:v>#REF!</x:v>
      </x:c>
      <x:c r="O13" s="128" t="e">
        <x:f>'PROJECT TA Y TB KARINA'!$E9/8</x:f>
        <x:v>#REF!</x:v>
      </x:c>
      <x:c r="P13" s="128" t="e">
        <x:f>'PROJECT TA Y TB KARINA'!$E9/8</x:f>
        <x:v>#REF!</x:v>
      </x:c>
      <x:c r="Q13" s="128" t="e">
        <x:f>'PROJECT TA Y TB KARINA'!$F9/8</x:f>
        <x:v>#REF!</x:v>
      </x:c>
      <x:c r="R13" s="128" t="e">
        <x:f>'PROJECT TA Y TB KARINA'!$F9/8</x:f>
        <x:v>#REF!</x:v>
      </x:c>
      <x:c r="S13" s="128" t="e">
        <x:f>'PROJECT TA Y TB KARINA'!$F9/8</x:f>
        <x:v>#REF!</x:v>
      </x:c>
      <x:c r="T13" s="128" t="e">
        <x:f>'PROJECT TA Y TB KARINA'!$F9/8</x:f>
        <x:v>#REF!</x:v>
      </x:c>
      <x:c r="U13" s="128" t="e">
        <x:f>'PROJECT TA Y TB KARINA'!$F9/8</x:f>
        <x:v>#REF!</x:v>
      </x:c>
      <x:c r="V13" s="128" t="e">
        <x:f>'PROJECT TA Y TB KARINA'!$F9/8</x:f>
        <x:v>#REF!</x:v>
      </x:c>
      <x:c r="W13" s="128" t="e">
        <x:f>'PROJECT TA Y TB KARINA'!$F9/8</x:f>
        <x:v>#REF!</x:v>
      </x:c>
      <x:c r="X13" s="128" t="e">
        <x:f>'PROJECT TA Y TB KARINA'!$F9/8</x:f>
        <x:v>#REF!</x:v>
      </x:c>
      <x:c r="Y13" s="128" t="e">
        <x:f>'PROJECT TA Y TB KARINA'!$G9/8</x:f>
        <x:v>#REF!</x:v>
      </x:c>
      <x:c r="Z13" s="128" t="e">
        <x:f>'PROJECT TA Y TB KARINA'!$G9/8</x:f>
        <x:v>#REF!</x:v>
      </x:c>
      <x:c r="AA13" s="128" t="e">
        <x:f>'PROJECT TA Y TB KARINA'!$G9/8</x:f>
        <x:v>#REF!</x:v>
      </x:c>
      <x:c r="AB13" s="128" t="e">
        <x:f>'PROJECT TA Y TB KARINA'!$G9/8</x:f>
        <x:v>#REF!</x:v>
      </x:c>
      <x:c r="AC13" s="128" t="e">
        <x:f>'PROJECT TA Y TB KARINA'!$G9/8</x:f>
        <x:v>#REF!</x:v>
      </x:c>
      <x:c r="AD13" s="128" t="e">
        <x:f>'PROJECT TA Y TB KARINA'!$G9/8</x:f>
        <x:v>#REF!</x:v>
      </x:c>
      <x:c r="AE13" s="128" t="e">
        <x:f>'PROJECT TA Y TB KARINA'!$G9/8</x:f>
        <x:v>#REF!</x:v>
      </x:c>
      <x:c r="AF13" s="128" t="e">
        <x:f>'PROJECT TA Y TB KARINA'!$G9/8</x:f>
        <x:v>#REF!</x:v>
      </x:c>
      <x:c r="AG13" s="128" t="e">
        <x:f>'PROJECT TA Y TB KARINA'!$H9/8</x:f>
        <x:v>#REF!</x:v>
      </x:c>
      <x:c r="AH13" s="128" t="e">
        <x:f>'PROJECT TA Y TB KARINA'!$H9/8</x:f>
        <x:v>#REF!</x:v>
      </x:c>
      <x:c r="AI13" s="128" t="e">
        <x:f>'PROJECT TA Y TB KARINA'!$H9/8</x:f>
        <x:v>#REF!</x:v>
      </x:c>
      <x:c r="AJ13" s="128" t="e">
        <x:f>'PROJECT TA Y TB KARINA'!$H9/8</x:f>
        <x:v>#REF!</x:v>
      </x:c>
      <x:c r="AK13" s="128" t="e">
        <x:f>'PROJECT TA Y TB KARINA'!$H9/8</x:f>
        <x:v>#REF!</x:v>
      </x:c>
      <x:c r="AL13" s="128" t="e">
        <x:f>'PROJECT TA Y TB KARINA'!$H9/8</x:f>
        <x:v>#REF!</x:v>
      </x:c>
      <x:c r="AM13" s="128" t="e">
        <x:f>'PROJECT TA Y TB KARINA'!$H9/8</x:f>
        <x:v>#REF!</x:v>
      </x:c>
      <x:c r="AN13" s="128" t="e">
        <x:f>'PROJECT TA Y TB KARINA'!$H9/8</x:f>
        <x:v>#REF!</x:v>
      </x:c>
      <x:c r="AO13" s="128" t="e">
        <x:f>'PROJECT TA Y TB KARINA'!$I9/8</x:f>
        <x:v>#REF!</x:v>
      </x:c>
      <x:c r="AP13" s="128" t="e">
        <x:f>'PROJECT TA Y TB KARINA'!$I9/8</x:f>
        <x:v>#REF!</x:v>
      </x:c>
      <x:c r="AQ13" s="128" t="e">
        <x:f>'PROJECT TA Y TB KARINA'!$I9/8</x:f>
        <x:v>#REF!</x:v>
      </x:c>
      <x:c r="AR13" s="128" t="e">
        <x:f>'PROJECT TA Y TB KARINA'!$I9/8</x:f>
        <x:v>#REF!</x:v>
      </x:c>
      <x:c r="AS13" s="128" t="e">
        <x:f>'PROJECT TA Y TB KARINA'!$I9/8</x:f>
        <x:v>#REF!</x:v>
      </x:c>
      <x:c r="AT13" s="128" t="e">
        <x:f>'PROJECT TA Y TB KARINA'!$I9/8</x:f>
        <x:v>#REF!</x:v>
      </x:c>
      <x:c r="AU13" s="128" t="e">
        <x:f>'PROJECT TA Y TB KARINA'!$I9/8</x:f>
        <x:v>#REF!</x:v>
      </x:c>
      <x:c r="AV13" s="128" t="e">
        <x:f>'PROJECT TA Y TB KARINA'!$I9/8</x:f>
        <x:v>#REF!</x:v>
      </x:c>
      <x:c r="AW13" s="128" t="e">
        <x:f>'PROJECT TA Y TB KARINA'!$J9/8</x:f>
        <x:v>#REF!</x:v>
      </x:c>
      <x:c r="AX13" s="128" t="e">
        <x:f>'PROJECT TA Y TB KARINA'!$J9/8</x:f>
        <x:v>#REF!</x:v>
      </x:c>
      <x:c r="AY13" s="128" t="e">
        <x:f>'PROJECT TA Y TB KARINA'!$J9/8</x:f>
        <x:v>#REF!</x:v>
      </x:c>
      <x:c r="AZ13" s="128" t="e">
        <x:f>'PROJECT TA Y TB KARINA'!$J9/8</x:f>
        <x:v>#REF!</x:v>
      </x:c>
      <x:c r="BA13" s="128" t="e">
        <x:f>'PROJECT TA Y TB KARINA'!$J9/8</x:f>
        <x:v>#REF!</x:v>
      </x:c>
      <x:c r="BB13" s="128" t="e">
        <x:f>'PROJECT TA Y TB KARINA'!$J9/8</x:f>
        <x:v>#REF!</x:v>
      </x:c>
      <x:c r="BC13" s="128" t="e">
        <x:f>'PROJECT TA Y TB KARINA'!$J9/8</x:f>
        <x:v>#REF!</x:v>
      </x:c>
      <x:c r="BD13" s="128" t="e">
        <x:f>'PROJECT TA Y TB KARINA'!$J9/8</x:f>
        <x:v>#REF!</x:v>
      </x:c>
      <x:c r="BE13" s="128" t="e">
        <x:f>'PROJECT TA Y TB KARINA'!$K9/8</x:f>
        <x:v>#REF!</x:v>
      </x:c>
      <x:c r="BF13" s="128" t="e">
        <x:f>'PROJECT TA Y TB KARINA'!$K9/8</x:f>
        <x:v>#REF!</x:v>
      </x:c>
      <x:c r="BG13" s="128" t="e">
        <x:f>'PROJECT TA Y TB KARINA'!$K9/8</x:f>
        <x:v>#REF!</x:v>
      </x:c>
      <x:c r="BH13" s="128" t="e">
        <x:f>'PROJECT TA Y TB KARINA'!$K9/8</x:f>
        <x:v>#REF!</x:v>
      </x:c>
      <x:c r="BI13" s="128" t="e">
        <x:f>'PROJECT TA Y TB KARINA'!$K9/8</x:f>
        <x:v>#REF!</x:v>
      </x:c>
      <x:c r="BJ13" s="128" t="e">
        <x:f>'PROJECT TA Y TB KARINA'!$K9/8</x:f>
        <x:v>#REF!</x:v>
      </x:c>
      <x:c r="BK13" s="128" t="e">
        <x:f>'PROJECT TA Y TB KARINA'!$K9/8</x:f>
        <x:v>#REF!</x:v>
      </x:c>
      <x:c r="BL13" s="128" t="e">
        <x:f>'PROJECT TA Y TB KARINA'!$K9/8</x:f>
        <x:v>#REF!</x:v>
      </x:c>
      <x:c r="BM13" s="128" t="e">
        <x:f>'PROJECT TA Y TB KARINA'!$L9/8</x:f>
        <x:v>#REF!</x:v>
      </x:c>
      <x:c r="BN13" s="128" t="e">
        <x:f>'PROJECT TA Y TB KARINA'!$L9/8</x:f>
        <x:v>#REF!</x:v>
      </x:c>
      <x:c r="BO13" s="128" t="e">
        <x:f>'PROJECT TA Y TB KARINA'!$L9/8</x:f>
        <x:v>#REF!</x:v>
      </x:c>
      <x:c r="BP13" s="128" t="e">
        <x:f>'PROJECT TA Y TB KARINA'!$L9/8</x:f>
        <x:v>#REF!</x:v>
      </x:c>
      <x:c r="BQ13" s="128" t="e">
        <x:f>'PROJECT TA Y TB KARINA'!$L9/8</x:f>
        <x:v>#REF!</x:v>
      </x:c>
      <x:c r="BR13" s="128" t="e">
        <x:f>'PROJECT TA Y TB KARINA'!$L9/8</x:f>
        <x:v>#REF!</x:v>
      </x:c>
      <x:c r="BS13" s="128" t="e">
        <x:f>'PROJECT TA Y TB KARINA'!$L9/8</x:f>
        <x:v>#REF!</x:v>
      </x:c>
      <x:c r="BT13" s="128" t="e">
        <x:f>'PROJECT TA Y TB KARINA'!$L9/8</x:f>
        <x:v>#REF!</x:v>
      </x:c>
      <x:c r="BU13" s="128" t="e">
        <x:f>'PROJECT TA Y TB KARINA'!$M9/8</x:f>
        <x:v>#REF!</x:v>
      </x:c>
      <x:c r="BV13" s="128" t="e">
        <x:f>'PROJECT TA Y TB KARINA'!$M9/8</x:f>
        <x:v>#REF!</x:v>
      </x:c>
      <x:c r="BW13" s="128" t="e">
        <x:f>'PROJECT TA Y TB KARINA'!$M9/8</x:f>
        <x:v>#REF!</x:v>
      </x:c>
      <x:c r="BX13" s="128" t="e">
        <x:f>'PROJECT TA Y TB KARINA'!$M9/8</x:f>
        <x:v>#REF!</x:v>
      </x:c>
      <x:c r="BY13" s="128" t="e">
        <x:f>'PROJECT TA Y TB KARINA'!$M9/8</x:f>
        <x:v>#REF!</x:v>
      </x:c>
      <x:c r="BZ13" s="128" t="e">
        <x:f>'PROJECT TA Y TB KARINA'!$M9/8</x:f>
        <x:v>#REF!</x:v>
      </x:c>
      <x:c r="CA13" s="128" t="e">
        <x:f>'PROJECT TA Y TB KARINA'!$M9/8</x:f>
        <x:v>#REF!</x:v>
      </x:c>
      <x:c r="CB13" s="128" t="e">
        <x:f>'PROJECT TA Y TB KARINA'!$M9/8</x:f>
        <x:v>#REF!</x:v>
      </x:c>
      <x:c r="CC13" s="128" t="e">
        <x:f>'PROJECT TA Y TB KARINA'!$N9/8</x:f>
        <x:v>#REF!</x:v>
      </x:c>
      <x:c r="CD13" s="128" t="e">
        <x:f>'PROJECT TA Y TB KARINA'!$N9/8</x:f>
        <x:v>#REF!</x:v>
      </x:c>
      <x:c r="CE13" s="128" t="e">
        <x:f>'PROJECT TA Y TB KARINA'!$N9/8</x:f>
        <x:v>#REF!</x:v>
      </x:c>
      <x:c r="CF13" s="128" t="e">
        <x:f>'PROJECT TA Y TB KARINA'!$N9/8</x:f>
        <x:v>#REF!</x:v>
      </x:c>
      <x:c r="CG13" s="128" t="e">
        <x:f>'PROJECT TA Y TB KARINA'!$N9/8</x:f>
        <x:v>#REF!</x:v>
      </x:c>
      <x:c r="CH13" s="128" t="e">
        <x:f>'PROJECT TA Y TB KARINA'!$N9/8</x:f>
        <x:v>#REF!</x:v>
      </x:c>
      <x:c r="CI13" s="128" t="e">
        <x:f>'PROJECT TA Y TB KARINA'!$N9/8</x:f>
        <x:v>#REF!</x:v>
      </x:c>
      <x:c r="CJ13" s="128" t="e">
        <x:f>'PROJECT TA Y TB KARINA'!$N9/8</x:f>
        <x:v>#REF!</x:v>
      </x:c>
      <x:c r="CK13" s="128" t="e">
        <x:f>'PROJECT TA Y TB KARINA'!$O9/8</x:f>
        <x:v>#REF!</x:v>
      </x:c>
      <x:c r="CL13" s="128" t="e">
        <x:f>'PROJECT TA Y TB KARINA'!$O9/8</x:f>
        <x:v>#REF!</x:v>
      </x:c>
      <x:c r="CM13" s="128" t="e">
        <x:f>'PROJECT TA Y TB KARINA'!$O9/8</x:f>
        <x:v>#REF!</x:v>
      </x:c>
      <x:c r="CN13" s="128" t="e">
        <x:f>'PROJECT TA Y TB KARINA'!$O9/8</x:f>
        <x:v>#REF!</x:v>
      </x:c>
      <x:c r="CO13" s="128" t="e">
        <x:f>'PROJECT TA Y TB KARINA'!$O9/8</x:f>
        <x:v>#REF!</x:v>
      </x:c>
      <x:c r="CP13" s="128" t="e">
        <x:f>'PROJECT TA Y TB KARINA'!$O9/8</x:f>
        <x:v>#REF!</x:v>
      </x:c>
      <x:c r="CQ13" s="128" t="e">
        <x:f>'PROJECT TA Y TB KARINA'!$O9/8</x:f>
        <x:v>#REF!</x:v>
      </x:c>
      <x:c r="CR13" s="128" t="e">
        <x:f>'PROJECT TA Y TB KARINA'!$O9/8</x:f>
        <x:v>#REF!</x:v>
      </x:c>
      <x:c r="CS13" s="128" t="e">
        <x:f>'PROJECT TA Y TB KARINA'!$P9/8</x:f>
        <x:v>#REF!</x:v>
      </x:c>
      <x:c r="CT13" s="128" t="e">
        <x:f>'PROJECT TA Y TB KARINA'!$P9/8</x:f>
        <x:v>#REF!</x:v>
      </x:c>
      <x:c r="CU13" s="128" t="e">
        <x:f>'PROJECT TA Y TB KARINA'!$P9/8</x:f>
        <x:v>#REF!</x:v>
      </x:c>
      <x:c r="CV13" s="128" t="e">
        <x:f>'PROJECT TA Y TB KARINA'!$P9/8</x:f>
        <x:v>#REF!</x:v>
      </x:c>
      <x:c r="CW13" s="128" t="e">
        <x:f>'PROJECT TA Y TB KARINA'!$P9/8</x:f>
        <x:v>#REF!</x:v>
      </x:c>
      <x:c r="CX13" s="128" t="e">
        <x:f>'PROJECT TA Y TB KARINA'!$P9/8</x:f>
        <x:v>#REF!</x:v>
      </x:c>
      <x:c r="CY13" s="128" t="e">
        <x:f>'PROJECT TA Y TB KARINA'!$P9/8</x:f>
        <x:v>#REF!</x:v>
      </x:c>
      <x:c r="CZ13" s="128" t="e">
        <x:f>'PROJECT TA Y TB KARINA'!$P9/8</x:f>
        <x:v>#REF!</x:v>
      </x:c>
      <x:c r="DA13" s="128" t="e">
        <x:f>'PROJECT TA Y TB KARINA'!$Q9/8</x:f>
        <x:v>#REF!</x:v>
      </x:c>
      <x:c r="DB13" s="128" t="e">
        <x:f>'PROJECT TA Y TB KARINA'!$Q9/8</x:f>
        <x:v>#REF!</x:v>
      </x:c>
      <x:c r="DC13" s="128" t="e">
        <x:f>'PROJECT TA Y TB KARINA'!$Q9/8</x:f>
        <x:v>#REF!</x:v>
      </x:c>
      <x:c r="DD13" s="128" t="e">
        <x:f>'PROJECT TA Y TB KARINA'!$Q9/8</x:f>
        <x:v>#REF!</x:v>
      </x:c>
      <x:c r="DE13" s="128" t="e">
        <x:f>'PROJECT TA Y TB KARINA'!$Q9/8</x:f>
        <x:v>#REF!</x:v>
      </x:c>
      <x:c r="DF13" s="128" t="e">
        <x:f>'PROJECT TA Y TB KARINA'!$Q9/8</x:f>
        <x:v>#REF!</x:v>
      </x:c>
      <x:c r="DG13" s="128" t="e">
        <x:f>'PROJECT TA Y TB KARINA'!$Q9/8</x:f>
        <x:v>#REF!</x:v>
      </x:c>
      <x:c r="DH13" s="128" t="e">
        <x:f>'PROJECT TA Y TB KARINA'!$Q9/8</x:f>
        <x:v>#REF!</x:v>
      </x:c>
      <x:c r="DI13" s="128" t="e">
        <x:f>'PROJECT TA Y TB KARINA'!$R9/8</x:f>
        <x:v>#REF!</x:v>
      </x:c>
      <x:c r="DJ13" s="128" t="e">
        <x:f>'PROJECT TA Y TB KARINA'!$R9/8</x:f>
        <x:v>#REF!</x:v>
      </x:c>
      <x:c r="DK13" s="128" t="e">
        <x:f>'PROJECT TA Y TB KARINA'!$R9/8</x:f>
        <x:v>#REF!</x:v>
      </x:c>
      <x:c r="DL13" s="128" t="e">
        <x:f>'PROJECT TA Y TB KARINA'!$R9/8</x:f>
        <x:v>#REF!</x:v>
      </x:c>
      <x:c r="DM13" s="128" t="e">
        <x:f>'PROJECT TA Y TB KARINA'!$R9/8</x:f>
        <x:v>#REF!</x:v>
      </x:c>
      <x:c r="DN13" s="128" t="e">
        <x:f>'PROJECT TA Y TB KARINA'!$R9/8</x:f>
        <x:v>#REF!</x:v>
      </x:c>
      <x:c r="DO13" s="128" t="e">
        <x:f>'PROJECT TA Y TB KARINA'!$R9/8</x:f>
        <x:v>#REF!</x:v>
      </x:c>
      <x:c r="DP13" s="128" t="e">
        <x:f>'PROJECT TA Y TB KARINA'!$R9/8</x:f>
        <x:v>#REF!</x:v>
      </x:c>
      <x:c r="DQ13" s="128" t="e">
        <x:f>'PROJECT TA Y TB KARINA'!$S9/8</x:f>
        <x:v>#REF!</x:v>
      </x:c>
      <x:c r="DR13" s="128" t="e">
        <x:f>'PROJECT TA Y TB KARINA'!$S9/8</x:f>
        <x:v>#REF!</x:v>
      </x:c>
      <x:c r="DS13" s="128" t="e">
        <x:f>'PROJECT TA Y TB KARINA'!$S9/8</x:f>
        <x:v>#REF!</x:v>
      </x:c>
      <x:c r="DT13" s="128" t="e">
        <x:f>'PROJECT TA Y TB KARINA'!$S9/8</x:f>
        <x:v>#REF!</x:v>
      </x:c>
      <x:c r="DU13" s="128" t="e">
        <x:f>'PROJECT TA Y TB KARINA'!$S9/8</x:f>
        <x:v>#REF!</x:v>
      </x:c>
      <x:c r="DV13" s="128" t="e">
        <x:f>'PROJECT TA Y TB KARINA'!$S9/8</x:f>
        <x:v>#REF!</x:v>
      </x:c>
      <x:c r="DW13" s="128" t="e">
        <x:f>'PROJECT TA Y TB KARINA'!$S9/8</x:f>
        <x:v>#REF!</x:v>
      </x:c>
      <x:c r="DX13" s="128" t="e">
        <x:f>'PROJECT TA Y TB KARINA'!$S9/8</x:f>
        <x:v>#REF!</x:v>
      </x:c>
      <x:c r="DY13" s="128" t="e">
        <x:f>'PROJECT TA Y TB KARINA'!$T9/8</x:f>
        <x:v>#REF!</x:v>
      </x:c>
      <x:c r="DZ13" s="128" t="e">
        <x:f>'PROJECT TA Y TB KARINA'!$T9/8</x:f>
        <x:v>#REF!</x:v>
      </x:c>
      <x:c r="EA13" s="128" t="e">
        <x:f>'PROJECT TA Y TB KARINA'!$T9/8</x:f>
        <x:v>#REF!</x:v>
      </x:c>
      <x:c r="EB13" s="128" t="e">
        <x:f>'PROJECT TA Y TB KARINA'!$T9/8</x:f>
        <x:v>#REF!</x:v>
      </x:c>
      <x:c r="EC13" s="128" t="e">
        <x:f>'PROJECT TA Y TB KARINA'!$T9/8</x:f>
        <x:v>#REF!</x:v>
      </x:c>
      <x:c r="ED13" s="128" t="e">
        <x:f>'PROJECT TA Y TB KARINA'!$T9/8</x:f>
        <x:v>#REF!</x:v>
      </x:c>
      <x:c r="EE13" s="128" t="e">
        <x:f>'PROJECT TA Y TB KARINA'!$T9/8</x:f>
        <x:v>#REF!</x:v>
      </x:c>
      <x:c r="EF13" s="128" t="e">
        <x:f>'PROJECT TA Y TB KARINA'!$T9/8</x:f>
        <x:v>#REF!</x:v>
      </x:c>
      <x:c r="EG13" s="128" t="e">
        <x:f>'PROJECT TA Y TB KARINA'!#REF!/8</x:f>
        <x:v>#NAME?</x:v>
      </x:c>
      <x:c r="EH13" s="128" t="e">
        <x:f>'PROJECT TA Y TB KARINA'!#REF!/8</x:f>
        <x:v>#NAME?</x:v>
      </x:c>
      <x:c r="EI13" s="128" t="e">
        <x:f>'PROJECT TA Y TB KARINA'!#REF!/8</x:f>
        <x:v>#NAME?</x:v>
      </x:c>
      <x:c r="EJ13" s="128" t="e">
        <x:f>'PROJECT TA Y TB KARINA'!#REF!/8</x:f>
        <x:v>#NAME?</x:v>
      </x:c>
      <x:c r="EK13" s="128" t="e">
        <x:f>'PROJECT TA Y TB KARINA'!#REF!/8</x:f>
        <x:v>#NAME?</x:v>
      </x:c>
      <x:c r="EL13" s="128" t="e">
        <x:f>'PROJECT TA Y TB KARINA'!#REF!/8</x:f>
        <x:v>#NAME?</x:v>
      </x:c>
      <x:c r="EM13" s="128" t="e">
        <x:f>'PROJECT TA Y TB KARINA'!#REF!/8</x:f>
        <x:v>#NAME?</x:v>
      </x:c>
      <x:c r="EN13" s="128" t="e">
        <x:f>'PROJECT TA Y TB KARINA'!#REF!/8</x:f>
        <x:v>#NAME?</x:v>
      </x:c>
      <x:c r="EO13" s="128" t="n">
        <x:f>'PROJECT TA Y TB KARINA'!$C67/8</x:f>
        <x:v>0</x:v>
      </x:c>
      <x:c r="EP13" s="128" t="n">
        <x:f>'PROJECT TA Y TB KARINA'!$C67/8</x:f>
        <x:v>0</x:v>
      </x:c>
      <x:c r="EQ13" s="128" t="n">
        <x:f>'PROJECT TA Y TB KARINA'!$C67/8</x:f>
        <x:v>0</x:v>
      </x:c>
      <x:c r="ER13" s="128" t="n">
        <x:f>'PROJECT TA Y TB KARINA'!$C67/8</x:f>
        <x:v>0</x:v>
      </x:c>
      <x:c r="ES13" s="128" t="n">
        <x:f>'PROJECT TA Y TB KARINA'!$C67/8</x:f>
        <x:v>0</x:v>
      </x:c>
      <x:c r="ET13" s="128" t="n">
        <x:f>'PROJECT TA Y TB KARINA'!$C67/8</x:f>
        <x:v>0</x:v>
      </x:c>
      <x:c r="EU13" s="128" t="n">
        <x:f>'PROJECT TA Y TB KARINA'!$C67/8</x:f>
        <x:v>0</x:v>
      </x:c>
      <x:c r="EV13" s="128" t="n">
        <x:f>'PROJECT TA Y TB KARINA'!$E67/8</x:f>
        <x:v>0</x:v>
      </x:c>
      <x:c r="EW13" s="128" t="n">
        <x:f>'PROJECT TA Y TB KARINA'!$E67/8</x:f>
        <x:v>0</x:v>
      </x:c>
      <x:c r="EX13" s="128" t="n">
        <x:f>'PROJECT TA Y TB KARINA'!$E67/8</x:f>
        <x:v>0</x:v>
      </x:c>
      <x:c r="EY13" s="128" t="n">
        <x:f>'PROJECT TA Y TB KARINA'!$E67/8</x:f>
        <x:v>0</x:v>
      </x:c>
      <x:c r="EZ13" s="128" t="n">
        <x:f>'PROJECT TA Y TB KARINA'!$E67/8</x:f>
        <x:v>0</x:v>
      </x:c>
      <x:c r="FA13" s="128" t="n">
        <x:f>'PROJECT TA Y TB KARINA'!$E67/8</x:f>
        <x:v>0</x:v>
      </x:c>
      <x:c r="FB13" s="128" t="n">
        <x:f>'PROJECT TA Y TB KARINA'!$E67/8</x:f>
        <x:v>0</x:v>
      </x:c>
      <x:c r="FC13" s="128" t="n">
        <x:f>'PROJECT TA Y TB KARINA'!$E67/8</x:f>
        <x:v>0</x:v>
      </x:c>
      <x:c r="FD13" s="128" t="n">
        <x:f>'PROJECT TA Y TB KARINA'!$F67/8</x:f>
        <x:v>0</x:v>
      </x:c>
      <x:c r="FE13" s="128" t="n">
        <x:f>'PROJECT TA Y TB KARINA'!$F67/8</x:f>
        <x:v>0</x:v>
      </x:c>
      <x:c r="FF13" s="128" t="n">
        <x:f>'PROJECT TA Y TB KARINA'!$F67/8</x:f>
        <x:v>0</x:v>
      </x:c>
      <x:c r="FG13" s="128" t="n">
        <x:f>'PROJECT TA Y TB KARINA'!$F67/8</x:f>
        <x:v>0</x:v>
      </x:c>
      <x:c r="FH13" s="128" t="n">
        <x:f>'PROJECT TA Y TB KARINA'!$F67/8</x:f>
        <x:v>0</x:v>
      </x:c>
      <x:c r="FI13" s="128" t="n">
        <x:f>'PROJECT TA Y TB KARINA'!$F67/8</x:f>
        <x:v>0</x:v>
      </x:c>
      <x:c r="FJ13" s="128" t="n">
        <x:f>'PROJECT TA Y TB KARINA'!$F67/8</x:f>
        <x:v>0</x:v>
      </x:c>
      <x:c r="FK13" s="128" t="n">
        <x:f>'PROJECT TA Y TB KARINA'!$F67/8</x:f>
        <x:v>0</x:v>
      </x:c>
      <x:c r="FL13" s="128" t="n">
        <x:f>'PROJECT TA Y TB KARINA'!$G67/8</x:f>
        <x:v>0</x:v>
      </x:c>
      <x:c r="FM13" s="128" t="n">
        <x:f>'PROJECT TA Y TB KARINA'!$G67/8</x:f>
        <x:v>0</x:v>
      </x:c>
      <x:c r="FN13" s="128" t="n">
        <x:f>'PROJECT TA Y TB KARINA'!$G67/8</x:f>
        <x:v>0</x:v>
      </x:c>
      <x:c r="FO13" s="128" t="n">
        <x:f>'PROJECT TA Y TB KARINA'!$G67/8</x:f>
        <x:v>0</x:v>
      </x:c>
      <x:c r="FP13" s="128" t="n">
        <x:f>'PROJECT TA Y TB KARINA'!$G67/8</x:f>
        <x:v>0</x:v>
      </x:c>
      <x:c r="FQ13" s="128" t="n">
        <x:f>'PROJECT TA Y TB KARINA'!$G67/8</x:f>
        <x:v>0</x:v>
      </x:c>
      <x:c r="FR13" s="128" t="n">
        <x:f>'PROJECT TA Y TB KARINA'!$G67/8</x:f>
        <x:v>0</x:v>
      </x:c>
      <x:c r="FS13" s="128" t="n">
        <x:f>'PROJECT TA Y TB KARINA'!$G67/8</x:f>
        <x:v>0</x:v>
      </x:c>
      <x:c r="FT13" s="128" t="n">
        <x:f>'PROJECT TA Y TB KARINA'!$H67/8</x:f>
        <x:v>0</x:v>
      </x:c>
      <x:c r="FU13" s="128" t="n">
        <x:f>'PROJECT TA Y TB KARINA'!$H67/8</x:f>
        <x:v>0</x:v>
      </x:c>
      <x:c r="FV13" s="128" t="n">
        <x:f>'PROJECT TA Y TB KARINA'!$H67/8</x:f>
        <x:v>0</x:v>
      </x:c>
      <x:c r="FW13" s="128" t="n">
        <x:f>'PROJECT TA Y TB KARINA'!$H67/8</x:f>
        <x:v>0</x:v>
      </x:c>
      <x:c r="FX13" s="128" t="n">
        <x:f>'PROJECT TA Y TB KARINA'!$H67/8</x:f>
        <x:v>0</x:v>
      </x:c>
      <x:c r="FY13" s="128" t="n">
        <x:f>'PROJECT TA Y TB KARINA'!$H67/8</x:f>
        <x:v>0</x:v>
      </x:c>
      <x:c r="FZ13" s="128" t="n">
        <x:f>'PROJECT TA Y TB KARINA'!$H67/8</x:f>
        <x:v>0</x:v>
      </x:c>
      <x:c r="GA13" s="128" t="n">
        <x:f>'PROJECT TA Y TB KARINA'!$H67/8</x:f>
        <x:v>0</x:v>
      </x:c>
      <x:c r="GB13" s="128" t="n">
        <x:f>'PROJECT TA Y TB KARINA'!$I67/8</x:f>
        <x:v>0</x:v>
      </x:c>
      <x:c r="GC13" s="128" t="n">
        <x:f>'PROJECT TA Y TB KARINA'!$I67/8</x:f>
        <x:v>0</x:v>
      </x:c>
      <x:c r="GD13" s="128" t="n">
        <x:f>'PROJECT TA Y TB KARINA'!$I67/8</x:f>
        <x:v>0</x:v>
      </x:c>
      <x:c r="GE13" s="128" t="n">
        <x:f>'PROJECT TA Y TB KARINA'!$I67/8</x:f>
        <x:v>0</x:v>
      </x:c>
      <x:c r="GF13" s="128" t="n">
        <x:f>'PROJECT TA Y TB KARINA'!$I67/8</x:f>
        <x:v>0</x:v>
      </x:c>
      <x:c r="GG13" s="128" t="n">
        <x:f>'PROJECT TA Y TB KARINA'!$I67/8</x:f>
        <x:v>0</x:v>
      </x:c>
      <x:c r="GH13" s="128" t="n">
        <x:f>'PROJECT TA Y TB KARINA'!$I67/8</x:f>
        <x:v>0</x:v>
      </x:c>
      <x:c r="GI13" s="128" t="n">
        <x:f>'PROJECT TA Y TB KARINA'!$I67/8</x:f>
        <x:v>0</x:v>
      </x:c>
      <x:c r="GJ13" s="128" t="n">
        <x:f>'PROJECT TA Y TB KARINA'!$J67/8</x:f>
        <x:v>0</x:v>
      </x:c>
      <x:c r="GK13" s="128" t="n">
        <x:f>'PROJECT TA Y TB KARINA'!$J67/8</x:f>
        <x:v>0</x:v>
      </x:c>
      <x:c r="GL13" s="128" t="n">
        <x:f>'PROJECT TA Y TB KARINA'!$J67/8</x:f>
        <x:v>0</x:v>
      </x:c>
      <x:c r="GM13" s="128" t="n">
        <x:f>'PROJECT TA Y TB KARINA'!$J67/8</x:f>
        <x:v>0</x:v>
      </x:c>
      <x:c r="GN13" s="128" t="n">
        <x:f>'PROJECT TA Y TB KARINA'!$J67/8</x:f>
        <x:v>0</x:v>
      </x:c>
      <x:c r="GO13" s="128" t="n">
        <x:f>'PROJECT TA Y TB KARINA'!$J67/8</x:f>
        <x:v>0</x:v>
      </x:c>
      <x:c r="GP13" s="128" t="n">
        <x:f>'PROJECT TA Y TB KARINA'!$J67/8</x:f>
        <x:v>0</x:v>
      </x:c>
      <x:c r="GQ13" s="128" t="n">
        <x:f>'PROJECT TA Y TB KARINA'!$J67/8</x:f>
        <x:v>0</x:v>
      </x:c>
      <x:c r="GR13" s="128" t="n">
        <x:f>'PROJECT TA Y TB KARINA'!$K67/8</x:f>
        <x:v>0</x:v>
      </x:c>
      <x:c r="GS13" s="128" t="n">
        <x:f>'PROJECT TA Y TB KARINA'!$K67/8</x:f>
        <x:v>0</x:v>
      </x:c>
      <x:c r="GT13" s="128" t="n">
        <x:f>'PROJECT TA Y TB KARINA'!$K67/8</x:f>
        <x:v>0</x:v>
      </x:c>
      <x:c r="GU13" s="128" t="n">
        <x:f>'PROJECT TA Y TB KARINA'!$K67/8</x:f>
        <x:v>0</x:v>
      </x:c>
      <x:c r="GV13" s="128" t="n">
        <x:f>'PROJECT TA Y TB KARINA'!$K67/8</x:f>
        <x:v>0</x:v>
      </x:c>
      <x:c r="GW13" s="128" t="n">
        <x:f>'PROJECT TA Y TB KARINA'!$K67/8</x:f>
        <x:v>0</x:v>
      </x:c>
      <x:c r="GX13" s="128" t="n">
        <x:f>'PROJECT TA Y TB KARINA'!$K67/8</x:f>
        <x:v>0</x:v>
      </x:c>
      <x:c r="GY13" s="128" t="n">
        <x:f>'PROJECT TA Y TB KARINA'!$K67/8</x:f>
        <x:v>0</x:v>
      </x:c>
      <x:c r="GZ13" s="128" t="n">
        <x:f>'PROJECT TA Y TB KARINA'!$L67/8</x:f>
        <x:v>0</x:v>
      </x:c>
      <x:c r="HA13" s="128" t="n">
        <x:f>'PROJECT TA Y TB KARINA'!$L67/8</x:f>
        <x:v>0</x:v>
      </x:c>
      <x:c r="HB13" s="128" t="n">
        <x:f>'PROJECT TA Y TB KARINA'!$L67/8</x:f>
        <x:v>0</x:v>
      </x:c>
      <x:c r="HC13" s="128" t="n">
        <x:f>'PROJECT TA Y TB KARINA'!$L67/8</x:f>
        <x:v>0</x:v>
      </x:c>
      <x:c r="HD13" s="128" t="n">
        <x:f>'PROJECT TA Y TB KARINA'!$L67/8</x:f>
        <x:v>0</x:v>
      </x:c>
      <x:c r="HE13" s="128" t="n">
        <x:f>'PROJECT TA Y TB KARINA'!$L67/8</x:f>
        <x:v>0</x:v>
      </x:c>
      <x:c r="HF13" s="128" t="n">
        <x:f>'PROJECT TA Y TB KARINA'!$L67/8</x:f>
        <x:v>0</x:v>
      </x:c>
      <x:c r="HG13" s="128" t="n">
        <x:f>'PROJECT TA Y TB KARINA'!$L67/8</x:f>
        <x:v>0</x:v>
      </x:c>
      <x:c r="HH13" s="128" t="n">
        <x:f>'PROJECT TA Y TB KARINA'!$M67/8</x:f>
        <x:v>0</x:v>
      </x:c>
      <x:c r="HI13" s="128" t="n">
        <x:f>'PROJECT TA Y TB KARINA'!$M67/8</x:f>
        <x:v>0</x:v>
      </x:c>
      <x:c r="HJ13" s="128" t="n">
        <x:f>'PROJECT TA Y TB KARINA'!$M67/8</x:f>
        <x:v>0</x:v>
      </x:c>
      <x:c r="HK13" s="128" t="n">
        <x:f>'PROJECT TA Y TB KARINA'!$M67/8</x:f>
        <x:v>0</x:v>
      </x:c>
      <x:c r="HL13" s="128" t="n">
        <x:f>'PROJECT TA Y TB KARINA'!$M67/8</x:f>
        <x:v>0</x:v>
      </x:c>
      <x:c r="HM13" s="128" t="n">
        <x:f>'PROJECT TA Y TB KARINA'!$M67/8</x:f>
        <x:v>0</x:v>
      </x:c>
      <x:c r="HN13" s="128" t="n">
        <x:f>'PROJECT TA Y TB KARINA'!$M67/8</x:f>
        <x:v>0</x:v>
      </x:c>
      <x:c r="HO13" s="128" t="n">
        <x:f>'PROJECT TA Y TB KARINA'!$M67/8</x:f>
        <x:v>0</x:v>
      </x:c>
      <x:c r="HP13" s="128" t="n">
        <x:f>'PROJECT TA Y TB KARINA'!$N67/8</x:f>
        <x:v>0</x:v>
      </x:c>
      <x:c r="HQ13" s="128" t="n">
        <x:f>'PROJECT TA Y TB KARINA'!$N67/8</x:f>
        <x:v>0</x:v>
      </x:c>
      <x:c r="HR13" s="128" t="n">
        <x:f>'PROJECT TA Y TB KARINA'!$N67/8</x:f>
        <x:v>0</x:v>
      </x:c>
      <x:c r="HS13" s="128" t="n">
        <x:f>'PROJECT TA Y TB KARINA'!$N67/8</x:f>
        <x:v>0</x:v>
      </x:c>
      <x:c r="HT13" s="128" t="n">
        <x:f>'PROJECT TA Y TB KARINA'!$N67/8</x:f>
        <x:v>0</x:v>
      </x:c>
      <x:c r="HU13" s="128" t="n">
        <x:f>'PROJECT TA Y TB KARINA'!$N67/8</x:f>
        <x:v>0</x:v>
      </x:c>
      <x:c r="HV13" s="128" t="n">
        <x:f>'PROJECT TA Y TB KARINA'!$N67/8</x:f>
        <x:v>0</x:v>
      </x:c>
      <x:c r="HW13" s="128" t="n">
        <x:f>'PROJECT TA Y TB KARINA'!$N67/8</x:f>
        <x:v>0</x:v>
      </x:c>
      <x:c r="HX13" s="128" t="n">
        <x:f>'PROJECT TA Y TB KARINA'!$O67/8</x:f>
        <x:v>0</x:v>
      </x:c>
      <x:c r="HY13" s="128" t="n">
        <x:f>'PROJECT TA Y TB KARINA'!$O67/8</x:f>
        <x:v>0</x:v>
      </x:c>
      <x:c r="HZ13" s="128" t="n">
        <x:f>'PROJECT TA Y TB KARINA'!$O67/8</x:f>
        <x:v>0</x:v>
      </x:c>
      <x:c r="IA13" s="128" t="n">
        <x:f>'PROJECT TA Y TB KARINA'!$O67/8</x:f>
        <x:v>0</x:v>
      </x:c>
      <x:c r="IB13" s="128" t="n">
        <x:f>'PROJECT TA Y TB KARINA'!$O67/8</x:f>
        <x:v>0</x:v>
      </x:c>
      <x:c r="IC13" s="128" t="n">
        <x:f>'PROJECT TA Y TB KARINA'!$O67/8</x:f>
        <x:v>0</x:v>
      </x:c>
      <x:c r="ID13" s="128" t="n">
        <x:f>'PROJECT TA Y TB KARINA'!$O67/8</x:f>
        <x:v>0</x:v>
      </x:c>
      <x:c r="IE13" s="128" t="n">
        <x:f>'PROJECT TA Y TB KARINA'!$O67/8</x:f>
        <x:v>0</x:v>
      </x:c>
      <x:c r="IF13" s="128" t="n">
        <x:f>'PROJECT TA Y TB KARINA'!$P67/8</x:f>
        <x:v>0</x:v>
      </x:c>
      <x:c r="IG13" s="128" t="n">
        <x:f>'PROJECT TA Y TB KARINA'!$P67/8</x:f>
        <x:v>0</x:v>
      </x:c>
      <x:c r="IH13" s="128" t="n">
        <x:f>'PROJECT TA Y TB KARINA'!$P67/8</x:f>
        <x:v>0</x:v>
      </x:c>
      <x:c r="II13" s="128" t="n">
        <x:f>'PROJECT TA Y TB KARINA'!$P67/8</x:f>
        <x:v>0</x:v>
      </x:c>
      <x:c r="IJ13" s="128" t="n">
        <x:f>'PROJECT TA Y TB KARINA'!$P67/8</x:f>
        <x:v>0</x:v>
      </x:c>
      <x:c r="IK13" s="128" t="n">
        <x:f>'PROJECT TA Y TB KARINA'!$P67/8</x:f>
        <x:v>0</x:v>
      </x:c>
      <x:c r="IL13" s="128" t="n">
        <x:f>'PROJECT TA Y TB KARINA'!$P67/8</x:f>
        <x:v>0</x:v>
      </x:c>
      <x:c r="IM13" s="128" t="n">
        <x:f>'PROJECT TA Y TB KARINA'!$P67/8</x:f>
        <x:v>0</x:v>
      </x:c>
      <x:c r="IN13" s="128" t="n">
        <x:f>'PROJECT TA Y TB KARINA'!$Q67/8</x:f>
        <x:v>0</x:v>
      </x:c>
      <x:c r="IO13" s="128" t="n">
        <x:f>'PROJECT TA Y TB KARINA'!$Q67/8</x:f>
        <x:v>0</x:v>
      </x:c>
      <x:c r="IP13" s="128" t="n">
        <x:f>'PROJECT TA Y TB KARINA'!$Q67/8</x:f>
        <x:v>0</x:v>
      </x:c>
      <x:c r="IQ13" s="128" t="n">
        <x:f>'PROJECT TA Y TB KARINA'!$Q67/8</x:f>
        <x:v>0</x:v>
      </x:c>
      <x:c r="IR13" s="128" t="n">
        <x:f>'PROJECT TA Y TB KARINA'!$Q67/8</x:f>
        <x:v>0</x:v>
      </x:c>
      <x:c r="IS13" s="128" t="n">
        <x:f>'PROJECT TA Y TB KARINA'!$Q67/8</x:f>
        <x:v>0</x:v>
      </x:c>
      <x:c r="IT13" s="128" t="n">
        <x:f>'PROJECT TA Y TB KARINA'!$Q67/8</x:f>
        <x:v>0</x:v>
      </x:c>
      <x:c r="IU13" s="128" t="n">
        <x:f>'PROJECT TA Y TB KARINA'!$Q67/8</x:f>
        <x:v>0</x:v>
      </x:c>
      <x:c r="IV13" s="128" t="n">
        <x:f>'PROJECT TA Y TB KARINA'!$R67/8</x:f>
        <x:v>0</x:v>
      </x:c>
      <x:c r="IW13" s="128" t="n">
        <x:f>'PROJECT TA Y TB KARINA'!$R67/8</x:f>
        <x:v>0</x:v>
      </x:c>
      <x:c r="IX13" s="128" t="n">
        <x:f>'PROJECT TA Y TB KARINA'!$R67/8</x:f>
        <x:v>0</x:v>
      </x:c>
      <x:c r="IY13" s="128" t="n">
        <x:f>'PROJECT TA Y TB KARINA'!$R67/8</x:f>
        <x:v>0</x:v>
      </x:c>
      <x:c r="IZ13" s="128" t="n">
        <x:f>'PROJECT TA Y TB KARINA'!$R67/8</x:f>
        <x:v>0</x:v>
      </x:c>
      <x:c r="JA13" s="128" t="n">
        <x:f>'PROJECT TA Y TB KARINA'!$R67/8</x:f>
        <x:v>0</x:v>
      </x:c>
      <x:c r="JB13" s="128" t="n">
        <x:f>'PROJECT TA Y TB KARINA'!$R67/8</x:f>
        <x:v>0</x:v>
      </x:c>
      <x:c r="JC13" s="128" t="n">
        <x:f>'PROJECT TA Y TB KARINA'!$R67/8</x:f>
        <x:v>0</x:v>
      </x:c>
      <x:c r="JD13" s="128" t="n">
        <x:f>'PROJECT TA Y TB KARINA'!$S67/8</x:f>
        <x:v>0</x:v>
      </x:c>
      <x:c r="JE13" s="128" t="n">
        <x:f>'PROJECT TA Y TB KARINA'!$S67/8</x:f>
        <x:v>0</x:v>
      </x:c>
      <x:c r="JF13" s="128" t="n">
        <x:f>'PROJECT TA Y TB KARINA'!$S67/8</x:f>
        <x:v>0</x:v>
      </x:c>
      <x:c r="JG13" s="128" t="n">
        <x:f>'PROJECT TA Y TB KARINA'!$S67/8</x:f>
        <x:v>0</x:v>
      </x:c>
      <x:c r="JH13" s="128" t="n">
        <x:f>'PROJECT TA Y TB KARINA'!$S67/8</x:f>
        <x:v>0</x:v>
      </x:c>
      <x:c r="JI13" s="128" t="n">
        <x:f>'PROJECT TA Y TB KARINA'!$S67/8</x:f>
        <x:v>0</x:v>
      </x:c>
      <x:c r="JJ13" s="128" t="n">
        <x:f>'PROJECT TA Y TB KARINA'!$S67/8</x:f>
        <x:v>0</x:v>
      </x:c>
      <x:c r="JK13" s="128" t="n">
        <x:f>'PROJECT TA Y TB KARINA'!$S67/8</x:f>
        <x:v>0</x:v>
      </x:c>
      <x:c r="JL13" s="128" t="n">
        <x:f>'PROJECT TA Y TB KARINA'!$T67/8</x:f>
        <x:v>0</x:v>
      </x:c>
      <x:c r="JM13" s="128" t="n">
        <x:f>'PROJECT TA Y TB KARINA'!$T67/8</x:f>
        <x:v>0</x:v>
      </x:c>
      <x:c r="JN13" s="128" t="n">
        <x:f>'PROJECT TA Y TB KARINA'!$T67/8</x:f>
        <x:v>0</x:v>
      </x:c>
      <x:c r="JO13" s="128" t="n">
        <x:f>'PROJECT TA Y TB KARINA'!$T67/8</x:f>
        <x:v>0</x:v>
      </x:c>
      <x:c r="JP13" s="128" t="n">
        <x:f>'PROJECT TA Y TB KARINA'!$T67/8</x:f>
        <x:v>0</x:v>
      </x:c>
      <x:c r="JQ13" s="128" t="n">
        <x:f>'PROJECT TA Y TB KARINA'!$T67/8</x:f>
        <x:v>0</x:v>
      </x:c>
      <x:c r="JR13" s="128" t="n">
        <x:f>'PROJECT TA Y TB KARINA'!$T67/8</x:f>
        <x:v>0</x:v>
      </x:c>
      <x:c r="JS13" s="128" t="n">
        <x:f>'PROJECT TA Y TB KARINA'!$T67/8</x:f>
        <x:v>0</x:v>
      </x:c>
      <x:c r="JT13" s="128" t="e">
        <x:f>'PROJECT TA Y TB KARINA'!#REF!/8</x:f>
        <x:v>#NAME?</x:v>
      </x:c>
      <x:c r="JU13" s="128" t="e">
        <x:f>'PROJECT TA Y TB KARINA'!#REF!/8</x:f>
        <x:v>#NAME?</x:v>
      </x:c>
      <x:c r="JV13" s="128" t="e">
        <x:f>'PROJECT TA Y TB KARINA'!#REF!/8</x:f>
        <x:v>#NAME?</x:v>
      </x:c>
      <x:c r="JW13" s="128" t="e">
        <x:f>'PROJECT TA Y TB KARINA'!#REF!/8</x:f>
        <x:v>#NAME?</x:v>
      </x:c>
      <x:c r="JX13" s="128" t="e">
        <x:f>'PROJECT TA Y TB KARINA'!#REF!/8</x:f>
        <x:v>#NAME?</x:v>
      </x:c>
      <x:c r="JY13" s="128" t="e">
        <x:f>'PROJECT TA Y TB KARINA'!#REF!/8</x:f>
        <x:v>#NAME?</x:v>
      </x:c>
      <x:c r="JZ13" s="128" t="e">
        <x:f>'PROJECT TA Y TB KARINA'!#REF!/8</x:f>
        <x:v>#NAME?</x:v>
      </x:c>
      <x:c r="KA13" s="128" t="e">
        <x:f>'PROJECT TA Y TB KARINA'!#REF!/8</x:f>
        <x:v>#NAME?</x:v>
      </x:c>
    </x:row>
    <x:row r="14" ht="21">
      <x:c r="A14" s="130" t="s">
        <x:v>499</x:v>
      </x:c>
      <x:c r="B14" s="128" t="e">
        <x:f>'PROJECT TA Y TB KARINA'!$C$10/8</x:f>
        <x:v>#REF!</x:v>
      </x:c>
      <x:c r="C14" s="128" t="e">
        <x:f>'PROJECT TA Y TB KARINA'!$C$10/8</x:f>
        <x:v>#REF!</x:v>
      </x:c>
      <x:c r="D14" s="128" t="e">
        <x:f>'PROJECT TA Y TB KARINA'!$C$10/8</x:f>
        <x:v>#REF!</x:v>
      </x:c>
      <x:c r="E14" s="128" t="e">
        <x:f>'PROJECT TA Y TB KARINA'!$C$10/8</x:f>
        <x:v>#REF!</x:v>
      </x:c>
      <x:c r="F14" s="128" t="e">
        <x:f>'PROJECT TA Y TB KARINA'!$C$10/8</x:f>
        <x:v>#REF!</x:v>
      </x:c>
      <x:c r="G14" s="128" t="e">
        <x:f>'PROJECT TA Y TB KARINA'!$C$10/8</x:f>
        <x:v>#REF!</x:v>
      </x:c>
      <x:c r="H14" s="128" t="e">
        <x:f>'PROJECT TA Y TB KARINA'!$C$10/8</x:f>
        <x:v>#REF!</x:v>
      </x:c>
      <x:c r="I14" s="128" t="e">
        <x:f>'PROJECT TA Y TB KARINA'!$E10/8</x:f>
        <x:v>#REF!</x:v>
      </x:c>
      <x:c r="J14" s="128" t="e">
        <x:f>'PROJECT TA Y TB KARINA'!$E10/8</x:f>
        <x:v>#REF!</x:v>
      </x:c>
      <x:c r="K14" s="128" t="e">
        <x:f>'PROJECT TA Y TB KARINA'!$E10/8</x:f>
        <x:v>#REF!</x:v>
      </x:c>
      <x:c r="L14" s="128" t="e">
        <x:f>'PROJECT TA Y TB KARINA'!$E10/8</x:f>
        <x:v>#REF!</x:v>
      </x:c>
      <x:c r="M14" s="128" t="e">
        <x:f>'PROJECT TA Y TB KARINA'!$E10/8</x:f>
        <x:v>#REF!</x:v>
      </x:c>
      <x:c r="N14" s="128" t="e">
        <x:f>'PROJECT TA Y TB KARINA'!$E10/8</x:f>
        <x:v>#REF!</x:v>
      </x:c>
      <x:c r="O14" s="128" t="e">
        <x:f>'PROJECT TA Y TB KARINA'!$E10/8</x:f>
        <x:v>#REF!</x:v>
      </x:c>
      <x:c r="P14" s="128" t="e">
        <x:f>'PROJECT TA Y TB KARINA'!$E10/8</x:f>
        <x:v>#REF!</x:v>
      </x:c>
      <x:c r="Q14" s="128" t="e">
        <x:f>'PROJECT TA Y TB KARINA'!$F10/8</x:f>
        <x:v>#REF!</x:v>
      </x:c>
      <x:c r="R14" s="128" t="e">
        <x:f>'PROJECT TA Y TB KARINA'!$F10/8</x:f>
        <x:v>#REF!</x:v>
      </x:c>
      <x:c r="S14" s="128" t="e">
        <x:f>'PROJECT TA Y TB KARINA'!$F10/8</x:f>
        <x:v>#REF!</x:v>
      </x:c>
      <x:c r="T14" s="128" t="e">
        <x:f>'PROJECT TA Y TB KARINA'!$F10/8</x:f>
        <x:v>#REF!</x:v>
      </x:c>
      <x:c r="U14" s="128" t="e">
        <x:f>'PROJECT TA Y TB KARINA'!$F10/8</x:f>
        <x:v>#REF!</x:v>
      </x:c>
      <x:c r="V14" s="128" t="e">
        <x:f>'PROJECT TA Y TB KARINA'!$F10/8</x:f>
        <x:v>#REF!</x:v>
      </x:c>
      <x:c r="W14" s="128" t="e">
        <x:f>'PROJECT TA Y TB KARINA'!$F10/8</x:f>
        <x:v>#REF!</x:v>
      </x:c>
      <x:c r="X14" s="128" t="e">
        <x:f>'PROJECT TA Y TB KARINA'!$F10/8</x:f>
        <x:v>#REF!</x:v>
      </x:c>
      <x:c r="Y14" s="128" t="e">
        <x:f>'PROJECT TA Y TB KARINA'!$G10/8</x:f>
        <x:v>#REF!</x:v>
      </x:c>
      <x:c r="Z14" s="128" t="e">
        <x:f>'PROJECT TA Y TB KARINA'!$G10/8</x:f>
        <x:v>#REF!</x:v>
      </x:c>
      <x:c r="AA14" s="128" t="e">
        <x:f>'PROJECT TA Y TB KARINA'!$G10/8</x:f>
        <x:v>#REF!</x:v>
      </x:c>
      <x:c r="AB14" s="128" t="e">
        <x:f>'PROJECT TA Y TB KARINA'!$G10/8</x:f>
        <x:v>#REF!</x:v>
      </x:c>
      <x:c r="AC14" s="128" t="e">
        <x:f>'PROJECT TA Y TB KARINA'!$G10/8</x:f>
        <x:v>#REF!</x:v>
      </x:c>
      <x:c r="AD14" s="128" t="e">
        <x:f>'PROJECT TA Y TB KARINA'!$G10/8</x:f>
        <x:v>#REF!</x:v>
      </x:c>
      <x:c r="AE14" s="128" t="e">
        <x:f>'PROJECT TA Y TB KARINA'!$G10/8</x:f>
        <x:v>#REF!</x:v>
      </x:c>
      <x:c r="AF14" s="128" t="e">
        <x:f>'PROJECT TA Y TB KARINA'!$G10/8</x:f>
        <x:v>#REF!</x:v>
      </x:c>
      <x:c r="AG14" s="128" t="e">
        <x:f>'PROJECT TA Y TB KARINA'!$H10/8</x:f>
        <x:v>#REF!</x:v>
      </x:c>
      <x:c r="AH14" s="128" t="e">
        <x:f>'PROJECT TA Y TB KARINA'!$H10/8</x:f>
        <x:v>#REF!</x:v>
      </x:c>
      <x:c r="AI14" s="128" t="e">
        <x:f>'PROJECT TA Y TB KARINA'!$H10/8</x:f>
        <x:v>#REF!</x:v>
      </x:c>
      <x:c r="AJ14" s="128" t="e">
        <x:f>'PROJECT TA Y TB KARINA'!$H10/8</x:f>
        <x:v>#REF!</x:v>
      </x:c>
      <x:c r="AK14" s="128" t="e">
        <x:f>'PROJECT TA Y TB KARINA'!$H10/8</x:f>
        <x:v>#REF!</x:v>
      </x:c>
      <x:c r="AL14" s="128" t="e">
        <x:f>'PROJECT TA Y TB KARINA'!$H10/8</x:f>
        <x:v>#REF!</x:v>
      </x:c>
      <x:c r="AM14" s="128" t="e">
        <x:f>'PROJECT TA Y TB KARINA'!$H10/8</x:f>
        <x:v>#REF!</x:v>
      </x:c>
      <x:c r="AN14" s="128" t="e">
        <x:f>'PROJECT TA Y TB KARINA'!$H10/8</x:f>
        <x:v>#REF!</x:v>
      </x:c>
      <x:c r="AO14" s="128" t="e">
        <x:f>'PROJECT TA Y TB KARINA'!$I10/8</x:f>
        <x:v>#REF!</x:v>
      </x:c>
      <x:c r="AP14" s="128" t="e">
        <x:f>'PROJECT TA Y TB KARINA'!$I10/8</x:f>
        <x:v>#REF!</x:v>
      </x:c>
      <x:c r="AQ14" s="128" t="e">
        <x:f>'PROJECT TA Y TB KARINA'!$I10/8</x:f>
        <x:v>#REF!</x:v>
      </x:c>
      <x:c r="AR14" s="128" t="e">
        <x:f>'PROJECT TA Y TB KARINA'!$I10/8</x:f>
        <x:v>#REF!</x:v>
      </x:c>
      <x:c r="AS14" s="128" t="e">
        <x:f>'PROJECT TA Y TB KARINA'!$I10/8</x:f>
        <x:v>#REF!</x:v>
      </x:c>
      <x:c r="AT14" s="128" t="e">
        <x:f>'PROJECT TA Y TB KARINA'!$I10/8</x:f>
        <x:v>#REF!</x:v>
      </x:c>
      <x:c r="AU14" s="128" t="e">
        <x:f>'PROJECT TA Y TB KARINA'!$I10/8</x:f>
        <x:v>#REF!</x:v>
      </x:c>
      <x:c r="AV14" s="128" t="e">
        <x:f>'PROJECT TA Y TB KARINA'!$I10/8</x:f>
        <x:v>#REF!</x:v>
      </x:c>
      <x:c r="AW14" s="128" t="e">
        <x:f>'PROJECT TA Y TB KARINA'!$J10/8</x:f>
        <x:v>#REF!</x:v>
      </x:c>
      <x:c r="AX14" s="128" t="e">
        <x:f>'PROJECT TA Y TB KARINA'!$J10/8</x:f>
        <x:v>#REF!</x:v>
      </x:c>
      <x:c r="AY14" s="128" t="e">
        <x:f>'PROJECT TA Y TB KARINA'!$J10/8</x:f>
        <x:v>#REF!</x:v>
      </x:c>
      <x:c r="AZ14" s="128" t="e">
        <x:f>'PROJECT TA Y TB KARINA'!$J10/8</x:f>
        <x:v>#REF!</x:v>
      </x:c>
      <x:c r="BA14" s="128" t="e">
        <x:f>'PROJECT TA Y TB KARINA'!$J10/8</x:f>
        <x:v>#REF!</x:v>
      </x:c>
      <x:c r="BB14" s="128" t="e">
        <x:f>'PROJECT TA Y TB KARINA'!$J10/8</x:f>
        <x:v>#REF!</x:v>
      </x:c>
      <x:c r="BC14" s="128" t="e">
        <x:f>'PROJECT TA Y TB KARINA'!$J10/8</x:f>
        <x:v>#REF!</x:v>
      </x:c>
      <x:c r="BD14" s="128" t="e">
        <x:f>'PROJECT TA Y TB KARINA'!$J10/8</x:f>
        <x:v>#REF!</x:v>
      </x:c>
      <x:c r="BE14" s="128" t="e">
        <x:f>'PROJECT TA Y TB KARINA'!$K10/8</x:f>
        <x:v>#REF!</x:v>
      </x:c>
      <x:c r="BF14" s="128" t="e">
        <x:f>'PROJECT TA Y TB KARINA'!$K10/8</x:f>
        <x:v>#REF!</x:v>
      </x:c>
      <x:c r="BG14" s="128" t="e">
        <x:f>'PROJECT TA Y TB KARINA'!$K10/8</x:f>
        <x:v>#REF!</x:v>
      </x:c>
      <x:c r="BH14" s="128" t="e">
        <x:f>'PROJECT TA Y TB KARINA'!$K10/8</x:f>
        <x:v>#REF!</x:v>
      </x:c>
      <x:c r="BI14" s="128" t="e">
        <x:f>'PROJECT TA Y TB KARINA'!$K10/8</x:f>
        <x:v>#REF!</x:v>
      </x:c>
      <x:c r="BJ14" s="128" t="e">
        <x:f>'PROJECT TA Y TB KARINA'!$K10/8</x:f>
        <x:v>#REF!</x:v>
      </x:c>
      <x:c r="BK14" s="128" t="e">
        <x:f>'PROJECT TA Y TB KARINA'!$K10/8</x:f>
        <x:v>#REF!</x:v>
      </x:c>
      <x:c r="BL14" s="128" t="e">
        <x:f>'PROJECT TA Y TB KARINA'!$K10/8</x:f>
        <x:v>#REF!</x:v>
      </x:c>
      <x:c r="BM14" s="128" t="e">
        <x:f>'PROJECT TA Y TB KARINA'!$L10/8</x:f>
        <x:v>#REF!</x:v>
      </x:c>
      <x:c r="BN14" s="128" t="e">
        <x:f>'PROJECT TA Y TB KARINA'!$L10/8</x:f>
        <x:v>#REF!</x:v>
      </x:c>
      <x:c r="BO14" s="128" t="e">
        <x:f>'PROJECT TA Y TB KARINA'!$L10/8</x:f>
        <x:v>#REF!</x:v>
      </x:c>
      <x:c r="BP14" s="128" t="e">
        <x:f>'PROJECT TA Y TB KARINA'!$L10/8</x:f>
        <x:v>#REF!</x:v>
      </x:c>
      <x:c r="BQ14" s="128" t="e">
        <x:f>'PROJECT TA Y TB KARINA'!$L10/8</x:f>
        <x:v>#REF!</x:v>
      </x:c>
      <x:c r="BR14" s="128" t="e">
        <x:f>'PROJECT TA Y TB KARINA'!$L10/8</x:f>
        <x:v>#REF!</x:v>
      </x:c>
      <x:c r="BS14" s="128" t="e">
        <x:f>'PROJECT TA Y TB KARINA'!$L10/8</x:f>
        <x:v>#REF!</x:v>
      </x:c>
      <x:c r="BT14" s="128" t="e">
        <x:f>'PROJECT TA Y TB KARINA'!$L10/8</x:f>
        <x:v>#REF!</x:v>
      </x:c>
      <x:c r="BU14" s="128" t="e">
        <x:f>'PROJECT TA Y TB KARINA'!$M10/8</x:f>
        <x:v>#REF!</x:v>
      </x:c>
      <x:c r="BV14" s="128" t="e">
        <x:f>'PROJECT TA Y TB KARINA'!$M10/8</x:f>
        <x:v>#REF!</x:v>
      </x:c>
      <x:c r="BW14" s="128" t="e">
        <x:f>'PROJECT TA Y TB KARINA'!$M10/8</x:f>
        <x:v>#REF!</x:v>
      </x:c>
      <x:c r="BX14" s="128" t="e">
        <x:f>'PROJECT TA Y TB KARINA'!$M10/8</x:f>
        <x:v>#REF!</x:v>
      </x:c>
      <x:c r="BY14" s="128" t="e">
        <x:f>'PROJECT TA Y TB KARINA'!$M10/8</x:f>
        <x:v>#REF!</x:v>
      </x:c>
      <x:c r="BZ14" s="128" t="e">
        <x:f>'PROJECT TA Y TB KARINA'!$M10/8</x:f>
        <x:v>#REF!</x:v>
      </x:c>
      <x:c r="CA14" s="128" t="e">
        <x:f>'PROJECT TA Y TB KARINA'!$M10/8</x:f>
        <x:v>#REF!</x:v>
      </x:c>
      <x:c r="CB14" s="128" t="e">
        <x:f>'PROJECT TA Y TB KARINA'!$M10/8</x:f>
        <x:v>#REF!</x:v>
      </x:c>
      <x:c r="CC14" s="128" t="e">
        <x:f>'PROJECT TA Y TB KARINA'!$N10/8</x:f>
        <x:v>#REF!</x:v>
      </x:c>
      <x:c r="CD14" s="128" t="e">
        <x:f>'PROJECT TA Y TB KARINA'!$N10/8</x:f>
        <x:v>#REF!</x:v>
      </x:c>
      <x:c r="CE14" s="128" t="e">
        <x:f>'PROJECT TA Y TB KARINA'!$N10/8</x:f>
        <x:v>#REF!</x:v>
      </x:c>
      <x:c r="CF14" s="128" t="e">
        <x:f>'PROJECT TA Y TB KARINA'!$N10/8</x:f>
        <x:v>#REF!</x:v>
      </x:c>
      <x:c r="CG14" s="128" t="e">
        <x:f>'PROJECT TA Y TB KARINA'!$N10/8</x:f>
        <x:v>#REF!</x:v>
      </x:c>
      <x:c r="CH14" s="128" t="e">
        <x:f>'PROJECT TA Y TB KARINA'!$N10/8</x:f>
        <x:v>#REF!</x:v>
      </x:c>
      <x:c r="CI14" s="128" t="e">
        <x:f>'PROJECT TA Y TB KARINA'!$N10/8</x:f>
        <x:v>#REF!</x:v>
      </x:c>
      <x:c r="CJ14" s="128" t="e">
        <x:f>'PROJECT TA Y TB KARINA'!$N10/8</x:f>
        <x:v>#REF!</x:v>
      </x:c>
      <x:c r="CK14" s="128" t="e">
        <x:f>'PROJECT TA Y TB KARINA'!$O10/8</x:f>
        <x:v>#REF!</x:v>
      </x:c>
      <x:c r="CL14" s="128" t="e">
        <x:f>'PROJECT TA Y TB KARINA'!$O10/8</x:f>
        <x:v>#REF!</x:v>
      </x:c>
      <x:c r="CM14" s="128" t="e">
        <x:f>'PROJECT TA Y TB KARINA'!$O10/8</x:f>
        <x:v>#REF!</x:v>
      </x:c>
      <x:c r="CN14" s="128" t="e">
        <x:f>'PROJECT TA Y TB KARINA'!$O10/8</x:f>
        <x:v>#REF!</x:v>
      </x:c>
      <x:c r="CO14" s="128" t="e">
        <x:f>'PROJECT TA Y TB KARINA'!$O10/8</x:f>
        <x:v>#REF!</x:v>
      </x:c>
      <x:c r="CP14" s="128" t="e">
        <x:f>'PROJECT TA Y TB KARINA'!$O10/8</x:f>
        <x:v>#REF!</x:v>
      </x:c>
      <x:c r="CQ14" s="128" t="e">
        <x:f>'PROJECT TA Y TB KARINA'!$O10/8</x:f>
        <x:v>#REF!</x:v>
      </x:c>
      <x:c r="CR14" s="128" t="e">
        <x:f>'PROJECT TA Y TB KARINA'!$O10/8</x:f>
        <x:v>#REF!</x:v>
      </x:c>
      <x:c r="CS14" s="128" t="e">
        <x:f>'PROJECT TA Y TB KARINA'!$P10/8</x:f>
        <x:v>#REF!</x:v>
      </x:c>
      <x:c r="CT14" s="128" t="e">
        <x:f>'PROJECT TA Y TB KARINA'!$P10/8</x:f>
        <x:v>#REF!</x:v>
      </x:c>
      <x:c r="CU14" s="128" t="e">
        <x:f>'PROJECT TA Y TB KARINA'!$P10/8</x:f>
        <x:v>#REF!</x:v>
      </x:c>
      <x:c r="CV14" s="128" t="e">
        <x:f>'PROJECT TA Y TB KARINA'!$P10/8</x:f>
        <x:v>#REF!</x:v>
      </x:c>
      <x:c r="CW14" s="128" t="e">
        <x:f>'PROJECT TA Y TB KARINA'!$P10/8</x:f>
        <x:v>#REF!</x:v>
      </x:c>
      <x:c r="CX14" s="128" t="e">
        <x:f>'PROJECT TA Y TB KARINA'!$P10/8</x:f>
        <x:v>#REF!</x:v>
      </x:c>
      <x:c r="CY14" s="128" t="e">
        <x:f>'PROJECT TA Y TB KARINA'!$P10/8</x:f>
        <x:v>#REF!</x:v>
      </x:c>
      <x:c r="CZ14" s="128" t="e">
        <x:f>'PROJECT TA Y TB KARINA'!$P10/8</x:f>
        <x:v>#REF!</x:v>
      </x:c>
      <x:c r="DA14" s="128" t="e">
        <x:f>'PROJECT TA Y TB KARINA'!$Q10/8</x:f>
        <x:v>#REF!</x:v>
      </x:c>
      <x:c r="DB14" s="128" t="e">
        <x:f>'PROJECT TA Y TB KARINA'!$Q10/8</x:f>
        <x:v>#REF!</x:v>
      </x:c>
      <x:c r="DC14" s="128" t="e">
        <x:f>'PROJECT TA Y TB KARINA'!$Q10/8</x:f>
        <x:v>#REF!</x:v>
      </x:c>
      <x:c r="DD14" s="128" t="e">
        <x:f>'PROJECT TA Y TB KARINA'!$Q10/8</x:f>
        <x:v>#REF!</x:v>
      </x:c>
      <x:c r="DE14" s="128" t="e">
        <x:f>'PROJECT TA Y TB KARINA'!$Q10/8</x:f>
        <x:v>#REF!</x:v>
      </x:c>
      <x:c r="DF14" s="128" t="e">
        <x:f>'PROJECT TA Y TB KARINA'!$Q10/8</x:f>
        <x:v>#REF!</x:v>
      </x:c>
      <x:c r="DG14" s="128" t="e">
        <x:f>'PROJECT TA Y TB KARINA'!$Q10/8</x:f>
        <x:v>#REF!</x:v>
      </x:c>
      <x:c r="DH14" s="128" t="e">
        <x:f>'PROJECT TA Y TB KARINA'!$Q10/8</x:f>
        <x:v>#REF!</x:v>
      </x:c>
      <x:c r="DI14" s="128" t="e">
        <x:f>'PROJECT TA Y TB KARINA'!$R10/8</x:f>
        <x:v>#REF!</x:v>
      </x:c>
      <x:c r="DJ14" s="128" t="e">
        <x:f>'PROJECT TA Y TB KARINA'!$R10/8</x:f>
        <x:v>#REF!</x:v>
      </x:c>
      <x:c r="DK14" s="128" t="e">
        <x:f>'PROJECT TA Y TB KARINA'!$R10/8</x:f>
        <x:v>#REF!</x:v>
      </x:c>
      <x:c r="DL14" s="128" t="e">
        <x:f>'PROJECT TA Y TB KARINA'!$R10/8</x:f>
        <x:v>#REF!</x:v>
      </x:c>
      <x:c r="DM14" s="128" t="e">
        <x:f>'PROJECT TA Y TB KARINA'!$R10/8</x:f>
        <x:v>#REF!</x:v>
      </x:c>
      <x:c r="DN14" s="128" t="e">
        <x:f>'PROJECT TA Y TB KARINA'!$R10/8</x:f>
        <x:v>#REF!</x:v>
      </x:c>
      <x:c r="DO14" s="128" t="e">
        <x:f>'PROJECT TA Y TB KARINA'!$R10/8</x:f>
        <x:v>#REF!</x:v>
      </x:c>
      <x:c r="DP14" s="128" t="e">
        <x:f>'PROJECT TA Y TB KARINA'!$R10/8</x:f>
        <x:v>#REF!</x:v>
      </x:c>
      <x:c r="DQ14" s="128" t="e">
        <x:f>'PROJECT TA Y TB KARINA'!$S10/8</x:f>
        <x:v>#REF!</x:v>
      </x:c>
      <x:c r="DR14" s="128" t="e">
        <x:f>'PROJECT TA Y TB KARINA'!$S10/8</x:f>
        <x:v>#REF!</x:v>
      </x:c>
      <x:c r="DS14" s="128" t="e">
        <x:f>'PROJECT TA Y TB KARINA'!$S10/8</x:f>
        <x:v>#REF!</x:v>
      </x:c>
      <x:c r="DT14" s="128" t="e">
        <x:f>'PROJECT TA Y TB KARINA'!$S10/8</x:f>
        <x:v>#REF!</x:v>
      </x:c>
      <x:c r="DU14" s="128" t="e">
        <x:f>'PROJECT TA Y TB KARINA'!$S10/8</x:f>
        <x:v>#REF!</x:v>
      </x:c>
      <x:c r="DV14" s="128" t="e">
        <x:f>'PROJECT TA Y TB KARINA'!$S10/8</x:f>
        <x:v>#REF!</x:v>
      </x:c>
      <x:c r="DW14" s="128" t="e">
        <x:f>'PROJECT TA Y TB KARINA'!$S10/8</x:f>
        <x:v>#REF!</x:v>
      </x:c>
      <x:c r="DX14" s="128" t="e">
        <x:f>'PROJECT TA Y TB KARINA'!$S10/8</x:f>
        <x:v>#REF!</x:v>
      </x:c>
      <x:c r="DY14" s="128" t="e">
        <x:f>'PROJECT TA Y TB KARINA'!$T10/8</x:f>
        <x:v>#REF!</x:v>
      </x:c>
      <x:c r="DZ14" s="128" t="e">
        <x:f>'PROJECT TA Y TB KARINA'!$T10/8</x:f>
        <x:v>#REF!</x:v>
      </x:c>
      <x:c r="EA14" s="128" t="e">
        <x:f>'PROJECT TA Y TB KARINA'!$T10/8</x:f>
        <x:v>#REF!</x:v>
      </x:c>
      <x:c r="EB14" s="128" t="e">
        <x:f>'PROJECT TA Y TB KARINA'!$T10/8</x:f>
        <x:v>#REF!</x:v>
      </x:c>
      <x:c r="EC14" s="128" t="e">
        <x:f>'PROJECT TA Y TB KARINA'!$T10/8</x:f>
        <x:v>#REF!</x:v>
      </x:c>
      <x:c r="ED14" s="128" t="e">
        <x:f>'PROJECT TA Y TB KARINA'!$T10/8</x:f>
        <x:v>#REF!</x:v>
      </x:c>
      <x:c r="EE14" s="128" t="e">
        <x:f>'PROJECT TA Y TB KARINA'!$T10/8</x:f>
        <x:v>#REF!</x:v>
      </x:c>
      <x:c r="EF14" s="128" t="e">
        <x:f>'PROJECT TA Y TB KARINA'!$T10/8</x:f>
        <x:v>#REF!</x:v>
      </x:c>
      <x:c r="EG14" s="128" t="e">
        <x:f>'PROJECT TA Y TB KARINA'!#REF!/8</x:f>
        <x:v>#NAME?</x:v>
      </x:c>
      <x:c r="EH14" s="128" t="e">
        <x:f>'PROJECT TA Y TB KARINA'!#REF!/8</x:f>
        <x:v>#NAME?</x:v>
      </x:c>
      <x:c r="EI14" s="128" t="e">
        <x:f>'PROJECT TA Y TB KARINA'!#REF!/8</x:f>
        <x:v>#NAME?</x:v>
      </x:c>
      <x:c r="EJ14" s="128" t="e">
        <x:f>'PROJECT TA Y TB KARINA'!#REF!/8</x:f>
        <x:v>#NAME?</x:v>
      </x:c>
      <x:c r="EK14" s="128" t="e">
        <x:f>'PROJECT TA Y TB KARINA'!#REF!/8</x:f>
        <x:v>#NAME?</x:v>
      </x:c>
      <x:c r="EL14" s="128" t="e">
        <x:f>'PROJECT TA Y TB KARINA'!#REF!/8</x:f>
        <x:v>#NAME?</x:v>
      </x:c>
      <x:c r="EM14" s="128" t="e">
        <x:f>'PROJECT TA Y TB KARINA'!#REF!/8</x:f>
        <x:v>#NAME?</x:v>
      </x:c>
      <x:c r="EN14" s="128" t="e">
        <x:f>'PROJECT TA Y TB KARINA'!#REF!/8</x:f>
        <x:v>#NAME?</x:v>
      </x:c>
      <x:c r="EO14" s="128" t="n">
        <x:f>'PROJECT TA Y TB KARINA'!$C68/8</x:f>
        <x:v>0</x:v>
      </x:c>
      <x:c r="EP14" s="128" t="n">
        <x:f>'PROJECT TA Y TB KARINA'!$C68/8</x:f>
        <x:v>0</x:v>
      </x:c>
      <x:c r="EQ14" s="128" t="n">
        <x:f>'PROJECT TA Y TB KARINA'!$C68/8</x:f>
        <x:v>0</x:v>
      </x:c>
      <x:c r="ER14" s="128" t="n">
        <x:f>'PROJECT TA Y TB KARINA'!$C68/8</x:f>
        <x:v>0</x:v>
      </x:c>
      <x:c r="ES14" s="128" t="n">
        <x:f>'PROJECT TA Y TB KARINA'!$C68/8</x:f>
        <x:v>0</x:v>
      </x:c>
      <x:c r="ET14" s="128" t="n">
        <x:f>'PROJECT TA Y TB KARINA'!$C68/8</x:f>
        <x:v>0</x:v>
      </x:c>
      <x:c r="EU14" s="128" t="n">
        <x:f>'PROJECT TA Y TB KARINA'!$C68/8</x:f>
        <x:v>0</x:v>
      </x:c>
      <x:c r="EV14" s="128" t="n">
        <x:f>'PROJECT TA Y TB KARINA'!$E68/8</x:f>
        <x:v>0</x:v>
      </x:c>
      <x:c r="EW14" s="128" t="n">
        <x:f>'PROJECT TA Y TB KARINA'!$E68/8</x:f>
        <x:v>0</x:v>
      </x:c>
      <x:c r="EX14" s="128" t="n">
        <x:f>'PROJECT TA Y TB KARINA'!$E68/8</x:f>
        <x:v>0</x:v>
      </x:c>
      <x:c r="EY14" s="128" t="n">
        <x:f>'PROJECT TA Y TB KARINA'!$E68/8</x:f>
        <x:v>0</x:v>
      </x:c>
      <x:c r="EZ14" s="128" t="n">
        <x:f>'PROJECT TA Y TB KARINA'!$E68/8</x:f>
        <x:v>0</x:v>
      </x:c>
      <x:c r="FA14" s="128" t="n">
        <x:f>'PROJECT TA Y TB KARINA'!$E68/8</x:f>
        <x:v>0</x:v>
      </x:c>
      <x:c r="FB14" s="128" t="n">
        <x:f>'PROJECT TA Y TB KARINA'!$E68/8</x:f>
        <x:v>0</x:v>
      </x:c>
      <x:c r="FC14" s="128" t="n">
        <x:f>'PROJECT TA Y TB KARINA'!$E68/8</x:f>
        <x:v>0</x:v>
      </x:c>
      <x:c r="FD14" s="128" t="n">
        <x:f>'PROJECT TA Y TB KARINA'!$F68/8</x:f>
        <x:v>0</x:v>
      </x:c>
      <x:c r="FE14" s="128" t="n">
        <x:f>'PROJECT TA Y TB KARINA'!$F68/8</x:f>
        <x:v>0</x:v>
      </x:c>
      <x:c r="FF14" s="128" t="n">
        <x:f>'PROJECT TA Y TB KARINA'!$F68/8</x:f>
        <x:v>0</x:v>
      </x:c>
      <x:c r="FG14" s="128" t="n">
        <x:f>'PROJECT TA Y TB KARINA'!$F68/8</x:f>
        <x:v>0</x:v>
      </x:c>
      <x:c r="FH14" s="128" t="n">
        <x:f>'PROJECT TA Y TB KARINA'!$F68/8</x:f>
        <x:v>0</x:v>
      </x:c>
      <x:c r="FI14" s="128" t="n">
        <x:f>'PROJECT TA Y TB KARINA'!$F68/8</x:f>
        <x:v>0</x:v>
      </x:c>
      <x:c r="FJ14" s="128" t="n">
        <x:f>'PROJECT TA Y TB KARINA'!$F68/8</x:f>
        <x:v>0</x:v>
      </x:c>
      <x:c r="FK14" s="128" t="n">
        <x:f>'PROJECT TA Y TB KARINA'!$F68/8</x:f>
        <x:v>0</x:v>
      </x:c>
      <x:c r="FL14" s="128" t="n">
        <x:f>'PROJECT TA Y TB KARINA'!$G68/8</x:f>
        <x:v>0</x:v>
      </x:c>
      <x:c r="FM14" s="128" t="n">
        <x:f>'PROJECT TA Y TB KARINA'!$G68/8</x:f>
        <x:v>0</x:v>
      </x:c>
      <x:c r="FN14" s="128" t="n">
        <x:f>'PROJECT TA Y TB KARINA'!$G68/8</x:f>
        <x:v>0</x:v>
      </x:c>
      <x:c r="FO14" s="128" t="n">
        <x:f>'PROJECT TA Y TB KARINA'!$G68/8</x:f>
        <x:v>0</x:v>
      </x:c>
      <x:c r="FP14" s="128" t="n">
        <x:f>'PROJECT TA Y TB KARINA'!$G68/8</x:f>
        <x:v>0</x:v>
      </x:c>
      <x:c r="FQ14" s="128" t="n">
        <x:f>'PROJECT TA Y TB KARINA'!$G68/8</x:f>
        <x:v>0</x:v>
      </x:c>
      <x:c r="FR14" s="128" t="n">
        <x:f>'PROJECT TA Y TB KARINA'!$G68/8</x:f>
        <x:v>0</x:v>
      </x:c>
      <x:c r="FS14" s="128" t="n">
        <x:f>'PROJECT TA Y TB KARINA'!$G68/8</x:f>
        <x:v>0</x:v>
      </x:c>
      <x:c r="FT14" s="128" t="n">
        <x:f>'PROJECT TA Y TB KARINA'!$H68/8</x:f>
        <x:v>0</x:v>
      </x:c>
      <x:c r="FU14" s="128" t="n">
        <x:f>'PROJECT TA Y TB KARINA'!$H68/8</x:f>
        <x:v>0</x:v>
      </x:c>
      <x:c r="FV14" s="128" t="n">
        <x:f>'PROJECT TA Y TB KARINA'!$H68/8</x:f>
        <x:v>0</x:v>
      </x:c>
      <x:c r="FW14" s="128" t="n">
        <x:f>'PROJECT TA Y TB KARINA'!$H68/8</x:f>
        <x:v>0</x:v>
      </x:c>
      <x:c r="FX14" s="128" t="n">
        <x:f>'PROJECT TA Y TB KARINA'!$H68/8</x:f>
        <x:v>0</x:v>
      </x:c>
      <x:c r="FY14" s="128" t="n">
        <x:f>'PROJECT TA Y TB KARINA'!$H68/8</x:f>
        <x:v>0</x:v>
      </x:c>
      <x:c r="FZ14" s="128" t="n">
        <x:f>'PROJECT TA Y TB KARINA'!$H68/8</x:f>
        <x:v>0</x:v>
      </x:c>
      <x:c r="GA14" s="128" t="n">
        <x:f>'PROJECT TA Y TB KARINA'!$H68/8</x:f>
        <x:v>0</x:v>
      </x:c>
      <x:c r="GB14" s="128" t="n">
        <x:f>'PROJECT TA Y TB KARINA'!$I68/8</x:f>
        <x:v>0</x:v>
      </x:c>
      <x:c r="GC14" s="128" t="n">
        <x:f>'PROJECT TA Y TB KARINA'!$I68/8</x:f>
        <x:v>0</x:v>
      </x:c>
      <x:c r="GD14" s="128" t="n">
        <x:f>'PROJECT TA Y TB KARINA'!$I68/8</x:f>
        <x:v>0</x:v>
      </x:c>
      <x:c r="GE14" s="128" t="n">
        <x:f>'PROJECT TA Y TB KARINA'!$I68/8</x:f>
        <x:v>0</x:v>
      </x:c>
      <x:c r="GF14" s="128" t="n">
        <x:f>'PROJECT TA Y TB KARINA'!$I68/8</x:f>
        <x:v>0</x:v>
      </x:c>
      <x:c r="GG14" s="128" t="n">
        <x:f>'PROJECT TA Y TB KARINA'!$I68/8</x:f>
        <x:v>0</x:v>
      </x:c>
      <x:c r="GH14" s="128" t="n">
        <x:f>'PROJECT TA Y TB KARINA'!$I68/8</x:f>
        <x:v>0</x:v>
      </x:c>
      <x:c r="GI14" s="128" t="n">
        <x:f>'PROJECT TA Y TB KARINA'!$I68/8</x:f>
        <x:v>0</x:v>
      </x:c>
      <x:c r="GJ14" s="128" t="n">
        <x:f>'PROJECT TA Y TB KARINA'!$J68/8</x:f>
        <x:v>0</x:v>
      </x:c>
      <x:c r="GK14" s="128" t="n">
        <x:f>'PROJECT TA Y TB KARINA'!$J68/8</x:f>
        <x:v>0</x:v>
      </x:c>
      <x:c r="GL14" s="128" t="n">
        <x:f>'PROJECT TA Y TB KARINA'!$J68/8</x:f>
        <x:v>0</x:v>
      </x:c>
      <x:c r="GM14" s="128" t="n">
        <x:f>'PROJECT TA Y TB KARINA'!$J68/8</x:f>
        <x:v>0</x:v>
      </x:c>
      <x:c r="GN14" s="128" t="n">
        <x:f>'PROJECT TA Y TB KARINA'!$J68/8</x:f>
        <x:v>0</x:v>
      </x:c>
      <x:c r="GO14" s="128" t="n">
        <x:f>'PROJECT TA Y TB KARINA'!$J68/8</x:f>
        <x:v>0</x:v>
      </x:c>
      <x:c r="GP14" s="128" t="n">
        <x:f>'PROJECT TA Y TB KARINA'!$J68/8</x:f>
        <x:v>0</x:v>
      </x:c>
      <x:c r="GQ14" s="128" t="n">
        <x:f>'PROJECT TA Y TB KARINA'!$J68/8</x:f>
        <x:v>0</x:v>
      </x:c>
      <x:c r="GR14" s="128" t="n">
        <x:f>'PROJECT TA Y TB KARINA'!$K68/8</x:f>
        <x:v>0</x:v>
      </x:c>
      <x:c r="GS14" s="128" t="n">
        <x:f>'PROJECT TA Y TB KARINA'!$K68/8</x:f>
        <x:v>0</x:v>
      </x:c>
      <x:c r="GT14" s="128" t="n">
        <x:f>'PROJECT TA Y TB KARINA'!$K68/8</x:f>
        <x:v>0</x:v>
      </x:c>
      <x:c r="GU14" s="128" t="n">
        <x:f>'PROJECT TA Y TB KARINA'!$K68/8</x:f>
        <x:v>0</x:v>
      </x:c>
      <x:c r="GV14" s="128" t="n">
        <x:f>'PROJECT TA Y TB KARINA'!$K68/8</x:f>
        <x:v>0</x:v>
      </x:c>
      <x:c r="GW14" s="128" t="n">
        <x:f>'PROJECT TA Y TB KARINA'!$K68/8</x:f>
        <x:v>0</x:v>
      </x:c>
      <x:c r="GX14" s="128" t="n">
        <x:f>'PROJECT TA Y TB KARINA'!$K68/8</x:f>
        <x:v>0</x:v>
      </x:c>
      <x:c r="GY14" s="128" t="n">
        <x:f>'PROJECT TA Y TB KARINA'!$K68/8</x:f>
        <x:v>0</x:v>
      </x:c>
      <x:c r="GZ14" s="128" t="n">
        <x:f>'PROJECT TA Y TB KARINA'!$L68/8</x:f>
        <x:v>0</x:v>
      </x:c>
      <x:c r="HA14" s="128" t="n">
        <x:f>'PROJECT TA Y TB KARINA'!$L68/8</x:f>
        <x:v>0</x:v>
      </x:c>
      <x:c r="HB14" s="128" t="n">
        <x:f>'PROJECT TA Y TB KARINA'!$L68/8</x:f>
        <x:v>0</x:v>
      </x:c>
      <x:c r="HC14" s="128" t="n">
        <x:f>'PROJECT TA Y TB KARINA'!$L68/8</x:f>
        <x:v>0</x:v>
      </x:c>
      <x:c r="HD14" s="128" t="n">
        <x:f>'PROJECT TA Y TB KARINA'!$L68/8</x:f>
        <x:v>0</x:v>
      </x:c>
      <x:c r="HE14" s="128" t="n">
        <x:f>'PROJECT TA Y TB KARINA'!$L68/8</x:f>
        <x:v>0</x:v>
      </x:c>
      <x:c r="HF14" s="128" t="n">
        <x:f>'PROJECT TA Y TB KARINA'!$L68/8</x:f>
        <x:v>0</x:v>
      </x:c>
      <x:c r="HG14" s="128" t="n">
        <x:f>'PROJECT TA Y TB KARINA'!$L68/8</x:f>
        <x:v>0</x:v>
      </x:c>
      <x:c r="HH14" s="128" t="n">
        <x:f>'PROJECT TA Y TB KARINA'!$M68/8</x:f>
        <x:v>0</x:v>
      </x:c>
      <x:c r="HI14" s="128" t="n">
        <x:f>'PROJECT TA Y TB KARINA'!$M68/8</x:f>
        <x:v>0</x:v>
      </x:c>
      <x:c r="HJ14" s="128" t="n">
        <x:f>'PROJECT TA Y TB KARINA'!$M68/8</x:f>
        <x:v>0</x:v>
      </x:c>
      <x:c r="HK14" s="128" t="n">
        <x:f>'PROJECT TA Y TB KARINA'!$M68/8</x:f>
        <x:v>0</x:v>
      </x:c>
      <x:c r="HL14" s="128" t="n">
        <x:f>'PROJECT TA Y TB KARINA'!$M68/8</x:f>
        <x:v>0</x:v>
      </x:c>
      <x:c r="HM14" s="128" t="n">
        <x:f>'PROJECT TA Y TB KARINA'!$M68/8</x:f>
        <x:v>0</x:v>
      </x:c>
      <x:c r="HN14" s="128" t="n">
        <x:f>'PROJECT TA Y TB KARINA'!$M68/8</x:f>
        <x:v>0</x:v>
      </x:c>
      <x:c r="HO14" s="128" t="n">
        <x:f>'PROJECT TA Y TB KARINA'!$M68/8</x:f>
        <x:v>0</x:v>
      </x:c>
      <x:c r="HP14" s="128" t="n">
        <x:f>'PROJECT TA Y TB KARINA'!$N68/8</x:f>
        <x:v>0</x:v>
      </x:c>
      <x:c r="HQ14" s="128" t="n">
        <x:f>'PROJECT TA Y TB KARINA'!$N68/8</x:f>
        <x:v>0</x:v>
      </x:c>
      <x:c r="HR14" s="128" t="n">
        <x:f>'PROJECT TA Y TB KARINA'!$N68/8</x:f>
        <x:v>0</x:v>
      </x:c>
      <x:c r="HS14" s="128" t="n">
        <x:f>'PROJECT TA Y TB KARINA'!$N68/8</x:f>
        <x:v>0</x:v>
      </x:c>
      <x:c r="HT14" s="128" t="n">
        <x:f>'PROJECT TA Y TB KARINA'!$N68/8</x:f>
        <x:v>0</x:v>
      </x:c>
      <x:c r="HU14" s="128" t="n">
        <x:f>'PROJECT TA Y TB KARINA'!$N68/8</x:f>
        <x:v>0</x:v>
      </x:c>
      <x:c r="HV14" s="128" t="n">
        <x:f>'PROJECT TA Y TB KARINA'!$N68/8</x:f>
        <x:v>0</x:v>
      </x:c>
      <x:c r="HW14" s="128" t="n">
        <x:f>'PROJECT TA Y TB KARINA'!$N68/8</x:f>
        <x:v>0</x:v>
      </x:c>
      <x:c r="HX14" s="128" t="n">
        <x:f>'PROJECT TA Y TB KARINA'!$O68/8</x:f>
        <x:v>0</x:v>
      </x:c>
      <x:c r="HY14" s="128" t="n">
        <x:f>'PROJECT TA Y TB KARINA'!$O68/8</x:f>
        <x:v>0</x:v>
      </x:c>
      <x:c r="HZ14" s="128" t="n">
        <x:f>'PROJECT TA Y TB KARINA'!$O68/8</x:f>
        <x:v>0</x:v>
      </x:c>
      <x:c r="IA14" s="128" t="n">
        <x:f>'PROJECT TA Y TB KARINA'!$O68/8</x:f>
        <x:v>0</x:v>
      </x:c>
      <x:c r="IB14" s="128" t="n">
        <x:f>'PROJECT TA Y TB KARINA'!$O68/8</x:f>
        <x:v>0</x:v>
      </x:c>
      <x:c r="IC14" s="128" t="n">
        <x:f>'PROJECT TA Y TB KARINA'!$O68/8</x:f>
        <x:v>0</x:v>
      </x:c>
      <x:c r="ID14" s="128" t="n">
        <x:f>'PROJECT TA Y TB KARINA'!$O68/8</x:f>
        <x:v>0</x:v>
      </x:c>
      <x:c r="IE14" s="128" t="n">
        <x:f>'PROJECT TA Y TB KARINA'!$O68/8</x:f>
        <x:v>0</x:v>
      </x:c>
      <x:c r="IF14" s="128" t="n">
        <x:f>'PROJECT TA Y TB KARINA'!$P68/8</x:f>
        <x:v>0</x:v>
      </x:c>
      <x:c r="IG14" s="128" t="n">
        <x:f>'PROJECT TA Y TB KARINA'!$P68/8</x:f>
        <x:v>0</x:v>
      </x:c>
      <x:c r="IH14" s="128" t="n">
        <x:f>'PROJECT TA Y TB KARINA'!$P68/8</x:f>
        <x:v>0</x:v>
      </x:c>
      <x:c r="II14" s="128" t="n">
        <x:f>'PROJECT TA Y TB KARINA'!$P68/8</x:f>
        <x:v>0</x:v>
      </x:c>
      <x:c r="IJ14" s="128" t="n">
        <x:f>'PROJECT TA Y TB KARINA'!$P68/8</x:f>
        <x:v>0</x:v>
      </x:c>
      <x:c r="IK14" s="128" t="n">
        <x:f>'PROJECT TA Y TB KARINA'!$P68/8</x:f>
        <x:v>0</x:v>
      </x:c>
      <x:c r="IL14" s="128" t="n">
        <x:f>'PROJECT TA Y TB KARINA'!$P68/8</x:f>
        <x:v>0</x:v>
      </x:c>
      <x:c r="IM14" s="128" t="n">
        <x:f>'PROJECT TA Y TB KARINA'!$P68/8</x:f>
        <x:v>0</x:v>
      </x:c>
      <x:c r="IN14" s="128" t="n">
        <x:f>'PROJECT TA Y TB KARINA'!$Q68/8</x:f>
        <x:v>0</x:v>
      </x:c>
      <x:c r="IO14" s="128" t="n">
        <x:f>'PROJECT TA Y TB KARINA'!$Q68/8</x:f>
        <x:v>0</x:v>
      </x:c>
      <x:c r="IP14" s="128" t="n">
        <x:f>'PROJECT TA Y TB KARINA'!$Q68/8</x:f>
        <x:v>0</x:v>
      </x:c>
      <x:c r="IQ14" s="128" t="n">
        <x:f>'PROJECT TA Y TB KARINA'!$Q68/8</x:f>
        <x:v>0</x:v>
      </x:c>
      <x:c r="IR14" s="128" t="n">
        <x:f>'PROJECT TA Y TB KARINA'!$Q68/8</x:f>
        <x:v>0</x:v>
      </x:c>
      <x:c r="IS14" s="128" t="n">
        <x:f>'PROJECT TA Y TB KARINA'!$Q68/8</x:f>
        <x:v>0</x:v>
      </x:c>
      <x:c r="IT14" s="128" t="n">
        <x:f>'PROJECT TA Y TB KARINA'!$Q68/8</x:f>
        <x:v>0</x:v>
      </x:c>
      <x:c r="IU14" s="128" t="n">
        <x:f>'PROJECT TA Y TB KARINA'!$Q68/8</x:f>
        <x:v>0</x:v>
      </x:c>
      <x:c r="IV14" s="128" t="n">
        <x:f>'PROJECT TA Y TB KARINA'!$R68/8</x:f>
        <x:v>0</x:v>
      </x:c>
      <x:c r="IW14" s="128" t="n">
        <x:f>'PROJECT TA Y TB KARINA'!$R68/8</x:f>
        <x:v>0</x:v>
      </x:c>
      <x:c r="IX14" s="128" t="n">
        <x:f>'PROJECT TA Y TB KARINA'!$R68/8</x:f>
        <x:v>0</x:v>
      </x:c>
      <x:c r="IY14" s="128" t="n">
        <x:f>'PROJECT TA Y TB KARINA'!$R68/8</x:f>
        <x:v>0</x:v>
      </x:c>
      <x:c r="IZ14" s="128" t="n">
        <x:f>'PROJECT TA Y TB KARINA'!$R68/8</x:f>
        <x:v>0</x:v>
      </x:c>
      <x:c r="JA14" s="128" t="n">
        <x:f>'PROJECT TA Y TB KARINA'!$R68/8</x:f>
        <x:v>0</x:v>
      </x:c>
      <x:c r="JB14" s="128" t="n">
        <x:f>'PROJECT TA Y TB KARINA'!$R68/8</x:f>
        <x:v>0</x:v>
      </x:c>
      <x:c r="JC14" s="128" t="n">
        <x:f>'PROJECT TA Y TB KARINA'!$R68/8</x:f>
        <x:v>0</x:v>
      </x:c>
      <x:c r="JD14" s="128" t="n">
        <x:f>'PROJECT TA Y TB KARINA'!$S68/8</x:f>
        <x:v>0</x:v>
      </x:c>
      <x:c r="JE14" s="128" t="n">
        <x:f>'PROJECT TA Y TB KARINA'!$S68/8</x:f>
        <x:v>0</x:v>
      </x:c>
      <x:c r="JF14" s="128" t="n">
        <x:f>'PROJECT TA Y TB KARINA'!$S68/8</x:f>
        <x:v>0</x:v>
      </x:c>
      <x:c r="JG14" s="128" t="n">
        <x:f>'PROJECT TA Y TB KARINA'!$S68/8</x:f>
        <x:v>0</x:v>
      </x:c>
      <x:c r="JH14" s="128" t="n">
        <x:f>'PROJECT TA Y TB KARINA'!$S68/8</x:f>
        <x:v>0</x:v>
      </x:c>
      <x:c r="JI14" s="128" t="n">
        <x:f>'PROJECT TA Y TB KARINA'!$S68/8</x:f>
        <x:v>0</x:v>
      </x:c>
      <x:c r="JJ14" s="128" t="n">
        <x:f>'PROJECT TA Y TB KARINA'!$S68/8</x:f>
        <x:v>0</x:v>
      </x:c>
      <x:c r="JK14" s="128" t="n">
        <x:f>'PROJECT TA Y TB KARINA'!$S68/8</x:f>
        <x:v>0</x:v>
      </x:c>
      <x:c r="JL14" s="128" t="n">
        <x:f>'PROJECT TA Y TB KARINA'!$T68/8</x:f>
        <x:v>0</x:v>
      </x:c>
      <x:c r="JM14" s="128" t="n">
        <x:f>'PROJECT TA Y TB KARINA'!$T68/8</x:f>
        <x:v>0</x:v>
      </x:c>
      <x:c r="JN14" s="128" t="n">
        <x:f>'PROJECT TA Y TB KARINA'!$T68/8</x:f>
        <x:v>0</x:v>
      </x:c>
      <x:c r="JO14" s="128" t="n">
        <x:f>'PROJECT TA Y TB KARINA'!$T68/8</x:f>
        <x:v>0</x:v>
      </x:c>
      <x:c r="JP14" s="128" t="n">
        <x:f>'PROJECT TA Y TB KARINA'!$T68/8</x:f>
        <x:v>0</x:v>
      </x:c>
      <x:c r="JQ14" s="128" t="n">
        <x:f>'PROJECT TA Y TB KARINA'!$T68/8</x:f>
        <x:v>0</x:v>
      </x:c>
      <x:c r="JR14" s="128" t="n">
        <x:f>'PROJECT TA Y TB KARINA'!$T68/8</x:f>
        <x:v>0</x:v>
      </x:c>
      <x:c r="JS14" s="128" t="n">
        <x:f>'PROJECT TA Y TB KARINA'!$T68/8</x:f>
        <x:v>0</x:v>
      </x:c>
      <x:c r="JT14" s="128" t="e">
        <x:f>'PROJECT TA Y TB KARINA'!#REF!/8</x:f>
        <x:v>#NAME?</x:v>
      </x:c>
      <x:c r="JU14" s="128" t="e">
        <x:f>'PROJECT TA Y TB KARINA'!#REF!/8</x:f>
        <x:v>#NAME?</x:v>
      </x:c>
      <x:c r="JV14" s="128" t="e">
        <x:f>'PROJECT TA Y TB KARINA'!#REF!/8</x:f>
        <x:v>#NAME?</x:v>
      </x:c>
      <x:c r="JW14" s="128" t="e">
        <x:f>'PROJECT TA Y TB KARINA'!#REF!/8</x:f>
        <x:v>#NAME?</x:v>
      </x:c>
      <x:c r="JX14" s="128" t="e">
        <x:f>'PROJECT TA Y TB KARINA'!#REF!/8</x:f>
        <x:v>#NAME?</x:v>
      </x:c>
      <x:c r="JY14" s="128" t="e">
        <x:f>'PROJECT TA Y TB KARINA'!#REF!/8</x:f>
        <x:v>#NAME?</x:v>
      </x:c>
      <x:c r="JZ14" s="128" t="e">
        <x:f>'PROJECT TA Y TB KARINA'!#REF!/8</x:f>
        <x:v>#NAME?</x:v>
      </x:c>
      <x:c r="KA14" s="128" t="e">
        <x:f>'PROJECT TA Y TB KARINA'!#REF!/8</x:f>
        <x:v>#NAME?</x:v>
      </x:c>
    </x:row>
    <x:row r="15" ht="21">
      <x:c r="A15" s="130" t="s">
        <x:v>500</x:v>
      </x:c>
      <x:c r="B15" s="128" t="e">
        <x:f>'PROJECT TA Y TB KARINA'!$C$11/8</x:f>
        <x:v>#REF!</x:v>
      </x:c>
      <x:c r="C15" s="128" t="e">
        <x:f>'PROJECT TA Y TB KARINA'!$C$11/8</x:f>
        <x:v>#REF!</x:v>
      </x:c>
      <x:c r="D15" s="128" t="e">
        <x:f>'PROJECT TA Y TB KARINA'!$C$11/8</x:f>
        <x:v>#REF!</x:v>
      </x:c>
      <x:c r="E15" s="128" t="e">
        <x:f>'PROJECT TA Y TB KARINA'!$C$11/8</x:f>
        <x:v>#REF!</x:v>
      </x:c>
      <x:c r="F15" s="128" t="e">
        <x:f>'PROJECT TA Y TB KARINA'!$C$11/8</x:f>
        <x:v>#REF!</x:v>
      </x:c>
      <x:c r="G15" s="128" t="e">
        <x:f>'PROJECT TA Y TB KARINA'!$C$11/8</x:f>
        <x:v>#REF!</x:v>
      </x:c>
      <x:c r="H15" s="128" t="e">
        <x:f>'PROJECT TA Y TB KARINA'!$C$11/8</x:f>
        <x:v>#REF!</x:v>
      </x:c>
      <x:c r="I15" s="128" t="e">
        <x:f>'PROJECT TA Y TB KARINA'!$E11/8</x:f>
        <x:v>#REF!</x:v>
      </x:c>
      <x:c r="J15" s="128" t="e">
        <x:f>'PROJECT TA Y TB KARINA'!$E11/8</x:f>
        <x:v>#REF!</x:v>
      </x:c>
      <x:c r="K15" s="128" t="e">
        <x:f>'PROJECT TA Y TB KARINA'!$E11/8</x:f>
        <x:v>#REF!</x:v>
      </x:c>
      <x:c r="L15" s="128" t="e">
        <x:f>'PROJECT TA Y TB KARINA'!$E11/8</x:f>
        <x:v>#REF!</x:v>
      </x:c>
      <x:c r="M15" s="128" t="e">
        <x:f>'PROJECT TA Y TB KARINA'!$E11/8</x:f>
        <x:v>#REF!</x:v>
      </x:c>
      <x:c r="N15" s="128" t="e">
        <x:f>'PROJECT TA Y TB KARINA'!$E11/8</x:f>
        <x:v>#REF!</x:v>
      </x:c>
      <x:c r="O15" s="128" t="e">
        <x:f>'PROJECT TA Y TB KARINA'!$E11/8</x:f>
        <x:v>#REF!</x:v>
      </x:c>
      <x:c r="P15" s="128" t="e">
        <x:f>'PROJECT TA Y TB KARINA'!$E11/8</x:f>
        <x:v>#REF!</x:v>
      </x:c>
      <x:c r="Q15" s="128" t="e">
        <x:f>'PROJECT TA Y TB KARINA'!$F11/8</x:f>
        <x:v>#REF!</x:v>
      </x:c>
      <x:c r="R15" s="128" t="e">
        <x:f>'PROJECT TA Y TB KARINA'!$F11/8</x:f>
        <x:v>#REF!</x:v>
      </x:c>
      <x:c r="S15" s="128" t="e">
        <x:f>'PROJECT TA Y TB KARINA'!$F11/8</x:f>
        <x:v>#REF!</x:v>
      </x:c>
      <x:c r="T15" s="128" t="e">
        <x:f>'PROJECT TA Y TB KARINA'!$F11/8</x:f>
        <x:v>#REF!</x:v>
      </x:c>
      <x:c r="U15" s="128" t="e">
        <x:f>'PROJECT TA Y TB KARINA'!$F11/8</x:f>
        <x:v>#REF!</x:v>
      </x:c>
      <x:c r="V15" s="128" t="e">
        <x:f>'PROJECT TA Y TB KARINA'!$F11/8</x:f>
        <x:v>#REF!</x:v>
      </x:c>
      <x:c r="W15" s="128" t="e">
        <x:f>'PROJECT TA Y TB KARINA'!$F11/8</x:f>
        <x:v>#REF!</x:v>
      </x:c>
      <x:c r="X15" s="128" t="e">
        <x:f>'PROJECT TA Y TB KARINA'!$F11/8</x:f>
        <x:v>#REF!</x:v>
      </x:c>
      <x:c r="Y15" s="128" t="e">
        <x:f>'PROJECT TA Y TB KARINA'!$G11/8</x:f>
        <x:v>#REF!</x:v>
      </x:c>
      <x:c r="Z15" s="128" t="e">
        <x:f>'PROJECT TA Y TB KARINA'!$G11/8</x:f>
        <x:v>#REF!</x:v>
      </x:c>
      <x:c r="AA15" s="128" t="e">
        <x:f>'PROJECT TA Y TB KARINA'!$G11/8</x:f>
        <x:v>#REF!</x:v>
      </x:c>
      <x:c r="AB15" s="128" t="e">
        <x:f>'PROJECT TA Y TB KARINA'!$G11/8</x:f>
        <x:v>#REF!</x:v>
      </x:c>
      <x:c r="AC15" s="128" t="e">
        <x:f>'PROJECT TA Y TB KARINA'!$G11/8</x:f>
        <x:v>#REF!</x:v>
      </x:c>
      <x:c r="AD15" s="128" t="e">
        <x:f>'PROJECT TA Y TB KARINA'!$G11/8</x:f>
        <x:v>#REF!</x:v>
      </x:c>
      <x:c r="AE15" s="128" t="e">
        <x:f>'PROJECT TA Y TB KARINA'!$G11/8</x:f>
        <x:v>#REF!</x:v>
      </x:c>
      <x:c r="AF15" s="128" t="e">
        <x:f>'PROJECT TA Y TB KARINA'!$G11/8</x:f>
        <x:v>#REF!</x:v>
      </x:c>
      <x:c r="AG15" s="128" t="e">
        <x:f>'PROJECT TA Y TB KARINA'!$H11/8</x:f>
        <x:v>#REF!</x:v>
      </x:c>
      <x:c r="AH15" s="128" t="e">
        <x:f>'PROJECT TA Y TB KARINA'!$H11/8</x:f>
        <x:v>#REF!</x:v>
      </x:c>
      <x:c r="AI15" s="128" t="e">
        <x:f>'PROJECT TA Y TB KARINA'!$H11/8</x:f>
        <x:v>#REF!</x:v>
      </x:c>
      <x:c r="AJ15" s="128" t="e">
        <x:f>'PROJECT TA Y TB KARINA'!$H11/8</x:f>
        <x:v>#REF!</x:v>
      </x:c>
      <x:c r="AK15" s="128" t="e">
        <x:f>'PROJECT TA Y TB KARINA'!$H11/8</x:f>
        <x:v>#REF!</x:v>
      </x:c>
      <x:c r="AL15" s="128" t="e">
        <x:f>'PROJECT TA Y TB KARINA'!$H11/8</x:f>
        <x:v>#REF!</x:v>
      </x:c>
      <x:c r="AM15" s="128" t="e">
        <x:f>'PROJECT TA Y TB KARINA'!$H11/8</x:f>
        <x:v>#REF!</x:v>
      </x:c>
      <x:c r="AN15" s="128" t="e">
        <x:f>'PROJECT TA Y TB KARINA'!$H11/8</x:f>
        <x:v>#REF!</x:v>
      </x:c>
      <x:c r="AO15" s="128" t="e">
        <x:f>'PROJECT TA Y TB KARINA'!$I11/8</x:f>
        <x:v>#REF!</x:v>
      </x:c>
      <x:c r="AP15" s="128" t="e">
        <x:f>'PROJECT TA Y TB KARINA'!$I11/8</x:f>
        <x:v>#REF!</x:v>
      </x:c>
      <x:c r="AQ15" s="128" t="e">
        <x:f>'PROJECT TA Y TB KARINA'!$I11/8</x:f>
        <x:v>#REF!</x:v>
      </x:c>
      <x:c r="AR15" s="128" t="e">
        <x:f>'PROJECT TA Y TB KARINA'!$I11/8</x:f>
        <x:v>#REF!</x:v>
      </x:c>
      <x:c r="AS15" s="128" t="e">
        <x:f>'PROJECT TA Y TB KARINA'!$I11/8</x:f>
        <x:v>#REF!</x:v>
      </x:c>
      <x:c r="AT15" s="128" t="e">
        <x:f>'PROJECT TA Y TB KARINA'!$I11/8</x:f>
        <x:v>#REF!</x:v>
      </x:c>
      <x:c r="AU15" s="128" t="e">
        <x:f>'PROJECT TA Y TB KARINA'!$I11/8</x:f>
        <x:v>#REF!</x:v>
      </x:c>
      <x:c r="AV15" s="128" t="e">
        <x:f>'PROJECT TA Y TB KARINA'!$I11/8</x:f>
        <x:v>#REF!</x:v>
      </x:c>
      <x:c r="AW15" s="128" t="e">
        <x:f>'PROJECT TA Y TB KARINA'!$J11/8</x:f>
        <x:v>#REF!</x:v>
      </x:c>
      <x:c r="AX15" s="128" t="e">
        <x:f>'PROJECT TA Y TB KARINA'!$J11/8</x:f>
        <x:v>#REF!</x:v>
      </x:c>
      <x:c r="AY15" s="128" t="e">
        <x:f>'PROJECT TA Y TB KARINA'!$J11/8</x:f>
        <x:v>#REF!</x:v>
      </x:c>
      <x:c r="AZ15" s="128" t="e">
        <x:f>'PROJECT TA Y TB KARINA'!$J11/8</x:f>
        <x:v>#REF!</x:v>
      </x:c>
      <x:c r="BA15" s="128" t="e">
        <x:f>'PROJECT TA Y TB KARINA'!$J11/8</x:f>
        <x:v>#REF!</x:v>
      </x:c>
      <x:c r="BB15" s="128" t="e">
        <x:f>'PROJECT TA Y TB KARINA'!$J11/8</x:f>
        <x:v>#REF!</x:v>
      </x:c>
      <x:c r="BC15" s="128" t="e">
        <x:f>'PROJECT TA Y TB KARINA'!$J11/8</x:f>
        <x:v>#REF!</x:v>
      </x:c>
      <x:c r="BD15" s="128" t="e">
        <x:f>'PROJECT TA Y TB KARINA'!$J11/8</x:f>
        <x:v>#REF!</x:v>
      </x:c>
      <x:c r="BE15" s="128" t="e">
        <x:f>'PROJECT TA Y TB KARINA'!$K11/8</x:f>
        <x:v>#REF!</x:v>
      </x:c>
      <x:c r="BF15" s="128" t="e">
        <x:f>'PROJECT TA Y TB KARINA'!$K11/8</x:f>
        <x:v>#REF!</x:v>
      </x:c>
      <x:c r="BG15" s="128" t="e">
        <x:f>'PROJECT TA Y TB KARINA'!$K11/8</x:f>
        <x:v>#REF!</x:v>
      </x:c>
      <x:c r="BH15" s="128" t="e">
        <x:f>'PROJECT TA Y TB KARINA'!$K11/8</x:f>
        <x:v>#REF!</x:v>
      </x:c>
      <x:c r="BI15" s="128" t="e">
        <x:f>'PROJECT TA Y TB KARINA'!$K11/8</x:f>
        <x:v>#REF!</x:v>
      </x:c>
      <x:c r="BJ15" s="128" t="e">
        <x:f>'PROJECT TA Y TB KARINA'!$K11/8</x:f>
        <x:v>#REF!</x:v>
      </x:c>
      <x:c r="BK15" s="128" t="e">
        <x:f>'PROJECT TA Y TB KARINA'!$K11/8</x:f>
        <x:v>#REF!</x:v>
      </x:c>
      <x:c r="BL15" s="128" t="e">
        <x:f>'PROJECT TA Y TB KARINA'!$K11/8</x:f>
        <x:v>#REF!</x:v>
      </x:c>
      <x:c r="BM15" s="128" t="e">
        <x:f>'PROJECT TA Y TB KARINA'!$L11/8</x:f>
        <x:v>#REF!</x:v>
      </x:c>
      <x:c r="BN15" s="128" t="e">
        <x:f>'PROJECT TA Y TB KARINA'!$L11/8</x:f>
        <x:v>#REF!</x:v>
      </x:c>
      <x:c r="BO15" s="128" t="e">
        <x:f>'PROJECT TA Y TB KARINA'!$L11/8</x:f>
        <x:v>#REF!</x:v>
      </x:c>
      <x:c r="BP15" s="128" t="e">
        <x:f>'PROJECT TA Y TB KARINA'!$L11/8</x:f>
        <x:v>#REF!</x:v>
      </x:c>
      <x:c r="BQ15" s="128" t="e">
        <x:f>'PROJECT TA Y TB KARINA'!$L11/8</x:f>
        <x:v>#REF!</x:v>
      </x:c>
      <x:c r="BR15" s="128" t="e">
        <x:f>'PROJECT TA Y TB KARINA'!$L11/8</x:f>
        <x:v>#REF!</x:v>
      </x:c>
      <x:c r="BS15" s="128" t="e">
        <x:f>'PROJECT TA Y TB KARINA'!$L11/8</x:f>
        <x:v>#REF!</x:v>
      </x:c>
      <x:c r="BT15" s="128" t="e">
        <x:f>'PROJECT TA Y TB KARINA'!$L11/8</x:f>
        <x:v>#REF!</x:v>
      </x:c>
      <x:c r="BU15" s="128" t="e">
        <x:f>'PROJECT TA Y TB KARINA'!$M11/8</x:f>
        <x:v>#REF!</x:v>
      </x:c>
      <x:c r="BV15" s="128" t="e">
        <x:f>'PROJECT TA Y TB KARINA'!$M11/8</x:f>
        <x:v>#REF!</x:v>
      </x:c>
      <x:c r="BW15" s="128" t="e">
        <x:f>'PROJECT TA Y TB KARINA'!$M11/8</x:f>
        <x:v>#REF!</x:v>
      </x:c>
      <x:c r="BX15" s="128" t="e">
        <x:f>'PROJECT TA Y TB KARINA'!$M11/8</x:f>
        <x:v>#REF!</x:v>
      </x:c>
      <x:c r="BY15" s="128" t="e">
        <x:f>'PROJECT TA Y TB KARINA'!$M11/8</x:f>
        <x:v>#REF!</x:v>
      </x:c>
      <x:c r="BZ15" s="128" t="e">
        <x:f>'PROJECT TA Y TB KARINA'!$M11/8</x:f>
        <x:v>#REF!</x:v>
      </x:c>
      <x:c r="CA15" s="128" t="e">
        <x:f>'PROJECT TA Y TB KARINA'!$M11/8</x:f>
        <x:v>#REF!</x:v>
      </x:c>
      <x:c r="CB15" s="128" t="e">
        <x:f>'PROJECT TA Y TB KARINA'!$M11/8</x:f>
        <x:v>#REF!</x:v>
      </x:c>
      <x:c r="CC15" s="128" t="e">
        <x:f>'PROJECT TA Y TB KARINA'!$N11/8</x:f>
        <x:v>#REF!</x:v>
      </x:c>
      <x:c r="CD15" s="128" t="e">
        <x:f>'PROJECT TA Y TB KARINA'!$N11/8</x:f>
        <x:v>#REF!</x:v>
      </x:c>
      <x:c r="CE15" s="128" t="e">
        <x:f>'PROJECT TA Y TB KARINA'!$N11/8</x:f>
        <x:v>#REF!</x:v>
      </x:c>
      <x:c r="CF15" s="128" t="e">
        <x:f>'PROJECT TA Y TB KARINA'!$N11/8</x:f>
        <x:v>#REF!</x:v>
      </x:c>
      <x:c r="CG15" s="128" t="e">
        <x:f>'PROJECT TA Y TB KARINA'!$N11/8</x:f>
        <x:v>#REF!</x:v>
      </x:c>
      <x:c r="CH15" s="128" t="e">
        <x:f>'PROJECT TA Y TB KARINA'!$N11/8</x:f>
        <x:v>#REF!</x:v>
      </x:c>
      <x:c r="CI15" s="128" t="e">
        <x:f>'PROJECT TA Y TB KARINA'!$N11/8</x:f>
        <x:v>#REF!</x:v>
      </x:c>
      <x:c r="CJ15" s="128" t="e">
        <x:f>'PROJECT TA Y TB KARINA'!$N11/8</x:f>
        <x:v>#REF!</x:v>
      </x:c>
      <x:c r="CK15" s="128" t="e">
        <x:f>'PROJECT TA Y TB KARINA'!$O11/8</x:f>
        <x:v>#REF!</x:v>
      </x:c>
      <x:c r="CL15" s="128" t="e">
        <x:f>'PROJECT TA Y TB KARINA'!$O11/8</x:f>
        <x:v>#REF!</x:v>
      </x:c>
      <x:c r="CM15" s="128" t="e">
        <x:f>'PROJECT TA Y TB KARINA'!$O11/8</x:f>
        <x:v>#REF!</x:v>
      </x:c>
      <x:c r="CN15" s="128" t="e">
        <x:f>'PROJECT TA Y TB KARINA'!$O11/8</x:f>
        <x:v>#REF!</x:v>
      </x:c>
      <x:c r="CO15" s="128" t="e">
        <x:f>'PROJECT TA Y TB KARINA'!$O11/8</x:f>
        <x:v>#REF!</x:v>
      </x:c>
      <x:c r="CP15" s="128" t="e">
        <x:f>'PROJECT TA Y TB KARINA'!$O11/8</x:f>
        <x:v>#REF!</x:v>
      </x:c>
      <x:c r="CQ15" s="128" t="e">
        <x:f>'PROJECT TA Y TB KARINA'!$O11/8</x:f>
        <x:v>#REF!</x:v>
      </x:c>
      <x:c r="CR15" s="128" t="e">
        <x:f>'PROJECT TA Y TB KARINA'!$O11/8</x:f>
        <x:v>#REF!</x:v>
      </x:c>
      <x:c r="CS15" s="128" t="e">
        <x:f>'PROJECT TA Y TB KARINA'!$P11/8</x:f>
        <x:v>#REF!</x:v>
      </x:c>
      <x:c r="CT15" s="128" t="e">
        <x:f>'PROJECT TA Y TB KARINA'!$P11/8</x:f>
        <x:v>#REF!</x:v>
      </x:c>
      <x:c r="CU15" s="128" t="e">
        <x:f>'PROJECT TA Y TB KARINA'!$P11/8</x:f>
        <x:v>#REF!</x:v>
      </x:c>
      <x:c r="CV15" s="128" t="e">
        <x:f>'PROJECT TA Y TB KARINA'!$P11/8</x:f>
        <x:v>#REF!</x:v>
      </x:c>
      <x:c r="CW15" s="128" t="e">
        <x:f>'PROJECT TA Y TB KARINA'!$P11/8</x:f>
        <x:v>#REF!</x:v>
      </x:c>
      <x:c r="CX15" s="128" t="e">
        <x:f>'PROJECT TA Y TB KARINA'!$P11/8</x:f>
        <x:v>#REF!</x:v>
      </x:c>
      <x:c r="CY15" s="128" t="e">
        <x:f>'PROJECT TA Y TB KARINA'!$P11/8</x:f>
        <x:v>#REF!</x:v>
      </x:c>
      <x:c r="CZ15" s="128" t="e">
        <x:f>'PROJECT TA Y TB KARINA'!$P11/8</x:f>
        <x:v>#REF!</x:v>
      </x:c>
      <x:c r="DA15" s="128" t="e">
        <x:f>'PROJECT TA Y TB KARINA'!$Q11/8</x:f>
        <x:v>#REF!</x:v>
      </x:c>
      <x:c r="DB15" s="128" t="e">
        <x:f>'PROJECT TA Y TB KARINA'!$Q11/8</x:f>
        <x:v>#REF!</x:v>
      </x:c>
      <x:c r="DC15" s="128" t="e">
        <x:f>'PROJECT TA Y TB KARINA'!$Q11/8</x:f>
        <x:v>#REF!</x:v>
      </x:c>
      <x:c r="DD15" s="128" t="e">
        <x:f>'PROJECT TA Y TB KARINA'!$Q11/8</x:f>
        <x:v>#REF!</x:v>
      </x:c>
      <x:c r="DE15" s="128" t="e">
        <x:f>'PROJECT TA Y TB KARINA'!$Q11/8</x:f>
        <x:v>#REF!</x:v>
      </x:c>
      <x:c r="DF15" s="128" t="e">
        <x:f>'PROJECT TA Y TB KARINA'!$Q11/8</x:f>
        <x:v>#REF!</x:v>
      </x:c>
      <x:c r="DG15" s="128" t="e">
        <x:f>'PROJECT TA Y TB KARINA'!$Q11/8</x:f>
        <x:v>#REF!</x:v>
      </x:c>
      <x:c r="DH15" s="128" t="e">
        <x:f>'PROJECT TA Y TB KARINA'!$Q11/8</x:f>
        <x:v>#REF!</x:v>
      </x:c>
      <x:c r="DI15" s="128" t="e">
        <x:f>'PROJECT TA Y TB KARINA'!$R11/8</x:f>
        <x:v>#REF!</x:v>
      </x:c>
      <x:c r="DJ15" s="128" t="e">
        <x:f>'PROJECT TA Y TB KARINA'!$R11/8</x:f>
        <x:v>#REF!</x:v>
      </x:c>
      <x:c r="DK15" s="128" t="e">
        <x:f>'PROJECT TA Y TB KARINA'!$R11/8</x:f>
        <x:v>#REF!</x:v>
      </x:c>
      <x:c r="DL15" s="128" t="e">
        <x:f>'PROJECT TA Y TB KARINA'!$R11/8</x:f>
        <x:v>#REF!</x:v>
      </x:c>
      <x:c r="DM15" s="128" t="e">
        <x:f>'PROJECT TA Y TB KARINA'!$R11/8</x:f>
        <x:v>#REF!</x:v>
      </x:c>
      <x:c r="DN15" s="128" t="e">
        <x:f>'PROJECT TA Y TB KARINA'!$R11/8</x:f>
        <x:v>#REF!</x:v>
      </x:c>
      <x:c r="DO15" s="128" t="e">
        <x:f>'PROJECT TA Y TB KARINA'!$R11/8</x:f>
        <x:v>#REF!</x:v>
      </x:c>
      <x:c r="DP15" s="128" t="e">
        <x:f>'PROJECT TA Y TB KARINA'!$R11/8</x:f>
        <x:v>#REF!</x:v>
      </x:c>
      <x:c r="DQ15" s="128" t="e">
        <x:f>'PROJECT TA Y TB KARINA'!$S11/8</x:f>
        <x:v>#REF!</x:v>
      </x:c>
      <x:c r="DR15" s="128" t="e">
        <x:f>'PROJECT TA Y TB KARINA'!$S11/8</x:f>
        <x:v>#REF!</x:v>
      </x:c>
      <x:c r="DS15" s="128" t="e">
        <x:f>'PROJECT TA Y TB KARINA'!$S11/8</x:f>
        <x:v>#REF!</x:v>
      </x:c>
      <x:c r="DT15" s="128" t="e">
        <x:f>'PROJECT TA Y TB KARINA'!$S11/8</x:f>
        <x:v>#REF!</x:v>
      </x:c>
      <x:c r="DU15" s="128" t="e">
        <x:f>'PROJECT TA Y TB KARINA'!$S11/8</x:f>
        <x:v>#REF!</x:v>
      </x:c>
      <x:c r="DV15" s="128" t="e">
        <x:f>'PROJECT TA Y TB KARINA'!$S11/8</x:f>
        <x:v>#REF!</x:v>
      </x:c>
      <x:c r="DW15" s="128" t="e">
        <x:f>'PROJECT TA Y TB KARINA'!$S11/8</x:f>
        <x:v>#REF!</x:v>
      </x:c>
      <x:c r="DX15" s="128" t="e">
        <x:f>'PROJECT TA Y TB KARINA'!$S11/8</x:f>
        <x:v>#REF!</x:v>
      </x:c>
      <x:c r="DY15" s="128" t="e">
        <x:f>'PROJECT TA Y TB KARINA'!$T11/8</x:f>
        <x:v>#REF!</x:v>
      </x:c>
      <x:c r="DZ15" s="128" t="e">
        <x:f>'PROJECT TA Y TB KARINA'!$T11/8</x:f>
        <x:v>#REF!</x:v>
      </x:c>
      <x:c r="EA15" s="128" t="e">
        <x:f>'PROJECT TA Y TB KARINA'!$T11/8</x:f>
        <x:v>#REF!</x:v>
      </x:c>
      <x:c r="EB15" s="128" t="e">
        <x:f>'PROJECT TA Y TB KARINA'!$T11/8</x:f>
        <x:v>#REF!</x:v>
      </x:c>
      <x:c r="EC15" s="128" t="e">
        <x:f>'PROJECT TA Y TB KARINA'!$T11/8</x:f>
        <x:v>#REF!</x:v>
      </x:c>
      <x:c r="ED15" s="128" t="e">
        <x:f>'PROJECT TA Y TB KARINA'!$T11/8</x:f>
        <x:v>#REF!</x:v>
      </x:c>
      <x:c r="EE15" s="128" t="e">
        <x:f>'PROJECT TA Y TB KARINA'!$T11/8</x:f>
        <x:v>#REF!</x:v>
      </x:c>
      <x:c r="EF15" s="128" t="e">
        <x:f>'PROJECT TA Y TB KARINA'!$T11/8</x:f>
        <x:v>#REF!</x:v>
      </x:c>
      <x:c r="EG15" s="128" t="e">
        <x:f>'PROJECT TA Y TB KARINA'!#REF!/8</x:f>
        <x:v>#NAME?</x:v>
      </x:c>
      <x:c r="EH15" s="128" t="e">
        <x:f>'PROJECT TA Y TB KARINA'!#REF!/8</x:f>
        <x:v>#NAME?</x:v>
      </x:c>
      <x:c r="EI15" s="128" t="e">
        <x:f>'PROJECT TA Y TB KARINA'!#REF!/8</x:f>
        <x:v>#NAME?</x:v>
      </x:c>
      <x:c r="EJ15" s="128" t="e">
        <x:f>'PROJECT TA Y TB KARINA'!#REF!/8</x:f>
        <x:v>#NAME?</x:v>
      </x:c>
      <x:c r="EK15" s="128" t="e">
        <x:f>'PROJECT TA Y TB KARINA'!#REF!/8</x:f>
        <x:v>#NAME?</x:v>
      </x:c>
      <x:c r="EL15" s="128" t="e">
        <x:f>'PROJECT TA Y TB KARINA'!#REF!/8</x:f>
        <x:v>#NAME?</x:v>
      </x:c>
      <x:c r="EM15" s="128" t="e">
        <x:f>'PROJECT TA Y TB KARINA'!#REF!/8</x:f>
        <x:v>#NAME?</x:v>
      </x:c>
      <x:c r="EN15" s="128" t="e">
        <x:f>'PROJECT TA Y TB KARINA'!#REF!/8</x:f>
        <x:v>#NAME?</x:v>
      </x:c>
      <x:c r="EO15" s="128" t="n">
        <x:f>'PROJECT TA Y TB KARINA'!$C69/8</x:f>
        <x:v>0</x:v>
      </x:c>
      <x:c r="EP15" s="128" t="n">
        <x:f>'PROJECT TA Y TB KARINA'!$C69/8</x:f>
        <x:v>0</x:v>
      </x:c>
      <x:c r="EQ15" s="128" t="n">
        <x:f>'PROJECT TA Y TB KARINA'!$C69/8</x:f>
        <x:v>0</x:v>
      </x:c>
      <x:c r="ER15" s="128" t="n">
        <x:f>'PROJECT TA Y TB KARINA'!$C69/8</x:f>
        <x:v>0</x:v>
      </x:c>
      <x:c r="ES15" s="128" t="n">
        <x:f>'PROJECT TA Y TB KARINA'!$C69/8</x:f>
        <x:v>0</x:v>
      </x:c>
      <x:c r="ET15" s="128" t="n">
        <x:f>'PROJECT TA Y TB KARINA'!$C69/8</x:f>
        <x:v>0</x:v>
      </x:c>
      <x:c r="EU15" s="128" t="n">
        <x:f>'PROJECT TA Y TB KARINA'!$C69/8</x:f>
        <x:v>0</x:v>
      </x:c>
      <x:c r="EV15" s="128" t="n">
        <x:f>'PROJECT TA Y TB KARINA'!$E69/8</x:f>
        <x:v>0</x:v>
      </x:c>
      <x:c r="EW15" s="128" t="n">
        <x:f>'PROJECT TA Y TB KARINA'!$E69/8</x:f>
        <x:v>0</x:v>
      </x:c>
      <x:c r="EX15" s="128" t="n">
        <x:f>'PROJECT TA Y TB KARINA'!$E69/8</x:f>
        <x:v>0</x:v>
      </x:c>
      <x:c r="EY15" s="128" t="n">
        <x:f>'PROJECT TA Y TB KARINA'!$E69/8</x:f>
        <x:v>0</x:v>
      </x:c>
      <x:c r="EZ15" s="128" t="n">
        <x:f>'PROJECT TA Y TB KARINA'!$E69/8</x:f>
        <x:v>0</x:v>
      </x:c>
      <x:c r="FA15" s="128" t="n">
        <x:f>'PROJECT TA Y TB KARINA'!$E69/8</x:f>
        <x:v>0</x:v>
      </x:c>
      <x:c r="FB15" s="128" t="n">
        <x:f>'PROJECT TA Y TB KARINA'!$E69/8</x:f>
        <x:v>0</x:v>
      </x:c>
      <x:c r="FC15" s="128" t="n">
        <x:f>'PROJECT TA Y TB KARINA'!$E69/8</x:f>
        <x:v>0</x:v>
      </x:c>
      <x:c r="FD15" s="128" t="n">
        <x:f>'PROJECT TA Y TB KARINA'!$F69/8</x:f>
        <x:v>0</x:v>
      </x:c>
      <x:c r="FE15" s="128" t="n">
        <x:f>'PROJECT TA Y TB KARINA'!$F69/8</x:f>
        <x:v>0</x:v>
      </x:c>
      <x:c r="FF15" s="128" t="n">
        <x:f>'PROJECT TA Y TB KARINA'!$F69/8</x:f>
        <x:v>0</x:v>
      </x:c>
      <x:c r="FG15" s="128" t="n">
        <x:f>'PROJECT TA Y TB KARINA'!$F69/8</x:f>
        <x:v>0</x:v>
      </x:c>
      <x:c r="FH15" s="128" t="n">
        <x:f>'PROJECT TA Y TB KARINA'!$F69/8</x:f>
        <x:v>0</x:v>
      </x:c>
      <x:c r="FI15" s="128" t="n">
        <x:f>'PROJECT TA Y TB KARINA'!$F69/8</x:f>
        <x:v>0</x:v>
      </x:c>
      <x:c r="FJ15" s="128" t="n">
        <x:f>'PROJECT TA Y TB KARINA'!$F69/8</x:f>
        <x:v>0</x:v>
      </x:c>
      <x:c r="FK15" s="128" t="n">
        <x:f>'PROJECT TA Y TB KARINA'!$F69/8</x:f>
        <x:v>0</x:v>
      </x:c>
      <x:c r="FL15" s="128" t="n">
        <x:f>'PROJECT TA Y TB KARINA'!$G69/8</x:f>
        <x:v>0</x:v>
      </x:c>
      <x:c r="FM15" s="128" t="n">
        <x:f>'PROJECT TA Y TB KARINA'!$G69/8</x:f>
        <x:v>0</x:v>
      </x:c>
      <x:c r="FN15" s="128" t="n">
        <x:f>'PROJECT TA Y TB KARINA'!$G69/8</x:f>
        <x:v>0</x:v>
      </x:c>
      <x:c r="FO15" s="128" t="n">
        <x:f>'PROJECT TA Y TB KARINA'!$G69/8</x:f>
        <x:v>0</x:v>
      </x:c>
      <x:c r="FP15" s="128" t="n">
        <x:f>'PROJECT TA Y TB KARINA'!$G69/8</x:f>
        <x:v>0</x:v>
      </x:c>
      <x:c r="FQ15" s="128" t="n">
        <x:f>'PROJECT TA Y TB KARINA'!$G69/8</x:f>
        <x:v>0</x:v>
      </x:c>
      <x:c r="FR15" s="128" t="n">
        <x:f>'PROJECT TA Y TB KARINA'!$G69/8</x:f>
        <x:v>0</x:v>
      </x:c>
      <x:c r="FS15" s="128" t="n">
        <x:f>'PROJECT TA Y TB KARINA'!$G69/8</x:f>
        <x:v>0</x:v>
      </x:c>
      <x:c r="FT15" s="128" t="n">
        <x:f>'PROJECT TA Y TB KARINA'!$H69/8</x:f>
        <x:v>0</x:v>
      </x:c>
      <x:c r="FU15" s="128" t="n">
        <x:f>'PROJECT TA Y TB KARINA'!$H69/8</x:f>
        <x:v>0</x:v>
      </x:c>
      <x:c r="FV15" s="128" t="n">
        <x:f>'PROJECT TA Y TB KARINA'!$H69/8</x:f>
        <x:v>0</x:v>
      </x:c>
      <x:c r="FW15" s="128" t="n">
        <x:f>'PROJECT TA Y TB KARINA'!$H69/8</x:f>
        <x:v>0</x:v>
      </x:c>
      <x:c r="FX15" s="128" t="n">
        <x:f>'PROJECT TA Y TB KARINA'!$H69/8</x:f>
        <x:v>0</x:v>
      </x:c>
      <x:c r="FY15" s="128" t="n">
        <x:f>'PROJECT TA Y TB KARINA'!$H69/8</x:f>
        <x:v>0</x:v>
      </x:c>
      <x:c r="FZ15" s="128" t="n">
        <x:f>'PROJECT TA Y TB KARINA'!$H69/8</x:f>
        <x:v>0</x:v>
      </x:c>
      <x:c r="GA15" s="128" t="n">
        <x:f>'PROJECT TA Y TB KARINA'!$H69/8</x:f>
        <x:v>0</x:v>
      </x:c>
      <x:c r="GB15" s="128" t="n">
        <x:f>'PROJECT TA Y TB KARINA'!$I69/8</x:f>
        <x:v>0</x:v>
      </x:c>
      <x:c r="GC15" s="128" t="n">
        <x:f>'PROJECT TA Y TB KARINA'!$I69/8</x:f>
        <x:v>0</x:v>
      </x:c>
      <x:c r="GD15" s="128" t="n">
        <x:f>'PROJECT TA Y TB KARINA'!$I69/8</x:f>
        <x:v>0</x:v>
      </x:c>
      <x:c r="GE15" s="128" t="n">
        <x:f>'PROJECT TA Y TB KARINA'!$I69/8</x:f>
        <x:v>0</x:v>
      </x:c>
      <x:c r="GF15" s="128" t="n">
        <x:f>'PROJECT TA Y TB KARINA'!$I69/8</x:f>
        <x:v>0</x:v>
      </x:c>
      <x:c r="GG15" s="128" t="n">
        <x:f>'PROJECT TA Y TB KARINA'!$I69/8</x:f>
        <x:v>0</x:v>
      </x:c>
      <x:c r="GH15" s="128" t="n">
        <x:f>'PROJECT TA Y TB KARINA'!$I69/8</x:f>
        <x:v>0</x:v>
      </x:c>
      <x:c r="GI15" s="128" t="n">
        <x:f>'PROJECT TA Y TB KARINA'!$I69/8</x:f>
        <x:v>0</x:v>
      </x:c>
      <x:c r="GJ15" s="128" t="n">
        <x:f>'PROJECT TA Y TB KARINA'!$J69/8</x:f>
        <x:v>0</x:v>
      </x:c>
      <x:c r="GK15" s="128" t="n">
        <x:f>'PROJECT TA Y TB KARINA'!$J69/8</x:f>
        <x:v>0</x:v>
      </x:c>
      <x:c r="GL15" s="128" t="n">
        <x:f>'PROJECT TA Y TB KARINA'!$J69/8</x:f>
        <x:v>0</x:v>
      </x:c>
      <x:c r="GM15" s="128" t="n">
        <x:f>'PROJECT TA Y TB KARINA'!$J69/8</x:f>
        <x:v>0</x:v>
      </x:c>
      <x:c r="GN15" s="128" t="n">
        <x:f>'PROJECT TA Y TB KARINA'!$J69/8</x:f>
        <x:v>0</x:v>
      </x:c>
      <x:c r="GO15" s="128" t="n">
        <x:f>'PROJECT TA Y TB KARINA'!$J69/8</x:f>
        <x:v>0</x:v>
      </x:c>
      <x:c r="GP15" s="128" t="n">
        <x:f>'PROJECT TA Y TB KARINA'!$J69/8</x:f>
        <x:v>0</x:v>
      </x:c>
      <x:c r="GQ15" s="128" t="n">
        <x:f>'PROJECT TA Y TB KARINA'!$J69/8</x:f>
        <x:v>0</x:v>
      </x:c>
      <x:c r="GR15" s="128" t="n">
        <x:f>'PROJECT TA Y TB KARINA'!$K69/8</x:f>
        <x:v>0</x:v>
      </x:c>
      <x:c r="GS15" s="128" t="n">
        <x:f>'PROJECT TA Y TB KARINA'!$K69/8</x:f>
        <x:v>0</x:v>
      </x:c>
      <x:c r="GT15" s="128" t="n">
        <x:f>'PROJECT TA Y TB KARINA'!$K69/8</x:f>
        <x:v>0</x:v>
      </x:c>
      <x:c r="GU15" s="128" t="n">
        <x:f>'PROJECT TA Y TB KARINA'!$K69/8</x:f>
        <x:v>0</x:v>
      </x:c>
      <x:c r="GV15" s="128" t="n">
        <x:f>'PROJECT TA Y TB KARINA'!$K69/8</x:f>
        <x:v>0</x:v>
      </x:c>
      <x:c r="GW15" s="128" t="n">
        <x:f>'PROJECT TA Y TB KARINA'!$K69/8</x:f>
        <x:v>0</x:v>
      </x:c>
      <x:c r="GX15" s="128" t="n">
        <x:f>'PROJECT TA Y TB KARINA'!$K69/8</x:f>
        <x:v>0</x:v>
      </x:c>
      <x:c r="GY15" s="128" t="n">
        <x:f>'PROJECT TA Y TB KARINA'!$K69/8</x:f>
        <x:v>0</x:v>
      </x:c>
      <x:c r="GZ15" s="128" t="n">
        <x:f>'PROJECT TA Y TB KARINA'!$L69/8</x:f>
        <x:v>0</x:v>
      </x:c>
      <x:c r="HA15" s="128" t="n">
        <x:f>'PROJECT TA Y TB KARINA'!$L69/8</x:f>
        <x:v>0</x:v>
      </x:c>
      <x:c r="HB15" s="128" t="n">
        <x:f>'PROJECT TA Y TB KARINA'!$L69/8</x:f>
        <x:v>0</x:v>
      </x:c>
      <x:c r="HC15" s="128" t="n">
        <x:f>'PROJECT TA Y TB KARINA'!$L69/8</x:f>
        <x:v>0</x:v>
      </x:c>
      <x:c r="HD15" s="128" t="n">
        <x:f>'PROJECT TA Y TB KARINA'!$L69/8</x:f>
        <x:v>0</x:v>
      </x:c>
      <x:c r="HE15" s="128" t="n">
        <x:f>'PROJECT TA Y TB KARINA'!$L69/8</x:f>
        <x:v>0</x:v>
      </x:c>
      <x:c r="HF15" s="128" t="n">
        <x:f>'PROJECT TA Y TB KARINA'!$L69/8</x:f>
        <x:v>0</x:v>
      </x:c>
      <x:c r="HG15" s="128" t="n">
        <x:f>'PROJECT TA Y TB KARINA'!$L69/8</x:f>
        <x:v>0</x:v>
      </x:c>
      <x:c r="HH15" s="128" t="n">
        <x:f>'PROJECT TA Y TB KARINA'!$M69/8</x:f>
        <x:v>0</x:v>
      </x:c>
      <x:c r="HI15" s="128" t="n">
        <x:f>'PROJECT TA Y TB KARINA'!$M69/8</x:f>
        <x:v>0</x:v>
      </x:c>
      <x:c r="HJ15" s="128" t="n">
        <x:f>'PROJECT TA Y TB KARINA'!$M69/8</x:f>
        <x:v>0</x:v>
      </x:c>
      <x:c r="HK15" s="128" t="n">
        <x:f>'PROJECT TA Y TB KARINA'!$M69/8</x:f>
        <x:v>0</x:v>
      </x:c>
      <x:c r="HL15" s="128" t="n">
        <x:f>'PROJECT TA Y TB KARINA'!$M69/8</x:f>
        <x:v>0</x:v>
      </x:c>
      <x:c r="HM15" s="128" t="n">
        <x:f>'PROJECT TA Y TB KARINA'!$M69/8</x:f>
        <x:v>0</x:v>
      </x:c>
      <x:c r="HN15" s="128" t="n">
        <x:f>'PROJECT TA Y TB KARINA'!$M69/8</x:f>
        <x:v>0</x:v>
      </x:c>
      <x:c r="HO15" s="128" t="n">
        <x:f>'PROJECT TA Y TB KARINA'!$M69/8</x:f>
        <x:v>0</x:v>
      </x:c>
      <x:c r="HP15" s="128" t="n">
        <x:f>'PROJECT TA Y TB KARINA'!$N69/8</x:f>
        <x:v>0</x:v>
      </x:c>
      <x:c r="HQ15" s="128" t="n">
        <x:f>'PROJECT TA Y TB KARINA'!$N69/8</x:f>
        <x:v>0</x:v>
      </x:c>
      <x:c r="HR15" s="128" t="n">
        <x:f>'PROJECT TA Y TB KARINA'!$N69/8</x:f>
        <x:v>0</x:v>
      </x:c>
      <x:c r="HS15" s="128" t="n">
        <x:f>'PROJECT TA Y TB KARINA'!$N69/8</x:f>
        <x:v>0</x:v>
      </x:c>
      <x:c r="HT15" s="128" t="n">
        <x:f>'PROJECT TA Y TB KARINA'!$N69/8</x:f>
        <x:v>0</x:v>
      </x:c>
      <x:c r="HU15" s="128" t="n">
        <x:f>'PROJECT TA Y TB KARINA'!$N69/8</x:f>
        <x:v>0</x:v>
      </x:c>
      <x:c r="HV15" s="128" t="n">
        <x:f>'PROJECT TA Y TB KARINA'!$N69/8</x:f>
        <x:v>0</x:v>
      </x:c>
      <x:c r="HW15" s="128" t="n">
        <x:f>'PROJECT TA Y TB KARINA'!$N69/8</x:f>
        <x:v>0</x:v>
      </x:c>
      <x:c r="HX15" s="128" t="n">
        <x:f>'PROJECT TA Y TB KARINA'!$O69/8</x:f>
        <x:v>0</x:v>
      </x:c>
      <x:c r="HY15" s="128" t="n">
        <x:f>'PROJECT TA Y TB KARINA'!$O69/8</x:f>
        <x:v>0</x:v>
      </x:c>
      <x:c r="HZ15" s="128" t="n">
        <x:f>'PROJECT TA Y TB KARINA'!$O69/8</x:f>
        <x:v>0</x:v>
      </x:c>
      <x:c r="IA15" s="128" t="n">
        <x:f>'PROJECT TA Y TB KARINA'!$O69/8</x:f>
        <x:v>0</x:v>
      </x:c>
      <x:c r="IB15" s="128" t="n">
        <x:f>'PROJECT TA Y TB KARINA'!$O69/8</x:f>
        <x:v>0</x:v>
      </x:c>
      <x:c r="IC15" s="128" t="n">
        <x:f>'PROJECT TA Y TB KARINA'!$O69/8</x:f>
        <x:v>0</x:v>
      </x:c>
      <x:c r="ID15" s="128" t="n">
        <x:f>'PROJECT TA Y TB KARINA'!$O69/8</x:f>
        <x:v>0</x:v>
      </x:c>
      <x:c r="IE15" s="128" t="n">
        <x:f>'PROJECT TA Y TB KARINA'!$O69/8</x:f>
        <x:v>0</x:v>
      </x:c>
      <x:c r="IF15" s="128" t="n">
        <x:f>'PROJECT TA Y TB KARINA'!$P69/8</x:f>
        <x:v>0</x:v>
      </x:c>
      <x:c r="IG15" s="128" t="n">
        <x:f>'PROJECT TA Y TB KARINA'!$P69/8</x:f>
        <x:v>0</x:v>
      </x:c>
      <x:c r="IH15" s="128" t="n">
        <x:f>'PROJECT TA Y TB KARINA'!$P69/8</x:f>
        <x:v>0</x:v>
      </x:c>
      <x:c r="II15" s="128" t="n">
        <x:f>'PROJECT TA Y TB KARINA'!$P69/8</x:f>
        <x:v>0</x:v>
      </x:c>
      <x:c r="IJ15" s="128" t="n">
        <x:f>'PROJECT TA Y TB KARINA'!$P69/8</x:f>
        <x:v>0</x:v>
      </x:c>
      <x:c r="IK15" s="128" t="n">
        <x:f>'PROJECT TA Y TB KARINA'!$P69/8</x:f>
        <x:v>0</x:v>
      </x:c>
      <x:c r="IL15" s="128" t="n">
        <x:f>'PROJECT TA Y TB KARINA'!$P69/8</x:f>
        <x:v>0</x:v>
      </x:c>
      <x:c r="IM15" s="128" t="n">
        <x:f>'PROJECT TA Y TB KARINA'!$P69/8</x:f>
        <x:v>0</x:v>
      </x:c>
      <x:c r="IN15" s="128" t="n">
        <x:f>'PROJECT TA Y TB KARINA'!$Q69/8</x:f>
        <x:v>0</x:v>
      </x:c>
      <x:c r="IO15" s="128" t="n">
        <x:f>'PROJECT TA Y TB KARINA'!$Q69/8</x:f>
        <x:v>0</x:v>
      </x:c>
      <x:c r="IP15" s="128" t="n">
        <x:f>'PROJECT TA Y TB KARINA'!$Q69/8</x:f>
        <x:v>0</x:v>
      </x:c>
      <x:c r="IQ15" s="128" t="n">
        <x:f>'PROJECT TA Y TB KARINA'!$Q69/8</x:f>
        <x:v>0</x:v>
      </x:c>
      <x:c r="IR15" s="128" t="n">
        <x:f>'PROJECT TA Y TB KARINA'!$Q69/8</x:f>
        <x:v>0</x:v>
      </x:c>
      <x:c r="IS15" s="128" t="n">
        <x:f>'PROJECT TA Y TB KARINA'!$Q69/8</x:f>
        <x:v>0</x:v>
      </x:c>
      <x:c r="IT15" s="128" t="n">
        <x:f>'PROJECT TA Y TB KARINA'!$Q69/8</x:f>
        <x:v>0</x:v>
      </x:c>
      <x:c r="IU15" s="128" t="n">
        <x:f>'PROJECT TA Y TB KARINA'!$Q69/8</x:f>
        <x:v>0</x:v>
      </x:c>
      <x:c r="IV15" s="128" t="n">
        <x:f>'PROJECT TA Y TB KARINA'!$R69/8</x:f>
        <x:v>0</x:v>
      </x:c>
      <x:c r="IW15" s="128" t="n">
        <x:f>'PROJECT TA Y TB KARINA'!$R69/8</x:f>
        <x:v>0</x:v>
      </x:c>
      <x:c r="IX15" s="128" t="n">
        <x:f>'PROJECT TA Y TB KARINA'!$R69/8</x:f>
        <x:v>0</x:v>
      </x:c>
      <x:c r="IY15" s="128" t="n">
        <x:f>'PROJECT TA Y TB KARINA'!$R69/8</x:f>
        <x:v>0</x:v>
      </x:c>
      <x:c r="IZ15" s="128" t="n">
        <x:f>'PROJECT TA Y TB KARINA'!$R69/8</x:f>
        <x:v>0</x:v>
      </x:c>
      <x:c r="JA15" s="128" t="n">
        <x:f>'PROJECT TA Y TB KARINA'!$R69/8</x:f>
        <x:v>0</x:v>
      </x:c>
      <x:c r="JB15" s="128" t="n">
        <x:f>'PROJECT TA Y TB KARINA'!$R69/8</x:f>
        <x:v>0</x:v>
      </x:c>
      <x:c r="JC15" s="128" t="n">
        <x:f>'PROJECT TA Y TB KARINA'!$R69/8</x:f>
        <x:v>0</x:v>
      </x:c>
      <x:c r="JD15" s="128" t="n">
        <x:f>'PROJECT TA Y TB KARINA'!$S69/8</x:f>
        <x:v>0</x:v>
      </x:c>
      <x:c r="JE15" s="128" t="n">
        <x:f>'PROJECT TA Y TB KARINA'!$S69/8</x:f>
        <x:v>0</x:v>
      </x:c>
      <x:c r="JF15" s="128" t="n">
        <x:f>'PROJECT TA Y TB KARINA'!$S69/8</x:f>
        <x:v>0</x:v>
      </x:c>
      <x:c r="JG15" s="128" t="n">
        <x:f>'PROJECT TA Y TB KARINA'!$S69/8</x:f>
        <x:v>0</x:v>
      </x:c>
      <x:c r="JH15" s="128" t="n">
        <x:f>'PROJECT TA Y TB KARINA'!$S69/8</x:f>
        <x:v>0</x:v>
      </x:c>
      <x:c r="JI15" s="128" t="n">
        <x:f>'PROJECT TA Y TB KARINA'!$S69/8</x:f>
        <x:v>0</x:v>
      </x:c>
      <x:c r="JJ15" s="128" t="n">
        <x:f>'PROJECT TA Y TB KARINA'!$S69/8</x:f>
        <x:v>0</x:v>
      </x:c>
      <x:c r="JK15" s="128" t="n">
        <x:f>'PROJECT TA Y TB KARINA'!$S69/8</x:f>
        <x:v>0</x:v>
      </x:c>
      <x:c r="JL15" s="128" t="n">
        <x:f>'PROJECT TA Y TB KARINA'!$T69/8</x:f>
        <x:v>0</x:v>
      </x:c>
      <x:c r="JM15" s="128" t="n">
        <x:f>'PROJECT TA Y TB KARINA'!$T69/8</x:f>
        <x:v>0</x:v>
      </x:c>
      <x:c r="JN15" s="128" t="n">
        <x:f>'PROJECT TA Y TB KARINA'!$T69/8</x:f>
        <x:v>0</x:v>
      </x:c>
      <x:c r="JO15" s="128" t="n">
        <x:f>'PROJECT TA Y TB KARINA'!$T69/8</x:f>
        <x:v>0</x:v>
      </x:c>
      <x:c r="JP15" s="128" t="n">
        <x:f>'PROJECT TA Y TB KARINA'!$T69/8</x:f>
        <x:v>0</x:v>
      </x:c>
      <x:c r="JQ15" s="128" t="n">
        <x:f>'PROJECT TA Y TB KARINA'!$T69/8</x:f>
        <x:v>0</x:v>
      </x:c>
      <x:c r="JR15" s="128" t="n">
        <x:f>'PROJECT TA Y TB KARINA'!$T69/8</x:f>
        <x:v>0</x:v>
      </x:c>
      <x:c r="JS15" s="128" t="n">
        <x:f>'PROJECT TA Y TB KARINA'!$T69/8</x:f>
        <x:v>0</x:v>
      </x:c>
      <x:c r="JT15" s="128" t="e">
        <x:f>'PROJECT TA Y TB KARINA'!#REF!/8</x:f>
        <x:v>#NAME?</x:v>
      </x:c>
      <x:c r="JU15" s="128" t="e">
        <x:f>'PROJECT TA Y TB KARINA'!#REF!/8</x:f>
        <x:v>#NAME?</x:v>
      </x:c>
      <x:c r="JV15" s="128" t="e">
        <x:f>'PROJECT TA Y TB KARINA'!#REF!/8</x:f>
        <x:v>#NAME?</x:v>
      </x:c>
      <x:c r="JW15" s="128" t="e">
        <x:f>'PROJECT TA Y TB KARINA'!#REF!/8</x:f>
        <x:v>#NAME?</x:v>
      </x:c>
      <x:c r="JX15" s="128" t="e">
        <x:f>'PROJECT TA Y TB KARINA'!#REF!/8</x:f>
        <x:v>#NAME?</x:v>
      </x:c>
      <x:c r="JY15" s="128" t="e">
        <x:f>'PROJECT TA Y TB KARINA'!#REF!/8</x:f>
        <x:v>#NAME?</x:v>
      </x:c>
      <x:c r="JZ15" s="128" t="e">
        <x:f>'PROJECT TA Y TB KARINA'!#REF!/8</x:f>
        <x:v>#NAME?</x:v>
      </x:c>
      <x:c r="KA15" s="128" t="e">
        <x:f>'PROJECT TA Y TB KARINA'!#REF!/8</x:f>
        <x:v>#NAME?</x:v>
      </x:c>
    </x:row>
    <x:row r="16" ht="21">
      <x:c r="A16" s="130" t="s">
        <x:v>501</x:v>
      </x:c>
      <x:c r="B16" s="128" t="e">
        <x:f>'PROJECT TA Y TB KARINA'!$C$12/8</x:f>
        <x:v>#REF!</x:v>
      </x:c>
      <x:c r="C16" s="128" t="e">
        <x:f>'PROJECT TA Y TB KARINA'!$C$12/8</x:f>
        <x:v>#REF!</x:v>
      </x:c>
      <x:c r="D16" s="128" t="e">
        <x:f>'PROJECT TA Y TB KARINA'!$C$12/8</x:f>
        <x:v>#REF!</x:v>
      </x:c>
      <x:c r="E16" s="128" t="e">
        <x:f>'PROJECT TA Y TB KARINA'!$C$12/8</x:f>
        <x:v>#REF!</x:v>
      </x:c>
      <x:c r="F16" s="128" t="e">
        <x:f>'PROJECT TA Y TB KARINA'!$C$12/8</x:f>
        <x:v>#REF!</x:v>
      </x:c>
      <x:c r="G16" s="128" t="e">
        <x:f>'PROJECT TA Y TB KARINA'!$C$12/8</x:f>
        <x:v>#REF!</x:v>
      </x:c>
      <x:c r="H16" s="128" t="e">
        <x:f>'PROJECT TA Y TB KARINA'!$C$12/8</x:f>
        <x:v>#REF!</x:v>
      </x:c>
      <x:c r="I16" s="128" t="e">
        <x:f>'PROJECT TA Y TB KARINA'!$E12/8</x:f>
        <x:v>#REF!</x:v>
      </x:c>
      <x:c r="J16" s="128" t="e">
        <x:f>'PROJECT TA Y TB KARINA'!$E12/8</x:f>
        <x:v>#REF!</x:v>
      </x:c>
      <x:c r="K16" s="128" t="e">
        <x:f>'PROJECT TA Y TB KARINA'!$E12/8</x:f>
        <x:v>#REF!</x:v>
      </x:c>
      <x:c r="L16" s="128" t="e">
        <x:f>'PROJECT TA Y TB KARINA'!$E12/8</x:f>
        <x:v>#REF!</x:v>
      </x:c>
      <x:c r="M16" s="128" t="e">
        <x:f>'PROJECT TA Y TB KARINA'!$E12/8</x:f>
        <x:v>#REF!</x:v>
      </x:c>
      <x:c r="N16" s="128" t="e">
        <x:f>'PROJECT TA Y TB KARINA'!$E12/8</x:f>
        <x:v>#REF!</x:v>
      </x:c>
      <x:c r="O16" s="128" t="e">
        <x:f>'PROJECT TA Y TB KARINA'!$E12/8</x:f>
        <x:v>#REF!</x:v>
      </x:c>
      <x:c r="P16" s="128" t="e">
        <x:f>'PROJECT TA Y TB KARINA'!$E12/8</x:f>
        <x:v>#REF!</x:v>
      </x:c>
      <x:c r="Q16" s="128" t="e">
        <x:f>'PROJECT TA Y TB KARINA'!$F12/8</x:f>
        <x:v>#REF!</x:v>
      </x:c>
      <x:c r="R16" s="128" t="e">
        <x:f>'PROJECT TA Y TB KARINA'!$F12/8</x:f>
        <x:v>#REF!</x:v>
      </x:c>
      <x:c r="S16" s="128" t="e">
        <x:f>'PROJECT TA Y TB KARINA'!$F12/8</x:f>
        <x:v>#REF!</x:v>
      </x:c>
      <x:c r="T16" s="128" t="e">
        <x:f>'PROJECT TA Y TB KARINA'!$F12/8</x:f>
        <x:v>#REF!</x:v>
      </x:c>
      <x:c r="U16" s="128" t="e">
        <x:f>'PROJECT TA Y TB KARINA'!$F12/8</x:f>
        <x:v>#REF!</x:v>
      </x:c>
      <x:c r="V16" s="128" t="e">
        <x:f>'PROJECT TA Y TB KARINA'!$F12/8</x:f>
        <x:v>#REF!</x:v>
      </x:c>
      <x:c r="W16" s="128" t="e">
        <x:f>'PROJECT TA Y TB KARINA'!$F12/8</x:f>
        <x:v>#REF!</x:v>
      </x:c>
      <x:c r="X16" s="128" t="e">
        <x:f>'PROJECT TA Y TB KARINA'!$F12/8</x:f>
        <x:v>#REF!</x:v>
      </x:c>
      <x:c r="Y16" s="128" t="e">
        <x:f>'PROJECT TA Y TB KARINA'!$G12/8</x:f>
        <x:v>#REF!</x:v>
      </x:c>
      <x:c r="Z16" s="128" t="e">
        <x:f>'PROJECT TA Y TB KARINA'!$G12/8</x:f>
        <x:v>#REF!</x:v>
      </x:c>
      <x:c r="AA16" s="128" t="e">
        <x:f>'PROJECT TA Y TB KARINA'!$G12/8</x:f>
        <x:v>#REF!</x:v>
      </x:c>
      <x:c r="AB16" s="128" t="e">
        <x:f>'PROJECT TA Y TB KARINA'!$G12/8</x:f>
        <x:v>#REF!</x:v>
      </x:c>
      <x:c r="AC16" s="128" t="e">
        <x:f>'PROJECT TA Y TB KARINA'!$G12/8</x:f>
        <x:v>#REF!</x:v>
      </x:c>
      <x:c r="AD16" s="128" t="e">
        <x:f>'PROJECT TA Y TB KARINA'!$G12/8</x:f>
        <x:v>#REF!</x:v>
      </x:c>
      <x:c r="AE16" s="128" t="e">
        <x:f>'PROJECT TA Y TB KARINA'!$G12/8</x:f>
        <x:v>#REF!</x:v>
      </x:c>
      <x:c r="AF16" s="128" t="e">
        <x:f>'PROJECT TA Y TB KARINA'!$G12/8</x:f>
        <x:v>#REF!</x:v>
      </x:c>
      <x:c r="AG16" s="128" t="e">
        <x:f>'PROJECT TA Y TB KARINA'!$H12/8</x:f>
        <x:v>#REF!</x:v>
      </x:c>
      <x:c r="AH16" s="128" t="e">
        <x:f>'PROJECT TA Y TB KARINA'!$H12/8</x:f>
        <x:v>#REF!</x:v>
      </x:c>
      <x:c r="AI16" s="128" t="e">
        <x:f>'PROJECT TA Y TB KARINA'!$H12/8</x:f>
        <x:v>#REF!</x:v>
      </x:c>
      <x:c r="AJ16" s="128" t="e">
        <x:f>'PROJECT TA Y TB KARINA'!$H12/8</x:f>
        <x:v>#REF!</x:v>
      </x:c>
      <x:c r="AK16" s="128" t="e">
        <x:f>'PROJECT TA Y TB KARINA'!$H12/8</x:f>
        <x:v>#REF!</x:v>
      </x:c>
      <x:c r="AL16" s="128" t="e">
        <x:f>'PROJECT TA Y TB KARINA'!$H12/8</x:f>
        <x:v>#REF!</x:v>
      </x:c>
      <x:c r="AM16" s="128" t="e">
        <x:f>'PROJECT TA Y TB KARINA'!$H12/8</x:f>
        <x:v>#REF!</x:v>
      </x:c>
      <x:c r="AN16" s="128" t="e">
        <x:f>'PROJECT TA Y TB KARINA'!$H12/8</x:f>
        <x:v>#REF!</x:v>
      </x:c>
      <x:c r="AO16" s="128" t="e">
        <x:f>'PROJECT TA Y TB KARINA'!$I12/8</x:f>
        <x:v>#REF!</x:v>
      </x:c>
      <x:c r="AP16" s="128" t="e">
        <x:f>'PROJECT TA Y TB KARINA'!$I12/8</x:f>
        <x:v>#REF!</x:v>
      </x:c>
      <x:c r="AQ16" s="128" t="e">
        <x:f>'PROJECT TA Y TB KARINA'!$I12/8</x:f>
        <x:v>#REF!</x:v>
      </x:c>
      <x:c r="AR16" s="128" t="e">
        <x:f>'PROJECT TA Y TB KARINA'!$I12/8</x:f>
        <x:v>#REF!</x:v>
      </x:c>
      <x:c r="AS16" s="128" t="e">
        <x:f>'PROJECT TA Y TB KARINA'!$I12/8</x:f>
        <x:v>#REF!</x:v>
      </x:c>
      <x:c r="AT16" s="128" t="e">
        <x:f>'PROJECT TA Y TB KARINA'!$I12/8</x:f>
        <x:v>#REF!</x:v>
      </x:c>
      <x:c r="AU16" s="128" t="e">
        <x:f>'PROJECT TA Y TB KARINA'!$I12/8</x:f>
        <x:v>#REF!</x:v>
      </x:c>
      <x:c r="AV16" s="128" t="e">
        <x:f>'PROJECT TA Y TB KARINA'!$I12/8</x:f>
        <x:v>#REF!</x:v>
      </x:c>
      <x:c r="AW16" s="128" t="e">
        <x:f>'PROJECT TA Y TB KARINA'!$J12/8</x:f>
        <x:v>#REF!</x:v>
      </x:c>
      <x:c r="AX16" s="128" t="e">
        <x:f>'PROJECT TA Y TB KARINA'!$J12/8</x:f>
        <x:v>#REF!</x:v>
      </x:c>
      <x:c r="AY16" s="128" t="e">
        <x:f>'PROJECT TA Y TB KARINA'!$J12/8</x:f>
        <x:v>#REF!</x:v>
      </x:c>
      <x:c r="AZ16" s="128" t="e">
        <x:f>'PROJECT TA Y TB KARINA'!$J12/8</x:f>
        <x:v>#REF!</x:v>
      </x:c>
      <x:c r="BA16" s="128" t="e">
        <x:f>'PROJECT TA Y TB KARINA'!$J12/8</x:f>
        <x:v>#REF!</x:v>
      </x:c>
      <x:c r="BB16" s="128" t="e">
        <x:f>'PROJECT TA Y TB KARINA'!$J12/8</x:f>
        <x:v>#REF!</x:v>
      </x:c>
      <x:c r="BC16" s="128" t="e">
        <x:f>'PROJECT TA Y TB KARINA'!$J12/8</x:f>
        <x:v>#REF!</x:v>
      </x:c>
      <x:c r="BD16" s="128" t="e">
        <x:f>'PROJECT TA Y TB KARINA'!$J12/8</x:f>
        <x:v>#REF!</x:v>
      </x:c>
      <x:c r="BE16" s="128" t="e">
        <x:f>'PROJECT TA Y TB KARINA'!$K12/8</x:f>
        <x:v>#REF!</x:v>
      </x:c>
      <x:c r="BF16" s="128" t="e">
        <x:f>'PROJECT TA Y TB KARINA'!$K12/8</x:f>
        <x:v>#REF!</x:v>
      </x:c>
      <x:c r="BG16" s="128" t="e">
        <x:f>'PROJECT TA Y TB KARINA'!$K12/8</x:f>
        <x:v>#REF!</x:v>
      </x:c>
      <x:c r="BH16" s="128" t="e">
        <x:f>'PROJECT TA Y TB KARINA'!$K12/8</x:f>
        <x:v>#REF!</x:v>
      </x:c>
      <x:c r="BI16" s="128" t="e">
        <x:f>'PROJECT TA Y TB KARINA'!$K12/8</x:f>
        <x:v>#REF!</x:v>
      </x:c>
      <x:c r="BJ16" s="128" t="e">
        <x:f>'PROJECT TA Y TB KARINA'!$K12/8</x:f>
        <x:v>#REF!</x:v>
      </x:c>
      <x:c r="BK16" s="128" t="e">
        <x:f>'PROJECT TA Y TB KARINA'!$K12/8</x:f>
        <x:v>#REF!</x:v>
      </x:c>
      <x:c r="BL16" s="128" t="e">
        <x:f>'PROJECT TA Y TB KARINA'!$K12/8</x:f>
        <x:v>#REF!</x:v>
      </x:c>
      <x:c r="BM16" s="128" t="e">
        <x:f>'PROJECT TA Y TB KARINA'!$L12/8</x:f>
        <x:v>#REF!</x:v>
      </x:c>
      <x:c r="BN16" s="128" t="e">
        <x:f>'PROJECT TA Y TB KARINA'!$L12/8</x:f>
        <x:v>#REF!</x:v>
      </x:c>
      <x:c r="BO16" s="128" t="e">
        <x:f>'PROJECT TA Y TB KARINA'!$L12/8</x:f>
        <x:v>#REF!</x:v>
      </x:c>
      <x:c r="BP16" s="128" t="e">
        <x:f>'PROJECT TA Y TB KARINA'!$L12/8</x:f>
        <x:v>#REF!</x:v>
      </x:c>
      <x:c r="BQ16" s="128" t="e">
        <x:f>'PROJECT TA Y TB KARINA'!$L12/8</x:f>
        <x:v>#REF!</x:v>
      </x:c>
      <x:c r="BR16" s="128" t="e">
        <x:f>'PROJECT TA Y TB KARINA'!$L12/8</x:f>
        <x:v>#REF!</x:v>
      </x:c>
      <x:c r="BS16" s="128" t="e">
        <x:f>'PROJECT TA Y TB KARINA'!$L12/8</x:f>
        <x:v>#REF!</x:v>
      </x:c>
      <x:c r="BT16" s="128" t="e">
        <x:f>'PROJECT TA Y TB KARINA'!$L12/8</x:f>
        <x:v>#REF!</x:v>
      </x:c>
      <x:c r="BU16" s="128" t="e">
        <x:f>'PROJECT TA Y TB KARINA'!$M12/8</x:f>
        <x:v>#REF!</x:v>
      </x:c>
      <x:c r="BV16" s="128" t="e">
        <x:f>'PROJECT TA Y TB KARINA'!$M12/8</x:f>
        <x:v>#REF!</x:v>
      </x:c>
      <x:c r="BW16" s="128" t="e">
        <x:f>'PROJECT TA Y TB KARINA'!$M12/8</x:f>
        <x:v>#REF!</x:v>
      </x:c>
      <x:c r="BX16" s="128" t="e">
        <x:f>'PROJECT TA Y TB KARINA'!$M12/8</x:f>
        <x:v>#REF!</x:v>
      </x:c>
      <x:c r="BY16" s="128" t="e">
        <x:f>'PROJECT TA Y TB KARINA'!$M12/8</x:f>
        <x:v>#REF!</x:v>
      </x:c>
      <x:c r="BZ16" s="128" t="e">
        <x:f>'PROJECT TA Y TB KARINA'!$M12/8</x:f>
        <x:v>#REF!</x:v>
      </x:c>
      <x:c r="CA16" s="128" t="e">
        <x:f>'PROJECT TA Y TB KARINA'!$M12/8</x:f>
        <x:v>#REF!</x:v>
      </x:c>
      <x:c r="CB16" s="128" t="e">
        <x:f>'PROJECT TA Y TB KARINA'!$M12/8</x:f>
        <x:v>#REF!</x:v>
      </x:c>
      <x:c r="CC16" s="128" t="e">
        <x:f>'PROJECT TA Y TB KARINA'!$N12/8</x:f>
        <x:v>#REF!</x:v>
      </x:c>
      <x:c r="CD16" s="128" t="e">
        <x:f>'PROJECT TA Y TB KARINA'!$N12/8</x:f>
        <x:v>#REF!</x:v>
      </x:c>
      <x:c r="CE16" s="128" t="e">
        <x:f>'PROJECT TA Y TB KARINA'!$N12/8</x:f>
        <x:v>#REF!</x:v>
      </x:c>
      <x:c r="CF16" s="128" t="e">
        <x:f>'PROJECT TA Y TB KARINA'!$N12/8</x:f>
        <x:v>#REF!</x:v>
      </x:c>
      <x:c r="CG16" s="128" t="e">
        <x:f>'PROJECT TA Y TB KARINA'!$N12/8</x:f>
        <x:v>#REF!</x:v>
      </x:c>
      <x:c r="CH16" s="128" t="e">
        <x:f>'PROJECT TA Y TB KARINA'!$N12/8</x:f>
        <x:v>#REF!</x:v>
      </x:c>
      <x:c r="CI16" s="128" t="e">
        <x:f>'PROJECT TA Y TB KARINA'!$N12/8</x:f>
        <x:v>#REF!</x:v>
      </x:c>
      <x:c r="CJ16" s="128" t="e">
        <x:f>'PROJECT TA Y TB KARINA'!$N12/8</x:f>
        <x:v>#REF!</x:v>
      </x:c>
      <x:c r="CK16" s="128" t="e">
        <x:f>'PROJECT TA Y TB KARINA'!$O12/8</x:f>
        <x:v>#REF!</x:v>
      </x:c>
      <x:c r="CL16" s="128" t="e">
        <x:f>'PROJECT TA Y TB KARINA'!$O12/8</x:f>
        <x:v>#REF!</x:v>
      </x:c>
      <x:c r="CM16" s="128" t="e">
        <x:f>'PROJECT TA Y TB KARINA'!$O12/8</x:f>
        <x:v>#REF!</x:v>
      </x:c>
      <x:c r="CN16" s="128" t="e">
        <x:f>'PROJECT TA Y TB KARINA'!$O12/8</x:f>
        <x:v>#REF!</x:v>
      </x:c>
      <x:c r="CO16" s="128" t="e">
        <x:f>'PROJECT TA Y TB KARINA'!$O12/8</x:f>
        <x:v>#REF!</x:v>
      </x:c>
      <x:c r="CP16" s="128" t="e">
        <x:f>'PROJECT TA Y TB KARINA'!$O12/8</x:f>
        <x:v>#REF!</x:v>
      </x:c>
      <x:c r="CQ16" s="128" t="e">
        <x:f>'PROJECT TA Y TB KARINA'!$O12/8</x:f>
        <x:v>#REF!</x:v>
      </x:c>
      <x:c r="CR16" s="128" t="e">
        <x:f>'PROJECT TA Y TB KARINA'!$O12/8</x:f>
        <x:v>#REF!</x:v>
      </x:c>
      <x:c r="CS16" s="128" t="e">
        <x:f>'PROJECT TA Y TB KARINA'!$P12/8</x:f>
        <x:v>#REF!</x:v>
      </x:c>
      <x:c r="CT16" s="128" t="e">
        <x:f>'PROJECT TA Y TB KARINA'!$P12/8</x:f>
        <x:v>#REF!</x:v>
      </x:c>
      <x:c r="CU16" s="128" t="e">
        <x:f>'PROJECT TA Y TB KARINA'!$P12/8</x:f>
        <x:v>#REF!</x:v>
      </x:c>
      <x:c r="CV16" s="128" t="e">
        <x:f>'PROJECT TA Y TB KARINA'!$P12/8</x:f>
        <x:v>#REF!</x:v>
      </x:c>
      <x:c r="CW16" s="128" t="e">
        <x:f>'PROJECT TA Y TB KARINA'!$P12/8</x:f>
        <x:v>#REF!</x:v>
      </x:c>
      <x:c r="CX16" s="128" t="e">
        <x:f>'PROJECT TA Y TB KARINA'!$P12/8</x:f>
        <x:v>#REF!</x:v>
      </x:c>
      <x:c r="CY16" s="128" t="e">
        <x:f>'PROJECT TA Y TB KARINA'!$P12/8</x:f>
        <x:v>#REF!</x:v>
      </x:c>
      <x:c r="CZ16" s="128" t="e">
        <x:f>'PROJECT TA Y TB KARINA'!$P12/8</x:f>
        <x:v>#REF!</x:v>
      </x:c>
      <x:c r="DA16" s="128" t="e">
        <x:f>'PROJECT TA Y TB KARINA'!$Q12/8</x:f>
        <x:v>#REF!</x:v>
      </x:c>
      <x:c r="DB16" s="128" t="e">
        <x:f>'PROJECT TA Y TB KARINA'!$Q12/8</x:f>
        <x:v>#REF!</x:v>
      </x:c>
      <x:c r="DC16" s="128" t="e">
        <x:f>'PROJECT TA Y TB KARINA'!$Q12/8</x:f>
        <x:v>#REF!</x:v>
      </x:c>
      <x:c r="DD16" s="128" t="e">
        <x:f>'PROJECT TA Y TB KARINA'!$Q12/8</x:f>
        <x:v>#REF!</x:v>
      </x:c>
      <x:c r="DE16" s="128" t="e">
        <x:f>'PROJECT TA Y TB KARINA'!$Q12/8</x:f>
        <x:v>#REF!</x:v>
      </x:c>
      <x:c r="DF16" s="128" t="e">
        <x:f>'PROJECT TA Y TB KARINA'!$Q12/8</x:f>
        <x:v>#REF!</x:v>
      </x:c>
      <x:c r="DG16" s="128" t="e">
        <x:f>'PROJECT TA Y TB KARINA'!$Q12/8</x:f>
        <x:v>#REF!</x:v>
      </x:c>
      <x:c r="DH16" s="128" t="e">
        <x:f>'PROJECT TA Y TB KARINA'!$Q12/8</x:f>
        <x:v>#REF!</x:v>
      </x:c>
      <x:c r="DI16" s="128" t="e">
        <x:f>'PROJECT TA Y TB KARINA'!$R12/8</x:f>
        <x:v>#REF!</x:v>
      </x:c>
      <x:c r="DJ16" s="128" t="e">
        <x:f>'PROJECT TA Y TB KARINA'!$R12/8</x:f>
        <x:v>#REF!</x:v>
      </x:c>
      <x:c r="DK16" s="128" t="e">
        <x:f>'PROJECT TA Y TB KARINA'!$R12/8</x:f>
        <x:v>#REF!</x:v>
      </x:c>
      <x:c r="DL16" s="128" t="e">
        <x:f>'PROJECT TA Y TB KARINA'!$R12/8</x:f>
        <x:v>#REF!</x:v>
      </x:c>
      <x:c r="DM16" s="128" t="e">
        <x:f>'PROJECT TA Y TB KARINA'!$R12/8</x:f>
        <x:v>#REF!</x:v>
      </x:c>
      <x:c r="DN16" s="128" t="e">
        <x:f>'PROJECT TA Y TB KARINA'!$R12/8</x:f>
        <x:v>#REF!</x:v>
      </x:c>
      <x:c r="DO16" s="128" t="e">
        <x:f>'PROJECT TA Y TB KARINA'!$R12/8</x:f>
        <x:v>#REF!</x:v>
      </x:c>
      <x:c r="DP16" s="128" t="e">
        <x:f>'PROJECT TA Y TB KARINA'!$R12/8</x:f>
        <x:v>#REF!</x:v>
      </x:c>
      <x:c r="DQ16" s="128" t="e">
        <x:f>'PROJECT TA Y TB KARINA'!$S12/8</x:f>
        <x:v>#REF!</x:v>
      </x:c>
      <x:c r="DR16" s="128" t="e">
        <x:f>'PROJECT TA Y TB KARINA'!$S12/8</x:f>
        <x:v>#REF!</x:v>
      </x:c>
      <x:c r="DS16" s="128" t="e">
        <x:f>'PROJECT TA Y TB KARINA'!$S12/8</x:f>
        <x:v>#REF!</x:v>
      </x:c>
      <x:c r="DT16" s="128" t="e">
        <x:f>'PROJECT TA Y TB KARINA'!$S12/8</x:f>
        <x:v>#REF!</x:v>
      </x:c>
      <x:c r="DU16" s="128" t="e">
        <x:f>'PROJECT TA Y TB KARINA'!$S12/8</x:f>
        <x:v>#REF!</x:v>
      </x:c>
      <x:c r="DV16" s="128" t="e">
        <x:f>'PROJECT TA Y TB KARINA'!$S12/8</x:f>
        <x:v>#REF!</x:v>
      </x:c>
      <x:c r="DW16" s="128" t="e">
        <x:f>'PROJECT TA Y TB KARINA'!$S12/8</x:f>
        <x:v>#REF!</x:v>
      </x:c>
      <x:c r="DX16" s="128" t="e">
        <x:f>'PROJECT TA Y TB KARINA'!$S12/8</x:f>
        <x:v>#REF!</x:v>
      </x:c>
      <x:c r="DY16" s="128" t="e">
        <x:f>'PROJECT TA Y TB KARINA'!$T12/8</x:f>
        <x:v>#REF!</x:v>
      </x:c>
      <x:c r="DZ16" s="128" t="e">
        <x:f>'PROJECT TA Y TB KARINA'!$T12/8</x:f>
        <x:v>#REF!</x:v>
      </x:c>
      <x:c r="EA16" s="128" t="e">
        <x:f>'PROJECT TA Y TB KARINA'!$T12/8</x:f>
        <x:v>#REF!</x:v>
      </x:c>
      <x:c r="EB16" s="128" t="e">
        <x:f>'PROJECT TA Y TB KARINA'!$T12/8</x:f>
        <x:v>#REF!</x:v>
      </x:c>
      <x:c r="EC16" s="128" t="e">
        <x:f>'PROJECT TA Y TB KARINA'!$T12/8</x:f>
        <x:v>#REF!</x:v>
      </x:c>
      <x:c r="ED16" s="128" t="e">
        <x:f>'PROJECT TA Y TB KARINA'!$T12/8</x:f>
        <x:v>#REF!</x:v>
      </x:c>
      <x:c r="EE16" s="128" t="e">
        <x:f>'PROJECT TA Y TB KARINA'!$T12/8</x:f>
        <x:v>#REF!</x:v>
      </x:c>
      <x:c r="EF16" s="128" t="e">
        <x:f>'PROJECT TA Y TB KARINA'!$T12/8</x:f>
        <x:v>#REF!</x:v>
      </x:c>
      <x:c r="EG16" s="128" t="e">
        <x:f>'PROJECT TA Y TB KARINA'!#REF!/8</x:f>
        <x:v>#NAME?</x:v>
      </x:c>
      <x:c r="EH16" s="128" t="e">
        <x:f>'PROJECT TA Y TB KARINA'!#REF!/8</x:f>
        <x:v>#NAME?</x:v>
      </x:c>
      <x:c r="EI16" s="128" t="e">
        <x:f>'PROJECT TA Y TB KARINA'!#REF!/8</x:f>
        <x:v>#NAME?</x:v>
      </x:c>
      <x:c r="EJ16" s="128" t="e">
        <x:f>'PROJECT TA Y TB KARINA'!#REF!/8</x:f>
        <x:v>#NAME?</x:v>
      </x:c>
      <x:c r="EK16" s="128" t="e">
        <x:f>'PROJECT TA Y TB KARINA'!#REF!/8</x:f>
        <x:v>#NAME?</x:v>
      </x:c>
      <x:c r="EL16" s="128" t="e">
        <x:f>'PROJECT TA Y TB KARINA'!#REF!/8</x:f>
        <x:v>#NAME?</x:v>
      </x:c>
      <x:c r="EM16" s="128" t="e">
        <x:f>'PROJECT TA Y TB KARINA'!#REF!/8</x:f>
        <x:v>#NAME?</x:v>
      </x:c>
      <x:c r="EN16" s="128" t="e">
        <x:f>'PROJECT TA Y TB KARINA'!#REF!/8</x:f>
        <x:v>#NAME?</x:v>
      </x:c>
      <x:c r="EO16" s="128" t="n">
        <x:f>'PROJECT TA Y TB KARINA'!$C70/8</x:f>
        <x:v>0</x:v>
      </x:c>
      <x:c r="EP16" s="128" t="n">
        <x:f>'PROJECT TA Y TB KARINA'!$C70/8</x:f>
        <x:v>0</x:v>
      </x:c>
      <x:c r="EQ16" s="128" t="n">
        <x:f>'PROJECT TA Y TB KARINA'!$C70/8</x:f>
        <x:v>0</x:v>
      </x:c>
      <x:c r="ER16" s="128" t="n">
        <x:f>'PROJECT TA Y TB KARINA'!$C70/8</x:f>
        <x:v>0</x:v>
      </x:c>
      <x:c r="ES16" s="128" t="n">
        <x:f>'PROJECT TA Y TB KARINA'!$C70/8</x:f>
        <x:v>0</x:v>
      </x:c>
      <x:c r="ET16" s="128" t="n">
        <x:f>'PROJECT TA Y TB KARINA'!$C70/8</x:f>
        <x:v>0</x:v>
      </x:c>
      <x:c r="EU16" s="128" t="n">
        <x:f>'PROJECT TA Y TB KARINA'!$C70/8</x:f>
        <x:v>0</x:v>
      </x:c>
      <x:c r="EV16" s="128" t="n">
        <x:f>'PROJECT TA Y TB KARINA'!$E70/8</x:f>
        <x:v>0</x:v>
      </x:c>
      <x:c r="EW16" s="128" t="n">
        <x:f>'PROJECT TA Y TB KARINA'!$E70/8</x:f>
        <x:v>0</x:v>
      </x:c>
      <x:c r="EX16" s="128" t="n">
        <x:f>'PROJECT TA Y TB KARINA'!$E70/8</x:f>
        <x:v>0</x:v>
      </x:c>
      <x:c r="EY16" s="128" t="n">
        <x:f>'PROJECT TA Y TB KARINA'!$E70/8</x:f>
        <x:v>0</x:v>
      </x:c>
      <x:c r="EZ16" s="128" t="n">
        <x:f>'PROJECT TA Y TB KARINA'!$E70/8</x:f>
        <x:v>0</x:v>
      </x:c>
      <x:c r="FA16" s="128" t="n">
        <x:f>'PROJECT TA Y TB KARINA'!$E70/8</x:f>
        <x:v>0</x:v>
      </x:c>
      <x:c r="FB16" s="128" t="n">
        <x:f>'PROJECT TA Y TB KARINA'!$E70/8</x:f>
        <x:v>0</x:v>
      </x:c>
      <x:c r="FC16" s="128" t="n">
        <x:f>'PROJECT TA Y TB KARINA'!$E70/8</x:f>
        <x:v>0</x:v>
      </x:c>
      <x:c r="FD16" s="128" t="n">
        <x:f>'PROJECT TA Y TB KARINA'!$F70/8</x:f>
        <x:v>0</x:v>
      </x:c>
      <x:c r="FE16" s="128" t="n">
        <x:f>'PROJECT TA Y TB KARINA'!$F70/8</x:f>
        <x:v>0</x:v>
      </x:c>
      <x:c r="FF16" s="128" t="n">
        <x:f>'PROJECT TA Y TB KARINA'!$F70/8</x:f>
        <x:v>0</x:v>
      </x:c>
      <x:c r="FG16" s="128" t="n">
        <x:f>'PROJECT TA Y TB KARINA'!$F70/8</x:f>
        <x:v>0</x:v>
      </x:c>
      <x:c r="FH16" s="128" t="n">
        <x:f>'PROJECT TA Y TB KARINA'!$F70/8</x:f>
        <x:v>0</x:v>
      </x:c>
      <x:c r="FI16" s="128" t="n">
        <x:f>'PROJECT TA Y TB KARINA'!$F70/8</x:f>
        <x:v>0</x:v>
      </x:c>
      <x:c r="FJ16" s="128" t="n">
        <x:f>'PROJECT TA Y TB KARINA'!$F70/8</x:f>
        <x:v>0</x:v>
      </x:c>
      <x:c r="FK16" s="128" t="n">
        <x:f>'PROJECT TA Y TB KARINA'!$F70/8</x:f>
        <x:v>0</x:v>
      </x:c>
      <x:c r="FL16" s="128" t="n">
        <x:f>'PROJECT TA Y TB KARINA'!$G70/8</x:f>
        <x:v>0</x:v>
      </x:c>
      <x:c r="FM16" s="128" t="n">
        <x:f>'PROJECT TA Y TB KARINA'!$G70/8</x:f>
        <x:v>0</x:v>
      </x:c>
      <x:c r="FN16" s="128" t="n">
        <x:f>'PROJECT TA Y TB KARINA'!$G70/8</x:f>
        <x:v>0</x:v>
      </x:c>
      <x:c r="FO16" s="128" t="n">
        <x:f>'PROJECT TA Y TB KARINA'!$G70/8</x:f>
        <x:v>0</x:v>
      </x:c>
      <x:c r="FP16" s="128" t="n">
        <x:f>'PROJECT TA Y TB KARINA'!$G70/8</x:f>
        <x:v>0</x:v>
      </x:c>
      <x:c r="FQ16" s="128" t="n">
        <x:f>'PROJECT TA Y TB KARINA'!$G70/8</x:f>
        <x:v>0</x:v>
      </x:c>
      <x:c r="FR16" s="128" t="n">
        <x:f>'PROJECT TA Y TB KARINA'!$G70/8</x:f>
        <x:v>0</x:v>
      </x:c>
      <x:c r="FS16" s="128" t="n">
        <x:f>'PROJECT TA Y TB KARINA'!$G70/8</x:f>
        <x:v>0</x:v>
      </x:c>
      <x:c r="FT16" s="128" t="n">
        <x:f>'PROJECT TA Y TB KARINA'!$H70/8</x:f>
        <x:v>0</x:v>
      </x:c>
      <x:c r="FU16" s="128" t="n">
        <x:f>'PROJECT TA Y TB KARINA'!$H70/8</x:f>
        <x:v>0</x:v>
      </x:c>
      <x:c r="FV16" s="128" t="n">
        <x:f>'PROJECT TA Y TB KARINA'!$H70/8</x:f>
        <x:v>0</x:v>
      </x:c>
      <x:c r="FW16" s="128" t="n">
        <x:f>'PROJECT TA Y TB KARINA'!$H70/8</x:f>
        <x:v>0</x:v>
      </x:c>
      <x:c r="FX16" s="128" t="n">
        <x:f>'PROJECT TA Y TB KARINA'!$H70/8</x:f>
        <x:v>0</x:v>
      </x:c>
      <x:c r="FY16" s="128" t="n">
        <x:f>'PROJECT TA Y TB KARINA'!$H70/8</x:f>
        <x:v>0</x:v>
      </x:c>
      <x:c r="FZ16" s="128" t="n">
        <x:f>'PROJECT TA Y TB KARINA'!$H70/8</x:f>
        <x:v>0</x:v>
      </x:c>
      <x:c r="GA16" s="128" t="n">
        <x:f>'PROJECT TA Y TB KARINA'!$H70/8</x:f>
        <x:v>0</x:v>
      </x:c>
      <x:c r="GB16" s="128" t="n">
        <x:f>'PROJECT TA Y TB KARINA'!$I70/8</x:f>
        <x:v>0</x:v>
      </x:c>
      <x:c r="GC16" s="128" t="n">
        <x:f>'PROJECT TA Y TB KARINA'!$I70/8</x:f>
        <x:v>0</x:v>
      </x:c>
      <x:c r="GD16" s="128" t="n">
        <x:f>'PROJECT TA Y TB KARINA'!$I70/8</x:f>
        <x:v>0</x:v>
      </x:c>
      <x:c r="GE16" s="128" t="n">
        <x:f>'PROJECT TA Y TB KARINA'!$I70/8</x:f>
        <x:v>0</x:v>
      </x:c>
      <x:c r="GF16" s="128" t="n">
        <x:f>'PROJECT TA Y TB KARINA'!$I70/8</x:f>
        <x:v>0</x:v>
      </x:c>
      <x:c r="GG16" s="128" t="n">
        <x:f>'PROJECT TA Y TB KARINA'!$I70/8</x:f>
        <x:v>0</x:v>
      </x:c>
      <x:c r="GH16" s="128" t="n">
        <x:f>'PROJECT TA Y TB KARINA'!$I70/8</x:f>
        <x:v>0</x:v>
      </x:c>
      <x:c r="GI16" s="128" t="n">
        <x:f>'PROJECT TA Y TB KARINA'!$I70/8</x:f>
        <x:v>0</x:v>
      </x:c>
      <x:c r="GJ16" s="128" t="n">
        <x:f>'PROJECT TA Y TB KARINA'!$J70/8</x:f>
        <x:v>0</x:v>
      </x:c>
      <x:c r="GK16" s="128" t="n">
        <x:f>'PROJECT TA Y TB KARINA'!$J70/8</x:f>
        <x:v>0</x:v>
      </x:c>
      <x:c r="GL16" s="128" t="n">
        <x:f>'PROJECT TA Y TB KARINA'!$J70/8</x:f>
        <x:v>0</x:v>
      </x:c>
      <x:c r="GM16" s="128" t="n">
        <x:f>'PROJECT TA Y TB KARINA'!$J70/8</x:f>
        <x:v>0</x:v>
      </x:c>
      <x:c r="GN16" s="128" t="n">
        <x:f>'PROJECT TA Y TB KARINA'!$J70/8</x:f>
        <x:v>0</x:v>
      </x:c>
      <x:c r="GO16" s="128" t="n">
        <x:f>'PROJECT TA Y TB KARINA'!$J70/8</x:f>
        <x:v>0</x:v>
      </x:c>
      <x:c r="GP16" s="128" t="n">
        <x:f>'PROJECT TA Y TB KARINA'!$J70/8</x:f>
        <x:v>0</x:v>
      </x:c>
      <x:c r="GQ16" s="128" t="n">
        <x:f>'PROJECT TA Y TB KARINA'!$J70/8</x:f>
        <x:v>0</x:v>
      </x:c>
      <x:c r="GR16" s="128" t="n">
        <x:f>'PROJECT TA Y TB KARINA'!$K70/8</x:f>
        <x:v>0</x:v>
      </x:c>
      <x:c r="GS16" s="128" t="n">
        <x:f>'PROJECT TA Y TB KARINA'!$K70/8</x:f>
        <x:v>0</x:v>
      </x:c>
      <x:c r="GT16" s="128" t="n">
        <x:f>'PROJECT TA Y TB KARINA'!$K70/8</x:f>
        <x:v>0</x:v>
      </x:c>
      <x:c r="GU16" s="128" t="n">
        <x:f>'PROJECT TA Y TB KARINA'!$K70/8</x:f>
        <x:v>0</x:v>
      </x:c>
      <x:c r="GV16" s="128" t="n">
        <x:f>'PROJECT TA Y TB KARINA'!$K70/8</x:f>
        <x:v>0</x:v>
      </x:c>
      <x:c r="GW16" s="128" t="n">
        <x:f>'PROJECT TA Y TB KARINA'!$K70/8</x:f>
        <x:v>0</x:v>
      </x:c>
      <x:c r="GX16" s="128" t="n">
        <x:f>'PROJECT TA Y TB KARINA'!$K70/8</x:f>
        <x:v>0</x:v>
      </x:c>
      <x:c r="GY16" s="128" t="n">
        <x:f>'PROJECT TA Y TB KARINA'!$K70/8</x:f>
        <x:v>0</x:v>
      </x:c>
      <x:c r="GZ16" s="128" t="n">
        <x:f>'PROJECT TA Y TB KARINA'!$L70/8</x:f>
        <x:v>0</x:v>
      </x:c>
      <x:c r="HA16" s="128" t="n">
        <x:f>'PROJECT TA Y TB KARINA'!$L70/8</x:f>
        <x:v>0</x:v>
      </x:c>
      <x:c r="HB16" s="128" t="n">
        <x:f>'PROJECT TA Y TB KARINA'!$L70/8</x:f>
        <x:v>0</x:v>
      </x:c>
      <x:c r="HC16" s="128" t="n">
        <x:f>'PROJECT TA Y TB KARINA'!$L70/8</x:f>
        <x:v>0</x:v>
      </x:c>
      <x:c r="HD16" s="128" t="n">
        <x:f>'PROJECT TA Y TB KARINA'!$L70/8</x:f>
        <x:v>0</x:v>
      </x:c>
      <x:c r="HE16" s="128" t="n">
        <x:f>'PROJECT TA Y TB KARINA'!$L70/8</x:f>
        <x:v>0</x:v>
      </x:c>
      <x:c r="HF16" s="128" t="n">
        <x:f>'PROJECT TA Y TB KARINA'!$L70/8</x:f>
        <x:v>0</x:v>
      </x:c>
      <x:c r="HG16" s="128" t="n">
        <x:f>'PROJECT TA Y TB KARINA'!$L70/8</x:f>
        <x:v>0</x:v>
      </x:c>
      <x:c r="HH16" s="128" t="n">
        <x:f>'PROJECT TA Y TB KARINA'!$M70/8</x:f>
        <x:v>0</x:v>
      </x:c>
      <x:c r="HI16" s="128" t="n">
        <x:f>'PROJECT TA Y TB KARINA'!$M70/8</x:f>
        <x:v>0</x:v>
      </x:c>
      <x:c r="HJ16" s="128" t="n">
        <x:f>'PROJECT TA Y TB KARINA'!$M70/8</x:f>
        <x:v>0</x:v>
      </x:c>
      <x:c r="HK16" s="128" t="n">
        <x:f>'PROJECT TA Y TB KARINA'!$M70/8</x:f>
        <x:v>0</x:v>
      </x:c>
      <x:c r="HL16" s="128" t="n">
        <x:f>'PROJECT TA Y TB KARINA'!$M70/8</x:f>
        <x:v>0</x:v>
      </x:c>
      <x:c r="HM16" s="128" t="n">
        <x:f>'PROJECT TA Y TB KARINA'!$M70/8</x:f>
        <x:v>0</x:v>
      </x:c>
      <x:c r="HN16" s="128" t="n">
        <x:f>'PROJECT TA Y TB KARINA'!$M70/8</x:f>
        <x:v>0</x:v>
      </x:c>
      <x:c r="HO16" s="128" t="n">
        <x:f>'PROJECT TA Y TB KARINA'!$M70/8</x:f>
        <x:v>0</x:v>
      </x:c>
      <x:c r="HP16" s="128" t="n">
        <x:f>'PROJECT TA Y TB KARINA'!$N70/8</x:f>
        <x:v>0</x:v>
      </x:c>
      <x:c r="HQ16" s="128" t="n">
        <x:f>'PROJECT TA Y TB KARINA'!$N70/8</x:f>
        <x:v>0</x:v>
      </x:c>
      <x:c r="HR16" s="128" t="n">
        <x:f>'PROJECT TA Y TB KARINA'!$N70/8</x:f>
        <x:v>0</x:v>
      </x:c>
      <x:c r="HS16" s="128" t="n">
        <x:f>'PROJECT TA Y TB KARINA'!$N70/8</x:f>
        <x:v>0</x:v>
      </x:c>
      <x:c r="HT16" s="128" t="n">
        <x:f>'PROJECT TA Y TB KARINA'!$N70/8</x:f>
        <x:v>0</x:v>
      </x:c>
      <x:c r="HU16" s="128" t="n">
        <x:f>'PROJECT TA Y TB KARINA'!$N70/8</x:f>
        <x:v>0</x:v>
      </x:c>
      <x:c r="HV16" s="128" t="n">
        <x:f>'PROJECT TA Y TB KARINA'!$N70/8</x:f>
        <x:v>0</x:v>
      </x:c>
      <x:c r="HW16" s="128" t="n">
        <x:f>'PROJECT TA Y TB KARINA'!$N70/8</x:f>
        <x:v>0</x:v>
      </x:c>
      <x:c r="HX16" s="128" t="n">
        <x:f>'PROJECT TA Y TB KARINA'!$O70/8</x:f>
        <x:v>0</x:v>
      </x:c>
      <x:c r="HY16" s="128" t="n">
        <x:f>'PROJECT TA Y TB KARINA'!$O70/8</x:f>
        <x:v>0</x:v>
      </x:c>
      <x:c r="HZ16" s="128" t="n">
        <x:f>'PROJECT TA Y TB KARINA'!$O70/8</x:f>
        <x:v>0</x:v>
      </x:c>
      <x:c r="IA16" s="128" t="n">
        <x:f>'PROJECT TA Y TB KARINA'!$O70/8</x:f>
        <x:v>0</x:v>
      </x:c>
      <x:c r="IB16" s="128" t="n">
        <x:f>'PROJECT TA Y TB KARINA'!$O70/8</x:f>
        <x:v>0</x:v>
      </x:c>
      <x:c r="IC16" s="128" t="n">
        <x:f>'PROJECT TA Y TB KARINA'!$O70/8</x:f>
        <x:v>0</x:v>
      </x:c>
      <x:c r="ID16" s="128" t="n">
        <x:f>'PROJECT TA Y TB KARINA'!$O70/8</x:f>
        <x:v>0</x:v>
      </x:c>
      <x:c r="IE16" s="128" t="n">
        <x:f>'PROJECT TA Y TB KARINA'!$O70/8</x:f>
        <x:v>0</x:v>
      </x:c>
      <x:c r="IF16" s="128" t="n">
        <x:f>'PROJECT TA Y TB KARINA'!$P70/8</x:f>
        <x:v>0</x:v>
      </x:c>
      <x:c r="IG16" s="128" t="n">
        <x:f>'PROJECT TA Y TB KARINA'!$P70/8</x:f>
        <x:v>0</x:v>
      </x:c>
      <x:c r="IH16" s="128" t="n">
        <x:f>'PROJECT TA Y TB KARINA'!$P70/8</x:f>
        <x:v>0</x:v>
      </x:c>
      <x:c r="II16" s="128" t="n">
        <x:f>'PROJECT TA Y TB KARINA'!$P70/8</x:f>
        <x:v>0</x:v>
      </x:c>
      <x:c r="IJ16" s="128" t="n">
        <x:f>'PROJECT TA Y TB KARINA'!$P70/8</x:f>
        <x:v>0</x:v>
      </x:c>
      <x:c r="IK16" s="128" t="n">
        <x:f>'PROJECT TA Y TB KARINA'!$P70/8</x:f>
        <x:v>0</x:v>
      </x:c>
      <x:c r="IL16" s="128" t="n">
        <x:f>'PROJECT TA Y TB KARINA'!$P70/8</x:f>
        <x:v>0</x:v>
      </x:c>
      <x:c r="IM16" s="128" t="n">
        <x:f>'PROJECT TA Y TB KARINA'!$P70/8</x:f>
        <x:v>0</x:v>
      </x:c>
      <x:c r="IN16" s="128" t="n">
        <x:f>'PROJECT TA Y TB KARINA'!$Q70/8</x:f>
        <x:v>0</x:v>
      </x:c>
      <x:c r="IO16" s="128" t="n">
        <x:f>'PROJECT TA Y TB KARINA'!$Q70/8</x:f>
        <x:v>0</x:v>
      </x:c>
      <x:c r="IP16" s="128" t="n">
        <x:f>'PROJECT TA Y TB KARINA'!$Q70/8</x:f>
        <x:v>0</x:v>
      </x:c>
      <x:c r="IQ16" s="128" t="n">
        <x:f>'PROJECT TA Y TB KARINA'!$Q70/8</x:f>
        <x:v>0</x:v>
      </x:c>
      <x:c r="IR16" s="128" t="n">
        <x:f>'PROJECT TA Y TB KARINA'!$Q70/8</x:f>
        <x:v>0</x:v>
      </x:c>
      <x:c r="IS16" s="128" t="n">
        <x:f>'PROJECT TA Y TB KARINA'!$Q70/8</x:f>
        <x:v>0</x:v>
      </x:c>
      <x:c r="IT16" s="128" t="n">
        <x:f>'PROJECT TA Y TB KARINA'!$Q70/8</x:f>
        <x:v>0</x:v>
      </x:c>
      <x:c r="IU16" s="128" t="n">
        <x:f>'PROJECT TA Y TB KARINA'!$Q70/8</x:f>
        <x:v>0</x:v>
      </x:c>
      <x:c r="IV16" s="128" t="n">
        <x:f>'PROJECT TA Y TB KARINA'!$R70/8</x:f>
        <x:v>0</x:v>
      </x:c>
      <x:c r="IW16" s="128" t="n">
        <x:f>'PROJECT TA Y TB KARINA'!$R70/8</x:f>
        <x:v>0</x:v>
      </x:c>
      <x:c r="IX16" s="128" t="n">
        <x:f>'PROJECT TA Y TB KARINA'!$R70/8</x:f>
        <x:v>0</x:v>
      </x:c>
      <x:c r="IY16" s="128" t="n">
        <x:f>'PROJECT TA Y TB KARINA'!$R70/8</x:f>
        <x:v>0</x:v>
      </x:c>
      <x:c r="IZ16" s="128" t="n">
        <x:f>'PROJECT TA Y TB KARINA'!$R70/8</x:f>
        <x:v>0</x:v>
      </x:c>
      <x:c r="JA16" s="128" t="n">
        <x:f>'PROJECT TA Y TB KARINA'!$R70/8</x:f>
        <x:v>0</x:v>
      </x:c>
      <x:c r="JB16" s="128" t="n">
        <x:f>'PROJECT TA Y TB KARINA'!$R70/8</x:f>
        <x:v>0</x:v>
      </x:c>
      <x:c r="JC16" s="128" t="n">
        <x:f>'PROJECT TA Y TB KARINA'!$R70/8</x:f>
        <x:v>0</x:v>
      </x:c>
      <x:c r="JD16" s="128" t="n">
        <x:f>'PROJECT TA Y TB KARINA'!$S70/8</x:f>
        <x:v>0</x:v>
      </x:c>
      <x:c r="JE16" s="128" t="n">
        <x:f>'PROJECT TA Y TB KARINA'!$S70/8</x:f>
        <x:v>0</x:v>
      </x:c>
      <x:c r="JF16" s="128" t="n">
        <x:f>'PROJECT TA Y TB KARINA'!$S70/8</x:f>
        <x:v>0</x:v>
      </x:c>
      <x:c r="JG16" s="128" t="n">
        <x:f>'PROJECT TA Y TB KARINA'!$S70/8</x:f>
        <x:v>0</x:v>
      </x:c>
      <x:c r="JH16" s="128" t="n">
        <x:f>'PROJECT TA Y TB KARINA'!$S70/8</x:f>
        <x:v>0</x:v>
      </x:c>
      <x:c r="JI16" s="128" t="n">
        <x:f>'PROJECT TA Y TB KARINA'!$S70/8</x:f>
        <x:v>0</x:v>
      </x:c>
      <x:c r="JJ16" s="128" t="n">
        <x:f>'PROJECT TA Y TB KARINA'!$S70/8</x:f>
        <x:v>0</x:v>
      </x:c>
      <x:c r="JK16" s="128" t="n">
        <x:f>'PROJECT TA Y TB KARINA'!$S70/8</x:f>
        <x:v>0</x:v>
      </x:c>
      <x:c r="JL16" s="128" t="n">
        <x:f>'PROJECT TA Y TB KARINA'!$T70/8</x:f>
        <x:v>0</x:v>
      </x:c>
      <x:c r="JM16" s="128" t="n">
        <x:f>'PROJECT TA Y TB KARINA'!$T70/8</x:f>
        <x:v>0</x:v>
      </x:c>
      <x:c r="JN16" s="128" t="n">
        <x:f>'PROJECT TA Y TB KARINA'!$T70/8</x:f>
        <x:v>0</x:v>
      </x:c>
      <x:c r="JO16" s="128" t="n">
        <x:f>'PROJECT TA Y TB KARINA'!$T70/8</x:f>
        <x:v>0</x:v>
      </x:c>
      <x:c r="JP16" s="128" t="n">
        <x:f>'PROJECT TA Y TB KARINA'!$T70/8</x:f>
        <x:v>0</x:v>
      </x:c>
      <x:c r="JQ16" s="128" t="n">
        <x:f>'PROJECT TA Y TB KARINA'!$T70/8</x:f>
        <x:v>0</x:v>
      </x:c>
      <x:c r="JR16" s="128" t="n">
        <x:f>'PROJECT TA Y TB KARINA'!$T70/8</x:f>
        <x:v>0</x:v>
      </x:c>
      <x:c r="JS16" s="128" t="n">
        <x:f>'PROJECT TA Y TB KARINA'!$T70/8</x:f>
        <x:v>0</x:v>
      </x:c>
      <x:c r="JT16" s="128" t="e">
        <x:f>'PROJECT TA Y TB KARINA'!#REF!/8</x:f>
        <x:v>#NAME?</x:v>
      </x:c>
      <x:c r="JU16" s="128" t="e">
        <x:f>'PROJECT TA Y TB KARINA'!#REF!/8</x:f>
        <x:v>#NAME?</x:v>
      </x:c>
      <x:c r="JV16" s="128" t="e">
        <x:f>'PROJECT TA Y TB KARINA'!#REF!/8</x:f>
        <x:v>#NAME?</x:v>
      </x:c>
      <x:c r="JW16" s="128" t="e">
        <x:f>'PROJECT TA Y TB KARINA'!#REF!/8</x:f>
        <x:v>#NAME?</x:v>
      </x:c>
      <x:c r="JX16" s="128" t="e">
        <x:f>'PROJECT TA Y TB KARINA'!#REF!/8</x:f>
        <x:v>#NAME?</x:v>
      </x:c>
      <x:c r="JY16" s="128" t="e">
        <x:f>'PROJECT TA Y TB KARINA'!#REF!/8</x:f>
        <x:v>#NAME?</x:v>
      </x:c>
      <x:c r="JZ16" s="128" t="e">
        <x:f>'PROJECT TA Y TB KARINA'!#REF!/8</x:f>
        <x:v>#NAME?</x:v>
      </x:c>
      <x:c r="KA16" s="128" t="e">
        <x:f>'PROJECT TA Y TB KARINA'!#REF!/8</x:f>
        <x:v>#NAME?</x:v>
      </x:c>
    </x:row>
    <x:row r="17" ht="21">
      <x:c r="A17" s="130" t="s">
        <x:v>502</x:v>
      </x:c>
      <x:c r="B17" s="128" t="e">
        <x:f>'PROJECT TA Y TB KARINA'!$C$13/8</x:f>
        <x:v>#REF!</x:v>
      </x:c>
      <x:c r="C17" s="128" t="e">
        <x:f>'PROJECT TA Y TB KARINA'!$C$13/8</x:f>
        <x:v>#REF!</x:v>
      </x:c>
      <x:c r="D17" s="128" t="e">
        <x:f>'PROJECT TA Y TB KARINA'!$C$13/8</x:f>
        <x:v>#REF!</x:v>
      </x:c>
      <x:c r="E17" s="128" t="e">
        <x:f>'PROJECT TA Y TB KARINA'!$C$13/8</x:f>
        <x:v>#REF!</x:v>
      </x:c>
      <x:c r="F17" s="128" t="e">
        <x:f>'PROJECT TA Y TB KARINA'!$C$13/8</x:f>
        <x:v>#REF!</x:v>
      </x:c>
      <x:c r="G17" s="128" t="e">
        <x:f>'PROJECT TA Y TB KARINA'!$C$13/8</x:f>
        <x:v>#REF!</x:v>
      </x:c>
      <x:c r="H17" s="128" t="e">
        <x:f>'PROJECT TA Y TB KARINA'!$C$13/8</x:f>
        <x:v>#REF!</x:v>
      </x:c>
      <x:c r="I17" s="128" t="e">
        <x:f>'PROJECT TA Y TB KARINA'!$E13/8</x:f>
        <x:v>#REF!</x:v>
      </x:c>
      <x:c r="J17" s="128" t="e">
        <x:f>'PROJECT TA Y TB KARINA'!$E13/8</x:f>
        <x:v>#REF!</x:v>
      </x:c>
      <x:c r="K17" s="128" t="e">
        <x:f>'PROJECT TA Y TB KARINA'!$E13/8</x:f>
        <x:v>#REF!</x:v>
      </x:c>
      <x:c r="L17" s="128" t="e">
        <x:f>'PROJECT TA Y TB KARINA'!$E13/8</x:f>
        <x:v>#REF!</x:v>
      </x:c>
      <x:c r="M17" s="128" t="e">
        <x:f>'PROJECT TA Y TB KARINA'!$E13/8</x:f>
        <x:v>#REF!</x:v>
      </x:c>
      <x:c r="N17" s="128" t="e">
        <x:f>'PROJECT TA Y TB KARINA'!$E13/8</x:f>
        <x:v>#REF!</x:v>
      </x:c>
      <x:c r="O17" s="128" t="e">
        <x:f>'PROJECT TA Y TB KARINA'!$E13/8</x:f>
        <x:v>#REF!</x:v>
      </x:c>
      <x:c r="P17" s="128" t="e">
        <x:f>'PROJECT TA Y TB KARINA'!$E13/8</x:f>
        <x:v>#REF!</x:v>
      </x:c>
      <x:c r="Q17" s="128" t="e">
        <x:f>'PROJECT TA Y TB KARINA'!$F13/8</x:f>
        <x:v>#REF!</x:v>
      </x:c>
      <x:c r="R17" s="128" t="e">
        <x:f>'PROJECT TA Y TB KARINA'!$F13/8</x:f>
        <x:v>#REF!</x:v>
      </x:c>
      <x:c r="S17" s="128" t="e">
        <x:f>'PROJECT TA Y TB KARINA'!$F13/8</x:f>
        <x:v>#REF!</x:v>
      </x:c>
      <x:c r="T17" s="128" t="e">
        <x:f>'PROJECT TA Y TB KARINA'!$F13/8</x:f>
        <x:v>#REF!</x:v>
      </x:c>
      <x:c r="U17" s="128" t="e">
        <x:f>'PROJECT TA Y TB KARINA'!$F13/8</x:f>
        <x:v>#REF!</x:v>
      </x:c>
      <x:c r="V17" s="128" t="e">
        <x:f>'PROJECT TA Y TB KARINA'!$F13/8</x:f>
        <x:v>#REF!</x:v>
      </x:c>
      <x:c r="W17" s="128" t="e">
        <x:f>'PROJECT TA Y TB KARINA'!$F13/8</x:f>
        <x:v>#REF!</x:v>
      </x:c>
      <x:c r="X17" s="128" t="e">
        <x:f>'PROJECT TA Y TB KARINA'!$F13/8</x:f>
        <x:v>#REF!</x:v>
      </x:c>
      <x:c r="Y17" s="128" t="e">
        <x:f>'PROJECT TA Y TB KARINA'!$G13/8</x:f>
        <x:v>#REF!</x:v>
      </x:c>
      <x:c r="Z17" s="128" t="e">
        <x:f>'PROJECT TA Y TB KARINA'!$G13/8</x:f>
        <x:v>#REF!</x:v>
      </x:c>
      <x:c r="AA17" s="128" t="e">
        <x:f>'PROJECT TA Y TB KARINA'!$G13/8</x:f>
        <x:v>#REF!</x:v>
      </x:c>
      <x:c r="AB17" s="128" t="e">
        <x:f>'PROJECT TA Y TB KARINA'!$G13/8</x:f>
        <x:v>#REF!</x:v>
      </x:c>
      <x:c r="AC17" s="128" t="e">
        <x:f>'PROJECT TA Y TB KARINA'!$G13/8</x:f>
        <x:v>#REF!</x:v>
      </x:c>
      <x:c r="AD17" s="128" t="e">
        <x:f>'PROJECT TA Y TB KARINA'!$G13/8</x:f>
        <x:v>#REF!</x:v>
      </x:c>
      <x:c r="AE17" s="128" t="e">
        <x:f>'PROJECT TA Y TB KARINA'!$G13/8</x:f>
        <x:v>#REF!</x:v>
      </x:c>
      <x:c r="AF17" s="128" t="e">
        <x:f>'PROJECT TA Y TB KARINA'!$G13/8</x:f>
        <x:v>#REF!</x:v>
      </x:c>
      <x:c r="AG17" s="128" t="e">
        <x:f>'PROJECT TA Y TB KARINA'!$H13/8</x:f>
        <x:v>#REF!</x:v>
      </x:c>
      <x:c r="AH17" s="128" t="e">
        <x:f>'PROJECT TA Y TB KARINA'!$H13/8</x:f>
        <x:v>#REF!</x:v>
      </x:c>
      <x:c r="AI17" s="128" t="e">
        <x:f>'PROJECT TA Y TB KARINA'!$H13/8</x:f>
        <x:v>#REF!</x:v>
      </x:c>
      <x:c r="AJ17" s="128" t="e">
        <x:f>'PROJECT TA Y TB KARINA'!$H13/8</x:f>
        <x:v>#REF!</x:v>
      </x:c>
      <x:c r="AK17" s="128" t="e">
        <x:f>'PROJECT TA Y TB KARINA'!$H13/8</x:f>
        <x:v>#REF!</x:v>
      </x:c>
      <x:c r="AL17" s="128" t="e">
        <x:f>'PROJECT TA Y TB KARINA'!$H13/8</x:f>
        <x:v>#REF!</x:v>
      </x:c>
      <x:c r="AM17" s="128" t="e">
        <x:f>'PROJECT TA Y TB KARINA'!$H13/8</x:f>
        <x:v>#REF!</x:v>
      </x:c>
      <x:c r="AN17" s="128" t="e">
        <x:f>'PROJECT TA Y TB KARINA'!$H13/8</x:f>
        <x:v>#REF!</x:v>
      </x:c>
      <x:c r="AO17" s="128" t="e">
        <x:f>'PROJECT TA Y TB KARINA'!$I13/8</x:f>
        <x:v>#REF!</x:v>
      </x:c>
      <x:c r="AP17" s="128" t="e">
        <x:f>'PROJECT TA Y TB KARINA'!$I13/8</x:f>
        <x:v>#REF!</x:v>
      </x:c>
      <x:c r="AQ17" s="128" t="e">
        <x:f>'PROJECT TA Y TB KARINA'!$I13/8</x:f>
        <x:v>#REF!</x:v>
      </x:c>
      <x:c r="AR17" s="128" t="e">
        <x:f>'PROJECT TA Y TB KARINA'!$I13/8</x:f>
        <x:v>#REF!</x:v>
      </x:c>
      <x:c r="AS17" s="128" t="e">
        <x:f>'PROJECT TA Y TB KARINA'!$I13/8</x:f>
        <x:v>#REF!</x:v>
      </x:c>
      <x:c r="AT17" s="128" t="e">
        <x:f>'PROJECT TA Y TB KARINA'!$I13/8</x:f>
        <x:v>#REF!</x:v>
      </x:c>
      <x:c r="AU17" s="128" t="e">
        <x:f>'PROJECT TA Y TB KARINA'!$I13/8</x:f>
        <x:v>#REF!</x:v>
      </x:c>
      <x:c r="AV17" s="128" t="e">
        <x:f>'PROJECT TA Y TB KARINA'!$I13/8</x:f>
        <x:v>#REF!</x:v>
      </x:c>
      <x:c r="AW17" s="128" t="e">
        <x:f>'PROJECT TA Y TB KARINA'!$J13/8</x:f>
        <x:v>#REF!</x:v>
      </x:c>
      <x:c r="AX17" s="128" t="e">
        <x:f>'PROJECT TA Y TB KARINA'!$J13/8</x:f>
        <x:v>#REF!</x:v>
      </x:c>
      <x:c r="AY17" s="128" t="e">
        <x:f>'PROJECT TA Y TB KARINA'!$J13/8</x:f>
        <x:v>#REF!</x:v>
      </x:c>
      <x:c r="AZ17" s="128" t="e">
        <x:f>'PROJECT TA Y TB KARINA'!$J13/8</x:f>
        <x:v>#REF!</x:v>
      </x:c>
      <x:c r="BA17" s="128" t="e">
        <x:f>'PROJECT TA Y TB KARINA'!$J13/8</x:f>
        <x:v>#REF!</x:v>
      </x:c>
      <x:c r="BB17" s="128" t="e">
        <x:f>'PROJECT TA Y TB KARINA'!$J13/8</x:f>
        <x:v>#REF!</x:v>
      </x:c>
      <x:c r="BC17" s="128" t="e">
        <x:f>'PROJECT TA Y TB KARINA'!$J13/8</x:f>
        <x:v>#REF!</x:v>
      </x:c>
      <x:c r="BD17" s="128" t="e">
        <x:f>'PROJECT TA Y TB KARINA'!$J13/8</x:f>
        <x:v>#REF!</x:v>
      </x:c>
      <x:c r="BE17" s="128" t="e">
        <x:f>'PROJECT TA Y TB KARINA'!$K13/8</x:f>
        <x:v>#REF!</x:v>
      </x:c>
      <x:c r="BF17" s="128" t="e">
        <x:f>'PROJECT TA Y TB KARINA'!$K13/8</x:f>
        <x:v>#REF!</x:v>
      </x:c>
      <x:c r="BG17" s="128" t="e">
        <x:f>'PROJECT TA Y TB KARINA'!$K13/8</x:f>
        <x:v>#REF!</x:v>
      </x:c>
      <x:c r="BH17" s="128" t="e">
        <x:f>'PROJECT TA Y TB KARINA'!$K13/8</x:f>
        <x:v>#REF!</x:v>
      </x:c>
      <x:c r="BI17" s="128" t="e">
        <x:f>'PROJECT TA Y TB KARINA'!$K13/8</x:f>
        <x:v>#REF!</x:v>
      </x:c>
      <x:c r="BJ17" s="128" t="e">
        <x:f>'PROJECT TA Y TB KARINA'!$K13/8</x:f>
        <x:v>#REF!</x:v>
      </x:c>
      <x:c r="BK17" s="128" t="e">
        <x:f>'PROJECT TA Y TB KARINA'!$K13/8</x:f>
        <x:v>#REF!</x:v>
      </x:c>
      <x:c r="BL17" s="128" t="e">
        <x:f>'PROJECT TA Y TB KARINA'!$K13/8</x:f>
        <x:v>#REF!</x:v>
      </x:c>
      <x:c r="BM17" s="128" t="e">
        <x:f>'PROJECT TA Y TB KARINA'!$L13/8</x:f>
        <x:v>#REF!</x:v>
      </x:c>
      <x:c r="BN17" s="128" t="e">
        <x:f>'PROJECT TA Y TB KARINA'!$L13/8</x:f>
        <x:v>#REF!</x:v>
      </x:c>
      <x:c r="BO17" s="128" t="e">
        <x:f>'PROJECT TA Y TB KARINA'!$L13/8</x:f>
        <x:v>#REF!</x:v>
      </x:c>
      <x:c r="BP17" s="128" t="e">
        <x:f>'PROJECT TA Y TB KARINA'!$L13/8</x:f>
        <x:v>#REF!</x:v>
      </x:c>
      <x:c r="BQ17" s="128" t="e">
        <x:f>'PROJECT TA Y TB KARINA'!$L13/8</x:f>
        <x:v>#REF!</x:v>
      </x:c>
      <x:c r="BR17" s="128" t="e">
        <x:f>'PROJECT TA Y TB KARINA'!$L13/8</x:f>
        <x:v>#REF!</x:v>
      </x:c>
      <x:c r="BS17" s="128" t="e">
        <x:f>'PROJECT TA Y TB KARINA'!$L13/8</x:f>
        <x:v>#REF!</x:v>
      </x:c>
      <x:c r="BT17" s="128" t="e">
        <x:f>'PROJECT TA Y TB KARINA'!$L13/8</x:f>
        <x:v>#REF!</x:v>
      </x:c>
      <x:c r="BU17" s="128" t="e">
        <x:f>'PROJECT TA Y TB KARINA'!$M13/8</x:f>
        <x:v>#REF!</x:v>
      </x:c>
      <x:c r="BV17" s="128" t="e">
        <x:f>'PROJECT TA Y TB KARINA'!$M13/8</x:f>
        <x:v>#REF!</x:v>
      </x:c>
      <x:c r="BW17" s="128" t="e">
        <x:f>'PROJECT TA Y TB KARINA'!$M13/8</x:f>
        <x:v>#REF!</x:v>
      </x:c>
      <x:c r="BX17" s="128" t="e">
        <x:f>'PROJECT TA Y TB KARINA'!$M13/8</x:f>
        <x:v>#REF!</x:v>
      </x:c>
      <x:c r="BY17" s="128" t="e">
        <x:f>'PROJECT TA Y TB KARINA'!$M13/8</x:f>
        <x:v>#REF!</x:v>
      </x:c>
      <x:c r="BZ17" s="128" t="e">
        <x:f>'PROJECT TA Y TB KARINA'!$M13/8</x:f>
        <x:v>#REF!</x:v>
      </x:c>
      <x:c r="CA17" s="128" t="e">
        <x:f>'PROJECT TA Y TB KARINA'!$M13/8</x:f>
        <x:v>#REF!</x:v>
      </x:c>
      <x:c r="CB17" s="128" t="e">
        <x:f>'PROJECT TA Y TB KARINA'!$M13/8</x:f>
        <x:v>#REF!</x:v>
      </x:c>
      <x:c r="CC17" s="128" t="e">
        <x:f>'PROJECT TA Y TB KARINA'!$N13/8</x:f>
        <x:v>#REF!</x:v>
      </x:c>
      <x:c r="CD17" s="128" t="e">
        <x:f>'PROJECT TA Y TB KARINA'!$N13/8</x:f>
        <x:v>#REF!</x:v>
      </x:c>
      <x:c r="CE17" s="128" t="e">
        <x:f>'PROJECT TA Y TB KARINA'!$N13/8</x:f>
        <x:v>#REF!</x:v>
      </x:c>
      <x:c r="CF17" s="128" t="e">
        <x:f>'PROJECT TA Y TB KARINA'!$N13/8</x:f>
        <x:v>#REF!</x:v>
      </x:c>
      <x:c r="CG17" s="128" t="e">
        <x:f>'PROJECT TA Y TB KARINA'!$N13/8</x:f>
        <x:v>#REF!</x:v>
      </x:c>
      <x:c r="CH17" s="128" t="e">
        <x:f>'PROJECT TA Y TB KARINA'!$N13/8</x:f>
        <x:v>#REF!</x:v>
      </x:c>
      <x:c r="CI17" s="128" t="e">
        <x:f>'PROJECT TA Y TB KARINA'!$N13/8</x:f>
        <x:v>#REF!</x:v>
      </x:c>
      <x:c r="CJ17" s="128" t="e">
        <x:f>'PROJECT TA Y TB KARINA'!$N13/8</x:f>
        <x:v>#REF!</x:v>
      </x:c>
      <x:c r="CK17" s="128" t="e">
        <x:f>'PROJECT TA Y TB KARINA'!$O13/8</x:f>
        <x:v>#REF!</x:v>
      </x:c>
      <x:c r="CL17" s="128" t="e">
        <x:f>'PROJECT TA Y TB KARINA'!$O13/8</x:f>
        <x:v>#REF!</x:v>
      </x:c>
      <x:c r="CM17" s="128" t="e">
        <x:f>'PROJECT TA Y TB KARINA'!$O13/8</x:f>
        <x:v>#REF!</x:v>
      </x:c>
      <x:c r="CN17" s="128" t="e">
        <x:f>'PROJECT TA Y TB KARINA'!$O13/8</x:f>
        <x:v>#REF!</x:v>
      </x:c>
      <x:c r="CO17" s="128" t="e">
        <x:f>'PROJECT TA Y TB KARINA'!$O13/8</x:f>
        <x:v>#REF!</x:v>
      </x:c>
      <x:c r="CP17" s="128" t="e">
        <x:f>'PROJECT TA Y TB KARINA'!$O13/8</x:f>
        <x:v>#REF!</x:v>
      </x:c>
      <x:c r="CQ17" s="128" t="e">
        <x:f>'PROJECT TA Y TB KARINA'!$O13/8</x:f>
        <x:v>#REF!</x:v>
      </x:c>
      <x:c r="CR17" s="128" t="e">
        <x:f>'PROJECT TA Y TB KARINA'!$O13/8</x:f>
        <x:v>#REF!</x:v>
      </x:c>
      <x:c r="CS17" s="128" t="e">
        <x:f>'PROJECT TA Y TB KARINA'!$P13/8</x:f>
        <x:v>#REF!</x:v>
      </x:c>
      <x:c r="CT17" s="128" t="e">
        <x:f>'PROJECT TA Y TB KARINA'!$P13/8</x:f>
        <x:v>#REF!</x:v>
      </x:c>
      <x:c r="CU17" s="128" t="e">
        <x:f>'PROJECT TA Y TB KARINA'!$P13/8</x:f>
        <x:v>#REF!</x:v>
      </x:c>
      <x:c r="CV17" s="128" t="e">
        <x:f>'PROJECT TA Y TB KARINA'!$P13/8</x:f>
        <x:v>#REF!</x:v>
      </x:c>
      <x:c r="CW17" s="128" t="e">
        <x:f>'PROJECT TA Y TB KARINA'!$P13/8</x:f>
        <x:v>#REF!</x:v>
      </x:c>
      <x:c r="CX17" s="128" t="e">
        <x:f>'PROJECT TA Y TB KARINA'!$P13/8</x:f>
        <x:v>#REF!</x:v>
      </x:c>
      <x:c r="CY17" s="128" t="e">
        <x:f>'PROJECT TA Y TB KARINA'!$P13/8</x:f>
        <x:v>#REF!</x:v>
      </x:c>
      <x:c r="CZ17" s="128" t="e">
        <x:f>'PROJECT TA Y TB KARINA'!$P13/8</x:f>
        <x:v>#REF!</x:v>
      </x:c>
      <x:c r="DA17" s="128" t="e">
        <x:f>'PROJECT TA Y TB KARINA'!$Q13/8</x:f>
        <x:v>#REF!</x:v>
      </x:c>
      <x:c r="DB17" s="128" t="e">
        <x:f>'PROJECT TA Y TB KARINA'!$Q13/8</x:f>
        <x:v>#REF!</x:v>
      </x:c>
      <x:c r="DC17" s="128" t="e">
        <x:f>'PROJECT TA Y TB KARINA'!$Q13/8</x:f>
        <x:v>#REF!</x:v>
      </x:c>
      <x:c r="DD17" s="128" t="e">
        <x:f>'PROJECT TA Y TB KARINA'!$Q13/8</x:f>
        <x:v>#REF!</x:v>
      </x:c>
      <x:c r="DE17" s="128" t="e">
        <x:f>'PROJECT TA Y TB KARINA'!$Q13/8</x:f>
        <x:v>#REF!</x:v>
      </x:c>
      <x:c r="DF17" s="128" t="e">
        <x:f>'PROJECT TA Y TB KARINA'!$Q13/8</x:f>
        <x:v>#REF!</x:v>
      </x:c>
      <x:c r="DG17" s="128" t="e">
        <x:f>'PROJECT TA Y TB KARINA'!$Q13/8</x:f>
        <x:v>#REF!</x:v>
      </x:c>
      <x:c r="DH17" s="128" t="e">
        <x:f>'PROJECT TA Y TB KARINA'!$Q13/8</x:f>
        <x:v>#REF!</x:v>
      </x:c>
      <x:c r="DI17" s="128" t="e">
        <x:f>'PROJECT TA Y TB KARINA'!$R13/8</x:f>
        <x:v>#REF!</x:v>
      </x:c>
      <x:c r="DJ17" s="128" t="e">
        <x:f>'PROJECT TA Y TB KARINA'!$R13/8</x:f>
        <x:v>#REF!</x:v>
      </x:c>
      <x:c r="DK17" s="128" t="e">
        <x:f>'PROJECT TA Y TB KARINA'!$R13/8</x:f>
        <x:v>#REF!</x:v>
      </x:c>
      <x:c r="DL17" s="128" t="e">
        <x:f>'PROJECT TA Y TB KARINA'!$R13/8</x:f>
        <x:v>#REF!</x:v>
      </x:c>
      <x:c r="DM17" s="128" t="e">
        <x:f>'PROJECT TA Y TB KARINA'!$R13/8</x:f>
        <x:v>#REF!</x:v>
      </x:c>
      <x:c r="DN17" s="128" t="e">
        <x:f>'PROJECT TA Y TB KARINA'!$R13/8</x:f>
        <x:v>#REF!</x:v>
      </x:c>
      <x:c r="DO17" s="128" t="e">
        <x:f>'PROJECT TA Y TB KARINA'!$R13/8</x:f>
        <x:v>#REF!</x:v>
      </x:c>
      <x:c r="DP17" s="128" t="e">
        <x:f>'PROJECT TA Y TB KARINA'!$R13/8</x:f>
        <x:v>#REF!</x:v>
      </x:c>
      <x:c r="DQ17" s="128" t="e">
        <x:f>'PROJECT TA Y TB KARINA'!$S13/8</x:f>
        <x:v>#REF!</x:v>
      </x:c>
      <x:c r="DR17" s="128" t="e">
        <x:f>'PROJECT TA Y TB KARINA'!$S13/8</x:f>
        <x:v>#REF!</x:v>
      </x:c>
      <x:c r="DS17" s="128" t="e">
        <x:f>'PROJECT TA Y TB KARINA'!$S13/8</x:f>
        <x:v>#REF!</x:v>
      </x:c>
      <x:c r="DT17" s="128" t="e">
        <x:f>'PROJECT TA Y TB KARINA'!$S13/8</x:f>
        <x:v>#REF!</x:v>
      </x:c>
      <x:c r="DU17" s="128" t="e">
        <x:f>'PROJECT TA Y TB KARINA'!$S13/8</x:f>
        <x:v>#REF!</x:v>
      </x:c>
      <x:c r="DV17" s="128" t="e">
        <x:f>'PROJECT TA Y TB KARINA'!$S13/8</x:f>
        <x:v>#REF!</x:v>
      </x:c>
      <x:c r="DW17" s="128" t="e">
        <x:f>'PROJECT TA Y TB KARINA'!$S13/8</x:f>
        <x:v>#REF!</x:v>
      </x:c>
      <x:c r="DX17" s="128" t="e">
        <x:f>'PROJECT TA Y TB KARINA'!$S13/8</x:f>
        <x:v>#REF!</x:v>
      </x:c>
      <x:c r="DY17" s="128" t="e">
        <x:f>'PROJECT TA Y TB KARINA'!$T13/8</x:f>
        <x:v>#REF!</x:v>
      </x:c>
      <x:c r="DZ17" s="128" t="e">
        <x:f>'PROJECT TA Y TB KARINA'!$T13/8</x:f>
        <x:v>#REF!</x:v>
      </x:c>
      <x:c r="EA17" s="128" t="e">
        <x:f>'PROJECT TA Y TB KARINA'!$T13/8</x:f>
        <x:v>#REF!</x:v>
      </x:c>
      <x:c r="EB17" s="128" t="e">
        <x:f>'PROJECT TA Y TB KARINA'!$T13/8</x:f>
        <x:v>#REF!</x:v>
      </x:c>
      <x:c r="EC17" s="128" t="e">
        <x:f>'PROJECT TA Y TB KARINA'!$T13/8</x:f>
        <x:v>#REF!</x:v>
      </x:c>
      <x:c r="ED17" s="128" t="e">
        <x:f>'PROJECT TA Y TB KARINA'!$T13/8</x:f>
        <x:v>#REF!</x:v>
      </x:c>
      <x:c r="EE17" s="128" t="e">
        <x:f>'PROJECT TA Y TB KARINA'!$T13/8</x:f>
        <x:v>#REF!</x:v>
      </x:c>
      <x:c r="EF17" s="128" t="e">
        <x:f>'PROJECT TA Y TB KARINA'!$T13/8</x:f>
        <x:v>#REF!</x:v>
      </x:c>
      <x:c r="EG17" s="128" t="e">
        <x:f>'PROJECT TA Y TB KARINA'!#REF!/8</x:f>
        <x:v>#NAME?</x:v>
      </x:c>
      <x:c r="EH17" s="128" t="e">
        <x:f>'PROJECT TA Y TB KARINA'!#REF!/8</x:f>
        <x:v>#NAME?</x:v>
      </x:c>
      <x:c r="EI17" s="128" t="e">
        <x:f>'PROJECT TA Y TB KARINA'!#REF!/8</x:f>
        <x:v>#NAME?</x:v>
      </x:c>
      <x:c r="EJ17" s="128" t="e">
        <x:f>'PROJECT TA Y TB KARINA'!#REF!/8</x:f>
        <x:v>#NAME?</x:v>
      </x:c>
      <x:c r="EK17" s="128" t="e">
        <x:f>'PROJECT TA Y TB KARINA'!#REF!/8</x:f>
        <x:v>#NAME?</x:v>
      </x:c>
      <x:c r="EL17" s="128" t="e">
        <x:f>'PROJECT TA Y TB KARINA'!#REF!/8</x:f>
        <x:v>#NAME?</x:v>
      </x:c>
      <x:c r="EM17" s="128" t="e">
        <x:f>'PROJECT TA Y TB KARINA'!#REF!/8</x:f>
        <x:v>#NAME?</x:v>
      </x:c>
      <x:c r="EN17" s="128" t="e">
        <x:f>'PROJECT TA Y TB KARINA'!#REF!/8</x:f>
        <x:v>#NAME?</x:v>
      </x:c>
      <x:c r="EO17" s="128" t="n">
        <x:f>'PROJECT TA Y TB KARINA'!$C71/8</x:f>
        <x:v>0</x:v>
      </x:c>
      <x:c r="EP17" s="128" t="n">
        <x:f>'PROJECT TA Y TB KARINA'!$C71/8</x:f>
        <x:v>0</x:v>
      </x:c>
      <x:c r="EQ17" s="128" t="n">
        <x:f>'PROJECT TA Y TB KARINA'!$C71/8</x:f>
        <x:v>0</x:v>
      </x:c>
      <x:c r="ER17" s="128" t="n">
        <x:f>'PROJECT TA Y TB KARINA'!$C71/8</x:f>
        <x:v>0</x:v>
      </x:c>
      <x:c r="ES17" s="128" t="n">
        <x:f>'PROJECT TA Y TB KARINA'!$C71/8</x:f>
        <x:v>0</x:v>
      </x:c>
      <x:c r="ET17" s="128" t="n">
        <x:f>'PROJECT TA Y TB KARINA'!$C71/8</x:f>
        <x:v>0</x:v>
      </x:c>
      <x:c r="EU17" s="128" t="n">
        <x:f>'PROJECT TA Y TB KARINA'!$C71/8</x:f>
        <x:v>0</x:v>
      </x:c>
      <x:c r="EV17" s="128" t="n">
        <x:f>'PROJECT TA Y TB KARINA'!$E71/8</x:f>
        <x:v>0</x:v>
      </x:c>
      <x:c r="EW17" s="128" t="n">
        <x:f>'PROJECT TA Y TB KARINA'!$E71/8</x:f>
        <x:v>0</x:v>
      </x:c>
      <x:c r="EX17" s="128" t="n">
        <x:f>'PROJECT TA Y TB KARINA'!$E71/8</x:f>
        <x:v>0</x:v>
      </x:c>
      <x:c r="EY17" s="128" t="n">
        <x:f>'PROJECT TA Y TB KARINA'!$E71/8</x:f>
        <x:v>0</x:v>
      </x:c>
      <x:c r="EZ17" s="128" t="n">
        <x:f>'PROJECT TA Y TB KARINA'!$E71/8</x:f>
        <x:v>0</x:v>
      </x:c>
      <x:c r="FA17" s="128" t="n">
        <x:f>'PROJECT TA Y TB KARINA'!$E71/8</x:f>
        <x:v>0</x:v>
      </x:c>
      <x:c r="FB17" s="128" t="n">
        <x:f>'PROJECT TA Y TB KARINA'!$E71/8</x:f>
        <x:v>0</x:v>
      </x:c>
      <x:c r="FC17" s="128" t="n">
        <x:f>'PROJECT TA Y TB KARINA'!$E71/8</x:f>
        <x:v>0</x:v>
      </x:c>
      <x:c r="FD17" s="128" t="n">
        <x:f>'PROJECT TA Y TB KARINA'!$F71/8</x:f>
        <x:v>0</x:v>
      </x:c>
      <x:c r="FE17" s="128" t="n">
        <x:f>'PROJECT TA Y TB KARINA'!$F71/8</x:f>
        <x:v>0</x:v>
      </x:c>
      <x:c r="FF17" s="128" t="n">
        <x:f>'PROJECT TA Y TB KARINA'!$F71/8</x:f>
        <x:v>0</x:v>
      </x:c>
      <x:c r="FG17" s="128" t="n">
        <x:f>'PROJECT TA Y TB KARINA'!$F71/8</x:f>
        <x:v>0</x:v>
      </x:c>
      <x:c r="FH17" s="128" t="n">
        <x:f>'PROJECT TA Y TB KARINA'!$F71/8</x:f>
        <x:v>0</x:v>
      </x:c>
      <x:c r="FI17" s="128" t="n">
        <x:f>'PROJECT TA Y TB KARINA'!$F71/8</x:f>
        <x:v>0</x:v>
      </x:c>
      <x:c r="FJ17" s="128" t="n">
        <x:f>'PROJECT TA Y TB KARINA'!$F71/8</x:f>
        <x:v>0</x:v>
      </x:c>
      <x:c r="FK17" s="128" t="n">
        <x:f>'PROJECT TA Y TB KARINA'!$F71/8</x:f>
        <x:v>0</x:v>
      </x:c>
      <x:c r="FL17" s="128" t="n">
        <x:f>'PROJECT TA Y TB KARINA'!$G71/8</x:f>
        <x:v>0</x:v>
      </x:c>
      <x:c r="FM17" s="128" t="n">
        <x:f>'PROJECT TA Y TB KARINA'!$G71/8</x:f>
        <x:v>0</x:v>
      </x:c>
      <x:c r="FN17" s="128" t="n">
        <x:f>'PROJECT TA Y TB KARINA'!$G71/8</x:f>
        <x:v>0</x:v>
      </x:c>
      <x:c r="FO17" s="128" t="n">
        <x:f>'PROJECT TA Y TB KARINA'!$G71/8</x:f>
        <x:v>0</x:v>
      </x:c>
      <x:c r="FP17" s="128" t="n">
        <x:f>'PROJECT TA Y TB KARINA'!$G71/8</x:f>
        <x:v>0</x:v>
      </x:c>
      <x:c r="FQ17" s="128" t="n">
        <x:f>'PROJECT TA Y TB KARINA'!$G71/8</x:f>
        <x:v>0</x:v>
      </x:c>
      <x:c r="FR17" s="128" t="n">
        <x:f>'PROJECT TA Y TB KARINA'!$G71/8</x:f>
        <x:v>0</x:v>
      </x:c>
      <x:c r="FS17" s="128" t="n">
        <x:f>'PROJECT TA Y TB KARINA'!$G71/8</x:f>
        <x:v>0</x:v>
      </x:c>
      <x:c r="FT17" s="128" t="n">
        <x:f>'PROJECT TA Y TB KARINA'!$H71/8</x:f>
        <x:v>0</x:v>
      </x:c>
      <x:c r="FU17" s="128" t="n">
        <x:f>'PROJECT TA Y TB KARINA'!$H71/8</x:f>
        <x:v>0</x:v>
      </x:c>
      <x:c r="FV17" s="128" t="n">
        <x:f>'PROJECT TA Y TB KARINA'!$H71/8</x:f>
        <x:v>0</x:v>
      </x:c>
      <x:c r="FW17" s="128" t="n">
        <x:f>'PROJECT TA Y TB KARINA'!$H71/8</x:f>
        <x:v>0</x:v>
      </x:c>
      <x:c r="FX17" s="128" t="n">
        <x:f>'PROJECT TA Y TB KARINA'!$H71/8</x:f>
        <x:v>0</x:v>
      </x:c>
      <x:c r="FY17" s="128" t="n">
        <x:f>'PROJECT TA Y TB KARINA'!$H71/8</x:f>
        <x:v>0</x:v>
      </x:c>
      <x:c r="FZ17" s="128" t="n">
        <x:f>'PROJECT TA Y TB KARINA'!$H71/8</x:f>
        <x:v>0</x:v>
      </x:c>
      <x:c r="GA17" s="128" t="n">
        <x:f>'PROJECT TA Y TB KARINA'!$H71/8</x:f>
        <x:v>0</x:v>
      </x:c>
      <x:c r="GB17" s="128" t="n">
        <x:f>'PROJECT TA Y TB KARINA'!$I71/8</x:f>
        <x:v>0</x:v>
      </x:c>
      <x:c r="GC17" s="128" t="n">
        <x:f>'PROJECT TA Y TB KARINA'!$I71/8</x:f>
        <x:v>0</x:v>
      </x:c>
      <x:c r="GD17" s="128" t="n">
        <x:f>'PROJECT TA Y TB KARINA'!$I71/8</x:f>
        <x:v>0</x:v>
      </x:c>
      <x:c r="GE17" s="128" t="n">
        <x:f>'PROJECT TA Y TB KARINA'!$I71/8</x:f>
        <x:v>0</x:v>
      </x:c>
      <x:c r="GF17" s="128" t="n">
        <x:f>'PROJECT TA Y TB KARINA'!$I71/8</x:f>
        <x:v>0</x:v>
      </x:c>
      <x:c r="GG17" s="128" t="n">
        <x:f>'PROJECT TA Y TB KARINA'!$I71/8</x:f>
        <x:v>0</x:v>
      </x:c>
      <x:c r="GH17" s="128" t="n">
        <x:f>'PROJECT TA Y TB KARINA'!$I71/8</x:f>
        <x:v>0</x:v>
      </x:c>
      <x:c r="GI17" s="128" t="n">
        <x:f>'PROJECT TA Y TB KARINA'!$I71/8</x:f>
        <x:v>0</x:v>
      </x:c>
      <x:c r="GJ17" s="128" t="n">
        <x:f>'PROJECT TA Y TB KARINA'!$J71/8</x:f>
        <x:v>0</x:v>
      </x:c>
      <x:c r="GK17" s="128" t="n">
        <x:f>'PROJECT TA Y TB KARINA'!$J71/8</x:f>
        <x:v>0</x:v>
      </x:c>
      <x:c r="GL17" s="128" t="n">
        <x:f>'PROJECT TA Y TB KARINA'!$J71/8</x:f>
        <x:v>0</x:v>
      </x:c>
      <x:c r="GM17" s="128" t="n">
        <x:f>'PROJECT TA Y TB KARINA'!$J71/8</x:f>
        <x:v>0</x:v>
      </x:c>
      <x:c r="GN17" s="128" t="n">
        <x:f>'PROJECT TA Y TB KARINA'!$J71/8</x:f>
        <x:v>0</x:v>
      </x:c>
      <x:c r="GO17" s="128" t="n">
        <x:f>'PROJECT TA Y TB KARINA'!$J71/8</x:f>
        <x:v>0</x:v>
      </x:c>
      <x:c r="GP17" s="128" t="n">
        <x:f>'PROJECT TA Y TB KARINA'!$J71/8</x:f>
        <x:v>0</x:v>
      </x:c>
      <x:c r="GQ17" s="128" t="n">
        <x:f>'PROJECT TA Y TB KARINA'!$J71/8</x:f>
        <x:v>0</x:v>
      </x:c>
      <x:c r="GR17" s="128" t="n">
        <x:f>'PROJECT TA Y TB KARINA'!$K71/8</x:f>
        <x:v>0</x:v>
      </x:c>
      <x:c r="GS17" s="128" t="n">
        <x:f>'PROJECT TA Y TB KARINA'!$K71/8</x:f>
        <x:v>0</x:v>
      </x:c>
      <x:c r="GT17" s="128" t="n">
        <x:f>'PROJECT TA Y TB KARINA'!$K71/8</x:f>
        <x:v>0</x:v>
      </x:c>
      <x:c r="GU17" s="128" t="n">
        <x:f>'PROJECT TA Y TB KARINA'!$K71/8</x:f>
        <x:v>0</x:v>
      </x:c>
      <x:c r="GV17" s="128" t="n">
        <x:f>'PROJECT TA Y TB KARINA'!$K71/8</x:f>
        <x:v>0</x:v>
      </x:c>
      <x:c r="GW17" s="128" t="n">
        <x:f>'PROJECT TA Y TB KARINA'!$K71/8</x:f>
        <x:v>0</x:v>
      </x:c>
      <x:c r="GX17" s="128" t="n">
        <x:f>'PROJECT TA Y TB KARINA'!$K71/8</x:f>
        <x:v>0</x:v>
      </x:c>
      <x:c r="GY17" s="128" t="n">
        <x:f>'PROJECT TA Y TB KARINA'!$K71/8</x:f>
        <x:v>0</x:v>
      </x:c>
      <x:c r="GZ17" s="128" t="n">
        <x:f>'PROJECT TA Y TB KARINA'!$L71/8</x:f>
        <x:v>0</x:v>
      </x:c>
      <x:c r="HA17" s="128" t="n">
        <x:f>'PROJECT TA Y TB KARINA'!$L71/8</x:f>
        <x:v>0</x:v>
      </x:c>
      <x:c r="HB17" s="128" t="n">
        <x:f>'PROJECT TA Y TB KARINA'!$L71/8</x:f>
        <x:v>0</x:v>
      </x:c>
      <x:c r="HC17" s="128" t="n">
        <x:f>'PROJECT TA Y TB KARINA'!$L71/8</x:f>
        <x:v>0</x:v>
      </x:c>
      <x:c r="HD17" s="128" t="n">
        <x:f>'PROJECT TA Y TB KARINA'!$L71/8</x:f>
        <x:v>0</x:v>
      </x:c>
      <x:c r="HE17" s="128" t="n">
        <x:f>'PROJECT TA Y TB KARINA'!$L71/8</x:f>
        <x:v>0</x:v>
      </x:c>
      <x:c r="HF17" s="128" t="n">
        <x:f>'PROJECT TA Y TB KARINA'!$L71/8</x:f>
        <x:v>0</x:v>
      </x:c>
      <x:c r="HG17" s="128" t="n">
        <x:f>'PROJECT TA Y TB KARINA'!$L71/8</x:f>
        <x:v>0</x:v>
      </x:c>
      <x:c r="HH17" s="128" t="n">
        <x:f>'PROJECT TA Y TB KARINA'!$M71/8</x:f>
        <x:v>0</x:v>
      </x:c>
      <x:c r="HI17" s="128" t="n">
        <x:f>'PROJECT TA Y TB KARINA'!$M71/8</x:f>
        <x:v>0</x:v>
      </x:c>
      <x:c r="HJ17" s="128" t="n">
        <x:f>'PROJECT TA Y TB KARINA'!$M71/8</x:f>
        <x:v>0</x:v>
      </x:c>
      <x:c r="HK17" s="128" t="n">
        <x:f>'PROJECT TA Y TB KARINA'!$M71/8</x:f>
        <x:v>0</x:v>
      </x:c>
      <x:c r="HL17" s="128" t="n">
        <x:f>'PROJECT TA Y TB KARINA'!$M71/8</x:f>
        <x:v>0</x:v>
      </x:c>
      <x:c r="HM17" s="128" t="n">
        <x:f>'PROJECT TA Y TB KARINA'!$M71/8</x:f>
        <x:v>0</x:v>
      </x:c>
      <x:c r="HN17" s="128" t="n">
        <x:f>'PROJECT TA Y TB KARINA'!$M71/8</x:f>
        <x:v>0</x:v>
      </x:c>
      <x:c r="HO17" s="128" t="n">
        <x:f>'PROJECT TA Y TB KARINA'!$M71/8</x:f>
        <x:v>0</x:v>
      </x:c>
      <x:c r="HP17" s="128" t="n">
        <x:f>'PROJECT TA Y TB KARINA'!$N71/8</x:f>
        <x:v>0</x:v>
      </x:c>
      <x:c r="HQ17" s="128" t="n">
        <x:f>'PROJECT TA Y TB KARINA'!$N71/8</x:f>
        <x:v>0</x:v>
      </x:c>
      <x:c r="HR17" s="128" t="n">
        <x:f>'PROJECT TA Y TB KARINA'!$N71/8</x:f>
        <x:v>0</x:v>
      </x:c>
      <x:c r="HS17" s="128" t="n">
        <x:f>'PROJECT TA Y TB KARINA'!$N71/8</x:f>
        <x:v>0</x:v>
      </x:c>
      <x:c r="HT17" s="128" t="n">
        <x:f>'PROJECT TA Y TB KARINA'!$N71/8</x:f>
        <x:v>0</x:v>
      </x:c>
      <x:c r="HU17" s="128" t="n">
        <x:f>'PROJECT TA Y TB KARINA'!$N71/8</x:f>
        <x:v>0</x:v>
      </x:c>
      <x:c r="HV17" s="128" t="n">
        <x:f>'PROJECT TA Y TB KARINA'!$N71/8</x:f>
        <x:v>0</x:v>
      </x:c>
      <x:c r="HW17" s="128" t="n">
        <x:f>'PROJECT TA Y TB KARINA'!$N71/8</x:f>
        <x:v>0</x:v>
      </x:c>
      <x:c r="HX17" s="128" t="n">
        <x:f>'PROJECT TA Y TB KARINA'!$O71/8</x:f>
        <x:v>0</x:v>
      </x:c>
      <x:c r="HY17" s="128" t="n">
        <x:f>'PROJECT TA Y TB KARINA'!$O71/8</x:f>
        <x:v>0</x:v>
      </x:c>
      <x:c r="HZ17" s="128" t="n">
        <x:f>'PROJECT TA Y TB KARINA'!$O71/8</x:f>
        <x:v>0</x:v>
      </x:c>
      <x:c r="IA17" s="128" t="n">
        <x:f>'PROJECT TA Y TB KARINA'!$O71/8</x:f>
        <x:v>0</x:v>
      </x:c>
      <x:c r="IB17" s="128" t="n">
        <x:f>'PROJECT TA Y TB KARINA'!$O71/8</x:f>
        <x:v>0</x:v>
      </x:c>
      <x:c r="IC17" s="128" t="n">
        <x:f>'PROJECT TA Y TB KARINA'!$O71/8</x:f>
        <x:v>0</x:v>
      </x:c>
      <x:c r="ID17" s="128" t="n">
        <x:f>'PROJECT TA Y TB KARINA'!$O71/8</x:f>
        <x:v>0</x:v>
      </x:c>
      <x:c r="IE17" s="128" t="n">
        <x:f>'PROJECT TA Y TB KARINA'!$O71/8</x:f>
        <x:v>0</x:v>
      </x:c>
      <x:c r="IF17" s="128" t="n">
        <x:f>'PROJECT TA Y TB KARINA'!$P71/8</x:f>
        <x:v>0</x:v>
      </x:c>
      <x:c r="IG17" s="128" t="n">
        <x:f>'PROJECT TA Y TB KARINA'!$P71/8</x:f>
        <x:v>0</x:v>
      </x:c>
      <x:c r="IH17" s="128" t="n">
        <x:f>'PROJECT TA Y TB KARINA'!$P71/8</x:f>
        <x:v>0</x:v>
      </x:c>
      <x:c r="II17" s="128" t="n">
        <x:f>'PROJECT TA Y TB KARINA'!$P71/8</x:f>
        <x:v>0</x:v>
      </x:c>
      <x:c r="IJ17" s="128" t="n">
        <x:f>'PROJECT TA Y TB KARINA'!$P71/8</x:f>
        <x:v>0</x:v>
      </x:c>
      <x:c r="IK17" s="128" t="n">
        <x:f>'PROJECT TA Y TB KARINA'!$P71/8</x:f>
        <x:v>0</x:v>
      </x:c>
      <x:c r="IL17" s="128" t="n">
        <x:f>'PROJECT TA Y TB KARINA'!$P71/8</x:f>
        <x:v>0</x:v>
      </x:c>
      <x:c r="IM17" s="128" t="n">
        <x:f>'PROJECT TA Y TB KARINA'!$P71/8</x:f>
        <x:v>0</x:v>
      </x:c>
      <x:c r="IN17" s="128" t="n">
        <x:f>'PROJECT TA Y TB KARINA'!$Q71/8</x:f>
        <x:v>0</x:v>
      </x:c>
      <x:c r="IO17" s="128" t="n">
        <x:f>'PROJECT TA Y TB KARINA'!$Q71/8</x:f>
        <x:v>0</x:v>
      </x:c>
      <x:c r="IP17" s="128" t="n">
        <x:f>'PROJECT TA Y TB KARINA'!$Q71/8</x:f>
        <x:v>0</x:v>
      </x:c>
      <x:c r="IQ17" s="128" t="n">
        <x:f>'PROJECT TA Y TB KARINA'!$Q71/8</x:f>
        <x:v>0</x:v>
      </x:c>
      <x:c r="IR17" s="128" t="n">
        <x:f>'PROJECT TA Y TB KARINA'!$Q71/8</x:f>
        <x:v>0</x:v>
      </x:c>
      <x:c r="IS17" s="128" t="n">
        <x:f>'PROJECT TA Y TB KARINA'!$Q71/8</x:f>
        <x:v>0</x:v>
      </x:c>
      <x:c r="IT17" s="128" t="n">
        <x:f>'PROJECT TA Y TB KARINA'!$Q71/8</x:f>
        <x:v>0</x:v>
      </x:c>
      <x:c r="IU17" s="128" t="n">
        <x:f>'PROJECT TA Y TB KARINA'!$Q71/8</x:f>
        <x:v>0</x:v>
      </x:c>
      <x:c r="IV17" s="128" t="n">
        <x:f>'PROJECT TA Y TB KARINA'!$R71/8</x:f>
        <x:v>0</x:v>
      </x:c>
      <x:c r="IW17" s="128" t="n">
        <x:f>'PROJECT TA Y TB KARINA'!$R71/8</x:f>
        <x:v>0</x:v>
      </x:c>
      <x:c r="IX17" s="128" t="n">
        <x:f>'PROJECT TA Y TB KARINA'!$R71/8</x:f>
        <x:v>0</x:v>
      </x:c>
      <x:c r="IY17" s="128" t="n">
        <x:f>'PROJECT TA Y TB KARINA'!$R71/8</x:f>
        <x:v>0</x:v>
      </x:c>
      <x:c r="IZ17" s="128" t="n">
        <x:f>'PROJECT TA Y TB KARINA'!$R71/8</x:f>
        <x:v>0</x:v>
      </x:c>
      <x:c r="JA17" s="128" t="n">
        <x:f>'PROJECT TA Y TB KARINA'!$R71/8</x:f>
        <x:v>0</x:v>
      </x:c>
      <x:c r="JB17" s="128" t="n">
        <x:f>'PROJECT TA Y TB KARINA'!$R71/8</x:f>
        <x:v>0</x:v>
      </x:c>
      <x:c r="JC17" s="128" t="n">
        <x:f>'PROJECT TA Y TB KARINA'!$R71/8</x:f>
        <x:v>0</x:v>
      </x:c>
      <x:c r="JD17" s="128" t="n">
        <x:f>'PROJECT TA Y TB KARINA'!$S71/8</x:f>
        <x:v>0</x:v>
      </x:c>
      <x:c r="JE17" s="128" t="n">
        <x:f>'PROJECT TA Y TB KARINA'!$S71/8</x:f>
        <x:v>0</x:v>
      </x:c>
      <x:c r="JF17" s="128" t="n">
        <x:f>'PROJECT TA Y TB KARINA'!$S71/8</x:f>
        <x:v>0</x:v>
      </x:c>
      <x:c r="JG17" s="128" t="n">
        <x:f>'PROJECT TA Y TB KARINA'!$S71/8</x:f>
        <x:v>0</x:v>
      </x:c>
      <x:c r="JH17" s="128" t="n">
        <x:f>'PROJECT TA Y TB KARINA'!$S71/8</x:f>
        <x:v>0</x:v>
      </x:c>
      <x:c r="JI17" s="128" t="n">
        <x:f>'PROJECT TA Y TB KARINA'!$S71/8</x:f>
        <x:v>0</x:v>
      </x:c>
      <x:c r="JJ17" s="128" t="n">
        <x:f>'PROJECT TA Y TB KARINA'!$S71/8</x:f>
        <x:v>0</x:v>
      </x:c>
      <x:c r="JK17" s="128" t="n">
        <x:f>'PROJECT TA Y TB KARINA'!$S71/8</x:f>
        <x:v>0</x:v>
      </x:c>
      <x:c r="JL17" s="128" t="n">
        <x:f>'PROJECT TA Y TB KARINA'!$T71/8</x:f>
        <x:v>0</x:v>
      </x:c>
      <x:c r="JM17" s="128" t="n">
        <x:f>'PROJECT TA Y TB KARINA'!$T71/8</x:f>
        <x:v>0</x:v>
      </x:c>
      <x:c r="JN17" s="128" t="n">
        <x:f>'PROJECT TA Y TB KARINA'!$T71/8</x:f>
        <x:v>0</x:v>
      </x:c>
      <x:c r="JO17" s="128" t="n">
        <x:f>'PROJECT TA Y TB KARINA'!$T71/8</x:f>
        <x:v>0</x:v>
      </x:c>
      <x:c r="JP17" s="128" t="n">
        <x:f>'PROJECT TA Y TB KARINA'!$T71/8</x:f>
        <x:v>0</x:v>
      </x:c>
      <x:c r="JQ17" s="128" t="n">
        <x:f>'PROJECT TA Y TB KARINA'!$T71/8</x:f>
        <x:v>0</x:v>
      </x:c>
      <x:c r="JR17" s="128" t="n">
        <x:f>'PROJECT TA Y TB KARINA'!$T71/8</x:f>
        <x:v>0</x:v>
      </x:c>
      <x:c r="JS17" s="128" t="n">
        <x:f>'PROJECT TA Y TB KARINA'!$T71/8</x:f>
        <x:v>0</x:v>
      </x:c>
      <x:c r="JT17" s="128" t="e">
        <x:f>'PROJECT TA Y TB KARINA'!#REF!/8</x:f>
        <x:v>#NAME?</x:v>
      </x:c>
      <x:c r="JU17" s="128" t="e">
        <x:f>'PROJECT TA Y TB KARINA'!#REF!/8</x:f>
        <x:v>#NAME?</x:v>
      </x:c>
      <x:c r="JV17" s="128" t="e">
        <x:f>'PROJECT TA Y TB KARINA'!#REF!/8</x:f>
        <x:v>#NAME?</x:v>
      </x:c>
      <x:c r="JW17" s="128" t="e">
        <x:f>'PROJECT TA Y TB KARINA'!#REF!/8</x:f>
        <x:v>#NAME?</x:v>
      </x:c>
      <x:c r="JX17" s="128" t="e">
        <x:f>'PROJECT TA Y TB KARINA'!#REF!/8</x:f>
        <x:v>#NAME?</x:v>
      </x:c>
      <x:c r="JY17" s="128" t="e">
        <x:f>'PROJECT TA Y TB KARINA'!#REF!/8</x:f>
        <x:v>#NAME?</x:v>
      </x:c>
      <x:c r="JZ17" s="128" t="e">
        <x:f>'PROJECT TA Y TB KARINA'!#REF!/8</x:f>
        <x:v>#NAME?</x:v>
      </x:c>
      <x:c r="KA17" s="128" t="e">
        <x:f>'PROJECT TA Y TB KARINA'!#REF!/8</x:f>
        <x:v>#NAME?</x:v>
      </x:c>
    </x:row>
    <x:row r="18" ht="21">
      <x:c r="A18" s="130" t="s">
        <x:v>503</x:v>
      </x:c>
      <x:c r="B18" s="128" t="e">
        <x:f>'PROJECT TA Y TB KARINA'!$C$14/8</x:f>
        <x:v>#REF!</x:v>
      </x:c>
      <x:c r="C18" s="128" t="e">
        <x:f>'PROJECT TA Y TB KARINA'!$C$14/8</x:f>
        <x:v>#REF!</x:v>
      </x:c>
      <x:c r="D18" s="128" t="e">
        <x:f>'PROJECT TA Y TB KARINA'!$C$14/8</x:f>
        <x:v>#REF!</x:v>
      </x:c>
      <x:c r="E18" s="128" t="e">
        <x:f>'PROJECT TA Y TB KARINA'!$C$14/8</x:f>
        <x:v>#REF!</x:v>
      </x:c>
      <x:c r="F18" s="128" t="e">
        <x:f>'PROJECT TA Y TB KARINA'!$C$14/8</x:f>
        <x:v>#REF!</x:v>
      </x:c>
      <x:c r="G18" s="128" t="e">
        <x:f>'PROJECT TA Y TB KARINA'!$C$14/8</x:f>
        <x:v>#REF!</x:v>
      </x:c>
      <x:c r="H18" s="128" t="e">
        <x:f>'PROJECT TA Y TB KARINA'!$C$14/8</x:f>
        <x:v>#REF!</x:v>
      </x:c>
      <x:c r="I18" s="128" t="e">
        <x:f>'PROJECT TA Y TB KARINA'!$E14/8</x:f>
        <x:v>#REF!</x:v>
      </x:c>
      <x:c r="J18" s="128" t="e">
        <x:f>'PROJECT TA Y TB KARINA'!$E14/8</x:f>
        <x:v>#REF!</x:v>
      </x:c>
      <x:c r="K18" s="128" t="e">
        <x:f>'PROJECT TA Y TB KARINA'!$E14/8</x:f>
        <x:v>#REF!</x:v>
      </x:c>
      <x:c r="L18" s="128" t="e">
        <x:f>'PROJECT TA Y TB KARINA'!$E14/8</x:f>
        <x:v>#REF!</x:v>
      </x:c>
      <x:c r="M18" s="128" t="e">
        <x:f>'PROJECT TA Y TB KARINA'!$E14/8</x:f>
        <x:v>#REF!</x:v>
      </x:c>
      <x:c r="N18" s="128" t="e">
        <x:f>'PROJECT TA Y TB KARINA'!$E14/8</x:f>
        <x:v>#REF!</x:v>
      </x:c>
      <x:c r="O18" s="128" t="e">
        <x:f>'PROJECT TA Y TB KARINA'!$E14/8</x:f>
        <x:v>#REF!</x:v>
      </x:c>
      <x:c r="P18" s="128" t="e">
        <x:f>'PROJECT TA Y TB KARINA'!$E14/8</x:f>
        <x:v>#REF!</x:v>
      </x:c>
      <x:c r="Q18" s="128" t="e">
        <x:f>'PROJECT TA Y TB KARINA'!$F14/8</x:f>
        <x:v>#REF!</x:v>
      </x:c>
      <x:c r="R18" s="128" t="e">
        <x:f>'PROJECT TA Y TB KARINA'!$F14/8</x:f>
        <x:v>#REF!</x:v>
      </x:c>
      <x:c r="S18" s="128" t="e">
        <x:f>'PROJECT TA Y TB KARINA'!$F14/8</x:f>
        <x:v>#REF!</x:v>
      </x:c>
      <x:c r="T18" s="128" t="e">
        <x:f>'PROJECT TA Y TB KARINA'!$F14/8</x:f>
        <x:v>#REF!</x:v>
      </x:c>
      <x:c r="U18" s="128" t="e">
        <x:f>'PROJECT TA Y TB KARINA'!$F14/8</x:f>
        <x:v>#REF!</x:v>
      </x:c>
      <x:c r="V18" s="128" t="e">
        <x:f>'PROJECT TA Y TB KARINA'!$F14/8</x:f>
        <x:v>#REF!</x:v>
      </x:c>
      <x:c r="W18" s="128" t="e">
        <x:f>'PROJECT TA Y TB KARINA'!$F14/8</x:f>
        <x:v>#REF!</x:v>
      </x:c>
      <x:c r="X18" s="128" t="e">
        <x:f>'PROJECT TA Y TB KARINA'!$F14/8</x:f>
        <x:v>#REF!</x:v>
      </x:c>
      <x:c r="Y18" s="128" t="e">
        <x:f>'PROJECT TA Y TB KARINA'!$G14/8</x:f>
        <x:v>#REF!</x:v>
      </x:c>
      <x:c r="Z18" s="128" t="e">
        <x:f>'PROJECT TA Y TB KARINA'!$G14/8</x:f>
        <x:v>#REF!</x:v>
      </x:c>
      <x:c r="AA18" s="128" t="e">
        <x:f>'PROJECT TA Y TB KARINA'!$G14/8</x:f>
        <x:v>#REF!</x:v>
      </x:c>
      <x:c r="AB18" s="128" t="e">
        <x:f>'PROJECT TA Y TB KARINA'!$G14/8</x:f>
        <x:v>#REF!</x:v>
      </x:c>
      <x:c r="AC18" s="128" t="e">
        <x:f>'PROJECT TA Y TB KARINA'!$G14/8</x:f>
        <x:v>#REF!</x:v>
      </x:c>
      <x:c r="AD18" s="128" t="e">
        <x:f>'PROJECT TA Y TB KARINA'!$G14/8</x:f>
        <x:v>#REF!</x:v>
      </x:c>
      <x:c r="AE18" s="128" t="e">
        <x:f>'PROJECT TA Y TB KARINA'!$G14/8</x:f>
        <x:v>#REF!</x:v>
      </x:c>
      <x:c r="AF18" s="128" t="e">
        <x:f>'PROJECT TA Y TB KARINA'!$G14/8</x:f>
        <x:v>#REF!</x:v>
      </x:c>
      <x:c r="AG18" s="128" t="e">
        <x:f>'PROJECT TA Y TB KARINA'!$H14/8</x:f>
        <x:v>#REF!</x:v>
      </x:c>
      <x:c r="AH18" s="128" t="e">
        <x:f>'PROJECT TA Y TB KARINA'!$H14/8</x:f>
        <x:v>#REF!</x:v>
      </x:c>
      <x:c r="AI18" s="128" t="e">
        <x:f>'PROJECT TA Y TB KARINA'!$H14/8</x:f>
        <x:v>#REF!</x:v>
      </x:c>
      <x:c r="AJ18" s="128" t="e">
        <x:f>'PROJECT TA Y TB KARINA'!$H14/8</x:f>
        <x:v>#REF!</x:v>
      </x:c>
      <x:c r="AK18" s="128" t="e">
        <x:f>'PROJECT TA Y TB KARINA'!$H14/8</x:f>
        <x:v>#REF!</x:v>
      </x:c>
      <x:c r="AL18" s="128" t="e">
        <x:f>'PROJECT TA Y TB KARINA'!$H14/8</x:f>
        <x:v>#REF!</x:v>
      </x:c>
      <x:c r="AM18" s="128" t="e">
        <x:f>'PROJECT TA Y TB KARINA'!$H14/8</x:f>
        <x:v>#REF!</x:v>
      </x:c>
      <x:c r="AN18" s="128" t="e">
        <x:f>'PROJECT TA Y TB KARINA'!$H14/8</x:f>
        <x:v>#REF!</x:v>
      </x:c>
      <x:c r="AO18" s="128" t="e">
        <x:f>'PROJECT TA Y TB KARINA'!$I14/8</x:f>
        <x:v>#REF!</x:v>
      </x:c>
      <x:c r="AP18" s="128" t="e">
        <x:f>'PROJECT TA Y TB KARINA'!$I14/8</x:f>
        <x:v>#REF!</x:v>
      </x:c>
      <x:c r="AQ18" s="128" t="e">
        <x:f>'PROJECT TA Y TB KARINA'!$I14/8</x:f>
        <x:v>#REF!</x:v>
      </x:c>
      <x:c r="AR18" s="128" t="e">
        <x:f>'PROJECT TA Y TB KARINA'!$I14/8</x:f>
        <x:v>#REF!</x:v>
      </x:c>
      <x:c r="AS18" s="128" t="e">
        <x:f>'PROJECT TA Y TB KARINA'!$I14/8</x:f>
        <x:v>#REF!</x:v>
      </x:c>
      <x:c r="AT18" s="128" t="e">
        <x:f>'PROJECT TA Y TB KARINA'!$I14/8</x:f>
        <x:v>#REF!</x:v>
      </x:c>
      <x:c r="AU18" s="128" t="e">
        <x:f>'PROJECT TA Y TB KARINA'!$I14/8</x:f>
        <x:v>#REF!</x:v>
      </x:c>
      <x:c r="AV18" s="128" t="e">
        <x:f>'PROJECT TA Y TB KARINA'!$I14/8</x:f>
        <x:v>#REF!</x:v>
      </x:c>
      <x:c r="AW18" s="128" t="e">
        <x:f>'PROJECT TA Y TB KARINA'!$J14/8</x:f>
        <x:v>#REF!</x:v>
      </x:c>
      <x:c r="AX18" s="128" t="e">
        <x:f>'PROJECT TA Y TB KARINA'!$J14/8</x:f>
        <x:v>#REF!</x:v>
      </x:c>
      <x:c r="AY18" s="128" t="e">
        <x:f>'PROJECT TA Y TB KARINA'!$J14/8</x:f>
        <x:v>#REF!</x:v>
      </x:c>
      <x:c r="AZ18" s="128" t="e">
        <x:f>'PROJECT TA Y TB KARINA'!$J14/8</x:f>
        <x:v>#REF!</x:v>
      </x:c>
      <x:c r="BA18" s="128" t="e">
        <x:f>'PROJECT TA Y TB KARINA'!$J14/8</x:f>
        <x:v>#REF!</x:v>
      </x:c>
      <x:c r="BB18" s="128" t="e">
        <x:f>'PROJECT TA Y TB KARINA'!$J14/8</x:f>
        <x:v>#REF!</x:v>
      </x:c>
      <x:c r="BC18" s="128" t="e">
        <x:f>'PROJECT TA Y TB KARINA'!$J14/8</x:f>
        <x:v>#REF!</x:v>
      </x:c>
      <x:c r="BD18" s="128" t="e">
        <x:f>'PROJECT TA Y TB KARINA'!$J14/8</x:f>
        <x:v>#REF!</x:v>
      </x:c>
      <x:c r="BE18" s="128" t="e">
        <x:f>'PROJECT TA Y TB KARINA'!$K14/8</x:f>
        <x:v>#REF!</x:v>
      </x:c>
      <x:c r="BF18" s="128" t="e">
        <x:f>'PROJECT TA Y TB KARINA'!$K14/8</x:f>
        <x:v>#REF!</x:v>
      </x:c>
      <x:c r="BG18" s="128" t="e">
        <x:f>'PROJECT TA Y TB KARINA'!$K14/8</x:f>
        <x:v>#REF!</x:v>
      </x:c>
      <x:c r="BH18" s="128" t="e">
        <x:f>'PROJECT TA Y TB KARINA'!$K14/8</x:f>
        <x:v>#REF!</x:v>
      </x:c>
      <x:c r="BI18" s="128" t="e">
        <x:f>'PROJECT TA Y TB KARINA'!$K14/8</x:f>
        <x:v>#REF!</x:v>
      </x:c>
      <x:c r="BJ18" s="128" t="e">
        <x:f>'PROJECT TA Y TB KARINA'!$K14/8</x:f>
        <x:v>#REF!</x:v>
      </x:c>
      <x:c r="BK18" s="128" t="e">
        <x:f>'PROJECT TA Y TB KARINA'!$K14/8</x:f>
        <x:v>#REF!</x:v>
      </x:c>
      <x:c r="BL18" s="128" t="e">
        <x:f>'PROJECT TA Y TB KARINA'!$K14/8</x:f>
        <x:v>#REF!</x:v>
      </x:c>
      <x:c r="BM18" s="128" t="e">
        <x:f>'PROJECT TA Y TB KARINA'!$L14/8</x:f>
        <x:v>#REF!</x:v>
      </x:c>
      <x:c r="BN18" s="128" t="e">
        <x:f>'PROJECT TA Y TB KARINA'!$L14/8</x:f>
        <x:v>#REF!</x:v>
      </x:c>
      <x:c r="BO18" s="128" t="e">
        <x:f>'PROJECT TA Y TB KARINA'!$L14/8</x:f>
        <x:v>#REF!</x:v>
      </x:c>
      <x:c r="BP18" s="128" t="e">
        <x:f>'PROJECT TA Y TB KARINA'!$L14/8</x:f>
        <x:v>#REF!</x:v>
      </x:c>
      <x:c r="BQ18" s="128" t="e">
        <x:f>'PROJECT TA Y TB KARINA'!$L14/8</x:f>
        <x:v>#REF!</x:v>
      </x:c>
      <x:c r="BR18" s="128" t="e">
        <x:f>'PROJECT TA Y TB KARINA'!$L14/8</x:f>
        <x:v>#REF!</x:v>
      </x:c>
      <x:c r="BS18" s="128" t="e">
        <x:f>'PROJECT TA Y TB KARINA'!$L14/8</x:f>
        <x:v>#REF!</x:v>
      </x:c>
      <x:c r="BT18" s="128" t="e">
        <x:f>'PROJECT TA Y TB KARINA'!$L14/8</x:f>
        <x:v>#REF!</x:v>
      </x:c>
      <x:c r="BU18" s="128" t="e">
        <x:f>'PROJECT TA Y TB KARINA'!$M14/8</x:f>
        <x:v>#REF!</x:v>
      </x:c>
      <x:c r="BV18" s="128" t="e">
        <x:f>'PROJECT TA Y TB KARINA'!$M14/8</x:f>
        <x:v>#REF!</x:v>
      </x:c>
      <x:c r="BW18" s="128" t="e">
        <x:f>'PROJECT TA Y TB KARINA'!$M14/8</x:f>
        <x:v>#REF!</x:v>
      </x:c>
      <x:c r="BX18" s="128" t="e">
        <x:f>'PROJECT TA Y TB KARINA'!$M14/8</x:f>
        <x:v>#REF!</x:v>
      </x:c>
      <x:c r="BY18" s="128" t="e">
        <x:f>'PROJECT TA Y TB KARINA'!$M14/8</x:f>
        <x:v>#REF!</x:v>
      </x:c>
      <x:c r="BZ18" s="128" t="e">
        <x:f>'PROJECT TA Y TB KARINA'!$M14/8</x:f>
        <x:v>#REF!</x:v>
      </x:c>
      <x:c r="CA18" s="128" t="e">
        <x:f>'PROJECT TA Y TB KARINA'!$M14/8</x:f>
        <x:v>#REF!</x:v>
      </x:c>
      <x:c r="CB18" s="128" t="e">
        <x:f>'PROJECT TA Y TB KARINA'!$M14/8</x:f>
        <x:v>#REF!</x:v>
      </x:c>
      <x:c r="CC18" s="128" t="e">
        <x:f>'PROJECT TA Y TB KARINA'!$N14/8</x:f>
        <x:v>#REF!</x:v>
      </x:c>
      <x:c r="CD18" s="128" t="e">
        <x:f>'PROJECT TA Y TB KARINA'!$N14/8</x:f>
        <x:v>#REF!</x:v>
      </x:c>
      <x:c r="CE18" s="128" t="e">
        <x:f>'PROJECT TA Y TB KARINA'!$N14/8</x:f>
        <x:v>#REF!</x:v>
      </x:c>
      <x:c r="CF18" s="128" t="e">
        <x:f>'PROJECT TA Y TB KARINA'!$N14/8</x:f>
        <x:v>#REF!</x:v>
      </x:c>
      <x:c r="CG18" s="128" t="e">
        <x:f>'PROJECT TA Y TB KARINA'!$N14/8</x:f>
        <x:v>#REF!</x:v>
      </x:c>
      <x:c r="CH18" s="128" t="e">
        <x:f>'PROJECT TA Y TB KARINA'!$N14/8</x:f>
        <x:v>#REF!</x:v>
      </x:c>
      <x:c r="CI18" s="128" t="e">
        <x:f>'PROJECT TA Y TB KARINA'!$N14/8</x:f>
        <x:v>#REF!</x:v>
      </x:c>
      <x:c r="CJ18" s="128" t="e">
        <x:f>'PROJECT TA Y TB KARINA'!$N14/8</x:f>
        <x:v>#REF!</x:v>
      </x:c>
      <x:c r="CK18" s="128" t="e">
        <x:f>'PROJECT TA Y TB KARINA'!$O14/8</x:f>
        <x:v>#REF!</x:v>
      </x:c>
      <x:c r="CL18" s="128" t="e">
        <x:f>'PROJECT TA Y TB KARINA'!$O14/8</x:f>
        <x:v>#REF!</x:v>
      </x:c>
      <x:c r="CM18" s="128" t="e">
        <x:f>'PROJECT TA Y TB KARINA'!$O14/8</x:f>
        <x:v>#REF!</x:v>
      </x:c>
      <x:c r="CN18" s="128" t="e">
        <x:f>'PROJECT TA Y TB KARINA'!$O14/8</x:f>
        <x:v>#REF!</x:v>
      </x:c>
      <x:c r="CO18" s="128" t="e">
        <x:f>'PROJECT TA Y TB KARINA'!$O14/8</x:f>
        <x:v>#REF!</x:v>
      </x:c>
      <x:c r="CP18" s="128" t="e">
        <x:f>'PROJECT TA Y TB KARINA'!$O14/8</x:f>
        <x:v>#REF!</x:v>
      </x:c>
      <x:c r="CQ18" s="128" t="e">
        <x:f>'PROJECT TA Y TB KARINA'!$O14/8</x:f>
        <x:v>#REF!</x:v>
      </x:c>
      <x:c r="CR18" s="128" t="e">
        <x:f>'PROJECT TA Y TB KARINA'!$O14/8</x:f>
        <x:v>#REF!</x:v>
      </x:c>
      <x:c r="CS18" s="128" t="e">
        <x:f>'PROJECT TA Y TB KARINA'!$P14/8</x:f>
        <x:v>#REF!</x:v>
      </x:c>
      <x:c r="CT18" s="128" t="e">
        <x:f>'PROJECT TA Y TB KARINA'!$P14/8</x:f>
        <x:v>#REF!</x:v>
      </x:c>
      <x:c r="CU18" s="128" t="e">
        <x:f>'PROJECT TA Y TB KARINA'!$P14/8</x:f>
        <x:v>#REF!</x:v>
      </x:c>
      <x:c r="CV18" s="128" t="e">
        <x:f>'PROJECT TA Y TB KARINA'!$P14/8</x:f>
        <x:v>#REF!</x:v>
      </x:c>
      <x:c r="CW18" s="128" t="e">
        <x:f>'PROJECT TA Y TB KARINA'!$P14/8</x:f>
        <x:v>#REF!</x:v>
      </x:c>
      <x:c r="CX18" s="128" t="e">
        <x:f>'PROJECT TA Y TB KARINA'!$P14/8</x:f>
        <x:v>#REF!</x:v>
      </x:c>
      <x:c r="CY18" s="128" t="e">
        <x:f>'PROJECT TA Y TB KARINA'!$P14/8</x:f>
        <x:v>#REF!</x:v>
      </x:c>
      <x:c r="CZ18" s="128" t="e">
        <x:f>'PROJECT TA Y TB KARINA'!$P14/8</x:f>
        <x:v>#REF!</x:v>
      </x:c>
      <x:c r="DA18" s="128" t="e">
        <x:f>'PROJECT TA Y TB KARINA'!$Q14/8</x:f>
        <x:v>#REF!</x:v>
      </x:c>
      <x:c r="DB18" s="128" t="e">
        <x:f>'PROJECT TA Y TB KARINA'!$Q14/8</x:f>
        <x:v>#REF!</x:v>
      </x:c>
      <x:c r="DC18" s="128" t="e">
        <x:f>'PROJECT TA Y TB KARINA'!$Q14/8</x:f>
        <x:v>#REF!</x:v>
      </x:c>
      <x:c r="DD18" s="128" t="e">
        <x:f>'PROJECT TA Y TB KARINA'!$Q14/8</x:f>
        <x:v>#REF!</x:v>
      </x:c>
      <x:c r="DE18" s="128" t="e">
        <x:f>'PROJECT TA Y TB KARINA'!$Q14/8</x:f>
        <x:v>#REF!</x:v>
      </x:c>
      <x:c r="DF18" s="128" t="e">
        <x:f>'PROJECT TA Y TB KARINA'!$Q14/8</x:f>
        <x:v>#REF!</x:v>
      </x:c>
      <x:c r="DG18" s="128" t="e">
        <x:f>'PROJECT TA Y TB KARINA'!$Q14/8</x:f>
        <x:v>#REF!</x:v>
      </x:c>
      <x:c r="DH18" s="128" t="e">
        <x:f>'PROJECT TA Y TB KARINA'!$Q14/8</x:f>
        <x:v>#REF!</x:v>
      </x:c>
      <x:c r="DI18" s="128" t="e">
        <x:f>'PROJECT TA Y TB KARINA'!$R14/8</x:f>
        <x:v>#REF!</x:v>
      </x:c>
      <x:c r="DJ18" s="128" t="e">
        <x:f>'PROJECT TA Y TB KARINA'!$R14/8</x:f>
        <x:v>#REF!</x:v>
      </x:c>
      <x:c r="DK18" s="128" t="e">
        <x:f>'PROJECT TA Y TB KARINA'!$R14/8</x:f>
        <x:v>#REF!</x:v>
      </x:c>
      <x:c r="DL18" s="128" t="e">
        <x:f>'PROJECT TA Y TB KARINA'!$R14/8</x:f>
        <x:v>#REF!</x:v>
      </x:c>
      <x:c r="DM18" s="128" t="e">
        <x:f>'PROJECT TA Y TB KARINA'!$R14/8</x:f>
        <x:v>#REF!</x:v>
      </x:c>
      <x:c r="DN18" s="128" t="e">
        <x:f>'PROJECT TA Y TB KARINA'!$R14/8</x:f>
        <x:v>#REF!</x:v>
      </x:c>
      <x:c r="DO18" s="128" t="e">
        <x:f>'PROJECT TA Y TB KARINA'!$R14/8</x:f>
        <x:v>#REF!</x:v>
      </x:c>
      <x:c r="DP18" s="128" t="e">
        <x:f>'PROJECT TA Y TB KARINA'!$R14/8</x:f>
        <x:v>#REF!</x:v>
      </x:c>
      <x:c r="DQ18" s="128" t="e">
        <x:f>'PROJECT TA Y TB KARINA'!$S14/8</x:f>
        <x:v>#REF!</x:v>
      </x:c>
      <x:c r="DR18" s="128" t="e">
        <x:f>'PROJECT TA Y TB KARINA'!$S14/8</x:f>
        <x:v>#REF!</x:v>
      </x:c>
      <x:c r="DS18" s="128" t="e">
        <x:f>'PROJECT TA Y TB KARINA'!$S14/8</x:f>
        <x:v>#REF!</x:v>
      </x:c>
      <x:c r="DT18" s="128" t="e">
        <x:f>'PROJECT TA Y TB KARINA'!$S14/8</x:f>
        <x:v>#REF!</x:v>
      </x:c>
      <x:c r="DU18" s="128" t="e">
        <x:f>'PROJECT TA Y TB KARINA'!$S14/8</x:f>
        <x:v>#REF!</x:v>
      </x:c>
      <x:c r="DV18" s="128" t="e">
        <x:f>'PROJECT TA Y TB KARINA'!$S14/8</x:f>
        <x:v>#REF!</x:v>
      </x:c>
      <x:c r="DW18" s="128" t="e">
        <x:f>'PROJECT TA Y TB KARINA'!$S14/8</x:f>
        <x:v>#REF!</x:v>
      </x:c>
      <x:c r="DX18" s="128" t="e">
        <x:f>'PROJECT TA Y TB KARINA'!$S14/8</x:f>
        <x:v>#REF!</x:v>
      </x:c>
      <x:c r="DY18" s="128" t="e">
        <x:f>'PROJECT TA Y TB KARINA'!$T14/8</x:f>
        <x:v>#REF!</x:v>
      </x:c>
      <x:c r="DZ18" s="128" t="e">
        <x:f>'PROJECT TA Y TB KARINA'!$T14/8</x:f>
        <x:v>#REF!</x:v>
      </x:c>
      <x:c r="EA18" s="128" t="e">
        <x:f>'PROJECT TA Y TB KARINA'!$T14/8</x:f>
        <x:v>#REF!</x:v>
      </x:c>
      <x:c r="EB18" s="128" t="e">
        <x:f>'PROJECT TA Y TB KARINA'!$T14/8</x:f>
        <x:v>#REF!</x:v>
      </x:c>
      <x:c r="EC18" s="128" t="e">
        <x:f>'PROJECT TA Y TB KARINA'!$T14/8</x:f>
        <x:v>#REF!</x:v>
      </x:c>
      <x:c r="ED18" s="128" t="e">
        <x:f>'PROJECT TA Y TB KARINA'!$T14/8</x:f>
        <x:v>#REF!</x:v>
      </x:c>
      <x:c r="EE18" s="128" t="e">
        <x:f>'PROJECT TA Y TB KARINA'!$T14/8</x:f>
        <x:v>#REF!</x:v>
      </x:c>
      <x:c r="EF18" s="128" t="e">
        <x:f>'PROJECT TA Y TB KARINA'!$T14/8</x:f>
        <x:v>#REF!</x:v>
      </x:c>
      <x:c r="EG18" s="128" t="e">
        <x:f>'PROJECT TA Y TB KARINA'!#REF!/8</x:f>
        <x:v>#NAME?</x:v>
      </x:c>
      <x:c r="EH18" s="128" t="e">
        <x:f>'PROJECT TA Y TB KARINA'!#REF!/8</x:f>
        <x:v>#NAME?</x:v>
      </x:c>
      <x:c r="EI18" s="128" t="e">
        <x:f>'PROJECT TA Y TB KARINA'!#REF!/8</x:f>
        <x:v>#NAME?</x:v>
      </x:c>
      <x:c r="EJ18" s="128" t="e">
        <x:f>'PROJECT TA Y TB KARINA'!#REF!/8</x:f>
        <x:v>#NAME?</x:v>
      </x:c>
      <x:c r="EK18" s="128" t="e">
        <x:f>'PROJECT TA Y TB KARINA'!#REF!/8</x:f>
        <x:v>#NAME?</x:v>
      </x:c>
      <x:c r="EL18" s="128" t="e">
        <x:f>'PROJECT TA Y TB KARINA'!#REF!/8</x:f>
        <x:v>#NAME?</x:v>
      </x:c>
      <x:c r="EM18" s="128" t="e">
        <x:f>'PROJECT TA Y TB KARINA'!#REF!/8</x:f>
        <x:v>#NAME?</x:v>
      </x:c>
      <x:c r="EN18" s="128" t="e">
        <x:f>'PROJECT TA Y TB KARINA'!#REF!/8</x:f>
        <x:v>#NAME?</x:v>
      </x:c>
      <x:c r="EO18" s="128" t="n">
        <x:f>'PROJECT TA Y TB KARINA'!$C72/8</x:f>
        <x:v>0</x:v>
      </x:c>
      <x:c r="EP18" s="128" t="n">
        <x:f>'PROJECT TA Y TB KARINA'!$C72/8</x:f>
        <x:v>0</x:v>
      </x:c>
      <x:c r="EQ18" s="128" t="n">
        <x:f>'PROJECT TA Y TB KARINA'!$C72/8</x:f>
        <x:v>0</x:v>
      </x:c>
      <x:c r="ER18" s="128" t="n">
        <x:f>'PROJECT TA Y TB KARINA'!$C72/8</x:f>
        <x:v>0</x:v>
      </x:c>
      <x:c r="ES18" s="128" t="n">
        <x:f>'PROJECT TA Y TB KARINA'!$C72/8</x:f>
        <x:v>0</x:v>
      </x:c>
      <x:c r="ET18" s="128" t="n">
        <x:f>'PROJECT TA Y TB KARINA'!$C72/8</x:f>
        <x:v>0</x:v>
      </x:c>
      <x:c r="EU18" s="128" t="n">
        <x:f>'PROJECT TA Y TB KARINA'!$C72/8</x:f>
        <x:v>0</x:v>
      </x:c>
      <x:c r="EV18" s="128" t="n">
        <x:f>'PROJECT TA Y TB KARINA'!$E72/8</x:f>
        <x:v>0</x:v>
      </x:c>
      <x:c r="EW18" s="128" t="n">
        <x:f>'PROJECT TA Y TB KARINA'!$E72/8</x:f>
        <x:v>0</x:v>
      </x:c>
      <x:c r="EX18" s="128" t="n">
        <x:f>'PROJECT TA Y TB KARINA'!$E72/8</x:f>
        <x:v>0</x:v>
      </x:c>
      <x:c r="EY18" s="128" t="n">
        <x:f>'PROJECT TA Y TB KARINA'!$E72/8</x:f>
        <x:v>0</x:v>
      </x:c>
      <x:c r="EZ18" s="128" t="n">
        <x:f>'PROJECT TA Y TB KARINA'!$E72/8</x:f>
        <x:v>0</x:v>
      </x:c>
      <x:c r="FA18" s="128" t="n">
        <x:f>'PROJECT TA Y TB KARINA'!$E72/8</x:f>
        <x:v>0</x:v>
      </x:c>
      <x:c r="FB18" s="128" t="n">
        <x:f>'PROJECT TA Y TB KARINA'!$E72/8</x:f>
        <x:v>0</x:v>
      </x:c>
      <x:c r="FC18" s="128" t="n">
        <x:f>'PROJECT TA Y TB KARINA'!$E72/8</x:f>
        <x:v>0</x:v>
      </x:c>
      <x:c r="FD18" s="128" t="n">
        <x:f>'PROJECT TA Y TB KARINA'!$F72/8</x:f>
        <x:v>0</x:v>
      </x:c>
      <x:c r="FE18" s="128" t="n">
        <x:f>'PROJECT TA Y TB KARINA'!$F72/8</x:f>
        <x:v>0</x:v>
      </x:c>
      <x:c r="FF18" s="128" t="n">
        <x:f>'PROJECT TA Y TB KARINA'!$F72/8</x:f>
        <x:v>0</x:v>
      </x:c>
      <x:c r="FG18" s="128" t="n">
        <x:f>'PROJECT TA Y TB KARINA'!$F72/8</x:f>
        <x:v>0</x:v>
      </x:c>
      <x:c r="FH18" s="128" t="n">
        <x:f>'PROJECT TA Y TB KARINA'!$F72/8</x:f>
        <x:v>0</x:v>
      </x:c>
      <x:c r="FI18" s="128" t="n">
        <x:f>'PROJECT TA Y TB KARINA'!$F72/8</x:f>
        <x:v>0</x:v>
      </x:c>
      <x:c r="FJ18" s="128" t="n">
        <x:f>'PROJECT TA Y TB KARINA'!$F72/8</x:f>
        <x:v>0</x:v>
      </x:c>
      <x:c r="FK18" s="128" t="n">
        <x:f>'PROJECT TA Y TB KARINA'!$F72/8</x:f>
        <x:v>0</x:v>
      </x:c>
      <x:c r="FL18" s="128" t="n">
        <x:f>'PROJECT TA Y TB KARINA'!$G72/8</x:f>
        <x:v>0</x:v>
      </x:c>
      <x:c r="FM18" s="128" t="n">
        <x:f>'PROJECT TA Y TB KARINA'!$G72/8</x:f>
        <x:v>0</x:v>
      </x:c>
      <x:c r="FN18" s="128" t="n">
        <x:f>'PROJECT TA Y TB KARINA'!$G72/8</x:f>
        <x:v>0</x:v>
      </x:c>
      <x:c r="FO18" s="128" t="n">
        <x:f>'PROJECT TA Y TB KARINA'!$G72/8</x:f>
        <x:v>0</x:v>
      </x:c>
      <x:c r="FP18" s="128" t="n">
        <x:f>'PROJECT TA Y TB KARINA'!$G72/8</x:f>
        <x:v>0</x:v>
      </x:c>
      <x:c r="FQ18" s="128" t="n">
        <x:f>'PROJECT TA Y TB KARINA'!$G72/8</x:f>
        <x:v>0</x:v>
      </x:c>
      <x:c r="FR18" s="128" t="n">
        <x:f>'PROJECT TA Y TB KARINA'!$G72/8</x:f>
        <x:v>0</x:v>
      </x:c>
      <x:c r="FS18" s="128" t="n">
        <x:f>'PROJECT TA Y TB KARINA'!$G72/8</x:f>
        <x:v>0</x:v>
      </x:c>
      <x:c r="FT18" s="128" t="n">
        <x:f>'PROJECT TA Y TB KARINA'!$H72/8</x:f>
        <x:v>0</x:v>
      </x:c>
      <x:c r="FU18" s="128" t="n">
        <x:f>'PROJECT TA Y TB KARINA'!$H72/8</x:f>
        <x:v>0</x:v>
      </x:c>
      <x:c r="FV18" s="128" t="n">
        <x:f>'PROJECT TA Y TB KARINA'!$H72/8</x:f>
        <x:v>0</x:v>
      </x:c>
      <x:c r="FW18" s="128" t="n">
        <x:f>'PROJECT TA Y TB KARINA'!$H72/8</x:f>
        <x:v>0</x:v>
      </x:c>
      <x:c r="FX18" s="128" t="n">
        <x:f>'PROJECT TA Y TB KARINA'!$H72/8</x:f>
        <x:v>0</x:v>
      </x:c>
      <x:c r="FY18" s="128" t="n">
        <x:f>'PROJECT TA Y TB KARINA'!$H72/8</x:f>
        <x:v>0</x:v>
      </x:c>
      <x:c r="FZ18" s="128" t="n">
        <x:f>'PROJECT TA Y TB KARINA'!$H72/8</x:f>
        <x:v>0</x:v>
      </x:c>
      <x:c r="GA18" s="128" t="n">
        <x:f>'PROJECT TA Y TB KARINA'!$H72/8</x:f>
        <x:v>0</x:v>
      </x:c>
      <x:c r="GB18" s="128" t="n">
        <x:f>'PROJECT TA Y TB KARINA'!$I72/8</x:f>
        <x:v>0</x:v>
      </x:c>
      <x:c r="GC18" s="128" t="n">
        <x:f>'PROJECT TA Y TB KARINA'!$I72/8</x:f>
        <x:v>0</x:v>
      </x:c>
      <x:c r="GD18" s="128" t="n">
        <x:f>'PROJECT TA Y TB KARINA'!$I72/8</x:f>
        <x:v>0</x:v>
      </x:c>
      <x:c r="GE18" s="128" t="n">
        <x:f>'PROJECT TA Y TB KARINA'!$I72/8</x:f>
        <x:v>0</x:v>
      </x:c>
      <x:c r="GF18" s="128" t="n">
        <x:f>'PROJECT TA Y TB KARINA'!$I72/8</x:f>
        <x:v>0</x:v>
      </x:c>
      <x:c r="GG18" s="128" t="n">
        <x:f>'PROJECT TA Y TB KARINA'!$I72/8</x:f>
        <x:v>0</x:v>
      </x:c>
      <x:c r="GH18" s="128" t="n">
        <x:f>'PROJECT TA Y TB KARINA'!$I72/8</x:f>
        <x:v>0</x:v>
      </x:c>
      <x:c r="GI18" s="128" t="n">
        <x:f>'PROJECT TA Y TB KARINA'!$I72/8</x:f>
        <x:v>0</x:v>
      </x:c>
      <x:c r="GJ18" s="128" t="n">
        <x:f>'PROJECT TA Y TB KARINA'!$J72/8</x:f>
        <x:v>0</x:v>
      </x:c>
      <x:c r="GK18" s="128" t="n">
        <x:f>'PROJECT TA Y TB KARINA'!$J72/8</x:f>
        <x:v>0</x:v>
      </x:c>
      <x:c r="GL18" s="128" t="n">
        <x:f>'PROJECT TA Y TB KARINA'!$J72/8</x:f>
        <x:v>0</x:v>
      </x:c>
      <x:c r="GM18" s="128" t="n">
        <x:f>'PROJECT TA Y TB KARINA'!$J72/8</x:f>
        <x:v>0</x:v>
      </x:c>
      <x:c r="GN18" s="128" t="n">
        <x:f>'PROJECT TA Y TB KARINA'!$J72/8</x:f>
        <x:v>0</x:v>
      </x:c>
      <x:c r="GO18" s="128" t="n">
        <x:f>'PROJECT TA Y TB KARINA'!$J72/8</x:f>
        <x:v>0</x:v>
      </x:c>
      <x:c r="GP18" s="128" t="n">
        <x:f>'PROJECT TA Y TB KARINA'!$J72/8</x:f>
        <x:v>0</x:v>
      </x:c>
      <x:c r="GQ18" s="128" t="n">
        <x:f>'PROJECT TA Y TB KARINA'!$J72/8</x:f>
        <x:v>0</x:v>
      </x:c>
      <x:c r="GR18" s="128" t="n">
        <x:f>'PROJECT TA Y TB KARINA'!$K72/8</x:f>
        <x:v>0</x:v>
      </x:c>
      <x:c r="GS18" s="128" t="n">
        <x:f>'PROJECT TA Y TB KARINA'!$K72/8</x:f>
        <x:v>0</x:v>
      </x:c>
      <x:c r="GT18" s="128" t="n">
        <x:f>'PROJECT TA Y TB KARINA'!$K72/8</x:f>
        <x:v>0</x:v>
      </x:c>
      <x:c r="GU18" s="128" t="n">
        <x:f>'PROJECT TA Y TB KARINA'!$K72/8</x:f>
        <x:v>0</x:v>
      </x:c>
      <x:c r="GV18" s="128" t="n">
        <x:f>'PROJECT TA Y TB KARINA'!$K72/8</x:f>
        <x:v>0</x:v>
      </x:c>
      <x:c r="GW18" s="128" t="n">
        <x:f>'PROJECT TA Y TB KARINA'!$K72/8</x:f>
        <x:v>0</x:v>
      </x:c>
      <x:c r="GX18" s="128" t="n">
        <x:f>'PROJECT TA Y TB KARINA'!$K72/8</x:f>
        <x:v>0</x:v>
      </x:c>
      <x:c r="GY18" s="128" t="n">
        <x:f>'PROJECT TA Y TB KARINA'!$K72/8</x:f>
        <x:v>0</x:v>
      </x:c>
      <x:c r="GZ18" s="128" t="n">
        <x:f>'PROJECT TA Y TB KARINA'!$L72/8</x:f>
        <x:v>0</x:v>
      </x:c>
      <x:c r="HA18" s="128" t="n">
        <x:f>'PROJECT TA Y TB KARINA'!$L72/8</x:f>
        <x:v>0</x:v>
      </x:c>
      <x:c r="HB18" s="128" t="n">
        <x:f>'PROJECT TA Y TB KARINA'!$L72/8</x:f>
        <x:v>0</x:v>
      </x:c>
      <x:c r="HC18" s="128" t="n">
        <x:f>'PROJECT TA Y TB KARINA'!$L72/8</x:f>
        <x:v>0</x:v>
      </x:c>
      <x:c r="HD18" s="128" t="n">
        <x:f>'PROJECT TA Y TB KARINA'!$L72/8</x:f>
        <x:v>0</x:v>
      </x:c>
      <x:c r="HE18" s="128" t="n">
        <x:f>'PROJECT TA Y TB KARINA'!$L72/8</x:f>
        <x:v>0</x:v>
      </x:c>
      <x:c r="HF18" s="128" t="n">
        <x:f>'PROJECT TA Y TB KARINA'!$L72/8</x:f>
        <x:v>0</x:v>
      </x:c>
      <x:c r="HG18" s="128" t="n">
        <x:f>'PROJECT TA Y TB KARINA'!$L72/8</x:f>
        <x:v>0</x:v>
      </x:c>
      <x:c r="HH18" s="128" t="n">
        <x:f>'PROJECT TA Y TB KARINA'!$M72/8</x:f>
        <x:v>0</x:v>
      </x:c>
      <x:c r="HI18" s="128" t="n">
        <x:f>'PROJECT TA Y TB KARINA'!$M72/8</x:f>
        <x:v>0</x:v>
      </x:c>
      <x:c r="HJ18" s="128" t="n">
        <x:f>'PROJECT TA Y TB KARINA'!$M72/8</x:f>
        <x:v>0</x:v>
      </x:c>
      <x:c r="HK18" s="128" t="n">
        <x:f>'PROJECT TA Y TB KARINA'!$M72/8</x:f>
        <x:v>0</x:v>
      </x:c>
      <x:c r="HL18" s="128" t="n">
        <x:f>'PROJECT TA Y TB KARINA'!$M72/8</x:f>
        <x:v>0</x:v>
      </x:c>
      <x:c r="HM18" s="128" t="n">
        <x:f>'PROJECT TA Y TB KARINA'!$M72/8</x:f>
        <x:v>0</x:v>
      </x:c>
      <x:c r="HN18" s="128" t="n">
        <x:f>'PROJECT TA Y TB KARINA'!$M72/8</x:f>
        <x:v>0</x:v>
      </x:c>
      <x:c r="HO18" s="128" t="n">
        <x:f>'PROJECT TA Y TB KARINA'!$M72/8</x:f>
        <x:v>0</x:v>
      </x:c>
      <x:c r="HP18" s="128" t="n">
        <x:f>'PROJECT TA Y TB KARINA'!$N72/8</x:f>
        <x:v>0</x:v>
      </x:c>
      <x:c r="HQ18" s="128" t="n">
        <x:f>'PROJECT TA Y TB KARINA'!$N72/8</x:f>
        <x:v>0</x:v>
      </x:c>
      <x:c r="HR18" s="128" t="n">
        <x:f>'PROJECT TA Y TB KARINA'!$N72/8</x:f>
        <x:v>0</x:v>
      </x:c>
      <x:c r="HS18" s="128" t="n">
        <x:f>'PROJECT TA Y TB KARINA'!$N72/8</x:f>
        <x:v>0</x:v>
      </x:c>
      <x:c r="HT18" s="128" t="n">
        <x:f>'PROJECT TA Y TB KARINA'!$N72/8</x:f>
        <x:v>0</x:v>
      </x:c>
      <x:c r="HU18" s="128" t="n">
        <x:f>'PROJECT TA Y TB KARINA'!$N72/8</x:f>
        <x:v>0</x:v>
      </x:c>
      <x:c r="HV18" s="128" t="n">
        <x:f>'PROJECT TA Y TB KARINA'!$N72/8</x:f>
        <x:v>0</x:v>
      </x:c>
      <x:c r="HW18" s="128" t="n">
        <x:f>'PROJECT TA Y TB KARINA'!$N72/8</x:f>
        <x:v>0</x:v>
      </x:c>
      <x:c r="HX18" s="128" t="n">
        <x:f>'PROJECT TA Y TB KARINA'!$O72/8</x:f>
        <x:v>0</x:v>
      </x:c>
      <x:c r="HY18" s="128" t="n">
        <x:f>'PROJECT TA Y TB KARINA'!$O72/8</x:f>
        <x:v>0</x:v>
      </x:c>
      <x:c r="HZ18" s="128" t="n">
        <x:f>'PROJECT TA Y TB KARINA'!$O72/8</x:f>
        <x:v>0</x:v>
      </x:c>
      <x:c r="IA18" s="128" t="n">
        <x:f>'PROJECT TA Y TB KARINA'!$O72/8</x:f>
        <x:v>0</x:v>
      </x:c>
      <x:c r="IB18" s="128" t="n">
        <x:f>'PROJECT TA Y TB KARINA'!$O72/8</x:f>
        <x:v>0</x:v>
      </x:c>
      <x:c r="IC18" s="128" t="n">
        <x:f>'PROJECT TA Y TB KARINA'!$O72/8</x:f>
        <x:v>0</x:v>
      </x:c>
      <x:c r="ID18" s="128" t="n">
        <x:f>'PROJECT TA Y TB KARINA'!$O72/8</x:f>
        <x:v>0</x:v>
      </x:c>
      <x:c r="IE18" s="128" t="n">
        <x:f>'PROJECT TA Y TB KARINA'!$O72/8</x:f>
        <x:v>0</x:v>
      </x:c>
      <x:c r="IF18" s="128" t="n">
        <x:f>'PROJECT TA Y TB KARINA'!$P72/8</x:f>
        <x:v>0</x:v>
      </x:c>
      <x:c r="IG18" s="128" t="n">
        <x:f>'PROJECT TA Y TB KARINA'!$P72/8</x:f>
        <x:v>0</x:v>
      </x:c>
      <x:c r="IH18" s="128" t="n">
        <x:f>'PROJECT TA Y TB KARINA'!$P72/8</x:f>
        <x:v>0</x:v>
      </x:c>
      <x:c r="II18" s="128" t="n">
        <x:f>'PROJECT TA Y TB KARINA'!$P72/8</x:f>
        <x:v>0</x:v>
      </x:c>
      <x:c r="IJ18" s="128" t="n">
        <x:f>'PROJECT TA Y TB KARINA'!$P72/8</x:f>
        <x:v>0</x:v>
      </x:c>
      <x:c r="IK18" s="128" t="n">
        <x:f>'PROJECT TA Y TB KARINA'!$P72/8</x:f>
        <x:v>0</x:v>
      </x:c>
      <x:c r="IL18" s="128" t="n">
        <x:f>'PROJECT TA Y TB KARINA'!$P72/8</x:f>
        <x:v>0</x:v>
      </x:c>
      <x:c r="IM18" s="128" t="n">
        <x:f>'PROJECT TA Y TB KARINA'!$P72/8</x:f>
        <x:v>0</x:v>
      </x:c>
      <x:c r="IN18" s="128" t="n">
        <x:f>'PROJECT TA Y TB KARINA'!$Q72/8</x:f>
        <x:v>0</x:v>
      </x:c>
      <x:c r="IO18" s="128" t="n">
        <x:f>'PROJECT TA Y TB KARINA'!$Q72/8</x:f>
        <x:v>0</x:v>
      </x:c>
      <x:c r="IP18" s="128" t="n">
        <x:f>'PROJECT TA Y TB KARINA'!$Q72/8</x:f>
        <x:v>0</x:v>
      </x:c>
      <x:c r="IQ18" s="128" t="n">
        <x:f>'PROJECT TA Y TB KARINA'!$Q72/8</x:f>
        <x:v>0</x:v>
      </x:c>
      <x:c r="IR18" s="128" t="n">
        <x:f>'PROJECT TA Y TB KARINA'!$Q72/8</x:f>
        <x:v>0</x:v>
      </x:c>
      <x:c r="IS18" s="128" t="n">
        <x:f>'PROJECT TA Y TB KARINA'!$Q72/8</x:f>
        <x:v>0</x:v>
      </x:c>
      <x:c r="IT18" s="128" t="n">
        <x:f>'PROJECT TA Y TB KARINA'!$Q72/8</x:f>
        <x:v>0</x:v>
      </x:c>
      <x:c r="IU18" s="128" t="n">
        <x:f>'PROJECT TA Y TB KARINA'!$Q72/8</x:f>
        <x:v>0</x:v>
      </x:c>
      <x:c r="IV18" s="128" t="n">
        <x:f>'PROJECT TA Y TB KARINA'!$R72/8</x:f>
        <x:v>0</x:v>
      </x:c>
      <x:c r="IW18" s="128" t="n">
        <x:f>'PROJECT TA Y TB KARINA'!$R72/8</x:f>
        <x:v>0</x:v>
      </x:c>
      <x:c r="IX18" s="128" t="n">
        <x:f>'PROJECT TA Y TB KARINA'!$R72/8</x:f>
        <x:v>0</x:v>
      </x:c>
      <x:c r="IY18" s="128" t="n">
        <x:f>'PROJECT TA Y TB KARINA'!$R72/8</x:f>
        <x:v>0</x:v>
      </x:c>
      <x:c r="IZ18" s="128" t="n">
        <x:f>'PROJECT TA Y TB KARINA'!$R72/8</x:f>
        <x:v>0</x:v>
      </x:c>
      <x:c r="JA18" s="128" t="n">
        <x:f>'PROJECT TA Y TB KARINA'!$R72/8</x:f>
        <x:v>0</x:v>
      </x:c>
      <x:c r="JB18" s="128" t="n">
        <x:f>'PROJECT TA Y TB KARINA'!$R72/8</x:f>
        <x:v>0</x:v>
      </x:c>
      <x:c r="JC18" s="128" t="n">
        <x:f>'PROJECT TA Y TB KARINA'!$R72/8</x:f>
        <x:v>0</x:v>
      </x:c>
      <x:c r="JD18" s="128" t="n">
        <x:f>'PROJECT TA Y TB KARINA'!$S72/8</x:f>
        <x:v>0</x:v>
      </x:c>
      <x:c r="JE18" s="128" t="n">
        <x:f>'PROJECT TA Y TB KARINA'!$S72/8</x:f>
        <x:v>0</x:v>
      </x:c>
      <x:c r="JF18" s="128" t="n">
        <x:f>'PROJECT TA Y TB KARINA'!$S72/8</x:f>
        <x:v>0</x:v>
      </x:c>
      <x:c r="JG18" s="128" t="n">
        <x:f>'PROJECT TA Y TB KARINA'!$S72/8</x:f>
        <x:v>0</x:v>
      </x:c>
      <x:c r="JH18" s="128" t="n">
        <x:f>'PROJECT TA Y TB KARINA'!$S72/8</x:f>
        <x:v>0</x:v>
      </x:c>
      <x:c r="JI18" s="128" t="n">
        <x:f>'PROJECT TA Y TB KARINA'!$S72/8</x:f>
        <x:v>0</x:v>
      </x:c>
      <x:c r="JJ18" s="128" t="n">
        <x:f>'PROJECT TA Y TB KARINA'!$S72/8</x:f>
        <x:v>0</x:v>
      </x:c>
      <x:c r="JK18" s="128" t="n">
        <x:f>'PROJECT TA Y TB KARINA'!$S72/8</x:f>
        <x:v>0</x:v>
      </x:c>
      <x:c r="JL18" s="128" t="n">
        <x:f>'PROJECT TA Y TB KARINA'!$T72/8</x:f>
        <x:v>0</x:v>
      </x:c>
      <x:c r="JM18" s="128" t="n">
        <x:f>'PROJECT TA Y TB KARINA'!$T72/8</x:f>
        <x:v>0</x:v>
      </x:c>
      <x:c r="JN18" s="128" t="n">
        <x:f>'PROJECT TA Y TB KARINA'!$T72/8</x:f>
        <x:v>0</x:v>
      </x:c>
      <x:c r="JO18" s="128" t="n">
        <x:f>'PROJECT TA Y TB KARINA'!$T72/8</x:f>
        <x:v>0</x:v>
      </x:c>
      <x:c r="JP18" s="128" t="n">
        <x:f>'PROJECT TA Y TB KARINA'!$T72/8</x:f>
        <x:v>0</x:v>
      </x:c>
      <x:c r="JQ18" s="128" t="n">
        <x:f>'PROJECT TA Y TB KARINA'!$T72/8</x:f>
        <x:v>0</x:v>
      </x:c>
      <x:c r="JR18" s="128" t="n">
        <x:f>'PROJECT TA Y TB KARINA'!$T72/8</x:f>
        <x:v>0</x:v>
      </x:c>
      <x:c r="JS18" s="128" t="n">
        <x:f>'PROJECT TA Y TB KARINA'!$T72/8</x:f>
        <x:v>0</x:v>
      </x:c>
      <x:c r="JT18" s="128" t="e">
        <x:f>'PROJECT TA Y TB KARINA'!#REF!/8</x:f>
        <x:v>#NAME?</x:v>
      </x:c>
      <x:c r="JU18" s="128" t="e">
        <x:f>'PROJECT TA Y TB KARINA'!#REF!/8</x:f>
        <x:v>#NAME?</x:v>
      </x:c>
      <x:c r="JV18" s="128" t="e">
        <x:f>'PROJECT TA Y TB KARINA'!#REF!/8</x:f>
        <x:v>#NAME?</x:v>
      </x:c>
      <x:c r="JW18" s="128" t="e">
        <x:f>'PROJECT TA Y TB KARINA'!#REF!/8</x:f>
        <x:v>#NAME?</x:v>
      </x:c>
      <x:c r="JX18" s="128" t="e">
        <x:f>'PROJECT TA Y TB KARINA'!#REF!/8</x:f>
        <x:v>#NAME?</x:v>
      </x:c>
      <x:c r="JY18" s="128" t="e">
        <x:f>'PROJECT TA Y TB KARINA'!#REF!/8</x:f>
        <x:v>#NAME?</x:v>
      </x:c>
      <x:c r="JZ18" s="128" t="e">
        <x:f>'PROJECT TA Y TB KARINA'!#REF!/8</x:f>
        <x:v>#NAME?</x:v>
      </x:c>
      <x:c r="KA18" s="128" t="e">
        <x:f>'PROJECT TA Y TB KARINA'!#REF!/8</x:f>
        <x:v>#NAME?</x:v>
      </x:c>
    </x:row>
    <x:row r="19" ht="21">
      <x:c r="A19" s="130" t="s">
        <x:v>504</x:v>
      </x:c>
      <x:c r="B19" s="128" t="e">
        <x:f>'PROJECT TA Y TB KARINA'!$C$15/8</x:f>
        <x:v>#REF!</x:v>
      </x:c>
      <x:c r="C19" s="128" t="e">
        <x:f>'PROJECT TA Y TB KARINA'!$C$15/8</x:f>
        <x:v>#REF!</x:v>
      </x:c>
      <x:c r="D19" s="128" t="e">
        <x:f>'PROJECT TA Y TB KARINA'!$C$15/8</x:f>
        <x:v>#REF!</x:v>
      </x:c>
      <x:c r="E19" s="128" t="e">
        <x:f>'PROJECT TA Y TB KARINA'!$C$15/8</x:f>
        <x:v>#REF!</x:v>
      </x:c>
      <x:c r="F19" s="128" t="e">
        <x:f>'PROJECT TA Y TB KARINA'!$C$15/8</x:f>
        <x:v>#REF!</x:v>
      </x:c>
      <x:c r="G19" s="128" t="e">
        <x:f>'PROJECT TA Y TB KARINA'!$C$15/8</x:f>
        <x:v>#REF!</x:v>
      </x:c>
      <x:c r="H19" s="128" t="e">
        <x:f>'PROJECT TA Y TB KARINA'!$C$15/8</x:f>
        <x:v>#REF!</x:v>
      </x:c>
      <x:c r="I19" s="128" t="e">
        <x:f>'PROJECT TA Y TB KARINA'!$E15/8</x:f>
        <x:v>#REF!</x:v>
      </x:c>
      <x:c r="J19" s="128" t="e">
        <x:f>'PROJECT TA Y TB KARINA'!$E15/8</x:f>
        <x:v>#REF!</x:v>
      </x:c>
      <x:c r="K19" s="128" t="e">
        <x:f>'PROJECT TA Y TB KARINA'!$E15/8</x:f>
        <x:v>#REF!</x:v>
      </x:c>
      <x:c r="L19" s="128" t="e">
        <x:f>'PROJECT TA Y TB KARINA'!$E15/8</x:f>
        <x:v>#REF!</x:v>
      </x:c>
      <x:c r="M19" s="128" t="e">
        <x:f>'PROJECT TA Y TB KARINA'!$E15/8</x:f>
        <x:v>#REF!</x:v>
      </x:c>
      <x:c r="N19" s="128" t="e">
        <x:f>'PROJECT TA Y TB KARINA'!$E15/8</x:f>
        <x:v>#REF!</x:v>
      </x:c>
      <x:c r="O19" s="128" t="e">
        <x:f>'PROJECT TA Y TB KARINA'!$E15/8</x:f>
        <x:v>#REF!</x:v>
      </x:c>
      <x:c r="P19" s="128" t="e">
        <x:f>'PROJECT TA Y TB KARINA'!$E15/8</x:f>
        <x:v>#REF!</x:v>
      </x:c>
      <x:c r="Q19" s="128" t="e">
        <x:f>'PROJECT TA Y TB KARINA'!$F15/8</x:f>
        <x:v>#REF!</x:v>
      </x:c>
      <x:c r="R19" s="128" t="e">
        <x:f>'PROJECT TA Y TB KARINA'!$F15/8</x:f>
        <x:v>#REF!</x:v>
      </x:c>
      <x:c r="S19" s="128" t="e">
        <x:f>'PROJECT TA Y TB KARINA'!$F15/8</x:f>
        <x:v>#REF!</x:v>
      </x:c>
      <x:c r="T19" s="128" t="e">
        <x:f>'PROJECT TA Y TB KARINA'!$F15/8</x:f>
        <x:v>#REF!</x:v>
      </x:c>
      <x:c r="U19" s="128" t="e">
        <x:f>'PROJECT TA Y TB KARINA'!$F15/8</x:f>
        <x:v>#REF!</x:v>
      </x:c>
      <x:c r="V19" s="128" t="e">
        <x:f>'PROJECT TA Y TB KARINA'!$F15/8</x:f>
        <x:v>#REF!</x:v>
      </x:c>
      <x:c r="W19" s="128" t="e">
        <x:f>'PROJECT TA Y TB KARINA'!$F15/8</x:f>
        <x:v>#REF!</x:v>
      </x:c>
      <x:c r="X19" s="128" t="e">
        <x:f>'PROJECT TA Y TB KARINA'!$F15/8</x:f>
        <x:v>#REF!</x:v>
      </x:c>
      <x:c r="Y19" s="128" t="e">
        <x:f>'PROJECT TA Y TB KARINA'!$G15/8</x:f>
        <x:v>#REF!</x:v>
      </x:c>
      <x:c r="Z19" s="128" t="e">
        <x:f>'PROJECT TA Y TB KARINA'!$G15/8</x:f>
        <x:v>#REF!</x:v>
      </x:c>
      <x:c r="AA19" s="128" t="e">
        <x:f>'PROJECT TA Y TB KARINA'!$G15/8</x:f>
        <x:v>#REF!</x:v>
      </x:c>
      <x:c r="AB19" s="128" t="e">
        <x:f>'PROJECT TA Y TB KARINA'!$G15/8</x:f>
        <x:v>#REF!</x:v>
      </x:c>
      <x:c r="AC19" s="128" t="e">
        <x:f>'PROJECT TA Y TB KARINA'!$G15/8</x:f>
        <x:v>#REF!</x:v>
      </x:c>
      <x:c r="AD19" s="128" t="e">
        <x:f>'PROJECT TA Y TB KARINA'!$G15/8</x:f>
        <x:v>#REF!</x:v>
      </x:c>
      <x:c r="AE19" s="128" t="e">
        <x:f>'PROJECT TA Y TB KARINA'!$G15/8</x:f>
        <x:v>#REF!</x:v>
      </x:c>
      <x:c r="AF19" s="128" t="e">
        <x:f>'PROJECT TA Y TB KARINA'!$G15/8</x:f>
        <x:v>#REF!</x:v>
      </x:c>
      <x:c r="AG19" s="128" t="e">
        <x:f>'PROJECT TA Y TB KARINA'!$H15/8</x:f>
        <x:v>#REF!</x:v>
      </x:c>
      <x:c r="AH19" s="128" t="e">
        <x:f>'PROJECT TA Y TB KARINA'!$H15/8</x:f>
        <x:v>#REF!</x:v>
      </x:c>
      <x:c r="AI19" s="128" t="e">
        <x:f>'PROJECT TA Y TB KARINA'!$H15/8</x:f>
        <x:v>#REF!</x:v>
      </x:c>
      <x:c r="AJ19" s="128" t="e">
        <x:f>'PROJECT TA Y TB KARINA'!$H15/8</x:f>
        <x:v>#REF!</x:v>
      </x:c>
      <x:c r="AK19" s="128" t="e">
        <x:f>'PROJECT TA Y TB KARINA'!$H15/8</x:f>
        <x:v>#REF!</x:v>
      </x:c>
      <x:c r="AL19" s="128" t="e">
        <x:f>'PROJECT TA Y TB KARINA'!$H15/8</x:f>
        <x:v>#REF!</x:v>
      </x:c>
      <x:c r="AM19" s="128" t="e">
        <x:f>'PROJECT TA Y TB KARINA'!$H15/8</x:f>
        <x:v>#REF!</x:v>
      </x:c>
      <x:c r="AN19" s="128" t="e">
        <x:f>'PROJECT TA Y TB KARINA'!$H15/8</x:f>
        <x:v>#REF!</x:v>
      </x:c>
      <x:c r="AO19" s="128" t="e">
        <x:f>'PROJECT TA Y TB KARINA'!$I15/8</x:f>
        <x:v>#REF!</x:v>
      </x:c>
      <x:c r="AP19" s="128" t="e">
        <x:f>'PROJECT TA Y TB KARINA'!$I15/8</x:f>
        <x:v>#REF!</x:v>
      </x:c>
      <x:c r="AQ19" s="128" t="e">
        <x:f>'PROJECT TA Y TB KARINA'!$I15/8</x:f>
        <x:v>#REF!</x:v>
      </x:c>
      <x:c r="AR19" s="128" t="e">
        <x:f>'PROJECT TA Y TB KARINA'!$I15/8</x:f>
        <x:v>#REF!</x:v>
      </x:c>
      <x:c r="AS19" s="128" t="e">
        <x:f>'PROJECT TA Y TB KARINA'!$I15/8</x:f>
        <x:v>#REF!</x:v>
      </x:c>
      <x:c r="AT19" s="128" t="e">
        <x:f>'PROJECT TA Y TB KARINA'!$I15/8</x:f>
        <x:v>#REF!</x:v>
      </x:c>
      <x:c r="AU19" s="128" t="e">
        <x:f>'PROJECT TA Y TB KARINA'!$I15/8</x:f>
        <x:v>#REF!</x:v>
      </x:c>
      <x:c r="AV19" s="128" t="e">
        <x:f>'PROJECT TA Y TB KARINA'!$I15/8</x:f>
        <x:v>#REF!</x:v>
      </x:c>
      <x:c r="AW19" s="128" t="e">
        <x:f>'PROJECT TA Y TB KARINA'!$J15/8</x:f>
        <x:v>#REF!</x:v>
      </x:c>
      <x:c r="AX19" s="128" t="e">
        <x:f>'PROJECT TA Y TB KARINA'!$J15/8</x:f>
        <x:v>#REF!</x:v>
      </x:c>
      <x:c r="AY19" s="128" t="e">
        <x:f>'PROJECT TA Y TB KARINA'!$J15/8</x:f>
        <x:v>#REF!</x:v>
      </x:c>
      <x:c r="AZ19" s="128" t="e">
        <x:f>'PROJECT TA Y TB KARINA'!$J15/8</x:f>
        <x:v>#REF!</x:v>
      </x:c>
      <x:c r="BA19" s="128" t="e">
        <x:f>'PROJECT TA Y TB KARINA'!$J15/8</x:f>
        <x:v>#REF!</x:v>
      </x:c>
      <x:c r="BB19" s="128" t="e">
        <x:f>'PROJECT TA Y TB KARINA'!$J15/8</x:f>
        <x:v>#REF!</x:v>
      </x:c>
      <x:c r="BC19" s="128" t="e">
        <x:f>'PROJECT TA Y TB KARINA'!$J15/8</x:f>
        <x:v>#REF!</x:v>
      </x:c>
      <x:c r="BD19" s="128" t="e">
        <x:f>'PROJECT TA Y TB KARINA'!$J15/8</x:f>
        <x:v>#REF!</x:v>
      </x:c>
      <x:c r="BE19" s="128" t="e">
        <x:f>'PROJECT TA Y TB KARINA'!$K15/8</x:f>
        <x:v>#REF!</x:v>
      </x:c>
      <x:c r="BF19" s="128" t="e">
        <x:f>'PROJECT TA Y TB KARINA'!$K15/8</x:f>
        <x:v>#REF!</x:v>
      </x:c>
      <x:c r="BG19" s="128" t="e">
        <x:f>'PROJECT TA Y TB KARINA'!$K15/8</x:f>
        <x:v>#REF!</x:v>
      </x:c>
      <x:c r="BH19" s="128" t="e">
        <x:f>'PROJECT TA Y TB KARINA'!$K15/8</x:f>
        <x:v>#REF!</x:v>
      </x:c>
      <x:c r="BI19" s="128" t="e">
        <x:f>'PROJECT TA Y TB KARINA'!$K15/8</x:f>
        <x:v>#REF!</x:v>
      </x:c>
      <x:c r="BJ19" s="128" t="e">
        <x:f>'PROJECT TA Y TB KARINA'!$K15/8</x:f>
        <x:v>#REF!</x:v>
      </x:c>
      <x:c r="BK19" s="128" t="e">
        <x:f>'PROJECT TA Y TB KARINA'!$K15/8</x:f>
        <x:v>#REF!</x:v>
      </x:c>
      <x:c r="BL19" s="128" t="e">
        <x:f>'PROJECT TA Y TB KARINA'!$K15/8</x:f>
        <x:v>#REF!</x:v>
      </x:c>
      <x:c r="BM19" s="128" t="e">
        <x:f>'PROJECT TA Y TB KARINA'!$L15/8</x:f>
        <x:v>#REF!</x:v>
      </x:c>
      <x:c r="BN19" s="128" t="e">
        <x:f>'PROJECT TA Y TB KARINA'!$L15/8</x:f>
        <x:v>#REF!</x:v>
      </x:c>
      <x:c r="BO19" s="128" t="e">
        <x:f>'PROJECT TA Y TB KARINA'!$L15/8</x:f>
        <x:v>#REF!</x:v>
      </x:c>
      <x:c r="BP19" s="128" t="e">
        <x:f>'PROJECT TA Y TB KARINA'!$L15/8</x:f>
        <x:v>#REF!</x:v>
      </x:c>
      <x:c r="BQ19" s="128" t="e">
        <x:f>'PROJECT TA Y TB KARINA'!$L15/8</x:f>
        <x:v>#REF!</x:v>
      </x:c>
      <x:c r="BR19" s="128" t="e">
        <x:f>'PROJECT TA Y TB KARINA'!$L15/8</x:f>
        <x:v>#REF!</x:v>
      </x:c>
      <x:c r="BS19" s="128" t="e">
        <x:f>'PROJECT TA Y TB KARINA'!$L15/8</x:f>
        <x:v>#REF!</x:v>
      </x:c>
      <x:c r="BT19" s="128" t="e">
        <x:f>'PROJECT TA Y TB KARINA'!$L15/8</x:f>
        <x:v>#REF!</x:v>
      </x:c>
      <x:c r="BU19" s="128" t="e">
        <x:f>'PROJECT TA Y TB KARINA'!$M15/8</x:f>
        <x:v>#REF!</x:v>
      </x:c>
      <x:c r="BV19" s="128" t="e">
        <x:f>'PROJECT TA Y TB KARINA'!$M15/8</x:f>
        <x:v>#REF!</x:v>
      </x:c>
      <x:c r="BW19" s="128" t="e">
        <x:f>'PROJECT TA Y TB KARINA'!$M15/8</x:f>
        <x:v>#REF!</x:v>
      </x:c>
      <x:c r="BX19" s="128" t="e">
        <x:f>'PROJECT TA Y TB KARINA'!$M15/8</x:f>
        <x:v>#REF!</x:v>
      </x:c>
      <x:c r="BY19" s="128" t="e">
        <x:f>'PROJECT TA Y TB KARINA'!$M15/8</x:f>
        <x:v>#REF!</x:v>
      </x:c>
      <x:c r="BZ19" s="128" t="e">
        <x:f>'PROJECT TA Y TB KARINA'!$M15/8</x:f>
        <x:v>#REF!</x:v>
      </x:c>
      <x:c r="CA19" s="128" t="e">
        <x:f>'PROJECT TA Y TB KARINA'!$M15/8</x:f>
        <x:v>#REF!</x:v>
      </x:c>
      <x:c r="CB19" s="128" t="e">
        <x:f>'PROJECT TA Y TB KARINA'!$M15/8</x:f>
        <x:v>#REF!</x:v>
      </x:c>
      <x:c r="CC19" s="128" t="e">
        <x:f>'PROJECT TA Y TB KARINA'!$N15/8</x:f>
        <x:v>#REF!</x:v>
      </x:c>
      <x:c r="CD19" s="128" t="e">
        <x:f>'PROJECT TA Y TB KARINA'!$N15/8</x:f>
        <x:v>#REF!</x:v>
      </x:c>
      <x:c r="CE19" s="128" t="e">
        <x:f>'PROJECT TA Y TB KARINA'!$N15/8</x:f>
        <x:v>#REF!</x:v>
      </x:c>
      <x:c r="CF19" s="128" t="e">
        <x:f>'PROJECT TA Y TB KARINA'!$N15/8</x:f>
        <x:v>#REF!</x:v>
      </x:c>
      <x:c r="CG19" s="128" t="e">
        <x:f>'PROJECT TA Y TB KARINA'!$N15/8</x:f>
        <x:v>#REF!</x:v>
      </x:c>
      <x:c r="CH19" s="128" t="e">
        <x:f>'PROJECT TA Y TB KARINA'!$N15/8</x:f>
        <x:v>#REF!</x:v>
      </x:c>
      <x:c r="CI19" s="128" t="e">
        <x:f>'PROJECT TA Y TB KARINA'!$N15/8</x:f>
        <x:v>#REF!</x:v>
      </x:c>
      <x:c r="CJ19" s="128" t="e">
        <x:f>'PROJECT TA Y TB KARINA'!$N15/8</x:f>
        <x:v>#REF!</x:v>
      </x:c>
      <x:c r="CK19" s="128" t="e">
        <x:f>'PROJECT TA Y TB KARINA'!$O15/8</x:f>
        <x:v>#REF!</x:v>
      </x:c>
      <x:c r="CL19" s="128" t="e">
        <x:f>'PROJECT TA Y TB KARINA'!$O15/8</x:f>
        <x:v>#REF!</x:v>
      </x:c>
      <x:c r="CM19" s="128" t="e">
        <x:f>'PROJECT TA Y TB KARINA'!$O15/8</x:f>
        <x:v>#REF!</x:v>
      </x:c>
      <x:c r="CN19" s="128" t="e">
        <x:f>'PROJECT TA Y TB KARINA'!$O15/8</x:f>
        <x:v>#REF!</x:v>
      </x:c>
      <x:c r="CO19" s="128" t="e">
        <x:f>'PROJECT TA Y TB KARINA'!$O15/8</x:f>
        <x:v>#REF!</x:v>
      </x:c>
      <x:c r="CP19" s="128" t="e">
        <x:f>'PROJECT TA Y TB KARINA'!$O15/8</x:f>
        <x:v>#REF!</x:v>
      </x:c>
      <x:c r="CQ19" s="128" t="e">
        <x:f>'PROJECT TA Y TB KARINA'!$O15/8</x:f>
        <x:v>#REF!</x:v>
      </x:c>
      <x:c r="CR19" s="128" t="e">
        <x:f>'PROJECT TA Y TB KARINA'!$O15/8</x:f>
        <x:v>#REF!</x:v>
      </x:c>
      <x:c r="CS19" s="128" t="e">
        <x:f>'PROJECT TA Y TB KARINA'!$P15/8</x:f>
        <x:v>#REF!</x:v>
      </x:c>
      <x:c r="CT19" s="128" t="e">
        <x:f>'PROJECT TA Y TB KARINA'!$P15/8</x:f>
        <x:v>#REF!</x:v>
      </x:c>
      <x:c r="CU19" s="128" t="e">
        <x:f>'PROJECT TA Y TB KARINA'!$P15/8</x:f>
        <x:v>#REF!</x:v>
      </x:c>
      <x:c r="CV19" s="128" t="e">
        <x:f>'PROJECT TA Y TB KARINA'!$P15/8</x:f>
        <x:v>#REF!</x:v>
      </x:c>
      <x:c r="CW19" s="128" t="e">
        <x:f>'PROJECT TA Y TB KARINA'!$P15/8</x:f>
        <x:v>#REF!</x:v>
      </x:c>
      <x:c r="CX19" s="128" t="e">
        <x:f>'PROJECT TA Y TB KARINA'!$P15/8</x:f>
        <x:v>#REF!</x:v>
      </x:c>
      <x:c r="CY19" s="128" t="e">
        <x:f>'PROJECT TA Y TB KARINA'!$P15/8</x:f>
        <x:v>#REF!</x:v>
      </x:c>
      <x:c r="CZ19" s="128" t="e">
        <x:f>'PROJECT TA Y TB KARINA'!$P15/8</x:f>
        <x:v>#REF!</x:v>
      </x:c>
      <x:c r="DA19" s="128" t="e">
        <x:f>'PROJECT TA Y TB KARINA'!$Q15/8</x:f>
        <x:v>#REF!</x:v>
      </x:c>
      <x:c r="DB19" s="128" t="e">
        <x:f>'PROJECT TA Y TB KARINA'!$Q15/8</x:f>
        <x:v>#REF!</x:v>
      </x:c>
      <x:c r="DC19" s="128" t="e">
        <x:f>'PROJECT TA Y TB KARINA'!$Q15/8</x:f>
        <x:v>#REF!</x:v>
      </x:c>
      <x:c r="DD19" s="128" t="e">
        <x:f>'PROJECT TA Y TB KARINA'!$Q15/8</x:f>
        <x:v>#REF!</x:v>
      </x:c>
      <x:c r="DE19" s="128" t="e">
        <x:f>'PROJECT TA Y TB KARINA'!$Q15/8</x:f>
        <x:v>#REF!</x:v>
      </x:c>
      <x:c r="DF19" s="128" t="e">
        <x:f>'PROJECT TA Y TB KARINA'!$Q15/8</x:f>
        <x:v>#REF!</x:v>
      </x:c>
      <x:c r="DG19" s="128" t="e">
        <x:f>'PROJECT TA Y TB KARINA'!$Q15/8</x:f>
        <x:v>#REF!</x:v>
      </x:c>
      <x:c r="DH19" s="128" t="e">
        <x:f>'PROJECT TA Y TB KARINA'!$Q15/8</x:f>
        <x:v>#REF!</x:v>
      </x:c>
      <x:c r="DI19" s="128" t="e">
        <x:f>'PROJECT TA Y TB KARINA'!$R15/8</x:f>
        <x:v>#REF!</x:v>
      </x:c>
      <x:c r="DJ19" s="128" t="e">
        <x:f>'PROJECT TA Y TB KARINA'!$R15/8</x:f>
        <x:v>#REF!</x:v>
      </x:c>
      <x:c r="DK19" s="128" t="e">
        <x:f>'PROJECT TA Y TB KARINA'!$R15/8</x:f>
        <x:v>#REF!</x:v>
      </x:c>
      <x:c r="DL19" s="128" t="e">
        <x:f>'PROJECT TA Y TB KARINA'!$R15/8</x:f>
        <x:v>#REF!</x:v>
      </x:c>
      <x:c r="DM19" s="128" t="e">
        <x:f>'PROJECT TA Y TB KARINA'!$R15/8</x:f>
        <x:v>#REF!</x:v>
      </x:c>
      <x:c r="DN19" s="128" t="e">
        <x:f>'PROJECT TA Y TB KARINA'!$R15/8</x:f>
        <x:v>#REF!</x:v>
      </x:c>
      <x:c r="DO19" s="128" t="e">
        <x:f>'PROJECT TA Y TB KARINA'!$R15/8</x:f>
        <x:v>#REF!</x:v>
      </x:c>
      <x:c r="DP19" s="128" t="e">
        <x:f>'PROJECT TA Y TB KARINA'!$R15/8</x:f>
        <x:v>#REF!</x:v>
      </x:c>
      <x:c r="DQ19" s="128" t="e">
        <x:f>'PROJECT TA Y TB KARINA'!$S15/8</x:f>
        <x:v>#REF!</x:v>
      </x:c>
      <x:c r="DR19" s="128" t="e">
        <x:f>'PROJECT TA Y TB KARINA'!$S15/8</x:f>
        <x:v>#REF!</x:v>
      </x:c>
      <x:c r="DS19" s="128" t="e">
        <x:f>'PROJECT TA Y TB KARINA'!$S15/8</x:f>
        <x:v>#REF!</x:v>
      </x:c>
      <x:c r="DT19" s="128" t="e">
        <x:f>'PROJECT TA Y TB KARINA'!$S15/8</x:f>
        <x:v>#REF!</x:v>
      </x:c>
      <x:c r="DU19" s="128" t="e">
        <x:f>'PROJECT TA Y TB KARINA'!$S15/8</x:f>
        <x:v>#REF!</x:v>
      </x:c>
      <x:c r="DV19" s="128" t="e">
        <x:f>'PROJECT TA Y TB KARINA'!$S15/8</x:f>
        <x:v>#REF!</x:v>
      </x:c>
      <x:c r="DW19" s="128" t="e">
        <x:f>'PROJECT TA Y TB KARINA'!$S15/8</x:f>
        <x:v>#REF!</x:v>
      </x:c>
      <x:c r="DX19" s="128" t="e">
        <x:f>'PROJECT TA Y TB KARINA'!$S15/8</x:f>
        <x:v>#REF!</x:v>
      </x:c>
      <x:c r="DY19" s="128" t="e">
        <x:f>'PROJECT TA Y TB KARINA'!$T15/8</x:f>
        <x:v>#REF!</x:v>
      </x:c>
      <x:c r="DZ19" s="128" t="e">
        <x:f>'PROJECT TA Y TB KARINA'!$T15/8</x:f>
        <x:v>#REF!</x:v>
      </x:c>
      <x:c r="EA19" s="128" t="e">
        <x:f>'PROJECT TA Y TB KARINA'!$T15/8</x:f>
        <x:v>#REF!</x:v>
      </x:c>
      <x:c r="EB19" s="128" t="e">
        <x:f>'PROJECT TA Y TB KARINA'!$T15/8</x:f>
        <x:v>#REF!</x:v>
      </x:c>
      <x:c r="EC19" s="128" t="e">
        <x:f>'PROJECT TA Y TB KARINA'!$T15/8</x:f>
        <x:v>#REF!</x:v>
      </x:c>
      <x:c r="ED19" s="128" t="e">
        <x:f>'PROJECT TA Y TB KARINA'!$T15/8</x:f>
        <x:v>#REF!</x:v>
      </x:c>
      <x:c r="EE19" s="128" t="e">
        <x:f>'PROJECT TA Y TB KARINA'!$T15/8</x:f>
        <x:v>#REF!</x:v>
      </x:c>
      <x:c r="EF19" s="128" t="e">
        <x:f>'PROJECT TA Y TB KARINA'!$T15/8</x:f>
        <x:v>#REF!</x:v>
      </x:c>
      <x:c r="EG19" s="128" t="e">
        <x:f>'PROJECT TA Y TB KARINA'!#REF!/8</x:f>
        <x:v>#NAME?</x:v>
      </x:c>
      <x:c r="EH19" s="128" t="e">
        <x:f>'PROJECT TA Y TB KARINA'!#REF!/8</x:f>
        <x:v>#NAME?</x:v>
      </x:c>
      <x:c r="EI19" s="128" t="e">
        <x:f>'PROJECT TA Y TB KARINA'!#REF!/8</x:f>
        <x:v>#NAME?</x:v>
      </x:c>
      <x:c r="EJ19" s="128" t="e">
        <x:f>'PROJECT TA Y TB KARINA'!#REF!/8</x:f>
        <x:v>#NAME?</x:v>
      </x:c>
      <x:c r="EK19" s="128" t="e">
        <x:f>'PROJECT TA Y TB KARINA'!#REF!/8</x:f>
        <x:v>#NAME?</x:v>
      </x:c>
      <x:c r="EL19" s="128" t="e">
        <x:f>'PROJECT TA Y TB KARINA'!#REF!/8</x:f>
        <x:v>#NAME?</x:v>
      </x:c>
      <x:c r="EM19" s="128" t="e">
        <x:f>'PROJECT TA Y TB KARINA'!#REF!/8</x:f>
        <x:v>#NAME?</x:v>
      </x:c>
      <x:c r="EN19" s="128" t="e">
        <x:f>'PROJECT TA Y TB KARINA'!#REF!/8</x:f>
        <x:v>#NAME?</x:v>
      </x:c>
      <x:c r="EO19" s="128" t="n">
        <x:f>'PROJECT TA Y TB KARINA'!$C73/8</x:f>
        <x:v>0</x:v>
      </x:c>
      <x:c r="EP19" s="128" t="n">
        <x:f>'PROJECT TA Y TB KARINA'!$C73/8</x:f>
        <x:v>0</x:v>
      </x:c>
      <x:c r="EQ19" s="128" t="n">
        <x:f>'PROJECT TA Y TB KARINA'!$C73/8</x:f>
        <x:v>0</x:v>
      </x:c>
      <x:c r="ER19" s="128" t="n">
        <x:f>'PROJECT TA Y TB KARINA'!$C73/8</x:f>
        <x:v>0</x:v>
      </x:c>
      <x:c r="ES19" s="128" t="n">
        <x:f>'PROJECT TA Y TB KARINA'!$C73/8</x:f>
        <x:v>0</x:v>
      </x:c>
      <x:c r="ET19" s="128" t="n">
        <x:f>'PROJECT TA Y TB KARINA'!$C73/8</x:f>
        <x:v>0</x:v>
      </x:c>
      <x:c r="EU19" s="128" t="n">
        <x:f>'PROJECT TA Y TB KARINA'!$C73/8</x:f>
        <x:v>0</x:v>
      </x:c>
      <x:c r="EV19" s="128" t="n">
        <x:f>'PROJECT TA Y TB KARINA'!$E73/8</x:f>
        <x:v>0</x:v>
      </x:c>
      <x:c r="EW19" s="128" t="n">
        <x:f>'PROJECT TA Y TB KARINA'!$E73/8</x:f>
        <x:v>0</x:v>
      </x:c>
      <x:c r="EX19" s="128" t="n">
        <x:f>'PROJECT TA Y TB KARINA'!$E73/8</x:f>
        <x:v>0</x:v>
      </x:c>
      <x:c r="EY19" s="128" t="n">
        <x:f>'PROJECT TA Y TB KARINA'!$E73/8</x:f>
        <x:v>0</x:v>
      </x:c>
      <x:c r="EZ19" s="128" t="n">
        <x:f>'PROJECT TA Y TB KARINA'!$E73/8</x:f>
        <x:v>0</x:v>
      </x:c>
      <x:c r="FA19" s="128" t="n">
        <x:f>'PROJECT TA Y TB KARINA'!$E73/8</x:f>
        <x:v>0</x:v>
      </x:c>
      <x:c r="FB19" s="128" t="n">
        <x:f>'PROJECT TA Y TB KARINA'!$E73/8</x:f>
        <x:v>0</x:v>
      </x:c>
      <x:c r="FC19" s="128" t="n">
        <x:f>'PROJECT TA Y TB KARINA'!$E73/8</x:f>
        <x:v>0</x:v>
      </x:c>
      <x:c r="FD19" s="128" t="n">
        <x:f>'PROJECT TA Y TB KARINA'!$F73/8</x:f>
        <x:v>0</x:v>
      </x:c>
      <x:c r="FE19" s="128" t="n">
        <x:f>'PROJECT TA Y TB KARINA'!$F73/8</x:f>
        <x:v>0</x:v>
      </x:c>
      <x:c r="FF19" s="128" t="n">
        <x:f>'PROJECT TA Y TB KARINA'!$F73/8</x:f>
        <x:v>0</x:v>
      </x:c>
      <x:c r="FG19" s="128" t="n">
        <x:f>'PROJECT TA Y TB KARINA'!$F73/8</x:f>
        <x:v>0</x:v>
      </x:c>
      <x:c r="FH19" s="128" t="n">
        <x:f>'PROJECT TA Y TB KARINA'!$F73/8</x:f>
        <x:v>0</x:v>
      </x:c>
      <x:c r="FI19" s="128" t="n">
        <x:f>'PROJECT TA Y TB KARINA'!$F73/8</x:f>
        <x:v>0</x:v>
      </x:c>
      <x:c r="FJ19" s="128" t="n">
        <x:f>'PROJECT TA Y TB KARINA'!$F73/8</x:f>
        <x:v>0</x:v>
      </x:c>
      <x:c r="FK19" s="128" t="n">
        <x:f>'PROJECT TA Y TB KARINA'!$F73/8</x:f>
        <x:v>0</x:v>
      </x:c>
      <x:c r="FL19" s="128" t="n">
        <x:f>'PROJECT TA Y TB KARINA'!$G73/8</x:f>
        <x:v>0</x:v>
      </x:c>
      <x:c r="FM19" s="128" t="n">
        <x:f>'PROJECT TA Y TB KARINA'!$G73/8</x:f>
        <x:v>0</x:v>
      </x:c>
      <x:c r="FN19" s="128" t="n">
        <x:f>'PROJECT TA Y TB KARINA'!$G73/8</x:f>
        <x:v>0</x:v>
      </x:c>
      <x:c r="FO19" s="128" t="n">
        <x:f>'PROJECT TA Y TB KARINA'!$G73/8</x:f>
        <x:v>0</x:v>
      </x:c>
      <x:c r="FP19" s="128" t="n">
        <x:f>'PROJECT TA Y TB KARINA'!$G73/8</x:f>
        <x:v>0</x:v>
      </x:c>
      <x:c r="FQ19" s="128" t="n">
        <x:f>'PROJECT TA Y TB KARINA'!$G73/8</x:f>
        <x:v>0</x:v>
      </x:c>
      <x:c r="FR19" s="128" t="n">
        <x:f>'PROJECT TA Y TB KARINA'!$G73/8</x:f>
        <x:v>0</x:v>
      </x:c>
      <x:c r="FS19" s="128" t="n">
        <x:f>'PROJECT TA Y TB KARINA'!$G73/8</x:f>
        <x:v>0</x:v>
      </x:c>
      <x:c r="FT19" s="128" t="n">
        <x:f>'PROJECT TA Y TB KARINA'!$H73/8</x:f>
        <x:v>0</x:v>
      </x:c>
      <x:c r="FU19" s="128" t="n">
        <x:f>'PROJECT TA Y TB KARINA'!$H73/8</x:f>
        <x:v>0</x:v>
      </x:c>
      <x:c r="FV19" s="128" t="n">
        <x:f>'PROJECT TA Y TB KARINA'!$H73/8</x:f>
        <x:v>0</x:v>
      </x:c>
      <x:c r="FW19" s="128" t="n">
        <x:f>'PROJECT TA Y TB KARINA'!$H73/8</x:f>
        <x:v>0</x:v>
      </x:c>
      <x:c r="FX19" s="128" t="n">
        <x:f>'PROJECT TA Y TB KARINA'!$H73/8</x:f>
        <x:v>0</x:v>
      </x:c>
      <x:c r="FY19" s="128" t="n">
        <x:f>'PROJECT TA Y TB KARINA'!$H73/8</x:f>
        <x:v>0</x:v>
      </x:c>
      <x:c r="FZ19" s="128" t="n">
        <x:f>'PROJECT TA Y TB KARINA'!$H73/8</x:f>
        <x:v>0</x:v>
      </x:c>
      <x:c r="GA19" s="128" t="n">
        <x:f>'PROJECT TA Y TB KARINA'!$H73/8</x:f>
        <x:v>0</x:v>
      </x:c>
      <x:c r="GB19" s="128" t="n">
        <x:f>'PROJECT TA Y TB KARINA'!$I73/8</x:f>
        <x:v>0</x:v>
      </x:c>
      <x:c r="GC19" s="128" t="n">
        <x:f>'PROJECT TA Y TB KARINA'!$I73/8</x:f>
        <x:v>0</x:v>
      </x:c>
      <x:c r="GD19" s="128" t="n">
        <x:f>'PROJECT TA Y TB KARINA'!$I73/8</x:f>
        <x:v>0</x:v>
      </x:c>
      <x:c r="GE19" s="128" t="n">
        <x:f>'PROJECT TA Y TB KARINA'!$I73/8</x:f>
        <x:v>0</x:v>
      </x:c>
      <x:c r="GF19" s="128" t="n">
        <x:f>'PROJECT TA Y TB KARINA'!$I73/8</x:f>
        <x:v>0</x:v>
      </x:c>
      <x:c r="GG19" s="128" t="n">
        <x:f>'PROJECT TA Y TB KARINA'!$I73/8</x:f>
        <x:v>0</x:v>
      </x:c>
      <x:c r="GH19" s="128" t="n">
        <x:f>'PROJECT TA Y TB KARINA'!$I73/8</x:f>
        <x:v>0</x:v>
      </x:c>
      <x:c r="GI19" s="128" t="n">
        <x:f>'PROJECT TA Y TB KARINA'!$I73/8</x:f>
        <x:v>0</x:v>
      </x:c>
      <x:c r="GJ19" s="128" t="n">
        <x:f>'PROJECT TA Y TB KARINA'!$J73/8</x:f>
        <x:v>0</x:v>
      </x:c>
      <x:c r="GK19" s="128" t="n">
        <x:f>'PROJECT TA Y TB KARINA'!$J73/8</x:f>
        <x:v>0</x:v>
      </x:c>
      <x:c r="GL19" s="128" t="n">
        <x:f>'PROJECT TA Y TB KARINA'!$J73/8</x:f>
        <x:v>0</x:v>
      </x:c>
      <x:c r="GM19" s="128" t="n">
        <x:f>'PROJECT TA Y TB KARINA'!$J73/8</x:f>
        <x:v>0</x:v>
      </x:c>
      <x:c r="GN19" s="128" t="n">
        <x:f>'PROJECT TA Y TB KARINA'!$J73/8</x:f>
        <x:v>0</x:v>
      </x:c>
      <x:c r="GO19" s="128" t="n">
        <x:f>'PROJECT TA Y TB KARINA'!$J73/8</x:f>
        <x:v>0</x:v>
      </x:c>
      <x:c r="GP19" s="128" t="n">
        <x:f>'PROJECT TA Y TB KARINA'!$J73/8</x:f>
        <x:v>0</x:v>
      </x:c>
      <x:c r="GQ19" s="128" t="n">
        <x:f>'PROJECT TA Y TB KARINA'!$J73/8</x:f>
        <x:v>0</x:v>
      </x:c>
      <x:c r="GR19" s="128" t="n">
        <x:f>'PROJECT TA Y TB KARINA'!$K73/8</x:f>
        <x:v>0</x:v>
      </x:c>
      <x:c r="GS19" s="128" t="n">
        <x:f>'PROJECT TA Y TB KARINA'!$K73/8</x:f>
        <x:v>0</x:v>
      </x:c>
      <x:c r="GT19" s="128" t="n">
        <x:f>'PROJECT TA Y TB KARINA'!$K73/8</x:f>
        <x:v>0</x:v>
      </x:c>
      <x:c r="GU19" s="128" t="n">
        <x:f>'PROJECT TA Y TB KARINA'!$K73/8</x:f>
        <x:v>0</x:v>
      </x:c>
      <x:c r="GV19" s="128" t="n">
        <x:f>'PROJECT TA Y TB KARINA'!$K73/8</x:f>
        <x:v>0</x:v>
      </x:c>
      <x:c r="GW19" s="128" t="n">
        <x:f>'PROJECT TA Y TB KARINA'!$K73/8</x:f>
        <x:v>0</x:v>
      </x:c>
      <x:c r="GX19" s="128" t="n">
        <x:f>'PROJECT TA Y TB KARINA'!$K73/8</x:f>
        <x:v>0</x:v>
      </x:c>
      <x:c r="GY19" s="128" t="n">
        <x:f>'PROJECT TA Y TB KARINA'!$K73/8</x:f>
        <x:v>0</x:v>
      </x:c>
      <x:c r="GZ19" s="128" t="n">
        <x:f>'PROJECT TA Y TB KARINA'!$L73/8</x:f>
        <x:v>0</x:v>
      </x:c>
      <x:c r="HA19" s="128" t="n">
        <x:f>'PROJECT TA Y TB KARINA'!$L73/8</x:f>
        <x:v>0</x:v>
      </x:c>
      <x:c r="HB19" s="128" t="n">
        <x:f>'PROJECT TA Y TB KARINA'!$L73/8</x:f>
        <x:v>0</x:v>
      </x:c>
      <x:c r="HC19" s="128" t="n">
        <x:f>'PROJECT TA Y TB KARINA'!$L73/8</x:f>
        <x:v>0</x:v>
      </x:c>
      <x:c r="HD19" s="128" t="n">
        <x:f>'PROJECT TA Y TB KARINA'!$L73/8</x:f>
        <x:v>0</x:v>
      </x:c>
      <x:c r="HE19" s="128" t="n">
        <x:f>'PROJECT TA Y TB KARINA'!$L73/8</x:f>
        <x:v>0</x:v>
      </x:c>
      <x:c r="HF19" s="128" t="n">
        <x:f>'PROJECT TA Y TB KARINA'!$L73/8</x:f>
        <x:v>0</x:v>
      </x:c>
      <x:c r="HG19" s="128" t="n">
        <x:f>'PROJECT TA Y TB KARINA'!$L73/8</x:f>
        <x:v>0</x:v>
      </x:c>
      <x:c r="HH19" s="128" t="n">
        <x:f>'PROJECT TA Y TB KARINA'!$M73/8</x:f>
        <x:v>0</x:v>
      </x:c>
      <x:c r="HI19" s="128" t="n">
        <x:f>'PROJECT TA Y TB KARINA'!$M73/8</x:f>
        <x:v>0</x:v>
      </x:c>
      <x:c r="HJ19" s="128" t="n">
        <x:f>'PROJECT TA Y TB KARINA'!$M73/8</x:f>
        <x:v>0</x:v>
      </x:c>
      <x:c r="HK19" s="128" t="n">
        <x:f>'PROJECT TA Y TB KARINA'!$M73/8</x:f>
        <x:v>0</x:v>
      </x:c>
      <x:c r="HL19" s="128" t="n">
        <x:f>'PROJECT TA Y TB KARINA'!$M73/8</x:f>
        <x:v>0</x:v>
      </x:c>
      <x:c r="HM19" s="128" t="n">
        <x:f>'PROJECT TA Y TB KARINA'!$M73/8</x:f>
        <x:v>0</x:v>
      </x:c>
      <x:c r="HN19" s="128" t="n">
        <x:f>'PROJECT TA Y TB KARINA'!$M73/8</x:f>
        <x:v>0</x:v>
      </x:c>
      <x:c r="HO19" s="128" t="n">
        <x:f>'PROJECT TA Y TB KARINA'!$M73/8</x:f>
        <x:v>0</x:v>
      </x:c>
      <x:c r="HP19" s="128" t="n">
        <x:f>'PROJECT TA Y TB KARINA'!$N73/8</x:f>
        <x:v>0</x:v>
      </x:c>
      <x:c r="HQ19" s="128" t="n">
        <x:f>'PROJECT TA Y TB KARINA'!$N73/8</x:f>
        <x:v>0</x:v>
      </x:c>
      <x:c r="HR19" s="128" t="n">
        <x:f>'PROJECT TA Y TB KARINA'!$N73/8</x:f>
        <x:v>0</x:v>
      </x:c>
      <x:c r="HS19" s="128" t="n">
        <x:f>'PROJECT TA Y TB KARINA'!$N73/8</x:f>
        <x:v>0</x:v>
      </x:c>
      <x:c r="HT19" s="128" t="n">
        <x:f>'PROJECT TA Y TB KARINA'!$N73/8</x:f>
        <x:v>0</x:v>
      </x:c>
      <x:c r="HU19" s="128" t="n">
        <x:f>'PROJECT TA Y TB KARINA'!$N73/8</x:f>
        <x:v>0</x:v>
      </x:c>
      <x:c r="HV19" s="128" t="n">
        <x:f>'PROJECT TA Y TB KARINA'!$N73/8</x:f>
        <x:v>0</x:v>
      </x:c>
      <x:c r="HW19" s="128" t="n">
        <x:f>'PROJECT TA Y TB KARINA'!$N73/8</x:f>
        <x:v>0</x:v>
      </x:c>
      <x:c r="HX19" s="128" t="n">
        <x:f>'PROJECT TA Y TB KARINA'!$O73/8</x:f>
        <x:v>0</x:v>
      </x:c>
      <x:c r="HY19" s="128" t="n">
        <x:f>'PROJECT TA Y TB KARINA'!$O73/8</x:f>
        <x:v>0</x:v>
      </x:c>
      <x:c r="HZ19" s="128" t="n">
        <x:f>'PROJECT TA Y TB KARINA'!$O73/8</x:f>
        <x:v>0</x:v>
      </x:c>
      <x:c r="IA19" s="128" t="n">
        <x:f>'PROJECT TA Y TB KARINA'!$O73/8</x:f>
        <x:v>0</x:v>
      </x:c>
      <x:c r="IB19" s="128" t="n">
        <x:f>'PROJECT TA Y TB KARINA'!$O73/8</x:f>
        <x:v>0</x:v>
      </x:c>
      <x:c r="IC19" s="128" t="n">
        <x:f>'PROJECT TA Y TB KARINA'!$O73/8</x:f>
        <x:v>0</x:v>
      </x:c>
      <x:c r="ID19" s="128" t="n">
        <x:f>'PROJECT TA Y TB KARINA'!$O73/8</x:f>
        <x:v>0</x:v>
      </x:c>
      <x:c r="IE19" s="128" t="n">
        <x:f>'PROJECT TA Y TB KARINA'!$O73/8</x:f>
        <x:v>0</x:v>
      </x:c>
      <x:c r="IF19" s="128" t="n">
        <x:f>'PROJECT TA Y TB KARINA'!$P73/8</x:f>
        <x:v>0</x:v>
      </x:c>
      <x:c r="IG19" s="128" t="n">
        <x:f>'PROJECT TA Y TB KARINA'!$P73/8</x:f>
        <x:v>0</x:v>
      </x:c>
      <x:c r="IH19" s="128" t="n">
        <x:f>'PROJECT TA Y TB KARINA'!$P73/8</x:f>
        <x:v>0</x:v>
      </x:c>
      <x:c r="II19" s="128" t="n">
        <x:f>'PROJECT TA Y TB KARINA'!$P73/8</x:f>
        <x:v>0</x:v>
      </x:c>
      <x:c r="IJ19" s="128" t="n">
        <x:f>'PROJECT TA Y TB KARINA'!$P73/8</x:f>
        <x:v>0</x:v>
      </x:c>
      <x:c r="IK19" s="128" t="n">
        <x:f>'PROJECT TA Y TB KARINA'!$P73/8</x:f>
        <x:v>0</x:v>
      </x:c>
      <x:c r="IL19" s="128" t="n">
        <x:f>'PROJECT TA Y TB KARINA'!$P73/8</x:f>
        <x:v>0</x:v>
      </x:c>
      <x:c r="IM19" s="128" t="n">
        <x:f>'PROJECT TA Y TB KARINA'!$P73/8</x:f>
        <x:v>0</x:v>
      </x:c>
      <x:c r="IN19" s="128" t="n">
        <x:f>'PROJECT TA Y TB KARINA'!$Q73/8</x:f>
        <x:v>0</x:v>
      </x:c>
      <x:c r="IO19" s="128" t="n">
        <x:f>'PROJECT TA Y TB KARINA'!$Q73/8</x:f>
        <x:v>0</x:v>
      </x:c>
      <x:c r="IP19" s="128" t="n">
        <x:f>'PROJECT TA Y TB KARINA'!$Q73/8</x:f>
        <x:v>0</x:v>
      </x:c>
      <x:c r="IQ19" s="128" t="n">
        <x:f>'PROJECT TA Y TB KARINA'!$Q73/8</x:f>
        <x:v>0</x:v>
      </x:c>
      <x:c r="IR19" s="128" t="n">
        <x:f>'PROJECT TA Y TB KARINA'!$Q73/8</x:f>
        <x:v>0</x:v>
      </x:c>
      <x:c r="IS19" s="128" t="n">
        <x:f>'PROJECT TA Y TB KARINA'!$Q73/8</x:f>
        <x:v>0</x:v>
      </x:c>
      <x:c r="IT19" s="128" t="n">
        <x:f>'PROJECT TA Y TB KARINA'!$Q73/8</x:f>
        <x:v>0</x:v>
      </x:c>
      <x:c r="IU19" s="128" t="n">
        <x:f>'PROJECT TA Y TB KARINA'!$Q73/8</x:f>
        <x:v>0</x:v>
      </x:c>
      <x:c r="IV19" s="128" t="n">
        <x:f>'PROJECT TA Y TB KARINA'!$R73/8</x:f>
        <x:v>0</x:v>
      </x:c>
      <x:c r="IW19" s="128" t="n">
        <x:f>'PROJECT TA Y TB KARINA'!$R73/8</x:f>
        <x:v>0</x:v>
      </x:c>
      <x:c r="IX19" s="128" t="n">
        <x:f>'PROJECT TA Y TB KARINA'!$R73/8</x:f>
        <x:v>0</x:v>
      </x:c>
      <x:c r="IY19" s="128" t="n">
        <x:f>'PROJECT TA Y TB KARINA'!$R73/8</x:f>
        <x:v>0</x:v>
      </x:c>
      <x:c r="IZ19" s="128" t="n">
        <x:f>'PROJECT TA Y TB KARINA'!$R73/8</x:f>
        <x:v>0</x:v>
      </x:c>
      <x:c r="JA19" s="128" t="n">
        <x:f>'PROJECT TA Y TB KARINA'!$R73/8</x:f>
        <x:v>0</x:v>
      </x:c>
      <x:c r="JB19" s="128" t="n">
        <x:f>'PROJECT TA Y TB KARINA'!$R73/8</x:f>
        <x:v>0</x:v>
      </x:c>
      <x:c r="JC19" s="128" t="n">
        <x:f>'PROJECT TA Y TB KARINA'!$R73/8</x:f>
        <x:v>0</x:v>
      </x:c>
      <x:c r="JD19" s="128" t="n">
        <x:f>'PROJECT TA Y TB KARINA'!$S73/8</x:f>
        <x:v>0</x:v>
      </x:c>
      <x:c r="JE19" s="128" t="n">
        <x:f>'PROJECT TA Y TB KARINA'!$S73/8</x:f>
        <x:v>0</x:v>
      </x:c>
      <x:c r="JF19" s="128" t="n">
        <x:f>'PROJECT TA Y TB KARINA'!$S73/8</x:f>
        <x:v>0</x:v>
      </x:c>
      <x:c r="JG19" s="128" t="n">
        <x:f>'PROJECT TA Y TB KARINA'!$S73/8</x:f>
        <x:v>0</x:v>
      </x:c>
      <x:c r="JH19" s="128" t="n">
        <x:f>'PROJECT TA Y TB KARINA'!$S73/8</x:f>
        <x:v>0</x:v>
      </x:c>
      <x:c r="JI19" s="128" t="n">
        <x:f>'PROJECT TA Y TB KARINA'!$S73/8</x:f>
        <x:v>0</x:v>
      </x:c>
      <x:c r="JJ19" s="128" t="n">
        <x:f>'PROJECT TA Y TB KARINA'!$S73/8</x:f>
        <x:v>0</x:v>
      </x:c>
      <x:c r="JK19" s="128" t="n">
        <x:f>'PROJECT TA Y TB KARINA'!$S73/8</x:f>
        <x:v>0</x:v>
      </x:c>
      <x:c r="JL19" s="128" t="n">
        <x:f>'PROJECT TA Y TB KARINA'!$T73/8</x:f>
        <x:v>0</x:v>
      </x:c>
      <x:c r="JM19" s="128" t="n">
        <x:f>'PROJECT TA Y TB KARINA'!$T73/8</x:f>
        <x:v>0</x:v>
      </x:c>
      <x:c r="JN19" s="128" t="n">
        <x:f>'PROJECT TA Y TB KARINA'!$T73/8</x:f>
        <x:v>0</x:v>
      </x:c>
      <x:c r="JO19" s="128" t="n">
        <x:f>'PROJECT TA Y TB KARINA'!$T73/8</x:f>
        <x:v>0</x:v>
      </x:c>
      <x:c r="JP19" s="128" t="n">
        <x:f>'PROJECT TA Y TB KARINA'!$T73/8</x:f>
        <x:v>0</x:v>
      </x:c>
      <x:c r="JQ19" s="128" t="n">
        <x:f>'PROJECT TA Y TB KARINA'!$T73/8</x:f>
        <x:v>0</x:v>
      </x:c>
      <x:c r="JR19" s="128" t="n">
        <x:f>'PROJECT TA Y TB KARINA'!$T73/8</x:f>
        <x:v>0</x:v>
      </x:c>
      <x:c r="JS19" s="128" t="n">
        <x:f>'PROJECT TA Y TB KARINA'!$T73/8</x:f>
        <x:v>0</x:v>
      </x:c>
      <x:c r="JT19" s="128" t="e">
        <x:f>'PROJECT TA Y TB KARINA'!#REF!/8</x:f>
        <x:v>#NAME?</x:v>
      </x:c>
      <x:c r="JU19" s="128" t="e">
        <x:f>'PROJECT TA Y TB KARINA'!#REF!/8</x:f>
        <x:v>#NAME?</x:v>
      </x:c>
      <x:c r="JV19" s="128" t="e">
        <x:f>'PROJECT TA Y TB KARINA'!#REF!/8</x:f>
        <x:v>#NAME?</x:v>
      </x:c>
      <x:c r="JW19" s="128" t="e">
        <x:f>'PROJECT TA Y TB KARINA'!#REF!/8</x:f>
        <x:v>#NAME?</x:v>
      </x:c>
      <x:c r="JX19" s="128" t="e">
        <x:f>'PROJECT TA Y TB KARINA'!#REF!/8</x:f>
        <x:v>#NAME?</x:v>
      </x:c>
      <x:c r="JY19" s="128" t="e">
        <x:f>'PROJECT TA Y TB KARINA'!#REF!/8</x:f>
        <x:v>#NAME?</x:v>
      </x:c>
      <x:c r="JZ19" s="128" t="e">
        <x:f>'PROJECT TA Y TB KARINA'!#REF!/8</x:f>
        <x:v>#NAME?</x:v>
      </x:c>
      <x:c r="KA19" s="128" t="e">
        <x:f>'PROJECT TA Y TB KARINA'!#REF!/8</x:f>
        <x:v>#NAME?</x:v>
      </x:c>
    </x:row>
    <x:row r="20" ht="21">
      <x:c r="A20" s="130" t="s">
        <x:v>505</x:v>
      </x:c>
      <x:c r="B20" s="128" t="e">
        <x:f>'PROJECT TA Y TB KARINA'!$C$16/8</x:f>
        <x:v>#REF!</x:v>
      </x:c>
      <x:c r="C20" s="128" t="e">
        <x:f>'PROJECT TA Y TB KARINA'!$C$16/8</x:f>
        <x:v>#REF!</x:v>
      </x:c>
      <x:c r="D20" s="128" t="e">
        <x:f>'PROJECT TA Y TB KARINA'!$C$16/8</x:f>
        <x:v>#REF!</x:v>
      </x:c>
      <x:c r="E20" s="128" t="e">
        <x:f>'PROJECT TA Y TB KARINA'!$C$16/8</x:f>
        <x:v>#REF!</x:v>
      </x:c>
      <x:c r="F20" s="128" t="e">
        <x:f>'PROJECT TA Y TB KARINA'!$C$16/8</x:f>
        <x:v>#REF!</x:v>
      </x:c>
      <x:c r="G20" s="128" t="e">
        <x:f>'PROJECT TA Y TB KARINA'!$C$16/8</x:f>
        <x:v>#REF!</x:v>
      </x:c>
      <x:c r="H20" s="128" t="e">
        <x:f>'PROJECT TA Y TB KARINA'!$C$16/8</x:f>
        <x:v>#REF!</x:v>
      </x:c>
      <x:c r="I20" s="128" t="e">
        <x:f>'PROJECT TA Y TB KARINA'!$E16/8</x:f>
        <x:v>#REF!</x:v>
      </x:c>
      <x:c r="J20" s="128" t="e">
        <x:f>'PROJECT TA Y TB KARINA'!$E16/8</x:f>
        <x:v>#REF!</x:v>
      </x:c>
      <x:c r="K20" s="128" t="e">
        <x:f>'PROJECT TA Y TB KARINA'!$E16/8</x:f>
        <x:v>#REF!</x:v>
      </x:c>
      <x:c r="L20" s="128" t="e">
        <x:f>'PROJECT TA Y TB KARINA'!$E16/8</x:f>
        <x:v>#REF!</x:v>
      </x:c>
      <x:c r="M20" s="128" t="e">
        <x:f>'PROJECT TA Y TB KARINA'!$E16/8</x:f>
        <x:v>#REF!</x:v>
      </x:c>
      <x:c r="N20" s="128" t="e">
        <x:f>'PROJECT TA Y TB KARINA'!$E16/8</x:f>
        <x:v>#REF!</x:v>
      </x:c>
      <x:c r="O20" s="128" t="e">
        <x:f>'PROJECT TA Y TB KARINA'!$E16/8</x:f>
        <x:v>#REF!</x:v>
      </x:c>
      <x:c r="P20" s="128" t="e">
        <x:f>'PROJECT TA Y TB KARINA'!$E16/8</x:f>
        <x:v>#REF!</x:v>
      </x:c>
      <x:c r="Q20" s="128" t="e">
        <x:f>'PROJECT TA Y TB KARINA'!$F16/8</x:f>
        <x:v>#REF!</x:v>
      </x:c>
      <x:c r="R20" s="128" t="e">
        <x:f>'PROJECT TA Y TB KARINA'!$F16/8</x:f>
        <x:v>#REF!</x:v>
      </x:c>
      <x:c r="S20" s="128" t="e">
        <x:f>'PROJECT TA Y TB KARINA'!$F16/8</x:f>
        <x:v>#REF!</x:v>
      </x:c>
      <x:c r="T20" s="128" t="e">
        <x:f>'PROJECT TA Y TB KARINA'!$F16/8</x:f>
        <x:v>#REF!</x:v>
      </x:c>
      <x:c r="U20" s="128" t="e">
        <x:f>'PROJECT TA Y TB KARINA'!$F16/8</x:f>
        <x:v>#REF!</x:v>
      </x:c>
      <x:c r="V20" s="128" t="e">
        <x:f>'PROJECT TA Y TB KARINA'!$F16/8</x:f>
        <x:v>#REF!</x:v>
      </x:c>
      <x:c r="W20" s="128" t="e">
        <x:f>'PROJECT TA Y TB KARINA'!$F16/8</x:f>
        <x:v>#REF!</x:v>
      </x:c>
      <x:c r="X20" s="128" t="e">
        <x:f>'PROJECT TA Y TB KARINA'!$F16/8</x:f>
        <x:v>#REF!</x:v>
      </x:c>
      <x:c r="Y20" s="128" t="e">
        <x:f>'PROJECT TA Y TB KARINA'!$G16/8</x:f>
        <x:v>#REF!</x:v>
      </x:c>
      <x:c r="Z20" s="128" t="e">
        <x:f>'PROJECT TA Y TB KARINA'!$G16/8</x:f>
        <x:v>#REF!</x:v>
      </x:c>
      <x:c r="AA20" s="128" t="e">
        <x:f>'PROJECT TA Y TB KARINA'!$G16/8</x:f>
        <x:v>#REF!</x:v>
      </x:c>
      <x:c r="AB20" s="128" t="e">
        <x:f>'PROJECT TA Y TB KARINA'!$G16/8</x:f>
        <x:v>#REF!</x:v>
      </x:c>
      <x:c r="AC20" s="128" t="e">
        <x:f>'PROJECT TA Y TB KARINA'!$G16/8</x:f>
        <x:v>#REF!</x:v>
      </x:c>
      <x:c r="AD20" s="128" t="e">
        <x:f>'PROJECT TA Y TB KARINA'!$G16/8</x:f>
        <x:v>#REF!</x:v>
      </x:c>
      <x:c r="AE20" s="128" t="e">
        <x:f>'PROJECT TA Y TB KARINA'!$G16/8</x:f>
        <x:v>#REF!</x:v>
      </x:c>
      <x:c r="AF20" s="128" t="e">
        <x:f>'PROJECT TA Y TB KARINA'!$G16/8</x:f>
        <x:v>#REF!</x:v>
      </x:c>
      <x:c r="AG20" s="128" t="e">
        <x:f>'PROJECT TA Y TB KARINA'!$H16/8</x:f>
        <x:v>#REF!</x:v>
      </x:c>
      <x:c r="AH20" s="128" t="e">
        <x:f>'PROJECT TA Y TB KARINA'!$H16/8</x:f>
        <x:v>#REF!</x:v>
      </x:c>
      <x:c r="AI20" s="128" t="e">
        <x:f>'PROJECT TA Y TB KARINA'!$H16/8</x:f>
        <x:v>#REF!</x:v>
      </x:c>
      <x:c r="AJ20" s="128" t="e">
        <x:f>'PROJECT TA Y TB KARINA'!$H16/8</x:f>
        <x:v>#REF!</x:v>
      </x:c>
      <x:c r="AK20" s="128" t="e">
        <x:f>'PROJECT TA Y TB KARINA'!$H16/8</x:f>
        <x:v>#REF!</x:v>
      </x:c>
      <x:c r="AL20" s="128" t="e">
        <x:f>'PROJECT TA Y TB KARINA'!$H16/8</x:f>
        <x:v>#REF!</x:v>
      </x:c>
      <x:c r="AM20" s="128" t="e">
        <x:f>'PROJECT TA Y TB KARINA'!$H16/8</x:f>
        <x:v>#REF!</x:v>
      </x:c>
      <x:c r="AN20" s="128" t="e">
        <x:f>'PROJECT TA Y TB KARINA'!$H16/8</x:f>
        <x:v>#REF!</x:v>
      </x:c>
      <x:c r="AO20" s="128" t="e">
        <x:f>'PROJECT TA Y TB KARINA'!$I16/8</x:f>
        <x:v>#REF!</x:v>
      </x:c>
      <x:c r="AP20" s="128" t="e">
        <x:f>'PROJECT TA Y TB KARINA'!$I16/8</x:f>
        <x:v>#REF!</x:v>
      </x:c>
      <x:c r="AQ20" s="128" t="e">
        <x:f>'PROJECT TA Y TB KARINA'!$I16/8</x:f>
        <x:v>#REF!</x:v>
      </x:c>
      <x:c r="AR20" s="128" t="e">
        <x:f>'PROJECT TA Y TB KARINA'!$I16/8</x:f>
        <x:v>#REF!</x:v>
      </x:c>
      <x:c r="AS20" s="128" t="e">
        <x:f>'PROJECT TA Y TB KARINA'!$I16/8</x:f>
        <x:v>#REF!</x:v>
      </x:c>
      <x:c r="AT20" s="128" t="e">
        <x:f>'PROJECT TA Y TB KARINA'!$I16/8</x:f>
        <x:v>#REF!</x:v>
      </x:c>
      <x:c r="AU20" s="128" t="e">
        <x:f>'PROJECT TA Y TB KARINA'!$I16/8</x:f>
        <x:v>#REF!</x:v>
      </x:c>
      <x:c r="AV20" s="128" t="e">
        <x:f>'PROJECT TA Y TB KARINA'!$I16/8</x:f>
        <x:v>#REF!</x:v>
      </x:c>
      <x:c r="AW20" s="128" t="e">
        <x:f>'PROJECT TA Y TB KARINA'!$J16/8</x:f>
        <x:v>#REF!</x:v>
      </x:c>
      <x:c r="AX20" s="128" t="e">
        <x:f>'PROJECT TA Y TB KARINA'!$J16/8</x:f>
        <x:v>#REF!</x:v>
      </x:c>
      <x:c r="AY20" s="128" t="e">
        <x:f>'PROJECT TA Y TB KARINA'!$J16/8</x:f>
        <x:v>#REF!</x:v>
      </x:c>
      <x:c r="AZ20" s="128" t="e">
        <x:f>'PROJECT TA Y TB KARINA'!$J16/8</x:f>
        <x:v>#REF!</x:v>
      </x:c>
      <x:c r="BA20" s="128" t="e">
        <x:f>'PROJECT TA Y TB KARINA'!$J16/8</x:f>
        <x:v>#REF!</x:v>
      </x:c>
      <x:c r="BB20" s="128" t="e">
        <x:f>'PROJECT TA Y TB KARINA'!$J16/8</x:f>
        <x:v>#REF!</x:v>
      </x:c>
      <x:c r="BC20" s="128" t="e">
        <x:f>'PROJECT TA Y TB KARINA'!$J16/8</x:f>
        <x:v>#REF!</x:v>
      </x:c>
      <x:c r="BD20" s="128" t="e">
        <x:f>'PROJECT TA Y TB KARINA'!$J16/8</x:f>
        <x:v>#REF!</x:v>
      </x:c>
      <x:c r="BE20" s="128" t="e">
        <x:f>'PROJECT TA Y TB KARINA'!$K16/8</x:f>
        <x:v>#REF!</x:v>
      </x:c>
      <x:c r="BF20" s="128" t="e">
        <x:f>'PROJECT TA Y TB KARINA'!$K16/8</x:f>
        <x:v>#REF!</x:v>
      </x:c>
      <x:c r="BG20" s="128" t="e">
        <x:f>'PROJECT TA Y TB KARINA'!$K16/8</x:f>
        <x:v>#REF!</x:v>
      </x:c>
      <x:c r="BH20" s="128" t="e">
        <x:f>'PROJECT TA Y TB KARINA'!$K16/8</x:f>
        <x:v>#REF!</x:v>
      </x:c>
      <x:c r="BI20" s="128" t="e">
        <x:f>'PROJECT TA Y TB KARINA'!$K16/8</x:f>
        <x:v>#REF!</x:v>
      </x:c>
      <x:c r="BJ20" s="128" t="e">
        <x:f>'PROJECT TA Y TB KARINA'!$K16/8</x:f>
        <x:v>#REF!</x:v>
      </x:c>
      <x:c r="BK20" s="128" t="e">
        <x:f>'PROJECT TA Y TB KARINA'!$K16/8</x:f>
        <x:v>#REF!</x:v>
      </x:c>
      <x:c r="BL20" s="128" t="e">
        <x:f>'PROJECT TA Y TB KARINA'!$K16/8</x:f>
        <x:v>#REF!</x:v>
      </x:c>
      <x:c r="BM20" s="128" t="e">
        <x:f>'PROJECT TA Y TB KARINA'!$L16/8</x:f>
        <x:v>#REF!</x:v>
      </x:c>
      <x:c r="BN20" s="128" t="e">
        <x:f>'PROJECT TA Y TB KARINA'!$L16/8</x:f>
        <x:v>#REF!</x:v>
      </x:c>
      <x:c r="BO20" s="128" t="e">
        <x:f>'PROJECT TA Y TB KARINA'!$L16/8</x:f>
        <x:v>#REF!</x:v>
      </x:c>
      <x:c r="BP20" s="128" t="e">
        <x:f>'PROJECT TA Y TB KARINA'!$L16/8</x:f>
        <x:v>#REF!</x:v>
      </x:c>
      <x:c r="BQ20" s="128" t="e">
        <x:f>'PROJECT TA Y TB KARINA'!$L16/8</x:f>
        <x:v>#REF!</x:v>
      </x:c>
      <x:c r="BR20" s="128" t="e">
        <x:f>'PROJECT TA Y TB KARINA'!$L16/8</x:f>
        <x:v>#REF!</x:v>
      </x:c>
      <x:c r="BS20" s="128" t="e">
        <x:f>'PROJECT TA Y TB KARINA'!$L16/8</x:f>
        <x:v>#REF!</x:v>
      </x:c>
      <x:c r="BT20" s="128" t="e">
        <x:f>'PROJECT TA Y TB KARINA'!$L16/8</x:f>
        <x:v>#REF!</x:v>
      </x:c>
      <x:c r="BU20" s="128" t="e">
        <x:f>'PROJECT TA Y TB KARINA'!$M16/8</x:f>
        <x:v>#REF!</x:v>
      </x:c>
      <x:c r="BV20" s="128" t="e">
        <x:f>'PROJECT TA Y TB KARINA'!$M16/8</x:f>
        <x:v>#REF!</x:v>
      </x:c>
      <x:c r="BW20" s="128" t="e">
        <x:f>'PROJECT TA Y TB KARINA'!$M16/8</x:f>
        <x:v>#REF!</x:v>
      </x:c>
      <x:c r="BX20" s="128" t="e">
        <x:f>'PROJECT TA Y TB KARINA'!$M16/8</x:f>
        <x:v>#REF!</x:v>
      </x:c>
      <x:c r="BY20" s="128" t="e">
        <x:f>'PROJECT TA Y TB KARINA'!$M16/8</x:f>
        <x:v>#REF!</x:v>
      </x:c>
      <x:c r="BZ20" s="128" t="e">
        <x:f>'PROJECT TA Y TB KARINA'!$M16/8</x:f>
        <x:v>#REF!</x:v>
      </x:c>
      <x:c r="CA20" s="128" t="e">
        <x:f>'PROJECT TA Y TB KARINA'!$M16/8</x:f>
        <x:v>#REF!</x:v>
      </x:c>
      <x:c r="CB20" s="128" t="e">
        <x:f>'PROJECT TA Y TB KARINA'!$M16/8</x:f>
        <x:v>#REF!</x:v>
      </x:c>
      <x:c r="CC20" s="128" t="e">
        <x:f>'PROJECT TA Y TB KARINA'!$N16/8</x:f>
        <x:v>#REF!</x:v>
      </x:c>
      <x:c r="CD20" s="128" t="e">
        <x:f>'PROJECT TA Y TB KARINA'!$N16/8</x:f>
        <x:v>#REF!</x:v>
      </x:c>
      <x:c r="CE20" s="128" t="e">
        <x:f>'PROJECT TA Y TB KARINA'!$N16/8</x:f>
        <x:v>#REF!</x:v>
      </x:c>
      <x:c r="CF20" s="128" t="e">
        <x:f>'PROJECT TA Y TB KARINA'!$N16/8</x:f>
        <x:v>#REF!</x:v>
      </x:c>
      <x:c r="CG20" s="128" t="e">
        <x:f>'PROJECT TA Y TB KARINA'!$N16/8</x:f>
        <x:v>#REF!</x:v>
      </x:c>
      <x:c r="CH20" s="128" t="e">
        <x:f>'PROJECT TA Y TB KARINA'!$N16/8</x:f>
        <x:v>#REF!</x:v>
      </x:c>
      <x:c r="CI20" s="128" t="e">
        <x:f>'PROJECT TA Y TB KARINA'!$N16/8</x:f>
        <x:v>#REF!</x:v>
      </x:c>
      <x:c r="CJ20" s="128" t="e">
        <x:f>'PROJECT TA Y TB KARINA'!$N16/8</x:f>
        <x:v>#REF!</x:v>
      </x:c>
      <x:c r="CK20" s="128" t="e">
        <x:f>'PROJECT TA Y TB KARINA'!$O16/8</x:f>
        <x:v>#REF!</x:v>
      </x:c>
      <x:c r="CL20" s="128" t="e">
        <x:f>'PROJECT TA Y TB KARINA'!$O16/8</x:f>
        <x:v>#REF!</x:v>
      </x:c>
      <x:c r="CM20" s="128" t="e">
        <x:f>'PROJECT TA Y TB KARINA'!$O16/8</x:f>
        <x:v>#REF!</x:v>
      </x:c>
      <x:c r="CN20" s="128" t="e">
        <x:f>'PROJECT TA Y TB KARINA'!$O16/8</x:f>
        <x:v>#REF!</x:v>
      </x:c>
      <x:c r="CO20" s="128" t="e">
        <x:f>'PROJECT TA Y TB KARINA'!$O16/8</x:f>
        <x:v>#REF!</x:v>
      </x:c>
      <x:c r="CP20" s="128" t="e">
        <x:f>'PROJECT TA Y TB KARINA'!$O16/8</x:f>
        <x:v>#REF!</x:v>
      </x:c>
      <x:c r="CQ20" s="128" t="e">
        <x:f>'PROJECT TA Y TB KARINA'!$O16/8</x:f>
        <x:v>#REF!</x:v>
      </x:c>
      <x:c r="CR20" s="128" t="e">
        <x:f>'PROJECT TA Y TB KARINA'!$O16/8</x:f>
        <x:v>#REF!</x:v>
      </x:c>
      <x:c r="CS20" s="128" t="e">
        <x:f>'PROJECT TA Y TB KARINA'!$P16/8</x:f>
        <x:v>#REF!</x:v>
      </x:c>
      <x:c r="CT20" s="128" t="e">
        <x:f>'PROJECT TA Y TB KARINA'!$P16/8</x:f>
        <x:v>#REF!</x:v>
      </x:c>
      <x:c r="CU20" s="128" t="e">
        <x:f>'PROJECT TA Y TB KARINA'!$P16/8</x:f>
        <x:v>#REF!</x:v>
      </x:c>
      <x:c r="CV20" s="128" t="e">
        <x:f>'PROJECT TA Y TB KARINA'!$P16/8</x:f>
        <x:v>#REF!</x:v>
      </x:c>
      <x:c r="CW20" s="128" t="e">
        <x:f>'PROJECT TA Y TB KARINA'!$P16/8</x:f>
        <x:v>#REF!</x:v>
      </x:c>
      <x:c r="CX20" s="128" t="e">
        <x:f>'PROJECT TA Y TB KARINA'!$P16/8</x:f>
        <x:v>#REF!</x:v>
      </x:c>
      <x:c r="CY20" s="128" t="e">
        <x:f>'PROJECT TA Y TB KARINA'!$P16/8</x:f>
        <x:v>#REF!</x:v>
      </x:c>
      <x:c r="CZ20" s="128" t="e">
        <x:f>'PROJECT TA Y TB KARINA'!$P16/8</x:f>
        <x:v>#REF!</x:v>
      </x:c>
      <x:c r="DA20" s="128" t="e">
        <x:f>'PROJECT TA Y TB KARINA'!$Q16/8</x:f>
        <x:v>#REF!</x:v>
      </x:c>
      <x:c r="DB20" s="128" t="e">
        <x:f>'PROJECT TA Y TB KARINA'!$Q16/8</x:f>
        <x:v>#REF!</x:v>
      </x:c>
      <x:c r="DC20" s="128" t="e">
        <x:f>'PROJECT TA Y TB KARINA'!$Q16/8</x:f>
        <x:v>#REF!</x:v>
      </x:c>
      <x:c r="DD20" s="128" t="e">
        <x:f>'PROJECT TA Y TB KARINA'!$Q16/8</x:f>
        <x:v>#REF!</x:v>
      </x:c>
      <x:c r="DE20" s="128" t="e">
        <x:f>'PROJECT TA Y TB KARINA'!$Q16/8</x:f>
        <x:v>#REF!</x:v>
      </x:c>
      <x:c r="DF20" s="128" t="e">
        <x:f>'PROJECT TA Y TB KARINA'!$Q16/8</x:f>
        <x:v>#REF!</x:v>
      </x:c>
      <x:c r="DG20" s="128" t="e">
        <x:f>'PROJECT TA Y TB KARINA'!$Q16/8</x:f>
        <x:v>#REF!</x:v>
      </x:c>
      <x:c r="DH20" s="128" t="e">
        <x:f>'PROJECT TA Y TB KARINA'!$Q16/8</x:f>
        <x:v>#REF!</x:v>
      </x:c>
      <x:c r="DI20" s="128" t="e">
        <x:f>'PROJECT TA Y TB KARINA'!$R16/8</x:f>
        <x:v>#REF!</x:v>
      </x:c>
      <x:c r="DJ20" s="128" t="e">
        <x:f>'PROJECT TA Y TB KARINA'!$R16/8</x:f>
        <x:v>#REF!</x:v>
      </x:c>
      <x:c r="DK20" s="128" t="e">
        <x:f>'PROJECT TA Y TB KARINA'!$R16/8</x:f>
        <x:v>#REF!</x:v>
      </x:c>
      <x:c r="DL20" s="128" t="e">
        <x:f>'PROJECT TA Y TB KARINA'!$R16/8</x:f>
        <x:v>#REF!</x:v>
      </x:c>
      <x:c r="DM20" s="128" t="e">
        <x:f>'PROJECT TA Y TB KARINA'!$R16/8</x:f>
        <x:v>#REF!</x:v>
      </x:c>
      <x:c r="DN20" s="128" t="e">
        <x:f>'PROJECT TA Y TB KARINA'!$R16/8</x:f>
        <x:v>#REF!</x:v>
      </x:c>
      <x:c r="DO20" s="128" t="e">
        <x:f>'PROJECT TA Y TB KARINA'!$R16/8</x:f>
        <x:v>#REF!</x:v>
      </x:c>
      <x:c r="DP20" s="128" t="e">
        <x:f>'PROJECT TA Y TB KARINA'!$R16/8</x:f>
        <x:v>#REF!</x:v>
      </x:c>
      <x:c r="DQ20" s="128" t="e">
        <x:f>'PROJECT TA Y TB KARINA'!$S16/8</x:f>
        <x:v>#REF!</x:v>
      </x:c>
      <x:c r="DR20" s="128" t="e">
        <x:f>'PROJECT TA Y TB KARINA'!$S16/8</x:f>
        <x:v>#REF!</x:v>
      </x:c>
      <x:c r="DS20" s="128" t="e">
        <x:f>'PROJECT TA Y TB KARINA'!$S16/8</x:f>
        <x:v>#REF!</x:v>
      </x:c>
      <x:c r="DT20" s="128" t="e">
        <x:f>'PROJECT TA Y TB KARINA'!$S16/8</x:f>
        <x:v>#REF!</x:v>
      </x:c>
      <x:c r="DU20" s="128" t="e">
        <x:f>'PROJECT TA Y TB KARINA'!$S16/8</x:f>
        <x:v>#REF!</x:v>
      </x:c>
      <x:c r="DV20" s="128" t="e">
        <x:f>'PROJECT TA Y TB KARINA'!$S16/8</x:f>
        <x:v>#REF!</x:v>
      </x:c>
      <x:c r="DW20" s="128" t="e">
        <x:f>'PROJECT TA Y TB KARINA'!$S16/8</x:f>
        <x:v>#REF!</x:v>
      </x:c>
      <x:c r="DX20" s="128" t="e">
        <x:f>'PROJECT TA Y TB KARINA'!$S16/8</x:f>
        <x:v>#REF!</x:v>
      </x:c>
      <x:c r="DY20" s="128" t="e">
        <x:f>'PROJECT TA Y TB KARINA'!$T16/8</x:f>
        <x:v>#REF!</x:v>
      </x:c>
      <x:c r="DZ20" s="128" t="e">
        <x:f>'PROJECT TA Y TB KARINA'!$T16/8</x:f>
        <x:v>#REF!</x:v>
      </x:c>
      <x:c r="EA20" s="128" t="e">
        <x:f>'PROJECT TA Y TB KARINA'!$T16/8</x:f>
        <x:v>#REF!</x:v>
      </x:c>
      <x:c r="EB20" s="128" t="e">
        <x:f>'PROJECT TA Y TB KARINA'!$T16/8</x:f>
        <x:v>#REF!</x:v>
      </x:c>
      <x:c r="EC20" s="128" t="e">
        <x:f>'PROJECT TA Y TB KARINA'!$T16/8</x:f>
        <x:v>#REF!</x:v>
      </x:c>
      <x:c r="ED20" s="128" t="e">
        <x:f>'PROJECT TA Y TB KARINA'!$T16/8</x:f>
        <x:v>#REF!</x:v>
      </x:c>
      <x:c r="EE20" s="128" t="e">
        <x:f>'PROJECT TA Y TB KARINA'!$T16/8</x:f>
        <x:v>#REF!</x:v>
      </x:c>
      <x:c r="EF20" s="128" t="e">
        <x:f>'PROJECT TA Y TB KARINA'!$T16/8</x:f>
        <x:v>#REF!</x:v>
      </x:c>
      <x:c r="EG20" s="128" t="e">
        <x:f>'PROJECT TA Y TB KARINA'!#REF!/8</x:f>
        <x:v>#NAME?</x:v>
      </x:c>
      <x:c r="EH20" s="128" t="e">
        <x:f>'PROJECT TA Y TB KARINA'!#REF!/8</x:f>
        <x:v>#NAME?</x:v>
      </x:c>
      <x:c r="EI20" s="128" t="e">
        <x:f>'PROJECT TA Y TB KARINA'!#REF!/8</x:f>
        <x:v>#NAME?</x:v>
      </x:c>
      <x:c r="EJ20" s="128" t="e">
        <x:f>'PROJECT TA Y TB KARINA'!#REF!/8</x:f>
        <x:v>#NAME?</x:v>
      </x:c>
      <x:c r="EK20" s="128" t="e">
        <x:f>'PROJECT TA Y TB KARINA'!#REF!/8</x:f>
        <x:v>#NAME?</x:v>
      </x:c>
      <x:c r="EL20" s="128" t="e">
        <x:f>'PROJECT TA Y TB KARINA'!#REF!/8</x:f>
        <x:v>#NAME?</x:v>
      </x:c>
      <x:c r="EM20" s="128" t="e">
        <x:f>'PROJECT TA Y TB KARINA'!#REF!/8</x:f>
        <x:v>#NAME?</x:v>
      </x:c>
      <x:c r="EN20" s="128" t="e">
        <x:f>'PROJECT TA Y TB KARINA'!#REF!/8</x:f>
        <x:v>#NAME?</x:v>
      </x:c>
      <x:c r="EO20" s="128" t="n">
        <x:f>'PROJECT TA Y TB KARINA'!$C74/8</x:f>
        <x:v>0</x:v>
      </x:c>
      <x:c r="EP20" s="128" t="n">
        <x:f>'PROJECT TA Y TB KARINA'!$C74/8</x:f>
        <x:v>0</x:v>
      </x:c>
      <x:c r="EQ20" s="128" t="n">
        <x:f>'PROJECT TA Y TB KARINA'!$C74/8</x:f>
        <x:v>0</x:v>
      </x:c>
      <x:c r="ER20" s="128" t="n">
        <x:f>'PROJECT TA Y TB KARINA'!$C74/8</x:f>
        <x:v>0</x:v>
      </x:c>
      <x:c r="ES20" s="128" t="n">
        <x:f>'PROJECT TA Y TB KARINA'!$C74/8</x:f>
        <x:v>0</x:v>
      </x:c>
      <x:c r="ET20" s="128" t="n">
        <x:f>'PROJECT TA Y TB KARINA'!$C74/8</x:f>
        <x:v>0</x:v>
      </x:c>
      <x:c r="EU20" s="128" t="n">
        <x:f>'PROJECT TA Y TB KARINA'!$C74/8</x:f>
        <x:v>0</x:v>
      </x:c>
      <x:c r="EV20" s="128" t="n">
        <x:f>'PROJECT TA Y TB KARINA'!$E74/8</x:f>
        <x:v>0</x:v>
      </x:c>
      <x:c r="EW20" s="128" t="n">
        <x:f>'PROJECT TA Y TB KARINA'!$E74/8</x:f>
        <x:v>0</x:v>
      </x:c>
      <x:c r="EX20" s="128" t="n">
        <x:f>'PROJECT TA Y TB KARINA'!$E74/8</x:f>
        <x:v>0</x:v>
      </x:c>
      <x:c r="EY20" s="128" t="n">
        <x:f>'PROJECT TA Y TB KARINA'!$E74/8</x:f>
        <x:v>0</x:v>
      </x:c>
      <x:c r="EZ20" s="128" t="n">
        <x:f>'PROJECT TA Y TB KARINA'!$E74/8</x:f>
        <x:v>0</x:v>
      </x:c>
      <x:c r="FA20" s="128" t="n">
        <x:f>'PROJECT TA Y TB KARINA'!$E74/8</x:f>
        <x:v>0</x:v>
      </x:c>
      <x:c r="FB20" s="128" t="n">
        <x:f>'PROJECT TA Y TB KARINA'!$E74/8</x:f>
        <x:v>0</x:v>
      </x:c>
      <x:c r="FC20" s="128" t="n">
        <x:f>'PROJECT TA Y TB KARINA'!$E74/8</x:f>
        <x:v>0</x:v>
      </x:c>
      <x:c r="FD20" s="128" t="n">
        <x:f>'PROJECT TA Y TB KARINA'!$F74/8</x:f>
        <x:v>0</x:v>
      </x:c>
      <x:c r="FE20" s="128" t="n">
        <x:f>'PROJECT TA Y TB KARINA'!$F74/8</x:f>
        <x:v>0</x:v>
      </x:c>
      <x:c r="FF20" s="128" t="n">
        <x:f>'PROJECT TA Y TB KARINA'!$F74/8</x:f>
        <x:v>0</x:v>
      </x:c>
      <x:c r="FG20" s="128" t="n">
        <x:f>'PROJECT TA Y TB KARINA'!$F74/8</x:f>
        <x:v>0</x:v>
      </x:c>
      <x:c r="FH20" s="128" t="n">
        <x:f>'PROJECT TA Y TB KARINA'!$F74/8</x:f>
        <x:v>0</x:v>
      </x:c>
      <x:c r="FI20" s="128" t="n">
        <x:f>'PROJECT TA Y TB KARINA'!$F74/8</x:f>
        <x:v>0</x:v>
      </x:c>
      <x:c r="FJ20" s="128" t="n">
        <x:f>'PROJECT TA Y TB KARINA'!$F74/8</x:f>
        <x:v>0</x:v>
      </x:c>
      <x:c r="FK20" s="128" t="n">
        <x:f>'PROJECT TA Y TB KARINA'!$F74/8</x:f>
        <x:v>0</x:v>
      </x:c>
      <x:c r="FL20" s="128" t="n">
        <x:f>'PROJECT TA Y TB KARINA'!$G74/8</x:f>
        <x:v>0</x:v>
      </x:c>
      <x:c r="FM20" s="128" t="n">
        <x:f>'PROJECT TA Y TB KARINA'!$G74/8</x:f>
        <x:v>0</x:v>
      </x:c>
      <x:c r="FN20" s="128" t="n">
        <x:f>'PROJECT TA Y TB KARINA'!$G74/8</x:f>
        <x:v>0</x:v>
      </x:c>
      <x:c r="FO20" s="128" t="n">
        <x:f>'PROJECT TA Y TB KARINA'!$G74/8</x:f>
        <x:v>0</x:v>
      </x:c>
      <x:c r="FP20" s="128" t="n">
        <x:f>'PROJECT TA Y TB KARINA'!$G74/8</x:f>
        <x:v>0</x:v>
      </x:c>
      <x:c r="FQ20" s="128" t="n">
        <x:f>'PROJECT TA Y TB KARINA'!$G74/8</x:f>
        <x:v>0</x:v>
      </x:c>
      <x:c r="FR20" s="128" t="n">
        <x:f>'PROJECT TA Y TB KARINA'!$G74/8</x:f>
        <x:v>0</x:v>
      </x:c>
      <x:c r="FS20" s="128" t="n">
        <x:f>'PROJECT TA Y TB KARINA'!$G74/8</x:f>
        <x:v>0</x:v>
      </x:c>
      <x:c r="FT20" s="128" t="n">
        <x:f>'PROJECT TA Y TB KARINA'!$H74/8</x:f>
        <x:v>0</x:v>
      </x:c>
      <x:c r="FU20" s="128" t="n">
        <x:f>'PROJECT TA Y TB KARINA'!$H74/8</x:f>
        <x:v>0</x:v>
      </x:c>
      <x:c r="FV20" s="128" t="n">
        <x:f>'PROJECT TA Y TB KARINA'!$H74/8</x:f>
        <x:v>0</x:v>
      </x:c>
      <x:c r="FW20" s="128" t="n">
        <x:f>'PROJECT TA Y TB KARINA'!$H74/8</x:f>
        <x:v>0</x:v>
      </x:c>
      <x:c r="FX20" s="128" t="n">
        <x:f>'PROJECT TA Y TB KARINA'!$H74/8</x:f>
        <x:v>0</x:v>
      </x:c>
      <x:c r="FY20" s="128" t="n">
        <x:f>'PROJECT TA Y TB KARINA'!$H74/8</x:f>
        <x:v>0</x:v>
      </x:c>
      <x:c r="FZ20" s="128" t="n">
        <x:f>'PROJECT TA Y TB KARINA'!$H74/8</x:f>
        <x:v>0</x:v>
      </x:c>
      <x:c r="GA20" s="128" t="n">
        <x:f>'PROJECT TA Y TB KARINA'!$H74/8</x:f>
        <x:v>0</x:v>
      </x:c>
      <x:c r="GB20" s="128" t="n">
        <x:f>'PROJECT TA Y TB KARINA'!$I74/8</x:f>
        <x:v>0</x:v>
      </x:c>
      <x:c r="GC20" s="128" t="n">
        <x:f>'PROJECT TA Y TB KARINA'!$I74/8</x:f>
        <x:v>0</x:v>
      </x:c>
      <x:c r="GD20" s="128" t="n">
        <x:f>'PROJECT TA Y TB KARINA'!$I74/8</x:f>
        <x:v>0</x:v>
      </x:c>
      <x:c r="GE20" s="128" t="n">
        <x:f>'PROJECT TA Y TB KARINA'!$I74/8</x:f>
        <x:v>0</x:v>
      </x:c>
      <x:c r="GF20" s="128" t="n">
        <x:f>'PROJECT TA Y TB KARINA'!$I74/8</x:f>
        <x:v>0</x:v>
      </x:c>
      <x:c r="GG20" s="128" t="n">
        <x:f>'PROJECT TA Y TB KARINA'!$I74/8</x:f>
        <x:v>0</x:v>
      </x:c>
      <x:c r="GH20" s="128" t="n">
        <x:f>'PROJECT TA Y TB KARINA'!$I74/8</x:f>
        <x:v>0</x:v>
      </x:c>
      <x:c r="GI20" s="128" t="n">
        <x:f>'PROJECT TA Y TB KARINA'!$I74/8</x:f>
        <x:v>0</x:v>
      </x:c>
      <x:c r="GJ20" s="128" t="n">
        <x:f>'PROJECT TA Y TB KARINA'!$J74/8</x:f>
        <x:v>0</x:v>
      </x:c>
      <x:c r="GK20" s="128" t="n">
        <x:f>'PROJECT TA Y TB KARINA'!$J74/8</x:f>
        <x:v>0</x:v>
      </x:c>
      <x:c r="GL20" s="128" t="n">
        <x:f>'PROJECT TA Y TB KARINA'!$J74/8</x:f>
        <x:v>0</x:v>
      </x:c>
      <x:c r="GM20" s="128" t="n">
        <x:f>'PROJECT TA Y TB KARINA'!$J74/8</x:f>
        <x:v>0</x:v>
      </x:c>
      <x:c r="GN20" s="128" t="n">
        <x:f>'PROJECT TA Y TB KARINA'!$J74/8</x:f>
        <x:v>0</x:v>
      </x:c>
      <x:c r="GO20" s="128" t="n">
        <x:f>'PROJECT TA Y TB KARINA'!$J74/8</x:f>
        <x:v>0</x:v>
      </x:c>
      <x:c r="GP20" s="128" t="n">
        <x:f>'PROJECT TA Y TB KARINA'!$J74/8</x:f>
        <x:v>0</x:v>
      </x:c>
      <x:c r="GQ20" s="128" t="n">
        <x:f>'PROJECT TA Y TB KARINA'!$J74/8</x:f>
        <x:v>0</x:v>
      </x:c>
      <x:c r="GR20" s="128" t="n">
        <x:f>'PROJECT TA Y TB KARINA'!$K74/8</x:f>
        <x:v>0</x:v>
      </x:c>
      <x:c r="GS20" s="128" t="n">
        <x:f>'PROJECT TA Y TB KARINA'!$K74/8</x:f>
        <x:v>0</x:v>
      </x:c>
      <x:c r="GT20" s="128" t="n">
        <x:f>'PROJECT TA Y TB KARINA'!$K74/8</x:f>
        <x:v>0</x:v>
      </x:c>
      <x:c r="GU20" s="128" t="n">
        <x:f>'PROJECT TA Y TB KARINA'!$K74/8</x:f>
        <x:v>0</x:v>
      </x:c>
      <x:c r="GV20" s="128" t="n">
        <x:f>'PROJECT TA Y TB KARINA'!$K74/8</x:f>
        <x:v>0</x:v>
      </x:c>
      <x:c r="GW20" s="128" t="n">
        <x:f>'PROJECT TA Y TB KARINA'!$K74/8</x:f>
        <x:v>0</x:v>
      </x:c>
      <x:c r="GX20" s="128" t="n">
        <x:f>'PROJECT TA Y TB KARINA'!$K74/8</x:f>
        <x:v>0</x:v>
      </x:c>
      <x:c r="GY20" s="128" t="n">
        <x:f>'PROJECT TA Y TB KARINA'!$K74/8</x:f>
        <x:v>0</x:v>
      </x:c>
      <x:c r="GZ20" s="128" t="n">
        <x:f>'PROJECT TA Y TB KARINA'!$L74/8</x:f>
        <x:v>0</x:v>
      </x:c>
      <x:c r="HA20" s="128" t="n">
        <x:f>'PROJECT TA Y TB KARINA'!$L74/8</x:f>
        <x:v>0</x:v>
      </x:c>
      <x:c r="HB20" s="128" t="n">
        <x:f>'PROJECT TA Y TB KARINA'!$L74/8</x:f>
        <x:v>0</x:v>
      </x:c>
      <x:c r="HC20" s="128" t="n">
        <x:f>'PROJECT TA Y TB KARINA'!$L74/8</x:f>
        <x:v>0</x:v>
      </x:c>
      <x:c r="HD20" s="128" t="n">
        <x:f>'PROJECT TA Y TB KARINA'!$L74/8</x:f>
        <x:v>0</x:v>
      </x:c>
      <x:c r="HE20" s="128" t="n">
        <x:f>'PROJECT TA Y TB KARINA'!$L74/8</x:f>
        <x:v>0</x:v>
      </x:c>
      <x:c r="HF20" s="128" t="n">
        <x:f>'PROJECT TA Y TB KARINA'!$L74/8</x:f>
        <x:v>0</x:v>
      </x:c>
      <x:c r="HG20" s="128" t="n">
        <x:f>'PROJECT TA Y TB KARINA'!$L74/8</x:f>
        <x:v>0</x:v>
      </x:c>
      <x:c r="HH20" s="128" t="n">
        <x:f>'PROJECT TA Y TB KARINA'!$M74/8</x:f>
        <x:v>0</x:v>
      </x:c>
      <x:c r="HI20" s="128" t="n">
        <x:f>'PROJECT TA Y TB KARINA'!$M74/8</x:f>
        <x:v>0</x:v>
      </x:c>
      <x:c r="HJ20" s="128" t="n">
        <x:f>'PROJECT TA Y TB KARINA'!$M74/8</x:f>
        <x:v>0</x:v>
      </x:c>
      <x:c r="HK20" s="128" t="n">
        <x:f>'PROJECT TA Y TB KARINA'!$M74/8</x:f>
        <x:v>0</x:v>
      </x:c>
      <x:c r="HL20" s="128" t="n">
        <x:f>'PROJECT TA Y TB KARINA'!$M74/8</x:f>
        <x:v>0</x:v>
      </x:c>
      <x:c r="HM20" s="128" t="n">
        <x:f>'PROJECT TA Y TB KARINA'!$M74/8</x:f>
        <x:v>0</x:v>
      </x:c>
      <x:c r="HN20" s="128" t="n">
        <x:f>'PROJECT TA Y TB KARINA'!$M74/8</x:f>
        <x:v>0</x:v>
      </x:c>
      <x:c r="HO20" s="128" t="n">
        <x:f>'PROJECT TA Y TB KARINA'!$M74/8</x:f>
        <x:v>0</x:v>
      </x:c>
      <x:c r="HP20" s="128" t="n">
        <x:f>'PROJECT TA Y TB KARINA'!$N74/8</x:f>
        <x:v>0</x:v>
      </x:c>
      <x:c r="HQ20" s="128" t="n">
        <x:f>'PROJECT TA Y TB KARINA'!$N74/8</x:f>
        <x:v>0</x:v>
      </x:c>
      <x:c r="HR20" s="128" t="n">
        <x:f>'PROJECT TA Y TB KARINA'!$N74/8</x:f>
        <x:v>0</x:v>
      </x:c>
      <x:c r="HS20" s="128" t="n">
        <x:f>'PROJECT TA Y TB KARINA'!$N74/8</x:f>
        <x:v>0</x:v>
      </x:c>
      <x:c r="HT20" s="128" t="n">
        <x:f>'PROJECT TA Y TB KARINA'!$N74/8</x:f>
        <x:v>0</x:v>
      </x:c>
      <x:c r="HU20" s="128" t="n">
        <x:f>'PROJECT TA Y TB KARINA'!$N74/8</x:f>
        <x:v>0</x:v>
      </x:c>
      <x:c r="HV20" s="128" t="n">
        <x:f>'PROJECT TA Y TB KARINA'!$N74/8</x:f>
        <x:v>0</x:v>
      </x:c>
      <x:c r="HW20" s="128" t="n">
        <x:f>'PROJECT TA Y TB KARINA'!$N74/8</x:f>
        <x:v>0</x:v>
      </x:c>
      <x:c r="HX20" s="128" t="n">
        <x:f>'PROJECT TA Y TB KARINA'!$O74/8</x:f>
        <x:v>0</x:v>
      </x:c>
      <x:c r="HY20" s="128" t="n">
        <x:f>'PROJECT TA Y TB KARINA'!$O74/8</x:f>
        <x:v>0</x:v>
      </x:c>
      <x:c r="HZ20" s="128" t="n">
        <x:f>'PROJECT TA Y TB KARINA'!$O74/8</x:f>
        <x:v>0</x:v>
      </x:c>
      <x:c r="IA20" s="128" t="n">
        <x:f>'PROJECT TA Y TB KARINA'!$O74/8</x:f>
        <x:v>0</x:v>
      </x:c>
      <x:c r="IB20" s="128" t="n">
        <x:f>'PROJECT TA Y TB KARINA'!$O74/8</x:f>
        <x:v>0</x:v>
      </x:c>
      <x:c r="IC20" s="128" t="n">
        <x:f>'PROJECT TA Y TB KARINA'!$O74/8</x:f>
        <x:v>0</x:v>
      </x:c>
      <x:c r="ID20" s="128" t="n">
        <x:f>'PROJECT TA Y TB KARINA'!$O74/8</x:f>
        <x:v>0</x:v>
      </x:c>
      <x:c r="IE20" s="128" t="n">
        <x:f>'PROJECT TA Y TB KARINA'!$O74/8</x:f>
        <x:v>0</x:v>
      </x:c>
      <x:c r="IF20" s="128" t="n">
        <x:f>'PROJECT TA Y TB KARINA'!$P74/8</x:f>
        <x:v>0</x:v>
      </x:c>
      <x:c r="IG20" s="128" t="n">
        <x:f>'PROJECT TA Y TB KARINA'!$P74/8</x:f>
        <x:v>0</x:v>
      </x:c>
      <x:c r="IH20" s="128" t="n">
        <x:f>'PROJECT TA Y TB KARINA'!$P74/8</x:f>
        <x:v>0</x:v>
      </x:c>
      <x:c r="II20" s="128" t="n">
        <x:f>'PROJECT TA Y TB KARINA'!$P74/8</x:f>
        <x:v>0</x:v>
      </x:c>
      <x:c r="IJ20" s="128" t="n">
        <x:f>'PROJECT TA Y TB KARINA'!$P74/8</x:f>
        <x:v>0</x:v>
      </x:c>
      <x:c r="IK20" s="128" t="n">
        <x:f>'PROJECT TA Y TB KARINA'!$P74/8</x:f>
        <x:v>0</x:v>
      </x:c>
      <x:c r="IL20" s="128" t="n">
        <x:f>'PROJECT TA Y TB KARINA'!$P74/8</x:f>
        <x:v>0</x:v>
      </x:c>
      <x:c r="IM20" s="128" t="n">
        <x:f>'PROJECT TA Y TB KARINA'!$P74/8</x:f>
        <x:v>0</x:v>
      </x:c>
      <x:c r="IN20" s="128" t="n">
        <x:f>'PROJECT TA Y TB KARINA'!$Q74/8</x:f>
        <x:v>0</x:v>
      </x:c>
      <x:c r="IO20" s="128" t="n">
        <x:f>'PROJECT TA Y TB KARINA'!$Q74/8</x:f>
        <x:v>0</x:v>
      </x:c>
      <x:c r="IP20" s="128" t="n">
        <x:f>'PROJECT TA Y TB KARINA'!$Q74/8</x:f>
        <x:v>0</x:v>
      </x:c>
      <x:c r="IQ20" s="128" t="n">
        <x:f>'PROJECT TA Y TB KARINA'!$Q74/8</x:f>
        <x:v>0</x:v>
      </x:c>
      <x:c r="IR20" s="128" t="n">
        <x:f>'PROJECT TA Y TB KARINA'!$Q74/8</x:f>
        <x:v>0</x:v>
      </x:c>
      <x:c r="IS20" s="128" t="n">
        <x:f>'PROJECT TA Y TB KARINA'!$Q74/8</x:f>
        <x:v>0</x:v>
      </x:c>
      <x:c r="IT20" s="128" t="n">
        <x:f>'PROJECT TA Y TB KARINA'!$Q74/8</x:f>
        <x:v>0</x:v>
      </x:c>
      <x:c r="IU20" s="128" t="n">
        <x:f>'PROJECT TA Y TB KARINA'!$Q74/8</x:f>
        <x:v>0</x:v>
      </x:c>
      <x:c r="IV20" s="128" t="n">
        <x:f>'PROJECT TA Y TB KARINA'!$R74/8</x:f>
        <x:v>0</x:v>
      </x:c>
      <x:c r="IW20" s="128" t="n">
        <x:f>'PROJECT TA Y TB KARINA'!$R74/8</x:f>
        <x:v>0</x:v>
      </x:c>
      <x:c r="IX20" s="128" t="n">
        <x:f>'PROJECT TA Y TB KARINA'!$R74/8</x:f>
        <x:v>0</x:v>
      </x:c>
      <x:c r="IY20" s="128" t="n">
        <x:f>'PROJECT TA Y TB KARINA'!$R74/8</x:f>
        <x:v>0</x:v>
      </x:c>
      <x:c r="IZ20" s="128" t="n">
        <x:f>'PROJECT TA Y TB KARINA'!$R74/8</x:f>
        <x:v>0</x:v>
      </x:c>
      <x:c r="JA20" s="128" t="n">
        <x:f>'PROJECT TA Y TB KARINA'!$R74/8</x:f>
        <x:v>0</x:v>
      </x:c>
      <x:c r="JB20" s="128" t="n">
        <x:f>'PROJECT TA Y TB KARINA'!$R74/8</x:f>
        <x:v>0</x:v>
      </x:c>
      <x:c r="JC20" s="128" t="n">
        <x:f>'PROJECT TA Y TB KARINA'!$R74/8</x:f>
        <x:v>0</x:v>
      </x:c>
      <x:c r="JD20" s="128" t="n">
        <x:f>'PROJECT TA Y TB KARINA'!$S74/8</x:f>
        <x:v>0</x:v>
      </x:c>
      <x:c r="JE20" s="128" t="n">
        <x:f>'PROJECT TA Y TB KARINA'!$S74/8</x:f>
        <x:v>0</x:v>
      </x:c>
      <x:c r="JF20" s="128" t="n">
        <x:f>'PROJECT TA Y TB KARINA'!$S74/8</x:f>
        <x:v>0</x:v>
      </x:c>
      <x:c r="JG20" s="128" t="n">
        <x:f>'PROJECT TA Y TB KARINA'!$S74/8</x:f>
        <x:v>0</x:v>
      </x:c>
      <x:c r="JH20" s="128" t="n">
        <x:f>'PROJECT TA Y TB KARINA'!$S74/8</x:f>
        <x:v>0</x:v>
      </x:c>
      <x:c r="JI20" s="128" t="n">
        <x:f>'PROJECT TA Y TB KARINA'!$S74/8</x:f>
        <x:v>0</x:v>
      </x:c>
      <x:c r="JJ20" s="128" t="n">
        <x:f>'PROJECT TA Y TB KARINA'!$S74/8</x:f>
        <x:v>0</x:v>
      </x:c>
      <x:c r="JK20" s="128" t="n">
        <x:f>'PROJECT TA Y TB KARINA'!$S74/8</x:f>
        <x:v>0</x:v>
      </x:c>
      <x:c r="JL20" s="128" t="n">
        <x:f>'PROJECT TA Y TB KARINA'!$T74/8</x:f>
        <x:v>0</x:v>
      </x:c>
      <x:c r="JM20" s="128" t="n">
        <x:f>'PROJECT TA Y TB KARINA'!$T74/8</x:f>
        <x:v>0</x:v>
      </x:c>
      <x:c r="JN20" s="128" t="n">
        <x:f>'PROJECT TA Y TB KARINA'!$T74/8</x:f>
        <x:v>0</x:v>
      </x:c>
      <x:c r="JO20" s="128" t="n">
        <x:f>'PROJECT TA Y TB KARINA'!$T74/8</x:f>
        <x:v>0</x:v>
      </x:c>
      <x:c r="JP20" s="128" t="n">
        <x:f>'PROJECT TA Y TB KARINA'!$T74/8</x:f>
        <x:v>0</x:v>
      </x:c>
      <x:c r="JQ20" s="128" t="n">
        <x:f>'PROJECT TA Y TB KARINA'!$T74/8</x:f>
        <x:v>0</x:v>
      </x:c>
      <x:c r="JR20" s="128" t="n">
        <x:f>'PROJECT TA Y TB KARINA'!$T74/8</x:f>
        <x:v>0</x:v>
      </x:c>
      <x:c r="JS20" s="128" t="n">
        <x:f>'PROJECT TA Y TB KARINA'!$T74/8</x:f>
        <x:v>0</x:v>
      </x:c>
      <x:c r="JT20" s="128" t="e">
        <x:f>'PROJECT TA Y TB KARINA'!#REF!/8</x:f>
        <x:v>#NAME?</x:v>
      </x:c>
      <x:c r="JU20" s="128" t="e">
        <x:f>'PROJECT TA Y TB KARINA'!#REF!/8</x:f>
        <x:v>#NAME?</x:v>
      </x:c>
      <x:c r="JV20" s="128" t="e">
        <x:f>'PROJECT TA Y TB KARINA'!#REF!/8</x:f>
        <x:v>#NAME?</x:v>
      </x:c>
      <x:c r="JW20" s="128" t="e">
        <x:f>'PROJECT TA Y TB KARINA'!#REF!/8</x:f>
        <x:v>#NAME?</x:v>
      </x:c>
      <x:c r="JX20" s="128" t="e">
        <x:f>'PROJECT TA Y TB KARINA'!#REF!/8</x:f>
        <x:v>#NAME?</x:v>
      </x:c>
      <x:c r="JY20" s="128" t="e">
        <x:f>'PROJECT TA Y TB KARINA'!#REF!/8</x:f>
        <x:v>#NAME?</x:v>
      </x:c>
      <x:c r="JZ20" s="128" t="e">
        <x:f>'PROJECT TA Y TB KARINA'!#REF!/8</x:f>
        <x:v>#NAME?</x:v>
      </x:c>
      <x:c r="KA20" s="128" t="e">
        <x:f>'PROJECT TA Y TB KARINA'!#REF!/8</x:f>
        <x:v>#NAME?</x:v>
      </x:c>
    </x:row>
    <x:row r="21" ht="21">
      <x:c r="A21" s="130" t="s">
        <x:v>506</x:v>
      </x:c>
      <x:c r="B21" s="128" t="e">
        <x:f>'PROJECT TA Y TB KARINA'!$C$17/8</x:f>
        <x:v>#REF!</x:v>
      </x:c>
      <x:c r="C21" s="128" t="e">
        <x:f>'PROJECT TA Y TB KARINA'!$C$17/8</x:f>
        <x:v>#REF!</x:v>
      </x:c>
      <x:c r="D21" s="128" t="e">
        <x:f>'PROJECT TA Y TB KARINA'!$C$17/8</x:f>
        <x:v>#REF!</x:v>
      </x:c>
      <x:c r="E21" s="128" t="e">
        <x:f>'PROJECT TA Y TB KARINA'!$C$17/8</x:f>
        <x:v>#REF!</x:v>
      </x:c>
      <x:c r="F21" s="128" t="e">
        <x:f>'PROJECT TA Y TB KARINA'!$C$17/8</x:f>
        <x:v>#REF!</x:v>
      </x:c>
      <x:c r="G21" s="128" t="e">
        <x:f>'PROJECT TA Y TB KARINA'!$C$17/8</x:f>
        <x:v>#REF!</x:v>
      </x:c>
      <x:c r="H21" s="128" t="e">
        <x:f>'PROJECT TA Y TB KARINA'!$C$17/8</x:f>
        <x:v>#REF!</x:v>
      </x:c>
      <x:c r="I21" s="128" t="e">
        <x:f>'PROJECT TA Y TB KARINA'!$E17/8</x:f>
        <x:v>#REF!</x:v>
      </x:c>
      <x:c r="J21" s="128" t="e">
        <x:f>'PROJECT TA Y TB KARINA'!$E17/8</x:f>
        <x:v>#REF!</x:v>
      </x:c>
      <x:c r="K21" s="128" t="e">
        <x:f>'PROJECT TA Y TB KARINA'!$E17/8</x:f>
        <x:v>#REF!</x:v>
      </x:c>
      <x:c r="L21" s="128" t="e">
        <x:f>'PROJECT TA Y TB KARINA'!$E17/8</x:f>
        <x:v>#REF!</x:v>
      </x:c>
      <x:c r="M21" s="128" t="e">
        <x:f>'PROJECT TA Y TB KARINA'!$E17/8</x:f>
        <x:v>#REF!</x:v>
      </x:c>
      <x:c r="N21" s="128" t="e">
        <x:f>'PROJECT TA Y TB KARINA'!$E17/8</x:f>
        <x:v>#REF!</x:v>
      </x:c>
      <x:c r="O21" s="128" t="e">
        <x:f>'PROJECT TA Y TB KARINA'!$E17/8</x:f>
        <x:v>#REF!</x:v>
      </x:c>
      <x:c r="P21" s="128" t="e">
        <x:f>'PROJECT TA Y TB KARINA'!$E17/8</x:f>
        <x:v>#REF!</x:v>
      </x:c>
      <x:c r="Q21" s="128" t="e">
        <x:f>'PROJECT TA Y TB KARINA'!$F17/8</x:f>
        <x:v>#REF!</x:v>
      </x:c>
      <x:c r="R21" s="128" t="e">
        <x:f>'PROJECT TA Y TB KARINA'!$F17/8</x:f>
        <x:v>#REF!</x:v>
      </x:c>
      <x:c r="S21" s="128" t="e">
        <x:f>'PROJECT TA Y TB KARINA'!$F17/8</x:f>
        <x:v>#REF!</x:v>
      </x:c>
      <x:c r="T21" s="128" t="e">
        <x:f>'PROJECT TA Y TB KARINA'!$F17/8</x:f>
        <x:v>#REF!</x:v>
      </x:c>
      <x:c r="U21" s="128" t="e">
        <x:f>'PROJECT TA Y TB KARINA'!$F17/8</x:f>
        <x:v>#REF!</x:v>
      </x:c>
      <x:c r="V21" s="128" t="e">
        <x:f>'PROJECT TA Y TB KARINA'!$F17/8</x:f>
        <x:v>#REF!</x:v>
      </x:c>
      <x:c r="W21" s="128" t="e">
        <x:f>'PROJECT TA Y TB KARINA'!$F17/8</x:f>
        <x:v>#REF!</x:v>
      </x:c>
      <x:c r="X21" s="128" t="e">
        <x:f>'PROJECT TA Y TB KARINA'!$F17/8</x:f>
        <x:v>#REF!</x:v>
      </x:c>
      <x:c r="Y21" s="128" t="e">
        <x:f>'PROJECT TA Y TB KARINA'!$G17/8</x:f>
        <x:v>#REF!</x:v>
      </x:c>
      <x:c r="Z21" s="128" t="e">
        <x:f>'PROJECT TA Y TB KARINA'!$G17/8</x:f>
        <x:v>#REF!</x:v>
      </x:c>
      <x:c r="AA21" s="128" t="e">
        <x:f>'PROJECT TA Y TB KARINA'!$G17/8</x:f>
        <x:v>#REF!</x:v>
      </x:c>
      <x:c r="AB21" s="128" t="e">
        <x:f>'PROJECT TA Y TB KARINA'!$G17/8</x:f>
        <x:v>#REF!</x:v>
      </x:c>
      <x:c r="AC21" s="128" t="e">
        <x:f>'PROJECT TA Y TB KARINA'!$G17/8</x:f>
        <x:v>#REF!</x:v>
      </x:c>
      <x:c r="AD21" s="128" t="e">
        <x:f>'PROJECT TA Y TB KARINA'!$G17/8</x:f>
        <x:v>#REF!</x:v>
      </x:c>
      <x:c r="AE21" s="128" t="e">
        <x:f>'PROJECT TA Y TB KARINA'!$G17/8</x:f>
        <x:v>#REF!</x:v>
      </x:c>
      <x:c r="AF21" s="128" t="e">
        <x:f>'PROJECT TA Y TB KARINA'!$G17/8</x:f>
        <x:v>#REF!</x:v>
      </x:c>
      <x:c r="AG21" s="128" t="e">
        <x:f>'PROJECT TA Y TB KARINA'!$H17/8</x:f>
        <x:v>#REF!</x:v>
      </x:c>
      <x:c r="AH21" s="128" t="e">
        <x:f>'PROJECT TA Y TB KARINA'!$H17/8</x:f>
        <x:v>#REF!</x:v>
      </x:c>
      <x:c r="AI21" s="128" t="e">
        <x:f>'PROJECT TA Y TB KARINA'!$H17/8</x:f>
        <x:v>#REF!</x:v>
      </x:c>
      <x:c r="AJ21" s="128" t="e">
        <x:f>'PROJECT TA Y TB KARINA'!$H17/8</x:f>
        <x:v>#REF!</x:v>
      </x:c>
      <x:c r="AK21" s="128" t="e">
        <x:f>'PROJECT TA Y TB KARINA'!$H17/8</x:f>
        <x:v>#REF!</x:v>
      </x:c>
      <x:c r="AL21" s="128" t="e">
        <x:f>'PROJECT TA Y TB KARINA'!$H17/8</x:f>
        <x:v>#REF!</x:v>
      </x:c>
      <x:c r="AM21" s="128" t="e">
        <x:f>'PROJECT TA Y TB KARINA'!$H17/8</x:f>
        <x:v>#REF!</x:v>
      </x:c>
      <x:c r="AN21" s="128" t="e">
        <x:f>'PROJECT TA Y TB KARINA'!$H17/8</x:f>
        <x:v>#REF!</x:v>
      </x:c>
      <x:c r="AO21" s="128" t="e">
        <x:f>'PROJECT TA Y TB KARINA'!$I17/8</x:f>
        <x:v>#REF!</x:v>
      </x:c>
      <x:c r="AP21" s="128" t="e">
        <x:f>'PROJECT TA Y TB KARINA'!$I17/8</x:f>
        <x:v>#REF!</x:v>
      </x:c>
      <x:c r="AQ21" s="128" t="e">
        <x:f>'PROJECT TA Y TB KARINA'!$I17/8</x:f>
        <x:v>#REF!</x:v>
      </x:c>
      <x:c r="AR21" s="128" t="e">
        <x:f>'PROJECT TA Y TB KARINA'!$I17/8</x:f>
        <x:v>#REF!</x:v>
      </x:c>
      <x:c r="AS21" s="128" t="e">
        <x:f>'PROJECT TA Y TB KARINA'!$I17/8</x:f>
        <x:v>#REF!</x:v>
      </x:c>
      <x:c r="AT21" s="128" t="e">
        <x:f>'PROJECT TA Y TB KARINA'!$I17/8</x:f>
        <x:v>#REF!</x:v>
      </x:c>
      <x:c r="AU21" s="128" t="e">
        <x:f>'PROJECT TA Y TB KARINA'!$I17/8</x:f>
        <x:v>#REF!</x:v>
      </x:c>
      <x:c r="AV21" s="128" t="e">
        <x:f>'PROJECT TA Y TB KARINA'!$I17/8</x:f>
        <x:v>#REF!</x:v>
      </x:c>
      <x:c r="AW21" s="128" t="e">
        <x:f>'PROJECT TA Y TB KARINA'!$J17/8</x:f>
        <x:v>#REF!</x:v>
      </x:c>
      <x:c r="AX21" s="128" t="e">
        <x:f>'PROJECT TA Y TB KARINA'!$J17/8</x:f>
        <x:v>#REF!</x:v>
      </x:c>
      <x:c r="AY21" s="128" t="e">
        <x:f>'PROJECT TA Y TB KARINA'!$J17/8</x:f>
        <x:v>#REF!</x:v>
      </x:c>
      <x:c r="AZ21" s="128" t="e">
        <x:f>'PROJECT TA Y TB KARINA'!$J17/8</x:f>
        <x:v>#REF!</x:v>
      </x:c>
      <x:c r="BA21" s="128" t="e">
        <x:f>'PROJECT TA Y TB KARINA'!$J17/8</x:f>
        <x:v>#REF!</x:v>
      </x:c>
      <x:c r="BB21" s="128" t="e">
        <x:f>'PROJECT TA Y TB KARINA'!$J17/8</x:f>
        <x:v>#REF!</x:v>
      </x:c>
      <x:c r="BC21" s="128" t="e">
        <x:f>'PROJECT TA Y TB KARINA'!$J17/8</x:f>
        <x:v>#REF!</x:v>
      </x:c>
      <x:c r="BD21" s="128" t="e">
        <x:f>'PROJECT TA Y TB KARINA'!$J17/8</x:f>
        <x:v>#REF!</x:v>
      </x:c>
      <x:c r="BE21" s="128" t="e">
        <x:f>'PROJECT TA Y TB KARINA'!$K17/8</x:f>
        <x:v>#REF!</x:v>
      </x:c>
      <x:c r="BF21" s="128" t="e">
        <x:f>'PROJECT TA Y TB KARINA'!$K17/8</x:f>
        <x:v>#REF!</x:v>
      </x:c>
      <x:c r="BG21" s="128" t="e">
        <x:f>'PROJECT TA Y TB KARINA'!$K17/8</x:f>
        <x:v>#REF!</x:v>
      </x:c>
      <x:c r="BH21" s="128" t="e">
        <x:f>'PROJECT TA Y TB KARINA'!$K17/8</x:f>
        <x:v>#REF!</x:v>
      </x:c>
      <x:c r="BI21" s="128" t="e">
        <x:f>'PROJECT TA Y TB KARINA'!$K17/8</x:f>
        <x:v>#REF!</x:v>
      </x:c>
      <x:c r="BJ21" s="128" t="e">
        <x:f>'PROJECT TA Y TB KARINA'!$K17/8</x:f>
        <x:v>#REF!</x:v>
      </x:c>
      <x:c r="BK21" s="128" t="e">
        <x:f>'PROJECT TA Y TB KARINA'!$K17/8</x:f>
        <x:v>#REF!</x:v>
      </x:c>
      <x:c r="BL21" s="128" t="e">
        <x:f>'PROJECT TA Y TB KARINA'!$K17/8</x:f>
        <x:v>#REF!</x:v>
      </x:c>
      <x:c r="BM21" s="128" t="e">
        <x:f>'PROJECT TA Y TB KARINA'!$L17/8</x:f>
        <x:v>#REF!</x:v>
      </x:c>
      <x:c r="BN21" s="128" t="e">
        <x:f>'PROJECT TA Y TB KARINA'!$L17/8</x:f>
        <x:v>#REF!</x:v>
      </x:c>
      <x:c r="BO21" s="128" t="e">
        <x:f>'PROJECT TA Y TB KARINA'!$L17/8</x:f>
        <x:v>#REF!</x:v>
      </x:c>
      <x:c r="BP21" s="128" t="e">
        <x:f>'PROJECT TA Y TB KARINA'!$L17/8</x:f>
        <x:v>#REF!</x:v>
      </x:c>
      <x:c r="BQ21" s="128" t="e">
        <x:f>'PROJECT TA Y TB KARINA'!$L17/8</x:f>
        <x:v>#REF!</x:v>
      </x:c>
      <x:c r="BR21" s="128" t="e">
        <x:f>'PROJECT TA Y TB KARINA'!$L17/8</x:f>
        <x:v>#REF!</x:v>
      </x:c>
      <x:c r="BS21" s="128" t="e">
        <x:f>'PROJECT TA Y TB KARINA'!$L17/8</x:f>
        <x:v>#REF!</x:v>
      </x:c>
      <x:c r="BT21" s="128" t="e">
        <x:f>'PROJECT TA Y TB KARINA'!$L17/8</x:f>
        <x:v>#REF!</x:v>
      </x:c>
      <x:c r="BU21" s="128" t="e">
        <x:f>'PROJECT TA Y TB KARINA'!$M17/8</x:f>
        <x:v>#REF!</x:v>
      </x:c>
      <x:c r="BV21" s="128" t="e">
        <x:f>'PROJECT TA Y TB KARINA'!$M17/8</x:f>
        <x:v>#REF!</x:v>
      </x:c>
      <x:c r="BW21" s="128" t="e">
        <x:f>'PROJECT TA Y TB KARINA'!$M17/8</x:f>
        <x:v>#REF!</x:v>
      </x:c>
      <x:c r="BX21" s="128" t="e">
        <x:f>'PROJECT TA Y TB KARINA'!$M17/8</x:f>
        <x:v>#REF!</x:v>
      </x:c>
      <x:c r="BY21" s="128" t="e">
        <x:f>'PROJECT TA Y TB KARINA'!$M17/8</x:f>
        <x:v>#REF!</x:v>
      </x:c>
      <x:c r="BZ21" s="128" t="e">
        <x:f>'PROJECT TA Y TB KARINA'!$M17/8</x:f>
        <x:v>#REF!</x:v>
      </x:c>
      <x:c r="CA21" s="128" t="e">
        <x:f>'PROJECT TA Y TB KARINA'!$M17/8</x:f>
        <x:v>#REF!</x:v>
      </x:c>
      <x:c r="CB21" s="128" t="e">
        <x:f>'PROJECT TA Y TB KARINA'!$M17/8</x:f>
        <x:v>#REF!</x:v>
      </x:c>
      <x:c r="CC21" s="128" t="e">
        <x:f>'PROJECT TA Y TB KARINA'!$N17/8</x:f>
        <x:v>#REF!</x:v>
      </x:c>
      <x:c r="CD21" s="128" t="e">
        <x:f>'PROJECT TA Y TB KARINA'!$N17/8</x:f>
        <x:v>#REF!</x:v>
      </x:c>
      <x:c r="CE21" s="128" t="e">
        <x:f>'PROJECT TA Y TB KARINA'!$N17/8</x:f>
        <x:v>#REF!</x:v>
      </x:c>
      <x:c r="CF21" s="128" t="e">
        <x:f>'PROJECT TA Y TB KARINA'!$N17/8</x:f>
        <x:v>#REF!</x:v>
      </x:c>
      <x:c r="CG21" s="128" t="e">
        <x:f>'PROJECT TA Y TB KARINA'!$N17/8</x:f>
        <x:v>#REF!</x:v>
      </x:c>
      <x:c r="CH21" s="128" t="e">
        <x:f>'PROJECT TA Y TB KARINA'!$N17/8</x:f>
        <x:v>#REF!</x:v>
      </x:c>
      <x:c r="CI21" s="128" t="e">
        <x:f>'PROJECT TA Y TB KARINA'!$N17/8</x:f>
        <x:v>#REF!</x:v>
      </x:c>
      <x:c r="CJ21" s="128" t="e">
        <x:f>'PROJECT TA Y TB KARINA'!$N17/8</x:f>
        <x:v>#REF!</x:v>
      </x:c>
      <x:c r="CK21" s="128" t="e">
        <x:f>'PROJECT TA Y TB KARINA'!$O17/8</x:f>
        <x:v>#REF!</x:v>
      </x:c>
      <x:c r="CL21" s="128" t="e">
        <x:f>'PROJECT TA Y TB KARINA'!$O17/8</x:f>
        <x:v>#REF!</x:v>
      </x:c>
      <x:c r="CM21" s="128" t="e">
        <x:f>'PROJECT TA Y TB KARINA'!$O17/8</x:f>
        <x:v>#REF!</x:v>
      </x:c>
      <x:c r="CN21" s="128" t="e">
        <x:f>'PROJECT TA Y TB KARINA'!$O17/8</x:f>
        <x:v>#REF!</x:v>
      </x:c>
      <x:c r="CO21" s="128" t="e">
        <x:f>'PROJECT TA Y TB KARINA'!$O17/8</x:f>
        <x:v>#REF!</x:v>
      </x:c>
      <x:c r="CP21" s="128" t="e">
        <x:f>'PROJECT TA Y TB KARINA'!$O17/8</x:f>
        <x:v>#REF!</x:v>
      </x:c>
      <x:c r="CQ21" s="128" t="e">
        <x:f>'PROJECT TA Y TB KARINA'!$O17/8</x:f>
        <x:v>#REF!</x:v>
      </x:c>
      <x:c r="CR21" s="128" t="e">
        <x:f>'PROJECT TA Y TB KARINA'!$O17/8</x:f>
        <x:v>#REF!</x:v>
      </x:c>
      <x:c r="CS21" s="128" t="e">
        <x:f>'PROJECT TA Y TB KARINA'!$P17/8</x:f>
        <x:v>#REF!</x:v>
      </x:c>
      <x:c r="CT21" s="128" t="e">
        <x:f>'PROJECT TA Y TB KARINA'!$P17/8</x:f>
        <x:v>#REF!</x:v>
      </x:c>
      <x:c r="CU21" s="128" t="e">
        <x:f>'PROJECT TA Y TB KARINA'!$P17/8</x:f>
        <x:v>#REF!</x:v>
      </x:c>
      <x:c r="CV21" s="128" t="e">
        <x:f>'PROJECT TA Y TB KARINA'!$P17/8</x:f>
        <x:v>#REF!</x:v>
      </x:c>
      <x:c r="CW21" s="128" t="e">
        <x:f>'PROJECT TA Y TB KARINA'!$P17/8</x:f>
        <x:v>#REF!</x:v>
      </x:c>
      <x:c r="CX21" s="128" t="e">
        <x:f>'PROJECT TA Y TB KARINA'!$P17/8</x:f>
        <x:v>#REF!</x:v>
      </x:c>
      <x:c r="CY21" s="128" t="e">
        <x:f>'PROJECT TA Y TB KARINA'!$P17/8</x:f>
        <x:v>#REF!</x:v>
      </x:c>
      <x:c r="CZ21" s="128" t="e">
        <x:f>'PROJECT TA Y TB KARINA'!$P17/8</x:f>
        <x:v>#REF!</x:v>
      </x:c>
      <x:c r="DA21" s="128" t="e">
        <x:f>'PROJECT TA Y TB KARINA'!$Q17/8</x:f>
        <x:v>#REF!</x:v>
      </x:c>
      <x:c r="DB21" s="128" t="e">
        <x:f>'PROJECT TA Y TB KARINA'!$Q17/8</x:f>
        <x:v>#REF!</x:v>
      </x:c>
      <x:c r="DC21" s="128" t="e">
        <x:f>'PROJECT TA Y TB KARINA'!$Q17/8</x:f>
        <x:v>#REF!</x:v>
      </x:c>
      <x:c r="DD21" s="128" t="e">
        <x:f>'PROJECT TA Y TB KARINA'!$Q17/8</x:f>
        <x:v>#REF!</x:v>
      </x:c>
      <x:c r="DE21" s="128" t="e">
        <x:f>'PROJECT TA Y TB KARINA'!$Q17/8</x:f>
        <x:v>#REF!</x:v>
      </x:c>
      <x:c r="DF21" s="128" t="e">
        <x:f>'PROJECT TA Y TB KARINA'!$Q17/8</x:f>
        <x:v>#REF!</x:v>
      </x:c>
      <x:c r="DG21" s="128" t="e">
        <x:f>'PROJECT TA Y TB KARINA'!$Q17/8</x:f>
        <x:v>#REF!</x:v>
      </x:c>
      <x:c r="DH21" s="128" t="e">
        <x:f>'PROJECT TA Y TB KARINA'!$Q17/8</x:f>
        <x:v>#REF!</x:v>
      </x:c>
      <x:c r="DI21" s="128" t="e">
        <x:f>'PROJECT TA Y TB KARINA'!$R17/8</x:f>
        <x:v>#REF!</x:v>
      </x:c>
      <x:c r="DJ21" s="128" t="e">
        <x:f>'PROJECT TA Y TB KARINA'!$R17/8</x:f>
        <x:v>#REF!</x:v>
      </x:c>
      <x:c r="DK21" s="128" t="e">
        <x:f>'PROJECT TA Y TB KARINA'!$R17/8</x:f>
        <x:v>#REF!</x:v>
      </x:c>
      <x:c r="DL21" s="128" t="e">
        <x:f>'PROJECT TA Y TB KARINA'!$R17/8</x:f>
        <x:v>#REF!</x:v>
      </x:c>
      <x:c r="DM21" s="128" t="e">
        <x:f>'PROJECT TA Y TB KARINA'!$R17/8</x:f>
        <x:v>#REF!</x:v>
      </x:c>
      <x:c r="DN21" s="128" t="e">
        <x:f>'PROJECT TA Y TB KARINA'!$R17/8</x:f>
        <x:v>#REF!</x:v>
      </x:c>
      <x:c r="DO21" s="128" t="e">
        <x:f>'PROJECT TA Y TB KARINA'!$R17/8</x:f>
        <x:v>#REF!</x:v>
      </x:c>
      <x:c r="DP21" s="128" t="e">
        <x:f>'PROJECT TA Y TB KARINA'!$R17/8</x:f>
        <x:v>#REF!</x:v>
      </x:c>
      <x:c r="DQ21" s="128" t="e">
        <x:f>'PROJECT TA Y TB KARINA'!$S17/8</x:f>
        <x:v>#REF!</x:v>
      </x:c>
      <x:c r="DR21" s="128" t="e">
        <x:f>'PROJECT TA Y TB KARINA'!$S17/8</x:f>
        <x:v>#REF!</x:v>
      </x:c>
      <x:c r="DS21" s="128" t="e">
        <x:f>'PROJECT TA Y TB KARINA'!$S17/8</x:f>
        <x:v>#REF!</x:v>
      </x:c>
      <x:c r="DT21" s="128" t="e">
        <x:f>'PROJECT TA Y TB KARINA'!$S17/8</x:f>
        <x:v>#REF!</x:v>
      </x:c>
      <x:c r="DU21" s="128" t="e">
        <x:f>'PROJECT TA Y TB KARINA'!$S17/8</x:f>
        <x:v>#REF!</x:v>
      </x:c>
      <x:c r="DV21" s="128" t="e">
        <x:f>'PROJECT TA Y TB KARINA'!$S17/8</x:f>
        <x:v>#REF!</x:v>
      </x:c>
      <x:c r="DW21" s="128" t="e">
        <x:f>'PROJECT TA Y TB KARINA'!$S17/8</x:f>
        <x:v>#REF!</x:v>
      </x:c>
      <x:c r="DX21" s="128" t="e">
        <x:f>'PROJECT TA Y TB KARINA'!$S17/8</x:f>
        <x:v>#REF!</x:v>
      </x:c>
      <x:c r="DY21" s="128" t="e">
        <x:f>'PROJECT TA Y TB KARINA'!$T17/8</x:f>
        <x:v>#REF!</x:v>
      </x:c>
      <x:c r="DZ21" s="128" t="e">
        <x:f>'PROJECT TA Y TB KARINA'!$T17/8</x:f>
        <x:v>#REF!</x:v>
      </x:c>
      <x:c r="EA21" s="128" t="e">
        <x:f>'PROJECT TA Y TB KARINA'!$T17/8</x:f>
        <x:v>#REF!</x:v>
      </x:c>
      <x:c r="EB21" s="128" t="e">
        <x:f>'PROJECT TA Y TB KARINA'!$T17/8</x:f>
        <x:v>#REF!</x:v>
      </x:c>
      <x:c r="EC21" s="128" t="e">
        <x:f>'PROJECT TA Y TB KARINA'!$T17/8</x:f>
        <x:v>#REF!</x:v>
      </x:c>
      <x:c r="ED21" s="128" t="e">
        <x:f>'PROJECT TA Y TB KARINA'!$T17/8</x:f>
        <x:v>#REF!</x:v>
      </x:c>
      <x:c r="EE21" s="128" t="e">
        <x:f>'PROJECT TA Y TB KARINA'!$T17/8</x:f>
        <x:v>#REF!</x:v>
      </x:c>
      <x:c r="EF21" s="128" t="e">
        <x:f>'PROJECT TA Y TB KARINA'!$T17/8</x:f>
        <x:v>#REF!</x:v>
      </x:c>
      <x:c r="EG21" s="128" t="e">
        <x:f>'PROJECT TA Y TB KARINA'!#REF!/8</x:f>
        <x:v>#NAME?</x:v>
      </x:c>
      <x:c r="EH21" s="128" t="e">
        <x:f>'PROJECT TA Y TB KARINA'!#REF!/8</x:f>
        <x:v>#NAME?</x:v>
      </x:c>
      <x:c r="EI21" s="128" t="e">
        <x:f>'PROJECT TA Y TB KARINA'!#REF!/8</x:f>
        <x:v>#NAME?</x:v>
      </x:c>
      <x:c r="EJ21" s="128" t="e">
        <x:f>'PROJECT TA Y TB KARINA'!#REF!/8</x:f>
        <x:v>#NAME?</x:v>
      </x:c>
      <x:c r="EK21" s="128" t="e">
        <x:f>'PROJECT TA Y TB KARINA'!#REF!/8</x:f>
        <x:v>#NAME?</x:v>
      </x:c>
      <x:c r="EL21" s="128" t="e">
        <x:f>'PROJECT TA Y TB KARINA'!#REF!/8</x:f>
        <x:v>#NAME?</x:v>
      </x:c>
      <x:c r="EM21" s="128" t="e">
        <x:f>'PROJECT TA Y TB KARINA'!#REF!/8</x:f>
        <x:v>#NAME?</x:v>
      </x:c>
      <x:c r="EN21" s="128" t="e">
        <x:f>'PROJECT TA Y TB KARINA'!#REF!/8</x:f>
        <x:v>#NAME?</x:v>
      </x:c>
      <x:c r="EO21" s="128" t="n">
        <x:f>'PROJECT TA Y TB KARINA'!$C75/8</x:f>
        <x:v>0</x:v>
      </x:c>
      <x:c r="EP21" s="128" t="n">
        <x:f>'PROJECT TA Y TB KARINA'!$C75/8</x:f>
        <x:v>0</x:v>
      </x:c>
      <x:c r="EQ21" s="128" t="n">
        <x:f>'PROJECT TA Y TB KARINA'!$C75/8</x:f>
        <x:v>0</x:v>
      </x:c>
      <x:c r="ER21" s="128" t="n">
        <x:f>'PROJECT TA Y TB KARINA'!$C75/8</x:f>
        <x:v>0</x:v>
      </x:c>
      <x:c r="ES21" s="128" t="n">
        <x:f>'PROJECT TA Y TB KARINA'!$C75/8</x:f>
        <x:v>0</x:v>
      </x:c>
      <x:c r="ET21" s="128" t="n">
        <x:f>'PROJECT TA Y TB KARINA'!$C75/8</x:f>
        <x:v>0</x:v>
      </x:c>
      <x:c r="EU21" s="128" t="n">
        <x:f>'PROJECT TA Y TB KARINA'!$C75/8</x:f>
        <x:v>0</x:v>
      </x:c>
      <x:c r="EV21" s="128" t="n">
        <x:f>'PROJECT TA Y TB KARINA'!$E75/8</x:f>
        <x:v>0</x:v>
      </x:c>
      <x:c r="EW21" s="128" t="n">
        <x:f>'PROJECT TA Y TB KARINA'!$E75/8</x:f>
        <x:v>0</x:v>
      </x:c>
      <x:c r="EX21" s="128" t="n">
        <x:f>'PROJECT TA Y TB KARINA'!$E75/8</x:f>
        <x:v>0</x:v>
      </x:c>
      <x:c r="EY21" s="128" t="n">
        <x:f>'PROJECT TA Y TB KARINA'!$E75/8</x:f>
        <x:v>0</x:v>
      </x:c>
      <x:c r="EZ21" s="128" t="n">
        <x:f>'PROJECT TA Y TB KARINA'!$E75/8</x:f>
        <x:v>0</x:v>
      </x:c>
      <x:c r="FA21" s="128" t="n">
        <x:f>'PROJECT TA Y TB KARINA'!$E75/8</x:f>
        <x:v>0</x:v>
      </x:c>
      <x:c r="FB21" s="128" t="n">
        <x:f>'PROJECT TA Y TB KARINA'!$E75/8</x:f>
        <x:v>0</x:v>
      </x:c>
      <x:c r="FC21" s="128" t="n">
        <x:f>'PROJECT TA Y TB KARINA'!$E75/8</x:f>
        <x:v>0</x:v>
      </x:c>
      <x:c r="FD21" s="128" t="n">
        <x:f>'PROJECT TA Y TB KARINA'!$F75/8</x:f>
        <x:v>0</x:v>
      </x:c>
      <x:c r="FE21" s="128" t="n">
        <x:f>'PROJECT TA Y TB KARINA'!$F75/8</x:f>
        <x:v>0</x:v>
      </x:c>
      <x:c r="FF21" s="128" t="n">
        <x:f>'PROJECT TA Y TB KARINA'!$F75/8</x:f>
        <x:v>0</x:v>
      </x:c>
      <x:c r="FG21" s="128" t="n">
        <x:f>'PROJECT TA Y TB KARINA'!$F75/8</x:f>
        <x:v>0</x:v>
      </x:c>
      <x:c r="FH21" s="128" t="n">
        <x:f>'PROJECT TA Y TB KARINA'!$F75/8</x:f>
        <x:v>0</x:v>
      </x:c>
      <x:c r="FI21" s="128" t="n">
        <x:f>'PROJECT TA Y TB KARINA'!$F75/8</x:f>
        <x:v>0</x:v>
      </x:c>
      <x:c r="FJ21" s="128" t="n">
        <x:f>'PROJECT TA Y TB KARINA'!$F75/8</x:f>
        <x:v>0</x:v>
      </x:c>
      <x:c r="FK21" s="128" t="n">
        <x:f>'PROJECT TA Y TB KARINA'!$F75/8</x:f>
        <x:v>0</x:v>
      </x:c>
      <x:c r="FL21" s="128" t="n">
        <x:f>'PROJECT TA Y TB KARINA'!$G75/8</x:f>
        <x:v>0</x:v>
      </x:c>
      <x:c r="FM21" s="128" t="n">
        <x:f>'PROJECT TA Y TB KARINA'!$G75/8</x:f>
        <x:v>0</x:v>
      </x:c>
      <x:c r="FN21" s="128" t="n">
        <x:f>'PROJECT TA Y TB KARINA'!$G75/8</x:f>
        <x:v>0</x:v>
      </x:c>
      <x:c r="FO21" s="128" t="n">
        <x:f>'PROJECT TA Y TB KARINA'!$G75/8</x:f>
        <x:v>0</x:v>
      </x:c>
      <x:c r="FP21" s="128" t="n">
        <x:f>'PROJECT TA Y TB KARINA'!$G75/8</x:f>
        <x:v>0</x:v>
      </x:c>
      <x:c r="FQ21" s="128" t="n">
        <x:f>'PROJECT TA Y TB KARINA'!$G75/8</x:f>
        <x:v>0</x:v>
      </x:c>
      <x:c r="FR21" s="128" t="n">
        <x:f>'PROJECT TA Y TB KARINA'!$G75/8</x:f>
        <x:v>0</x:v>
      </x:c>
      <x:c r="FS21" s="128" t="n">
        <x:f>'PROJECT TA Y TB KARINA'!$G75/8</x:f>
        <x:v>0</x:v>
      </x:c>
      <x:c r="FT21" s="128" t="n">
        <x:f>'PROJECT TA Y TB KARINA'!$H75/8</x:f>
        <x:v>0</x:v>
      </x:c>
      <x:c r="FU21" s="128" t="n">
        <x:f>'PROJECT TA Y TB KARINA'!$H75/8</x:f>
        <x:v>0</x:v>
      </x:c>
      <x:c r="FV21" s="128" t="n">
        <x:f>'PROJECT TA Y TB KARINA'!$H75/8</x:f>
        <x:v>0</x:v>
      </x:c>
      <x:c r="FW21" s="128" t="n">
        <x:f>'PROJECT TA Y TB KARINA'!$H75/8</x:f>
        <x:v>0</x:v>
      </x:c>
      <x:c r="FX21" s="128" t="n">
        <x:f>'PROJECT TA Y TB KARINA'!$H75/8</x:f>
        <x:v>0</x:v>
      </x:c>
      <x:c r="FY21" s="128" t="n">
        <x:f>'PROJECT TA Y TB KARINA'!$H75/8</x:f>
        <x:v>0</x:v>
      </x:c>
      <x:c r="FZ21" s="128" t="n">
        <x:f>'PROJECT TA Y TB KARINA'!$H75/8</x:f>
        <x:v>0</x:v>
      </x:c>
      <x:c r="GA21" s="128" t="n">
        <x:f>'PROJECT TA Y TB KARINA'!$H75/8</x:f>
        <x:v>0</x:v>
      </x:c>
      <x:c r="GB21" s="128" t="n">
        <x:f>'PROJECT TA Y TB KARINA'!$I75/8</x:f>
        <x:v>0</x:v>
      </x:c>
      <x:c r="GC21" s="128" t="n">
        <x:f>'PROJECT TA Y TB KARINA'!$I75/8</x:f>
        <x:v>0</x:v>
      </x:c>
      <x:c r="GD21" s="128" t="n">
        <x:f>'PROJECT TA Y TB KARINA'!$I75/8</x:f>
        <x:v>0</x:v>
      </x:c>
      <x:c r="GE21" s="128" t="n">
        <x:f>'PROJECT TA Y TB KARINA'!$I75/8</x:f>
        <x:v>0</x:v>
      </x:c>
      <x:c r="GF21" s="128" t="n">
        <x:f>'PROJECT TA Y TB KARINA'!$I75/8</x:f>
        <x:v>0</x:v>
      </x:c>
      <x:c r="GG21" s="128" t="n">
        <x:f>'PROJECT TA Y TB KARINA'!$I75/8</x:f>
        <x:v>0</x:v>
      </x:c>
      <x:c r="GH21" s="128" t="n">
        <x:f>'PROJECT TA Y TB KARINA'!$I75/8</x:f>
        <x:v>0</x:v>
      </x:c>
      <x:c r="GI21" s="128" t="n">
        <x:f>'PROJECT TA Y TB KARINA'!$I75/8</x:f>
        <x:v>0</x:v>
      </x:c>
      <x:c r="GJ21" s="128" t="n">
        <x:f>'PROJECT TA Y TB KARINA'!$J75/8</x:f>
        <x:v>0</x:v>
      </x:c>
      <x:c r="GK21" s="128" t="n">
        <x:f>'PROJECT TA Y TB KARINA'!$J75/8</x:f>
        <x:v>0</x:v>
      </x:c>
      <x:c r="GL21" s="128" t="n">
        <x:f>'PROJECT TA Y TB KARINA'!$J75/8</x:f>
        <x:v>0</x:v>
      </x:c>
      <x:c r="GM21" s="128" t="n">
        <x:f>'PROJECT TA Y TB KARINA'!$J75/8</x:f>
        <x:v>0</x:v>
      </x:c>
      <x:c r="GN21" s="128" t="n">
        <x:f>'PROJECT TA Y TB KARINA'!$J75/8</x:f>
        <x:v>0</x:v>
      </x:c>
      <x:c r="GO21" s="128" t="n">
        <x:f>'PROJECT TA Y TB KARINA'!$J75/8</x:f>
        <x:v>0</x:v>
      </x:c>
      <x:c r="GP21" s="128" t="n">
        <x:f>'PROJECT TA Y TB KARINA'!$J75/8</x:f>
        <x:v>0</x:v>
      </x:c>
      <x:c r="GQ21" s="128" t="n">
        <x:f>'PROJECT TA Y TB KARINA'!$J75/8</x:f>
        <x:v>0</x:v>
      </x:c>
      <x:c r="GR21" s="128" t="n">
        <x:f>'PROJECT TA Y TB KARINA'!$K75/8</x:f>
        <x:v>0</x:v>
      </x:c>
      <x:c r="GS21" s="128" t="n">
        <x:f>'PROJECT TA Y TB KARINA'!$K75/8</x:f>
        <x:v>0</x:v>
      </x:c>
      <x:c r="GT21" s="128" t="n">
        <x:f>'PROJECT TA Y TB KARINA'!$K75/8</x:f>
        <x:v>0</x:v>
      </x:c>
      <x:c r="GU21" s="128" t="n">
        <x:f>'PROJECT TA Y TB KARINA'!$K75/8</x:f>
        <x:v>0</x:v>
      </x:c>
      <x:c r="GV21" s="128" t="n">
        <x:f>'PROJECT TA Y TB KARINA'!$K75/8</x:f>
        <x:v>0</x:v>
      </x:c>
      <x:c r="GW21" s="128" t="n">
        <x:f>'PROJECT TA Y TB KARINA'!$K75/8</x:f>
        <x:v>0</x:v>
      </x:c>
      <x:c r="GX21" s="128" t="n">
        <x:f>'PROJECT TA Y TB KARINA'!$K75/8</x:f>
        <x:v>0</x:v>
      </x:c>
      <x:c r="GY21" s="128" t="n">
        <x:f>'PROJECT TA Y TB KARINA'!$K75/8</x:f>
        <x:v>0</x:v>
      </x:c>
      <x:c r="GZ21" s="128" t="n">
        <x:f>'PROJECT TA Y TB KARINA'!$L75/8</x:f>
        <x:v>0</x:v>
      </x:c>
      <x:c r="HA21" s="128" t="n">
        <x:f>'PROJECT TA Y TB KARINA'!$L75/8</x:f>
        <x:v>0</x:v>
      </x:c>
      <x:c r="HB21" s="128" t="n">
        <x:f>'PROJECT TA Y TB KARINA'!$L75/8</x:f>
        <x:v>0</x:v>
      </x:c>
      <x:c r="HC21" s="128" t="n">
        <x:f>'PROJECT TA Y TB KARINA'!$L75/8</x:f>
        <x:v>0</x:v>
      </x:c>
      <x:c r="HD21" s="128" t="n">
        <x:f>'PROJECT TA Y TB KARINA'!$L75/8</x:f>
        <x:v>0</x:v>
      </x:c>
      <x:c r="HE21" s="128" t="n">
        <x:f>'PROJECT TA Y TB KARINA'!$L75/8</x:f>
        <x:v>0</x:v>
      </x:c>
      <x:c r="HF21" s="128" t="n">
        <x:f>'PROJECT TA Y TB KARINA'!$L75/8</x:f>
        <x:v>0</x:v>
      </x:c>
      <x:c r="HG21" s="128" t="n">
        <x:f>'PROJECT TA Y TB KARINA'!$L75/8</x:f>
        <x:v>0</x:v>
      </x:c>
      <x:c r="HH21" s="128" t="n">
        <x:f>'PROJECT TA Y TB KARINA'!$M75/8</x:f>
        <x:v>0</x:v>
      </x:c>
      <x:c r="HI21" s="128" t="n">
        <x:f>'PROJECT TA Y TB KARINA'!$M75/8</x:f>
        <x:v>0</x:v>
      </x:c>
      <x:c r="HJ21" s="128" t="n">
        <x:f>'PROJECT TA Y TB KARINA'!$M75/8</x:f>
        <x:v>0</x:v>
      </x:c>
      <x:c r="HK21" s="128" t="n">
        <x:f>'PROJECT TA Y TB KARINA'!$M75/8</x:f>
        <x:v>0</x:v>
      </x:c>
      <x:c r="HL21" s="128" t="n">
        <x:f>'PROJECT TA Y TB KARINA'!$M75/8</x:f>
        <x:v>0</x:v>
      </x:c>
      <x:c r="HM21" s="128" t="n">
        <x:f>'PROJECT TA Y TB KARINA'!$M75/8</x:f>
        <x:v>0</x:v>
      </x:c>
      <x:c r="HN21" s="128" t="n">
        <x:f>'PROJECT TA Y TB KARINA'!$M75/8</x:f>
        <x:v>0</x:v>
      </x:c>
      <x:c r="HO21" s="128" t="n">
        <x:f>'PROJECT TA Y TB KARINA'!$M75/8</x:f>
        <x:v>0</x:v>
      </x:c>
      <x:c r="HP21" s="128" t="n">
        <x:f>'PROJECT TA Y TB KARINA'!$N75/8</x:f>
        <x:v>0</x:v>
      </x:c>
      <x:c r="HQ21" s="128" t="n">
        <x:f>'PROJECT TA Y TB KARINA'!$N75/8</x:f>
        <x:v>0</x:v>
      </x:c>
      <x:c r="HR21" s="128" t="n">
        <x:f>'PROJECT TA Y TB KARINA'!$N75/8</x:f>
        <x:v>0</x:v>
      </x:c>
      <x:c r="HS21" s="128" t="n">
        <x:f>'PROJECT TA Y TB KARINA'!$N75/8</x:f>
        <x:v>0</x:v>
      </x:c>
      <x:c r="HT21" s="128" t="n">
        <x:f>'PROJECT TA Y TB KARINA'!$N75/8</x:f>
        <x:v>0</x:v>
      </x:c>
      <x:c r="HU21" s="128" t="n">
        <x:f>'PROJECT TA Y TB KARINA'!$N75/8</x:f>
        <x:v>0</x:v>
      </x:c>
      <x:c r="HV21" s="128" t="n">
        <x:f>'PROJECT TA Y TB KARINA'!$N75/8</x:f>
        <x:v>0</x:v>
      </x:c>
      <x:c r="HW21" s="128" t="n">
        <x:f>'PROJECT TA Y TB KARINA'!$N75/8</x:f>
        <x:v>0</x:v>
      </x:c>
      <x:c r="HX21" s="128" t="n">
        <x:f>'PROJECT TA Y TB KARINA'!$O75/8</x:f>
        <x:v>0</x:v>
      </x:c>
      <x:c r="HY21" s="128" t="n">
        <x:f>'PROJECT TA Y TB KARINA'!$O75/8</x:f>
        <x:v>0</x:v>
      </x:c>
      <x:c r="HZ21" s="128" t="n">
        <x:f>'PROJECT TA Y TB KARINA'!$O75/8</x:f>
        <x:v>0</x:v>
      </x:c>
      <x:c r="IA21" s="128" t="n">
        <x:f>'PROJECT TA Y TB KARINA'!$O75/8</x:f>
        <x:v>0</x:v>
      </x:c>
      <x:c r="IB21" s="128" t="n">
        <x:f>'PROJECT TA Y TB KARINA'!$O75/8</x:f>
        <x:v>0</x:v>
      </x:c>
      <x:c r="IC21" s="128" t="n">
        <x:f>'PROJECT TA Y TB KARINA'!$O75/8</x:f>
        <x:v>0</x:v>
      </x:c>
      <x:c r="ID21" s="128" t="n">
        <x:f>'PROJECT TA Y TB KARINA'!$O75/8</x:f>
        <x:v>0</x:v>
      </x:c>
      <x:c r="IE21" s="128" t="n">
        <x:f>'PROJECT TA Y TB KARINA'!$O75/8</x:f>
        <x:v>0</x:v>
      </x:c>
      <x:c r="IF21" s="128" t="n">
        <x:f>'PROJECT TA Y TB KARINA'!$P75/8</x:f>
        <x:v>0</x:v>
      </x:c>
      <x:c r="IG21" s="128" t="n">
        <x:f>'PROJECT TA Y TB KARINA'!$P75/8</x:f>
        <x:v>0</x:v>
      </x:c>
      <x:c r="IH21" s="128" t="n">
        <x:f>'PROJECT TA Y TB KARINA'!$P75/8</x:f>
        <x:v>0</x:v>
      </x:c>
      <x:c r="II21" s="128" t="n">
        <x:f>'PROJECT TA Y TB KARINA'!$P75/8</x:f>
        <x:v>0</x:v>
      </x:c>
      <x:c r="IJ21" s="128" t="n">
        <x:f>'PROJECT TA Y TB KARINA'!$P75/8</x:f>
        <x:v>0</x:v>
      </x:c>
      <x:c r="IK21" s="128" t="n">
        <x:f>'PROJECT TA Y TB KARINA'!$P75/8</x:f>
        <x:v>0</x:v>
      </x:c>
      <x:c r="IL21" s="128" t="n">
        <x:f>'PROJECT TA Y TB KARINA'!$P75/8</x:f>
        <x:v>0</x:v>
      </x:c>
      <x:c r="IM21" s="128" t="n">
        <x:f>'PROJECT TA Y TB KARINA'!$P75/8</x:f>
        <x:v>0</x:v>
      </x:c>
      <x:c r="IN21" s="128" t="n">
        <x:f>'PROJECT TA Y TB KARINA'!$Q75/8</x:f>
        <x:v>0</x:v>
      </x:c>
      <x:c r="IO21" s="128" t="n">
        <x:f>'PROJECT TA Y TB KARINA'!$Q75/8</x:f>
        <x:v>0</x:v>
      </x:c>
      <x:c r="IP21" s="128" t="n">
        <x:f>'PROJECT TA Y TB KARINA'!$Q75/8</x:f>
        <x:v>0</x:v>
      </x:c>
      <x:c r="IQ21" s="128" t="n">
        <x:f>'PROJECT TA Y TB KARINA'!$Q75/8</x:f>
        <x:v>0</x:v>
      </x:c>
      <x:c r="IR21" s="128" t="n">
        <x:f>'PROJECT TA Y TB KARINA'!$Q75/8</x:f>
        <x:v>0</x:v>
      </x:c>
      <x:c r="IS21" s="128" t="n">
        <x:f>'PROJECT TA Y TB KARINA'!$Q75/8</x:f>
        <x:v>0</x:v>
      </x:c>
      <x:c r="IT21" s="128" t="n">
        <x:f>'PROJECT TA Y TB KARINA'!$Q75/8</x:f>
        <x:v>0</x:v>
      </x:c>
      <x:c r="IU21" s="128" t="n">
        <x:f>'PROJECT TA Y TB KARINA'!$Q75/8</x:f>
        <x:v>0</x:v>
      </x:c>
      <x:c r="IV21" s="128" t="n">
        <x:f>'PROJECT TA Y TB KARINA'!$R75/8</x:f>
        <x:v>0</x:v>
      </x:c>
      <x:c r="IW21" s="128" t="n">
        <x:f>'PROJECT TA Y TB KARINA'!$R75/8</x:f>
        <x:v>0</x:v>
      </x:c>
      <x:c r="IX21" s="128" t="n">
        <x:f>'PROJECT TA Y TB KARINA'!$R75/8</x:f>
        <x:v>0</x:v>
      </x:c>
      <x:c r="IY21" s="128" t="n">
        <x:f>'PROJECT TA Y TB KARINA'!$R75/8</x:f>
        <x:v>0</x:v>
      </x:c>
      <x:c r="IZ21" s="128" t="n">
        <x:f>'PROJECT TA Y TB KARINA'!$R75/8</x:f>
        <x:v>0</x:v>
      </x:c>
      <x:c r="JA21" s="128" t="n">
        <x:f>'PROJECT TA Y TB KARINA'!$R75/8</x:f>
        <x:v>0</x:v>
      </x:c>
      <x:c r="JB21" s="128" t="n">
        <x:f>'PROJECT TA Y TB KARINA'!$R75/8</x:f>
        <x:v>0</x:v>
      </x:c>
      <x:c r="JC21" s="128" t="n">
        <x:f>'PROJECT TA Y TB KARINA'!$R75/8</x:f>
        <x:v>0</x:v>
      </x:c>
      <x:c r="JD21" s="128" t="n">
        <x:f>'PROJECT TA Y TB KARINA'!$S75/8</x:f>
        <x:v>0</x:v>
      </x:c>
      <x:c r="JE21" s="128" t="n">
        <x:f>'PROJECT TA Y TB KARINA'!$S75/8</x:f>
        <x:v>0</x:v>
      </x:c>
      <x:c r="JF21" s="128" t="n">
        <x:f>'PROJECT TA Y TB KARINA'!$S75/8</x:f>
        <x:v>0</x:v>
      </x:c>
      <x:c r="JG21" s="128" t="n">
        <x:f>'PROJECT TA Y TB KARINA'!$S75/8</x:f>
        <x:v>0</x:v>
      </x:c>
      <x:c r="JH21" s="128" t="n">
        <x:f>'PROJECT TA Y TB KARINA'!$S75/8</x:f>
        <x:v>0</x:v>
      </x:c>
      <x:c r="JI21" s="128" t="n">
        <x:f>'PROJECT TA Y TB KARINA'!$S75/8</x:f>
        <x:v>0</x:v>
      </x:c>
      <x:c r="JJ21" s="128" t="n">
        <x:f>'PROJECT TA Y TB KARINA'!$S75/8</x:f>
        <x:v>0</x:v>
      </x:c>
      <x:c r="JK21" s="128" t="n">
        <x:f>'PROJECT TA Y TB KARINA'!$S75/8</x:f>
        <x:v>0</x:v>
      </x:c>
      <x:c r="JL21" s="128" t="n">
        <x:f>'PROJECT TA Y TB KARINA'!$T75/8</x:f>
        <x:v>0</x:v>
      </x:c>
      <x:c r="JM21" s="128" t="n">
        <x:f>'PROJECT TA Y TB KARINA'!$T75/8</x:f>
        <x:v>0</x:v>
      </x:c>
      <x:c r="JN21" s="128" t="n">
        <x:f>'PROJECT TA Y TB KARINA'!$T75/8</x:f>
        <x:v>0</x:v>
      </x:c>
      <x:c r="JO21" s="128" t="n">
        <x:f>'PROJECT TA Y TB KARINA'!$T75/8</x:f>
        <x:v>0</x:v>
      </x:c>
      <x:c r="JP21" s="128" t="n">
        <x:f>'PROJECT TA Y TB KARINA'!$T75/8</x:f>
        <x:v>0</x:v>
      </x:c>
      <x:c r="JQ21" s="128" t="n">
        <x:f>'PROJECT TA Y TB KARINA'!$T75/8</x:f>
        <x:v>0</x:v>
      </x:c>
      <x:c r="JR21" s="128" t="n">
        <x:f>'PROJECT TA Y TB KARINA'!$T75/8</x:f>
        <x:v>0</x:v>
      </x:c>
      <x:c r="JS21" s="128" t="n">
        <x:f>'PROJECT TA Y TB KARINA'!$T75/8</x:f>
        <x:v>0</x:v>
      </x:c>
      <x:c r="JT21" s="128" t="e">
        <x:f>'PROJECT TA Y TB KARINA'!#REF!/8</x:f>
        <x:v>#NAME?</x:v>
      </x:c>
      <x:c r="JU21" s="128" t="e">
        <x:f>'PROJECT TA Y TB KARINA'!#REF!/8</x:f>
        <x:v>#NAME?</x:v>
      </x:c>
      <x:c r="JV21" s="128" t="e">
        <x:f>'PROJECT TA Y TB KARINA'!#REF!/8</x:f>
        <x:v>#NAME?</x:v>
      </x:c>
      <x:c r="JW21" s="128" t="e">
        <x:f>'PROJECT TA Y TB KARINA'!#REF!/8</x:f>
        <x:v>#NAME?</x:v>
      </x:c>
      <x:c r="JX21" s="128" t="e">
        <x:f>'PROJECT TA Y TB KARINA'!#REF!/8</x:f>
        <x:v>#NAME?</x:v>
      </x:c>
      <x:c r="JY21" s="128" t="e">
        <x:f>'PROJECT TA Y TB KARINA'!#REF!/8</x:f>
        <x:v>#NAME?</x:v>
      </x:c>
      <x:c r="JZ21" s="128" t="e">
        <x:f>'PROJECT TA Y TB KARINA'!#REF!/8</x:f>
        <x:v>#NAME?</x:v>
      </x:c>
      <x:c r="KA21" s="128" t="e">
        <x:f>'PROJECT TA Y TB KARINA'!#REF!/8</x:f>
        <x:v>#NAME?</x:v>
      </x:c>
    </x:row>
    <x:row r="22" ht="21">
      <x:c r="A22" s="130" t="s">
        <x:v>507</x:v>
      </x:c>
      <x:c r="B22" s="128" t="e">
        <x:f>'PROJECT TA Y TB KARINA'!$C$18/8</x:f>
        <x:v>#REF!</x:v>
      </x:c>
      <x:c r="C22" s="128" t="e">
        <x:f>'PROJECT TA Y TB KARINA'!$C$18/8</x:f>
        <x:v>#REF!</x:v>
      </x:c>
      <x:c r="D22" s="128" t="e">
        <x:f>'PROJECT TA Y TB KARINA'!$C$18/8</x:f>
        <x:v>#REF!</x:v>
      </x:c>
      <x:c r="E22" s="128" t="e">
        <x:f>'PROJECT TA Y TB KARINA'!$C$18/8</x:f>
        <x:v>#REF!</x:v>
      </x:c>
      <x:c r="F22" s="128" t="e">
        <x:f>'PROJECT TA Y TB KARINA'!$C$18/8</x:f>
        <x:v>#REF!</x:v>
      </x:c>
      <x:c r="G22" s="128" t="e">
        <x:f>'PROJECT TA Y TB KARINA'!$C$18/8</x:f>
        <x:v>#REF!</x:v>
      </x:c>
      <x:c r="H22" s="128" t="e">
        <x:f>'PROJECT TA Y TB KARINA'!$C$18/8</x:f>
        <x:v>#REF!</x:v>
      </x:c>
      <x:c r="I22" s="128" t="e">
        <x:f>'PROJECT TA Y TB KARINA'!$E18/8</x:f>
        <x:v>#REF!</x:v>
      </x:c>
      <x:c r="J22" s="128" t="e">
        <x:f>'PROJECT TA Y TB KARINA'!$E18/8</x:f>
        <x:v>#REF!</x:v>
      </x:c>
      <x:c r="K22" s="128" t="e">
        <x:f>'PROJECT TA Y TB KARINA'!$E18/8</x:f>
        <x:v>#REF!</x:v>
      </x:c>
      <x:c r="L22" s="128" t="e">
        <x:f>'PROJECT TA Y TB KARINA'!$E18/8</x:f>
        <x:v>#REF!</x:v>
      </x:c>
      <x:c r="M22" s="128" t="e">
        <x:f>'PROJECT TA Y TB KARINA'!$E18/8</x:f>
        <x:v>#REF!</x:v>
      </x:c>
      <x:c r="N22" s="128" t="e">
        <x:f>'PROJECT TA Y TB KARINA'!$E18/8</x:f>
        <x:v>#REF!</x:v>
      </x:c>
      <x:c r="O22" s="128" t="e">
        <x:f>'PROJECT TA Y TB KARINA'!$E18/8</x:f>
        <x:v>#REF!</x:v>
      </x:c>
      <x:c r="P22" s="128" t="e">
        <x:f>'PROJECT TA Y TB KARINA'!$E18/8</x:f>
        <x:v>#REF!</x:v>
      </x:c>
      <x:c r="Q22" s="128" t="e">
        <x:f>'PROJECT TA Y TB KARINA'!$F18/8</x:f>
        <x:v>#REF!</x:v>
      </x:c>
      <x:c r="R22" s="128" t="e">
        <x:f>'PROJECT TA Y TB KARINA'!$F18/8</x:f>
        <x:v>#REF!</x:v>
      </x:c>
      <x:c r="S22" s="128" t="e">
        <x:f>'PROJECT TA Y TB KARINA'!$F18/8</x:f>
        <x:v>#REF!</x:v>
      </x:c>
      <x:c r="T22" s="128" t="e">
        <x:f>'PROJECT TA Y TB KARINA'!$F18/8</x:f>
        <x:v>#REF!</x:v>
      </x:c>
      <x:c r="U22" s="128" t="e">
        <x:f>'PROJECT TA Y TB KARINA'!$F18/8</x:f>
        <x:v>#REF!</x:v>
      </x:c>
      <x:c r="V22" s="128" t="e">
        <x:f>'PROJECT TA Y TB KARINA'!$F18/8</x:f>
        <x:v>#REF!</x:v>
      </x:c>
      <x:c r="W22" s="128" t="e">
        <x:f>'PROJECT TA Y TB KARINA'!$F18/8</x:f>
        <x:v>#REF!</x:v>
      </x:c>
      <x:c r="X22" s="128" t="e">
        <x:f>'PROJECT TA Y TB KARINA'!$F18/8</x:f>
        <x:v>#REF!</x:v>
      </x:c>
      <x:c r="Y22" s="128" t="e">
        <x:f>'PROJECT TA Y TB KARINA'!$G18/8</x:f>
        <x:v>#REF!</x:v>
      </x:c>
      <x:c r="Z22" s="128" t="e">
        <x:f>'PROJECT TA Y TB KARINA'!$G18/8</x:f>
        <x:v>#REF!</x:v>
      </x:c>
      <x:c r="AA22" s="128" t="e">
        <x:f>'PROJECT TA Y TB KARINA'!$G18/8</x:f>
        <x:v>#REF!</x:v>
      </x:c>
      <x:c r="AB22" s="128" t="e">
        <x:f>'PROJECT TA Y TB KARINA'!$G18/8</x:f>
        <x:v>#REF!</x:v>
      </x:c>
      <x:c r="AC22" s="128" t="e">
        <x:f>'PROJECT TA Y TB KARINA'!$G18/8</x:f>
        <x:v>#REF!</x:v>
      </x:c>
      <x:c r="AD22" s="128" t="e">
        <x:f>'PROJECT TA Y TB KARINA'!$G18/8</x:f>
        <x:v>#REF!</x:v>
      </x:c>
      <x:c r="AE22" s="128" t="e">
        <x:f>'PROJECT TA Y TB KARINA'!$G18/8</x:f>
        <x:v>#REF!</x:v>
      </x:c>
      <x:c r="AF22" s="128" t="e">
        <x:f>'PROJECT TA Y TB KARINA'!$G18/8</x:f>
        <x:v>#REF!</x:v>
      </x:c>
      <x:c r="AG22" s="128" t="e">
        <x:f>'PROJECT TA Y TB KARINA'!$H18/8</x:f>
        <x:v>#REF!</x:v>
      </x:c>
      <x:c r="AH22" s="128" t="e">
        <x:f>'PROJECT TA Y TB KARINA'!$H18/8</x:f>
        <x:v>#REF!</x:v>
      </x:c>
      <x:c r="AI22" s="128" t="e">
        <x:f>'PROJECT TA Y TB KARINA'!$H18/8</x:f>
        <x:v>#REF!</x:v>
      </x:c>
      <x:c r="AJ22" s="128" t="e">
        <x:f>'PROJECT TA Y TB KARINA'!$H18/8</x:f>
        <x:v>#REF!</x:v>
      </x:c>
      <x:c r="AK22" s="128" t="e">
        <x:f>'PROJECT TA Y TB KARINA'!$H18/8</x:f>
        <x:v>#REF!</x:v>
      </x:c>
      <x:c r="AL22" s="128" t="e">
        <x:f>'PROJECT TA Y TB KARINA'!$H18/8</x:f>
        <x:v>#REF!</x:v>
      </x:c>
      <x:c r="AM22" s="128" t="e">
        <x:f>'PROJECT TA Y TB KARINA'!$H18/8</x:f>
        <x:v>#REF!</x:v>
      </x:c>
      <x:c r="AN22" s="128" t="e">
        <x:f>'PROJECT TA Y TB KARINA'!$H18/8</x:f>
        <x:v>#REF!</x:v>
      </x:c>
      <x:c r="AO22" s="128" t="e">
        <x:f>'PROJECT TA Y TB KARINA'!$I18/8</x:f>
        <x:v>#REF!</x:v>
      </x:c>
      <x:c r="AP22" s="128" t="e">
        <x:f>'PROJECT TA Y TB KARINA'!$I18/8</x:f>
        <x:v>#REF!</x:v>
      </x:c>
      <x:c r="AQ22" s="128" t="e">
        <x:f>'PROJECT TA Y TB KARINA'!$I18/8</x:f>
        <x:v>#REF!</x:v>
      </x:c>
      <x:c r="AR22" s="128" t="e">
        <x:f>'PROJECT TA Y TB KARINA'!$I18/8</x:f>
        <x:v>#REF!</x:v>
      </x:c>
      <x:c r="AS22" s="128" t="e">
        <x:f>'PROJECT TA Y TB KARINA'!$I18/8</x:f>
        <x:v>#REF!</x:v>
      </x:c>
      <x:c r="AT22" s="128" t="e">
        <x:f>'PROJECT TA Y TB KARINA'!$I18/8</x:f>
        <x:v>#REF!</x:v>
      </x:c>
      <x:c r="AU22" s="128" t="e">
        <x:f>'PROJECT TA Y TB KARINA'!$I18/8</x:f>
        <x:v>#REF!</x:v>
      </x:c>
      <x:c r="AV22" s="128" t="e">
        <x:f>'PROJECT TA Y TB KARINA'!$I18/8</x:f>
        <x:v>#REF!</x:v>
      </x:c>
      <x:c r="AW22" s="128" t="e">
        <x:f>'PROJECT TA Y TB KARINA'!$J18/8</x:f>
        <x:v>#REF!</x:v>
      </x:c>
      <x:c r="AX22" s="128" t="e">
        <x:f>'PROJECT TA Y TB KARINA'!$J18/8</x:f>
        <x:v>#REF!</x:v>
      </x:c>
      <x:c r="AY22" s="128" t="e">
        <x:f>'PROJECT TA Y TB KARINA'!$J18/8</x:f>
        <x:v>#REF!</x:v>
      </x:c>
      <x:c r="AZ22" s="128" t="e">
        <x:f>'PROJECT TA Y TB KARINA'!$J18/8</x:f>
        <x:v>#REF!</x:v>
      </x:c>
      <x:c r="BA22" s="128" t="e">
        <x:f>'PROJECT TA Y TB KARINA'!$J18/8</x:f>
        <x:v>#REF!</x:v>
      </x:c>
      <x:c r="BB22" s="128" t="e">
        <x:f>'PROJECT TA Y TB KARINA'!$J18/8</x:f>
        <x:v>#REF!</x:v>
      </x:c>
      <x:c r="BC22" s="128" t="e">
        <x:f>'PROJECT TA Y TB KARINA'!$J18/8</x:f>
        <x:v>#REF!</x:v>
      </x:c>
      <x:c r="BD22" s="128" t="e">
        <x:f>'PROJECT TA Y TB KARINA'!$J18/8</x:f>
        <x:v>#REF!</x:v>
      </x:c>
      <x:c r="BE22" s="128" t="e">
        <x:f>'PROJECT TA Y TB KARINA'!$K18/8</x:f>
        <x:v>#REF!</x:v>
      </x:c>
      <x:c r="BF22" s="128" t="e">
        <x:f>'PROJECT TA Y TB KARINA'!$K18/8</x:f>
        <x:v>#REF!</x:v>
      </x:c>
      <x:c r="BG22" s="128" t="e">
        <x:f>'PROJECT TA Y TB KARINA'!$K18/8</x:f>
        <x:v>#REF!</x:v>
      </x:c>
      <x:c r="BH22" s="128" t="e">
        <x:f>'PROJECT TA Y TB KARINA'!$K18/8</x:f>
        <x:v>#REF!</x:v>
      </x:c>
      <x:c r="BI22" s="128" t="e">
        <x:f>'PROJECT TA Y TB KARINA'!$K18/8</x:f>
        <x:v>#REF!</x:v>
      </x:c>
      <x:c r="BJ22" s="128" t="e">
        <x:f>'PROJECT TA Y TB KARINA'!$K18/8</x:f>
        <x:v>#REF!</x:v>
      </x:c>
      <x:c r="BK22" s="128" t="e">
        <x:f>'PROJECT TA Y TB KARINA'!$K18/8</x:f>
        <x:v>#REF!</x:v>
      </x:c>
      <x:c r="BL22" s="128" t="e">
        <x:f>'PROJECT TA Y TB KARINA'!$K18/8</x:f>
        <x:v>#REF!</x:v>
      </x:c>
      <x:c r="BM22" s="128" t="e">
        <x:f>'PROJECT TA Y TB KARINA'!$L18/8</x:f>
        <x:v>#REF!</x:v>
      </x:c>
      <x:c r="BN22" s="128" t="e">
        <x:f>'PROJECT TA Y TB KARINA'!$L18/8</x:f>
        <x:v>#REF!</x:v>
      </x:c>
      <x:c r="BO22" s="128" t="e">
        <x:f>'PROJECT TA Y TB KARINA'!$L18/8</x:f>
        <x:v>#REF!</x:v>
      </x:c>
      <x:c r="BP22" s="128" t="e">
        <x:f>'PROJECT TA Y TB KARINA'!$L18/8</x:f>
        <x:v>#REF!</x:v>
      </x:c>
      <x:c r="BQ22" s="128" t="e">
        <x:f>'PROJECT TA Y TB KARINA'!$L18/8</x:f>
        <x:v>#REF!</x:v>
      </x:c>
      <x:c r="BR22" s="128" t="e">
        <x:f>'PROJECT TA Y TB KARINA'!$L18/8</x:f>
        <x:v>#REF!</x:v>
      </x:c>
      <x:c r="BS22" s="128" t="e">
        <x:f>'PROJECT TA Y TB KARINA'!$L18/8</x:f>
        <x:v>#REF!</x:v>
      </x:c>
      <x:c r="BT22" s="128" t="e">
        <x:f>'PROJECT TA Y TB KARINA'!$L18/8</x:f>
        <x:v>#REF!</x:v>
      </x:c>
      <x:c r="BU22" s="128" t="e">
        <x:f>'PROJECT TA Y TB KARINA'!$M18/8</x:f>
        <x:v>#REF!</x:v>
      </x:c>
      <x:c r="BV22" s="128" t="e">
        <x:f>'PROJECT TA Y TB KARINA'!$M18/8</x:f>
        <x:v>#REF!</x:v>
      </x:c>
      <x:c r="BW22" s="128" t="e">
        <x:f>'PROJECT TA Y TB KARINA'!$M18/8</x:f>
        <x:v>#REF!</x:v>
      </x:c>
      <x:c r="BX22" s="128" t="e">
        <x:f>'PROJECT TA Y TB KARINA'!$M18/8</x:f>
        <x:v>#REF!</x:v>
      </x:c>
      <x:c r="BY22" s="128" t="e">
        <x:f>'PROJECT TA Y TB KARINA'!$M18/8</x:f>
        <x:v>#REF!</x:v>
      </x:c>
      <x:c r="BZ22" s="128" t="e">
        <x:f>'PROJECT TA Y TB KARINA'!$M18/8</x:f>
        <x:v>#REF!</x:v>
      </x:c>
      <x:c r="CA22" s="128" t="e">
        <x:f>'PROJECT TA Y TB KARINA'!$M18/8</x:f>
        <x:v>#REF!</x:v>
      </x:c>
      <x:c r="CB22" s="128" t="e">
        <x:f>'PROJECT TA Y TB KARINA'!$M18/8</x:f>
        <x:v>#REF!</x:v>
      </x:c>
      <x:c r="CC22" s="128" t="e">
        <x:f>'PROJECT TA Y TB KARINA'!$N18/8</x:f>
        <x:v>#REF!</x:v>
      </x:c>
      <x:c r="CD22" s="128" t="e">
        <x:f>'PROJECT TA Y TB KARINA'!$N18/8</x:f>
        <x:v>#REF!</x:v>
      </x:c>
      <x:c r="CE22" s="128" t="e">
        <x:f>'PROJECT TA Y TB KARINA'!$N18/8</x:f>
        <x:v>#REF!</x:v>
      </x:c>
      <x:c r="CF22" s="128" t="e">
        <x:f>'PROJECT TA Y TB KARINA'!$N18/8</x:f>
        <x:v>#REF!</x:v>
      </x:c>
      <x:c r="CG22" s="128" t="e">
        <x:f>'PROJECT TA Y TB KARINA'!$N18/8</x:f>
        <x:v>#REF!</x:v>
      </x:c>
      <x:c r="CH22" s="128" t="e">
        <x:f>'PROJECT TA Y TB KARINA'!$N18/8</x:f>
        <x:v>#REF!</x:v>
      </x:c>
      <x:c r="CI22" s="128" t="e">
        <x:f>'PROJECT TA Y TB KARINA'!$N18/8</x:f>
        <x:v>#REF!</x:v>
      </x:c>
      <x:c r="CJ22" s="128" t="e">
        <x:f>'PROJECT TA Y TB KARINA'!$N18/8</x:f>
        <x:v>#REF!</x:v>
      </x:c>
      <x:c r="CK22" s="128" t="e">
        <x:f>'PROJECT TA Y TB KARINA'!$O18/8</x:f>
        <x:v>#REF!</x:v>
      </x:c>
      <x:c r="CL22" s="128" t="e">
        <x:f>'PROJECT TA Y TB KARINA'!$O18/8</x:f>
        <x:v>#REF!</x:v>
      </x:c>
      <x:c r="CM22" s="128" t="e">
        <x:f>'PROJECT TA Y TB KARINA'!$O18/8</x:f>
        <x:v>#REF!</x:v>
      </x:c>
      <x:c r="CN22" s="128" t="e">
        <x:f>'PROJECT TA Y TB KARINA'!$O18/8</x:f>
        <x:v>#REF!</x:v>
      </x:c>
      <x:c r="CO22" s="128" t="e">
        <x:f>'PROJECT TA Y TB KARINA'!$O18/8</x:f>
        <x:v>#REF!</x:v>
      </x:c>
      <x:c r="CP22" s="128" t="e">
        <x:f>'PROJECT TA Y TB KARINA'!$O18/8</x:f>
        <x:v>#REF!</x:v>
      </x:c>
      <x:c r="CQ22" s="128" t="e">
        <x:f>'PROJECT TA Y TB KARINA'!$O18/8</x:f>
        <x:v>#REF!</x:v>
      </x:c>
      <x:c r="CR22" s="128" t="e">
        <x:f>'PROJECT TA Y TB KARINA'!$O18/8</x:f>
        <x:v>#REF!</x:v>
      </x:c>
      <x:c r="CS22" s="128" t="e">
        <x:f>'PROJECT TA Y TB KARINA'!$P18/8</x:f>
        <x:v>#REF!</x:v>
      </x:c>
      <x:c r="CT22" s="128" t="e">
        <x:f>'PROJECT TA Y TB KARINA'!$P18/8</x:f>
        <x:v>#REF!</x:v>
      </x:c>
      <x:c r="CU22" s="128" t="e">
        <x:f>'PROJECT TA Y TB KARINA'!$P18/8</x:f>
        <x:v>#REF!</x:v>
      </x:c>
      <x:c r="CV22" s="128" t="e">
        <x:f>'PROJECT TA Y TB KARINA'!$P18/8</x:f>
        <x:v>#REF!</x:v>
      </x:c>
      <x:c r="CW22" s="128" t="e">
        <x:f>'PROJECT TA Y TB KARINA'!$P18/8</x:f>
        <x:v>#REF!</x:v>
      </x:c>
      <x:c r="CX22" s="128" t="e">
        <x:f>'PROJECT TA Y TB KARINA'!$P18/8</x:f>
        <x:v>#REF!</x:v>
      </x:c>
      <x:c r="CY22" s="128" t="e">
        <x:f>'PROJECT TA Y TB KARINA'!$P18/8</x:f>
        <x:v>#REF!</x:v>
      </x:c>
      <x:c r="CZ22" s="128" t="e">
        <x:f>'PROJECT TA Y TB KARINA'!$P18/8</x:f>
        <x:v>#REF!</x:v>
      </x:c>
      <x:c r="DA22" s="128" t="e">
        <x:f>'PROJECT TA Y TB KARINA'!$Q18/8</x:f>
        <x:v>#REF!</x:v>
      </x:c>
      <x:c r="DB22" s="128" t="e">
        <x:f>'PROJECT TA Y TB KARINA'!$Q18/8</x:f>
        <x:v>#REF!</x:v>
      </x:c>
      <x:c r="DC22" s="128" t="e">
        <x:f>'PROJECT TA Y TB KARINA'!$Q18/8</x:f>
        <x:v>#REF!</x:v>
      </x:c>
      <x:c r="DD22" s="128" t="e">
        <x:f>'PROJECT TA Y TB KARINA'!$Q18/8</x:f>
        <x:v>#REF!</x:v>
      </x:c>
      <x:c r="DE22" s="128" t="e">
        <x:f>'PROJECT TA Y TB KARINA'!$Q18/8</x:f>
        <x:v>#REF!</x:v>
      </x:c>
      <x:c r="DF22" s="128" t="e">
        <x:f>'PROJECT TA Y TB KARINA'!$Q18/8</x:f>
        <x:v>#REF!</x:v>
      </x:c>
      <x:c r="DG22" s="128" t="e">
        <x:f>'PROJECT TA Y TB KARINA'!$Q18/8</x:f>
        <x:v>#REF!</x:v>
      </x:c>
      <x:c r="DH22" s="128" t="e">
        <x:f>'PROJECT TA Y TB KARINA'!$Q18/8</x:f>
        <x:v>#REF!</x:v>
      </x:c>
      <x:c r="DI22" s="128" t="e">
        <x:f>'PROJECT TA Y TB KARINA'!$R18/8</x:f>
        <x:v>#REF!</x:v>
      </x:c>
      <x:c r="DJ22" s="128" t="e">
        <x:f>'PROJECT TA Y TB KARINA'!$R18/8</x:f>
        <x:v>#REF!</x:v>
      </x:c>
      <x:c r="DK22" s="128" t="e">
        <x:f>'PROJECT TA Y TB KARINA'!$R18/8</x:f>
        <x:v>#REF!</x:v>
      </x:c>
      <x:c r="DL22" s="128" t="e">
        <x:f>'PROJECT TA Y TB KARINA'!$R18/8</x:f>
        <x:v>#REF!</x:v>
      </x:c>
      <x:c r="DM22" s="128" t="e">
        <x:f>'PROJECT TA Y TB KARINA'!$R18/8</x:f>
        <x:v>#REF!</x:v>
      </x:c>
      <x:c r="DN22" s="128" t="e">
        <x:f>'PROJECT TA Y TB KARINA'!$R18/8</x:f>
        <x:v>#REF!</x:v>
      </x:c>
      <x:c r="DO22" s="128" t="e">
        <x:f>'PROJECT TA Y TB KARINA'!$R18/8</x:f>
        <x:v>#REF!</x:v>
      </x:c>
      <x:c r="DP22" s="128" t="e">
        <x:f>'PROJECT TA Y TB KARINA'!$R18/8</x:f>
        <x:v>#REF!</x:v>
      </x:c>
      <x:c r="DQ22" s="128" t="e">
        <x:f>'PROJECT TA Y TB KARINA'!$S18/8</x:f>
        <x:v>#REF!</x:v>
      </x:c>
      <x:c r="DR22" s="128" t="e">
        <x:f>'PROJECT TA Y TB KARINA'!$S18/8</x:f>
        <x:v>#REF!</x:v>
      </x:c>
      <x:c r="DS22" s="128" t="e">
        <x:f>'PROJECT TA Y TB KARINA'!$S18/8</x:f>
        <x:v>#REF!</x:v>
      </x:c>
      <x:c r="DT22" s="128" t="e">
        <x:f>'PROJECT TA Y TB KARINA'!$S18/8</x:f>
        <x:v>#REF!</x:v>
      </x:c>
      <x:c r="DU22" s="128" t="e">
        <x:f>'PROJECT TA Y TB KARINA'!$S18/8</x:f>
        <x:v>#REF!</x:v>
      </x:c>
      <x:c r="DV22" s="128" t="e">
        <x:f>'PROJECT TA Y TB KARINA'!$S18/8</x:f>
        <x:v>#REF!</x:v>
      </x:c>
      <x:c r="DW22" s="128" t="e">
        <x:f>'PROJECT TA Y TB KARINA'!$S18/8</x:f>
        <x:v>#REF!</x:v>
      </x:c>
      <x:c r="DX22" s="128" t="e">
        <x:f>'PROJECT TA Y TB KARINA'!$S18/8</x:f>
        <x:v>#REF!</x:v>
      </x:c>
      <x:c r="DY22" s="128" t="e">
        <x:f>'PROJECT TA Y TB KARINA'!$T18/8</x:f>
        <x:v>#REF!</x:v>
      </x:c>
      <x:c r="DZ22" s="128" t="e">
        <x:f>'PROJECT TA Y TB KARINA'!$T18/8</x:f>
        <x:v>#REF!</x:v>
      </x:c>
      <x:c r="EA22" s="128" t="e">
        <x:f>'PROJECT TA Y TB KARINA'!$T18/8</x:f>
        <x:v>#REF!</x:v>
      </x:c>
      <x:c r="EB22" s="128" t="e">
        <x:f>'PROJECT TA Y TB KARINA'!$T18/8</x:f>
        <x:v>#REF!</x:v>
      </x:c>
      <x:c r="EC22" s="128" t="e">
        <x:f>'PROJECT TA Y TB KARINA'!$T18/8</x:f>
        <x:v>#REF!</x:v>
      </x:c>
      <x:c r="ED22" s="128" t="e">
        <x:f>'PROJECT TA Y TB KARINA'!$T18/8</x:f>
        <x:v>#REF!</x:v>
      </x:c>
      <x:c r="EE22" s="128" t="e">
        <x:f>'PROJECT TA Y TB KARINA'!$T18/8</x:f>
        <x:v>#REF!</x:v>
      </x:c>
      <x:c r="EF22" s="128" t="e">
        <x:f>'PROJECT TA Y TB KARINA'!$T18/8</x:f>
        <x:v>#REF!</x:v>
      </x:c>
      <x:c r="EG22" s="128" t="e">
        <x:f>'PROJECT TA Y TB KARINA'!#REF!/8</x:f>
        <x:v>#NAME?</x:v>
      </x:c>
      <x:c r="EH22" s="128" t="e">
        <x:f>'PROJECT TA Y TB KARINA'!#REF!/8</x:f>
        <x:v>#NAME?</x:v>
      </x:c>
      <x:c r="EI22" s="128" t="e">
        <x:f>'PROJECT TA Y TB KARINA'!#REF!/8</x:f>
        <x:v>#NAME?</x:v>
      </x:c>
      <x:c r="EJ22" s="128" t="e">
        <x:f>'PROJECT TA Y TB KARINA'!#REF!/8</x:f>
        <x:v>#NAME?</x:v>
      </x:c>
      <x:c r="EK22" s="128" t="e">
        <x:f>'PROJECT TA Y TB KARINA'!#REF!/8</x:f>
        <x:v>#NAME?</x:v>
      </x:c>
      <x:c r="EL22" s="128" t="e">
        <x:f>'PROJECT TA Y TB KARINA'!#REF!/8</x:f>
        <x:v>#NAME?</x:v>
      </x:c>
      <x:c r="EM22" s="128" t="e">
        <x:f>'PROJECT TA Y TB KARINA'!#REF!/8</x:f>
        <x:v>#NAME?</x:v>
      </x:c>
      <x:c r="EN22" s="128" t="e">
        <x:f>'PROJECT TA Y TB KARINA'!#REF!/8</x:f>
        <x:v>#NAME?</x:v>
      </x:c>
      <x:c r="EO22" s="128" t="n">
        <x:f>'PROJECT TA Y TB KARINA'!$C76/8</x:f>
        <x:v>0</x:v>
      </x:c>
      <x:c r="EP22" s="128" t="n">
        <x:f>'PROJECT TA Y TB KARINA'!$C76/8</x:f>
        <x:v>0</x:v>
      </x:c>
      <x:c r="EQ22" s="128" t="n">
        <x:f>'PROJECT TA Y TB KARINA'!$C76/8</x:f>
        <x:v>0</x:v>
      </x:c>
      <x:c r="ER22" s="128" t="n">
        <x:f>'PROJECT TA Y TB KARINA'!$C76/8</x:f>
        <x:v>0</x:v>
      </x:c>
      <x:c r="ES22" s="128" t="n">
        <x:f>'PROJECT TA Y TB KARINA'!$C76/8</x:f>
        <x:v>0</x:v>
      </x:c>
      <x:c r="ET22" s="128" t="n">
        <x:f>'PROJECT TA Y TB KARINA'!$C76/8</x:f>
        <x:v>0</x:v>
      </x:c>
      <x:c r="EU22" s="128" t="n">
        <x:f>'PROJECT TA Y TB KARINA'!$C76/8</x:f>
        <x:v>0</x:v>
      </x:c>
      <x:c r="EV22" s="128" t="n">
        <x:f>'PROJECT TA Y TB KARINA'!$E76/8</x:f>
        <x:v>0</x:v>
      </x:c>
      <x:c r="EW22" s="128" t="n">
        <x:f>'PROJECT TA Y TB KARINA'!$E76/8</x:f>
        <x:v>0</x:v>
      </x:c>
      <x:c r="EX22" s="128" t="n">
        <x:f>'PROJECT TA Y TB KARINA'!$E76/8</x:f>
        <x:v>0</x:v>
      </x:c>
      <x:c r="EY22" s="128" t="n">
        <x:f>'PROJECT TA Y TB KARINA'!$E76/8</x:f>
        <x:v>0</x:v>
      </x:c>
      <x:c r="EZ22" s="128" t="n">
        <x:f>'PROJECT TA Y TB KARINA'!$E76/8</x:f>
        <x:v>0</x:v>
      </x:c>
      <x:c r="FA22" s="128" t="n">
        <x:f>'PROJECT TA Y TB KARINA'!$E76/8</x:f>
        <x:v>0</x:v>
      </x:c>
      <x:c r="FB22" s="128" t="n">
        <x:f>'PROJECT TA Y TB KARINA'!$E76/8</x:f>
        <x:v>0</x:v>
      </x:c>
      <x:c r="FC22" s="128" t="n">
        <x:f>'PROJECT TA Y TB KARINA'!$E76/8</x:f>
        <x:v>0</x:v>
      </x:c>
      <x:c r="FD22" s="128" t="n">
        <x:f>'PROJECT TA Y TB KARINA'!$F76/8</x:f>
        <x:v>0</x:v>
      </x:c>
      <x:c r="FE22" s="128" t="n">
        <x:f>'PROJECT TA Y TB KARINA'!$F76/8</x:f>
        <x:v>0</x:v>
      </x:c>
      <x:c r="FF22" s="128" t="n">
        <x:f>'PROJECT TA Y TB KARINA'!$F76/8</x:f>
        <x:v>0</x:v>
      </x:c>
      <x:c r="FG22" s="128" t="n">
        <x:f>'PROJECT TA Y TB KARINA'!$F76/8</x:f>
        <x:v>0</x:v>
      </x:c>
      <x:c r="FH22" s="128" t="n">
        <x:f>'PROJECT TA Y TB KARINA'!$F76/8</x:f>
        <x:v>0</x:v>
      </x:c>
      <x:c r="FI22" s="128" t="n">
        <x:f>'PROJECT TA Y TB KARINA'!$F76/8</x:f>
        <x:v>0</x:v>
      </x:c>
      <x:c r="FJ22" s="128" t="n">
        <x:f>'PROJECT TA Y TB KARINA'!$F76/8</x:f>
        <x:v>0</x:v>
      </x:c>
      <x:c r="FK22" s="128" t="n">
        <x:f>'PROJECT TA Y TB KARINA'!$F76/8</x:f>
        <x:v>0</x:v>
      </x:c>
      <x:c r="FL22" s="128" t="n">
        <x:f>'PROJECT TA Y TB KARINA'!$G76/8</x:f>
        <x:v>0</x:v>
      </x:c>
      <x:c r="FM22" s="128" t="n">
        <x:f>'PROJECT TA Y TB KARINA'!$G76/8</x:f>
        <x:v>0</x:v>
      </x:c>
      <x:c r="FN22" s="128" t="n">
        <x:f>'PROJECT TA Y TB KARINA'!$G76/8</x:f>
        <x:v>0</x:v>
      </x:c>
      <x:c r="FO22" s="128" t="n">
        <x:f>'PROJECT TA Y TB KARINA'!$G76/8</x:f>
        <x:v>0</x:v>
      </x:c>
      <x:c r="FP22" s="128" t="n">
        <x:f>'PROJECT TA Y TB KARINA'!$G76/8</x:f>
        <x:v>0</x:v>
      </x:c>
      <x:c r="FQ22" s="128" t="n">
        <x:f>'PROJECT TA Y TB KARINA'!$G76/8</x:f>
        <x:v>0</x:v>
      </x:c>
      <x:c r="FR22" s="128" t="n">
        <x:f>'PROJECT TA Y TB KARINA'!$G76/8</x:f>
        <x:v>0</x:v>
      </x:c>
      <x:c r="FS22" s="128" t="n">
        <x:f>'PROJECT TA Y TB KARINA'!$G76/8</x:f>
        <x:v>0</x:v>
      </x:c>
      <x:c r="FT22" s="128" t="n">
        <x:f>'PROJECT TA Y TB KARINA'!$H76/8</x:f>
        <x:v>0</x:v>
      </x:c>
      <x:c r="FU22" s="128" t="n">
        <x:f>'PROJECT TA Y TB KARINA'!$H76/8</x:f>
        <x:v>0</x:v>
      </x:c>
      <x:c r="FV22" s="128" t="n">
        <x:f>'PROJECT TA Y TB KARINA'!$H76/8</x:f>
        <x:v>0</x:v>
      </x:c>
      <x:c r="FW22" s="128" t="n">
        <x:f>'PROJECT TA Y TB KARINA'!$H76/8</x:f>
        <x:v>0</x:v>
      </x:c>
      <x:c r="FX22" s="128" t="n">
        <x:f>'PROJECT TA Y TB KARINA'!$H76/8</x:f>
        <x:v>0</x:v>
      </x:c>
      <x:c r="FY22" s="128" t="n">
        <x:f>'PROJECT TA Y TB KARINA'!$H76/8</x:f>
        <x:v>0</x:v>
      </x:c>
      <x:c r="FZ22" s="128" t="n">
        <x:f>'PROJECT TA Y TB KARINA'!$H76/8</x:f>
        <x:v>0</x:v>
      </x:c>
      <x:c r="GA22" s="128" t="n">
        <x:f>'PROJECT TA Y TB KARINA'!$H76/8</x:f>
        <x:v>0</x:v>
      </x:c>
      <x:c r="GB22" s="128" t="n">
        <x:f>'PROJECT TA Y TB KARINA'!$I76/8</x:f>
        <x:v>0</x:v>
      </x:c>
      <x:c r="GC22" s="128" t="n">
        <x:f>'PROJECT TA Y TB KARINA'!$I76/8</x:f>
        <x:v>0</x:v>
      </x:c>
      <x:c r="GD22" s="128" t="n">
        <x:f>'PROJECT TA Y TB KARINA'!$I76/8</x:f>
        <x:v>0</x:v>
      </x:c>
      <x:c r="GE22" s="128" t="n">
        <x:f>'PROJECT TA Y TB KARINA'!$I76/8</x:f>
        <x:v>0</x:v>
      </x:c>
      <x:c r="GF22" s="128" t="n">
        <x:f>'PROJECT TA Y TB KARINA'!$I76/8</x:f>
        <x:v>0</x:v>
      </x:c>
      <x:c r="GG22" s="128" t="n">
        <x:f>'PROJECT TA Y TB KARINA'!$I76/8</x:f>
        <x:v>0</x:v>
      </x:c>
      <x:c r="GH22" s="128" t="n">
        <x:f>'PROJECT TA Y TB KARINA'!$I76/8</x:f>
        <x:v>0</x:v>
      </x:c>
      <x:c r="GI22" s="128" t="n">
        <x:f>'PROJECT TA Y TB KARINA'!$I76/8</x:f>
        <x:v>0</x:v>
      </x:c>
      <x:c r="GJ22" s="128" t="n">
        <x:f>'PROJECT TA Y TB KARINA'!$J76/8</x:f>
        <x:v>0</x:v>
      </x:c>
      <x:c r="GK22" s="128" t="n">
        <x:f>'PROJECT TA Y TB KARINA'!$J76/8</x:f>
        <x:v>0</x:v>
      </x:c>
      <x:c r="GL22" s="128" t="n">
        <x:f>'PROJECT TA Y TB KARINA'!$J76/8</x:f>
        <x:v>0</x:v>
      </x:c>
      <x:c r="GM22" s="128" t="n">
        <x:f>'PROJECT TA Y TB KARINA'!$J76/8</x:f>
        <x:v>0</x:v>
      </x:c>
      <x:c r="GN22" s="128" t="n">
        <x:f>'PROJECT TA Y TB KARINA'!$J76/8</x:f>
        <x:v>0</x:v>
      </x:c>
      <x:c r="GO22" s="128" t="n">
        <x:f>'PROJECT TA Y TB KARINA'!$J76/8</x:f>
        <x:v>0</x:v>
      </x:c>
      <x:c r="GP22" s="128" t="n">
        <x:f>'PROJECT TA Y TB KARINA'!$J76/8</x:f>
        <x:v>0</x:v>
      </x:c>
      <x:c r="GQ22" s="128" t="n">
        <x:f>'PROJECT TA Y TB KARINA'!$J76/8</x:f>
        <x:v>0</x:v>
      </x:c>
      <x:c r="GR22" s="128" t="n">
        <x:f>'PROJECT TA Y TB KARINA'!$K76/8</x:f>
        <x:v>0</x:v>
      </x:c>
      <x:c r="GS22" s="128" t="n">
        <x:f>'PROJECT TA Y TB KARINA'!$K76/8</x:f>
        <x:v>0</x:v>
      </x:c>
      <x:c r="GT22" s="128" t="n">
        <x:f>'PROJECT TA Y TB KARINA'!$K76/8</x:f>
        <x:v>0</x:v>
      </x:c>
      <x:c r="GU22" s="128" t="n">
        <x:f>'PROJECT TA Y TB KARINA'!$K76/8</x:f>
        <x:v>0</x:v>
      </x:c>
      <x:c r="GV22" s="128" t="n">
        <x:f>'PROJECT TA Y TB KARINA'!$K76/8</x:f>
        <x:v>0</x:v>
      </x:c>
      <x:c r="GW22" s="128" t="n">
        <x:f>'PROJECT TA Y TB KARINA'!$K76/8</x:f>
        <x:v>0</x:v>
      </x:c>
      <x:c r="GX22" s="128" t="n">
        <x:f>'PROJECT TA Y TB KARINA'!$K76/8</x:f>
        <x:v>0</x:v>
      </x:c>
      <x:c r="GY22" s="128" t="n">
        <x:f>'PROJECT TA Y TB KARINA'!$K76/8</x:f>
        <x:v>0</x:v>
      </x:c>
      <x:c r="GZ22" s="128" t="n">
        <x:f>'PROJECT TA Y TB KARINA'!$L76/8</x:f>
        <x:v>0</x:v>
      </x:c>
      <x:c r="HA22" s="128" t="n">
        <x:f>'PROJECT TA Y TB KARINA'!$L76/8</x:f>
        <x:v>0</x:v>
      </x:c>
      <x:c r="HB22" s="128" t="n">
        <x:f>'PROJECT TA Y TB KARINA'!$L76/8</x:f>
        <x:v>0</x:v>
      </x:c>
      <x:c r="HC22" s="128" t="n">
        <x:f>'PROJECT TA Y TB KARINA'!$L76/8</x:f>
        <x:v>0</x:v>
      </x:c>
      <x:c r="HD22" s="128" t="n">
        <x:f>'PROJECT TA Y TB KARINA'!$L76/8</x:f>
        <x:v>0</x:v>
      </x:c>
      <x:c r="HE22" s="128" t="n">
        <x:f>'PROJECT TA Y TB KARINA'!$L76/8</x:f>
        <x:v>0</x:v>
      </x:c>
      <x:c r="HF22" s="128" t="n">
        <x:f>'PROJECT TA Y TB KARINA'!$L76/8</x:f>
        <x:v>0</x:v>
      </x:c>
      <x:c r="HG22" s="128" t="n">
        <x:f>'PROJECT TA Y TB KARINA'!$L76/8</x:f>
        <x:v>0</x:v>
      </x:c>
      <x:c r="HH22" s="128" t="n">
        <x:f>'PROJECT TA Y TB KARINA'!$M76/8</x:f>
        <x:v>0</x:v>
      </x:c>
      <x:c r="HI22" s="128" t="n">
        <x:f>'PROJECT TA Y TB KARINA'!$M76/8</x:f>
        <x:v>0</x:v>
      </x:c>
      <x:c r="HJ22" s="128" t="n">
        <x:f>'PROJECT TA Y TB KARINA'!$M76/8</x:f>
        <x:v>0</x:v>
      </x:c>
      <x:c r="HK22" s="128" t="n">
        <x:f>'PROJECT TA Y TB KARINA'!$M76/8</x:f>
        <x:v>0</x:v>
      </x:c>
      <x:c r="HL22" s="128" t="n">
        <x:f>'PROJECT TA Y TB KARINA'!$M76/8</x:f>
        <x:v>0</x:v>
      </x:c>
      <x:c r="HM22" s="128" t="n">
        <x:f>'PROJECT TA Y TB KARINA'!$M76/8</x:f>
        <x:v>0</x:v>
      </x:c>
      <x:c r="HN22" s="128" t="n">
        <x:f>'PROJECT TA Y TB KARINA'!$M76/8</x:f>
        <x:v>0</x:v>
      </x:c>
      <x:c r="HO22" s="128" t="n">
        <x:f>'PROJECT TA Y TB KARINA'!$M76/8</x:f>
        <x:v>0</x:v>
      </x:c>
      <x:c r="HP22" s="128" t="n">
        <x:f>'PROJECT TA Y TB KARINA'!$N76/8</x:f>
        <x:v>0</x:v>
      </x:c>
      <x:c r="HQ22" s="128" t="n">
        <x:f>'PROJECT TA Y TB KARINA'!$N76/8</x:f>
        <x:v>0</x:v>
      </x:c>
      <x:c r="HR22" s="128" t="n">
        <x:f>'PROJECT TA Y TB KARINA'!$N76/8</x:f>
        <x:v>0</x:v>
      </x:c>
      <x:c r="HS22" s="128" t="n">
        <x:f>'PROJECT TA Y TB KARINA'!$N76/8</x:f>
        <x:v>0</x:v>
      </x:c>
      <x:c r="HT22" s="128" t="n">
        <x:f>'PROJECT TA Y TB KARINA'!$N76/8</x:f>
        <x:v>0</x:v>
      </x:c>
      <x:c r="HU22" s="128" t="n">
        <x:f>'PROJECT TA Y TB KARINA'!$N76/8</x:f>
        <x:v>0</x:v>
      </x:c>
      <x:c r="HV22" s="128" t="n">
        <x:f>'PROJECT TA Y TB KARINA'!$N76/8</x:f>
        <x:v>0</x:v>
      </x:c>
      <x:c r="HW22" s="128" t="n">
        <x:f>'PROJECT TA Y TB KARINA'!$N76/8</x:f>
        <x:v>0</x:v>
      </x:c>
      <x:c r="HX22" s="128" t="n">
        <x:f>'PROJECT TA Y TB KARINA'!$O76/8</x:f>
        <x:v>0</x:v>
      </x:c>
      <x:c r="HY22" s="128" t="n">
        <x:f>'PROJECT TA Y TB KARINA'!$O76/8</x:f>
        <x:v>0</x:v>
      </x:c>
      <x:c r="HZ22" s="128" t="n">
        <x:f>'PROJECT TA Y TB KARINA'!$O76/8</x:f>
        <x:v>0</x:v>
      </x:c>
      <x:c r="IA22" s="128" t="n">
        <x:f>'PROJECT TA Y TB KARINA'!$O76/8</x:f>
        <x:v>0</x:v>
      </x:c>
      <x:c r="IB22" s="128" t="n">
        <x:f>'PROJECT TA Y TB KARINA'!$O76/8</x:f>
        <x:v>0</x:v>
      </x:c>
      <x:c r="IC22" s="128" t="n">
        <x:f>'PROJECT TA Y TB KARINA'!$O76/8</x:f>
        <x:v>0</x:v>
      </x:c>
      <x:c r="ID22" s="128" t="n">
        <x:f>'PROJECT TA Y TB KARINA'!$O76/8</x:f>
        <x:v>0</x:v>
      </x:c>
      <x:c r="IE22" s="128" t="n">
        <x:f>'PROJECT TA Y TB KARINA'!$O76/8</x:f>
        <x:v>0</x:v>
      </x:c>
      <x:c r="IF22" s="128" t="n">
        <x:f>'PROJECT TA Y TB KARINA'!$P76/8</x:f>
        <x:v>0</x:v>
      </x:c>
      <x:c r="IG22" s="128" t="n">
        <x:f>'PROJECT TA Y TB KARINA'!$P76/8</x:f>
        <x:v>0</x:v>
      </x:c>
      <x:c r="IH22" s="128" t="n">
        <x:f>'PROJECT TA Y TB KARINA'!$P76/8</x:f>
        <x:v>0</x:v>
      </x:c>
      <x:c r="II22" s="128" t="n">
        <x:f>'PROJECT TA Y TB KARINA'!$P76/8</x:f>
        <x:v>0</x:v>
      </x:c>
      <x:c r="IJ22" s="128" t="n">
        <x:f>'PROJECT TA Y TB KARINA'!$P76/8</x:f>
        <x:v>0</x:v>
      </x:c>
      <x:c r="IK22" s="128" t="n">
        <x:f>'PROJECT TA Y TB KARINA'!$P76/8</x:f>
        <x:v>0</x:v>
      </x:c>
      <x:c r="IL22" s="128" t="n">
        <x:f>'PROJECT TA Y TB KARINA'!$P76/8</x:f>
        <x:v>0</x:v>
      </x:c>
      <x:c r="IM22" s="128" t="n">
        <x:f>'PROJECT TA Y TB KARINA'!$P76/8</x:f>
        <x:v>0</x:v>
      </x:c>
      <x:c r="IN22" s="128" t="n">
        <x:f>'PROJECT TA Y TB KARINA'!$Q76/8</x:f>
        <x:v>0</x:v>
      </x:c>
      <x:c r="IO22" s="128" t="n">
        <x:f>'PROJECT TA Y TB KARINA'!$Q76/8</x:f>
        <x:v>0</x:v>
      </x:c>
      <x:c r="IP22" s="128" t="n">
        <x:f>'PROJECT TA Y TB KARINA'!$Q76/8</x:f>
        <x:v>0</x:v>
      </x:c>
      <x:c r="IQ22" s="128" t="n">
        <x:f>'PROJECT TA Y TB KARINA'!$Q76/8</x:f>
        <x:v>0</x:v>
      </x:c>
      <x:c r="IR22" s="128" t="n">
        <x:f>'PROJECT TA Y TB KARINA'!$Q76/8</x:f>
        <x:v>0</x:v>
      </x:c>
      <x:c r="IS22" s="128" t="n">
        <x:f>'PROJECT TA Y TB KARINA'!$Q76/8</x:f>
        <x:v>0</x:v>
      </x:c>
      <x:c r="IT22" s="128" t="n">
        <x:f>'PROJECT TA Y TB KARINA'!$Q76/8</x:f>
        <x:v>0</x:v>
      </x:c>
      <x:c r="IU22" s="128" t="n">
        <x:f>'PROJECT TA Y TB KARINA'!$Q76/8</x:f>
        <x:v>0</x:v>
      </x:c>
      <x:c r="IV22" s="128" t="n">
        <x:f>'PROJECT TA Y TB KARINA'!$R76/8</x:f>
        <x:v>0</x:v>
      </x:c>
      <x:c r="IW22" s="128" t="n">
        <x:f>'PROJECT TA Y TB KARINA'!$R76/8</x:f>
        <x:v>0</x:v>
      </x:c>
      <x:c r="IX22" s="128" t="n">
        <x:f>'PROJECT TA Y TB KARINA'!$R76/8</x:f>
        <x:v>0</x:v>
      </x:c>
      <x:c r="IY22" s="128" t="n">
        <x:f>'PROJECT TA Y TB KARINA'!$R76/8</x:f>
        <x:v>0</x:v>
      </x:c>
      <x:c r="IZ22" s="128" t="n">
        <x:f>'PROJECT TA Y TB KARINA'!$R76/8</x:f>
        <x:v>0</x:v>
      </x:c>
      <x:c r="JA22" s="128" t="n">
        <x:f>'PROJECT TA Y TB KARINA'!$R76/8</x:f>
        <x:v>0</x:v>
      </x:c>
      <x:c r="JB22" s="128" t="n">
        <x:f>'PROJECT TA Y TB KARINA'!$R76/8</x:f>
        <x:v>0</x:v>
      </x:c>
      <x:c r="JC22" s="128" t="n">
        <x:f>'PROJECT TA Y TB KARINA'!$R76/8</x:f>
        <x:v>0</x:v>
      </x:c>
      <x:c r="JD22" s="128" t="n">
        <x:f>'PROJECT TA Y TB KARINA'!$S76/8</x:f>
        <x:v>0</x:v>
      </x:c>
      <x:c r="JE22" s="128" t="n">
        <x:f>'PROJECT TA Y TB KARINA'!$S76/8</x:f>
        <x:v>0</x:v>
      </x:c>
      <x:c r="JF22" s="128" t="n">
        <x:f>'PROJECT TA Y TB KARINA'!$S76/8</x:f>
        <x:v>0</x:v>
      </x:c>
      <x:c r="JG22" s="128" t="n">
        <x:f>'PROJECT TA Y TB KARINA'!$S76/8</x:f>
        <x:v>0</x:v>
      </x:c>
      <x:c r="JH22" s="128" t="n">
        <x:f>'PROJECT TA Y TB KARINA'!$S76/8</x:f>
        <x:v>0</x:v>
      </x:c>
      <x:c r="JI22" s="128" t="n">
        <x:f>'PROJECT TA Y TB KARINA'!$S76/8</x:f>
        <x:v>0</x:v>
      </x:c>
      <x:c r="JJ22" s="128" t="n">
        <x:f>'PROJECT TA Y TB KARINA'!$S76/8</x:f>
        <x:v>0</x:v>
      </x:c>
      <x:c r="JK22" s="128" t="n">
        <x:f>'PROJECT TA Y TB KARINA'!$S76/8</x:f>
        <x:v>0</x:v>
      </x:c>
      <x:c r="JL22" s="128" t="n">
        <x:f>'PROJECT TA Y TB KARINA'!$T76/8</x:f>
        <x:v>0</x:v>
      </x:c>
      <x:c r="JM22" s="128" t="n">
        <x:f>'PROJECT TA Y TB KARINA'!$T76/8</x:f>
        <x:v>0</x:v>
      </x:c>
      <x:c r="JN22" s="128" t="n">
        <x:f>'PROJECT TA Y TB KARINA'!$T76/8</x:f>
        <x:v>0</x:v>
      </x:c>
      <x:c r="JO22" s="128" t="n">
        <x:f>'PROJECT TA Y TB KARINA'!$T76/8</x:f>
        <x:v>0</x:v>
      </x:c>
      <x:c r="JP22" s="128" t="n">
        <x:f>'PROJECT TA Y TB KARINA'!$T76/8</x:f>
        <x:v>0</x:v>
      </x:c>
      <x:c r="JQ22" s="128" t="n">
        <x:f>'PROJECT TA Y TB KARINA'!$T76/8</x:f>
        <x:v>0</x:v>
      </x:c>
      <x:c r="JR22" s="128" t="n">
        <x:f>'PROJECT TA Y TB KARINA'!$T76/8</x:f>
        <x:v>0</x:v>
      </x:c>
      <x:c r="JS22" s="128" t="n">
        <x:f>'PROJECT TA Y TB KARINA'!$T76/8</x:f>
        <x:v>0</x:v>
      </x:c>
      <x:c r="JT22" s="128" t="e">
        <x:f>'PROJECT TA Y TB KARINA'!#REF!/8</x:f>
        <x:v>#NAME?</x:v>
      </x:c>
      <x:c r="JU22" s="128" t="e">
        <x:f>'PROJECT TA Y TB KARINA'!#REF!/8</x:f>
        <x:v>#NAME?</x:v>
      </x:c>
      <x:c r="JV22" s="128" t="e">
        <x:f>'PROJECT TA Y TB KARINA'!#REF!/8</x:f>
        <x:v>#NAME?</x:v>
      </x:c>
      <x:c r="JW22" s="128" t="e">
        <x:f>'PROJECT TA Y TB KARINA'!#REF!/8</x:f>
        <x:v>#NAME?</x:v>
      </x:c>
      <x:c r="JX22" s="128" t="e">
        <x:f>'PROJECT TA Y TB KARINA'!#REF!/8</x:f>
        <x:v>#NAME?</x:v>
      </x:c>
      <x:c r="JY22" s="128" t="e">
        <x:f>'PROJECT TA Y TB KARINA'!#REF!/8</x:f>
        <x:v>#NAME?</x:v>
      </x:c>
      <x:c r="JZ22" s="128" t="e">
        <x:f>'PROJECT TA Y TB KARINA'!#REF!/8</x:f>
        <x:v>#NAME?</x:v>
      </x:c>
      <x:c r="KA22" s="128" t="e">
        <x:f>'PROJECT TA Y TB KARINA'!#REF!/8</x:f>
        <x:v>#NAME?</x:v>
      </x:c>
    </x:row>
    <x:row r="23" ht="21">
      <x:c r="A23" s="130" t="s">
        <x:v>508</x:v>
      </x:c>
      <x:c r="B23" s="128" t="e">
        <x:f>'PROJECT TA Y TB KARINA'!$C$19/8</x:f>
        <x:v>#REF!</x:v>
      </x:c>
      <x:c r="C23" s="128" t="e">
        <x:f>'PROJECT TA Y TB KARINA'!$C$19/8</x:f>
        <x:v>#REF!</x:v>
      </x:c>
      <x:c r="D23" s="128" t="e">
        <x:f>'PROJECT TA Y TB KARINA'!$C$19/8</x:f>
        <x:v>#REF!</x:v>
      </x:c>
      <x:c r="E23" s="128" t="e">
        <x:f>'PROJECT TA Y TB KARINA'!$C$19/8</x:f>
        <x:v>#REF!</x:v>
      </x:c>
      <x:c r="F23" s="128" t="e">
        <x:f>'PROJECT TA Y TB KARINA'!$C$19/8</x:f>
        <x:v>#REF!</x:v>
      </x:c>
      <x:c r="G23" s="128" t="e">
        <x:f>'PROJECT TA Y TB KARINA'!$C$19/8</x:f>
        <x:v>#REF!</x:v>
      </x:c>
      <x:c r="H23" s="128" t="e">
        <x:f>'PROJECT TA Y TB KARINA'!$C$19/8</x:f>
        <x:v>#REF!</x:v>
      </x:c>
      <x:c r="I23" s="128" t="e">
        <x:f>'PROJECT TA Y TB KARINA'!$E19/8</x:f>
        <x:v>#REF!</x:v>
      </x:c>
      <x:c r="J23" s="128" t="e">
        <x:f>'PROJECT TA Y TB KARINA'!$E19/8</x:f>
        <x:v>#REF!</x:v>
      </x:c>
      <x:c r="K23" s="128" t="e">
        <x:f>'PROJECT TA Y TB KARINA'!$E19/8</x:f>
        <x:v>#REF!</x:v>
      </x:c>
      <x:c r="L23" s="128" t="e">
        <x:f>'PROJECT TA Y TB KARINA'!$E19/8</x:f>
        <x:v>#REF!</x:v>
      </x:c>
      <x:c r="M23" s="128" t="e">
        <x:f>'PROJECT TA Y TB KARINA'!$E19/8</x:f>
        <x:v>#REF!</x:v>
      </x:c>
      <x:c r="N23" s="128" t="e">
        <x:f>'PROJECT TA Y TB KARINA'!$E19/8</x:f>
        <x:v>#REF!</x:v>
      </x:c>
      <x:c r="O23" s="128" t="e">
        <x:f>'PROJECT TA Y TB KARINA'!$E19/8</x:f>
        <x:v>#REF!</x:v>
      </x:c>
      <x:c r="P23" s="128" t="e">
        <x:f>'PROJECT TA Y TB KARINA'!$E19/8</x:f>
        <x:v>#REF!</x:v>
      </x:c>
      <x:c r="Q23" s="128" t="e">
        <x:f>'PROJECT TA Y TB KARINA'!$F19/8</x:f>
        <x:v>#REF!</x:v>
      </x:c>
      <x:c r="R23" s="128" t="e">
        <x:f>'PROJECT TA Y TB KARINA'!$F19/8</x:f>
        <x:v>#REF!</x:v>
      </x:c>
      <x:c r="S23" s="128" t="e">
        <x:f>'PROJECT TA Y TB KARINA'!$F19/8</x:f>
        <x:v>#REF!</x:v>
      </x:c>
      <x:c r="T23" s="128" t="e">
        <x:f>'PROJECT TA Y TB KARINA'!$F19/8</x:f>
        <x:v>#REF!</x:v>
      </x:c>
      <x:c r="U23" s="128" t="e">
        <x:f>'PROJECT TA Y TB KARINA'!$F19/8</x:f>
        <x:v>#REF!</x:v>
      </x:c>
      <x:c r="V23" s="128" t="e">
        <x:f>'PROJECT TA Y TB KARINA'!$F19/8</x:f>
        <x:v>#REF!</x:v>
      </x:c>
      <x:c r="W23" s="128" t="e">
        <x:f>'PROJECT TA Y TB KARINA'!$F19/8</x:f>
        <x:v>#REF!</x:v>
      </x:c>
      <x:c r="X23" s="128" t="e">
        <x:f>'PROJECT TA Y TB KARINA'!$F19/8</x:f>
        <x:v>#REF!</x:v>
      </x:c>
      <x:c r="Y23" s="128" t="e">
        <x:f>'PROJECT TA Y TB KARINA'!$G19/8</x:f>
        <x:v>#REF!</x:v>
      </x:c>
      <x:c r="Z23" s="128" t="e">
        <x:f>'PROJECT TA Y TB KARINA'!$G19/8</x:f>
        <x:v>#REF!</x:v>
      </x:c>
      <x:c r="AA23" s="128" t="e">
        <x:f>'PROJECT TA Y TB KARINA'!$G19/8</x:f>
        <x:v>#REF!</x:v>
      </x:c>
      <x:c r="AB23" s="128" t="e">
        <x:f>'PROJECT TA Y TB KARINA'!$G19/8</x:f>
        <x:v>#REF!</x:v>
      </x:c>
      <x:c r="AC23" s="128" t="e">
        <x:f>'PROJECT TA Y TB KARINA'!$G19/8</x:f>
        <x:v>#REF!</x:v>
      </x:c>
      <x:c r="AD23" s="128" t="e">
        <x:f>'PROJECT TA Y TB KARINA'!$G19/8</x:f>
        <x:v>#REF!</x:v>
      </x:c>
      <x:c r="AE23" s="128" t="e">
        <x:f>'PROJECT TA Y TB KARINA'!$G19/8</x:f>
        <x:v>#REF!</x:v>
      </x:c>
      <x:c r="AF23" s="128" t="e">
        <x:f>'PROJECT TA Y TB KARINA'!$G19/8</x:f>
        <x:v>#REF!</x:v>
      </x:c>
      <x:c r="AG23" s="128" t="e">
        <x:f>'PROJECT TA Y TB KARINA'!$H19/8</x:f>
        <x:v>#REF!</x:v>
      </x:c>
      <x:c r="AH23" s="128" t="e">
        <x:f>'PROJECT TA Y TB KARINA'!$H19/8</x:f>
        <x:v>#REF!</x:v>
      </x:c>
      <x:c r="AI23" s="128" t="e">
        <x:f>'PROJECT TA Y TB KARINA'!$H19/8</x:f>
        <x:v>#REF!</x:v>
      </x:c>
      <x:c r="AJ23" s="128" t="e">
        <x:f>'PROJECT TA Y TB KARINA'!$H19/8</x:f>
        <x:v>#REF!</x:v>
      </x:c>
      <x:c r="AK23" s="128" t="e">
        <x:f>'PROJECT TA Y TB KARINA'!$H19/8</x:f>
        <x:v>#REF!</x:v>
      </x:c>
      <x:c r="AL23" s="128" t="e">
        <x:f>'PROJECT TA Y TB KARINA'!$H19/8</x:f>
        <x:v>#REF!</x:v>
      </x:c>
      <x:c r="AM23" s="128" t="e">
        <x:f>'PROJECT TA Y TB KARINA'!$H19/8</x:f>
        <x:v>#REF!</x:v>
      </x:c>
      <x:c r="AN23" s="128" t="e">
        <x:f>'PROJECT TA Y TB KARINA'!$H19/8</x:f>
        <x:v>#REF!</x:v>
      </x:c>
      <x:c r="AO23" s="128" t="e">
        <x:f>'PROJECT TA Y TB KARINA'!$I19/8</x:f>
        <x:v>#REF!</x:v>
      </x:c>
      <x:c r="AP23" s="128" t="e">
        <x:f>'PROJECT TA Y TB KARINA'!$I19/8</x:f>
        <x:v>#REF!</x:v>
      </x:c>
      <x:c r="AQ23" s="128" t="e">
        <x:f>'PROJECT TA Y TB KARINA'!$I19/8</x:f>
        <x:v>#REF!</x:v>
      </x:c>
      <x:c r="AR23" s="128" t="e">
        <x:f>'PROJECT TA Y TB KARINA'!$I19/8</x:f>
        <x:v>#REF!</x:v>
      </x:c>
      <x:c r="AS23" s="128" t="e">
        <x:f>'PROJECT TA Y TB KARINA'!$I19/8</x:f>
        <x:v>#REF!</x:v>
      </x:c>
      <x:c r="AT23" s="128" t="e">
        <x:f>'PROJECT TA Y TB KARINA'!$I19/8</x:f>
        <x:v>#REF!</x:v>
      </x:c>
      <x:c r="AU23" s="128" t="e">
        <x:f>'PROJECT TA Y TB KARINA'!$I19/8</x:f>
        <x:v>#REF!</x:v>
      </x:c>
      <x:c r="AV23" s="128" t="e">
        <x:f>'PROJECT TA Y TB KARINA'!$I19/8</x:f>
        <x:v>#REF!</x:v>
      </x:c>
      <x:c r="AW23" s="128" t="e">
        <x:f>'PROJECT TA Y TB KARINA'!$J19/8</x:f>
        <x:v>#REF!</x:v>
      </x:c>
      <x:c r="AX23" s="128" t="e">
        <x:f>'PROJECT TA Y TB KARINA'!$J19/8</x:f>
        <x:v>#REF!</x:v>
      </x:c>
      <x:c r="AY23" s="128" t="e">
        <x:f>'PROJECT TA Y TB KARINA'!$J19/8</x:f>
        <x:v>#REF!</x:v>
      </x:c>
      <x:c r="AZ23" s="128" t="e">
        <x:f>'PROJECT TA Y TB KARINA'!$J19/8</x:f>
        <x:v>#REF!</x:v>
      </x:c>
      <x:c r="BA23" s="128" t="e">
        <x:f>'PROJECT TA Y TB KARINA'!$J19/8</x:f>
        <x:v>#REF!</x:v>
      </x:c>
      <x:c r="BB23" s="128" t="e">
        <x:f>'PROJECT TA Y TB KARINA'!$J19/8</x:f>
        <x:v>#REF!</x:v>
      </x:c>
      <x:c r="BC23" s="128" t="e">
        <x:f>'PROJECT TA Y TB KARINA'!$J19/8</x:f>
        <x:v>#REF!</x:v>
      </x:c>
      <x:c r="BD23" s="128" t="e">
        <x:f>'PROJECT TA Y TB KARINA'!$J19/8</x:f>
        <x:v>#REF!</x:v>
      </x:c>
      <x:c r="BE23" s="128" t="e">
        <x:f>'PROJECT TA Y TB KARINA'!$K19/8</x:f>
        <x:v>#REF!</x:v>
      </x:c>
      <x:c r="BF23" s="128" t="e">
        <x:f>'PROJECT TA Y TB KARINA'!$K19/8</x:f>
        <x:v>#REF!</x:v>
      </x:c>
      <x:c r="BG23" s="128" t="e">
        <x:f>'PROJECT TA Y TB KARINA'!$K19/8</x:f>
        <x:v>#REF!</x:v>
      </x:c>
      <x:c r="BH23" s="128" t="e">
        <x:f>'PROJECT TA Y TB KARINA'!$K19/8</x:f>
        <x:v>#REF!</x:v>
      </x:c>
      <x:c r="BI23" s="128" t="e">
        <x:f>'PROJECT TA Y TB KARINA'!$K19/8</x:f>
        <x:v>#REF!</x:v>
      </x:c>
      <x:c r="BJ23" s="128" t="e">
        <x:f>'PROJECT TA Y TB KARINA'!$K19/8</x:f>
        <x:v>#REF!</x:v>
      </x:c>
      <x:c r="BK23" s="128" t="e">
        <x:f>'PROJECT TA Y TB KARINA'!$K19/8</x:f>
        <x:v>#REF!</x:v>
      </x:c>
      <x:c r="BL23" s="128" t="e">
        <x:f>'PROJECT TA Y TB KARINA'!$K19/8</x:f>
        <x:v>#REF!</x:v>
      </x:c>
      <x:c r="BM23" s="128" t="e">
        <x:f>'PROJECT TA Y TB KARINA'!$L19/8</x:f>
        <x:v>#REF!</x:v>
      </x:c>
      <x:c r="BN23" s="128" t="e">
        <x:f>'PROJECT TA Y TB KARINA'!$L19/8</x:f>
        <x:v>#REF!</x:v>
      </x:c>
      <x:c r="BO23" s="128" t="e">
        <x:f>'PROJECT TA Y TB KARINA'!$L19/8</x:f>
        <x:v>#REF!</x:v>
      </x:c>
      <x:c r="BP23" s="128" t="e">
        <x:f>'PROJECT TA Y TB KARINA'!$L19/8</x:f>
        <x:v>#REF!</x:v>
      </x:c>
      <x:c r="BQ23" s="128" t="e">
        <x:f>'PROJECT TA Y TB KARINA'!$L19/8</x:f>
        <x:v>#REF!</x:v>
      </x:c>
      <x:c r="BR23" s="128" t="e">
        <x:f>'PROJECT TA Y TB KARINA'!$L19/8</x:f>
        <x:v>#REF!</x:v>
      </x:c>
      <x:c r="BS23" s="128" t="e">
        <x:f>'PROJECT TA Y TB KARINA'!$L19/8</x:f>
        <x:v>#REF!</x:v>
      </x:c>
      <x:c r="BT23" s="128" t="e">
        <x:f>'PROJECT TA Y TB KARINA'!$L19/8</x:f>
        <x:v>#REF!</x:v>
      </x:c>
      <x:c r="BU23" s="128" t="e">
        <x:f>'PROJECT TA Y TB KARINA'!$M19/8</x:f>
        <x:v>#REF!</x:v>
      </x:c>
      <x:c r="BV23" s="128" t="e">
        <x:f>'PROJECT TA Y TB KARINA'!$M19/8</x:f>
        <x:v>#REF!</x:v>
      </x:c>
      <x:c r="BW23" s="128" t="e">
        <x:f>'PROJECT TA Y TB KARINA'!$M19/8</x:f>
        <x:v>#REF!</x:v>
      </x:c>
      <x:c r="BX23" s="128" t="e">
        <x:f>'PROJECT TA Y TB KARINA'!$M19/8</x:f>
        <x:v>#REF!</x:v>
      </x:c>
      <x:c r="BY23" s="128" t="e">
        <x:f>'PROJECT TA Y TB KARINA'!$M19/8</x:f>
        <x:v>#REF!</x:v>
      </x:c>
      <x:c r="BZ23" s="128" t="e">
        <x:f>'PROJECT TA Y TB KARINA'!$M19/8</x:f>
        <x:v>#REF!</x:v>
      </x:c>
      <x:c r="CA23" s="128" t="e">
        <x:f>'PROJECT TA Y TB KARINA'!$M19/8</x:f>
        <x:v>#REF!</x:v>
      </x:c>
      <x:c r="CB23" s="128" t="e">
        <x:f>'PROJECT TA Y TB KARINA'!$M19/8</x:f>
        <x:v>#REF!</x:v>
      </x:c>
      <x:c r="CC23" s="128" t="e">
        <x:f>'PROJECT TA Y TB KARINA'!$N19/8</x:f>
        <x:v>#REF!</x:v>
      </x:c>
      <x:c r="CD23" s="128" t="e">
        <x:f>'PROJECT TA Y TB KARINA'!$N19/8</x:f>
        <x:v>#REF!</x:v>
      </x:c>
      <x:c r="CE23" s="128" t="e">
        <x:f>'PROJECT TA Y TB KARINA'!$N19/8</x:f>
        <x:v>#REF!</x:v>
      </x:c>
      <x:c r="CF23" s="128" t="e">
        <x:f>'PROJECT TA Y TB KARINA'!$N19/8</x:f>
        <x:v>#REF!</x:v>
      </x:c>
      <x:c r="CG23" s="128" t="e">
        <x:f>'PROJECT TA Y TB KARINA'!$N19/8</x:f>
        <x:v>#REF!</x:v>
      </x:c>
      <x:c r="CH23" s="128" t="e">
        <x:f>'PROJECT TA Y TB KARINA'!$N19/8</x:f>
        <x:v>#REF!</x:v>
      </x:c>
      <x:c r="CI23" s="128" t="e">
        <x:f>'PROJECT TA Y TB KARINA'!$N19/8</x:f>
        <x:v>#REF!</x:v>
      </x:c>
      <x:c r="CJ23" s="128" t="e">
        <x:f>'PROJECT TA Y TB KARINA'!$N19/8</x:f>
        <x:v>#REF!</x:v>
      </x:c>
      <x:c r="CK23" s="128" t="e">
        <x:f>'PROJECT TA Y TB KARINA'!$O19/8</x:f>
        <x:v>#REF!</x:v>
      </x:c>
      <x:c r="CL23" s="128" t="e">
        <x:f>'PROJECT TA Y TB KARINA'!$O19/8</x:f>
        <x:v>#REF!</x:v>
      </x:c>
      <x:c r="CM23" s="128" t="e">
        <x:f>'PROJECT TA Y TB KARINA'!$O19/8</x:f>
        <x:v>#REF!</x:v>
      </x:c>
      <x:c r="CN23" s="128" t="e">
        <x:f>'PROJECT TA Y TB KARINA'!$O19/8</x:f>
        <x:v>#REF!</x:v>
      </x:c>
      <x:c r="CO23" s="128" t="e">
        <x:f>'PROJECT TA Y TB KARINA'!$O19/8</x:f>
        <x:v>#REF!</x:v>
      </x:c>
      <x:c r="CP23" s="128" t="e">
        <x:f>'PROJECT TA Y TB KARINA'!$O19/8</x:f>
        <x:v>#REF!</x:v>
      </x:c>
      <x:c r="CQ23" s="128" t="e">
        <x:f>'PROJECT TA Y TB KARINA'!$O19/8</x:f>
        <x:v>#REF!</x:v>
      </x:c>
      <x:c r="CR23" s="128" t="e">
        <x:f>'PROJECT TA Y TB KARINA'!$O19/8</x:f>
        <x:v>#REF!</x:v>
      </x:c>
      <x:c r="CS23" s="128" t="e">
        <x:f>'PROJECT TA Y TB KARINA'!$P19/8</x:f>
        <x:v>#REF!</x:v>
      </x:c>
      <x:c r="CT23" s="128" t="e">
        <x:f>'PROJECT TA Y TB KARINA'!$P19/8</x:f>
        <x:v>#REF!</x:v>
      </x:c>
      <x:c r="CU23" s="128" t="e">
        <x:f>'PROJECT TA Y TB KARINA'!$P19/8</x:f>
        <x:v>#REF!</x:v>
      </x:c>
      <x:c r="CV23" s="128" t="e">
        <x:f>'PROJECT TA Y TB KARINA'!$P19/8</x:f>
        <x:v>#REF!</x:v>
      </x:c>
      <x:c r="CW23" s="128" t="e">
        <x:f>'PROJECT TA Y TB KARINA'!$P19/8</x:f>
        <x:v>#REF!</x:v>
      </x:c>
      <x:c r="CX23" s="128" t="e">
        <x:f>'PROJECT TA Y TB KARINA'!$P19/8</x:f>
        <x:v>#REF!</x:v>
      </x:c>
      <x:c r="CY23" s="128" t="e">
        <x:f>'PROJECT TA Y TB KARINA'!$P19/8</x:f>
        <x:v>#REF!</x:v>
      </x:c>
      <x:c r="CZ23" s="128" t="e">
        <x:f>'PROJECT TA Y TB KARINA'!$P19/8</x:f>
        <x:v>#REF!</x:v>
      </x:c>
      <x:c r="DA23" s="128" t="e">
        <x:f>'PROJECT TA Y TB KARINA'!$Q19/8</x:f>
        <x:v>#REF!</x:v>
      </x:c>
      <x:c r="DB23" s="128" t="e">
        <x:f>'PROJECT TA Y TB KARINA'!$Q19/8</x:f>
        <x:v>#REF!</x:v>
      </x:c>
      <x:c r="DC23" s="128" t="e">
        <x:f>'PROJECT TA Y TB KARINA'!$Q19/8</x:f>
        <x:v>#REF!</x:v>
      </x:c>
      <x:c r="DD23" s="128" t="e">
        <x:f>'PROJECT TA Y TB KARINA'!$Q19/8</x:f>
        <x:v>#REF!</x:v>
      </x:c>
      <x:c r="DE23" s="128" t="e">
        <x:f>'PROJECT TA Y TB KARINA'!$Q19/8</x:f>
        <x:v>#REF!</x:v>
      </x:c>
      <x:c r="DF23" s="128" t="e">
        <x:f>'PROJECT TA Y TB KARINA'!$Q19/8</x:f>
        <x:v>#REF!</x:v>
      </x:c>
      <x:c r="DG23" s="128" t="e">
        <x:f>'PROJECT TA Y TB KARINA'!$Q19/8</x:f>
        <x:v>#REF!</x:v>
      </x:c>
      <x:c r="DH23" s="128" t="e">
        <x:f>'PROJECT TA Y TB KARINA'!$Q19/8</x:f>
        <x:v>#REF!</x:v>
      </x:c>
      <x:c r="DI23" s="128" t="e">
        <x:f>'PROJECT TA Y TB KARINA'!$R19/8</x:f>
        <x:v>#REF!</x:v>
      </x:c>
      <x:c r="DJ23" s="128" t="e">
        <x:f>'PROJECT TA Y TB KARINA'!$R19/8</x:f>
        <x:v>#REF!</x:v>
      </x:c>
      <x:c r="DK23" s="128" t="e">
        <x:f>'PROJECT TA Y TB KARINA'!$R19/8</x:f>
        <x:v>#REF!</x:v>
      </x:c>
      <x:c r="DL23" s="128" t="e">
        <x:f>'PROJECT TA Y TB KARINA'!$R19/8</x:f>
        <x:v>#REF!</x:v>
      </x:c>
      <x:c r="DM23" s="128" t="e">
        <x:f>'PROJECT TA Y TB KARINA'!$R19/8</x:f>
        <x:v>#REF!</x:v>
      </x:c>
      <x:c r="DN23" s="128" t="e">
        <x:f>'PROJECT TA Y TB KARINA'!$R19/8</x:f>
        <x:v>#REF!</x:v>
      </x:c>
      <x:c r="DO23" s="128" t="e">
        <x:f>'PROJECT TA Y TB KARINA'!$R19/8</x:f>
        <x:v>#REF!</x:v>
      </x:c>
      <x:c r="DP23" s="128" t="e">
        <x:f>'PROJECT TA Y TB KARINA'!$R19/8</x:f>
        <x:v>#REF!</x:v>
      </x:c>
      <x:c r="DQ23" s="128" t="e">
        <x:f>'PROJECT TA Y TB KARINA'!$S19/8</x:f>
        <x:v>#REF!</x:v>
      </x:c>
      <x:c r="DR23" s="128" t="e">
        <x:f>'PROJECT TA Y TB KARINA'!$S19/8</x:f>
        <x:v>#REF!</x:v>
      </x:c>
      <x:c r="DS23" s="128" t="e">
        <x:f>'PROJECT TA Y TB KARINA'!$S19/8</x:f>
        <x:v>#REF!</x:v>
      </x:c>
      <x:c r="DT23" s="128" t="e">
        <x:f>'PROJECT TA Y TB KARINA'!$S19/8</x:f>
        <x:v>#REF!</x:v>
      </x:c>
      <x:c r="DU23" s="128" t="e">
        <x:f>'PROJECT TA Y TB KARINA'!$S19/8</x:f>
        <x:v>#REF!</x:v>
      </x:c>
      <x:c r="DV23" s="128" t="e">
        <x:f>'PROJECT TA Y TB KARINA'!$S19/8</x:f>
        <x:v>#REF!</x:v>
      </x:c>
      <x:c r="DW23" s="128" t="e">
        <x:f>'PROJECT TA Y TB KARINA'!$S19/8</x:f>
        <x:v>#REF!</x:v>
      </x:c>
      <x:c r="DX23" s="128" t="e">
        <x:f>'PROJECT TA Y TB KARINA'!$S19/8</x:f>
        <x:v>#REF!</x:v>
      </x:c>
      <x:c r="DY23" s="128" t="e">
        <x:f>'PROJECT TA Y TB KARINA'!$T19/8</x:f>
        <x:v>#REF!</x:v>
      </x:c>
      <x:c r="DZ23" s="128" t="e">
        <x:f>'PROJECT TA Y TB KARINA'!$T19/8</x:f>
        <x:v>#REF!</x:v>
      </x:c>
      <x:c r="EA23" s="128" t="e">
        <x:f>'PROJECT TA Y TB KARINA'!$T19/8</x:f>
        <x:v>#REF!</x:v>
      </x:c>
      <x:c r="EB23" s="128" t="e">
        <x:f>'PROJECT TA Y TB KARINA'!$T19/8</x:f>
        <x:v>#REF!</x:v>
      </x:c>
      <x:c r="EC23" s="128" t="e">
        <x:f>'PROJECT TA Y TB KARINA'!$T19/8</x:f>
        <x:v>#REF!</x:v>
      </x:c>
      <x:c r="ED23" s="128" t="e">
        <x:f>'PROJECT TA Y TB KARINA'!$T19/8</x:f>
        <x:v>#REF!</x:v>
      </x:c>
      <x:c r="EE23" s="128" t="e">
        <x:f>'PROJECT TA Y TB KARINA'!$T19/8</x:f>
        <x:v>#REF!</x:v>
      </x:c>
      <x:c r="EF23" s="128" t="e">
        <x:f>'PROJECT TA Y TB KARINA'!$T19/8</x:f>
        <x:v>#REF!</x:v>
      </x:c>
      <x:c r="EG23" s="128" t="e">
        <x:f>'PROJECT TA Y TB KARINA'!#REF!/8</x:f>
        <x:v>#NAME?</x:v>
      </x:c>
      <x:c r="EH23" s="128" t="e">
        <x:f>'PROJECT TA Y TB KARINA'!#REF!/8</x:f>
        <x:v>#NAME?</x:v>
      </x:c>
      <x:c r="EI23" s="128" t="e">
        <x:f>'PROJECT TA Y TB KARINA'!#REF!/8</x:f>
        <x:v>#NAME?</x:v>
      </x:c>
      <x:c r="EJ23" s="128" t="e">
        <x:f>'PROJECT TA Y TB KARINA'!#REF!/8</x:f>
        <x:v>#NAME?</x:v>
      </x:c>
      <x:c r="EK23" s="128" t="e">
        <x:f>'PROJECT TA Y TB KARINA'!#REF!/8</x:f>
        <x:v>#NAME?</x:v>
      </x:c>
      <x:c r="EL23" s="128" t="e">
        <x:f>'PROJECT TA Y TB KARINA'!#REF!/8</x:f>
        <x:v>#NAME?</x:v>
      </x:c>
      <x:c r="EM23" s="128" t="e">
        <x:f>'PROJECT TA Y TB KARINA'!#REF!/8</x:f>
        <x:v>#NAME?</x:v>
      </x:c>
      <x:c r="EN23" s="128" t="e">
        <x:f>'PROJECT TA Y TB KARINA'!#REF!/8</x:f>
        <x:v>#NAME?</x:v>
      </x:c>
      <x:c r="EO23" s="128" t="n">
        <x:f>'PROJECT TA Y TB KARINA'!$C77/8</x:f>
        <x:v>0</x:v>
      </x:c>
      <x:c r="EP23" s="128" t="n">
        <x:f>'PROJECT TA Y TB KARINA'!$C77/8</x:f>
        <x:v>0</x:v>
      </x:c>
      <x:c r="EQ23" s="128" t="n">
        <x:f>'PROJECT TA Y TB KARINA'!$C77/8</x:f>
        <x:v>0</x:v>
      </x:c>
      <x:c r="ER23" s="128" t="n">
        <x:f>'PROJECT TA Y TB KARINA'!$C77/8</x:f>
        <x:v>0</x:v>
      </x:c>
      <x:c r="ES23" s="128" t="n">
        <x:f>'PROJECT TA Y TB KARINA'!$C77/8</x:f>
        <x:v>0</x:v>
      </x:c>
      <x:c r="ET23" s="128" t="n">
        <x:f>'PROJECT TA Y TB KARINA'!$C77/8</x:f>
        <x:v>0</x:v>
      </x:c>
      <x:c r="EU23" s="128" t="n">
        <x:f>'PROJECT TA Y TB KARINA'!$C77/8</x:f>
        <x:v>0</x:v>
      </x:c>
      <x:c r="EV23" s="128" t="n">
        <x:f>'PROJECT TA Y TB KARINA'!$E77/8</x:f>
        <x:v>0</x:v>
      </x:c>
      <x:c r="EW23" s="128" t="n">
        <x:f>'PROJECT TA Y TB KARINA'!$E77/8</x:f>
        <x:v>0</x:v>
      </x:c>
      <x:c r="EX23" s="128" t="n">
        <x:f>'PROJECT TA Y TB KARINA'!$E77/8</x:f>
        <x:v>0</x:v>
      </x:c>
      <x:c r="EY23" s="128" t="n">
        <x:f>'PROJECT TA Y TB KARINA'!$E77/8</x:f>
        <x:v>0</x:v>
      </x:c>
      <x:c r="EZ23" s="128" t="n">
        <x:f>'PROJECT TA Y TB KARINA'!$E77/8</x:f>
        <x:v>0</x:v>
      </x:c>
      <x:c r="FA23" s="128" t="n">
        <x:f>'PROJECT TA Y TB KARINA'!$E77/8</x:f>
        <x:v>0</x:v>
      </x:c>
      <x:c r="FB23" s="128" t="n">
        <x:f>'PROJECT TA Y TB KARINA'!$E77/8</x:f>
        <x:v>0</x:v>
      </x:c>
      <x:c r="FC23" s="128" t="n">
        <x:f>'PROJECT TA Y TB KARINA'!$E77/8</x:f>
        <x:v>0</x:v>
      </x:c>
      <x:c r="FD23" s="128" t="n">
        <x:f>'PROJECT TA Y TB KARINA'!$F77/8</x:f>
        <x:v>0</x:v>
      </x:c>
      <x:c r="FE23" s="128" t="n">
        <x:f>'PROJECT TA Y TB KARINA'!$F77/8</x:f>
        <x:v>0</x:v>
      </x:c>
      <x:c r="FF23" s="128" t="n">
        <x:f>'PROJECT TA Y TB KARINA'!$F77/8</x:f>
        <x:v>0</x:v>
      </x:c>
      <x:c r="FG23" s="128" t="n">
        <x:f>'PROJECT TA Y TB KARINA'!$F77/8</x:f>
        <x:v>0</x:v>
      </x:c>
      <x:c r="FH23" s="128" t="n">
        <x:f>'PROJECT TA Y TB KARINA'!$F77/8</x:f>
        <x:v>0</x:v>
      </x:c>
      <x:c r="FI23" s="128" t="n">
        <x:f>'PROJECT TA Y TB KARINA'!$F77/8</x:f>
        <x:v>0</x:v>
      </x:c>
      <x:c r="FJ23" s="128" t="n">
        <x:f>'PROJECT TA Y TB KARINA'!$F77/8</x:f>
        <x:v>0</x:v>
      </x:c>
      <x:c r="FK23" s="128" t="n">
        <x:f>'PROJECT TA Y TB KARINA'!$F77/8</x:f>
        <x:v>0</x:v>
      </x:c>
      <x:c r="FL23" s="128" t="n">
        <x:f>'PROJECT TA Y TB KARINA'!$G77/8</x:f>
        <x:v>0</x:v>
      </x:c>
      <x:c r="FM23" s="128" t="n">
        <x:f>'PROJECT TA Y TB KARINA'!$G77/8</x:f>
        <x:v>0</x:v>
      </x:c>
      <x:c r="FN23" s="128" t="n">
        <x:f>'PROJECT TA Y TB KARINA'!$G77/8</x:f>
        <x:v>0</x:v>
      </x:c>
      <x:c r="FO23" s="128" t="n">
        <x:f>'PROJECT TA Y TB KARINA'!$G77/8</x:f>
        <x:v>0</x:v>
      </x:c>
      <x:c r="FP23" s="128" t="n">
        <x:f>'PROJECT TA Y TB KARINA'!$G77/8</x:f>
        <x:v>0</x:v>
      </x:c>
      <x:c r="FQ23" s="128" t="n">
        <x:f>'PROJECT TA Y TB KARINA'!$G77/8</x:f>
        <x:v>0</x:v>
      </x:c>
      <x:c r="FR23" s="128" t="n">
        <x:f>'PROJECT TA Y TB KARINA'!$G77/8</x:f>
        <x:v>0</x:v>
      </x:c>
      <x:c r="FS23" s="128" t="n">
        <x:f>'PROJECT TA Y TB KARINA'!$G77/8</x:f>
        <x:v>0</x:v>
      </x:c>
      <x:c r="FT23" s="128" t="n">
        <x:f>'PROJECT TA Y TB KARINA'!$H77/8</x:f>
        <x:v>0</x:v>
      </x:c>
      <x:c r="FU23" s="128" t="n">
        <x:f>'PROJECT TA Y TB KARINA'!$H77/8</x:f>
        <x:v>0</x:v>
      </x:c>
      <x:c r="FV23" s="128" t="n">
        <x:f>'PROJECT TA Y TB KARINA'!$H77/8</x:f>
        <x:v>0</x:v>
      </x:c>
      <x:c r="FW23" s="128" t="n">
        <x:f>'PROJECT TA Y TB KARINA'!$H77/8</x:f>
        <x:v>0</x:v>
      </x:c>
      <x:c r="FX23" s="128" t="n">
        <x:f>'PROJECT TA Y TB KARINA'!$H77/8</x:f>
        <x:v>0</x:v>
      </x:c>
      <x:c r="FY23" s="128" t="n">
        <x:f>'PROJECT TA Y TB KARINA'!$H77/8</x:f>
        <x:v>0</x:v>
      </x:c>
      <x:c r="FZ23" s="128" t="n">
        <x:f>'PROJECT TA Y TB KARINA'!$H77/8</x:f>
        <x:v>0</x:v>
      </x:c>
      <x:c r="GA23" s="128" t="n">
        <x:f>'PROJECT TA Y TB KARINA'!$H77/8</x:f>
        <x:v>0</x:v>
      </x:c>
      <x:c r="GB23" s="128" t="n">
        <x:f>'PROJECT TA Y TB KARINA'!$I77/8</x:f>
        <x:v>0</x:v>
      </x:c>
      <x:c r="GC23" s="128" t="n">
        <x:f>'PROJECT TA Y TB KARINA'!$I77/8</x:f>
        <x:v>0</x:v>
      </x:c>
      <x:c r="GD23" s="128" t="n">
        <x:f>'PROJECT TA Y TB KARINA'!$I77/8</x:f>
        <x:v>0</x:v>
      </x:c>
      <x:c r="GE23" s="128" t="n">
        <x:f>'PROJECT TA Y TB KARINA'!$I77/8</x:f>
        <x:v>0</x:v>
      </x:c>
      <x:c r="GF23" s="128" t="n">
        <x:f>'PROJECT TA Y TB KARINA'!$I77/8</x:f>
        <x:v>0</x:v>
      </x:c>
      <x:c r="GG23" s="128" t="n">
        <x:f>'PROJECT TA Y TB KARINA'!$I77/8</x:f>
        <x:v>0</x:v>
      </x:c>
      <x:c r="GH23" s="128" t="n">
        <x:f>'PROJECT TA Y TB KARINA'!$I77/8</x:f>
        <x:v>0</x:v>
      </x:c>
      <x:c r="GI23" s="128" t="n">
        <x:f>'PROJECT TA Y TB KARINA'!$I77/8</x:f>
        <x:v>0</x:v>
      </x:c>
      <x:c r="GJ23" s="128" t="n">
        <x:f>'PROJECT TA Y TB KARINA'!$J77/8</x:f>
        <x:v>0</x:v>
      </x:c>
      <x:c r="GK23" s="128" t="n">
        <x:f>'PROJECT TA Y TB KARINA'!$J77/8</x:f>
        <x:v>0</x:v>
      </x:c>
      <x:c r="GL23" s="128" t="n">
        <x:f>'PROJECT TA Y TB KARINA'!$J77/8</x:f>
        <x:v>0</x:v>
      </x:c>
      <x:c r="GM23" s="128" t="n">
        <x:f>'PROJECT TA Y TB KARINA'!$J77/8</x:f>
        <x:v>0</x:v>
      </x:c>
      <x:c r="GN23" s="128" t="n">
        <x:f>'PROJECT TA Y TB KARINA'!$J77/8</x:f>
        <x:v>0</x:v>
      </x:c>
      <x:c r="GO23" s="128" t="n">
        <x:f>'PROJECT TA Y TB KARINA'!$J77/8</x:f>
        <x:v>0</x:v>
      </x:c>
      <x:c r="GP23" s="128" t="n">
        <x:f>'PROJECT TA Y TB KARINA'!$J77/8</x:f>
        <x:v>0</x:v>
      </x:c>
      <x:c r="GQ23" s="128" t="n">
        <x:f>'PROJECT TA Y TB KARINA'!$J77/8</x:f>
        <x:v>0</x:v>
      </x:c>
      <x:c r="GR23" s="128" t="n">
        <x:f>'PROJECT TA Y TB KARINA'!$K77/8</x:f>
        <x:v>0</x:v>
      </x:c>
      <x:c r="GS23" s="128" t="n">
        <x:f>'PROJECT TA Y TB KARINA'!$K77/8</x:f>
        <x:v>0</x:v>
      </x:c>
      <x:c r="GT23" s="128" t="n">
        <x:f>'PROJECT TA Y TB KARINA'!$K77/8</x:f>
        <x:v>0</x:v>
      </x:c>
      <x:c r="GU23" s="128" t="n">
        <x:f>'PROJECT TA Y TB KARINA'!$K77/8</x:f>
        <x:v>0</x:v>
      </x:c>
      <x:c r="GV23" s="128" t="n">
        <x:f>'PROJECT TA Y TB KARINA'!$K77/8</x:f>
        <x:v>0</x:v>
      </x:c>
      <x:c r="GW23" s="128" t="n">
        <x:f>'PROJECT TA Y TB KARINA'!$K77/8</x:f>
        <x:v>0</x:v>
      </x:c>
      <x:c r="GX23" s="128" t="n">
        <x:f>'PROJECT TA Y TB KARINA'!$K77/8</x:f>
        <x:v>0</x:v>
      </x:c>
      <x:c r="GY23" s="128" t="n">
        <x:f>'PROJECT TA Y TB KARINA'!$K77/8</x:f>
        <x:v>0</x:v>
      </x:c>
      <x:c r="GZ23" s="128" t="n">
        <x:f>'PROJECT TA Y TB KARINA'!$L77/8</x:f>
        <x:v>0</x:v>
      </x:c>
      <x:c r="HA23" s="128" t="n">
        <x:f>'PROJECT TA Y TB KARINA'!$L77/8</x:f>
        <x:v>0</x:v>
      </x:c>
      <x:c r="HB23" s="128" t="n">
        <x:f>'PROJECT TA Y TB KARINA'!$L77/8</x:f>
        <x:v>0</x:v>
      </x:c>
      <x:c r="HC23" s="128" t="n">
        <x:f>'PROJECT TA Y TB KARINA'!$L77/8</x:f>
        <x:v>0</x:v>
      </x:c>
      <x:c r="HD23" s="128" t="n">
        <x:f>'PROJECT TA Y TB KARINA'!$L77/8</x:f>
        <x:v>0</x:v>
      </x:c>
      <x:c r="HE23" s="128" t="n">
        <x:f>'PROJECT TA Y TB KARINA'!$L77/8</x:f>
        <x:v>0</x:v>
      </x:c>
      <x:c r="HF23" s="128" t="n">
        <x:f>'PROJECT TA Y TB KARINA'!$L77/8</x:f>
        <x:v>0</x:v>
      </x:c>
      <x:c r="HG23" s="128" t="n">
        <x:f>'PROJECT TA Y TB KARINA'!$L77/8</x:f>
        <x:v>0</x:v>
      </x:c>
      <x:c r="HH23" s="128" t="n">
        <x:f>'PROJECT TA Y TB KARINA'!$M77/8</x:f>
        <x:v>0</x:v>
      </x:c>
      <x:c r="HI23" s="128" t="n">
        <x:f>'PROJECT TA Y TB KARINA'!$M77/8</x:f>
        <x:v>0</x:v>
      </x:c>
      <x:c r="HJ23" s="128" t="n">
        <x:f>'PROJECT TA Y TB KARINA'!$M77/8</x:f>
        <x:v>0</x:v>
      </x:c>
      <x:c r="HK23" s="128" t="n">
        <x:f>'PROJECT TA Y TB KARINA'!$M77/8</x:f>
        <x:v>0</x:v>
      </x:c>
      <x:c r="HL23" s="128" t="n">
        <x:f>'PROJECT TA Y TB KARINA'!$M77/8</x:f>
        <x:v>0</x:v>
      </x:c>
      <x:c r="HM23" s="128" t="n">
        <x:f>'PROJECT TA Y TB KARINA'!$M77/8</x:f>
        <x:v>0</x:v>
      </x:c>
      <x:c r="HN23" s="128" t="n">
        <x:f>'PROJECT TA Y TB KARINA'!$M77/8</x:f>
        <x:v>0</x:v>
      </x:c>
      <x:c r="HO23" s="128" t="n">
        <x:f>'PROJECT TA Y TB KARINA'!$M77/8</x:f>
        <x:v>0</x:v>
      </x:c>
      <x:c r="HP23" s="128" t="n">
        <x:f>'PROJECT TA Y TB KARINA'!$N77/8</x:f>
        <x:v>0</x:v>
      </x:c>
      <x:c r="HQ23" s="128" t="n">
        <x:f>'PROJECT TA Y TB KARINA'!$N77/8</x:f>
        <x:v>0</x:v>
      </x:c>
      <x:c r="HR23" s="128" t="n">
        <x:f>'PROJECT TA Y TB KARINA'!$N77/8</x:f>
        <x:v>0</x:v>
      </x:c>
      <x:c r="HS23" s="128" t="n">
        <x:f>'PROJECT TA Y TB KARINA'!$N77/8</x:f>
        <x:v>0</x:v>
      </x:c>
      <x:c r="HT23" s="128" t="n">
        <x:f>'PROJECT TA Y TB KARINA'!$N77/8</x:f>
        <x:v>0</x:v>
      </x:c>
      <x:c r="HU23" s="128" t="n">
        <x:f>'PROJECT TA Y TB KARINA'!$N77/8</x:f>
        <x:v>0</x:v>
      </x:c>
      <x:c r="HV23" s="128" t="n">
        <x:f>'PROJECT TA Y TB KARINA'!$N77/8</x:f>
        <x:v>0</x:v>
      </x:c>
      <x:c r="HW23" s="128" t="n">
        <x:f>'PROJECT TA Y TB KARINA'!$N77/8</x:f>
        <x:v>0</x:v>
      </x:c>
      <x:c r="HX23" s="128" t="n">
        <x:f>'PROJECT TA Y TB KARINA'!$O77/8</x:f>
        <x:v>0</x:v>
      </x:c>
      <x:c r="HY23" s="128" t="n">
        <x:f>'PROJECT TA Y TB KARINA'!$O77/8</x:f>
        <x:v>0</x:v>
      </x:c>
      <x:c r="HZ23" s="128" t="n">
        <x:f>'PROJECT TA Y TB KARINA'!$O77/8</x:f>
        <x:v>0</x:v>
      </x:c>
      <x:c r="IA23" s="128" t="n">
        <x:f>'PROJECT TA Y TB KARINA'!$O77/8</x:f>
        <x:v>0</x:v>
      </x:c>
      <x:c r="IB23" s="128" t="n">
        <x:f>'PROJECT TA Y TB KARINA'!$O77/8</x:f>
        <x:v>0</x:v>
      </x:c>
      <x:c r="IC23" s="128" t="n">
        <x:f>'PROJECT TA Y TB KARINA'!$O77/8</x:f>
        <x:v>0</x:v>
      </x:c>
      <x:c r="ID23" s="128" t="n">
        <x:f>'PROJECT TA Y TB KARINA'!$O77/8</x:f>
        <x:v>0</x:v>
      </x:c>
      <x:c r="IE23" s="128" t="n">
        <x:f>'PROJECT TA Y TB KARINA'!$O77/8</x:f>
        <x:v>0</x:v>
      </x:c>
      <x:c r="IF23" s="128" t="n">
        <x:f>'PROJECT TA Y TB KARINA'!$P77/8</x:f>
        <x:v>0</x:v>
      </x:c>
      <x:c r="IG23" s="128" t="n">
        <x:f>'PROJECT TA Y TB KARINA'!$P77/8</x:f>
        <x:v>0</x:v>
      </x:c>
      <x:c r="IH23" s="128" t="n">
        <x:f>'PROJECT TA Y TB KARINA'!$P77/8</x:f>
        <x:v>0</x:v>
      </x:c>
      <x:c r="II23" s="128" t="n">
        <x:f>'PROJECT TA Y TB KARINA'!$P77/8</x:f>
        <x:v>0</x:v>
      </x:c>
      <x:c r="IJ23" s="128" t="n">
        <x:f>'PROJECT TA Y TB KARINA'!$P77/8</x:f>
        <x:v>0</x:v>
      </x:c>
      <x:c r="IK23" s="128" t="n">
        <x:f>'PROJECT TA Y TB KARINA'!$P77/8</x:f>
        <x:v>0</x:v>
      </x:c>
      <x:c r="IL23" s="128" t="n">
        <x:f>'PROJECT TA Y TB KARINA'!$P77/8</x:f>
        <x:v>0</x:v>
      </x:c>
      <x:c r="IM23" s="128" t="n">
        <x:f>'PROJECT TA Y TB KARINA'!$P77/8</x:f>
        <x:v>0</x:v>
      </x:c>
      <x:c r="IN23" s="128" t="n">
        <x:f>'PROJECT TA Y TB KARINA'!$Q77/8</x:f>
        <x:v>0</x:v>
      </x:c>
      <x:c r="IO23" s="128" t="n">
        <x:f>'PROJECT TA Y TB KARINA'!$Q77/8</x:f>
        <x:v>0</x:v>
      </x:c>
      <x:c r="IP23" s="128" t="n">
        <x:f>'PROJECT TA Y TB KARINA'!$Q77/8</x:f>
        <x:v>0</x:v>
      </x:c>
      <x:c r="IQ23" s="128" t="n">
        <x:f>'PROJECT TA Y TB KARINA'!$Q77/8</x:f>
        <x:v>0</x:v>
      </x:c>
      <x:c r="IR23" s="128" t="n">
        <x:f>'PROJECT TA Y TB KARINA'!$Q77/8</x:f>
        <x:v>0</x:v>
      </x:c>
      <x:c r="IS23" s="128" t="n">
        <x:f>'PROJECT TA Y TB KARINA'!$Q77/8</x:f>
        <x:v>0</x:v>
      </x:c>
      <x:c r="IT23" s="128" t="n">
        <x:f>'PROJECT TA Y TB KARINA'!$Q77/8</x:f>
        <x:v>0</x:v>
      </x:c>
      <x:c r="IU23" s="128" t="n">
        <x:f>'PROJECT TA Y TB KARINA'!$Q77/8</x:f>
        <x:v>0</x:v>
      </x:c>
      <x:c r="IV23" s="128" t="n">
        <x:f>'PROJECT TA Y TB KARINA'!$R77/8</x:f>
        <x:v>0</x:v>
      </x:c>
      <x:c r="IW23" s="128" t="n">
        <x:f>'PROJECT TA Y TB KARINA'!$R77/8</x:f>
        <x:v>0</x:v>
      </x:c>
      <x:c r="IX23" s="128" t="n">
        <x:f>'PROJECT TA Y TB KARINA'!$R77/8</x:f>
        <x:v>0</x:v>
      </x:c>
      <x:c r="IY23" s="128" t="n">
        <x:f>'PROJECT TA Y TB KARINA'!$R77/8</x:f>
        <x:v>0</x:v>
      </x:c>
      <x:c r="IZ23" s="128" t="n">
        <x:f>'PROJECT TA Y TB KARINA'!$R77/8</x:f>
        <x:v>0</x:v>
      </x:c>
      <x:c r="JA23" s="128" t="n">
        <x:f>'PROJECT TA Y TB KARINA'!$R77/8</x:f>
        <x:v>0</x:v>
      </x:c>
      <x:c r="JB23" s="128" t="n">
        <x:f>'PROJECT TA Y TB KARINA'!$R77/8</x:f>
        <x:v>0</x:v>
      </x:c>
      <x:c r="JC23" s="128" t="n">
        <x:f>'PROJECT TA Y TB KARINA'!$R77/8</x:f>
        <x:v>0</x:v>
      </x:c>
      <x:c r="JD23" s="128" t="n">
        <x:f>'PROJECT TA Y TB KARINA'!$S77/8</x:f>
        <x:v>0</x:v>
      </x:c>
      <x:c r="JE23" s="128" t="n">
        <x:f>'PROJECT TA Y TB KARINA'!$S77/8</x:f>
        <x:v>0</x:v>
      </x:c>
      <x:c r="JF23" s="128" t="n">
        <x:f>'PROJECT TA Y TB KARINA'!$S77/8</x:f>
        <x:v>0</x:v>
      </x:c>
      <x:c r="JG23" s="128" t="n">
        <x:f>'PROJECT TA Y TB KARINA'!$S77/8</x:f>
        <x:v>0</x:v>
      </x:c>
      <x:c r="JH23" s="128" t="n">
        <x:f>'PROJECT TA Y TB KARINA'!$S77/8</x:f>
        <x:v>0</x:v>
      </x:c>
      <x:c r="JI23" s="128" t="n">
        <x:f>'PROJECT TA Y TB KARINA'!$S77/8</x:f>
        <x:v>0</x:v>
      </x:c>
      <x:c r="JJ23" s="128" t="n">
        <x:f>'PROJECT TA Y TB KARINA'!$S77/8</x:f>
        <x:v>0</x:v>
      </x:c>
      <x:c r="JK23" s="128" t="n">
        <x:f>'PROJECT TA Y TB KARINA'!$S77/8</x:f>
        <x:v>0</x:v>
      </x:c>
      <x:c r="JL23" s="128" t="n">
        <x:f>'PROJECT TA Y TB KARINA'!$T77/8</x:f>
        <x:v>0</x:v>
      </x:c>
      <x:c r="JM23" s="128" t="n">
        <x:f>'PROJECT TA Y TB KARINA'!$T77/8</x:f>
        <x:v>0</x:v>
      </x:c>
      <x:c r="JN23" s="128" t="n">
        <x:f>'PROJECT TA Y TB KARINA'!$T77/8</x:f>
        <x:v>0</x:v>
      </x:c>
      <x:c r="JO23" s="128" t="n">
        <x:f>'PROJECT TA Y TB KARINA'!$T77/8</x:f>
        <x:v>0</x:v>
      </x:c>
      <x:c r="JP23" s="128" t="n">
        <x:f>'PROJECT TA Y TB KARINA'!$T77/8</x:f>
        <x:v>0</x:v>
      </x:c>
      <x:c r="JQ23" s="128" t="n">
        <x:f>'PROJECT TA Y TB KARINA'!$T77/8</x:f>
        <x:v>0</x:v>
      </x:c>
      <x:c r="JR23" s="128" t="n">
        <x:f>'PROJECT TA Y TB KARINA'!$T77/8</x:f>
        <x:v>0</x:v>
      </x:c>
      <x:c r="JS23" s="128" t="n">
        <x:f>'PROJECT TA Y TB KARINA'!$T77/8</x:f>
        <x:v>0</x:v>
      </x:c>
      <x:c r="JT23" s="128" t="e">
        <x:f>'PROJECT TA Y TB KARINA'!#REF!/8</x:f>
        <x:v>#NAME?</x:v>
      </x:c>
      <x:c r="JU23" s="128" t="e">
        <x:f>'PROJECT TA Y TB KARINA'!#REF!/8</x:f>
        <x:v>#NAME?</x:v>
      </x:c>
      <x:c r="JV23" s="128" t="e">
        <x:f>'PROJECT TA Y TB KARINA'!#REF!/8</x:f>
        <x:v>#NAME?</x:v>
      </x:c>
      <x:c r="JW23" s="128" t="e">
        <x:f>'PROJECT TA Y TB KARINA'!#REF!/8</x:f>
        <x:v>#NAME?</x:v>
      </x:c>
      <x:c r="JX23" s="128" t="e">
        <x:f>'PROJECT TA Y TB KARINA'!#REF!/8</x:f>
        <x:v>#NAME?</x:v>
      </x:c>
      <x:c r="JY23" s="128" t="e">
        <x:f>'PROJECT TA Y TB KARINA'!#REF!/8</x:f>
        <x:v>#NAME?</x:v>
      </x:c>
      <x:c r="JZ23" s="128" t="e">
        <x:f>'PROJECT TA Y TB KARINA'!#REF!/8</x:f>
        <x:v>#NAME?</x:v>
      </x:c>
      <x:c r="KA23" s="128" t="e">
        <x:f>'PROJECT TA Y TB KARINA'!#REF!/8</x:f>
        <x:v>#NAME?</x:v>
      </x:c>
    </x:row>
    <x:row r="24" ht="21">
      <x:c r="A24" s="130" t="s">
        <x:v>509</x:v>
      </x:c>
      <x:c r="B24" s="128" t="e">
        <x:f>'PROJECT TA Y TB KARINA'!$C$20/8</x:f>
        <x:v>#REF!</x:v>
      </x:c>
      <x:c r="C24" s="128" t="e">
        <x:f>'PROJECT TA Y TB KARINA'!$C$20/8</x:f>
        <x:v>#REF!</x:v>
      </x:c>
      <x:c r="D24" s="128" t="e">
        <x:f>'PROJECT TA Y TB KARINA'!$C$20/8</x:f>
        <x:v>#REF!</x:v>
      </x:c>
      <x:c r="E24" s="128" t="e">
        <x:f>'PROJECT TA Y TB KARINA'!$C$20/8</x:f>
        <x:v>#REF!</x:v>
      </x:c>
      <x:c r="F24" s="128" t="e">
        <x:f>'PROJECT TA Y TB KARINA'!$C$20/8</x:f>
        <x:v>#REF!</x:v>
      </x:c>
      <x:c r="G24" s="128" t="e">
        <x:f>'PROJECT TA Y TB KARINA'!$C$20/8</x:f>
        <x:v>#REF!</x:v>
      </x:c>
      <x:c r="H24" s="128" t="e">
        <x:f>'PROJECT TA Y TB KARINA'!$C$20/8</x:f>
        <x:v>#REF!</x:v>
      </x:c>
      <x:c r="I24" s="128" t="e">
        <x:f>'PROJECT TA Y TB KARINA'!$E20/8</x:f>
        <x:v>#REF!</x:v>
      </x:c>
      <x:c r="J24" s="128" t="e">
        <x:f>'PROJECT TA Y TB KARINA'!$E20/8</x:f>
        <x:v>#REF!</x:v>
      </x:c>
      <x:c r="K24" s="128" t="e">
        <x:f>'PROJECT TA Y TB KARINA'!$E20/8</x:f>
        <x:v>#REF!</x:v>
      </x:c>
      <x:c r="L24" s="128" t="e">
        <x:f>'PROJECT TA Y TB KARINA'!$E20/8</x:f>
        <x:v>#REF!</x:v>
      </x:c>
      <x:c r="M24" s="128" t="e">
        <x:f>'PROJECT TA Y TB KARINA'!$E20/8</x:f>
        <x:v>#REF!</x:v>
      </x:c>
      <x:c r="N24" s="128" t="e">
        <x:f>'PROJECT TA Y TB KARINA'!$E20/8</x:f>
        <x:v>#REF!</x:v>
      </x:c>
      <x:c r="O24" s="128" t="e">
        <x:f>'PROJECT TA Y TB KARINA'!$E20/8</x:f>
        <x:v>#REF!</x:v>
      </x:c>
      <x:c r="P24" s="128" t="e">
        <x:f>'PROJECT TA Y TB KARINA'!$E20/8</x:f>
        <x:v>#REF!</x:v>
      </x:c>
      <x:c r="Q24" s="128" t="e">
        <x:f>'PROJECT TA Y TB KARINA'!$F20/8</x:f>
        <x:v>#REF!</x:v>
      </x:c>
      <x:c r="R24" s="128" t="e">
        <x:f>'PROJECT TA Y TB KARINA'!$F20/8</x:f>
        <x:v>#REF!</x:v>
      </x:c>
      <x:c r="S24" s="128" t="e">
        <x:f>'PROJECT TA Y TB KARINA'!$F20/8</x:f>
        <x:v>#REF!</x:v>
      </x:c>
      <x:c r="T24" s="128" t="e">
        <x:f>'PROJECT TA Y TB KARINA'!$F20/8</x:f>
        <x:v>#REF!</x:v>
      </x:c>
      <x:c r="U24" s="128" t="e">
        <x:f>'PROJECT TA Y TB KARINA'!$F20/8</x:f>
        <x:v>#REF!</x:v>
      </x:c>
      <x:c r="V24" s="128" t="e">
        <x:f>'PROJECT TA Y TB KARINA'!$F20/8</x:f>
        <x:v>#REF!</x:v>
      </x:c>
      <x:c r="W24" s="128" t="e">
        <x:f>'PROJECT TA Y TB KARINA'!$F20/8</x:f>
        <x:v>#REF!</x:v>
      </x:c>
      <x:c r="X24" s="128" t="e">
        <x:f>'PROJECT TA Y TB KARINA'!$F20/8</x:f>
        <x:v>#REF!</x:v>
      </x:c>
      <x:c r="Y24" s="128" t="e">
        <x:f>'PROJECT TA Y TB KARINA'!$G20/8</x:f>
        <x:v>#REF!</x:v>
      </x:c>
      <x:c r="Z24" s="128" t="e">
        <x:f>'PROJECT TA Y TB KARINA'!$G20/8</x:f>
        <x:v>#REF!</x:v>
      </x:c>
      <x:c r="AA24" s="128" t="e">
        <x:f>'PROJECT TA Y TB KARINA'!$G20/8</x:f>
        <x:v>#REF!</x:v>
      </x:c>
      <x:c r="AB24" s="128" t="e">
        <x:f>'PROJECT TA Y TB KARINA'!$G20/8</x:f>
        <x:v>#REF!</x:v>
      </x:c>
      <x:c r="AC24" s="128" t="e">
        <x:f>'PROJECT TA Y TB KARINA'!$G20/8</x:f>
        <x:v>#REF!</x:v>
      </x:c>
      <x:c r="AD24" s="128" t="e">
        <x:f>'PROJECT TA Y TB KARINA'!$G20/8</x:f>
        <x:v>#REF!</x:v>
      </x:c>
      <x:c r="AE24" s="128" t="e">
        <x:f>'PROJECT TA Y TB KARINA'!$G20/8</x:f>
        <x:v>#REF!</x:v>
      </x:c>
      <x:c r="AF24" s="128" t="e">
        <x:f>'PROJECT TA Y TB KARINA'!$G20/8</x:f>
        <x:v>#REF!</x:v>
      </x:c>
      <x:c r="AG24" s="128" t="e">
        <x:f>'PROJECT TA Y TB KARINA'!$H20/8</x:f>
        <x:v>#REF!</x:v>
      </x:c>
      <x:c r="AH24" s="128" t="e">
        <x:f>'PROJECT TA Y TB KARINA'!$H20/8</x:f>
        <x:v>#REF!</x:v>
      </x:c>
      <x:c r="AI24" s="128" t="e">
        <x:f>'PROJECT TA Y TB KARINA'!$H20/8</x:f>
        <x:v>#REF!</x:v>
      </x:c>
      <x:c r="AJ24" s="128" t="e">
        <x:f>'PROJECT TA Y TB KARINA'!$H20/8</x:f>
        <x:v>#REF!</x:v>
      </x:c>
      <x:c r="AK24" s="128" t="e">
        <x:f>'PROJECT TA Y TB KARINA'!$H20/8</x:f>
        <x:v>#REF!</x:v>
      </x:c>
      <x:c r="AL24" s="128" t="e">
        <x:f>'PROJECT TA Y TB KARINA'!$H20/8</x:f>
        <x:v>#REF!</x:v>
      </x:c>
      <x:c r="AM24" s="128" t="e">
        <x:f>'PROJECT TA Y TB KARINA'!$H20/8</x:f>
        <x:v>#REF!</x:v>
      </x:c>
      <x:c r="AN24" s="128" t="e">
        <x:f>'PROJECT TA Y TB KARINA'!$H20/8</x:f>
        <x:v>#REF!</x:v>
      </x:c>
      <x:c r="AO24" s="128" t="e">
        <x:f>'PROJECT TA Y TB KARINA'!$I20/8</x:f>
        <x:v>#REF!</x:v>
      </x:c>
      <x:c r="AP24" s="128" t="e">
        <x:f>'PROJECT TA Y TB KARINA'!$I20/8</x:f>
        <x:v>#REF!</x:v>
      </x:c>
      <x:c r="AQ24" s="128" t="e">
        <x:f>'PROJECT TA Y TB KARINA'!$I20/8</x:f>
        <x:v>#REF!</x:v>
      </x:c>
      <x:c r="AR24" s="128" t="e">
        <x:f>'PROJECT TA Y TB KARINA'!$I20/8</x:f>
        <x:v>#REF!</x:v>
      </x:c>
      <x:c r="AS24" s="128" t="e">
        <x:f>'PROJECT TA Y TB KARINA'!$I20/8</x:f>
        <x:v>#REF!</x:v>
      </x:c>
      <x:c r="AT24" s="128" t="e">
        <x:f>'PROJECT TA Y TB KARINA'!$I20/8</x:f>
        <x:v>#REF!</x:v>
      </x:c>
      <x:c r="AU24" s="128" t="e">
        <x:f>'PROJECT TA Y TB KARINA'!$I20/8</x:f>
        <x:v>#REF!</x:v>
      </x:c>
      <x:c r="AV24" s="128" t="e">
        <x:f>'PROJECT TA Y TB KARINA'!$I20/8</x:f>
        <x:v>#REF!</x:v>
      </x:c>
      <x:c r="AW24" s="128" t="e">
        <x:f>'PROJECT TA Y TB KARINA'!$J20/8</x:f>
        <x:v>#REF!</x:v>
      </x:c>
      <x:c r="AX24" s="128" t="e">
        <x:f>'PROJECT TA Y TB KARINA'!$J20/8</x:f>
        <x:v>#REF!</x:v>
      </x:c>
      <x:c r="AY24" s="128" t="e">
        <x:f>'PROJECT TA Y TB KARINA'!$J20/8</x:f>
        <x:v>#REF!</x:v>
      </x:c>
      <x:c r="AZ24" s="128" t="e">
        <x:f>'PROJECT TA Y TB KARINA'!$J20/8</x:f>
        <x:v>#REF!</x:v>
      </x:c>
      <x:c r="BA24" s="128" t="e">
        <x:f>'PROJECT TA Y TB KARINA'!$J20/8</x:f>
        <x:v>#REF!</x:v>
      </x:c>
      <x:c r="BB24" s="128" t="e">
        <x:f>'PROJECT TA Y TB KARINA'!$J20/8</x:f>
        <x:v>#REF!</x:v>
      </x:c>
      <x:c r="BC24" s="128" t="e">
        <x:f>'PROJECT TA Y TB KARINA'!$J20/8</x:f>
        <x:v>#REF!</x:v>
      </x:c>
      <x:c r="BD24" s="128" t="e">
        <x:f>'PROJECT TA Y TB KARINA'!$J20/8</x:f>
        <x:v>#REF!</x:v>
      </x:c>
      <x:c r="BE24" s="128" t="e">
        <x:f>'PROJECT TA Y TB KARINA'!$K20/8</x:f>
        <x:v>#REF!</x:v>
      </x:c>
      <x:c r="BF24" s="128" t="e">
        <x:f>'PROJECT TA Y TB KARINA'!$K20/8</x:f>
        <x:v>#REF!</x:v>
      </x:c>
      <x:c r="BG24" s="128" t="e">
        <x:f>'PROJECT TA Y TB KARINA'!$K20/8</x:f>
        <x:v>#REF!</x:v>
      </x:c>
      <x:c r="BH24" s="128" t="e">
        <x:f>'PROJECT TA Y TB KARINA'!$K20/8</x:f>
        <x:v>#REF!</x:v>
      </x:c>
      <x:c r="BI24" s="128" t="e">
        <x:f>'PROJECT TA Y TB KARINA'!$K20/8</x:f>
        <x:v>#REF!</x:v>
      </x:c>
      <x:c r="BJ24" s="128" t="e">
        <x:f>'PROJECT TA Y TB KARINA'!$K20/8</x:f>
        <x:v>#REF!</x:v>
      </x:c>
      <x:c r="BK24" s="128" t="e">
        <x:f>'PROJECT TA Y TB KARINA'!$K20/8</x:f>
        <x:v>#REF!</x:v>
      </x:c>
      <x:c r="BL24" s="128" t="e">
        <x:f>'PROJECT TA Y TB KARINA'!$K20/8</x:f>
        <x:v>#REF!</x:v>
      </x:c>
      <x:c r="BM24" s="128" t="e">
        <x:f>'PROJECT TA Y TB KARINA'!$L20/8</x:f>
        <x:v>#REF!</x:v>
      </x:c>
      <x:c r="BN24" s="128" t="e">
        <x:f>'PROJECT TA Y TB KARINA'!$L20/8</x:f>
        <x:v>#REF!</x:v>
      </x:c>
      <x:c r="BO24" s="128" t="e">
        <x:f>'PROJECT TA Y TB KARINA'!$L20/8</x:f>
        <x:v>#REF!</x:v>
      </x:c>
      <x:c r="BP24" s="128" t="e">
        <x:f>'PROJECT TA Y TB KARINA'!$L20/8</x:f>
        <x:v>#REF!</x:v>
      </x:c>
      <x:c r="BQ24" s="128" t="e">
        <x:f>'PROJECT TA Y TB KARINA'!$L20/8</x:f>
        <x:v>#REF!</x:v>
      </x:c>
      <x:c r="BR24" s="128" t="e">
        <x:f>'PROJECT TA Y TB KARINA'!$L20/8</x:f>
        <x:v>#REF!</x:v>
      </x:c>
      <x:c r="BS24" s="128" t="e">
        <x:f>'PROJECT TA Y TB KARINA'!$L20/8</x:f>
        <x:v>#REF!</x:v>
      </x:c>
      <x:c r="BT24" s="128" t="e">
        <x:f>'PROJECT TA Y TB KARINA'!$L20/8</x:f>
        <x:v>#REF!</x:v>
      </x:c>
      <x:c r="BU24" s="128" t="e">
        <x:f>'PROJECT TA Y TB KARINA'!$M20/8</x:f>
        <x:v>#REF!</x:v>
      </x:c>
      <x:c r="BV24" s="128" t="e">
        <x:f>'PROJECT TA Y TB KARINA'!$M20/8</x:f>
        <x:v>#REF!</x:v>
      </x:c>
      <x:c r="BW24" s="128" t="e">
        <x:f>'PROJECT TA Y TB KARINA'!$M20/8</x:f>
        <x:v>#REF!</x:v>
      </x:c>
      <x:c r="BX24" s="128" t="e">
        <x:f>'PROJECT TA Y TB KARINA'!$M20/8</x:f>
        <x:v>#REF!</x:v>
      </x:c>
      <x:c r="BY24" s="128" t="e">
        <x:f>'PROJECT TA Y TB KARINA'!$M20/8</x:f>
        <x:v>#REF!</x:v>
      </x:c>
      <x:c r="BZ24" s="128" t="e">
        <x:f>'PROJECT TA Y TB KARINA'!$M20/8</x:f>
        <x:v>#REF!</x:v>
      </x:c>
      <x:c r="CA24" s="128" t="e">
        <x:f>'PROJECT TA Y TB KARINA'!$M20/8</x:f>
        <x:v>#REF!</x:v>
      </x:c>
      <x:c r="CB24" s="128" t="e">
        <x:f>'PROJECT TA Y TB KARINA'!$M20/8</x:f>
        <x:v>#REF!</x:v>
      </x:c>
      <x:c r="CC24" s="128" t="e">
        <x:f>'PROJECT TA Y TB KARINA'!$N20/8</x:f>
        <x:v>#REF!</x:v>
      </x:c>
      <x:c r="CD24" s="128" t="e">
        <x:f>'PROJECT TA Y TB KARINA'!$N20/8</x:f>
        <x:v>#REF!</x:v>
      </x:c>
      <x:c r="CE24" s="128" t="e">
        <x:f>'PROJECT TA Y TB KARINA'!$N20/8</x:f>
        <x:v>#REF!</x:v>
      </x:c>
      <x:c r="CF24" s="128" t="e">
        <x:f>'PROJECT TA Y TB KARINA'!$N20/8</x:f>
        <x:v>#REF!</x:v>
      </x:c>
      <x:c r="CG24" s="128" t="e">
        <x:f>'PROJECT TA Y TB KARINA'!$N20/8</x:f>
        <x:v>#REF!</x:v>
      </x:c>
      <x:c r="CH24" s="128" t="e">
        <x:f>'PROJECT TA Y TB KARINA'!$N20/8</x:f>
        <x:v>#REF!</x:v>
      </x:c>
      <x:c r="CI24" s="128" t="e">
        <x:f>'PROJECT TA Y TB KARINA'!$N20/8</x:f>
        <x:v>#REF!</x:v>
      </x:c>
      <x:c r="CJ24" s="128" t="e">
        <x:f>'PROJECT TA Y TB KARINA'!$N20/8</x:f>
        <x:v>#REF!</x:v>
      </x:c>
      <x:c r="CK24" s="128" t="e">
        <x:f>'PROJECT TA Y TB KARINA'!$O20/8</x:f>
        <x:v>#REF!</x:v>
      </x:c>
      <x:c r="CL24" s="128" t="e">
        <x:f>'PROJECT TA Y TB KARINA'!$O20/8</x:f>
        <x:v>#REF!</x:v>
      </x:c>
      <x:c r="CM24" s="128" t="e">
        <x:f>'PROJECT TA Y TB KARINA'!$O20/8</x:f>
        <x:v>#REF!</x:v>
      </x:c>
      <x:c r="CN24" s="128" t="e">
        <x:f>'PROJECT TA Y TB KARINA'!$O20/8</x:f>
        <x:v>#REF!</x:v>
      </x:c>
      <x:c r="CO24" s="128" t="e">
        <x:f>'PROJECT TA Y TB KARINA'!$O20/8</x:f>
        <x:v>#REF!</x:v>
      </x:c>
      <x:c r="CP24" s="128" t="e">
        <x:f>'PROJECT TA Y TB KARINA'!$O20/8</x:f>
        <x:v>#REF!</x:v>
      </x:c>
      <x:c r="CQ24" s="128" t="e">
        <x:f>'PROJECT TA Y TB KARINA'!$O20/8</x:f>
        <x:v>#REF!</x:v>
      </x:c>
      <x:c r="CR24" s="128" t="e">
        <x:f>'PROJECT TA Y TB KARINA'!$O20/8</x:f>
        <x:v>#REF!</x:v>
      </x:c>
      <x:c r="CS24" s="128" t="e">
        <x:f>'PROJECT TA Y TB KARINA'!$P20/8</x:f>
        <x:v>#REF!</x:v>
      </x:c>
      <x:c r="CT24" s="128" t="e">
        <x:f>'PROJECT TA Y TB KARINA'!$P20/8</x:f>
        <x:v>#REF!</x:v>
      </x:c>
      <x:c r="CU24" s="128" t="e">
        <x:f>'PROJECT TA Y TB KARINA'!$P20/8</x:f>
        <x:v>#REF!</x:v>
      </x:c>
      <x:c r="CV24" s="128" t="e">
        <x:f>'PROJECT TA Y TB KARINA'!$P20/8</x:f>
        <x:v>#REF!</x:v>
      </x:c>
      <x:c r="CW24" s="128" t="e">
        <x:f>'PROJECT TA Y TB KARINA'!$P20/8</x:f>
        <x:v>#REF!</x:v>
      </x:c>
      <x:c r="CX24" s="128" t="e">
        <x:f>'PROJECT TA Y TB KARINA'!$P20/8</x:f>
        <x:v>#REF!</x:v>
      </x:c>
      <x:c r="CY24" s="128" t="e">
        <x:f>'PROJECT TA Y TB KARINA'!$P20/8</x:f>
        <x:v>#REF!</x:v>
      </x:c>
      <x:c r="CZ24" s="128" t="e">
        <x:f>'PROJECT TA Y TB KARINA'!$P20/8</x:f>
        <x:v>#REF!</x:v>
      </x:c>
      <x:c r="DA24" s="128" t="e">
        <x:f>'PROJECT TA Y TB KARINA'!$Q20/8</x:f>
        <x:v>#REF!</x:v>
      </x:c>
      <x:c r="DB24" s="128" t="e">
        <x:f>'PROJECT TA Y TB KARINA'!$Q20/8</x:f>
        <x:v>#REF!</x:v>
      </x:c>
      <x:c r="DC24" s="128" t="e">
        <x:f>'PROJECT TA Y TB KARINA'!$Q20/8</x:f>
        <x:v>#REF!</x:v>
      </x:c>
      <x:c r="DD24" s="128" t="e">
        <x:f>'PROJECT TA Y TB KARINA'!$Q20/8</x:f>
        <x:v>#REF!</x:v>
      </x:c>
      <x:c r="DE24" s="128" t="e">
        <x:f>'PROJECT TA Y TB KARINA'!$Q20/8</x:f>
        <x:v>#REF!</x:v>
      </x:c>
      <x:c r="DF24" s="128" t="e">
        <x:f>'PROJECT TA Y TB KARINA'!$Q20/8</x:f>
        <x:v>#REF!</x:v>
      </x:c>
      <x:c r="DG24" s="128" t="e">
        <x:f>'PROJECT TA Y TB KARINA'!$Q20/8</x:f>
        <x:v>#REF!</x:v>
      </x:c>
      <x:c r="DH24" s="128" t="e">
        <x:f>'PROJECT TA Y TB KARINA'!$Q20/8</x:f>
        <x:v>#REF!</x:v>
      </x:c>
      <x:c r="DI24" s="128" t="e">
        <x:f>'PROJECT TA Y TB KARINA'!$R20/8</x:f>
        <x:v>#REF!</x:v>
      </x:c>
      <x:c r="DJ24" s="128" t="e">
        <x:f>'PROJECT TA Y TB KARINA'!$R20/8</x:f>
        <x:v>#REF!</x:v>
      </x:c>
      <x:c r="DK24" s="128" t="e">
        <x:f>'PROJECT TA Y TB KARINA'!$R20/8</x:f>
        <x:v>#REF!</x:v>
      </x:c>
      <x:c r="DL24" s="128" t="e">
        <x:f>'PROJECT TA Y TB KARINA'!$R20/8</x:f>
        <x:v>#REF!</x:v>
      </x:c>
      <x:c r="DM24" s="128" t="e">
        <x:f>'PROJECT TA Y TB KARINA'!$R20/8</x:f>
        <x:v>#REF!</x:v>
      </x:c>
      <x:c r="DN24" s="128" t="e">
        <x:f>'PROJECT TA Y TB KARINA'!$R20/8</x:f>
        <x:v>#REF!</x:v>
      </x:c>
      <x:c r="DO24" s="128" t="e">
        <x:f>'PROJECT TA Y TB KARINA'!$R20/8</x:f>
        <x:v>#REF!</x:v>
      </x:c>
      <x:c r="DP24" s="128" t="e">
        <x:f>'PROJECT TA Y TB KARINA'!$R20/8</x:f>
        <x:v>#REF!</x:v>
      </x:c>
      <x:c r="DQ24" s="128" t="e">
        <x:f>'PROJECT TA Y TB KARINA'!$S20/8</x:f>
        <x:v>#REF!</x:v>
      </x:c>
      <x:c r="DR24" s="128" t="e">
        <x:f>'PROJECT TA Y TB KARINA'!$S20/8</x:f>
        <x:v>#REF!</x:v>
      </x:c>
      <x:c r="DS24" s="128" t="e">
        <x:f>'PROJECT TA Y TB KARINA'!$S20/8</x:f>
        <x:v>#REF!</x:v>
      </x:c>
      <x:c r="DT24" s="128" t="e">
        <x:f>'PROJECT TA Y TB KARINA'!$S20/8</x:f>
        <x:v>#REF!</x:v>
      </x:c>
      <x:c r="DU24" s="128" t="e">
        <x:f>'PROJECT TA Y TB KARINA'!$S20/8</x:f>
        <x:v>#REF!</x:v>
      </x:c>
      <x:c r="DV24" s="128" t="e">
        <x:f>'PROJECT TA Y TB KARINA'!$S20/8</x:f>
        <x:v>#REF!</x:v>
      </x:c>
      <x:c r="DW24" s="128" t="e">
        <x:f>'PROJECT TA Y TB KARINA'!$S20/8</x:f>
        <x:v>#REF!</x:v>
      </x:c>
      <x:c r="DX24" s="128" t="e">
        <x:f>'PROJECT TA Y TB KARINA'!$S20/8</x:f>
        <x:v>#REF!</x:v>
      </x:c>
      <x:c r="DY24" s="128" t="e">
        <x:f>'PROJECT TA Y TB KARINA'!$T20/8</x:f>
        <x:v>#REF!</x:v>
      </x:c>
      <x:c r="DZ24" s="128" t="e">
        <x:f>'PROJECT TA Y TB KARINA'!$T20/8</x:f>
        <x:v>#REF!</x:v>
      </x:c>
      <x:c r="EA24" s="128" t="e">
        <x:f>'PROJECT TA Y TB KARINA'!$T20/8</x:f>
        <x:v>#REF!</x:v>
      </x:c>
      <x:c r="EB24" s="128" t="e">
        <x:f>'PROJECT TA Y TB KARINA'!$T20/8</x:f>
        <x:v>#REF!</x:v>
      </x:c>
      <x:c r="EC24" s="128" t="e">
        <x:f>'PROJECT TA Y TB KARINA'!$T20/8</x:f>
        <x:v>#REF!</x:v>
      </x:c>
      <x:c r="ED24" s="128" t="e">
        <x:f>'PROJECT TA Y TB KARINA'!$T20/8</x:f>
        <x:v>#REF!</x:v>
      </x:c>
      <x:c r="EE24" s="128" t="e">
        <x:f>'PROJECT TA Y TB KARINA'!$T20/8</x:f>
        <x:v>#REF!</x:v>
      </x:c>
      <x:c r="EF24" s="128" t="e">
        <x:f>'PROJECT TA Y TB KARINA'!$T20/8</x:f>
        <x:v>#REF!</x:v>
      </x:c>
      <x:c r="EG24" s="128" t="e">
        <x:f>'PROJECT TA Y TB KARINA'!#REF!/8</x:f>
        <x:v>#NAME?</x:v>
      </x:c>
      <x:c r="EH24" s="128" t="e">
        <x:f>'PROJECT TA Y TB KARINA'!#REF!/8</x:f>
        <x:v>#NAME?</x:v>
      </x:c>
      <x:c r="EI24" s="128" t="e">
        <x:f>'PROJECT TA Y TB KARINA'!#REF!/8</x:f>
        <x:v>#NAME?</x:v>
      </x:c>
      <x:c r="EJ24" s="128" t="e">
        <x:f>'PROJECT TA Y TB KARINA'!#REF!/8</x:f>
        <x:v>#NAME?</x:v>
      </x:c>
      <x:c r="EK24" s="128" t="e">
        <x:f>'PROJECT TA Y TB KARINA'!#REF!/8</x:f>
        <x:v>#NAME?</x:v>
      </x:c>
      <x:c r="EL24" s="128" t="e">
        <x:f>'PROJECT TA Y TB KARINA'!#REF!/8</x:f>
        <x:v>#NAME?</x:v>
      </x:c>
      <x:c r="EM24" s="128" t="e">
        <x:f>'PROJECT TA Y TB KARINA'!#REF!/8</x:f>
        <x:v>#NAME?</x:v>
      </x:c>
      <x:c r="EN24" s="128" t="e">
        <x:f>'PROJECT TA Y TB KARINA'!#REF!/8</x:f>
        <x:v>#NAME?</x:v>
      </x:c>
      <x:c r="EO24" s="128" t="n">
        <x:f>'PROJECT TA Y TB KARINA'!$C78/8</x:f>
        <x:v>0</x:v>
      </x:c>
      <x:c r="EP24" s="128" t="n">
        <x:f>'PROJECT TA Y TB KARINA'!$C78/8</x:f>
        <x:v>0</x:v>
      </x:c>
      <x:c r="EQ24" s="128" t="n">
        <x:f>'PROJECT TA Y TB KARINA'!$C78/8</x:f>
        <x:v>0</x:v>
      </x:c>
      <x:c r="ER24" s="128" t="n">
        <x:f>'PROJECT TA Y TB KARINA'!$C78/8</x:f>
        <x:v>0</x:v>
      </x:c>
      <x:c r="ES24" s="128" t="n">
        <x:f>'PROJECT TA Y TB KARINA'!$C78/8</x:f>
        <x:v>0</x:v>
      </x:c>
      <x:c r="ET24" s="128" t="n">
        <x:f>'PROJECT TA Y TB KARINA'!$C78/8</x:f>
        <x:v>0</x:v>
      </x:c>
      <x:c r="EU24" s="128" t="n">
        <x:f>'PROJECT TA Y TB KARINA'!$C78/8</x:f>
        <x:v>0</x:v>
      </x:c>
      <x:c r="EV24" s="128" t="n">
        <x:f>'PROJECT TA Y TB KARINA'!$E78/8</x:f>
        <x:v>0</x:v>
      </x:c>
      <x:c r="EW24" s="128" t="n">
        <x:f>'PROJECT TA Y TB KARINA'!$E78/8</x:f>
        <x:v>0</x:v>
      </x:c>
      <x:c r="EX24" s="128" t="n">
        <x:f>'PROJECT TA Y TB KARINA'!$E78/8</x:f>
        <x:v>0</x:v>
      </x:c>
      <x:c r="EY24" s="128" t="n">
        <x:f>'PROJECT TA Y TB KARINA'!$E78/8</x:f>
        <x:v>0</x:v>
      </x:c>
      <x:c r="EZ24" s="128" t="n">
        <x:f>'PROJECT TA Y TB KARINA'!$E78/8</x:f>
        <x:v>0</x:v>
      </x:c>
      <x:c r="FA24" s="128" t="n">
        <x:f>'PROJECT TA Y TB KARINA'!$E78/8</x:f>
        <x:v>0</x:v>
      </x:c>
      <x:c r="FB24" s="128" t="n">
        <x:f>'PROJECT TA Y TB KARINA'!$E78/8</x:f>
        <x:v>0</x:v>
      </x:c>
      <x:c r="FC24" s="128" t="n">
        <x:f>'PROJECT TA Y TB KARINA'!$E78/8</x:f>
        <x:v>0</x:v>
      </x:c>
      <x:c r="FD24" s="128" t="n">
        <x:f>'PROJECT TA Y TB KARINA'!$F78/8</x:f>
        <x:v>0</x:v>
      </x:c>
      <x:c r="FE24" s="128" t="n">
        <x:f>'PROJECT TA Y TB KARINA'!$F78/8</x:f>
        <x:v>0</x:v>
      </x:c>
      <x:c r="FF24" s="128" t="n">
        <x:f>'PROJECT TA Y TB KARINA'!$F78/8</x:f>
        <x:v>0</x:v>
      </x:c>
      <x:c r="FG24" s="128" t="n">
        <x:f>'PROJECT TA Y TB KARINA'!$F78/8</x:f>
        <x:v>0</x:v>
      </x:c>
      <x:c r="FH24" s="128" t="n">
        <x:f>'PROJECT TA Y TB KARINA'!$F78/8</x:f>
        <x:v>0</x:v>
      </x:c>
      <x:c r="FI24" s="128" t="n">
        <x:f>'PROJECT TA Y TB KARINA'!$F78/8</x:f>
        <x:v>0</x:v>
      </x:c>
      <x:c r="FJ24" s="128" t="n">
        <x:f>'PROJECT TA Y TB KARINA'!$F78/8</x:f>
        <x:v>0</x:v>
      </x:c>
      <x:c r="FK24" s="128" t="n">
        <x:f>'PROJECT TA Y TB KARINA'!$F78/8</x:f>
        <x:v>0</x:v>
      </x:c>
      <x:c r="FL24" s="128" t="n">
        <x:f>'PROJECT TA Y TB KARINA'!$G78/8</x:f>
        <x:v>0</x:v>
      </x:c>
      <x:c r="FM24" s="128" t="n">
        <x:f>'PROJECT TA Y TB KARINA'!$G78/8</x:f>
        <x:v>0</x:v>
      </x:c>
      <x:c r="FN24" s="128" t="n">
        <x:f>'PROJECT TA Y TB KARINA'!$G78/8</x:f>
        <x:v>0</x:v>
      </x:c>
      <x:c r="FO24" s="128" t="n">
        <x:f>'PROJECT TA Y TB KARINA'!$G78/8</x:f>
        <x:v>0</x:v>
      </x:c>
      <x:c r="FP24" s="128" t="n">
        <x:f>'PROJECT TA Y TB KARINA'!$G78/8</x:f>
        <x:v>0</x:v>
      </x:c>
      <x:c r="FQ24" s="128" t="n">
        <x:f>'PROJECT TA Y TB KARINA'!$G78/8</x:f>
        <x:v>0</x:v>
      </x:c>
      <x:c r="FR24" s="128" t="n">
        <x:f>'PROJECT TA Y TB KARINA'!$G78/8</x:f>
        <x:v>0</x:v>
      </x:c>
      <x:c r="FS24" s="128" t="n">
        <x:f>'PROJECT TA Y TB KARINA'!$G78/8</x:f>
        <x:v>0</x:v>
      </x:c>
      <x:c r="FT24" s="128" t="n">
        <x:f>'PROJECT TA Y TB KARINA'!$H78/8</x:f>
        <x:v>0</x:v>
      </x:c>
      <x:c r="FU24" s="128" t="n">
        <x:f>'PROJECT TA Y TB KARINA'!$H78/8</x:f>
        <x:v>0</x:v>
      </x:c>
      <x:c r="FV24" s="128" t="n">
        <x:f>'PROJECT TA Y TB KARINA'!$H78/8</x:f>
        <x:v>0</x:v>
      </x:c>
      <x:c r="FW24" s="128" t="n">
        <x:f>'PROJECT TA Y TB KARINA'!$H78/8</x:f>
        <x:v>0</x:v>
      </x:c>
      <x:c r="FX24" s="128" t="n">
        <x:f>'PROJECT TA Y TB KARINA'!$H78/8</x:f>
        <x:v>0</x:v>
      </x:c>
      <x:c r="FY24" s="128" t="n">
        <x:f>'PROJECT TA Y TB KARINA'!$H78/8</x:f>
        <x:v>0</x:v>
      </x:c>
      <x:c r="FZ24" s="128" t="n">
        <x:f>'PROJECT TA Y TB KARINA'!$H78/8</x:f>
        <x:v>0</x:v>
      </x:c>
      <x:c r="GA24" s="128" t="n">
        <x:f>'PROJECT TA Y TB KARINA'!$H78/8</x:f>
        <x:v>0</x:v>
      </x:c>
      <x:c r="GB24" s="128" t="n">
        <x:f>'PROJECT TA Y TB KARINA'!$I78/8</x:f>
        <x:v>0</x:v>
      </x:c>
      <x:c r="GC24" s="128" t="n">
        <x:f>'PROJECT TA Y TB KARINA'!$I78/8</x:f>
        <x:v>0</x:v>
      </x:c>
      <x:c r="GD24" s="128" t="n">
        <x:f>'PROJECT TA Y TB KARINA'!$I78/8</x:f>
        <x:v>0</x:v>
      </x:c>
      <x:c r="GE24" s="128" t="n">
        <x:f>'PROJECT TA Y TB KARINA'!$I78/8</x:f>
        <x:v>0</x:v>
      </x:c>
      <x:c r="GF24" s="128" t="n">
        <x:f>'PROJECT TA Y TB KARINA'!$I78/8</x:f>
        <x:v>0</x:v>
      </x:c>
      <x:c r="GG24" s="128" t="n">
        <x:f>'PROJECT TA Y TB KARINA'!$I78/8</x:f>
        <x:v>0</x:v>
      </x:c>
      <x:c r="GH24" s="128" t="n">
        <x:f>'PROJECT TA Y TB KARINA'!$I78/8</x:f>
        <x:v>0</x:v>
      </x:c>
      <x:c r="GI24" s="128" t="n">
        <x:f>'PROJECT TA Y TB KARINA'!$I78/8</x:f>
        <x:v>0</x:v>
      </x:c>
      <x:c r="GJ24" s="128" t="n">
        <x:f>'PROJECT TA Y TB KARINA'!$J78/8</x:f>
        <x:v>0</x:v>
      </x:c>
      <x:c r="GK24" s="128" t="n">
        <x:f>'PROJECT TA Y TB KARINA'!$J78/8</x:f>
        <x:v>0</x:v>
      </x:c>
      <x:c r="GL24" s="128" t="n">
        <x:f>'PROJECT TA Y TB KARINA'!$J78/8</x:f>
        <x:v>0</x:v>
      </x:c>
      <x:c r="GM24" s="128" t="n">
        <x:f>'PROJECT TA Y TB KARINA'!$J78/8</x:f>
        <x:v>0</x:v>
      </x:c>
      <x:c r="GN24" s="128" t="n">
        <x:f>'PROJECT TA Y TB KARINA'!$J78/8</x:f>
        <x:v>0</x:v>
      </x:c>
      <x:c r="GO24" s="128" t="n">
        <x:f>'PROJECT TA Y TB KARINA'!$J78/8</x:f>
        <x:v>0</x:v>
      </x:c>
      <x:c r="GP24" s="128" t="n">
        <x:f>'PROJECT TA Y TB KARINA'!$J78/8</x:f>
        <x:v>0</x:v>
      </x:c>
      <x:c r="GQ24" s="128" t="n">
        <x:f>'PROJECT TA Y TB KARINA'!$J78/8</x:f>
        <x:v>0</x:v>
      </x:c>
      <x:c r="GR24" s="128" t="n">
        <x:f>'PROJECT TA Y TB KARINA'!$K78/8</x:f>
        <x:v>0</x:v>
      </x:c>
      <x:c r="GS24" s="128" t="n">
        <x:f>'PROJECT TA Y TB KARINA'!$K78/8</x:f>
        <x:v>0</x:v>
      </x:c>
      <x:c r="GT24" s="128" t="n">
        <x:f>'PROJECT TA Y TB KARINA'!$K78/8</x:f>
        <x:v>0</x:v>
      </x:c>
      <x:c r="GU24" s="128" t="n">
        <x:f>'PROJECT TA Y TB KARINA'!$K78/8</x:f>
        <x:v>0</x:v>
      </x:c>
      <x:c r="GV24" s="128" t="n">
        <x:f>'PROJECT TA Y TB KARINA'!$K78/8</x:f>
        <x:v>0</x:v>
      </x:c>
      <x:c r="GW24" s="128" t="n">
        <x:f>'PROJECT TA Y TB KARINA'!$K78/8</x:f>
        <x:v>0</x:v>
      </x:c>
      <x:c r="GX24" s="128" t="n">
        <x:f>'PROJECT TA Y TB KARINA'!$K78/8</x:f>
        <x:v>0</x:v>
      </x:c>
      <x:c r="GY24" s="128" t="n">
        <x:f>'PROJECT TA Y TB KARINA'!$K78/8</x:f>
        <x:v>0</x:v>
      </x:c>
      <x:c r="GZ24" s="128" t="n">
        <x:f>'PROJECT TA Y TB KARINA'!$L78/8</x:f>
        <x:v>0</x:v>
      </x:c>
      <x:c r="HA24" s="128" t="n">
        <x:f>'PROJECT TA Y TB KARINA'!$L78/8</x:f>
        <x:v>0</x:v>
      </x:c>
      <x:c r="HB24" s="128" t="n">
        <x:f>'PROJECT TA Y TB KARINA'!$L78/8</x:f>
        <x:v>0</x:v>
      </x:c>
      <x:c r="HC24" s="128" t="n">
        <x:f>'PROJECT TA Y TB KARINA'!$L78/8</x:f>
        <x:v>0</x:v>
      </x:c>
      <x:c r="HD24" s="128" t="n">
        <x:f>'PROJECT TA Y TB KARINA'!$L78/8</x:f>
        <x:v>0</x:v>
      </x:c>
      <x:c r="HE24" s="128" t="n">
        <x:f>'PROJECT TA Y TB KARINA'!$L78/8</x:f>
        <x:v>0</x:v>
      </x:c>
      <x:c r="HF24" s="128" t="n">
        <x:f>'PROJECT TA Y TB KARINA'!$L78/8</x:f>
        <x:v>0</x:v>
      </x:c>
      <x:c r="HG24" s="128" t="n">
        <x:f>'PROJECT TA Y TB KARINA'!$L78/8</x:f>
        <x:v>0</x:v>
      </x:c>
      <x:c r="HH24" s="128" t="n">
        <x:f>'PROJECT TA Y TB KARINA'!$M78/8</x:f>
        <x:v>0</x:v>
      </x:c>
      <x:c r="HI24" s="128" t="n">
        <x:f>'PROJECT TA Y TB KARINA'!$M78/8</x:f>
        <x:v>0</x:v>
      </x:c>
      <x:c r="HJ24" s="128" t="n">
        <x:f>'PROJECT TA Y TB KARINA'!$M78/8</x:f>
        <x:v>0</x:v>
      </x:c>
      <x:c r="HK24" s="128" t="n">
        <x:f>'PROJECT TA Y TB KARINA'!$M78/8</x:f>
        <x:v>0</x:v>
      </x:c>
      <x:c r="HL24" s="128" t="n">
        <x:f>'PROJECT TA Y TB KARINA'!$M78/8</x:f>
        <x:v>0</x:v>
      </x:c>
      <x:c r="HM24" s="128" t="n">
        <x:f>'PROJECT TA Y TB KARINA'!$M78/8</x:f>
        <x:v>0</x:v>
      </x:c>
      <x:c r="HN24" s="128" t="n">
        <x:f>'PROJECT TA Y TB KARINA'!$M78/8</x:f>
        <x:v>0</x:v>
      </x:c>
      <x:c r="HO24" s="128" t="n">
        <x:f>'PROJECT TA Y TB KARINA'!$M78/8</x:f>
        <x:v>0</x:v>
      </x:c>
      <x:c r="HP24" s="128" t="n">
        <x:f>'PROJECT TA Y TB KARINA'!$N78/8</x:f>
        <x:v>0</x:v>
      </x:c>
      <x:c r="HQ24" s="128" t="n">
        <x:f>'PROJECT TA Y TB KARINA'!$N78/8</x:f>
        <x:v>0</x:v>
      </x:c>
      <x:c r="HR24" s="128" t="n">
        <x:f>'PROJECT TA Y TB KARINA'!$N78/8</x:f>
        <x:v>0</x:v>
      </x:c>
      <x:c r="HS24" s="128" t="n">
        <x:f>'PROJECT TA Y TB KARINA'!$N78/8</x:f>
        <x:v>0</x:v>
      </x:c>
      <x:c r="HT24" s="128" t="n">
        <x:f>'PROJECT TA Y TB KARINA'!$N78/8</x:f>
        <x:v>0</x:v>
      </x:c>
      <x:c r="HU24" s="128" t="n">
        <x:f>'PROJECT TA Y TB KARINA'!$N78/8</x:f>
        <x:v>0</x:v>
      </x:c>
      <x:c r="HV24" s="128" t="n">
        <x:f>'PROJECT TA Y TB KARINA'!$N78/8</x:f>
        <x:v>0</x:v>
      </x:c>
      <x:c r="HW24" s="128" t="n">
        <x:f>'PROJECT TA Y TB KARINA'!$N78/8</x:f>
        <x:v>0</x:v>
      </x:c>
      <x:c r="HX24" s="128" t="n">
        <x:f>'PROJECT TA Y TB KARINA'!$O78/8</x:f>
        <x:v>0</x:v>
      </x:c>
      <x:c r="HY24" s="128" t="n">
        <x:f>'PROJECT TA Y TB KARINA'!$O78/8</x:f>
        <x:v>0</x:v>
      </x:c>
      <x:c r="HZ24" s="128" t="n">
        <x:f>'PROJECT TA Y TB KARINA'!$O78/8</x:f>
        <x:v>0</x:v>
      </x:c>
      <x:c r="IA24" s="128" t="n">
        <x:f>'PROJECT TA Y TB KARINA'!$O78/8</x:f>
        <x:v>0</x:v>
      </x:c>
      <x:c r="IB24" s="128" t="n">
        <x:f>'PROJECT TA Y TB KARINA'!$O78/8</x:f>
        <x:v>0</x:v>
      </x:c>
      <x:c r="IC24" s="128" t="n">
        <x:f>'PROJECT TA Y TB KARINA'!$O78/8</x:f>
        <x:v>0</x:v>
      </x:c>
      <x:c r="ID24" s="128" t="n">
        <x:f>'PROJECT TA Y TB KARINA'!$O78/8</x:f>
        <x:v>0</x:v>
      </x:c>
      <x:c r="IE24" s="128" t="n">
        <x:f>'PROJECT TA Y TB KARINA'!$O78/8</x:f>
        <x:v>0</x:v>
      </x:c>
      <x:c r="IF24" s="128" t="n">
        <x:f>'PROJECT TA Y TB KARINA'!$P78/8</x:f>
        <x:v>0</x:v>
      </x:c>
      <x:c r="IG24" s="128" t="n">
        <x:f>'PROJECT TA Y TB KARINA'!$P78/8</x:f>
        <x:v>0</x:v>
      </x:c>
      <x:c r="IH24" s="128" t="n">
        <x:f>'PROJECT TA Y TB KARINA'!$P78/8</x:f>
        <x:v>0</x:v>
      </x:c>
      <x:c r="II24" s="128" t="n">
        <x:f>'PROJECT TA Y TB KARINA'!$P78/8</x:f>
        <x:v>0</x:v>
      </x:c>
      <x:c r="IJ24" s="128" t="n">
        <x:f>'PROJECT TA Y TB KARINA'!$P78/8</x:f>
        <x:v>0</x:v>
      </x:c>
      <x:c r="IK24" s="128" t="n">
        <x:f>'PROJECT TA Y TB KARINA'!$P78/8</x:f>
        <x:v>0</x:v>
      </x:c>
      <x:c r="IL24" s="128" t="n">
        <x:f>'PROJECT TA Y TB KARINA'!$P78/8</x:f>
        <x:v>0</x:v>
      </x:c>
      <x:c r="IM24" s="128" t="n">
        <x:f>'PROJECT TA Y TB KARINA'!$P78/8</x:f>
        <x:v>0</x:v>
      </x:c>
      <x:c r="IN24" s="128" t="n">
        <x:f>'PROJECT TA Y TB KARINA'!$Q78/8</x:f>
        <x:v>0</x:v>
      </x:c>
      <x:c r="IO24" s="128" t="n">
        <x:f>'PROJECT TA Y TB KARINA'!$Q78/8</x:f>
        <x:v>0</x:v>
      </x:c>
      <x:c r="IP24" s="128" t="n">
        <x:f>'PROJECT TA Y TB KARINA'!$Q78/8</x:f>
        <x:v>0</x:v>
      </x:c>
      <x:c r="IQ24" s="128" t="n">
        <x:f>'PROJECT TA Y TB KARINA'!$Q78/8</x:f>
        <x:v>0</x:v>
      </x:c>
      <x:c r="IR24" s="128" t="n">
        <x:f>'PROJECT TA Y TB KARINA'!$Q78/8</x:f>
        <x:v>0</x:v>
      </x:c>
      <x:c r="IS24" s="128" t="n">
        <x:f>'PROJECT TA Y TB KARINA'!$Q78/8</x:f>
        <x:v>0</x:v>
      </x:c>
      <x:c r="IT24" s="128" t="n">
        <x:f>'PROJECT TA Y TB KARINA'!$Q78/8</x:f>
        <x:v>0</x:v>
      </x:c>
      <x:c r="IU24" s="128" t="n">
        <x:f>'PROJECT TA Y TB KARINA'!$Q78/8</x:f>
        <x:v>0</x:v>
      </x:c>
      <x:c r="IV24" s="128" t="n">
        <x:f>'PROJECT TA Y TB KARINA'!$R78/8</x:f>
        <x:v>0</x:v>
      </x:c>
      <x:c r="IW24" s="128" t="n">
        <x:f>'PROJECT TA Y TB KARINA'!$R78/8</x:f>
        <x:v>0</x:v>
      </x:c>
      <x:c r="IX24" s="128" t="n">
        <x:f>'PROJECT TA Y TB KARINA'!$R78/8</x:f>
        <x:v>0</x:v>
      </x:c>
      <x:c r="IY24" s="128" t="n">
        <x:f>'PROJECT TA Y TB KARINA'!$R78/8</x:f>
        <x:v>0</x:v>
      </x:c>
      <x:c r="IZ24" s="128" t="n">
        <x:f>'PROJECT TA Y TB KARINA'!$R78/8</x:f>
        <x:v>0</x:v>
      </x:c>
      <x:c r="JA24" s="128" t="n">
        <x:f>'PROJECT TA Y TB KARINA'!$R78/8</x:f>
        <x:v>0</x:v>
      </x:c>
      <x:c r="JB24" s="128" t="n">
        <x:f>'PROJECT TA Y TB KARINA'!$R78/8</x:f>
        <x:v>0</x:v>
      </x:c>
      <x:c r="JC24" s="128" t="n">
        <x:f>'PROJECT TA Y TB KARINA'!$R78/8</x:f>
        <x:v>0</x:v>
      </x:c>
      <x:c r="JD24" s="128" t="n">
        <x:f>'PROJECT TA Y TB KARINA'!$S78/8</x:f>
        <x:v>0</x:v>
      </x:c>
      <x:c r="JE24" s="128" t="n">
        <x:f>'PROJECT TA Y TB KARINA'!$S78/8</x:f>
        <x:v>0</x:v>
      </x:c>
      <x:c r="JF24" s="128" t="n">
        <x:f>'PROJECT TA Y TB KARINA'!$S78/8</x:f>
        <x:v>0</x:v>
      </x:c>
      <x:c r="JG24" s="128" t="n">
        <x:f>'PROJECT TA Y TB KARINA'!$S78/8</x:f>
        <x:v>0</x:v>
      </x:c>
      <x:c r="JH24" s="128" t="n">
        <x:f>'PROJECT TA Y TB KARINA'!$S78/8</x:f>
        <x:v>0</x:v>
      </x:c>
      <x:c r="JI24" s="128" t="n">
        <x:f>'PROJECT TA Y TB KARINA'!$S78/8</x:f>
        <x:v>0</x:v>
      </x:c>
      <x:c r="JJ24" s="128" t="n">
        <x:f>'PROJECT TA Y TB KARINA'!$S78/8</x:f>
        <x:v>0</x:v>
      </x:c>
      <x:c r="JK24" s="128" t="n">
        <x:f>'PROJECT TA Y TB KARINA'!$S78/8</x:f>
        <x:v>0</x:v>
      </x:c>
      <x:c r="JL24" s="128" t="n">
        <x:f>'PROJECT TA Y TB KARINA'!$T78/8</x:f>
        <x:v>0</x:v>
      </x:c>
      <x:c r="JM24" s="128" t="n">
        <x:f>'PROJECT TA Y TB KARINA'!$T78/8</x:f>
        <x:v>0</x:v>
      </x:c>
      <x:c r="JN24" s="128" t="n">
        <x:f>'PROJECT TA Y TB KARINA'!$T78/8</x:f>
        <x:v>0</x:v>
      </x:c>
      <x:c r="JO24" s="128" t="n">
        <x:f>'PROJECT TA Y TB KARINA'!$T78/8</x:f>
        <x:v>0</x:v>
      </x:c>
      <x:c r="JP24" s="128" t="n">
        <x:f>'PROJECT TA Y TB KARINA'!$T78/8</x:f>
        <x:v>0</x:v>
      </x:c>
      <x:c r="JQ24" s="128" t="n">
        <x:f>'PROJECT TA Y TB KARINA'!$T78/8</x:f>
        <x:v>0</x:v>
      </x:c>
      <x:c r="JR24" s="128" t="n">
        <x:f>'PROJECT TA Y TB KARINA'!$T78/8</x:f>
        <x:v>0</x:v>
      </x:c>
      <x:c r="JS24" s="128" t="n">
        <x:f>'PROJECT TA Y TB KARINA'!$T78/8</x:f>
        <x:v>0</x:v>
      </x:c>
      <x:c r="JT24" s="128" t="e">
        <x:f>'PROJECT TA Y TB KARINA'!#REF!/8</x:f>
        <x:v>#NAME?</x:v>
      </x:c>
      <x:c r="JU24" s="128" t="e">
        <x:f>'PROJECT TA Y TB KARINA'!#REF!/8</x:f>
        <x:v>#NAME?</x:v>
      </x:c>
      <x:c r="JV24" s="128" t="e">
        <x:f>'PROJECT TA Y TB KARINA'!#REF!/8</x:f>
        <x:v>#NAME?</x:v>
      </x:c>
      <x:c r="JW24" s="128" t="e">
        <x:f>'PROJECT TA Y TB KARINA'!#REF!/8</x:f>
        <x:v>#NAME?</x:v>
      </x:c>
      <x:c r="JX24" s="128" t="e">
        <x:f>'PROJECT TA Y TB KARINA'!#REF!/8</x:f>
        <x:v>#NAME?</x:v>
      </x:c>
      <x:c r="JY24" s="128" t="e">
        <x:f>'PROJECT TA Y TB KARINA'!#REF!/8</x:f>
        <x:v>#NAME?</x:v>
      </x:c>
      <x:c r="JZ24" s="128" t="e">
        <x:f>'PROJECT TA Y TB KARINA'!#REF!/8</x:f>
        <x:v>#NAME?</x:v>
      </x:c>
      <x:c r="KA24" s="128" t="e">
        <x:f>'PROJECT TA Y TB KARINA'!#REF!/8</x:f>
        <x:v>#NAME?</x:v>
      </x:c>
    </x:row>
    <x:row r="25" ht="21">
      <x:c r="A25" s="130" t="s">
        <x:v>510</x:v>
      </x:c>
      <x:c r="B25" s="128" t="e">
        <x:f>'PROJECT TA Y TB KARINA'!$C$21/8</x:f>
        <x:v>#REF!</x:v>
      </x:c>
      <x:c r="C25" s="128" t="e">
        <x:f>'PROJECT TA Y TB KARINA'!$C$21/8</x:f>
        <x:v>#REF!</x:v>
      </x:c>
      <x:c r="D25" s="128" t="e">
        <x:f>'PROJECT TA Y TB KARINA'!$C$21/8</x:f>
        <x:v>#REF!</x:v>
      </x:c>
      <x:c r="E25" s="128" t="e">
        <x:f>'PROJECT TA Y TB KARINA'!$C$21/8</x:f>
        <x:v>#REF!</x:v>
      </x:c>
      <x:c r="F25" s="128" t="e">
        <x:f>'PROJECT TA Y TB KARINA'!$C$21/8</x:f>
        <x:v>#REF!</x:v>
      </x:c>
      <x:c r="G25" s="128" t="e">
        <x:f>'PROJECT TA Y TB KARINA'!$C$21/8</x:f>
        <x:v>#REF!</x:v>
      </x:c>
      <x:c r="H25" s="128" t="e">
        <x:f>'PROJECT TA Y TB KARINA'!$C$21/8</x:f>
        <x:v>#REF!</x:v>
      </x:c>
      <x:c r="I25" s="128" t="e">
        <x:f>'PROJECT TA Y TB KARINA'!$E21/8</x:f>
        <x:v>#REF!</x:v>
      </x:c>
      <x:c r="J25" s="128" t="e">
        <x:f>'PROJECT TA Y TB KARINA'!$E21/8</x:f>
        <x:v>#REF!</x:v>
      </x:c>
      <x:c r="K25" s="128" t="e">
        <x:f>'PROJECT TA Y TB KARINA'!$E21/8</x:f>
        <x:v>#REF!</x:v>
      </x:c>
      <x:c r="L25" s="128" t="e">
        <x:f>'PROJECT TA Y TB KARINA'!$E21/8</x:f>
        <x:v>#REF!</x:v>
      </x:c>
      <x:c r="M25" s="128" t="e">
        <x:f>'PROJECT TA Y TB KARINA'!$E21/8</x:f>
        <x:v>#REF!</x:v>
      </x:c>
      <x:c r="N25" s="128" t="e">
        <x:f>'PROJECT TA Y TB KARINA'!$E21/8</x:f>
        <x:v>#REF!</x:v>
      </x:c>
      <x:c r="O25" s="128" t="e">
        <x:f>'PROJECT TA Y TB KARINA'!$E21/8</x:f>
        <x:v>#REF!</x:v>
      </x:c>
      <x:c r="P25" s="128" t="e">
        <x:f>'PROJECT TA Y TB KARINA'!$E21/8</x:f>
        <x:v>#REF!</x:v>
      </x:c>
      <x:c r="Q25" s="128" t="e">
        <x:f>'PROJECT TA Y TB KARINA'!$F21/8</x:f>
        <x:v>#REF!</x:v>
      </x:c>
      <x:c r="R25" s="128" t="e">
        <x:f>'PROJECT TA Y TB KARINA'!$F21/8</x:f>
        <x:v>#REF!</x:v>
      </x:c>
      <x:c r="S25" s="128" t="e">
        <x:f>'PROJECT TA Y TB KARINA'!$F21/8</x:f>
        <x:v>#REF!</x:v>
      </x:c>
      <x:c r="T25" s="128" t="e">
        <x:f>'PROJECT TA Y TB KARINA'!$F21/8</x:f>
        <x:v>#REF!</x:v>
      </x:c>
      <x:c r="U25" s="128" t="e">
        <x:f>'PROJECT TA Y TB KARINA'!$F21/8</x:f>
        <x:v>#REF!</x:v>
      </x:c>
      <x:c r="V25" s="128" t="e">
        <x:f>'PROJECT TA Y TB KARINA'!$F21/8</x:f>
        <x:v>#REF!</x:v>
      </x:c>
      <x:c r="W25" s="128" t="e">
        <x:f>'PROJECT TA Y TB KARINA'!$F21/8</x:f>
        <x:v>#REF!</x:v>
      </x:c>
      <x:c r="X25" s="128" t="e">
        <x:f>'PROJECT TA Y TB KARINA'!$F21/8</x:f>
        <x:v>#REF!</x:v>
      </x:c>
      <x:c r="Y25" s="128" t="e">
        <x:f>'PROJECT TA Y TB KARINA'!$G21/8</x:f>
        <x:v>#REF!</x:v>
      </x:c>
      <x:c r="Z25" s="128" t="e">
        <x:f>'PROJECT TA Y TB KARINA'!$G21/8</x:f>
        <x:v>#REF!</x:v>
      </x:c>
      <x:c r="AA25" s="128" t="e">
        <x:f>'PROJECT TA Y TB KARINA'!$G21/8</x:f>
        <x:v>#REF!</x:v>
      </x:c>
      <x:c r="AB25" s="128" t="e">
        <x:f>'PROJECT TA Y TB KARINA'!$G21/8</x:f>
        <x:v>#REF!</x:v>
      </x:c>
      <x:c r="AC25" s="128" t="e">
        <x:f>'PROJECT TA Y TB KARINA'!$G21/8</x:f>
        <x:v>#REF!</x:v>
      </x:c>
      <x:c r="AD25" s="128" t="e">
        <x:f>'PROJECT TA Y TB KARINA'!$G21/8</x:f>
        <x:v>#REF!</x:v>
      </x:c>
      <x:c r="AE25" s="128" t="e">
        <x:f>'PROJECT TA Y TB KARINA'!$G21/8</x:f>
        <x:v>#REF!</x:v>
      </x:c>
      <x:c r="AF25" s="128" t="e">
        <x:f>'PROJECT TA Y TB KARINA'!$G21/8</x:f>
        <x:v>#REF!</x:v>
      </x:c>
      <x:c r="AG25" s="128" t="e">
        <x:f>'PROJECT TA Y TB KARINA'!$H21/8</x:f>
        <x:v>#REF!</x:v>
      </x:c>
      <x:c r="AH25" s="128" t="e">
        <x:f>'PROJECT TA Y TB KARINA'!$H21/8</x:f>
        <x:v>#REF!</x:v>
      </x:c>
      <x:c r="AI25" s="128" t="e">
        <x:f>'PROJECT TA Y TB KARINA'!$H21/8</x:f>
        <x:v>#REF!</x:v>
      </x:c>
      <x:c r="AJ25" s="128" t="e">
        <x:f>'PROJECT TA Y TB KARINA'!$H21/8</x:f>
        <x:v>#REF!</x:v>
      </x:c>
      <x:c r="AK25" s="128" t="e">
        <x:f>'PROJECT TA Y TB KARINA'!$H21/8</x:f>
        <x:v>#REF!</x:v>
      </x:c>
      <x:c r="AL25" s="128" t="e">
        <x:f>'PROJECT TA Y TB KARINA'!$H21/8</x:f>
        <x:v>#REF!</x:v>
      </x:c>
      <x:c r="AM25" s="128" t="e">
        <x:f>'PROJECT TA Y TB KARINA'!$H21/8</x:f>
        <x:v>#REF!</x:v>
      </x:c>
      <x:c r="AN25" s="128" t="e">
        <x:f>'PROJECT TA Y TB KARINA'!$H21/8</x:f>
        <x:v>#REF!</x:v>
      </x:c>
      <x:c r="AO25" s="128" t="e">
        <x:f>'PROJECT TA Y TB KARINA'!$I21/8</x:f>
        <x:v>#REF!</x:v>
      </x:c>
      <x:c r="AP25" s="128" t="e">
        <x:f>'PROJECT TA Y TB KARINA'!$I21/8</x:f>
        <x:v>#REF!</x:v>
      </x:c>
      <x:c r="AQ25" s="128" t="e">
        <x:f>'PROJECT TA Y TB KARINA'!$I21/8</x:f>
        <x:v>#REF!</x:v>
      </x:c>
      <x:c r="AR25" s="128" t="e">
        <x:f>'PROJECT TA Y TB KARINA'!$I21/8</x:f>
        <x:v>#REF!</x:v>
      </x:c>
      <x:c r="AS25" s="128" t="e">
        <x:f>'PROJECT TA Y TB KARINA'!$I21/8</x:f>
        <x:v>#REF!</x:v>
      </x:c>
      <x:c r="AT25" s="128" t="e">
        <x:f>'PROJECT TA Y TB KARINA'!$I21/8</x:f>
        <x:v>#REF!</x:v>
      </x:c>
      <x:c r="AU25" s="128" t="e">
        <x:f>'PROJECT TA Y TB KARINA'!$I21/8</x:f>
        <x:v>#REF!</x:v>
      </x:c>
      <x:c r="AV25" s="128" t="e">
        <x:f>'PROJECT TA Y TB KARINA'!$I21/8</x:f>
        <x:v>#REF!</x:v>
      </x:c>
      <x:c r="AW25" s="128" t="e">
        <x:f>'PROJECT TA Y TB KARINA'!$J21/8</x:f>
        <x:v>#REF!</x:v>
      </x:c>
      <x:c r="AX25" s="128" t="e">
        <x:f>'PROJECT TA Y TB KARINA'!$J21/8</x:f>
        <x:v>#REF!</x:v>
      </x:c>
      <x:c r="AY25" s="128" t="e">
        <x:f>'PROJECT TA Y TB KARINA'!$J21/8</x:f>
        <x:v>#REF!</x:v>
      </x:c>
      <x:c r="AZ25" s="128" t="e">
        <x:f>'PROJECT TA Y TB KARINA'!$J21/8</x:f>
        <x:v>#REF!</x:v>
      </x:c>
      <x:c r="BA25" s="128" t="e">
        <x:f>'PROJECT TA Y TB KARINA'!$J21/8</x:f>
        <x:v>#REF!</x:v>
      </x:c>
      <x:c r="BB25" s="128" t="e">
        <x:f>'PROJECT TA Y TB KARINA'!$J21/8</x:f>
        <x:v>#REF!</x:v>
      </x:c>
      <x:c r="BC25" s="128" t="e">
        <x:f>'PROJECT TA Y TB KARINA'!$J21/8</x:f>
        <x:v>#REF!</x:v>
      </x:c>
      <x:c r="BD25" s="128" t="e">
        <x:f>'PROJECT TA Y TB KARINA'!$J21/8</x:f>
        <x:v>#REF!</x:v>
      </x:c>
      <x:c r="BE25" s="128" t="e">
        <x:f>'PROJECT TA Y TB KARINA'!$K21/8</x:f>
        <x:v>#REF!</x:v>
      </x:c>
      <x:c r="BF25" s="128" t="e">
        <x:f>'PROJECT TA Y TB KARINA'!$K21/8</x:f>
        <x:v>#REF!</x:v>
      </x:c>
      <x:c r="BG25" s="128" t="e">
        <x:f>'PROJECT TA Y TB KARINA'!$K21/8</x:f>
        <x:v>#REF!</x:v>
      </x:c>
      <x:c r="BH25" s="128" t="e">
        <x:f>'PROJECT TA Y TB KARINA'!$K21/8</x:f>
        <x:v>#REF!</x:v>
      </x:c>
      <x:c r="BI25" s="128" t="e">
        <x:f>'PROJECT TA Y TB KARINA'!$K21/8</x:f>
        <x:v>#REF!</x:v>
      </x:c>
      <x:c r="BJ25" s="128" t="e">
        <x:f>'PROJECT TA Y TB KARINA'!$K21/8</x:f>
        <x:v>#REF!</x:v>
      </x:c>
      <x:c r="BK25" s="128" t="e">
        <x:f>'PROJECT TA Y TB KARINA'!$K21/8</x:f>
        <x:v>#REF!</x:v>
      </x:c>
      <x:c r="BL25" s="128" t="e">
        <x:f>'PROJECT TA Y TB KARINA'!$K21/8</x:f>
        <x:v>#REF!</x:v>
      </x:c>
      <x:c r="BM25" s="128" t="e">
        <x:f>'PROJECT TA Y TB KARINA'!$L21/8</x:f>
        <x:v>#REF!</x:v>
      </x:c>
      <x:c r="BN25" s="128" t="e">
        <x:f>'PROJECT TA Y TB KARINA'!$L21/8</x:f>
        <x:v>#REF!</x:v>
      </x:c>
      <x:c r="BO25" s="128" t="e">
        <x:f>'PROJECT TA Y TB KARINA'!$L21/8</x:f>
        <x:v>#REF!</x:v>
      </x:c>
      <x:c r="BP25" s="128" t="e">
        <x:f>'PROJECT TA Y TB KARINA'!$L21/8</x:f>
        <x:v>#REF!</x:v>
      </x:c>
      <x:c r="BQ25" s="128" t="e">
        <x:f>'PROJECT TA Y TB KARINA'!$L21/8</x:f>
        <x:v>#REF!</x:v>
      </x:c>
      <x:c r="BR25" s="128" t="e">
        <x:f>'PROJECT TA Y TB KARINA'!$L21/8</x:f>
        <x:v>#REF!</x:v>
      </x:c>
      <x:c r="BS25" s="128" t="e">
        <x:f>'PROJECT TA Y TB KARINA'!$L21/8</x:f>
        <x:v>#REF!</x:v>
      </x:c>
      <x:c r="BT25" s="128" t="e">
        <x:f>'PROJECT TA Y TB KARINA'!$L21/8</x:f>
        <x:v>#REF!</x:v>
      </x:c>
      <x:c r="BU25" s="128" t="e">
        <x:f>'PROJECT TA Y TB KARINA'!$M21/8</x:f>
        <x:v>#REF!</x:v>
      </x:c>
      <x:c r="BV25" s="128" t="e">
        <x:f>'PROJECT TA Y TB KARINA'!$M21/8</x:f>
        <x:v>#REF!</x:v>
      </x:c>
      <x:c r="BW25" s="128" t="e">
        <x:f>'PROJECT TA Y TB KARINA'!$M21/8</x:f>
        <x:v>#REF!</x:v>
      </x:c>
      <x:c r="BX25" s="128" t="e">
        <x:f>'PROJECT TA Y TB KARINA'!$M21/8</x:f>
        <x:v>#REF!</x:v>
      </x:c>
      <x:c r="BY25" s="128" t="e">
        <x:f>'PROJECT TA Y TB KARINA'!$M21/8</x:f>
        <x:v>#REF!</x:v>
      </x:c>
      <x:c r="BZ25" s="128" t="e">
        <x:f>'PROJECT TA Y TB KARINA'!$M21/8</x:f>
        <x:v>#REF!</x:v>
      </x:c>
      <x:c r="CA25" s="128" t="e">
        <x:f>'PROJECT TA Y TB KARINA'!$M21/8</x:f>
        <x:v>#REF!</x:v>
      </x:c>
      <x:c r="CB25" s="128" t="e">
        <x:f>'PROJECT TA Y TB KARINA'!$M21/8</x:f>
        <x:v>#REF!</x:v>
      </x:c>
      <x:c r="CC25" s="128" t="e">
        <x:f>'PROJECT TA Y TB KARINA'!$N21/8</x:f>
        <x:v>#REF!</x:v>
      </x:c>
      <x:c r="CD25" s="128" t="e">
        <x:f>'PROJECT TA Y TB KARINA'!$N21/8</x:f>
        <x:v>#REF!</x:v>
      </x:c>
      <x:c r="CE25" s="128" t="e">
        <x:f>'PROJECT TA Y TB KARINA'!$N21/8</x:f>
        <x:v>#REF!</x:v>
      </x:c>
      <x:c r="CF25" s="128" t="e">
        <x:f>'PROJECT TA Y TB KARINA'!$N21/8</x:f>
        <x:v>#REF!</x:v>
      </x:c>
      <x:c r="CG25" s="128" t="e">
        <x:f>'PROJECT TA Y TB KARINA'!$N21/8</x:f>
        <x:v>#REF!</x:v>
      </x:c>
      <x:c r="CH25" s="128" t="e">
        <x:f>'PROJECT TA Y TB KARINA'!$N21/8</x:f>
        <x:v>#REF!</x:v>
      </x:c>
      <x:c r="CI25" s="128" t="e">
        <x:f>'PROJECT TA Y TB KARINA'!$N21/8</x:f>
        <x:v>#REF!</x:v>
      </x:c>
      <x:c r="CJ25" s="128" t="e">
        <x:f>'PROJECT TA Y TB KARINA'!$N21/8</x:f>
        <x:v>#REF!</x:v>
      </x:c>
      <x:c r="CK25" s="128" t="e">
        <x:f>'PROJECT TA Y TB KARINA'!$O21/8</x:f>
        <x:v>#REF!</x:v>
      </x:c>
      <x:c r="CL25" s="128" t="e">
        <x:f>'PROJECT TA Y TB KARINA'!$O21/8</x:f>
        <x:v>#REF!</x:v>
      </x:c>
      <x:c r="CM25" s="128" t="e">
        <x:f>'PROJECT TA Y TB KARINA'!$O21/8</x:f>
        <x:v>#REF!</x:v>
      </x:c>
      <x:c r="CN25" s="128" t="e">
        <x:f>'PROJECT TA Y TB KARINA'!$O21/8</x:f>
        <x:v>#REF!</x:v>
      </x:c>
      <x:c r="CO25" s="128" t="e">
        <x:f>'PROJECT TA Y TB KARINA'!$O21/8</x:f>
        <x:v>#REF!</x:v>
      </x:c>
      <x:c r="CP25" s="128" t="e">
        <x:f>'PROJECT TA Y TB KARINA'!$O21/8</x:f>
        <x:v>#REF!</x:v>
      </x:c>
      <x:c r="CQ25" s="128" t="e">
        <x:f>'PROJECT TA Y TB KARINA'!$O21/8</x:f>
        <x:v>#REF!</x:v>
      </x:c>
      <x:c r="CR25" s="128" t="e">
        <x:f>'PROJECT TA Y TB KARINA'!$O21/8</x:f>
        <x:v>#REF!</x:v>
      </x:c>
      <x:c r="CS25" s="128" t="e">
        <x:f>'PROJECT TA Y TB KARINA'!$P21/8</x:f>
        <x:v>#REF!</x:v>
      </x:c>
      <x:c r="CT25" s="128" t="e">
        <x:f>'PROJECT TA Y TB KARINA'!$P21/8</x:f>
        <x:v>#REF!</x:v>
      </x:c>
      <x:c r="CU25" s="128" t="e">
        <x:f>'PROJECT TA Y TB KARINA'!$P21/8</x:f>
        <x:v>#REF!</x:v>
      </x:c>
      <x:c r="CV25" s="128" t="e">
        <x:f>'PROJECT TA Y TB KARINA'!$P21/8</x:f>
        <x:v>#REF!</x:v>
      </x:c>
      <x:c r="CW25" s="128" t="e">
        <x:f>'PROJECT TA Y TB KARINA'!$P21/8</x:f>
        <x:v>#REF!</x:v>
      </x:c>
      <x:c r="CX25" s="128" t="e">
        <x:f>'PROJECT TA Y TB KARINA'!$P21/8</x:f>
        <x:v>#REF!</x:v>
      </x:c>
      <x:c r="CY25" s="128" t="e">
        <x:f>'PROJECT TA Y TB KARINA'!$P21/8</x:f>
        <x:v>#REF!</x:v>
      </x:c>
      <x:c r="CZ25" s="128" t="e">
        <x:f>'PROJECT TA Y TB KARINA'!$P21/8</x:f>
        <x:v>#REF!</x:v>
      </x:c>
      <x:c r="DA25" s="128" t="e">
        <x:f>'PROJECT TA Y TB KARINA'!$Q21/8</x:f>
        <x:v>#REF!</x:v>
      </x:c>
      <x:c r="DB25" s="128" t="e">
        <x:f>'PROJECT TA Y TB KARINA'!$Q21/8</x:f>
        <x:v>#REF!</x:v>
      </x:c>
      <x:c r="DC25" s="128" t="e">
        <x:f>'PROJECT TA Y TB KARINA'!$Q21/8</x:f>
        <x:v>#REF!</x:v>
      </x:c>
      <x:c r="DD25" s="128" t="e">
        <x:f>'PROJECT TA Y TB KARINA'!$Q21/8</x:f>
        <x:v>#REF!</x:v>
      </x:c>
      <x:c r="DE25" s="128" t="e">
        <x:f>'PROJECT TA Y TB KARINA'!$Q21/8</x:f>
        <x:v>#REF!</x:v>
      </x:c>
      <x:c r="DF25" s="128" t="e">
        <x:f>'PROJECT TA Y TB KARINA'!$Q21/8</x:f>
        <x:v>#REF!</x:v>
      </x:c>
      <x:c r="DG25" s="128" t="e">
        <x:f>'PROJECT TA Y TB KARINA'!$Q21/8</x:f>
        <x:v>#REF!</x:v>
      </x:c>
      <x:c r="DH25" s="128" t="e">
        <x:f>'PROJECT TA Y TB KARINA'!$Q21/8</x:f>
        <x:v>#REF!</x:v>
      </x:c>
      <x:c r="DI25" s="128" t="e">
        <x:f>'PROJECT TA Y TB KARINA'!$R21/8</x:f>
        <x:v>#REF!</x:v>
      </x:c>
      <x:c r="DJ25" s="128" t="e">
        <x:f>'PROJECT TA Y TB KARINA'!$R21/8</x:f>
        <x:v>#REF!</x:v>
      </x:c>
      <x:c r="DK25" s="128" t="e">
        <x:f>'PROJECT TA Y TB KARINA'!$R21/8</x:f>
        <x:v>#REF!</x:v>
      </x:c>
      <x:c r="DL25" s="128" t="e">
        <x:f>'PROJECT TA Y TB KARINA'!$R21/8</x:f>
        <x:v>#REF!</x:v>
      </x:c>
      <x:c r="DM25" s="128" t="e">
        <x:f>'PROJECT TA Y TB KARINA'!$R21/8</x:f>
        <x:v>#REF!</x:v>
      </x:c>
      <x:c r="DN25" s="128" t="e">
        <x:f>'PROJECT TA Y TB KARINA'!$R21/8</x:f>
        <x:v>#REF!</x:v>
      </x:c>
      <x:c r="DO25" s="128" t="e">
        <x:f>'PROJECT TA Y TB KARINA'!$R21/8</x:f>
        <x:v>#REF!</x:v>
      </x:c>
      <x:c r="DP25" s="128" t="e">
        <x:f>'PROJECT TA Y TB KARINA'!$R21/8</x:f>
        <x:v>#REF!</x:v>
      </x:c>
      <x:c r="DQ25" s="128" t="e">
        <x:f>'PROJECT TA Y TB KARINA'!$S21/8</x:f>
        <x:v>#REF!</x:v>
      </x:c>
      <x:c r="DR25" s="128" t="e">
        <x:f>'PROJECT TA Y TB KARINA'!$S21/8</x:f>
        <x:v>#REF!</x:v>
      </x:c>
      <x:c r="DS25" s="128" t="e">
        <x:f>'PROJECT TA Y TB KARINA'!$S21/8</x:f>
        <x:v>#REF!</x:v>
      </x:c>
      <x:c r="DT25" s="128" t="e">
        <x:f>'PROJECT TA Y TB KARINA'!$S21/8</x:f>
        <x:v>#REF!</x:v>
      </x:c>
      <x:c r="DU25" s="128" t="e">
        <x:f>'PROJECT TA Y TB KARINA'!$S21/8</x:f>
        <x:v>#REF!</x:v>
      </x:c>
      <x:c r="DV25" s="128" t="e">
        <x:f>'PROJECT TA Y TB KARINA'!$S21/8</x:f>
        <x:v>#REF!</x:v>
      </x:c>
      <x:c r="DW25" s="128" t="e">
        <x:f>'PROJECT TA Y TB KARINA'!$S21/8</x:f>
        <x:v>#REF!</x:v>
      </x:c>
      <x:c r="DX25" s="128" t="e">
        <x:f>'PROJECT TA Y TB KARINA'!$S21/8</x:f>
        <x:v>#REF!</x:v>
      </x:c>
      <x:c r="DY25" s="128" t="e">
        <x:f>'PROJECT TA Y TB KARINA'!$T21/8</x:f>
        <x:v>#REF!</x:v>
      </x:c>
      <x:c r="DZ25" s="128" t="e">
        <x:f>'PROJECT TA Y TB KARINA'!$T21/8</x:f>
        <x:v>#REF!</x:v>
      </x:c>
      <x:c r="EA25" s="128" t="e">
        <x:f>'PROJECT TA Y TB KARINA'!$T21/8</x:f>
        <x:v>#REF!</x:v>
      </x:c>
      <x:c r="EB25" s="128" t="e">
        <x:f>'PROJECT TA Y TB KARINA'!$T21/8</x:f>
        <x:v>#REF!</x:v>
      </x:c>
      <x:c r="EC25" s="128" t="e">
        <x:f>'PROJECT TA Y TB KARINA'!$T21/8</x:f>
        <x:v>#REF!</x:v>
      </x:c>
      <x:c r="ED25" s="128" t="e">
        <x:f>'PROJECT TA Y TB KARINA'!$T21/8</x:f>
        <x:v>#REF!</x:v>
      </x:c>
      <x:c r="EE25" s="128" t="e">
        <x:f>'PROJECT TA Y TB KARINA'!$T21/8</x:f>
        <x:v>#REF!</x:v>
      </x:c>
      <x:c r="EF25" s="128" t="e">
        <x:f>'PROJECT TA Y TB KARINA'!$T21/8</x:f>
        <x:v>#REF!</x:v>
      </x:c>
      <x:c r="EG25" s="128" t="e">
        <x:f>'PROJECT TA Y TB KARINA'!#REF!/8</x:f>
        <x:v>#NAME?</x:v>
      </x:c>
      <x:c r="EH25" s="128" t="e">
        <x:f>'PROJECT TA Y TB KARINA'!#REF!/8</x:f>
        <x:v>#NAME?</x:v>
      </x:c>
      <x:c r="EI25" s="128" t="e">
        <x:f>'PROJECT TA Y TB KARINA'!#REF!/8</x:f>
        <x:v>#NAME?</x:v>
      </x:c>
      <x:c r="EJ25" s="128" t="e">
        <x:f>'PROJECT TA Y TB KARINA'!#REF!/8</x:f>
        <x:v>#NAME?</x:v>
      </x:c>
      <x:c r="EK25" s="128" t="e">
        <x:f>'PROJECT TA Y TB KARINA'!#REF!/8</x:f>
        <x:v>#NAME?</x:v>
      </x:c>
      <x:c r="EL25" s="128" t="e">
        <x:f>'PROJECT TA Y TB KARINA'!#REF!/8</x:f>
        <x:v>#NAME?</x:v>
      </x:c>
      <x:c r="EM25" s="128" t="e">
        <x:f>'PROJECT TA Y TB KARINA'!#REF!/8</x:f>
        <x:v>#NAME?</x:v>
      </x:c>
      <x:c r="EN25" s="128" t="e">
        <x:f>'PROJECT TA Y TB KARINA'!#REF!/8</x:f>
        <x:v>#NAME?</x:v>
      </x:c>
      <x:c r="EO25" s="128" t="n">
        <x:f>'PROJECT TA Y TB KARINA'!$C79/8</x:f>
        <x:v>0</x:v>
      </x:c>
      <x:c r="EP25" s="128" t="n">
        <x:f>'PROJECT TA Y TB KARINA'!$C79/8</x:f>
        <x:v>0</x:v>
      </x:c>
      <x:c r="EQ25" s="128" t="n">
        <x:f>'PROJECT TA Y TB KARINA'!$C79/8</x:f>
        <x:v>0</x:v>
      </x:c>
      <x:c r="ER25" s="128" t="n">
        <x:f>'PROJECT TA Y TB KARINA'!$C79/8</x:f>
        <x:v>0</x:v>
      </x:c>
      <x:c r="ES25" s="128" t="n">
        <x:f>'PROJECT TA Y TB KARINA'!$C79/8</x:f>
        <x:v>0</x:v>
      </x:c>
      <x:c r="ET25" s="128" t="n">
        <x:f>'PROJECT TA Y TB KARINA'!$C79/8</x:f>
        <x:v>0</x:v>
      </x:c>
      <x:c r="EU25" s="128" t="n">
        <x:f>'PROJECT TA Y TB KARINA'!$C79/8</x:f>
        <x:v>0</x:v>
      </x:c>
      <x:c r="EV25" s="128" t="n">
        <x:f>'PROJECT TA Y TB KARINA'!$E79/8</x:f>
        <x:v>0</x:v>
      </x:c>
      <x:c r="EW25" s="128" t="n">
        <x:f>'PROJECT TA Y TB KARINA'!$E79/8</x:f>
        <x:v>0</x:v>
      </x:c>
      <x:c r="EX25" s="128" t="n">
        <x:f>'PROJECT TA Y TB KARINA'!$E79/8</x:f>
        <x:v>0</x:v>
      </x:c>
      <x:c r="EY25" s="128" t="n">
        <x:f>'PROJECT TA Y TB KARINA'!$E79/8</x:f>
        <x:v>0</x:v>
      </x:c>
      <x:c r="EZ25" s="128" t="n">
        <x:f>'PROJECT TA Y TB KARINA'!$E79/8</x:f>
        <x:v>0</x:v>
      </x:c>
      <x:c r="FA25" s="128" t="n">
        <x:f>'PROJECT TA Y TB KARINA'!$E79/8</x:f>
        <x:v>0</x:v>
      </x:c>
      <x:c r="FB25" s="128" t="n">
        <x:f>'PROJECT TA Y TB KARINA'!$E79/8</x:f>
        <x:v>0</x:v>
      </x:c>
      <x:c r="FC25" s="128" t="n">
        <x:f>'PROJECT TA Y TB KARINA'!$E79/8</x:f>
        <x:v>0</x:v>
      </x:c>
      <x:c r="FD25" s="128" t="n">
        <x:f>'PROJECT TA Y TB KARINA'!$F79/8</x:f>
        <x:v>0</x:v>
      </x:c>
      <x:c r="FE25" s="128" t="n">
        <x:f>'PROJECT TA Y TB KARINA'!$F79/8</x:f>
        <x:v>0</x:v>
      </x:c>
      <x:c r="FF25" s="128" t="n">
        <x:f>'PROJECT TA Y TB KARINA'!$F79/8</x:f>
        <x:v>0</x:v>
      </x:c>
      <x:c r="FG25" s="128" t="n">
        <x:f>'PROJECT TA Y TB KARINA'!$F79/8</x:f>
        <x:v>0</x:v>
      </x:c>
      <x:c r="FH25" s="128" t="n">
        <x:f>'PROJECT TA Y TB KARINA'!$F79/8</x:f>
        <x:v>0</x:v>
      </x:c>
      <x:c r="FI25" s="128" t="n">
        <x:f>'PROJECT TA Y TB KARINA'!$F79/8</x:f>
        <x:v>0</x:v>
      </x:c>
      <x:c r="FJ25" s="128" t="n">
        <x:f>'PROJECT TA Y TB KARINA'!$F79/8</x:f>
        <x:v>0</x:v>
      </x:c>
      <x:c r="FK25" s="128" t="n">
        <x:f>'PROJECT TA Y TB KARINA'!$F79/8</x:f>
        <x:v>0</x:v>
      </x:c>
      <x:c r="FL25" s="128" t="n">
        <x:f>'PROJECT TA Y TB KARINA'!$G79/8</x:f>
        <x:v>0</x:v>
      </x:c>
      <x:c r="FM25" s="128" t="n">
        <x:f>'PROJECT TA Y TB KARINA'!$G79/8</x:f>
        <x:v>0</x:v>
      </x:c>
      <x:c r="FN25" s="128" t="n">
        <x:f>'PROJECT TA Y TB KARINA'!$G79/8</x:f>
        <x:v>0</x:v>
      </x:c>
      <x:c r="FO25" s="128" t="n">
        <x:f>'PROJECT TA Y TB KARINA'!$G79/8</x:f>
        <x:v>0</x:v>
      </x:c>
      <x:c r="FP25" s="128" t="n">
        <x:f>'PROJECT TA Y TB KARINA'!$G79/8</x:f>
        <x:v>0</x:v>
      </x:c>
      <x:c r="FQ25" s="128" t="n">
        <x:f>'PROJECT TA Y TB KARINA'!$G79/8</x:f>
        <x:v>0</x:v>
      </x:c>
      <x:c r="FR25" s="128" t="n">
        <x:f>'PROJECT TA Y TB KARINA'!$G79/8</x:f>
        <x:v>0</x:v>
      </x:c>
      <x:c r="FS25" s="128" t="n">
        <x:f>'PROJECT TA Y TB KARINA'!$G79/8</x:f>
        <x:v>0</x:v>
      </x:c>
      <x:c r="FT25" s="128" t="n">
        <x:f>'PROJECT TA Y TB KARINA'!$H79/8</x:f>
        <x:v>0</x:v>
      </x:c>
      <x:c r="FU25" s="128" t="n">
        <x:f>'PROJECT TA Y TB KARINA'!$H79/8</x:f>
        <x:v>0</x:v>
      </x:c>
      <x:c r="FV25" s="128" t="n">
        <x:f>'PROJECT TA Y TB KARINA'!$H79/8</x:f>
        <x:v>0</x:v>
      </x:c>
      <x:c r="FW25" s="128" t="n">
        <x:f>'PROJECT TA Y TB KARINA'!$H79/8</x:f>
        <x:v>0</x:v>
      </x:c>
      <x:c r="FX25" s="128" t="n">
        <x:f>'PROJECT TA Y TB KARINA'!$H79/8</x:f>
        <x:v>0</x:v>
      </x:c>
      <x:c r="FY25" s="128" t="n">
        <x:f>'PROJECT TA Y TB KARINA'!$H79/8</x:f>
        <x:v>0</x:v>
      </x:c>
      <x:c r="FZ25" s="128" t="n">
        <x:f>'PROJECT TA Y TB KARINA'!$H79/8</x:f>
        <x:v>0</x:v>
      </x:c>
      <x:c r="GA25" s="128" t="n">
        <x:f>'PROJECT TA Y TB KARINA'!$H79/8</x:f>
        <x:v>0</x:v>
      </x:c>
      <x:c r="GB25" s="128" t="n">
        <x:f>'PROJECT TA Y TB KARINA'!$I79/8</x:f>
        <x:v>0</x:v>
      </x:c>
      <x:c r="GC25" s="128" t="n">
        <x:f>'PROJECT TA Y TB KARINA'!$I79/8</x:f>
        <x:v>0</x:v>
      </x:c>
      <x:c r="GD25" s="128" t="n">
        <x:f>'PROJECT TA Y TB KARINA'!$I79/8</x:f>
        <x:v>0</x:v>
      </x:c>
      <x:c r="GE25" s="128" t="n">
        <x:f>'PROJECT TA Y TB KARINA'!$I79/8</x:f>
        <x:v>0</x:v>
      </x:c>
      <x:c r="GF25" s="128" t="n">
        <x:f>'PROJECT TA Y TB KARINA'!$I79/8</x:f>
        <x:v>0</x:v>
      </x:c>
      <x:c r="GG25" s="128" t="n">
        <x:f>'PROJECT TA Y TB KARINA'!$I79/8</x:f>
        <x:v>0</x:v>
      </x:c>
      <x:c r="GH25" s="128" t="n">
        <x:f>'PROJECT TA Y TB KARINA'!$I79/8</x:f>
        <x:v>0</x:v>
      </x:c>
      <x:c r="GI25" s="128" t="n">
        <x:f>'PROJECT TA Y TB KARINA'!$I79/8</x:f>
        <x:v>0</x:v>
      </x:c>
      <x:c r="GJ25" s="128" t="n">
        <x:f>'PROJECT TA Y TB KARINA'!$J79/8</x:f>
        <x:v>0</x:v>
      </x:c>
      <x:c r="GK25" s="128" t="n">
        <x:f>'PROJECT TA Y TB KARINA'!$J79/8</x:f>
        <x:v>0</x:v>
      </x:c>
      <x:c r="GL25" s="128" t="n">
        <x:f>'PROJECT TA Y TB KARINA'!$J79/8</x:f>
        <x:v>0</x:v>
      </x:c>
      <x:c r="GM25" s="128" t="n">
        <x:f>'PROJECT TA Y TB KARINA'!$J79/8</x:f>
        <x:v>0</x:v>
      </x:c>
      <x:c r="GN25" s="128" t="n">
        <x:f>'PROJECT TA Y TB KARINA'!$J79/8</x:f>
        <x:v>0</x:v>
      </x:c>
      <x:c r="GO25" s="128" t="n">
        <x:f>'PROJECT TA Y TB KARINA'!$J79/8</x:f>
        <x:v>0</x:v>
      </x:c>
      <x:c r="GP25" s="128" t="n">
        <x:f>'PROJECT TA Y TB KARINA'!$J79/8</x:f>
        <x:v>0</x:v>
      </x:c>
      <x:c r="GQ25" s="128" t="n">
        <x:f>'PROJECT TA Y TB KARINA'!$J79/8</x:f>
        <x:v>0</x:v>
      </x:c>
      <x:c r="GR25" s="128" t="n">
        <x:f>'PROJECT TA Y TB KARINA'!$K79/8</x:f>
        <x:v>0</x:v>
      </x:c>
      <x:c r="GS25" s="128" t="n">
        <x:f>'PROJECT TA Y TB KARINA'!$K79/8</x:f>
        <x:v>0</x:v>
      </x:c>
      <x:c r="GT25" s="128" t="n">
        <x:f>'PROJECT TA Y TB KARINA'!$K79/8</x:f>
        <x:v>0</x:v>
      </x:c>
      <x:c r="GU25" s="128" t="n">
        <x:f>'PROJECT TA Y TB KARINA'!$K79/8</x:f>
        <x:v>0</x:v>
      </x:c>
      <x:c r="GV25" s="128" t="n">
        <x:f>'PROJECT TA Y TB KARINA'!$K79/8</x:f>
        <x:v>0</x:v>
      </x:c>
      <x:c r="GW25" s="128" t="n">
        <x:f>'PROJECT TA Y TB KARINA'!$K79/8</x:f>
        <x:v>0</x:v>
      </x:c>
      <x:c r="GX25" s="128" t="n">
        <x:f>'PROJECT TA Y TB KARINA'!$K79/8</x:f>
        <x:v>0</x:v>
      </x:c>
      <x:c r="GY25" s="128" t="n">
        <x:f>'PROJECT TA Y TB KARINA'!$K79/8</x:f>
        <x:v>0</x:v>
      </x:c>
      <x:c r="GZ25" s="128" t="n">
        <x:f>'PROJECT TA Y TB KARINA'!$L79/8</x:f>
        <x:v>0</x:v>
      </x:c>
      <x:c r="HA25" s="128" t="n">
        <x:f>'PROJECT TA Y TB KARINA'!$L79/8</x:f>
        <x:v>0</x:v>
      </x:c>
      <x:c r="HB25" s="128" t="n">
        <x:f>'PROJECT TA Y TB KARINA'!$L79/8</x:f>
        <x:v>0</x:v>
      </x:c>
      <x:c r="HC25" s="128" t="n">
        <x:f>'PROJECT TA Y TB KARINA'!$L79/8</x:f>
        <x:v>0</x:v>
      </x:c>
      <x:c r="HD25" s="128" t="n">
        <x:f>'PROJECT TA Y TB KARINA'!$L79/8</x:f>
        <x:v>0</x:v>
      </x:c>
      <x:c r="HE25" s="128" t="n">
        <x:f>'PROJECT TA Y TB KARINA'!$L79/8</x:f>
        <x:v>0</x:v>
      </x:c>
      <x:c r="HF25" s="128" t="n">
        <x:f>'PROJECT TA Y TB KARINA'!$L79/8</x:f>
        <x:v>0</x:v>
      </x:c>
      <x:c r="HG25" s="128" t="n">
        <x:f>'PROJECT TA Y TB KARINA'!$L79/8</x:f>
        <x:v>0</x:v>
      </x:c>
      <x:c r="HH25" s="128" t="n">
        <x:f>'PROJECT TA Y TB KARINA'!$M79/8</x:f>
        <x:v>0</x:v>
      </x:c>
      <x:c r="HI25" s="128" t="n">
        <x:f>'PROJECT TA Y TB KARINA'!$M79/8</x:f>
        <x:v>0</x:v>
      </x:c>
      <x:c r="HJ25" s="128" t="n">
        <x:f>'PROJECT TA Y TB KARINA'!$M79/8</x:f>
        <x:v>0</x:v>
      </x:c>
      <x:c r="HK25" s="128" t="n">
        <x:f>'PROJECT TA Y TB KARINA'!$M79/8</x:f>
        <x:v>0</x:v>
      </x:c>
      <x:c r="HL25" s="128" t="n">
        <x:f>'PROJECT TA Y TB KARINA'!$M79/8</x:f>
        <x:v>0</x:v>
      </x:c>
      <x:c r="HM25" s="128" t="n">
        <x:f>'PROJECT TA Y TB KARINA'!$M79/8</x:f>
        <x:v>0</x:v>
      </x:c>
      <x:c r="HN25" s="128" t="n">
        <x:f>'PROJECT TA Y TB KARINA'!$M79/8</x:f>
        <x:v>0</x:v>
      </x:c>
      <x:c r="HO25" s="128" t="n">
        <x:f>'PROJECT TA Y TB KARINA'!$M79/8</x:f>
        <x:v>0</x:v>
      </x:c>
      <x:c r="HP25" s="128" t="n">
        <x:f>'PROJECT TA Y TB KARINA'!$N79/8</x:f>
        <x:v>0</x:v>
      </x:c>
      <x:c r="HQ25" s="128" t="n">
        <x:f>'PROJECT TA Y TB KARINA'!$N79/8</x:f>
        <x:v>0</x:v>
      </x:c>
      <x:c r="HR25" s="128" t="n">
        <x:f>'PROJECT TA Y TB KARINA'!$N79/8</x:f>
        <x:v>0</x:v>
      </x:c>
      <x:c r="HS25" s="128" t="n">
        <x:f>'PROJECT TA Y TB KARINA'!$N79/8</x:f>
        <x:v>0</x:v>
      </x:c>
      <x:c r="HT25" s="128" t="n">
        <x:f>'PROJECT TA Y TB KARINA'!$N79/8</x:f>
        <x:v>0</x:v>
      </x:c>
      <x:c r="HU25" s="128" t="n">
        <x:f>'PROJECT TA Y TB KARINA'!$N79/8</x:f>
        <x:v>0</x:v>
      </x:c>
      <x:c r="HV25" s="128" t="n">
        <x:f>'PROJECT TA Y TB KARINA'!$N79/8</x:f>
        <x:v>0</x:v>
      </x:c>
      <x:c r="HW25" s="128" t="n">
        <x:f>'PROJECT TA Y TB KARINA'!$N79/8</x:f>
        <x:v>0</x:v>
      </x:c>
      <x:c r="HX25" s="128" t="n">
        <x:f>'PROJECT TA Y TB KARINA'!$O79/8</x:f>
        <x:v>0</x:v>
      </x:c>
      <x:c r="HY25" s="128" t="n">
        <x:f>'PROJECT TA Y TB KARINA'!$O79/8</x:f>
        <x:v>0</x:v>
      </x:c>
      <x:c r="HZ25" s="128" t="n">
        <x:f>'PROJECT TA Y TB KARINA'!$O79/8</x:f>
        <x:v>0</x:v>
      </x:c>
      <x:c r="IA25" s="128" t="n">
        <x:f>'PROJECT TA Y TB KARINA'!$O79/8</x:f>
        <x:v>0</x:v>
      </x:c>
      <x:c r="IB25" s="128" t="n">
        <x:f>'PROJECT TA Y TB KARINA'!$O79/8</x:f>
        <x:v>0</x:v>
      </x:c>
      <x:c r="IC25" s="128" t="n">
        <x:f>'PROJECT TA Y TB KARINA'!$O79/8</x:f>
        <x:v>0</x:v>
      </x:c>
      <x:c r="ID25" s="128" t="n">
        <x:f>'PROJECT TA Y TB KARINA'!$O79/8</x:f>
        <x:v>0</x:v>
      </x:c>
      <x:c r="IE25" s="128" t="n">
        <x:f>'PROJECT TA Y TB KARINA'!$O79/8</x:f>
        <x:v>0</x:v>
      </x:c>
      <x:c r="IF25" s="128" t="n">
        <x:f>'PROJECT TA Y TB KARINA'!$P79/8</x:f>
        <x:v>0</x:v>
      </x:c>
      <x:c r="IG25" s="128" t="n">
        <x:f>'PROJECT TA Y TB KARINA'!$P79/8</x:f>
        <x:v>0</x:v>
      </x:c>
      <x:c r="IH25" s="128" t="n">
        <x:f>'PROJECT TA Y TB KARINA'!$P79/8</x:f>
        <x:v>0</x:v>
      </x:c>
      <x:c r="II25" s="128" t="n">
        <x:f>'PROJECT TA Y TB KARINA'!$P79/8</x:f>
        <x:v>0</x:v>
      </x:c>
      <x:c r="IJ25" s="128" t="n">
        <x:f>'PROJECT TA Y TB KARINA'!$P79/8</x:f>
        <x:v>0</x:v>
      </x:c>
      <x:c r="IK25" s="128" t="n">
        <x:f>'PROJECT TA Y TB KARINA'!$P79/8</x:f>
        <x:v>0</x:v>
      </x:c>
      <x:c r="IL25" s="128" t="n">
        <x:f>'PROJECT TA Y TB KARINA'!$P79/8</x:f>
        <x:v>0</x:v>
      </x:c>
      <x:c r="IM25" s="128" t="n">
        <x:f>'PROJECT TA Y TB KARINA'!$P79/8</x:f>
        <x:v>0</x:v>
      </x:c>
      <x:c r="IN25" s="128" t="n">
        <x:f>'PROJECT TA Y TB KARINA'!$Q79/8</x:f>
        <x:v>0</x:v>
      </x:c>
      <x:c r="IO25" s="128" t="n">
        <x:f>'PROJECT TA Y TB KARINA'!$Q79/8</x:f>
        <x:v>0</x:v>
      </x:c>
      <x:c r="IP25" s="128" t="n">
        <x:f>'PROJECT TA Y TB KARINA'!$Q79/8</x:f>
        <x:v>0</x:v>
      </x:c>
      <x:c r="IQ25" s="128" t="n">
        <x:f>'PROJECT TA Y TB KARINA'!$Q79/8</x:f>
        <x:v>0</x:v>
      </x:c>
      <x:c r="IR25" s="128" t="n">
        <x:f>'PROJECT TA Y TB KARINA'!$Q79/8</x:f>
        <x:v>0</x:v>
      </x:c>
      <x:c r="IS25" s="128" t="n">
        <x:f>'PROJECT TA Y TB KARINA'!$Q79/8</x:f>
        <x:v>0</x:v>
      </x:c>
      <x:c r="IT25" s="128" t="n">
        <x:f>'PROJECT TA Y TB KARINA'!$Q79/8</x:f>
        <x:v>0</x:v>
      </x:c>
      <x:c r="IU25" s="128" t="n">
        <x:f>'PROJECT TA Y TB KARINA'!$Q79/8</x:f>
        <x:v>0</x:v>
      </x:c>
      <x:c r="IV25" s="128" t="n">
        <x:f>'PROJECT TA Y TB KARINA'!$R79/8</x:f>
        <x:v>0</x:v>
      </x:c>
      <x:c r="IW25" s="128" t="n">
        <x:f>'PROJECT TA Y TB KARINA'!$R79/8</x:f>
        <x:v>0</x:v>
      </x:c>
      <x:c r="IX25" s="128" t="n">
        <x:f>'PROJECT TA Y TB KARINA'!$R79/8</x:f>
        <x:v>0</x:v>
      </x:c>
      <x:c r="IY25" s="128" t="n">
        <x:f>'PROJECT TA Y TB KARINA'!$R79/8</x:f>
        <x:v>0</x:v>
      </x:c>
      <x:c r="IZ25" s="128" t="n">
        <x:f>'PROJECT TA Y TB KARINA'!$R79/8</x:f>
        <x:v>0</x:v>
      </x:c>
      <x:c r="JA25" s="128" t="n">
        <x:f>'PROJECT TA Y TB KARINA'!$R79/8</x:f>
        <x:v>0</x:v>
      </x:c>
      <x:c r="JB25" s="128" t="n">
        <x:f>'PROJECT TA Y TB KARINA'!$R79/8</x:f>
        <x:v>0</x:v>
      </x:c>
      <x:c r="JC25" s="128" t="n">
        <x:f>'PROJECT TA Y TB KARINA'!$R79/8</x:f>
        <x:v>0</x:v>
      </x:c>
      <x:c r="JD25" s="128" t="n">
        <x:f>'PROJECT TA Y TB KARINA'!$S79/8</x:f>
        <x:v>0</x:v>
      </x:c>
      <x:c r="JE25" s="128" t="n">
        <x:f>'PROJECT TA Y TB KARINA'!$S79/8</x:f>
        <x:v>0</x:v>
      </x:c>
      <x:c r="JF25" s="128" t="n">
        <x:f>'PROJECT TA Y TB KARINA'!$S79/8</x:f>
        <x:v>0</x:v>
      </x:c>
      <x:c r="JG25" s="128" t="n">
        <x:f>'PROJECT TA Y TB KARINA'!$S79/8</x:f>
        <x:v>0</x:v>
      </x:c>
      <x:c r="JH25" s="128" t="n">
        <x:f>'PROJECT TA Y TB KARINA'!$S79/8</x:f>
        <x:v>0</x:v>
      </x:c>
      <x:c r="JI25" s="128" t="n">
        <x:f>'PROJECT TA Y TB KARINA'!$S79/8</x:f>
        <x:v>0</x:v>
      </x:c>
      <x:c r="JJ25" s="128" t="n">
        <x:f>'PROJECT TA Y TB KARINA'!$S79/8</x:f>
        <x:v>0</x:v>
      </x:c>
      <x:c r="JK25" s="128" t="n">
        <x:f>'PROJECT TA Y TB KARINA'!$S79/8</x:f>
        <x:v>0</x:v>
      </x:c>
      <x:c r="JL25" s="128" t="n">
        <x:f>'PROJECT TA Y TB KARINA'!$T79/8</x:f>
        <x:v>0</x:v>
      </x:c>
      <x:c r="JM25" s="128" t="n">
        <x:f>'PROJECT TA Y TB KARINA'!$T79/8</x:f>
        <x:v>0</x:v>
      </x:c>
      <x:c r="JN25" s="128" t="n">
        <x:f>'PROJECT TA Y TB KARINA'!$T79/8</x:f>
        <x:v>0</x:v>
      </x:c>
      <x:c r="JO25" s="128" t="n">
        <x:f>'PROJECT TA Y TB KARINA'!$T79/8</x:f>
        <x:v>0</x:v>
      </x:c>
      <x:c r="JP25" s="128" t="n">
        <x:f>'PROJECT TA Y TB KARINA'!$T79/8</x:f>
        <x:v>0</x:v>
      </x:c>
      <x:c r="JQ25" s="128" t="n">
        <x:f>'PROJECT TA Y TB KARINA'!$T79/8</x:f>
        <x:v>0</x:v>
      </x:c>
      <x:c r="JR25" s="128" t="n">
        <x:f>'PROJECT TA Y TB KARINA'!$T79/8</x:f>
        <x:v>0</x:v>
      </x:c>
      <x:c r="JS25" s="128" t="n">
        <x:f>'PROJECT TA Y TB KARINA'!$T79/8</x:f>
        <x:v>0</x:v>
      </x:c>
      <x:c r="JT25" s="128" t="e">
        <x:f>'PROJECT TA Y TB KARINA'!#REF!/8</x:f>
        <x:v>#NAME?</x:v>
      </x:c>
      <x:c r="JU25" s="128" t="e">
        <x:f>'PROJECT TA Y TB KARINA'!#REF!/8</x:f>
        <x:v>#NAME?</x:v>
      </x:c>
      <x:c r="JV25" s="128" t="e">
        <x:f>'PROJECT TA Y TB KARINA'!#REF!/8</x:f>
        <x:v>#NAME?</x:v>
      </x:c>
      <x:c r="JW25" s="128" t="e">
        <x:f>'PROJECT TA Y TB KARINA'!#REF!/8</x:f>
        <x:v>#NAME?</x:v>
      </x:c>
      <x:c r="JX25" s="128" t="e">
        <x:f>'PROJECT TA Y TB KARINA'!#REF!/8</x:f>
        <x:v>#NAME?</x:v>
      </x:c>
      <x:c r="JY25" s="128" t="e">
        <x:f>'PROJECT TA Y TB KARINA'!#REF!/8</x:f>
        <x:v>#NAME?</x:v>
      </x:c>
      <x:c r="JZ25" s="128" t="e">
        <x:f>'PROJECT TA Y TB KARINA'!#REF!/8</x:f>
        <x:v>#NAME?</x:v>
      </x:c>
      <x:c r="KA25" s="128" t="e">
        <x:f>'PROJECT TA Y TB KARINA'!#REF!/8</x:f>
        <x:v>#NAME?</x:v>
      </x:c>
    </x:row>
    <x:row r="26" ht="21">
      <x:c r="A26" s="130" t="s">
        <x:v>511</x:v>
      </x:c>
      <x:c r="B26" s="128" t="e">
        <x:f>'PROJECT TA Y TB KARINA'!$C$22/8</x:f>
        <x:v>#REF!</x:v>
      </x:c>
      <x:c r="C26" s="128" t="e">
        <x:f>'PROJECT TA Y TB KARINA'!$C$22/8</x:f>
        <x:v>#REF!</x:v>
      </x:c>
      <x:c r="D26" s="128" t="e">
        <x:f>'PROJECT TA Y TB KARINA'!$C$22/8</x:f>
        <x:v>#REF!</x:v>
      </x:c>
      <x:c r="E26" s="128" t="e">
        <x:f>'PROJECT TA Y TB KARINA'!$C$22/8</x:f>
        <x:v>#REF!</x:v>
      </x:c>
      <x:c r="F26" s="128" t="e">
        <x:f>'PROJECT TA Y TB KARINA'!$C$22/8</x:f>
        <x:v>#REF!</x:v>
      </x:c>
      <x:c r="G26" s="128" t="e">
        <x:f>'PROJECT TA Y TB KARINA'!$C$22/8</x:f>
        <x:v>#REF!</x:v>
      </x:c>
      <x:c r="H26" s="128" t="e">
        <x:f>'PROJECT TA Y TB KARINA'!$C$22/8</x:f>
        <x:v>#REF!</x:v>
      </x:c>
      <x:c r="I26" s="128" t="e">
        <x:f>'PROJECT TA Y TB KARINA'!$E22/8</x:f>
        <x:v>#REF!</x:v>
      </x:c>
      <x:c r="J26" s="128" t="e">
        <x:f>'PROJECT TA Y TB KARINA'!$E22/8</x:f>
        <x:v>#REF!</x:v>
      </x:c>
      <x:c r="K26" s="128" t="e">
        <x:f>'PROJECT TA Y TB KARINA'!$E22/8</x:f>
        <x:v>#REF!</x:v>
      </x:c>
      <x:c r="L26" s="128" t="e">
        <x:f>'PROJECT TA Y TB KARINA'!$E22/8</x:f>
        <x:v>#REF!</x:v>
      </x:c>
      <x:c r="M26" s="128" t="e">
        <x:f>'PROJECT TA Y TB KARINA'!$E22/8</x:f>
        <x:v>#REF!</x:v>
      </x:c>
      <x:c r="N26" s="128" t="e">
        <x:f>'PROJECT TA Y TB KARINA'!$E22/8</x:f>
        <x:v>#REF!</x:v>
      </x:c>
      <x:c r="O26" s="128" t="e">
        <x:f>'PROJECT TA Y TB KARINA'!$E22/8</x:f>
        <x:v>#REF!</x:v>
      </x:c>
      <x:c r="P26" s="128" t="e">
        <x:f>'PROJECT TA Y TB KARINA'!$E22/8</x:f>
        <x:v>#REF!</x:v>
      </x:c>
      <x:c r="Q26" s="128" t="e">
        <x:f>'PROJECT TA Y TB KARINA'!$F22/8</x:f>
        <x:v>#REF!</x:v>
      </x:c>
      <x:c r="R26" s="128" t="e">
        <x:f>'PROJECT TA Y TB KARINA'!$F22/8</x:f>
        <x:v>#REF!</x:v>
      </x:c>
      <x:c r="S26" s="128" t="e">
        <x:f>'PROJECT TA Y TB KARINA'!$F22/8</x:f>
        <x:v>#REF!</x:v>
      </x:c>
      <x:c r="T26" s="128" t="e">
        <x:f>'PROJECT TA Y TB KARINA'!$F22/8</x:f>
        <x:v>#REF!</x:v>
      </x:c>
      <x:c r="U26" s="128" t="e">
        <x:f>'PROJECT TA Y TB KARINA'!$F22/8</x:f>
        <x:v>#REF!</x:v>
      </x:c>
      <x:c r="V26" s="128" t="e">
        <x:f>'PROJECT TA Y TB KARINA'!$F22/8</x:f>
        <x:v>#REF!</x:v>
      </x:c>
      <x:c r="W26" s="128" t="e">
        <x:f>'PROJECT TA Y TB KARINA'!$F22/8</x:f>
        <x:v>#REF!</x:v>
      </x:c>
      <x:c r="X26" s="128" t="e">
        <x:f>'PROJECT TA Y TB KARINA'!$F22/8</x:f>
        <x:v>#REF!</x:v>
      </x:c>
      <x:c r="Y26" s="128" t="e">
        <x:f>'PROJECT TA Y TB KARINA'!$G22/8</x:f>
        <x:v>#REF!</x:v>
      </x:c>
      <x:c r="Z26" s="128" t="e">
        <x:f>'PROJECT TA Y TB KARINA'!$G22/8</x:f>
        <x:v>#REF!</x:v>
      </x:c>
      <x:c r="AA26" s="128" t="e">
        <x:f>'PROJECT TA Y TB KARINA'!$G22/8</x:f>
        <x:v>#REF!</x:v>
      </x:c>
      <x:c r="AB26" s="128" t="e">
        <x:f>'PROJECT TA Y TB KARINA'!$G22/8</x:f>
        <x:v>#REF!</x:v>
      </x:c>
      <x:c r="AC26" s="128" t="e">
        <x:f>'PROJECT TA Y TB KARINA'!$G22/8</x:f>
        <x:v>#REF!</x:v>
      </x:c>
      <x:c r="AD26" s="128" t="e">
        <x:f>'PROJECT TA Y TB KARINA'!$G22/8</x:f>
        <x:v>#REF!</x:v>
      </x:c>
      <x:c r="AE26" s="128" t="e">
        <x:f>'PROJECT TA Y TB KARINA'!$G22/8</x:f>
        <x:v>#REF!</x:v>
      </x:c>
      <x:c r="AF26" s="128" t="e">
        <x:f>'PROJECT TA Y TB KARINA'!$G22/8</x:f>
        <x:v>#REF!</x:v>
      </x:c>
      <x:c r="AG26" s="128" t="e">
        <x:f>'PROJECT TA Y TB KARINA'!$H22/8</x:f>
        <x:v>#REF!</x:v>
      </x:c>
      <x:c r="AH26" s="128" t="e">
        <x:f>'PROJECT TA Y TB KARINA'!$H22/8</x:f>
        <x:v>#REF!</x:v>
      </x:c>
      <x:c r="AI26" s="128" t="e">
        <x:f>'PROJECT TA Y TB KARINA'!$H22/8</x:f>
        <x:v>#REF!</x:v>
      </x:c>
      <x:c r="AJ26" s="128" t="e">
        <x:f>'PROJECT TA Y TB KARINA'!$H22/8</x:f>
        <x:v>#REF!</x:v>
      </x:c>
      <x:c r="AK26" s="128" t="e">
        <x:f>'PROJECT TA Y TB KARINA'!$H22/8</x:f>
        <x:v>#REF!</x:v>
      </x:c>
      <x:c r="AL26" s="128" t="e">
        <x:f>'PROJECT TA Y TB KARINA'!$H22/8</x:f>
        <x:v>#REF!</x:v>
      </x:c>
      <x:c r="AM26" s="128" t="e">
        <x:f>'PROJECT TA Y TB KARINA'!$H22/8</x:f>
        <x:v>#REF!</x:v>
      </x:c>
      <x:c r="AN26" s="128" t="e">
        <x:f>'PROJECT TA Y TB KARINA'!$H22/8</x:f>
        <x:v>#REF!</x:v>
      </x:c>
      <x:c r="AO26" s="128" t="e">
        <x:f>'PROJECT TA Y TB KARINA'!$I22/8</x:f>
        <x:v>#REF!</x:v>
      </x:c>
      <x:c r="AP26" s="128" t="e">
        <x:f>'PROJECT TA Y TB KARINA'!$I22/8</x:f>
        <x:v>#REF!</x:v>
      </x:c>
      <x:c r="AQ26" s="128" t="e">
        <x:f>'PROJECT TA Y TB KARINA'!$I22/8</x:f>
        <x:v>#REF!</x:v>
      </x:c>
      <x:c r="AR26" s="128" t="e">
        <x:f>'PROJECT TA Y TB KARINA'!$I22/8</x:f>
        <x:v>#REF!</x:v>
      </x:c>
      <x:c r="AS26" s="128" t="e">
        <x:f>'PROJECT TA Y TB KARINA'!$I22/8</x:f>
        <x:v>#REF!</x:v>
      </x:c>
      <x:c r="AT26" s="128" t="e">
        <x:f>'PROJECT TA Y TB KARINA'!$I22/8</x:f>
        <x:v>#REF!</x:v>
      </x:c>
      <x:c r="AU26" s="128" t="e">
        <x:f>'PROJECT TA Y TB KARINA'!$I22/8</x:f>
        <x:v>#REF!</x:v>
      </x:c>
      <x:c r="AV26" s="128" t="e">
        <x:f>'PROJECT TA Y TB KARINA'!$I22/8</x:f>
        <x:v>#REF!</x:v>
      </x:c>
      <x:c r="AW26" s="128" t="e">
        <x:f>'PROJECT TA Y TB KARINA'!$J22/8</x:f>
        <x:v>#REF!</x:v>
      </x:c>
      <x:c r="AX26" s="128" t="e">
        <x:f>'PROJECT TA Y TB KARINA'!$J22/8</x:f>
        <x:v>#REF!</x:v>
      </x:c>
      <x:c r="AY26" s="128" t="e">
        <x:f>'PROJECT TA Y TB KARINA'!$J22/8</x:f>
        <x:v>#REF!</x:v>
      </x:c>
      <x:c r="AZ26" s="128" t="e">
        <x:f>'PROJECT TA Y TB KARINA'!$J22/8</x:f>
        <x:v>#REF!</x:v>
      </x:c>
      <x:c r="BA26" s="128" t="e">
        <x:f>'PROJECT TA Y TB KARINA'!$J22/8</x:f>
        <x:v>#REF!</x:v>
      </x:c>
      <x:c r="BB26" s="128" t="e">
        <x:f>'PROJECT TA Y TB KARINA'!$J22/8</x:f>
        <x:v>#REF!</x:v>
      </x:c>
      <x:c r="BC26" s="128" t="e">
        <x:f>'PROJECT TA Y TB KARINA'!$J22/8</x:f>
        <x:v>#REF!</x:v>
      </x:c>
      <x:c r="BD26" s="128" t="e">
        <x:f>'PROJECT TA Y TB KARINA'!$J22/8</x:f>
        <x:v>#REF!</x:v>
      </x:c>
      <x:c r="BE26" s="128" t="e">
        <x:f>'PROJECT TA Y TB KARINA'!$K22/8</x:f>
        <x:v>#REF!</x:v>
      </x:c>
      <x:c r="BF26" s="128" t="e">
        <x:f>'PROJECT TA Y TB KARINA'!$K22/8</x:f>
        <x:v>#REF!</x:v>
      </x:c>
      <x:c r="BG26" s="128" t="e">
        <x:f>'PROJECT TA Y TB KARINA'!$K22/8</x:f>
        <x:v>#REF!</x:v>
      </x:c>
      <x:c r="BH26" s="128" t="e">
        <x:f>'PROJECT TA Y TB KARINA'!$K22/8</x:f>
        <x:v>#REF!</x:v>
      </x:c>
      <x:c r="BI26" s="128" t="e">
        <x:f>'PROJECT TA Y TB KARINA'!$K22/8</x:f>
        <x:v>#REF!</x:v>
      </x:c>
      <x:c r="BJ26" s="128" t="e">
        <x:f>'PROJECT TA Y TB KARINA'!$K22/8</x:f>
        <x:v>#REF!</x:v>
      </x:c>
      <x:c r="BK26" s="128" t="e">
        <x:f>'PROJECT TA Y TB KARINA'!$K22/8</x:f>
        <x:v>#REF!</x:v>
      </x:c>
      <x:c r="BL26" s="128" t="e">
        <x:f>'PROJECT TA Y TB KARINA'!$K22/8</x:f>
        <x:v>#REF!</x:v>
      </x:c>
      <x:c r="BM26" s="128" t="e">
        <x:f>'PROJECT TA Y TB KARINA'!$L22/8</x:f>
        <x:v>#REF!</x:v>
      </x:c>
      <x:c r="BN26" s="128" t="e">
        <x:f>'PROJECT TA Y TB KARINA'!$L22/8</x:f>
        <x:v>#REF!</x:v>
      </x:c>
      <x:c r="BO26" s="128" t="e">
        <x:f>'PROJECT TA Y TB KARINA'!$L22/8</x:f>
        <x:v>#REF!</x:v>
      </x:c>
      <x:c r="BP26" s="128" t="e">
        <x:f>'PROJECT TA Y TB KARINA'!$L22/8</x:f>
        <x:v>#REF!</x:v>
      </x:c>
      <x:c r="BQ26" s="128" t="e">
        <x:f>'PROJECT TA Y TB KARINA'!$L22/8</x:f>
        <x:v>#REF!</x:v>
      </x:c>
      <x:c r="BR26" s="128" t="e">
        <x:f>'PROJECT TA Y TB KARINA'!$L22/8</x:f>
        <x:v>#REF!</x:v>
      </x:c>
      <x:c r="BS26" s="128" t="e">
        <x:f>'PROJECT TA Y TB KARINA'!$L22/8</x:f>
        <x:v>#REF!</x:v>
      </x:c>
      <x:c r="BT26" s="128" t="e">
        <x:f>'PROJECT TA Y TB KARINA'!$L22/8</x:f>
        <x:v>#REF!</x:v>
      </x:c>
      <x:c r="BU26" s="128" t="e">
        <x:f>'PROJECT TA Y TB KARINA'!$M22/8</x:f>
        <x:v>#REF!</x:v>
      </x:c>
      <x:c r="BV26" s="128" t="e">
        <x:f>'PROJECT TA Y TB KARINA'!$M22/8</x:f>
        <x:v>#REF!</x:v>
      </x:c>
      <x:c r="BW26" s="128" t="e">
        <x:f>'PROJECT TA Y TB KARINA'!$M22/8</x:f>
        <x:v>#REF!</x:v>
      </x:c>
      <x:c r="BX26" s="128" t="e">
        <x:f>'PROJECT TA Y TB KARINA'!$M22/8</x:f>
        <x:v>#REF!</x:v>
      </x:c>
      <x:c r="BY26" s="128" t="e">
        <x:f>'PROJECT TA Y TB KARINA'!$M22/8</x:f>
        <x:v>#REF!</x:v>
      </x:c>
      <x:c r="BZ26" s="128" t="e">
        <x:f>'PROJECT TA Y TB KARINA'!$M22/8</x:f>
        <x:v>#REF!</x:v>
      </x:c>
      <x:c r="CA26" s="128" t="e">
        <x:f>'PROJECT TA Y TB KARINA'!$M22/8</x:f>
        <x:v>#REF!</x:v>
      </x:c>
      <x:c r="CB26" s="128" t="e">
        <x:f>'PROJECT TA Y TB KARINA'!$M22/8</x:f>
        <x:v>#REF!</x:v>
      </x:c>
      <x:c r="CC26" s="128" t="e">
        <x:f>'PROJECT TA Y TB KARINA'!$N22/8</x:f>
        <x:v>#REF!</x:v>
      </x:c>
      <x:c r="CD26" s="128" t="e">
        <x:f>'PROJECT TA Y TB KARINA'!$N22/8</x:f>
        <x:v>#REF!</x:v>
      </x:c>
      <x:c r="CE26" s="128" t="e">
        <x:f>'PROJECT TA Y TB KARINA'!$N22/8</x:f>
        <x:v>#REF!</x:v>
      </x:c>
      <x:c r="CF26" s="128" t="e">
        <x:f>'PROJECT TA Y TB KARINA'!$N22/8</x:f>
        <x:v>#REF!</x:v>
      </x:c>
      <x:c r="CG26" s="128" t="e">
        <x:f>'PROJECT TA Y TB KARINA'!$N22/8</x:f>
        <x:v>#REF!</x:v>
      </x:c>
      <x:c r="CH26" s="128" t="e">
        <x:f>'PROJECT TA Y TB KARINA'!$N22/8</x:f>
        <x:v>#REF!</x:v>
      </x:c>
      <x:c r="CI26" s="128" t="e">
        <x:f>'PROJECT TA Y TB KARINA'!$N22/8</x:f>
        <x:v>#REF!</x:v>
      </x:c>
      <x:c r="CJ26" s="128" t="e">
        <x:f>'PROJECT TA Y TB KARINA'!$N22/8</x:f>
        <x:v>#REF!</x:v>
      </x:c>
      <x:c r="CK26" s="128" t="e">
        <x:f>'PROJECT TA Y TB KARINA'!$O22/8</x:f>
        <x:v>#REF!</x:v>
      </x:c>
      <x:c r="CL26" s="128" t="e">
        <x:f>'PROJECT TA Y TB KARINA'!$O22/8</x:f>
        <x:v>#REF!</x:v>
      </x:c>
      <x:c r="CM26" s="128" t="e">
        <x:f>'PROJECT TA Y TB KARINA'!$O22/8</x:f>
        <x:v>#REF!</x:v>
      </x:c>
      <x:c r="CN26" s="128" t="e">
        <x:f>'PROJECT TA Y TB KARINA'!$O22/8</x:f>
        <x:v>#REF!</x:v>
      </x:c>
      <x:c r="CO26" s="128" t="e">
        <x:f>'PROJECT TA Y TB KARINA'!$O22/8</x:f>
        <x:v>#REF!</x:v>
      </x:c>
      <x:c r="CP26" s="128" t="e">
        <x:f>'PROJECT TA Y TB KARINA'!$O22/8</x:f>
        <x:v>#REF!</x:v>
      </x:c>
      <x:c r="CQ26" s="128" t="e">
        <x:f>'PROJECT TA Y TB KARINA'!$O22/8</x:f>
        <x:v>#REF!</x:v>
      </x:c>
      <x:c r="CR26" s="128" t="e">
        <x:f>'PROJECT TA Y TB KARINA'!$O22/8</x:f>
        <x:v>#REF!</x:v>
      </x:c>
      <x:c r="CS26" s="128" t="e">
        <x:f>'PROJECT TA Y TB KARINA'!$P22/8</x:f>
        <x:v>#REF!</x:v>
      </x:c>
      <x:c r="CT26" s="128" t="e">
        <x:f>'PROJECT TA Y TB KARINA'!$P22/8</x:f>
        <x:v>#REF!</x:v>
      </x:c>
      <x:c r="CU26" s="128" t="e">
        <x:f>'PROJECT TA Y TB KARINA'!$P22/8</x:f>
        <x:v>#REF!</x:v>
      </x:c>
      <x:c r="CV26" s="128" t="e">
        <x:f>'PROJECT TA Y TB KARINA'!$P22/8</x:f>
        <x:v>#REF!</x:v>
      </x:c>
      <x:c r="CW26" s="128" t="e">
        <x:f>'PROJECT TA Y TB KARINA'!$P22/8</x:f>
        <x:v>#REF!</x:v>
      </x:c>
      <x:c r="CX26" s="128" t="e">
        <x:f>'PROJECT TA Y TB KARINA'!$P22/8</x:f>
        <x:v>#REF!</x:v>
      </x:c>
      <x:c r="CY26" s="128" t="e">
        <x:f>'PROJECT TA Y TB KARINA'!$P22/8</x:f>
        <x:v>#REF!</x:v>
      </x:c>
      <x:c r="CZ26" s="128" t="e">
        <x:f>'PROJECT TA Y TB KARINA'!$P22/8</x:f>
        <x:v>#REF!</x:v>
      </x:c>
      <x:c r="DA26" s="128" t="e">
        <x:f>'PROJECT TA Y TB KARINA'!$Q22/8</x:f>
        <x:v>#REF!</x:v>
      </x:c>
      <x:c r="DB26" s="128" t="e">
        <x:f>'PROJECT TA Y TB KARINA'!$Q22/8</x:f>
        <x:v>#REF!</x:v>
      </x:c>
      <x:c r="DC26" s="128" t="e">
        <x:f>'PROJECT TA Y TB KARINA'!$Q22/8</x:f>
        <x:v>#REF!</x:v>
      </x:c>
      <x:c r="DD26" s="128" t="e">
        <x:f>'PROJECT TA Y TB KARINA'!$Q22/8</x:f>
        <x:v>#REF!</x:v>
      </x:c>
      <x:c r="DE26" s="128" t="e">
        <x:f>'PROJECT TA Y TB KARINA'!$Q22/8</x:f>
        <x:v>#REF!</x:v>
      </x:c>
      <x:c r="DF26" s="128" t="e">
        <x:f>'PROJECT TA Y TB KARINA'!$Q22/8</x:f>
        <x:v>#REF!</x:v>
      </x:c>
      <x:c r="DG26" s="128" t="e">
        <x:f>'PROJECT TA Y TB KARINA'!$Q22/8</x:f>
        <x:v>#REF!</x:v>
      </x:c>
      <x:c r="DH26" s="128" t="e">
        <x:f>'PROJECT TA Y TB KARINA'!$Q22/8</x:f>
        <x:v>#REF!</x:v>
      </x:c>
      <x:c r="DI26" s="128" t="e">
        <x:f>'PROJECT TA Y TB KARINA'!$R22/8</x:f>
        <x:v>#REF!</x:v>
      </x:c>
      <x:c r="DJ26" s="128" t="e">
        <x:f>'PROJECT TA Y TB KARINA'!$R22/8</x:f>
        <x:v>#REF!</x:v>
      </x:c>
      <x:c r="DK26" s="128" t="e">
        <x:f>'PROJECT TA Y TB KARINA'!$R22/8</x:f>
        <x:v>#REF!</x:v>
      </x:c>
      <x:c r="DL26" s="128" t="e">
        <x:f>'PROJECT TA Y TB KARINA'!$R22/8</x:f>
        <x:v>#REF!</x:v>
      </x:c>
      <x:c r="DM26" s="128" t="e">
        <x:f>'PROJECT TA Y TB KARINA'!$R22/8</x:f>
        <x:v>#REF!</x:v>
      </x:c>
      <x:c r="DN26" s="128" t="e">
        <x:f>'PROJECT TA Y TB KARINA'!$R22/8</x:f>
        <x:v>#REF!</x:v>
      </x:c>
      <x:c r="DO26" s="128" t="e">
        <x:f>'PROJECT TA Y TB KARINA'!$R22/8</x:f>
        <x:v>#REF!</x:v>
      </x:c>
      <x:c r="DP26" s="128" t="e">
        <x:f>'PROJECT TA Y TB KARINA'!$R22/8</x:f>
        <x:v>#REF!</x:v>
      </x:c>
      <x:c r="DQ26" s="128" t="e">
        <x:f>'PROJECT TA Y TB KARINA'!$S22/8</x:f>
        <x:v>#REF!</x:v>
      </x:c>
      <x:c r="DR26" s="128" t="e">
        <x:f>'PROJECT TA Y TB KARINA'!$S22/8</x:f>
        <x:v>#REF!</x:v>
      </x:c>
      <x:c r="DS26" s="128" t="e">
        <x:f>'PROJECT TA Y TB KARINA'!$S22/8</x:f>
        <x:v>#REF!</x:v>
      </x:c>
      <x:c r="DT26" s="128" t="e">
        <x:f>'PROJECT TA Y TB KARINA'!$S22/8</x:f>
        <x:v>#REF!</x:v>
      </x:c>
      <x:c r="DU26" s="128" t="e">
        <x:f>'PROJECT TA Y TB KARINA'!$S22/8</x:f>
        <x:v>#REF!</x:v>
      </x:c>
      <x:c r="DV26" s="128" t="e">
        <x:f>'PROJECT TA Y TB KARINA'!$S22/8</x:f>
        <x:v>#REF!</x:v>
      </x:c>
      <x:c r="DW26" s="128" t="e">
        <x:f>'PROJECT TA Y TB KARINA'!$S22/8</x:f>
        <x:v>#REF!</x:v>
      </x:c>
      <x:c r="DX26" s="128" t="e">
        <x:f>'PROJECT TA Y TB KARINA'!$S22/8</x:f>
        <x:v>#REF!</x:v>
      </x:c>
      <x:c r="DY26" s="128" t="e">
        <x:f>'PROJECT TA Y TB KARINA'!$T22/8</x:f>
        <x:v>#REF!</x:v>
      </x:c>
      <x:c r="DZ26" s="128" t="e">
        <x:f>'PROJECT TA Y TB KARINA'!$T22/8</x:f>
        <x:v>#REF!</x:v>
      </x:c>
      <x:c r="EA26" s="128" t="e">
        <x:f>'PROJECT TA Y TB KARINA'!$T22/8</x:f>
        <x:v>#REF!</x:v>
      </x:c>
      <x:c r="EB26" s="128" t="e">
        <x:f>'PROJECT TA Y TB KARINA'!$T22/8</x:f>
        <x:v>#REF!</x:v>
      </x:c>
      <x:c r="EC26" s="128" t="e">
        <x:f>'PROJECT TA Y TB KARINA'!$T22/8</x:f>
        <x:v>#REF!</x:v>
      </x:c>
      <x:c r="ED26" s="128" t="e">
        <x:f>'PROJECT TA Y TB KARINA'!$T22/8</x:f>
        <x:v>#REF!</x:v>
      </x:c>
      <x:c r="EE26" s="128" t="e">
        <x:f>'PROJECT TA Y TB KARINA'!$T22/8</x:f>
        <x:v>#REF!</x:v>
      </x:c>
      <x:c r="EF26" s="128" t="e">
        <x:f>'PROJECT TA Y TB KARINA'!$T22/8</x:f>
        <x:v>#REF!</x:v>
      </x:c>
      <x:c r="EG26" s="128" t="e">
        <x:f>'PROJECT TA Y TB KARINA'!#REF!/8</x:f>
        <x:v>#NAME?</x:v>
      </x:c>
      <x:c r="EH26" s="128" t="e">
        <x:f>'PROJECT TA Y TB KARINA'!#REF!/8</x:f>
        <x:v>#NAME?</x:v>
      </x:c>
      <x:c r="EI26" s="128" t="e">
        <x:f>'PROJECT TA Y TB KARINA'!#REF!/8</x:f>
        <x:v>#NAME?</x:v>
      </x:c>
      <x:c r="EJ26" s="128" t="e">
        <x:f>'PROJECT TA Y TB KARINA'!#REF!/8</x:f>
        <x:v>#NAME?</x:v>
      </x:c>
      <x:c r="EK26" s="128" t="e">
        <x:f>'PROJECT TA Y TB KARINA'!#REF!/8</x:f>
        <x:v>#NAME?</x:v>
      </x:c>
      <x:c r="EL26" s="128" t="e">
        <x:f>'PROJECT TA Y TB KARINA'!#REF!/8</x:f>
        <x:v>#NAME?</x:v>
      </x:c>
      <x:c r="EM26" s="128" t="e">
        <x:f>'PROJECT TA Y TB KARINA'!#REF!/8</x:f>
        <x:v>#NAME?</x:v>
      </x:c>
      <x:c r="EN26" s="128" t="e">
        <x:f>'PROJECT TA Y TB KARINA'!#REF!/8</x:f>
        <x:v>#NAME?</x:v>
      </x:c>
      <x:c r="EO26" s="128" t="n">
        <x:f>'PROJECT TA Y TB KARINA'!$C80/8</x:f>
        <x:v>0</x:v>
      </x:c>
      <x:c r="EP26" s="128" t="n">
        <x:f>'PROJECT TA Y TB KARINA'!$C80/8</x:f>
        <x:v>0</x:v>
      </x:c>
      <x:c r="EQ26" s="128" t="n">
        <x:f>'PROJECT TA Y TB KARINA'!$C80/8</x:f>
        <x:v>0</x:v>
      </x:c>
      <x:c r="ER26" s="128" t="n">
        <x:f>'PROJECT TA Y TB KARINA'!$C80/8</x:f>
        <x:v>0</x:v>
      </x:c>
      <x:c r="ES26" s="128" t="n">
        <x:f>'PROJECT TA Y TB KARINA'!$C80/8</x:f>
        <x:v>0</x:v>
      </x:c>
      <x:c r="ET26" s="128" t="n">
        <x:f>'PROJECT TA Y TB KARINA'!$C80/8</x:f>
        <x:v>0</x:v>
      </x:c>
      <x:c r="EU26" s="128" t="n">
        <x:f>'PROJECT TA Y TB KARINA'!$C80/8</x:f>
        <x:v>0</x:v>
      </x:c>
      <x:c r="EV26" s="128" t="n">
        <x:f>'PROJECT TA Y TB KARINA'!$E80/8</x:f>
        <x:v>0</x:v>
      </x:c>
      <x:c r="EW26" s="128" t="n">
        <x:f>'PROJECT TA Y TB KARINA'!$E80/8</x:f>
        <x:v>0</x:v>
      </x:c>
      <x:c r="EX26" s="128" t="n">
        <x:f>'PROJECT TA Y TB KARINA'!$E80/8</x:f>
        <x:v>0</x:v>
      </x:c>
      <x:c r="EY26" s="128" t="n">
        <x:f>'PROJECT TA Y TB KARINA'!$E80/8</x:f>
        <x:v>0</x:v>
      </x:c>
      <x:c r="EZ26" s="128" t="n">
        <x:f>'PROJECT TA Y TB KARINA'!$E80/8</x:f>
        <x:v>0</x:v>
      </x:c>
      <x:c r="FA26" s="128" t="n">
        <x:f>'PROJECT TA Y TB KARINA'!$E80/8</x:f>
        <x:v>0</x:v>
      </x:c>
      <x:c r="FB26" s="128" t="n">
        <x:f>'PROJECT TA Y TB KARINA'!$E80/8</x:f>
        <x:v>0</x:v>
      </x:c>
      <x:c r="FC26" s="128" t="n">
        <x:f>'PROJECT TA Y TB KARINA'!$E80/8</x:f>
        <x:v>0</x:v>
      </x:c>
      <x:c r="FD26" s="128" t="n">
        <x:f>'PROJECT TA Y TB KARINA'!$F80/8</x:f>
        <x:v>0</x:v>
      </x:c>
      <x:c r="FE26" s="128" t="n">
        <x:f>'PROJECT TA Y TB KARINA'!$F80/8</x:f>
        <x:v>0</x:v>
      </x:c>
      <x:c r="FF26" s="128" t="n">
        <x:f>'PROJECT TA Y TB KARINA'!$F80/8</x:f>
        <x:v>0</x:v>
      </x:c>
      <x:c r="FG26" s="128" t="n">
        <x:f>'PROJECT TA Y TB KARINA'!$F80/8</x:f>
        <x:v>0</x:v>
      </x:c>
      <x:c r="FH26" s="128" t="n">
        <x:f>'PROJECT TA Y TB KARINA'!$F80/8</x:f>
        <x:v>0</x:v>
      </x:c>
      <x:c r="FI26" s="128" t="n">
        <x:f>'PROJECT TA Y TB KARINA'!$F80/8</x:f>
        <x:v>0</x:v>
      </x:c>
      <x:c r="FJ26" s="128" t="n">
        <x:f>'PROJECT TA Y TB KARINA'!$F80/8</x:f>
        <x:v>0</x:v>
      </x:c>
      <x:c r="FK26" s="128" t="n">
        <x:f>'PROJECT TA Y TB KARINA'!$F80/8</x:f>
        <x:v>0</x:v>
      </x:c>
      <x:c r="FL26" s="128" t="n">
        <x:f>'PROJECT TA Y TB KARINA'!$G80/8</x:f>
        <x:v>0</x:v>
      </x:c>
      <x:c r="FM26" s="128" t="n">
        <x:f>'PROJECT TA Y TB KARINA'!$G80/8</x:f>
        <x:v>0</x:v>
      </x:c>
      <x:c r="FN26" s="128" t="n">
        <x:f>'PROJECT TA Y TB KARINA'!$G80/8</x:f>
        <x:v>0</x:v>
      </x:c>
      <x:c r="FO26" s="128" t="n">
        <x:f>'PROJECT TA Y TB KARINA'!$G80/8</x:f>
        <x:v>0</x:v>
      </x:c>
      <x:c r="FP26" s="128" t="n">
        <x:f>'PROJECT TA Y TB KARINA'!$G80/8</x:f>
        <x:v>0</x:v>
      </x:c>
      <x:c r="FQ26" s="128" t="n">
        <x:f>'PROJECT TA Y TB KARINA'!$G80/8</x:f>
        <x:v>0</x:v>
      </x:c>
      <x:c r="FR26" s="128" t="n">
        <x:f>'PROJECT TA Y TB KARINA'!$G80/8</x:f>
        <x:v>0</x:v>
      </x:c>
      <x:c r="FS26" s="128" t="n">
        <x:f>'PROJECT TA Y TB KARINA'!$G80/8</x:f>
        <x:v>0</x:v>
      </x:c>
      <x:c r="FT26" s="128" t="n">
        <x:f>'PROJECT TA Y TB KARINA'!$H80/8</x:f>
        <x:v>0</x:v>
      </x:c>
      <x:c r="FU26" s="128" t="n">
        <x:f>'PROJECT TA Y TB KARINA'!$H80/8</x:f>
        <x:v>0</x:v>
      </x:c>
      <x:c r="FV26" s="128" t="n">
        <x:f>'PROJECT TA Y TB KARINA'!$H80/8</x:f>
        <x:v>0</x:v>
      </x:c>
      <x:c r="FW26" s="128" t="n">
        <x:f>'PROJECT TA Y TB KARINA'!$H80/8</x:f>
        <x:v>0</x:v>
      </x:c>
      <x:c r="FX26" s="128" t="n">
        <x:f>'PROJECT TA Y TB KARINA'!$H80/8</x:f>
        <x:v>0</x:v>
      </x:c>
      <x:c r="FY26" s="128" t="n">
        <x:f>'PROJECT TA Y TB KARINA'!$H80/8</x:f>
        <x:v>0</x:v>
      </x:c>
      <x:c r="FZ26" s="128" t="n">
        <x:f>'PROJECT TA Y TB KARINA'!$H80/8</x:f>
        <x:v>0</x:v>
      </x:c>
      <x:c r="GA26" s="128" t="n">
        <x:f>'PROJECT TA Y TB KARINA'!$H80/8</x:f>
        <x:v>0</x:v>
      </x:c>
      <x:c r="GB26" s="128" t="n">
        <x:f>'PROJECT TA Y TB KARINA'!$I80/8</x:f>
        <x:v>0</x:v>
      </x:c>
      <x:c r="GC26" s="128" t="n">
        <x:f>'PROJECT TA Y TB KARINA'!$I80/8</x:f>
        <x:v>0</x:v>
      </x:c>
      <x:c r="GD26" s="128" t="n">
        <x:f>'PROJECT TA Y TB KARINA'!$I80/8</x:f>
        <x:v>0</x:v>
      </x:c>
      <x:c r="GE26" s="128" t="n">
        <x:f>'PROJECT TA Y TB KARINA'!$I80/8</x:f>
        <x:v>0</x:v>
      </x:c>
      <x:c r="GF26" s="128" t="n">
        <x:f>'PROJECT TA Y TB KARINA'!$I80/8</x:f>
        <x:v>0</x:v>
      </x:c>
      <x:c r="GG26" s="128" t="n">
        <x:f>'PROJECT TA Y TB KARINA'!$I80/8</x:f>
        <x:v>0</x:v>
      </x:c>
      <x:c r="GH26" s="128" t="n">
        <x:f>'PROJECT TA Y TB KARINA'!$I80/8</x:f>
        <x:v>0</x:v>
      </x:c>
      <x:c r="GI26" s="128" t="n">
        <x:f>'PROJECT TA Y TB KARINA'!$I80/8</x:f>
        <x:v>0</x:v>
      </x:c>
      <x:c r="GJ26" s="128" t="n">
        <x:f>'PROJECT TA Y TB KARINA'!$J80/8</x:f>
        <x:v>0</x:v>
      </x:c>
      <x:c r="GK26" s="128" t="n">
        <x:f>'PROJECT TA Y TB KARINA'!$J80/8</x:f>
        <x:v>0</x:v>
      </x:c>
      <x:c r="GL26" s="128" t="n">
        <x:f>'PROJECT TA Y TB KARINA'!$J80/8</x:f>
        <x:v>0</x:v>
      </x:c>
      <x:c r="GM26" s="128" t="n">
        <x:f>'PROJECT TA Y TB KARINA'!$J80/8</x:f>
        <x:v>0</x:v>
      </x:c>
      <x:c r="GN26" s="128" t="n">
        <x:f>'PROJECT TA Y TB KARINA'!$J80/8</x:f>
        <x:v>0</x:v>
      </x:c>
      <x:c r="GO26" s="128" t="n">
        <x:f>'PROJECT TA Y TB KARINA'!$J80/8</x:f>
        <x:v>0</x:v>
      </x:c>
      <x:c r="GP26" s="128" t="n">
        <x:f>'PROJECT TA Y TB KARINA'!$J80/8</x:f>
        <x:v>0</x:v>
      </x:c>
      <x:c r="GQ26" s="128" t="n">
        <x:f>'PROJECT TA Y TB KARINA'!$J80/8</x:f>
        <x:v>0</x:v>
      </x:c>
      <x:c r="GR26" s="128" t="n">
        <x:f>'PROJECT TA Y TB KARINA'!$K80/8</x:f>
        <x:v>0</x:v>
      </x:c>
      <x:c r="GS26" s="128" t="n">
        <x:f>'PROJECT TA Y TB KARINA'!$K80/8</x:f>
        <x:v>0</x:v>
      </x:c>
      <x:c r="GT26" s="128" t="n">
        <x:f>'PROJECT TA Y TB KARINA'!$K80/8</x:f>
        <x:v>0</x:v>
      </x:c>
      <x:c r="GU26" s="128" t="n">
        <x:f>'PROJECT TA Y TB KARINA'!$K80/8</x:f>
        <x:v>0</x:v>
      </x:c>
      <x:c r="GV26" s="128" t="n">
        <x:f>'PROJECT TA Y TB KARINA'!$K80/8</x:f>
        <x:v>0</x:v>
      </x:c>
      <x:c r="GW26" s="128" t="n">
        <x:f>'PROJECT TA Y TB KARINA'!$K80/8</x:f>
        <x:v>0</x:v>
      </x:c>
      <x:c r="GX26" s="128" t="n">
        <x:f>'PROJECT TA Y TB KARINA'!$K80/8</x:f>
        <x:v>0</x:v>
      </x:c>
      <x:c r="GY26" s="128" t="n">
        <x:f>'PROJECT TA Y TB KARINA'!$K80/8</x:f>
        <x:v>0</x:v>
      </x:c>
      <x:c r="GZ26" s="128" t="n">
        <x:f>'PROJECT TA Y TB KARINA'!$L80/8</x:f>
        <x:v>0</x:v>
      </x:c>
      <x:c r="HA26" s="128" t="n">
        <x:f>'PROJECT TA Y TB KARINA'!$L80/8</x:f>
        <x:v>0</x:v>
      </x:c>
      <x:c r="HB26" s="128" t="n">
        <x:f>'PROJECT TA Y TB KARINA'!$L80/8</x:f>
        <x:v>0</x:v>
      </x:c>
      <x:c r="HC26" s="128" t="n">
        <x:f>'PROJECT TA Y TB KARINA'!$L80/8</x:f>
        <x:v>0</x:v>
      </x:c>
      <x:c r="HD26" s="128" t="n">
        <x:f>'PROJECT TA Y TB KARINA'!$L80/8</x:f>
        <x:v>0</x:v>
      </x:c>
      <x:c r="HE26" s="128" t="n">
        <x:f>'PROJECT TA Y TB KARINA'!$L80/8</x:f>
        <x:v>0</x:v>
      </x:c>
      <x:c r="HF26" s="128" t="n">
        <x:f>'PROJECT TA Y TB KARINA'!$L80/8</x:f>
        <x:v>0</x:v>
      </x:c>
      <x:c r="HG26" s="128" t="n">
        <x:f>'PROJECT TA Y TB KARINA'!$L80/8</x:f>
        <x:v>0</x:v>
      </x:c>
      <x:c r="HH26" s="128" t="n">
        <x:f>'PROJECT TA Y TB KARINA'!$M80/8</x:f>
        <x:v>0</x:v>
      </x:c>
      <x:c r="HI26" s="128" t="n">
        <x:f>'PROJECT TA Y TB KARINA'!$M80/8</x:f>
        <x:v>0</x:v>
      </x:c>
      <x:c r="HJ26" s="128" t="n">
        <x:f>'PROJECT TA Y TB KARINA'!$M80/8</x:f>
        <x:v>0</x:v>
      </x:c>
      <x:c r="HK26" s="128" t="n">
        <x:f>'PROJECT TA Y TB KARINA'!$M80/8</x:f>
        <x:v>0</x:v>
      </x:c>
      <x:c r="HL26" s="128" t="n">
        <x:f>'PROJECT TA Y TB KARINA'!$M80/8</x:f>
        <x:v>0</x:v>
      </x:c>
      <x:c r="HM26" s="128" t="n">
        <x:f>'PROJECT TA Y TB KARINA'!$M80/8</x:f>
        <x:v>0</x:v>
      </x:c>
      <x:c r="HN26" s="128" t="n">
        <x:f>'PROJECT TA Y TB KARINA'!$M80/8</x:f>
        <x:v>0</x:v>
      </x:c>
      <x:c r="HO26" s="128" t="n">
        <x:f>'PROJECT TA Y TB KARINA'!$M80/8</x:f>
        <x:v>0</x:v>
      </x:c>
      <x:c r="HP26" s="128" t="n">
        <x:f>'PROJECT TA Y TB KARINA'!$N80/8</x:f>
        <x:v>0</x:v>
      </x:c>
      <x:c r="HQ26" s="128" t="n">
        <x:f>'PROJECT TA Y TB KARINA'!$N80/8</x:f>
        <x:v>0</x:v>
      </x:c>
      <x:c r="HR26" s="128" t="n">
        <x:f>'PROJECT TA Y TB KARINA'!$N80/8</x:f>
        <x:v>0</x:v>
      </x:c>
      <x:c r="HS26" s="128" t="n">
        <x:f>'PROJECT TA Y TB KARINA'!$N80/8</x:f>
        <x:v>0</x:v>
      </x:c>
      <x:c r="HT26" s="128" t="n">
        <x:f>'PROJECT TA Y TB KARINA'!$N80/8</x:f>
        <x:v>0</x:v>
      </x:c>
      <x:c r="HU26" s="128" t="n">
        <x:f>'PROJECT TA Y TB KARINA'!$N80/8</x:f>
        <x:v>0</x:v>
      </x:c>
      <x:c r="HV26" s="128" t="n">
        <x:f>'PROJECT TA Y TB KARINA'!$N80/8</x:f>
        <x:v>0</x:v>
      </x:c>
      <x:c r="HW26" s="128" t="n">
        <x:f>'PROJECT TA Y TB KARINA'!$N80/8</x:f>
        <x:v>0</x:v>
      </x:c>
      <x:c r="HX26" s="128" t="n">
        <x:f>'PROJECT TA Y TB KARINA'!$O80/8</x:f>
        <x:v>0</x:v>
      </x:c>
      <x:c r="HY26" s="128" t="n">
        <x:f>'PROJECT TA Y TB KARINA'!$O80/8</x:f>
        <x:v>0</x:v>
      </x:c>
      <x:c r="HZ26" s="128" t="n">
        <x:f>'PROJECT TA Y TB KARINA'!$O80/8</x:f>
        <x:v>0</x:v>
      </x:c>
      <x:c r="IA26" s="128" t="n">
        <x:f>'PROJECT TA Y TB KARINA'!$O80/8</x:f>
        <x:v>0</x:v>
      </x:c>
      <x:c r="IB26" s="128" t="n">
        <x:f>'PROJECT TA Y TB KARINA'!$O80/8</x:f>
        <x:v>0</x:v>
      </x:c>
      <x:c r="IC26" s="128" t="n">
        <x:f>'PROJECT TA Y TB KARINA'!$O80/8</x:f>
        <x:v>0</x:v>
      </x:c>
      <x:c r="ID26" s="128" t="n">
        <x:f>'PROJECT TA Y TB KARINA'!$O80/8</x:f>
        <x:v>0</x:v>
      </x:c>
      <x:c r="IE26" s="128" t="n">
        <x:f>'PROJECT TA Y TB KARINA'!$O80/8</x:f>
        <x:v>0</x:v>
      </x:c>
      <x:c r="IF26" s="128" t="n">
        <x:f>'PROJECT TA Y TB KARINA'!$P80/8</x:f>
        <x:v>0</x:v>
      </x:c>
      <x:c r="IG26" s="128" t="n">
        <x:f>'PROJECT TA Y TB KARINA'!$P80/8</x:f>
        <x:v>0</x:v>
      </x:c>
      <x:c r="IH26" s="128" t="n">
        <x:f>'PROJECT TA Y TB KARINA'!$P80/8</x:f>
        <x:v>0</x:v>
      </x:c>
      <x:c r="II26" s="128" t="n">
        <x:f>'PROJECT TA Y TB KARINA'!$P80/8</x:f>
        <x:v>0</x:v>
      </x:c>
      <x:c r="IJ26" s="128" t="n">
        <x:f>'PROJECT TA Y TB KARINA'!$P80/8</x:f>
        <x:v>0</x:v>
      </x:c>
      <x:c r="IK26" s="128" t="n">
        <x:f>'PROJECT TA Y TB KARINA'!$P80/8</x:f>
        <x:v>0</x:v>
      </x:c>
      <x:c r="IL26" s="128" t="n">
        <x:f>'PROJECT TA Y TB KARINA'!$P80/8</x:f>
        <x:v>0</x:v>
      </x:c>
      <x:c r="IM26" s="128" t="n">
        <x:f>'PROJECT TA Y TB KARINA'!$P80/8</x:f>
        <x:v>0</x:v>
      </x:c>
      <x:c r="IN26" s="128" t="n">
        <x:f>'PROJECT TA Y TB KARINA'!$Q80/8</x:f>
        <x:v>0</x:v>
      </x:c>
      <x:c r="IO26" s="128" t="n">
        <x:f>'PROJECT TA Y TB KARINA'!$Q80/8</x:f>
        <x:v>0</x:v>
      </x:c>
      <x:c r="IP26" s="128" t="n">
        <x:f>'PROJECT TA Y TB KARINA'!$Q80/8</x:f>
        <x:v>0</x:v>
      </x:c>
      <x:c r="IQ26" s="128" t="n">
        <x:f>'PROJECT TA Y TB KARINA'!$Q80/8</x:f>
        <x:v>0</x:v>
      </x:c>
      <x:c r="IR26" s="128" t="n">
        <x:f>'PROJECT TA Y TB KARINA'!$Q80/8</x:f>
        <x:v>0</x:v>
      </x:c>
      <x:c r="IS26" s="128" t="n">
        <x:f>'PROJECT TA Y TB KARINA'!$Q80/8</x:f>
        <x:v>0</x:v>
      </x:c>
      <x:c r="IT26" s="128" t="n">
        <x:f>'PROJECT TA Y TB KARINA'!$Q80/8</x:f>
        <x:v>0</x:v>
      </x:c>
      <x:c r="IU26" s="128" t="n">
        <x:f>'PROJECT TA Y TB KARINA'!$Q80/8</x:f>
        <x:v>0</x:v>
      </x:c>
      <x:c r="IV26" s="128" t="n">
        <x:f>'PROJECT TA Y TB KARINA'!$R80/8</x:f>
        <x:v>0</x:v>
      </x:c>
      <x:c r="IW26" s="128" t="n">
        <x:f>'PROJECT TA Y TB KARINA'!$R80/8</x:f>
        <x:v>0</x:v>
      </x:c>
      <x:c r="IX26" s="128" t="n">
        <x:f>'PROJECT TA Y TB KARINA'!$R80/8</x:f>
        <x:v>0</x:v>
      </x:c>
      <x:c r="IY26" s="128" t="n">
        <x:f>'PROJECT TA Y TB KARINA'!$R80/8</x:f>
        <x:v>0</x:v>
      </x:c>
      <x:c r="IZ26" s="128" t="n">
        <x:f>'PROJECT TA Y TB KARINA'!$R80/8</x:f>
        <x:v>0</x:v>
      </x:c>
      <x:c r="JA26" s="128" t="n">
        <x:f>'PROJECT TA Y TB KARINA'!$R80/8</x:f>
        <x:v>0</x:v>
      </x:c>
      <x:c r="JB26" s="128" t="n">
        <x:f>'PROJECT TA Y TB KARINA'!$R80/8</x:f>
        <x:v>0</x:v>
      </x:c>
      <x:c r="JC26" s="128" t="n">
        <x:f>'PROJECT TA Y TB KARINA'!$R80/8</x:f>
        <x:v>0</x:v>
      </x:c>
      <x:c r="JD26" s="128" t="n">
        <x:f>'PROJECT TA Y TB KARINA'!$S80/8</x:f>
        <x:v>0</x:v>
      </x:c>
      <x:c r="JE26" s="128" t="n">
        <x:f>'PROJECT TA Y TB KARINA'!$S80/8</x:f>
        <x:v>0</x:v>
      </x:c>
      <x:c r="JF26" s="128" t="n">
        <x:f>'PROJECT TA Y TB KARINA'!$S80/8</x:f>
        <x:v>0</x:v>
      </x:c>
      <x:c r="JG26" s="128" t="n">
        <x:f>'PROJECT TA Y TB KARINA'!$S80/8</x:f>
        <x:v>0</x:v>
      </x:c>
      <x:c r="JH26" s="128" t="n">
        <x:f>'PROJECT TA Y TB KARINA'!$S80/8</x:f>
        <x:v>0</x:v>
      </x:c>
      <x:c r="JI26" s="128" t="n">
        <x:f>'PROJECT TA Y TB KARINA'!$S80/8</x:f>
        <x:v>0</x:v>
      </x:c>
      <x:c r="JJ26" s="128" t="n">
        <x:f>'PROJECT TA Y TB KARINA'!$S80/8</x:f>
        <x:v>0</x:v>
      </x:c>
      <x:c r="JK26" s="128" t="n">
        <x:f>'PROJECT TA Y TB KARINA'!$S80/8</x:f>
        <x:v>0</x:v>
      </x:c>
      <x:c r="JL26" s="128" t="n">
        <x:f>'PROJECT TA Y TB KARINA'!$T80/8</x:f>
        <x:v>0</x:v>
      </x:c>
      <x:c r="JM26" s="128" t="n">
        <x:f>'PROJECT TA Y TB KARINA'!$T80/8</x:f>
        <x:v>0</x:v>
      </x:c>
      <x:c r="JN26" s="128" t="n">
        <x:f>'PROJECT TA Y TB KARINA'!$T80/8</x:f>
        <x:v>0</x:v>
      </x:c>
      <x:c r="JO26" s="128" t="n">
        <x:f>'PROJECT TA Y TB KARINA'!$T80/8</x:f>
        <x:v>0</x:v>
      </x:c>
      <x:c r="JP26" s="128" t="n">
        <x:f>'PROJECT TA Y TB KARINA'!$T80/8</x:f>
        <x:v>0</x:v>
      </x:c>
      <x:c r="JQ26" s="128" t="n">
        <x:f>'PROJECT TA Y TB KARINA'!$T80/8</x:f>
        <x:v>0</x:v>
      </x:c>
      <x:c r="JR26" s="128" t="n">
        <x:f>'PROJECT TA Y TB KARINA'!$T80/8</x:f>
        <x:v>0</x:v>
      </x:c>
      <x:c r="JS26" s="128" t="n">
        <x:f>'PROJECT TA Y TB KARINA'!$T80/8</x:f>
        <x:v>0</x:v>
      </x:c>
      <x:c r="JT26" s="128" t="e">
        <x:f>'PROJECT TA Y TB KARINA'!#REF!/8</x:f>
        <x:v>#NAME?</x:v>
      </x:c>
      <x:c r="JU26" s="128" t="e">
        <x:f>'PROJECT TA Y TB KARINA'!#REF!/8</x:f>
        <x:v>#NAME?</x:v>
      </x:c>
      <x:c r="JV26" s="128" t="e">
        <x:f>'PROJECT TA Y TB KARINA'!#REF!/8</x:f>
        <x:v>#NAME?</x:v>
      </x:c>
      <x:c r="JW26" s="128" t="e">
        <x:f>'PROJECT TA Y TB KARINA'!#REF!/8</x:f>
        <x:v>#NAME?</x:v>
      </x:c>
      <x:c r="JX26" s="128" t="e">
        <x:f>'PROJECT TA Y TB KARINA'!#REF!/8</x:f>
        <x:v>#NAME?</x:v>
      </x:c>
      <x:c r="JY26" s="128" t="e">
        <x:f>'PROJECT TA Y TB KARINA'!#REF!/8</x:f>
        <x:v>#NAME?</x:v>
      </x:c>
      <x:c r="JZ26" s="128" t="e">
        <x:f>'PROJECT TA Y TB KARINA'!#REF!/8</x:f>
        <x:v>#NAME?</x:v>
      </x:c>
      <x:c r="KA26" s="128" t="e">
        <x:f>'PROJECT TA Y TB KARINA'!#REF!/8</x:f>
        <x:v>#NAME?</x:v>
      </x:c>
    </x:row>
    <x:row r="27" ht="21">
      <x:c r="A27" s="131" t="s">
        <x:v>512</x:v>
      </x:c>
      <x:c r="B27" s="128" t="e">
        <x:f>'PROJECT TA Y TB KARINA'!$C$23/8</x:f>
        <x:v>#REF!</x:v>
      </x:c>
      <x:c r="C27" s="128" t="e">
        <x:f>'PROJECT TA Y TB KARINA'!$C$23/8</x:f>
        <x:v>#REF!</x:v>
      </x:c>
      <x:c r="D27" s="128" t="e">
        <x:f>'PROJECT TA Y TB KARINA'!$C$23/8</x:f>
        <x:v>#REF!</x:v>
      </x:c>
      <x:c r="E27" s="128" t="e">
        <x:f>'PROJECT TA Y TB KARINA'!$C$23/8</x:f>
        <x:v>#REF!</x:v>
      </x:c>
      <x:c r="F27" s="128" t="e">
        <x:f>'PROJECT TA Y TB KARINA'!$C$23/8</x:f>
        <x:v>#REF!</x:v>
      </x:c>
      <x:c r="G27" s="128" t="e">
        <x:f>'PROJECT TA Y TB KARINA'!$C$23/8</x:f>
        <x:v>#REF!</x:v>
      </x:c>
      <x:c r="H27" s="128" t="e">
        <x:f>'PROJECT TA Y TB KARINA'!$C$23/8</x:f>
        <x:v>#REF!</x:v>
      </x:c>
      <x:c r="I27" s="128" t="e">
        <x:f>'PROJECT TA Y TB KARINA'!$E23/8</x:f>
        <x:v>#REF!</x:v>
      </x:c>
      <x:c r="J27" s="128" t="e">
        <x:f>'PROJECT TA Y TB KARINA'!$E23/8</x:f>
        <x:v>#REF!</x:v>
      </x:c>
      <x:c r="K27" s="128" t="e">
        <x:f>'PROJECT TA Y TB KARINA'!$E23/8</x:f>
        <x:v>#REF!</x:v>
      </x:c>
      <x:c r="L27" s="128" t="e">
        <x:f>'PROJECT TA Y TB KARINA'!$E23/8</x:f>
        <x:v>#REF!</x:v>
      </x:c>
      <x:c r="M27" s="128" t="e">
        <x:f>'PROJECT TA Y TB KARINA'!$E23/8</x:f>
        <x:v>#REF!</x:v>
      </x:c>
      <x:c r="N27" s="128" t="e">
        <x:f>'PROJECT TA Y TB KARINA'!$E23/8</x:f>
        <x:v>#REF!</x:v>
      </x:c>
      <x:c r="O27" s="128" t="e">
        <x:f>'PROJECT TA Y TB KARINA'!$E23/8</x:f>
        <x:v>#REF!</x:v>
      </x:c>
      <x:c r="P27" s="128" t="e">
        <x:f>'PROJECT TA Y TB KARINA'!$E23/8</x:f>
        <x:v>#REF!</x:v>
      </x:c>
      <x:c r="Q27" s="128" t="e">
        <x:f>'PROJECT TA Y TB KARINA'!$F23/8</x:f>
        <x:v>#REF!</x:v>
      </x:c>
      <x:c r="R27" s="128" t="e">
        <x:f>'PROJECT TA Y TB KARINA'!$F23/8</x:f>
        <x:v>#REF!</x:v>
      </x:c>
      <x:c r="S27" s="128" t="e">
        <x:f>'PROJECT TA Y TB KARINA'!$F23/8</x:f>
        <x:v>#REF!</x:v>
      </x:c>
      <x:c r="T27" s="128" t="e">
        <x:f>'PROJECT TA Y TB KARINA'!$F23/8</x:f>
        <x:v>#REF!</x:v>
      </x:c>
      <x:c r="U27" s="128" t="e">
        <x:f>'PROJECT TA Y TB KARINA'!$F23/8</x:f>
        <x:v>#REF!</x:v>
      </x:c>
      <x:c r="V27" s="128" t="e">
        <x:f>'PROJECT TA Y TB KARINA'!$F23/8</x:f>
        <x:v>#REF!</x:v>
      </x:c>
      <x:c r="W27" s="128" t="e">
        <x:f>'PROJECT TA Y TB KARINA'!$F23/8</x:f>
        <x:v>#REF!</x:v>
      </x:c>
      <x:c r="X27" s="128" t="e">
        <x:f>'PROJECT TA Y TB KARINA'!$F23/8</x:f>
        <x:v>#REF!</x:v>
      </x:c>
      <x:c r="Y27" s="128" t="e">
        <x:f>'PROJECT TA Y TB KARINA'!$G23/8</x:f>
        <x:v>#REF!</x:v>
      </x:c>
      <x:c r="Z27" s="128" t="e">
        <x:f>'PROJECT TA Y TB KARINA'!$G23/8</x:f>
        <x:v>#REF!</x:v>
      </x:c>
      <x:c r="AA27" s="128" t="e">
        <x:f>'PROJECT TA Y TB KARINA'!$G23/8</x:f>
        <x:v>#REF!</x:v>
      </x:c>
      <x:c r="AB27" s="128" t="e">
        <x:f>'PROJECT TA Y TB KARINA'!$G23/8</x:f>
        <x:v>#REF!</x:v>
      </x:c>
      <x:c r="AC27" s="128" t="e">
        <x:f>'PROJECT TA Y TB KARINA'!$G23/8</x:f>
        <x:v>#REF!</x:v>
      </x:c>
      <x:c r="AD27" s="128" t="e">
        <x:f>'PROJECT TA Y TB KARINA'!$G23/8</x:f>
        <x:v>#REF!</x:v>
      </x:c>
      <x:c r="AE27" s="128" t="e">
        <x:f>'PROJECT TA Y TB KARINA'!$G23/8</x:f>
        <x:v>#REF!</x:v>
      </x:c>
      <x:c r="AF27" s="128" t="e">
        <x:f>'PROJECT TA Y TB KARINA'!$G23/8</x:f>
        <x:v>#REF!</x:v>
      </x:c>
      <x:c r="AG27" s="128" t="e">
        <x:f>'PROJECT TA Y TB KARINA'!$H23/8</x:f>
        <x:v>#REF!</x:v>
      </x:c>
      <x:c r="AH27" s="128" t="e">
        <x:f>'PROJECT TA Y TB KARINA'!$H23/8</x:f>
        <x:v>#REF!</x:v>
      </x:c>
      <x:c r="AI27" s="128" t="e">
        <x:f>'PROJECT TA Y TB KARINA'!$H23/8</x:f>
        <x:v>#REF!</x:v>
      </x:c>
      <x:c r="AJ27" s="128" t="e">
        <x:f>'PROJECT TA Y TB KARINA'!$H23/8</x:f>
        <x:v>#REF!</x:v>
      </x:c>
      <x:c r="AK27" s="128" t="e">
        <x:f>'PROJECT TA Y TB KARINA'!$H23/8</x:f>
        <x:v>#REF!</x:v>
      </x:c>
      <x:c r="AL27" s="128" t="e">
        <x:f>'PROJECT TA Y TB KARINA'!$H23/8</x:f>
        <x:v>#REF!</x:v>
      </x:c>
      <x:c r="AM27" s="128" t="e">
        <x:f>'PROJECT TA Y TB KARINA'!$H23/8</x:f>
        <x:v>#REF!</x:v>
      </x:c>
      <x:c r="AN27" s="128" t="e">
        <x:f>'PROJECT TA Y TB KARINA'!$H23/8</x:f>
        <x:v>#REF!</x:v>
      </x:c>
      <x:c r="AO27" s="128" t="e">
        <x:f>'PROJECT TA Y TB KARINA'!$I23/8</x:f>
        <x:v>#REF!</x:v>
      </x:c>
      <x:c r="AP27" s="128" t="e">
        <x:f>'PROJECT TA Y TB KARINA'!$I23/8</x:f>
        <x:v>#REF!</x:v>
      </x:c>
      <x:c r="AQ27" s="128" t="e">
        <x:f>'PROJECT TA Y TB KARINA'!$I23/8</x:f>
        <x:v>#REF!</x:v>
      </x:c>
      <x:c r="AR27" s="128" t="e">
        <x:f>'PROJECT TA Y TB KARINA'!$I23/8</x:f>
        <x:v>#REF!</x:v>
      </x:c>
      <x:c r="AS27" s="128" t="e">
        <x:f>'PROJECT TA Y TB KARINA'!$I23/8</x:f>
        <x:v>#REF!</x:v>
      </x:c>
      <x:c r="AT27" s="128" t="e">
        <x:f>'PROJECT TA Y TB KARINA'!$I23/8</x:f>
        <x:v>#REF!</x:v>
      </x:c>
      <x:c r="AU27" s="128" t="e">
        <x:f>'PROJECT TA Y TB KARINA'!$I23/8</x:f>
        <x:v>#REF!</x:v>
      </x:c>
      <x:c r="AV27" s="128" t="e">
        <x:f>'PROJECT TA Y TB KARINA'!$I23/8</x:f>
        <x:v>#REF!</x:v>
      </x:c>
      <x:c r="AW27" s="128" t="e">
        <x:f>'PROJECT TA Y TB KARINA'!$J23/8</x:f>
        <x:v>#REF!</x:v>
      </x:c>
      <x:c r="AX27" s="128" t="e">
        <x:f>'PROJECT TA Y TB KARINA'!$J23/8</x:f>
        <x:v>#REF!</x:v>
      </x:c>
      <x:c r="AY27" s="128" t="e">
        <x:f>'PROJECT TA Y TB KARINA'!$J23/8</x:f>
        <x:v>#REF!</x:v>
      </x:c>
      <x:c r="AZ27" s="128" t="e">
        <x:f>'PROJECT TA Y TB KARINA'!$J23/8</x:f>
        <x:v>#REF!</x:v>
      </x:c>
      <x:c r="BA27" s="128" t="e">
        <x:f>'PROJECT TA Y TB KARINA'!$J23/8</x:f>
        <x:v>#REF!</x:v>
      </x:c>
      <x:c r="BB27" s="128" t="e">
        <x:f>'PROJECT TA Y TB KARINA'!$J23/8</x:f>
        <x:v>#REF!</x:v>
      </x:c>
      <x:c r="BC27" s="128" t="e">
        <x:f>'PROJECT TA Y TB KARINA'!$J23/8</x:f>
        <x:v>#REF!</x:v>
      </x:c>
      <x:c r="BD27" s="128" t="e">
        <x:f>'PROJECT TA Y TB KARINA'!$J23/8</x:f>
        <x:v>#REF!</x:v>
      </x:c>
      <x:c r="BE27" s="128" t="e">
        <x:f>'PROJECT TA Y TB KARINA'!$K23/8</x:f>
        <x:v>#REF!</x:v>
      </x:c>
      <x:c r="BF27" s="128" t="e">
        <x:f>'PROJECT TA Y TB KARINA'!$K23/8</x:f>
        <x:v>#REF!</x:v>
      </x:c>
      <x:c r="BG27" s="128" t="e">
        <x:f>'PROJECT TA Y TB KARINA'!$K23/8</x:f>
        <x:v>#REF!</x:v>
      </x:c>
      <x:c r="BH27" s="128" t="e">
        <x:f>'PROJECT TA Y TB KARINA'!$K23/8</x:f>
        <x:v>#REF!</x:v>
      </x:c>
      <x:c r="BI27" s="128" t="e">
        <x:f>'PROJECT TA Y TB KARINA'!$K23/8</x:f>
        <x:v>#REF!</x:v>
      </x:c>
      <x:c r="BJ27" s="128" t="e">
        <x:f>'PROJECT TA Y TB KARINA'!$K23/8</x:f>
        <x:v>#REF!</x:v>
      </x:c>
      <x:c r="BK27" s="128" t="e">
        <x:f>'PROJECT TA Y TB KARINA'!$K23/8</x:f>
        <x:v>#REF!</x:v>
      </x:c>
      <x:c r="BL27" s="128" t="e">
        <x:f>'PROJECT TA Y TB KARINA'!$K23/8</x:f>
        <x:v>#REF!</x:v>
      </x:c>
      <x:c r="BM27" s="128" t="e">
        <x:f>'PROJECT TA Y TB KARINA'!$L23/8</x:f>
        <x:v>#REF!</x:v>
      </x:c>
      <x:c r="BN27" s="128" t="e">
        <x:f>'PROJECT TA Y TB KARINA'!$L23/8</x:f>
        <x:v>#REF!</x:v>
      </x:c>
      <x:c r="BO27" s="128" t="e">
        <x:f>'PROJECT TA Y TB KARINA'!$L23/8</x:f>
        <x:v>#REF!</x:v>
      </x:c>
      <x:c r="BP27" s="128" t="e">
        <x:f>'PROJECT TA Y TB KARINA'!$L23/8</x:f>
        <x:v>#REF!</x:v>
      </x:c>
      <x:c r="BQ27" s="128" t="e">
        <x:f>'PROJECT TA Y TB KARINA'!$L23/8</x:f>
        <x:v>#REF!</x:v>
      </x:c>
      <x:c r="BR27" s="128" t="e">
        <x:f>'PROJECT TA Y TB KARINA'!$L23/8</x:f>
        <x:v>#REF!</x:v>
      </x:c>
      <x:c r="BS27" s="128" t="e">
        <x:f>'PROJECT TA Y TB KARINA'!$L23/8</x:f>
        <x:v>#REF!</x:v>
      </x:c>
      <x:c r="BT27" s="128" t="e">
        <x:f>'PROJECT TA Y TB KARINA'!$L23/8</x:f>
        <x:v>#REF!</x:v>
      </x:c>
      <x:c r="BU27" s="128" t="e">
        <x:f>'PROJECT TA Y TB KARINA'!$M23/8</x:f>
        <x:v>#REF!</x:v>
      </x:c>
      <x:c r="BV27" s="128" t="e">
        <x:f>'PROJECT TA Y TB KARINA'!$M23/8</x:f>
        <x:v>#REF!</x:v>
      </x:c>
      <x:c r="BW27" s="128" t="e">
        <x:f>'PROJECT TA Y TB KARINA'!$M23/8</x:f>
        <x:v>#REF!</x:v>
      </x:c>
      <x:c r="BX27" s="128" t="e">
        <x:f>'PROJECT TA Y TB KARINA'!$M23/8</x:f>
        <x:v>#REF!</x:v>
      </x:c>
      <x:c r="BY27" s="128" t="e">
        <x:f>'PROJECT TA Y TB KARINA'!$M23/8</x:f>
        <x:v>#REF!</x:v>
      </x:c>
      <x:c r="BZ27" s="128" t="e">
        <x:f>'PROJECT TA Y TB KARINA'!$M23/8</x:f>
        <x:v>#REF!</x:v>
      </x:c>
      <x:c r="CA27" s="128" t="e">
        <x:f>'PROJECT TA Y TB KARINA'!$M23/8</x:f>
        <x:v>#REF!</x:v>
      </x:c>
      <x:c r="CB27" s="128" t="e">
        <x:f>'PROJECT TA Y TB KARINA'!$M23/8</x:f>
        <x:v>#REF!</x:v>
      </x:c>
      <x:c r="CC27" s="128" t="e">
        <x:f>'PROJECT TA Y TB KARINA'!$N23/8</x:f>
        <x:v>#REF!</x:v>
      </x:c>
      <x:c r="CD27" s="128" t="e">
        <x:f>'PROJECT TA Y TB KARINA'!$N23/8</x:f>
        <x:v>#REF!</x:v>
      </x:c>
      <x:c r="CE27" s="128" t="e">
        <x:f>'PROJECT TA Y TB KARINA'!$N23/8</x:f>
        <x:v>#REF!</x:v>
      </x:c>
      <x:c r="CF27" s="128" t="e">
        <x:f>'PROJECT TA Y TB KARINA'!$N23/8</x:f>
        <x:v>#REF!</x:v>
      </x:c>
      <x:c r="CG27" s="128" t="e">
        <x:f>'PROJECT TA Y TB KARINA'!$N23/8</x:f>
        <x:v>#REF!</x:v>
      </x:c>
      <x:c r="CH27" s="128" t="e">
        <x:f>'PROJECT TA Y TB KARINA'!$N23/8</x:f>
        <x:v>#REF!</x:v>
      </x:c>
      <x:c r="CI27" s="128" t="e">
        <x:f>'PROJECT TA Y TB KARINA'!$N23/8</x:f>
        <x:v>#REF!</x:v>
      </x:c>
      <x:c r="CJ27" s="128" t="e">
        <x:f>'PROJECT TA Y TB KARINA'!$N23/8</x:f>
        <x:v>#REF!</x:v>
      </x:c>
      <x:c r="CK27" s="128" t="e">
        <x:f>'PROJECT TA Y TB KARINA'!$O23/8</x:f>
        <x:v>#REF!</x:v>
      </x:c>
      <x:c r="CL27" s="128" t="e">
        <x:f>'PROJECT TA Y TB KARINA'!$O23/8</x:f>
        <x:v>#REF!</x:v>
      </x:c>
      <x:c r="CM27" s="128" t="e">
        <x:f>'PROJECT TA Y TB KARINA'!$O23/8</x:f>
        <x:v>#REF!</x:v>
      </x:c>
      <x:c r="CN27" s="128" t="e">
        <x:f>'PROJECT TA Y TB KARINA'!$O23/8</x:f>
        <x:v>#REF!</x:v>
      </x:c>
      <x:c r="CO27" s="128" t="e">
        <x:f>'PROJECT TA Y TB KARINA'!$O23/8</x:f>
        <x:v>#REF!</x:v>
      </x:c>
      <x:c r="CP27" s="128" t="e">
        <x:f>'PROJECT TA Y TB KARINA'!$O23/8</x:f>
        <x:v>#REF!</x:v>
      </x:c>
      <x:c r="CQ27" s="128" t="e">
        <x:f>'PROJECT TA Y TB KARINA'!$O23/8</x:f>
        <x:v>#REF!</x:v>
      </x:c>
      <x:c r="CR27" s="128" t="e">
        <x:f>'PROJECT TA Y TB KARINA'!$O23/8</x:f>
        <x:v>#REF!</x:v>
      </x:c>
      <x:c r="CS27" s="128" t="e">
        <x:f>'PROJECT TA Y TB KARINA'!$P23/8</x:f>
        <x:v>#REF!</x:v>
      </x:c>
      <x:c r="CT27" s="128" t="e">
        <x:f>'PROJECT TA Y TB KARINA'!$P23/8</x:f>
        <x:v>#REF!</x:v>
      </x:c>
      <x:c r="CU27" s="128" t="e">
        <x:f>'PROJECT TA Y TB KARINA'!$P23/8</x:f>
        <x:v>#REF!</x:v>
      </x:c>
      <x:c r="CV27" s="128" t="e">
        <x:f>'PROJECT TA Y TB KARINA'!$P23/8</x:f>
        <x:v>#REF!</x:v>
      </x:c>
      <x:c r="CW27" s="128" t="e">
        <x:f>'PROJECT TA Y TB KARINA'!$P23/8</x:f>
        <x:v>#REF!</x:v>
      </x:c>
      <x:c r="CX27" s="128" t="e">
        <x:f>'PROJECT TA Y TB KARINA'!$P23/8</x:f>
        <x:v>#REF!</x:v>
      </x:c>
      <x:c r="CY27" s="128" t="e">
        <x:f>'PROJECT TA Y TB KARINA'!$P23/8</x:f>
        <x:v>#REF!</x:v>
      </x:c>
      <x:c r="CZ27" s="128" t="e">
        <x:f>'PROJECT TA Y TB KARINA'!$P23/8</x:f>
        <x:v>#REF!</x:v>
      </x:c>
      <x:c r="DA27" s="128" t="e">
        <x:f>'PROJECT TA Y TB KARINA'!$Q23/8</x:f>
        <x:v>#REF!</x:v>
      </x:c>
      <x:c r="DB27" s="128" t="e">
        <x:f>'PROJECT TA Y TB KARINA'!$Q23/8</x:f>
        <x:v>#REF!</x:v>
      </x:c>
      <x:c r="DC27" s="128" t="e">
        <x:f>'PROJECT TA Y TB KARINA'!$Q23/8</x:f>
        <x:v>#REF!</x:v>
      </x:c>
      <x:c r="DD27" s="128" t="e">
        <x:f>'PROJECT TA Y TB KARINA'!$Q23/8</x:f>
        <x:v>#REF!</x:v>
      </x:c>
      <x:c r="DE27" s="128" t="e">
        <x:f>'PROJECT TA Y TB KARINA'!$Q23/8</x:f>
        <x:v>#REF!</x:v>
      </x:c>
      <x:c r="DF27" s="128" t="e">
        <x:f>'PROJECT TA Y TB KARINA'!$Q23/8</x:f>
        <x:v>#REF!</x:v>
      </x:c>
      <x:c r="DG27" s="128" t="e">
        <x:f>'PROJECT TA Y TB KARINA'!$Q23/8</x:f>
        <x:v>#REF!</x:v>
      </x:c>
      <x:c r="DH27" s="128" t="e">
        <x:f>'PROJECT TA Y TB KARINA'!$Q23/8</x:f>
        <x:v>#REF!</x:v>
      </x:c>
      <x:c r="DI27" s="128" t="e">
        <x:f>'PROJECT TA Y TB KARINA'!$R23/8</x:f>
        <x:v>#REF!</x:v>
      </x:c>
      <x:c r="DJ27" s="128" t="e">
        <x:f>'PROJECT TA Y TB KARINA'!$R23/8</x:f>
        <x:v>#REF!</x:v>
      </x:c>
      <x:c r="DK27" s="128" t="e">
        <x:f>'PROJECT TA Y TB KARINA'!$R23/8</x:f>
        <x:v>#REF!</x:v>
      </x:c>
      <x:c r="DL27" s="128" t="e">
        <x:f>'PROJECT TA Y TB KARINA'!$R23/8</x:f>
        <x:v>#REF!</x:v>
      </x:c>
      <x:c r="DM27" s="128" t="e">
        <x:f>'PROJECT TA Y TB KARINA'!$R23/8</x:f>
        <x:v>#REF!</x:v>
      </x:c>
      <x:c r="DN27" s="128" t="e">
        <x:f>'PROJECT TA Y TB KARINA'!$R23/8</x:f>
        <x:v>#REF!</x:v>
      </x:c>
      <x:c r="DO27" s="128" t="e">
        <x:f>'PROJECT TA Y TB KARINA'!$R23/8</x:f>
        <x:v>#REF!</x:v>
      </x:c>
      <x:c r="DP27" s="128" t="e">
        <x:f>'PROJECT TA Y TB KARINA'!$R23/8</x:f>
        <x:v>#REF!</x:v>
      </x:c>
      <x:c r="DQ27" s="128" t="e">
        <x:f>'PROJECT TA Y TB KARINA'!$S23/8</x:f>
        <x:v>#REF!</x:v>
      </x:c>
      <x:c r="DR27" s="128" t="e">
        <x:f>'PROJECT TA Y TB KARINA'!$S23/8</x:f>
        <x:v>#REF!</x:v>
      </x:c>
      <x:c r="DS27" s="128" t="e">
        <x:f>'PROJECT TA Y TB KARINA'!$S23/8</x:f>
        <x:v>#REF!</x:v>
      </x:c>
      <x:c r="DT27" s="128" t="e">
        <x:f>'PROJECT TA Y TB KARINA'!$S23/8</x:f>
        <x:v>#REF!</x:v>
      </x:c>
      <x:c r="DU27" s="128" t="e">
        <x:f>'PROJECT TA Y TB KARINA'!$S23/8</x:f>
        <x:v>#REF!</x:v>
      </x:c>
      <x:c r="DV27" s="128" t="e">
        <x:f>'PROJECT TA Y TB KARINA'!$S23/8</x:f>
        <x:v>#REF!</x:v>
      </x:c>
      <x:c r="DW27" s="128" t="e">
        <x:f>'PROJECT TA Y TB KARINA'!$S23/8</x:f>
        <x:v>#REF!</x:v>
      </x:c>
      <x:c r="DX27" s="128" t="e">
        <x:f>'PROJECT TA Y TB KARINA'!$S23/8</x:f>
        <x:v>#REF!</x:v>
      </x:c>
      <x:c r="DY27" s="128" t="e">
        <x:f>'PROJECT TA Y TB KARINA'!$T23/8</x:f>
        <x:v>#REF!</x:v>
      </x:c>
      <x:c r="DZ27" s="128" t="e">
        <x:f>'PROJECT TA Y TB KARINA'!$T23/8</x:f>
        <x:v>#REF!</x:v>
      </x:c>
      <x:c r="EA27" s="128" t="e">
        <x:f>'PROJECT TA Y TB KARINA'!$T23/8</x:f>
        <x:v>#REF!</x:v>
      </x:c>
      <x:c r="EB27" s="128" t="e">
        <x:f>'PROJECT TA Y TB KARINA'!$T23/8</x:f>
        <x:v>#REF!</x:v>
      </x:c>
      <x:c r="EC27" s="128" t="e">
        <x:f>'PROJECT TA Y TB KARINA'!$T23/8</x:f>
        <x:v>#REF!</x:v>
      </x:c>
      <x:c r="ED27" s="128" t="e">
        <x:f>'PROJECT TA Y TB KARINA'!$T23/8</x:f>
        <x:v>#REF!</x:v>
      </x:c>
      <x:c r="EE27" s="128" t="e">
        <x:f>'PROJECT TA Y TB KARINA'!$T23/8</x:f>
        <x:v>#REF!</x:v>
      </x:c>
      <x:c r="EF27" s="128" t="e">
        <x:f>'PROJECT TA Y TB KARINA'!$T23/8</x:f>
        <x:v>#REF!</x:v>
      </x:c>
      <x:c r="EG27" s="128" t="e">
        <x:f>'PROJECT TA Y TB KARINA'!#REF!/8</x:f>
        <x:v>#NAME?</x:v>
      </x:c>
      <x:c r="EH27" s="128" t="e">
        <x:f>'PROJECT TA Y TB KARINA'!#REF!/8</x:f>
        <x:v>#NAME?</x:v>
      </x:c>
      <x:c r="EI27" s="128" t="e">
        <x:f>'PROJECT TA Y TB KARINA'!#REF!/8</x:f>
        <x:v>#NAME?</x:v>
      </x:c>
      <x:c r="EJ27" s="128" t="e">
        <x:f>'PROJECT TA Y TB KARINA'!#REF!/8</x:f>
        <x:v>#NAME?</x:v>
      </x:c>
      <x:c r="EK27" s="128" t="e">
        <x:f>'PROJECT TA Y TB KARINA'!#REF!/8</x:f>
        <x:v>#NAME?</x:v>
      </x:c>
      <x:c r="EL27" s="128" t="e">
        <x:f>'PROJECT TA Y TB KARINA'!#REF!/8</x:f>
        <x:v>#NAME?</x:v>
      </x:c>
      <x:c r="EM27" s="128" t="e">
        <x:f>'PROJECT TA Y TB KARINA'!#REF!/8</x:f>
        <x:v>#NAME?</x:v>
      </x:c>
      <x:c r="EN27" s="128" t="e">
        <x:f>'PROJECT TA Y TB KARINA'!#REF!/8</x:f>
        <x:v>#NAME?</x:v>
      </x:c>
      <x:c r="EO27" s="128" t="n">
        <x:f>'PROJECT TA Y TB KARINA'!$C81/8</x:f>
        <x:v>0</x:v>
      </x:c>
      <x:c r="EP27" s="128" t="n">
        <x:f>'PROJECT TA Y TB KARINA'!$C81/8</x:f>
        <x:v>0</x:v>
      </x:c>
      <x:c r="EQ27" s="128" t="n">
        <x:f>'PROJECT TA Y TB KARINA'!$C81/8</x:f>
        <x:v>0</x:v>
      </x:c>
      <x:c r="ER27" s="128" t="n">
        <x:f>'PROJECT TA Y TB KARINA'!$C81/8</x:f>
        <x:v>0</x:v>
      </x:c>
      <x:c r="ES27" s="128" t="n">
        <x:f>'PROJECT TA Y TB KARINA'!$C81/8</x:f>
        <x:v>0</x:v>
      </x:c>
      <x:c r="ET27" s="128" t="n">
        <x:f>'PROJECT TA Y TB KARINA'!$C81/8</x:f>
        <x:v>0</x:v>
      </x:c>
      <x:c r="EU27" s="128" t="n">
        <x:f>'PROJECT TA Y TB KARINA'!$C81/8</x:f>
        <x:v>0</x:v>
      </x:c>
      <x:c r="EV27" s="128" t="n">
        <x:f>'PROJECT TA Y TB KARINA'!$E81/8</x:f>
        <x:v>0</x:v>
      </x:c>
      <x:c r="EW27" s="128" t="n">
        <x:f>'PROJECT TA Y TB KARINA'!$E81/8</x:f>
        <x:v>0</x:v>
      </x:c>
      <x:c r="EX27" s="128" t="n">
        <x:f>'PROJECT TA Y TB KARINA'!$E81/8</x:f>
        <x:v>0</x:v>
      </x:c>
      <x:c r="EY27" s="128" t="n">
        <x:f>'PROJECT TA Y TB KARINA'!$E81/8</x:f>
        <x:v>0</x:v>
      </x:c>
      <x:c r="EZ27" s="128" t="n">
        <x:f>'PROJECT TA Y TB KARINA'!$E81/8</x:f>
        <x:v>0</x:v>
      </x:c>
      <x:c r="FA27" s="128" t="n">
        <x:f>'PROJECT TA Y TB KARINA'!$E81/8</x:f>
        <x:v>0</x:v>
      </x:c>
      <x:c r="FB27" s="128" t="n">
        <x:f>'PROJECT TA Y TB KARINA'!$E81/8</x:f>
        <x:v>0</x:v>
      </x:c>
      <x:c r="FC27" s="128" t="n">
        <x:f>'PROJECT TA Y TB KARINA'!$E81/8</x:f>
        <x:v>0</x:v>
      </x:c>
      <x:c r="FD27" s="128" t="n">
        <x:f>'PROJECT TA Y TB KARINA'!$F81/8</x:f>
        <x:v>0</x:v>
      </x:c>
      <x:c r="FE27" s="128" t="n">
        <x:f>'PROJECT TA Y TB KARINA'!$F81/8</x:f>
        <x:v>0</x:v>
      </x:c>
      <x:c r="FF27" s="128" t="n">
        <x:f>'PROJECT TA Y TB KARINA'!$F81/8</x:f>
        <x:v>0</x:v>
      </x:c>
      <x:c r="FG27" s="128" t="n">
        <x:f>'PROJECT TA Y TB KARINA'!$F81/8</x:f>
        <x:v>0</x:v>
      </x:c>
      <x:c r="FH27" s="128" t="n">
        <x:f>'PROJECT TA Y TB KARINA'!$F81/8</x:f>
        <x:v>0</x:v>
      </x:c>
      <x:c r="FI27" s="128" t="n">
        <x:f>'PROJECT TA Y TB KARINA'!$F81/8</x:f>
        <x:v>0</x:v>
      </x:c>
      <x:c r="FJ27" s="128" t="n">
        <x:f>'PROJECT TA Y TB KARINA'!$F81/8</x:f>
        <x:v>0</x:v>
      </x:c>
      <x:c r="FK27" s="128" t="n">
        <x:f>'PROJECT TA Y TB KARINA'!$F81/8</x:f>
        <x:v>0</x:v>
      </x:c>
      <x:c r="FL27" s="128" t="n">
        <x:f>'PROJECT TA Y TB KARINA'!$G81/8</x:f>
        <x:v>0</x:v>
      </x:c>
      <x:c r="FM27" s="128" t="n">
        <x:f>'PROJECT TA Y TB KARINA'!$G81/8</x:f>
        <x:v>0</x:v>
      </x:c>
      <x:c r="FN27" s="128" t="n">
        <x:f>'PROJECT TA Y TB KARINA'!$G81/8</x:f>
        <x:v>0</x:v>
      </x:c>
      <x:c r="FO27" s="128" t="n">
        <x:f>'PROJECT TA Y TB KARINA'!$G81/8</x:f>
        <x:v>0</x:v>
      </x:c>
      <x:c r="FP27" s="128" t="n">
        <x:f>'PROJECT TA Y TB KARINA'!$G81/8</x:f>
        <x:v>0</x:v>
      </x:c>
      <x:c r="FQ27" s="128" t="n">
        <x:f>'PROJECT TA Y TB KARINA'!$G81/8</x:f>
        <x:v>0</x:v>
      </x:c>
      <x:c r="FR27" s="128" t="n">
        <x:f>'PROJECT TA Y TB KARINA'!$G81/8</x:f>
        <x:v>0</x:v>
      </x:c>
      <x:c r="FS27" s="128" t="n">
        <x:f>'PROJECT TA Y TB KARINA'!$G81/8</x:f>
        <x:v>0</x:v>
      </x:c>
      <x:c r="FT27" s="128" t="n">
        <x:f>'PROJECT TA Y TB KARINA'!$H81/8</x:f>
        <x:v>0</x:v>
      </x:c>
      <x:c r="FU27" s="128" t="n">
        <x:f>'PROJECT TA Y TB KARINA'!$H81/8</x:f>
        <x:v>0</x:v>
      </x:c>
      <x:c r="FV27" s="128" t="n">
        <x:f>'PROJECT TA Y TB KARINA'!$H81/8</x:f>
        <x:v>0</x:v>
      </x:c>
      <x:c r="FW27" s="128" t="n">
        <x:f>'PROJECT TA Y TB KARINA'!$H81/8</x:f>
        <x:v>0</x:v>
      </x:c>
      <x:c r="FX27" s="128" t="n">
        <x:f>'PROJECT TA Y TB KARINA'!$H81/8</x:f>
        <x:v>0</x:v>
      </x:c>
      <x:c r="FY27" s="128" t="n">
        <x:f>'PROJECT TA Y TB KARINA'!$H81/8</x:f>
        <x:v>0</x:v>
      </x:c>
      <x:c r="FZ27" s="128" t="n">
        <x:f>'PROJECT TA Y TB KARINA'!$H81/8</x:f>
        <x:v>0</x:v>
      </x:c>
      <x:c r="GA27" s="128" t="n">
        <x:f>'PROJECT TA Y TB KARINA'!$H81/8</x:f>
        <x:v>0</x:v>
      </x:c>
      <x:c r="GB27" s="128" t="n">
        <x:f>'PROJECT TA Y TB KARINA'!$I81/8</x:f>
        <x:v>0</x:v>
      </x:c>
      <x:c r="GC27" s="128" t="n">
        <x:f>'PROJECT TA Y TB KARINA'!$I81/8</x:f>
        <x:v>0</x:v>
      </x:c>
      <x:c r="GD27" s="128" t="n">
        <x:f>'PROJECT TA Y TB KARINA'!$I81/8</x:f>
        <x:v>0</x:v>
      </x:c>
      <x:c r="GE27" s="128" t="n">
        <x:f>'PROJECT TA Y TB KARINA'!$I81/8</x:f>
        <x:v>0</x:v>
      </x:c>
      <x:c r="GF27" s="128" t="n">
        <x:f>'PROJECT TA Y TB KARINA'!$I81/8</x:f>
        <x:v>0</x:v>
      </x:c>
      <x:c r="GG27" s="128" t="n">
        <x:f>'PROJECT TA Y TB KARINA'!$I81/8</x:f>
        <x:v>0</x:v>
      </x:c>
      <x:c r="GH27" s="128" t="n">
        <x:f>'PROJECT TA Y TB KARINA'!$I81/8</x:f>
        <x:v>0</x:v>
      </x:c>
      <x:c r="GI27" s="128" t="n">
        <x:f>'PROJECT TA Y TB KARINA'!$I81/8</x:f>
        <x:v>0</x:v>
      </x:c>
      <x:c r="GJ27" s="128" t="n">
        <x:f>'PROJECT TA Y TB KARINA'!$J81/8</x:f>
        <x:v>0</x:v>
      </x:c>
      <x:c r="GK27" s="128" t="n">
        <x:f>'PROJECT TA Y TB KARINA'!$J81/8</x:f>
        <x:v>0</x:v>
      </x:c>
      <x:c r="GL27" s="128" t="n">
        <x:f>'PROJECT TA Y TB KARINA'!$J81/8</x:f>
        <x:v>0</x:v>
      </x:c>
      <x:c r="GM27" s="128" t="n">
        <x:f>'PROJECT TA Y TB KARINA'!$J81/8</x:f>
        <x:v>0</x:v>
      </x:c>
      <x:c r="GN27" s="128" t="n">
        <x:f>'PROJECT TA Y TB KARINA'!$J81/8</x:f>
        <x:v>0</x:v>
      </x:c>
      <x:c r="GO27" s="128" t="n">
        <x:f>'PROJECT TA Y TB KARINA'!$J81/8</x:f>
        <x:v>0</x:v>
      </x:c>
      <x:c r="GP27" s="128" t="n">
        <x:f>'PROJECT TA Y TB KARINA'!$J81/8</x:f>
        <x:v>0</x:v>
      </x:c>
      <x:c r="GQ27" s="128" t="n">
        <x:f>'PROJECT TA Y TB KARINA'!$J81/8</x:f>
        <x:v>0</x:v>
      </x:c>
      <x:c r="GR27" s="128" t="n">
        <x:f>'PROJECT TA Y TB KARINA'!$K81/8</x:f>
        <x:v>0</x:v>
      </x:c>
      <x:c r="GS27" s="128" t="n">
        <x:f>'PROJECT TA Y TB KARINA'!$K81/8</x:f>
        <x:v>0</x:v>
      </x:c>
      <x:c r="GT27" s="128" t="n">
        <x:f>'PROJECT TA Y TB KARINA'!$K81/8</x:f>
        <x:v>0</x:v>
      </x:c>
      <x:c r="GU27" s="128" t="n">
        <x:f>'PROJECT TA Y TB KARINA'!$K81/8</x:f>
        <x:v>0</x:v>
      </x:c>
      <x:c r="GV27" s="128" t="n">
        <x:f>'PROJECT TA Y TB KARINA'!$K81/8</x:f>
        <x:v>0</x:v>
      </x:c>
      <x:c r="GW27" s="128" t="n">
        <x:f>'PROJECT TA Y TB KARINA'!$K81/8</x:f>
        <x:v>0</x:v>
      </x:c>
      <x:c r="GX27" s="128" t="n">
        <x:f>'PROJECT TA Y TB KARINA'!$K81/8</x:f>
        <x:v>0</x:v>
      </x:c>
      <x:c r="GY27" s="128" t="n">
        <x:f>'PROJECT TA Y TB KARINA'!$K81/8</x:f>
        <x:v>0</x:v>
      </x:c>
      <x:c r="GZ27" s="128" t="n">
        <x:f>'PROJECT TA Y TB KARINA'!$L81/8</x:f>
        <x:v>0</x:v>
      </x:c>
      <x:c r="HA27" s="128" t="n">
        <x:f>'PROJECT TA Y TB KARINA'!$L81/8</x:f>
        <x:v>0</x:v>
      </x:c>
      <x:c r="HB27" s="128" t="n">
        <x:f>'PROJECT TA Y TB KARINA'!$L81/8</x:f>
        <x:v>0</x:v>
      </x:c>
      <x:c r="HC27" s="128" t="n">
        <x:f>'PROJECT TA Y TB KARINA'!$L81/8</x:f>
        <x:v>0</x:v>
      </x:c>
      <x:c r="HD27" s="128" t="n">
        <x:f>'PROJECT TA Y TB KARINA'!$L81/8</x:f>
        <x:v>0</x:v>
      </x:c>
      <x:c r="HE27" s="128" t="n">
        <x:f>'PROJECT TA Y TB KARINA'!$L81/8</x:f>
        <x:v>0</x:v>
      </x:c>
      <x:c r="HF27" s="128" t="n">
        <x:f>'PROJECT TA Y TB KARINA'!$L81/8</x:f>
        <x:v>0</x:v>
      </x:c>
      <x:c r="HG27" s="128" t="n">
        <x:f>'PROJECT TA Y TB KARINA'!$L81/8</x:f>
        <x:v>0</x:v>
      </x:c>
      <x:c r="HH27" s="128" t="n">
        <x:f>'PROJECT TA Y TB KARINA'!$M81/8</x:f>
        <x:v>0</x:v>
      </x:c>
      <x:c r="HI27" s="128" t="n">
        <x:f>'PROJECT TA Y TB KARINA'!$M81/8</x:f>
        <x:v>0</x:v>
      </x:c>
      <x:c r="HJ27" s="128" t="n">
        <x:f>'PROJECT TA Y TB KARINA'!$M81/8</x:f>
        <x:v>0</x:v>
      </x:c>
      <x:c r="HK27" s="128" t="n">
        <x:f>'PROJECT TA Y TB KARINA'!$M81/8</x:f>
        <x:v>0</x:v>
      </x:c>
      <x:c r="HL27" s="128" t="n">
        <x:f>'PROJECT TA Y TB KARINA'!$M81/8</x:f>
        <x:v>0</x:v>
      </x:c>
      <x:c r="HM27" s="128" t="n">
        <x:f>'PROJECT TA Y TB KARINA'!$M81/8</x:f>
        <x:v>0</x:v>
      </x:c>
      <x:c r="HN27" s="128" t="n">
        <x:f>'PROJECT TA Y TB KARINA'!$M81/8</x:f>
        <x:v>0</x:v>
      </x:c>
      <x:c r="HO27" s="128" t="n">
        <x:f>'PROJECT TA Y TB KARINA'!$M81/8</x:f>
        <x:v>0</x:v>
      </x:c>
      <x:c r="HP27" s="128" t="n">
        <x:f>'PROJECT TA Y TB KARINA'!$N81/8</x:f>
        <x:v>0</x:v>
      </x:c>
      <x:c r="HQ27" s="128" t="n">
        <x:f>'PROJECT TA Y TB KARINA'!$N81/8</x:f>
        <x:v>0</x:v>
      </x:c>
      <x:c r="HR27" s="128" t="n">
        <x:f>'PROJECT TA Y TB KARINA'!$N81/8</x:f>
        <x:v>0</x:v>
      </x:c>
      <x:c r="HS27" s="128" t="n">
        <x:f>'PROJECT TA Y TB KARINA'!$N81/8</x:f>
        <x:v>0</x:v>
      </x:c>
      <x:c r="HT27" s="128" t="n">
        <x:f>'PROJECT TA Y TB KARINA'!$N81/8</x:f>
        <x:v>0</x:v>
      </x:c>
      <x:c r="HU27" s="128" t="n">
        <x:f>'PROJECT TA Y TB KARINA'!$N81/8</x:f>
        <x:v>0</x:v>
      </x:c>
      <x:c r="HV27" s="128" t="n">
        <x:f>'PROJECT TA Y TB KARINA'!$N81/8</x:f>
        <x:v>0</x:v>
      </x:c>
      <x:c r="HW27" s="128" t="n">
        <x:f>'PROJECT TA Y TB KARINA'!$N81/8</x:f>
        <x:v>0</x:v>
      </x:c>
      <x:c r="HX27" s="128" t="n">
        <x:f>'PROJECT TA Y TB KARINA'!$O81/8</x:f>
        <x:v>0</x:v>
      </x:c>
      <x:c r="HY27" s="128" t="n">
        <x:f>'PROJECT TA Y TB KARINA'!$O81/8</x:f>
        <x:v>0</x:v>
      </x:c>
      <x:c r="HZ27" s="128" t="n">
        <x:f>'PROJECT TA Y TB KARINA'!$O81/8</x:f>
        <x:v>0</x:v>
      </x:c>
      <x:c r="IA27" s="128" t="n">
        <x:f>'PROJECT TA Y TB KARINA'!$O81/8</x:f>
        <x:v>0</x:v>
      </x:c>
      <x:c r="IB27" s="128" t="n">
        <x:f>'PROJECT TA Y TB KARINA'!$O81/8</x:f>
        <x:v>0</x:v>
      </x:c>
      <x:c r="IC27" s="128" t="n">
        <x:f>'PROJECT TA Y TB KARINA'!$O81/8</x:f>
        <x:v>0</x:v>
      </x:c>
      <x:c r="ID27" s="128" t="n">
        <x:f>'PROJECT TA Y TB KARINA'!$O81/8</x:f>
        <x:v>0</x:v>
      </x:c>
      <x:c r="IE27" s="128" t="n">
        <x:f>'PROJECT TA Y TB KARINA'!$O81/8</x:f>
        <x:v>0</x:v>
      </x:c>
      <x:c r="IF27" s="128" t="n">
        <x:f>'PROJECT TA Y TB KARINA'!$P81/8</x:f>
        <x:v>0</x:v>
      </x:c>
      <x:c r="IG27" s="128" t="n">
        <x:f>'PROJECT TA Y TB KARINA'!$P81/8</x:f>
        <x:v>0</x:v>
      </x:c>
      <x:c r="IH27" s="128" t="n">
        <x:f>'PROJECT TA Y TB KARINA'!$P81/8</x:f>
        <x:v>0</x:v>
      </x:c>
      <x:c r="II27" s="128" t="n">
        <x:f>'PROJECT TA Y TB KARINA'!$P81/8</x:f>
        <x:v>0</x:v>
      </x:c>
      <x:c r="IJ27" s="128" t="n">
        <x:f>'PROJECT TA Y TB KARINA'!$P81/8</x:f>
        <x:v>0</x:v>
      </x:c>
      <x:c r="IK27" s="128" t="n">
        <x:f>'PROJECT TA Y TB KARINA'!$P81/8</x:f>
        <x:v>0</x:v>
      </x:c>
      <x:c r="IL27" s="128" t="n">
        <x:f>'PROJECT TA Y TB KARINA'!$P81/8</x:f>
        <x:v>0</x:v>
      </x:c>
      <x:c r="IM27" s="128" t="n">
        <x:f>'PROJECT TA Y TB KARINA'!$P81/8</x:f>
        <x:v>0</x:v>
      </x:c>
      <x:c r="IN27" s="128" t="n">
        <x:f>'PROJECT TA Y TB KARINA'!$Q81/8</x:f>
        <x:v>0</x:v>
      </x:c>
      <x:c r="IO27" s="128" t="n">
        <x:f>'PROJECT TA Y TB KARINA'!$Q81/8</x:f>
        <x:v>0</x:v>
      </x:c>
      <x:c r="IP27" s="128" t="n">
        <x:f>'PROJECT TA Y TB KARINA'!$Q81/8</x:f>
        <x:v>0</x:v>
      </x:c>
      <x:c r="IQ27" s="128" t="n">
        <x:f>'PROJECT TA Y TB KARINA'!$Q81/8</x:f>
        <x:v>0</x:v>
      </x:c>
      <x:c r="IR27" s="128" t="n">
        <x:f>'PROJECT TA Y TB KARINA'!$Q81/8</x:f>
        <x:v>0</x:v>
      </x:c>
      <x:c r="IS27" s="128" t="n">
        <x:f>'PROJECT TA Y TB KARINA'!$Q81/8</x:f>
        <x:v>0</x:v>
      </x:c>
      <x:c r="IT27" s="128" t="n">
        <x:f>'PROJECT TA Y TB KARINA'!$Q81/8</x:f>
        <x:v>0</x:v>
      </x:c>
      <x:c r="IU27" s="128" t="n">
        <x:f>'PROJECT TA Y TB KARINA'!$Q81/8</x:f>
        <x:v>0</x:v>
      </x:c>
      <x:c r="IV27" s="128" t="n">
        <x:f>'PROJECT TA Y TB KARINA'!$R81/8</x:f>
        <x:v>0</x:v>
      </x:c>
      <x:c r="IW27" s="128" t="n">
        <x:f>'PROJECT TA Y TB KARINA'!$R81/8</x:f>
        <x:v>0</x:v>
      </x:c>
      <x:c r="IX27" s="128" t="n">
        <x:f>'PROJECT TA Y TB KARINA'!$R81/8</x:f>
        <x:v>0</x:v>
      </x:c>
      <x:c r="IY27" s="128" t="n">
        <x:f>'PROJECT TA Y TB KARINA'!$R81/8</x:f>
        <x:v>0</x:v>
      </x:c>
      <x:c r="IZ27" s="128" t="n">
        <x:f>'PROJECT TA Y TB KARINA'!$R81/8</x:f>
        <x:v>0</x:v>
      </x:c>
      <x:c r="JA27" s="128" t="n">
        <x:f>'PROJECT TA Y TB KARINA'!$R81/8</x:f>
        <x:v>0</x:v>
      </x:c>
      <x:c r="JB27" s="128" t="n">
        <x:f>'PROJECT TA Y TB KARINA'!$R81/8</x:f>
        <x:v>0</x:v>
      </x:c>
      <x:c r="JC27" s="128" t="n">
        <x:f>'PROJECT TA Y TB KARINA'!$R81/8</x:f>
        <x:v>0</x:v>
      </x:c>
      <x:c r="JD27" s="128" t="n">
        <x:f>'PROJECT TA Y TB KARINA'!$S81/8</x:f>
        <x:v>0</x:v>
      </x:c>
      <x:c r="JE27" s="128" t="n">
        <x:f>'PROJECT TA Y TB KARINA'!$S81/8</x:f>
        <x:v>0</x:v>
      </x:c>
      <x:c r="JF27" s="128" t="n">
        <x:f>'PROJECT TA Y TB KARINA'!$S81/8</x:f>
        <x:v>0</x:v>
      </x:c>
      <x:c r="JG27" s="128" t="n">
        <x:f>'PROJECT TA Y TB KARINA'!$S81/8</x:f>
        <x:v>0</x:v>
      </x:c>
      <x:c r="JH27" s="128" t="n">
        <x:f>'PROJECT TA Y TB KARINA'!$S81/8</x:f>
        <x:v>0</x:v>
      </x:c>
      <x:c r="JI27" s="128" t="n">
        <x:f>'PROJECT TA Y TB KARINA'!$S81/8</x:f>
        <x:v>0</x:v>
      </x:c>
      <x:c r="JJ27" s="128" t="n">
        <x:f>'PROJECT TA Y TB KARINA'!$S81/8</x:f>
        <x:v>0</x:v>
      </x:c>
      <x:c r="JK27" s="128" t="n">
        <x:f>'PROJECT TA Y TB KARINA'!$S81/8</x:f>
        <x:v>0</x:v>
      </x:c>
      <x:c r="JL27" s="128" t="n">
        <x:f>'PROJECT TA Y TB KARINA'!$T81/8</x:f>
        <x:v>0</x:v>
      </x:c>
      <x:c r="JM27" s="128" t="n">
        <x:f>'PROJECT TA Y TB KARINA'!$T81/8</x:f>
        <x:v>0</x:v>
      </x:c>
      <x:c r="JN27" s="128" t="n">
        <x:f>'PROJECT TA Y TB KARINA'!$T81/8</x:f>
        <x:v>0</x:v>
      </x:c>
      <x:c r="JO27" s="128" t="n">
        <x:f>'PROJECT TA Y TB KARINA'!$T81/8</x:f>
        <x:v>0</x:v>
      </x:c>
      <x:c r="JP27" s="128" t="n">
        <x:f>'PROJECT TA Y TB KARINA'!$T81/8</x:f>
        <x:v>0</x:v>
      </x:c>
      <x:c r="JQ27" s="128" t="n">
        <x:f>'PROJECT TA Y TB KARINA'!$T81/8</x:f>
        <x:v>0</x:v>
      </x:c>
      <x:c r="JR27" s="128" t="n">
        <x:f>'PROJECT TA Y TB KARINA'!$T81/8</x:f>
        <x:v>0</x:v>
      </x:c>
      <x:c r="JS27" s="128" t="n">
        <x:f>'PROJECT TA Y TB KARINA'!$T81/8</x:f>
        <x:v>0</x:v>
      </x:c>
      <x:c r="JT27" s="128" t="e">
        <x:f>'PROJECT TA Y TB KARINA'!#REF!/8</x:f>
        <x:v>#NAME?</x:v>
      </x:c>
      <x:c r="JU27" s="128" t="e">
        <x:f>'PROJECT TA Y TB KARINA'!#REF!/8</x:f>
        <x:v>#NAME?</x:v>
      </x:c>
      <x:c r="JV27" s="128" t="e">
        <x:f>'PROJECT TA Y TB KARINA'!#REF!/8</x:f>
        <x:v>#NAME?</x:v>
      </x:c>
      <x:c r="JW27" s="128" t="e">
        <x:f>'PROJECT TA Y TB KARINA'!#REF!/8</x:f>
        <x:v>#NAME?</x:v>
      </x:c>
      <x:c r="JX27" s="128" t="e">
        <x:f>'PROJECT TA Y TB KARINA'!#REF!/8</x:f>
        <x:v>#NAME?</x:v>
      </x:c>
      <x:c r="JY27" s="128" t="e">
        <x:f>'PROJECT TA Y TB KARINA'!#REF!/8</x:f>
        <x:v>#NAME?</x:v>
      </x:c>
      <x:c r="JZ27" s="128" t="e">
        <x:f>'PROJECT TA Y TB KARINA'!#REF!/8</x:f>
        <x:v>#NAME?</x:v>
      </x:c>
      <x:c r="KA27" s="128" t="e">
        <x:f>'PROJECT TA Y TB KARINA'!#REF!/8</x:f>
        <x:v>#NAME?</x:v>
      </x:c>
    </x:row>
    <x:row r="28" ht="21">
      <x:c r="A28" s="130" t="s">
        <x:v>513</x:v>
      </x:c>
      <x:c r="B28" s="128" t="e">
        <x:f>'PROJECT TA Y TB KARINA'!$C$24/8</x:f>
        <x:v>#REF!</x:v>
      </x:c>
      <x:c r="C28" s="128" t="e">
        <x:f>'PROJECT TA Y TB KARINA'!$C$24/8</x:f>
        <x:v>#REF!</x:v>
      </x:c>
      <x:c r="D28" s="128" t="e">
        <x:f>'PROJECT TA Y TB KARINA'!$C$24/8</x:f>
        <x:v>#REF!</x:v>
      </x:c>
      <x:c r="E28" s="128" t="e">
        <x:f>'PROJECT TA Y TB KARINA'!$C$24/8</x:f>
        <x:v>#REF!</x:v>
      </x:c>
      <x:c r="F28" s="128" t="e">
        <x:f>'PROJECT TA Y TB KARINA'!$C$24/8</x:f>
        <x:v>#REF!</x:v>
      </x:c>
      <x:c r="G28" s="128" t="e">
        <x:f>'PROJECT TA Y TB KARINA'!$C$24/8</x:f>
        <x:v>#REF!</x:v>
      </x:c>
      <x:c r="H28" s="128" t="e">
        <x:f>'PROJECT TA Y TB KARINA'!$C$24/8</x:f>
        <x:v>#REF!</x:v>
      </x:c>
      <x:c r="I28" s="128" t="e">
        <x:f>'PROJECT TA Y TB KARINA'!$E24/8</x:f>
        <x:v>#REF!</x:v>
      </x:c>
      <x:c r="J28" s="128" t="e">
        <x:f>'PROJECT TA Y TB KARINA'!$E24/8</x:f>
        <x:v>#REF!</x:v>
      </x:c>
      <x:c r="K28" s="128" t="e">
        <x:f>'PROJECT TA Y TB KARINA'!$E24/8</x:f>
        <x:v>#REF!</x:v>
      </x:c>
      <x:c r="L28" s="128" t="e">
        <x:f>'PROJECT TA Y TB KARINA'!$E24/8</x:f>
        <x:v>#REF!</x:v>
      </x:c>
      <x:c r="M28" s="128" t="e">
        <x:f>'PROJECT TA Y TB KARINA'!$E24/8</x:f>
        <x:v>#REF!</x:v>
      </x:c>
      <x:c r="N28" s="128" t="e">
        <x:f>'PROJECT TA Y TB KARINA'!$E24/8</x:f>
        <x:v>#REF!</x:v>
      </x:c>
      <x:c r="O28" s="128" t="e">
        <x:f>'PROJECT TA Y TB KARINA'!$E24/8</x:f>
        <x:v>#REF!</x:v>
      </x:c>
      <x:c r="P28" s="128" t="e">
        <x:f>'PROJECT TA Y TB KARINA'!$E24/8</x:f>
        <x:v>#REF!</x:v>
      </x:c>
      <x:c r="Q28" s="128" t="e">
        <x:f>'PROJECT TA Y TB KARINA'!$F24/8</x:f>
        <x:v>#REF!</x:v>
      </x:c>
      <x:c r="R28" s="128" t="e">
        <x:f>'PROJECT TA Y TB KARINA'!$F24/8</x:f>
        <x:v>#REF!</x:v>
      </x:c>
      <x:c r="S28" s="128" t="e">
        <x:f>'PROJECT TA Y TB KARINA'!$F24/8</x:f>
        <x:v>#REF!</x:v>
      </x:c>
      <x:c r="T28" s="128" t="e">
        <x:f>'PROJECT TA Y TB KARINA'!$F24/8</x:f>
        <x:v>#REF!</x:v>
      </x:c>
      <x:c r="U28" s="128" t="e">
        <x:f>'PROJECT TA Y TB KARINA'!$F24/8</x:f>
        <x:v>#REF!</x:v>
      </x:c>
      <x:c r="V28" s="128" t="e">
        <x:f>'PROJECT TA Y TB KARINA'!$F24/8</x:f>
        <x:v>#REF!</x:v>
      </x:c>
      <x:c r="W28" s="128" t="e">
        <x:f>'PROJECT TA Y TB KARINA'!$F24/8</x:f>
        <x:v>#REF!</x:v>
      </x:c>
      <x:c r="X28" s="128" t="e">
        <x:f>'PROJECT TA Y TB KARINA'!$F24/8</x:f>
        <x:v>#REF!</x:v>
      </x:c>
      <x:c r="Y28" s="128" t="e">
        <x:f>'PROJECT TA Y TB KARINA'!$G24/8</x:f>
        <x:v>#REF!</x:v>
      </x:c>
      <x:c r="Z28" s="128" t="e">
        <x:f>'PROJECT TA Y TB KARINA'!$G24/8</x:f>
        <x:v>#REF!</x:v>
      </x:c>
      <x:c r="AA28" s="128" t="e">
        <x:f>'PROJECT TA Y TB KARINA'!$G24/8</x:f>
        <x:v>#REF!</x:v>
      </x:c>
      <x:c r="AB28" s="128" t="e">
        <x:f>'PROJECT TA Y TB KARINA'!$G24/8</x:f>
        <x:v>#REF!</x:v>
      </x:c>
      <x:c r="AC28" s="128" t="e">
        <x:f>'PROJECT TA Y TB KARINA'!$G24/8</x:f>
        <x:v>#REF!</x:v>
      </x:c>
      <x:c r="AD28" s="128" t="e">
        <x:f>'PROJECT TA Y TB KARINA'!$G24/8</x:f>
        <x:v>#REF!</x:v>
      </x:c>
      <x:c r="AE28" s="128" t="e">
        <x:f>'PROJECT TA Y TB KARINA'!$G24/8</x:f>
        <x:v>#REF!</x:v>
      </x:c>
      <x:c r="AF28" s="128" t="e">
        <x:f>'PROJECT TA Y TB KARINA'!$G24/8</x:f>
        <x:v>#REF!</x:v>
      </x:c>
      <x:c r="AG28" s="128" t="e">
        <x:f>'PROJECT TA Y TB KARINA'!$H24/8</x:f>
        <x:v>#REF!</x:v>
      </x:c>
      <x:c r="AH28" s="128" t="e">
        <x:f>'PROJECT TA Y TB KARINA'!$H24/8</x:f>
        <x:v>#REF!</x:v>
      </x:c>
      <x:c r="AI28" s="128" t="e">
        <x:f>'PROJECT TA Y TB KARINA'!$H24/8</x:f>
        <x:v>#REF!</x:v>
      </x:c>
      <x:c r="AJ28" s="128" t="e">
        <x:f>'PROJECT TA Y TB KARINA'!$H24/8</x:f>
        <x:v>#REF!</x:v>
      </x:c>
      <x:c r="AK28" s="128" t="e">
        <x:f>'PROJECT TA Y TB KARINA'!$H24/8</x:f>
        <x:v>#REF!</x:v>
      </x:c>
      <x:c r="AL28" s="128" t="e">
        <x:f>'PROJECT TA Y TB KARINA'!$H24/8</x:f>
        <x:v>#REF!</x:v>
      </x:c>
      <x:c r="AM28" s="128" t="e">
        <x:f>'PROJECT TA Y TB KARINA'!$H24/8</x:f>
        <x:v>#REF!</x:v>
      </x:c>
      <x:c r="AN28" s="128" t="e">
        <x:f>'PROJECT TA Y TB KARINA'!$H24/8</x:f>
        <x:v>#REF!</x:v>
      </x:c>
      <x:c r="AO28" s="128" t="e">
        <x:f>'PROJECT TA Y TB KARINA'!$I24/8</x:f>
        <x:v>#REF!</x:v>
      </x:c>
      <x:c r="AP28" s="128" t="e">
        <x:f>'PROJECT TA Y TB KARINA'!$I24/8</x:f>
        <x:v>#REF!</x:v>
      </x:c>
      <x:c r="AQ28" s="128" t="e">
        <x:f>'PROJECT TA Y TB KARINA'!$I24/8</x:f>
        <x:v>#REF!</x:v>
      </x:c>
      <x:c r="AR28" s="128" t="e">
        <x:f>'PROJECT TA Y TB KARINA'!$I24/8</x:f>
        <x:v>#REF!</x:v>
      </x:c>
      <x:c r="AS28" s="128" t="e">
        <x:f>'PROJECT TA Y TB KARINA'!$I24/8</x:f>
        <x:v>#REF!</x:v>
      </x:c>
      <x:c r="AT28" s="128" t="e">
        <x:f>'PROJECT TA Y TB KARINA'!$I24/8</x:f>
        <x:v>#REF!</x:v>
      </x:c>
      <x:c r="AU28" s="128" t="e">
        <x:f>'PROJECT TA Y TB KARINA'!$I24/8</x:f>
        <x:v>#REF!</x:v>
      </x:c>
      <x:c r="AV28" s="128" t="e">
        <x:f>'PROJECT TA Y TB KARINA'!$I24/8</x:f>
        <x:v>#REF!</x:v>
      </x:c>
      <x:c r="AW28" s="128" t="e">
        <x:f>'PROJECT TA Y TB KARINA'!$J24/8</x:f>
        <x:v>#REF!</x:v>
      </x:c>
      <x:c r="AX28" s="128" t="e">
        <x:f>'PROJECT TA Y TB KARINA'!$J24/8</x:f>
        <x:v>#REF!</x:v>
      </x:c>
      <x:c r="AY28" s="128" t="e">
        <x:f>'PROJECT TA Y TB KARINA'!$J24/8</x:f>
        <x:v>#REF!</x:v>
      </x:c>
      <x:c r="AZ28" s="128" t="e">
        <x:f>'PROJECT TA Y TB KARINA'!$J24/8</x:f>
        <x:v>#REF!</x:v>
      </x:c>
      <x:c r="BA28" s="128" t="e">
        <x:f>'PROJECT TA Y TB KARINA'!$J24/8</x:f>
        <x:v>#REF!</x:v>
      </x:c>
      <x:c r="BB28" s="128" t="e">
        <x:f>'PROJECT TA Y TB KARINA'!$J24/8</x:f>
        <x:v>#REF!</x:v>
      </x:c>
      <x:c r="BC28" s="128" t="e">
        <x:f>'PROJECT TA Y TB KARINA'!$J24/8</x:f>
        <x:v>#REF!</x:v>
      </x:c>
      <x:c r="BD28" s="128" t="e">
        <x:f>'PROJECT TA Y TB KARINA'!$J24/8</x:f>
        <x:v>#REF!</x:v>
      </x:c>
      <x:c r="BE28" s="128" t="e">
        <x:f>'PROJECT TA Y TB KARINA'!$K24/8</x:f>
        <x:v>#REF!</x:v>
      </x:c>
      <x:c r="BF28" s="128" t="e">
        <x:f>'PROJECT TA Y TB KARINA'!$K24/8</x:f>
        <x:v>#REF!</x:v>
      </x:c>
      <x:c r="BG28" s="128" t="e">
        <x:f>'PROJECT TA Y TB KARINA'!$K24/8</x:f>
        <x:v>#REF!</x:v>
      </x:c>
      <x:c r="BH28" s="128" t="e">
        <x:f>'PROJECT TA Y TB KARINA'!$K24/8</x:f>
        <x:v>#REF!</x:v>
      </x:c>
      <x:c r="BI28" s="128" t="e">
        <x:f>'PROJECT TA Y TB KARINA'!$K24/8</x:f>
        <x:v>#REF!</x:v>
      </x:c>
      <x:c r="BJ28" s="128" t="e">
        <x:f>'PROJECT TA Y TB KARINA'!$K24/8</x:f>
        <x:v>#REF!</x:v>
      </x:c>
      <x:c r="BK28" s="128" t="e">
        <x:f>'PROJECT TA Y TB KARINA'!$K24/8</x:f>
        <x:v>#REF!</x:v>
      </x:c>
      <x:c r="BL28" s="128" t="e">
        <x:f>'PROJECT TA Y TB KARINA'!$K24/8</x:f>
        <x:v>#REF!</x:v>
      </x:c>
      <x:c r="BM28" s="128" t="e">
        <x:f>'PROJECT TA Y TB KARINA'!$L24/8</x:f>
        <x:v>#REF!</x:v>
      </x:c>
      <x:c r="BN28" s="128" t="e">
        <x:f>'PROJECT TA Y TB KARINA'!$L24/8</x:f>
        <x:v>#REF!</x:v>
      </x:c>
      <x:c r="BO28" s="128" t="e">
        <x:f>'PROJECT TA Y TB KARINA'!$L24/8</x:f>
        <x:v>#REF!</x:v>
      </x:c>
      <x:c r="BP28" s="128" t="e">
        <x:f>'PROJECT TA Y TB KARINA'!$L24/8</x:f>
        <x:v>#REF!</x:v>
      </x:c>
      <x:c r="BQ28" s="128" t="e">
        <x:f>'PROJECT TA Y TB KARINA'!$L24/8</x:f>
        <x:v>#REF!</x:v>
      </x:c>
      <x:c r="BR28" s="128" t="e">
        <x:f>'PROJECT TA Y TB KARINA'!$L24/8</x:f>
        <x:v>#REF!</x:v>
      </x:c>
      <x:c r="BS28" s="128" t="e">
        <x:f>'PROJECT TA Y TB KARINA'!$L24/8</x:f>
        <x:v>#REF!</x:v>
      </x:c>
      <x:c r="BT28" s="128" t="e">
        <x:f>'PROJECT TA Y TB KARINA'!$L24/8</x:f>
        <x:v>#REF!</x:v>
      </x:c>
      <x:c r="BU28" s="128" t="e">
        <x:f>'PROJECT TA Y TB KARINA'!$M24/8</x:f>
        <x:v>#REF!</x:v>
      </x:c>
      <x:c r="BV28" s="128" t="e">
        <x:f>'PROJECT TA Y TB KARINA'!$M24/8</x:f>
        <x:v>#REF!</x:v>
      </x:c>
      <x:c r="BW28" s="128" t="e">
        <x:f>'PROJECT TA Y TB KARINA'!$M24/8</x:f>
        <x:v>#REF!</x:v>
      </x:c>
      <x:c r="BX28" s="128" t="e">
        <x:f>'PROJECT TA Y TB KARINA'!$M24/8</x:f>
        <x:v>#REF!</x:v>
      </x:c>
      <x:c r="BY28" s="128" t="e">
        <x:f>'PROJECT TA Y TB KARINA'!$M24/8</x:f>
        <x:v>#REF!</x:v>
      </x:c>
      <x:c r="BZ28" s="128" t="e">
        <x:f>'PROJECT TA Y TB KARINA'!$M24/8</x:f>
        <x:v>#REF!</x:v>
      </x:c>
      <x:c r="CA28" s="128" t="e">
        <x:f>'PROJECT TA Y TB KARINA'!$M24/8</x:f>
        <x:v>#REF!</x:v>
      </x:c>
      <x:c r="CB28" s="128" t="e">
        <x:f>'PROJECT TA Y TB KARINA'!$M24/8</x:f>
        <x:v>#REF!</x:v>
      </x:c>
      <x:c r="CC28" s="128" t="e">
        <x:f>'PROJECT TA Y TB KARINA'!$N24/8</x:f>
        <x:v>#REF!</x:v>
      </x:c>
      <x:c r="CD28" s="128" t="e">
        <x:f>'PROJECT TA Y TB KARINA'!$N24/8</x:f>
        <x:v>#REF!</x:v>
      </x:c>
      <x:c r="CE28" s="128" t="e">
        <x:f>'PROJECT TA Y TB KARINA'!$N24/8</x:f>
        <x:v>#REF!</x:v>
      </x:c>
      <x:c r="CF28" s="128" t="e">
        <x:f>'PROJECT TA Y TB KARINA'!$N24/8</x:f>
        <x:v>#REF!</x:v>
      </x:c>
      <x:c r="CG28" s="128" t="e">
        <x:f>'PROJECT TA Y TB KARINA'!$N24/8</x:f>
        <x:v>#REF!</x:v>
      </x:c>
      <x:c r="CH28" s="128" t="e">
        <x:f>'PROJECT TA Y TB KARINA'!$N24/8</x:f>
        <x:v>#REF!</x:v>
      </x:c>
      <x:c r="CI28" s="128" t="e">
        <x:f>'PROJECT TA Y TB KARINA'!$N24/8</x:f>
        <x:v>#REF!</x:v>
      </x:c>
      <x:c r="CJ28" s="128" t="e">
        <x:f>'PROJECT TA Y TB KARINA'!$N24/8</x:f>
        <x:v>#REF!</x:v>
      </x:c>
      <x:c r="CK28" s="128" t="e">
        <x:f>'PROJECT TA Y TB KARINA'!$O24/8</x:f>
        <x:v>#REF!</x:v>
      </x:c>
      <x:c r="CL28" s="128" t="e">
        <x:f>'PROJECT TA Y TB KARINA'!$O24/8</x:f>
        <x:v>#REF!</x:v>
      </x:c>
      <x:c r="CM28" s="128" t="e">
        <x:f>'PROJECT TA Y TB KARINA'!$O24/8</x:f>
        <x:v>#REF!</x:v>
      </x:c>
      <x:c r="CN28" s="128" t="e">
        <x:f>'PROJECT TA Y TB KARINA'!$O24/8</x:f>
        <x:v>#REF!</x:v>
      </x:c>
      <x:c r="CO28" s="128" t="e">
        <x:f>'PROJECT TA Y TB KARINA'!$O24/8</x:f>
        <x:v>#REF!</x:v>
      </x:c>
      <x:c r="CP28" s="128" t="e">
        <x:f>'PROJECT TA Y TB KARINA'!$O24/8</x:f>
        <x:v>#REF!</x:v>
      </x:c>
      <x:c r="CQ28" s="128" t="e">
        <x:f>'PROJECT TA Y TB KARINA'!$O24/8</x:f>
        <x:v>#REF!</x:v>
      </x:c>
      <x:c r="CR28" s="128" t="e">
        <x:f>'PROJECT TA Y TB KARINA'!$O24/8</x:f>
        <x:v>#REF!</x:v>
      </x:c>
      <x:c r="CS28" s="128" t="e">
        <x:f>'PROJECT TA Y TB KARINA'!$P24/8</x:f>
        <x:v>#REF!</x:v>
      </x:c>
      <x:c r="CT28" s="128" t="e">
        <x:f>'PROJECT TA Y TB KARINA'!$P24/8</x:f>
        <x:v>#REF!</x:v>
      </x:c>
      <x:c r="CU28" s="128" t="e">
        <x:f>'PROJECT TA Y TB KARINA'!$P24/8</x:f>
        <x:v>#REF!</x:v>
      </x:c>
      <x:c r="CV28" s="128" t="e">
        <x:f>'PROJECT TA Y TB KARINA'!$P24/8</x:f>
        <x:v>#REF!</x:v>
      </x:c>
      <x:c r="CW28" s="128" t="e">
        <x:f>'PROJECT TA Y TB KARINA'!$P24/8</x:f>
        <x:v>#REF!</x:v>
      </x:c>
      <x:c r="CX28" s="128" t="e">
        <x:f>'PROJECT TA Y TB KARINA'!$P24/8</x:f>
        <x:v>#REF!</x:v>
      </x:c>
      <x:c r="CY28" s="128" t="e">
        <x:f>'PROJECT TA Y TB KARINA'!$P24/8</x:f>
        <x:v>#REF!</x:v>
      </x:c>
      <x:c r="CZ28" s="128" t="e">
        <x:f>'PROJECT TA Y TB KARINA'!$P24/8</x:f>
        <x:v>#REF!</x:v>
      </x:c>
      <x:c r="DA28" s="128" t="e">
        <x:f>'PROJECT TA Y TB KARINA'!$Q24/8</x:f>
        <x:v>#REF!</x:v>
      </x:c>
      <x:c r="DB28" s="128" t="e">
        <x:f>'PROJECT TA Y TB KARINA'!$Q24/8</x:f>
        <x:v>#REF!</x:v>
      </x:c>
      <x:c r="DC28" s="128" t="e">
        <x:f>'PROJECT TA Y TB KARINA'!$Q24/8</x:f>
        <x:v>#REF!</x:v>
      </x:c>
      <x:c r="DD28" s="128" t="e">
        <x:f>'PROJECT TA Y TB KARINA'!$Q24/8</x:f>
        <x:v>#REF!</x:v>
      </x:c>
      <x:c r="DE28" s="128" t="e">
        <x:f>'PROJECT TA Y TB KARINA'!$Q24/8</x:f>
        <x:v>#REF!</x:v>
      </x:c>
      <x:c r="DF28" s="128" t="e">
        <x:f>'PROJECT TA Y TB KARINA'!$Q24/8</x:f>
        <x:v>#REF!</x:v>
      </x:c>
      <x:c r="DG28" s="128" t="e">
        <x:f>'PROJECT TA Y TB KARINA'!$Q24/8</x:f>
        <x:v>#REF!</x:v>
      </x:c>
      <x:c r="DH28" s="128" t="e">
        <x:f>'PROJECT TA Y TB KARINA'!$Q24/8</x:f>
        <x:v>#REF!</x:v>
      </x:c>
      <x:c r="DI28" s="128" t="e">
        <x:f>'PROJECT TA Y TB KARINA'!$R24/8</x:f>
        <x:v>#REF!</x:v>
      </x:c>
      <x:c r="DJ28" s="128" t="e">
        <x:f>'PROJECT TA Y TB KARINA'!$R24/8</x:f>
        <x:v>#REF!</x:v>
      </x:c>
      <x:c r="DK28" s="128" t="e">
        <x:f>'PROJECT TA Y TB KARINA'!$R24/8</x:f>
        <x:v>#REF!</x:v>
      </x:c>
      <x:c r="DL28" s="128" t="e">
        <x:f>'PROJECT TA Y TB KARINA'!$R24/8</x:f>
        <x:v>#REF!</x:v>
      </x:c>
      <x:c r="DM28" s="128" t="e">
        <x:f>'PROJECT TA Y TB KARINA'!$R24/8</x:f>
        <x:v>#REF!</x:v>
      </x:c>
      <x:c r="DN28" s="128" t="e">
        <x:f>'PROJECT TA Y TB KARINA'!$R24/8</x:f>
        <x:v>#REF!</x:v>
      </x:c>
      <x:c r="DO28" s="128" t="e">
        <x:f>'PROJECT TA Y TB KARINA'!$R24/8</x:f>
        <x:v>#REF!</x:v>
      </x:c>
      <x:c r="DP28" s="128" t="e">
        <x:f>'PROJECT TA Y TB KARINA'!$R24/8</x:f>
        <x:v>#REF!</x:v>
      </x:c>
      <x:c r="DQ28" s="128" t="e">
        <x:f>'PROJECT TA Y TB KARINA'!$S24/8</x:f>
        <x:v>#REF!</x:v>
      </x:c>
      <x:c r="DR28" s="128" t="e">
        <x:f>'PROJECT TA Y TB KARINA'!$S24/8</x:f>
        <x:v>#REF!</x:v>
      </x:c>
      <x:c r="DS28" s="128" t="e">
        <x:f>'PROJECT TA Y TB KARINA'!$S24/8</x:f>
        <x:v>#REF!</x:v>
      </x:c>
      <x:c r="DT28" s="128" t="e">
        <x:f>'PROJECT TA Y TB KARINA'!$S24/8</x:f>
        <x:v>#REF!</x:v>
      </x:c>
      <x:c r="DU28" s="128" t="e">
        <x:f>'PROJECT TA Y TB KARINA'!$S24/8</x:f>
        <x:v>#REF!</x:v>
      </x:c>
      <x:c r="DV28" s="128" t="e">
        <x:f>'PROJECT TA Y TB KARINA'!$S24/8</x:f>
        <x:v>#REF!</x:v>
      </x:c>
      <x:c r="DW28" s="128" t="e">
        <x:f>'PROJECT TA Y TB KARINA'!$S24/8</x:f>
        <x:v>#REF!</x:v>
      </x:c>
      <x:c r="DX28" s="128" t="e">
        <x:f>'PROJECT TA Y TB KARINA'!$S24/8</x:f>
        <x:v>#REF!</x:v>
      </x:c>
      <x:c r="DY28" s="128" t="e">
        <x:f>'PROJECT TA Y TB KARINA'!$T24/8</x:f>
        <x:v>#REF!</x:v>
      </x:c>
      <x:c r="DZ28" s="128" t="e">
        <x:f>'PROJECT TA Y TB KARINA'!$T24/8</x:f>
        <x:v>#REF!</x:v>
      </x:c>
      <x:c r="EA28" s="128" t="e">
        <x:f>'PROJECT TA Y TB KARINA'!$T24/8</x:f>
        <x:v>#REF!</x:v>
      </x:c>
      <x:c r="EB28" s="128" t="e">
        <x:f>'PROJECT TA Y TB KARINA'!$T24/8</x:f>
        <x:v>#REF!</x:v>
      </x:c>
      <x:c r="EC28" s="128" t="e">
        <x:f>'PROJECT TA Y TB KARINA'!$T24/8</x:f>
        <x:v>#REF!</x:v>
      </x:c>
      <x:c r="ED28" s="128" t="e">
        <x:f>'PROJECT TA Y TB KARINA'!$T24/8</x:f>
        <x:v>#REF!</x:v>
      </x:c>
      <x:c r="EE28" s="128" t="e">
        <x:f>'PROJECT TA Y TB KARINA'!$T24/8</x:f>
        <x:v>#REF!</x:v>
      </x:c>
      <x:c r="EF28" s="128" t="e">
        <x:f>'PROJECT TA Y TB KARINA'!$T24/8</x:f>
        <x:v>#REF!</x:v>
      </x:c>
      <x:c r="EG28" s="128" t="e">
        <x:f>'PROJECT TA Y TB KARINA'!#REF!/8</x:f>
        <x:v>#NAME?</x:v>
      </x:c>
      <x:c r="EH28" s="128" t="e">
        <x:f>'PROJECT TA Y TB KARINA'!#REF!/8</x:f>
        <x:v>#NAME?</x:v>
      </x:c>
      <x:c r="EI28" s="128" t="e">
        <x:f>'PROJECT TA Y TB KARINA'!#REF!/8</x:f>
        <x:v>#NAME?</x:v>
      </x:c>
      <x:c r="EJ28" s="128" t="e">
        <x:f>'PROJECT TA Y TB KARINA'!#REF!/8</x:f>
        <x:v>#NAME?</x:v>
      </x:c>
      <x:c r="EK28" s="128" t="e">
        <x:f>'PROJECT TA Y TB KARINA'!#REF!/8</x:f>
        <x:v>#NAME?</x:v>
      </x:c>
      <x:c r="EL28" s="128" t="e">
        <x:f>'PROJECT TA Y TB KARINA'!#REF!/8</x:f>
        <x:v>#NAME?</x:v>
      </x:c>
      <x:c r="EM28" s="128" t="e">
        <x:f>'PROJECT TA Y TB KARINA'!#REF!/8</x:f>
        <x:v>#NAME?</x:v>
      </x:c>
      <x:c r="EN28" s="128" t="e">
        <x:f>'PROJECT TA Y TB KARINA'!#REF!/8</x:f>
        <x:v>#NAME?</x:v>
      </x:c>
      <x:c r="EO28" s="128" t="n">
        <x:f>'PROJECT TA Y TB KARINA'!$C82/8</x:f>
        <x:v>0</x:v>
      </x:c>
      <x:c r="EP28" s="128" t="n">
        <x:f>'PROJECT TA Y TB KARINA'!$C82/8</x:f>
        <x:v>0</x:v>
      </x:c>
      <x:c r="EQ28" s="128" t="n">
        <x:f>'PROJECT TA Y TB KARINA'!$C82/8</x:f>
        <x:v>0</x:v>
      </x:c>
      <x:c r="ER28" s="128" t="n">
        <x:f>'PROJECT TA Y TB KARINA'!$C82/8</x:f>
        <x:v>0</x:v>
      </x:c>
      <x:c r="ES28" s="128" t="n">
        <x:f>'PROJECT TA Y TB KARINA'!$C82/8</x:f>
        <x:v>0</x:v>
      </x:c>
      <x:c r="ET28" s="128" t="n">
        <x:f>'PROJECT TA Y TB KARINA'!$C82/8</x:f>
        <x:v>0</x:v>
      </x:c>
      <x:c r="EU28" s="128" t="n">
        <x:f>'PROJECT TA Y TB KARINA'!$C82/8</x:f>
        <x:v>0</x:v>
      </x:c>
      <x:c r="EV28" s="128" t="n">
        <x:f>'PROJECT TA Y TB KARINA'!$E82/8</x:f>
        <x:v>0</x:v>
      </x:c>
      <x:c r="EW28" s="128" t="n">
        <x:f>'PROJECT TA Y TB KARINA'!$E82/8</x:f>
        <x:v>0</x:v>
      </x:c>
      <x:c r="EX28" s="128" t="n">
        <x:f>'PROJECT TA Y TB KARINA'!$E82/8</x:f>
        <x:v>0</x:v>
      </x:c>
      <x:c r="EY28" s="128" t="n">
        <x:f>'PROJECT TA Y TB KARINA'!$E82/8</x:f>
        <x:v>0</x:v>
      </x:c>
      <x:c r="EZ28" s="128" t="n">
        <x:f>'PROJECT TA Y TB KARINA'!$E82/8</x:f>
        <x:v>0</x:v>
      </x:c>
      <x:c r="FA28" s="128" t="n">
        <x:f>'PROJECT TA Y TB KARINA'!$E82/8</x:f>
        <x:v>0</x:v>
      </x:c>
      <x:c r="FB28" s="128" t="n">
        <x:f>'PROJECT TA Y TB KARINA'!$E82/8</x:f>
        <x:v>0</x:v>
      </x:c>
      <x:c r="FC28" s="128" t="n">
        <x:f>'PROJECT TA Y TB KARINA'!$E82/8</x:f>
        <x:v>0</x:v>
      </x:c>
      <x:c r="FD28" s="128" t="n">
        <x:f>'PROJECT TA Y TB KARINA'!$F82/8</x:f>
        <x:v>0</x:v>
      </x:c>
      <x:c r="FE28" s="128" t="n">
        <x:f>'PROJECT TA Y TB KARINA'!$F82/8</x:f>
        <x:v>0</x:v>
      </x:c>
      <x:c r="FF28" s="128" t="n">
        <x:f>'PROJECT TA Y TB KARINA'!$F82/8</x:f>
        <x:v>0</x:v>
      </x:c>
      <x:c r="FG28" s="128" t="n">
        <x:f>'PROJECT TA Y TB KARINA'!$F82/8</x:f>
        <x:v>0</x:v>
      </x:c>
      <x:c r="FH28" s="128" t="n">
        <x:f>'PROJECT TA Y TB KARINA'!$F82/8</x:f>
        <x:v>0</x:v>
      </x:c>
      <x:c r="FI28" s="128" t="n">
        <x:f>'PROJECT TA Y TB KARINA'!$F82/8</x:f>
        <x:v>0</x:v>
      </x:c>
      <x:c r="FJ28" s="128" t="n">
        <x:f>'PROJECT TA Y TB KARINA'!$F82/8</x:f>
        <x:v>0</x:v>
      </x:c>
      <x:c r="FK28" s="128" t="n">
        <x:f>'PROJECT TA Y TB KARINA'!$F82/8</x:f>
        <x:v>0</x:v>
      </x:c>
      <x:c r="FL28" s="128" t="n">
        <x:f>'PROJECT TA Y TB KARINA'!$G82/8</x:f>
        <x:v>0</x:v>
      </x:c>
      <x:c r="FM28" s="128" t="n">
        <x:f>'PROJECT TA Y TB KARINA'!$G82/8</x:f>
        <x:v>0</x:v>
      </x:c>
      <x:c r="FN28" s="128" t="n">
        <x:f>'PROJECT TA Y TB KARINA'!$G82/8</x:f>
        <x:v>0</x:v>
      </x:c>
      <x:c r="FO28" s="128" t="n">
        <x:f>'PROJECT TA Y TB KARINA'!$G82/8</x:f>
        <x:v>0</x:v>
      </x:c>
      <x:c r="FP28" s="128" t="n">
        <x:f>'PROJECT TA Y TB KARINA'!$G82/8</x:f>
        <x:v>0</x:v>
      </x:c>
      <x:c r="FQ28" s="128" t="n">
        <x:f>'PROJECT TA Y TB KARINA'!$G82/8</x:f>
        <x:v>0</x:v>
      </x:c>
      <x:c r="FR28" s="128" t="n">
        <x:f>'PROJECT TA Y TB KARINA'!$G82/8</x:f>
        <x:v>0</x:v>
      </x:c>
      <x:c r="FS28" s="128" t="n">
        <x:f>'PROJECT TA Y TB KARINA'!$G82/8</x:f>
        <x:v>0</x:v>
      </x:c>
      <x:c r="FT28" s="128" t="n">
        <x:f>'PROJECT TA Y TB KARINA'!$H82/8</x:f>
        <x:v>0</x:v>
      </x:c>
      <x:c r="FU28" s="128" t="n">
        <x:f>'PROJECT TA Y TB KARINA'!$H82/8</x:f>
        <x:v>0</x:v>
      </x:c>
      <x:c r="FV28" s="128" t="n">
        <x:f>'PROJECT TA Y TB KARINA'!$H82/8</x:f>
        <x:v>0</x:v>
      </x:c>
      <x:c r="FW28" s="128" t="n">
        <x:f>'PROJECT TA Y TB KARINA'!$H82/8</x:f>
        <x:v>0</x:v>
      </x:c>
      <x:c r="FX28" s="128" t="n">
        <x:f>'PROJECT TA Y TB KARINA'!$H82/8</x:f>
        <x:v>0</x:v>
      </x:c>
      <x:c r="FY28" s="128" t="n">
        <x:f>'PROJECT TA Y TB KARINA'!$H82/8</x:f>
        <x:v>0</x:v>
      </x:c>
      <x:c r="FZ28" s="128" t="n">
        <x:f>'PROJECT TA Y TB KARINA'!$H82/8</x:f>
        <x:v>0</x:v>
      </x:c>
      <x:c r="GA28" s="128" t="n">
        <x:f>'PROJECT TA Y TB KARINA'!$H82/8</x:f>
        <x:v>0</x:v>
      </x:c>
      <x:c r="GB28" s="128" t="n">
        <x:f>'PROJECT TA Y TB KARINA'!$I82/8</x:f>
        <x:v>0</x:v>
      </x:c>
      <x:c r="GC28" s="128" t="n">
        <x:f>'PROJECT TA Y TB KARINA'!$I82/8</x:f>
        <x:v>0</x:v>
      </x:c>
      <x:c r="GD28" s="128" t="n">
        <x:f>'PROJECT TA Y TB KARINA'!$I82/8</x:f>
        <x:v>0</x:v>
      </x:c>
      <x:c r="GE28" s="128" t="n">
        <x:f>'PROJECT TA Y TB KARINA'!$I82/8</x:f>
        <x:v>0</x:v>
      </x:c>
      <x:c r="GF28" s="128" t="n">
        <x:f>'PROJECT TA Y TB KARINA'!$I82/8</x:f>
        <x:v>0</x:v>
      </x:c>
      <x:c r="GG28" s="128" t="n">
        <x:f>'PROJECT TA Y TB KARINA'!$I82/8</x:f>
        <x:v>0</x:v>
      </x:c>
      <x:c r="GH28" s="128" t="n">
        <x:f>'PROJECT TA Y TB KARINA'!$I82/8</x:f>
        <x:v>0</x:v>
      </x:c>
      <x:c r="GI28" s="128" t="n">
        <x:f>'PROJECT TA Y TB KARINA'!$I82/8</x:f>
        <x:v>0</x:v>
      </x:c>
      <x:c r="GJ28" s="128" t="n">
        <x:f>'PROJECT TA Y TB KARINA'!$J82/8</x:f>
        <x:v>0</x:v>
      </x:c>
      <x:c r="GK28" s="128" t="n">
        <x:f>'PROJECT TA Y TB KARINA'!$J82/8</x:f>
        <x:v>0</x:v>
      </x:c>
      <x:c r="GL28" s="128" t="n">
        <x:f>'PROJECT TA Y TB KARINA'!$J82/8</x:f>
        <x:v>0</x:v>
      </x:c>
      <x:c r="GM28" s="128" t="n">
        <x:f>'PROJECT TA Y TB KARINA'!$J82/8</x:f>
        <x:v>0</x:v>
      </x:c>
      <x:c r="GN28" s="128" t="n">
        <x:f>'PROJECT TA Y TB KARINA'!$J82/8</x:f>
        <x:v>0</x:v>
      </x:c>
      <x:c r="GO28" s="128" t="n">
        <x:f>'PROJECT TA Y TB KARINA'!$J82/8</x:f>
        <x:v>0</x:v>
      </x:c>
      <x:c r="GP28" s="128" t="n">
        <x:f>'PROJECT TA Y TB KARINA'!$J82/8</x:f>
        <x:v>0</x:v>
      </x:c>
      <x:c r="GQ28" s="128" t="n">
        <x:f>'PROJECT TA Y TB KARINA'!$J82/8</x:f>
        <x:v>0</x:v>
      </x:c>
      <x:c r="GR28" s="128" t="n">
        <x:f>'PROJECT TA Y TB KARINA'!$K82/8</x:f>
        <x:v>0</x:v>
      </x:c>
      <x:c r="GS28" s="128" t="n">
        <x:f>'PROJECT TA Y TB KARINA'!$K82/8</x:f>
        <x:v>0</x:v>
      </x:c>
      <x:c r="GT28" s="128" t="n">
        <x:f>'PROJECT TA Y TB KARINA'!$K82/8</x:f>
        <x:v>0</x:v>
      </x:c>
      <x:c r="GU28" s="128" t="n">
        <x:f>'PROJECT TA Y TB KARINA'!$K82/8</x:f>
        <x:v>0</x:v>
      </x:c>
      <x:c r="GV28" s="128" t="n">
        <x:f>'PROJECT TA Y TB KARINA'!$K82/8</x:f>
        <x:v>0</x:v>
      </x:c>
      <x:c r="GW28" s="128" t="n">
        <x:f>'PROJECT TA Y TB KARINA'!$K82/8</x:f>
        <x:v>0</x:v>
      </x:c>
      <x:c r="GX28" s="128" t="n">
        <x:f>'PROJECT TA Y TB KARINA'!$K82/8</x:f>
        <x:v>0</x:v>
      </x:c>
      <x:c r="GY28" s="128" t="n">
        <x:f>'PROJECT TA Y TB KARINA'!$K82/8</x:f>
        <x:v>0</x:v>
      </x:c>
      <x:c r="GZ28" s="128" t="n">
        <x:f>'PROJECT TA Y TB KARINA'!$L82/8</x:f>
        <x:v>0</x:v>
      </x:c>
      <x:c r="HA28" s="128" t="n">
        <x:f>'PROJECT TA Y TB KARINA'!$L82/8</x:f>
        <x:v>0</x:v>
      </x:c>
      <x:c r="HB28" s="128" t="n">
        <x:f>'PROJECT TA Y TB KARINA'!$L82/8</x:f>
        <x:v>0</x:v>
      </x:c>
      <x:c r="HC28" s="128" t="n">
        <x:f>'PROJECT TA Y TB KARINA'!$L82/8</x:f>
        <x:v>0</x:v>
      </x:c>
      <x:c r="HD28" s="128" t="n">
        <x:f>'PROJECT TA Y TB KARINA'!$L82/8</x:f>
        <x:v>0</x:v>
      </x:c>
      <x:c r="HE28" s="128" t="n">
        <x:f>'PROJECT TA Y TB KARINA'!$L82/8</x:f>
        <x:v>0</x:v>
      </x:c>
      <x:c r="HF28" s="128" t="n">
        <x:f>'PROJECT TA Y TB KARINA'!$L82/8</x:f>
        <x:v>0</x:v>
      </x:c>
      <x:c r="HG28" s="128" t="n">
        <x:f>'PROJECT TA Y TB KARINA'!$L82/8</x:f>
        <x:v>0</x:v>
      </x:c>
      <x:c r="HH28" s="128" t="n">
        <x:f>'PROJECT TA Y TB KARINA'!$M82/8</x:f>
        <x:v>0</x:v>
      </x:c>
      <x:c r="HI28" s="128" t="n">
        <x:f>'PROJECT TA Y TB KARINA'!$M82/8</x:f>
        <x:v>0</x:v>
      </x:c>
      <x:c r="HJ28" s="128" t="n">
        <x:f>'PROJECT TA Y TB KARINA'!$M82/8</x:f>
        <x:v>0</x:v>
      </x:c>
      <x:c r="HK28" s="128" t="n">
        <x:f>'PROJECT TA Y TB KARINA'!$M82/8</x:f>
        <x:v>0</x:v>
      </x:c>
      <x:c r="HL28" s="128" t="n">
        <x:f>'PROJECT TA Y TB KARINA'!$M82/8</x:f>
        <x:v>0</x:v>
      </x:c>
      <x:c r="HM28" s="128" t="n">
        <x:f>'PROJECT TA Y TB KARINA'!$M82/8</x:f>
        <x:v>0</x:v>
      </x:c>
      <x:c r="HN28" s="128" t="n">
        <x:f>'PROJECT TA Y TB KARINA'!$M82/8</x:f>
        <x:v>0</x:v>
      </x:c>
      <x:c r="HO28" s="128" t="n">
        <x:f>'PROJECT TA Y TB KARINA'!$M82/8</x:f>
        <x:v>0</x:v>
      </x:c>
      <x:c r="HP28" s="128" t="n">
        <x:f>'PROJECT TA Y TB KARINA'!$N82/8</x:f>
        <x:v>0</x:v>
      </x:c>
      <x:c r="HQ28" s="128" t="n">
        <x:f>'PROJECT TA Y TB KARINA'!$N82/8</x:f>
        <x:v>0</x:v>
      </x:c>
      <x:c r="HR28" s="128" t="n">
        <x:f>'PROJECT TA Y TB KARINA'!$N82/8</x:f>
        <x:v>0</x:v>
      </x:c>
      <x:c r="HS28" s="128" t="n">
        <x:f>'PROJECT TA Y TB KARINA'!$N82/8</x:f>
        <x:v>0</x:v>
      </x:c>
      <x:c r="HT28" s="128" t="n">
        <x:f>'PROJECT TA Y TB KARINA'!$N82/8</x:f>
        <x:v>0</x:v>
      </x:c>
      <x:c r="HU28" s="128" t="n">
        <x:f>'PROJECT TA Y TB KARINA'!$N82/8</x:f>
        <x:v>0</x:v>
      </x:c>
      <x:c r="HV28" s="128" t="n">
        <x:f>'PROJECT TA Y TB KARINA'!$N82/8</x:f>
        <x:v>0</x:v>
      </x:c>
      <x:c r="HW28" s="128" t="n">
        <x:f>'PROJECT TA Y TB KARINA'!$N82/8</x:f>
        <x:v>0</x:v>
      </x:c>
      <x:c r="HX28" s="128" t="n">
        <x:f>'PROJECT TA Y TB KARINA'!$O82/8</x:f>
        <x:v>0</x:v>
      </x:c>
      <x:c r="HY28" s="128" t="n">
        <x:f>'PROJECT TA Y TB KARINA'!$O82/8</x:f>
        <x:v>0</x:v>
      </x:c>
      <x:c r="HZ28" s="128" t="n">
        <x:f>'PROJECT TA Y TB KARINA'!$O82/8</x:f>
        <x:v>0</x:v>
      </x:c>
      <x:c r="IA28" s="128" t="n">
        <x:f>'PROJECT TA Y TB KARINA'!$O82/8</x:f>
        <x:v>0</x:v>
      </x:c>
      <x:c r="IB28" s="128" t="n">
        <x:f>'PROJECT TA Y TB KARINA'!$O82/8</x:f>
        <x:v>0</x:v>
      </x:c>
      <x:c r="IC28" s="128" t="n">
        <x:f>'PROJECT TA Y TB KARINA'!$O82/8</x:f>
        <x:v>0</x:v>
      </x:c>
      <x:c r="ID28" s="128" t="n">
        <x:f>'PROJECT TA Y TB KARINA'!$O82/8</x:f>
        <x:v>0</x:v>
      </x:c>
      <x:c r="IE28" s="128" t="n">
        <x:f>'PROJECT TA Y TB KARINA'!$O82/8</x:f>
        <x:v>0</x:v>
      </x:c>
      <x:c r="IF28" s="128" t="n">
        <x:f>'PROJECT TA Y TB KARINA'!$P82/8</x:f>
        <x:v>0</x:v>
      </x:c>
      <x:c r="IG28" s="128" t="n">
        <x:f>'PROJECT TA Y TB KARINA'!$P82/8</x:f>
        <x:v>0</x:v>
      </x:c>
      <x:c r="IH28" s="128" t="n">
        <x:f>'PROJECT TA Y TB KARINA'!$P82/8</x:f>
        <x:v>0</x:v>
      </x:c>
      <x:c r="II28" s="128" t="n">
        <x:f>'PROJECT TA Y TB KARINA'!$P82/8</x:f>
        <x:v>0</x:v>
      </x:c>
      <x:c r="IJ28" s="128" t="n">
        <x:f>'PROJECT TA Y TB KARINA'!$P82/8</x:f>
        <x:v>0</x:v>
      </x:c>
      <x:c r="IK28" s="128" t="n">
        <x:f>'PROJECT TA Y TB KARINA'!$P82/8</x:f>
        <x:v>0</x:v>
      </x:c>
      <x:c r="IL28" s="128" t="n">
        <x:f>'PROJECT TA Y TB KARINA'!$P82/8</x:f>
        <x:v>0</x:v>
      </x:c>
      <x:c r="IM28" s="128" t="n">
        <x:f>'PROJECT TA Y TB KARINA'!$P82/8</x:f>
        <x:v>0</x:v>
      </x:c>
      <x:c r="IN28" s="128" t="n">
        <x:f>'PROJECT TA Y TB KARINA'!$Q82/8</x:f>
        <x:v>0</x:v>
      </x:c>
      <x:c r="IO28" s="128" t="n">
        <x:f>'PROJECT TA Y TB KARINA'!$Q82/8</x:f>
        <x:v>0</x:v>
      </x:c>
      <x:c r="IP28" s="128" t="n">
        <x:f>'PROJECT TA Y TB KARINA'!$Q82/8</x:f>
        <x:v>0</x:v>
      </x:c>
      <x:c r="IQ28" s="128" t="n">
        <x:f>'PROJECT TA Y TB KARINA'!$Q82/8</x:f>
        <x:v>0</x:v>
      </x:c>
      <x:c r="IR28" s="128" t="n">
        <x:f>'PROJECT TA Y TB KARINA'!$Q82/8</x:f>
        <x:v>0</x:v>
      </x:c>
      <x:c r="IS28" s="128" t="n">
        <x:f>'PROJECT TA Y TB KARINA'!$Q82/8</x:f>
        <x:v>0</x:v>
      </x:c>
      <x:c r="IT28" s="128" t="n">
        <x:f>'PROJECT TA Y TB KARINA'!$Q82/8</x:f>
        <x:v>0</x:v>
      </x:c>
      <x:c r="IU28" s="128" t="n">
        <x:f>'PROJECT TA Y TB KARINA'!$Q82/8</x:f>
        <x:v>0</x:v>
      </x:c>
      <x:c r="IV28" s="128" t="n">
        <x:f>'PROJECT TA Y TB KARINA'!$R82/8</x:f>
        <x:v>0</x:v>
      </x:c>
      <x:c r="IW28" s="128" t="n">
        <x:f>'PROJECT TA Y TB KARINA'!$R82/8</x:f>
        <x:v>0</x:v>
      </x:c>
      <x:c r="IX28" s="128" t="n">
        <x:f>'PROJECT TA Y TB KARINA'!$R82/8</x:f>
        <x:v>0</x:v>
      </x:c>
      <x:c r="IY28" s="128" t="n">
        <x:f>'PROJECT TA Y TB KARINA'!$R82/8</x:f>
        <x:v>0</x:v>
      </x:c>
      <x:c r="IZ28" s="128" t="n">
        <x:f>'PROJECT TA Y TB KARINA'!$R82/8</x:f>
        <x:v>0</x:v>
      </x:c>
      <x:c r="JA28" s="128" t="n">
        <x:f>'PROJECT TA Y TB KARINA'!$R82/8</x:f>
        <x:v>0</x:v>
      </x:c>
      <x:c r="JB28" s="128" t="n">
        <x:f>'PROJECT TA Y TB KARINA'!$R82/8</x:f>
        <x:v>0</x:v>
      </x:c>
      <x:c r="JC28" s="128" t="n">
        <x:f>'PROJECT TA Y TB KARINA'!$R82/8</x:f>
        <x:v>0</x:v>
      </x:c>
      <x:c r="JD28" s="128" t="n">
        <x:f>'PROJECT TA Y TB KARINA'!$S82/8</x:f>
        <x:v>0</x:v>
      </x:c>
      <x:c r="JE28" s="128" t="n">
        <x:f>'PROJECT TA Y TB KARINA'!$S82/8</x:f>
        <x:v>0</x:v>
      </x:c>
      <x:c r="JF28" s="128" t="n">
        <x:f>'PROJECT TA Y TB KARINA'!$S82/8</x:f>
        <x:v>0</x:v>
      </x:c>
      <x:c r="JG28" s="128" t="n">
        <x:f>'PROJECT TA Y TB KARINA'!$S82/8</x:f>
        <x:v>0</x:v>
      </x:c>
      <x:c r="JH28" s="128" t="n">
        <x:f>'PROJECT TA Y TB KARINA'!$S82/8</x:f>
        <x:v>0</x:v>
      </x:c>
      <x:c r="JI28" s="128" t="n">
        <x:f>'PROJECT TA Y TB KARINA'!$S82/8</x:f>
        <x:v>0</x:v>
      </x:c>
      <x:c r="JJ28" s="128" t="n">
        <x:f>'PROJECT TA Y TB KARINA'!$S82/8</x:f>
        <x:v>0</x:v>
      </x:c>
      <x:c r="JK28" s="128" t="n">
        <x:f>'PROJECT TA Y TB KARINA'!$S82/8</x:f>
        <x:v>0</x:v>
      </x:c>
      <x:c r="JL28" s="128" t="n">
        <x:f>'PROJECT TA Y TB KARINA'!$T82/8</x:f>
        <x:v>0</x:v>
      </x:c>
      <x:c r="JM28" s="128" t="n">
        <x:f>'PROJECT TA Y TB KARINA'!$T82/8</x:f>
        <x:v>0</x:v>
      </x:c>
      <x:c r="JN28" s="128" t="n">
        <x:f>'PROJECT TA Y TB KARINA'!$T82/8</x:f>
        <x:v>0</x:v>
      </x:c>
      <x:c r="JO28" s="128" t="n">
        <x:f>'PROJECT TA Y TB KARINA'!$T82/8</x:f>
        <x:v>0</x:v>
      </x:c>
      <x:c r="JP28" s="128" t="n">
        <x:f>'PROJECT TA Y TB KARINA'!$T82/8</x:f>
        <x:v>0</x:v>
      </x:c>
      <x:c r="JQ28" s="128" t="n">
        <x:f>'PROJECT TA Y TB KARINA'!$T82/8</x:f>
        <x:v>0</x:v>
      </x:c>
      <x:c r="JR28" s="128" t="n">
        <x:f>'PROJECT TA Y TB KARINA'!$T82/8</x:f>
        <x:v>0</x:v>
      </x:c>
      <x:c r="JS28" s="128" t="n">
        <x:f>'PROJECT TA Y TB KARINA'!$T82/8</x:f>
        <x:v>0</x:v>
      </x:c>
      <x:c r="JT28" s="128" t="e">
        <x:f>'PROJECT TA Y TB KARINA'!#REF!/8</x:f>
        <x:v>#NAME?</x:v>
      </x:c>
      <x:c r="JU28" s="128" t="e">
        <x:f>'PROJECT TA Y TB KARINA'!#REF!/8</x:f>
        <x:v>#NAME?</x:v>
      </x:c>
      <x:c r="JV28" s="128" t="e">
        <x:f>'PROJECT TA Y TB KARINA'!#REF!/8</x:f>
        <x:v>#NAME?</x:v>
      </x:c>
      <x:c r="JW28" s="128" t="e">
        <x:f>'PROJECT TA Y TB KARINA'!#REF!/8</x:f>
        <x:v>#NAME?</x:v>
      </x:c>
      <x:c r="JX28" s="128" t="e">
        <x:f>'PROJECT TA Y TB KARINA'!#REF!/8</x:f>
        <x:v>#NAME?</x:v>
      </x:c>
      <x:c r="JY28" s="128" t="e">
        <x:f>'PROJECT TA Y TB KARINA'!#REF!/8</x:f>
        <x:v>#NAME?</x:v>
      </x:c>
      <x:c r="JZ28" s="128" t="e">
        <x:f>'PROJECT TA Y TB KARINA'!#REF!/8</x:f>
        <x:v>#NAME?</x:v>
      </x:c>
      <x:c r="KA28" s="128" t="e">
        <x:f>'PROJECT TA Y TB KARINA'!#REF!/8</x:f>
        <x:v>#NAME?</x:v>
      </x:c>
    </x:row>
    <x:row r="29" ht="21">
      <x:c r="A29" s="131" t="s">
        <x:v>514</x:v>
      </x:c>
      <x:c r="B29" s="128" t="e">
        <x:f>'PROJECT TA Y TB KARINA'!$C$25/8</x:f>
        <x:v>#REF!</x:v>
      </x:c>
      <x:c r="C29" s="128" t="e">
        <x:f>'PROJECT TA Y TB KARINA'!$C$25/8</x:f>
        <x:v>#REF!</x:v>
      </x:c>
      <x:c r="D29" s="128" t="e">
        <x:f>'PROJECT TA Y TB KARINA'!$C$25/8</x:f>
        <x:v>#REF!</x:v>
      </x:c>
      <x:c r="E29" s="128" t="e">
        <x:f>'PROJECT TA Y TB KARINA'!$C$25/8</x:f>
        <x:v>#REF!</x:v>
      </x:c>
      <x:c r="F29" s="128" t="e">
        <x:f>'PROJECT TA Y TB KARINA'!$C$25/8</x:f>
        <x:v>#REF!</x:v>
      </x:c>
      <x:c r="G29" s="128" t="e">
        <x:f>'PROJECT TA Y TB KARINA'!$C$25/8</x:f>
        <x:v>#REF!</x:v>
      </x:c>
      <x:c r="H29" s="128" t="e">
        <x:f>'PROJECT TA Y TB KARINA'!$C$25/8</x:f>
        <x:v>#REF!</x:v>
      </x:c>
      <x:c r="I29" s="128" t="e">
        <x:f>'PROJECT TA Y TB KARINA'!$E25/8</x:f>
        <x:v>#REF!</x:v>
      </x:c>
      <x:c r="J29" s="128" t="e">
        <x:f>'PROJECT TA Y TB KARINA'!$E25/8</x:f>
        <x:v>#REF!</x:v>
      </x:c>
      <x:c r="K29" s="128" t="e">
        <x:f>'PROJECT TA Y TB KARINA'!$E25/8</x:f>
        <x:v>#REF!</x:v>
      </x:c>
      <x:c r="L29" s="128" t="e">
        <x:f>'PROJECT TA Y TB KARINA'!$E25/8</x:f>
        <x:v>#REF!</x:v>
      </x:c>
      <x:c r="M29" s="128" t="e">
        <x:f>'PROJECT TA Y TB KARINA'!$E25/8</x:f>
        <x:v>#REF!</x:v>
      </x:c>
      <x:c r="N29" s="128" t="e">
        <x:f>'PROJECT TA Y TB KARINA'!$E25/8</x:f>
        <x:v>#REF!</x:v>
      </x:c>
      <x:c r="O29" s="128" t="e">
        <x:f>'PROJECT TA Y TB KARINA'!$E25/8</x:f>
        <x:v>#REF!</x:v>
      </x:c>
      <x:c r="P29" s="128" t="e">
        <x:f>'PROJECT TA Y TB KARINA'!$E25/8</x:f>
        <x:v>#REF!</x:v>
      </x:c>
      <x:c r="Q29" s="128" t="e">
        <x:f>'PROJECT TA Y TB KARINA'!$F25/8</x:f>
        <x:v>#REF!</x:v>
      </x:c>
      <x:c r="R29" s="128" t="e">
        <x:f>'PROJECT TA Y TB KARINA'!$F25/8</x:f>
        <x:v>#REF!</x:v>
      </x:c>
      <x:c r="S29" s="128" t="e">
        <x:f>'PROJECT TA Y TB KARINA'!$F25/8</x:f>
        <x:v>#REF!</x:v>
      </x:c>
      <x:c r="T29" s="128" t="e">
        <x:f>'PROJECT TA Y TB KARINA'!$F25/8</x:f>
        <x:v>#REF!</x:v>
      </x:c>
      <x:c r="U29" s="128" t="e">
        <x:f>'PROJECT TA Y TB KARINA'!$F25/8</x:f>
        <x:v>#REF!</x:v>
      </x:c>
      <x:c r="V29" s="128" t="e">
        <x:f>'PROJECT TA Y TB KARINA'!$F25/8</x:f>
        <x:v>#REF!</x:v>
      </x:c>
      <x:c r="W29" s="128" t="e">
        <x:f>'PROJECT TA Y TB KARINA'!$F25/8</x:f>
        <x:v>#REF!</x:v>
      </x:c>
      <x:c r="X29" s="128" t="e">
        <x:f>'PROJECT TA Y TB KARINA'!$F25/8</x:f>
        <x:v>#REF!</x:v>
      </x:c>
      <x:c r="Y29" s="128" t="e">
        <x:f>'PROJECT TA Y TB KARINA'!$G25/8</x:f>
        <x:v>#REF!</x:v>
      </x:c>
      <x:c r="Z29" s="128" t="e">
        <x:f>'PROJECT TA Y TB KARINA'!$G25/8</x:f>
        <x:v>#REF!</x:v>
      </x:c>
      <x:c r="AA29" s="128" t="e">
        <x:f>'PROJECT TA Y TB KARINA'!$G25/8</x:f>
        <x:v>#REF!</x:v>
      </x:c>
      <x:c r="AB29" s="128" t="e">
        <x:f>'PROJECT TA Y TB KARINA'!$G25/8</x:f>
        <x:v>#REF!</x:v>
      </x:c>
      <x:c r="AC29" s="128" t="e">
        <x:f>'PROJECT TA Y TB KARINA'!$G25/8</x:f>
        <x:v>#REF!</x:v>
      </x:c>
      <x:c r="AD29" s="128" t="e">
        <x:f>'PROJECT TA Y TB KARINA'!$G25/8</x:f>
        <x:v>#REF!</x:v>
      </x:c>
      <x:c r="AE29" s="128" t="e">
        <x:f>'PROJECT TA Y TB KARINA'!$G25/8</x:f>
        <x:v>#REF!</x:v>
      </x:c>
      <x:c r="AF29" s="128" t="e">
        <x:f>'PROJECT TA Y TB KARINA'!$G25/8</x:f>
        <x:v>#REF!</x:v>
      </x:c>
      <x:c r="AG29" s="128" t="e">
        <x:f>'PROJECT TA Y TB KARINA'!$H25/8</x:f>
        <x:v>#REF!</x:v>
      </x:c>
      <x:c r="AH29" s="128" t="e">
        <x:f>'PROJECT TA Y TB KARINA'!$H25/8</x:f>
        <x:v>#REF!</x:v>
      </x:c>
      <x:c r="AI29" s="128" t="e">
        <x:f>'PROJECT TA Y TB KARINA'!$H25/8</x:f>
        <x:v>#REF!</x:v>
      </x:c>
      <x:c r="AJ29" s="128" t="e">
        <x:f>'PROJECT TA Y TB KARINA'!$H25/8</x:f>
        <x:v>#REF!</x:v>
      </x:c>
      <x:c r="AK29" s="128" t="e">
        <x:f>'PROJECT TA Y TB KARINA'!$H25/8</x:f>
        <x:v>#REF!</x:v>
      </x:c>
      <x:c r="AL29" s="128" t="e">
        <x:f>'PROJECT TA Y TB KARINA'!$H25/8</x:f>
        <x:v>#REF!</x:v>
      </x:c>
      <x:c r="AM29" s="128" t="e">
        <x:f>'PROJECT TA Y TB KARINA'!$H25/8</x:f>
        <x:v>#REF!</x:v>
      </x:c>
      <x:c r="AN29" s="128" t="e">
        <x:f>'PROJECT TA Y TB KARINA'!$H25/8</x:f>
        <x:v>#REF!</x:v>
      </x:c>
      <x:c r="AO29" s="128" t="e">
        <x:f>'PROJECT TA Y TB KARINA'!$I25/8</x:f>
        <x:v>#REF!</x:v>
      </x:c>
      <x:c r="AP29" s="128" t="e">
        <x:f>'PROJECT TA Y TB KARINA'!$I25/8</x:f>
        <x:v>#REF!</x:v>
      </x:c>
      <x:c r="AQ29" s="128" t="e">
        <x:f>'PROJECT TA Y TB KARINA'!$I25/8</x:f>
        <x:v>#REF!</x:v>
      </x:c>
      <x:c r="AR29" s="128" t="e">
        <x:f>'PROJECT TA Y TB KARINA'!$I25/8</x:f>
        <x:v>#REF!</x:v>
      </x:c>
      <x:c r="AS29" s="128" t="e">
        <x:f>'PROJECT TA Y TB KARINA'!$I25/8</x:f>
        <x:v>#REF!</x:v>
      </x:c>
      <x:c r="AT29" s="128" t="e">
        <x:f>'PROJECT TA Y TB KARINA'!$I25/8</x:f>
        <x:v>#REF!</x:v>
      </x:c>
      <x:c r="AU29" s="128" t="e">
        <x:f>'PROJECT TA Y TB KARINA'!$I25/8</x:f>
        <x:v>#REF!</x:v>
      </x:c>
      <x:c r="AV29" s="128" t="e">
        <x:f>'PROJECT TA Y TB KARINA'!$I25/8</x:f>
        <x:v>#REF!</x:v>
      </x:c>
      <x:c r="AW29" s="128" t="e">
        <x:f>'PROJECT TA Y TB KARINA'!$J25/8</x:f>
        <x:v>#REF!</x:v>
      </x:c>
      <x:c r="AX29" s="128" t="e">
        <x:f>'PROJECT TA Y TB KARINA'!$J25/8</x:f>
        <x:v>#REF!</x:v>
      </x:c>
      <x:c r="AY29" s="128" t="e">
        <x:f>'PROJECT TA Y TB KARINA'!$J25/8</x:f>
        <x:v>#REF!</x:v>
      </x:c>
      <x:c r="AZ29" s="128" t="e">
        <x:f>'PROJECT TA Y TB KARINA'!$J25/8</x:f>
        <x:v>#REF!</x:v>
      </x:c>
      <x:c r="BA29" s="128" t="e">
        <x:f>'PROJECT TA Y TB KARINA'!$J25/8</x:f>
        <x:v>#REF!</x:v>
      </x:c>
      <x:c r="BB29" s="128" t="e">
        <x:f>'PROJECT TA Y TB KARINA'!$J25/8</x:f>
        <x:v>#REF!</x:v>
      </x:c>
      <x:c r="BC29" s="128" t="e">
        <x:f>'PROJECT TA Y TB KARINA'!$J25/8</x:f>
        <x:v>#REF!</x:v>
      </x:c>
      <x:c r="BD29" s="128" t="e">
        <x:f>'PROJECT TA Y TB KARINA'!$J25/8</x:f>
        <x:v>#REF!</x:v>
      </x:c>
      <x:c r="BE29" s="128" t="e">
        <x:f>'PROJECT TA Y TB KARINA'!$K25/8</x:f>
        <x:v>#REF!</x:v>
      </x:c>
      <x:c r="BF29" s="128" t="e">
        <x:f>'PROJECT TA Y TB KARINA'!$K25/8</x:f>
        <x:v>#REF!</x:v>
      </x:c>
      <x:c r="BG29" s="128" t="e">
        <x:f>'PROJECT TA Y TB KARINA'!$K25/8</x:f>
        <x:v>#REF!</x:v>
      </x:c>
      <x:c r="BH29" s="128" t="e">
        <x:f>'PROJECT TA Y TB KARINA'!$K25/8</x:f>
        <x:v>#REF!</x:v>
      </x:c>
      <x:c r="BI29" s="128" t="e">
        <x:f>'PROJECT TA Y TB KARINA'!$K25/8</x:f>
        <x:v>#REF!</x:v>
      </x:c>
      <x:c r="BJ29" s="128" t="e">
        <x:f>'PROJECT TA Y TB KARINA'!$K25/8</x:f>
        <x:v>#REF!</x:v>
      </x:c>
      <x:c r="BK29" s="128" t="e">
        <x:f>'PROJECT TA Y TB KARINA'!$K25/8</x:f>
        <x:v>#REF!</x:v>
      </x:c>
      <x:c r="BL29" s="128" t="e">
        <x:f>'PROJECT TA Y TB KARINA'!$K25/8</x:f>
        <x:v>#REF!</x:v>
      </x:c>
      <x:c r="BM29" s="128" t="e">
        <x:f>'PROJECT TA Y TB KARINA'!$L25/8</x:f>
        <x:v>#REF!</x:v>
      </x:c>
      <x:c r="BN29" s="128" t="e">
        <x:f>'PROJECT TA Y TB KARINA'!$L25/8</x:f>
        <x:v>#REF!</x:v>
      </x:c>
      <x:c r="BO29" s="128" t="e">
        <x:f>'PROJECT TA Y TB KARINA'!$L25/8</x:f>
        <x:v>#REF!</x:v>
      </x:c>
      <x:c r="BP29" s="128" t="e">
        <x:f>'PROJECT TA Y TB KARINA'!$L25/8</x:f>
        <x:v>#REF!</x:v>
      </x:c>
      <x:c r="BQ29" s="128" t="e">
        <x:f>'PROJECT TA Y TB KARINA'!$L25/8</x:f>
        <x:v>#REF!</x:v>
      </x:c>
      <x:c r="BR29" s="128" t="e">
        <x:f>'PROJECT TA Y TB KARINA'!$L25/8</x:f>
        <x:v>#REF!</x:v>
      </x:c>
      <x:c r="BS29" s="128" t="e">
        <x:f>'PROJECT TA Y TB KARINA'!$L25/8</x:f>
        <x:v>#REF!</x:v>
      </x:c>
      <x:c r="BT29" s="128" t="e">
        <x:f>'PROJECT TA Y TB KARINA'!$L25/8</x:f>
        <x:v>#REF!</x:v>
      </x:c>
      <x:c r="BU29" s="128" t="e">
        <x:f>'PROJECT TA Y TB KARINA'!$M25/8</x:f>
        <x:v>#REF!</x:v>
      </x:c>
      <x:c r="BV29" s="128" t="e">
        <x:f>'PROJECT TA Y TB KARINA'!$M25/8</x:f>
        <x:v>#REF!</x:v>
      </x:c>
      <x:c r="BW29" s="128" t="e">
        <x:f>'PROJECT TA Y TB KARINA'!$M25/8</x:f>
        <x:v>#REF!</x:v>
      </x:c>
      <x:c r="BX29" s="128" t="e">
        <x:f>'PROJECT TA Y TB KARINA'!$M25/8</x:f>
        <x:v>#REF!</x:v>
      </x:c>
      <x:c r="BY29" s="128" t="e">
        <x:f>'PROJECT TA Y TB KARINA'!$M25/8</x:f>
        <x:v>#REF!</x:v>
      </x:c>
      <x:c r="BZ29" s="128" t="e">
        <x:f>'PROJECT TA Y TB KARINA'!$M25/8</x:f>
        <x:v>#REF!</x:v>
      </x:c>
      <x:c r="CA29" s="128" t="e">
        <x:f>'PROJECT TA Y TB KARINA'!$M25/8</x:f>
        <x:v>#REF!</x:v>
      </x:c>
      <x:c r="CB29" s="128" t="e">
        <x:f>'PROJECT TA Y TB KARINA'!$M25/8</x:f>
        <x:v>#REF!</x:v>
      </x:c>
      <x:c r="CC29" s="128" t="e">
        <x:f>'PROJECT TA Y TB KARINA'!$N25/8</x:f>
        <x:v>#REF!</x:v>
      </x:c>
      <x:c r="CD29" s="128" t="e">
        <x:f>'PROJECT TA Y TB KARINA'!$N25/8</x:f>
        <x:v>#REF!</x:v>
      </x:c>
      <x:c r="CE29" s="128" t="e">
        <x:f>'PROJECT TA Y TB KARINA'!$N25/8</x:f>
        <x:v>#REF!</x:v>
      </x:c>
      <x:c r="CF29" s="128" t="e">
        <x:f>'PROJECT TA Y TB KARINA'!$N25/8</x:f>
        <x:v>#REF!</x:v>
      </x:c>
      <x:c r="CG29" s="128" t="e">
        <x:f>'PROJECT TA Y TB KARINA'!$N25/8</x:f>
        <x:v>#REF!</x:v>
      </x:c>
      <x:c r="CH29" s="128" t="e">
        <x:f>'PROJECT TA Y TB KARINA'!$N25/8</x:f>
        <x:v>#REF!</x:v>
      </x:c>
      <x:c r="CI29" s="128" t="e">
        <x:f>'PROJECT TA Y TB KARINA'!$N25/8</x:f>
        <x:v>#REF!</x:v>
      </x:c>
      <x:c r="CJ29" s="128" t="e">
        <x:f>'PROJECT TA Y TB KARINA'!$N25/8</x:f>
        <x:v>#REF!</x:v>
      </x:c>
      <x:c r="CK29" s="128" t="e">
        <x:f>'PROJECT TA Y TB KARINA'!$O25/8</x:f>
        <x:v>#REF!</x:v>
      </x:c>
      <x:c r="CL29" s="128" t="e">
        <x:f>'PROJECT TA Y TB KARINA'!$O25/8</x:f>
        <x:v>#REF!</x:v>
      </x:c>
      <x:c r="CM29" s="128" t="e">
        <x:f>'PROJECT TA Y TB KARINA'!$O25/8</x:f>
        <x:v>#REF!</x:v>
      </x:c>
      <x:c r="CN29" s="128" t="e">
        <x:f>'PROJECT TA Y TB KARINA'!$O25/8</x:f>
        <x:v>#REF!</x:v>
      </x:c>
      <x:c r="CO29" s="128" t="e">
        <x:f>'PROJECT TA Y TB KARINA'!$O25/8</x:f>
        <x:v>#REF!</x:v>
      </x:c>
      <x:c r="CP29" s="128" t="e">
        <x:f>'PROJECT TA Y TB KARINA'!$O25/8</x:f>
        <x:v>#REF!</x:v>
      </x:c>
      <x:c r="CQ29" s="128" t="e">
        <x:f>'PROJECT TA Y TB KARINA'!$O25/8</x:f>
        <x:v>#REF!</x:v>
      </x:c>
      <x:c r="CR29" s="128" t="e">
        <x:f>'PROJECT TA Y TB KARINA'!$O25/8</x:f>
        <x:v>#REF!</x:v>
      </x:c>
      <x:c r="CS29" s="128" t="e">
        <x:f>'PROJECT TA Y TB KARINA'!$P25/8</x:f>
        <x:v>#REF!</x:v>
      </x:c>
      <x:c r="CT29" s="128" t="e">
        <x:f>'PROJECT TA Y TB KARINA'!$P25/8</x:f>
        <x:v>#REF!</x:v>
      </x:c>
      <x:c r="CU29" s="128" t="e">
        <x:f>'PROJECT TA Y TB KARINA'!$P25/8</x:f>
        <x:v>#REF!</x:v>
      </x:c>
      <x:c r="CV29" s="128" t="e">
        <x:f>'PROJECT TA Y TB KARINA'!$P25/8</x:f>
        <x:v>#REF!</x:v>
      </x:c>
      <x:c r="CW29" s="128" t="e">
        <x:f>'PROJECT TA Y TB KARINA'!$P25/8</x:f>
        <x:v>#REF!</x:v>
      </x:c>
      <x:c r="CX29" s="128" t="e">
        <x:f>'PROJECT TA Y TB KARINA'!$P25/8</x:f>
        <x:v>#REF!</x:v>
      </x:c>
      <x:c r="CY29" s="128" t="e">
        <x:f>'PROJECT TA Y TB KARINA'!$P25/8</x:f>
        <x:v>#REF!</x:v>
      </x:c>
      <x:c r="CZ29" s="128" t="e">
        <x:f>'PROJECT TA Y TB KARINA'!$P25/8</x:f>
        <x:v>#REF!</x:v>
      </x:c>
      <x:c r="DA29" s="128" t="e">
        <x:f>'PROJECT TA Y TB KARINA'!$Q25/8</x:f>
        <x:v>#REF!</x:v>
      </x:c>
      <x:c r="DB29" s="128" t="e">
        <x:f>'PROJECT TA Y TB KARINA'!$Q25/8</x:f>
        <x:v>#REF!</x:v>
      </x:c>
      <x:c r="DC29" s="128" t="e">
        <x:f>'PROJECT TA Y TB KARINA'!$Q25/8</x:f>
        <x:v>#REF!</x:v>
      </x:c>
      <x:c r="DD29" s="128" t="e">
        <x:f>'PROJECT TA Y TB KARINA'!$Q25/8</x:f>
        <x:v>#REF!</x:v>
      </x:c>
      <x:c r="DE29" s="128" t="e">
        <x:f>'PROJECT TA Y TB KARINA'!$Q25/8</x:f>
        <x:v>#REF!</x:v>
      </x:c>
      <x:c r="DF29" s="128" t="e">
        <x:f>'PROJECT TA Y TB KARINA'!$Q25/8</x:f>
        <x:v>#REF!</x:v>
      </x:c>
      <x:c r="DG29" s="128" t="e">
        <x:f>'PROJECT TA Y TB KARINA'!$Q25/8</x:f>
        <x:v>#REF!</x:v>
      </x:c>
      <x:c r="DH29" s="128" t="e">
        <x:f>'PROJECT TA Y TB KARINA'!$Q25/8</x:f>
        <x:v>#REF!</x:v>
      </x:c>
      <x:c r="DI29" s="128" t="e">
        <x:f>'PROJECT TA Y TB KARINA'!$R25/8</x:f>
        <x:v>#REF!</x:v>
      </x:c>
      <x:c r="DJ29" s="128" t="e">
        <x:f>'PROJECT TA Y TB KARINA'!$R25/8</x:f>
        <x:v>#REF!</x:v>
      </x:c>
      <x:c r="DK29" s="128" t="e">
        <x:f>'PROJECT TA Y TB KARINA'!$R25/8</x:f>
        <x:v>#REF!</x:v>
      </x:c>
      <x:c r="DL29" s="128" t="e">
        <x:f>'PROJECT TA Y TB KARINA'!$R25/8</x:f>
        <x:v>#REF!</x:v>
      </x:c>
      <x:c r="DM29" s="128" t="e">
        <x:f>'PROJECT TA Y TB KARINA'!$R25/8</x:f>
        <x:v>#REF!</x:v>
      </x:c>
      <x:c r="DN29" s="128" t="e">
        <x:f>'PROJECT TA Y TB KARINA'!$R25/8</x:f>
        <x:v>#REF!</x:v>
      </x:c>
      <x:c r="DO29" s="128" t="e">
        <x:f>'PROJECT TA Y TB KARINA'!$R25/8</x:f>
        <x:v>#REF!</x:v>
      </x:c>
      <x:c r="DP29" s="128" t="e">
        <x:f>'PROJECT TA Y TB KARINA'!$R25/8</x:f>
        <x:v>#REF!</x:v>
      </x:c>
      <x:c r="DQ29" s="128" t="e">
        <x:f>'PROJECT TA Y TB KARINA'!$S25/8</x:f>
        <x:v>#REF!</x:v>
      </x:c>
      <x:c r="DR29" s="128" t="e">
        <x:f>'PROJECT TA Y TB KARINA'!$S25/8</x:f>
        <x:v>#REF!</x:v>
      </x:c>
      <x:c r="DS29" s="128" t="e">
        <x:f>'PROJECT TA Y TB KARINA'!$S25/8</x:f>
        <x:v>#REF!</x:v>
      </x:c>
      <x:c r="DT29" s="128" t="e">
        <x:f>'PROJECT TA Y TB KARINA'!$S25/8</x:f>
        <x:v>#REF!</x:v>
      </x:c>
      <x:c r="DU29" s="128" t="e">
        <x:f>'PROJECT TA Y TB KARINA'!$S25/8</x:f>
        <x:v>#REF!</x:v>
      </x:c>
      <x:c r="DV29" s="128" t="e">
        <x:f>'PROJECT TA Y TB KARINA'!$S25/8</x:f>
        <x:v>#REF!</x:v>
      </x:c>
      <x:c r="DW29" s="128" t="e">
        <x:f>'PROJECT TA Y TB KARINA'!$S25/8</x:f>
        <x:v>#REF!</x:v>
      </x:c>
      <x:c r="DX29" s="128" t="e">
        <x:f>'PROJECT TA Y TB KARINA'!$S25/8</x:f>
        <x:v>#REF!</x:v>
      </x:c>
      <x:c r="DY29" s="128" t="e">
        <x:f>'PROJECT TA Y TB KARINA'!$T25/8</x:f>
        <x:v>#REF!</x:v>
      </x:c>
      <x:c r="DZ29" s="128" t="e">
        <x:f>'PROJECT TA Y TB KARINA'!$T25/8</x:f>
        <x:v>#REF!</x:v>
      </x:c>
      <x:c r="EA29" s="128" t="e">
        <x:f>'PROJECT TA Y TB KARINA'!$T25/8</x:f>
        <x:v>#REF!</x:v>
      </x:c>
      <x:c r="EB29" s="128" t="e">
        <x:f>'PROJECT TA Y TB KARINA'!$T25/8</x:f>
        <x:v>#REF!</x:v>
      </x:c>
      <x:c r="EC29" s="128" t="e">
        <x:f>'PROJECT TA Y TB KARINA'!$T25/8</x:f>
        <x:v>#REF!</x:v>
      </x:c>
      <x:c r="ED29" s="128" t="e">
        <x:f>'PROJECT TA Y TB KARINA'!$T25/8</x:f>
        <x:v>#REF!</x:v>
      </x:c>
      <x:c r="EE29" s="128" t="e">
        <x:f>'PROJECT TA Y TB KARINA'!$T25/8</x:f>
        <x:v>#REF!</x:v>
      </x:c>
      <x:c r="EF29" s="128" t="e">
        <x:f>'PROJECT TA Y TB KARINA'!$T25/8</x:f>
        <x:v>#REF!</x:v>
      </x:c>
      <x:c r="EG29" s="128" t="e">
        <x:f>'PROJECT TA Y TB KARINA'!#REF!/8</x:f>
        <x:v>#NAME?</x:v>
      </x:c>
      <x:c r="EH29" s="128" t="e">
        <x:f>'PROJECT TA Y TB KARINA'!#REF!/8</x:f>
        <x:v>#NAME?</x:v>
      </x:c>
      <x:c r="EI29" s="128" t="e">
        <x:f>'PROJECT TA Y TB KARINA'!#REF!/8</x:f>
        <x:v>#NAME?</x:v>
      </x:c>
      <x:c r="EJ29" s="128" t="e">
        <x:f>'PROJECT TA Y TB KARINA'!#REF!/8</x:f>
        <x:v>#NAME?</x:v>
      </x:c>
      <x:c r="EK29" s="128" t="e">
        <x:f>'PROJECT TA Y TB KARINA'!#REF!/8</x:f>
        <x:v>#NAME?</x:v>
      </x:c>
      <x:c r="EL29" s="128" t="e">
        <x:f>'PROJECT TA Y TB KARINA'!#REF!/8</x:f>
        <x:v>#NAME?</x:v>
      </x:c>
      <x:c r="EM29" s="128" t="e">
        <x:f>'PROJECT TA Y TB KARINA'!#REF!/8</x:f>
        <x:v>#NAME?</x:v>
      </x:c>
      <x:c r="EN29" s="128" t="e">
        <x:f>'PROJECT TA Y TB KARINA'!#REF!/8</x:f>
        <x:v>#NAME?</x:v>
      </x:c>
      <x:c r="EO29" s="128" t="n">
        <x:f>'PROJECT TA Y TB KARINA'!$C83/8</x:f>
        <x:v>0</x:v>
      </x:c>
      <x:c r="EP29" s="128" t="n">
        <x:f>'PROJECT TA Y TB KARINA'!$C83/8</x:f>
        <x:v>0</x:v>
      </x:c>
      <x:c r="EQ29" s="128" t="n">
        <x:f>'PROJECT TA Y TB KARINA'!$C83/8</x:f>
        <x:v>0</x:v>
      </x:c>
      <x:c r="ER29" s="128" t="n">
        <x:f>'PROJECT TA Y TB KARINA'!$C83/8</x:f>
        <x:v>0</x:v>
      </x:c>
      <x:c r="ES29" s="128" t="n">
        <x:f>'PROJECT TA Y TB KARINA'!$C83/8</x:f>
        <x:v>0</x:v>
      </x:c>
      <x:c r="ET29" s="128" t="n">
        <x:f>'PROJECT TA Y TB KARINA'!$C83/8</x:f>
        <x:v>0</x:v>
      </x:c>
      <x:c r="EU29" s="128" t="n">
        <x:f>'PROJECT TA Y TB KARINA'!$C83/8</x:f>
        <x:v>0</x:v>
      </x:c>
      <x:c r="EV29" s="128" t="n">
        <x:f>'PROJECT TA Y TB KARINA'!$E83/8</x:f>
        <x:v>0</x:v>
      </x:c>
      <x:c r="EW29" s="128" t="n">
        <x:f>'PROJECT TA Y TB KARINA'!$E83/8</x:f>
        <x:v>0</x:v>
      </x:c>
      <x:c r="EX29" s="128" t="n">
        <x:f>'PROJECT TA Y TB KARINA'!$E83/8</x:f>
        <x:v>0</x:v>
      </x:c>
      <x:c r="EY29" s="128" t="n">
        <x:f>'PROJECT TA Y TB KARINA'!$E83/8</x:f>
        <x:v>0</x:v>
      </x:c>
      <x:c r="EZ29" s="128" t="n">
        <x:f>'PROJECT TA Y TB KARINA'!$E83/8</x:f>
        <x:v>0</x:v>
      </x:c>
      <x:c r="FA29" s="128" t="n">
        <x:f>'PROJECT TA Y TB KARINA'!$E83/8</x:f>
        <x:v>0</x:v>
      </x:c>
      <x:c r="FB29" s="128" t="n">
        <x:f>'PROJECT TA Y TB KARINA'!$E83/8</x:f>
        <x:v>0</x:v>
      </x:c>
      <x:c r="FC29" s="128" t="n">
        <x:f>'PROJECT TA Y TB KARINA'!$E83/8</x:f>
        <x:v>0</x:v>
      </x:c>
      <x:c r="FD29" s="128" t="n">
        <x:f>'PROJECT TA Y TB KARINA'!$F83/8</x:f>
        <x:v>0</x:v>
      </x:c>
      <x:c r="FE29" s="128" t="n">
        <x:f>'PROJECT TA Y TB KARINA'!$F83/8</x:f>
        <x:v>0</x:v>
      </x:c>
      <x:c r="FF29" s="128" t="n">
        <x:f>'PROJECT TA Y TB KARINA'!$F83/8</x:f>
        <x:v>0</x:v>
      </x:c>
      <x:c r="FG29" s="128" t="n">
        <x:f>'PROJECT TA Y TB KARINA'!$F83/8</x:f>
        <x:v>0</x:v>
      </x:c>
      <x:c r="FH29" s="128" t="n">
        <x:f>'PROJECT TA Y TB KARINA'!$F83/8</x:f>
        <x:v>0</x:v>
      </x:c>
      <x:c r="FI29" s="128" t="n">
        <x:f>'PROJECT TA Y TB KARINA'!$F83/8</x:f>
        <x:v>0</x:v>
      </x:c>
      <x:c r="FJ29" s="128" t="n">
        <x:f>'PROJECT TA Y TB KARINA'!$F83/8</x:f>
        <x:v>0</x:v>
      </x:c>
      <x:c r="FK29" s="128" t="n">
        <x:f>'PROJECT TA Y TB KARINA'!$F83/8</x:f>
        <x:v>0</x:v>
      </x:c>
      <x:c r="FL29" s="128" t="n">
        <x:f>'PROJECT TA Y TB KARINA'!$G83/8</x:f>
        <x:v>0</x:v>
      </x:c>
      <x:c r="FM29" s="128" t="n">
        <x:f>'PROJECT TA Y TB KARINA'!$G83/8</x:f>
        <x:v>0</x:v>
      </x:c>
      <x:c r="FN29" s="128" t="n">
        <x:f>'PROJECT TA Y TB KARINA'!$G83/8</x:f>
        <x:v>0</x:v>
      </x:c>
      <x:c r="FO29" s="128" t="n">
        <x:f>'PROJECT TA Y TB KARINA'!$G83/8</x:f>
        <x:v>0</x:v>
      </x:c>
      <x:c r="FP29" s="128" t="n">
        <x:f>'PROJECT TA Y TB KARINA'!$G83/8</x:f>
        <x:v>0</x:v>
      </x:c>
      <x:c r="FQ29" s="128" t="n">
        <x:f>'PROJECT TA Y TB KARINA'!$G83/8</x:f>
        <x:v>0</x:v>
      </x:c>
      <x:c r="FR29" s="128" t="n">
        <x:f>'PROJECT TA Y TB KARINA'!$G83/8</x:f>
        <x:v>0</x:v>
      </x:c>
      <x:c r="FS29" s="128" t="n">
        <x:f>'PROJECT TA Y TB KARINA'!$G83/8</x:f>
        <x:v>0</x:v>
      </x:c>
      <x:c r="FT29" s="128" t="n">
        <x:f>'PROJECT TA Y TB KARINA'!$H83/8</x:f>
        <x:v>0</x:v>
      </x:c>
      <x:c r="FU29" s="128" t="n">
        <x:f>'PROJECT TA Y TB KARINA'!$H83/8</x:f>
        <x:v>0</x:v>
      </x:c>
      <x:c r="FV29" s="128" t="n">
        <x:f>'PROJECT TA Y TB KARINA'!$H83/8</x:f>
        <x:v>0</x:v>
      </x:c>
      <x:c r="FW29" s="128" t="n">
        <x:f>'PROJECT TA Y TB KARINA'!$H83/8</x:f>
        <x:v>0</x:v>
      </x:c>
      <x:c r="FX29" s="128" t="n">
        <x:f>'PROJECT TA Y TB KARINA'!$H83/8</x:f>
        <x:v>0</x:v>
      </x:c>
      <x:c r="FY29" s="128" t="n">
        <x:f>'PROJECT TA Y TB KARINA'!$H83/8</x:f>
        <x:v>0</x:v>
      </x:c>
      <x:c r="FZ29" s="128" t="n">
        <x:f>'PROJECT TA Y TB KARINA'!$H83/8</x:f>
        <x:v>0</x:v>
      </x:c>
      <x:c r="GA29" s="128" t="n">
        <x:f>'PROJECT TA Y TB KARINA'!$H83/8</x:f>
        <x:v>0</x:v>
      </x:c>
      <x:c r="GB29" s="128" t="n">
        <x:f>'PROJECT TA Y TB KARINA'!$I83/8</x:f>
        <x:v>0</x:v>
      </x:c>
      <x:c r="GC29" s="128" t="n">
        <x:f>'PROJECT TA Y TB KARINA'!$I83/8</x:f>
        <x:v>0</x:v>
      </x:c>
      <x:c r="GD29" s="128" t="n">
        <x:f>'PROJECT TA Y TB KARINA'!$I83/8</x:f>
        <x:v>0</x:v>
      </x:c>
      <x:c r="GE29" s="128" t="n">
        <x:f>'PROJECT TA Y TB KARINA'!$I83/8</x:f>
        <x:v>0</x:v>
      </x:c>
      <x:c r="GF29" s="128" t="n">
        <x:f>'PROJECT TA Y TB KARINA'!$I83/8</x:f>
        <x:v>0</x:v>
      </x:c>
      <x:c r="GG29" s="128" t="n">
        <x:f>'PROJECT TA Y TB KARINA'!$I83/8</x:f>
        <x:v>0</x:v>
      </x:c>
      <x:c r="GH29" s="128" t="n">
        <x:f>'PROJECT TA Y TB KARINA'!$I83/8</x:f>
        <x:v>0</x:v>
      </x:c>
      <x:c r="GI29" s="128" t="n">
        <x:f>'PROJECT TA Y TB KARINA'!$I83/8</x:f>
        <x:v>0</x:v>
      </x:c>
      <x:c r="GJ29" s="128" t="n">
        <x:f>'PROJECT TA Y TB KARINA'!$J83/8</x:f>
        <x:v>0</x:v>
      </x:c>
      <x:c r="GK29" s="128" t="n">
        <x:f>'PROJECT TA Y TB KARINA'!$J83/8</x:f>
        <x:v>0</x:v>
      </x:c>
      <x:c r="GL29" s="128" t="n">
        <x:f>'PROJECT TA Y TB KARINA'!$J83/8</x:f>
        <x:v>0</x:v>
      </x:c>
      <x:c r="GM29" s="128" t="n">
        <x:f>'PROJECT TA Y TB KARINA'!$J83/8</x:f>
        <x:v>0</x:v>
      </x:c>
      <x:c r="GN29" s="128" t="n">
        <x:f>'PROJECT TA Y TB KARINA'!$J83/8</x:f>
        <x:v>0</x:v>
      </x:c>
      <x:c r="GO29" s="128" t="n">
        <x:f>'PROJECT TA Y TB KARINA'!$J83/8</x:f>
        <x:v>0</x:v>
      </x:c>
      <x:c r="GP29" s="128" t="n">
        <x:f>'PROJECT TA Y TB KARINA'!$J83/8</x:f>
        <x:v>0</x:v>
      </x:c>
      <x:c r="GQ29" s="128" t="n">
        <x:f>'PROJECT TA Y TB KARINA'!$J83/8</x:f>
        <x:v>0</x:v>
      </x:c>
      <x:c r="GR29" s="128" t="n">
        <x:f>'PROJECT TA Y TB KARINA'!$K83/8</x:f>
        <x:v>0</x:v>
      </x:c>
      <x:c r="GS29" s="128" t="n">
        <x:f>'PROJECT TA Y TB KARINA'!$K83/8</x:f>
        <x:v>0</x:v>
      </x:c>
      <x:c r="GT29" s="128" t="n">
        <x:f>'PROJECT TA Y TB KARINA'!$K83/8</x:f>
        <x:v>0</x:v>
      </x:c>
      <x:c r="GU29" s="128" t="n">
        <x:f>'PROJECT TA Y TB KARINA'!$K83/8</x:f>
        <x:v>0</x:v>
      </x:c>
      <x:c r="GV29" s="128" t="n">
        <x:f>'PROJECT TA Y TB KARINA'!$K83/8</x:f>
        <x:v>0</x:v>
      </x:c>
      <x:c r="GW29" s="128" t="n">
        <x:f>'PROJECT TA Y TB KARINA'!$K83/8</x:f>
        <x:v>0</x:v>
      </x:c>
      <x:c r="GX29" s="128" t="n">
        <x:f>'PROJECT TA Y TB KARINA'!$K83/8</x:f>
        <x:v>0</x:v>
      </x:c>
      <x:c r="GY29" s="128" t="n">
        <x:f>'PROJECT TA Y TB KARINA'!$K83/8</x:f>
        <x:v>0</x:v>
      </x:c>
      <x:c r="GZ29" s="128" t="n">
        <x:f>'PROJECT TA Y TB KARINA'!$L83/8</x:f>
        <x:v>0</x:v>
      </x:c>
      <x:c r="HA29" s="128" t="n">
        <x:f>'PROJECT TA Y TB KARINA'!$L83/8</x:f>
        <x:v>0</x:v>
      </x:c>
      <x:c r="HB29" s="128" t="n">
        <x:f>'PROJECT TA Y TB KARINA'!$L83/8</x:f>
        <x:v>0</x:v>
      </x:c>
      <x:c r="HC29" s="128" t="n">
        <x:f>'PROJECT TA Y TB KARINA'!$L83/8</x:f>
        <x:v>0</x:v>
      </x:c>
      <x:c r="HD29" s="128" t="n">
        <x:f>'PROJECT TA Y TB KARINA'!$L83/8</x:f>
        <x:v>0</x:v>
      </x:c>
      <x:c r="HE29" s="128" t="n">
        <x:f>'PROJECT TA Y TB KARINA'!$L83/8</x:f>
        <x:v>0</x:v>
      </x:c>
      <x:c r="HF29" s="128" t="n">
        <x:f>'PROJECT TA Y TB KARINA'!$L83/8</x:f>
        <x:v>0</x:v>
      </x:c>
      <x:c r="HG29" s="128" t="n">
        <x:f>'PROJECT TA Y TB KARINA'!$L83/8</x:f>
        <x:v>0</x:v>
      </x:c>
      <x:c r="HH29" s="128" t="n">
        <x:f>'PROJECT TA Y TB KARINA'!$M83/8</x:f>
        <x:v>0</x:v>
      </x:c>
      <x:c r="HI29" s="128" t="n">
        <x:f>'PROJECT TA Y TB KARINA'!$M83/8</x:f>
        <x:v>0</x:v>
      </x:c>
      <x:c r="HJ29" s="128" t="n">
        <x:f>'PROJECT TA Y TB KARINA'!$M83/8</x:f>
        <x:v>0</x:v>
      </x:c>
      <x:c r="HK29" s="128" t="n">
        <x:f>'PROJECT TA Y TB KARINA'!$M83/8</x:f>
        <x:v>0</x:v>
      </x:c>
      <x:c r="HL29" s="128" t="n">
        <x:f>'PROJECT TA Y TB KARINA'!$M83/8</x:f>
        <x:v>0</x:v>
      </x:c>
      <x:c r="HM29" s="128" t="n">
        <x:f>'PROJECT TA Y TB KARINA'!$M83/8</x:f>
        <x:v>0</x:v>
      </x:c>
      <x:c r="HN29" s="128" t="n">
        <x:f>'PROJECT TA Y TB KARINA'!$M83/8</x:f>
        <x:v>0</x:v>
      </x:c>
      <x:c r="HO29" s="128" t="n">
        <x:f>'PROJECT TA Y TB KARINA'!$M83/8</x:f>
        <x:v>0</x:v>
      </x:c>
      <x:c r="HP29" s="128" t="n">
        <x:f>'PROJECT TA Y TB KARINA'!$N83/8</x:f>
        <x:v>0</x:v>
      </x:c>
      <x:c r="HQ29" s="128" t="n">
        <x:f>'PROJECT TA Y TB KARINA'!$N83/8</x:f>
        <x:v>0</x:v>
      </x:c>
      <x:c r="HR29" s="128" t="n">
        <x:f>'PROJECT TA Y TB KARINA'!$N83/8</x:f>
        <x:v>0</x:v>
      </x:c>
      <x:c r="HS29" s="128" t="n">
        <x:f>'PROJECT TA Y TB KARINA'!$N83/8</x:f>
        <x:v>0</x:v>
      </x:c>
      <x:c r="HT29" s="128" t="n">
        <x:f>'PROJECT TA Y TB KARINA'!$N83/8</x:f>
        <x:v>0</x:v>
      </x:c>
      <x:c r="HU29" s="128" t="n">
        <x:f>'PROJECT TA Y TB KARINA'!$N83/8</x:f>
        <x:v>0</x:v>
      </x:c>
      <x:c r="HV29" s="128" t="n">
        <x:f>'PROJECT TA Y TB KARINA'!$N83/8</x:f>
        <x:v>0</x:v>
      </x:c>
      <x:c r="HW29" s="128" t="n">
        <x:f>'PROJECT TA Y TB KARINA'!$N83/8</x:f>
        <x:v>0</x:v>
      </x:c>
      <x:c r="HX29" s="128" t="n">
        <x:f>'PROJECT TA Y TB KARINA'!$O83/8</x:f>
        <x:v>0</x:v>
      </x:c>
      <x:c r="HY29" s="128" t="n">
        <x:f>'PROJECT TA Y TB KARINA'!$O83/8</x:f>
        <x:v>0</x:v>
      </x:c>
      <x:c r="HZ29" s="128" t="n">
        <x:f>'PROJECT TA Y TB KARINA'!$O83/8</x:f>
        <x:v>0</x:v>
      </x:c>
      <x:c r="IA29" s="128" t="n">
        <x:f>'PROJECT TA Y TB KARINA'!$O83/8</x:f>
        <x:v>0</x:v>
      </x:c>
      <x:c r="IB29" s="128" t="n">
        <x:f>'PROJECT TA Y TB KARINA'!$O83/8</x:f>
        <x:v>0</x:v>
      </x:c>
      <x:c r="IC29" s="128" t="n">
        <x:f>'PROJECT TA Y TB KARINA'!$O83/8</x:f>
        <x:v>0</x:v>
      </x:c>
      <x:c r="ID29" s="128" t="n">
        <x:f>'PROJECT TA Y TB KARINA'!$O83/8</x:f>
        <x:v>0</x:v>
      </x:c>
      <x:c r="IE29" s="128" t="n">
        <x:f>'PROJECT TA Y TB KARINA'!$O83/8</x:f>
        <x:v>0</x:v>
      </x:c>
      <x:c r="IF29" s="128" t="n">
        <x:f>'PROJECT TA Y TB KARINA'!$P83/8</x:f>
        <x:v>0</x:v>
      </x:c>
      <x:c r="IG29" s="128" t="n">
        <x:f>'PROJECT TA Y TB KARINA'!$P83/8</x:f>
        <x:v>0</x:v>
      </x:c>
      <x:c r="IH29" s="128" t="n">
        <x:f>'PROJECT TA Y TB KARINA'!$P83/8</x:f>
        <x:v>0</x:v>
      </x:c>
      <x:c r="II29" s="128" t="n">
        <x:f>'PROJECT TA Y TB KARINA'!$P83/8</x:f>
        <x:v>0</x:v>
      </x:c>
      <x:c r="IJ29" s="128" t="n">
        <x:f>'PROJECT TA Y TB KARINA'!$P83/8</x:f>
        <x:v>0</x:v>
      </x:c>
      <x:c r="IK29" s="128" t="n">
        <x:f>'PROJECT TA Y TB KARINA'!$P83/8</x:f>
        <x:v>0</x:v>
      </x:c>
      <x:c r="IL29" s="128" t="n">
        <x:f>'PROJECT TA Y TB KARINA'!$P83/8</x:f>
        <x:v>0</x:v>
      </x:c>
      <x:c r="IM29" s="128" t="n">
        <x:f>'PROJECT TA Y TB KARINA'!$P83/8</x:f>
        <x:v>0</x:v>
      </x:c>
      <x:c r="IN29" s="128" t="n">
        <x:f>'PROJECT TA Y TB KARINA'!$Q83/8</x:f>
        <x:v>0</x:v>
      </x:c>
      <x:c r="IO29" s="128" t="n">
        <x:f>'PROJECT TA Y TB KARINA'!$Q83/8</x:f>
        <x:v>0</x:v>
      </x:c>
      <x:c r="IP29" s="128" t="n">
        <x:f>'PROJECT TA Y TB KARINA'!$Q83/8</x:f>
        <x:v>0</x:v>
      </x:c>
      <x:c r="IQ29" s="128" t="n">
        <x:f>'PROJECT TA Y TB KARINA'!$Q83/8</x:f>
        <x:v>0</x:v>
      </x:c>
      <x:c r="IR29" s="128" t="n">
        <x:f>'PROJECT TA Y TB KARINA'!$Q83/8</x:f>
        <x:v>0</x:v>
      </x:c>
      <x:c r="IS29" s="128" t="n">
        <x:f>'PROJECT TA Y TB KARINA'!$Q83/8</x:f>
        <x:v>0</x:v>
      </x:c>
      <x:c r="IT29" s="128" t="n">
        <x:f>'PROJECT TA Y TB KARINA'!$Q83/8</x:f>
        <x:v>0</x:v>
      </x:c>
      <x:c r="IU29" s="128" t="n">
        <x:f>'PROJECT TA Y TB KARINA'!$Q83/8</x:f>
        <x:v>0</x:v>
      </x:c>
      <x:c r="IV29" s="128" t="n">
        <x:f>'PROJECT TA Y TB KARINA'!$R83/8</x:f>
        <x:v>0</x:v>
      </x:c>
      <x:c r="IW29" s="128" t="n">
        <x:f>'PROJECT TA Y TB KARINA'!$R83/8</x:f>
        <x:v>0</x:v>
      </x:c>
      <x:c r="IX29" s="128" t="n">
        <x:f>'PROJECT TA Y TB KARINA'!$R83/8</x:f>
        <x:v>0</x:v>
      </x:c>
      <x:c r="IY29" s="128" t="n">
        <x:f>'PROJECT TA Y TB KARINA'!$R83/8</x:f>
        <x:v>0</x:v>
      </x:c>
      <x:c r="IZ29" s="128" t="n">
        <x:f>'PROJECT TA Y TB KARINA'!$R83/8</x:f>
        <x:v>0</x:v>
      </x:c>
      <x:c r="JA29" s="128" t="n">
        <x:f>'PROJECT TA Y TB KARINA'!$R83/8</x:f>
        <x:v>0</x:v>
      </x:c>
      <x:c r="JB29" s="128" t="n">
        <x:f>'PROJECT TA Y TB KARINA'!$R83/8</x:f>
        <x:v>0</x:v>
      </x:c>
      <x:c r="JC29" s="128" t="n">
        <x:f>'PROJECT TA Y TB KARINA'!$R83/8</x:f>
        <x:v>0</x:v>
      </x:c>
      <x:c r="JD29" s="128" t="n">
        <x:f>'PROJECT TA Y TB KARINA'!$S83/8</x:f>
        <x:v>0</x:v>
      </x:c>
      <x:c r="JE29" s="128" t="n">
        <x:f>'PROJECT TA Y TB KARINA'!$S83/8</x:f>
        <x:v>0</x:v>
      </x:c>
      <x:c r="JF29" s="128" t="n">
        <x:f>'PROJECT TA Y TB KARINA'!$S83/8</x:f>
        <x:v>0</x:v>
      </x:c>
      <x:c r="JG29" s="128" t="n">
        <x:f>'PROJECT TA Y TB KARINA'!$S83/8</x:f>
        <x:v>0</x:v>
      </x:c>
      <x:c r="JH29" s="128" t="n">
        <x:f>'PROJECT TA Y TB KARINA'!$S83/8</x:f>
        <x:v>0</x:v>
      </x:c>
      <x:c r="JI29" s="128" t="n">
        <x:f>'PROJECT TA Y TB KARINA'!$S83/8</x:f>
        <x:v>0</x:v>
      </x:c>
      <x:c r="JJ29" s="128" t="n">
        <x:f>'PROJECT TA Y TB KARINA'!$S83/8</x:f>
        <x:v>0</x:v>
      </x:c>
      <x:c r="JK29" s="128" t="n">
        <x:f>'PROJECT TA Y TB KARINA'!$S83/8</x:f>
        <x:v>0</x:v>
      </x:c>
      <x:c r="JL29" s="128" t="n">
        <x:f>'PROJECT TA Y TB KARINA'!$T83/8</x:f>
        <x:v>0</x:v>
      </x:c>
      <x:c r="JM29" s="128" t="n">
        <x:f>'PROJECT TA Y TB KARINA'!$T83/8</x:f>
        <x:v>0</x:v>
      </x:c>
      <x:c r="JN29" s="128" t="n">
        <x:f>'PROJECT TA Y TB KARINA'!$T83/8</x:f>
        <x:v>0</x:v>
      </x:c>
      <x:c r="JO29" s="128" t="n">
        <x:f>'PROJECT TA Y TB KARINA'!$T83/8</x:f>
        <x:v>0</x:v>
      </x:c>
      <x:c r="JP29" s="128" t="n">
        <x:f>'PROJECT TA Y TB KARINA'!$T83/8</x:f>
        <x:v>0</x:v>
      </x:c>
      <x:c r="JQ29" s="128" t="n">
        <x:f>'PROJECT TA Y TB KARINA'!$T83/8</x:f>
        <x:v>0</x:v>
      </x:c>
      <x:c r="JR29" s="128" t="n">
        <x:f>'PROJECT TA Y TB KARINA'!$T83/8</x:f>
        <x:v>0</x:v>
      </x:c>
      <x:c r="JS29" s="128" t="n">
        <x:f>'PROJECT TA Y TB KARINA'!$T83/8</x:f>
        <x:v>0</x:v>
      </x:c>
      <x:c r="JT29" s="128" t="e">
        <x:f>'PROJECT TA Y TB KARINA'!#REF!/8</x:f>
        <x:v>#NAME?</x:v>
      </x:c>
      <x:c r="JU29" s="128" t="e">
        <x:f>'PROJECT TA Y TB KARINA'!#REF!/8</x:f>
        <x:v>#NAME?</x:v>
      </x:c>
      <x:c r="JV29" s="128" t="e">
        <x:f>'PROJECT TA Y TB KARINA'!#REF!/8</x:f>
        <x:v>#NAME?</x:v>
      </x:c>
      <x:c r="JW29" s="128" t="e">
        <x:f>'PROJECT TA Y TB KARINA'!#REF!/8</x:f>
        <x:v>#NAME?</x:v>
      </x:c>
      <x:c r="JX29" s="128" t="e">
        <x:f>'PROJECT TA Y TB KARINA'!#REF!/8</x:f>
        <x:v>#NAME?</x:v>
      </x:c>
      <x:c r="JY29" s="128" t="e">
        <x:f>'PROJECT TA Y TB KARINA'!#REF!/8</x:f>
        <x:v>#NAME?</x:v>
      </x:c>
      <x:c r="JZ29" s="128" t="e">
        <x:f>'PROJECT TA Y TB KARINA'!#REF!/8</x:f>
        <x:v>#NAME?</x:v>
      </x:c>
      <x:c r="KA29" s="128" t="e">
        <x:f>'PROJECT TA Y TB KARINA'!#REF!/8</x:f>
        <x:v>#NAME?</x:v>
      </x:c>
    </x:row>
    <x:row r="30" ht="21">
      <x:c r="A30" s="131" t="s">
        <x:v>515</x:v>
      </x:c>
      <x:c r="B30" s="128" t="e">
        <x:f>'PROJECT TA Y TB KARINA'!$C$26/8</x:f>
        <x:v>#REF!</x:v>
      </x:c>
      <x:c r="C30" s="128" t="e">
        <x:f>'PROJECT TA Y TB KARINA'!$C$26/8</x:f>
        <x:v>#REF!</x:v>
      </x:c>
      <x:c r="D30" s="128" t="e">
        <x:f>'PROJECT TA Y TB KARINA'!$C$26/8</x:f>
        <x:v>#REF!</x:v>
      </x:c>
      <x:c r="E30" s="128" t="e">
        <x:f>'PROJECT TA Y TB KARINA'!$C$26/8</x:f>
        <x:v>#REF!</x:v>
      </x:c>
      <x:c r="F30" s="128" t="e">
        <x:f>'PROJECT TA Y TB KARINA'!$C$26/8</x:f>
        <x:v>#REF!</x:v>
      </x:c>
      <x:c r="G30" s="128" t="e">
        <x:f>'PROJECT TA Y TB KARINA'!$C$26/8</x:f>
        <x:v>#REF!</x:v>
      </x:c>
      <x:c r="H30" s="128" t="e">
        <x:f>'PROJECT TA Y TB KARINA'!$C$26/8</x:f>
        <x:v>#REF!</x:v>
      </x:c>
      <x:c r="I30" s="128" t="e">
        <x:f>'PROJECT TA Y TB KARINA'!$E26/8</x:f>
        <x:v>#REF!</x:v>
      </x:c>
      <x:c r="J30" s="128" t="e">
        <x:f>'PROJECT TA Y TB KARINA'!$E26/8</x:f>
        <x:v>#REF!</x:v>
      </x:c>
      <x:c r="K30" s="128" t="e">
        <x:f>'PROJECT TA Y TB KARINA'!$E26/8</x:f>
        <x:v>#REF!</x:v>
      </x:c>
      <x:c r="L30" s="128" t="e">
        <x:f>'PROJECT TA Y TB KARINA'!$E26/8</x:f>
        <x:v>#REF!</x:v>
      </x:c>
      <x:c r="M30" s="128" t="e">
        <x:f>'PROJECT TA Y TB KARINA'!$E26/8</x:f>
        <x:v>#REF!</x:v>
      </x:c>
      <x:c r="N30" s="128" t="e">
        <x:f>'PROJECT TA Y TB KARINA'!$E26/8</x:f>
        <x:v>#REF!</x:v>
      </x:c>
      <x:c r="O30" s="128" t="e">
        <x:f>'PROJECT TA Y TB KARINA'!$E26/8</x:f>
        <x:v>#REF!</x:v>
      </x:c>
      <x:c r="P30" s="128" t="e">
        <x:f>'PROJECT TA Y TB KARINA'!$E26/8</x:f>
        <x:v>#REF!</x:v>
      </x:c>
      <x:c r="Q30" s="128" t="e">
        <x:f>'PROJECT TA Y TB KARINA'!$F26/8</x:f>
        <x:v>#REF!</x:v>
      </x:c>
      <x:c r="R30" s="128" t="e">
        <x:f>'PROJECT TA Y TB KARINA'!$F26/8</x:f>
        <x:v>#REF!</x:v>
      </x:c>
      <x:c r="S30" s="128" t="e">
        <x:f>'PROJECT TA Y TB KARINA'!$F26/8</x:f>
        <x:v>#REF!</x:v>
      </x:c>
      <x:c r="T30" s="128" t="e">
        <x:f>'PROJECT TA Y TB KARINA'!$F26/8</x:f>
        <x:v>#REF!</x:v>
      </x:c>
      <x:c r="U30" s="128" t="e">
        <x:f>'PROJECT TA Y TB KARINA'!$F26/8</x:f>
        <x:v>#REF!</x:v>
      </x:c>
      <x:c r="V30" s="128" t="e">
        <x:f>'PROJECT TA Y TB KARINA'!$F26/8</x:f>
        <x:v>#REF!</x:v>
      </x:c>
      <x:c r="W30" s="128" t="e">
        <x:f>'PROJECT TA Y TB KARINA'!$F26/8</x:f>
        <x:v>#REF!</x:v>
      </x:c>
      <x:c r="X30" s="128" t="e">
        <x:f>'PROJECT TA Y TB KARINA'!$F26/8</x:f>
        <x:v>#REF!</x:v>
      </x:c>
      <x:c r="Y30" s="128" t="e">
        <x:f>'PROJECT TA Y TB KARINA'!$G26/8</x:f>
        <x:v>#REF!</x:v>
      </x:c>
      <x:c r="Z30" s="128" t="e">
        <x:f>'PROJECT TA Y TB KARINA'!$G26/8</x:f>
        <x:v>#REF!</x:v>
      </x:c>
      <x:c r="AA30" s="128" t="e">
        <x:f>'PROJECT TA Y TB KARINA'!$G26/8</x:f>
        <x:v>#REF!</x:v>
      </x:c>
      <x:c r="AB30" s="128" t="e">
        <x:f>'PROJECT TA Y TB KARINA'!$G26/8</x:f>
        <x:v>#REF!</x:v>
      </x:c>
      <x:c r="AC30" s="128" t="e">
        <x:f>'PROJECT TA Y TB KARINA'!$G26/8</x:f>
        <x:v>#REF!</x:v>
      </x:c>
      <x:c r="AD30" s="128" t="e">
        <x:f>'PROJECT TA Y TB KARINA'!$G26/8</x:f>
        <x:v>#REF!</x:v>
      </x:c>
      <x:c r="AE30" s="128" t="e">
        <x:f>'PROJECT TA Y TB KARINA'!$G26/8</x:f>
        <x:v>#REF!</x:v>
      </x:c>
      <x:c r="AF30" s="128" t="e">
        <x:f>'PROJECT TA Y TB KARINA'!$G26/8</x:f>
        <x:v>#REF!</x:v>
      </x:c>
      <x:c r="AG30" s="128" t="e">
        <x:f>'PROJECT TA Y TB KARINA'!$H26/8</x:f>
        <x:v>#REF!</x:v>
      </x:c>
      <x:c r="AH30" s="128" t="e">
        <x:f>'PROJECT TA Y TB KARINA'!$H26/8</x:f>
        <x:v>#REF!</x:v>
      </x:c>
      <x:c r="AI30" s="128" t="e">
        <x:f>'PROJECT TA Y TB KARINA'!$H26/8</x:f>
        <x:v>#REF!</x:v>
      </x:c>
      <x:c r="AJ30" s="128" t="e">
        <x:f>'PROJECT TA Y TB KARINA'!$H26/8</x:f>
        <x:v>#REF!</x:v>
      </x:c>
      <x:c r="AK30" s="128" t="e">
        <x:f>'PROJECT TA Y TB KARINA'!$H26/8</x:f>
        <x:v>#REF!</x:v>
      </x:c>
      <x:c r="AL30" s="128" t="e">
        <x:f>'PROJECT TA Y TB KARINA'!$H26/8</x:f>
        <x:v>#REF!</x:v>
      </x:c>
      <x:c r="AM30" s="128" t="e">
        <x:f>'PROJECT TA Y TB KARINA'!$H26/8</x:f>
        <x:v>#REF!</x:v>
      </x:c>
      <x:c r="AN30" s="128" t="e">
        <x:f>'PROJECT TA Y TB KARINA'!$H26/8</x:f>
        <x:v>#REF!</x:v>
      </x:c>
      <x:c r="AO30" s="128" t="e">
        <x:f>'PROJECT TA Y TB KARINA'!$I26/8</x:f>
        <x:v>#REF!</x:v>
      </x:c>
      <x:c r="AP30" s="128" t="e">
        <x:f>'PROJECT TA Y TB KARINA'!$I26/8</x:f>
        <x:v>#REF!</x:v>
      </x:c>
      <x:c r="AQ30" s="128" t="e">
        <x:f>'PROJECT TA Y TB KARINA'!$I26/8</x:f>
        <x:v>#REF!</x:v>
      </x:c>
      <x:c r="AR30" s="128" t="e">
        <x:f>'PROJECT TA Y TB KARINA'!$I26/8</x:f>
        <x:v>#REF!</x:v>
      </x:c>
      <x:c r="AS30" s="128" t="e">
        <x:f>'PROJECT TA Y TB KARINA'!$I26/8</x:f>
        <x:v>#REF!</x:v>
      </x:c>
      <x:c r="AT30" s="128" t="e">
        <x:f>'PROJECT TA Y TB KARINA'!$I26/8</x:f>
        <x:v>#REF!</x:v>
      </x:c>
      <x:c r="AU30" s="128" t="e">
        <x:f>'PROJECT TA Y TB KARINA'!$I26/8</x:f>
        <x:v>#REF!</x:v>
      </x:c>
      <x:c r="AV30" s="128" t="e">
        <x:f>'PROJECT TA Y TB KARINA'!$I26/8</x:f>
        <x:v>#REF!</x:v>
      </x:c>
      <x:c r="AW30" s="128" t="e">
        <x:f>'PROJECT TA Y TB KARINA'!$J26/8</x:f>
        <x:v>#REF!</x:v>
      </x:c>
      <x:c r="AX30" s="128" t="e">
        <x:f>'PROJECT TA Y TB KARINA'!$J26/8</x:f>
        <x:v>#REF!</x:v>
      </x:c>
      <x:c r="AY30" s="128" t="e">
        <x:f>'PROJECT TA Y TB KARINA'!$J26/8</x:f>
        <x:v>#REF!</x:v>
      </x:c>
      <x:c r="AZ30" s="128" t="e">
        <x:f>'PROJECT TA Y TB KARINA'!$J26/8</x:f>
        <x:v>#REF!</x:v>
      </x:c>
      <x:c r="BA30" s="128" t="e">
        <x:f>'PROJECT TA Y TB KARINA'!$J26/8</x:f>
        <x:v>#REF!</x:v>
      </x:c>
      <x:c r="BB30" s="128" t="e">
        <x:f>'PROJECT TA Y TB KARINA'!$J26/8</x:f>
        <x:v>#REF!</x:v>
      </x:c>
      <x:c r="BC30" s="128" t="e">
        <x:f>'PROJECT TA Y TB KARINA'!$J26/8</x:f>
        <x:v>#REF!</x:v>
      </x:c>
      <x:c r="BD30" s="128" t="e">
        <x:f>'PROJECT TA Y TB KARINA'!$J26/8</x:f>
        <x:v>#REF!</x:v>
      </x:c>
      <x:c r="BE30" s="128" t="e">
        <x:f>'PROJECT TA Y TB KARINA'!$K26/8</x:f>
        <x:v>#REF!</x:v>
      </x:c>
      <x:c r="BF30" s="128" t="e">
        <x:f>'PROJECT TA Y TB KARINA'!$K26/8</x:f>
        <x:v>#REF!</x:v>
      </x:c>
      <x:c r="BG30" s="128" t="e">
        <x:f>'PROJECT TA Y TB KARINA'!$K26/8</x:f>
        <x:v>#REF!</x:v>
      </x:c>
      <x:c r="BH30" s="128" t="e">
        <x:f>'PROJECT TA Y TB KARINA'!$K26/8</x:f>
        <x:v>#REF!</x:v>
      </x:c>
      <x:c r="BI30" s="128" t="e">
        <x:f>'PROJECT TA Y TB KARINA'!$K26/8</x:f>
        <x:v>#REF!</x:v>
      </x:c>
      <x:c r="BJ30" s="128" t="e">
        <x:f>'PROJECT TA Y TB KARINA'!$K26/8</x:f>
        <x:v>#REF!</x:v>
      </x:c>
      <x:c r="BK30" s="128" t="e">
        <x:f>'PROJECT TA Y TB KARINA'!$K26/8</x:f>
        <x:v>#REF!</x:v>
      </x:c>
      <x:c r="BL30" s="128" t="e">
        <x:f>'PROJECT TA Y TB KARINA'!$K26/8</x:f>
        <x:v>#REF!</x:v>
      </x:c>
      <x:c r="BM30" s="128" t="e">
        <x:f>'PROJECT TA Y TB KARINA'!$L26/8</x:f>
        <x:v>#REF!</x:v>
      </x:c>
      <x:c r="BN30" s="128" t="e">
        <x:f>'PROJECT TA Y TB KARINA'!$L26/8</x:f>
        <x:v>#REF!</x:v>
      </x:c>
      <x:c r="BO30" s="128" t="e">
        <x:f>'PROJECT TA Y TB KARINA'!$L26/8</x:f>
        <x:v>#REF!</x:v>
      </x:c>
      <x:c r="BP30" s="128" t="e">
        <x:f>'PROJECT TA Y TB KARINA'!$L26/8</x:f>
        <x:v>#REF!</x:v>
      </x:c>
      <x:c r="BQ30" s="128" t="e">
        <x:f>'PROJECT TA Y TB KARINA'!$L26/8</x:f>
        <x:v>#REF!</x:v>
      </x:c>
      <x:c r="BR30" s="128" t="e">
        <x:f>'PROJECT TA Y TB KARINA'!$L26/8</x:f>
        <x:v>#REF!</x:v>
      </x:c>
      <x:c r="BS30" s="128" t="e">
        <x:f>'PROJECT TA Y TB KARINA'!$L26/8</x:f>
        <x:v>#REF!</x:v>
      </x:c>
      <x:c r="BT30" s="128" t="e">
        <x:f>'PROJECT TA Y TB KARINA'!$L26/8</x:f>
        <x:v>#REF!</x:v>
      </x:c>
      <x:c r="BU30" s="128" t="e">
        <x:f>'PROJECT TA Y TB KARINA'!$M26/8</x:f>
        <x:v>#REF!</x:v>
      </x:c>
      <x:c r="BV30" s="128" t="e">
        <x:f>'PROJECT TA Y TB KARINA'!$M26/8</x:f>
        <x:v>#REF!</x:v>
      </x:c>
      <x:c r="BW30" s="128" t="e">
        <x:f>'PROJECT TA Y TB KARINA'!$M26/8</x:f>
        <x:v>#REF!</x:v>
      </x:c>
      <x:c r="BX30" s="128" t="e">
        <x:f>'PROJECT TA Y TB KARINA'!$M26/8</x:f>
        <x:v>#REF!</x:v>
      </x:c>
      <x:c r="BY30" s="128" t="e">
        <x:f>'PROJECT TA Y TB KARINA'!$M26/8</x:f>
        <x:v>#REF!</x:v>
      </x:c>
      <x:c r="BZ30" s="128" t="e">
        <x:f>'PROJECT TA Y TB KARINA'!$M26/8</x:f>
        <x:v>#REF!</x:v>
      </x:c>
      <x:c r="CA30" s="128" t="e">
        <x:f>'PROJECT TA Y TB KARINA'!$M26/8</x:f>
        <x:v>#REF!</x:v>
      </x:c>
      <x:c r="CB30" s="128" t="e">
        <x:f>'PROJECT TA Y TB KARINA'!$M26/8</x:f>
        <x:v>#REF!</x:v>
      </x:c>
      <x:c r="CC30" s="128" t="e">
        <x:f>'PROJECT TA Y TB KARINA'!$N26/8</x:f>
        <x:v>#REF!</x:v>
      </x:c>
      <x:c r="CD30" s="128" t="e">
        <x:f>'PROJECT TA Y TB KARINA'!$N26/8</x:f>
        <x:v>#REF!</x:v>
      </x:c>
      <x:c r="CE30" s="128" t="e">
        <x:f>'PROJECT TA Y TB KARINA'!$N26/8</x:f>
        <x:v>#REF!</x:v>
      </x:c>
      <x:c r="CF30" s="128" t="e">
        <x:f>'PROJECT TA Y TB KARINA'!$N26/8</x:f>
        <x:v>#REF!</x:v>
      </x:c>
      <x:c r="CG30" s="128" t="e">
        <x:f>'PROJECT TA Y TB KARINA'!$N26/8</x:f>
        <x:v>#REF!</x:v>
      </x:c>
      <x:c r="CH30" s="128" t="e">
        <x:f>'PROJECT TA Y TB KARINA'!$N26/8</x:f>
        <x:v>#REF!</x:v>
      </x:c>
      <x:c r="CI30" s="128" t="e">
        <x:f>'PROJECT TA Y TB KARINA'!$N26/8</x:f>
        <x:v>#REF!</x:v>
      </x:c>
      <x:c r="CJ30" s="128" t="e">
        <x:f>'PROJECT TA Y TB KARINA'!$N26/8</x:f>
        <x:v>#REF!</x:v>
      </x:c>
      <x:c r="CK30" s="128" t="e">
        <x:f>'PROJECT TA Y TB KARINA'!$O26/8</x:f>
        <x:v>#REF!</x:v>
      </x:c>
      <x:c r="CL30" s="128" t="e">
        <x:f>'PROJECT TA Y TB KARINA'!$O26/8</x:f>
        <x:v>#REF!</x:v>
      </x:c>
      <x:c r="CM30" s="128" t="e">
        <x:f>'PROJECT TA Y TB KARINA'!$O26/8</x:f>
        <x:v>#REF!</x:v>
      </x:c>
      <x:c r="CN30" s="128" t="e">
        <x:f>'PROJECT TA Y TB KARINA'!$O26/8</x:f>
        <x:v>#REF!</x:v>
      </x:c>
      <x:c r="CO30" s="128" t="e">
        <x:f>'PROJECT TA Y TB KARINA'!$O26/8</x:f>
        <x:v>#REF!</x:v>
      </x:c>
      <x:c r="CP30" s="128" t="e">
        <x:f>'PROJECT TA Y TB KARINA'!$O26/8</x:f>
        <x:v>#REF!</x:v>
      </x:c>
      <x:c r="CQ30" s="128" t="e">
        <x:f>'PROJECT TA Y TB KARINA'!$O26/8</x:f>
        <x:v>#REF!</x:v>
      </x:c>
      <x:c r="CR30" s="128" t="e">
        <x:f>'PROJECT TA Y TB KARINA'!$O26/8</x:f>
        <x:v>#REF!</x:v>
      </x:c>
      <x:c r="CS30" s="128" t="e">
        <x:f>'PROJECT TA Y TB KARINA'!$P26/8</x:f>
        <x:v>#REF!</x:v>
      </x:c>
      <x:c r="CT30" s="128" t="e">
        <x:f>'PROJECT TA Y TB KARINA'!$P26/8</x:f>
        <x:v>#REF!</x:v>
      </x:c>
      <x:c r="CU30" s="128" t="e">
        <x:f>'PROJECT TA Y TB KARINA'!$P26/8</x:f>
        <x:v>#REF!</x:v>
      </x:c>
      <x:c r="CV30" s="128" t="e">
        <x:f>'PROJECT TA Y TB KARINA'!$P26/8</x:f>
        <x:v>#REF!</x:v>
      </x:c>
      <x:c r="CW30" s="128" t="e">
        <x:f>'PROJECT TA Y TB KARINA'!$P26/8</x:f>
        <x:v>#REF!</x:v>
      </x:c>
      <x:c r="CX30" s="128" t="e">
        <x:f>'PROJECT TA Y TB KARINA'!$P26/8</x:f>
        <x:v>#REF!</x:v>
      </x:c>
      <x:c r="CY30" s="128" t="e">
        <x:f>'PROJECT TA Y TB KARINA'!$P26/8</x:f>
        <x:v>#REF!</x:v>
      </x:c>
      <x:c r="CZ30" s="128" t="e">
        <x:f>'PROJECT TA Y TB KARINA'!$P26/8</x:f>
        <x:v>#REF!</x:v>
      </x:c>
      <x:c r="DA30" s="128" t="e">
        <x:f>'PROJECT TA Y TB KARINA'!$Q26/8</x:f>
        <x:v>#REF!</x:v>
      </x:c>
      <x:c r="DB30" s="128" t="e">
        <x:f>'PROJECT TA Y TB KARINA'!$Q26/8</x:f>
        <x:v>#REF!</x:v>
      </x:c>
      <x:c r="DC30" s="128" t="e">
        <x:f>'PROJECT TA Y TB KARINA'!$Q26/8</x:f>
        <x:v>#REF!</x:v>
      </x:c>
      <x:c r="DD30" s="128" t="e">
        <x:f>'PROJECT TA Y TB KARINA'!$Q26/8</x:f>
        <x:v>#REF!</x:v>
      </x:c>
      <x:c r="DE30" s="128" t="e">
        <x:f>'PROJECT TA Y TB KARINA'!$Q26/8</x:f>
        <x:v>#REF!</x:v>
      </x:c>
      <x:c r="DF30" s="128" t="e">
        <x:f>'PROJECT TA Y TB KARINA'!$Q26/8</x:f>
        <x:v>#REF!</x:v>
      </x:c>
      <x:c r="DG30" s="128" t="e">
        <x:f>'PROJECT TA Y TB KARINA'!$Q26/8</x:f>
        <x:v>#REF!</x:v>
      </x:c>
      <x:c r="DH30" s="128" t="e">
        <x:f>'PROJECT TA Y TB KARINA'!$Q26/8</x:f>
        <x:v>#REF!</x:v>
      </x:c>
      <x:c r="DI30" s="128" t="e">
        <x:f>'PROJECT TA Y TB KARINA'!$R26/8</x:f>
        <x:v>#REF!</x:v>
      </x:c>
      <x:c r="DJ30" s="128" t="e">
        <x:f>'PROJECT TA Y TB KARINA'!$R26/8</x:f>
        <x:v>#REF!</x:v>
      </x:c>
      <x:c r="DK30" s="128" t="e">
        <x:f>'PROJECT TA Y TB KARINA'!$R26/8</x:f>
        <x:v>#REF!</x:v>
      </x:c>
      <x:c r="DL30" s="128" t="e">
        <x:f>'PROJECT TA Y TB KARINA'!$R26/8</x:f>
        <x:v>#REF!</x:v>
      </x:c>
      <x:c r="DM30" s="128" t="e">
        <x:f>'PROJECT TA Y TB KARINA'!$R26/8</x:f>
        <x:v>#REF!</x:v>
      </x:c>
      <x:c r="DN30" s="128" t="e">
        <x:f>'PROJECT TA Y TB KARINA'!$R26/8</x:f>
        <x:v>#REF!</x:v>
      </x:c>
      <x:c r="DO30" s="128" t="e">
        <x:f>'PROJECT TA Y TB KARINA'!$R26/8</x:f>
        <x:v>#REF!</x:v>
      </x:c>
      <x:c r="DP30" s="128" t="e">
        <x:f>'PROJECT TA Y TB KARINA'!$R26/8</x:f>
        <x:v>#REF!</x:v>
      </x:c>
      <x:c r="DQ30" s="128" t="e">
        <x:f>'PROJECT TA Y TB KARINA'!$S26/8</x:f>
        <x:v>#REF!</x:v>
      </x:c>
      <x:c r="DR30" s="128" t="e">
        <x:f>'PROJECT TA Y TB KARINA'!$S26/8</x:f>
        <x:v>#REF!</x:v>
      </x:c>
      <x:c r="DS30" s="128" t="e">
        <x:f>'PROJECT TA Y TB KARINA'!$S26/8</x:f>
        <x:v>#REF!</x:v>
      </x:c>
      <x:c r="DT30" s="128" t="e">
        <x:f>'PROJECT TA Y TB KARINA'!$S26/8</x:f>
        <x:v>#REF!</x:v>
      </x:c>
      <x:c r="DU30" s="128" t="e">
        <x:f>'PROJECT TA Y TB KARINA'!$S26/8</x:f>
        <x:v>#REF!</x:v>
      </x:c>
      <x:c r="DV30" s="128" t="e">
        <x:f>'PROJECT TA Y TB KARINA'!$S26/8</x:f>
        <x:v>#REF!</x:v>
      </x:c>
      <x:c r="DW30" s="128" t="e">
        <x:f>'PROJECT TA Y TB KARINA'!$S26/8</x:f>
        <x:v>#REF!</x:v>
      </x:c>
      <x:c r="DX30" s="128" t="e">
        <x:f>'PROJECT TA Y TB KARINA'!$S26/8</x:f>
        <x:v>#REF!</x:v>
      </x:c>
      <x:c r="DY30" s="128" t="e">
        <x:f>'PROJECT TA Y TB KARINA'!$T26/8</x:f>
        <x:v>#REF!</x:v>
      </x:c>
      <x:c r="DZ30" s="128" t="e">
        <x:f>'PROJECT TA Y TB KARINA'!$T26/8</x:f>
        <x:v>#REF!</x:v>
      </x:c>
      <x:c r="EA30" s="128" t="e">
        <x:f>'PROJECT TA Y TB KARINA'!$T26/8</x:f>
        <x:v>#REF!</x:v>
      </x:c>
      <x:c r="EB30" s="128" t="e">
        <x:f>'PROJECT TA Y TB KARINA'!$T26/8</x:f>
        <x:v>#REF!</x:v>
      </x:c>
      <x:c r="EC30" s="128" t="e">
        <x:f>'PROJECT TA Y TB KARINA'!$T26/8</x:f>
        <x:v>#REF!</x:v>
      </x:c>
      <x:c r="ED30" s="128" t="e">
        <x:f>'PROJECT TA Y TB KARINA'!$T26/8</x:f>
        <x:v>#REF!</x:v>
      </x:c>
      <x:c r="EE30" s="128" t="e">
        <x:f>'PROJECT TA Y TB KARINA'!$T26/8</x:f>
        <x:v>#REF!</x:v>
      </x:c>
      <x:c r="EF30" s="128" t="e">
        <x:f>'PROJECT TA Y TB KARINA'!$T26/8</x:f>
        <x:v>#REF!</x:v>
      </x:c>
      <x:c r="EG30" s="128" t="e">
        <x:f>'PROJECT TA Y TB KARINA'!#REF!/8</x:f>
        <x:v>#NAME?</x:v>
      </x:c>
      <x:c r="EH30" s="128" t="e">
        <x:f>'PROJECT TA Y TB KARINA'!#REF!/8</x:f>
        <x:v>#NAME?</x:v>
      </x:c>
      <x:c r="EI30" s="128" t="e">
        <x:f>'PROJECT TA Y TB KARINA'!#REF!/8</x:f>
        <x:v>#NAME?</x:v>
      </x:c>
      <x:c r="EJ30" s="128" t="e">
        <x:f>'PROJECT TA Y TB KARINA'!#REF!/8</x:f>
        <x:v>#NAME?</x:v>
      </x:c>
      <x:c r="EK30" s="128" t="e">
        <x:f>'PROJECT TA Y TB KARINA'!#REF!/8</x:f>
        <x:v>#NAME?</x:v>
      </x:c>
      <x:c r="EL30" s="128" t="e">
        <x:f>'PROJECT TA Y TB KARINA'!#REF!/8</x:f>
        <x:v>#NAME?</x:v>
      </x:c>
      <x:c r="EM30" s="128" t="e">
        <x:f>'PROJECT TA Y TB KARINA'!#REF!/8</x:f>
        <x:v>#NAME?</x:v>
      </x:c>
      <x:c r="EN30" s="128" t="e">
        <x:f>'PROJECT TA Y TB KARINA'!#REF!/8</x:f>
        <x:v>#NAME?</x:v>
      </x:c>
      <x:c r="EO30" s="128" t="n">
        <x:f>'PROJECT TA Y TB KARINA'!$C84/8</x:f>
        <x:v>0</x:v>
      </x:c>
      <x:c r="EP30" s="128" t="n">
        <x:f>'PROJECT TA Y TB KARINA'!$C84/8</x:f>
        <x:v>0</x:v>
      </x:c>
      <x:c r="EQ30" s="128" t="n">
        <x:f>'PROJECT TA Y TB KARINA'!$C84/8</x:f>
        <x:v>0</x:v>
      </x:c>
      <x:c r="ER30" s="128" t="n">
        <x:f>'PROJECT TA Y TB KARINA'!$C84/8</x:f>
        <x:v>0</x:v>
      </x:c>
      <x:c r="ES30" s="128" t="n">
        <x:f>'PROJECT TA Y TB KARINA'!$C84/8</x:f>
        <x:v>0</x:v>
      </x:c>
      <x:c r="ET30" s="128" t="n">
        <x:f>'PROJECT TA Y TB KARINA'!$C84/8</x:f>
        <x:v>0</x:v>
      </x:c>
      <x:c r="EU30" s="128" t="n">
        <x:f>'PROJECT TA Y TB KARINA'!$C84/8</x:f>
        <x:v>0</x:v>
      </x:c>
      <x:c r="EV30" s="128" t="n">
        <x:f>'PROJECT TA Y TB KARINA'!$E84/8</x:f>
        <x:v>0</x:v>
      </x:c>
      <x:c r="EW30" s="128" t="n">
        <x:f>'PROJECT TA Y TB KARINA'!$E84/8</x:f>
        <x:v>0</x:v>
      </x:c>
      <x:c r="EX30" s="128" t="n">
        <x:f>'PROJECT TA Y TB KARINA'!$E84/8</x:f>
        <x:v>0</x:v>
      </x:c>
      <x:c r="EY30" s="128" t="n">
        <x:f>'PROJECT TA Y TB KARINA'!$E84/8</x:f>
        <x:v>0</x:v>
      </x:c>
      <x:c r="EZ30" s="128" t="n">
        <x:f>'PROJECT TA Y TB KARINA'!$E84/8</x:f>
        <x:v>0</x:v>
      </x:c>
      <x:c r="FA30" s="128" t="n">
        <x:f>'PROJECT TA Y TB KARINA'!$E84/8</x:f>
        <x:v>0</x:v>
      </x:c>
      <x:c r="FB30" s="128" t="n">
        <x:f>'PROJECT TA Y TB KARINA'!$E84/8</x:f>
        <x:v>0</x:v>
      </x:c>
      <x:c r="FC30" s="128" t="n">
        <x:f>'PROJECT TA Y TB KARINA'!$E84/8</x:f>
        <x:v>0</x:v>
      </x:c>
      <x:c r="FD30" s="128" t="n">
        <x:f>'PROJECT TA Y TB KARINA'!$F84/8</x:f>
        <x:v>0</x:v>
      </x:c>
      <x:c r="FE30" s="128" t="n">
        <x:f>'PROJECT TA Y TB KARINA'!$F84/8</x:f>
        <x:v>0</x:v>
      </x:c>
      <x:c r="FF30" s="128" t="n">
        <x:f>'PROJECT TA Y TB KARINA'!$F84/8</x:f>
        <x:v>0</x:v>
      </x:c>
      <x:c r="FG30" s="128" t="n">
        <x:f>'PROJECT TA Y TB KARINA'!$F84/8</x:f>
        <x:v>0</x:v>
      </x:c>
      <x:c r="FH30" s="128" t="n">
        <x:f>'PROJECT TA Y TB KARINA'!$F84/8</x:f>
        <x:v>0</x:v>
      </x:c>
      <x:c r="FI30" s="128" t="n">
        <x:f>'PROJECT TA Y TB KARINA'!$F84/8</x:f>
        <x:v>0</x:v>
      </x:c>
      <x:c r="FJ30" s="128" t="n">
        <x:f>'PROJECT TA Y TB KARINA'!$F84/8</x:f>
        <x:v>0</x:v>
      </x:c>
      <x:c r="FK30" s="128" t="n">
        <x:f>'PROJECT TA Y TB KARINA'!$F84/8</x:f>
        <x:v>0</x:v>
      </x:c>
      <x:c r="FL30" s="128" t="n">
        <x:f>'PROJECT TA Y TB KARINA'!$G84/8</x:f>
        <x:v>0</x:v>
      </x:c>
      <x:c r="FM30" s="128" t="n">
        <x:f>'PROJECT TA Y TB KARINA'!$G84/8</x:f>
        <x:v>0</x:v>
      </x:c>
      <x:c r="FN30" s="128" t="n">
        <x:f>'PROJECT TA Y TB KARINA'!$G84/8</x:f>
        <x:v>0</x:v>
      </x:c>
      <x:c r="FO30" s="128" t="n">
        <x:f>'PROJECT TA Y TB KARINA'!$G84/8</x:f>
        <x:v>0</x:v>
      </x:c>
      <x:c r="FP30" s="128" t="n">
        <x:f>'PROJECT TA Y TB KARINA'!$G84/8</x:f>
        <x:v>0</x:v>
      </x:c>
      <x:c r="FQ30" s="128" t="n">
        <x:f>'PROJECT TA Y TB KARINA'!$G84/8</x:f>
        <x:v>0</x:v>
      </x:c>
      <x:c r="FR30" s="128" t="n">
        <x:f>'PROJECT TA Y TB KARINA'!$G84/8</x:f>
        <x:v>0</x:v>
      </x:c>
      <x:c r="FS30" s="128" t="n">
        <x:f>'PROJECT TA Y TB KARINA'!$G84/8</x:f>
        <x:v>0</x:v>
      </x:c>
      <x:c r="FT30" s="128" t="n">
        <x:f>'PROJECT TA Y TB KARINA'!$H84/8</x:f>
        <x:v>0</x:v>
      </x:c>
      <x:c r="FU30" s="128" t="n">
        <x:f>'PROJECT TA Y TB KARINA'!$H84/8</x:f>
        <x:v>0</x:v>
      </x:c>
      <x:c r="FV30" s="128" t="n">
        <x:f>'PROJECT TA Y TB KARINA'!$H84/8</x:f>
        <x:v>0</x:v>
      </x:c>
      <x:c r="FW30" s="128" t="n">
        <x:f>'PROJECT TA Y TB KARINA'!$H84/8</x:f>
        <x:v>0</x:v>
      </x:c>
      <x:c r="FX30" s="128" t="n">
        <x:f>'PROJECT TA Y TB KARINA'!$H84/8</x:f>
        <x:v>0</x:v>
      </x:c>
      <x:c r="FY30" s="128" t="n">
        <x:f>'PROJECT TA Y TB KARINA'!$H84/8</x:f>
        <x:v>0</x:v>
      </x:c>
      <x:c r="FZ30" s="128" t="n">
        <x:f>'PROJECT TA Y TB KARINA'!$H84/8</x:f>
        <x:v>0</x:v>
      </x:c>
      <x:c r="GA30" s="128" t="n">
        <x:f>'PROJECT TA Y TB KARINA'!$H84/8</x:f>
        <x:v>0</x:v>
      </x:c>
      <x:c r="GB30" s="128" t="n">
        <x:f>'PROJECT TA Y TB KARINA'!$I84/8</x:f>
        <x:v>0</x:v>
      </x:c>
      <x:c r="GC30" s="128" t="n">
        <x:f>'PROJECT TA Y TB KARINA'!$I84/8</x:f>
        <x:v>0</x:v>
      </x:c>
      <x:c r="GD30" s="128" t="n">
        <x:f>'PROJECT TA Y TB KARINA'!$I84/8</x:f>
        <x:v>0</x:v>
      </x:c>
      <x:c r="GE30" s="128" t="n">
        <x:f>'PROJECT TA Y TB KARINA'!$I84/8</x:f>
        <x:v>0</x:v>
      </x:c>
      <x:c r="GF30" s="128" t="n">
        <x:f>'PROJECT TA Y TB KARINA'!$I84/8</x:f>
        <x:v>0</x:v>
      </x:c>
      <x:c r="GG30" s="128" t="n">
        <x:f>'PROJECT TA Y TB KARINA'!$I84/8</x:f>
        <x:v>0</x:v>
      </x:c>
      <x:c r="GH30" s="128" t="n">
        <x:f>'PROJECT TA Y TB KARINA'!$I84/8</x:f>
        <x:v>0</x:v>
      </x:c>
      <x:c r="GI30" s="128" t="n">
        <x:f>'PROJECT TA Y TB KARINA'!$I84/8</x:f>
        <x:v>0</x:v>
      </x:c>
      <x:c r="GJ30" s="128" t="n">
        <x:f>'PROJECT TA Y TB KARINA'!$J84/8</x:f>
        <x:v>0</x:v>
      </x:c>
      <x:c r="GK30" s="128" t="n">
        <x:f>'PROJECT TA Y TB KARINA'!$J84/8</x:f>
        <x:v>0</x:v>
      </x:c>
      <x:c r="GL30" s="128" t="n">
        <x:f>'PROJECT TA Y TB KARINA'!$J84/8</x:f>
        <x:v>0</x:v>
      </x:c>
      <x:c r="GM30" s="128" t="n">
        <x:f>'PROJECT TA Y TB KARINA'!$J84/8</x:f>
        <x:v>0</x:v>
      </x:c>
      <x:c r="GN30" s="128" t="n">
        <x:f>'PROJECT TA Y TB KARINA'!$J84/8</x:f>
        <x:v>0</x:v>
      </x:c>
      <x:c r="GO30" s="128" t="n">
        <x:f>'PROJECT TA Y TB KARINA'!$J84/8</x:f>
        <x:v>0</x:v>
      </x:c>
      <x:c r="GP30" s="128" t="n">
        <x:f>'PROJECT TA Y TB KARINA'!$J84/8</x:f>
        <x:v>0</x:v>
      </x:c>
      <x:c r="GQ30" s="128" t="n">
        <x:f>'PROJECT TA Y TB KARINA'!$J84/8</x:f>
        <x:v>0</x:v>
      </x:c>
      <x:c r="GR30" s="128" t="n">
        <x:f>'PROJECT TA Y TB KARINA'!$K84/8</x:f>
        <x:v>0</x:v>
      </x:c>
      <x:c r="GS30" s="128" t="n">
        <x:f>'PROJECT TA Y TB KARINA'!$K84/8</x:f>
        <x:v>0</x:v>
      </x:c>
      <x:c r="GT30" s="128" t="n">
        <x:f>'PROJECT TA Y TB KARINA'!$K84/8</x:f>
        <x:v>0</x:v>
      </x:c>
      <x:c r="GU30" s="128" t="n">
        <x:f>'PROJECT TA Y TB KARINA'!$K84/8</x:f>
        <x:v>0</x:v>
      </x:c>
      <x:c r="GV30" s="128" t="n">
        <x:f>'PROJECT TA Y TB KARINA'!$K84/8</x:f>
        <x:v>0</x:v>
      </x:c>
      <x:c r="GW30" s="128" t="n">
        <x:f>'PROJECT TA Y TB KARINA'!$K84/8</x:f>
        <x:v>0</x:v>
      </x:c>
      <x:c r="GX30" s="128" t="n">
        <x:f>'PROJECT TA Y TB KARINA'!$K84/8</x:f>
        <x:v>0</x:v>
      </x:c>
      <x:c r="GY30" s="128" t="n">
        <x:f>'PROJECT TA Y TB KARINA'!$K84/8</x:f>
        <x:v>0</x:v>
      </x:c>
      <x:c r="GZ30" s="128" t="n">
        <x:f>'PROJECT TA Y TB KARINA'!$L84/8</x:f>
        <x:v>0</x:v>
      </x:c>
      <x:c r="HA30" s="128" t="n">
        <x:f>'PROJECT TA Y TB KARINA'!$L84/8</x:f>
        <x:v>0</x:v>
      </x:c>
      <x:c r="HB30" s="128" t="n">
        <x:f>'PROJECT TA Y TB KARINA'!$L84/8</x:f>
        <x:v>0</x:v>
      </x:c>
      <x:c r="HC30" s="128" t="n">
        <x:f>'PROJECT TA Y TB KARINA'!$L84/8</x:f>
        <x:v>0</x:v>
      </x:c>
      <x:c r="HD30" s="128" t="n">
        <x:f>'PROJECT TA Y TB KARINA'!$L84/8</x:f>
        <x:v>0</x:v>
      </x:c>
      <x:c r="HE30" s="128" t="n">
        <x:f>'PROJECT TA Y TB KARINA'!$L84/8</x:f>
        <x:v>0</x:v>
      </x:c>
      <x:c r="HF30" s="128" t="n">
        <x:f>'PROJECT TA Y TB KARINA'!$L84/8</x:f>
        <x:v>0</x:v>
      </x:c>
      <x:c r="HG30" s="128" t="n">
        <x:f>'PROJECT TA Y TB KARINA'!$L84/8</x:f>
        <x:v>0</x:v>
      </x:c>
      <x:c r="HH30" s="128" t="n">
        <x:f>'PROJECT TA Y TB KARINA'!$M84/8</x:f>
        <x:v>0</x:v>
      </x:c>
      <x:c r="HI30" s="128" t="n">
        <x:f>'PROJECT TA Y TB KARINA'!$M84/8</x:f>
        <x:v>0</x:v>
      </x:c>
      <x:c r="HJ30" s="128" t="n">
        <x:f>'PROJECT TA Y TB KARINA'!$M84/8</x:f>
        <x:v>0</x:v>
      </x:c>
      <x:c r="HK30" s="128" t="n">
        <x:f>'PROJECT TA Y TB KARINA'!$M84/8</x:f>
        <x:v>0</x:v>
      </x:c>
      <x:c r="HL30" s="128" t="n">
        <x:f>'PROJECT TA Y TB KARINA'!$M84/8</x:f>
        <x:v>0</x:v>
      </x:c>
      <x:c r="HM30" s="128" t="n">
        <x:f>'PROJECT TA Y TB KARINA'!$M84/8</x:f>
        <x:v>0</x:v>
      </x:c>
      <x:c r="HN30" s="128" t="n">
        <x:f>'PROJECT TA Y TB KARINA'!$M84/8</x:f>
        <x:v>0</x:v>
      </x:c>
      <x:c r="HO30" s="128" t="n">
        <x:f>'PROJECT TA Y TB KARINA'!$M84/8</x:f>
        <x:v>0</x:v>
      </x:c>
      <x:c r="HP30" s="128" t="n">
        <x:f>'PROJECT TA Y TB KARINA'!$N84/8</x:f>
        <x:v>0</x:v>
      </x:c>
      <x:c r="HQ30" s="128" t="n">
        <x:f>'PROJECT TA Y TB KARINA'!$N84/8</x:f>
        <x:v>0</x:v>
      </x:c>
      <x:c r="HR30" s="128" t="n">
        <x:f>'PROJECT TA Y TB KARINA'!$N84/8</x:f>
        <x:v>0</x:v>
      </x:c>
      <x:c r="HS30" s="128" t="n">
        <x:f>'PROJECT TA Y TB KARINA'!$N84/8</x:f>
        <x:v>0</x:v>
      </x:c>
      <x:c r="HT30" s="128" t="n">
        <x:f>'PROJECT TA Y TB KARINA'!$N84/8</x:f>
        <x:v>0</x:v>
      </x:c>
      <x:c r="HU30" s="128" t="n">
        <x:f>'PROJECT TA Y TB KARINA'!$N84/8</x:f>
        <x:v>0</x:v>
      </x:c>
      <x:c r="HV30" s="128" t="n">
        <x:f>'PROJECT TA Y TB KARINA'!$N84/8</x:f>
        <x:v>0</x:v>
      </x:c>
      <x:c r="HW30" s="128" t="n">
        <x:f>'PROJECT TA Y TB KARINA'!$N84/8</x:f>
        <x:v>0</x:v>
      </x:c>
      <x:c r="HX30" s="128" t="n">
        <x:f>'PROJECT TA Y TB KARINA'!$O84/8</x:f>
        <x:v>0</x:v>
      </x:c>
      <x:c r="HY30" s="128" t="n">
        <x:f>'PROJECT TA Y TB KARINA'!$O84/8</x:f>
        <x:v>0</x:v>
      </x:c>
      <x:c r="HZ30" s="128" t="n">
        <x:f>'PROJECT TA Y TB KARINA'!$O84/8</x:f>
        <x:v>0</x:v>
      </x:c>
      <x:c r="IA30" s="128" t="n">
        <x:f>'PROJECT TA Y TB KARINA'!$O84/8</x:f>
        <x:v>0</x:v>
      </x:c>
      <x:c r="IB30" s="128" t="n">
        <x:f>'PROJECT TA Y TB KARINA'!$O84/8</x:f>
        <x:v>0</x:v>
      </x:c>
      <x:c r="IC30" s="128" t="n">
        <x:f>'PROJECT TA Y TB KARINA'!$O84/8</x:f>
        <x:v>0</x:v>
      </x:c>
      <x:c r="ID30" s="128" t="n">
        <x:f>'PROJECT TA Y TB KARINA'!$O84/8</x:f>
        <x:v>0</x:v>
      </x:c>
      <x:c r="IE30" s="128" t="n">
        <x:f>'PROJECT TA Y TB KARINA'!$O84/8</x:f>
        <x:v>0</x:v>
      </x:c>
      <x:c r="IF30" s="128" t="n">
        <x:f>'PROJECT TA Y TB KARINA'!$P84/8</x:f>
        <x:v>0</x:v>
      </x:c>
      <x:c r="IG30" s="128" t="n">
        <x:f>'PROJECT TA Y TB KARINA'!$P84/8</x:f>
        <x:v>0</x:v>
      </x:c>
      <x:c r="IH30" s="128" t="n">
        <x:f>'PROJECT TA Y TB KARINA'!$P84/8</x:f>
        <x:v>0</x:v>
      </x:c>
      <x:c r="II30" s="128" t="n">
        <x:f>'PROJECT TA Y TB KARINA'!$P84/8</x:f>
        <x:v>0</x:v>
      </x:c>
      <x:c r="IJ30" s="128" t="n">
        <x:f>'PROJECT TA Y TB KARINA'!$P84/8</x:f>
        <x:v>0</x:v>
      </x:c>
      <x:c r="IK30" s="128" t="n">
        <x:f>'PROJECT TA Y TB KARINA'!$P84/8</x:f>
        <x:v>0</x:v>
      </x:c>
      <x:c r="IL30" s="128" t="n">
        <x:f>'PROJECT TA Y TB KARINA'!$P84/8</x:f>
        <x:v>0</x:v>
      </x:c>
      <x:c r="IM30" s="128" t="n">
        <x:f>'PROJECT TA Y TB KARINA'!$P84/8</x:f>
        <x:v>0</x:v>
      </x:c>
      <x:c r="IN30" s="128" t="n">
        <x:f>'PROJECT TA Y TB KARINA'!$Q84/8</x:f>
        <x:v>0</x:v>
      </x:c>
      <x:c r="IO30" s="128" t="n">
        <x:f>'PROJECT TA Y TB KARINA'!$Q84/8</x:f>
        <x:v>0</x:v>
      </x:c>
      <x:c r="IP30" s="128" t="n">
        <x:f>'PROJECT TA Y TB KARINA'!$Q84/8</x:f>
        <x:v>0</x:v>
      </x:c>
      <x:c r="IQ30" s="128" t="n">
        <x:f>'PROJECT TA Y TB KARINA'!$Q84/8</x:f>
        <x:v>0</x:v>
      </x:c>
      <x:c r="IR30" s="128" t="n">
        <x:f>'PROJECT TA Y TB KARINA'!$Q84/8</x:f>
        <x:v>0</x:v>
      </x:c>
      <x:c r="IS30" s="128" t="n">
        <x:f>'PROJECT TA Y TB KARINA'!$Q84/8</x:f>
        <x:v>0</x:v>
      </x:c>
      <x:c r="IT30" s="128" t="n">
        <x:f>'PROJECT TA Y TB KARINA'!$Q84/8</x:f>
        <x:v>0</x:v>
      </x:c>
      <x:c r="IU30" s="128" t="n">
        <x:f>'PROJECT TA Y TB KARINA'!$Q84/8</x:f>
        <x:v>0</x:v>
      </x:c>
      <x:c r="IV30" s="128" t="n">
        <x:f>'PROJECT TA Y TB KARINA'!$R84/8</x:f>
        <x:v>0</x:v>
      </x:c>
      <x:c r="IW30" s="128" t="n">
        <x:f>'PROJECT TA Y TB KARINA'!$R84/8</x:f>
        <x:v>0</x:v>
      </x:c>
      <x:c r="IX30" s="128" t="n">
        <x:f>'PROJECT TA Y TB KARINA'!$R84/8</x:f>
        <x:v>0</x:v>
      </x:c>
      <x:c r="IY30" s="128" t="n">
        <x:f>'PROJECT TA Y TB KARINA'!$R84/8</x:f>
        <x:v>0</x:v>
      </x:c>
      <x:c r="IZ30" s="128" t="n">
        <x:f>'PROJECT TA Y TB KARINA'!$R84/8</x:f>
        <x:v>0</x:v>
      </x:c>
      <x:c r="JA30" s="128" t="n">
        <x:f>'PROJECT TA Y TB KARINA'!$R84/8</x:f>
        <x:v>0</x:v>
      </x:c>
      <x:c r="JB30" s="128" t="n">
        <x:f>'PROJECT TA Y TB KARINA'!$R84/8</x:f>
        <x:v>0</x:v>
      </x:c>
      <x:c r="JC30" s="128" t="n">
        <x:f>'PROJECT TA Y TB KARINA'!$R84/8</x:f>
        <x:v>0</x:v>
      </x:c>
      <x:c r="JD30" s="128" t="n">
        <x:f>'PROJECT TA Y TB KARINA'!$S84/8</x:f>
        <x:v>0</x:v>
      </x:c>
      <x:c r="JE30" s="128" t="n">
        <x:f>'PROJECT TA Y TB KARINA'!$S84/8</x:f>
        <x:v>0</x:v>
      </x:c>
      <x:c r="JF30" s="128" t="n">
        <x:f>'PROJECT TA Y TB KARINA'!$S84/8</x:f>
        <x:v>0</x:v>
      </x:c>
      <x:c r="JG30" s="128" t="n">
        <x:f>'PROJECT TA Y TB KARINA'!$S84/8</x:f>
        <x:v>0</x:v>
      </x:c>
      <x:c r="JH30" s="128" t="n">
        <x:f>'PROJECT TA Y TB KARINA'!$S84/8</x:f>
        <x:v>0</x:v>
      </x:c>
      <x:c r="JI30" s="128" t="n">
        <x:f>'PROJECT TA Y TB KARINA'!$S84/8</x:f>
        <x:v>0</x:v>
      </x:c>
      <x:c r="JJ30" s="128" t="n">
        <x:f>'PROJECT TA Y TB KARINA'!$S84/8</x:f>
        <x:v>0</x:v>
      </x:c>
      <x:c r="JK30" s="128" t="n">
        <x:f>'PROJECT TA Y TB KARINA'!$S84/8</x:f>
        <x:v>0</x:v>
      </x:c>
      <x:c r="JL30" s="128" t="n">
        <x:f>'PROJECT TA Y TB KARINA'!$T84/8</x:f>
        <x:v>0</x:v>
      </x:c>
      <x:c r="JM30" s="128" t="n">
        <x:f>'PROJECT TA Y TB KARINA'!$T84/8</x:f>
        <x:v>0</x:v>
      </x:c>
      <x:c r="JN30" s="128" t="n">
        <x:f>'PROJECT TA Y TB KARINA'!$T84/8</x:f>
        <x:v>0</x:v>
      </x:c>
      <x:c r="JO30" s="128" t="n">
        <x:f>'PROJECT TA Y TB KARINA'!$T84/8</x:f>
        <x:v>0</x:v>
      </x:c>
      <x:c r="JP30" s="128" t="n">
        <x:f>'PROJECT TA Y TB KARINA'!$T84/8</x:f>
        <x:v>0</x:v>
      </x:c>
      <x:c r="JQ30" s="128" t="n">
        <x:f>'PROJECT TA Y TB KARINA'!$T84/8</x:f>
        <x:v>0</x:v>
      </x:c>
      <x:c r="JR30" s="128" t="n">
        <x:f>'PROJECT TA Y TB KARINA'!$T84/8</x:f>
        <x:v>0</x:v>
      </x:c>
      <x:c r="JS30" s="128" t="n">
        <x:f>'PROJECT TA Y TB KARINA'!$T84/8</x:f>
        <x:v>0</x:v>
      </x:c>
      <x:c r="JT30" s="128" t="e">
        <x:f>'PROJECT TA Y TB KARINA'!#REF!/8</x:f>
        <x:v>#NAME?</x:v>
      </x:c>
      <x:c r="JU30" s="128" t="e">
        <x:f>'PROJECT TA Y TB KARINA'!#REF!/8</x:f>
        <x:v>#NAME?</x:v>
      </x:c>
      <x:c r="JV30" s="128" t="e">
        <x:f>'PROJECT TA Y TB KARINA'!#REF!/8</x:f>
        <x:v>#NAME?</x:v>
      </x:c>
      <x:c r="JW30" s="128" t="e">
        <x:f>'PROJECT TA Y TB KARINA'!#REF!/8</x:f>
        <x:v>#NAME?</x:v>
      </x:c>
      <x:c r="JX30" s="128" t="e">
        <x:f>'PROJECT TA Y TB KARINA'!#REF!/8</x:f>
        <x:v>#NAME?</x:v>
      </x:c>
      <x:c r="JY30" s="128" t="e">
        <x:f>'PROJECT TA Y TB KARINA'!#REF!/8</x:f>
        <x:v>#NAME?</x:v>
      </x:c>
      <x:c r="JZ30" s="128" t="e">
        <x:f>'PROJECT TA Y TB KARINA'!#REF!/8</x:f>
        <x:v>#NAME?</x:v>
      </x:c>
      <x:c r="KA30" s="128" t="e">
        <x:f>'PROJECT TA Y TB KARINA'!#REF!/8</x:f>
        <x:v>#NAME?</x:v>
      </x:c>
    </x:row>
    <x:row r="31" ht="21">
      <x:c r="A31" s="131" t="s">
        <x:v>516</x:v>
      </x:c>
      <x:c r="B31" s="128" t="e">
        <x:f>'PROJECT TA Y TB KARINA'!$C$27/8</x:f>
        <x:v>#REF!</x:v>
      </x:c>
      <x:c r="C31" s="128" t="e">
        <x:f>'PROJECT TA Y TB KARINA'!$C$27/8</x:f>
        <x:v>#REF!</x:v>
      </x:c>
      <x:c r="D31" s="128" t="e">
        <x:f>'PROJECT TA Y TB KARINA'!$C$27/8</x:f>
        <x:v>#REF!</x:v>
      </x:c>
      <x:c r="E31" s="128" t="e">
        <x:f>'PROJECT TA Y TB KARINA'!$C$27/8</x:f>
        <x:v>#REF!</x:v>
      </x:c>
      <x:c r="F31" s="128" t="e">
        <x:f>'PROJECT TA Y TB KARINA'!$C$27/8</x:f>
        <x:v>#REF!</x:v>
      </x:c>
      <x:c r="G31" s="128" t="e">
        <x:f>'PROJECT TA Y TB KARINA'!$C$27/8</x:f>
        <x:v>#REF!</x:v>
      </x:c>
      <x:c r="H31" s="128" t="e">
        <x:f>'PROJECT TA Y TB KARINA'!$C$27/8</x:f>
        <x:v>#REF!</x:v>
      </x:c>
      <x:c r="I31" s="128" t="e">
        <x:f>'PROJECT TA Y TB KARINA'!$E27/8</x:f>
        <x:v>#REF!</x:v>
      </x:c>
      <x:c r="J31" s="128" t="e">
        <x:f>'PROJECT TA Y TB KARINA'!$E27/8</x:f>
        <x:v>#REF!</x:v>
      </x:c>
      <x:c r="K31" s="128" t="e">
        <x:f>'PROJECT TA Y TB KARINA'!$E27/8</x:f>
        <x:v>#REF!</x:v>
      </x:c>
      <x:c r="L31" s="128" t="e">
        <x:f>'PROJECT TA Y TB KARINA'!$E27/8</x:f>
        <x:v>#REF!</x:v>
      </x:c>
      <x:c r="M31" s="128" t="e">
        <x:f>'PROJECT TA Y TB KARINA'!$E27/8</x:f>
        <x:v>#REF!</x:v>
      </x:c>
      <x:c r="N31" s="128" t="e">
        <x:f>'PROJECT TA Y TB KARINA'!$E27/8</x:f>
        <x:v>#REF!</x:v>
      </x:c>
      <x:c r="O31" s="128" t="e">
        <x:f>'PROJECT TA Y TB KARINA'!$E27/8</x:f>
        <x:v>#REF!</x:v>
      </x:c>
      <x:c r="P31" s="128" t="e">
        <x:f>'PROJECT TA Y TB KARINA'!$E27/8</x:f>
        <x:v>#REF!</x:v>
      </x:c>
      <x:c r="Q31" s="128" t="e">
        <x:f>'PROJECT TA Y TB KARINA'!$F27/8</x:f>
        <x:v>#REF!</x:v>
      </x:c>
      <x:c r="R31" s="128" t="e">
        <x:f>'PROJECT TA Y TB KARINA'!$F27/8</x:f>
        <x:v>#REF!</x:v>
      </x:c>
      <x:c r="S31" s="128" t="e">
        <x:f>'PROJECT TA Y TB KARINA'!$F27/8</x:f>
        <x:v>#REF!</x:v>
      </x:c>
      <x:c r="T31" s="128" t="e">
        <x:f>'PROJECT TA Y TB KARINA'!$F27/8</x:f>
        <x:v>#REF!</x:v>
      </x:c>
      <x:c r="U31" s="128" t="e">
        <x:f>'PROJECT TA Y TB KARINA'!$F27/8</x:f>
        <x:v>#REF!</x:v>
      </x:c>
      <x:c r="V31" s="128" t="e">
        <x:f>'PROJECT TA Y TB KARINA'!$F27/8</x:f>
        <x:v>#REF!</x:v>
      </x:c>
      <x:c r="W31" s="128" t="e">
        <x:f>'PROJECT TA Y TB KARINA'!$F27/8</x:f>
        <x:v>#REF!</x:v>
      </x:c>
      <x:c r="X31" s="128" t="e">
        <x:f>'PROJECT TA Y TB KARINA'!$F27/8</x:f>
        <x:v>#REF!</x:v>
      </x:c>
      <x:c r="Y31" s="128" t="e">
        <x:f>'PROJECT TA Y TB KARINA'!$G27/8</x:f>
        <x:v>#REF!</x:v>
      </x:c>
      <x:c r="Z31" s="128" t="e">
        <x:f>'PROJECT TA Y TB KARINA'!$G27/8</x:f>
        <x:v>#REF!</x:v>
      </x:c>
      <x:c r="AA31" s="128" t="e">
        <x:f>'PROJECT TA Y TB KARINA'!$G27/8</x:f>
        <x:v>#REF!</x:v>
      </x:c>
      <x:c r="AB31" s="128" t="e">
        <x:f>'PROJECT TA Y TB KARINA'!$G27/8</x:f>
        <x:v>#REF!</x:v>
      </x:c>
      <x:c r="AC31" s="128" t="e">
        <x:f>'PROJECT TA Y TB KARINA'!$G27/8</x:f>
        <x:v>#REF!</x:v>
      </x:c>
      <x:c r="AD31" s="128" t="e">
        <x:f>'PROJECT TA Y TB KARINA'!$G27/8</x:f>
        <x:v>#REF!</x:v>
      </x:c>
      <x:c r="AE31" s="128" t="e">
        <x:f>'PROJECT TA Y TB KARINA'!$G27/8</x:f>
        <x:v>#REF!</x:v>
      </x:c>
      <x:c r="AF31" s="128" t="e">
        <x:f>'PROJECT TA Y TB KARINA'!$G27/8</x:f>
        <x:v>#REF!</x:v>
      </x:c>
      <x:c r="AG31" s="128" t="e">
        <x:f>'PROJECT TA Y TB KARINA'!$H27/8</x:f>
        <x:v>#REF!</x:v>
      </x:c>
      <x:c r="AH31" s="128" t="e">
        <x:f>'PROJECT TA Y TB KARINA'!$H27/8</x:f>
        <x:v>#REF!</x:v>
      </x:c>
      <x:c r="AI31" s="128" t="e">
        <x:f>'PROJECT TA Y TB KARINA'!$H27/8</x:f>
        <x:v>#REF!</x:v>
      </x:c>
      <x:c r="AJ31" s="128" t="e">
        <x:f>'PROJECT TA Y TB KARINA'!$H27/8</x:f>
        <x:v>#REF!</x:v>
      </x:c>
      <x:c r="AK31" s="128" t="e">
        <x:f>'PROJECT TA Y TB KARINA'!$H27/8</x:f>
        <x:v>#REF!</x:v>
      </x:c>
      <x:c r="AL31" s="128" t="e">
        <x:f>'PROJECT TA Y TB KARINA'!$H27/8</x:f>
        <x:v>#REF!</x:v>
      </x:c>
      <x:c r="AM31" s="128" t="e">
        <x:f>'PROJECT TA Y TB KARINA'!$H27/8</x:f>
        <x:v>#REF!</x:v>
      </x:c>
      <x:c r="AN31" s="128" t="e">
        <x:f>'PROJECT TA Y TB KARINA'!$H27/8</x:f>
        <x:v>#REF!</x:v>
      </x:c>
      <x:c r="AO31" s="128" t="e">
        <x:f>'PROJECT TA Y TB KARINA'!$I27/8</x:f>
        <x:v>#REF!</x:v>
      </x:c>
      <x:c r="AP31" s="128" t="e">
        <x:f>'PROJECT TA Y TB KARINA'!$I27/8</x:f>
        <x:v>#REF!</x:v>
      </x:c>
      <x:c r="AQ31" s="128" t="e">
        <x:f>'PROJECT TA Y TB KARINA'!$I27/8</x:f>
        <x:v>#REF!</x:v>
      </x:c>
      <x:c r="AR31" s="128" t="e">
        <x:f>'PROJECT TA Y TB KARINA'!$I27/8</x:f>
        <x:v>#REF!</x:v>
      </x:c>
      <x:c r="AS31" s="128" t="e">
        <x:f>'PROJECT TA Y TB KARINA'!$I27/8</x:f>
        <x:v>#REF!</x:v>
      </x:c>
      <x:c r="AT31" s="128" t="e">
        <x:f>'PROJECT TA Y TB KARINA'!$I27/8</x:f>
        <x:v>#REF!</x:v>
      </x:c>
      <x:c r="AU31" s="128" t="e">
        <x:f>'PROJECT TA Y TB KARINA'!$I27/8</x:f>
        <x:v>#REF!</x:v>
      </x:c>
      <x:c r="AV31" s="128" t="e">
        <x:f>'PROJECT TA Y TB KARINA'!$I27/8</x:f>
        <x:v>#REF!</x:v>
      </x:c>
      <x:c r="AW31" s="128" t="e">
        <x:f>'PROJECT TA Y TB KARINA'!$J27/8</x:f>
        <x:v>#REF!</x:v>
      </x:c>
      <x:c r="AX31" s="128" t="e">
        <x:f>'PROJECT TA Y TB KARINA'!$J27/8</x:f>
        <x:v>#REF!</x:v>
      </x:c>
      <x:c r="AY31" s="128" t="e">
        <x:f>'PROJECT TA Y TB KARINA'!$J27/8</x:f>
        <x:v>#REF!</x:v>
      </x:c>
      <x:c r="AZ31" s="128" t="e">
        <x:f>'PROJECT TA Y TB KARINA'!$J27/8</x:f>
        <x:v>#REF!</x:v>
      </x:c>
      <x:c r="BA31" s="128" t="e">
        <x:f>'PROJECT TA Y TB KARINA'!$J27/8</x:f>
        <x:v>#REF!</x:v>
      </x:c>
      <x:c r="BB31" s="128" t="e">
        <x:f>'PROJECT TA Y TB KARINA'!$J27/8</x:f>
        <x:v>#REF!</x:v>
      </x:c>
      <x:c r="BC31" s="128" t="e">
        <x:f>'PROJECT TA Y TB KARINA'!$J27/8</x:f>
        <x:v>#REF!</x:v>
      </x:c>
      <x:c r="BD31" s="128" t="e">
        <x:f>'PROJECT TA Y TB KARINA'!$J27/8</x:f>
        <x:v>#REF!</x:v>
      </x:c>
      <x:c r="BE31" s="128" t="e">
        <x:f>'PROJECT TA Y TB KARINA'!$K27/8</x:f>
        <x:v>#REF!</x:v>
      </x:c>
      <x:c r="BF31" s="128" t="e">
        <x:f>'PROJECT TA Y TB KARINA'!$K27/8</x:f>
        <x:v>#REF!</x:v>
      </x:c>
      <x:c r="BG31" s="128" t="e">
        <x:f>'PROJECT TA Y TB KARINA'!$K27/8</x:f>
        <x:v>#REF!</x:v>
      </x:c>
      <x:c r="BH31" s="128" t="e">
        <x:f>'PROJECT TA Y TB KARINA'!$K27/8</x:f>
        <x:v>#REF!</x:v>
      </x:c>
      <x:c r="BI31" s="128" t="e">
        <x:f>'PROJECT TA Y TB KARINA'!$K27/8</x:f>
        <x:v>#REF!</x:v>
      </x:c>
      <x:c r="BJ31" s="128" t="e">
        <x:f>'PROJECT TA Y TB KARINA'!$K27/8</x:f>
        <x:v>#REF!</x:v>
      </x:c>
      <x:c r="BK31" s="128" t="e">
        <x:f>'PROJECT TA Y TB KARINA'!$K27/8</x:f>
        <x:v>#REF!</x:v>
      </x:c>
      <x:c r="BL31" s="128" t="e">
        <x:f>'PROJECT TA Y TB KARINA'!$K27/8</x:f>
        <x:v>#REF!</x:v>
      </x:c>
      <x:c r="BM31" s="128" t="e">
        <x:f>'PROJECT TA Y TB KARINA'!$L27/8</x:f>
        <x:v>#REF!</x:v>
      </x:c>
      <x:c r="BN31" s="128" t="e">
        <x:f>'PROJECT TA Y TB KARINA'!$L27/8</x:f>
        <x:v>#REF!</x:v>
      </x:c>
      <x:c r="BO31" s="128" t="e">
        <x:f>'PROJECT TA Y TB KARINA'!$L27/8</x:f>
        <x:v>#REF!</x:v>
      </x:c>
      <x:c r="BP31" s="128" t="e">
        <x:f>'PROJECT TA Y TB KARINA'!$L27/8</x:f>
        <x:v>#REF!</x:v>
      </x:c>
      <x:c r="BQ31" s="128" t="e">
        <x:f>'PROJECT TA Y TB KARINA'!$L27/8</x:f>
        <x:v>#REF!</x:v>
      </x:c>
      <x:c r="BR31" s="128" t="e">
        <x:f>'PROJECT TA Y TB KARINA'!$L27/8</x:f>
        <x:v>#REF!</x:v>
      </x:c>
      <x:c r="BS31" s="128" t="e">
        <x:f>'PROJECT TA Y TB KARINA'!$L27/8</x:f>
        <x:v>#REF!</x:v>
      </x:c>
      <x:c r="BT31" s="128" t="e">
        <x:f>'PROJECT TA Y TB KARINA'!$L27/8</x:f>
        <x:v>#REF!</x:v>
      </x:c>
      <x:c r="BU31" s="128" t="e">
        <x:f>'PROJECT TA Y TB KARINA'!$M27/8</x:f>
        <x:v>#REF!</x:v>
      </x:c>
      <x:c r="BV31" s="128" t="e">
        <x:f>'PROJECT TA Y TB KARINA'!$M27/8</x:f>
        <x:v>#REF!</x:v>
      </x:c>
      <x:c r="BW31" s="128" t="e">
        <x:f>'PROJECT TA Y TB KARINA'!$M27/8</x:f>
        <x:v>#REF!</x:v>
      </x:c>
      <x:c r="BX31" s="128" t="e">
        <x:f>'PROJECT TA Y TB KARINA'!$M27/8</x:f>
        <x:v>#REF!</x:v>
      </x:c>
      <x:c r="BY31" s="128" t="e">
        <x:f>'PROJECT TA Y TB KARINA'!$M27/8</x:f>
        <x:v>#REF!</x:v>
      </x:c>
      <x:c r="BZ31" s="128" t="e">
        <x:f>'PROJECT TA Y TB KARINA'!$M27/8</x:f>
        <x:v>#REF!</x:v>
      </x:c>
      <x:c r="CA31" s="128" t="e">
        <x:f>'PROJECT TA Y TB KARINA'!$M27/8</x:f>
        <x:v>#REF!</x:v>
      </x:c>
      <x:c r="CB31" s="128" t="e">
        <x:f>'PROJECT TA Y TB KARINA'!$M27/8</x:f>
        <x:v>#REF!</x:v>
      </x:c>
      <x:c r="CC31" s="128" t="e">
        <x:f>'PROJECT TA Y TB KARINA'!$N27/8</x:f>
        <x:v>#REF!</x:v>
      </x:c>
      <x:c r="CD31" s="128" t="e">
        <x:f>'PROJECT TA Y TB KARINA'!$N27/8</x:f>
        <x:v>#REF!</x:v>
      </x:c>
      <x:c r="CE31" s="128" t="e">
        <x:f>'PROJECT TA Y TB KARINA'!$N27/8</x:f>
        <x:v>#REF!</x:v>
      </x:c>
      <x:c r="CF31" s="128" t="e">
        <x:f>'PROJECT TA Y TB KARINA'!$N27/8</x:f>
        <x:v>#REF!</x:v>
      </x:c>
      <x:c r="CG31" s="128" t="e">
        <x:f>'PROJECT TA Y TB KARINA'!$N27/8</x:f>
        <x:v>#REF!</x:v>
      </x:c>
      <x:c r="CH31" s="128" t="e">
        <x:f>'PROJECT TA Y TB KARINA'!$N27/8</x:f>
        <x:v>#REF!</x:v>
      </x:c>
      <x:c r="CI31" s="128" t="e">
        <x:f>'PROJECT TA Y TB KARINA'!$N27/8</x:f>
        <x:v>#REF!</x:v>
      </x:c>
      <x:c r="CJ31" s="128" t="e">
        <x:f>'PROJECT TA Y TB KARINA'!$N27/8</x:f>
        <x:v>#REF!</x:v>
      </x:c>
      <x:c r="CK31" s="128" t="e">
        <x:f>'PROJECT TA Y TB KARINA'!$O27/8</x:f>
        <x:v>#REF!</x:v>
      </x:c>
      <x:c r="CL31" s="128" t="e">
        <x:f>'PROJECT TA Y TB KARINA'!$O27/8</x:f>
        <x:v>#REF!</x:v>
      </x:c>
      <x:c r="CM31" s="128" t="e">
        <x:f>'PROJECT TA Y TB KARINA'!$O27/8</x:f>
        <x:v>#REF!</x:v>
      </x:c>
      <x:c r="CN31" s="128" t="e">
        <x:f>'PROJECT TA Y TB KARINA'!$O27/8</x:f>
        <x:v>#REF!</x:v>
      </x:c>
      <x:c r="CO31" s="128" t="e">
        <x:f>'PROJECT TA Y TB KARINA'!$O27/8</x:f>
        <x:v>#REF!</x:v>
      </x:c>
      <x:c r="CP31" s="128" t="e">
        <x:f>'PROJECT TA Y TB KARINA'!$O27/8</x:f>
        <x:v>#REF!</x:v>
      </x:c>
      <x:c r="CQ31" s="128" t="e">
        <x:f>'PROJECT TA Y TB KARINA'!$O27/8</x:f>
        <x:v>#REF!</x:v>
      </x:c>
      <x:c r="CR31" s="128" t="e">
        <x:f>'PROJECT TA Y TB KARINA'!$O27/8</x:f>
        <x:v>#REF!</x:v>
      </x:c>
      <x:c r="CS31" s="128" t="e">
        <x:f>'PROJECT TA Y TB KARINA'!$P27/8</x:f>
        <x:v>#REF!</x:v>
      </x:c>
      <x:c r="CT31" s="128" t="e">
        <x:f>'PROJECT TA Y TB KARINA'!$P27/8</x:f>
        <x:v>#REF!</x:v>
      </x:c>
      <x:c r="CU31" s="128" t="e">
        <x:f>'PROJECT TA Y TB KARINA'!$P27/8</x:f>
        <x:v>#REF!</x:v>
      </x:c>
      <x:c r="CV31" s="128" t="e">
        <x:f>'PROJECT TA Y TB KARINA'!$P27/8</x:f>
        <x:v>#REF!</x:v>
      </x:c>
      <x:c r="CW31" s="128" t="e">
        <x:f>'PROJECT TA Y TB KARINA'!$P27/8</x:f>
        <x:v>#REF!</x:v>
      </x:c>
      <x:c r="CX31" s="128" t="e">
        <x:f>'PROJECT TA Y TB KARINA'!$P27/8</x:f>
        <x:v>#REF!</x:v>
      </x:c>
      <x:c r="CY31" s="128" t="e">
        <x:f>'PROJECT TA Y TB KARINA'!$P27/8</x:f>
        <x:v>#REF!</x:v>
      </x:c>
      <x:c r="CZ31" s="128" t="e">
        <x:f>'PROJECT TA Y TB KARINA'!$P27/8</x:f>
        <x:v>#REF!</x:v>
      </x:c>
      <x:c r="DA31" s="128" t="e">
        <x:f>'PROJECT TA Y TB KARINA'!$Q27/8</x:f>
        <x:v>#REF!</x:v>
      </x:c>
      <x:c r="DB31" s="128" t="e">
        <x:f>'PROJECT TA Y TB KARINA'!$Q27/8</x:f>
        <x:v>#REF!</x:v>
      </x:c>
      <x:c r="DC31" s="128" t="e">
        <x:f>'PROJECT TA Y TB KARINA'!$Q27/8</x:f>
        <x:v>#REF!</x:v>
      </x:c>
      <x:c r="DD31" s="128" t="e">
        <x:f>'PROJECT TA Y TB KARINA'!$Q27/8</x:f>
        <x:v>#REF!</x:v>
      </x:c>
      <x:c r="DE31" s="128" t="e">
        <x:f>'PROJECT TA Y TB KARINA'!$Q27/8</x:f>
        <x:v>#REF!</x:v>
      </x:c>
      <x:c r="DF31" s="128" t="e">
        <x:f>'PROJECT TA Y TB KARINA'!$Q27/8</x:f>
        <x:v>#REF!</x:v>
      </x:c>
      <x:c r="DG31" s="128" t="e">
        <x:f>'PROJECT TA Y TB KARINA'!$Q27/8</x:f>
        <x:v>#REF!</x:v>
      </x:c>
      <x:c r="DH31" s="128" t="e">
        <x:f>'PROJECT TA Y TB KARINA'!$Q27/8</x:f>
        <x:v>#REF!</x:v>
      </x:c>
      <x:c r="DI31" s="128" t="e">
        <x:f>'PROJECT TA Y TB KARINA'!$R27/8</x:f>
        <x:v>#REF!</x:v>
      </x:c>
      <x:c r="DJ31" s="128" t="e">
        <x:f>'PROJECT TA Y TB KARINA'!$R27/8</x:f>
        <x:v>#REF!</x:v>
      </x:c>
      <x:c r="DK31" s="128" t="e">
        <x:f>'PROJECT TA Y TB KARINA'!$R27/8</x:f>
        <x:v>#REF!</x:v>
      </x:c>
      <x:c r="DL31" s="128" t="e">
        <x:f>'PROJECT TA Y TB KARINA'!$R27/8</x:f>
        <x:v>#REF!</x:v>
      </x:c>
      <x:c r="DM31" s="128" t="e">
        <x:f>'PROJECT TA Y TB KARINA'!$R27/8</x:f>
        <x:v>#REF!</x:v>
      </x:c>
      <x:c r="DN31" s="128" t="e">
        <x:f>'PROJECT TA Y TB KARINA'!$R27/8</x:f>
        <x:v>#REF!</x:v>
      </x:c>
      <x:c r="DO31" s="128" t="e">
        <x:f>'PROJECT TA Y TB KARINA'!$R27/8</x:f>
        <x:v>#REF!</x:v>
      </x:c>
      <x:c r="DP31" s="128" t="e">
        <x:f>'PROJECT TA Y TB KARINA'!$R27/8</x:f>
        <x:v>#REF!</x:v>
      </x:c>
      <x:c r="DQ31" s="128" t="e">
        <x:f>'PROJECT TA Y TB KARINA'!$S27/8</x:f>
        <x:v>#REF!</x:v>
      </x:c>
      <x:c r="DR31" s="128" t="e">
        <x:f>'PROJECT TA Y TB KARINA'!$S27/8</x:f>
        <x:v>#REF!</x:v>
      </x:c>
      <x:c r="DS31" s="128" t="e">
        <x:f>'PROJECT TA Y TB KARINA'!$S27/8</x:f>
        <x:v>#REF!</x:v>
      </x:c>
      <x:c r="DT31" s="128" t="e">
        <x:f>'PROJECT TA Y TB KARINA'!$S27/8</x:f>
        <x:v>#REF!</x:v>
      </x:c>
      <x:c r="DU31" s="128" t="e">
        <x:f>'PROJECT TA Y TB KARINA'!$S27/8</x:f>
        <x:v>#REF!</x:v>
      </x:c>
      <x:c r="DV31" s="128" t="e">
        <x:f>'PROJECT TA Y TB KARINA'!$S27/8</x:f>
        <x:v>#REF!</x:v>
      </x:c>
      <x:c r="DW31" s="128" t="e">
        <x:f>'PROJECT TA Y TB KARINA'!$S27/8</x:f>
        <x:v>#REF!</x:v>
      </x:c>
      <x:c r="DX31" s="128" t="e">
        <x:f>'PROJECT TA Y TB KARINA'!$S27/8</x:f>
        <x:v>#REF!</x:v>
      </x:c>
      <x:c r="DY31" s="128" t="e">
        <x:f>'PROJECT TA Y TB KARINA'!$T27/8</x:f>
        <x:v>#REF!</x:v>
      </x:c>
      <x:c r="DZ31" s="128" t="e">
        <x:f>'PROJECT TA Y TB KARINA'!$T27/8</x:f>
        <x:v>#REF!</x:v>
      </x:c>
      <x:c r="EA31" s="128" t="e">
        <x:f>'PROJECT TA Y TB KARINA'!$T27/8</x:f>
        <x:v>#REF!</x:v>
      </x:c>
      <x:c r="EB31" s="128" t="e">
        <x:f>'PROJECT TA Y TB KARINA'!$T27/8</x:f>
        <x:v>#REF!</x:v>
      </x:c>
      <x:c r="EC31" s="128" t="e">
        <x:f>'PROJECT TA Y TB KARINA'!$T27/8</x:f>
        <x:v>#REF!</x:v>
      </x:c>
      <x:c r="ED31" s="128" t="e">
        <x:f>'PROJECT TA Y TB KARINA'!$T27/8</x:f>
        <x:v>#REF!</x:v>
      </x:c>
      <x:c r="EE31" s="128" t="e">
        <x:f>'PROJECT TA Y TB KARINA'!$T27/8</x:f>
        <x:v>#REF!</x:v>
      </x:c>
      <x:c r="EF31" s="128" t="e">
        <x:f>'PROJECT TA Y TB KARINA'!$T27/8</x:f>
        <x:v>#REF!</x:v>
      </x:c>
      <x:c r="EG31" s="128" t="e">
        <x:f>'PROJECT TA Y TB KARINA'!#REF!/8</x:f>
        <x:v>#NAME?</x:v>
      </x:c>
      <x:c r="EH31" s="128" t="e">
        <x:f>'PROJECT TA Y TB KARINA'!#REF!/8</x:f>
        <x:v>#NAME?</x:v>
      </x:c>
      <x:c r="EI31" s="128" t="e">
        <x:f>'PROJECT TA Y TB KARINA'!#REF!/8</x:f>
        <x:v>#NAME?</x:v>
      </x:c>
      <x:c r="EJ31" s="128" t="e">
        <x:f>'PROJECT TA Y TB KARINA'!#REF!/8</x:f>
        <x:v>#NAME?</x:v>
      </x:c>
      <x:c r="EK31" s="128" t="e">
        <x:f>'PROJECT TA Y TB KARINA'!#REF!/8</x:f>
        <x:v>#NAME?</x:v>
      </x:c>
      <x:c r="EL31" s="128" t="e">
        <x:f>'PROJECT TA Y TB KARINA'!#REF!/8</x:f>
        <x:v>#NAME?</x:v>
      </x:c>
      <x:c r="EM31" s="128" t="e">
        <x:f>'PROJECT TA Y TB KARINA'!#REF!/8</x:f>
        <x:v>#NAME?</x:v>
      </x:c>
      <x:c r="EN31" s="128" t="e">
        <x:f>'PROJECT TA Y TB KARINA'!#REF!/8</x:f>
        <x:v>#NAME?</x:v>
      </x:c>
      <x:c r="EO31" s="128" t="n">
        <x:f>'PROJECT TA Y TB KARINA'!$C85/8</x:f>
        <x:v>0</x:v>
      </x:c>
      <x:c r="EP31" s="128" t="n">
        <x:f>'PROJECT TA Y TB KARINA'!$C85/8</x:f>
        <x:v>0</x:v>
      </x:c>
      <x:c r="EQ31" s="128" t="n">
        <x:f>'PROJECT TA Y TB KARINA'!$C85/8</x:f>
        <x:v>0</x:v>
      </x:c>
      <x:c r="ER31" s="128" t="n">
        <x:f>'PROJECT TA Y TB KARINA'!$C85/8</x:f>
        <x:v>0</x:v>
      </x:c>
      <x:c r="ES31" s="128" t="n">
        <x:f>'PROJECT TA Y TB KARINA'!$C85/8</x:f>
        <x:v>0</x:v>
      </x:c>
      <x:c r="ET31" s="128" t="n">
        <x:f>'PROJECT TA Y TB KARINA'!$C85/8</x:f>
        <x:v>0</x:v>
      </x:c>
      <x:c r="EU31" s="128" t="n">
        <x:f>'PROJECT TA Y TB KARINA'!$C85/8</x:f>
        <x:v>0</x:v>
      </x:c>
      <x:c r="EV31" s="128" t="n">
        <x:f>'PROJECT TA Y TB KARINA'!$E85/8</x:f>
        <x:v>0</x:v>
      </x:c>
      <x:c r="EW31" s="128" t="n">
        <x:f>'PROJECT TA Y TB KARINA'!$E85/8</x:f>
        <x:v>0</x:v>
      </x:c>
      <x:c r="EX31" s="128" t="n">
        <x:f>'PROJECT TA Y TB KARINA'!$E85/8</x:f>
        <x:v>0</x:v>
      </x:c>
      <x:c r="EY31" s="128" t="n">
        <x:f>'PROJECT TA Y TB KARINA'!$E85/8</x:f>
        <x:v>0</x:v>
      </x:c>
      <x:c r="EZ31" s="128" t="n">
        <x:f>'PROJECT TA Y TB KARINA'!$E85/8</x:f>
        <x:v>0</x:v>
      </x:c>
      <x:c r="FA31" s="128" t="n">
        <x:f>'PROJECT TA Y TB KARINA'!$E85/8</x:f>
        <x:v>0</x:v>
      </x:c>
      <x:c r="FB31" s="128" t="n">
        <x:f>'PROJECT TA Y TB KARINA'!$E85/8</x:f>
        <x:v>0</x:v>
      </x:c>
      <x:c r="FC31" s="128" t="n">
        <x:f>'PROJECT TA Y TB KARINA'!$E85/8</x:f>
        <x:v>0</x:v>
      </x:c>
      <x:c r="FD31" s="128" t="n">
        <x:f>'PROJECT TA Y TB KARINA'!$F85/8</x:f>
        <x:v>0</x:v>
      </x:c>
      <x:c r="FE31" s="128" t="n">
        <x:f>'PROJECT TA Y TB KARINA'!$F85/8</x:f>
        <x:v>0</x:v>
      </x:c>
      <x:c r="FF31" s="128" t="n">
        <x:f>'PROJECT TA Y TB KARINA'!$F85/8</x:f>
        <x:v>0</x:v>
      </x:c>
      <x:c r="FG31" s="128" t="n">
        <x:f>'PROJECT TA Y TB KARINA'!$F85/8</x:f>
        <x:v>0</x:v>
      </x:c>
      <x:c r="FH31" s="128" t="n">
        <x:f>'PROJECT TA Y TB KARINA'!$F85/8</x:f>
        <x:v>0</x:v>
      </x:c>
      <x:c r="FI31" s="128" t="n">
        <x:f>'PROJECT TA Y TB KARINA'!$F85/8</x:f>
        <x:v>0</x:v>
      </x:c>
      <x:c r="FJ31" s="128" t="n">
        <x:f>'PROJECT TA Y TB KARINA'!$F85/8</x:f>
        <x:v>0</x:v>
      </x:c>
      <x:c r="FK31" s="128" t="n">
        <x:f>'PROJECT TA Y TB KARINA'!$F85/8</x:f>
        <x:v>0</x:v>
      </x:c>
      <x:c r="FL31" s="128" t="n">
        <x:f>'PROJECT TA Y TB KARINA'!$G85/8</x:f>
        <x:v>0</x:v>
      </x:c>
      <x:c r="FM31" s="128" t="n">
        <x:f>'PROJECT TA Y TB KARINA'!$G85/8</x:f>
        <x:v>0</x:v>
      </x:c>
      <x:c r="FN31" s="128" t="n">
        <x:f>'PROJECT TA Y TB KARINA'!$G85/8</x:f>
        <x:v>0</x:v>
      </x:c>
      <x:c r="FO31" s="128" t="n">
        <x:f>'PROJECT TA Y TB KARINA'!$G85/8</x:f>
        <x:v>0</x:v>
      </x:c>
      <x:c r="FP31" s="128" t="n">
        <x:f>'PROJECT TA Y TB KARINA'!$G85/8</x:f>
        <x:v>0</x:v>
      </x:c>
      <x:c r="FQ31" s="128" t="n">
        <x:f>'PROJECT TA Y TB KARINA'!$G85/8</x:f>
        <x:v>0</x:v>
      </x:c>
      <x:c r="FR31" s="128" t="n">
        <x:f>'PROJECT TA Y TB KARINA'!$G85/8</x:f>
        <x:v>0</x:v>
      </x:c>
      <x:c r="FS31" s="128" t="n">
        <x:f>'PROJECT TA Y TB KARINA'!$G85/8</x:f>
        <x:v>0</x:v>
      </x:c>
      <x:c r="FT31" s="128" t="n">
        <x:f>'PROJECT TA Y TB KARINA'!$H85/8</x:f>
        <x:v>0</x:v>
      </x:c>
      <x:c r="FU31" s="128" t="n">
        <x:f>'PROJECT TA Y TB KARINA'!$H85/8</x:f>
        <x:v>0</x:v>
      </x:c>
      <x:c r="FV31" s="128" t="n">
        <x:f>'PROJECT TA Y TB KARINA'!$H85/8</x:f>
        <x:v>0</x:v>
      </x:c>
      <x:c r="FW31" s="128" t="n">
        <x:f>'PROJECT TA Y TB KARINA'!$H85/8</x:f>
        <x:v>0</x:v>
      </x:c>
      <x:c r="FX31" s="128" t="n">
        <x:f>'PROJECT TA Y TB KARINA'!$H85/8</x:f>
        <x:v>0</x:v>
      </x:c>
      <x:c r="FY31" s="128" t="n">
        <x:f>'PROJECT TA Y TB KARINA'!$H85/8</x:f>
        <x:v>0</x:v>
      </x:c>
      <x:c r="FZ31" s="128" t="n">
        <x:f>'PROJECT TA Y TB KARINA'!$H85/8</x:f>
        <x:v>0</x:v>
      </x:c>
      <x:c r="GA31" s="128" t="n">
        <x:f>'PROJECT TA Y TB KARINA'!$H85/8</x:f>
        <x:v>0</x:v>
      </x:c>
      <x:c r="GB31" s="128" t="n">
        <x:f>'PROJECT TA Y TB KARINA'!$I85/8</x:f>
        <x:v>0</x:v>
      </x:c>
      <x:c r="GC31" s="128" t="n">
        <x:f>'PROJECT TA Y TB KARINA'!$I85/8</x:f>
        <x:v>0</x:v>
      </x:c>
      <x:c r="GD31" s="128" t="n">
        <x:f>'PROJECT TA Y TB KARINA'!$I85/8</x:f>
        <x:v>0</x:v>
      </x:c>
      <x:c r="GE31" s="128" t="n">
        <x:f>'PROJECT TA Y TB KARINA'!$I85/8</x:f>
        <x:v>0</x:v>
      </x:c>
      <x:c r="GF31" s="128" t="n">
        <x:f>'PROJECT TA Y TB KARINA'!$I85/8</x:f>
        <x:v>0</x:v>
      </x:c>
      <x:c r="GG31" s="128" t="n">
        <x:f>'PROJECT TA Y TB KARINA'!$I85/8</x:f>
        <x:v>0</x:v>
      </x:c>
      <x:c r="GH31" s="128" t="n">
        <x:f>'PROJECT TA Y TB KARINA'!$I85/8</x:f>
        <x:v>0</x:v>
      </x:c>
      <x:c r="GI31" s="128" t="n">
        <x:f>'PROJECT TA Y TB KARINA'!$I85/8</x:f>
        <x:v>0</x:v>
      </x:c>
      <x:c r="GJ31" s="128" t="n">
        <x:f>'PROJECT TA Y TB KARINA'!$J85/8</x:f>
        <x:v>0</x:v>
      </x:c>
      <x:c r="GK31" s="128" t="n">
        <x:f>'PROJECT TA Y TB KARINA'!$J85/8</x:f>
        <x:v>0</x:v>
      </x:c>
      <x:c r="GL31" s="128" t="n">
        <x:f>'PROJECT TA Y TB KARINA'!$J85/8</x:f>
        <x:v>0</x:v>
      </x:c>
      <x:c r="GM31" s="128" t="n">
        <x:f>'PROJECT TA Y TB KARINA'!$J85/8</x:f>
        <x:v>0</x:v>
      </x:c>
      <x:c r="GN31" s="128" t="n">
        <x:f>'PROJECT TA Y TB KARINA'!$J85/8</x:f>
        <x:v>0</x:v>
      </x:c>
      <x:c r="GO31" s="128" t="n">
        <x:f>'PROJECT TA Y TB KARINA'!$J85/8</x:f>
        <x:v>0</x:v>
      </x:c>
      <x:c r="GP31" s="128" t="n">
        <x:f>'PROJECT TA Y TB KARINA'!$J85/8</x:f>
        <x:v>0</x:v>
      </x:c>
      <x:c r="GQ31" s="128" t="n">
        <x:f>'PROJECT TA Y TB KARINA'!$J85/8</x:f>
        <x:v>0</x:v>
      </x:c>
      <x:c r="GR31" s="128" t="n">
        <x:f>'PROJECT TA Y TB KARINA'!$K85/8</x:f>
        <x:v>0</x:v>
      </x:c>
      <x:c r="GS31" s="128" t="n">
        <x:f>'PROJECT TA Y TB KARINA'!$K85/8</x:f>
        <x:v>0</x:v>
      </x:c>
      <x:c r="GT31" s="128" t="n">
        <x:f>'PROJECT TA Y TB KARINA'!$K85/8</x:f>
        <x:v>0</x:v>
      </x:c>
      <x:c r="GU31" s="128" t="n">
        <x:f>'PROJECT TA Y TB KARINA'!$K85/8</x:f>
        <x:v>0</x:v>
      </x:c>
      <x:c r="GV31" s="128" t="n">
        <x:f>'PROJECT TA Y TB KARINA'!$K85/8</x:f>
        <x:v>0</x:v>
      </x:c>
      <x:c r="GW31" s="128" t="n">
        <x:f>'PROJECT TA Y TB KARINA'!$K85/8</x:f>
        <x:v>0</x:v>
      </x:c>
      <x:c r="GX31" s="128" t="n">
        <x:f>'PROJECT TA Y TB KARINA'!$K85/8</x:f>
        <x:v>0</x:v>
      </x:c>
      <x:c r="GY31" s="128" t="n">
        <x:f>'PROJECT TA Y TB KARINA'!$K85/8</x:f>
        <x:v>0</x:v>
      </x:c>
      <x:c r="GZ31" s="128" t="n">
        <x:f>'PROJECT TA Y TB KARINA'!$L85/8</x:f>
        <x:v>0</x:v>
      </x:c>
      <x:c r="HA31" s="128" t="n">
        <x:f>'PROJECT TA Y TB KARINA'!$L85/8</x:f>
        <x:v>0</x:v>
      </x:c>
      <x:c r="HB31" s="128" t="n">
        <x:f>'PROJECT TA Y TB KARINA'!$L85/8</x:f>
        <x:v>0</x:v>
      </x:c>
      <x:c r="HC31" s="128" t="n">
        <x:f>'PROJECT TA Y TB KARINA'!$L85/8</x:f>
        <x:v>0</x:v>
      </x:c>
      <x:c r="HD31" s="128" t="n">
        <x:f>'PROJECT TA Y TB KARINA'!$L85/8</x:f>
        <x:v>0</x:v>
      </x:c>
      <x:c r="HE31" s="128" t="n">
        <x:f>'PROJECT TA Y TB KARINA'!$L85/8</x:f>
        <x:v>0</x:v>
      </x:c>
      <x:c r="HF31" s="128" t="n">
        <x:f>'PROJECT TA Y TB KARINA'!$L85/8</x:f>
        <x:v>0</x:v>
      </x:c>
      <x:c r="HG31" s="128" t="n">
        <x:f>'PROJECT TA Y TB KARINA'!$L85/8</x:f>
        <x:v>0</x:v>
      </x:c>
      <x:c r="HH31" s="128" t="n">
        <x:f>'PROJECT TA Y TB KARINA'!$M85/8</x:f>
        <x:v>0</x:v>
      </x:c>
      <x:c r="HI31" s="128" t="n">
        <x:f>'PROJECT TA Y TB KARINA'!$M85/8</x:f>
        <x:v>0</x:v>
      </x:c>
      <x:c r="HJ31" s="128" t="n">
        <x:f>'PROJECT TA Y TB KARINA'!$M85/8</x:f>
        <x:v>0</x:v>
      </x:c>
      <x:c r="HK31" s="128" t="n">
        <x:f>'PROJECT TA Y TB KARINA'!$M85/8</x:f>
        <x:v>0</x:v>
      </x:c>
      <x:c r="HL31" s="128" t="n">
        <x:f>'PROJECT TA Y TB KARINA'!$M85/8</x:f>
        <x:v>0</x:v>
      </x:c>
      <x:c r="HM31" s="128" t="n">
        <x:f>'PROJECT TA Y TB KARINA'!$M85/8</x:f>
        <x:v>0</x:v>
      </x:c>
      <x:c r="HN31" s="128" t="n">
        <x:f>'PROJECT TA Y TB KARINA'!$M85/8</x:f>
        <x:v>0</x:v>
      </x:c>
      <x:c r="HO31" s="128" t="n">
        <x:f>'PROJECT TA Y TB KARINA'!$M85/8</x:f>
        <x:v>0</x:v>
      </x:c>
      <x:c r="HP31" s="128" t="n">
        <x:f>'PROJECT TA Y TB KARINA'!$N85/8</x:f>
        <x:v>0</x:v>
      </x:c>
      <x:c r="HQ31" s="128" t="n">
        <x:f>'PROJECT TA Y TB KARINA'!$N85/8</x:f>
        <x:v>0</x:v>
      </x:c>
      <x:c r="HR31" s="128" t="n">
        <x:f>'PROJECT TA Y TB KARINA'!$N85/8</x:f>
        <x:v>0</x:v>
      </x:c>
      <x:c r="HS31" s="128" t="n">
        <x:f>'PROJECT TA Y TB KARINA'!$N85/8</x:f>
        <x:v>0</x:v>
      </x:c>
      <x:c r="HT31" s="128" t="n">
        <x:f>'PROJECT TA Y TB KARINA'!$N85/8</x:f>
        <x:v>0</x:v>
      </x:c>
      <x:c r="HU31" s="128" t="n">
        <x:f>'PROJECT TA Y TB KARINA'!$N85/8</x:f>
        <x:v>0</x:v>
      </x:c>
      <x:c r="HV31" s="128" t="n">
        <x:f>'PROJECT TA Y TB KARINA'!$N85/8</x:f>
        <x:v>0</x:v>
      </x:c>
      <x:c r="HW31" s="128" t="n">
        <x:f>'PROJECT TA Y TB KARINA'!$N85/8</x:f>
        <x:v>0</x:v>
      </x:c>
      <x:c r="HX31" s="128" t="n">
        <x:f>'PROJECT TA Y TB KARINA'!$O85/8</x:f>
        <x:v>0</x:v>
      </x:c>
      <x:c r="HY31" s="128" t="n">
        <x:f>'PROJECT TA Y TB KARINA'!$O85/8</x:f>
        <x:v>0</x:v>
      </x:c>
      <x:c r="HZ31" s="128" t="n">
        <x:f>'PROJECT TA Y TB KARINA'!$O85/8</x:f>
        <x:v>0</x:v>
      </x:c>
      <x:c r="IA31" s="128" t="n">
        <x:f>'PROJECT TA Y TB KARINA'!$O85/8</x:f>
        <x:v>0</x:v>
      </x:c>
      <x:c r="IB31" s="128" t="n">
        <x:f>'PROJECT TA Y TB KARINA'!$O85/8</x:f>
        <x:v>0</x:v>
      </x:c>
      <x:c r="IC31" s="128" t="n">
        <x:f>'PROJECT TA Y TB KARINA'!$O85/8</x:f>
        <x:v>0</x:v>
      </x:c>
      <x:c r="ID31" s="128" t="n">
        <x:f>'PROJECT TA Y TB KARINA'!$O85/8</x:f>
        <x:v>0</x:v>
      </x:c>
      <x:c r="IE31" s="128" t="n">
        <x:f>'PROJECT TA Y TB KARINA'!$O85/8</x:f>
        <x:v>0</x:v>
      </x:c>
      <x:c r="IF31" s="128" t="n">
        <x:f>'PROJECT TA Y TB KARINA'!$P85/8</x:f>
        <x:v>0</x:v>
      </x:c>
      <x:c r="IG31" s="128" t="n">
        <x:f>'PROJECT TA Y TB KARINA'!$P85/8</x:f>
        <x:v>0</x:v>
      </x:c>
      <x:c r="IH31" s="128" t="n">
        <x:f>'PROJECT TA Y TB KARINA'!$P85/8</x:f>
        <x:v>0</x:v>
      </x:c>
      <x:c r="II31" s="128" t="n">
        <x:f>'PROJECT TA Y TB KARINA'!$P85/8</x:f>
        <x:v>0</x:v>
      </x:c>
      <x:c r="IJ31" s="128" t="n">
        <x:f>'PROJECT TA Y TB KARINA'!$P85/8</x:f>
        <x:v>0</x:v>
      </x:c>
      <x:c r="IK31" s="128" t="n">
        <x:f>'PROJECT TA Y TB KARINA'!$P85/8</x:f>
        <x:v>0</x:v>
      </x:c>
      <x:c r="IL31" s="128" t="n">
        <x:f>'PROJECT TA Y TB KARINA'!$P85/8</x:f>
        <x:v>0</x:v>
      </x:c>
      <x:c r="IM31" s="128" t="n">
        <x:f>'PROJECT TA Y TB KARINA'!$P85/8</x:f>
        <x:v>0</x:v>
      </x:c>
      <x:c r="IN31" s="128" t="n">
        <x:f>'PROJECT TA Y TB KARINA'!$Q85/8</x:f>
        <x:v>0</x:v>
      </x:c>
      <x:c r="IO31" s="128" t="n">
        <x:f>'PROJECT TA Y TB KARINA'!$Q85/8</x:f>
        <x:v>0</x:v>
      </x:c>
      <x:c r="IP31" s="128" t="n">
        <x:f>'PROJECT TA Y TB KARINA'!$Q85/8</x:f>
        <x:v>0</x:v>
      </x:c>
      <x:c r="IQ31" s="128" t="n">
        <x:f>'PROJECT TA Y TB KARINA'!$Q85/8</x:f>
        <x:v>0</x:v>
      </x:c>
      <x:c r="IR31" s="128" t="n">
        <x:f>'PROJECT TA Y TB KARINA'!$Q85/8</x:f>
        <x:v>0</x:v>
      </x:c>
      <x:c r="IS31" s="128" t="n">
        <x:f>'PROJECT TA Y TB KARINA'!$Q85/8</x:f>
        <x:v>0</x:v>
      </x:c>
      <x:c r="IT31" s="128" t="n">
        <x:f>'PROJECT TA Y TB KARINA'!$Q85/8</x:f>
        <x:v>0</x:v>
      </x:c>
      <x:c r="IU31" s="128" t="n">
        <x:f>'PROJECT TA Y TB KARINA'!$Q85/8</x:f>
        <x:v>0</x:v>
      </x:c>
      <x:c r="IV31" s="128" t="n">
        <x:f>'PROJECT TA Y TB KARINA'!$R85/8</x:f>
        <x:v>0</x:v>
      </x:c>
      <x:c r="IW31" s="128" t="n">
        <x:f>'PROJECT TA Y TB KARINA'!$R85/8</x:f>
        <x:v>0</x:v>
      </x:c>
      <x:c r="IX31" s="128" t="n">
        <x:f>'PROJECT TA Y TB KARINA'!$R85/8</x:f>
        <x:v>0</x:v>
      </x:c>
      <x:c r="IY31" s="128" t="n">
        <x:f>'PROJECT TA Y TB KARINA'!$R85/8</x:f>
        <x:v>0</x:v>
      </x:c>
      <x:c r="IZ31" s="128" t="n">
        <x:f>'PROJECT TA Y TB KARINA'!$R85/8</x:f>
        <x:v>0</x:v>
      </x:c>
      <x:c r="JA31" s="128" t="n">
        <x:f>'PROJECT TA Y TB KARINA'!$R85/8</x:f>
        <x:v>0</x:v>
      </x:c>
      <x:c r="JB31" s="128" t="n">
        <x:f>'PROJECT TA Y TB KARINA'!$R85/8</x:f>
        <x:v>0</x:v>
      </x:c>
      <x:c r="JC31" s="128" t="n">
        <x:f>'PROJECT TA Y TB KARINA'!$R85/8</x:f>
        <x:v>0</x:v>
      </x:c>
      <x:c r="JD31" s="128" t="n">
        <x:f>'PROJECT TA Y TB KARINA'!$S85/8</x:f>
        <x:v>0</x:v>
      </x:c>
      <x:c r="JE31" s="128" t="n">
        <x:f>'PROJECT TA Y TB KARINA'!$S85/8</x:f>
        <x:v>0</x:v>
      </x:c>
      <x:c r="JF31" s="128" t="n">
        <x:f>'PROJECT TA Y TB KARINA'!$S85/8</x:f>
        <x:v>0</x:v>
      </x:c>
      <x:c r="JG31" s="128" t="n">
        <x:f>'PROJECT TA Y TB KARINA'!$S85/8</x:f>
        <x:v>0</x:v>
      </x:c>
      <x:c r="JH31" s="128" t="n">
        <x:f>'PROJECT TA Y TB KARINA'!$S85/8</x:f>
        <x:v>0</x:v>
      </x:c>
      <x:c r="JI31" s="128" t="n">
        <x:f>'PROJECT TA Y TB KARINA'!$S85/8</x:f>
        <x:v>0</x:v>
      </x:c>
      <x:c r="JJ31" s="128" t="n">
        <x:f>'PROJECT TA Y TB KARINA'!$S85/8</x:f>
        <x:v>0</x:v>
      </x:c>
      <x:c r="JK31" s="128" t="n">
        <x:f>'PROJECT TA Y TB KARINA'!$S85/8</x:f>
        <x:v>0</x:v>
      </x:c>
      <x:c r="JL31" s="128" t="n">
        <x:f>'PROJECT TA Y TB KARINA'!$T85/8</x:f>
        <x:v>0</x:v>
      </x:c>
      <x:c r="JM31" s="128" t="n">
        <x:f>'PROJECT TA Y TB KARINA'!$T85/8</x:f>
        <x:v>0</x:v>
      </x:c>
      <x:c r="JN31" s="128" t="n">
        <x:f>'PROJECT TA Y TB KARINA'!$T85/8</x:f>
        <x:v>0</x:v>
      </x:c>
      <x:c r="JO31" s="128" t="n">
        <x:f>'PROJECT TA Y TB KARINA'!$T85/8</x:f>
        <x:v>0</x:v>
      </x:c>
      <x:c r="JP31" s="128" t="n">
        <x:f>'PROJECT TA Y TB KARINA'!$T85/8</x:f>
        <x:v>0</x:v>
      </x:c>
      <x:c r="JQ31" s="128" t="n">
        <x:f>'PROJECT TA Y TB KARINA'!$T85/8</x:f>
        <x:v>0</x:v>
      </x:c>
      <x:c r="JR31" s="128" t="n">
        <x:f>'PROJECT TA Y TB KARINA'!$T85/8</x:f>
        <x:v>0</x:v>
      </x:c>
      <x:c r="JS31" s="128" t="n">
        <x:f>'PROJECT TA Y TB KARINA'!$T85/8</x:f>
        <x:v>0</x:v>
      </x:c>
      <x:c r="JT31" s="128" t="e">
        <x:f>'PROJECT TA Y TB KARINA'!#REF!/8</x:f>
        <x:v>#NAME?</x:v>
      </x:c>
      <x:c r="JU31" s="128" t="e">
        <x:f>'PROJECT TA Y TB KARINA'!#REF!/8</x:f>
        <x:v>#NAME?</x:v>
      </x:c>
      <x:c r="JV31" s="128" t="e">
        <x:f>'PROJECT TA Y TB KARINA'!#REF!/8</x:f>
        <x:v>#NAME?</x:v>
      </x:c>
      <x:c r="JW31" s="128" t="e">
        <x:f>'PROJECT TA Y TB KARINA'!#REF!/8</x:f>
        <x:v>#NAME?</x:v>
      </x:c>
      <x:c r="JX31" s="128" t="e">
        <x:f>'PROJECT TA Y TB KARINA'!#REF!/8</x:f>
        <x:v>#NAME?</x:v>
      </x:c>
      <x:c r="JY31" s="128" t="e">
        <x:f>'PROJECT TA Y TB KARINA'!#REF!/8</x:f>
        <x:v>#NAME?</x:v>
      </x:c>
      <x:c r="JZ31" s="128" t="e">
        <x:f>'PROJECT TA Y TB KARINA'!#REF!/8</x:f>
        <x:v>#NAME?</x:v>
      </x:c>
      <x:c r="KA31" s="128" t="e">
        <x:f>'PROJECT TA Y TB KARINA'!#REF!/8</x:f>
        <x:v>#NAME?</x:v>
      </x:c>
    </x:row>
    <x:row r="32" ht="21">
      <x:c r="A32" s="131" t="s">
        <x:v>517</x:v>
      </x:c>
      <x:c r="B32" s="128" t="e">
        <x:f>'PROJECT TA Y TB KARINA'!$C$28/8</x:f>
        <x:v>#REF!</x:v>
      </x:c>
      <x:c r="C32" s="128" t="e">
        <x:f>'PROJECT TA Y TB KARINA'!$C$28/8</x:f>
        <x:v>#REF!</x:v>
      </x:c>
      <x:c r="D32" s="128" t="e">
        <x:f>'PROJECT TA Y TB KARINA'!$C$28/8</x:f>
        <x:v>#REF!</x:v>
      </x:c>
      <x:c r="E32" s="128" t="e">
        <x:f>'PROJECT TA Y TB KARINA'!$C$28/8</x:f>
        <x:v>#REF!</x:v>
      </x:c>
      <x:c r="F32" s="128" t="e">
        <x:f>'PROJECT TA Y TB KARINA'!$C$28/8</x:f>
        <x:v>#REF!</x:v>
      </x:c>
      <x:c r="G32" s="128" t="e">
        <x:f>'PROJECT TA Y TB KARINA'!$C$28/8</x:f>
        <x:v>#REF!</x:v>
      </x:c>
      <x:c r="H32" s="128" t="e">
        <x:f>'PROJECT TA Y TB KARINA'!$C$28/8</x:f>
        <x:v>#REF!</x:v>
      </x:c>
      <x:c r="I32" s="128" t="e">
        <x:f>'PROJECT TA Y TB KARINA'!$E28/8</x:f>
        <x:v>#REF!</x:v>
      </x:c>
      <x:c r="J32" s="128" t="e">
        <x:f>'PROJECT TA Y TB KARINA'!$E28/8</x:f>
        <x:v>#REF!</x:v>
      </x:c>
      <x:c r="K32" s="128" t="e">
        <x:f>'PROJECT TA Y TB KARINA'!$E28/8</x:f>
        <x:v>#REF!</x:v>
      </x:c>
      <x:c r="L32" s="128" t="e">
        <x:f>'PROJECT TA Y TB KARINA'!$E28/8</x:f>
        <x:v>#REF!</x:v>
      </x:c>
      <x:c r="M32" s="128" t="e">
        <x:f>'PROJECT TA Y TB KARINA'!$E28/8</x:f>
        <x:v>#REF!</x:v>
      </x:c>
      <x:c r="N32" s="128" t="e">
        <x:f>'PROJECT TA Y TB KARINA'!$E28/8</x:f>
        <x:v>#REF!</x:v>
      </x:c>
      <x:c r="O32" s="128" t="e">
        <x:f>'PROJECT TA Y TB KARINA'!$E28/8</x:f>
        <x:v>#REF!</x:v>
      </x:c>
      <x:c r="P32" s="128" t="e">
        <x:f>'PROJECT TA Y TB KARINA'!$E28/8</x:f>
        <x:v>#REF!</x:v>
      </x:c>
      <x:c r="Q32" s="128" t="e">
        <x:f>'PROJECT TA Y TB KARINA'!$F28/8</x:f>
        <x:v>#REF!</x:v>
      </x:c>
      <x:c r="R32" s="128" t="e">
        <x:f>'PROJECT TA Y TB KARINA'!$F28/8</x:f>
        <x:v>#REF!</x:v>
      </x:c>
      <x:c r="S32" s="128" t="e">
        <x:f>'PROJECT TA Y TB KARINA'!$F28/8</x:f>
        <x:v>#REF!</x:v>
      </x:c>
      <x:c r="T32" s="128" t="e">
        <x:f>'PROJECT TA Y TB KARINA'!$F28/8</x:f>
        <x:v>#REF!</x:v>
      </x:c>
      <x:c r="U32" s="128" t="e">
        <x:f>'PROJECT TA Y TB KARINA'!$F28/8</x:f>
        <x:v>#REF!</x:v>
      </x:c>
      <x:c r="V32" s="128" t="e">
        <x:f>'PROJECT TA Y TB KARINA'!$F28/8</x:f>
        <x:v>#REF!</x:v>
      </x:c>
      <x:c r="W32" s="128" t="e">
        <x:f>'PROJECT TA Y TB KARINA'!$F28/8</x:f>
        <x:v>#REF!</x:v>
      </x:c>
      <x:c r="X32" s="128" t="e">
        <x:f>'PROJECT TA Y TB KARINA'!$F28/8</x:f>
        <x:v>#REF!</x:v>
      </x:c>
      <x:c r="Y32" s="128" t="e">
        <x:f>'PROJECT TA Y TB KARINA'!$G28/8</x:f>
        <x:v>#REF!</x:v>
      </x:c>
      <x:c r="Z32" s="128" t="e">
        <x:f>'PROJECT TA Y TB KARINA'!$G28/8</x:f>
        <x:v>#REF!</x:v>
      </x:c>
      <x:c r="AA32" s="128" t="e">
        <x:f>'PROJECT TA Y TB KARINA'!$G28/8</x:f>
        <x:v>#REF!</x:v>
      </x:c>
      <x:c r="AB32" s="128" t="e">
        <x:f>'PROJECT TA Y TB KARINA'!$G28/8</x:f>
        <x:v>#REF!</x:v>
      </x:c>
      <x:c r="AC32" s="128" t="e">
        <x:f>'PROJECT TA Y TB KARINA'!$G28/8</x:f>
        <x:v>#REF!</x:v>
      </x:c>
      <x:c r="AD32" s="128" t="e">
        <x:f>'PROJECT TA Y TB KARINA'!$G28/8</x:f>
        <x:v>#REF!</x:v>
      </x:c>
      <x:c r="AE32" s="128" t="e">
        <x:f>'PROJECT TA Y TB KARINA'!$G28/8</x:f>
        <x:v>#REF!</x:v>
      </x:c>
      <x:c r="AF32" s="128" t="e">
        <x:f>'PROJECT TA Y TB KARINA'!$G28/8</x:f>
        <x:v>#REF!</x:v>
      </x:c>
      <x:c r="AG32" s="128" t="e">
        <x:f>'PROJECT TA Y TB KARINA'!$H28/8</x:f>
        <x:v>#REF!</x:v>
      </x:c>
      <x:c r="AH32" s="128" t="e">
        <x:f>'PROJECT TA Y TB KARINA'!$H28/8</x:f>
        <x:v>#REF!</x:v>
      </x:c>
      <x:c r="AI32" s="128" t="e">
        <x:f>'PROJECT TA Y TB KARINA'!$H28/8</x:f>
        <x:v>#REF!</x:v>
      </x:c>
      <x:c r="AJ32" s="128" t="e">
        <x:f>'PROJECT TA Y TB KARINA'!$H28/8</x:f>
        <x:v>#REF!</x:v>
      </x:c>
      <x:c r="AK32" s="128" t="e">
        <x:f>'PROJECT TA Y TB KARINA'!$H28/8</x:f>
        <x:v>#REF!</x:v>
      </x:c>
      <x:c r="AL32" s="128" t="e">
        <x:f>'PROJECT TA Y TB KARINA'!$H28/8</x:f>
        <x:v>#REF!</x:v>
      </x:c>
      <x:c r="AM32" s="128" t="e">
        <x:f>'PROJECT TA Y TB KARINA'!$H28/8</x:f>
        <x:v>#REF!</x:v>
      </x:c>
      <x:c r="AN32" s="128" t="e">
        <x:f>'PROJECT TA Y TB KARINA'!$H28/8</x:f>
        <x:v>#REF!</x:v>
      </x:c>
      <x:c r="AO32" s="128" t="e">
        <x:f>'PROJECT TA Y TB KARINA'!$I28/8</x:f>
        <x:v>#REF!</x:v>
      </x:c>
      <x:c r="AP32" s="128" t="e">
        <x:f>'PROJECT TA Y TB KARINA'!$I28/8</x:f>
        <x:v>#REF!</x:v>
      </x:c>
      <x:c r="AQ32" s="128" t="e">
        <x:f>'PROJECT TA Y TB KARINA'!$I28/8</x:f>
        <x:v>#REF!</x:v>
      </x:c>
      <x:c r="AR32" s="128" t="e">
        <x:f>'PROJECT TA Y TB KARINA'!$I28/8</x:f>
        <x:v>#REF!</x:v>
      </x:c>
      <x:c r="AS32" s="128" t="e">
        <x:f>'PROJECT TA Y TB KARINA'!$I28/8</x:f>
        <x:v>#REF!</x:v>
      </x:c>
      <x:c r="AT32" s="128" t="e">
        <x:f>'PROJECT TA Y TB KARINA'!$I28/8</x:f>
        <x:v>#REF!</x:v>
      </x:c>
      <x:c r="AU32" s="128" t="e">
        <x:f>'PROJECT TA Y TB KARINA'!$I28/8</x:f>
        <x:v>#REF!</x:v>
      </x:c>
      <x:c r="AV32" s="128" t="e">
        <x:f>'PROJECT TA Y TB KARINA'!$I28/8</x:f>
        <x:v>#REF!</x:v>
      </x:c>
      <x:c r="AW32" s="128" t="e">
        <x:f>'PROJECT TA Y TB KARINA'!$J28/8</x:f>
        <x:v>#REF!</x:v>
      </x:c>
      <x:c r="AX32" s="128" t="e">
        <x:f>'PROJECT TA Y TB KARINA'!$J28/8</x:f>
        <x:v>#REF!</x:v>
      </x:c>
      <x:c r="AY32" s="128" t="e">
        <x:f>'PROJECT TA Y TB KARINA'!$J28/8</x:f>
        <x:v>#REF!</x:v>
      </x:c>
      <x:c r="AZ32" s="128" t="e">
        <x:f>'PROJECT TA Y TB KARINA'!$J28/8</x:f>
        <x:v>#REF!</x:v>
      </x:c>
      <x:c r="BA32" s="128" t="e">
        <x:f>'PROJECT TA Y TB KARINA'!$J28/8</x:f>
        <x:v>#REF!</x:v>
      </x:c>
      <x:c r="BB32" s="128" t="e">
        <x:f>'PROJECT TA Y TB KARINA'!$J28/8</x:f>
        <x:v>#REF!</x:v>
      </x:c>
      <x:c r="BC32" s="128" t="e">
        <x:f>'PROJECT TA Y TB KARINA'!$J28/8</x:f>
        <x:v>#REF!</x:v>
      </x:c>
      <x:c r="BD32" s="128" t="e">
        <x:f>'PROJECT TA Y TB KARINA'!$J28/8</x:f>
        <x:v>#REF!</x:v>
      </x:c>
      <x:c r="BE32" s="128" t="e">
        <x:f>'PROJECT TA Y TB KARINA'!$K28/8</x:f>
        <x:v>#REF!</x:v>
      </x:c>
      <x:c r="BF32" s="128" t="e">
        <x:f>'PROJECT TA Y TB KARINA'!$K28/8</x:f>
        <x:v>#REF!</x:v>
      </x:c>
      <x:c r="BG32" s="128" t="e">
        <x:f>'PROJECT TA Y TB KARINA'!$K28/8</x:f>
        <x:v>#REF!</x:v>
      </x:c>
      <x:c r="BH32" s="128" t="e">
        <x:f>'PROJECT TA Y TB KARINA'!$K28/8</x:f>
        <x:v>#REF!</x:v>
      </x:c>
      <x:c r="BI32" s="128" t="e">
        <x:f>'PROJECT TA Y TB KARINA'!$K28/8</x:f>
        <x:v>#REF!</x:v>
      </x:c>
      <x:c r="BJ32" s="128" t="e">
        <x:f>'PROJECT TA Y TB KARINA'!$K28/8</x:f>
        <x:v>#REF!</x:v>
      </x:c>
      <x:c r="BK32" s="128" t="e">
        <x:f>'PROJECT TA Y TB KARINA'!$K28/8</x:f>
        <x:v>#REF!</x:v>
      </x:c>
      <x:c r="BL32" s="128" t="e">
        <x:f>'PROJECT TA Y TB KARINA'!$K28/8</x:f>
        <x:v>#REF!</x:v>
      </x:c>
      <x:c r="BM32" s="128" t="e">
        <x:f>'PROJECT TA Y TB KARINA'!$L28/8</x:f>
        <x:v>#REF!</x:v>
      </x:c>
      <x:c r="BN32" s="128" t="e">
        <x:f>'PROJECT TA Y TB KARINA'!$L28/8</x:f>
        <x:v>#REF!</x:v>
      </x:c>
      <x:c r="BO32" s="128" t="e">
        <x:f>'PROJECT TA Y TB KARINA'!$L28/8</x:f>
        <x:v>#REF!</x:v>
      </x:c>
      <x:c r="BP32" s="128" t="e">
        <x:f>'PROJECT TA Y TB KARINA'!$L28/8</x:f>
        <x:v>#REF!</x:v>
      </x:c>
      <x:c r="BQ32" s="128" t="e">
        <x:f>'PROJECT TA Y TB KARINA'!$L28/8</x:f>
        <x:v>#REF!</x:v>
      </x:c>
      <x:c r="BR32" s="128" t="e">
        <x:f>'PROJECT TA Y TB KARINA'!$L28/8</x:f>
        <x:v>#REF!</x:v>
      </x:c>
      <x:c r="BS32" s="128" t="e">
        <x:f>'PROJECT TA Y TB KARINA'!$L28/8</x:f>
        <x:v>#REF!</x:v>
      </x:c>
      <x:c r="BT32" s="128" t="e">
        <x:f>'PROJECT TA Y TB KARINA'!$L28/8</x:f>
        <x:v>#REF!</x:v>
      </x:c>
      <x:c r="BU32" s="128" t="e">
        <x:f>'PROJECT TA Y TB KARINA'!$M28/8</x:f>
        <x:v>#REF!</x:v>
      </x:c>
      <x:c r="BV32" s="128" t="e">
        <x:f>'PROJECT TA Y TB KARINA'!$M28/8</x:f>
        <x:v>#REF!</x:v>
      </x:c>
      <x:c r="BW32" s="128" t="e">
        <x:f>'PROJECT TA Y TB KARINA'!$M28/8</x:f>
        <x:v>#REF!</x:v>
      </x:c>
      <x:c r="BX32" s="128" t="e">
        <x:f>'PROJECT TA Y TB KARINA'!$M28/8</x:f>
        <x:v>#REF!</x:v>
      </x:c>
      <x:c r="BY32" s="128" t="e">
        <x:f>'PROJECT TA Y TB KARINA'!$M28/8</x:f>
        <x:v>#REF!</x:v>
      </x:c>
      <x:c r="BZ32" s="128" t="e">
        <x:f>'PROJECT TA Y TB KARINA'!$M28/8</x:f>
        <x:v>#REF!</x:v>
      </x:c>
      <x:c r="CA32" s="128" t="e">
        <x:f>'PROJECT TA Y TB KARINA'!$M28/8</x:f>
        <x:v>#REF!</x:v>
      </x:c>
      <x:c r="CB32" s="128" t="e">
        <x:f>'PROJECT TA Y TB KARINA'!$M28/8</x:f>
        <x:v>#REF!</x:v>
      </x:c>
      <x:c r="CC32" s="128" t="e">
        <x:f>'PROJECT TA Y TB KARINA'!$N28/8</x:f>
        <x:v>#REF!</x:v>
      </x:c>
      <x:c r="CD32" s="128" t="e">
        <x:f>'PROJECT TA Y TB KARINA'!$N28/8</x:f>
        <x:v>#REF!</x:v>
      </x:c>
      <x:c r="CE32" s="128" t="e">
        <x:f>'PROJECT TA Y TB KARINA'!$N28/8</x:f>
        <x:v>#REF!</x:v>
      </x:c>
      <x:c r="CF32" s="128" t="e">
        <x:f>'PROJECT TA Y TB KARINA'!$N28/8</x:f>
        <x:v>#REF!</x:v>
      </x:c>
      <x:c r="CG32" s="128" t="e">
        <x:f>'PROJECT TA Y TB KARINA'!$N28/8</x:f>
        <x:v>#REF!</x:v>
      </x:c>
      <x:c r="CH32" s="128" t="e">
        <x:f>'PROJECT TA Y TB KARINA'!$N28/8</x:f>
        <x:v>#REF!</x:v>
      </x:c>
      <x:c r="CI32" s="128" t="e">
        <x:f>'PROJECT TA Y TB KARINA'!$N28/8</x:f>
        <x:v>#REF!</x:v>
      </x:c>
      <x:c r="CJ32" s="128" t="e">
        <x:f>'PROJECT TA Y TB KARINA'!$N28/8</x:f>
        <x:v>#REF!</x:v>
      </x:c>
      <x:c r="CK32" s="128" t="e">
        <x:f>'PROJECT TA Y TB KARINA'!$O28/8</x:f>
        <x:v>#REF!</x:v>
      </x:c>
      <x:c r="CL32" s="128" t="e">
        <x:f>'PROJECT TA Y TB KARINA'!$O28/8</x:f>
        <x:v>#REF!</x:v>
      </x:c>
      <x:c r="CM32" s="128" t="e">
        <x:f>'PROJECT TA Y TB KARINA'!$O28/8</x:f>
        <x:v>#REF!</x:v>
      </x:c>
      <x:c r="CN32" s="128" t="e">
        <x:f>'PROJECT TA Y TB KARINA'!$O28/8</x:f>
        <x:v>#REF!</x:v>
      </x:c>
      <x:c r="CO32" s="128" t="e">
        <x:f>'PROJECT TA Y TB KARINA'!$O28/8</x:f>
        <x:v>#REF!</x:v>
      </x:c>
      <x:c r="CP32" s="128" t="e">
        <x:f>'PROJECT TA Y TB KARINA'!$O28/8</x:f>
        <x:v>#REF!</x:v>
      </x:c>
      <x:c r="CQ32" s="128" t="e">
        <x:f>'PROJECT TA Y TB KARINA'!$O28/8</x:f>
        <x:v>#REF!</x:v>
      </x:c>
      <x:c r="CR32" s="128" t="e">
        <x:f>'PROJECT TA Y TB KARINA'!$O28/8</x:f>
        <x:v>#REF!</x:v>
      </x:c>
      <x:c r="CS32" s="128" t="e">
        <x:f>'PROJECT TA Y TB KARINA'!$P28/8</x:f>
        <x:v>#REF!</x:v>
      </x:c>
      <x:c r="CT32" s="128" t="e">
        <x:f>'PROJECT TA Y TB KARINA'!$P28/8</x:f>
        <x:v>#REF!</x:v>
      </x:c>
      <x:c r="CU32" s="128" t="e">
        <x:f>'PROJECT TA Y TB KARINA'!$P28/8</x:f>
        <x:v>#REF!</x:v>
      </x:c>
      <x:c r="CV32" s="128" t="e">
        <x:f>'PROJECT TA Y TB KARINA'!$P28/8</x:f>
        <x:v>#REF!</x:v>
      </x:c>
      <x:c r="CW32" s="128" t="e">
        <x:f>'PROJECT TA Y TB KARINA'!$P28/8</x:f>
        <x:v>#REF!</x:v>
      </x:c>
      <x:c r="CX32" s="128" t="e">
        <x:f>'PROJECT TA Y TB KARINA'!$P28/8</x:f>
        <x:v>#REF!</x:v>
      </x:c>
      <x:c r="CY32" s="128" t="e">
        <x:f>'PROJECT TA Y TB KARINA'!$P28/8</x:f>
        <x:v>#REF!</x:v>
      </x:c>
      <x:c r="CZ32" s="128" t="e">
        <x:f>'PROJECT TA Y TB KARINA'!$P28/8</x:f>
        <x:v>#REF!</x:v>
      </x:c>
      <x:c r="DA32" s="128" t="e">
        <x:f>'PROJECT TA Y TB KARINA'!$Q28/8</x:f>
        <x:v>#REF!</x:v>
      </x:c>
      <x:c r="DB32" s="128" t="e">
        <x:f>'PROJECT TA Y TB KARINA'!$Q28/8</x:f>
        <x:v>#REF!</x:v>
      </x:c>
      <x:c r="DC32" s="128" t="e">
        <x:f>'PROJECT TA Y TB KARINA'!$Q28/8</x:f>
        <x:v>#REF!</x:v>
      </x:c>
      <x:c r="DD32" s="128" t="e">
        <x:f>'PROJECT TA Y TB KARINA'!$Q28/8</x:f>
        <x:v>#REF!</x:v>
      </x:c>
      <x:c r="DE32" s="128" t="e">
        <x:f>'PROJECT TA Y TB KARINA'!$Q28/8</x:f>
        <x:v>#REF!</x:v>
      </x:c>
      <x:c r="DF32" s="128" t="e">
        <x:f>'PROJECT TA Y TB KARINA'!$Q28/8</x:f>
        <x:v>#REF!</x:v>
      </x:c>
      <x:c r="DG32" s="128" t="e">
        <x:f>'PROJECT TA Y TB KARINA'!$Q28/8</x:f>
        <x:v>#REF!</x:v>
      </x:c>
      <x:c r="DH32" s="128" t="e">
        <x:f>'PROJECT TA Y TB KARINA'!$Q28/8</x:f>
        <x:v>#REF!</x:v>
      </x:c>
      <x:c r="DI32" s="128" t="e">
        <x:f>'PROJECT TA Y TB KARINA'!$R28/8</x:f>
        <x:v>#REF!</x:v>
      </x:c>
      <x:c r="DJ32" s="128" t="e">
        <x:f>'PROJECT TA Y TB KARINA'!$R28/8</x:f>
        <x:v>#REF!</x:v>
      </x:c>
      <x:c r="DK32" s="128" t="e">
        <x:f>'PROJECT TA Y TB KARINA'!$R28/8</x:f>
        <x:v>#REF!</x:v>
      </x:c>
      <x:c r="DL32" s="128" t="e">
        <x:f>'PROJECT TA Y TB KARINA'!$R28/8</x:f>
        <x:v>#REF!</x:v>
      </x:c>
      <x:c r="DM32" s="128" t="e">
        <x:f>'PROJECT TA Y TB KARINA'!$R28/8</x:f>
        <x:v>#REF!</x:v>
      </x:c>
      <x:c r="DN32" s="128" t="e">
        <x:f>'PROJECT TA Y TB KARINA'!$R28/8</x:f>
        <x:v>#REF!</x:v>
      </x:c>
      <x:c r="DO32" s="128" t="e">
        <x:f>'PROJECT TA Y TB KARINA'!$R28/8</x:f>
        <x:v>#REF!</x:v>
      </x:c>
      <x:c r="DP32" s="128" t="e">
        <x:f>'PROJECT TA Y TB KARINA'!$R28/8</x:f>
        <x:v>#REF!</x:v>
      </x:c>
      <x:c r="DQ32" s="128" t="e">
        <x:f>'PROJECT TA Y TB KARINA'!$S28/8</x:f>
        <x:v>#REF!</x:v>
      </x:c>
      <x:c r="DR32" s="128" t="e">
        <x:f>'PROJECT TA Y TB KARINA'!$S28/8</x:f>
        <x:v>#REF!</x:v>
      </x:c>
      <x:c r="DS32" s="128" t="e">
        <x:f>'PROJECT TA Y TB KARINA'!$S28/8</x:f>
        <x:v>#REF!</x:v>
      </x:c>
      <x:c r="DT32" s="128" t="e">
        <x:f>'PROJECT TA Y TB KARINA'!$S28/8</x:f>
        <x:v>#REF!</x:v>
      </x:c>
      <x:c r="DU32" s="128" t="e">
        <x:f>'PROJECT TA Y TB KARINA'!$S28/8</x:f>
        <x:v>#REF!</x:v>
      </x:c>
      <x:c r="DV32" s="128" t="e">
        <x:f>'PROJECT TA Y TB KARINA'!$S28/8</x:f>
        <x:v>#REF!</x:v>
      </x:c>
      <x:c r="DW32" s="128" t="e">
        <x:f>'PROJECT TA Y TB KARINA'!$S28/8</x:f>
        <x:v>#REF!</x:v>
      </x:c>
      <x:c r="DX32" s="128" t="e">
        <x:f>'PROJECT TA Y TB KARINA'!$S28/8</x:f>
        <x:v>#REF!</x:v>
      </x:c>
      <x:c r="DY32" s="128" t="e">
        <x:f>'PROJECT TA Y TB KARINA'!$T28/8</x:f>
        <x:v>#REF!</x:v>
      </x:c>
      <x:c r="DZ32" s="128" t="e">
        <x:f>'PROJECT TA Y TB KARINA'!$T28/8</x:f>
        <x:v>#REF!</x:v>
      </x:c>
      <x:c r="EA32" s="128" t="e">
        <x:f>'PROJECT TA Y TB KARINA'!$T28/8</x:f>
        <x:v>#REF!</x:v>
      </x:c>
      <x:c r="EB32" s="128" t="e">
        <x:f>'PROJECT TA Y TB KARINA'!$T28/8</x:f>
        <x:v>#REF!</x:v>
      </x:c>
      <x:c r="EC32" s="128" t="e">
        <x:f>'PROJECT TA Y TB KARINA'!$T28/8</x:f>
        <x:v>#REF!</x:v>
      </x:c>
      <x:c r="ED32" s="128" t="e">
        <x:f>'PROJECT TA Y TB KARINA'!$T28/8</x:f>
        <x:v>#REF!</x:v>
      </x:c>
      <x:c r="EE32" s="128" t="e">
        <x:f>'PROJECT TA Y TB KARINA'!$T28/8</x:f>
        <x:v>#REF!</x:v>
      </x:c>
      <x:c r="EF32" s="128" t="e">
        <x:f>'PROJECT TA Y TB KARINA'!$T28/8</x:f>
        <x:v>#REF!</x:v>
      </x:c>
      <x:c r="EG32" s="128" t="e">
        <x:f>'PROJECT TA Y TB KARINA'!#REF!/8</x:f>
        <x:v>#NAME?</x:v>
      </x:c>
      <x:c r="EH32" s="128" t="e">
        <x:f>'PROJECT TA Y TB KARINA'!#REF!/8</x:f>
        <x:v>#NAME?</x:v>
      </x:c>
      <x:c r="EI32" s="128" t="e">
        <x:f>'PROJECT TA Y TB KARINA'!#REF!/8</x:f>
        <x:v>#NAME?</x:v>
      </x:c>
      <x:c r="EJ32" s="128" t="e">
        <x:f>'PROJECT TA Y TB KARINA'!#REF!/8</x:f>
        <x:v>#NAME?</x:v>
      </x:c>
      <x:c r="EK32" s="128" t="e">
        <x:f>'PROJECT TA Y TB KARINA'!#REF!/8</x:f>
        <x:v>#NAME?</x:v>
      </x:c>
      <x:c r="EL32" s="128" t="e">
        <x:f>'PROJECT TA Y TB KARINA'!#REF!/8</x:f>
        <x:v>#NAME?</x:v>
      </x:c>
      <x:c r="EM32" s="128" t="e">
        <x:f>'PROJECT TA Y TB KARINA'!#REF!/8</x:f>
        <x:v>#NAME?</x:v>
      </x:c>
      <x:c r="EN32" s="128" t="e">
        <x:f>'PROJECT TA Y TB KARINA'!#REF!/8</x:f>
        <x:v>#NAME?</x:v>
      </x:c>
      <x:c r="EO32" s="128" t="n">
        <x:f>'PROJECT TA Y TB KARINA'!$C86/8</x:f>
        <x:v>0</x:v>
      </x:c>
      <x:c r="EP32" s="128" t="n">
        <x:f>'PROJECT TA Y TB KARINA'!$C86/8</x:f>
        <x:v>0</x:v>
      </x:c>
      <x:c r="EQ32" s="128" t="n">
        <x:f>'PROJECT TA Y TB KARINA'!$C86/8</x:f>
        <x:v>0</x:v>
      </x:c>
      <x:c r="ER32" s="128" t="n">
        <x:f>'PROJECT TA Y TB KARINA'!$C86/8</x:f>
        <x:v>0</x:v>
      </x:c>
      <x:c r="ES32" s="128" t="n">
        <x:f>'PROJECT TA Y TB KARINA'!$C86/8</x:f>
        <x:v>0</x:v>
      </x:c>
      <x:c r="ET32" s="128" t="n">
        <x:f>'PROJECT TA Y TB KARINA'!$C86/8</x:f>
        <x:v>0</x:v>
      </x:c>
      <x:c r="EU32" s="128" t="n">
        <x:f>'PROJECT TA Y TB KARINA'!$C86/8</x:f>
        <x:v>0</x:v>
      </x:c>
      <x:c r="EV32" s="128" t="n">
        <x:f>'PROJECT TA Y TB KARINA'!$E86/8</x:f>
        <x:v>0</x:v>
      </x:c>
      <x:c r="EW32" s="128" t="n">
        <x:f>'PROJECT TA Y TB KARINA'!$E86/8</x:f>
        <x:v>0</x:v>
      </x:c>
      <x:c r="EX32" s="128" t="n">
        <x:f>'PROJECT TA Y TB KARINA'!$E86/8</x:f>
        <x:v>0</x:v>
      </x:c>
      <x:c r="EY32" s="128" t="n">
        <x:f>'PROJECT TA Y TB KARINA'!$E86/8</x:f>
        <x:v>0</x:v>
      </x:c>
      <x:c r="EZ32" s="128" t="n">
        <x:f>'PROJECT TA Y TB KARINA'!$E86/8</x:f>
        <x:v>0</x:v>
      </x:c>
      <x:c r="FA32" s="128" t="n">
        <x:f>'PROJECT TA Y TB KARINA'!$E86/8</x:f>
        <x:v>0</x:v>
      </x:c>
      <x:c r="FB32" s="128" t="n">
        <x:f>'PROJECT TA Y TB KARINA'!$E86/8</x:f>
        <x:v>0</x:v>
      </x:c>
      <x:c r="FC32" s="128" t="n">
        <x:f>'PROJECT TA Y TB KARINA'!$E86/8</x:f>
        <x:v>0</x:v>
      </x:c>
      <x:c r="FD32" s="128" t="n">
        <x:f>'PROJECT TA Y TB KARINA'!$F86/8</x:f>
        <x:v>0</x:v>
      </x:c>
      <x:c r="FE32" s="128" t="n">
        <x:f>'PROJECT TA Y TB KARINA'!$F86/8</x:f>
        <x:v>0</x:v>
      </x:c>
      <x:c r="FF32" s="128" t="n">
        <x:f>'PROJECT TA Y TB KARINA'!$F86/8</x:f>
        <x:v>0</x:v>
      </x:c>
      <x:c r="FG32" s="128" t="n">
        <x:f>'PROJECT TA Y TB KARINA'!$F86/8</x:f>
        <x:v>0</x:v>
      </x:c>
      <x:c r="FH32" s="128" t="n">
        <x:f>'PROJECT TA Y TB KARINA'!$F86/8</x:f>
        <x:v>0</x:v>
      </x:c>
      <x:c r="FI32" s="128" t="n">
        <x:f>'PROJECT TA Y TB KARINA'!$F86/8</x:f>
        <x:v>0</x:v>
      </x:c>
      <x:c r="FJ32" s="128" t="n">
        <x:f>'PROJECT TA Y TB KARINA'!$F86/8</x:f>
        <x:v>0</x:v>
      </x:c>
      <x:c r="FK32" s="128" t="n">
        <x:f>'PROJECT TA Y TB KARINA'!$F86/8</x:f>
        <x:v>0</x:v>
      </x:c>
      <x:c r="FL32" s="128" t="n">
        <x:f>'PROJECT TA Y TB KARINA'!$G86/8</x:f>
        <x:v>0</x:v>
      </x:c>
      <x:c r="FM32" s="128" t="n">
        <x:f>'PROJECT TA Y TB KARINA'!$G86/8</x:f>
        <x:v>0</x:v>
      </x:c>
      <x:c r="FN32" s="128" t="n">
        <x:f>'PROJECT TA Y TB KARINA'!$G86/8</x:f>
        <x:v>0</x:v>
      </x:c>
      <x:c r="FO32" s="128" t="n">
        <x:f>'PROJECT TA Y TB KARINA'!$G86/8</x:f>
        <x:v>0</x:v>
      </x:c>
      <x:c r="FP32" s="128" t="n">
        <x:f>'PROJECT TA Y TB KARINA'!$G86/8</x:f>
        <x:v>0</x:v>
      </x:c>
      <x:c r="FQ32" s="128" t="n">
        <x:f>'PROJECT TA Y TB KARINA'!$G86/8</x:f>
        <x:v>0</x:v>
      </x:c>
      <x:c r="FR32" s="128" t="n">
        <x:f>'PROJECT TA Y TB KARINA'!$G86/8</x:f>
        <x:v>0</x:v>
      </x:c>
      <x:c r="FS32" s="128" t="n">
        <x:f>'PROJECT TA Y TB KARINA'!$G86/8</x:f>
        <x:v>0</x:v>
      </x:c>
      <x:c r="FT32" s="128" t="n">
        <x:f>'PROJECT TA Y TB KARINA'!$H86/8</x:f>
        <x:v>0</x:v>
      </x:c>
      <x:c r="FU32" s="128" t="n">
        <x:f>'PROJECT TA Y TB KARINA'!$H86/8</x:f>
        <x:v>0</x:v>
      </x:c>
      <x:c r="FV32" s="128" t="n">
        <x:f>'PROJECT TA Y TB KARINA'!$H86/8</x:f>
        <x:v>0</x:v>
      </x:c>
      <x:c r="FW32" s="128" t="n">
        <x:f>'PROJECT TA Y TB KARINA'!$H86/8</x:f>
        <x:v>0</x:v>
      </x:c>
      <x:c r="FX32" s="128" t="n">
        <x:f>'PROJECT TA Y TB KARINA'!$H86/8</x:f>
        <x:v>0</x:v>
      </x:c>
      <x:c r="FY32" s="128" t="n">
        <x:f>'PROJECT TA Y TB KARINA'!$H86/8</x:f>
        <x:v>0</x:v>
      </x:c>
      <x:c r="FZ32" s="128" t="n">
        <x:f>'PROJECT TA Y TB KARINA'!$H86/8</x:f>
        <x:v>0</x:v>
      </x:c>
      <x:c r="GA32" s="128" t="n">
        <x:f>'PROJECT TA Y TB KARINA'!$H86/8</x:f>
        <x:v>0</x:v>
      </x:c>
      <x:c r="GB32" s="128" t="n">
        <x:f>'PROJECT TA Y TB KARINA'!$I86/8</x:f>
        <x:v>0</x:v>
      </x:c>
      <x:c r="GC32" s="128" t="n">
        <x:f>'PROJECT TA Y TB KARINA'!$I86/8</x:f>
        <x:v>0</x:v>
      </x:c>
      <x:c r="GD32" s="128" t="n">
        <x:f>'PROJECT TA Y TB KARINA'!$I86/8</x:f>
        <x:v>0</x:v>
      </x:c>
      <x:c r="GE32" s="128" t="n">
        <x:f>'PROJECT TA Y TB KARINA'!$I86/8</x:f>
        <x:v>0</x:v>
      </x:c>
      <x:c r="GF32" s="128" t="n">
        <x:f>'PROJECT TA Y TB KARINA'!$I86/8</x:f>
        <x:v>0</x:v>
      </x:c>
      <x:c r="GG32" s="128" t="n">
        <x:f>'PROJECT TA Y TB KARINA'!$I86/8</x:f>
        <x:v>0</x:v>
      </x:c>
      <x:c r="GH32" s="128" t="n">
        <x:f>'PROJECT TA Y TB KARINA'!$I86/8</x:f>
        <x:v>0</x:v>
      </x:c>
      <x:c r="GI32" s="128" t="n">
        <x:f>'PROJECT TA Y TB KARINA'!$I86/8</x:f>
        <x:v>0</x:v>
      </x:c>
      <x:c r="GJ32" s="128" t="n">
        <x:f>'PROJECT TA Y TB KARINA'!$J86/8</x:f>
        <x:v>0</x:v>
      </x:c>
      <x:c r="GK32" s="128" t="n">
        <x:f>'PROJECT TA Y TB KARINA'!$J86/8</x:f>
        <x:v>0</x:v>
      </x:c>
      <x:c r="GL32" s="128" t="n">
        <x:f>'PROJECT TA Y TB KARINA'!$J86/8</x:f>
        <x:v>0</x:v>
      </x:c>
      <x:c r="GM32" s="128" t="n">
        <x:f>'PROJECT TA Y TB KARINA'!$J86/8</x:f>
        <x:v>0</x:v>
      </x:c>
      <x:c r="GN32" s="128" t="n">
        <x:f>'PROJECT TA Y TB KARINA'!$J86/8</x:f>
        <x:v>0</x:v>
      </x:c>
      <x:c r="GO32" s="128" t="n">
        <x:f>'PROJECT TA Y TB KARINA'!$J86/8</x:f>
        <x:v>0</x:v>
      </x:c>
      <x:c r="GP32" s="128" t="n">
        <x:f>'PROJECT TA Y TB KARINA'!$J86/8</x:f>
        <x:v>0</x:v>
      </x:c>
      <x:c r="GQ32" s="128" t="n">
        <x:f>'PROJECT TA Y TB KARINA'!$J86/8</x:f>
        <x:v>0</x:v>
      </x:c>
      <x:c r="GR32" s="128" t="n">
        <x:f>'PROJECT TA Y TB KARINA'!$K86/8</x:f>
        <x:v>0</x:v>
      </x:c>
      <x:c r="GS32" s="128" t="n">
        <x:f>'PROJECT TA Y TB KARINA'!$K86/8</x:f>
        <x:v>0</x:v>
      </x:c>
      <x:c r="GT32" s="128" t="n">
        <x:f>'PROJECT TA Y TB KARINA'!$K86/8</x:f>
        <x:v>0</x:v>
      </x:c>
      <x:c r="GU32" s="128" t="n">
        <x:f>'PROJECT TA Y TB KARINA'!$K86/8</x:f>
        <x:v>0</x:v>
      </x:c>
      <x:c r="GV32" s="128" t="n">
        <x:f>'PROJECT TA Y TB KARINA'!$K86/8</x:f>
        <x:v>0</x:v>
      </x:c>
      <x:c r="GW32" s="128" t="n">
        <x:f>'PROJECT TA Y TB KARINA'!$K86/8</x:f>
        <x:v>0</x:v>
      </x:c>
      <x:c r="GX32" s="128" t="n">
        <x:f>'PROJECT TA Y TB KARINA'!$K86/8</x:f>
        <x:v>0</x:v>
      </x:c>
      <x:c r="GY32" s="128" t="n">
        <x:f>'PROJECT TA Y TB KARINA'!$K86/8</x:f>
        <x:v>0</x:v>
      </x:c>
      <x:c r="GZ32" s="128" t="n">
        <x:f>'PROJECT TA Y TB KARINA'!$L86/8</x:f>
        <x:v>0</x:v>
      </x:c>
      <x:c r="HA32" s="128" t="n">
        <x:f>'PROJECT TA Y TB KARINA'!$L86/8</x:f>
        <x:v>0</x:v>
      </x:c>
      <x:c r="HB32" s="128" t="n">
        <x:f>'PROJECT TA Y TB KARINA'!$L86/8</x:f>
        <x:v>0</x:v>
      </x:c>
      <x:c r="HC32" s="128" t="n">
        <x:f>'PROJECT TA Y TB KARINA'!$L86/8</x:f>
        <x:v>0</x:v>
      </x:c>
      <x:c r="HD32" s="128" t="n">
        <x:f>'PROJECT TA Y TB KARINA'!$L86/8</x:f>
        <x:v>0</x:v>
      </x:c>
      <x:c r="HE32" s="128" t="n">
        <x:f>'PROJECT TA Y TB KARINA'!$L86/8</x:f>
        <x:v>0</x:v>
      </x:c>
      <x:c r="HF32" s="128" t="n">
        <x:f>'PROJECT TA Y TB KARINA'!$L86/8</x:f>
        <x:v>0</x:v>
      </x:c>
      <x:c r="HG32" s="128" t="n">
        <x:f>'PROJECT TA Y TB KARINA'!$L86/8</x:f>
        <x:v>0</x:v>
      </x:c>
      <x:c r="HH32" s="128" t="n">
        <x:f>'PROJECT TA Y TB KARINA'!$M86/8</x:f>
        <x:v>0</x:v>
      </x:c>
      <x:c r="HI32" s="128" t="n">
        <x:f>'PROJECT TA Y TB KARINA'!$M86/8</x:f>
        <x:v>0</x:v>
      </x:c>
      <x:c r="HJ32" s="128" t="n">
        <x:f>'PROJECT TA Y TB KARINA'!$M86/8</x:f>
        <x:v>0</x:v>
      </x:c>
      <x:c r="HK32" s="128" t="n">
        <x:f>'PROJECT TA Y TB KARINA'!$M86/8</x:f>
        <x:v>0</x:v>
      </x:c>
      <x:c r="HL32" s="128" t="n">
        <x:f>'PROJECT TA Y TB KARINA'!$M86/8</x:f>
        <x:v>0</x:v>
      </x:c>
      <x:c r="HM32" s="128" t="n">
        <x:f>'PROJECT TA Y TB KARINA'!$M86/8</x:f>
        <x:v>0</x:v>
      </x:c>
      <x:c r="HN32" s="128" t="n">
        <x:f>'PROJECT TA Y TB KARINA'!$M86/8</x:f>
        <x:v>0</x:v>
      </x:c>
      <x:c r="HO32" s="128" t="n">
        <x:f>'PROJECT TA Y TB KARINA'!$M86/8</x:f>
        <x:v>0</x:v>
      </x:c>
      <x:c r="HP32" s="128" t="n">
        <x:f>'PROJECT TA Y TB KARINA'!$N86/8</x:f>
        <x:v>0</x:v>
      </x:c>
      <x:c r="HQ32" s="128" t="n">
        <x:f>'PROJECT TA Y TB KARINA'!$N86/8</x:f>
        <x:v>0</x:v>
      </x:c>
      <x:c r="HR32" s="128" t="n">
        <x:f>'PROJECT TA Y TB KARINA'!$N86/8</x:f>
        <x:v>0</x:v>
      </x:c>
      <x:c r="HS32" s="128" t="n">
        <x:f>'PROJECT TA Y TB KARINA'!$N86/8</x:f>
        <x:v>0</x:v>
      </x:c>
      <x:c r="HT32" s="128" t="n">
        <x:f>'PROJECT TA Y TB KARINA'!$N86/8</x:f>
        <x:v>0</x:v>
      </x:c>
      <x:c r="HU32" s="128" t="n">
        <x:f>'PROJECT TA Y TB KARINA'!$N86/8</x:f>
        <x:v>0</x:v>
      </x:c>
      <x:c r="HV32" s="128" t="n">
        <x:f>'PROJECT TA Y TB KARINA'!$N86/8</x:f>
        <x:v>0</x:v>
      </x:c>
      <x:c r="HW32" s="128" t="n">
        <x:f>'PROJECT TA Y TB KARINA'!$N86/8</x:f>
        <x:v>0</x:v>
      </x:c>
      <x:c r="HX32" s="128" t="n">
        <x:f>'PROJECT TA Y TB KARINA'!$O86/8</x:f>
        <x:v>0</x:v>
      </x:c>
      <x:c r="HY32" s="128" t="n">
        <x:f>'PROJECT TA Y TB KARINA'!$O86/8</x:f>
        <x:v>0</x:v>
      </x:c>
      <x:c r="HZ32" s="128" t="n">
        <x:f>'PROJECT TA Y TB KARINA'!$O86/8</x:f>
        <x:v>0</x:v>
      </x:c>
      <x:c r="IA32" s="128" t="n">
        <x:f>'PROJECT TA Y TB KARINA'!$O86/8</x:f>
        <x:v>0</x:v>
      </x:c>
      <x:c r="IB32" s="128" t="n">
        <x:f>'PROJECT TA Y TB KARINA'!$O86/8</x:f>
        <x:v>0</x:v>
      </x:c>
      <x:c r="IC32" s="128" t="n">
        <x:f>'PROJECT TA Y TB KARINA'!$O86/8</x:f>
        <x:v>0</x:v>
      </x:c>
      <x:c r="ID32" s="128" t="n">
        <x:f>'PROJECT TA Y TB KARINA'!$O86/8</x:f>
        <x:v>0</x:v>
      </x:c>
      <x:c r="IE32" s="128" t="n">
        <x:f>'PROJECT TA Y TB KARINA'!$O86/8</x:f>
        <x:v>0</x:v>
      </x:c>
      <x:c r="IF32" s="128" t="n">
        <x:f>'PROJECT TA Y TB KARINA'!$P86/8</x:f>
        <x:v>0</x:v>
      </x:c>
      <x:c r="IG32" s="128" t="n">
        <x:f>'PROJECT TA Y TB KARINA'!$P86/8</x:f>
        <x:v>0</x:v>
      </x:c>
      <x:c r="IH32" s="128" t="n">
        <x:f>'PROJECT TA Y TB KARINA'!$P86/8</x:f>
        <x:v>0</x:v>
      </x:c>
      <x:c r="II32" s="128" t="n">
        <x:f>'PROJECT TA Y TB KARINA'!$P86/8</x:f>
        <x:v>0</x:v>
      </x:c>
      <x:c r="IJ32" s="128" t="n">
        <x:f>'PROJECT TA Y TB KARINA'!$P86/8</x:f>
        <x:v>0</x:v>
      </x:c>
      <x:c r="IK32" s="128" t="n">
        <x:f>'PROJECT TA Y TB KARINA'!$P86/8</x:f>
        <x:v>0</x:v>
      </x:c>
      <x:c r="IL32" s="128" t="n">
        <x:f>'PROJECT TA Y TB KARINA'!$P86/8</x:f>
        <x:v>0</x:v>
      </x:c>
      <x:c r="IM32" s="128" t="n">
        <x:f>'PROJECT TA Y TB KARINA'!$P86/8</x:f>
        <x:v>0</x:v>
      </x:c>
      <x:c r="IN32" s="128" t="n">
        <x:f>'PROJECT TA Y TB KARINA'!$Q86/8</x:f>
        <x:v>0</x:v>
      </x:c>
      <x:c r="IO32" s="128" t="n">
        <x:f>'PROJECT TA Y TB KARINA'!$Q86/8</x:f>
        <x:v>0</x:v>
      </x:c>
      <x:c r="IP32" s="128" t="n">
        <x:f>'PROJECT TA Y TB KARINA'!$Q86/8</x:f>
        <x:v>0</x:v>
      </x:c>
      <x:c r="IQ32" s="128" t="n">
        <x:f>'PROJECT TA Y TB KARINA'!$Q86/8</x:f>
        <x:v>0</x:v>
      </x:c>
      <x:c r="IR32" s="128" t="n">
        <x:f>'PROJECT TA Y TB KARINA'!$Q86/8</x:f>
        <x:v>0</x:v>
      </x:c>
      <x:c r="IS32" s="128" t="n">
        <x:f>'PROJECT TA Y TB KARINA'!$Q86/8</x:f>
        <x:v>0</x:v>
      </x:c>
      <x:c r="IT32" s="128" t="n">
        <x:f>'PROJECT TA Y TB KARINA'!$Q86/8</x:f>
        <x:v>0</x:v>
      </x:c>
      <x:c r="IU32" s="128" t="n">
        <x:f>'PROJECT TA Y TB KARINA'!$Q86/8</x:f>
        <x:v>0</x:v>
      </x:c>
      <x:c r="IV32" s="128" t="n">
        <x:f>'PROJECT TA Y TB KARINA'!$R86/8</x:f>
        <x:v>0</x:v>
      </x:c>
      <x:c r="IW32" s="128" t="n">
        <x:f>'PROJECT TA Y TB KARINA'!$R86/8</x:f>
        <x:v>0</x:v>
      </x:c>
      <x:c r="IX32" s="128" t="n">
        <x:f>'PROJECT TA Y TB KARINA'!$R86/8</x:f>
        <x:v>0</x:v>
      </x:c>
      <x:c r="IY32" s="128" t="n">
        <x:f>'PROJECT TA Y TB KARINA'!$R86/8</x:f>
        <x:v>0</x:v>
      </x:c>
      <x:c r="IZ32" s="128" t="n">
        <x:f>'PROJECT TA Y TB KARINA'!$R86/8</x:f>
        <x:v>0</x:v>
      </x:c>
      <x:c r="JA32" s="128" t="n">
        <x:f>'PROJECT TA Y TB KARINA'!$R86/8</x:f>
        <x:v>0</x:v>
      </x:c>
      <x:c r="JB32" s="128" t="n">
        <x:f>'PROJECT TA Y TB KARINA'!$R86/8</x:f>
        <x:v>0</x:v>
      </x:c>
      <x:c r="JC32" s="128" t="n">
        <x:f>'PROJECT TA Y TB KARINA'!$R86/8</x:f>
        <x:v>0</x:v>
      </x:c>
      <x:c r="JD32" s="128" t="n">
        <x:f>'PROJECT TA Y TB KARINA'!$S86/8</x:f>
        <x:v>0</x:v>
      </x:c>
      <x:c r="JE32" s="128" t="n">
        <x:f>'PROJECT TA Y TB KARINA'!$S86/8</x:f>
        <x:v>0</x:v>
      </x:c>
      <x:c r="JF32" s="128" t="n">
        <x:f>'PROJECT TA Y TB KARINA'!$S86/8</x:f>
        <x:v>0</x:v>
      </x:c>
      <x:c r="JG32" s="128" t="n">
        <x:f>'PROJECT TA Y TB KARINA'!$S86/8</x:f>
        <x:v>0</x:v>
      </x:c>
      <x:c r="JH32" s="128" t="n">
        <x:f>'PROJECT TA Y TB KARINA'!$S86/8</x:f>
        <x:v>0</x:v>
      </x:c>
      <x:c r="JI32" s="128" t="n">
        <x:f>'PROJECT TA Y TB KARINA'!$S86/8</x:f>
        <x:v>0</x:v>
      </x:c>
      <x:c r="JJ32" s="128" t="n">
        <x:f>'PROJECT TA Y TB KARINA'!$S86/8</x:f>
        <x:v>0</x:v>
      </x:c>
      <x:c r="JK32" s="128" t="n">
        <x:f>'PROJECT TA Y TB KARINA'!$S86/8</x:f>
        <x:v>0</x:v>
      </x:c>
      <x:c r="JL32" s="128" t="n">
        <x:f>'PROJECT TA Y TB KARINA'!$T86/8</x:f>
        <x:v>0</x:v>
      </x:c>
      <x:c r="JM32" s="128" t="n">
        <x:f>'PROJECT TA Y TB KARINA'!$T86/8</x:f>
        <x:v>0</x:v>
      </x:c>
      <x:c r="JN32" s="128" t="n">
        <x:f>'PROJECT TA Y TB KARINA'!$T86/8</x:f>
        <x:v>0</x:v>
      </x:c>
      <x:c r="JO32" s="128" t="n">
        <x:f>'PROJECT TA Y TB KARINA'!$T86/8</x:f>
        <x:v>0</x:v>
      </x:c>
      <x:c r="JP32" s="128" t="n">
        <x:f>'PROJECT TA Y TB KARINA'!$T86/8</x:f>
        <x:v>0</x:v>
      </x:c>
      <x:c r="JQ32" s="128" t="n">
        <x:f>'PROJECT TA Y TB KARINA'!$T86/8</x:f>
        <x:v>0</x:v>
      </x:c>
      <x:c r="JR32" s="128" t="n">
        <x:f>'PROJECT TA Y TB KARINA'!$T86/8</x:f>
        <x:v>0</x:v>
      </x:c>
      <x:c r="JS32" s="128" t="n">
        <x:f>'PROJECT TA Y TB KARINA'!$T86/8</x:f>
        <x:v>0</x:v>
      </x:c>
      <x:c r="JT32" s="128" t="e">
        <x:f>'PROJECT TA Y TB KARINA'!#REF!/8</x:f>
        <x:v>#NAME?</x:v>
      </x:c>
      <x:c r="JU32" s="128" t="e">
        <x:f>'PROJECT TA Y TB KARINA'!#REF!/8</x:f>
        <x:v>#NAME?</x:v>
      </x:c>
      <x:c r="JV32" s="128" t="e">
        <x:f>'PROJECT TA Y TB KARINA'!#REF!/8</x:f>
        <x:v>#NAME?</x:v>
      </x:c>
      <x:c r="JW32" s="128" t="e">
        <x:f>'PROJECT TA Y TB KARINA'!#REF!/8</x:f>
        <x:v>#NAME?</x:v>
      </x:c>
      <x:c r="JX32" s="128" t="e">
        <x:f>'PROJECT TA Y TB KARINA'!#REF!/8</x:f>
        <x:v>#NAME?</x:v>
      </x:c>
      <x:c r="JY32" s="128" t="e">
        <x:f>'PROJECT TA Y TB KARINA'!#REF!/8</x:f>
        <x:v>#NAME?</x:v>
      </x:c>
      <x:c r="JZ32" s="128" t="e">
        <x:f>'PROJECT TA Y TB KARINA'!#REF!/8</x:f>
        <x:v>#NAME?</x:v>
      </x:c>
      <x:c r="KA32" s="128" t="e">
        <x:f>'PROJECT TA Y TB KARINA'!#REF!/8</x:f>
        <x:v>#NAME?</x:v>
      </x:c>
    </x:row>
    <x:row r="33" ht="21">
      <x:c r="A33" s="130" t="s">
        <x:v>518</x:v>
      </x:c>
      <x:c r="B33" s="128" t="e">
        <x:f>'PROJECT TA Y TB KARINA'!$C$29/8</x:f>
        <x:v>#REF!</x:v>
      </x:c>
      <x:c r="C33" s="128" t="e">
        <x:f>'PROJECT TA Y TB KARINA'!$C$29/8</x:f>
        <x:v>#REF!</x:v>
      </x:c>
      <x:c r="D33" s="128" t="e">
        <x:f>'PROJECT TA Y TB KARINA'!$C$29/8</x:f>
        <x:v>#REF!</x:v>
      </x:c>
      <x:c r="E33" s="128" t="e">
        <x:f>'PROJECT TA Y TB KARINA'!$C$29/8</x:f>
        <x:v>#REF!</x:v>
      </x:c>
      <x:c r="F33" s="128" t="e">
        <x:f>'PROJECT TA Y TB KARINA'!$C$29/8</x:f>
        <x:v>#REF!</x:v>
      </x:c>
      <x:c r="G33" s="128" t="e">
        <x:f>'PROJECT TA Y TB KARINA'!$C$29/8</x:f>
        <x:v>#REF!</x:v>
      </x:c>
      <x:c r="H33" s="128" t="e">
        <x:f>'PROJECT TA Y TB KARINA'!$C$29/8</x:f>
        <x:v>#REF!</x:v>
      </x:c>
      <x:c r="I33" s="128" t="e">
        <x:f>'PROJECT TA Y TB KARINA'!$E29/8</x:f>
        <x:v>#REF!</x:v>
      </x:c>
      <x:c r="J33" s="128" t="e">
        <x:f>'PROJECT TA Y TB KARINA'!$E29/8</x:f>
        <x:v>#REF!</x:v>
      </x:c>
      <x:c r="K33" s="128" t="e">
        <x:f>'PROJECT TA Y TB KARINA'!$E29/8</x:f>
        <x:v>#REF!</x:v>
      </x:c>
      <x:c r="L33" s="128" t="e">
        <x:f>'PROJECT TA Y TB KARINA'!$E29/8</x:f>
        <x:v>#REF!</x:v>
      </x:c>
      <x:c r="M33" s="128" t="e">
        <x:f>'PROJECT TA Y TB KARINA'!$E29/8</x:f>
        <x:v>#REF!</x:v>
      </x:c>
      <x:c r="N33" s="128" t="e">
        <x:f>'PROJECT TA Y TB KARINA'!$E29/8</x:f>
        <x:v>#REF!</x:v>
      </x:c>
      <x:c r="O33" s="128" t="e">
        <x:f>'PROJECT TA Y TB KARINA'!$E29/8</x:f>
        <x:v>#REF!</x:v>
      </x:c>
      <x:c r="P33" s="128" t="e">
        <x:f>'PROJECT TA Y TB KARINA'!$E29/8</x:f>
        <x:v>#REF!</x:v>
      </x:c>
      <x:c r="Q33" s="128" t="e">
        <x:f>'PROJECT TA Y TB KARINA'!$F29/8</x:f>
        <x:v>#REF!</x:v>
      </x:c>
      <x:c r="R33" s="128" t="e">
        <x:f>'PROJECT TA Y TB KARINA'!$F29/8</x:f>
        <x:v>#REF!</x:v>
      </x:c>
      <x:c r="S33" s="128" t="e">
        <x:f>'PROJECT TA Y TB KARINA'!$F29/8</x:f>
        <x:v>#REF!</x:v>
      </x:c>
      <x:c r="T33" s="128" t="e">
        <x:f>'PROJECT TA Y TB KARINA'!$F29/8</x:f>
        <x:v>#REF!</x:v>
      </x:c>
      <x:c r="U33" s="128" t="e">
        <x:f>'PROJECT TA Y TB KARINA'!$F29/8</x:f>
        <x:v>#REF!</x:v>
      </x:c>
      <x:c r="V33" s="128" t="e">
        <x:f>'PROJECT TA Y TB KARINA'!$F29/8</x:f>
        <x:v>#REF!</x:v>
      </x:c>
      <x:c r="W33" s="128" t="e">
        <x:f>'PROJECT TA Y TB KARINA'!$F29/8</x:f>
        <x:v>#REF!</x:v>
      </x:c>
      <x:c r="X33" s="128" t="e">
        <x:f>'PROJECT TA Y TB KARINA'!$F29/8</x:f>
        <x:v>#REF!</x:v>
      </x:c>
      <x:c r="Y33" s="128" t="e">
        <x:f>'PROJECT TA Y TB KARINA'!$G29/8</x:f>
        <x:v>#REF!</x:v>
      </x:c>
      <x:c r="Z33" s="128" t="e">
        <x:f>'PROJECT TA Y TB KARINA'!$G29/8</x:f>
        <x:v>#REF!</x:v>
      </x:c>
      <x:c r="AA33" s="128" t="e">
        <x:f>'PROJECT TA Y TB KARINA'!$G29/8</x:f>
        <x:v>#REF!</x:v>
      </x:c>
      <x:c r="AB33" s="128" t="e">
        <x:f>'PROJECT TA Y TB KARINA'!$G29/8</x:f>
        <x:v>#REF!</x:v>
      </x:c>
      <x:c r="AC33" s="128" t="e">
        <x:f>'PROJECT TA Y TB KARINA'!$G29/8</x:f>
        <x:v>#REF!</x:v>
      </x:c>
      <x:c r="AD33" s="128" t="e">
        <x:f>'PROJECT TA Y TB KARINA'!$G29/8</x:f>
        <x:v>#REF!</x:v>
      </x:c>
      <x:c r="AE33" s="128" t="e">
        <x:f>'PROJECT TA Y TB KARINA'!$G29/8</x:f>
        <x:v>#REF!</x:v>
      </x:c>
      <x:c r="AF33" s="128" t="e">
        <x:f>'PROJECT TA Y TB KARINA'!$G29/8</x:f>
        <x:v>#REF!</x:v>
      </x:c>
      <x:c r="AG33" s="128" t="e">
        <x:f>'PROJECT TA Y TB KARINA'!$H29/8</x:f>
        <x:v>#REF!</x:v>
      </x:c>
      <x:c r="AH33" s="128" t="e">
        <x:f>'PROJECT TA Y TB KARINA'!$H29/8</x:f>
        <x:v>#REF!</x:v>
      </x:c>
      <x:c r="AI33" s="128" t="e">
        <x:f>'PROJECT TA Y TB KARINA'!$H29/8</x:f>
        <x:v>#REF!</x:v>
      </x:c>
      <x:c r="AJ33" s="128" t="e">
        <x:f>'PROJECT TA Y TB KARINA'!$H29/8</x:f>
        <x:v>#REF!</x:v>
      </x:c>
      <x:c r="AK33" s="128" t="e">
        <x:f>'PROJECT TA Y TB KARINA'!$H29/8</x:f>
        <x:v>#REF!</x:v>
      </x:c>
      <x:c r="AL33" s="128" t="e">
        <x:f>'PROJECT TA Y TB KARINA'!$H29/8</x:f>
        <x:v>#REF!</x:v>
      </x:c>
      <x:c r="AM33" s="128" t="e">
        <x:f>'PROJECT TA Y TB KARINA'!$H29/8</x:f>
        <x:v>#REF!</x:v>
      </x:c>
      <x:c r="AN33" s="128" t="e">
        <x:f>'PROJECT TA Y TB KARINA'!$H29/8</x:f>
        <x:v>#REF!</x:v>
      </x:c>
      <x:c r="AO33" s="128" t="e">
        <x:f>'PROJECT TA Y TB KARINA'!$I29/8</x:f>
        <x:v>#REF!</x:v>
      </x:c>
      <x:c r="AP33" s="128" t="e">
        <x:f>'PROJECT TA Y TB KARINA'!$I29/8</x:f>
        <x:v>#REF!</x:v>
      </x:c>
      <x:c r="AQ33" s="128" t="e">
        <x:f>'PROJECT TA Y TB KARINA'!$I29/8</x:f>
        <x:v>#REF!</x:v>
      </x:c>
      <x:c r="AR33" s="128" t="e">
        <x:f>'PROJECT TA Y TB KARINA'!$I29/8</x:f>
        <x:v>#REF!</x:v>
      </x:c>
      <x:c r="AS33" s="128" t="e">
        <x:f>'PROJECT TA Y TB KARINA'!$I29/8</x:f>
        <x:v>#REF!</x:v>
      </x:c>
      <x:c r="AT33" s="128" t="e">
        <x:f>'PROJECT TA Y TB KARINA'!$I29/8</x:f>
        <x:v>#REF!</x:v>
      </x:c>
      <x:c r="AU33" s="128" t="e">
        <x:f>'PROJECT TA Y TB KARINA'!$I29/8</x:f>
        <x:v>#REF!</x:v>
      </x:c>
      <x:c r="AV33" s="128" t="e">
        <x:f>'PROJECT TA Y TB KARINA'!$I29/8</x:f>
        <x:v>#REF!</x:v>
      </x:c>
      <x:c r="AW33" s="128" t="e">
        <x:f>'PROJECT TA Y TB KARINA'!$J29/8</x:f>
        <x:v>#REF!</x:v>
      </x:c>
      <x:c r="AX33" s="128" t="e">
        <x:f>'PROJECT TA Y TB KARINA'!$J29/8</x:f>
        <x:v>#REF!</x:v>
      </x:c>
      <x:c r="AY33" s="128" t="e">
        <x:f>'PROJECT TA Y TB KARINA'!$J29/8</x:f>
        <x:v>#REF!</x:v>
      </x:c>
      <x:c r="AZ33" s="128" t="e">
        <x:f>'PROJECT TA Y TB KARINA'!$J29/8</x:f>
        <x:v>#REF!</x:v>
      </x:c>
      <x:c r="BA33" s="128" t="e">
        <x:f>'PROJECT TA Y TB KARINA'!$J29/8</x:f>
        <x:v>#REF!</x:v>
      </x:c>
      <x:c r="BB33" s="128" t="e">
        <x:f>'PROJECT TA Y TB KARINA'!$J29/8</x:f>
        <x:v>#REF!</x:v>
      </x:c>
      <x:c r="BC33" s="128" t="e">
        <x:f>'PROJECT TA Y TB KARINA'!$J29/8</x:f>
        <x:v>#REF!</x:v>
      </x:c>
      <x:c r="BD33" s="128" t="e">
        <x:f>'PROJECT TA Y TB KARINA'!$J29/8</x:f>
        <x:v>#REF!</x:v>
      </x:c>
      <x:c r="BE33" s="128" t="e">
        <x:f>'PROJECT TA Y TB KARINA'!$K29/8</x:f>
        <x:v>#REF!</x:v>
      </x:c>
      <x:c r="BF33" s="128" t="e">
        <x:f>'PROJECT TA Y TB KARINA'!$K29/8</x:f>
        <x:v>#REF!</x:v>
      </x:c>
      <x:c r="BG33" s="128" t="e">
        <x:f>'PROJECT TA Y TB KARINA'!$K29/8</x:f>
        <x:v>#REF!</x:v>
      </x:c>
      <x:c r="BH33" s="128" t="e">
        <x:f>'PROJECT TA Y TB KARINA'!$K29/8</x:f>
        <x:v>#REF!</x:v>
      </x:c>
      <x:c r="BI33" s="128" t="e">
        <x:f>'PROJECT TA Y TB KARINA'!$K29/8</x:f>
        <x:v>#REF!</x:v>
      </x:c>
      <x:c r="BJ33" s="128" t="e">
        <x:f>'PROJECT TA Y TB KARINA'!$K29/8</x:f>
        <x:v>#REF!</x:v>
      </x:c>
      <x:c r="BK33" s="128" t="e">
        <x:f>'PROJECT TA Y TB KARINA'!$K29/8</x:f>
        <x:v>#REF!</x:v>
      </x:c>
      <x:c r="BL33" s="128" t="e">
        <x:f>'PROJECT TA Y TB KARINA'!$K29/8</x:f>
        <x:v>#REF!</x:v>
      </x:c>
      <x:c r="BM33" s="128" t="e">
        <x:f>'PROJECT TA Y TB KARINA'!$L29/8</x:f>
        <x:v>#REF!</x:v>
      </x:c>
      <x:c r="BN33" s="128" t="e">
        <x:f>'PROJECT TA Y TB KARINA'!$L29/8</x:f>
        <x:v>#REF!</x:v>
      </x:c>
      <x:c r="BO33" s="128" t="e">
        <x:f>'PROJECT TA Y TB KARINA'!$L29/8</x:f>
        <x:v>#REF!</x:v>
      </x:c>
      <x:c r="BP33" s="128" t="e">
        <x:f>'PROJECT TA Y TB KARINA'!$L29/8</x:f>
        <x:v>#REF!</x:v>
      </x:c>
      <x:c r="BQ33" s="128" t="e">
        <x:f>'PROJECT TA Y TB KARINA'!$L29/8</x:f>
        <x:v>#REF!</x:v>
      </x:c>
      <x:c r="BR33" s="128" t="e">
        <x:f>'PROJECT TA Y TB KARINA'!$L29/8</x:f>
        <x:v>#REF!</x:v>
      </x:c>
      <x:c r="BS33" s="128" t="e">
        <x:f>'PROJECT TA Y TB KARINA'!$L29/8</x:f>
        <x:v>#REF!</x:v>
      </x:c>
      <x:c r="BT33" s="128" t="e">
        <x:f>'PROJECT TA Y TB KARINA'!$L29/8</x:f>
        <x:v>#REF!</x:v>
      </x:c>
      <x:c r="BU33" s="128" t="e">
        <x:f>'PROJECT TA Y TB KARINA'!$M29/8</x:f>
        <x:v>#REF!</x:v>
      </x:c>
      <x:c r="BV33" s="128" t="e">
        <x:f>'PROJECT TA Y TB KARINA'!$M29/8</x:f>
        <x:v>#REF!</x:v>
      </x:c>
      <x:c r="BW33" s="128" t="e">
        <x:f>'PROJECT TA Y TB KARINA'!$M29/8</x:f>
        <x:v>#REF!</x:v>
      </x:c>
      <x:c r="BX33" s="128" t="e">
        <x:f>'PROJECT TA Y TB KARINA'!$M29/8</x:f>
        <x:v>#REF!</x:v>
      </x:c>
      <x:c r="BY33" s="128" t="e">
        <x:f>'PROJECT TA Y TB KARINA'!$M29/8</x:f>
        <x:v>#REF!</x:v>
      </x:c>
      <x:c r="BZ33" s="128" t="e">
        <x:f>'PROJECT TA Y TB KARINA'!$M29/8</x:f>
        <x:v>#REF!</x:v>
      </x:c>
      <x:c r="CA33" s="128" t="e">
        <x:f>'PROJECT TA Y TB KARINA'!$M29/8</x:f>
        <x:v>#REF!</x:v>
      </x:c>
      <x:c r="CB33" s="128" t="e">
        <x:f>'PROJECT TA Y TB KARINA'!$M29/8</x:f>
        <x:v>#REF!</x:v>
      </x:c>
      <x:c r="CC33" s="128" t="e">
        <x:f>'PROJECT TA Y TB KARINA'!$N29/8</x:f>
        <x:v>#REF!</x:v>
      </x:c>
      <x:c r="CD33" s="128" t="e">
        <x:f>'PROJECT TA Y TB KARINA'!$N29/8</x:f>
        <x:v>#REF!</x:v>
      </x:c>
      <x:c r="CE33" s="128" t="e">
        <x:f>'PROJECT TA Y TB KARINA'!$N29/8</x:f>
        <x:v>#REF!</x:v>
      </x:c>
      <x:c r="CF33" s="128" t="e">
        <x:f>'PROJECT TA Y TB KARINA'!$N29/8</x:f>
        <x:v>#REF!</x:v>
      </x:c>
      <x:c r="CG33" s="128" t="e">
        <x:f>'PROJECT TA Y TB KARINA'!$N29/8</x:f>
        <x:v>#REF!</x:v>
      </x:c>
      <x:c r="CH33" s="128" t="e">
        <x:f>'PROJECT TA Y TB KARINA'!$N29/8</x:f>
        <x:v>#REF!</x:v>
      </x:c>
      <x:c r="CI33" s="128" t="e">
        <x:f>'PROJECT TA Y TB KARINA'!$N29/8</x:f>
        <x:v>#REF!</x:v>
      </x:c>
      <x:c r="CJ33" s="128" t="e">
        <x:f>'PROJECT TA Y TB KARINA'!$N29/8</x:f>
        <x:v>#REF!</x:v>
      </x:c>
      <x:c r="CK33" s="128" t="e">
        <x:f>'PROJECT TA Y TB KARINA'!$O29/8</x:f>
        <x:v>#REF!</x:v>
      </x:c>
      <x:c r="CL33" s="128" t="e">
        <x:f>'PROJECT TA Y TB KARINA'!$O29/8</x:f>
        <x:v>#REF!</x:v>
      </x:c>
      <x:c r="CM33" s="128" t="e">
        <x:f>'PROJECT TA Y TB KARINA'!$O29/8</x:f>
        <x:v>#REF!</x:v>
      </x:c>
      <x:c r="CN33" s="128" t="e">
        <x:f>'PROJECT TA Y TB KARINA'!$O29/8</x:f>
        <x:v>#REF!</x:v>
      </x:c>
      <x:c r="CO33" s="128" t="e">
        <x:f>'PROJECT TA Y TB KARINA'!$O29/8</x:f>
        <x:v>#REF!</x:v>
      </x:c>
      <x:c r="CP33" s="128" t="e">
        <x:f>'PROJECT TA Y TB KARINA'!$O29/8</x:f>
        <x:v>#REF!</x:v>
      </x:c>
      <x:c r="CQ33" s="128" t="e">
        <x:f>'PROJECT TA Y TB KARINA'!$O29/8</x:f>
        <x:v>#REF!</x:v>
      </x:c>
      <x:c r="CR33" s="128" t="e">
        <x:f>'PROJECT TA Y TB KARINA'!$O29/8</x:f>
        <x:v>#REF!</x:v>
      </x:c>
      <x:c r="CS33" s="128" t="e">
        <x:f>'PROJECT TA Y TB KARINA'!$P29/8</x:f>
        <x:v>#REF!</x:v>
      </x:c>
      <x:c r="CT33" s="128" t="e">
        <x:f>'PROJECT TA Y TB KARINA'!$P29/8</x:f>
        <x:v>#REF!</x:v>
      </x:c>
      <x:c r="CU33" s="128" t="e">
        <x:f>'PROJECT TA Y TB KARINA'!$P29/8</x:f>
        <x:v>#REF!</x:v>
      </x:c>
      <x:c r="CV33" s="128" t="e">
        <x:f>'PROJECT TA Y TB KARINA'!$P29/8</x:f>
        <x:v>#REF!</x:v>
      </x:c>
      <x:c r="CW33" s="128" t="e">
        <x:f>'PROJECT TA Y TB KARINA'!$P29/8</x:f>
        <x:v>#REF!</x:v>
      </x:c>
      <x:c r="CX33" s="128" t="e">
        <x:f>'PROJECT TA Y TB KARINA'!$P29/8</x:f>
        <x:v>#REF!</x:v>
      </x:c>
      <x:c r="CY33" s="128" t="e">
        <x:f>'PROJECT TA Y TB KARINA'!$P29/8</x:f>
        <x:v>#REF!</x:v>
      </x:c>
      <x:c r="CZ33" s="128" t="e">
        <x:f>'PROJECT TA Y TB KARINA'!$P29/8</x:f>
        <x:v>#REF!</x:v>
      </x:c>
      <x:c r="DA33" s="128" t="e">
        <x:f>'PROJECT TA Y TB KARINA'!$Q29/8</x:f>
        <x:v>#REF!</x:v>
      </x:c>
      <x:c r="DB33" s="128" t="e">
        <x:f>'PROJECT TA Y TB KARINA'!$Q29/8</x:f>
        <x:v>#REF!</x:v>
      </x:c>
      <x:c r="DC33" s="128" t="e">
        <x:f>'PROJECT TA Y TB KARINA'!$Q29/8</x:f>
        <x:v>#REF!</x:v>
      </x:c>
      <x:c r="DD33" s="128" t="e">
        <x:f>'PROJECT TA Y TB KARINA'!$Q29/8</x:f>
        <x:v>#REF!</x:v>
      </x:c>
      <x:c r="DE33" s="128" t="e">
        <x:f>'PROJECT TA Y TB KARINA'!$Q29/8</x:f>
        <x:v>#REF!</x:v>
      </x:c>
      <x:c r="DF33" s="128" t="e">
        <x:f>'PROJECT TA Y TB KARINA'!$Q29/8</x:f>
        <x:v>#REF!</x:v>
      </x:c>
      <x:c r="DG33" s="128" t="e">
        <x:f>'PROJECT TA Y TB KARINA'!$Q29/8</x:f>
        <x:v>#REF!</x:v>
      </x:c>
      <x:c r="DH33" s="128" t="e">
        <x:f>'PROJECT TA Y TB KARINA'!$Q29/8</x:f>
        <x:v>#REF!</x:v>
      </x:c>
      <x:c r="DI33" s="128" t="e">
        <x:f>'PROJECT TA Y TB KARINA'!$R29/8</x:f>
        <x:v>#REF!</x:v>
      </x:c>
      <x:c r="DJ33" s="128" t="e">
        <x:f>'PROJECT TA Y TB KARINA'!$R29/8</x:f>
        <x:v>#REF!</x:v>
      </x:c>
      <x:c r="DK33" s="128" t="e">
        <x:f>'PROJECT TA Y TB KARINA'!$R29/8</x:f>
        <x:v>#REF!</x:v>
      </x:c>
      <x:c r="DL33" s="128" t="e">
        <x:f>'PROJECT TA Y TB KARINA'!$R29/8</x:f>
        <x:v>#REF!</x:v>
      </x:c>
      <x:c r="DM33" s="128" t="e">
        <x:f>'PROJECT TA Y TB KARINA'!$R29/8</x:f>
        <x:v>#REF!</x:v>
      </x:c>
      <x:c r="DN33" s="128" t="e">
        <x:f>'PROJECT TA Y TB KARINA'!$R29/8</x:f>
        <x:v>#REF!</x:v>
      </x:c>
      <x:c r="DO33" s="128" t="e">
        <x:f>'PROJECT TA Y TB KARINA'!$R29/8</x:f>
        <x:v>#REF!</x:v>
      </x:c>
      <x:c r="DP33" s="128" t="e">
        <x:f>'PROJECT TA Y TB KARINA'!$R29/8</x:f>
        <x:v>#REF!</x:v>
      </x:c>
      <x:c r="DQ33" s="128" t="e">
        <x:f>'PROJECT TA Y TB KARINA'!$S29/8</x:f>
        <x:v>#REF!</x:v>
      </x:c>
      <x:c r="DR33" s="128" t="e">
        <x:f>'PROJECT TA Y TB KARINA'!$S29/8</x:f>
        <x:v>#REF!</x:v>
      </x:c>
      <x:c r="DS33" s="128" t="e">
        <x:f>'PROJECT TA Y TB KARINA'!$S29/8</x:f>
        <x:v>#REF!</x:v>
      </x:c>
      <x:c r="DT33" s="128" t="e">
        <x:f>'PROJECT TA Y TB KARINA'!$S29/8</x:f>
        <x:v>#REF!</x:v>
      </x:c>
      <x:c r="DU33" s="128" t="e">
        <x:f>'PROJECT TA Y TB KARINA'!$S29/8</x:f>
        <x:v>#REF!</x:v>
      </x:c>
      <x:c r="DV33" s="128" t="e">
        <x:f>'PROJECT TA Y TB KARINA'!$S29/8</x:f>
        <x:v>#REF!</x:v>
      </x:c>
      <x:c r="DW33" s="128" t="e">
        <x:f>'PROJECT TA Y TB KARINA'!$S29/8</x:f>
        <x:v>#REF!</x:v>
      </x:c>
      <x:c r="DX33" s="128" t="e">
        <x:f>'PROJECT TA Y TB KARINA'!$S29/8</x:f>
        <x:v>#REF!</x:v>
      </x:c>
      <x:c r="DY33" s="128" t="e">
        <x:f>'PROJECT TA Y TB KARINA'!$T29/8</x:f>
        <x:v>#REF!</x:v>
      </x:c>
      <x:c r="DZ33" s="128" t="e">
        <x:f>'PROJECT TA Y TB KARINA'!$T29/8</x:f>
        <x:v>#REF!</x:v>
      </x:c>
      <x:c r="EA33" s="128" t="e">
        <x:f>'PROJECT TA Y TB KARINA'!$T29/8</x:f>
        <x:v>#REF!</x:v>
      </x:c>
      <x:c r="EB33" s="128" t="e">
        <x:f>'PROJECT TA Y TB KARINA'!$T29/8</x:f>
        <x:v>#REF!</x:v>
      </x:c>
      <x:c r="EC33" s="128" t="e">
        <x:f>'PROJECT TA Y TB KARINA'!$T29/8</x:f>
        <x:v>#REF!</x:v>
      </x:c>
      <x:c r="ED33" s="128" t="e">
        <x:f>'PROJECT TA Y TB KARINA'!$T29/8</x:f>
        <x:v>#REF!</x:v>
      </x:c>
      <x:c r="EE33" s="128" t="e">
        <x:f>'PROJECT TA Y TB KARINA'!$T29/8</x:f>
        <x:v>#REF!</x:v>
      </x:c>
      <x:c r="EF33" s="128" t="e">
        <x:f>'PROJECT TA Y TB KARINA'!$T29/8</x:f>
        <x:v>#REF!</x:v>
      </x:c>
      <x:c r="EG33" s="128" t="e">
        <x:f>'PROJECT TA Y TB KARINA'!#REF!/8</x:f>
        <x:v>#NAME?</x:v>
      </x:c>
      <x:c r="EH33" s="128" t="e">
        <x:f>'PROJECT TA Y TB KARINA'!#REF!/8</x:f>
        <x:v>#NAME?</x:v>
      </x:c>
      <x:c r="EI33" s="128" t="e">
        <x:f>'PROJECT TA Y TB KARINA'!#REF!/8</x:f>
        <x:v>#NAME?</x:v>
      </x:c>
      <x:c r="EJ33" s="128" t="e">
        <x:f>'PROJECT TA Y TB KARINA'!#REF!/8</x:f>
        <x:v>#NAME?</x:v>
      </x:c>
      <x:c r="EK33" s="128" t="e">
        <x:f>'PROJECT TA Y TB KARINA'!#REF!/8</x:f>
        <x:v>#NAME?</x:v>
      </x:c>
      <x:c r="EL33" s="128" t="e">
        <x:f>'PROJECT TA Y TB KARINA'!#REF!/8</x:f>
        <x:v>#NAME?</x:v>
      </x:c>
      <x:c r="EM33" s="128" t="e">
        <x:f>'PROJECT TA Y TB KARINA'!#REF!/8</x:f>
        <x:v>#NAME?</x:v>
      </x:c>
      <x:c r="EN33" s="128" t="e">
        <x:f>'PROJECT TA Y TB KARINA'!#REF!/8</x:f>
        <x:v>#NAME?</x:v>
      </x:c>
      <x:c r="EO33" s="128" t="n">
        <x:f>'PROJECT TA Y TB KARINA'!$C87/8</x:f>
        <x:v>0</x:v>
      </x:c>
      <x:c r="EP33" s="128" t="n">
        <x:f>'PROJECT TA Y TB KARINA'!$C87/8</x:f>
        <x:v>0</x:v>
      </x:c>
      <x:c r="EQ33" s="128" t="n">
        <x:f>'PROJECT TA Y TB KARINA'!$C87/8</x:f>
        <x:v>0</x:v>
      </x:c>
      <x:c r="ER33" s="128" t="n">
        <x:f>'PROJECT TA Y TB KARINA'!$C87/8</x:f>
        <x:v>0</x:v>
      </x:c>
      <x:c r="ES33" s="128" t="n">
        <x:f>'PROJECT TA Y TB KARINA'!$C87/8</x:f>
        <x:v>0</x:v>
      </x:c>
      <x:c r="ET33" s="128" t="n">
        <x:f>'PROJECT TA Y TB KARINA'!$C87/8</x:f>
        <x:v>0</x:v>
      </x:c>
      <x:c r="EU33" s="128" t="n">
        <x:f>'PROJECT TA Y TB KARINA'!$C87/8</x:f>
        <x:v>0</x:v>
      </x:c>
      <x:c r="EV33" s="128" t="n">
        <x:f>'PROJECT TA Y TB KARINA'!$E87/8</x:f>
        <x:v>0</x:v>
      </x:c>
      <x:c r="EW33" s="128" t="n">
        <x:f>'PROJECT TA Y TB KARINA'!$E87/8</x:f>
        <x:v>0</x:v>
      </x:c>
      <x:c r="EX33" s="128" t="n">
        <x:f>'PROJECT TA Y TB KARINA'!$E87/8</x:f>
        <x:v>0</x:v>
      </x:c>
      <x:c r="EY33" s="128" t="n">
        <x:f>'PROJECT TA Y TB KARINA'!$E87/8</x:f>
        <x:v>0</x:v>
      </x:c>
      <x:c r="EZ33" s="128" t="n">
        <x:f>'PROJECT TA Y TB KARINA'!$E87/8</x:f>
        <x:v>0</x:v>
      </x:c>
      <x:c r="FA33" s="128" t="n">
        <x:f>'PROJECT TA Y TB KARINA'!$E87/8</x:f>
        <x:v>0</x:v>
      </x:c>
      <x:c r="FB33" s="128" t="n">
        <x:f>'PROJECT TA Y TB KARINA'!$E87/8</x:f>
        <x:v>0</x:v>
      </x:c>
      <x:c r="FC33" s="128" t="n">
        <x:f>'PROJECT TA Y TB KARINA'!$E87/8</x:f>
        <x:v>0</x:v>
      </x:c>
      <x:c r="FD33" s="128" t="n">
        <x:f>'PROJECT TA Y TB KARINA'!$F87/8</x:f>
        <x:v>0</x:v>
      </x:c>
      <x:c r="FE33" s="128" t="n">
        <x:f>'PROJECT TA Y TB KARINA'!$F87/8</x:f>
        <x:v>0</x:v>
      </x:c>
      <x:c r="FF33" s="128" t="n">
        <x:f>'PROJECT TA Y TB KARINA'!$F87/8</x:f>
        <x:v>0</x:v>
      </x:c>
      <x:c r="FG33" s="128" t="n">
        <x:f>'PROJECT TA Y TB KARINA'!$F87/8</x:f>
        <x:v>0</x:v>
      </x:c>
      <x:c r="FH33" s="128" t="n">
        <x:f>'PROJECT TA Y TB KARINA'!$F87/8</x:f>
        <x:v>0</x:v>
      </x:c>
      <x:c r="FI33" s="128" t="n">
        <x:f>'PROJECT TA Y TB KARINA'!$F87/8</x:f>
        <x:v>0</x:v>
      </x:c>
      <x:c r="FJ33" s="128" t="n">
        <x:f>'PROJECT TA Y TB KARINA'!$F87/8</x:f>
        <x:v>0</x:v>
      </x:c>
      <x:c r="FK33" s="128" t="n">
        <x:f>'PROJECT TA Y TB KARINA'!$F87/8</x:f>
        <x:v>0</x:v>
      </x:c>
      <x:c r="FL33" s="128" t="n">
        <x:f>'PROJECT TA Y TB KARINA'!$G87/8</x:f>
        <x:v>0</x:v>
      </x:c>
      <x:c r="FM33" s="128" t="n">
        <x:f>'PROJECT TA Y TB KARINA'!$G87/8</x:f>
        <x:v>0</x:v>
      </x:c>
      <x:c r="FN33" s="128" t="n">
        <x:f>'PROJECT TA Y TB KARINA'!$G87/8</x:f>
        <x:v>0</x:v>
      </x:c>
      <x:c r="FO33" s="128" t="n">
        <x:f>'PROJECT TA Y TB KARINA'!$G87/8</x:f>
        <x:v>0</x:v>
      </x:c>
      <x:c r="FP33" s="128" t="n">
        <x:f>'PROJECT TA Y TB KARINA'!$G87/8</x:f>
        <x:v>0</x:v>
      </x:c>
      <x:c r="FQ33" s="128" t="n">
        <x:f>'PROJECT TA Y TB KARINA'!$G87/8</x:f>
        <x:v>0</x:v>
      </x:c>
      <x:c r="FR33" s="128" t="n">
        <x:f>'PROJECT TA Y TB KARINA'!$G87/8</x:f>
        <x:v>0</x:v>
      </x:c>
      <x:c r="FS33" s="128" t="n">
        <x:f>'PROJECT TA Y TB KARINA'!$G87/8</x:f>
        <x:v>0</x:v>
      </x:c>
      <x:c r="FT33" s="128" t="n">
        <x:f>'PROJECT TA Y TB KARINA'!$H87/8</x:f>
        <x:v>0</x:v>
      </x:c>
      <x:c r="FU33" s="128" t="n">
        <x:f>'PROJECT TA Y TB KARINA'!$H87/8</x:f>
        <x:v>0</x:v>
      </x:c>
      <x:c r="FV33" s="128" t="n">
        <x:f>'PROJECT TA Y TB KARINA'!$H87/8</x:f>
        <x:v>0</x:v>
      </x:c>
      <x:c r="FW33" s="128" t="n">
        <x:f>'PROJECT TA Y TB KARINA'!$H87/8</x:f>
        <x:v>0</x:v>
      </x:c>
      <x:c r="FX33" s="128" t="n">
        <x:f>'PROJECT TA Y TB KARINA'!$H87/8</x:f>
        <x:v>0</x:v>
      </x:c>
      <x:c r="FY33" s="128" t="n">
        <x:f>'PROJECT TA Y TB KARINA'!$H87/8</x:f>
        <x:v>0</x:v>
      </x:c>
      <x:c r="FZ33" s="128" t="n">
        <x:f>'PROJECT TA Y TB KARINA'!$H87/8</x:f>
        <x:v>0</x:v>
      </x:c>
      <x:c r="GA33" s="128" t="n">
        <x:f>'PROJECT TA Y TB KARINA'!$H87/8</x:f>
        <x:v>0</x:v>
      </x:c>
      <x:c r="GB33" s="128" t="n">
        <x:f>'PROJECT TA Y TB KARINA'!$I87/8</x:f>
        <x:v>0</x:v>
      </x:c>
      <x:c r="GC33" s="128" t="n">
        <x:f>'PROJECT TA Y TB KARINA'!$I87/8</x:f>
        <x:v>0</x:v>
      </x:c>
      <x:c r="GD33" s="128" t="n">
        <x:f>'PROJECT TA Y TB KARINA'!$I87/8</x:f>
        <x:v>0</x:v>
      </x:c>
      <x:c r="GE33" s="128" t="n">
        <x:f>'PROJECT TA Y TB KARINA'!$I87/8</x:f>
        <x:v>0</x:v>
      </x:c>
      <x:c r="GF33" s="128" t="n">
        <x:f>'PROJECT TA Y TB KARINA'!$I87/8</x:f>
        <x:v>0</x:v>
      </x:c>
      <x:c r="GG33" s="128" t="n">
        <x:f>'PROJECT TA Y TB KARINA'!$I87/8</x:f>
        <x:v>0</x:v>
      </x:c>
      <x:c r="GH33" s="128" t="n">
        <x:f>'PROJECT TA Y TB KARINA'!$I87/8</x:f>
        <x:v>0</x:v>
      </x:c>
      <x:c r="GI33" s="128" t="n">
        <x:f>'PROJECT TA Y TB KARINA'!$I87/8</x:f>
        <x:v>0</x:v>
      </x:c>
      <x:c r="GJ33" s="128" t="n">
        <x:f>'PROJECT TA Y TB KARINA'!$J87/8</x:f>
        <x:v>0</x:v>
      </x:c>
      <x:c r="GK33" s="128" t="n">
        <x:f>'PROJECT TA Y TB KARINA'!$J87/8</x:f>
        <x:v>0</x:v>
      </x:c>
      <x:c r="GL33" s="128" t="n">
        <x:f>'PROJECT TA Y TB KARINA'!$J87/8</x:f>
        <x:v>0</x:v>
      </x:c>
      <x:c r="GM33" s="128" t="n">
        <x:f>'PROJECT TA Y TB KARINA'!$J87/8</x:f>
        <x:v>0</x:v>
      </x:c>
      <x:c r="GN33" s="128" t="n">
        <x:f>'PROJECT TA Y TB KARINA'!$J87/8</x:f>
        <x:v>0</x:v>
      </x:c>
      <x:c r="GO33" s="128" t="n">
        <x:f>'PROJECT TA Y TB KARINA'!$J87/8</x:f>
        <x:v>0</x:v>
      </x:c>
      <x:c r="GP33" s="128" t="n">
        <x:f>'PROJECT TA Y TB KARINA'!$J87/8</x:f>
        <x:v>0</x:v>
      </x:c>
      <x:c r="GQ33" s="128" t="n">
        <x:f>'PROJECT TA Y TB KARINA'!$J87/8</x:f>
        <x:v>0</x:v>
      </x:c>
      <x:c r="GR33" s="128" t="n">
        <x:f>'PROJECT TA Y TB KARINA'!$K87/8</x:f>
        <x:v>0</x:v>
      </x:c>
      <x:c r="GS33" s="128" t="n">
        <x:f>'PROJECT TA Y TB KARINA'!$K87/8</x:f>
        <x:v>0</x:v>
      </x:c>
      <x:c r="GT33" s="128" t="n">
        <x:f>'PROJECT TA Y TB KARINA'!$K87/8</x:f>
        <x:v>0</x:v>
      </x:c>
      <x:c r="GU33" s="128" t="n">
        <x:f>'PROJECT TA Y TB KARINA'!$K87/8</x:f>
        <x:v>0</x:v>
      </x:c>
      <x:c r="GV33" s="128" t="n">
        <x:f>'PROJECT TA Y TB KARINA'!$K87/8</x:f>
        <x:v>0</x:v>
      </x:c>
      <x:c r="GW33" s="128" t="n">
        <x:f>'PROJECT TA Y TB KARINA'!$K87/8</x:f>
        <x:v>0</x:v>
      </x:c>
      <x:c r="GX33" s="128" t="n">
        <x:f>'PROJECT TA Y TB KARINA'!$K87/8</x:f>
        <x:v>0</x:v>
      </x:c>
      <x:c r="GY33" s="128" t="n">
        <x:f>'PROJECT TA Y TB KARINA'!$K87/8</x:f>
        <x:v>0</x:v>
      </x:c>
      <x:c r="GZ33" s="128" t="n">
        <x:f>'PROJECT TA Y TB KARINA'!$L87/8</x:f>
        <x:v>0</x:v>
      </x:c>
      <x:c r="HA33" s="128" t="n">
        <x:f>'PROJECT TA Y TB KARINA'!$L87/8</x:f>
        <x:v>0</x:v>
      </x:c>
      <x:c r="HB33" s="128" t="n">
        <x:f>'PROJECT TA Y TB KARINA'!$L87/8</x:f>
        <x:v>0</x:v>
      </x:c>
      <x:c r="HC33" s="128" t="n">
        <x:f>'PROJECT TA Y TB KARINA'!$L87/8</x:f>
        <x:v>0</x:v>
      </x:c>
      <x:c r="HD33" s="128" t="n">
        <x:f>'PROJECT TA Y TB KARINA'!$L87/8</x:f>
        <x:v>0</x:v>
      </x:c>
      <x:c r="HE33" s="128" t="n">
        <x:f>'PROJECT TA Y TB KARINA'!$L87/8</x:f>
        <x:v>0</x:v>
      </x:c>
      <x:c r="HF33" s="128" t="n">
        <x:f>'PROJECT TA Y TB KARINA'!$L87/8</x:f>
        <x:v>0</x:v>
      </x:c>
      <x:c r="HG33" s="128" t="n">
        <x:f>'PROJECT TA Y TB KARINA'!$L87/8</x:f>
        <x:v>0</x:v>
      </x:c>
      <x:c r="HH33" s="128" t="n">
        <x:f>'PROJECT TA Y TB KARINA'!$M87/8</x:f>
        <x:v>0</x:v>
      </x:c>
      <x:c r="HI33" s="128" t="n">
        <x:f>'PROJECT TA Y TB KARINA'!$M87/8</x:f>
        <x:v>0</x:v>
      </x:c>
      <x:c r="HJ33" s="128" t="n">
        <x:f>'PROJECT TA Y TB KARINA'!$M87/8</x:f>
        <x:v>0</x:v>
      </x:c>
      <x:c r="HK33" s="128" t="n">
        <x:f>'PROJECT TA Y TB KARINA'!$M87/8</x:f>
        <x:v>0</x:v>
      </x:c>
      <x:c r="HL33" s="128" t="n">
        <x:f>'PROJECT TA Y TB KARINA'!$M87/8</x:f>
        <x:v>0</x:v>
      </x:c>
      <x:c r="HM33" s="128" t="n">
        <x:f>'PROJECT TA Y TB KARINA'!$M87/8</x:f>
        <x:v>0</x:v>
      </x:c>
      <x:c r="HN33" s="128" t="n">
        <x:f>'PROJECT TA Y TB KARINA'!$M87/8</x:f>
        <x:v>0</x:v>
      </x:c>
      <x:c r="HO33" s="128" t="n">
        <x:f>'PROJECT TA Y TB KARINA'!$M87/8</x:f>
        <x:v>0</x:v>
      </x:c>
      <x:c r="HP33" s="128" t="n">
        <x:f>'PROJECT TA Y TB KARINA'!$N87/8</x:f>
        <x:v>0</x:v>
      </x:c>
      <x:c r="HQ33" s="128" t="n">
        <x:f>'PROJECT TA Y TB KARINA'!$N87/8</x:f>
        <x:v>0</x:v>
      </x:c>
      <x:c r="HR33" s="128" t="n">
        <x:f>'PROJECT TA Y TB KARINA'!$N87/8</x:f>
        <x:v>0</x:v>
      </x:c>
      <x:c r="HS33" s="128" t="n">
        <x:f>'PROJECT TA Y TB KARINA'!$N87/8</x:f>
        <x:v>0</x:v>
      </x:c>
      <x:c r="HT33" s="128" t="n">
        <x:f>'PROJECT TA Y TB KARINA'!$N87/8</x:f>
        <x:v>0</x:v>
      </x:c>
      <x:c r="HU33" s="128" t="n">
        <x:f>'PROJECT TA Y TB KARINA'!$N87/8</x:f>
        <x:v>0</x:v>
      </x:c>
      <x:c r="HV33" s="128" t="n">
        <x:f>'PROJECT TA Y TB KARINA'!$N87/8</x:f>
        <x:v>0</x:v>
      </x:c>
      <x:c r="HW33" s="128" t="n">
        <x:f>'PROJECT TA Y TB KARINA'!$N87/8</x:f>
        <x:v>0</x:v>
      </x:c>
      <x:c r="HX33" s="128" t="n">
        <x:f>'PROJECT TA Y TB KARINA'!$O87/8</x:f>
        <x:v>0</x:v>
      </x:c>
      <x:c r="HY33" s="128" t="n">
        <x:f>'PROJECT TA Y TB KARINA'!$O87/8</x:f>
        <x:v>0</x:v>
      </x:c>
      <x:c r="HZ33" s="128" t="n">
        <x:f>'PROJECT TA Y TB KARINA'!$O87/8</x:f>
        <x:v>0</x:v>
      </x:c>
      <x:c r="IA33" s="128" t="n">
        <x:f>'PROJECT TA Y TB KARINA'!$O87/8</x:f>
        <x:v>0</x:v>
      </x:c>
      <x:c r="IB33" s="128" t="n">
        <x:f>'PROJECT TA Y TB KARINA'!$O87/8</x:f>
        <x:v>0</x:v>
      </x:c>
      <x:c r="IC33" s="128" t="n">
        <x:f>'PROJECT TA Y TB KARINA'!$O87/8</x:f>
        <x:v>0</x:v>
      </x:c>
      <x:c r="ID33" s="128" t="n">
        <x:f>'PROJECT TA Y TB KARINA'!$O87/8</x:f>
        <x:v>0</x:v>
      </x:c>
      <x:c r="IE33" s="128" t="n">
        <x:f>'PROJECT TA Y TB KARINA'!$O87/8</x:f>
        <x:v>0</x:v>
      </x:c>
      <x:c r="IF33" s="128" t="n">
        <x:f>'PROJECT TA Y TB KARINA'!$P87/8</x:f>
        <x:v>0</x:v>
      </x:c>
      <x:c r="IG33" s="128" t="n">
        <x:f>'PROJECT TA Y TB KARINA'!$P87/8</x:f>
        <x:v>0</x:v>
      </x:c>
      <x:c r="IH33" s="128" t="n">
        <x:f>'PROJECT TA Y TB KARINA'!$P87/8</x:f>
        <x:v>0</x:v>
      </x:c>
      <x:c r="II33" s="128" t="n">
        <x:f>'PROJECT TA Y TB KARINA'!$P87/8</x:f>
        <x:v>0</x:v>
      </x:c>
      <x:c r="IJ33" s="128" t="n">
        <x:f>'PROJECT TA Y TB KARINA'!$P87/8</x:f>
        <x:v>0</x:v>
      </x:c>
      <x:c r="IK33" s="128" t="n">
        <x:f>'PROJECT TA Y TB KARINA'!$P87/8</x:f>
        <x:v>0</x:v>
      </x:c>
      <x:c r="IL33" s="128" t="n">
        <x:f>'PROJECT TA Y TB KARINA'!$P87/8</x:f>
        <x:v>0</x:v>
      </x:c>
      <x:c r="IM33" s="128" t="n">
        <x:f>'PROJECT TA Y TB KARINA'!$P87/8</x:f>
        <x:v>0</x:v>
      </x:c>
      <x:c r="IN33" s="128" t="n">
        <x:f>'PROJECT TA Y TB KARINA'!$Q87/8</x:f>
        <x:v>0</x:v>
      </x:c>
      <x:c r="IO33" s="128" t="n">
        <x:f>'PROJECT TA Y TB KARINA'!$Q87/8</x:f>
        <x:v>0</x:v>
      </x:c>
      <x:c r="IP33" s="128" t="n">
        <x:f>'PROJECT TA Y TB KARINA'!$Q87/8</x:f>
        <x:v>0</x:v>
      </x:c>
      <x:c r="IQ33" s="128" t="n">
        <x:f>'PROJECT TA Y TB KARINA'!$Q87/8</x:f>
        <x:v>0</x:v>
      </x:c>
      <x:c r="IR33" s="128" t="n">
        <x:f>'PROJECT TA Y TB KARINA'!$Q87/8</x:f>
        <x:v>0</x:v>
      </x:c>
      <x:c r="IS33" s="128" t="n">
        <x:f>'PROJECT TA Y TB KARINA'!$Q87/8</x:f>
        <x:v>0</x:v>
      </x:c>
      <x:c r="IT33" s="128" t="n">
        <x:f>'PROJECT TA Y TB KARINA'!$Q87/8</x:f>
        <x:v>0</x:v>
      </x:c>
      <x:c r="IU33" s="128" t="n">
        <x:f>'PROJECT TA Y TB KARINA'!$Q87/8</x:f>
        <x:v>0</x:v>
      </x:c>
      <x:c r="IV33" s="128" t="n">
        <x:f>'PROJECT TA Y TB KARINA'!$R87/8</x:f>
        <x:v>0</x:v>
      </x:c>
      <x:c r="IW33" s="128" t="n">
        <x:f>'PROJECT TA Y TB KARINA'!$R87/8</x:f>
        <x:v>0</x:v>
      </x:c>
      <x:c r="IX33" s="128" t="n">
        <x:f>'PROJECT TA Y TB KARINA'!$R87/8</x:f>
        <x:v>0</x:v>
      </x:c>
      <x:c r="IY33" s="128" t="n">
        <x:f>'PROJECT TA Y TB KARINA'!$R87/8</x:f>
        <x:v>0</x:v>
      </x:c>
      <x:c r="IZ33" s="128" t="n">
        <x:f>'PROJECT TA Y TB KARINA'!$R87/8</x:f>
        <x:v>0</x:v>
      </x:c>
      <x:c r="JA33" s="128" t="n">
        <x:f>'PROJECT TA Y TB KARINA'!$R87/8</x:f>
        <x:v>0</x:v>
      </x:c>
      <x:c r="JB33" s="128" t="n">
        <x:f>'PROJECT TA Y TB KARINA'!$R87/8</x:f>
        <x:v>0</x:v>
      </x:c>
      <x:c r="JC33" s="128" t="n">
        <x:f>'PROJECT TA Y TB KARINA'!$R87/8</x:f>
        <x:v>0</x:v>
      </x:c>
      <x:c r="JD33" s="128" t="n">
        <x:f>'PROJECT TA Y TB KARINA'!$S87/8</x:f>
        <x:v>0</x:v>
      </x:c>
      <x:c r="JE33" s="128" t="n">
        <x:f>'PROJECT TA Y TB KARINA'!$S87/8</x:f>
        <x:v>0</x:v>
      </x:c>
      <x:c r="JF33" s="128" t="n">
        <x:f>'PROJECT TA Y TB KARINA'!$S87/8</x:f>
        <x:v>0</x:v>
      </x:c>
      <x:c r="JG33" s="128" t="n">
        <x:f>'PROJECT TA Y TB KARINA'!$S87/8</x:f>
        <x:v>0</x:v>
      </x:c>
      <x:c r="JH33" s="128" t="n">
        <x:f>'PROJECT TA Y TB KARINA'!$S87/8</x:f>
        <x:v>0</x:v>
      </x:c>
      <x:c r="JI33" s="128" t="n">
        <x:f>'PROJECT TA Y TB KARINA'!$S87/8</x:f>
        <x:v>0</x:v>
      </x:c>
      <x:c r="JJ33" s="128" t="n">
        <x:f>'PROJECT TA Y TB KARINA'!$S87/8</x:f>
        <x:v>0</x:v>
      </x:c>
      <x:c r="JK33" s="128" t="n">
        <x:f>'PROJECT TA Y TB KARINA'!$S87/8</x:f>
        <x:v>0</x:v>
      </x:c>
      <x:c r="JL33" s="128" t="n">
        <x:f>'PROJECT TA Y TB KARINA'!$T87/8</x:f>
        <x:v>0</x:v>
      </x:c>
      <x:c r="JM33" s="128" t="n">
        <x:f>'PROJECT TA Y TB KARINA'!$T87/8</x:f>
        <x:v>0</x:v>
      </x:c>
      <x:c r="JN33" s="128" t="n">
        <x:f>'PROJECT TA Y TB KARINA'!$T87/8</x:f>
        <x:v>0</x:v>
      </x:c>
      <x:c r="JO33" s="128" t="n">
        <x:f>'PROJECT TA Y TB KARINA'!$T87/8</x:f>
        <x:v>0</x:v>
      </x:c>
      <x:c r="JP33" s="128" t="n">
        <x:f>'PROJECT TA Y TB KARINA'!$T87/8</x:f>
        <x:v>0</x:v>
      </x:c>
      <x:c r="JQ33" s="128" t="n">
        <x:f>'PROJECT TA Y TB KARINA'!$T87/8</x:f>
        <x:v>0</x:v>
      </x:c>
      <x:c r="JR33" s="128" t="n">
        <x:f>'PROJECT TA Y TB KARINA'!$T87/8</x:f>
        <x:v>0</x:v>
      </x:c>
      <x:c r="JS33" s="128" t="n">
        <x:f>'PROJECT TA Y TB KARINA'!$T87/8</x:f>
        <x:v>0</x:v>
      </x:c>
      <x:c r="JT33" s="128" t="e">
        <x:f>'PROJECT TA Y TB KARINA'!#REF!/8</x:f>
        <x:v>#NAME?</x:v>
      </x:c>
      <x:c r="JU33" s="128" t="e">
        <x:f>'PROJECT TA Y TB KARINA'!#REF!/8</x:f>
        <x:v>#NAME?</x:v>
      </x:c>
      <x:c r="JV33" s="128" t="e">
        <x:f>'PROJECT TA Y TB KARINA'!#REF!/8</x:f>
        <x:v>#NAME?</x:v>
      </x:c>
      <x:c r="JW33" s="128" t="e">
        <x:f>'PROJECT TA Y TB KARINA'!#REF!/8</x:f>
        <x:v>#NAME?</x:v>
      </x:c>
      <x:c r="JX33" s="128" t="e">
        <x:f>'PROJECT TA Y TB KARINA'!#REF!/8</x:f>
        <x:v>#NAME?</x:v>
      </x:c>
      <x:c r="JY33" s="128" t="e">
        <x:f>'PROJECT TA Y TB KARINA'!#REF!/8</x:f>
        <x:v>#NAME?</x:v>
      </x:c>
      <x:c r="JZ33" s="128" t="e">
        <x:f>'PROJECT TA Y TB KARINA'!#REF!/8</x:f>
        <x:v>#NAME?</x:v>
      </x:c>
      <x:c r="KA33" s="128" t="e">
        <x:f>'PROJECT TA Y TB KARINA'!#REF!/8</x:f>
        <x:v>#NAME?</x:v>
      </x:c>
    </x:row>
    <x:row r="34" ht="21">
      <x:c r="A34" s="130" t="s">
        <x:v>519</x:v>
      </x:c>
      <x:c r="B34" s="128" t="e">
        <x:f>'PROJECT TA Y TB KARINA'!$C$30/8</x:f>
        <x:v>#REF!</x:v>
      </x:c>
      <x:c r="C34" s="128" t="e">
        <x:f>'PROJECT TA Y TB KARINA'!$C$30/8</x:f>
        <x:v>#REF!</x:v>
      </x:c>
      <x:c r="D34" s="128" t="e">
        <x:f>'PROJECT TA Y TB KARINA'!$C$30/8</x:f>
        <x:v>#REF!</x:v>
      </x:c>
      <x:c r="E34" s="128" t="e">
        <x:f>'PROJECT TA Y TB KARINA'!$C$30/8</x:f>
        <x:v>#REF!</x:v>
      </x:c>
      <x:c r="F34" s="128" t="e">
        <x:f>'PROJECT TA Y TB KARINA'!$C$30/8</x:f>
        <x:v>#REF!</x:v>
      </x:c>
      <x:c r="G34" s="128" t="e">
        <x:f>'PROJECT TA Y TB KARINA'!$C$30/8</x:f>
        <x:v>#REF!</x:v>
      </x:c>
      <x:c r="H34" s="128" t="e">
        <x:f>'PROJECT TA Y TB KARINA'!$C$30/8</x:f>
        <x:v>#REF!</x:v>
      </x:c>
      <x:c r="I34" s="128" t="e">
        <x:f>'PROJECT TA Y TB KARINA'!$E30/8</x:f>
        <x:v>#REF!</x:v>
      </x:c>
      <x:c r="J34" s="128" t="e">
        <x:f>'PROJECT TA Y TB KARINA'!$E30/8</x:f>
        <x:v>#REF!</x:v>
      </x:c>
      <x:c r="K34" s="128" t="e">
        <x:f>'PROJECT TA Y TB KARINA'!$E30/8</x:f>
        <x:v>#REF!</x:v>
      </x:c>
      <x:c r="L34" s="128" t="e">
        <x:f>'PROJECT TA Y TB KARINA'!$E30/8</x:f>
        <x:v>#REF!</x:v>
      </x:c>
      <x:c r="M34" s="128" t="e">
        <x:f>'PROJECT TA Y TB KARINA'!$E30/8</x:f>
        <x:v>#REF!</x:v>
      </x:c>
      <x:c r="N34" s="128" t="e">
        <x:f>'PROJECT TA Y TB KARINA'!$E30/8</x:f>
        <x:v>#REF!</x:v>
      </x:c>
      <x:c r="O34" s="128" t="e">
        <x:f>'PROJECT TA Y TB KARINA'!$E30/8</x:f>
        <x:v>#REF!</x:v>
      </x:c>
      <x:c r="P34" s="128" t="e">
        <x:f>'PROJECT TA Y TB KARINA'!$E30/8</x:f>
        <x:v>#REF!</x:v>
      </x:c>
      <x:c r="Q34" s="128" t="e">
        <x:f>'PROJECT TA Y TB KARINA'!$F30/8</x:f>
        <x:v>#REF!</x:v>
      </x:c>
      <x:c r="R34" s="128" t="e">
        <x:f>'PROJECT TA Y TB KARINA'!$F30/8</x:f>
        <x:v>#REF!</x:v>
      </x:c>
      <x:c r="S34" s="128" t="e">
        <x:f>'PROJECT TA Y TB KARINA'!$F30/8</x:f>
        <x:v>#REF!</x:v>
      </x:c>
      <x:c r="T34" s="128" t="e">
        <x:f>'PROJECT TA Y TB KARINA'!$F30/8</x:f>
        <x:v>#REF!</x:v>
      </x:c>
      <x:c r="U34" s="128" t="e">
        <x:f>'PROJECT TA Y TB KARINA'!$F30/8</x:f>
        <x:v>#REF!</x:v>
      </x:c>
      <x:c r="V34" s="128" t="e">
        <x:f>'PROJECT TA Y TB KARINA'!$F30/8</x:f>
        <x:v>#REF!</x:v>
      </x:c>
      <x:c r="W34" s="128" t="e">
        <x:f>'PROJECT TA Y TB KARINA'!$F30/8</x:f>
        <x:v>#REF!</x:v>
      </x:c>
      <x:c r="X34" s="128" t="e">
        <x:f>'PROJECT TA Y TB KARINA'!$F30/8</x:f>
        <x:v>#REF!</x:v>
      </x:c>
      <x:c r="Y34" s="128" t="e">
        <x:f>'PROJECT TA Y TB KARINA'!$G30/8</x:f>
        <x:v>#REF!</x:v>
      </x:c>
      <x:c r="Z34" s="128" t="e">
        <x:f>'PROJECT TA Y TB KARINA'!$G30/8</x:f>
        <x:v>#REF!</x:v>
      </x:c>
      <x:c r="AA34" s="128" t="e">
        <x:f>'PROJECT TA Y TB KARINA'!$G30/8</x:f>
        <x:v>#REF!</x:v>
      </x:c>
      <x:c r="AB34" s="128" t="e">
        <x:f>'PROJECT TA Y TB KARINA'!$G30/8</x:f>
        <x:v>#REF!</x:v>
      </x:c>
      <x:c r="AC34" s="128" t="e">
        <x:f>'PROJECT TA Y TB KARINA'!$G30/8</x:f>
        <x:v>#REF!</x:v>
      </x:c>
      <x:c r="AD34" s="128" t="e">
        <x:f>'PROJECT TA Y TB KARINA'!$G30/8</x:f>
        <x:v>#REF!</x:v>
      </x:c>
      <x:c r="AE34" s="128" t="e">
        <x:f>'PROJECT TA Y TB KARINA'!$G30/8</x:f>
        <x:v>#REF!</x:v>
      </x:c>
      <x:c r="AF34" s="128" t="e">
        <x:f>'PROJECT TA Y TB KARINA'!$G30/8</x:f>
        <x:v>#REF!</x:v>
      </x:c>
      <x:c r="AG34" s="128" t="e">
        <x:f>'PROJECT TA Y TB KARINA'!$H30/8</x:f>
        <x:v>#REF!</x:v>
      </x:c>
      <x:c r="AH34" s="128" t="e">
        <x:f>'PROJECT TA Y TB KARINA'!$H30/8</x:f>
        <x:v>#REF!</x:v>
      </x:c>
      <x:c r="AI34" s="128" t="e">
        <x:f>'PROJECT TA Y TB KARINA'!$H30/8</x:f>
        <x:v>#REF!</x:v>
      </x:c>
      <x:c r="AJ34" s="128" t="e">
        <x:f>'PROJECT TA Y TB KARINA'!$H30/8</x:f>
        <x:v>#REF!</x:v>
      </x:c>
      <x:c r="AK34" s="128" t="e">
        <x:f>'PROJECT TA Y TB KARINA'!$H30/8</x:f>
        <x:v>#REF!</x:v>
      </x:c>
      <x:c r="AL34" s="128" t="e">
        <x:f>'PROJECT TA Y TB KARINA'!$H30/8</x:f>
        <x:v>#REF!</x:v>
      </x:c>
      <x:c r="AM34" s="128" t="e">
        <x:f>'PROJECT TA Y TB KARINA'!$H30/8</x:f>
        <x:v>#REF!</x:v>
      </x:c>
      <x:c r="AN34" s="128" t="e">
        <x:f>'PROJECT TA Y TB KARINA'!$H30/8</x:f>
        <x:v>#REF!</x:v>
      </x:c>
      <x:c r="AO34" s="128" t="e">
        <x:f>'PROJECT TA Y TB KARINA'!$I30/8</x:f>
        <x:v>#REF!</x:v>
      </x:c>
      <x:c r="AP34" s="128" t="e">
        <x:f>'PROJECT TA Y TB KARINA'!$I30/8</x:f>
        <x:v>#REF!</x:v>
      </x:c>
      <x:c r="AQ34" s="128" t="e">
        <x:f>'PROJECT TA Y TB KARINA'!$I30/8</x:f>
        <x:v>#REF!</x:v>
      </x:c>
      <x:c r="AR34" s="128" t="e">
        <x:f>'PROJECT TA Y TB KARINA'!$I30/8</x:f>
        <x:v>#REF!</x:v>
      </x:c>
      <x:c r="AS34" s="128" t="e">
        <x:f>'PROJECT TA Y TB KARINA'!$I30/8</x:f>
        <x:v>#REF!</x:v>
      </x:c>
      <x:c r="AT34" s="128" t="e">
        <x:f>'PROJECT TA Y TB KARINA'!$I30/8</x:f>
        <x:v>#REF!</x:v>
      </x:c>
      <x:c r="AU34" s="128" t="e">
        <x:f>'PROJECT TA Y TB KARINA'!$I30/8</x:f>
        <x:v>#REF!</x:v>
      </x:c>
      <x:c r="AV34" s="128" t="e">
        <x:f>'PROJECT TA Y TB KARINA'!$I30/8</x:f>
        <x:v>#REF!</x:v>
      </x:c>
      <x:c r="AW34" s="128" t="e">
        <x:f>'PROJECT TA Y TB KARINA'!$J30/8</x:f>
        <x:v>#REF!</x:v>
      </x:c>
      <x:c r="AX34" s="128" t="e">
        <x:f>'PROJECT TA Y TB KARINA'!$J30/8</x:f>
        <x:v>#REF!</x:v>
      </x:c>
      <x:c r="AY34" s="128" t="e">
        <x:f>'PROJECT TA Y TB KARINA'!$J30/8</x:f>
        <x:v>#REF!</x:v>
      </x:c>
      <x:c r="AZ34" s="128" t="e">
        <x:f>'PROJECT TA Y TB KARINA'!$J30/8</x:f>
        <x:v>#REF!</x:v>
      </x:c>
      <x:c r="BA34" s="128" t="e">
        <x:f>'PROJECT TA Y TB KARINA'!$J30/8</x:f>
        <x:v>#REF!</x:v>
      </x:c>
      <x:c r="BB34" s="128" t="e">
        <x:f>'PROJECT TA Y TB KARINA'!$J30/8</x:f>
        <x:v>#REF!</x:v>
      </x:c>
      <x:c r="BC34" s="128" t="e">
        <x:f>'PROJECT TA Y TB KARINA'!$J30/8</x:f>
        <x:v>#REF!</x:v>
      </x:c>
      <x:c r="BD34" s="128" t="e">
        <x:f>'PROJECT TA Y TB KARINA'!$J30/8</x:f>
        <x:v>#REF!</x:v>
      </x:c>
      <x:c r="BE34" s="128" t="e">
        <x:f>'PROJECT TA Y TB KARINA'!$K30/8</x:f>
        <x:v>#REF!</x:v>
      </x:c>
      <x:c r="BF34" s="128" t="e">
        <x:f>'PROJECT TA Y TB KARINA'!$K30/8</x:f>
        <x:v>#REF!</x:v>
      </x:c>
      <x:c r="BG34" s="128" t="e">
        <x:f>'PROJECT TA Y TB KARINA'!$K30/8</x:f>
        <x:v>#REF!</x:v>
      </x:c>
      <x:c r="BH34" s="128" t="e">
        <x:f>'PROJECT TA Y TB KARINA'!$K30/8</x:f>
        <x:v>#REF!</x:v>
      </x:c>
      <x:c r="BI34" s="128" t="e">
        <x:f>'PROJECT TA Y TB KARINA'!$K30/8</x:f>
        <x:v>#REF!</x:v>
      </x:c>
      <x:c r="BJ34" s="128" t="e">
        <x:f>'PROJECT TA Y TB KARINA'!$K30/8</x:f>
        <x:v>#REF!</x:v>
      </x:c>
      <x:c r="BK34" s="128" t="e">
        <x:f>'PROJECT TA Y TB KARINA'!$K30/8</x:f>
        <x:v>#REF!</x:v>
      </x:c>
      <x:c r="BL34" s="128" t="e">
        <x:f>'PROJECT TA Y TB KARINA'!$K30/8</x:f>
        <x:v>#REF!</x:v>
      </x:c>
      <x:c r="BM34" s="128" t="e">
        <x:f>'PROJECT TA Y TB KARINA'!$L30/8</x:f>
        <x:v>#REF!</x:v>
      </x:c>
      <x:c r="BN34" s="128" t="e">
        <x:f>'PROJECT TA Y TB KARINA'!$L30/8</x:f>
        <x:v>#REF!</x:v>
      </x:c>
      <x:c r="BO34" s="128" t="e">
        <x:f>'PROJECT TA Y TB KARINA'!$L30/8</x:f>
        <x:v>#REF!</x:v>
      </x:c>
      <x:c r="BP34" s="128" t="e">
        <x:f>'PROJECT TA Y TB KARINA'!$L30/8</x:f>
        <x:v>#REF!</x:v>
      </x:c>
      <x:c r="BQ34" s="128" t="e">
        <x:f>'PROJECT TA Y TB KARINA'!$L30/8</x:f>
        <x:v>#REF!</x:v>
      </x:c>
      <x:c r="BR34" s="128" t="e">
        <x:f>'PROJECT TA Y TB KARINA'!$L30/8</x:f>
        <x:v>#REF!</x:v>
      </x:c>
      <x:c r="BS34" s="128" t="e">
        <x:f>'PROJECT TA Y TB KARINA'!$L30/8</x:f>
        <x:v>#REF!</x:v>
      </x:c>
      <x:c r="BT34" s="128" t="e">
        <x:f>'PROJECT TA Y TB KARINA'!$L30/8</x:f>
        <x:v>#REF!</x:v>
      </x:c>
      <x:c r="BU34" s="128" t="e">
        <x:f>'PROJECT TA Y TB KARINA'!$M30/8</x:f>
        <x:v>#REF!</x:v>
      </x:c>
      <x:c r="BV34" s="128" t="e">
        <x:f>'PROJECT TA Y TB KARINA'!$M30/8</x:f>
        <x:v>#REF!</x:v>
      </x:c>
      <x:c r="BW34" s="128" t="e">
        <x:f>'PROJECT TA Y TB KARINA'!$M30/8</x:f>
        <x:v>#REF!</x:v>
      </x:c>
      <x:c r="BX34" s="128" t="e">
        <x:f>'PROJECT TA Y TB KARINA'!$M30/8</x:f>
        <x:v>#REF!</x:v>
      </x:c>
      <x:c r="BY34" s="128" t="e">
        <x:f>'PROJECT TA Y TB KARINA'!$M30/8</x:f>
        <x:v>#REF!</x:v>
      </x:c>
      <x:c r="BZ34" s="128" t="e">
        <x:f>'PROJECT TA Y TB KARINA'!$M30/8</x:f>
        <x:v>#REF!</x:v>
      </x:c>
      <x:c r="CA34" s="128" t="e">
        <x:f>'PROJECT TA Y TB KARINA'!$M30/8</x:f>
        <x:v>#REF!</x:v>
      </x:c>
      <x:c r="CB34" s="128" t="e">
        <x:f>'PROJECT TA Y TB KARINA'!$M30/8</x:f>
        <x:v>#REF!</x:v>
      </x:c>
      <x:c r="CC34" s="128" t="e">
        <x:f>'PROJECT TA Y TB KARINA'!$N30/8</x:f>
        <x:v>#REF!</x:v>
      </x:c>
      <x:c r="CD34" s="128" t="e">
        <x:f>'PROJECT TA Y TB KARINA'!$N30/8</x:f>
        <x:v>#REF!</x:v>
      </x:c>
      <x:c r="CE34" s="128" t="e">
        <x:f>'PROJECT TA Y TB KARINA'!$N30/8</x:f>
        <x:v>#REF!</x:v>
      </x:c>
      <x:c r="CF34" s="128" t="e">
        <x:f>'PROJECT TA Y TB KARINA'!$N30/8</x:f>
        <x:v>#REF!</x:v>
      </x:c>
      <x:c r="CG34" s="128" t="e">
        <x:f>'PROJECT TA Y TB KARINA'!$N30/8</x:f>
        <x:v>#REF!</x:v>
      </x:c>
      <x:c r="CH34" s="128" t="e">
        <x:f>'PROJECT TA Y TB KARINA'!$N30/8</x:f>
        <x:v>#REF!</x:v>
      </x:c>
      <x:c r="CI34" s="128" t="e">
        <x:f>'PROJECT TA Y TB KARINA'!$N30/8</x:f>
        <x:v>#REF!</x:v>
      </x:c>
      <x:c r="CJ34" s="128" t="e">
        <x:f>'PROJECT TA Y TB KARINA'!$N30/8</x:f>
        <x:v>#REF!</x:v>
      </x:c>
      <x:c r="CK34" s="128" t="e">
        <x:f>'PROJECT TA Y TB KARINA'!$O30/8</x:f>
        <x:v>#REF!</x:v>
      </x:c>
      <x:c r="CL34" s="128" t="e">
        <x:f>'PROJECT TA Y TB KARINA'!$O30/8</x:f>
        <x:v>#REF!</x:v>
      </x:c>
      <x:c r="CM34" s="128" t="e">
        <x:f>'PROJECT TA Y TB KARINA'!$O30/8</x:f>
        <x:v>#REF!</x:v>
      </x:c>
      <x:c r="CN34" s="128" t="e">
        <x:f>'PROJECT TA Y TB KARINA'!$O30/8</x:f>
        <x:v>#REF!</x:v>
      </x:c>
      <x:c r="CO34" s="128" t="e">
        <x:f>'PROJECT TA Y TB KARINA'!$O30/8</x:f>
        <x:v>#REF!</x:v>
      </x:c>
      <x:c r="CP34" s="128" t="e">
        <x:f>'PROJECT TA Y TB KARINA'!$O30/8</x:f>
        <x:v>#REF!</x:v>
      </x:c>
      <x:c r="CQ34" s="128" t="e">
        <x:f>'PROJECT TA Y TB KARINA'!$O30/8</x:f>
        <x:v>#REF!</x:v>
      </x:c>
      <x:c r="CR34" s="128" t="e">
        <x:f>'PROJECT TA Y TB KARINA'!$O30/8</x:f>
        <x:v>#REF!</x:v>
      </x:c>
      <x:c r="CS34" s="128" t="e">
        <x:f>'PROJECT TA Y TB KARINA'!$P30/8</x:f>
        <x:v>#REF!</x:v>
      </x:c>
      <x:c r="CT34" s="128" t="e">
        <x:f>'PROJECT TA Y TB KARINA'!$P30/8</x:f>
        <x:v>#REF!</x:v>
      </x:c>
      <x:c r="CU34" s="128" t="e">
        <x:f>'PROJECT TA Y TB KARINA'!$P30/8</x:f>
        <x:v>#REF!</x:v>
      </x:c>
      <x:c r="CV34" s="128" t="e">
        <x:f>'PROJECT TA Y TB KARINA'!$P30/8</x:f>
        <x:v>#REF!</x:v>
      </x:c>
      <x:c r="CW34" s="128" t="e">
        <x:f>'PROJECT TA Y TB KARINA'!$P30/8</x:f>
        <x:v>#REF!</x:v>
      </x:c>
      <x:c r="CX34" s="128" t="e">
        <x:f>'PROJECT TA Y TB KARINA'!$P30/8</x:f>
        <x:v>#REF!</x:v>
      </x:c>
      <x:c r="CY34" s="128" t="e">
        <x:f>'PROJECT TA Y TB KARINA'!$P30/8</x:f>
        <x:v>#REF!</x:v>
      </x:c>
      <x:c r="CZ34" s="128" t="e">
        <x:f>'PROJECT TA Y TB KARINA'!$P30/8</x:f>
        <x:v>#REF!</x:v>
      </x:c>
      <x:c r="DA34" s="128" t="e">
        <x:f>'PROJECT TA Y TB KARINA'!$Q30/8</x:f>
        <x:v>#REF!</x:v>
      </x:c>
      <x:c r="DB34" s="128" t="e">
        <x:f>'PROJECT TA Y TB KARINA'!$Q30/8</x:f>
        <x:v>#REF!</x:v>
      </x:c>
      <x:c r="DC34" s="128" t="e">
        <x:f>'PROJECT TA Y TB KARINA'!$Q30/8</x:f>
        <x:v>#REF!</x:v>
      </x:c>
      <x:c r="DD34" s="128" t="e">
        <x:f>'PROJECT TA Y TB KARINA'!$Q30/8</x:f>
        <x:v>#REF!</x:v>
      </x:c>
      <x:c r="DE34" s="128" t="e">
        <x:f>'PROJECT TA Y TB KARINA'!$Q30/8</x:f>
        <x:v>#REF!</x:v>
      </x:c>
      <x:c r="DF34" s="128" t="e">
        <x:f>'PROJECT TA Y TB KARINA'!$Q30/8</x:f>
        <x:v>#REF!</x:v>
      </x:c>
      <x:c r="DG34" s="128" t="e">
        <x:f>'PROJECT TA Y TB KARINA'!$Q30/8</x:f>
        <x:v>#REF!</x:v>
      </x:c>
      <x:c r="DH34" s="128" t="e">
        <x:f>'PROJECT TA Y TB KARINA'!$Q30/8</x:f>
        <x:v>#REF!</x:v>
      </x:c>
      <x:c r="DI34" s="128" t="e">
        <x:f>'PROJECT TA Y TB KARINA'!$R30/8</x:f>
        <x:v>#REF!</x:v>
      </x:c>
      <x:c r="DJ34" s="128" t="e">
        <x:f>'PROJECT TA Y TB KARINA'!$R30/8</x:f>
        <x:v>#REF!</x:v>
      </x:c>
      <x:c r="DK34" s="128" t="e">
        <x:f>'PROJECT TA Y TB KARINA'!$R30/8</x:f>
        <x:v>#REF!</x:v>
      </x:c>
      <x:c r="DL34" s="128" t="e">
        <x:f>'PROJECT TA Y TB KARINA'!$R30/8</x:f>
        <x:v>#REF!</x:v>
      </x:c>
      <x:c r="DM34" s="128" t="e">
        <x:f>'PROJECT TA Y TB KARINA'!$R30/8</x:f>
        <x:v>#REF!</x:v>
      </x:c>
      <x:c r="DN34" s="128" t="e">
        <x:f>'PROJECT TA Y TB KARINA'!$R30/8</x:f>
        <x:v>#REF!</x:v>
      </x:c>
      <x:c r="DO34" s="128" t="e">
        <x:f>'PROJECT TA Y TB KARINA'!$R30/8</x:f>
        <x:v>#REF!</x:v>
      </x:c>
      <x:c r="DP34" s="128" t="e">
        <x:f>'PROJECT TA Y TB KARINA'!$R30/8</x:f>
        <x:v>#REF!</x:v>
      </x:c>
      <x:c r="DQ34" s="128" t="e">
        <x:f>'PROJECT TA Y TB KARINA'!$S30/8</x:f>
        <x:v>#REF!</x:v>
      </x:c>
      <x:c r="DR34" s="128" t="e">
        <x:f>'PROJECT TA Y TB KARINA'!$S30/8</x:f>
        <x:v>#REF!</x:v>
      </x:c>
      <x:c r="DS34" s="128" t="e">
        <x:f>'PROJECT TA Y TB KARINA'!$S30/8</x:f>
        <x:v>#REF!</x:v>
      </x:c>
      <x:c r="DT34" s="128" t="e">
        <x:f>'PROJECT TA Y TB KARINA'!$S30/8</x:f>
        <x:v>#REF!</x:v>
      </x:c>
      <x:c r="DU34" s="128" t="e">
        <x:f>'PROJECT TA Y TB KARINA'!$S30/8</x:f>
        <x:v>#REF!</x:v>
      </x:c>
      <x:c r="DV34" s="128" t="e">
        <x:f>'PROJECT TA Y TB KARINA'!$S30/8</x:f>
        <x:v>#REF!</x:v>
      </x:c>
      <x:c r="DW34" s="128" t="e">
        <x:f>'PROJECT TA Y TB KARINA'!$S30/8</x:f>
        <x:v>#REF!</x:v>
      </x:c>
      <x:c r="DX34" s="128" t="e">
        <x:f>'PROJECT TA Y TB KARINA'!$S30/8</x:f>
        <x:v>#REF!</x:v>
      </x:c>
      <x:c r="DY34" s="128" t="e">
        <x:f>'PROJECT TA Y TB KARINA'!$T30/8</x:f>
        <x:v>#REF!</x:v>
      </x:c>
      <x:c r="DZ34" s="128" t="e">
        <x:f>'PROJECT TA Y TB KARINA'!$T30/8</x:f>
        <x:v>#REF!</x:v>
      </x:c>
      <x:c r="EA34" s="128" t="e">
        <x:f>'PROJECT TA Y TB KARINA'!$T30/8</x:f>
        <x:v>#REF!</x:v>
      </x:c>
      <x:c r="EB34" s="128" t="e">
        <x:f>'PROJECT TA Y TB KARINA'!$T30/8</x:f>
        <x:v>#REF!</x:v>
      </x:c>
      <x:c r="EC34" s="128" t="e">
        <x:f>'PROJECT TA Y TB KARINA'!$T30/8</x:f>
        <x:v>#REF!</x:v>
      </x:c>
      <x:c r="ED34" s="128" t="e">
        <x:f>'PROJECT TA Y TB KARINA'!$T30/8</x:f>
        <x:v>#REF!</x:v>
      </x:c>
      <x:c r="EE34" s="128" t="e">
        <x:f>'PROJECT TA Y TB KARINA'!$T30/8</x:f>
        <x:v>#REF!</x:v>
      </x:c>
      <x:c r="EF34" s="128" t="e">
        <x:f>'PROJECT TA Y TB KARINA'!$T30/8</x:f>
        <x:v>#REF!</x:v>
      </x:c>
      <x:c r="EG34" s="128" t="e">
        <x:f>'PROJECT TA Y TB KARINA'!#REF!/8</x:f>
        <x:v>#NAME?</x:v>
      </x:c>
      <x:c r="EH34" s="128" t="e">
        <x:f>'PROJECT TA Y TB KARINA'!#REF!/8</x:f>
        <x:v>#NAME?</x:v>
      </x:c>
      <x:c r="EI34" s="128" t="e">
        <x:f>'PROJECT TA Y TB KARINA'!#REF!/8</x:f>
        <x:v>#NAME?</x:v>
      </x:c>
      <x:c r="EJ34" s="128" t="e">
        <x:f>'PROJECT TA Y TB KARINA'!#REF!/8</x:f>
        <x:v>#NAME?</x:v>
      </x:c>
      <x:c r="EK34" s="128" t="e">
        <x:f>'PROJECT TA Y TB KARINA'!#REF!/8</x:f>
        <x:v>#NAME?</x:v>
      </x:c>
      <x:c r="EL34" s="128" t="e">
        <x:f>'PROJECT TA Y TB KARINA'!#REF!/8</x:f>
        <x:v>#NAME?</x:v>
      </x:c>
      <x:c r="EM34" s="128" t="e">
        <x:f>'PROJECT TA Y TB KARINA'!#REF!/8</x:f>
        <x:v>#NAME?</x:v>
      </x:c>
      <x:c r="EN34" s="128" t="e">
        <x:f>'PROJECT TA Y TB KARINA'!#REF!/8</x:f>
        <x:v>#NAME?</x:v>
      </x:c>
      <x:c r="EO34" s="128" t="n">
        <x:f>'PROJECT TA Y TB KARINA'!$C88/8</x:f>
        <x:v>0</x:v>
      </x:c>
      <x:c r="EP34" s="128" t="n">
        <x:f>'PROJECT TA Y TB KARINA'!$C88/8</x:f>
        <x:v>0</x:v>
      </x:c>
      <x:c r="EQ34" s="128" t="n">
        <x:f>'PROJECT TA Y TB KARINA'!$C88/8</x:f>
        <x:v>0</x:v>
      </x:c>
      <x:c r="ER34" s="128" t="n">
        <x:f>'PROJECT TA Y TB KARINA'!$C88/8</x:f>
        <x:v>0</x:v>
      </x:c>
      <x:c r="ES34" s="128" t="n">
        <x:f>'PROJECT TA Y TB KARINA'!$C88/8</x:f>
        <x:v>0</x:v>
      </x:c>
      <x:c r="ET34" s="128" t="n">
        <x:f>'PROJECT TA Y TB KARINA'!$C88/8</x:f>
        <x:v>0</x:v>
      </x:c>
      <x:c r="EU34" s="128" t="n">
        <x:f>'PROJECT TA Y TB KARINA'!$C88/8</x:f>
        <x:v>0</x:v>
      </x:c>
      <x:c r="EV34" s="128" t="n">
        <x:f>'PROJECT TA Y TB KARINA'!$E88/8</x:f>
        <x:v>0</x:v>
      </x:c>
      <x:c r="EW34" s="128" t="n">
        <x:f>'PROJECT TA Y TB KARINA'!$E88/8</x:f>
        <x:v>0</x:v>
      </x:c>
      <x:c r="EX34" s="128" t="n">
        <x:f>'PROJECT TA Y TB KARINA'!$E88/8</x:f>
        <x:v>0</x:v>
      </x:c>
      <x:c r="EY34" s="128" t="n">
        <x:f>'PROJECT TA Y TB KARINA'!$E88/8</x:f>
        <x:v>0</x:v>
      </x:c>
      <x:c r="EZ34" s="128" t="n">
        <x:f>'PROJECT TA Y TB KARINA'!$E88/8</x:f>
        <x:v>0</x:v>
      </x:c>
      <x:c r="FA34" s="128" t="n">
        <x:f>'PROJECT TA Y TB KARINA'!$E88/8</x:f>
        <x:v>0</x:v>
      </x:c>
      <x:c r="FB34" s="128" t="n">
        <x:f>'PROJECT TA Y TB KARINA'!$E88/8</x:f>
        <x:v>0</x:v>
      </x:c>
      <x:c r="FC34" s="128" t="n">
        <x:f>'PROJECT TA Y TB KARINA'!$E88/8</x:f>
        <x:v>0</x:v>
      </x:c>
      <x:c r="FD34" s="128" t="n">
        <x:f>'PROJECT TA Y TB KARINA'!$F88/8</x:f>
        <x:v>0</x:v>
      </x:c>
      <x:c r="FE34" s="128" t="n">
        <x:f>'PROJECT TA Y TB KARINA'!$F88/8</x:f>
        <x:v>0</x:v>
      </x:c>
      <x:c r="FF34" s="128" t="n">
        <x:f>'PROJECT TA Y TB KARINA'!$F88/8</x:f>
        <x:v>0</x:v>
      </x:c>
      <x:c r="FG34" s="128" t="n">
        <x:f>'PROJECT TA Y TB KARINA'!$F88/8</x:f>
        <x:v>0</x:v>
      </x:c>
      <x:c r="FH34" s="128" t="n">
        <x:f>'PROJECT TA Y TB KARINA'!$F88/8</x:f>
        <x:v>0</x:v>
      </x:c>
      <x:c r="FI34" s="128" t="n">
        <x:f>'PROJECT TA Y TB KARINA'!$F88/8</x:f>
        <x:v>0</x:v>
      </x:c>
      <x:c r="FJ34" s="128" t="n">
        <x:f>'PROJECT TA Y TB KARINA'!$F88/8</x:f>
        <x:v>0</x:v>
      </x:c>
      <x:c r="FK34" s="128" t="n">
        <x:f>'PROJECT TA Y TB KARINA'!$F88/8</x:f>
        <x:v>0</x:v>
      </x:c>
      <x:c r="FL34" s="128" t="n">
        <x:f>'PROJECT TA Y TB KARINA'!$G88/8</x:f>
        <x:v>0</x:v>
      </x:c>
      <x:c r="FM34" s="128" t="n">
        <x:f>'PROJECT TA Y TB KARINA'!$G88/8</x:f>
        <x:v>0</x:v>
      </x:c>
      <x:c r="FN34" s="128" t="n">
        <x:f>'PROJECT TA Y TB KARINA'!$G88/8</x:f>
        <x:v>0</x:v>
      </x:c>
      <x:c r="FO34" s="128" t="n">
        <x:f>'PROJECT TA Y TB KARINA'!$G88/8</x:f>
        <x:v>0</x:v>
      </x:c>
      <x:c r="FP34" s="128" t="n">
        <x:f>'PROJECT TA Y TB KARINA'!$G88/8</x:f>
        <x:v>0</x:v>
      </x:c>
      <x:c r="FQ34" s="128" t="n">
        <x:f>'PROJECT TA Y TB KARINA'!$G88/8</x:f>
        <x:v>0</x:v>
      </x:c>
      <x:c r="FR34" s="128" t="n">
        <x:f>'PROJECT TA Y TB KARINA'!$G88/8</x:f>
        <x:v>0</x:v>
      </x:c>
      <x:c r="FS34" s="128" t="n">
        <x:f>'PROJECT TA Y TB KARINA'!$G88/8</x:f>
        <x:v>0</x:v>
      </x:c>
      <x:c r="FT34" s="128" t="n">
        <x:f>'PROJECT TA Y TB KARINA'!$H88/8</x:f>
        <x:v>0</x:v>
      </x:c>
      <x:c r="FU34" s="128" t="n">
        <x:f>'PROJECT TA Y TB KARINA'!$H88/8</x:f>
        <x:v>0</x:v>
      </x:c>
      <x:c r="FV34" s="128" t="n">
        <x:f>'PROJECT TA Y TB KARINA'!$H88/8</x:f>
        <x:v>0</x:v>
      </x:c>
      <x:c r="FW34" s="128" t="n">
        <x:f>'PROJECT TA Y TB KARINA'!$H88/8</x:f>
        <x:v>0</x:v>
      </x:c>
      <x:c r="FX34" s="128" t="n">
        <x:f>'PROJECT TA Y TB KARINA'!$H88/8</x:f>
        <x:v>0</x:v>
      </x:c>
      <x:c r="FY34" s="128" t="n">
        <x:f>'PROJECT TA Y TB KARINA'!$H88/8</x:f>
        <x:v>0</x:v>
      </x:c>
      <x:c r="FZ34" s="128" t="n">
        <x:f>'PROJECT TA Y TB KARINA'!$H88/8</x:f>
        <x:v>0</x:v>
      </x:c>
      <x:c r="GA34" s="128" t="n">
        <x:f>'PROJECT TA Y TB KARINA'!$H88/8</x:f>
        <x:v>0</x:v>
      </x:c>
      <x:c r="GB34" s="128" t="n">
        <x:f>'PROJECT TA Y TB KARINA'!$I88/8</x:f>
        <x:v>0</x:v>
      </x:c>
      <x:c r="GC34" s="128" t="n">
        <x:f>'PROJECT TA Y TB KARINA'!$I88/8</x:f>
        <x:v>0</x:v>
      </x:c>
      <x:c r="GD34" s="128" t="n">
        <x:f>'PROJECT TA Y TB KARINA'!$I88/8</x:f>
        <x:v>0</x:v>
      </x:c>
      <x:c r="GE34" s="128" t="n">
        <x:f>'PROJECT TA Y TB KARINA'!$I88/8</x:f>
        <x:v>0</x:v>
      </x:c>
      <x:c r="GF34" s="128" t="n">
        <x:f>'PROJECT TA Y TB KARINA'!$I88/8</x:f>
        <x:v>0</x:v>
      </x:c>
      <x:c r="GG34" s="128" t="n">
        <x:f>'PROJECT TA Y TB KARINA'!$I88/8</x:f>
        <x:v>0</x:v>
      </x:c>
      <x:c r="GH34" s="128" t="n">
        <x:f>'PROJECT TA Y TB KARINA'!$I88/8</x:f>
        <x:v>0</x:v>
      </x:c>
      <x:c r="GI34" s="128" t="n">
        <x:f>'PROJECT TA Y TB KARINA'!$I88/8</x:f>
        <x:v>0</x:v>
      </x:c>
      <x:c r="GJ34" s="128" t="n">
        <x:f>'PROJECT TA Y TB KARINA'!$J88/8</x:f>
        <x:v>0</x:v>
      </x:c>
      <x:c r="GK34" s="128" t="n">
        <x:f>'PROJECT TA Y TB KARINA'!$J88/8</x:f>
        <x:v>0</x:v>
      </x:c>
      <x:c r="GL34" s="128" t="n">
        <x:f>'PROJECT TA Y TB KARINA'!$J88/8</x:f>
        <x:v>0</x:v>
      </x:c>
      <x:c r="GM34" s="128" t="n">
        <x:f>'PROJECT TA Y TB KARINA'!$J88/8</x:f>
        <x:v>0</x:v>
      </x:c>
      <x:c r="GN34" s="128" t="n">
        <x:f>'PROJECT TA Y TB KARINA'!$J88/8</x:f>
        <x:v>0</x:v>
      </x:c>
      <x:c r="GO34" s="128" t="n">
        <x:f>'PROJECT TA Y TB KARINA'!$J88/8</x:f>
        <x:v>0</x:v>
      </x:c>
      <x:c r="GP34" s="128" t="n">
        <x:f>'PROJECT TA Y TB KARINA'!$J88/8</x:f>
        <x:v>0</x:v>
      </x:c>
      <x:c r="GQ34" s="128" t="n">
        <x:f>'PROJECT TA Y TB KARINA'!$J88/8</x:f>
        <x:v>0</x:v>
      </x:c>
      <x:c r="GR34" s="128" t="n">
        <x:f>'PROJECT TA Y TB KARINA'!$K88/8</x:f>
        <x:v>0</x:v>
      </x:c>
      <x:c r="GS34" s="128" t="n">
        <x:f>'PROJECT TA Y TB KARINA'!$K88/8</x:f>
        <x:v>0</x:v>
      </x:c>
      <x:c r="GT34" s="128" t="n">
        <x:f>'PROJECT TA Y TB KARINA'!$K88/8</x:f>
        <x:v>0</x:v>
      </x:c>
      <x:c r="GU34" s="128" t="n">
        <x:f>'PROJECT TA Y TB KARINA'!$K88/8</x:f>
        <x:v>0</x:v>
      </x:c>
      <x:c r="GV34" s="128" t="n">
        <x:f>'PROJECT TA Y TB KARINA'!$K88/8</x:f>
        <x:v>0</x:v>
      </x:c>
      <x:c r="GW34" s="128" t="n">
        <x:f>'PROJECT TA Y TB KARINA'!$K88/8</x:f>
        <x:v>0</x:v>
      </x:c>
      <x:c r="GX34" s="128" t="n">
        <x:f>'PROJECT TA Y TB KARINA'!$K88/8</x:f>
        <x:v>0</x:v>
      </x:c>
      <x:c r="GY34" s="128" t="n">
        <x:f>'PROJECT TA Y TB KARINA'!$K88/8</x:f>
        <x:v>0</x:v>
      </x:c>
      <x:c r="GZ34" s="128" t="n">
        <x:f>'PROJECT TA Y TB KARINA'!$L88/8</x:f>
        <x:v>0</x:v>
      </x:c>
      <x:c r="HA34" s="128" t="n">
        <x:f>'PROJECT TA Y TB KARINA'!$L88/8</x:f>
        <x:v>0</x:v>
      </x:c>
      <x:c r="HB34" s="128" t="n">
        <x:f>'PROJECT TA Y TB KARINA'!$L88/8</x:f>
        <x:v>0</x:v>
      </x:c>
      <x:c r="HC34" s="128" t="n">
        <x:f>'PROJECT TA Y TB KARINA'!$L88/8</x:f>
        <x:v>0</x:v>
      </x:c>
      <x:c r="HD34" s="128" t="n">
        <x:f>'PROJECT TA Y TB KARINA'!$L88/8</x:f>
        <x:v>0</x:v>
      </x:c>
      <x:c r="HE34" s="128" t="n">
        <x:f>'PROJECT TA Y TB KARINA'!$L88/8</x:f>
        <x:v>0</x:v>
      </x:c>
      <x:c r="HF34" s="128" t="n">
        <x:f>'PROJECT TA Y TB KARINA'!$L88/8</x:f>
        <x:v>0</x:v>
      </x:c>
      <x:c r="HG34" s="128" t="n">
        <x:f>'PROJECT TA Y TB KARINA'!$L88/8</x:f>
        <x:v>0</x:v>
      </x:c>
      <x:c r="HH34" s="128" t="n">
        <x:f>'PROJECT TA Y TB KARINA'!$M88/8</x:f>
        <x:v>0</x:v>
      </x:c>
      <x:c r="HI34" s="128" t="n">
        <x:f>'PROJECT TA Y TB KARINA'!$M88/8</x:f>
        <x:v>0</x:v>
      </x:c>
      <x:c r="HJ34" s="128" t="n">
        <x:f>'PROJECT TA Y TB KARINA'!$M88/8</x:f>
        <x:v>0</x:v>
      </x:c>
      <x:c r="HK34" s="128" t="n">
        <x:f>'PROJECT TA Y TB KARINA'!$M88/8</x:f>
        <x:v>0</x:v>
      </x:c>
      <x:c r="HL34" s="128" t="n">
        <x:f>'PROJECT TA Y TB KARINA'!$M88/8</x:f>
        <x:v>0</x:v>
      </x:c>
      <x:c r="HM34" s="128" t="n">
        <x:f>'PROJECT TA Y TB KARINA'!$M88/8</x:f>
        <x:v>0</x:v>
      </x:c>
      <x:c r="HN34" s="128" t="n">
        <x:f>'PROJECT TA Y TB KARINA'!$M88/8</x:f>
        <x:v>0</x:v>
      </x:c>
      <x:c r="HO34" s="128" t="n">
        <x:f>'PROJECT TA Y TB KARINA'!$M88/8</x:f>
        <x:v>0</x:v>
      </x:c>
      <x:c r="HP34" s="128" t="n">
        <x:f>'PROJECT TA Y TB KARINA'!$N88/8</x:f>
        <x:v>0</x:v>
      </x:c>
      <x:c r="HQ34" s="128" t="n">
        <x:f>'PROJECT TA Y TB KARINA'!$N88/8</x:f>
        <x:v>0</x:v>
      </x:c>
      <x:c r="HR34" s="128" t="n">
        <x:f>'PROJECT TA Y TB KARINA'!$N88/8</x:f>
        <x:v>0</x:v>
      </x:c>
      <x:c r="HS34" s="128" t="n">
        <x:f>'PROJECT TA Y TB KARINA'!$N88/8</x:f>
        <x:v>0</x:v>
      </x:c>
      <x:c r="HT34" s="128" t="n">
        <x:f>'PROJECT TA Y TB KARINA'!$N88/8</x:f>
        <x:v>0</x:v>
      </x:c>
      <x:c r="HU34" s="128" t="n">
        <x:f>'PROJECT TA Y TB KARINA'!$N88/8</x:f>
        <x:v>0</x:v>
      </x:c>
      <x:c r="HV34" s="128" t="n">
        <x:f>'PROJECT TA Y TB KARINA'!$N88/8</x:f>
        <x:v>0</x:v>
      </x:c>
      <x:c r="HW34" s="128" t="n">
        <x:f>'PROJECT TA Y TB KARINA'!$N88/8</x:f>
        <x:v>0</x:v>
      </x:c>
      <x:c r="HX34" s="128" t="n">
        <x:f>'PROJECT TA Y TB KARINA'!$O88/8</x:f>
        <x:v>0</x:v>
      </x:c>
      <x:c r="HY34" s="128" t="n">
        <x:f>'PROJECT TA Y TB KARINA'!$O88/8</x:f>
        <x:v>0</x:v>
      </x:c>
      <x:c r="HZ34" s="128" t="n">
        <x:f>'PROJECT TA Y TB KARINA'!$O88/8</x:f>
        <x:v>0</x:v>
      </x:c>
      <x:c r="IA34" s="128" t="n">
        <x:f>'PROJECT TA Y TB KARINA'!$O88/8</x:f>
        <x:v>0</x:v>
      </x:c>
      <x:c r="IB34" s="128" t="n">
        <x:f>'PROJECT TA Y TB KARINA'!$O88/8</x:f>
        <x:v>0</x:v>
      </x:c>
      <x:c r="IC34" s="128" t="n">
        <x:f>'PROJECT TA Y TB KARINA'!$O88/8</x:f>
        <x:v>0</x:v>
      </x:c>
      <x:c r="ID34" s="128" t="n">
        <x:f>'PROJECT TA Y TB KARINA'!$O88/8</x:f>
        <x:v>0</x:v>
      </x:c>
      <x:c r="IE34" s="128" t="n">
        <x:f>'PROJECT TA Y TB KARINA'!$O88/8</x:f>
        <x:v>0</x:v>
      </x:c>
      <x:c r="IF34" s="128" t="n">
        <x:f>'PROJECT TA Y TB KARINA'!$P88/8</x:f>
        <x:v>0</x:v>
      </x:c>
      <x:c r="IG34" s="128" t="n">
        <x:f>'PROJECT TA Y TB KARINA'!$P88/8</x:f>
        <x:v>0</x:v>
      </x:c>
      <x:c r="IH34" s="128" t="n">
        <x:f>'PROJECT TA Y TB KARINA'!$P88/8</x:f>
        <x:v>0</x:v>
      </x:c>
      <x:c r="II34" s="128" t="n">
        <x:f>'PROJECT TA Y TB KARINA'!$P88/8</x:f>
        <x:v>0</x:v>
      </x:c>
      <x:c r="IJ34" s="128" t="n">
        <x:f>'PROJECT TA Y TB KARINA'!$P88/8</x:f>
        <x:v>0</x:v>
      </x:c>
      <x:c r="IK34" s="128" t="n">
        <x:f>'PROJECT TA Y TB KARINA'!$P88/8</x:f>
        <x:v>0</x:v>
      </x:c>
      <x:c r="IL34" s="128" t="n">
        <x:f>'PROJECT TA Y TB KARINA'!$P88/8</x:f>
        <x:v>0</x:v>
      </x:c>
      <x:c r="IM34" s="128" t="n">
        <x:f>'PROJECT TA Y TB KARINA'!$P88/8</x:f>
        <x:v>0</x:v>
      </x:c>
      <x:c r="IN34" s="128" t="n">
        <x:f>'PROJECT TA Y TB KARINA'!$Q88/8</x:f>
        <x:v>0</x:v>
      </x:c>
      <x:c r="IO34" s="128" t="n">
        <x:f>'PROJECT TA Y TB KARINA'!$Q88/8</x:f>
        <x:v>0</x:v>
      </x:c>
      <x:c r="IP34" s="128" t="n">
        <x:f>'PROJECT TA Y TB KARINA'!$Q88/8</x:f>
        <x:v>0</x:v>
      </x:c>
      <x:c r="IQ34" s="128" t="n">
        <x:f>'PROJECT TA Y TB KARINA'!$Q88/8</x:f>
        <x:v>0</x:v>
      </x:c>
      <x:c r="IR34" s="128" t="n">
        <x:f>'PROJECT TA Y TB KARINA'!$Q88/8</x:f>
        <x:v>0</x:v>
      </x:c>
      <x:c r="IS34" s="128" t="n">
        <x:f>'PROJECT TA Y TB KARINA'!$Q88/8</x:f>
        <x:v>0</x:v>
      </x:c>
      <x:c r="IT34" s="128" t="n">
        <x:f>'PROJECT TA Y TB KARINA'!$Q88/8</x:f>
        <x:v>0</x:v>
      </x:c>
      <x:c r="IU34" s="128" t="n">
        <x:f>'PROJECT TA Y TB KARINA'!$Q88/8</x:f>
        <x:v>0</x:v>
      </x:c>
      <x:c r="IV34" s="128" t="n">
        <x:f>'PROJECT TA Y TB KARINA'!$R88/8</x:f>
        <x:v>0</x:v>
      </x:c>
      <x:c r="IW34" s="128" t="n">
        <x:f>'PROJECT TA Y TB KARINA'!$R88/8</x:f>
        <x:v>0</x:v>
      </x:c>
      <x:c r="IX34" s="128" t="n">
        <x:f>'PROJECT TA Y TB KARINA'!$R88/8</x:f>
        <x:v>0</x:v>
      </x:c>
      <x:c r="IY34" s="128" t="n">
        <x:f>'PROJECT TA Y TB KARINA'!$R88/8</x:f>
        <x:v>0</x:v>
      </x:c>
      <x:c r="IZ34" s="128" t="n">
        <x:f>'PROJECT TA Y TB KARINA'!$R88/8</x:f>
        <x:v>0</x:v>
      </x:c>
      <x:c r="JA34" s="128" t="n">
        <x:f>'PROJECT TA Y TB KARINA'!$R88/8</x:f>
        <x:v>0</x:v>
      </x:c>
      <x:c r="JB34" s="128" t="n">
        <x:f>'PROJECT TA Y TB KARINA'!$R88/8</x:f>
        <x:v>0</x:v>
      </x:c>
      <x:c r="JC34" s="128" t="n">
        <x:f>'PROJECT TA Y TB KARINA'!$R88/8</x:f>
        <x:v>0</x:v>
      </x:c>
      <x:c r="JD34" s="128" t="n">
        <x:f>'PROJECT TA Y TB KARINA'!$S88/8</x:f>
        <x:v>0</x:v>
      </x:c>
      <x:c r="JE34" s="128" t="n">
        <x:f>'PROJECT TA Y TB KARINA'!$S88/8</x:f>
        <x:v>0</x:v>
      </x:c>
      <x:c r="JF34" s="128" t="n">
        <x:f>'PROJECT TA Y TB KARINA'!$S88/8</x:f>
        <x:v>0</x:v>
      </x:c>
      <x:c r="JG34" s="128" t="n">
        <x:f>'PROJECT TA Y TB KARINA'!$S88/8</x:f>
        <x:v>0</x:v>
      </x:c>
      <x:c r="JH34" s="128" t="n">
        <x:f>'PROJECT TA Y TB KARINA'!$S88/8</x:f>
        <x:v>0</x:v>
      </x:c>
      <x:c r="JI34" s="128" t="n">
        <x:f>'PROJECT TA Y TB KARINA'!$S88/8</x:f>
        <x:v>0</x:v>
      </x:c>
      <x:c r="JJ34" s="128" t="n">
        <x:f>'PROJECT TA Y TB KARINA'!$S88/8</x:f>
        <x:v>0</x:v>
      </x:c>
      <x:c r="JK34" s="128" t="n">
        <x:f>'PROJECT TA Y TB KARINA'!$S88/8</x:f>
        <x:v>0</x:v>
      </x:c>
      <x:c r="JL34" s="128" t="n">
        <x:f>'PROJECT TA Y TB KARINA'!$T88/8</x:f>
        <x:v>0</x:v>
      </x:c>
      <x:c r="JM34" s="128" t="n">
        <x:f>'PROJECT TA Y TB KARINA'!$T88/8</x:f>
        <x:v>0</x:v>
      </x:c>
      <x:c r="JN34" s="128" t="n">
        <x:f>'PROJECT TA Y TB KARINA'!$T88/8</x:f>
        <x:v>0</x:v>
      </x:c>
      <x:c r="JO34" s="128" t="n">
        <x:f>'PROJECT TA Y TB KARINA'!$T88/8</x:f>
        <x:v>0</x:v>
      </x:c>
      <x:c r="JP34" s="128" t="n">
        <x:f>'PROJECT TA Y TB KARINA'!$T88/8</x:f>
        <x:v>0</x:v>
      </x:c>
      <x:c r="JQ34" s="128" t="n">
        <x:f>'PROJECT TA Y TB KARINA'!$T88/8</x:f>
        <x:v>0</x:v>
      </x:c>
      <x:c r="JR34" s="128" t="n">
        <x:f>'PROJECT TA Y TB KARINA'!$T88/8</x:f>
        <x:v>0</x:v>
      </x:c>
      <x:c r="JS34" s="128" t="n">
        <x:f>'PROJECT TA Y TB KARINA'!$T88/8</x:f>
        <x:v>0</x:v>
      </x:c>
      <x:c r="JT34" s="128" t="e">
        <x:f>'PROJECT TA Y TB KARINA'!#REF!/8</x:f>
        <x:v>#NAME?</x:v>
      </x:c>
      <x:c r="JU34" s="128" t="e">
        <x:f>'PROJECT TA Y TB KARINA'!#REF!/8</x:f>
        <x:v>#NAME?</x:v>
      </x:c>
      <x:c r="JV34" s="128" t="e">
        <x:f>'PROJECT TA Y TB KARINA'!#REF!/8</x:f>
        <x:v>#NAME?</x:v>
      </x:c>
      <x:c r="JW34" s="128" t="e">
        <x:f>'PROJECT TA Y TB KARINA'!#REF!/8</x:f>
        <x:v>#NAME?</x:v>
      </x:c>
      <x:c r="JX34" s="128" t="e">
        <x:f>'PROJECT TA Y TB KARINA'!#REF!/8</x:f>
        <x:v>#NAME?</x:v>
      </x:c>
      <x:c r="JY34" s="128" t="e">
        <x:f>'PROJECT TA Y TB KARINA'!#REF!/8</x:f>
        <x:v>#NAME?</x:v>
      </x:c>
      <x:c r="JZ34" s="128" t="e">
        <x:f>'PROJECT TA Y TB KARINA'!#REF!/8</x:f>
        <x:v>#NAME?</x:v>
      </x:c>
      <x:c r="KA34" s="128" t="e">
        <x:f>'PROJECT TA Y TB KARINA'!#REF!/8</x:f>
        <x:v>#NAME?</x:v>
      </x:c>
    </x:row>
    <x:row r="35" ht="21">
      <x:c r="A35" s="130" t="s">
        <x:v>520</x:v>
      </x:c>
      <x:c r="B35" s="128" t="e">
        <x:f>'PROJECT TA Y TB KARINA'!$C$31/8</x:f>
        <x:v>#REF!</x:v>
      </x:c>
      <x:c r="C35" s="128" t="e">
        <x:f>'PROJECT TA Y TB KARINA'!$C$31/8</x:f>
        <x:v>#REF!</x:v>
      </x:c>
      <x:c r="D35" s="128" t="e">
        <x:f>'PROJECT TA Y TB KARINA'!$C$31/8</x:f>
        <x:v>#REF!</x:v>
      </x:c>
      <x:c r="E35" s="128" t="e">
        <x:f>'PROJECT TA Y TB KARINA'!$C$31/8</x:f>
        <x:v>#REF!</x:v>
      </x:c>
      <x:c r="F35" s="128" t="e">
        <x:f>'PROJECT TA Y TB KARINA'!$C$31/8</x:f>
        <x:v>#REF!</x:v>
      </x:c>
      <x:c r="G35" s="128" t="e">
        <x:f>'PROJECT TA Y TB KARINA'!$C$31/8</x:f>
        <x:v>#REF!</x:v>
      </x:c>
      <x:c r="H35" s="128" t="e">
        <x:f>'PROJECT TA Y TB KARINA'!$C$31/8</x:f>
        <x:v>#REF!</x:v>
      </x:c>
      <x:c r="I35" s="128" t="e">
        <x:f>'PROJECT TA Y TB KARINA'!$E31/8</x:f>
        <x:v>#REF!</x:v>
      </x:c>
      <x:c r="J35" s="128" t="e">
        <x:f>'PROJECT TA Y TB KARINA'!$E31/8</x:f>
        <x:v>#REF!</x:v>
      </x:c>
      <x:c r="K35" s="128" t="e">
        <x:f>'PROJECT TA Y TB KARINA'!$E31/8</x:f>
        <x:v>#REF!</x:v>
      </x:c>
      <x:c r="L35" s="128" t="e">
        <x:f>'PROJECT TA Y TB KARINA'!$E31/8</x:f>
        <x:v>#REF!</x:v>
      </x:c>
      <x:c r="M35" s="128" t="e">
        <x:f>'PROJECT TA Y TB KARINA'!$E31/8</x:f>
        <x:v>#REF!</x:v>
      </x:c>
      <x:c r="N35" s="128" t="e">
        <x:f>'PROJECT TA Y TB KARINA'!$E31/8</x:f>
        <x:v>#REF!</x:v>
      </x:c>
      <x:c r="O35" s="128" t="e">
        <x:f>'PROJECT TA Y TB KARINA'!$E31/8</x:f>
        <x:v>#REF!</x:v>
      </x:c>
      <x:c r="P35" s="128" t="e">
        <x:f>'PROJECT TA Y TB KARINA'!$E31/8</x:f>
        <x:v>#REF!</x:v>
      </x:c>
      <x:c r="Q35" s="128" t="e">
        <x:f>'PROJECT TA Y TB KARINA'!$F31/8</x:f>
        <x:v>#REF!</x:v>
      </x:c>
      <x:c r="R35" s="128" t="e">
        <x:f>'PROJECT TA Y TB KARINA'!$F31/8</x:f>
        <x:v>#REF!</x:v>
      </x:c>
      <x:c r="S35" s="128" t="e">
        <x:f>'PROJECT TA Y TB KARINA'!$F31/8</x:f>
        <x:v>#REF!</x:v>
      </x:c>
      <x:c r="T35" s="128" t="e">
        <x:f>'PROJECT TA Y TB KARINA'!$F31/8</x:f>
        <x:v>#REF!</x:v>
      </x:c>
      <x:c r="U35" s="128" t="e">
        <x:f>'PROJECT TA Y TB KARINA'!$F31/8</x:f>
        <x:v>#REF!</x:v>
      </x:c>
      <x:c r="V35" s="128" t="e">
        <x:f>'PROJECT TA Y TB KARINA'!$F31/8</x:f>
        <x:v>#REF!</x:v>
      </x:c>
      <x:c r="W35" s="128" t="e">
        <x:f>'PROJECT TA Y TB KARINA'!$F31/8</x:f>
        <x:v>#REF!</x:v>
      </x:c>
      <x:c r="X35" s="128" t="e">
        <x:f>'PROJECT TA Y TB KARINA'!$F31/8</x:f>
        <x:v>#REF!</x:v>
      </x:c>
      <x:c r="Y35" s="128" t="e">
        <x:f>'PROJECT TA Y TB KARINA'!$G31/8</x:f>
        <x:v>#REF!</x:v>
      </x:c>
      <x:c r="Z35" s="128" t="e">
        <x:f>'PROJECT TA Y TB KARINA'!$G31/8</x:f>
        <x:v>#REF!</x:v>
      </x:c>
      <x:c r="AA35" s="128" t="e">
        <x:f>'PROJECT TA Y TB KARINA'!$G31/8</x:f>
        <x:v>#REF!</x:v>
      </x:c>
      <x:c r="AB35" s="128" t="e">
        <x:f>'PROJECT TA Y TB KARINA'!$G31/8</x:f>
        <x:v>#REF!</x:v>
      </x:c>
      <x:c r="AC35" s="128" t="e">
        <x:f>'PROJECT TA Y TB KARINA'!$G31/8</x:f>
        <x:v>#REF!</x:v>
      </x:c>
      <x:c r="AD35" s="128" t="e">
        <x:f>'PROJECT TA Y TB KARINA'!$G31/8</x:f>
        <x:v>#REF!</x:v>
      </x:c>
      <x:c r="AE35" s="128" t="e">
        <x:f>'PROJECT TA Y TB KARINA'!$G31/8</x:f>
        <x:v>#REF!</x:v>
      </x:c>
      <x:c r="AF35" s="128" t="e">
        <x:f>'PROJECT TA Y TB KARINA'!$G31/8</x:f>
        <x:v>#REF!</x:v>
      </x:c>
      <x:c r="AG35" s="128" t="e">
        <x:f>'PROJECT TA Y TB KARINA'!$H31/8</x:f>
        <x:v>#REF!</x:v>
      </x:c>
      <x:c r="AH35" s="128" t="e">
        <x:f>'PROJECT TA Y TB KARINA'!$H31/8</x:f>
        <x:v>#REF!</x:v>
      </x:c>
      <x:c r="AI35" s="128" t="e">
        <x:f>'PROJECT TA Y TB KARINA'!$H31/8</x:f>
        <x:v>#REF!</x:v>
      </x:c>
      <x:c r="AJ35" s="128" t="e">
        <x:f>'PROJECT TA Y TB KARINA'!$H31/8</x:f>
        <x:v>#REF!</x:v>
      </x:c>
      <x:c r="AK35" s="128" t="e">
        <x:f>'PROJECT TA Y TB KARINA'!$H31/8</x:f>
        <x:v>#REF!</x:v>
      </x:c>
      <x:c r="AL35" s="128" t="e">
        <x:f>'PROJECT TA Y TB KARINA'!$H31/8</x:f>
        <x:v>#REF!</x:v>
      </x:c>
      <x:c r="AM35" s="128" t="e">
        <x:f>'PROJECT TA Y TB KARINA'!$H31/8</x:f>
        <x:v>#REF!</x:v>
      </x:c>
      <x:c r="AN35" s="128" t="e">
        <x:f>'PROJECT TA Y TB KARINA'!$H31/8</x:f>
        <x:v>#REF!</x:v>
      </x:c>
      <x:c r="AO35" s="128" t="e">
        <x:f>'PROJECT TA Y TB KARINA'!$I31/8</x:f>
        <x:v>#REF!</x:v>
      </x:c>
      <x:c r="AP35" s="128" t="e">
        <x:f>'PROJECT TA Y TB KARINA'!$I31/8</x:f>
        <x:v>#REF!</x:v>
      </x:c>
      <x:c r="AQ35" s="128" t="e">
        <x:f>'PROJECT TA Y TB KARINA'!$I31/8</x:f>
        <x:v>#REF!</x:v>
      </x:c>
      <x:c r="AR35" s="128" t="e">
        <x:f>'PROJECT TA Y TB KARINA'!$I31/8</x:f>
        <x:v>#REF!</x:v>
      </x:c>
      <x:c r="AS35" s="128" t="e">
        <x:f>'PROJECT TA Y TB KARINA'!$I31/8</x:f>
        <x:v>#REF!</x:v>
      </x:c>
      <x:c r="AT35" s="128" t="e">
        <x:f>'PROJECT TA Y TB KARINA'!$I31/8</x:f>
        <x:v>#REF!</x:v>
      </x:c>
      <x:c r="AU35" s="128" t="e">
        <x:f>'PROJECT TA Y TB KARINA'!$I31/8</x:f>
        <x:v>#REF!</x:v>
      </x:c>
      <x:c r="AV35" s="128" t="e">
        <x:f>'PROJECT TA Y TB KARINA'!$I31/8</x:f>
        <x:v>#REF!</x:v>
      </x:c>
      <x:c r="AW35" s="128" t="e">
        <x:f>'PROJECT TA Y TB KARINA'!$J31/8</x:f>
        <x:v>#REF!</x:v>
      </x:c>
      <x:c r="AX35" s="128" t="e">
        <x:f>'PROJECT TA Y TB KARINA'!$J31/8</x:f>
        <x:v>#REF!</x:v>
      </x:c>
      <x:c r="AY35" s="128" t="e">
        <x:f>'PROJECT TA Y TB KARINA'!$J31/8</x:f>
        <x:v>#REF!</x:v>
      </x:c>
      <x:c r="AZ35" s="128" t="e">
        <x:f>'PROJECT TA Y TB KARINA'!$J31/8</x:f>
        <x:v>#REF!</x:v>
      </x:c>
      <x:c r="BA35" s="128" t="e">
        <x:f>'PROJECT TA Y TB KARINA'!$J31/8</x:f>
        <x:v>#REF!</x:v>
      </x:c>
      <x:c r="BB35" s="128" t="e">
        <x:f>'PROJECT TA Y TB KARINA'!$J31/8</x:f>
        <x:v>#REF!</x:v>
      </x:c>
      <x:c r="BC35" s="128" t="e">
        <x:f>'PROJECT TA Y TB KARINA'!$J31/8</x:f>
        <x:v>#REF!</x:v>
      </x:c>
      <x:c r="BD35" s="128" t="e">
        <x:f>'PROJECT TA Y TB KARINA'!$J31/8</x:f>
        <x:v>#REF!</x:v>
      </x:c>
      <x:c r="BE35" s="128" t="e">
        <x:f>'PROJECT TA Y TB KARINA'!$K31/8</x:f>
        <x:v>#REF!</x:v>
      </x:c>
      <x:c r="BF35" s="128" t="e">
        <x:f>'PROJECT TA Y TB KARINA'!$K31/8</x:f>
        <x:v>#REF!</x:v>
      </x:c>
      <x:c r="BG35" s="128" t="e">
        <x:f>'PROJECT TA Y TB KARINA'!$K31/8</x:f>
        <x:v>#REF!</x:v>
      </x:c>
      <x:c r="BH35" s="128" t="e">
        <x:f>'PROJECT TA Y TB KARINA'!$K31/8</x:f>
        <x:v>#REF!</x:v>
      </x:c>
      <x:c r="BI35" s="128" t="e">
        <x:f>'PROJECT TA Y TB KARINA'!$K31/8</x:f>
        <x:v>#REF!</x:v>
      </x:c>
      <x:c r="BJ35" s="128" t="e">
        <x:f>'PROJECT TA Y TB KARINA'!$K31/8</x:f>
        <x:v>#REF!</x:v>
      </x:c>
      <x:c r="BK35" s="128" t="e">
        <x:f>'PROJECT TA Y TB KARINA'!$K31/8</x:f>
        <x:v>#REF!</x:v>
      </x:c>
      <x:c r="BL35" s="128" t="e">
        <x:f>'PROJECT TA Y TB KARINA'!$K31/8</x:f>
        <x:v>#REF!</x:v>
      </x:c>
      <x:c r="BM35" s="128" t="e">
        <x:f>'PROJECT TA Y TB KARINA'!$L31/8</x:f>
        <x:v>#REF!</x:v>
      </x:c>
      <x:c r="BN35" s="128" t="e">
        <x:f>'PROJECT TA Y TB KARINA'!$L31/8</x:f>
        <x:v>#REF!</x:v>
      </x:c>
      <x:c r="BO35" s="128" t="e">
        <x:f>'PROJECT TA Y TB KARINA'!$L31/8</x:f>
        <x:v>#REF!</x:v>
      </x:c>
      <x:c r="BP35" s="128" t="e">
        <x:f>'PROJECT TA Y TB KARINA'!$L31/8</x:f>
        <x:v>#REF!</x:v>
      </x:c>
      <x:c r="BQ35" s="128" t="e">
        <x:f>'PROJECT TA Y TB KARINA'!$L31/8</x:f>
        <x:v>#REF!</x:v>
      </x:c>
      <x:c r="BR35" s="128" t="e">
        <x:f>'PROJECT TA Y TB KARINA'!$L31/8</x:f>
        <x:v>#REF!</x:v>
      </x:c>
      <x:c r="BS35" s="128" t="e">
        <x:f>'PROJECT TA Y TB KARINA'!$L31/8</x:f>
        <x:v>#REF!</x:v>
      </x:c>
      <x:c r="BT35" s="128" t="e">
        <x:f>'PROJECT TA Y TB KARINA'!$L31/8</x:f>
        <x:v>#REF!</x:v>
      </x:c>
      <x:c r="BU35" s="128" t="e">
        <x:f>'PROJECT TA Y TB KARINA'!$M31/8</x:f>
        <x:v>#REF!</x:v>
      </x:c>
      <x:c r="BV35" s="128" t="e">
        <x:f>'PROJECT TA Y TB KARINA'!$M31/8</x:f>
        <x:v>#REF!</x:v>
      </x:c>
      <x:c r="BW35" s="128" t="e">
        <x:f>'PROJECT TA Y TB KARINA'!$M31/8</x:f>
        <x:v>#REF!</x:v>
      </x:c>
      <x:c r="BX35" s="128" t="e">
        <x:f>'PROJECT TA Y TB KARINA'!$M31/8</x:f>
        <x:v>#REF!</x:v>
      </x:c>
      <x:c r="BY35" s="128" t="e">
        <x:f>'PROJECT TA Y TB KARINA'!$M31/8</x:f>
        <x:v>#REF!</x:v>
      </x:c>
      <x:c r="BZ35" s="128" t="e">
        <x:f>'PROJECT TA Y TB KARINA'!$M31/8</x:f>
        <x:v>#REF!</x:v>
      </x:c>
      <x:c r="CA35" s="128" t="e">
        <x:f>'PROJECT TA Y TB KARINA'!$M31/8</x:f>
        <x:v>#REF!</x:v>
      </x:c>
      <x:c r="CB35" s="128" t="e">
        <x:f>'PROJECT TA Y TB KARINA'!$M31/8</x:f>
        <x:v>#REF!</x:v>
      </x:c>
      <x:c r="CC35" s="128" t="e">
        <x:f>'PROJECT TA Y TB KARINA'!$N31/8</x:f>
        <x:v>#REF!</x:v>
      </x:c>
      <x:c r="CD35" s="128" t="e">
        <x:f>'PROJECT TA Y TB KARINA'!$N31/8</x:f>
        <x:v>#REF!</x:v>
      </x:c>
      <x:c r="CE35" s="128" t="e">
        <x:f>'PROJECT TA Y TB KARINA'!$N31/8</x:f>
        <x:v>#REF!</x:v>
      </x:c>
      <x:c r="CF35" s="128" t="e">
        <x:f>'PROJECT TA Y TB KARINA'!$N31/8</x:f>
        <x:v>#REF!</x:v>
      </x:c>
      <x:c r="CG35" s="128" t="e">
        <x:f>'PROJECT TA Y TB KARINA'!$N31/8</x:f>
        <x:v>#REF!</x:v>
      </x:c>
      <x:c r="CH35" s="128" t="e">
        <x:f>'PROJECT TA Y TB KARINA'!$N31/8</x:f>
        <x:v>#REF!</x:v>
      </x:c>
      <x:c r="CI35" s="128" t="e">
        <x:f>'PROJECT TA Y TB KARINA'!$N31/8</x:f>
        <x:v>#REF!</x:v>
      </x:c>
      <x:c r="CJ35" s="128" t="e">
        <x:f>'PROJECT TA Y TB KARINA'!$N31/8</x:f>
        <x:v>#REF!</x:v>
      </x:c>
      <x:c r="CK35" s="128" t="e">
        <x:f>'PROJECT TA Y TB KARINA'!$O31/8</x:f>
        <x:v>#REF!</x:v>
      </x:c>
      <x:c r="CL35" s="128" t="e">
        <x:f>'PROJECT TA Y TB KARINA'!$O31/8</x:f>
        <x:v>#REF!</x:v>
      </x:c>
      <x:c r="CM35" s="128" t="e">
        <x:f>'PROJECT TA Y TB KARINA'!$O31/8</x:f>
        <x:v>#REF!</x:v>
      </x:c>
      <x:c r="CN35" s="128" t="e">
        <x:f>'PROJECT TA Y TB KARINA'!$O31/8</x:f>
        <x:v>#REF!</x:v>
      </x:c>
      <x:c r="CO35" s="128" t="e">
        <x:f>'PROJECT TA Y TB KARINA'!$O31/8</x:f>
        <x:v>#REF!</x:v>
      </x:c>
      <x:c r="CP35" s="128" t="e">
        <x:f>'PROJECT TA Y TB KARINA'!$O31/8</x:f>
        <x:v>#REF!</x:v>
      </x:c>
      <x:c r="CQ35" s="128" t="e">
        <x:f>'PROJECT TA Y TB KARINA'!$O31/8</x:f>
        <x:v>#REF!</x:v>
      </x:c>
      <x:c r="CR35" s="128" t="e">
        <x:f>'PROJECT TA Y TB KARINA'!$O31/8</x:f>
        <x:v>#REF!</x:v>
      </x:c>
      <x:c r="CS35" s="128" t="e">
        <x:f>'PROJECT TA Y TB KARINA'!$P31/8</x:f>
        <x:v>#REF!</x:v>
      </x:c>
      <x:c r="CT35" s="128" t="e">
        <x:f>'PROJECT TA Y TB KARINA'!$P31/8</x:f>
        <x:v>#REF!</x:v>
      </x:c>
      <x:c r="CU35" s="128" t="e">
        <x:f>'PROJECT TA Y TB KARINA'!$P31/8</x:f>
        <x:v>#REF!</x:v>
      </x:c>
      <x:c r="CV35" s="128" t="e">
        <x:f>'PROJECT TA Y TB KARINA'!$P31/8</x:f>
        <x:v>#REF!</x:v>
      </x:c>
      <x:c r="CW35" s="128" t="e">
        <x:f>'PROJECT TA Y TB KARINA'!$P31/8</x:f>
        <x:v>#REF!</x:v>
      </x:c>
      <x:c r="CX35" s="128" t="e">
        <x:f>'PROJECT TA Y TB KARINA'!$P31/8</x:f>
        <x:v>#REF!</x:v>
      </x:c>
      <x:c r="CY35" s="128" t="e">
        <x:f>'PROJECT TA Y TB KARINA'!$P31/8</x:f>
        <x:v>#REF!</x:v>
      </x:c>
      <x:c r="CZ35" s="128" t="e">
        <x:f>'PROJECT TA Y TB KARINA'!$P31/8</x:f>
        <x:v>#REF!</x:v>
      </x:c>
      <x:c r="DA35" s="128" t="e">
        <x:f>'PROJECT TA Y TB KARINA'!$Q31/8</x:f>
        <x:v>#REF!</x:v>
      </x:c>
      <x:c r="DB35" s="128" t="e">
        <x:f>'PROJECT TA Y TB KARINA'!$Q31/8</x:f>
        <x:v>#REF!</x:v>
      </x:c>
      <x:c r="DC35" s="128" t="e">
        <x:f>'PROJECT TA Y TB KARINA'!$Q31/8</x:f>
        <x:v>#REF!</x:v>
      </x:c>
      <x:c r="DD35" s="128" t="e">
        <x:f>'PROJECT TA Y TB KARINA'!$Q31/8</x:f>
        <x:v>#REF!</x:v>
      </x:c>
      <x:c r="DE35" s="128" t="e">
        <x:f>'PROJECT TA Y TB KARINA'!$Q31/8</x:f>
        <x:v>#REF!</x:v>
      </x:c>
      <x:c r="DF35" s="128" t="e">
        <x:f>'PROJECT TA Y TB KARINA'!$Q31/8</x:f>
        <x:v>#REF!</x:v>
      </x:c>
      <x:c r="DG35" s="128" t="e">
        <x:f>'PROJECT TA Y TB KARINA'!$Q31/8</x:f>
        <x:v>#REF!</x:v>
      </x:c>
      <x:c r="DH35" s="128" t="e">
        <x:f>'PROJECT TA Y TB KARINA'!$Q31/8</x:f>
        <x:v>#REF!</x:v>
      </x:c>
      <x:c r="DI35" s="128" t="e">
        <x:f>'PROJECT TA Y TB KARINA'!$R31/8</x:f>
        <x:v>#REF!</x:v>
      </x:c>
      <x:c r="DJ35" s="128" t="e">
        <x:f>'PROJECT TA Y TB KARINA'!$R31/8</x:f>
        <x:v>#REF!</x:v>
      </x:c>
      <x:c r="DK35" s="128" t="e">
        <x:f>'PROJECT TA Y TB KARINA'!$R31/8</x:f>
        <x:v>#REF!</x:v>
      </x:c>
      <x:c r="DL35" s="128" t="e">
        <x:f>'PROJECT TA Y TB KARINA'!$R31/8</x:f>
        <x:v>#REF!</x:v>
      </x:c>
      <x:c r="DM35" s="128" t="e">
        <x:f>'PROJECT TA Y TB KARINA'!$R31/8</x:f>
        <x:v>#REF!</x:v>
      </x:c>
      <x:c r="DN35" s="128" t="e">
        <x:f>'PROJECT TA Y TB KARINA'!$R31/8</x:f>
        <x:v>#REF!</x:v>
      </x:c>
      <x:c r="DO35" s="128" t="e">
        <x:f>'PROJECT TA Y TB KARINA'!$R31/8</x:f>
        <x:v>#REF!</x:v>
      </x:c>
      <x:c r="DP35" s="128" t="e">
        <x:f>'PROJECT TA Y TB KARINA'!$R31/8</x:f>
        <x:v>#REF!</x:v>
      </x:c>
      <x:c r="DQ35" s="128" t="e">
        <x:f>'PROJECT TA Y TB KARINA'!$S31/8</x:f>
        <x:v>#REF!</x:v>
      </x:c>
      <x:c r="DR35" s="128" t="e">
        <x:f>'PROJECT TA Y TB KARINA'!$S31/8</x:f>
        <x:v>#REF!</x:v>
      </x:c>
      <x:c r="DS35" s="128" t="e">
        <x:f>'PROJECT TA Y TB KARINA'!$S31/8</x:f>
        <x:v>#REF!</x:v>
      </x:c>
      <x:c r="DT35" s="128" t="e">
        <x:f>'PROJECT TA Y TB KARINA'!$S31/8</x:f>
        <x:v>#REF!</x:v>
      </x:c>
      <x:c r="DU35" s="128" t="e">
        <x:f>'PROJECT TA Y TB KARINA'!$S31/8</x:f>
        <x:v>#REF!</x:v>
      </x:c>
      <x:c r="DV35" s="128" t="e">
        <x:f>'PROJECT TA Y TB KARINA'!$S31/8</x:f>
        <x:v>#REF!</x:v>
      </x:c>
      <x:c r="DW35" s="128" t="e">
        <x:f>'PROJECT TA Y TB KARINA'!$S31/8</x:f>
        <x:v>#REF!</x:v>
      </x:c>
      <x:c r="DX35" s="128" t="e">
        <x:f>'PROJECT TA Y TB KARINA'!$S31/8</x:f>
        <x:v>#REF!</x:v>
      </x:c>
      <x:c r="DY35" s="128" t="e">
        <x:f>'PROJECT TA Y TB KARINA'!$T31/8</x:f>
        <x:v>#REF!</x:v>
      </x:c>
      <x:c r="DZ35" s="128" t="e">
        <x:f>'PROJECT TA Y TB KARINA'!$T31/8</x:f>
        <x:v>#REF!</x:v>
      </x:c>
      <x:c r="EA35" s="128" t="e">
        <x:f>'PROJECT TA Y TB KARINA'!$T31/8</x:f>
        <x:v>#REF!</x:v>
      </x:c>
      <x:c r="EB35" s="128" t="e">
        <x:f>'PROJECT TA Y TB KARINA'!$T31/8</x:f>
        <x:v>#REF!</x:v>
      </x:c>
      <x:c r="EC35" s="128" t="e">
        <x:f>'PROJECT TA Y TB KARINA'!$T31/8</x:f>
        <x:v>#REF!</x:v>
      </x:c>
      <x:c r="ED35" s="128" t="e">
        <x:f>'PROJECT TA Y TB KARINA'!$T31/8</x:f>
        <x:v>#REF!</x:v>
      </x:c>
      <x:c r="EE35" s="128" t="e">
        <x:f>'PROJECT TA Y TB KARINA'!$T31/8</x:f>
        <x:v>#REF!</x:v>
      </x:c>
      <x:c r="EF35" s="128" t="e">
        <x:f>'PROJECT TA Y TB KARINA'!$T31/8</x:f>
        <x:v>#REF!</x:v>
      </x:c>
      <x:c r="EG35" s="128" t="e">
        <x:f>'PROJECT TA Y TB KARINA'!#REF!/8</x:f>
        <x:v>#NAME?</x:v>
      </x:c>
      <x:c r="EH35" s="128" t="e">
        <x:f>'PROJECT TA Y TB KARINA'!#REF!/8</x:f>
        <x:v>#NAME?</x:v>
      </x:c>
      <x:c r="EI35" s="128" t="e">
        <x:f>'PROJECT TA Y TB KARINA'!#REF!/8</x:f>
        <x:v>#NAME?</x:v>
      </x:c>
      <x:c r="EJ35" s="128" t="e">
        <x:f>'PROJECT TA Y TB KARINA'!#REF!/8</x:f>
        <x:v>#NAME?</x:v>
      </x:c>
      <x:c r="EK35" s="128" t="e">
        <x:f>'PROJECT TA Y TB KARINA'!#REF!/8</x:f>
        <x:v>#NAME?</x:v>
      </x:c>
      <x:c r="EL35" s="128" t="e">
        <x:f>'PROJECT TA Y TB KARINA'!#REF!/8</x:f>
        <x:v>#NAME?</x:v>
      </x:c>
      <x:c r="EM35" s="128" t="e">
        <x:f>'PROJECT TA Y TB KARINA'!#REF!/8</x:f>
        <x:v>#NAME?</x:v>
      </x:c>
      <x:c r="EN35" s="128" t="e">
        <x:f>'PROJECT TA Y TB KARINA'!#REF!/8</x:f>
        <x:v>#NAME?</x:v>
      </x:c>
      <x:c r="EO35" s="128" t="n">
        <x:f>'PROJECT TA Y TB KARINA'!$C89/8</x:f>
        <x:v>0</x:v>
      </x:c>
      <x:c r="EP35" s="128" t="n">
        <x:f>'PROJECT TA Y TB KARINA'!$C89/8</x:f>
        <x:v>0</x:v>
      </x:c>
      <x:c r="EQ35" s="128" t="n">
        <x:f>'PROJECT TA Y TB KARINA'!$C89/8</x:f>
        <x:v>0</x:v>
      </x:c>
      <x:c r="ER35" s="128" t="n">
        <x:f>'PROJECT TA Y TB KARINA'!$C89/8</x:f>
        <x:v>0</x:v>
      </x:c>
      <x:c r="ES35" s="128" t="n">
        <x:f>'PROJECT TA Y TB KARINA'!$C89/8</x:f>
        <x:v>0</x:v>
      </x:c>
      <x:c r="ET35" s="128" t="n">
        <x:f>'PROJECT TA Y TB KARINA'!$C89/8</x:f>
        <x:v>0</x:v>
      </x:c>
      <x:c r="EU35" s="128" t="n">
        <x:f>'PROJECT TA Y TB KARINA'!$C89/8</x:f>
        <x:v>0</x:v>
      </x:c>
      <x:c r="EV35" s="128" t="n">
        <x:f>'PROJECT TA Y TB KARINA'!$E89/8</x:f>
        <x:v>0</x:v>
      </x:c>
      <x:c r="EW35" s="128" t="n">
        <x:f>'PROJECT TA Y TB KARINA'!$E89/8</x:f>
        <x:v>0</x:v>
      </x:c>
      <x:c r="EX35" s="128" t="n">
        <x:f>'PROJECT TA Y TB KARINA'!$E89/8</x:f>
        <x:v>0</x:v>
      </x:c>
      <x:c r="EY35" s="128" t="n">
        <x:f>'PROJECT TA Y TB KARINA'!$E89/8</x:f>
        <x:v>0</x:v>
      </x:c>
      <x:c r="EZ35" s="128" t="n">
        <x:f>'PROJECT TA Y TB KARINA'!$E89/8</x:f>
        <x:v>0</x:v>
      </x:c>
      <x:c r="FA35" s="128" t="n">
        <x:f>'PROJECT TA Y TB KARINA'!$E89/8</x:f>
        <x:v>0</x:v>
      </x:c>
      <x:c r="FB35" s="128" t="n">
        <x:f>'PROJECT TA Y TB KARINA'!$E89/8</x:f>
        <x:v>0</x:v>
      </x:c>
      <x:c r="FC35" s="128" t="n">
        <x:f>'PROJECT TA Y TB KARINA'!$E89/8</x:f>
        <x:v>0</x:v>
      </x:c>
      <x:c r="FD35" s="128" t="n">
        <x:f>'PROJECT TA Y TB KARINA'!$F89/8</x:f>
        <x:v>0</x:v>
      </x:c>
      <x:c r="FE35" s="128" t="n">
        <x:f>'PROJECT TA Y TB KARINA'!$F89/8</x:f>
        <x:v>0</x:v>
      </x:c>
      <x:c r="FF35" s="128" t="n">
        <x:f>'PROJECT TA Y TB KARINA'!$F89/8</x:f>
        <x:v>0</x:v>
      </x:c>
      <x:c r="FG35" s="128" t="n">
        <x:f>'PROJECT TA Y TB KARINA'!$F89/8</x:f>
        <x:v>0</x:v>
      </x:c>
      <x:c r="FH35" s="128" t="n">
        <x:f>'PROJECT TA Y TB KARINA'!$F89/8</x:f>
        <x:v>0</x:v>
      </x:c>
      <x:c r="FI35" s="128" t="n">
        <x:f>'PROJECT TA Y TB KARINA'!$F89/8</x:f>
        <x:v>0</x:v>
      </x:c>
      <x:c r="FJ35" s="128" t="n">
        <x:f>'PROJECT TA Y TB KARINA'!$F89/8</x:f>
        <x:v>0</x:v>
      </x:c>
      <x:c r="FK35" s="128" t="n">
        <x:f>'PROJECT TA Y TB KARINA'!$F89/8</x:f>
        <x:v>0</x:v>
      </x:c>
      <x:c r="FL35" s="128" t="n">
        <x:f>'PROJECT TA Y TB KARINA'!$G89/8</x:f>
        <x:v>0</x:v>
      </x:c>
      <x:c r="FM35" s="128" t="n">
        <x:f>'PROJECT TA Y TB KARINA'!$G89/8</x:f>
        <x:v>0</x:v>
      </x:c>
      <x:c r="FN35" s="128" t="n">
        <x:f>'PROJECT TA Y TB KARINA'!$G89/8</x:f>
        <x:v>0</x:v>
      </x:c>
      <x:c r="FO35" s="128" t="n">
        <x:f>'PROJECT TA Y TB KARINA'!$G89/8</x:f>
        <x:v>0</x:v>
      </x:c>
      <x:c r="FP35" s="128" t="n">
        <x:f>'PROJECT TA Y TB KARINA'!$G89/8</x:f>
        <x:v>0</x:v>
      </x:c>
      <x:c r="FQ35" s="128" t="n">
        <x:f>'PROJECT TA Y TB KARINA'!$G89/8</x:f>
        <x:v>0</x:v>
      </x:c>
      <x:c r="FR35" s="128" t="n">
        <x:f>'PROJECT TA Y TB KARINA'!$G89/8</x:f>
        <x:v>0</x:v>
      </x:c>
      <x:c r="FS35" s="128" t="n">
        <x:f>'PROJECT TA Y TB KARINA'!$G89/8</x:f>
        <x:v>0</x:v>
      </x:c>
      <x:c r="FT35" s="128" t="n">
        <x:f>'PROJECT TA Y TB KARINA'!$H89/8</x:f>
        <x:v>0</x:v>
      </x:c>
      <x:c r="FU35" s="128" t="n">
        <x:f>'PROJECT TA Y TB KARINA'!$H89/8</x:f>
        <x:v>0</x:v>
      </x:c>
      <x:c r="FV35" s="128" t="n">
        <x:f>'PROJECT TA Y TB KARINA'!$H89/8</x:f>
        <x:v>0</x:v>
      </x:c>
      <x:c r="FW35" s="128" t="n">
        <x:f>'PROJECT TA Y TB KARINA'!$H89/8</x:f>
        <x:v>0</x:v>
      </x:c>
      <x:c r="FX35" s="128" t="n">
        <x:f>'PROJECT TA Y TB KARINA'!$H89/8</x:f>
        <x:v>0</x:v>
      </x:c>
      <x:c r="FY35" s="128" t="n">
        <x:f>'PROJECT TA Y TB KARINA'!$H89/8</x:f>
        <x:v>0</x:v>
      </x:c>
      <x:c r="FZ35" s="128" t="n">
        <x:f>'PROJECT TA Y TB KARINA'!$H89/8</x:f>
        <x:v>0</x:v>
      </x:c>
      <x:c r="GA35" s="128" t="n">
        <x:f>'PROJECT TA Y TB KARINA'!$H89/8</x:f>
        <x:v>0</x:v>
      </x:c>
      <x:c r="GB35" s="128" t="n">
        <x:f>'PROJECT TA Y TB KARINA'!$I89/8</x:f>
        <x:v>0</x:v>
      </x:c>
      <x:c r="GC35" s="128" t="n">
        <x:f>'PROJECT TA Y TB KARINA'!$I89/8</x:f>
        <x:v>0</x:v>
      </x:c>
      <x:c r="GD35" s="128" t="n">
        <x:f>'PROJECT TA Y TB KARINA'!$I89/8</x:f>
        <x:v>0</x:v>
      </x:c>
      <x:c r="GE35" s="128" t="n">
        <x:f>'PROJECT TA Y TB KARINA'!$I89/8</x:f>
        <x:v>0</x:v>
      </x:c>
      <x:c r="GF35" s="128" t="n">
        <x:f>'PROJECT TA Y TB KARINA'!$I89/8</x:f>
        <x:v>0</x:v>
      </x:c>
      <x:c r="GG35" s="128" t="n">
        <x:f>'PROJECT TA Y TB KARINA'!$I89/8</x:f>
        <x:v>0</x:v>
      </x:c>
      <x:c r="GH35" s="128" t="n">
        <x:f>'PROJECT TA Y TB KARINA'!$I89/8</x:f>
        <x:v>0</x:v>
      </x:c>
      <x:c r="GI35" s="128" t="n">
        <x:f>'PROJECT TA Y TB KARINA'!$I89/8</x:f>
        <x:v>0</x:v>
      </x:c>
      <x:c r="GJ35" s="128" t="n">
        <x:f>'PROJECT TA Y TB KARINA'!$J89/8</x:f>
        <x:v>0</x:v>
      </x:c>
      <x:c r="GK35" s="128" t="n">
        <x:f>'PROJECT TA Y TB KARINA'!$J89/8</x:f>
        <x:v>0</x:v>
      </x:c>
      <x:c r="GL35" s="128" t="n">
        <x:f>'PROJECT TA Y TB KARINA'!$J89/8</x:f>
        <x:v>0</x:v>
      </x:c>
      <x:c r="GM35" s="128" t="n">
        <x:f>'PROJECT TA Y TB KARINA'!$J89/8</x:f>
        <x:v>0</x:v>
      </x:c>
      <x:c r="GN35" s="128" t="n">
        <x:f>'PROJECT TA Y TB KARINA'!$J89/8</x:f>
        <x:v>0</x:v>
      </x:c>
      <x:c r="GO35" s="128" t="n">
        <x:f>'PROJECT TA Y TB KARINA'!$J89/8</x:f>
        <x:v>0</x:v>
      </x:c>
      <x:c r="GP35" s="128" t="n">
        <x:f>'PROJECT TA Y TB KARINA'!$J89/8</x:f>
        <x:v>0</x:v>
      </x:c>
      <x:c r="GQ35" s="128" t="n">
        <x:f>'PROJECT TA Y TB KARINA'!$J89/8</x:f>
        <x:v>0</x:v>
      </x:c>
      <x:c r="GR35" s="128" t="n">
        <x:f>'PROJECT TA Y TB KARINA'!$K89/8</x:f>
        <x:v>0</x:v>
      </x:c>
      <x:c r="GS35" s="128" t="n">
        <x:f>'PROJECT TA Y TB KARINA'!$K89/8</x:f>
        <x:v>0</x:v>
      </x:c>
      <x:c r="GT35" s="128" t="n">
        <x:f>'PROJECT TA Y TB KARINA'!$K89/8</x:f>
        <x:v>0</x:v>
      </x:c>
      <x:c r="GU35" s="128" t="n">
        <x:f>'PROJECT TA Y TB KARINA'!$K89/8</x:f>
        <x:v>0</x:v>
      </x:c>
      <x:c r="GV35" s="128" t="n">
        <x:f>'PROJECT TA Y TB KARINA'!$K89/8</x:f>
        <x:v>0</x:v>
      </x:c>
      <x:c r="GW35" s="128" t="n">
        <x:f>'PROJECT TA Y TB KARINA'!$K89/8</x:f>
        <x:v>0</x:v>
      </x:c>
      <x:c r="GX35" s="128" t="n">
        <x:f>'PROJECT TA Y TB KARINA'!$K89/8</x:f>
        <x:v>0</x:v>
      </x:c>
      <x:c r="GY35" s="128" t="n">
        <x:f>'PROJECT TA Y TB KARINA'!$K89/8</x:f>
        <x:v>0</x:v>
      </x:c>
      <x:c r="GZ35" s="128" t="n">
        <x:f>'PROJECT TA Y TB KARINA'!$L89/8</x:f>
        <x:v>0</x:v>
      </x:c>
      <x:c r="HA35" s="128" t="n">
        <x:f>'PROJECT TA Y TB KARINA'!$L89/8</x:f>
        <x:v>0</x:v>
      </x:c>
      <x:c r="HB35" s="128" t="n">
        <x:f>'PROJECT TA Y TB KARINA'!$L89/8</x:f>
        <x:v>0</x:v>
      </x:c>
      <x:c r="HC35" s="128" t="n">
        <x:f>'PROJECT TA Y TB KARINA'!$L89/8</x:f>
        <x:v>0</x:v>
      </x:c>
      <x:c r="HD35" s="128" t="n">
        <x:f>'PROJECT TA Y TB KARINA'!$L89/8</x:f>
        <x:v>0</x:v>
      </x:c>
      <x:c r="HE35" s="128" t="n">
        <x:f>'PROJECT TA Y TB KARINA'!$L89/8</x:f>
        <x:v>0</x:v>
      </x:c>
      <x:c r="HF35" s="128" t="n">
        <x:f>'PROJECT TA Y TB KARINA'!$L89/8</x:f>
        <x:v>0</x:v>
      </x:c>
      <x:c r="HG35" s="128" t="n">
        <x:f>'PROJECT TA Y TB KARINA'!$L89/8</x:f>
        <x:v>0</x:v>
      </x:c>
      <x:c r="HH35" s="128" t="n">
        <x:f>'PROJECT TA Y TB KARINA'!$M89/8</x:f>
        <x:v>0</x:v>
      </x:c>
      <x:c r="HI35" s="128" t="n">
        <x:f>'PROJECT TA Y TB KARINA'!$M89/8</x:f>
        <x:v>0</x:v>
      </x:c>
      <x:c r="HJ35" s="128" t="n">
        <x:f>'PROJECT TA Y TB KARINA'!$M89/8</x:f>
        <x:v>0</x:v>
      </x:c>
      <x:c r="HK35" s="128" t="n">
        <x:f>'PROJECT TA Y TB KARINA'!$M89/8</x:f>
        <x:v>0</x:v>
      </x:c>
      <x:c r="HL35" s="128" t="n">
        <x:f>'PROJECT TA Y TB KARINA'!$M89/8</x:f>
        <x:v>0</x:v>
      </x:c>
      <x:c r="HM35" s="128" t="n">
        <x:f>'PROJECT TA Y TB KARINA'!$M89/8</x:f>
        <x:v>0</x:v>
      </x:c>
      <x:c r="HN35" s="128" t="n">
        <x:f>'PROJECT TA Y TB KARINA'!$M89/8</x:f>
        <x:v>0</x:v>
      </x:c>
      <x:c r="HO35" s="128" t="n">
        <x:f>'PROJECT TA Y TB KARINA'!$M89/8</x:f>
        <x:v>0</x:v>
      </x:c>
      <x:c r="HP35" s="128" t="n">
        <x:f>'PROJECT TA Y TB KARINA'!$N89/8</x:f>
        <x:v>0</x:v>
      </x:c>
      <x:c r="HQ35" s="128" t="n">
        <x:f>'PROJECT TA Y TB KARINA'!$N89/8</x:f>
        <x:v>0</x:v>
      </x:c>
      <x:c r="HR35" s="128" t="n">
        <x:f>'PROJECT TA Y TB KARINA'!$N89/8</x:f>
        <x:v>0</x:v>
      </x:c>
      <x:c r="HS35" s="128" t="n">
        <x:f>'PROJECT TA Y TB KARINA'!$N89/8</x:f>
        <x:v>0</x:v>
      </x:c>
      <x:c r="HT35" s="128" t="n">
        <x:f>'PROJECT TA Y TB KARINA'!$N89/8</x:f>
        <x:v>0</x:v>
      </x:c>
      <x:c r="HU35" s="128" t="n">
        <x:f>'PROJECT TA Y TB KARINA'!$N89/8</x:f>
        <x:v>0</x:v>
      </x:c>
      <x:c r="HV35" s="128" t="n">
        <x:f>'PROJECT TA Y TB KARINA'!$N89/8</x:f>
        <x:v>0</x:v>
      </x:c>
      <x:c r="HW35" s="128" t="n">
        <x:f>'PROJECT TA Y TB KARINA'!$N89/8</x:f>
        <x:v>0</x:v>
      </x:c>
      <x:c r="HX35" s="128" t="n">
        <x:f>'PROJECT TA Y TB KARINA'!$O89/8</x:f>
        <x:v>0</x:v>
      </x:c>
      <x:c r="HY35" s="128" t="n">
        <x:f>'PROJECT TA Y TB KARINA'!$O89/8</x:f>
        <x:v>0</x:v>
      </x:c>
      <x:c r="HZ35" s="128" t="n">
        <x:f>'PROJECT TA Y TB KARINA'!$O89/8</x:f>
        <x:v>0</x:v>
      </x:c>
      <x:c r="IA35" s="128" t="n">
        <x:f>'PROJECT TA Y TB KARINA'!$O89/8</x:f>
        <x:v>0</x:v>
      </x:c>
      <x:c r="IB35" s="128" t="n">
        <x:f>'PROJECT TA Y TB KARINA'!$O89/8</x:f>
        <x:v>0</x:v>
      </x:c>
      <x:c r="IC35" s="128" t="n">
        <x:f>'PROJECT TA Y TB KARINA'!$O89/8</x:f>
        <x:v>0</x:v>
      </x:c>
      <x:c r="ID35" s="128" t="n">
        <x:f>'PROJECT TA Y TB KARINA'!$O89/8</x:f>
        <x:v>0</x:v>
      </x:c>
      <x:c r="IE35" s="128" t="n">
        <x:f>'PROJECT TA Y TB KARINA'!$O89/8</x:f>
        <x:v>0</x:v>
      </x:c>
      <x:c r="IF35" s="128" t="n">
        <x:f>'PROJECT TA Y TB KARINA'!$P89/8</x:f>
        <x:v>0</x:v>
      </x:c>
      <x:c r="IG35" s="128" t="n">
        <x:f>'PROJECT TA Y TB KARINA'!$P89/8</x:f>
        <x:v>0</x:v>
      </x:c>
      <x:c r="IH35" s="128" t="n">
        <x:f>'PROJECT TA Y TB KARINA'!$P89/8</x:f>
        <x:v>0</x:v>
      </x:c>
      <x:c r="II35" s="128" t="n">
        <x:f>'PROJECT TA Y TB KARINA'!$P89/8</x:f>
        <x:v>0</x:v>
      </x:c>
      <x:c r="IJ35" s="128" t="n">
        <x:f>'PROJECT TA Y TB KARINA'!$P89/8</x:f>
        <x:v>0</x:v>
      </x:c>
      <x:c r="IK35" s="128" t="n">
        <x:f>'PROJECT TA Y TB KARINA'!$P89/8</x:f>
        <x:v>0</x:v>
      </x:c>
      <x:c r="IL35" s="128" t="n">
        <x:f>'PROJECT TA Y TB KARINA'!$P89/8</x:f>
        <x:v>0</x:v>
      </x:c>
      <x:c r="IM35" s="128" t="n">
        <x:f>'PROJECT TA Y TB KARINA'!$P89/8</x:f>
        <x:v>0</x:v>
      </x:c>
      <x:c r="IN35" s="128" t="n">
        <x:f>'PROJECT TA Y TB KARINA'!$Q89/8</x:f>
        <x:v>0</x:v>
      </x:c>
      <x:c r="IO35" s="128" t="n">
        <x:f>'PROJECT TA Y TB KARINA'!$Q89/8</x:f>
        <x:v>0</x:v>
      </x:c>
      <x:c r="IP35" s="128" t="n">
        <x:f>'PROJECT TA Y TB KARINA'!$Q89/8</x:f>
        <x:v>0</x:v>
      </x:c>
      <x:c r="IQ35" s="128" t="n">
        <x:f>'PROJECT TA Y TB KARINA'!$Q89/8</x:f>
        <x:v>0</x:v>
      </x:c>
      <x:c r="IR35" s="128" t="n">
        <x:f>'PROJECT TA Y TB KARINA'!$Q89/8</x:f>
        <x:v>0</x:v>
      </x:c>
      <x:c r="IS35" s="128" t="n">
        <x:f>'PROJECT TA Y TB KARINA'!$Q89/8</x:f>
        <x:v>0</x:v>
      </x:c>
      <x:c r="IT35" s="128" t="n">
        <x:f>'PROJECT TA Y TB KARINA'!$Q89/8</x:f>
        <x:v>0</x:v>
      </x:c>
      <x:c r="IU35" s="128" t="n">
        <x:f>'PROJECT TA Y TB KARINA'!$Q89/8</x:f>
        <x:v>0</x:v>
      </x:c>
      <x:c r="IV35" s="128" t="n">
        <x:f>'PROJECT TA Y TB KARINA'!$R89/8</x:f>
        <x:v>0</x:v>
      </x:c>
      <x:c r="IW35" s="128" t="n">
        <x:f>'PROJECT TA Y TB KARINA'!$R89/8</x:f>
        <x:v>0</x:v>
      </x:c>
      <x:c r="IX35" s="128" t="n">
        <x:f>'PROJECT TA Y TB KARINA'!$R89/8</x:f>
        <x:v>0</x:v>
      </x:c>
      <x:c r="IY35" s="128" t="n">
        <x:f>'PROJECT TA Y TB KARINA'!$R89/8</x:f>
        <x:v>0</x:v>
      </x:c>
      <x:c r="IZ35" s="128" t="n">
        <x:f>'PROJECT TA Y TB KARINA'!$R89/8</x:f>
        <x:v>0</x:v>
      </x:c>
      <x:c r="JA35" s="128" t="n">
        <x:f>'PROJECT TA Y TB KARINA'!$R89/8</x:f>
        <x:v>0</x:v>
      </x:c>
      <x:c r="JB35" s="128" t="n">
        <x:f>'PROJECT TA Y TB KARINA'!$R89/8</x:f>
        <x:v>0</x:v>
      </x:c>
      <x:c r="JC35" s="128" t="n">
        <x:f>'PROJECT TA Y TB KARINA'!$R89/8</x:f>
        <x:v>0</x:v>
      </x:c>
      <x:c r="JD35" s="128" t="n">
        <x:f>'PROJECT TA Y TB KARINA'!$S89/8</x:f>
        <x:v>0</x:v>
      </x:c>
      <x:c r="JE35" s="128" t="n">
        <x:f>'PROJECT TA Y TB KARINA'!$S89/8</x:f>
        <x:v>0</x:v>
      </x:c>
      <x:c r="JF35" s="128" t="n">
        <x:f>'PROJECT TA Y TB KARINA'!$S89/8</x:f>
        <x:v>0</x:v>
      </x:c>
      <x:c r="JG35" s="128" t="n">
        <x:f>'PROJECT TA Y TB KARINA'!$S89/8</x:f>
        <x:v>0</x:v>
      </x:c>
      <x:c r="JH35" s="128" t="n">
        <x:f>'PROJECT TA Y TB KARINA'!$S89/8</x:f>
        <x:v>0</x:v>
      </x:c>
      <x:c r="JI35" s="128" t="n">
        <x:f>'PROJECT TA Y TB KARINA'!$S89/8</x:f>
        <x:v>0</x:v>
      </x:c>
      <x:c r="JJ35" s="128" t="n">
        <x:f>'PROJECT TA Y TB KARINA'!$S89/8</x:f>
        <x:v>0</x:v>
      </x:c>
      <x:c r="JK35" s="128" t="n">
        <x:f>'PROJECT TA Y TB KARINA'!$S89/8</x:f>
        <x:v>0</x:v>
      </x:c>
      <x:c r="JL35" s="128" t="n">
        <x:f>'PROJECT TA Y TB KARINA'!$T89/8</x:f>
        <x:v>0</x:v>
      </x:c>
      <x:c r="JM35" s="128" t="n">
        <x:f>'PROJECT TA Y TB KARINA'!$T89/8</x:f>
        <x:v>0</x:v>
      </x:c>
      <x:c r="JN35" s="128" t="n">
        <x:f>'PROJECT TA Y TB KARINA'!$T89/8</x:f>
        <x:v>0</x:v>
      </x:c>
      <x:c r="JO35" s="128" t="n">
        <x:f>'PROJECT TA Y TB KARINA'!$T89/8</x:f>
        <x:v>0</x:v>
      </x:c>
      <x:c r="JP35" s="128" t="n">
        <x:f>'PROJECT TA Y TB KARINA'!$T89/8</x:f>
        <x:v>0</x:v>
      </x:c>
      <x:c r="JQ35" s="128" t="n">
        <x:f>'PROJECT TA Y TB KARINA'!$T89/8</x:f>
        <x:v>0</x:v>
      </x:c>
      <x:c r="JR35" s="128" t="n">
        <x:f>'PROJECT TA Y TB KARINA'!$T89/8</x:f>
        <x:v>0</x:v>
      </x:c>
      <x:c r="JS35" s="128" t="n">
        <x:f>'PROJECT TA Y TB KARINA'!$T89/8</x:f>
        <x:v>0</x:v>
      </x:c>
      <x:c r="JT35" s="128" t="e">
        <x:f>'PROJECT TA Y TB KARINA'!#REF!/8</x:f>
        <x:v>#NAME?</x:v>
      </x:c>
      <x:c r="JU35" s="128" t="e">
        <x:f>'PROJECT TA Y TB KARINA'!#REF!/8</x:f>
        <x:v>#NAME?</x:v>
      </x:c>
      <x:c r="JV35" s="128" t="e">
        <x:f>'PROJECT TA Y TB KARINA'!#REF!/8</x:f>
        <x:v>#NAME?</x:v>
      </x:c>
      <x:c r="JW35" s="128" t="e">
        <x:f>'PROJECT TA Y TB KARINA'!#REF!/8</x:f>
        <x:v>#NAME?</x:v>
      </x:c>
      <x:c r="JX35" s="128" t="e">
        <x:f>'PROJECT TA Y TB KARINA'!#REF!/8</x:f>
        <x:v>#NAME?</x:v>
      </x:c>
      <x:c r="JY35" s="128" t="e">
        <x:f>'PROJECT TA Y TB KARINA'!#REF!/8</x:f>
        <x:v>#NAME?</x:v>
      </x:c>
      <x:c r="JZ35" s="128" t="e">
        <x:f>'PROJECT TA Y TB KARINA'!#REF!/8</x:f>
        <x:v>#NAME?</x:v>
      </x:c>
      <x:c r="KA35" s="128" t="e">
        <x:f>'PROJECT TA Y TB KARINA'!#REF!/8</x:f>
        <x:v>#NAME?</x:v>
      </x:c>
    </x:row>
    <x:row r="36" ht="21">
      <x:c r="A36" s="130" t="s">
        <x:v>521</x:v>
      </x:c>
      <x:c r="B36" s="128" t="e">
        <x:f>'PROJECT TA Y TB KARINA'!$C$32/8</x:f>
        <x:v>#REF!</x:v>
      </x:c>
      <x:c r="C36" s="128" t="e">
        <x:f>'PROJECT TA Y TB KARINA'!$C$32/8</x:f>
        <x:v>#REF!</x:v>
      </x:c>
      <x:c r="D36" s="128" t="e">
        <x:f>'PROJECT TA Y TB KARINA'!$C$32/8</x:f>
        <x:v>#REF!</x:v>
      </x:c>
      <x:c r="E36" s="128" t="e">
        <x:f>'PROJECT TA Y TB KARINA'!$C$32/8</x:f>
        <x:v>#REF!</x:v>
      </x:c>
      <x:c r="F36" s="128" t="e">
        <x:f>'PROJECT TA Y TB KARINA'!$C$32/8</x:f>
        <x:v>#REF!</x:v>
      </x:c>
      <x:c r="G36" s="128" t="e">
        <x:f>'PROJECT TA Y TB KARINA'!$C$32/8</x:f>
        <x:v>#REF!</x:v>
      </x:c>
      <x:c r="H36" s="128" t="e">
        <x:f>'PROJECT TA Y TB KARINA'!$C$32/8</x:f>
        <x:v>#REF!</x:v>
      </x:c>
      <x:c r="I36" s="128" t="e">
        <x:f>'PROJECT TA Y TB KARINA'!$E32/8</x:f>
        <x:v>#REF!</x:v>
      </x:c>
      <x:c r="J36" s="128" t="e">
        <x:f>'PROJECT TA Y TB KARINA'!$E32/8</x:f>
        <x:v>#REF!</x:v>
      </x:c>
      <x:c r="K36" s="128" t="e">
        <x:f>'PROJECT TA Y TB KARINA'!$E32/8</x:f>
        <x:v>#REF!</x:v>
      </x:c>
      <x:c r="L36" s="128" t="e">
        <x:f>'PROJECT TA Y TB KARINA'!$E32/8</x:f>
        <x:v>#REF!</x:v>
      </x:c>
      <x:c r="M36" s="128" t="e">
        <x:f>'PROJECT TA Y TB KARINA'!$E32/8</x:f>
        <x:v>#REF!</x:v>
      </x:c>
      <x:c r="N36" s="128" t="e">
        <x:f>'PROJECT TA Y TB KARINA'!$E32/8</x:f>
        <x:v>#REF!</x:v>
      </x:c>
      <x:c r="O36" s="128" t="e">
        <x:f>'PROJECT TA Y TB KARINA'!$E32/8</x:f>
        <x:v>#REF!</x:v>
      </x:c>
      <x:c r="P36" s="128" t="e">
        <x:f>'PROJECT TA Y TB KARINA'!$E32/8</x:f>
        <x:v>#REF!</x:v>
      </x:c>
      <x:c r="Q36" s="128" t="e">
        <x:f>'PROJECT TA Y TB KARINA'!$F32/8</x:f>
        <x:v>#REF!</x:v>
      </x:c>
      <x:c r="R36" s="128" t="e">
        <x:f>'PROJECT TA Y TB KARINA'!$F32/8</x:f>
        <x:v>#REF!</x:v>
      </x:c>
      <x:c r="S36" s="128" t="e">
        <x:f>'PROJECT TA Y TB KARINA'!$F32/8</x:f>
        <x:v>#REF!</x:v>
      </x:c>
      <x:c r="T36" s="128" t="e">
        <x:f>'PROJECT TA Y TB KARINA'!$F32/8</x:f>
        <x:v>#REF!</x:v>
      </x:c>
      <x:c r="U36" s="128" t="e">
        <x:f>'PROJECT TA Y TB KARINA'!$F32/8</x:f>
        <x:v>#REF!</x:v>
      </x:c>
      <x:c r="V36" s="128" t="e">
        <x:f>'PROJECT TA Y TB KARINA'!$F32/8</x:f>
        <x:v>#REF!</x:v>
      </x:c>
      <x:c r="W36" s="128" t="e">
        <x:f>'PROJECT TA Y TB KARINA'!$F32/8</x:f>
        <x:v>#REF!</x:v>
      </x:c>
      <x:c r="X36" s="128" t="e">
        <x:f>'PROJECT TA Y TB KARINA'!$F32/8</x:f>
        <x:v>#REF!</x:v>
      </x:c>
      <x:c r="Y36" s="128" t="e">
        <x:f>'PROJECT TA Y TB KARINA'!$G32/8</x:f>
        <x:v>#REF!</x:v>
      </x:c>
      <x:c r="Z36" s="128" t="e">
        <x:f>'PROJECT TA Y TB KARINA'!$G32/8</x:f>
        <x:v>#REF!</x:v>
      </x:c>
      <x:c r="AA36" s="128" t="e">
        <x:f>'PROJECT TA Y TB KARINA'!$G32/8</x:f>
        <x:v>#REF!</x:v>
      </x:c>
      <x:c r="AB36" s="128" t="e">
        <x:f>'PROJECT TA Y TB KARINA'!$G32/8</x:f>
        <x:v>#REF!</x:v>
      </x:c>
      <x:c r="AC36" s="128" t="e">
        <x:f>'PROJECT TA Y TB KARINA'!$G32/8</x:f>
        <x:v>#REF!</x:v>
      </x:c>
      <x:c r="AD36" s="128" t="e">
        <x:f>'PROJECT TA Y TB KARINA'!$G32/8</x:f>
        <x:v>#REF!</x:v>
      </x:c>
      <x:c r="AE36" s="128" t="e">
        <x:f>'PROJECT TA Y TB KARINA'!$G32/8</x:f>
        <x:v>#REF!</x:v>
      </x:c>
      <x:c r="AF36" s="128" t="e">
        <x:f>'PROJECT TA Y TB KARINA'!$G32/8</x:f>
        <x:v>#REF!</x:v>
      </x:c>
      <x:c r="AG36" s="128" t="e">
        <x:f>'PROJECT TA Y TB KARINA'!$H32/8</x:f>
        <x:v>#REF!</x:v>
      </x:c>
      <x:c r="AH36" s="128" t="e">
        <x:f>'PROJECT TA Y TB KARINA'!$H32/8</x:f>
        <x:v>#REF!</x:v>
      </x:c>
      <x:c r="AI36" s="128" t="e">
        <x:f>'PROJECT TA Y TB KARINA'!$H32/8</x:f>
        <x:v>#REF!</x:v>
      </x:c>
      <x:c r="AJ36" s="128" t="e">
        <x:f>'PROJECT TA Y TB KARINA'!$H32/8</x:f>
        <x:v>#REF!</x:v>
      </x:c>
      <x:c r="AK36" s="128" t="e">
        <x:f>'PROJECT TA Y TB KARINA'!$H32/8</x:f>
        <x:v>#REF!</x:v>
      </x:c>
      <x:c r="AL36" s="128" t="e">
        <x:f>'PROJECT TA Y TB KARINA'!$H32/8</x:f>
        <x:v>#REF!</x:v>
      </x:c>
      <x:c r="AM36" s="128" t="e">
        <x:f>'PROJECT TA Y TB KARINA'!$H32/8</x:f>
        <x:v>#REF!</x:v>
      </x:c>
      <x:c r="AN36" s="128" t="e">
        <x:f>'PROJECT TA Y TB KARINA'!$H32/8</x:f>
        <x:v>#REF!</x:v>
      </x:c>
      <x:c r="AO36" s="128" t="e">
        <x:f>'PROJECT TA Y TB KARINA'!$I32/8</x:f>
        <x:v>#REF!</x:v>
      </x:c>
      <x:c r="AP36" s="128" t="e">
        <x:f>'PROJECT TA Y TB KARINA'!$I32/8</x:f>
        <x:v>#REF!</x:v>
      </x:c>
      <x:c r="AQ36" s="128" t="e">
        <x:f>'PROJECT TA Y TB KARINA'!$I32/8</x:f>
        <x:v>#REF!</x:v>
      </x:c>
      <x:c r="AR36" s="128" t="e">
        <x:f>'PROJECT TA Y TB KARINA'!$I32/8</x:f>
        <x:v>#REF!</x:v>
      </x:c>
      <x:c r="AS36" s="128" t="e">
        <x:f>'PROJECT TA Y TB KARINA'!$I32/8</x:f>
        <x:v>#REF!</x:v>
      </x:c>
      <x:c r="AT36" s="128" t="e">
        <x:f>'PROJECT TA Y TB KARINA'!$I32/8</x:f>
        <x:v>#REF!</x:v>
      </x:c>
      <x:c r="AU36" s="128" t="e">
        <x:f>'PROJECT TA Y TB KARINA'!$I32/8</x:f>
        <x:v>#REF!</x:v>
      </x:c>
      <x:c r="AV36" s="128" t="e">
        <x:f>'PROJECT TA Y TB KARINA'!$I32/8</x:f>
        <x:v>#REF!</x:v>
      </x:c>
      <x:c r="AW36" s="128" t="e">
        <x:f>'PROJECT TA Y TB KARINA'!$J32/8</x:f>
        <x:v>#REF!</x:v>
      </x:c>
      <x:c r="AX36" s="128" t="e">
        <x:f>'PROJECT TA Y TB KARINA'!$J32/8</x:f>
        <x:v>#REF!</x:v>
      </x:c>
      <x:c r="AY36" s="128" t="e">
        <x:f>'PROJECT TA Y TB KARINA'!$J32/8</x:f>
        <x:v>#REF!</x:v>
      </x:c>
      <x:c r="AZ36" s="128" t="e">
        <x:f>'PROJECT TA Y TB KARINA'!$J32/8</x:f>
        <x:v>#REF!</x:v>
      </x:c>
      <x:c r="BA36" s="128" t="e">
        <x:f>'PROJECT TA Y TB KARINA'!$J32/8</x:f>
        <x:v>#REF!</x:v>
      </x:c>
      <x:c r="BB36" s="128" t="e">
        <x:f>'PROJECT TA Y TB KARINA'!$J32/8</x:f>
        <x:v>#REF!</x:v>
      </x:c>
      <x:c r="BC36" s="128" t="e">
        <x:f>'PROJECT TA Y TB KARINA'!$J32/8</x:f>
        <x:v>#REF!</x:v>
      </x:c>
      <x:c r="BD36" s="128" t="e">
        <x:f>'PROJECT TA Y TB KARINA'!$J32/8</x:f>
        <x:v>#REF!</x:v>
      </x:c>
      <x:c r="BE36" s="128" t="e">
        <x:f>'PROJECT TA Y TB KARINA'!$K32/8</x:f>
        <x:v>#REF!</x:v>
      </x:c>
      <x:c r="BF36" s="128" t="e">
        <x:f>'PROJECT TA Y TB KARINA'!$K32/8</x:f>
        <x:v>#REF!</x:v>
      </x:c>
      <x:c r="BG36" s="128" t="e">
        <x:f>'PROJECT TA Y TB KARINA'!$K32/8</x:f>
        <x:v>#REF!</x:v>
      </x:c>
      <x:c r="BH36" s="128" t="e">
        <x:f>'PROJECT TA Y TB KARINA'!$K32/8</x:f>
        <x:v>#REF!</x:v>
      </x:c>
      <x:c r="BI36" s="128" t="e">
        <x:f>'PROJECT TA Y TB KARINA'!$K32/8</x:f>
        <x:v>#REF!</x:v>
      </x:c>
      <x:c r="BJ36" s="128" t="e">
        <x:f>'PROJECT TA Y TB KARINA'!$K32/8</x:f>
        <x:v>#REF!</x:v>
      </x:c>
      <x:c r="BK36" s="128" t="e">
        <x:f>'PROJECT TA Y TB KARINA'!$K32/8</x:f>
        <x:v>#REF!</x:v>
      </x:c>
      <x:c r="BL36" s="128" t="e">
        <x:f>'PROJECT TA Y TB KARINA'!$K32/8</x:f>
        <x:v>#REF!</x:v>
      </x:c>
      <x:c r="BM36" s="128" t="e">
        <x:f>'PROJECT TA Y TB KARINA'!$L32/8</x:f>
        <x:v>#REF!</x:v>
      </x:c>
      <x:c r="BN36" s="128" t="e">
        <x:f>'PROJECT TA Y TB KARINA'!$L32/8</x:f>
        <x:v>#REF!</x:v>
      </x:c>
      <x:c r="BO36" s="128" t="e">
        <x:f>'PROJECT TA Y TB KARINA'!$L32/8</x:f>
        <x:v>#REF!</x:v>
      </x:c>
      <x:c r="BP36" s="128" t="e">
        <x:f>'PROJECT TA Y TB KARINA'!$L32/8</x:f>
        <x:v>#REF!</x:v>
      </x:c>
      <x:c r="BQ36" s="128" t="e">
        <x:f>'PROJECT TA Y TB KARINA'!$L32/8</x:f>
        <x:v>#REF!</x:v>
      </x:c>
      <x:c r="BR36" s="128" t="e">
        <x:f>'PROJECT TA Y TB KARINA'!$L32/8</x:f>
        <x:v>#REF!</x:v>
      </x:c>
      <x:c r="BS36" s="128" t="e">
        <x:f>'PROJECT TA Y TB KARINA'!$L32/8</x:f>
        <x:v>#REF!</x:v>
      </x:c>
      <x:c r="BT36" s="128" t="e">
        <x:f>'PROJECT TA Y TB KARINA'!$L32/8</x:f>
        <x:v>#REF!</x:v>
      </x:c>
      <x:c r="BU36" s="128" t="e">
        <x:f>'PROJECT TA Y TB KARINA'!$M32/8</x:f>
        <x:v>#REF!</x:v>
      </x:c>
      <x:c r="BV36" s="128" t="e">
        <x:f>'PROJECT TA Y TB KARINA'!$M32/8</x:f>
        <x:v>#REF!</x:v>
      </x:c>
      <x:c r="BW36" s="128" t="e">
        <x:f>'PROJECT TA Y TB KARINA'!$M32/8</x:f>
        <x:v>#REF!</x:v>
      </x:c>
      <x:c r="BX36" s="128" t="e">
        <x:f>'PROJECT TA Y TB KARINA'!$M32/8</x:f>
        <x:v>#REF!</x:v>
      </x:c>
      <x:c r="BY36" s="128" t="e">
        <x:f>'PROJECT TA Y TB KARINA'!$M32/8</x:f>
        <x:v>#REF!</x:v>
      </x:c>
      <x:c r="BZ36" s="128" t="e">
        <x:f>'PROJECT TA Y TB KARINA'!$M32/8</x:f>
        <x:v>#REF!</x:v>
      </x:c>
      <x:c r="CA36" s="128" t="e">
        <x:f>'PROJECT TA Y TB KARINA'!$M32/8</x:f>
        <x:v>#REF!</x:v>
      </x:c>
      <x:c r="CB36" s="128" t="e">
        <x:f>'PROJECT TA Y TB KARINA'!$M32/8</x:f>
        <x:v>#REF!</x:v>
      </x:c>
      <x:c r="CC36" s="128" t="e">
        <x:f>'PROJECT TA Y TB KARINA'!$N32/8</x:f>
        <x:v>#REF!</x:v>
      </x:c>
      <x:c r="CD36" s="128" t="e">
        <x:f>'PROJECT TA Y TB KARINA'!$N32/8</x:f>
        <x:v>#REF!</x:v>
      </x:c>
      <x:c r="CE36" s="128" t="e">
        <x:f>'PROJECT TA Y TB KARINA'!$N32/8</x:f>
        <x:v>#REF!</x:v>
      </x:c>
      <x:c r="CF36" s="128" t="e">
        <x:f>'PROJECT TA Y TB KARINA'!$N32/8</x:f>
        <x:v>#REF!</x:v>
      </x:c>
      <x:c r="CG36" s="128" t="e">
        <x:f>'PROJECT TA Y TB KARINA'!$N32/8</x:f>
        <x:v>#REF!</x:v>
      </x:c>
      <x:c r="CH36" s="128" t="e">
        <x:f>'PROJECT TA Y TB KARINA'!$N32/8</x:f>
        <x:v>#REF!</x:v>
      </x:c>
      <x:c r="CI36" s="128" t="e">
        <x:f>'PROJECT TA Y TB KARINA'!$N32/8</x:f>
        <x:v>#REF!</x:v>
      </x:c>
      <x:c r="CJ36" s="128" t="e">
        <x:f>'PROJECT TA Y TB KARINA'!$N32/8</x:f>
        <x:v>#REF!</x:v>
      </x:c>
      <x:c r="CK36" s="128" t="e">
        <x:f>'PROJECT TA Y TB KARINA'!$O32/8</x:f>
        <x:v>#REF!</x:v>
      </x:c>
      <x:c r="CL36" s="128" t="e">
        <x:f>'PROJECT TA Y TB KARINA'!$O32/8</x:f>
        <x:v>#REF!</x:v>
      </x:c>
      <x:c r="CM36" s="128" t="e">
        <x:f>'PROJECT TA Y TB KARINA'!$O32/8</x:f>
        <x:v>#REF!</x:v>
      </x:c>
      <x:c r="CN36" s="128" t="e">
        <x:f>'PROJECT TA Y TB KARINA'!$O32/8</x:f>
        <x:v>#REF!</x:v>
      </x:c>
      <x:c r="CO36" s="128" t="e">
        <x:f>'PROJECT TA Y TB KARINA'!$O32/8</x:f>
        <x:v>#REF!</x:v>
      </x:c>
      <x:c r="CP36" s="128" t="e">
        <x:f>'PROJECT TA Y TB KARINA'!$O32/8</x:f>
        <x:v>#REF!</x:v>
      </x:c>
      <x:c r="CQ36" s="128" t="e">
        <x:f>'PROJECT TA Y TB KARINA'!$O32/8</x:f>
        <x:v>#REF!</x:v>
      </x:c>
      <x:c r="CR36" s="128" t="e">
        <x:f>'PROJECT TA Y TB KARINA'!$O32/8</x:f>
        <x:v>#REF!</x:v>
      </x:c>
      <x:c r="CS36" s="128" t="e">
        <x:f>'PROJECT TA Y TB KARINA'!$P32/8</x:f>
        <x:v>#REF!</x:v>
      </x:c>
      <x:c r="CT36" s="128" t="e">
        <x:f>'PROJECT TA Y TB KARINA'!$P32/8</x:f>
        <x:v>#REF!</x:v>
      </x:c>
      <x:c r="CU36" s="128" t="e">
        <x:f>'PROJECT TA Y TB KARINA'!$P32/8</x:f>
        <x:v>#REF!</x:v>
      </x:c>
      <x:c r="CV36" s="128" t="e">
        <x:f>'PROJECT TA Y TB KARINA'!$P32/8</x:f>
        <x:v>#REF!</x:v>
      </x:c>
      <x:c r="CW36" s="128" t="e">
        <x:f>'PROJECT TA Y TB KARINA'!$P32/8</x:f>
        <x:v>#REF!</x:v>
      </x:c>
      <x:c r="CX36" s="128" t="e">
        <x:f>'PROJECT TA Y TB KARINA'!$P32/8</x:f>
        <x:v>#REF!</x:v>
      </x:c>
      <x:c r="CY36" s="128" t="e">
        <x:f>'PROJECT TA Y TB KARINA'!$P32/8</x:f>
        <x:v>#REF!</x:v>
      </x:c>
      <x:c r="CZ36" s="128" t="e">
        <x:f>'PROJECT TA Y TB KARINA'!$P32/8</x:f>
        <x:v>#REF!</x:v>
      </x:c>
      <x:c r="DA36" s="128" t="e">
        <x:f>'PROJECT TA Y TB KARINA'!$Q32/8</x:f>
        <x:v>#REF!</x:v>
      </x:c>
      <x:c r="DB36" s="128" t="e">
        <x:f>'PROJECT TA Y TB KARINA'!$Q32/8</x:f>
        <x:v>#REF!</x:v>
      </x:c>
      <x:c r="DC36" s="128" t="e">
        <x:f>'PROJECT TA Y TB KARINA'!$Q32/8</x:f>
        <x:v>#REF!</x:v>
      </x:c>
      <x:c r="DD36" s="128" t="e">
        <x:f>'PROJECT TA Y TB KARINA'!$Q32/8</x:f>
        <x:v>#REF!</x:v>
      </x:c>
      <x:c r="DE36" s="128" t="e">
        <x:f>'PROJECT TA Y TB KARINA'!$Q32/8</x:f>
        <x:v>#REF!</x:v>
      </x:c>
      <x:c r="DF36" s="128" t="e">
        <x:f>'PROJECT TA Y TB KARINA'!$Q32/8</x:f>
        <x:v>#REF!</x:v>
      </x:c>
      <x:c r="DG36" s="128" t="e">
        <x:f>'PROJECT TA Y TB KARINA'!$Q32/8</x:f>
        <x:v>#REF!</x:v>
      </x:c>
      <x:c r="DH36" s="128" t="e">
        <x:f>'PROJECT TA Y TB KARINA'!$Q32/8</x:f>
        <x:v>#REF!</x:v>
      </x:c>
      <x:c r="DI36" s="128" t="e">
        <x:f>'PROJECT TA Y TB KARINA'!$R32/8</x:f>
        <x:v>#REF!</x:v>
      </x:c>
      <x:c r="DJ36" s="128" t="e">
        <x:f>'PROJECT TA Y TB KARINA'!$R32/8</x:f>
        <x:v>#REF!</x:v>
      </x:c>
      <x:c r="DK36" s="128" t="e">
        <x:f>'PROJECT TA Y TB KARINA'!$R32/8</x:f>
        <x:v>#REF!</x:v>
      </x:c>
      <x:c r="DL36" s="128" t="e">
        <x:f>'PROJECT TA Y TB KARINA'!$R32/8</x:f>
        <x:v>#REF!</x:v>
      </x:c>
      <x:c r="DM36" s="128" t="e">
        <x:f>'PROJECT TA Y TB KARINA'!$R32/8</x:f>
        <x:v>#REF!</x:v>
      </x:c>
      <x:c r="DN36" s="128" t="e">
        <x:f>'PROJECT TA Y TB KARINA'!$R32/8</x:f>
        <x:v>#REF!</x:v>
      </x:c>
      <x:c r="DO36" s="128" t="e">
        <x:f>'PROJECT TA Y TB KARINA'!$R32/8</x:f>
        <x:v>#REF!</x:v>
      </x:c>
      <x:c r="DP36" s="128" t="e">
        <x:f>'PROJECT TA Y TB KARINA'!$R32/8</x:f>
        <x:v>#REF!</x:v>
      </x:c>
      <x:c r="DQ36" s="128" t="e">
        <x:f>'PROJECT TA Y TB KARINA'!$S32/8</x:f>
        <x:v>#REF!</x:v>
      </x:c>
      <x:c r="DR36" s="128" t="e">
        <x:f>'PROJECT TA Y TB KARINA'!$S32/8</x:f>
        <x:v>#REF!</x:v>
      </x:c>
      <x:c r="DS36" s="128" t="e">
        <x:f>'PROJECT TA Y TB KARINA'!$S32/8</x:f>
        <x:v>#REF!</x:v>
      </x:c>
      <x:c r="DT36" s="128" t="e">
        <x:f>'PROJECT TA Y TB KARINA'!$S32/8</x:f>
        <x:v>#REF!</x:v>
      </x:c>
      <x:c r="DU36" s="128" t="e">
        <x:f>'PROJECT TA Y TB KARINA'!$S32/8</x:f>
        <x:v>#REF!</x:v>
      </x:c>
      <x:c r="DV36" s="128" t="e">
        <x:f>'PROJECT TA Y TB KARINA'!$S32/8</x:f>
        <x:v>#REF!</x:v>
      </x:c>
      <x:c r="DW36" s="128" t="e">
        <x:f>'PROJECT TA Y TB KARINA'!$S32/8</x:f>
        <x:v>#REF!</x:v>
      </x:c>
      <x:c r="DX36" s="128" t="e">
        <x:f>'PROJECT TA Y TB KARINA'!$S32/8</x:f>
        <x:v>#REF!</x:v>
      </x:c>
      <x:c r="DY36" s="128" t="e">
        <x:f>'PROJECT TA Y TB KARINA'!$T32/8</x:f>
        <x:v>#REF!</x:v>
      </x:c>
      <x:c r="DZ36" s="128" t="e">
        <x:f>'PROJECT TA Y TB KARINA'!$T32/8</x:f>
        <x:v>#REF!</x:v>
      </x:c>
      <x:c r="EA36" s="128" t="e">
        <x:f>'PROJECT TA Y TB KARINA'!$T32/8</x:f>
        <x:v>#REF!</x:v>
      </x:c>
      <x:c r="EB36" s="128" t="e">
        <x:f>'PROJECT TA Y TB KARINA'!$T32/8</x:f>
        <x:v>#REF!</x:v>
      </x:c>
      <x:c r="EC36" s="128" t="e">
        <x:f>'PROJECT TA Y TB KARINA'!$T32/8</x:f>
        <x:v>#REF!</x:v>
      </x:c>
      <x:c r="ED36" s="128" t="e">
        <x:f>'PROJECT TA Y TB KARINA'!$T32/8</x:f>
        <x:v>#REF!</x:v>
      </x:c>
      <x:c r="EE36" s="128" t="e">
        <x:f>'PROJECT TA Y TB KARINA'!$T32/8</x:f>
        <x:v>#REF!</x:v>
      </x:c>
      <x:c r="EF36" s="128" t="e">
        <x:f>'PROJECT TA Y TB KARINA'!$T32/8</x:f>
        <x:v>#REF!</x:v>
      </x:c>
      <x:c r="EG36" s="128" t="e">
        <x:f>'PROJECT TA Y TB KARINA'!#REF!/8</x:f>
        <x:v>#NAME?</x:v>
      </x:c>
      <x:c r="EH36" s="128" t="e">
        <x:f>'PROJECT TA Y TB KARINA'!#REF!/8</x:f>
        <x:v>#NAME?</x:v>
      </x:c>
      <x:c r="EI36" s="128" t="e">
        <x:f>'PROJECT TA Y TB KARINA'!#REF!/8</x:f>
        <x:v>#NAME?</x:v>
      </x:c>
      <x:c r="EJ36" s="128" t="e">
        <x:f>'PROJECT TA Y TB KARINA'!#REF!/8</x:f>
        <x:v>#NAME?</x:v>
      </x:c>
      <x:c r="EK36" s="128" t="e">
        <x:f>'PROJECT TA Y TB KARINA'!#REF!/8</x:f>
        <x:v>#NAME?</x:v>
      </x:c>
      <x:c r="EL36" s="128" t="e">
        <x:f>'PROJECT TA Y TB KARINA'!#REF!/8</x:f>
        <x:v>#NAME?</x:v>
      </x:c>
      <x:c r="EM36" s="128" t="e">
        <x:f>'PROJECT TA Y TB KARINA'!#REF!/8</x:f>
        <x:v>#NAME?</x:v>
      </x:c>
      <x:c r="EN36" s="128" t="e">
        <x:f>'PROJECT TA Y TB KARINA'!#REF!/8</x:f>
        <x:v>#NAME?</x:v>
      </x:c>
      <x:c r="EO36" s="128" t="n">
        <x:f>'PROJECT TA Y TB KARINA'!$C90/8</x:f>
        <x:v>0</x:v>
      </x:c>
      <x:c r="EP36" s="128" t="n">
        <x:f>'PROJECT TA Y TB KARINA'!$C90/8</x:f>
        <x:v>0</x:v>
      </x:c>
      <x:c r="EQ36" s="128" t="n">
        <x:f>'PROJECT TA Y TB KARINA'!$C90/8</x:f>
        <x:v>0</x:v>
      </x:c>
      <x:c r="ER36" s="128" t="n">
        <x:f>'PROJECT TA Y TB KARINA'!$C90/8</x:f>
        <x:v>0</x:v>
      </x:c>
      <x:c r="ES36" s="128" t="n">
        <x:f>'PROJECT TA Y TB KARINA'!$C90/8</x:f>
        <x:v>0</x:v>
      </x:c>
      <x:c r="ET36" s="128" t="n">
        <x:f>'PROJECT TA Y TB KARINA'!$C90/8</x:f>
        <x:v>0</x:v>
      </x:c>
      <x:c r="EU36" s="128" t="n">
        <x:f>'PROJECT TA Y TB KARINA'!$C90/8</x:f>
        <x:v>0</x:v>
      </x:c>
      <x:c r="EV36" s="128" t="n">
        <x:f>'PROJECT TA Y TB KARINA'!$E90/8</x:f>
        <x:v>0</x:v>
      </x:c>
      <x:c r="EW36" s="128" t="n">
        <x:f>'PROJECT TA Y TB KARINA'!$E90/8</x:f>
        <x:v>0</x:v>
      </x:c>
      <x:c r="EX36" s="128" t="n">
        <x:f>'PROJECT TA Y TB KARINA'!$E90/8</x:f>
        <x:v>0</x:v>
      </x:c>
      <x:c r="EY36" s="128" t="n">
        <x:f>'PROJECT TA Y TB KARINA'!$E90/8</x:f>
        <x:v>0</x:v>
      </x:c>
      <x:c r="EZ36" s="128" t="n">
        <x:f>'PROJECT TA Y TB KARINA'!$E90/8</x:f>
        <x:v>0</x:v>
      </x:c>
      <x:c r="FA36" s="128" t="n">
        <x:f>'PROJECT TA Y TB KARINA'!$E90/8</x:f>
        <x:v>0</x:v>
      </x:c>
      <x:c r="FB36" s="128" t="n">
        <x:f>'PROJECT TA Y TB KARINA'!$E90/8</x:f>
        <x:v>0</x:v>
      </x:c>
      <x:c r="FC36" s="128" t="n">
        <x:f>'PROJECT TA Y TB KARINA'!$E90/8</x:f>
        <x:v>0</x:v>
      </x:c>
      <x:c r="FD36" s="128" t="n">
        <x:f>'PROJECT TA Y TB KARINA'!$F90/8</x:f>
        <x:v>0</x:v>
      </x:c>
      <x:c r="FE36" s="128" t="n">
        <x:f>'PROJECT TA Y TB KARINA'!$F90/8</x:f>
        <x:v>0</x:v>
      </x:c>
      <x:c r="FF36" s="128" t="n">
        <x:f>'PROJECT TA Y TB KARINA'!$F90/8</x:f>
        <x:v>0</x:v>
      </x:c>
      <x:c r="FG36" s="128" t="n">
        <x:f>'PROJECT TA Y TB KARINA'!$F90/8</x:f>
        <x:v>0</x:v>
      </x:c>
      <x:c r="FH36" s="128" t="n">
        <x:f>'PROJECT TA Y TB KARINA'!$F90/8</x:f>
        <x:v>0</x:v>
      </x:c>
      <x:c r="FI36" s="128" t="n">
        <x:f>'PROJECT TA Y TB KARINA'!$F90/8</x:f>
        <x:v>0</x:v>
      </x:c>
      <x:c r="FJ36" s="128" t="n">
        <x:f>'PROJECT TA Y TB KARINA'!$F90/8</x:f>
        <x:v>0</x:v>
      </x:c>
      <x:c r="FK36" s="128" t="n">
        <x:f>'PROJECT TA Y TB KARINA'!$F90/8</x:f>
        <x:v>0</x:v>
      </x:c>
      <x:c r="FL36" s="128" t="n">
        <x:f>'PROJECT TA Y TB KARINA'!$G90/8</x:f>
        <x:v>0</x:v>
      </x:c>
      <x:c r="FM36" s="128" t="n">
        <x:f>'PROJECT TA Y TB KARINA'!$G90/8</x:f>
        <x:v>0</x:v>
      </x:c>
      <x:c r="FN36" s="128" t="n">
        <x:f>'PROJECT TA Y TB KARINA'!$G90/8</x:f>
        <x:v>0</x:v>
      </x:c>
      <x:c r="FO36" s="128" t="n">
        <x:f>'PROJECT TA Y TB KARINA'!$G90/8</x:f>
        <x:v>0</x:v>
      </x:c>
      <x:c r="FP36" s="128" t="n">
        <x:f>'PROJECT TA Y TB KARINA'!$G90/8</x:f>
        <x:v>0</x:v>
      </x:c>
      <x:c r="FQ36" s="128" t="n">
        <x:f>'PROJECT TA Y TB KARINA'!$G90/8</x:f>
        <x:v>0</x:v>
      </x:c>
      <x:c r="FR36" s="128" t="n">
        <x:f>'PROJECT TA Y TB KARINA'!$G90/8</x:f>
        <x:v>0</x:v>
      </x:c>
      <x:c r="FS36" s="128" t="n">
        <x:f>'PROJECT TA Y TB KARINA'!$G90/8</x:f>
        <x:v>0</x:v>
      </x:c>
      <x:c r="FT36" s="128" t="n">
        <x:f>'PROJECT TA Y TB KARINA'!$H90/8</x:f>
        <x:v>0</x:v>
      </x:c>
      <x:c r="FU36" s="128" t="n">
        <x:f>'PROJECT TA Y TB KARINA'!$H90/8</x:f>
        <x:v>0</x:v>
      </x:c>
      <x:c r="FV36" s="128" t="n">
        <x:f>'PROJECT TA Y TB KARINA'!$H90/8</x:f>
        <x:v>0</x:v>
      </x:c>
      <x:c r="FW36" s="128" t="n">
        <x:f>'PROJECT TA Y TB KARINA'!$H90/8</x:f>
        <x:v>0</x:v>
      </x:c>
      <x:c r="FX36" s="128" t="n">
        <x:f>'PROJECT TA Y TB KARINA'!$H90/8</x:f>
        <x:v>0</x:v>
      </x:c>
      <x:c r="FY36" s="128" t="n">
        <x:f>'PROJECT TA Y TB KARINA'!$H90/8</x:f>
        <x:v>0</x:v>
      </x:c>
      <x:c r="FZ36" s="128" t="n">
        <x:f>'PROJECT TA Y TB KARINA'!$H90/8</x:f>
        <x:v>0</x:v>
      </x:c>
      <x:c r="GA36" s="128" t="n">
        <x:f>'PROJECT TA Y TB KARINA'!$H90/8</x:f>
        <x:v>0</x:v>
      </x:c>
      <x:c r="GB36" s="128" t="n">
        <x:f>'PROJECT TA Y TB KARINA'!$I90/8</x:f>
        <x:v>0</x:v>
      </x:c>
      <x:c r="GC36" s="128" t="n">
        <x:f>'PROJECT TA Y TB KARINA'!$I90/8</x:f>
        <x:v>0</x:v>
      </x:c>
      <x:c r="GD36" s="128" t="n">
        <x:f>'PROJECT TA Y TB KARINA'!$I90/8</x:f>
        <x:v>0</x:v>
      </x:c>
      <x:c r="GE36" s="128" t="n">
        <x:f>'PROJECT TA Y TB KARINA'!$I90/8</x:f>
        <x:v>0</x:v>
      </x:c>
      <x:c r="GF36" s="128" t="n">
        <x:f>'PROJECT TA Y TB KARINA'!$I90/8</x:f>
        <x:v>0</x:v>
      </x:c>
      <x:c r="GG36" s="128" t="n">
        <x:f>'PROJECT TA Y TB KARINA'!$I90/8</x:f>
        <x:v>0</x:v>
      </x:c>
      <x:c r="GH36" s="128" t="n">
        <x:f>'PROJECT TA Y TB KARINA'!$I90/8</x:f>
        <x:v>0</x:v>
      </x:c>
      <x:c r="GI36" s="128" t="n">
        <x:f>'PROJECT TA Y TB KARINA'!$I90/8</x:f>
        <x:v>0</x:v>
      </x:c>
      <x:c r="GJ36" s="128" t="n">
        <x:f>'PROJECT TA Y TB KARINA'!$J90/8</x:f>
        <x:v>0</x:v>
      </x:c>
      <x:c r="GK36" s="128" t="n">
        <x:f>'PROJECT TA Y TB KARINA'!$J90/8</x:f>
        <x:v>0</x:v>
      </x:c>
      <x:c r="GL36" s="128" t="n">
        <x:f>'PROJECT TA Y TB KARINA'!$J90/8</x:f>
        <x:v>0</x:v>
      </x:c>
      <x:c r="GM36" s="128" t="n">
        <x:f>'PROJECT TA Y TB KARINA'!$J90/8</x:f>
        <x:v>0</x:v>
      </x:c>
      <x:c r="GN36" s="128" t="n">
        <x:f>'PROJECT TA Y TB KARINA'!$J90/8</x:f>
        <x:v>0</x:v>
      </x:c>
      <x:c r="GO36" s="128" t="n">
        <x:f>'PROJECT TA Y TB KARINA'!$J90/8</x:f>
        <x:v>0</x:v>
      </x:c>
      <x:c r="GP36" s="128" t="n">
        <x:f>'PROJECT TA Y TB KARINA'!$J90/8</x:f>
        <x:v>0</x:v>
      </x:c>
      <x:c r="GQ36" s="128" t="n">
        <x:f>'PROJECT TA Y TB KARINA'!$J90/8</x:f>
        <x:v>0</x:v>
      </x:c>
      <x:c r="GR36" s="128" t="n">
        <x:f>'PROJECT TA Y TB KARINA'!$K90/8</x:f>
        <x:v>0</x:v>
      </x:c>
      <x:c r="GS36" s="128" t="n">
        <x:f>'PROJECT TA Y TB KARINA'!$K90/8</x:f>
        <x:v>0</x:v>
      </x:c>
      <x:c r="GT36" s="128" t="n">
        <x:f>'PROJECT TA Y TB KARINA'!$K90/8</x:f>
        <x:v>0</x:v>
      </x:c>
      <x:c r="GU36" s="128" t="n">
        <x:f>'PROJECT TA Y TB KARINA'!$K90/8</x:f>
        <x:v>0</x:v>
      </x:c>
      <x:c r="GV36" s="128" t="n">
        <x:f>'PROJECT TA Y TB KARINA'!$K90/8</x:f>
        <x:v>0</x:v>
      </x:c>
      <x:c r="GW36" s="128" t="n">
        <x:f>'PROJECT TA Y TB KARINA'!$K90/8</x:f>
        <x:v>0</x:v>
      </x:c>
      <x:c r="GX36" s="128" t="n">
        <x:f>'PROJECT TA Y TB KARINA'!$K90/8</x:f>
        <x:v>0</x:v>
      </x:c>
      <x:c r="GY36" s="128" t="n">
        <x:f>'PROJECT TA Y TB KARINA'!$K90/8</x:f>
        <x:v>0</x:v>
      </x:c>
      <x:c r="GZ36" s="128" t="n">
        <x:f>'PROJECT TA Y TB KARINA'!$L90/8</x:f>
        <x:v>0</x:v>
      </x:c>
      <x:c r="HA36" s="128" t="n">
        <x:f>'PROJECT TA Y TB KARINA'!$L90/8</x:f>
        <x:v>0</x:v>
      </x:c>
      <x:c r="HB36" s="128" t="n">
        <x:f>'PROJECT TA Y TB KARINA'!$L90/8</x:f>
        <x:v>0</x:v>
      </x:c>
      <x:c r="HC36" s="128" t="n">
        <x:f>'PROJECT TA Y TB KARINA'!$L90/8</x:f>
        <x:v>0</x:v>
      </x:c>
      <x:c r="HD36" s="128" t="n">
        <x:f>'PROJECT TA Y TB KARINA'!$L90/8</x:f>
        <x:v>0</x:v>
      </x:c>
      <x:c r="HE36" s="128" t="n">
        <x:f>'PROJECT TA Y TB KARINA'!$L90/8</x:f>
        <x:v>0</x:v>
      </x:c>
      <x:c r="HF36" s="128" t="n">
        <x:f>'PROJECT TA Y TB KARINA'!$L90/8</x:f>
        <x:v>0</x:v>
      </x:c>
      <x:c r="HG36" s="128" t="n">
        <x:f>'PROJECT TA Y TB KARINA'!$L90/8</x:f>
        <x:v>0</x:v>
      </x:c>
      <x:c r="HH36" s="128" t="n">
        <x:f>'PROJECT TA Y TB KARINA'!$M90/8</x:f>
        <x:v>0</x:v>
      </x:c>
      <x:c r="HI36" s="128" t="n">
        <x:f>'PROJECT TA Y TB KARINA'!$M90/8</x:f>
        <x:v>0</x:v>
      </x:c>
      <x:c r="HJ36" s="128" t="n">
        <x:f>'PROJECT TA Y TB KARINA'!$M90/8</x:f>
        <x:v>0</x:v>
      </x:c>
      <x:c r="HK36" s="128" t="n">
        <x:f>'PROJECT TA Y TB KARINA'!$M90/8</x:f>
        <x:v>0</x:v>
      </x:c>
      <x:c r="HL36" s="128" t="n">
        <x:f>'PROJECT TA Y TB KARINA'!$M90/8</x:f>
        <x:v>0</x:v>
      </x:c>
      <x:c r="HM36" s="128" t="n">
        <x:f>'PROJECT TA Y TB KARINA'!$M90/8</x:f>
        <x:v>0</x:v>
      </x:c>
      <x:c r="HN36" s="128" t="n">
        <x:f>'PROJECT TA Y TB KARINA'!$M90/8</x:f>
        <x:v>0</x:v>
      </x:c>
      <x:c r="HO36" s="128" t="n">
        <x:f>'PROJECT TA Y TB KARINA'!$M90/8</x:f>
        <x:v>0</x:v>
      </x:c>
      <x:c r="HP36" s="128" t="n">
        <x:f>'PROJECT TA Y TB KARINA'!$N90/8</x:f>
        <x:v>0</x:v>
      </x:c>
      <x:c r="HQ36" s="128" t="n">
        <x:f>'PROJECT TA Y TB KARINA'!$N90/8</x:f>
        <x:v>0</x:v>
      </x:c>
      <x:c r="HR36" s="128" t="n">
        <x:f>'PROJECT TA Y TB KARINA'!$N90/8</x:f>
        <x:v>0</x:v>
      </x:c>
      <x:c r="HS36" s="128" t="n">
        <x:f>'PROJECT TA Y TB KARINA'!$N90/8</x:f>
        <x:v>0</x:v>
      </x:c>
      <x:c r="HT36" s="128" t="n">
        <x:f>'PROJECT TA Y TB KARINA'!$N90/8</x:f>
        <x:v>0</x:v>
      </x:c>
      <x:c r="HU36" s="128" t="n">
        <x:f>'PROJECT TA Y TB KARINA'!$N90/8</x:f>
        <x:v>0</x:v>
      </x:c>
      <x:c r="HV36" s="128" t="n">
        <x:f>'PROJECT TA Y TB KARINA'!$N90/8</x:f>
        <x:v>0</x:v>
      </x:c>
      <x:c r="HW36" s="128" t="n">
        <x:f>'PROJECT TA Y TB KARINA'!$N90/8</x:f>
        <x:v>0</x:v>
      </x:c>
      <x:c r="HX36" s="128" t="n">
        <x:f>'PROJECT TA Y TB KARINA'!$O90/8</x:f>
        <x:v>0</x:v>
      </x:c>
      <x:c r="HY36" s="128" t="n">
        <x:f>'PROJECT TA Y TB KARINA'!$O90/8</x:f>
        <x:v>0</x:v>
      </x:c>
      <x:c r="HZ36" s="128" t="n">
        <x:f>'PROJECT TA Y TB KARINA'!$O90/8</x:f>
        <x:v>0</x:v>
      </x:c>
      <x:c r="IA36" s="128" t="n">
        <x:f>'PROJECT TA Y TB KARINA'!$O90/8</x:f>
        <x:v>0</x:v>
      </x:c>
      <x:c r="IB36" s="128" t="n">
        <x:f>'PROJECT TA Y TB KARINA'!$O90/8</x:f>
        <x:v>0</x:v>
      </x:c>
      <x:c r="IC36" s="128" t="n">
        <x:f>'PROJECT TA Y TB KARINA'!$O90/8</x:f>
        <x:v>0</x:v>
      </x:c>
      <x:c r="ID36" s="128" t="n">
        <x:f>'PROJECT TA Y TB KARINA'!$O90/8</x:f>
        <x:v>0</x:v>
      </x:c>
      <x:c r="IE36" s="128" t="n">
        <x:f>'PROJECT TA Y TB KARINA'!$O90/8</x:f>
        <x:v>0</x:v>
      </x:c>
      <x:c r="IF36" s="128" t="n">
        <x:f>'PROJECT TA Y TB KARINA'!$P90/8</x:f>
        <x:v>0</x:v>
      </x:c>
      <x:c r="IG36" s="128" t="n">
        <x:f>'PROJECT TA Y TB KARINA'!$P90/8</x:f>
        <x:v>0</x:v>
      </x:c>
      <x:c r="IH36" s="128" t="n">
        <x:f>'PROJECT TA Y TB KARINA'!$P90/8</x:f>
        <x:v>0</x:v>
      </x:c>
      <x:c r="II36" s="128" t="n">
        <x:f>'PROJECT TA Y TB KARINA'!$P90/8</x:f>
        <x:v>0</x:v>
      </x:c>
      <x:c r="IJ36" s="128" t="n">
        <x:f>'PROJECT TA Y TB KARINA'!$P90/8</x:f>
        <x:v>0</x:v>
      </x:c>
      <x:c r="IK36" s="128" t="n">
        <x:f>'PROJECT TA Y TB KARINA'!$P90/8</x:f>
        <x:v>0</x:v>
      </x:c>
      <x:c r="IL36" s="128" t="n">
        <x:f>'PROJECT TA Y TB KARINA'!$P90/8</x:f>
        <x:v>0</x:v>
      </x:c>
      <x:c r="IM36" s="128" t="n">
        <x:f>'PROJECT TA Y TB KARINA'!$P90/8</x:f>
        <x:v>0</x:v>
      </x:c>
      <x:c r="IN36" s="128" t="n">
        <x:f>'PROJECT TA Y TB KARINA'!$Q90/8</x:f>
        <x:v>0</x:v>
      </x:c>
      <x:c r="IO36" s="128" t="n">
        <x:f>'PROJECT TA Y TB KARINA'!$Q90/8</x:f>
        <x:v>0</x:v>
      </x:c>
      <x:c r="IP36" s="128" t="n">
        <x:f>'PROJECT TA Y TB KARINA'!$Q90/8</x:f>
        <x:v>0</x:v>
      </x:c>
      <x:c r="IQ36" s="128" t="n">
        <x:f>'PROJECT TA Y TB KARINA'!$Q90/8</x:f>
        <x:v>0</x:v>
      </x:c>
      <x:c r="IR36" s="128" t="n">
        <x:f>'PROJECT TA Y TB KARINA'!$Q90/8</x:f>
        <x:v>0</x:v>
      </x:c>
      <x:c r="IS36" s="128" t="n">
        <x:f>'PROJECT TA Y TB KARINA'!$Q90/8</x:f>
        <x:v>0</x:v>
      </x:c>
      <x:c r="IT36" s="128" t="n">
        <x:f>'PROJECT TA Y TB KARINA'!$Q90/8</x:f>
        <x:v>0</x:v>
      </x:c>
      <x:c r="IU36" s="128" t="n">
        <x:f>'PROJECT TA Y TB KARINA'!$Q90/8</x:f>
        <x:v>0</x:v>
      </x:c>
      <x:c r="IV36" s="128" t="n">
        <x:f>'PROJECT TA Y TB KARINA'!$R90/8</x:f>
        <x:v>0</x:v>
      </x:c>
      <x:c r="IW36" s="128" t="n">
        <x:f>'PROJECT TA Y TB KARINA'!$R90/8</x:f>
        <x:v>0</x:v>
      </x:c>
      <x:c r="IX36" s="128" t="n">
        <x:f>'PROJECT TA Y TB KARINA'!$R90/8</x:f>
        <x:v>0</x:v>
      </x:c>
      <x:c r="IY36" s="128" t="n">
        <x:f>'PROJECT TA Y TB KARINA'!$R90/8</x:f>
        <x:v>0</x:v>
      </x:c>
      <x:c r="IZ36" s="128" t="n">
        <x:f>'PROJECT TA Y TB KARINA'!$R90/8</x:f>
        <x:v>0</x:v>
      </x:c>
      <x:c r="JA36" s="128" t="n">
        <x:f>'PROJECT TA Y TB KARINA'!$R90/8</x:f>
        <x:v>0</x:v>
      </x:c>
      <x:c r="JB36" s="128" t="n">
        <x:f>'PROJECT TA Y TB KARINA'!$R90/8</x:f>
        <x:v>0</x:v>
      </x:c>
      <x:c r="JC36" s="128" t="n">
        <x:f>'PROJECT TA Y TB KARINA'!$R90/8</x:f>
        <x:v>0</x:v>
      </x:c>
      <x:c r="JD36" s="128" t="n">
        <x:f>'PROJECT TA Y TB KARINA'!$S90/8</x:f>
        <x:v>0</x:v>
      </x:c>
      <x:c r="JE36" s="128" t="n">
        <x:f>'PROJECT TA Y TB KARINA'!$S90/8</x:f>
        <x:v>0</x:v>
      </x:c>
      <x:c r="JF36" s="128" t="n">
        <x:f>'PROJECT TA Y TB KARINA'!$S90/8</x:f>
        <x:v>0</x:v>
      </x:c>
      <x:c r="JG36" s="128" t="n">
        <x:f>'PROJECT TA Y TB KARINA'!$S90/8</x:f>
        <x:v>0</x:v>
      </x:c>
      <x:c r="JH36" s="128" t="n">
        <x:f>'PROJECT TA Y TB KARINA'!$S90/8</x:f>
        <x:v>0</x:v>
      </x:c>
      <x:c r="JI36" s="128" t="n">
        <x:f>'PROJECT TA Y TB KARINA'!$S90/8</x:f>
        <x:v>0</x:v>
      </x:c>
      <x:c r="JJ36" s="128" t="n">
        <x:f>'PROJECT TA Y TB KARINA'!$S90/8</x:f>
        <x:v>0</x:v>
      </x:c>
      <x:c r="JK36" s="128" t="n">
        <x:f>'PROJECT TA Y TB KARINA'!$S90/8</x:f>
        <x:v>0</x:v>
      </x:c>
      <x:c r="JL36" s="128" t="n">
        <x:f>'PROJECT TA Y TB KARINA'!$T90/8</x:f>
        <x:v>0</x:v>
      </x:c>
      <x:c r="JM36" s="128" t="n">
        <x:f>'PROJECT TA Y TB KARINA'!$T90/8</x:f>
        <x:v>0</x:v>
      </x:c>
      <x:c r="JN36" s="128" t="n">
        <x:f>'PROJECT TA Y TB KARINA'!$T90/8</x:f>
        <x:v>0</x:v>
      </x:c>
      <x:c r="JO36" s="128" t="n">
        <x:f>'PROJECT TA Y TB KARINA'!$T90/8</x:f>
        <x:v>0</x:v>
      </x:c>
      <x:c r="JP36" s="128" t="n">
        <x:f>'PROJECT TA Y TB KARINA'!$T90/8</x:f>
        <x:v>0</x:v>
      </x:c>
      <x:c r="JQ36" s="128" t="n">
        <x:f>'PROJECT TA Y TB KARINA'!$T90/8</x:f>
        <x:v>0</x:v>
      </x:c>
      <x:c r="JR36" s="128" t="n">
        <x:f>'PROJECT TA Y TB KARINA'!$T90/8</x:f>
        <x:v>0</x:v>
      </x:c>
      <x:c r="JS36" s="128" t="n">
        <x:f>'PROJECT TA Y TB KARINA'!$T90/8</x:f>
        <x:v>0</x:v>
      </x:c>
      <x:c r="JT36" s="128" t="e">
        <x:f>'PROJECT TA Y TB KARINA'!#REF!/8</x:f>
        <x:v>#NAME?</x:v>
      </x:c>
      <x:c r="JU36" s="128" t="e">
        <x:f>'PROJECT TA Y TB KARINA'!#REF!/8</x:f>
        <x:v>#NAME?</x:v>
      </x:c>
      <x:c r="JV36" s="128" t="e">
        <x:f>'PROJECT TA Y TB KARINA'!#REF!/8</x:f>
        <x:v>#NAME?</x:v>
      </x:c>
      <x:c r="JW36" s="128" t="e">
        <x:f>'PROJECT TA Y TB KARINA'!#REF!/8</x:f>
        <x:v>#NAME?</x:v>
      </x:c>
      <x:c r="JX36" s="128" t="e">
        <x:f>'PROJECT TA Y TB KARINA'!#REF!/8</x:f>
        <x:v>#NAME?</x:v>
      </x:c>
      <x:c r="JY36" s="128" t="e">
        <x:f>'PROJECT TA Y TB KARINA'!#REF!/8</x:f>
        <x:v>#NAME?</x:v>
      </x:c>
      <x:c r="JZ36" s="128" t="e">
        <x:f>'PROJECT TA Y TB KARINA'!#REF!/8</x:f>
        <x:v>#NAME?</x:v>
      </x:c>
      <x:c r="KA36" s="128" t="e">
        <x:f>'PROJECT TA Y TB KARINA'!#REF!/8</x:f>
        <x:v>#NAME?</x:v>
      </x:c>
    </x:row>
    <x:row r="37" ht="21">
      <x:c r="A37" s="130" t="s">
        <x:v>522</x:v>
      </x:c>
      <x:c r="B37" s="128" t="e">
        <x:f>'PROJECT TA Y TB KARINA'!$C$33/8</x:f>
        <x:v>#REF!</x:v>
      </x:c>
      <x:c r="C37" s="128" t="e">
        <x:f>'PROJECT TA Y TB KARINA'!$C$33/8</x:f>
        <x:v>#REF!</x:v>
      </x:c>
      <x:c r="D37" s="128" t="e">
        <x:f>'PROJECT TA Y TB KARINA'!$C$33/8</x:f>
        <x:v>#REF!</x:v>
      </x:c>
      <x:c r="E37" s="128" t="e">
        <x:f>'PROJECT TA Y TB KARINA'!$C$33/8</x:f>
        <x:v>#REF!</x:v>
      </x:c>
      <x:c r="F37" s="128" t="e">
        <x:f>'PROJECT TA Y TB KARINA'!$C$33/8</x:f>
        <x:v>#REF!</x:v>
      </x:c>
      <x:c r="G37" s="128" t="e">
        <x:f>'PROJECT TA Y TB KARINA'!$C$33/8</x:f>
        <x:v>#REF!</x:v>
      </x:c>
      <x:c r="H37" s="128" t="e">
        <x:f>'PROJECT TA Y TB KARINA'!$C$33/8</x:f>
        <x:v>#REF!</x:v>
      </x:c>
      <x:c r="I37" s="128" t="e">
        <x:f>'PROJECT TA Y TB KARINA'!$E33/8</x:f>
        <x:v>#REF!</x:v>
      </x:c>
      <x:c r="J37" s="128" t="e">
        <x:f>'PROJECT TA Y TB KARINA'!$E33/8</x:f>
        <x:v>#REF!</x:v>
      </x:c>
      <x:c r="K37" s="128" t="e">
        <x:f>'PROJECT TA Y TB KARINA'!$E33/8</x:f>
        <x:v>#REF!</x:v>
      </x:c>
      <x:c r="L37" s="128" t="e">
        <x:f>'PROJECT TA Y TB KARINA'!$E33/8</x:f>
        <x:v>#REF!</x:v>
      </x:c>
      <x:c r="M37" s="128" t="e">
        <x:f>'PROJECT TA Y TB KARINA'!$E33/8</x:f>
        <x:v>#REF!</x:v>
      </x:c>
      <x:c r="N37" s="128" t="e">
        <x:f>'PROJECT TA Y TB KARINA'!$E33/8</x:f>
        <x:v>#REF!</x:v>
      </x:c>
      <x:c r="O37" s="128" t="e">
        <x:f>'PROJECT TA Y TB KARINA'!$E33/8</x:f>
        <x:v>#REF!</x:v>
      </x:c>
      <x:c r="P37" s="128" t="e">
        <x:f>'PROJECT TA Y TB KARINA'!$E33/8</x:f>
        <x:v>#REF!</x:v>
      </x:c>
      <x:c r="Q37" s="128" t="e">
        <x:f>'PROJECT TA Y TB KARINA'!$F33/8</x:f>
        <x:v>#REF!</x:v>
      </x:c>
      <x:c r="R37" s="128" t="e">
        <x:f>'PROJECT TA Y TB KARINA'!$F33/8</x:f>
        <x:v>#REF!</x:v>
      </x:c>
      <x:c r="S37" s="128" t="e">
        <x:f>'PROJECT TA Y TB KARINA'!$F33/8</x:f>
        <x:v>#REF!</x:v>
      </x:c>
      <x:c r="T37" s="128" t="e">
        <x:f>'PROJECT TA Y TB KARINA'!$F33/8</x:f>
        <x:v>#REF!</x:v>
      </x:c>
      <x:c r="U37" s="128" t="e">
        <x:f>'PROJECT TA Y TB KARINA'!$F33/8</x:f>
        <x:v>#REF!</x:v>
      </x:c>
      <x:c r="V37" s="128" t="e">
        <x:f>'PROJECT TA Y TB KARINA'!$F33/8</x:f>
        <x:v>#REF!</x:v>
      </x:c>
      <x:c r="W37" s="128" t="e">
        <x:f>'PROJECT TA Y TB KARINA'!$F33/8</x:f>
        <x:v>#REF!</x:v>
      </x:c>
      <x:c r="X37" s="128" t="e">
        <x:f>'PROJECT TA Y TB KARINA'!$F33/8</x:f>
        <x:v>#REF!</x:v>
      </x:c>
      <x:c r="Y37" s="128" t="e">
        <x:f>'PROJECT TA Y TB KARINA'!$G33/8</x:f>
        <x:v>#REF!</x:v>
      </x:c>
      <x:c r="Z37" s="128" t="e">
        <x:f>'PROJECT TA Y TB KARINA'!$G33/8</x:f>
        <x:v>#REF!</x:v>
      </x:c>
      <x:c r="AA37" s="128" t="e">
        <x:f>'PROJECT TA Y TB KARINA'!$G33/8</x:f>
        <x:v>#REF!</x:v>
      </x:c>
      <x:c r="AB37" s="128" t="e">
        <x:f>'PROJECT TA Y TB KARINA'!$G33/8</x:f>
        <x:v>#REF!</x:v>
      </x:c>
      <x:c r="AC37" s="128" t="e">
        <x:f>'PROJECT TA Y TB KARINA'!$G33/8</x:f>
        <x:v>#REF!</x:v>
      </x:c>
      <x:c r="AD37" s="128" t="e">
        <x:f>'PROJECT TA Y TB KARINA'!$G33/8</x:f>
        <x:v>#REF!</x:v>
      </x:c>
      <x:c r="AE37" s="128" t="e">
        <x:f>'PROJECT TA Y TB KARINA'!$G33/8</x:f>
        <x:v>#REF!</x:v>
      </x:c>
      <x:c r="AF37" s="128" t="e">
        <x:f>'PROJECT TA Y TB KARINA'!$G33/8</x:f>
        <x:v>#REF!</x:v>
      </x:c>
      <x:c r="AG37" s="128" t="e">
        <x:f>'PROJECT TA Y TB KARINA'!$H33/8</x:f>
        <x:v>#REF!</x:v>
      </x:c>
      <x:c r="AH37" s="128" t="e">
        <x:f>'PROJECT TA Y TB KARINA'!$H33/8</x:f>
        <x:v>#REF!</x:v>
      </x:c>
      <x:c r="AI37" s="128" t="e">
        <x:f>'PROJECT TA Y TB KARINA'!$H33/8</x:f>
        <x:v>#REF!</x:v>
      </x:c>
      <x:c r="AJ37" s="128" t="e">
        <x:f>'PROJECT TA Y TB KARINA'!$H33/8</x:f>
        <x:v>#REF!</x:v>
      </x:c>
      <x:c r="AK37" s="128" t="e">
        <x:f>'PROJECT TA Y TB KARINA'!$H33/8</x:f>
        <x:v>#REF!</x:v>
      </x:c>
      <x:c r="AL37" s="128" t="e">
        <x:f>'PROJECT TA Y TB KARINA'!$H33/8</x:f>
        <x:v>#REF!</x:v>
      </x:c>
      <x:c r="AM37" s="128" t="e">
        <x:f>'PROJECT TA Y TB KARINA'!$H33/8</x:f>
        <x:v>#REF!</x:v>
      </x:c>
      <x:c r="AN37" s="128" t="e">
        <x:f>'PROJECT TA Y TB KARINA'!$H33/8</x:f>
        <x:v>#REF!</x:v>
      </x:c>
      <x:c r="AO37" s="128" t="e">
        <x:f>'PROJECT TA Y TB KARINA'!$I33/8</x:f>
        <x:v>#REF!</x:v>
      </x:c>
      <x:c r="AP37" s="128" t="e">
        <x:f>'PROJECT TA Y TB KARINA'!$I33/8</x:f>
        <x:v>#REF!</x:v>
      </x:c>
      <x:c r="AQ37" s="128" t="e">
        <x:f>'PROJECT TA Y TB KARINA'!$I33/8</x:f>
        <x:v>#REF!</x:v>
      </x:c>
      <x:c r="AR37" s="128" t="e">
        <x:f>'PROJECT TA Y TB KARINA'!$I33/8</x:f>
        <x:v>#REF!</x:v>
      </x:c>
      <x:c r="AS37" s="128" t="e">
        <x:f>'PROJECT TA Y TB KARINA'!$I33/8</x:f>
        <x:v>#REF!</x:v>
      </x:c>
      <x:c r="AT37" s="128" t="e">
        <x:f>'PROJECT TA Y TB KARINA'!$I33/8</x:f>
        <x:v>#REF!</x:v>
      </x:c>
      <x:c r="AU37" s="128" t="e">
        <x:f>'PROJECT TA Y TB KARINA'!$I33/8</x:f>
        <x:v>#REF!</x:v>
      </x:c>
      <x:c r="AV37" s="128" t="e">
        <x:f>'PROJECT TA Y TB KARINA'!$I33/8</x:f>
        <x:v>#REF!</x:v>
      </x:c>
      <x:c r="AW37" s="128" t="e">
        <x:f>'PROJECT TA Y TB KARINA'!$J33/8</x:f>
        <x:v>#REF!</x:v>
      </x:c>
      <x:c r="AX37" s="128" t="e">
        <x:f>'PROJECT TA Y TB KARINA'!$J33/8</x:f>
        <x:v>#REF!</x:v>
      </x:c>
      <x:c r="AY37" s="128" t="e">
        <x:f>'PROJECT TA Y TB KARINA'!$J33/8</x:f>
        <x:v>#REF!</x:v>
      </x:c>
      <x:c r="AZ37" s="128" t="e">
        <x:f>'PROJECT TA Y TB KARINA'!$J33/8</x:f>
        <x:v>#REF!</x:v>
      </x:c>
      <x:c r="BA37" s="128" t="e">
        <x:f>'PROJECT TA Y TB KARINA'!$J33/8</x:f>
        <x:v>#REF!</x:v>
      </x:c>
      <x:c r="BB37" s="128" t="e">
        <x:f>'PROJECT TA Y TB KARINA'!$J33/8</x:f>
        <x:v>#REF!</x:v>
      </x:c>
      <x:c r="BC37" s="128" t="e">
        <x:f>'PROJECT TA Y TB KARINA'!$J33/8</x:f>
        <x:v>#REF!</x:v>
      </x:c>
      <x:c r="BD37" s="128" t="e">
        <x:f>'PROJECT TA Y TB KARINA'!$J33/8</x:f>
        <x:v>#REF!</x:v>
      </x:c>
      <x:c r="BE37" s="128" t="e">
        <x:f>'PROJECT TA Y TB KARINA'!$K33/8</x:f>
        <x:v>#REF!</x:v>
      </x:c>
      <x:c r="BF37" s="128" t="e">
        <x:f>'PROJECT TA Y TB KARINA'!$K33/8</x:f>
        <x:v>#REF!</x:v>
      </x:c>
      <x:c r="BG37" s="128" t="e">
        <x:f>'PROJECT TA Y TB KARINA'!$K33/8</x:f>
        <x:v>#REF!</x:v>
      </x:c>
      <x:c r="BH37" s="128" t="e">
        <x:f>'PROJECT TA Y TB KARINA'!$K33/8</x:f>
        <x:v>#REF!</x:v>
      </x:c>
      <x:c r="BI37" s="128" t="e">
        <x:f>'PROJECT TA Y TB KARINA'!$K33/8</x:f>
        <x:v>#REF!</x:v>
      </x:c>
      <x:c r="BJ37" s="128" t="e">
        <x:f>'PROJECT TA Y TB KARINA'!$K33/8</x:f>
        <x:v>#REF!</x:v>
      </x:c>
      <x:c r="BK37" s="128" t="e">
        <x:f>'PROJECT TA Y TB KARINA'!$K33/8</x:f>
        <x:v>#REF!</x:v>
      </x:c>
      <x:c r="BL37" s="128" t="e">
        <x:f>'PROJECT TA Y TB KARINA'!$K33/8</x:f>
        <x:v>#REF!</x:v>
      </x:c>
      <x:c r="BM37" s="128" t="e">
        <x:f>'PROJECT TA Y TB KARINA'!$L33/8</x:f>
        <x:v>#REF!</x:v>
      </x:c>
      <x:c r="BN37" s="128" t="e">
        <x:f>'PROJECT TA Y TB KARINA'!$L33/8</x:f>
        <x:v>#REF!</x:v>
      </x:c>
      <x:c r="BO37" s="128" t="e">
        <x:f>'PROJECT TA Y TB KARINA'!$L33/8</x:f>
        <x:v>#REF!</x:v>
      </x:c>
      <x:c r="BP37" s="128" t="e">
        <x:f>'PROJECT TA Y TB KARINA'!$L33/8</x:f>
        <x:v>#REF!</x:v>
      </x:c>
      <x:c r="BQ37" s="128" t="e">
        <x:f>'PROJECT TA Y TB KARINA'!$L33/8</x:f>
        <x:v>#REF!</x:v>
      </x:c>
      <x:c r="BR37" s="128" t="e">
        <x:f>'PROJECT TA Y TB KARINA'!$L33/8</x:f>
        <x:v>#REF!</x:v>
      </x:c>
      <x:c r="BS37" s="128" t="e">
        <x:f>'PROJECT TA Y TB KARINA'!$L33/8</x:f>
        <x:v>#REF!</x:v>
      </x:c>
      <x:c r="BT37" s="128" t="e">
        <x:f>'PROJECT TA Y TB KARINA'!$L33/8</x:f>
        <x:v>#REF!</x:v>
      </x:c>
      <x:c r="BU37" s="128" t="e">
        <x:f>'PROJECT TA Y TB KARINA'!$M33/8</x:f>
        <x:v>#REF!</x:v>
      </x:c>
      <x:c r="BV37" s="128" t="e">
        <x:f>'PROJECT TA Y TB KARINA'!$M33/8</x:f>
        <x:v>#REF!</x:v>
      </x:c>
      <x:c r="BW37" s="128" t="e">
        <x:f>'PROJECT TA Y TB KARINA'!$M33/8</x:f>
        <x:v>#REF!</x:v>
      </x:c>
      <x:c r="BX37" s="128" t="e">
        <x:f>'PROJECT TA Y TB KARINA'!$M33/8</x:f>
        <x:v>#REF!</x:v>
      </x:c>
      <x:c r="BY37" s="128" t="e">
        <x:f>'PROJECT TA Y TB KARINA'!$M33/8</x:f>
        <x:v>#REF!</x:v>
      </x:c>
      <x:c r="BZ37" s="128" t="e">
        <x:f>'PROJECT TA Y TB KARINA'!$M33/8</x:f>
        <x:v>#REF!</x:v>
      </x:c>
      <x:c r="CA37" s="128" t="e">
        <x:f>'PROJECT TA Y TB KARINA'!$M33/8</x:f>
        <x:v>#REF!</x:v>
      </x:c>
      <x:c r="CB37" s="128" t="e">
        <x:f>'PROJECT TA Y TB KARINA'!$M33/8</x:f>
        <x:v>#REF!</x:v>
      </x:c>
      <x:c r="CC37" s="128" t="e">
        <x:f>'PROJECT TA Y TB KARINA'!$N33/8</x:f>
        <x:v>#REF!</x:v>
      </x:c>
      <x:c r="CD37" s="128" t="e">
        <x:f>'PROJECT TA Y TB KARINA'!$N33/8</x:f>
        <x:v>#REF!</x:v>
      </x:c>
      <x:c r="CE37" s="128" t="e">
        <x:f>'PROJECT TA Y TB KARINA'!$N33/8</x:f>
        <x:v>#REF!</x:v>
      </x:c>
      <x:c r="CF37" s="128" t="e">
        <x:f>'PROJECT TA Y TB KARINA'!$N33/8</x:f>
        <x:v>#REF!</x:v>
      </x:c>
      <x:c r="CG37" s="128" t="e">
        <x:f>'PROJECT TA Y TB KARINA'!$N33/8</x:f>
        <x:v>#REF!</x:v>
      </x:c>
      <x:c r="CH37" s="128" t="e">
        <x:f>'PROJECT TA Y TB KARINA'!$N33/8</x:f>
        <x:v>#REF!</x:v>
      </x:c>
      <x:c r="CI37" s="128" t="e">
        <x:f>'PROJECT TA Y TB KARINA'!$N33/8</x:f>
        <x:v>#REF!</x:v>
      </x:c>
      <x:c r="CJ37" s="128" t="e">
        <x:f>'PROJECT TA Y TB KARINA'!$N33/8</x:f>
        <x:v>#REF!</x:v>
      </x:c>
      <x:c r="CK37" s="128" t="e">
        <x:f>'PROJECT TA Y TB KARINA'!$O33/8</x:f>
        <x:v>#REF!</x:v>
      </x:c>
      <x:c r="CL37" s="128" t="e">
        <x:f>'PROJECT TA Y TB KARINA'!$O33/8</x:f>
        <x:v>#REF!</x:v>
      </x:c>
      <x:c r="CM37" s="128" t="e">
        <x:f>'PROJECT TA Y TB KARINA'!$O33/8</x:f>
        <x:v>#REF!</x:v>
      </x:c>
      <x:c r="CN37" s="128" t="e">
        <x:f>'PROJECT TA Y TB KARINA'!$O33/8</x:f>
        <x:v>#REF!</x:v>
      </x:c>
      <x:c r="CO37" s="128" t="e">
        <x:f>'PROJECT TA Y TB KARINA'!$O33/8</x:f>
        <x:v>#REF!</x:v>
      </x:c>
      <x:c r="CP37" s="128" t="e">
        <x:f>'PROJECT TA Y TB KARINA'!$O33/8</x:f>
        <x:v>#REF!</x:v>
      </x:c>
      <x:c r="CQ37" s="128" t="e">
        <x:f>'PROJECT TA Y TB KARINA'!$O33/8</x:f>
        <x:v>#REF!</x:v>
      </x:c>
      <x:c r="CR37" s="128" t="e">
        <x:f>'PROJECT TA Y TB KARINA'!$O33/8</x:f>
        <x:v>#REF!</x:v>
      </x:c>
      <x:c r="CS37" s="128" t="e">
        <x:f>'PROJECT TA Y TB KARINA'!$P33/8</x:f>
        <x:v>#REF!</x:v>
      </x:c>
      <x:c r="CT37" s="128" t="e">
        <x:f>'PROJECT TA Y TB KARINA'!$P33/8</x:f>
        <x:v>#REF!</x:v>
      </x:c>
      <x:c r="CU37" s="128" t="e">
        <x:f>'PROJECT TA Y TB KARINA'!$P33/8</x:f>
        <x:v>#REF!</x:v>
      </x:c>
      <x:c r="CV37" s="128" t="e">
        <x:f>'PROJECT TA Y TB KARINA'!$P33/8</x:f>
        <x:v>#REF!</x:v>
      </x:c>
      <x:c r="CW37" s="128" t="e">
        <x:f>'PROJECT TA Y TB KARINA'!$P33/8</x:f>
        <x:v>#REF!</x:v>
      </x:c>
      <x:c r="CX37" s="128" t="e">
        <x:f>'PROJECT TA Y TB KARINA'!$P33/8</x:f>
        <x:v>#REF!</x:v>
      </x:c>
      <x:c r="CY37" s="128" t="e">
        <x:f>'PROJECT TA Y TB KARINA'!$P33/8</x:f>
        <x:v>#REF!</x:v>
      </x:c>
      <x:c r="CZ37" s="128" t="e">
        <x:f>'PROJECT TA Y TB KARINA'!$P33/8</x:f>
        <x:v>#REF!</x:v>
      </x:c>
      <x:c r="DA37" s="128" t="e">
        <x:f>'PROJECT TA Y TB KARINA'!$Q33/8</x:f>
        <x:v>#REF!</x:v>
      </x:c>
      <x:c r="DB37" s="128" t="e">
        <x:f>'PROJECT TA Y TB KARINA'!$Q33/8</x:f>
        <x:v>#REF!</x:v>
      </x:c>
      <x:c r="DC37" s="128" t="e">
        <x:f>'PROJECT TA Y TB KARINA'!$Q33/8</x:f>
        <x:v>#REF!</x:v>
      </x:c>
      <x:c r="DD37" s="128" t="e">
        <x:f>'PROJECT TA Y TB KARINA'!$Q33/8</x:f>
        <x:v>#REF!</x:v>
      </x:c>
      <x:c r="DE37" s="128" t="e">
        <x:f>'PROJECT TA Y TB KARINA'!$Q33/8</x:f>
        <x:v>#REF!</x:v>
      </x:c>
      <x:c r="DF37" s="128" t="e">
        <x:f>'PROJECT TA Y TB KARINA'!$Q33/8</x:f>
        <x:v>#REF!</x:v>
      </x:c>
      <x:c r="DG37" s="128" t="e">
        <x:f>'PROJECT TA Y TB KARINA'!$Q33/8</x:f>
        <x:v>#REF!</x:v>
      </x:c>
      <x:c r="DH37" s="128" t="e">
        <x:f>'PROJECT TA Y TB KARINA'!$Q33/8</x:f>
        <x:v>#REF!</x:v>
      </x:c>
      <x:c r="DI37" s="128" t="e">
        <x:f>'PROJECT TA Y TB KARINA'!$R33/8</x:f>
        <x:v>#REF!</x:v>
      </x:c>
      <x:c r="DJ37" s="128" t="e">
        <x:f>'PROJECT TA Y TB KARINA'!$R33/8</x:f>
        <x:v>#REF!</x:v>
      </x:c>
      <x:c r="DK37" s="128" t="e">
        <x:f>'PROJECT TA Y TB KARINA'!$R33/8</x:f>
        <x:v>#REF!</x:v>
      </x:c>
      <x:c r="DL37" s="128" t="e">
        <x:f>'PROJECT TA Y TB KARINA'!$R33/8</x:f>
        <x:v>#REF!</x:v>
      </x:c>
      <x:c r="DM37" s="128" t="e">
        <x:f>'PROJECT TA Y TB KARINA'!$R33/8</x:f>
        <x:v>#REF!</x:v>
      </x:c>
      <x:c r="DN37" s="128" t="e">
        <x:f>'PROJECT TA Y TB KARINA'!$R33/8</x:f>
        <x:v>#REF!</x:v>
      </x:c>
      <x:c r="DO37" s="128" t="e">
        <x:f>'PROJECT TA Y TB KARINA'!$R33/8</x:f>
        <x:v>#REF!</x:v>
      </x:c>
      <x:c r="DP37" s="128" t="e">
        <x:f>'PROJECT TA Y TB KARINA'!$R33/8</x:f>
        <x:v>#REF!</x:v>
      </x:c>
      <x:c r="DQ37" s="128" t="e">
        <x:f>'PROJECT TA Y TB KARINA'!$S33/8</x:f>
        <x:v>#REF!</x:v>
      </x:c>
      <x:c r="DR37" s="128" t="e">
        <x:f>'PROJECT TA Y TB KARINA'!$S33/8</x:f>
        <x:v>#REF!</x:v>
      </x:c>
      <x:c r="DS37" s="128" t="e">
        <x:f>'PROJECT TA Y TB KARINA'!$S33/8</x:f>
        <x:v>#REF!</x:v>
      </x:c>
      <x:c r="DT37" s="128" t="e">
        <x:f>'PROJECT TA Y TB KARINA'!$S33/8</x:f>
        <x:v>#REF!</x:v>
      </x:c>
      <x:c r="DU37" s="128" t="e">
        <x:f>'PROJECT TA Y TB KARINA'!$S33/8</x:f>
        <x:v>#REF!</x:v>
      </x:c>
      <x:c r="DV37" s="128" t="e">
        <x:f>'PROJECT TA Y TB KARINA'!$S33/8</x:f>
        <x:v>#REF!</x:v>
      </x:c>
      <x:c r="DW37" s="128" t="e">
        <x:f>'PROJECT TA Y TB KARINA'!$S33/8</x:f>
        <x:v>#REF!</x:v>
      </x:c>
      <x:c r="DX37" s="128" t="e">
        <x:f>'PROJECT TA Y TB KARINA'!$S33/8</x:f>
        <x:v>#REF!</x:v>
      </x:c>
      <x:c r="DY37" s="128" t="e">
        <x:f>'PROJECT TA Y TB KARINA'!$T33/8</x:f>
        <x:v>#REF!</x:v>
      </x:c>
      <x:c r="DZ37" s="128" t="e">
        <x:f>'PROJECT TA Y TB KARINA'!$T33/8</x:f>
        <x:v>#REF!</x:v>
      </x:c>
      <x:c r="EA37" s="128" t="e">
        <x:f>'PROJECT TA Y TB KARINA'!$T33/8</x:f>
        <x:v>#REF!</x:v>
      </x:c>
      <x:c r="EB37" s="128" t="e">
        <x:f>'PROJECT TA Y TB KARINA'!$T33/8</x:f>
        <x:v>#REF!</x:v>
      </x:c>
      <x:c r="EC37" s="128" t="e">
        <x:f>'PROJECT TA Y TB KARINA'!$T33/8</x:f>
        <x:v>#REF!</x:v>
      </x:c>
      <x:c r="ED37" s="128" t="e">
        <x:f>'PROJECT TA Y TB KARINA'!$T33/8</x:f>
        <x:v>#REF!</x:v>
      </x:c>
      <x:c r="EE37" s="128" t="e">
        <x:f>'PROJECT TA Y TB KARINA'!$T33/8</x:f>
        <x:v>#REF!</x:v>
      </x:c>
      <x:c r="EF37" s="128" t="e">
        <x:f>'PROJECT TA Y TB KARINA'!$T33/8</x:f>
        <x:v>#REF!</x:v>
      </x:c>
      <x:c r="EG37" s="128" t="e">
        <x:f>'PROJECT TA Y TB KARINA'!#REF!/8</x:f>
        <x:v>#NAME?</x:v>
      </x:c>
      <x:c r="EH37" s="128" t="e">
        <x:f>'PROJECT TA Y TB KARINA'!#REF!/8</x:f>
        <x:v>#NAME?</x:v>
      </x:c>
      <x:c r="EI37" s="128" t="e">
        <x:f>'PROJECT TA Y TB KARINA'!#REF!/8</x:f>
        <x:v>#NAME?</x:v>
      </x:c>
      <x:c r="EJ37" s="128" t="e">
        <x:f>'PROJECT TA Y TB KARINA'!#REF!/8</x:f>
        <x:v>#NAME?</x:v>
      </x:c>
      <x:c r="EK37" s="128" t="e">
        <x:f>'PROJECT TA Y TB KARINA'!#REF!/8</x:f>
        <x:v>#NAME?</x:v>
      </x:c>
      <x:c r="EL37" s="128" t="e">
        <x:f>'PROJECT TA Y TB KARINA'!#REF!/8</x:f>
        <x:v>#NAME?</x:v>
      </x:c>
      <x:c r="EM37" s="128" t="e">
        <x:f>'PROJECT TA Y TB KARINA'!#REF!/8</x:f>
        <x:v>#NAME?</x:v>
      </x:c>
      <x:c r="EN37" s="128" t="e">
        <x:f>'PROJECT TA Y TB KARINA'!#REF!/8</x:f>
        <x:v>#NAME?</x:v>
      </x:c>
      <x:c r="EO37" s="128" t="n">
        <x:f>'PROJECT TA Y TB KARINA'!$C91/8</x:f>
        <x:v>0</x:v>
      </x:c>
      <x:c r="EP37" s="128" t="n">
        <x:f>'PROJECT TA Y TB KARINA'!$C91/8</x:f>
        <x:v>0</x:v>
      </x:c>
      <x:c r="EQ37" s="128" t="n">
        <x:f>'PROJECT TA Y TB KARINA'!$C91/8</x:f>
        <x:v>0</x:v>
      </x:c>
      <x:c r="ER37" s="128" t="n">
        <x:f>'PROJECT TA Y TB KARINA'!$C91/8</x:f>
        <x:v>0</x:v>
      </x:c>
      <x:c r="ES37" s="128" t="n">
        <x:f>'PROJECT TA Y TB KARINA'!$C91/8</x:f>
        <x:v>0</x:v>
      </x:c>
      <x:c r="ET37" s="128" t="n">
        <x:f>'PROJECT TA Y TB KARINA'!$C91/8</x:f>
        <x:v>0</x:v>
      </x:c>
      <x:c r="EU37" s="128" t="n">
        <x:f>'PROJECT TA Y TB KARINA'!$C91/8</x:f>
        <x:v>0</x:v>
      </x:c>
      <x:c r="EV37" s="128" t="n">
        <x:f>'PROJECT TA Y TB KARINA'!$E91/8</x:f>
        <x:v>0</x:v>
      </x:c>
      <x:c r="EW37" s="128" t="n">
        <x:f>'PROJECT TA Y TB KARINA'!$E91/8</x:f>
        <x:v>0</x:v>
      </x:c>
      <x:c r="EX37" s="128" t="n">
        <x:f>'PROJECT TA Y TB KARINA'!$E91/8</x:f>
        <x:v>0</x:v>
      </x:c>
      <x:c r="EY37" s="128" t="n">
        <x:f>'PROJECT TA Y TB KARINA'!$E91/8</x:f>
        <x:v>0</x:v>
      </x:c>
      <x:c r="EZ37" s="128" t="n">
        <x:f>'PROJECT TA Y TB KARINA'!$E91/8</x:f>
        <x:v>0</x:v>
      </x:c>
      <x:c r="FA37" s="128" t="n">
        <x:f>'PROJECT TA Y TB KARINA'!$E91/8</x:f>
        <x:v>0</x:v>
      </x:c>
      <x:c r="FB37" s="128" t="n">
        <x:f>'PROJECT TA Y TB KARINA'!$E91/8</x:f>
        <x:v>0</x:v>
      </x:c>
      <x:c r="FC37" s="128" t="n">
        <x:f>'PROJECT TA Y TB KARINA'!$E91/8</x:f>
        <x:v>0</x:v>
      </x:c>
      <x:c r="FD37" s="128" t="n">
        <x:f>'PROJECT TA Y TB KARINA'!$F91/8</x:f>
        <x:v>0</x:v>
      </x:c>
      <x:c r="FE37" s="128" t="n">
        <x:f>'PROJECT TA Y TB KARINA'!$F91/8</x:f>
        <x:v>0</x:v>
      </x:c>
      <x:c r="FF37" s="128" t="n">
        <x:f>'PROJECT TA Y TB KARINA'!$F91/8</x:f>
        <x:v>0</x:v>
      </x:c>
      <x:c r="FG37" s="128" t="n">
        <x:f>'PROJECT TA Y TB KARINA'!$F91/8</x:f>
        <x:v>0</x:v>
      </x:c>
      <x:c r="FH37" s="128" t="n">
        <x:f>'PROJECT TA Y TB KARINA'!$F91/8</x:f>
        <x:v>0</x:v>
      </x:c>
      <x:c r="FI37" s="128" t="n">
        <x:f>'PROJECT TA Y TB KARINA'!$F91/8</x:f>
        <x:v>0</x:v>
      </x:c>
      <x:c r="FJ37" s="128" t="n">
        <x:f>'PROJECT TA Y TB KARINA'!$F91/8</x:f>
        <x:v>0</x:v>
      </x:c>
      <x:c r="FK37" s="128" t="n">
        <x:f>'PROJECT TA Y TB KARINA'!$F91/8</x:f>
        <x:v>0</x:v>
      </x:c>
      <x:c r="FL37" s="128" t="n">
        <x:f>'PROJECT TA Y TB KARINA'!$G91/8</x:f>
        <x:v>0</x:v>
      </x:c>
      <x:c r="FM37" s="128" t="n">
        <x:f>'PROJECT TA Y TB KARINA'!$G91/8</x:f>
        <x:v>0</x:v>
      </x:c>
      <x:c r="FN37" s="128" t="n">
        <x:f>'PROJECT TA Y TB KARINA'!$G91/8</x:f>
        <x:v>0</x:v>
      </x:c>
      <x:c r="FO37" s="128" t="n">
        <x:f>'PROJECT TA Y TB KARINA'!$G91/8</x:f>
        <x:v>0</x:v>
      </x:c>
      <x:c r="FP37" s="128" t="n">
        <x:f>'PROJECT TA Y TB KARINA'!$G91/8</x:f>
        <x:v>0</x:v>
      </x:c>
      <x:c r="FQ37" s="128" t="n">
        <x:f>'PROJECT TA Y TB KARINA'!$G91/8</x:f>
        <x:v>0</x:v>
      </x:c>
      <x:c r="FR37" s="128" t="n">
        <x:f>'PROJECT TA Y TB KARINA'!$G91/8</x:f>
        <x:v>0</x:v>
      </x:c>
      <x:c r="FS37" s="128" t="n">
        <x:f>'PROJECT TA Y TB KARINA'!$G91/8</x:f>
        <x:v>0</x:v>
      </x:c>
      <x:c r="FT37" s="128" t="n">
        <x:f>'PROJECT TA Y TB KARINA'!$H91/8</x:f>
        <x:v>0</x:v>
      </x:c>
      <x:c r="FU37" s="128" t="n">
        <x:f>'PROJECT TA Y TB KARINA'!$H91/8</x:f>
        <x:v>0</x:v>
      </x:c>
      <x:c r="FV37" s="128" t="n">
        <x:f>'PROJECT TA Y TB KARINA'!$H91/8</x:f>
        <x:v>0</x:v>
      </x:c>
      <x:c r="FW37" s="128" t="n">
        <x:f>'PROJECT TA Y TB KARINA'!$H91/8</x:f>
        <x:v>0</x:v>
      </x:c>
      <x:c r="FX37" s="128" t="n">
        <x:f>'PROJECT TA Y TB KARINA'!$H91/8</x:f>
        <x:v>0</x:v>
      </x:c>
      <x:c r="FY37" s="128" t="n">
        <x:f>'PROJECT TA Y TB KARINA'!$H91/8</x:f>
        <x:v>0</x:v>
      </x:c>
      <x:c r="FZ37" s="128" t="n">
        <x:f>'PROJECT TA Y TB KARINA'!$H91/8</x:f>
        <x:v>0</x:v>
      </x:c>
      <x:c r="GA37" s="128" t="n">
        <x:f>'PROJECT TA Y TB KARINA'!$H91/8</x:f>
        <x:v>0</x:v>
      </x:c>
      <x:c r="GB37" s="128" t="n">
        <x:f>'PROJECT TA Y TB KARINA'!$I91/8</x:f>
        <x:v>0</x:v>
      </x:c>
      <x:c r="GC37" s="128" t="n">
        <x:f>'PROJECT TA Y TB KARINA'!$I91/8</x:f>
        <x:v>0</x:v>
      </x:c>
      <x:c r="GD37" s="128" t="n">
        <x:f>'PROJECT TA Y TB KARINA'!$I91/8</x:f>
        <x:v>0</x:v>
      </x:c>
      <x:c r="GE37" s="128" t="n">
        <x:f>'PROJECT TA Y TB KARINA'!$I91/8</x:f>
        <x:v>0</x:v>
      </x:c>
      <x:c r="GF37" s="128" t="n">
        <x:f>'PROJECT TA Y TB KARINA'!$I91/8</x:f>
        <x:v>0</x:v>
      </x:c>
      <x:c r="GG37" s="128" t="n">
        <x:f>'PROJECT TA Y TB KARINA'!$I91/8</x:f>
        <x:v>0</x:v>
      </x:c>
      <x:c r="GH37" s="128" t="n">
        <x:f>'PROJECT TA Y TB KARINA'!$I91/8</x:f>
        <x:v>0</x:v>
      </x:c>
      <x:c r="GI37" s="128" t="n">
        <x:f>'PROJECT TA Y TB KARINA'!$I91/8</x:f>
        <x:v>0</x:v>
      </x:c>
      <x:c r="GJ37" s="128" t="n">
        <x:f>'PROJECT TA Y TB KARINA'!$J91/8</x:f>
        <x:v>0</x:v>
      </x:c>
      <x:c r="GK37" s="128" t="n">
        <x:f>'PROJECT TA Y TB KARINA'!$J91/8</x:f>
        <x:v>0</x:v>
      </x:c>
      <x:c r="GL37" s="128" t="n">
        <x:f>'PROJECT TA Y TB KARINA'!$J91/8</x:f>
        <x:v>0</x:v>
      </x:c>
      <x:c r="GM37" s="128" t="n">
        <x:f>'PROJECT TA Y TB KARINA'!$J91/8</x:f>
        <x:v>0</x:v>
      </x:c>
      <x:c r="GN37" s="128" t="n">
        <x:f>'PROJECT TA Y TB KARINA'!$J91/8</x:f>
        <x:v>0</x:v>
      </x:c>
      <x:c r="GO37" s="128" t="n">
        <x:f>'PROJECT TA Y TB KARINA'!$J91/8</x:f>
        <x:v>0</x:v>
      </x:c>
      <x:c r="GP37" s="128" t="n">
        <x:f>'PROJECT TA Y TB KARINA'!$J91/8</x:f>
        <x:v>0</x:v>
      </x:c>
      <x:c r="GQ37" s="128" t="n">
        <x:f>'PROJECT TA Y TB KARINA'!$J91/8</x:f>
        <x:v>0</x:v>
      </x:c>
      <x:c r="GR37" s="128" t="n">
        <x:f>'PROJECT TA Y TB KARINA'!$K91/8</x:f>
        <x:v>0</x:v>
      </x:c>
      <x:c r="GS37" s="128" t="n">
        <x:f>'PROJECT TA Y TB KARINA'!$K91/8</x:f>
        <x:v>0</x:v>
      </x:c>
      <x:c r="GT37" s="128" t="n">
        <x:f>'PROJECT TA Y TB KARINA'!$K91/8</x:f>
        <x:v>0</x:v>
      </x:c>
      <x:c r="GU37" s="128" t="n">
        <x:f>'PROJECT TA Y TB KARINA'!$K91/8</x:f>
        <x:v>0</x:v>
      </x:c>
      <x:c r="GV37" s="128" t="n">
        <x:f>'PROJECT TA Y TB KARINA'!$K91/8</x:f>
        <x:v>0</x:v>
      </x:c>
      <x:c r="GW37" s="128" t="n">
        <x:f>'PROJECT TA Y TB KARINA'!$K91/8</x:f>
        <x:v>0</x:v>
      </x:c>
      <x:c r="GX37" s="128" t="n">
        <x:f>'PROJECT TA Y TB KARINA'!$K91/8</x:f>
        <x:v>0</x:v>
      </x:c>
      <x:c r="GY37" s="128" t="n">
        <x:f>'PROJECT TA Y TB KARINA'!$K91/8</x:f>
        <x:v>0</x:v>
      </x:c>
      <x:c r="GZ37" s="128" t="n">
        <x:f>'PROJECT TA Y TB KARINA'!$L91/8</x:f>
        <x:v>0</x:v>
      </x:c>
      <x:c r="HA37" s="128" t="n">
        <x:f>'PROJECT TA Y TB KARINA'!$L91/8</x:f>
        <x:v>0</x:v>
      </x:c>
      <x:c r="HB37" s="128" t="n">
        <x:f>'PROJECT TA Y TB KARINA'!$L91/8</x:f>
        <x:v>0</x:v>
      </x:c>
      <x:c r="HC37" s="128" t="n">
        <x:f>'PROJECT TA Y TB KARINA'!$L91/8</x:f>
        <x:v>0</x:v>
      </x:c>
      <x:c r="HD37" s="128" t="n">
        <x:f>'PROJECT TA Y TB KARINA'!$L91/8</x:f>
        <x:v>0</x:v>
      </x:c>
      <x:c r="HE37" s="128" t="n">
        <x:f>'PROJECT TA Y TB KARINA'!$L91/8</x:f>
        <x:v>0</x:v>
      </x:c>
      <x:c r="HF37" s="128" t="n">
        <x:f>'PROJECT TA Y TB KARINA'!$L91/8</x:f>
        <x:v>0</x:v>
      </x:c>
      <x:c r="HG37" s="128" t="n">
        <x:f>'PROJECT TA Y TB KARINA'!$L91/8</x:f>
        <x:v>0</x:v>
      </x:c>
      <x:c r="HH37" s="128" t="n">
        <x:f>'PROJECT TA Y TB KARINA'!$M91/8</x:f>
        <x:v>0</x:v>
      </x:c>
      <x:c r="HI37" s="128" t="n">
        <x:f>'PROJECT TA Y TB KARINA'!$M91/8</x:f>
        <x:v>0</x:v>
      </x:c>
      <x:c r="HJ37" s="128" t="n">
        <x:f>'PROJECT TA Y TB KARINA'!$M91/8</x:f>
        <x:v>0</x:v>
      </x:c>
      <x:c r="HK37" s="128" t="n">
        <x:f>'PROJECT TA Y TB KARINA'!$M91/8</x:f>
        <x:v>0</x:v>
      </x:c>
      <x:c r="HL37" s="128" t="n">
        <x:f>'PROJECT TA Y TB KARINA'!$M91/8</x:f>
        <x:v>0</x:v>
      </x:c>
      <x:c r="HM37" s="128" t="n">
        <x:f>'PROJECT TA Y TB KARINA'!$M91/8</x:f>
        <x:v>0</x:v>
      </x:c>
      <x:c r="HN37" s="128" t="n">
        <x:f>'PROJECT TA Y TB KARINA'!$M91/8</x:f>
        <x:v>0</x:v>
      </x:c>
      <x:c r="HO37" s="128" t="n">
        <x:f>'PROJECT TA Y TB KARINA'!$M91/8</x:f>
        <x:v>0</x:v>
      </x:c>
      <x:c r="HP37" s="128" t="n">
        <x:f>'PROJECT TA Y TB KARINA'!$N91/8</x:f>
        <x:v>0</x:v>
      </x:c>
      <x:c r="HQ37" s="128" t="n">
        <x:f>'PROJECT TA Y TB KARINA'!$N91/8</x:f>
        <x:v>0</x:v>
      </x:c>
      <x:c r="HR37" s="128" t="n">
        <x:f>'PROJECT TA Y TB KARINA'!$N91/8</x:f>
        <x:v>0</x:v>
      </x:c>
      <x:c r="HS37" s="128" t="n">
        <x:f>'PROJECT TA Y TB KARINA'!$N91/8</x:f>
        <x:v>0</x:v>
      </x:c>
      <x:c r="HT37" s="128" t="n">
        <x:f>'PROJECT TA Y TB KARINA'!$N91/8</x:f>
        <x:v>0</x:v>
      </x:c>
      <x:c r="HU37" s="128" t="n">
        <x:f>'PROJECT TA Y TB KARINA'!$N91/8</x:f>
        <x:v>0</x:v>
      </x:c>
      <x:c r="HV37" s="128" t="n">
        <x:f>'PROJECT TA Y TB KARINA'!$N91/8</x:f>
        <x:v>0</x:v>
      </x:c>
      <x:c r="HW37" s="128" t="n">
        <x:f>'PROJECT TA Y TB KARINA'!$N91/8</x:f>
        <x:v>0</x:v>
      </x:c>
      <x:c r="HX37" s="128" t="n">
        <x:f>'PROJECT TA Y TB KARINA'!$O91/8</x:f>
        <x:v>0</x:v>
      </x:c>
      <x:c r="HY37" s="128" t="n">
        <x:f>'PROJECT TA Y TB KARINA'!$O91/8</x:f>
        <x:v>0</x:v>
      </x:c>
      <x:c r="HZ37" s="128" t="n">
        <x:f>'PROJECT TA Y TB KARINA'!$O91/8</x:f>
        <x:v>0</x:v>
      </x:c>
      <x:c r="IA37" s="128" t="n">
        <x:f>'PROJECT TA Y TB KARINA'!$O91/8</x:f>
        <x:v>0</x:v>
      </x:c>
      <x:c r="IB37" s="128" t="n">
        <x:f>'PROJECT TA Y TB KARINA'!$O91/8</x:f>
        <x:v>0</x:v>
      </x:c>
      <x:c r="IC37" s="128" t="n">
        <x:f>'PROJECT TA Y TB KARINA'!$O91/8</x:f>
        <x:v>0</x:v>
      </x:c>
      <x:c r="ID37" s="128" t="n">
        <x:f>'PROJECT TA Y TB KARINA'!$O91/8</x:f>
        <x:v>0</x:v>
      </x:c>
      <x:c r="IE37" s="128" t="n">
        <x:f>'PROJECT TA Y TB KARINA'!$O91/8</x:f>
        <x:v>0</x:v>
      </x:c>
      <x:c r="IF37" s="128" t="n">
        <x:f>'PROJECT TA Y TB KARINA'!$P91/8</x:f>
        <x:v>0</x:v>
      </x:c>
      <x:c r="IG37" s="128" t="n">
        <x:f>'PROJECT TA Y TB KARINA'!$P91/8</x:f>
        <x:v>0</x:v>
      </x:c>
      <x:c r="IH37" s="128" t="n">
        <x:f>'PROJECT TA Y TB KARINA'!$P91/8</x:f>
        <x:v>0</x:v>
      </x:c>
      <x:c r="II37" s="128" t="n">
        <x:f>'PROJECT TA Y TB KARINA'!$P91/8</x:f>
        <x:v>0</x:v>
      </x:c>
      <x:c r="IJ37" s="128" t="n">
        <x:f>'PROJECT TA Y TB KARINA'!$P91/8</x:f>
        <x:v>0</x:v>
      </x:c>
      <x:c r="IK37" s="128" t="n">
        <x:f>'PROJECT TA Y TB KARINA'!$P91/8</x:f>
        <x:v>0</x:v>
      </x:c>
      <x:c r="IL37" s="128" t="n">
        <x:f>'PROJECT TA Y TB KARINA'!$P91/8</x:f>
        <x:v>0</x:v>
      </x:c>
      <x:c r="IM37" s="128" t="n">
        <x:f>'PROJECT TA Y TB KARINA'!$P91/8</x:f>
        <x:v>0</x:v>
      </x:c>
      <x:c r="IN37" s="128" t="n">
        <x:f>'PROJECT TA Y TB KARINA'!$Q91/8</x:f>
        <x:v>0</x:v>
      </x:c>
      <x:c r="IO37" s="128" t="n">
        <x:f>'PROJECT TA Y TB KARINA'!$Q91/8</x:f>
        <x:v>0</x:v>
      </x:c>
      <x:c r="IP37" s="128" t="n">
        <x:f>'PROJECT TA Y TB KARINA'!$Q91/8</x:f>
        <x:v>0</x:v>
      </x:c>
      <x:c r="IQ37" s="128" t="n">
        <x:f>'PROJECT TA Y TB KARINA'!$Q91/8</x:f>
        <x:v>0</x:v>
      </x:c>
      <x:c r="IR37" s="128" t="n">
        <x:f>'PROJECT TA Y TB KARINA'!$Q91/8</x:f>
        <x:v>0</x:v>
      </x:c>
      <x:c r="IS37" s="128" t="n">
        <x:f>'PROJECT TA Y TB KARINA'!$Q91/8</x:f>
        <x:v>0</x:v>
      </x:c>
      <x:c r="IT37" s="128" t="n">
        <x:f>'PROJECT TA Y TB KARINA'!$Q91/8</x:f>
        <x:v>0</x:v>
      </x:c>
      <x:c r="IU37" s="128" t="n">
        <x:f>'PROJECT TA Y TB KARINA'!$Q91/8</x:f>
        <x:v>0</x:v>
      </x:c>
      <x:c r="IV37" s="128" t="n">
        <x:f>'PROJECT TA Y TB KARINA'!$R91/8</x:f>
        <x:v>0</x:v>
      </x:c>
      <x:c r="IW37" s="128" t="n">
        <x:f>'PROJECT TA Y TB KARINA'!$R91/8</x:f>
        <x:v>0</x:v>
      </x:c>
      <x:c r="IX37" s="128" t="n">
        <x:f>'PROJECT TA Y TB KARINA'!$R91/8</x:f>
        <x:v>0</x:v>
      </x:c>
      <x:c r="IY37" s="128" t="n">
        <x:f>'PROJECT TA Y TB KARINA'!$R91/8</x:f>
        <x:v>0</x:v>
      </x:c>
      <x:c r="IZ37" s="128" t="n">
        <x:f>'PROJECT TA Y TB KARINA'!$R91/8</x:f>
        <x:v>0</x:v>
      </x:c>
      <x:c r="JA37" s="128" t="n">
        <x:f>'PROJECT TA Y TB KARINA'!$R91/8</x:f>
        <x:v>0</x:v>
      </x:c>
      <x:c r="JB37" s="128" t="n">
        <x:f>'PROJECT TA Y TB KARINA'!$R91/8</x:f>
        <x:v>0</x:v>
      </x:c>
      <x:c r="JC37" s="128" t="n">
        <x:f>'PROJECT TA Y TB KARINA'!$R91/8</x:f>
        <x:v>0</x:v>
      </x:c>
      <x:c r="JD37" s="128" t="n">
        <x:f>'PROJECT TA Y TB KARINA'!$S91/8</x:f>
        <x:v>0</x:v>
      </x:c>
      <x:c r="JE37" s="128" t="n">
        <x:f>'PROJECT TA Y TB KARINA'!$S91/8</x:f>
        <x:v>0</x:v>
      </x:c>
      <x:c r="JF37" s="128" t="n">
        <x:f>'PROJECT TA Y TB KARINA'!$S91/8</x:f>
        <x:v>0</x:v>
      </x:c>
      <x:c r="JG37" s="128" t="n">
        <x:f>'PROJECT TA Y TB KARINA'!$S91/8</x:f>
        <x:v>0</x:v>
      </x:c>
      <x:c r="JH37" s="128" t="n">
        <x:f>'PROJECT TA Y TB KARINA'!$S91/8</x:f>
        <x:v>0</x:v>
      </x:c>
      <x:c r="JI37" s="128" t="n">
        <x:f>'PROJECT TA Y TB KARINA'!$S91/8</x:f>
        <x:v>0</x:v>
      </x:c>
      <x:c r="JJ37" s="128" t="n">
        <x:f>'PROJECT TA Y TB KARINA'!$S91/8</x:f>
        <x:v>0</x:v>
      </x:c>
      <x:c r="JK37" s="128" t="n">
        <x:f>'PROJECT TA Y TB KARINA'!$S91/8</x:f>
        <x:v>0</x:v>
      </x:c>
      <x:c r="JL37" s="128" t="n">
        <x:f>'PROJECT TA Y TB KARINA'!$T91/8</x:f>
        <x:v>0</x:v>
      </x:c>
      <x:c r="JM37" s="128" t="n">
        <x:f>'PROJECT TA Y TB KARINA'!$T91/8</x:f>
        <x:v>0</x:v>
      </x:c>
      <x:c r="JN37" s="128" t="n">
        <x:f>'PROJECT TA Y TB KARINA'!$T91/8</x:f>
        <x:v>0</x:v>
      </x:c>
      <x:c r="JO37" s="128" t="n">
        <x:f>'PROJECT TA Y TB KARINA'!$T91/8</x:f>
        <x:v>0</x:v>
      </x:c>
      <x:c r="JP37" s="128" t="n">
        <x:f>'PROJECT TA Y TB KARINA'!$T91/8</x:f>
        <x:v>0</x:v>
      </x:c>
      <x:c r="JQ37" s="128" t="n">
        <x:f>'PROJECT TA Y TB KARINA'!$T91/8</x:f>
        <x:v>0</x:v>
      </x:c>
      <x:c r="JR37" s="128" t="n">
        <x:f>'PROJECT TA Y TB KARINA'!$T91/8</x:f>
        <x:v>0</x:v>
      </x:c>
      <x:c r="JS37" s="128" t="n">
        <x:f>'PROJECT TA Y TB KARINA'!$T91/8</x:f>
        <x:v>0</x:v>
      </x:c>
      <x:c r="JT37" s="128" t="e">
        <x:f>'PROJECT TA Y TB KARINA'!#REF!/8</x:f>
        <x:v>#NAME?</x:v>
      </x:c>
      <x:c r="JU37" s="128" t="e">
        <x:f>'PROJECT TA Y TB KARINA'!#REF!/8</x:f>
        <x:v>#NAME?</x:v>
      </x:c>
      <x:c r="JV37" s="128" t="e">
        <x:f>'PROJECT TA Y TB KARINA'!#REF!/8</x:f>
        <x:v>#NAME?</x:v>
      </x:c>
      <x:c r="JW37" s="128" t="e">
        <x:f>'PROJECT TA Y TB KARINA'!#REF!/8</x:f>
        <x:v>#NAME?</x:v>
      </x:c>
      <x:c r="JX37" s="128" t="e">
        <x:f>'PROJECT TA Y TB KARINA'!#REF!/8</x:f>
        <x:v>#NAME?</x:v>
      </x:c>
      <x:c r="JY37" s="128" t="e">
        <x:f>'PROJECT TA Y TB KARINA'!#REF!/8</x:f>
        <x:v>#NAME?</x:v>
      </x:c>
      <x:c r="JZ37" s="128" t="e">
        <x:f>'PROJECT TA Y TB KARINA'!#REF!/8</x:f>
        <x:v>#NAME?</x:v>
      </x:c>
      <x:c r="KA37" s="128" t="e">
        <x:f>'PROJECT TA Y TB KARINA'!#REF!/8</x:f>
        <x:v>#NAME?</x:v>
      </x:c>
    </x:row>
    <x:row r="38" ht="21">
      <x:c r="A38" s="130" t="s">
        <x:v>523</x:v>
      </x:c>
      <x:c r="B38" s="128" t="e">
        <x:f>'PROJECT TA Y TB KARINA'!$C$34/8</x:f>
        <x:v>#REF!</x:v>
      </x:c>
      <x:c r="C38" s="128" t="e">
        <x:f>'PROJECT TA Y TB KARINA'!$C$34/8</x:f>
        <x:v>#REF!</x:v>
      </x:c>
      <x:c r="D38" s="128" t="e">
        <x:f>'PROJECT TA Y TB KARINA'!$C$34/8</x:f>
        <x:v>#REF!</x:v>
      </x:c>
      <x:c r="E38" s="128" t="e">
        <x:f>'PROJECT TA Y TB KARINA'!$C$34/8</x:f>
        <x:v>#REF!</x:v>
      </x:c>
      <x:c r="F38" s="128" t="e">
        <x:f>'PROJECT TA Y TB KARINA'!$C$34/8</x:f>
        <x:v>#REF!</x:v>
      </x:c>
      <x:c r="G38" s="128" t="e">
        <x:f>'PROJECT TA Y TB KARINA'!$C$34/8</x:f>
        <x:v>#REF!</x:v>
      </x:c>
      <x:c r="H38" s="128" t="e">
        <x:f>'PROJECT TA Y TB KARINA'!$C$34/8</x:f>
        <x:v>#REF!</x:v>
      </x:c>
      <x:c r="I38" s="128" t="e">
        <x:f>'PROJECT TA Y TB KARINA'!$E34/8</x:f>
        <x:v>#REF!</x:v>
      </x:c>
      <x:c r="J38" s="128" t="e">
        <x:f>'PROJECT TA Y TB KARINA'!$E34/8</x:f>
        <x:v>#REF!</x:v>
      </x:c>
      <x:c r="K38" s="128" t="e">
        <x:f>'PROJECT TA Y TB KARINA'!$E34/8</x:f>
        <x:v>#REF!</x:v>
      </x:c>
      <x:c r="L38" s="128" t="e">
        <x:f>'PROJECT TA Y TB KARINA'!$E34/8</x:f>
        <x:v>#REF!</x:v>
      </x:c>
      <x:c r="M38" s="128" t="e">
        <x:f>'PROJECT TA Y TB KARINA'!$E34/8</x:f>
        <x:v>#REF!</x:v>
      </x:c>
      <x:c r="N38" s="128" t="e">
        <x:f>'PROJECT TA Y TB KARINA'!$E34/8</x:f>
        <x:v>#REF!</x:v>
      </x:c>
      <x:c r="O38" s="128" t="e">
        <x:f>'PROJECT TA Y TB KARINA'!$E34/8</x:f>
        <x:v>#REF!</x:v>
      </x:c>
      <x:c r="P38" s="128" t="e">
        <x:f>'PROJECT TA Y TB KARINA'!$E34/8</x:f>
        <x:v>#REF!</x:v>
      </x:c>
      <x:c r="Q38" s="128" t="e">
        <x:f>'PROJECT TA Y TB KARINA'!$F34/8</x:f>
        <x:v>#REF!</x:v>
      </x:c>
      <x:c r="R38" s="128" t="e">
        <x:f>'PROJECT TA Y TB KARINA'!$F34/8</x:f>
        <x:v>#REF!</x:v>
      </x:c>
      <x:c r="S38" s="128" t="e">
        <x:f>'PROJECT TA Y TB KARINA'!$F34/8</x:f>
        <x:v>#REF!</x:v>
      </x:c>
      <x:c r="T38" s="128" t="e">
        <x:f>'PROJECT TA Y TB KARINA'!$F34/8</x:f>
        <x:v>#REF!</x:v>
      </x:c>
      <x:c r="U38" s="128" t="e">
        <x:f>'PROJECT TA Y TB KARINA'!$F34/8</x:f>
        <x:v>#REF!</x:v>
      </x:c>
      <x:c r="V38" s="128" t="e">
        <x:f>'PROJECT TA Y TB KARINA'!$F34/8</x:f>
        <x:v>#REF!</x:v>
      </x:c>
      <x:c r="W38" s="128" t="e">
        <x:f>'PROJECT TA Y TB KARINA'!$F34/8</x:f>
        <x:v>#REF!</x:v>
      </x:c>
      <x:c r="X38" s="128" t="e">
        <x:f>'PROJECT TA Y TB KARINA'!$F34/8</x:f>
        <x:v>#REF!</x:v>
      </x:c>
      <x:c r="Y38" s="128" t="e">
        <x:f>'PROJECT TA Y TB KARINA'!$G34/8</x:f>
        <x:v>#REF!</x:v>
      </x:c>
      <x:c r="Z38" s="128" t="e">
        <x:f>'PROJECT TA Y TB KARINA'!$G34/8</x:f>
        <x:v>#REF!</x:v>
      </x:c>
      <x:c r="AA38" s="128" t="e">
        <x:f>'PROJECT TA Y TB KARINA'!$G34/8</x:f>
        <x:v>#REF!</x:v>
      </x:c>
      <x:c r="AB38" s="128" t="e">
        <x:f>'PROJECT TA Y TB KARINA'!$G34/8</x:f>
        <x:v>#REF!</x:v>
      </x:c>
      <x:c r="AC38" s="128" t="e">
        <x:f>'PROJECT TA Y TB KARINA'!$G34/8</x:f>
        <x:v>#REF!</x:v>
      </x:c>
      <x:c r="AD38" s="128" t="e">
        <x:f>'PROJECT TA Y TB KARINA'!$G34/8</x:f>
        <x:v>#REF!</x:v>
      </x:c>
      <x:c r="AE38" s="128" t="e">
        <x:f>'PROJECT TA Y TB KARINA'!$G34/8</x:f>
        <x:v>#REF!</x:v>
      </x:c>
      <x:c r="AF38" s="128" t="e">
        <x:f>'PROJECT TA Y TB KARINA'!$G34/8</x:f>
        <x:v>#REF!</x:v>
      </x:c>
      <x:c r="AG38" s="128" t="e">
        <x:f>'PROJECT TA Y TB KARINA'!$H34/8</x:f>
        <x:v>#REF!</x:v>
      </x:c>
      <x:c r="AH38" s="128" t="e">
        <x:f>'PROJECT TA Y TB KARINA'!$H34/8</x:f>
        <x:v>#REF!</x:v>
      </x:c>
      <x:c r="AI38" s="128" t="e">
        <x:f>'PROJECT TA Y TB KARINA'!$H34/8</x:f>
        <x:v>#REF!</x:v>
      </x:c>
      <x:c r="AJ38" s="128" t="e">
        <x:f>'PROJECT TA Y TB KARINA'!$H34/8</x:f>
        <x:v>#REF!</x:v>
      </x:c>
      <x:c r="AK38" s="128" t="e">
        <x:f>'PROJECT TA Y TB KARINA'!$H34/8</x:f>
        <x:v>#REF!</x:v>
      </x:c>
      <x:c r="AL38" s="128" t="e">
        <x:f>'PROJECT TA Y TB KARINA'!$H34/8</x:f>
        <x:v>#REF!</x:v>
      </x:c>
      <x:c r="AM38" s="128" t="e">
        <x:f>'PROJECT TA Y TB KARINA'!$H34/8</x:f>
        <x:v>#REF!</x:v>
      </x:c>
      <x:c r="AN38" s="128" t="e">
        <x:f>'PROJECT TA Y TB KARINA'!$H34/8</x:f>
        <x:v>#REF!</x:v>
      </x:c>
      <x:c r="AO38" s="128" t="e">
        <x:f>'PROJECT TA Y TB KARINA'!$I34/8</x:f>
        <x:v>#REF!</x:v>
      </x:c>
      <x:c r="AP38" s="128" t="e">
        <x:f>'PROJECT TA Y TB KARINA'!$I34/8</x:f>
        <x:v>#REF!</x:v>
      </x:c>
      <x:c r="AQ38" s="128" t="e">
        <x:f>'PROJECT TA Y TB KARINA'!$I34/8</x:f>
        <x:v>#REF!</x:v>
      </x:c>
      <x:c r="AR38" s="128" t="e">
        <x:f>'PROJECT TA Y TB KARINA'!$I34/8</x:f>
        <x:v>#REF!</x:v>
      </x:c>
      <x:c r="AS38" s="128" t="e">
        <x:f>'PROJECT TA Y TB KARINA'!$I34/8</x:f>
        <x:v>#REF!</x:v>
      </x:c>
      <x:c r="AT38" s="128" t="e">
        <x:f>'PROJECT TA Y TB KARINA'!$I34/8</x:f>
        <x:v>#REF!</x:v>
      </x:c>
      <x:c r="AU38" s="128" t="e">
        <x:f>'PROJECT TA Y TB KARINA'!$I34/8</x:f>
        <x:v>#REF!</x:v>
      </x:c>
      <x:c r="AV38" s="128" t="e">
        <x:f>'PROJECT TA Y TB KARINA'!$I34/8</x:f>
        <x:v>#REF!</x:v>
      </x:c>
      <x:c r="AW38" s="128" t="e">
        <x:f>'PROJECT TA Y TB KARINA'!$J34/8</x:f>
        <x:v>#REF!</x:v>
      </x:c>
      <x:c r="AX38" s="128" t="e">
        <x:f>'PROJECT TA Y TB KARINA'!$J34/8</x:f>
        <x:v>#REF!</x:v>
      </x:c>
      <x:c r="AY38" s="128" t="e">
        <x:f>'PROJECT TA Y TB KARINA'!$J34/8</x:f>
        <x:v>#REF!</x:v>
      </x:c>
      <x:c r="AZ38" s="128" t="e">
        <x:f>'PROJECT TA Y TB KARINA'!$J34/8</x:f>
        <x:v>#REF!</x:v>
      </x:c>
      <x:c r="BA38" s="128" t="e">
        <x:f>'PROJECT TA Y TB KARINA'!$J34/8</x:f>
        <x:v>#REF!</x:v>
      </x:c>
      <x:c r="BB38" s="128" t="e">
        <x:f>'PROJECT TA Y TB KARINA'!$J34/8</x:f>
        <x:v>#REF!</x:v>
      </x:c>
      <x:c r="BC38" s="128" t="e">
        <x:f>'PROJECT TA Y TB KARINA'!$J34/8</x:f>
        <x:v>#REF!</x:v>
      </x:c>
      <x:c r="BD38" s="128" t="e">
        <x:f>'PROJECT TA Y TB KARINA'!$J34/8</x:f>
        <x:v>#REF!</x:v>
      </x:c>
      <x:c r="BE38" s="128" t="e">
        <x:f>'PROJECT TA Y TB KARINA'!$K34/8</x:f>
        <x:v>#REF!</x:v>
      </x:c>
      <x:c r="BF38" s="128" t="e">
        <x:f>'PROJECT TA Y TB KARINA'!$K34/8</x:f>
        <x:v>#REF!</x:v>
      </x:c>
      <x:c r="BG38" s="128" t="e">
        <x:f>'PROJECT TA Y TB KARINA'!$K34/8</x:f>
        <x:v>#REF!</x:v>
      </x:c>
      <x:c r="BH38" s="128" t="e">
        <x:f>'PROJECT TA Y TB KARINA'!$K34/8</x:f>
        <x:v>#REF!</x:v>
      </x:c>
      <x:c r="BI38" s="128" t="e">
        <x:f>'PROJECT TA Y TB KARINA'!$K34/8</x:f>
        <x:v>#REF!</x:v>
      </x:c>
      <x:c r="BJ38" s="128" t="e">
        <x:f>'PROJECT TA Y TB KARINA'!$K34/8</x:f>
        <x:v>#REF!</x:v>
      </x:c>
      <x:c r="BK38" s="128" t="e">
        <x:f>'PROJECT TA Y TB KARINA'!$K34/8</x:f>
        <x:v>#REF!</x:v>
      </x:c>
      <x:c r="BL38" s="128" t="e">
        <x:f>'PROJECT TA Y TB KARINA'!$K34/8</x:f>
        <x:v>#REF!</x:v>
      </x:c>
      <x:c r="BM38" s="128" t="e">
        <x:f>'PROJECT TA Y TB KARINA'!$L34/8</x:f>
        <x:v>#REF!</x:v>
      </x:c>
      <x:c r="BN38" s="128" t="e">
        <x:f>'PROJECT TA Y TB KARINA'!$L34/8</x:f>
        <x:v>#REF!</x:v>
      </x:c>
      <x:c r="BO38" s="128" t="e">
        <x:f>'PROJECT TA Y TB KARINA'!$L34/8</x:f>
        <x:v>#REF!</x:v>
      </x:c>
      <x:c r="BP38" s="128" t="e">
        <x:f>'PROJECT TA Y TB KARINA'!$L34/8</x:f>
        <x:v>#REF!</x:v>
      </x:c>
      <x:c r="BQ38" s="128" t="e">
        <x:f>'PROJECT TA Y TB KARINA'!$L34/8</x:f>
        <x:v>#REF!</x:v>
      </x:c>
      <x:c r="BR38" s="128" t="e">
        <x:f>'PROJECT TA Y TB KARINA'!$L34/8</x:f>
        <x:v>#REF!</x:v>
      </x:c>
      <x:c r="BS38" s="128" t="e">
        <x:f>'PROJECT TA Y TB KARINA'!$L34/8</x:f>
        <x:v>#REF!</x:v>
      </x:c>
      <x:c r="BT38" s="128" t="e">
        <x:f>'PROJECT TA Y TB KARINA'!$L34/8</x:f>
        <x:v>#REF!</x:v>
      </x:c>
      <x:c r="BU38" s="128" t="e">
        <x:f>'PROJECT TA Y TB KARINA'!$M34/8</x:f>
        <x:v>#REF!</x:v>
      </x:c>
      <x:c r="BV38" s="128" t="e">
        <x:f>'PROJECT TA Y TB KARINA'!$M34/8</x:f>
        <x:v>#REF!</x:v>
      </x:c>
      <x:c r="BW38" s="128" t="e">
        <x:f>'PROJECT TA Y TB KARINA'!$M34/8</x:f>
        <x:v>#REF!</x:v>
      </x:c>
      <x:c r="BX38" s="128" t="e">
        <x:f>'PROJECT TA Y TB KARINA'!$M34/8</x:f>
        <x:v>#REF!</x:v>
      </x:c>
      <x:c r="BY38" s="128" t="e">
        <x:f>'PROJECT TA Y TB KARINA'!$M34/8</x:f>
        <x:v>#REF!</x:v>
      </x:c>
      <x:c r="BZ38" s="128" t="e">
        <x:f>'PROJECT TA Y TB KARINA'!$M34/8</x:f>
        <x:v>#REF!</x:v>
      </x:c>
      <x:c r="CA38" s="128" t="e">
        <x:f>'PROJECT TA Y TB KARINA'!$M34/8</x:f>
        <x:v>#REF!</x:v>
      </x:c>
      <x:c r="CB38" s="128" t="e">
        <x:f>'PROJECT TA Y TB KARINA'!$M34/8</x:f>
        <x:v>#REF!</x:v>
      </x:c>
      <x:c r="CC38" s="128" t="e">
        <x:f>'PROJECT TA Y TB KARINA'!$N34/8</x:f>
        <x:v>#REF!</x:v>
      </x:c>
      <x:c r="CD38" s="128" t="e">
        <x:f>'PROJECT TA Y TB KARINA'!$N34/8</x:f>
        <x:v>#REF!</x:v>
      </x:c>
      <x:c r="CE38" s="128" t="e">
        <x:f>'PROJECT TA Y TB KARINA'!$N34/8</x:f>
        <x:v>#REF!</x:v>
      </x:c>
      <x:c r="CF38" s="128" t="e">
        <x:f>'PROJECT TA Y TB KARINA'!$N34/8</x:f>
        <x:v>#REF!</x:v>
      </x:c>
      <x:c r="CG38" s="128" t="e">
        <x:f>'PROJECT TA Y TB KARINA'!$N34/8</x:f>
        <x:v>#REF!</x:v>
      </x:c>
      <x:c r="CH38" s="128" t="e">
        <x:f>'PROJECT TA Y TB KARINA'!$N34/8</x:f>
        <x:v>#REF!</x:v>
      </x:c>
      <x:c r="CI38" s="128" t="e">
        <x:f>'PROJECT TA Y TB KARINA'!$N34/8</x:f>
        <x:v>#REF!</x:v>
      </x:c>
      <x:c r="CJ38" s="128" t="e">
        <x:f>'PROJECT TA Y TB KARINA'!$N34/8</x:f>
        <x:v>#REF!</x:v>
      </x:c>
      <x:c r="CK38" s="128" t="e">
        <x:f>'PROJECT TA Y TB KARINA'!$O34/8</x:f>
        <x:v>#REF!</x:v>
      </x:c>
      <x:c r="CL38" s="128" t="e">
        <x:f>'PROJECT TA Y TB KARINA'!$O34/8</x:f>
        <x:v>#REF!</x:v>
      </x:c>
      <x:c r="CM38" s="128" t="e">
        <x:f>'PROJECT TA Y TB KARINA'!$O34/8</x:f>
        <x:v>#REF!</x:v>
      </x:c>
      <x:c r="CN38" s="128" t="e">
        <x:f>'PROJECT TA Y TB KARINA'!$O34/8</x:f>
        <x:v>#REF!</x:v>
      </x:c>
      <x:c r="CO38" s="128" t="e">
        <x:f>'PROJECT TA Y TB KARINA'!$O34/8</x:f>
        <x:v>#REF!</x:v>
      </x:c>
      <x:c r="CP38" s="128" t="e">
        <x:f>'PROJECT TA Y TB KARINA'!$O34/8</x:f>
        <x:v>#REF!</x:v>
      </x:c>
      <x:c r="CQ38" s="128" t="e">
        <x:f>'PROJECT TA Y TB KARINA'!$O34/8</x:f>
        <x:v>#REF!</x:v>
      </x:c>
      <x:c r="CR38" s="128" t="e">
        <x:f>'PROJECT TA Y TB KARINA'!$O34/8</x:f>
        <x:v>#REF!</x:v>
      </x:c>
      <x:c r="CS38" s="128" t="e">
        <x:f>'PROJECT TA Y TB KARINA'!$P34/8</x:f>
        <x:v>#REF!</x:v>
      </x:c>
      <x:c r="CT38" s="128" t="e">
        <x:f>'PROJECT TA Y TB KARINA'!$P34/8</x:f>
        <x:v>#REF!</x:v>
      </x:c>
      <x:c r="CU38" s="128" t="e">
        <x:f>'PROJECT TA Y TB KARINA'!$P34/8</x:f>
        <x:v>#REF!</x:v>
      </x:c>
      <x:c r="CV38" s="128" t="e">
        <x:f>'PROJECT TA Y TB KARINA'!$P34/8</x:f>
        <x:v>#REF!</x:v>
      </x:c>
      <x:c r="CW38" s="128" t="e">
        <x:f>'PROJECT TA Y TB KARINA'!$P34/8</x:f>
        <x:v>#REF!</x:v>
      </x:c>
      <x:c r="CX38" s="128" t="e">
        <x:f>'PROJECT TA Y TB KARINA'!$P34/8</x:f>
        <x:v>#REF!</x:v>
      </x:c>
      <x:c r="CY38" s="128" t="e">
        <x:f>'PROJECT TA Y TB KARINA'!$P34/8</x:f>
        <x:v>#REF!</x:v>
      </x:c>
      <x:c r="CZ38" s="128" t="e">
        <x:f>'PROJECT TA Y TB KARINA'!$P34/8</x:f>
        <x:v>#REF!</x:v>
      </x:c>
      <x:c r="DA38" s="128" t="e">
        <x:f>'PROJECT TA Y TB KARINA'!$Q34/8</x:f>
        <x:v>#REF!</x:v>
      </x:c>
      <x:c r="DB38" s="128" t="e">
        <x:f>'PROJECT TA Y TB KARINA'!$Q34/8</x:f>
        <x:v>#REF!</x:v>
      </x:c>
      <x:c r="DC38" s="128" t="e">
        <x:f>'PROJECT TA Y TB KARINA'!$Q34/8</x:f>
        <x:v>#REF!</x:v>
      </x:c>
      <x:c r="DD38" s="128" t="e">
        <x:f>'PROJECT TA Y TB KARINA'!$Q34/8</x:f>
        <x:v>#REF!</x:v>
      </x:c>
      <x:c r="DE38" s="128" t="e">
        <x:f>'PROJECT TA Y TB KARINA'!$Q34/8</x:f>
        <x:v>#REF!</x:v>
      </x:c>
      <x:c r="DF38" s="128" t="e">
        <x:f>'PROJECT TA Y TB KARINA'!$Q34/8</x:f>
        <x:v>#REF!</x:v>
      </x:c>
      <x:c r="DG38" s="128" t="e">
        <x:f>'PROJECT TA Y TB KARINA'!$Q34/8</x:f>
        <x:v>#REF!</x:v>
      </x:c>
      <x:c r="DH38" s="128" t="e">
        <x:f>'PROJECT TA Y TB KARINA'!$Q34/8</x:f>
        <x:v>#REF!</x:v>
      </x:c>
      <x:c r="DI38" s="128" t="e">
        <x:f>'PROJECT TA Y TB KARINA'!$R34/8</x:f>
        <x:v>#REF!</x:v>
      </x:c>
      <x:c r="DJ38" s="128" t="e">
        <x:f>'PROJECT TA Y TB KARINA'!$R34/8</x:f>
        <x:v>#REF!</x:v>
      </x:c>
      <x:c r="DK38" s="128" t="e">
        <x:f>'PROJECT TA Y TB KARINA'!$R34/8</x:f>
        <x:v>#REF!</x:v>
      </x:c>
      <x:c r="DL38" s="128" t="e">
        <x:f>'PROJECT TA Y TB KARINA'!$R34/8</x:f>
        <x:v>#REF!</x:v>
      </x:c>
      <x:c r="DM38" s="128" t="e">
        <x:f>'PROJECT TA Y TB KARINA'!$R34/8</x:f>
        <x:v>#REF!</x:v>
      </x:c>
      <x:c r="DN38" s="128" t="e">
        <x:f>'PROJECT TA Y TB KARINA'!$R34/8</x:f>
        <x:v>#REF!</x:v>
      </x:c>
      <x:c r="DO38" s="128" t="e">
        <x:f>'PROJECT TA Y TB KARINA'!$R34/8</x:f>
        <x:v>#REF!</x:v>
      </x:c>
      <x:c r="DP38" s="128" t="e">
        <x:f>'PROJECT TA Y TB KARINA'!$R34/8</x:f>
        <x:v>#REF!</x:v>
      </x:c>
      <x:c r="DQ38" s="128" t="e">
        <x:f>'PROJECT TA Y TB KARINA'!$S34/8</x:f>
        <x:v>#REF!</x:v>
      </x:c>
      <x:c r="DR38" s="128" t="e">
        <x:f>'PROJECT TA Y TB KARINA'!$S34/8</x:f>
        <x:v>#REF!</x:v>
      </x:c>
      <x:c r="DS38" s="128" t="e">
        <x:f>'PROJECT TA Y TB KARINA'!$S34/8</x:f>
        <x:v>#REF!</x:v>
      </x:c>
      <x:c r="DT38" s="128" t="e">
        <x:f>'PROJECT TA Y TB KARINA'!$S34/8</x:f>
        <x:v>#REF!</x:v>
      </x:c>
      <x:c r="DU38" s="128" t="e">
        <x:f>'PROJECT TA Y TB KARINA'!$S34/8</x:f>
        <x:v>#REF!</x:v>
      </x:c>
      <x:c r="DV38" s="128" t="e">
        <x:f>'PROJECT TA Y TB KARINA'!$S34/8</x:f>
        <x:v>#REF!</x:v>
      </x:c>
      <x:c r="DW38" s="128" t="e">
        <x:f>'PROJECT TA Y TB KARINA'!$S34/8</x:f>
        <x:v>#REF!</x:v>
      </x:c>
      <x:c r="DX38" s="128" t="e">
        <x:f>'PROJECT TA Y TB KARINA'!$S34/8</x:f>
        <x:v>#REF!</x:v>
      </x:c>
      <x:c r="DY38" s="128" t="e">
        <x:f>'PROJECT TA Y TB KARINA'!$T34/8</x:f>
        <x:v>#REF!</x:v>
      </x:c>
      <x:c r="DZ38" s="128" t="e">
        <x:f>'PROJECT TA Y TB KARINA'!$T34/8</x:f>
        <x:v>#REF!</x:v>
      </x:c>
      <x:c r="EA38" s="128" t="e">
        <x:f>'PROJECT TA Y TB KARINA'!$T34/8</x:f>
        <x:v>#REF!</x:v>
      </x:c>
      <x:c r="EB38" s="128" t="e">
        <x:f>'PROJECT TA Y TB KARINA'!$T34/8</x:f>
        <x:v>#REF!</x:v>
      </x:c>
      <x:c r="EC38" s="128" t="e">
        <x:f>'PROJECT TA Y TB KARINA'!$T34/8</x:f>
        <x:v>#REF!</x:v>
      </x:c>
      <x:c r="ED38" s="128" t="e">
        <x:f>'PROJECT TA Y TB KARINA'!$T34/8</x:f>
        <x:v>#REF!</x:v>
      </x:c>
      <x:c r="EE38" s="128" t="e">
        <x:f>'PROJECT TA Y TB KARINA'!$T34/8</x:f>
        <x:v>#REF!</x:v>
      </x:c>
      <x:c r="EF38" s="128" t="e">
        <x:f>'PROJECT TA Y TB KARINA'!$T34/8</x:f>
        <x:v>#REF!</x:v>
      </x:c>
      <x:c r="EG38" s="128" t="e">
        <x:f>'PROJECT TA Y TB KARINA'!#REF!/8</x:f>
        <x:v>#NAME?</x:v>
      </x:c>
      <x:c r="EH38" s="128" t="e">
        <x:f>'PROJECT TA Y TB KARINA'!#REF!/8</x:f>
        <x:v>#NAME?</x:v>
      </x:c>
      <x:c r="EI38" s="128" t="e">
        <x:f>'PROJECT TA Y TB KARINA'!#REF!/8</x:f>
        <x:v>#NAME?</x:v>
      </x:c>
      <x:c r="EJ38" s="128" t="e">
        <x:f>'PROJECT TA Y TB KARINA'!#REF!/8</x:f>
        <x:v>#NAME?</x:v>
      </x:c>
      <x:c r="EK38" s="128" t="e">
        <x:f>'PROJECT TA Y TB KARINA'!#REF!/8</x:f>
        <x:v>#NAME?</x:v>
      </x:c>
      <x:c r="EL38" s="128" t="e">
        <x:f>'PROJECT TA Y TB KARINA'!#REF!/8</x:f>
        <x:v>#NAME?</x:v>
      </x:c>
      <x:c r="EM38" s="128" t="e">
        <x:f>'PROJECT TA Y TB KARINA'!#REF!/8</x:f>
        <x:v>#NAME?</x:v>
      </x:c>
      <x:c r="EN38" s="128" t="e">
        <x:f>'PROJECT TA Y TB KARINA'!#REF!/8</x:f>
        <x:v>#NAME?</x:v>
      </x:c>
      <x:c r="EO38" s="128" t="n">
        <x:f>'PROJECT TA Y TB KARINA'!$C92/8</x:f>
        <x:v>0</x:v>
      </x:c>
      <x:c r="EP38" s="128" t="n">
        <x:f>'PROJECT TA Y TB KARINA'!$C92/8</x:f>
        <x:v>0</x:v>
      </x:c>
      <x:c r="EQ38" s="128" t="n">
        <x:f>'PROJECT TA Y TB KARINA'!$C92/8</x:f>
        <x:v>0</x:v>
      </x:c>
      <x:c r="ER38" s="128" t="n">
        <x:f>'PROJECT TA Y TB KARINA'!$C92/8</x:f>
        <x:v>0</x:v>
      </x:c>
      <x:c r="ES38" s="128" t="n">
        <x:f>'PROJECT TA Y TB KARINA'!$C92/8</x:f>
        <x:v>0</x:v>
      </x:c>
      <x:c r="ET38" s="128" t="n">
        <x:f>'PROJECT TA Y TB KARINA'!$C92/8</x:f>
        <x:v>0</x:v>
      </x:c>
      <x:c r="EU38" s="128" t="n">
        <x:f>'PROJECT TA Y TB KARINA'!$C92/8</x:f>
        <x:v>0</x:v>
      </x:c>
      <x:c r="EV38" s="128" t="n">
        <x:f>'PROJECT TA Y TB KARINA'!$E92/8</x:f>
        <x:v>0</x:v>
      </x:c>
      <x:c r="EW38" s="128" t="n">
        <x:f>'PROJECT TA Y TB KARINA'!$E92/8</x:f>
        <x:v>0</x:v>
      </x:c>
      <x:c r="EX38" s="128" t="n">
        <x:f>'PROJECT TA Y TB KARINA'!$E92/8</x:f>
        <x:v>0</x:v>
      </x:c>
      <x:c r="EY38" s="128" t="n">
        <x:f>'PROJECT TA Y TB KARINA'!$E92/8</x:f>
        <x:v>0</x:v>
      </x:c>
      <x:c r="EZ38" s="128" t="n">
        <x:f>'PROJECT TA Y TB KARINA'!$E92/8</x:f>
        <x:v>0</x:v>
      </x:c>
      <x:c r="FA38" s="128" t="n">
        <x:f>'PROJECT TA Y TB KARINA'!$E92/8</x:f>
        <x:v>0</x:v>
      </x:c>
      <x:c r="FB38" s="128" t="n">
        <x:f>'PROJECT TA Y TB KARINA'!$E92/8</x:f>
        <x:v>0</x:v>
      </x:c>
      <x:c r="FC38" s="128" t="n">
        <x:f>'PROJECT TA Y TB KARINA'!$E92/8</x:f>
        <x:v>0</x:v>
      </x:c>
      <x:c r="FD38" s="128" t="n">
        <x:f>'PROJECT TA Y TB KARINA'!$F92/8</x:f>
        <x:v>0</x:v>
      </x:c>
      <x:c r="FE38" s="128" t="n">
        <x:f>'PROJECT TA Y TB KARINA'!$F92/8</x:f>
        <x:v>0</x:v>
      </x:c>
      <x:c r="FF38" s="128" t="n">
        <x:f>'PROJECT TA Y TB KARINA'!$F92/8</x:f>
        <x:v>0</x:v>
      </x:c>
      <x:c r="FG38" s="128" t="n">
        <x:f>'PROJECT TA Y TB KARINA'!$F92/8</x:f>
        <x:v>0</x:v>
      </x:c>
      <x:c r="FH38" s="128" t="n">
        <x:f>'PROJECT TA Y TB KARINA'!$F92/8</x:f>
        <x:v>0</x:v>
      </x:c>
      <x:c r="FI38" s="128" t="n">
        <x:f>'PROJECT TA Y TB KARINA'!$F92/8</x:f>
        <x:v>0</x:v>
      </x:c>
      <x:c r="FJ38" s="128" t="n">
        <x:f>'PROJECT TA Y TB KARINA'!$F92/8</x:f>
        <x:v>0</x:v>
      </x:c>
      <x:c r="FK38" s="128" t="n">
        <x:f>'PROJECT TA Y TB KARINA'!$F92/8</x:f>
        <x:v>0</x:v>
      </x:c>
      <x:c r="FL38" s="128" t="n">
        <x:f>'PROJECT TA Y TB KARINA'!$G92/8</x:f>
        <x:v>0</x:v>
      </x:c>
      <x:c r="FM38" s="128" t="n">
        <x:f>'PROJECT TA Y TB KARINA'!$G92/8</x:f>
        <x:v>0</x:v>
      </x:c>
      <x:c r="FN38" s="128" t="n">
        <x:f>'PROJECT TA Y TB KARINA'!$G92/8</x:f>
        <x:v>0</x:v>
      </x:c>
      <x:c r="FO38" s="128" t="n">
        <x:f>'PROJECT TA Y TB KARINA'!$G92/8</x:f>
        <x:v>0</x:v>
      </x:c>
      <x:c r="FP38" s="128" t="n">
        <x:f>'PROJECT TA Y TB KARINA'!$G92/8</x:f>
        <x:v>0</x:v>
      </x:c>
      <x:c r="FQ38" s="128" t="n">
        <x:f>'PROJECT TA Y TB KARINA'!$G92/8</x:f>
        <x:v>0</x:v>
      </x:c>
      <x:c r="FR38" s="128" t="n">
        <x:f>'PROJECT TA Y TB KARINA'!$G92/8</x:f>
        <x:v>0</x:v>
      </x:c>
      <x:c r="FS38" s="128" t="n">
        <x:f>'PROJECT TA Y TB KARINA'!$G92/8</x:f>
        <x:v>0</x:v>
      </x:c>
      <x:c r="FT38" s="128" t="n">
        <x:f>'PROJECT TA Y TB KARINA'!$H92/8</x:f>
        <x:v>0</x:v>
      </x:c>
      <x:c r="FU38" s="128" t="n">
        <x:f>'PROJECT TA Y TB KARINA'!$H92/8</x:f>
        <x:v>0</x:v>
      </x:c>
      <x:c r="FV38" s="128" t="n">
        <x:f>'PROJECT TA Y TB KARINA'!$H92/8</x:f>
        <x:v>0</x:v>
      </x:c>
      <x:c r="FW38" s="128" t="n">
        <x:f>'PROJECT TA Y TB KARINA'!$H92/8</x:f>
        <x:v>0</x:v>
      </x:c>
      <x:c r="FX38" s="128" t="n">
        <x:f>'PROJECT TA Y TB KARINA'!$H92/8</x:f>
        <x:v>0</x:v>
      </x:c>
      <x:c r="FY38" s="128" t="n">
        <x:f>'PROJECT TA Y TB KARINA'!$H92/8</x:f>
        <x:v>0</x:v>
      </x:c>
      <x:c r="FZ38" s="128" t="n">
        <x:f>'PROJECT TA Y TB KARINA'!$H92/8</x:f>
        <x:v>0</x:v>
      </x:c>
      <x:c r="GA38" s="128" t="n">
        <x:f>'PROJECT TA Y TB KARINA'!$H92/8</x:f>
        <x:v>0</x:v>
      </x:c>
      <x:c r="GB38" s="128" t="n">
        <x:f>'PROJECT TA Y TB KARINA'!$I92/8</x:f>
        <x:v>0</x:v>
      </x:c>
      <x:c r="GC38" s="128" t="n">
        <x:f>'PROJECT TA Y TB KARINA'!$I92/8</x:f>
        <x:v>0</x:v>
      </x:c>
      <x:c r="GD38" s="128" t="n">
        <x:f>'PROJECT TA Y TB KARINA'!$I92/8</x:f>
        <x:v>0</x:v>
      </x:c>
      <x:c r="GE38" s="128" t="n">
        <x:f>'PROJECT TA Y TB KARINA'!$I92/8</x:f>
        <x:v>0</x:v>
      </x:c>
      <x:c r="GF38" s="128" t="n">
        <x:f>'PROJECT TA Y TB KARINA'!$I92/8</x:f>
        <x:v>0</x:v>
      </x:c>
      <x:c r="GG38" s="128" t="n">
        <x:f>'PROJECT TA Y TB KARINA'!$I92/8</x:f>
        <x:v>0</x:v>
      </x:c>
      <x:c r="GH38" s="128" t="n">
        <x:f>'PROJECT TA Y TB KARINA'!$I92/8</x:f>
        <x:v>0</x:v>
      </x:c>
      <x:c r="GI38" s="128" t="n">
        <x:f>'PROJECT TA Y TB KARINA'!$I92/8</x:f>
        <x:v>0</x:v>
      </x:c>
      <x:c r="GJ38" s="128" t="n">
        <x:f>'PROJECT TA Y TB KARINA'!$J92/8</x:f>
        <x:v>0</x:v>
      </x:c>
      <x:c r="GK38" s="128" t="n">
        <x:f>'PROJECT TA Y TB KARINA'!$J92/8</x:f>
        <x:v>0</x:v>
      </x:c>
      <x:c r="GL38" s="128" t="n">
        <x:f>'PROJECT TA Y TB KARINA'!$J92/8</x:f>
        <x:v>0</x:v>
      </x:c>
      <x:c r="GM38" s="128" t="n">
        <x:f>'PROJECT TA Y TB KARINA'!$J92/8</x:f>
        <x:v>0</x:v>
      </x:c>
      <x:c r="GN38" s="128" t="n">
        <x:f>'PROJECT TA Y TB KARINA'!$J92/8</x:f>
        <x:v>0</x:v>
      </x:c>
      <x:c r="GO38" s="128" t="n">
        <x:f>'PROJECT TA Y TB KARINA'!$J92/8</x:f>
        <x:v>0</x:v>
      </x:c>
      <x:c r="GP38" s="128" t="n">
        <x:f>'PROJECT TA Y TB KARINA'!$J92/8</x:f>
        <x:v>0</x:v>
      </x:c>
      <x:c r="GQ38" s="128" t="n">
        <x:f>'PROJECT TA Y TB KARINA'!$J92/8</x:f>
        <x:v>0</x:v>
      </x:c>
      <x:c r="GR38" s="128" t="n">
        <x:f>'PROJECT TA Y TB KARINA'!$K92/8</x:f>
        <x:v>0</x:v>
      </x:c>
      <x:c r="GS38" s="128" t="n">
        <x:f>'PROJECT TA Y TB KARINA'!$K92/8</x:f>
        <x:v>0</x:v>
      </x:c>
      <x:c r="GT38" s="128" t="n">
        <x:f>'PROJECT TA Y TB KARINA'!$K92/8</x:f>
        <x:v>0</x:v>
      </x:c>
      <x:c r="GU38" s="128" t="n">
        <x:f>'PROJECT TA Y TB KARINA'!$K92/8</x:f>
        <x:v>0</x:v>
      </x:c>
      <x:c r="GV38" s="128" t="n">
        <x:f>'PROJECT TA Y TB KARINA'!$K92/8</x:f>
        <x:v>0</x:v>
      </x:c>
      <x:c r="GW38" s="128" t="n">
        <x:f>'PROJECT TA Y TB KARINA'!$K92/8</x:f>
        <x:v>0</x:v>
      </x:c>
      <x:c r="GX38" s="128" t="n">
        <x:f>'PROJECT TA Y TB KARINA'!$K92/8</x:f>
        <x:v>0</x:v>
      </x:c>
      <x:c r="GY38" s="128" t="n">
        <x:f>'PROJECT TA Y TB KARINA'!$K92/8</x:f>
        <x:v>0</x:v>
      </x:c>
      <x:c r="GZ38" s="128" t="n">
        <x:f>'PROJECT TA Y TB KARINA'!$L92/8</x:f>
        <x:v>0</x:v>
      </x:c>
      <x:c r="HA38" s="128" t="n">
        <x:f>'PROJECT TA Y TB KARINA'!$L92/8</x:f>
        <x:v>0</x:v>
      </x:c>
      <x:c r="HB38" s="128" t="n">
        <x:f>'PROJECT TA Y TB KARINA'!$L92/8</x:f>
        <x:v>0</x:v>
      </x:c>
      <x:c r="HC38" s="128" t="n">
        <x:f>'PROJECT TA Y TB KARINA'!$L92/8</x:f>
        <x:v>0</x:v>
      </x:c>
      <x:c r="HD38" s="128" t="n">
        <x:f>'PROJECT TA Y TB KARINA'!$L92/8</x:f>
        <x:v>0</x:v>
      </x:c>
      <x:c r="HE38" s="128" t="n">
        <x:f>'PROJECT TA Y TB KARINA'!$L92/8</x:f>
        <x:v>0</x:v>
      </x:c>
      <x:c r="HF38" s="128" t="n">
        <x:f>'PROJECT TA Y TB KARINA'!$L92/8</x:f>
        <x:v>0</x:v>
      </x:c>
      <x:c r="HG38" s="128" t="n">
        <x:f>'PROJECT TA Y TB KARINA'!$L92/8</x:f>
        <x:v>0</x:v>
      </x:c>
      <x:c r="HH38" s="128" t="n">
        <x:f>'PROJECT TA Y TB KARINA'!$M92/8</x:f>
        <x:v>0</x:v>
      </x:c>
      <x:c r="HI38" s="128" t="n">
        <x:f>'PROJECT TA Y TB KARINA'!$M92/8</x:f>
        <x:v>0</x:v>
      </x:c>
      <x:c r="HJ38" s="128" t="n">
        <x:f>'PROJECT TA Y TB KARINA'!$M92/8</x:f>
        <x:v>0</x:v>
      </x:c>
      <x:c r="HK38" s="128" t="n">
        <x:f>'PROJECT TA Y TB KARINA'!$M92/8</x:f>
        <x:v>0</x:v>
      </x:c>
      <x:c r="HL38" s="128" t="n">
        <x:f>'PROJECT TA Y TB KARINA'!$M92/8</x:f>
        <x:v>0</x:v>
      </x:c>
      <x:c r="HM38" s="128" t="n">
        <x:f>'PROJECT TA Y TB KARINA'!$M92/8</x:f>
        <x:v>0</x:v>
      </x:c>
      <x:c r="HN38" s="128" t="n">
        <x:f>'PROJECT TA Y TB KARINA'!$M92/8</x:f>
        <x:v>0</x:v>
      </x:c>
      <x:c r="HO38" s="128" t="n">
        <x:f>'PROJECT TA Y TB KARINA'!$M92/8</x:f>
        <x:v>0</x:v>
      </x:c>
      <x:c r="HP38" s="128" t="n">
        <x:f>'PROJECT TA Y TB KARINA'!$N92/8</x:f>
        <x:v>0</x:v>
      </x:c>
      <x:c r="HQ38" s="128" t="n">
        <x:f>'PROJECT TA Y TB KARINA'!$N92/8</x:f>
        <x:v>0</x:v>
      </x:c>
      <x:c r="HR38" s="128" t="n">
        <x:f>'PROJECT TA Y TB KARINA'!$N92/8</x:f>
        <x:v>0</x:v>
      </x:c>
      <x:c r="HS38" s="128" t="n">
        <x:f>'PROJECT TA Y TB KARINA'!$N92/8</x:f>
        <x:v>0</x:v>
      </x:c>
      <x:c r="HT38" s="128" t="n">
        <x:f>'PROJECT TA Y TB KARINA'!$N92/8</x:f>
        <x:v>0</x:v>
      </x:c>
      <x:c r="HU38" s="128" t="n">
        <x:f>'PROJECT TA Y TB KARINA'!$N92/8</x:f>
        <x:v>0</x:v>
      </x:c>
      <x:c r="HV38" s="128" t="n">
        <x:f>'PROJECT TA Y TB KARINA'!$N92/8</x:f>
        <x:v>0</x:v>
      </x:c>
      <x:c r="HW38" s="128" t="n">
        <x:f>'PROJECT TA Y TB KARINA'!$N92/8</x:f>
        <x:v>0</x:v>
      </x:c>
      <x:c r="HX38" s="128" t="n">
        <x:f>'PROJECT TA Y TB KARINA'!$O92/8</x:f>
        <x:v>0</x:v>
      </x:c>
      <x:c r="HY38" s="128" t="n">
        <x:f>'PROJECT TA Y TB KARINA'!$O92/8</x:f>
        <x:v>0</x:v>
      </x:c>
      <x:c r="HZ38" s="128" t="n">
        <x:f>'PROJECT TA Y TB KARINA'!$O92/8</x:f>
        <x:v>0</x:v>
      </x:c>
      <x:c r="IA38" s="128" t="n">
        <x:f>'PROJECT TA Y TB KARINA'!$O92/8</x:f>
        <x:v>0</x:v>
      </x:c>
      <x:c r="IB38" s="128" t="n">
        <x:f>'PROJECT TA Y TB KARINA'!$O92/8</x:f>
        <x:v>0</x:v>
      </x:c>
      <x:c r="IC38" s="128" t="n">
        <x:f>'PROJECT TA Y TB KARINA'!$O92/8</x:f>
        <x:v>0</x:v>
      </x:c>
      <x:c r="ID38" s="128" t="n">
        <x:f>'PROJECT TA Y TB KARINA'!$O92/8</x:f>
        <x:v>0</x:v>
      </x:c>
      <x:c r="IE38" s="128" t="n">
        <x:f>'PROJECT TA Y TB KARINA'!$O92/8</x:f>
        <x:v>0</x:v>
      </x:c>
      <x:c r="IF38" s="128" t="n">
        <x:f>'PROJECT TA Y TB KARINA'!$P92/8</x:f>
        <x:v>0</x:v>
      </x:c>
      <x:c r="IG38" s="128" t="n">
        <x:f>'PROJECT TA Y TB KARINA'!$P92/8</x:f>
        <x:v>0</x:v>
      </x:c>
      <x:c r="IH38" s="128" t="n">
        <x:f>'PROJECT TA Y TB KARINA'!$P92/8</x:f>
        <x:v>0</x:v>
      </x:c>
      <x:c r="II38" s="128" t="n">
        <x:f>'PROJECT TA Y TB KARINA'!$P92/8</x:f>
        <x:v>0</x:v>
      </x:c>
      <x:c r="IJ38" s="128" t="n">
        <x:f>'PROJECT TA Y TB KARINA'!$P92/8</x:f>
        <x:v>0</x:v>
      </x:c>
      <x:c r="IK38" s="128" t="n">
        <x:f>'PROJECT TA Y TB KARINA'!$P92/8</x:f>
        <x:v>0</x:v>
      </x:c>
      <x:c r="IL38" s="128" t="n">
        <x:f>'PROJECT TA Y TB KARINA'!$P92/8</x:f>
        <x:v>0</x:v>
      </x:c>
      <x:c r="IM38" s="128" t="n">
        <x:f>'PROJECT TA Y TB KARINA'!$P92/8</x:f>
        <x:v>0</x:v>
      </x:c>
      <x:c r="IN38" s="128" t="n">
        <x:f>'PROJECT TA Y TB KARINA'!$Q92/8</x:f>
        <x:v>0</x:v>
      </x:c>
      <x:c r="IO38" s="128" t="n">
        <x:f>'PROJECT TA Y TB KARINA'!$Q92/8</x:f>
        <x:v>0</x:v>
      </x:c>
      <x:c r="IP38" s="128" t="n">
        <x:f>'PROJECT TA Y TB KARINA'!$Q92/8</x:f>
        <x:v>0</x:v>
      </x:c>
      <x:c r="IQ38" s="128" t="n">
        <x:f>'PROJECT TA Y TB KARINA'!$Q92/8</x:f>
        <x:v>0</x:v>
      </x:c>
      <x:c r="IR38" s="128" t="n">
        <x:f>'PROJECT TA Y TB KARINA'!$Q92/8</x:f>
        <x:v>0</x:v>
      </x:c>
      <x:c r="IS38" s="128" t="n">
        <x:f>'PROJECT TA Y TB KARINA'!$Q92/8</x:f>
        <x:v>0</x:v>
      </x:c>
      <x:c r="IT38" s="128" t="n">
        <x:f>'PROJECT TA Y TB KARINA'!$Q92/8</x:f>
        <x:v>0</x:v>
      </x:c>
      <x:c r="IU38" s="128" t="n">
        <x:f>'PROJECT TA Y TB KARINA'!$Q92/8</x:f>
        <x:v>0</x:v>
      </x:c>
      <x:c r="IV38" s="128" t="n">
        <x:f>'PROJECT TA Y TB KARINA'!$R92/8</x:f>
        <x:v>0</x:v>
      </x:c>
      <x:c r="IW38" s="128" t="n">
        <x:f>'PROJECT TA Y TB KARINA'!$R92/8</x:f>
        <x:v>0</x:v>
      </x:c>
      <x:c r="IX38" s="128" t="n">
        <x:f>'PROJECT TA Y TB KARINA'!$R92/8</x:f>
        <x:v>0</x:v>
      </x:c>
      <x:c r="IY38" s="128" t="n">
        <x:f>'PROJECT TA Y TB KARINA'!$R92/8</x:f>
        <x:v>0</x:v>
      </x:c>
      <x:c r="IZ38" s="128" t="n">
        <x:f>'PROJECT TA Y TB KARINA'!$R92/8</x:f>
        <x:v>0</x:v>
      </x:c>
      <x:c r="JA38" s="128" t="n">
        <x:f>'PROJECT TA Y TB KARINA'!$R92/8</x:f>
        <x:v>0</x:v>
      </x:c>
      <x:c r="JB38" s="128" t="n">
        <x:f>'PROJECT TA Y TB KARINA'!$R92/8</x:f>
        <x:v>0</x:v>
      </x:c>
      <x:c r="JC38" s="128" t="n">
        <x:f>'PROJECT TA Y TB KARINA'!$R92/8</x:f>
        <x:v>0</x:v>
      </x:c>
      <x:c r="JD38" s="128" t="n">
        <x:f>'PROJECT TA Y TB KARINA'!$S92/8</x:f>
        <x:v>0</x:v>
      </x:c>
      <x:c r="JE38" s="128" t="n">
        <x:f>'PROJECT TA Y TB KARINA'!$S92/8</x:f>
        <x:v>0</x:v>
      </x:c>
      <x:c r="JF38" s="128" t="n">
        <x:f>'PROJECT TA Y TB KARINA'!$S92/8</x:f>
        <x:v>0</x:v>
      </x:c>
      <x:c r="JG38" s="128" t="n">
        <x:f>'PROJECT TA Y TB KARINA'!$S92/8</x:f>
        <x:v>0</x:v>
      </x:c>
      <x:c r="JH38" s="128" t="n">
        <x:f>'PROJECT TA Y TB KARINA'!$S92/8</x:f>
        <x:v>0</x:v>
      </x:c>
      <x:c r="JI38" s="128" t="n">
        <x:f>'PROJECT TA Y TB KARINA'!$S92/8</x:f>
        <x:v>0</x:v>
      </x:c>
      <x:c r="JJ38" s="128" t="n">
        <x:f>'PROJECT TA Y TB KARINA'!$S92/8</x:f>
        <x:v>0</x:v>
      </x:c>
      <x:c r="JK38" s="128" t="n">
        <x:f>'PROJECT TA Y TB KARINA'!$S92/8</x:f>
        <x:v>0</x:v>
      </x:c>
      <x:c r="JL38" s="128" t="n">
        <x:f>'PROJECT TA Y TB KARINA'!$T92/8</x:f>
        <x:v>0</x:v>
      </x:c>
      <x:c r="JM38" s="128" t="n">
        <x:f>'PROJECT TA Y TB KARINA'!$T92/8</x:f>
        <x:v>0</x:v>
      </x:c>
      <x:c r="JN38" s="128" t="n">
        <x:f>'PROJECT TA Y TB KARINA'!$T92/8</x:f>
        <x:v>0</x:v>
      </x:c>
      <x:c r="JO38" s="128" t="n">
        <x:f>'PROJECT TA Y TB KARINA'!$T92/8</x:f>
        <x:v>0</x:v>
      </x:c>
      <x:c r="JP38" s="128" t="n">
        <x:f>'PROJECT TA Y TB KARINA'!$T92/8</x:f>
        <x:v>0</x:v>
      </x:c>
      <x:c r="JQ38" s="128" t="n">
        <x:f>'PROJECT TA Y TB KARINA'!$T92/8</x:f>
        <x:v>0</x:v>
      </x:c>
      <x:c r="JR38" s="128" t="n">
        <x:f>'PROJECT TA Y TB KARINA'!$T92/8</x:f>
        <x:v>0</x:v>
      </x:c>
      <x:c r="JS38" s="128" t="n">
        <x:f>'PROJECT TA Y TB KARINA'!$T92/8</x:f>
        <x:v>0</x:v>
      </x:c>
      <x:c r="JT38" s="128" t="e">
        <x:f>'PROJECT TA Y TB KARINA'!#REF!/8</x:f>
        <x:v>#NAME?</x:v>
      </x:c>
      <x:c r="JU38" s="128" t="e">
        <x:f>'PROJECT TA Y TB KARINA'!#REF!/8</x:f>
        <x:v>#NAME?</x:v>
      </x:c>
      <x:c r="JV38" s="128" t="e">
        <x:f>'PROJECT TA Y TB KARINA'!#REF!/8</x:f>
        <x:v>#NAME?</x:v>
      </x:c>
      <x:c r="JW38" s="128" t="e">
        <x:f>'PROJECT TA Y TB KARINA'!#REF!/8</x:f>
        <x:v>#NAME?</x:v>
      </x:c>
      <x:c r="JX38" s="128" t="e">
        <x:f>'PROJECT TA Y TB KARINA'!#REF!/8</x:f>
        <x:v>#NAME?</x:v>
      </x:c>
      <x:c r="JY38" s="128" t="e">
        <x:f>'PROJECT TA Y TB KARINA'!#REF!/8</x:f>
        <x:v>#NAME?</x:v>
      </x:c>
      <x:c r="JZ38" s="128" t="e">
        <x:f>'PROJECT TA Y TB KARINA'!#REF!/8</x:f>
        <x:v>#NAME?</x:v>
      </x:c>
      <x:c r="KA38" s="128" t="e">
        <x:f>'PROJECT TA Y TB KARINA'!#REF!/8</x:f>
        <x:v>#NAME?</x:v>
      </x:c>
    </x:row>
    <x:row r="39" ht="21">
      <x:c r="A39" s="130" t="s">
        <x:v>524</x:v>
      </x:c>
      <x:c r="B39" s="128" t="e">
        <x:f>'PROJECT TA Y TB KARINA'!$C$35/8</x:f>
        <x:v>#REF!</x:v>
      </x:c>
      <x:c r="C39" s="128" t="e">
        <x:f>'PROJECT TA Y TB KARINA'!$C$35/8</x:f>
        <x:v>#REF!</x:v>
      </x:c>
      <x:c r="D39" s="128" t="e">
        <x:f>'PROJECT TA Y TB KARINA'!$C$35/8</x:f>
        <x:v>#REF!</x:v>
      </x:c>
      <x:c r="E39" s="128" t="e">
        <x:f>'PROJECT TA Y TB KARINA'!$C$35/8</x:f>
        <x:v>#REF!</x:v>
      </x:c>
      <x:c r="F39" s="128" t="e">
        <x:f>'PROJECT TA Y TB KARINA'!$C$35/8</x:f>
        <x:v>#REF!</x:v>
      </x:c>
      <x:c r="G39" s="128" t="e">
        <x:f>'PROJECT TA Y TB KARINA'!$C$35/8</x:f>
        <x:v>#REF!</x:v>
      </x:c>
      <x:c r="H39" s="128" t="e">
        <x:f>'PROJECT TA Y TB KARINA'!$C$35/8</x:f>
        <x:v>#REF!</x:v>
      </x:c>
      <x:c r="I39" s="128" t="e">
        <x:f>'PROJECT TA Y TB KARINA'!$E35/8</x:f>
        <x:v>#REF!</x:v>
      </x:c>
      <x:c r="J39" s="128" t="e">
        <x:f>'PROJECT TA Y TB KARINA'!$E35/8</x:f>
        <x:v>#REF!</x:v>
      </x:c>
      <x:c r="K39" s="128" t="e">
        <x:f>'PROJECT TA Y TB KARINA'!$E35/8</x:f>
        <x:v>#REF!</x:v>
      </x:c>
      <x:c r="L39" s="128" t="e">
        <x:f>'PROJECT TA Y TB KARINA'!$E35/8</x:f>
        <x:v>#REF!</x:v>
      </x:c>
      <x:c r="M39" s="128" t="e">
        <x:f>'PROJECT TA Y TB KARINA'!$E35/8</x:f>
        <x:v>#REF!</x:v>
      </x:c>
      <x:c r="N39" s="128" t="e">
        <x:f>'PROJECT TA Y TB KARINA'!$E35/8</x:f>
        <x:v>#REF!</x:v>
      </x:c>
      <x:c r="O39" s="128" t="e">
        <x:f>'PROJECT TA Y TB KARINA'!$E35/8</x:f>
        <x:v>#REF!</x:v>
      </x:c>
      <x:c r="P39" s="128" t="e">
        <x:f>'PROJECT TA Y TB KARINA'!$E35/8</x:f>
        <x:v>#REF!</x:v>
      </x:c>
      <x:c r="Q39" s="128" t="e">
        <x:f>'PROJECT TA Y TB KARINA'!$F35/8</x:f>
        <x:v>#REF!</x:v>
      </x:c>
      <x:c r="R39" s="128" t="e">
        <x:f>'PROJECT TA Y TB KARINA'!$F35/8</x:f>
        <x:v>#REF!</x:v>
      </x:c>
      <x:c r="S39" s="128" t="e">
        <x:f>'PROJECT TA Y TB KARINA'!$F35/8</x:f>
        <x:v>#REF!</x:v>
      </x:c>
      <x:c r="T39" s="128" t="e">
        <x:f>'PROJECT TA Y TB KARINA'!$F35/8</x:f>
        <x:v>#REF!</x:v>
      </x:c>
      <x:c r="U39" s="128" t="e">
        <x:f>'PROJECT TA Y TB KARINA'!$F35/8</x:f>
        <x:v>#REF!</x:v>
      </x:c>
      <x:c r="V39" s="128" t="e">
        <x:f>'PROJECT TA Y TB KARINA'!$F35/8</x:f>
        <x:v>#REF!</x:v>
      </x:c>
      <x:c r="W39" s="128" t="e">
        <x:f>'PROJECT TA Y TB KARINA'!$F35/8</x:f>
        <x:v>#REF!</x:v>
      </x:c>
      <x:c r="X39" s="128" t="e">
        <x:f>'PROJECT TA Y TB KARINA'!$F35/8</x:f>
        <x:v>#REF!</x:v>
      </x:c>
      <x:c r="Y39" s="128" t="e">
        <x:f>'PROJECT TA Y TB KARINA'!$G35/8</x:f>
        <x:v>#REF!</x:v>
      </x:c>
      <x:c r="Z39" s="128" t="e">
        <x:f>'PROJECT TA Y TB KARINA'!$G35/8</x:f>
        <x:v>#REF!</x:v>
      </x:c>
      <x:c r="AA39" s="128" t="e">
        <x:f>'PROJECT TA Y TB KARINA'!$G35/8</x:f>
        <x:v>#REF!</x:v>
      </x:c>
      <x:c r="AB39" s="128" t="e">
        <x:f>'PROJECT TA Y TB KARINA'!$G35/8</x:f>
        <x:v>#REF!</x:v>
      </x:c>
      <x:c r="AC39" s="128" t="e">
        <x:f>'PROJECT TA Y TB KARINA'!$G35/8</x:f>
        <x:v>#REF!</x:v>
      </x:c>
      <x:c r="AD39" s="128" t="e">
        <x:f>'PROJECT TA Y TB KARINA'!$G35/8</x:f>
        <x:v>#REF!</x:v>
      </x:c>
      <x:c r="AE39" s="128" t="e">
        <x:f>'PROJECT TA Y TB KARINA'!$G35/8</x:f>
        <x:v>#REF!</x:v>
      </x:c>
      <x:c r="AF39" s="128" t="e">
        <x:f>'PROJECT TA Y TB KARINA'!$G35/8</x:f>
        <x:v>#REF!</x:v>
      </x:c>
      <x:c r="AG39" s="128" t="e">
        <x:f>'PROJECT TA Y TB KARINA'!$H35/8</x:f>
        <x:v>#REF!</x:v>
      </x:c>
      <x:c r="AH39" s="128" t="e">
        <x:f>'PROJECT TA Y TB KARINA'!$H35/8</x:f>
        <x:v>#REF!</x:v>
      </x:c>
      <x:c r="AI39" s="128" t="e">
        <x:f>'PROJECT TA Y TB KARINA'!$H35/8</x:f>
        <x:v>#REF!</x:v>
      </x:c>
      <x:c r="AJ39" s="128" t="e">
        <x:f>'PROJECT TA Y TB KARINA'!$H35/8</x:f>
        <x:v>#REF!</x:v>
      </x:c>
      <x:c r="AK39" s="128" t="e">
        <x:f>'PROJECT TA Y TB KARINA'!$H35/8</x:f>
        <x:v>#REF!</x:v>
      </x:c>
      <x:c r="AL39" s="128" t="e">
        <x:f>'PROJECT TA Y TB KARINA'!$H35/8</x:f>
        <x:v>#REF!</x:v>
      </x:c>
      <x:c r="AM39" s="128" t="e">
        <x:f>'PROJECT TA Y TB KARINA'!$H35/8</x:f>
        <x:v>#REF!</x:v>
      </x:c>
      <x:c r="AN39" s="128" t="e">
        <x:f>'PROJECT TA Y TB KARINA'!$H35/8</x:f>
        <x:v>#REF!</x:v>
      </x:c>
      <x:c r="AO39" s="128" t="e">
        <x:f>'PROJECT TA Y TB KARINA'!$I35/8</x:f>
        <x:v>#REF!</x:v>
      </x:c>
      <x:c r="AP39" s="128" t="e">
        <x:f>'PROJECT TA Y TB KARINA'!$I35/8</x:f>
        <x:v>#REF!</x:v>
      </x:c>
      <x:c r="AQ39" s="128" t="e">
        <x:f>'PROJECT TA Y TB KARINA'!$I35/8</x:f>
        <x:v>#REF!</x:v>
      </x:c>
      <x:c r="AR39" s="128" t="e">
        <x:f>'PROJECT TA Y TB KARINA'!$I35/8</x:f>
        <x:v>#REF!</x:v>
      </x:c>
      <x:c r="AS39" s="128" t="e">
        <x:f>'PROJECT TA Y TB KARINA'!$I35/8</x:f>
        <x:v>#REF!</x:v>
      </x:c>
      <x:c r="AT39" s="128" t="e">
        <x:f>'PROJECT TA Y TB KARINA'!$I35/8</x:f>
        <x:v>#REF!</x:v>
      </x:c>
      <x:c r="AU39" s="128" t="e">
        <x:f>'PROJECT TA Y TB KARINA'!$I35/8</x:f>
        <x:v>#REF!</x:v>
      </x:c>
      <x:c r="AV39" s="128" t="e">
        <x:f>'PROJECT TA Y TB KARINA'!$I35/8</x:f>
        <x:v>#REF!</x:v>
      </x:c>
      <x:c r="AW39" s="128" t="e">
        <x:f>'PROJECT TA Y TB KARINA'!$J35/8</x:f>
        <x:v>#REF!</x:v>
      </x:c>
      <x:c r="AX39" s="128" t="e">
        <x:f>'PROJECT TA Y TB KARINA'!$J35/8</x:f>
        <x:v>#REF!</x:v>
      </x:c>
      <x:c r="AY39" s="128" t="e">
        <x:f>'PROJECT TA Y TB KARINA'!$J35/8</x:f>
        <x:v>#REF!</x:v>
      </x:c>
      <x:c r="AZ39" s="128" t="e">
        <x:f>'PROJECT TA Y TB KARINA'!$J35/8</x:f>
        <x:v>#REF!</x:v>
      </x:c>
      <x:c r="BA39" s="128" t="e">
        <x:f>'PROJECT TA Y TB KARINA'!$J35/8</x:f>
        <x:v>#REF!</x:v>
      </x:c>
      <x:c r="BB39" s="128" t="e">
        <x:f>'PROJECT TA Y TB KARINA'!$J35/8</x:f>
        <x:v>#REF!</x:v>
      </x:c>
      <x:c r="BC39" s="128" t="e">
        <x:f>'PROJECT TA Y TB KARINA'!$J35/8</x:f>
        <x:v>#REF!</x:v>
      </x:c>
      <x:c r="BD39" s="128" t="e">
        <x:f>'PROJECT TA Y TB KARINA'!$J35/8</x:f>
        <x:v>#REF!</x:v>
      </x:c>
      <x:c r="BE39" s="128" t="e">
        <x:f>'PROJECT TA Y TB KARINA'!$K35/8</x:f>
        <x:v>#REF!</x:v>
      </x:c>
      <x:c r="BF39" s="128" t="e">
        <x:f>'PROJECT TA Y TB KARINA'!$K35/8</x:f>
        <x:v>#REF!</x:v>
      </x:c>
      <x:c r="BG39" s="128" t="e">
        <x:f>'PROJECT TA Y TB KARINA'!$K35/8</x:f>
        <x:v>#REF!</x:v>
      </x:c>
      <x:c r="BH39" s="128" t="e">
        <x:f>'PROJECT TA Y TB KARINA'!$K35/8</x:f>
        <x:v>#REF!</x:v>
      </x:c>
      <x:c r="BI39" s="128" t="e">
        <x:f>'PROJECT TA Y TB KARINA'!$K35/8</x:f>
        <x:v>#REF!</x:v>
      </x:c>
      <x:c r="BJ39" s="128" t="e">
        <x:f>'PROJECT TA Y TB KARINA'!$K35/8</x:f>
        <x:v>#REF!</x:v>
      </x:c>
      <x:c r="BK39" s="128" t="e">
        <x:f>'PROJECT TA Y TB KARINA'!$K35/8</x:f>
        <x:v>#REF!</x:v>
      </x:c>
      <x:c r="BL39" s="128" t="e">
        <x:f>'PROJECT TA Y TB KARINA'!$K35/8</x:f>
        <x:v>#REF!</x:v>
      </x:c>
      <x:c r="BM39" s="128" t="e">
        <x:f>'PROJECT TA Y TB KARINA'!$L35/8</x:f>
        <x:v>#REF!</x:v>
      </x:c>
      <x:c r="BN39" s="128" t="e">
        <x:f>'PROJECT TA Y TB KARINA'!$L35/8</x:f>
        <x:v>#REF!</x:v>
      </x:c>
      <x:c r="BO39" s="128" t="e">
        <x:f>'PROJECT TA Y TB KARINA'!$L35/8</x:f>
        <x:v>#REF!</x:v>
      </x:c>
      <x:c r="BP39" s="128" t="e">
        <x:f>'PROJECT TA Y TB KARINA'!$L35/8</x:f>
        <x:v>#REF!</x:v>
      </x:c>
      <x:c r="BQ39" s="128" t="e">
        <x:f>'PROJECT TA Y TB KARINA'!$L35/8</x:f>
        <x:v>#REF!</x:v>
      </x:c>
      <x:c r="BR39" s="128" t="e">
        <x:f>'PROJECT TA Y TB KARINA'!$L35/8</x:f>
        <x:v>#REF!</x:v>
      </x:c>
      <x:c r="BS39" s="128" t="e">
        <x:f>'PROJECT TA Y TB KARINA'!$L35/8</x:f>
        <x:v>#REF!</x:v>
      </x:c>
      <x:c r="BT39" s="128" t="e">
        <x:f>'PROJECT TA Y TB KARINA'!$L35/8</x:f>
        <x:v>#REF!</x:v>
      </x:c>
      <x:c r="BU39" s="128" t="e">
        <x:f>'PROJECT TA Y TB KARINA'!$M35/8</x:f>
        <x:v>#REF!</x:v>
      </x:c>
      <x:c r="BV39" s="128" t="e">
        <x:f>'PROJECT TA Y TB KARINA'!$M35/8</x:f>
        <x:v>#REF!</x:v>
      </x:c>
      <x:c r="BW39" s="128" t="e">
        <x:f>'PROJECT TA Y TB KARINA'!$M35/8</x:f>
        <x:v>#REF!</x:v>
      </x:c>
      <x:c r="BX39" s="128" t="e">
        <x:f>'PROJECT TA Y TB KARINA'!$M35/8</x:f>
        <x:v>#REF!</x:v>
      </x:c>
      <x:c r="BY39" s="128" t="e">
        <x:f>'PROJECT TA Y TB KARINA'!$M35/8</x:f>
        <x:v>#REF!</x:v>
      </x:c>
      <x:c r="BZ39" s="128" t="e">
        <x:f>'PROJECT TA Y TB KARINA'!$M35/8</x:f>
        <x:v>#REF!</x:v>
      </x:c>
      <x:c r="CA39" s="128" t="e">
        <x:f>'PROJECT TA Y TB KARINA'!$M35/8</x:f>
        <x:v>#REF!</x:v>
      </x:c>
      <x:c r="CB39" s="128" t="e">
        <x:f>'PROJECT TA Y TB KARINA'!$M35/8</x:f>
        <x:v>#REF!</x:v>
      </x:c>
      <x:c r="CC39" s="128" t="e">
        <x:f>'PROJECT TA Y TB KARINA'!$N35/8</x:f>
        <x:v>#REF!</x:v>
      </x:c>
      <x:c r="CD39" s="128" t="e">
        <x:f>'PROJECT TA Y TB KARINA'!$N35/8</x:f>
        <x:v>#REF!</x:v>
      </x:c>
      <x:c r="CE39" s="128" t="e">
        <x:f>'PROJECT TA Y TB KARINA'!$N35/8</x:f>
        <x:v>#REF!</x:v>
      </x:c>
      <x:c r="CF39" s="128" t="e">
        <x:f>'PROJECT TA Y TB KARINA'!$N35/8</x:f>
        <x:v>#REF!</x:v>
      </x:c>
      <x:c r="CG39" s="128" t="e">
        <x:f>'PROJECT TA Y TB KARINA'!$N35/8</x:f>
        <x:v>#REF!</x:v>
      </x:c>
      <x:c r="CH39" s="128" t="e">
        <x:f>'PROJECT TA Y TB KARINA'!$N35/8</x:f>
        <x:v>#REF!</x:v>
      </x:c>
      <x:c r="CI39" s="128" t="e">
        <x:f>'PROJECT TA Y TB KARINA'!$N35/8</x:f>
        <x:v>#REF!</x:v>
      </x:c>
      <x:c r="CJ39" s="128" t="e">
        <x:f>'PROJECT TA Y TB KARINA'!$N35/8</x:f>
        <x:v>#REF!</x:v>
      </x:c>
      <x:c r="CK39" s="128" t="e">
        <x:f>'PROJECT TA Y TB KARINA'!$O35/8</x:f>
        <x:v>#REF!</x:v>
      </x:c>
      <x:c r="CL39" s="128" t="e">
        <x:f>'PROJECT TA Y TB KARINA'!$O35/8</x:f>
        <x:v>#REF!</x:v>
      </x:c>
      <x:c r="CM39" s="128" t="e">
        <x:f>'PROJECT TA Y TB KARINA'!$O35/8</x:f>
        <x:v>#REF!</x:v>
      </x:c>
      <x:c r="CN39" s="128" t="e">
        <x:f>'PROJECT TA Y TB KARINA'!$O35/8</x:f>
        <x:v>#REF!</x:v>
      </x:c>
      <x:c r="CO39" s="128" t="e">
        <x:f>'PROJECT TA Y TB KARINA'!$O35/8</x:f>
        <x:v>#REF!</x:v>
      </x:c>
      <x:c r="CP39" s="128" t="e">
        <x:f>'PROJECT TA Y TB KARINA'!$O35/8</x:f>
        <x:v>#REF!</x:v>
      </x:c>
      <x:c r="CQ39" s="128" t="e">
        <x:f>'PROJECT TA Y TB KARINA'!$O35/8</x:f>
        <x:v>#REF!</x:v>
      </x:c>
      <x:c r="CR39" s="128" t="e">
        <x:f>'PROJECT TA Y TB KARINA'!$O35/8</x:f>
        <x:v>#REF!</x:v>
      </x:c>
      <x:c r="CS39" s="128" t="e">
        <x:f>'PROJECT TA Y TB KARINA'!$P35/8</x:f>
        <x:v>#REF!</x:v>
      </x:c>
      <x:c r="CT39" s="128" t="e">
        <x:f>'PROJECT TA Y TB KARINA'!$P35/8</x:f>
        <x:v>#REF!</x:v>
      </x:c>
      <x:c r="CU39" s="128" t="e">
        <x:f>'PROJECT TA Y TB KARINA'!$P35/8</x:f>
        <x:v>#REF!</x:v>
      </x:c>
      <x:c r="CV39" s="128" t="e">
        <x:f>'PROJECT TA Y TB KARINA'!$P35/8</x:f>
        <x:v>#REF!</x:v>
      </x:c>
      <x:c r="CW39" s="128" t="e">
        <x:f>'PROJECT TA Y TB KARINA'!$P35/8</x:f>
        <x:v>#REF!</x:v>
      </x:c>
      <x:c r="CX39" s="128" t="e">
        <x:f>'PROJECT TA Y TB KARINA'!$P35/8</x:f>
        <x:v>#REF!</x:v>
      </x:c>
      <x:c r="CY39" s="128" t="e">
        <x:f>'PROJECT TA Y TB KARINA'!$P35/8</x:f>
        <x:v>#REF!</x:v>
      </x:c>
      <x:c r="CZ39" s="128" t="e">
        <x:f>'PROJECT TA Y TB KARINA'!$P35/8</x:f>
        <x:v>#REF!</x:v>
      </x:c>
      <x:c r="DA39" s="128" t="e">
        <x:f>'PROJECT TA Y TB KARINA'!$Q35/8</x:f>
        <x:v>#REF!</x:v>
      </x:c>
      <x:c r="DB39" s="128" t="e">
        <x:f>'PROJECT TA Y TB KARINA'!$Q35/8</x:f>
        <x:v>#REF!</x:v>
      </x:c>
      <x:c r="DC39" s="128" t="e">
        <x:f>'PROJECT TA Y TB KARINA'!$Q35/8</x:f>
        <x:v>#REF!</x:v>
      </x:c>
      <x:c r="DD39" s="128" t="e">
        <x:f>'PROJECT TA Y TB KARINA'!$Q35/8</x:f>
        <x:v>#REF!</x:v>
      </x:c>
      <x:c r="DE39" s="128" t="e">
        <x:f>'PROJECT TA Y TB KARINA'!$Q35/8</x:f>
        <x:v>#REF!</x:v>
      </x:c>
      <x:c r="DF39" s="128" t="e">
        <x:f>'PROJECT TA Y TB KARINA'!$Q35/8</x:f>
        <x:v>#REF!</x:v>
      </x:c>
      <x:c r="DG39" s="128" t="e">
        <x:f>'PROJECT TA Y TB KARINA'!$Q35/8</x:f>
        <x:v>#REF!</x:v>
      </x:c>
      <x:c r="DH39" s="128" t="e">
        <x:f>'PROJECT TA Y TB KARINA'!$Q35/8</x:f>
        <x:v>#REF!</x:v>
      </x:c>
      <x:c r="DI39" s="128" t="e">
        <x:f>'PROJECT TA Y TB KARINA'!$R35/8</x:f>
        <x:v>#REF!</x:v>
      </x:c>
      <x:c r="DJ39" s="128" t="e">
        <x:f>'PROJECT TA Y TB KARINA'!$R35/8</x:f>
        <x:v>#REF!</x:v>
      </x:c>
      <x:c r="DK39" s="128" t="e">
        <x:f>'PROJECT TA Y TB KARINA'!$R35/8</x:f>
        <x:v>#REF!</x:v>
      </x:c>
      <x:c r="DL39" s="128" t="e">
        <x:f>'PROJECT TA Y TB KARINA'!$R35/8</x:f>
        <x:v>#REF!</x:v>
      </x:c>
      <x:c r="DM39" s="128" t="e">
        <x:f>'PROJECT TA Y TB KARINA'!$R35/8</x:f>
        <x:v>#REF!</x:v>
      </x:c>
      <x:c r="DN39" s="128" t="e">
        <x:f>'PROJECT TA Y TB KARINA'!$R35/8</x:f>
        <x:v>#REF!</x:v>
      </x:c>
      <x:c r="DO39" s="128" t="e">
        <x:f>'PROJECT TA Y TB KARINA'!$R35/8</x:f>
        <x:v>#REF!</x:v>
      </x:c>
      <x:c r="DP39" s="128" t="e">
        <x:f>'PROJECT TA Y TB KARINA'!$R35/8</x:f>
        <x:v>#REF!</x:v>
      </x:c>
      <x:c r="DQ39" s="128" t="e">
        <x:f>'PROJECT TA Y TB KARINA'!$S35/8</x:f>
        <x:v>#REF!</x:v>
      </x:c>
      <x:c r="DR39" s="128" t="e">
        <x:f>'PROJECT TA Y TB KARINA'!$S35/8</x:f>
        <x:v>#REF!</x:v>
      </x:c>
      <x:c r="DS39" s="128" t="e">
        <x:f>'PROJECT TA Y TB KARINA'!$S35/8</x:f>
        <x:v>#REF!</x:v>
      </x:c>
      <x:c r="DT39" s="128" t="e">
        <x:f>'PROJECT TA Y TB KARINA'!$S35/8</x:f>
        <x:v>#REF!</x:v>
      </x:c>
      <x:c r="DU39" s="128" t="e">
        <x:f>'PROJECT TA Y TB KARINA'!$S35/8</x:f>
        <x:v>#REF!</x:v>
      </x:c>
      <x:c r="DV39" s="128" t="e">
        <x:f>'PROJECT TA Y TB KARINA'!$S35/8</x:f>
        <x:v>#REF!</x:v>
      </x:c>
      <x:c r="DW39" s="128" t="e">
        <x:f>'PROJECT TA Y TB KARINA'!$S35/8</x:f>
        <x:v>#REF!</x:v>
      </x:c>
      <x:c r="DX39" s="128" t="e">
        <x:f>'PROJECT TA Y TB KARINA'!$S35/8</x:f>
        <x:v>#REF!</x:v>
      </x:c>
      <x:c r="DY39" s="128" t="e">
        <x:f>'PROJECT TA Y TB KARINA'!$T35/8</x:f>
        <x:v>#REF!</x:v>
      </x:c>
      <x:c r="DZ39" s="128" t="e">
        <x:f>'PROJECT TA Y TB KARINA'!$T35/8</x:f>
        <x:v>#REF!</x:v>
      </x:c>
      <x:c r="EA39" s="128" t="e">
        <x:f>'PROJECT TA Y TB KARINA'!$T35/8</x:f>
        <x:v>#REF!</x:v>
      </x:c>
      <x:c r="EB39" s="128" t="e">
        <x:f>'PROJECT TA Y TB KARINA'!$T35/8</x:f>
        <x:v>#REF!</x:v>
      </x:c>
      <x:c r="EC39" s="128" t="e">
        <x:f>'PROJECT TA Y TB KARINA'!$T35/8</x:f>
        <x:v>#REF!</x:v>
      </x:c>
      <x:c r="ED39" s="128" t="e">
        <x:f>'PROJECT TA Y TB KARINA'!$T35/8</x:f>
        <x:v>#REF!</x:v>
      </x:c>
      <x:c r="EE39" s="128" t="e">
        <x:f>'PROJECT TA Y TB KARINA'!$T35/8</x:f>
        <x:v>#REF!</x:v>
      </x:c>
      <x:c r="EF39" s="128" t="e">
        <x:f>'PROJECT TA Y TB KARINA'!$T35/8</x:f>
        <x:v>#REF!</x:v>
      </x:c>
      <x:c r="EG39" s="128" t="e">
        <x:f>'PROJECT TA Y TB KARINA'!#REF!/8</x:f>
        <x:v>#NAME?</x:v>
      </x:c>
      <x:c r="EH39" s="128" t="e">
        <x:f>'PROJECT TA Y TB KARINA'!#REF!/8</x:f>
        <x:v>#NAME?</x:v>
      </x:c>
      <x:c r="EI39" s="128" t="e">
        <x:f>'PROJECT TA Y TB KARINA'!#REF!/8</x:f>
        <x:v>#NAME?</x:v>
      </x:c>
      <x:c r="EJ39" s="128" t="e">
        <x:f>'PROJECT TA Y TB KARINA'!#REF!/8</x:f>
        <x:v>#NAME?</x:v>
      </x:c>
      <x:c r="EK39" s="128" t="e">
        <x:f>'PROJECT TA Y TB KARINA'!#REF!/8</x:f>
        <x:v>#NAME?</x:v>
      </x:c>
      <x:c r="EL39" s="128" t="e">
        <x:f>'PROJECT TA Y TB KARINA'!#REF!/8</x:f>
        <x:v>#NAME?</x:v>
      </x:c>
      <x:c r="EM39" s="128" t="e">
        <x:f>'PROJECT TA Y TB KARINA'!#REF!/8</x:f>
        <x:v>#NAME?</x:v>
      </x:c>
      <x:c r="EN39" s="128" t="e">
        <x:f>'PROJECT TA Y TB KARINA'!#REF!/8</x:f>
        <x:v>#NAME?</x:v>
      </x:c>
      <x:c r="EO39" s="128" t="n">
        <x:f>'PROJECT TA Y TB KARINA'!$C93/8</x:f>
        <x:v>0</x:v>
      </x:c>
      <x:c r="EP39" s="128" t="n">
        <x:f>'PROJECT TA Y TB KARINA'!$C93/8</x:f>
        <x:v>0</x:v>
      </x:c>
      <x:c r="EQ39" s="128" t="n">
        <x:f>'PROJECT TA Y TB KARINA'!$C93/8</x:f>
        <x:v>0</x:v>
      </x:c>
      <x:c r="ER39" s="128" t="n">
        <x:f>'PROJECT TA Y TB KARINA'!$C93/8</x:f>
        <x:v>0</x:v>
      </x:c>
      <x:c r="ES39" s="128" t="n">
        <x:f>'PROJECT TA Y TB KARINA'!$C93/8</x:f>
        <x:v>0</x:v>
      </x:c>
      <x:c r="ET39" s="128" t="n">
        <x:f>'PROJECT TA Y TB KARINA'!$C93/8</x:f>
        <x:v>0</x:v>
      </x:c>
      <x:c r="EU39" s="128" t="n">
        <x:f>'PROJECT TA Y TB KARINA'!$C93/8</x:f>
        <x:v>0</x:v>
      </x:c>
      <x:c r="EV39" s="128" t="n">
        <x:f>'PROJECT TA Y TB KARINA'!$E93/8</x:f>
        <x:v>0</x:v>
      </x:c>
      <x:c r="EW39" s="128" t="n">
        <x:f>'PROJECT TA Y TB KARINA'!$E93/8</x:f>
        <x:v>0</x:v>
      </x:c>
      <x:c r="EX39" s="128" t="n">
        <x:f>'PROJECT TA Y TB KARINA'!$E93/8</x:f>
        <x:v>0</x:v>
      </x:c>
      <x:c r="EY39" s="128" t="n">
        <x:f>'PROJECT TA Y TB KARINA'!$E93/8</x:f>
        <x:v>0</x:v>
      </x:c>
      <x:c r="EZ39" s="128" t="n">
        <x:f>'PROJECT TA Y TB KARINA'!$E93/8</x:f>
        <x:v>0</x:v>
      </x:c>
      <x:c r="FA39" s="128" t="n">
        <x:f>'PROJECT TA Y TB KARINA'!$E93/8</x:f>
        <x:v>0</x:v>
      </x:c>
      <x:c r="FB39" s="128" t="n">
        <x:f>'PROJECT TA Y TB KARINA'!$E93/8</x:f>
        <x:v>0</x:v>
      </x:c>
      <x:c r="FC39" s="128" t="n">
        <x:f>'PROJECT TA Y TB KARINA'!$E93/8</x:f>
        <x:v>0</x:v>
      </x:c>
      <x:c r="FD39" s="128" t="n">
        <x:f>'PROJECT TA Y TB KARINA'!$F93/8</x:f>
        <x:v>0</x:v>
      </x:c>
      <x:c r="FE39" s="128" t="n">
        <x:f>'PROJECT TA Y TB KARINA'!$F93/8</x:f>
        <x:v>0</x:v>
      </x:c>
      <x:c r="FF39" s="128" t="n">
        <x:f>'PROJECT TA Y TB KARINA'!$F93/8</x:f>
        <x:v>0</x:v>
      </x:c>
      <x:c r="FG39" s="128" t="n">
        <x:f>'PROJECT TA Y TB KARINA'!$F93/8</x:f>
        <x:v>0</x:v>
      </x:c>
      <x:c r="FH39" s="128" t="n">
        <x:f>'PROJECT TA Y TB KARINA'!$F93/8</x:f>
        <x:v>0</x:v>
      </x:c>
      <x:c r="FI39" s="128" t="n">
        <x:f>'PROJECT TA Y TB KARINA'!$F93/8</x:f>
        <x:v>0</x:v>
      </x:c>
      <x:c r="FJ39" s="128" t="n">
        <x:f>'PROJECT TA Y TB KARINA'!$F93/8</x:f>
        <x:v>0</x:v>
      </x:c>
      <x:c r="FK39" s="128" t="n">
        <x:f>'PROJECT TA Y TB KARINA'!$F93/8</x:f>
        <x:v>0</x:v>
      </x:c>
      <x:c r="FL39" s="128" t="n">
        <x:f>'PROJECT TA Y TB KARINA'!$G93/8</x:f>
        <x:v>0</x:v>
      </x:c>
      <x:c r="FM39" s="128" t="n">
        <x:f>'PROJECT TA Y TB KARINA'!$G93/8</x:f>
        <x:v>0</x:v>
      </x:c>
      <x:c r="FN39" s="128" t="n">
        <x:f>'PROJECT TA Y TB KARINA'!$G93/8</x:f>
        <x:v>0</x:v>
      </x:c>
      <x:c r="FO39" s="128" t="n">
        <x:f>'PROJECT TA Y TB KARINA'!$G93/8</x:f>
        <x:v>0</x:v>
      </x:c>
      <x:c r="FP39" s="128" t="n">
        <x:f>'PROJECT TA Y TB KARINA'!$G93/8</x:f>
        <x:v>0</x:v>
      </x:c>
      <x:c r="FQ39" s="128" t="n">
        <x:f>'PROJECT TA Y TB KARINA'!$G93/8</x:f>
        <x:v>0</x:v>
      </x:c>
      <x:c r="FR39" s="128" t="n">
        <x:f>'PROJECT TA Y TB KARINA'!$G93/8</x:f>
        <x:v>0</x:v>
      </x:c>
      <x:c r="FS39" s="128" t="n">
        <x:f>'PROJECT TA Y TB KARINA'!$G93/8</x:f>
        <x:v>0</x:v>
      </x:c>
      <x:c r="FT39" s="128" t="n">
        <x:f>'PROJECT TA Y TB KARINA'!$H93/8</x:f>
        <x:v>0</x:v>
      </x:c>
      <x:c r="FU39" s="128" t="n">
        <x:f>'PROJECT TA Y TB KARINA'!$H93/8</x:f>
        <x:v>0</x:v>
      </x:c>
      <x:c r="FV39" s="128" t="n">
        <x:f>'PROJECT TA Y TB KARINA'!$H93/8</x:f>
        <x:v>0</x:v>
      </x:c>
      <x:c r="FW39" s="128" t="n">
        <x:f>'PROJECT TA Y TB KARINA'!$H93/8</x:f>
        <x:v>0</x:v>
      </x:c>
      <x:c r="FX39" s="128" t="n">
        <x:f>'PROJECT TA Y TB KARINA'!$H93/8</x:f>
        <x:v>0</x:v>
      </x:c>
      <x:c r="FY39" s="128" t="n">
        <x:f>'PROJECT TA Y TB KARINA'!$H93/8</x:f>
        <x:v>0</x:v>
      </x:c>
      <x:c r="FZ39" s="128" t="n">
        <x:f>'PROJECT TA Y TB KARINA'!$H93/8</x:f>
        <x:v>0</x:v>
      </x:c>
      <x:c r="GA39" s="128" t="n">
        <x:f>'PROJECT TA Y TB KARINA'!$H93/8</x:f>
        <x:v>0</x:v>
      </x:c>
      <x:c r="GB39" s="128" t="n">
        <x:f>'PROJECT TA Y TB KARINA'!$I93/8</x:f>
        <x:v>0</x:v>
      </x:c>
      <x:c r="GC39" s="128" t="n">
        <x:f>'PROJECT TA Y TB KARINA'!$I93/8</x:f>
        <x:v>0</x:v>
      </x:c>
      <x:c r="GD39" s="128" t="n">
        <x:f>'PROJECT TA Y TB KARINA'!$I93/8</x:f>
        <x:v>0</x:v>
      </x:c>
      <x:c r="GE39" s="128" t="n">
        <x:f>'PROJECT TA Y TB KARINA'!$I93/8</x:f>
        <x:v>0</x:v>
      </x:c>
      <x:c r="GF39" s="128" t="n">
        <x:f>'PROJECT TA Y TB KARINA'!$I93/8</x:f>
        <x:v>0</x:v>
      </x:c>
      <x:c r="GG39" s="128" t="n">
        <x:f>'PROJECT TA Y TB KARINA'!$I93/8</x:f>
        <x:v>0</x:v>
      </x:c>
      <x:c r="GH39" s="128" t="n">
        <x:f>'PROJECT TA Y TB KARINA'!$I93/8</x:f>
        <x:v>0</x:v>
      </x:c>
      <x:c r="GI39" s="128" t="n">
        <x:f>'PROJECT TA Y TB KARINA'!$I93/8</x:f>
        <x:v>0</x:v>
      </x:c>
      <x:c r="GJ39" s="128" t="n">
        <x:f>'PROJECT TA Y TB KARINA'!$J93/8</x:f>
        <x:v>0</x:v>
      </x:c>
      <x:c r="GK39" s="128" t="n">
        <x:f>'PROJECT TA Y TB KARINA'!$J93/8</x:f>
        <x:v>0</x:v>
      </x:c>
      <x:c r="GL39" s="128" t="n">
        <x:f>'PROJECT TA Y TB KARINA'!$J93/8</x:f>
        <x:v>0</x:v>
      </x:c>
      <x:c r="GM39" s="128" t="n">
        <x:f>'PROJECT TA Y TB KARINA'!$J93/8</x:f>
        <x:v>0</x:v>
      </x:c>
      <x:c r="GN39" s="128" t="n">
        <x:f>'PROJECT TA Y TB KARINA'!$J93/8</x:f>
        <x:v>0</x:v>
      </x:c>
      <x:c r="GO39" s="128" t="n">
        <x:f>'PROJECT TA Y TB KARINA'!$J93/8</x:f>
        <x:v>0</x:v>
      </x:c>
      <x:c r="GP39" s="128" t="n">
        <x:f>'PROJECT TA Y TB KARINA'!$J93/8</x:f>
        <x:v>0</x:v>
      </x:c>
      <x:c r="GQ39" s="128" t="n">
        <x:f>'PROJECT TA Y TB KARINA'!$J93/8</x:f>
        <x:v>0</x:v>
      </x:c>
      <x:c r="GR39" s="128" t="n">
        <x:f>'PROJECT TA Y TB KARINA'!$K93/8</x:f>
        <x:v>0</x:v>
      </x:c>
      <x:c r="GS39" s="128" t="n">
        <x:f>'PROJECT TA Y TB KARINA'!$K93/8</x:f>
        <x:v>0</x:v>
      </x:c>
      <x:c r="GT39" s="128" t="n">
        <x:f>'PROJECT TA Y TB KARINA'!$K93/8</x:f>
        <x:v>0</x:v>
      </x:c>
      <x:c r="GU39" s="128" t="n">
        <x:f>'PROJECT TA Y TB KARINA'!$K93/8</x:f>
        <x:v>0</x:v>
      </x:c>
      <x:c r="GV39" s="128" t="n">
        <x:f>'PROJECT TA Y TB KARINA'!$K93/8</x:f>
        <x:v>0</x:v>
      </x:c>
      <x:c r="GW39" s="128" t="n">
        <x:f>'PROJECT TA Y TB KARINA'!$K93/8</x:f>
        <x:v>0</x:v>
      </x:c>
      <x:c r="GX39" s="128" t="n">
        <x:f>'PROJECT TA Y TB KARINA'!$K93/8</x:f>
        <x:v>0</x:v>
      </x:c>
      <x:c r="GY39" s="128" t="n">
        <x:f>'PROJECT TA Y TB KARINA'!$K93/8</x:f>
        <x:v>0</x:v>
      </x:c>
      <x:c r="GZ39" s="128" t="n">
        <x:f>'PROJECT TA Y TB KARINA'!$L93/8</x:f>
        <x:v>0</x:v>
      </x:c>
      <x:c r="HA39" s="128" t="n">
        <x:f>'PROJECT TA Y TB KARINA'!$L93/8</x:f>
        <x:v>0</x:v>
      </x:c>
      <x:c r="HB39" s="128" t="n">
        <x:f>'PROJECT TA Y TB KARINA'!$L93/8</x:f>
        <x:v>0</x:v>
      </x:c>
      <x:c r="HC39" s="128" t="n">
        <x:f>'PROJECT TA Y TB KARINA'!$L93/8</x:f>
        <x:v>0</x:v>
      </x:c>
      <x:c r="HD39" s="128" t="n">
        <x:f>'PROJECT TA Y TB KARINA'!$L93/8</x:f>
        <x:v>0</x:v>
      </x:c>
      <x:c r="HE39" s="128" t="n">
        <x:f>'PROJECT TA Y TB KARINA'!$L93/8</x:f>
        <x:v>0</x:v>
      </x:c>
      <x:c r="HF39" s="128" t="n">
        <x:f>'PROJECT TA Y TB KARINA'!$L93/8</x:f>
        <x:v>0</x:v>
      </x:c>
      <x:c r="HG39" s="128" t="n">
        <x:f>'PROJECT TA Y TB KARINA'!$L93/8</x:f>
        <x:v>0</x:v>
      </x:c>
      <x:c r="HH39" s="128" t="n">
        <x:f>'PROJECT TA Y TB KARINA'!$M93/8</x:f>
        <x:v>0</x:v>
      </x:c>
      <x:c r="HI39" s="128" t="n">
        <x:f>'PROJECT TA Y TB KARINA'!$M93/8</x:f>
        <x:v>0</x:v>
      </x:c>
      <x:c r="HJ39" s="128" t="n">
        <x:f>'PROJECT TA Y TB KARINA'!$M93/8</x:f>
        <x:v>0</x:v>
      </x:c>
      <x:c r="HK39" s="128" t="n">
        <x:f>'PROJECT TA Y TB KARINA'!$M93/8</x:f>
        <x:v>0</x:v>
      </x:c>
      <x:c r="HL39" s="128" t="n">
        <x:f>'PROJECT TA Y TB KARINA'!$M93/8</x:f>
        <x:v>0</x:v>
      </x:c>
      <x:c r="HM39" s="128" t="n">
        <x:f>'PROJECT TA Y TB KARINA'!$M93/8</x:f>
        <x:v>0</x:v>
      </x:c>
      <x:c r="HN39" s="128" t="n">
        <x:f>'PROJECT TA Y TB KARINA'!$M93/8</x:f>
        <x:v>0</x:v>
      </x:c>
      <x:c r="HO39" s="128" t="n">
        <x:f>'PROJECT TA Y TB KARINA'!$M93/8</x:f>
        <x:v>0</x:v>
      </x:c>
      <x:c r="HP39" s="128" t="n">
        <x:f>'PROJECT TA Y TB KARINA'!$N93/8</x:f>
        <x:v>0</x:v>
      </x:c>
      <x:c r="HQ39" s="128" t="n">
        <x:f>'PROJECT TA Y TB KARINA'!$N93/8</x:f>
        <x:v>0</x:v>
      </x:c>
      <x:c r="HR39" s="128" t="n">
        <x:f>'PROJECT TA Y TB KARINA'!$N93/8</x:f>
        <x:v>0</x:v>
      </x:c>
      <x:c r="HS39" s="128" t="n">
        <x:f>'PROJECT TA Y TB KARINA'!$N93/8</x:f>
        <x:v>0</x:v>
      </x:c>
      <x:c r="HT39" s="128" t="n">
        <x:f>'PROJECT TA Y TB KARINA'!$N93/8</x:f>
        <x:v>0</x:v>
      </x:c>
      <x:c r="HU39" s="128" t="n">
        <x:f>'PROJECT TA Y TB KARINA'!$N93/8</x:f>
        <x:v>0</x:v>
      </x:c>
      <x:c r="HV39" s="128" t="n">
        <x:f>'PROJECT TA Y TB KARINA'!$N93/8</x:f>
        <x:v>0</x:v>
      </x:c>
      <x:c r="HW39" s="128" t="n">
        <x:f>'PROJECT TA Y TB KARINA'!$N93/8</x:f>
        <x:v>0</x:v>
      </x:c>
      <x:c r="HX39" s="128" t="n">
        <x:f>'PROJECT TA Y TB KARINA'!$O93/8</x:f>
        <x:v>0</x:v>
      </x:c>
      <x:c r="HY39" s="128" t="n">
        <x:f>'PROJECT TA Y TB KARINA'!$O93/8</x:f>
        <x:v>0</x:v>
      </x:c>
      <x:c r="HZ39" s="128" t="n">
        <x:f>'PROJECT TA Y TB KARINA'!$O93/8</x:f>
        <x:v>0</x:v>
      </x:c>
      <x:c r="IA39" s="128" t="n">
        <x:f>'PROJECT TA Y TB KARINA'!$O93/8</x:f>
        <x:v>0</x:v>
      </x:c>
      <x:c r="IB39" s="128" t="n">
        <x:f>'PROJECT TA Y TB KARINA'!$O93/8</x:f>
        <x:v>0</x:v>
      </x:c>
      <x:c r="IC39" s="128" t="n">
        <x:f>'PROJECT TA Y TB KARINA'!$O93/8</x:f>
        <x:v>0</x:v>
      </x:c>
      <x:c r="ID39" s="128" t="n">
        <x:f>'PROJECT TA Y TB KARINA'!$O93/8</x:f>
        <x:v>0</x:v>
      </x:c>
      <x:c r="IE39" s="128" t="n">
        <x:f>'PROJECT TA Y TB KARINA'!$O93/8</x:f>
        <x:v>0</x:v>
      </x:c>
      <x:c r="IF39" s="128" t="n">
        <x:f>'PROJECT TA Y TB KARINA'!$P93/8</x:f>
        <x:v>0</x:v>
      </x:c>
      <x:c r="IG39" s="128" t="n">
        <x:f>'PROJECT TA Y TB KARINA'!$P93/8</x:f>
        <x:v>0</x:v>
      </x:c>
      <x:c r="IH39" s="128" t="n">
        <x:f>'PROJECT TA Y TB KARINA'!$P93/8</x:f>
        <x:v>0</x:v>
      </x:c>
      <x:c r="II39" s="128" t="n">
        <x:f>'PROJECT TA Y TB KARINA'!$P93/8</x:f>
        <x:v>0</x:v>
      </x:c>
      <x:c r="IJ39" s="128" t="n">
        <x:f>'PROJECT TA Y TB KARINA'!$P93/8</x:f>
        <x:v>0</x:v>
      </x:c>
      <x:c r="IK39" s="128" t="n">
        <x:f>'PROJECT TA Y TB KARINA'!$P93/8</x:f>
        <x:v>0</x:v>
      </x:c>
      <x:c r="IL39" s="128" t="n">
        <x:f>'PROJECT TA Y TB KARINA'!$P93/8</x:f>
        <x:v>0</x:v>
      </x:c>
      <x:c r="IM39" s="128" t="n">
        <x:f>'PROJECT TA Y TB KARINA'!$P93/8</x:f>
        <x:v>0</x:v>
      </x:c>
      <x:c r="IN39" s="128" t="n">
        <x:f>'PROJECT TA Y TB KARINA'!$Q93/8</x:f>
        <x:v>0</x:v>
      </x:c>
      <x:c r="IO39" s="128" t="n">
        <x:f>'PROJECT TA Y TB KARINA'!$Q93/8</x:f>
        <x:v>0</x:v>
      </x:c>
      <x:c r="IP39" s="128" t="n">
        <x:f>'PROJECT TA Y TB KARINA'!$Q93/8</x:f>
        <x:v>0</x:v>
      </x:c>
      <x:c r="IQ39" s="128" t="n">
        <x:f>'PROJECT TA Y TB KARINA'!$Q93/8</x:f>
        <x:v>0</x:v>
      </x:c>
      <x:c r="IR39" s="128" t="n">
        <x:f>'PROJECT TA Y TB KARINA'!$Q93/8</x:f>
        <x:v>0</x:v>
      </x:c>
      <x:c r="IS39" s="128" t="n">
        <x:f>'PROJECT TA Y TB KARINA'!$Q93/8</x:f>
        <x:v>0</x:v>
      </x:c>
      <x:c r="IT39" s="128" t="n">
        <x:f>'PROJECT TA Y TB KARINA'!$Q93/8</x:f>
        <x:v>0</x:v>
      </x:c>
      <x:c r="IU39" s="128" t="n">
        <x:f>'PROJECT TA Y TB KARINA'!$Q93/8</x:f>
        <x:v>0</x:v>
      </x:c>
      <x:c r="IV39" s="128" t="n">
        <x:f>'PROJECT TA Y TB KARINA'!$R93/8</x:f>
        <x:v>0</x:v>
      </x:c>
      <x:c r="IW39" s="128" t="n">
        <x:f>'PROJECT TA Y TB KARINA'!$R93/8</x:f>
        <x:v>0</x:v>
      </x:c>
      <x:c r="IX39" s="128" t="n">
        <x:f>'PROJECT TA Y TB KARINA'!$R93/8</x:f>
        <x:v>0</x:v>
      </x:c>
      <x:c r="IY39" s="128" t="n">
        <x:f>'PROJECT TA Y TB KARINA'!$R93/8</x:f>
        <x:v>0</x:v>
      </x:c>
      <x:c r="IZ39" s="128" t="n">
        <x:f>'PROJECT TA Y TB KARINA'!$R93/8</x:f>
        <x:v>0</x:v>
      </x:c>
      <x:c r="JA39" s="128" t="n">
        <x:f>'PROJECT TA Y TB KARINA'!$R93/8</x:f>
        <x:v>0</x:v>
      </x:c>
      <x:c r="JB39" s="128" t="n">
        <x:f>'PROJECT TA Y TB KARINA'!$R93/8</x:f>
        <x:v>0</x:v>
      </x:c>
      <x:c r="JC39" s="128" t="n">
        <x:f>'PROJECT TA Y TB KARINA'!$R93/8</x:f>
        <x:v>0</x:v>
      </x:c>
      <x:c r="JD39" s="128" t="n">
        <x:f>'PROJECT TA Y TB KARINA'!$S93/8</x:f>
        <x:v>0</x:v>
      </x:c>
      <x:c r="JE39" s="128" t="n">
        <x:f>'PROJECT TA Y TB KARINA'!$S93/8</x:f>
        <x:v>0</x:v>
      </x:c>
      <x:c r="JF39" s="128" t="n">
        <x:f>'PROJECT TA Y TB KARINA'!$S93/8</x:f>
        <x:v>0</x:v>
      </x:c>
      <x:c r="JG39" s="128" t="n">
        <x:f>'PROJECT TA Y TB KARINA'!$S93/8</x:f>
        <x:v>0</x:v>
      </x:c>
      <x:c r="JH39" s="128" t="n">
        <x:f>'PROJECT TA Y TB KARINA'!$S93/8</x:f>
        <x:v>0</x:v>
      </x:c>
      <x:c r="JI39" s="128" t="n">
        <x:f>'PROJECT TA Y TB KARINA'!$S93/8</x:f>
        <x:v>0</x:v>
      </x:c>
      <x:c r="JJ39" s="128" t="n">
        <x:f>'PROJECT TA Y TB KARINA'!$S93/8</x:f>
        <x:v>0</x:v>
      </x:c>
      <x:c r="JK39" s="128" t="n">
        <x:f>'PROJECT TA Y TB KARINA'!$S93/8</x:f>
        <x:v>0</x:v>
      </x:c>
      <x:c r="JL39" s="128" t="n">
        <x:f>'PROJECT TA Y TB KARINA'!$T93/8</x:f>
        <x:v>0</x:v>
      </x:c>
      <x:c r="JM39" s="128" t="n">
        <x:f>'PROJECT TA Y TB KARINA'!$T93/8</x:f>
        <x:v>0</x:v>
      </x:c>
      <x:c r="JN39" s="128" t="n">
        <x:f>'PROJECT TA Y TB KARINA'!$T93/8</x:f>
        <x:v>0</x:v>
      </x:c>
      <x:c r="JO39" s="128" t="n">
        <x:f>'PROJECT TA Y TB KARINA'!$T93/8</x:f>
        <x:v>0</x:v>
      </x:c>
      <x:c r="JP39" s="128" t="n">
        <x:f>'PROJECT TA Y TB KARINA'!$T93/8</x:f>
        <x:v>0</x:v>
      </x:c>
      <x:c r="JQ39" s="128" t="n">
        <x:f>'PROJECT TA Y TB KARINA'!$T93/8</x:f>
        <x:v>0</x:v>
      </x:c>
      <x:c r="JR39" s="128" t="n">
        <x:f>'PROJECT TA Y TB KARINA'!$T93/8</x:f>
        <x:v>0</x:v>
      </x:c>
      <x:c r="JS39" s="128" t="n">
        <x:f>'PROJECT TA Y TB KARINA'!$T93/8</x:f>
        <x:v>0</x:v>
      </x:c>
      <x:c r="JT39" s="128" t="e">
        <x:f>'PROJECT TA Y TB KARINA'!#REF!/8</x:f>
        <x:v>#NAME?</x:v>
      </x:c>
      <x:c r="JU39" s="128" t="e">
        <x:f>'PROJECT TA Y TB KARINA'!#REF!/8</x:f>
        <x:v>#NAME?</x:v>
      </x:c>
      <x:c r="JV39" s="128" t="e">
        <x:f>'PROJECT TA Y TB KARINA'!#REF!/8</x:f>
        <x:v>#NAME?</x:v>
      </x:c>
      <x:c r="JW39" s="128" t="e">
        <x:f>'PROJECT TA Y TB KARINA'!#REF!/8</x:f>
        <x:v>#NAME?</x:v>
      </x:c>
      <x:c r="JX39" s="128" t="e">
        <x:f>'PROJECT TA Y TB KARINA'!#REF!/8</x:f>
        <x:v>#NAME?</x:v>
      </x:c>
      <x:c r="JY39" s="128" t="e">
        <x:f>'PROJECT TA Y TB KARINA'!#REF!/8</x:f>
        <x:v>#NAME?</x:v>
      </x:c>
      <x:c r="JZ39" s="128" t="e">
        <x:f>'PROJECT TA Y TB KARINA'!#REF!/8</x:f>
        <x:v>#NAME?</x:v>
      </x:c>
      <x:c r="KA39" s="128" t="e">
        <x:f>'PROJECT TA Y TB KARINA'!#REF!/8</x:f>
        <x:v>#NAME?</x:v>
      </x:c>
    </x:row>
    <x:row r="40" ht="21">
      <x:c r="A40" s="130" t="s">
        <x:v>525</x:v>
      </x:c>
      <x:c r="B40" s="128" t="e">
        <x:f>'PROJECT TA Y TB KARINA'!$C$36/8</x:f>
        <x:v>#REF!</x:v>
      </x:c>
      <x:c r="C40" s="128" t="e">
        <x:f>'PROJECT TA Y TB KARINA'!$C$36/8</x:f>
        <x:v>#REF!</x:v>
      </x:c>
      <x:c r="D40" s="128" t="e">
        <x:f>'PROJECT TA Y TB KARINA'!$C$36/8</x:f>
        <x:v>#REF!</x:v>
      </x:c>
      <x:c r="E40" s="128" t="e">
        <x:f>'PROJECT TA Y TB KARINA'!$C$36/8</x:f>
        <x:v>#REF!</x:v>
      </x:c>
      <x:c r="F40" s="128" t="e">
        <x:f>'PROJECT TA Y TB KARINA'!$C$36/8</x:f>
        <x:v>#REF!</x:v>
      </x:c>
      <x:c r="G40" s="128" t="e">
        <x:f>'PROJECT TA Y TB KARINA'!$C$36/8</x:f>
        <x:v>#REF!</x:v>
      </x:c>
      <x:c r="H40" s="128" t="e">
        <x:f>'PROJECT TA Y TB KARINA'!$C$36/8</x:f>
        <x:v>#REF!</x:v>
      </x:c>
      <x:c r="I40" s="128" t="e">
        <x:f>'PROJECT TA Y TB KARINA'!$E36/8</x:f>
        <x:v>#REF!</x:v>
      </x:c>
      <x:c r="J40" s="128" t="e">
        <x:f>'PROJECT TA Y TB KARINA'!$E36/8</x:f>
        <x:v>#REF!</x:v>
      </x:c>
      <x:c r="K40" s="128" t="e">
        <x:f>'PROJECT TA Y TB KARINA'!$E36/8</x:f>
        <x:v>#REF!</x:v>
      </x:c>
      <x:c r="L40" s="128" t="e">
        <x:f>'PROJECT TA Y TB KARINA'!$E36/8</x:f>
        <x:v>#REF!</x:v>
      </x:c>
      <x:c r="M40" s="128" t="e">
        <x:f>'PROJECT TA Y TB KARINA'!$E36/8</x:f>
        <x:v>#REF!</x:v>
      </x:c>
      <x:c r="N40" s="128" t="e">
        <x:f>'PROJECT TA Y TB KARINA'!$E36/8</x:f>
        <x:v>#REF!</x:v>
      </x:c>
      <x:c r="O40" s="128" t="e">
        <x:f>'PROJECT TA Y TB KARINA'!$E36/8</x:f>
        <x:v>#REF!</x:v>
      </x:c>
      <x:c r="P40" s="128" t="e">
        <x:f>'PROJECT TA Y TB KARINA'!$E36/8</x:f>
        <x:v>#REF!</x:v>
      </x:c>
      <x:c r="Q40" s="128" t="e">
        <x:f>'PROJECT TA Y TB KARINA'!$F36/8</x:f>
        <x:v>#REF!</x:v>
      </x:c>
      <x:c r="R40" s="128" t="e">
        <x:f>'PROJECT TA Y TB KARINA'!$F36/8</x:f>
        <x:v>#REF!</x:v>
      </x:c>
      <x:c r="S40" s="128" t="e">
        <x:f>'PROJECT TA Y TB KARINA'!$F36/8</x:f>
        <x:v>#REF!</x:v>
      </x:c>
      <x:c r="T40" s="128" t="e">
        <x:f>'PROJECT TA Y TB KARINA'!$F36/8</x:f>
        <x:v>#REF!</x:v>
      </x:c>
      <x:c r="U40" s="128" t="e">
        <x:f>'PROJECT TA Y TB KARINA'!$F36/8</x:f>
        <x:v>#REF!</x:v>
      </x:c>
      <x:c r="V40" s="128" t="e">
        <x:f>'PROJECT TA Y TB KARINA'!$F36/8</x:f>
        <x:v>#REF!</x:v>
      </x:c>
      <x:c r="W40" s="128" t="e">
        <x:f>'PROJECT TA Y TB KARINA'!$F36/8</x:f>
        <x:v>#REF!</x:v>
      </x:c>
      <x:c r="X40" s="128" t="e">
        <x:f>'PROJECT TA Y TB KARINA'!$F36/8</x:f>
        <x:v>#REF!</x:v>
      </x:c>
      <x:c r="Y40" s="128" t="e">
        <x:f>'PROJECT TA Y TB KARINA'!$G36/8</x:f>
        <x:v>#REF!</x:v>
      </x:c>
      <x:c r="Z40" s="128" t="e">
        <x:f>'PROJECT TA Y TB KARINA'!$G36/8</x:f>
        <x:v>#REF!</x:v>
      </x:c>
      <x:c r="AA40" s="128" t="e">
        <x:f>'PROJECT TA Y TB KARINA'!$G36/8</x:f>
        <x:v>#REF!</x:v>
      </x:c>
      <x:c r="AB40" s="128" t="e">
        <x:f>'PROJECT TA Y TB KARINA'!$G36/8</x:f>
        <x:v>#REF!</x:v>
      </x:c>
      <x:c r="AC40" s="128" t="e">
        <x:f>'PROJECT TA Y TB KARINA'!$G36/8</x:f>
        <x:v>#REF!</x:v>
      </x:c>
      <x:c r="AD40" s="128" t="e">
        <x:f>'PROJECT TA Y TB KARINA'!$G36/8</x:f>
        <x:v>#REF!</x:v>
      </x:c>
      <x:c r="AE40" s="128" t="e">
        <x:f>'PROJECT TA Y TB KARINA'!$G36/8</x:f>
        <x:v>#REF!</x:v>
      </x:c>
      <x:c r="AF40" s="128" t="e">
        <x:f>'PROJECT TA Y TB KARINA'!$G36/8</x:f>
        <x:v>#REF!</x:v>
      </x:c>
      <x:c r="AG40" s="128" t="e">
        <x:f>'PROJECT TA Y TB KARINA'!$H36/8</x:f>
        <x:v>#REF!</x:v>
      </x:c>
      <x:c r="AH40" s="128" t="e">
        <x:f>'PROJECT TA Y TB KARINA'!$H36/8</x:f>
        <x:v>#REF!</x:v>
      </x:c>
      <x:c r="AI40" s="128" t="e">
        <x:f>'PROJECT TA Y TB KARINA'!$H36/8</x:f>
        <x:v>#REF!</x:v>
      </x:c>
      <x:c r="AJ40" s="128" t="e">
        <x:f>'PROJECT TA Y TB KARINA'!$H36/8</x:f>
        <x:v>#REF!</x:v>
      </x:c>
      <x:c r="AK40" s="128" t="e">
        <x:f>'PROJECT TA Y TB KARINA'!$H36/8</x:f>
        <x:v>#REF!</x:v>
      </x:c>
      <x:c r="AL40" s="128" t="e">
        <x:f>'PROJECT TA Y TB KARINA'!$H36/8</x:f>
        <x:v>#REF!</x:v>
      </x:c>
      <x:c r="AM40" s="128" t="e">
        <x:f>'PROJECT TA Y TB KARINA'!$H36/8</x:f>
        <x:v>#REF!</x:v>
      </x:c>
      <x:c r="AN40" s="128" t="e">
        <x:f>'PROJECT TA Y TB KARINA'!$H36/8</x:f>
        <x:v>#REF!</x:v>
      </x:c>
      <x:c r="AO40" s="128" t="e">
        <x:f>'PROJECT TA Y TB KARINA'!$I36/8</x:f>
        <x:v>#REF!</x:v>
      </x:c>
      <x:c r="AP40" s="128" t="e">
        <x:f>'PROJECT TA Y TB KARINA'!$I36/8</x:f>
        <x:v>#REF!</x:v>
      </x:c>
      <x:c r="AQ40" s="128" t="e">
        <x:f>'PROJECT TA Y TB KARINA'!$I36/8</x:f>
        <x:v>#REF!</x:v>
      </x:c>
      <x:c r="AR40" s="128" t="e">
        <x:f>'PROJECT TA Y TB KARINA'!$I36/8</x:f>
        <x:v>#REF!</x:v>
      </x:c>
      <x:c r="AS40" s="128" t="e">
        <x:f>'PROJECT TA Y TB KARINA'!$I36/8</x:f>
        <x:v>#REF!</x:v>
      </x:c>
      <x:c r="AT40" s="128" t="e">
        <x:f>'PROJECT TA Y TB KARINA'!$I36/8</x:f>
        <x:v>#REF!</x:v>
      </x:c>
      <x:c r="AU40" s="128" t="e">
        <x:f>'PROJECT TA Y TB KARINA'!$I36/8</x:f>
        <x:v>#REF!</x:v>
      </x:c>
      <x:c r="AV40" s="128" t="e">
        <x:f>'PROJECT TA Y TB KARINA'!$I36/8</x:f>
        <x:v>#REF!</x:v>
      </x:c>
      <x:c r="AW40" s="128" t="e">
        <x:f>'PROJECT TA Y TB KARINA'!$J36/8</x:f>
        <x:v>#REF!</x:v>
      </x:c>
      <x:c r="AX40" s="128" t="e">
        <x:f>'PROJECT TA Y TB KARINA'!$J36/8</x:f>
        <x:v>#REF!</x:v>
      </x:c>
      <x:c r="AY40" s="128" t="e">
        <x:f>'PROJECT TA Y TB KARINA'!$J36/8</x:f>
        <x:v>#REF!</x:v>
      </x:c>
      <x:c r="AZ40" s="128" t="e">
        <x:f>'PROJECT TA Y TB KARINA'!$J36/8</x:f>
        <x:v>#REF!</x:v>
      </x:c>
      <x:c r="BA40" s="128" t="e">
        <x:f>'PROJECT TA Y TB KARINA'!$J36/8</x:f>
        <x:v>#REF!</x:v>
      </x:c>
      <x:c r="BB40" s="128" t="e">
        <x:f>'PROJECT TA Y TB KARINA'!$J36/8</x:f>
        <x:v>#REF!</x:v>
      </x:c>
      <x:c r="BC40" s="128" t="e">
        <x:f>'PROJECT TA Y TB KARINA'!$J36/8</x:f>
        <x:v>#REF!</x:v>
      </x:c>
      <x:c r="BD40" s="128" t="e">
        <x:f>'PROJECT TA Y TB KARINA'!$J36/8</x:f>
        <x:v>#REF!</x:v>
      </x:c>
      <x:c r="BE40" s="128" t="e">
        <x:f>'PROJECT TA Y TB KARINA'!$K36/8</x:f>
        <x:v>#REF!</x:v>
      </x:c>
      <x:c r="BF40" s="128" t="e">
        <x:f>'PROJECT TA Y TB KARINA'!$K36/8</x:f>
        <x:v>#REF!</x:v>
      </x:c>
      <x:c r="BG40" s="128" t="e">
        <x:f>'PROJECT TA Y TB KARINA'!$K36/8</x:f>
        <x:v>#REF!</x:v>
      </x:c>
      <x:c r="BH40" s="128" t="e">
        <x:f>'PROJECT TA Y TB KARINA'!$K36/8</x:f>
        <x:v>#REF!</x:v>
      </x:c>
      <x:c r="BI40" s="128" t="e">
        <x:f>'PROJECT TA Y TB KARINA'!$K36/8</x:f>
        <x:v>#REF!</x:v>
      </x:c>
      <x:c r="BJ40" s="128" t="e">
        <x:f>'PROJECT TA Y TB KARINA'!$K36/8</x:f>
        <x:v>#REF!</x:v>
      </x:c>
      <x:c r="BK40" s="128" t="e">
        <x:f>'PROJECT TA Y TB KARINA'!$K36/8</x:f>
        <x:v>#REF!</x:v>
      </x:c>
      <x:c r="BL40" s="128" t="e">
        <x:f>'PROJECT TA Y TB KARINA'!$K36/8</x:f>
        <x:v>#REF!</x:v>
      </x:c>
      <x:c r="BM40" s="128" t="e">
        <x:f>'PROJECT TA Y TB KARINA'!$L36/8</x:f>
        <x:v>#REF!</x:v>
      </x:c>
      <x:c r="BN40" s="128" t="e">
        <x:f>'PROJECT TA Y TB KARINA'!$L36/8</x:f>
        <x:v>#REF!</x:v>
      </x:c>
      <x:c r="BO40" s="128" t="e">
        <x:f>'PROJECT TA Y TB KARINA'!$L36/8</x:f>
        <x:v>#REF!</x:v>
      </x:c>
      <x:c r="BP40" s="128" t="e">
        <x:f>'PROJECT TA Y TB KARINA'!$L36/8</x:f>
        <x:v>#REF!</x:v>
      </x:c>
      <x:c r="BQ40" s="128" t="e">
        <x:f>'PROJECT TA Y TB KARINA'!$L36/8</x:f>
        <x:v>#REF!</x:v>
      </x:c>
      <x:c r="BR40" s="128" t="e">
        <x:f>'PROJECT TA Y TB KARINA'!$L36/8</x:f>
        <x:v>#REF!</x:v>
      </x:c>
      <x:c r="BS40" s="128" t="e">
        <x:f>'PROJECT TA Y TB KARINA'!$L36/8</x:f>
        <x:v>#REF!</x:v>
      </x:c>
      <x:c r="BT40" s="128" t="e">
        <x:f>'PROJECT TA Y TB KARINA'!$L36/8</x:f>
        <x:v>#REF!</x:v>
      </x:c>
      <x:c r="BU40" s="128" t="e">
        <x:f>'PROJECT TA Y TB KARINA'!$M36/8</x:f>
        <x:v>#REF!</x:v>
      </x:c>
      <x:c r="BV40" s="128" t="e">
        <x:f>'PROJECT TA Y TB KARINA'!$M36/8</x:f>
        <x:v>#REF!</x:v>
      </x:c>
      <x:c r="BW40" s="128" t="e">
        <x:f>'PROJECT TA Y TB KARINA'!$M36/8</x:f>
        <x:v>#REF!</x:v>
      </x:c>
      <x:c r="BX40" s="128" t="e">
        <x:f>'PROJECT TA Y TB KARINA'!$M36/8</x:f>
        <x:v>#REF!</x:v>
      </x:c>
      <x:c r="BY40" s="128" t="e">
        <x:f>'PROJECT TA Y TB KARINA'!$M36/8</x:f>
        <x:v>#REF!</x:v>
      </x:c>
      <x:c r="BZ40" s="128" t="e">
        <x:f>'PROJECT TA Y TB KARINA'!$M36/8</x:f>
        <x:v>#REF!</x:v>
      </x:c>
      <x:c r="CA40" s="128" t="e">
        <x:f>'PROJECT TA Y TB KARINA'!$M36/8</x:f>
        <x:v>#REF!</x:v>
      </x:c>
      <x:c r="CB40" s="128" t="e">
        <x:f>'PROJECT TA Y TB KARINA'!$M36/8</x:f>
        <x:v>#REF!</x:v>
      </x:c>
      <x:c r="CC40" s="128" t="e">
        <x:f>'PROJECT TA Y TB KARINA'!$N36/8</x:f>
        <x:v>#REF!</x:v>
      </x:c>
      <x:c r="CD40" s="128" t="e">
        <x:f>'PROJECT TA Y TB KARINA'!$N36/8</x:f>
        <x:v>#REF!</x:v>
      </x:c>
      <x:c r="CE40" s="128" t="e">
        <x:f>'PROJECT TA Y TB KARINA'!$N36/8</x:f>
        <x:v>#REF!</x:v>
      </x:c>
      <x:c r="CF40" s="128" t="e">
        <x:f>'PROJECT TA Y TB KARINA'!$N36/8</x:f>
        <x:v>#REF!</x:v>
      </x:c>
      <x:c r="CG40" s="128" t="e">
        <x:f>'PROJECT TA Y TB KARINA'!$N36/8</x:f>
        <x:v>#REF!</x:v>
      </x:c>
      <x:c r="CH40" s="128" t="e">
        <x:f>'PROJECT TA Y TB KARINA'!$N36/8</x:f>
        <x:v>#REF!</x:v>
      </x:c>
      <x:c r="CI40" s="128" t="e">
        <x:f>'PROJECT TA Y TB KARINA'!$N36/8</x:f>
        <x:v>#REF!</x:v>
      </x:c>
      <x:c r="CJ40" s="128" t="e">
        <x:f>'PROJECT TA Y TB KARINA'!$N36/8</x:f>
        <x:v>#REF!</x:v>
      </x:c>
      <x:c r="CK40" s="128" t="e">
        <x:f>'PROJECT TA Y TB KARINA'!$O36/8</x:f>
        <x:v>#REF!</x:v>
      </x:c>
      <x:c r="CL40" s="128" t="e">
        <x:f>'PROJECT TA Y TB KARINA'!$O36/8</x:f>
        <x:v>#REF!</x:v>
      </x:c>
      <x:c r="CM40" s="128" t="e">
        <x:f>'PROJECT TA Y TB KARINA'!$O36/8</x:f>
        <x:v>#REF!</x:v>
      </x:c>
      <x:c r="CN40" s="128" t="e">
        <x:f>'PROJECT TA Y TB KARINA'!$O36/8</x:f>
        <x:v>#REF!</x:v>
      </x:c>
      <x:c r="CO40" s="128" t="e">
        <x:f>'PROJECT TA Y TB KARINA'!$O36/8</x:f>
        <x:v>#REF!</x:v>
      </x:c>
      <x:c r="CP40" s="128" t="e">
        <x:f>'PROJECT TA Y TB KARINA'!$O36/8</x:f>
        <x:v>#REF!</x:v>
      </x:c>
      <x:c r="CQ40" s="128" t="e">
        <x:f>'PROJECT TA Y TB KARINA'!$O36/8</x:f>
        <x:v>#REF!</x:v>
      </x:c>
      <x:c r="CR40" s="128" t="e">
        <x:f>'PROJECT TA Y TB KARINA'!$O36/8</x:f>
        <x:v>#REF!</x:v>
      </x:c>
      <x:c r="CS40" s="128" t="e">
        <x:f>'PROJECT TA Y TB KARINA'!$P36/8</x:f>
        <x:v>#REF!</x:v>
      </x:c>
      <x:c r="CT40" s="128" t="e">
        <x:f>'PROJECT TA Y TB KARINA'!$P36/8</x:f>
        <x:v>#REF!</x:v>
      </x:c>
      <x:c r="CU40" s="128" t="e">
        <x:f>'PROJECT TA Y TB KARINA'!$P36/8</x:f>
        <x:v>#REF!</x:v>
      </x:c>
      <x:c r="CV40" s="128" t="e">
        <x:f>'PROJECT TA Y TB KARINA'!$P36/8</x:f>
        <x:v>#REF!</x:v>
      </x:c>
      <x:c r="CW40" s="128" t="e">
        <x:f>'PROJECT TA Y TB KARINA'!$P36/8</x:f>
        <x:v>#REF!</x:v>
      </x:c>
      <x:c r="CX40" s="128" t="e">
        <x:f>'PROJECT TA Y TB KARINA'!$P36/8</x:f>
        <x:v>#REF!</x:v>
      </x:c>
      <x:c r="CY40" s="128" t="e">
        <x:f>'PROJECT TA Y TB KARINA'!$P36/8</x:f>
        <x:v>#REF!</x:v>
      </x:c>
      <x:c r="CZ40" s="128" t="e">
        <x:f>'PROJECT TA Y TB KARINA'!$P36/8</x:f>
        <x:v>#REF!</x:v>
      </x:c>
      <x:c r="DA40" s="128" t="e">
        <x:f>'PROJECT TA Y TB KARINA'!$Q36/8</x:f>
        <x:v>#REF!</x:v>
      </x:c>
      <x:c r="DB40" s="128" t="e">
        <x:f>'PROJECT TA Y TB KARINA'!$Q36/8</x:f>
        <x:v>#REF!</x:v>
      </x:c>
      <x:c r="DC40" s="128" t="e">
        <x:f>'PROJECT TA Y TB KARINA'!$Q36/8</x:f>
        <x:v>#REF!</x:v>
      </x:c>
      <x:c r="DD40" s="128" t="e">
        <x:f>'PROJECT TA Y TB KARINA'!$Q36/8</x:f>
        <x:v>#REF!</x:v>
      </x:c>
      <x:c r="DE40" s="128" t="e">
        <x:f>'PROJECT TA Y TB KARINA'!$Q36/8</x:f>
        <x:v>#REF!</x:v>
      </x:c>
      <x:c r="DF40" s="128" t="e">
        <x:f>'PROJECT TA Y TB KARINA'!$Q36/8</x:f>
        <x:v>#REF!</x:v>
      </x:c>
      <x:c r="DG40" s="128" t="e">
        <x:f>'PROJECT TA Y TB KARINA'!$Q36/8</x:f>
        <x:v>#REF!</x:v>
      </x:c>
      <x:c r="DH40" s="128" t="e">
        <x:f>'PROJECT TA Y TB KARINA'!$Q36/8</x:f>
        <x:v>#REF!</x:v>
      </x:c>
      <x:c r="DI40" s="128" t="e">
        <x:f>'PROJECT TA Y TB KARINA'!$R36/8</x:f>
        <x:v>#REF!</x:v>
      </x:c>
      <x:c r="DJ40" s="128" t="e">
        <x:f>'PROJECT TA Y TB KARINA'!$R36/8</x:f>
        <x:v>#REF!</x:v>
      </x:c>
      <x:c r="DK40" s="128" t="e">
        <x:f>'PROJECT TA Y TB KARINA'!$R36/8</x:f>
        <x:v>#REF!</x:v>
      </x:c>
      <x:c r="DL40" s="128" t="e">
        <x:f>'PROJECT TA Y TB KARINA'!$R36/8</x:f>
        <x:v>#REF!</x:v>
      </x:c>
      <x:c r="DM40" s="128" t="e">
        <x:f>'PROJECT TA Y TB KARINA'!$R36/8</x:f>
        <x:v>#REF!</x:v>
      </x:c>
      <x:c r="DN40" s="128" t="e">
        <x:f>'PROJECT TA Y TB KARINA'!$R36/8</x:f>
        <x:v>#REF!</x:v>
      </x:c>
      <x:c r="DO40" s="128" t="e">
        <x:f>'PROJECT TA Y TB KARINA'!$R36/8</x:f>
        <x:v>#REF!</x:v>
      </x:c>
      <x:c r="DP40" s="128" t="e">
        <x:f>'PROJECT TA Y TB KARINA'!$R36/8</x:f>
        <x:v>#REF!</x:v>
      </x:c>
      <x:c r="DQ40" s="128" t="e">
        <x:f>'PROJECT TA Y TB KARINA'!$S36/8</x:f>
        <x:v>#REF!</x:v>
      </x:c>
      <x:c r="DR40" s="128" t="e">
        <x:f>'PROJECT TA Y TB KARINA'!$S36/8</x:f>
        <x:v>#REF!</x:v>
      </x:c>
      <x:c r="DS40" s="128" t="e">
        <x:f>'PROJECT TA Y TB KARINA'!$S36/8</x:f>
        <x:v>#REF!</x:v>
      </x:c>
      <x:c r="DT40" s="128" t="e">
        <x:f>'PROJECT TA Y TB KARINA'!$S36/8</x:f>
        <x:v>#REF!</x:v>
      </x:c>
      <x:c r="DU40" s="128" t="e">
        <x:f>'PROJECT TA Y TB KARINA'!$S36/8</x:f>
        <x:v>#REF!</x:v>
      </x:c>
      <x:c r="DV40" s="128" t="e">
        <x:f>'PROJECT TA Y TB KARINA'!$S36/8</x:f>
        <x:v>#REF!</x:v>
      </x:c>
      <x:c r="DW40" s="128" t="e">
        <x:f>'PROJECT TA Y TB KARINA'!$S36/8</x:f>
        <x:v>#REF!</x:v>
      </x:c>
      <x:c r="DX40" s="128" t="e">
        <x:f>'PROJECT TA Y TB KARINA'!$S36/8</x:f>
        <x:v>#REF!</x:v>
      </x:c>
      <x:c r="DY40" s="128" t="e">
        <x:f>'PROJECT TA Y TB KARINA'!$T36/8</x:f>
        <x:v>#REF!</x:v>
      </x:c>
      <x:c r="DZ40" s="128" t="e">
        <x:f>'PROJECT TA Y TB KARINA'!$T36/8</x:f>
        <x:v>#REF!</x:v>
      </x:c>
      <x:c r="EA40" s="128" t="e">
        <x:f>'PROJECT TA Y TB KARINA'!$T36/8</x:f>
        <x:v>#REF!</x:v>
      </x:c>
      <x:c r="EB40" s="128" t="e">
        <x:f>'PROJECT TA Y TB KARINA'!$T36/8</x:f>
        <x:v>#REF!</x:v>
      </x:c>
      <x:c r="EC40" s="128" t="e">
        <x:f>'PROJECT TA Y TB KARINA'!$T36/8</x:f>
        <x:v>#REF!</x:v>
      </x:c>
      <x:c r="ED40" s="128" t="e">
        <x:f>'PROJECT TA Y TB KARINA'!$T36/8</x:f>
        <x:v>#REF!</x:v>
      </x:c>
      <x:c r="EE40" s="128" t="e">
        <x:f>'PROJECT TA Y TB KARINA'!$T36/8</x:f>
        <x:v>#REF!</x:v>
      </x:c>
      <x:c r="EF40" s="128" t="e">
        <x:f>'PROJECT TA Y TB KARINA'!$T36/8</x:f>
        <x:v>#REF!</x:v>
      </x:c>
      <x:c r="EG40" s="128" t="e">
        <x:f>'PROJECT TA Y TB KARINA'!#REF!/8</x:f>
        <x:v>#NAME?</x:v>
      </x:c>
      <x:c r="EH40" s="128" t="e">
        <x:f>'PROJECT TA Y TB KARINA'!#REF!/8</x:f>
        <x:v>#NAME?</x:v>
      </x:c>
      <x:c r="EI40" s="128" t="e">
        <x:f>'PROJECT TA Y TB KARINA'!#REF!/8</x:f>
        <x:v>#NAME?</x:v>
      </x:c>
      <x:c r="EJ40" s="128" t="e">
        <x:f>'PROJECT TA Y TB KARINA'!#REF!/8</x:f>
        <x:v>#NAME?</x:v>
      </x:c>
      <x:c r="EK40" s="128" t="e">
        <x:f>'PROJECT TA Y TB KARINA'!#REF!/8</x:f>
        <x:v>#NAME?</x:v>
      </x:c>
      <x:c r="EL40" s="128" t="e">
        <x:f>'PROJECT TA Y TB KARINA'!#REF!/8</x:f>
        <x:v>#NAME?</x:v>
      </x:c>
      <x:c r="EM40" s="128" t="e">
        <x:f>'PROJECT TA Y TB KARINA'!#REF!/8</x:f>
        <x:v>#NAME?</x:v>
      </x:c>
      <x:c r="EN40" s="128" t="e">
        <x:f>'PROJECT TA Y TB KARINA'!#REF!/8</x:f>
        <x:v>#NAME?</x:v>
      </x:c>
      <x:c r="EO40" s="128" t="n">
        <x:f>'PROJECT TA Y TB KARINA'!$C94/8</x:f>
        <x:v>0</x:v>
      </x:c>
      <x:c r="EP40" s="128" t="n">
        <x:f>'PROJECT TA Y TB KARINA'!$C94/8</x:f>
        <x:v>0</x:v>
      </x:c>
      <x:c r="EQ40" s="128" t="n">
        <x:f>'PROJECT TA Y TB KARINA'!$C94/8</x:f>
        <x:v>0</x:v>
      </x:c>
      <x:c r="ER40" s="128" t="n">
        <x:f>'PROJECT TA Y TB KARINA'!$C94/8</x:f>
        <x:v>0</x:v>
      </x:c>
      <x:c r="ES40" s="128" t="n">
        <x:f>'PROJECT TA Y TB KARINA'!$C94/8</x:f>
        <x:v>0</x:v>
      </x:c>
      <x:c r="ET40" s="128" t="n">
        <x:f>'PROJECT TA Y TB KARINA'!$C94/8</x:f>
        <x:v>0</x:v>
      </x:c>
      <x:c r="EU40" s="128" t="n">
        <x:f>'PROJECT TA Y TB KARINA'!$C94/8</x:f>
        <x:v>0</x:v>
      </x:c>
      <x:c r="EV40" s="128" t="n">
        <x:f>'PROJECT TA Y TB KARINA'!$E94/8</x:f>
        <x:v>0</x:v>
      </x:c>
      <x:c r="EW40" s="128" t="n">
        <x:f>'PROJECT TA Y TB KARINA'!$E94/8</x:f>
        <x:v>0</x:v>
      </x:c>
      <x:c r="EX40" s="128" t="n">
        <x:f>'PROJECT TA Y TB KARINA'!$E94/8</x:f>
        <x:v>0</x:v>
      </x:c>
      <x:c r="EY40" s="128" t="n">
        <x:f>'PROJECT TA Y TB KARINA'!$E94/8</x:f>
        <x:v>0</x:v>
      </x:c>
      <x:c r="EZ40" s="128" t="n">
        <x:f>'PROJECT TA Y TB KARINA'!$E94/8</x:f>
        <x:v>0</x:v>
      </x:c>
      <x:c r="FA40" s="128" t="n">
        <x:f>'PROJECT TA Y TB KARINA'!$E94/8</x:f>
        <x:v>0</x:v>
      </x:c>
      <x:c r="FB40" s="128" t="n">
        <x:f>'PROJECT TA Y TB KARINA'!$E94/8</x:f>
        <x:v>0</x:v>
      </x:c>
      <x:c r="FC40" s="128" t="n">
        <x:f>'PROJECT TA Y TB KARINA'!$E94/8</x:f>
        <x:v>0</x:v>
      </x:c>
      <x:c r="FD40" s="128" t="n">
        <x:f>'PROJECT TA Y TB KARINA'!$F94/8</x:f>
        <x:v>0</x:v>
      </x:c>
      <x:c r="FE40" s="128" t="n">
        <x:f>'PROJECT TA Y TB KARINA'!$F94/8</x:f>
        <x:v>0</x:v>
      </x:c>
      <x:c r="FF40" s="128" t="n">
        <x:f>'PROJECT TA Y TB KARINA'!$F94/8</x:f>
        <x:v>0</x:v>
      </x:c>
      <x:c r="FG40" s="128" t="n">
        <x:f>'PROJECT TA Y TB KARINA'!$F94/8</x:f>
        <x:v>0</x:v>
      </x:c>
      <x:c r="FH40" s="128" t="n">
        <x:f>'PROJECT TA Y TB KARINA'!$F94/8</x:f>
        <x:v>0</x:v>
      </x:c>
      <x:c r="FI40" s="128" t="n">
        <x:f>'PROJECT TA Y TB KARINA'!$F94/8</x:f>
        <x:v>0</x:v>
      </x:c>
      <x:c r="FJ40" s="128" t="n">
        <x:f>'PROJECT TA Y TB KARINA'!$F94/8</x:f>
        <x:v>0</x:v>
      </x:c>
      <x:c r="FK40" s="128" t="n">
        <x:f>'PROJECT TA Y TB KARINA'!$F94/8</x:f>
        <x:v>0</x:v>
      </x:c>
      <x:c r="FL40" s="128" t="n">
        <x:f>'PROJECT TA Y TB KARINA'!$G94/8</x:f>
        <x:v>0</x:v>
      </x:c>
      <x:c r="FM40" s="128" t="n">
        <x:f>'PROJECT TA Y TB KARINA'!$G94/8</x:f>
        <x:v>0</x:v>
      </x:c>
      <x:c r="FN40" s="128" t="n">
        <x:f>'PROJECT TA Y TB KARINA'!$G94/8</x:f>
        <x:v>0</x:v>
      </x:c>
      <x:c r="FO40" s="128" t="n">
        <x:f>'PROJECT TA Y TB KARINA'!$G94/8</x:f>
        <x:v>0</x:v>
      </x:c>
      <x:c r="FP40" s="128" t="n">
        <x:f>'PROJECT TA Y TB KARINA'!$G94/8</x:f>
        <x:v>0</x:v>
      </x:c>
      <x:c r="FQ40" s="128" t="n">
        <x:f>'PROJECT TA Y TB KARINA'!$G94/8</x:f>
        <x:v>0</x:v>
      </x:c>
      <x:c r="FR40" s="128" t="n">
        <x:f>'PROJECT TA Y TB KARINA'!$G94/8</x:f>
        <x:v>0</x:v>
      </x:c>
      <x:c r="FS40" s="128" t="n">
        <x:f>'PROJECT TA Y TB KARINA'!$G94/8</x:f>
        <x:v>0</x:v>
      </x:c>
      <x:c r="FT40" s="128" t="n">
        <x:f>'PROJECT TA Y TB KARINA'!$H94/8</x:f>
        <x:v>0</x:v>
      </x:c>
      <x:c r="FU40" s="128" t="n">
        <x:f>'PROJECT TA Y TB KARINA'!$H94/8</x:f>
        <x:v>0</x:v>
      </x:c>
      <x:c r="FV40" s="128" t="n">
        <x:f>'PROJECT TA Y TB KARINA'!$H94/8</x:f>
        <x:v>0</x:v>
      </x:c>
      <x:c r="FW40" s="128" t="n">
        <x:f>'PROJECT TA Y TB KARINA'!$H94/8</x:f>
        <x:v>0</x:v>
      </x:c>
      <x:c r="FX40" s="128" t="n">
        <x:f>'PROJECT TA Y TB KARINA'!$H94/8</x:f>
        <x:v>0</x:v>
      </x:c>
      <x:c r="FY40" s="128" t="n">
        <x:f>'PROJECT TA Y TB KARINA'!$H94/8</x:f>
        <x:v>0</x:v>
      </x:c>
      <x:c r="FZ40" s="128" t="n">
        <x:f>'PROJECT TA Y TB KARINA'!$H94/8</x:f>
        <x:v>0</x:v>
      </x:c>
      <x:c r="GA40" s="128" t="n">
        <x:f>'PROJECT TA Y TB KARINA'!$H94/8</x:f>
        <x:v>0</x:v>
      </x:c>
      <x:c r="GB40" s="128" t="n">
        <x:f>'PROJECT TA Y TB KARINA'!$I94/8</x:f>
        <x:v>0</x:v>
      </x:c>
      <x:c r="GC40" s="128" t="n">
        <x:f>'PROJECT TA Y TB KARINA'!$I94/8</x:f>
        <x:v>0</x:v>
      </x:c>
      <x:c r="GD40" s="128" t="n">
        <x:f>'PROJECT TA Y TB KARINA'!$I94/8</x:f>
        <x:v>0</x:v>
      </x:c>
      <x:c r="GE40" s="128" t="n">
        <x:f>'PROJECT TA Y TB KARINA'!$I94/8</x:f>
        <x:v>0</x:v>
      </x:c>
      <x:c r="GF40" s="128" t="n">
        <x:f>'PROJECT TA Y TB KARINA'!$I94/8</x:f>
        <x:v>0</x:v>
      </x:c>
      <x:c r="GG40" s="128" t="n">
        <x:f>'PROJECT TA Y TB KARINA'!$I94/8</x:f>
        <x:v>0</x:v>
      </x:c>
      <x:c r="GH40" s="128" t="n">
        <x:f>'PROJECT TA Y TB KARINA'!$I94/8</x:f>
        <x:v>0</x:v>
      </x:c>
      <x:c r="GI40" s="128" t="n">
        <x:f>'PROJECT TA Y TB KARINA'!$I94/8</x:f>
        <x:v>0</x:v>
      </x:c>
      <x:c r="GJ40" s="128" t="n">
        <x:f>'PROJECT TA Y TB KARINA'!$J94/8</x:f>
        <x:v>0</x:v>
      </x:c>
      <x:c r="GK40" s="128" t="n">
        <x:f>'PROJECT TA Y TB KARINA'!$J94/8</x:f>
        <x:v>0</x:v>
      </x:c>
      <x:c r="GL40" s="128" t="n">
        <x:f>'PROJECT TA Y TB KARINA'!$J94/8</x:f>
        <x:v>0</x:v>
      </x:c>
      <x:c r="GM40" s="128" t="n">
        <x:f>'PROJECT TA Y TB KARINA'!$J94/8</x:f>
        <x:v>0</x:v>
      </x:c>
      <x:c r="GN40" s="128" t="n">
        <x:f>'PROJECT TA Y TB KARINA'!$J94/8</x:f>
        <x:v>0</x:v>
      </x:c>
      <x:c r="GO40" s="128" t="n">
        <x:f>'PROJECT TA Y TB KARINA'!$J94/8</x:f>
        <x:v>0</x:v>
      </x:c>
      <x:c r="GP40" s="128" t="n">
        <x:f>'PROJECT TA Y TB KARINA'!$J94/8</x:f>
        <x:v>0</x:v>
      </x:c>
      <x:c r="GQ40" s="128" t="n">
        <x:f>'PROJECT TA Y TB KARINA'!$J94/8</x:f>
        <x:v>0</x:v>
      </x:c>
      <x:c r="GR40" s="128" t="n">
        <x:f>'PROJECT TA Y TB KARINA'!$K94/8</x:f>
        <x:v>0</x:v>
      </x:c>
      <x:c r="GS40" s="128" t="n">
        <x:f>'PROJECT TA Y TB KARINA'!$K94/8</x:f>
        <x:v>0</x:v>
      </x:c>
      <x:c r="GT40" s="128" t="n">
        <x:f>'PROJECT TA Y TB KARINA'!$K94/8</x:f>
        <x:v>0</x:v>
      </x:c>
      <x:c r="GU40" s="128" t="n">
        <x:f>'PROJECT TA Y TB KARINA'!$K94/8</x:f>
        <x:v>0</x:v>
      </x:c>
      <x:c r="GV40" s="128" t="n">
        <x:f>'PROJECT TA Y TB KARINA'!$K94/8</x:f>
        <x:v>0</x:v>
      </x:c>
      <x:c r="GW40" s="128" t="n">
        <x:f>'PROJECT TA Y TB KARINA'!$K94/8</x:f>
        <x:v>0</x:v>
      </x:c>
      <x:c r="GX40" s="128" t="n">
        <x:f>'PROJECT TA Y TB KARINA'!$K94/8</x:f>
        <x:v>0</x:v>
      </x:c>
      <x:c r="GY40" s="128" t="n">
        <x:f>'PROJECT TA Y TB KARINA'!$K94/8</x:f>
        <x:v>0</x:v>
      </x:c>
      <x:c r="GZ40" s="128" t="n">
        <x:f>'PROJECT TA Y TB KARINA'!$L94/8</x:f>
        <x:v>0</x:v>
      </x:c>
      <x:c r="HA40" s="128" t="n">
        <x:f>'PROJECT TA Y TB KARINA'!$L94/8</x:f>
        <x:v>0</x:v>
      </x:c>
      <x:c r="HB40" s="128" t="n">
        <x:f>'PROJECT TA Y TB KARINA'!$L94/8</x:f>
        <x:v>0</x:v>
      </x:c>
      <x:c r="HC40" s="128" t="n">
        <x:f>'PROJECT TA Y TB KARINA'!$L94/8</x:f>
        <x:v>0</x:v>
      </x:c>
      <x:c r="HD40" s="128" t="n">
        <x:f>'PROJECT TA Y TB KARINA'!$L94/8</x:f>
        <x:v>0</x:v>
      </x:c>
      <x:c r="HE40" s="128" t="n">
        <x:f>'PROJECT TA Y TB KARINA'!$L94/8</x:f>
        <x:v>0</x:v>
      </x:c>
      <x:c r="HF40" s="128" t="n">
        <x:f>'PROJECT TA Y TB KARINA'!$L94/8</x:f>
        <x:v>0</x:v>
      </x:c>
      <x:c r="HG40" s="128" t="n">
        <x:f>'PROJECT TA Y TB KARINA'!$L94/8</x:f>
        <x:v>0</x:v>
      </x:c>
      <x:c r="HH40" s="128" t="n">
        <x:f>'PROJECT TA Y TB KARINA'!$M94/8</x:f>
        <x:v>0</x:v>
      </x:c>
      <x:c r="HI40" s="128" t="n">
        <x:f>'PROJECT TA Y TB KARINA'!$M94/8</x:f>
        <x:v>0</x:v>
      </x:c>
      <x:c r="HJ40" s="128" t="n">
        <x:f>'PROJECT TA Y TB KARINA'!$M94/8</x:f>
        <x:v>0</x:v>
      </x:c>
      <x:c r="HK40" s="128" t="n">
        <x:f>'PROJECT TA Y TB KARINA'!$M94/8</x:f>
        <x:v>0</x:v>
      </x:c>
      <x:c r="HL40" s="128" t="n">
        <x:f>'PROJECT TA Y TB KARINA'!$M94/8</x:f>
        <x:v>0</x:v>
      </x:c>
      <x:c r="HM40" s="128" t="n">
        <x:f>'PROJECT TA Y TB KARINA'!$M94/8</x:f>
        <x:v>0</x:v>
      </x:c>
      <x:c r="HN40" s="128" t="n">
        <x:f>'PROJECT TA Y TB KARINA'!$M94/8</x:f>
        <x:v>0</x:v>
      </x:c>
      <x:c r="HO40" s="128" t="n">
        <x:f>'PROJECT TA Y TB KARINA'!$M94/8</x:f>
        <x:v>0</x:v>
      </x:c>
      <x:c r="HP40" s="128" t="n">
        <x:f>'PROJECT TA Y TB KARINA'!$N94/8</x:f>
        <x:v>0</x:v>
      </x:c>
      <x:c r="HQ40" s="128" t="n">
        <x:f>'PROJECT TA Y TB KARINA'!$N94/8</x:f>
        <x:v>0</x:v>
      </x:c>
      <x:c r="HR40" s="128" t="n">
        <x:f>'PROJECT TA Y TB KARINA'!$N94/8</x:f>
        <x:v>0</x:v>
      </x:c>
      <x:c r="HS40" s="128" t="n">
        <x:f>'PROJECT TA Y TB KARINA'!$N94/8</x:f>
        <x:v>0</x:v>
      </x:c>
      <x:c r="HT40" s="128" t="n">
        <x:f>'PROJECT TA Y TB KARINA'!$N94/8</x:f>
        <x:v>0</x:v>
      </x:c>
      <x:c r="HU40" s="128" t="n">
        <x:f>'PROJECT TA Y TB KARINA'!$N94/8</x:f>
        <x:v>0</x:v>
      </x:c>
      <x:c r="HV40" s="128" t="n">
        <x:f>'PROJECT TA Y TB KARINA'!$N94/8</x:f>
        <x:v>0</x:v>
      </x:c>
      <x:c r="HW40" s="128" t="n">
        <x:f>'PROJECT TA Y TB KARINA'!$N94/8</x:f>
        <x:v>0</x:v>
      </x:c>
      <x:c r="HX40" s="128" t="n">
        <x:f>'PROJECT TA Y TB KARINA'!$O94/8</x:f>
        <x:v>0</x:v>
      </x:c>
      <x:c r="HY40" s="128" t="n">
        <x:f>'PROJECT TA Y TB KARINA'!$O94/8</x:f>
        <x:v>0</x:v>
      </x:c>
      <x:c r="HZ40" s="128" t="n">
        <x:f>'PROJECT TA Y TB KARINA'!$O94/8</x:f>
        <x:v>0</x:v>
      </x:c>
      <x:c r="IA40" s="128" t="n">
        <x:f>'PROJECT TA Y TB KARINA'!$O94/8</x:f>
        <x:v>0</x:v>
      </x:c>
      <x:c r="IB40" s="128" t="n">
        <x:f>'PROJECT TA Y TB KARINA'!$O94/8</x:f>
        <x:v>0</x:v>
      </x:c>
      <x:c r="IC40" s="128" t="n">
        <x:f>'PROJECT TA Y TB KARINA'!$O94/8</x:f>
        <x:v>0</x:v>
      </x:c>
      <x:c r="ID40" s="128" t="n">
        <x:f>'PROJECT TA Y TB KARINA'!$O94/8</x:f>
        <x:v>0</x:v>
      </x:c>
      <x:c r="IE40" s="128" t="n">
        <x:f>'PROJECT TA Y TB KARINA'!$O94/8</x:f>
        <x:v>0</x:v>
      </x:c>
      <x:c r="IF40" s="128" t="n">
        <x:f>'PROJECT TA Y TB KARINA'!$P94/8</x:f>
        <x:v>0</x:v>
      </x:c>
      <x:c r="IG40" s="128" t="n">
        <x:f>'PROJECT TA Y TB KARINA'!$P94/8</x:f>
        <x:v>0</x:v>
      </x:c>
      <x:c r="IH40" s="128" t="n">
        <x:f>'PROJECT TA Y TB KARINA'!$P94/8</x:f>
        <x:v>0</x:v>
      </x:c>
      <x:c r="II40" s="128" t="n">
        <x:f>'PROJECT TA Y TB KARINA'!$P94/8</x:f>
        <x:v>0</x:v>
      </x:c>
      <x:c r="IJ40" s="128" t="n">
        <x:f>'PROJECT TA Y TB KARINA'!$P94/8</x:f>
        <x:v>0</x:v>
      </x:c>
      <x:c r="IK40" s="128" t="n">
        <x:f>'PROJECT TA Y TB KARINA'!$P94/8</x:f>
        <x:v>0</x:v>
      </x:c>
      <x:c r="IL40" s="128" t="n">
        <x:f>'PROJECT TA Y TB KARINA'!$P94/8</x:f>
        <x:v>0</x:v>
      </x:c>
      <x:c r="IM40" s="128" t="n">
        <x:f>'PROJECT TA Y TB KARINA'!$P94/8</x:f>
        <x:v>0</x:v>
      </x:c>
      <x:c r="IN40" s="128" t="n">
        <x:f>'PROJECT TA Y TB KARINA'!$Q94/8</x:f>
        <x:v>0</x:v>
      </x:c>
      <x:c r="IO40" s="128" t="n">
        <x:f>'PROJECT TA Y TB KARINA'!$Q94/8</x:f>
        <x:v>0</x:v>
      </x:c>
      <x:c r="IP40" s="128" t="n">
        <x:f>'PROJECT TA Y TB KARINA'!$Q94/8</x:f>
        <x:v>0</x:v>
      </x:c>
      <x:c r="IQ40" s="128" t="n">
        <x:f>'PROJECT TA Y TB KARINA'!$Q94/8</x:f>
        <x:v>0</x:v>
      </x:c>
      <x:c r="IR40" s="128" t="n">
        <x:f>'PROJECT TA Y TB KARINA'!$Q94/8</x:f>
        <x:v>0</x:v>
      </x:c>
      <x:c r="IS40" s="128" t="n">
        <x:f>'PROJECT TA Y TB KARINA'!$Q94/8</x:f>
        <x:v>0</x:v>
      </x:c>
      <x:c r="IT40" s="128" t="n">
        <x:f>'PROJECT TA Y TB KARINA'!$Q94/8</x:f>
        <x:v>0</x:v>
      </x:c>
      <x:c r="IU40" s="128" t="n">
        <x:f>'PROJECT TA Y TB KARINA'!$Q94/8</x:f>
        <x:v>0</x:v>
      </x:c>
      <x:c r="IV40" s="128" t="n">
        <x:f>'PROJECT TA Y TB KARINA'!$R94/8</x:f>
        <x:v>0</x:v>
      </x:c>
      <x:c r="IW40" s="128" t="n">
        <x:f>'PROJECT TA Y TB KARINA'!$R94/8</x:f>
        <x:v>0</x:v>
      </x:c>
      <x:c r="IX40" s="128" t="n">
        <x:f>'PROJECT TA Y TB KARINA'!$R94/8</x:f>
        <x:v>0</x:v>
      </x:c>
      <x:c r="IY40" s="128" t="n">
        <x:f>'PROJECT TA Y TB KARINA'!$R94/8</x:f>
        <x:v>0</x:v>
      </x:c>
      <x:c r="IZ40" s="128" t="n">
        <x:f>'PROJECT TA Y TB KARINA'!$R94/8</x:f>
        <x:v>0</x:v>
      </x:c>
      <x:c r="JA40" s="128" t="n">
        <x:f>'PROJECT TA Y TB KARINA'!$R94/8</x:f>
        <x:v>0</x:v>
      </x:c>
      <x:c r="JB40" s="128" t="n">
        <x:f>'PROJECT TA Y TB KARINA'!$R94/8</x:f>
        <x:v>0</x:v>
      </x:c>
      <x:c r="JC40" s="128" t="n">
        <x:f>'PROJECT TA Y TB KARINA'!$R94/8</x:f>
        <x:v>0</x:v>
      </x:c>
      <x:c r="JD40" s="128" t="n">
        <x:f>'PROJECT TA Y TB KARINA'!$S94/8</x:f>
        <x:v>0</x:v>
      </x:c>
      <x:c r="JE40" s="128" t="n">
        <x:f>'PROJECT TA Y TB KARINA'!$S94/8</x:f>
        <x:v>0</x:v>
      </x:c>
      <x:c r="JF40" s="128" t="n">
        <x:f>'PROJECT TA Y TB KARINA'!$S94/8</x:f>
        <x:v>0</x:v>
      </x:c>
      <x:c r="JG40" s="128" t="n">
        <x:f>'PROJECT TA Y TB KARINA'!$S94/8</x:f>
        <x:v>0</x:v>
      </x:c>
      <x:c r="JH40" s="128" t="n">
        <x:f>'PROJECT TA Y TB KARINA'!$S94/8</x:f>
        <x:v>0</x:v>
      </x:c>
      <x:c r="JI40" s="128" t="n">
        <x:f>'PROJECT TA Y TB KARINA'!$S94/8</x:f>
        <x:v>0</x:v>
      </x:c>
      <x:c r="JJ40" s="128" t="n">
        <x:f>'PROJECT TA Y TB KARINA'!$S94/8</x:f>
        <x:v>0</x:v>
      </x:c>
      <x:c r="JK40" s="128" t="n">
        <x:f>'PROJECT TA Y TB KARINA'!$S94/8</x:f>
        <x:v>0</x:v>
      </x:c>
      <x:c r="JL40" s="128" t="n">
        <x:f>'PROJECT TA Y TB KARINA'!$T94/8</x:f>
        <x:v>0</x:v>
      </x:c>
      <x:c r="JM40" s="128" t="n">
        <x:f>'PROJECT TA Y TB KARINA'!$T94/8</x:f>
        <x:v>0</x:v>
      </x:c>
      <x:c r="JN40" s="128" t="n">
        <x:f>'PROJECT TA Y TB KARINA'!$T94/8</x:f>
        <x:v>0</x:v>
      </x:c>
      <x:c r="JO40" s="128" t="n">
        <x:f>'PROJECT TA Y TB KARINA'!$T94/8</x:f>
        <x:v>0</x:v>
      </x:c>
      <x:c r="JP40" s="128" t="n">
        <x:f>'PROJECT TA Y TB KARINA'!$T94/8</x:f>
        <x:v>0</x:v>
      </x:c>
      <x:c r="JQ40" s="128" t="n">
        <x:f>'PROJECT TA Y TB KARINA'!$T94/8</x:f>
        <x:v>0</x:v>
      </x:c>
      <x:c r="JR40" s="128" t="n">
        <x:f>'PROJECT TA Y TB KARINA'!$T94/8</x:f>
        <x:v>0</x:v>
      </x:c>
      <x:c r="JS40" s="128" t="n">
        <x:f>'PROJECT TA Y TB KARINA'!$T94/8</x:f>
        <x:v>0</x:v>
      </x:c>
      <x:c r="JT40" s="128" t="e">
        <x:f>'PROJECT TA Y TB KARINA'!#REF!/8</x:f>
        <x:v>#NAME?</x:v>
      </x:c>
      <x:c r="JU40" s="128" t="e">
        <x:f>'PROJECT TA Y TB KARINA'!#REF!/8</x:f>
        <x:v>#NAME?</x:v>
      </x:c>
      <x:c r="JV40" s="128" t="e">
        <x:f>'PROJECT TA Y TB KARINA'!#REF!/8</x:f>
        <x:v>#NAME?</x:v>
      </x:c>
      <x:c r="JW40" s="128" t="e">
        <x:f>'PROJECT TA Y TB KARINA'!#REF!/8</x:f>
        <x:v>#NAME?</x:v>
      </x:c>
      <x:c r="JX40" s="128" t="e">
        <x:f>'PROJECT TA Y TB KARINA'!#REF!/8</x:f>
        <x:v>#NAME?</x:v>
      </x:c>
      <x:c r="JY40" s="128" t="e">
        <x:f>'PROJECT TA Y TB KARINA'!#REF!/8</x:f>
        <x:v>#NAME?</x:v>
      </x:c>
      <x:c r="JZ40" s="128" t="e">
        <x:f>'PROJECT TA Y TB KARINA'!#REF!/8</x:f>
        <x:v>#NAME?</x:v>
      </x:c>
      <x:c r="KA40" s="128" t="e">
        <x:f>'PROJECT TA Y TB KARINA'!#REF!/8</x:f>
        <x:v>#NAME?</x:v>
      </x:c>
    </x:row>
    <x:row r="41" ht="21">
      <x:c r="A41" s="130" t="s">
        <x:v>526</x:v>
      </x:c>
      <x:c r="B41" s="128" t="e">
        <x:f>'PROJECT TA Y TB KARINA'!$C$37/8</x:f>
        <x:v>#REF!</x:v>
      </x:c>
      <x:c r="C41" s="128" t="e">
        <x:f>'PROJECT TA Y TB KARINA'!$C$37/8</x:f>
        <x:v>#REF!</x:v>
      </x:c>
      <x:c r="D41" s="128" t="e">
        <x:f>'PROJECT TA Y TB KARINA'!$C$37/8</x:f>
        <x:v>#REF!</x:v>
      </x:c>
      <x:c r="E41" s="128" t="e">
        <x:f>'PROJECT TA Y TB KARINA'!$C$37/8</x:f>
        <x:v>#REF!</x:v>
      </x:c>
      <x:c r="F41" s="128" t="e">
        <x:f>'PROJECT TA Y TB KARINA'!$C$37/8</x:f>
        <x:v>#REF!</x:v>
      </x:c>
      <x:c r="G41" s="128" t="e">
        <x:f>'PROJECT TA Y TB KARINA'!$C$37/8</x:f>
        <x:v>#REF!</x:v>
      </x:c>
      <x:c r="H41" s="128" t="e">
        <x:f>'PROJECT TA Y TB KARINA'!$C$37/8</x:f>
        <x:v>#REF!</x:v>
      </x:c>
      <x:c r="I41" s="128" t="e">
        <x:f>'PROJECT TA Y TB KARINA'!$E37/8</x:f>
        <x:v>#REF!</x:v>
      </x:c>
      <x:c r="J41" s="128" t="e">
        <x:f>'PROJECT TA Y TB KARINA'!$E37/8</x:f>
        <x:v>#REF!</x:v>
      </x:c>
      <x:c r="K41" s="128" t="e">
        <x:f>'PROJECT TA Y TB KARINA'!$E37/8</x:f>
        <x:v>#REF!</x:v>
      </x:c>
      <x:c r="L41" s="128" t="e">
        <x:f>'PROJECT TA Y TB KARINA'!$E37/8</x:f>
        <x:v>#REF!</x:v>
      </x:c>
      <x:c r="M41" s="128" t="e">
        <x:f>'PROJECT TA Y TB KARINA'!$E37/8</x:f>
        <x:v>#REF!</x:v>
      </x:c>
      <x:c r="N41" s="128" t="e">
        <x:f>'PROJECT TA Y TB KARINA'!$E37/8</x:f>
        <x:v>#REF!</x:v>
      </x:c>
      <x:c r="O41" s="128" t="e">
        <x:f>'PROJECT TA Y TB KARINA'!$E37/8</x:f>
        <x:v>#REF!</x:v>
      </x:c>
      <x:c r="P41" s="128" t="e">
        <x:f>'PROJECT TA Y TB KARINA'!$E37/8</x:f>
        <x:v>#REF!</x:v>
      </x:c>
      <x:c r="Q41" s="128" t="e">
        <x:f>'PROJECT TA Y TB KARINA'!$F37/8</x:f>
        <x:v>#REF!</x:v>
      </x:c>
      <x:c r="R41" s="128" t="e">
        <x:f>'PROJECT TA Y TB KARINA'!$F37/8</x:f>
        <x:v>#REF!</x:v>
      </x:c>
      <x:c r="S41" s="128" t="e">
        <x:f>'PROJECT TA Y TB KARINA'!$F37/8</x:f>
        <x:v>#REF!</x:v>
      </x:c>
      <x:c r="T41" s="128" t="e">
        <x:f>'PROJECT TA Y TB KARINA'!$F37/8</x:f>
        <x:v>#REF!</x:v>
      </x:c>
      <x:c r="U41" s="128" t="e">
        <x:f>'PROJECT TA Y TB KARINA'!$F37/8</x:f>
        <x:v>#REF!</x:v>
      </x:c>
      <x:c r="V41" s="128" t="e">
        <x:f>'PROJECT TA Y TB KARINA'!$F37/8</x:f>
        <x:v>#REF!</x:v>
      </x:c>
      <x:c r="W41" s="128" t="e">
        <x:f>'PROJECT TA Y TB KARINA'!$F37/8</x:f>
        <x:v>#REF!</x:v>
      </x:c>
      <x:c r="X41" s="128" t="e">
        <x:f>'PROJECT TA Y TB KARINA'!$F37/8</x:f>
        <x:v>#REF!</x:v>
      </x:c>
      <x:c r="Y41" s="128" t="e">
        <x:f>'PROJECT TA Y TB KARINA'!$G37/8</x:f>
        <x:v>#REF!</x:v>
      </x:c>
      <x:c r="Z41" s="128" t="e">
        <x:f>'PROJECT TA Y TB KARINA'!$G37/8</x:f>
        <x:v>#REF!</x:v>
      </x:c>
      <x:c r="AA41" s="128" t="e">
        <x:f>'PROJECT TA Y TB KARINA'!$G37/8</x:f>
        <x:v>#REF!</x:v>
      </x:c>
      <x:c r="AB41" s="128" t="e">
        <x:f>'PROJECT TA Y TB KARINA'!$G37/8</x:f>
        <x:v>#REF!</x:v>
      </x:c>
      <x:c r="AC41" s="128" t="e">
        <x:f>'PROJECT TA Y TB KARINA'!$G37/8</x:f>
        <x:v>#REF!</x:v>
      </x:c>
      <x:c r="AD41" s="128" t="e">
        <x:f>'PROJECT TA Y TB KARINA'!$G37/8</x:f>
        <x:v>#REF!</x:v>
      </x:c>
      <x:c r="AE41" s="128" t="e">
        <x:f>'PROJECT TA Y TB KARINA'!$G37/8</x:f>
        <x:v>#REF!</x:v>
      </x:c>
      <x:c r="AF41" s="128" t="e">
        <x:f>'PROJECT TA Y TB KARINA'!$G37/8</x:f>
        <x:v>#REF!</x:v>
      </x:c>
      <x:c r="AG41" s="128" t="e">
        <x:f>'PROJECT TA Y TB KARINA'!$H37/8</x:f>
        <x:v>#REF!</x:v>
      </x:c>
      <x:c r="AH41" s="128" t="e">
        <x:f>'PROJECT TA Y TB KARINA'!$H37/8</x:f>
        <x:v>#REF!</x:v>
      </x:c>
      <x:c r="AI41" s="128" t="e">
        <x:f>'PROJECT TA Y TB KARINA'!$H37/8</x:f>
        <x:v>#REF!</x:v>
      </x:c>
      <x:c r="AJ41" s="128" t="e">
        <x:f>'PROJECT TA Y TB KARINA'!$H37/8</x:f>
        <x:v>#REF!</x:v>
      </x:c>
      <x:c r="AK41" s="128" t="e">
        <x:f>'PROJECT TA Y TB KARINA'!$H37/8</x:f>
        <x:v>#REF!</x:v>
      </x:c>
      <x:c r="AL41" s="128" t="e">
        <x:f>'PROJECT TA Y TB KARINA'!$H37/8</x:f>
        <x:v>#REF!</x:v>
      </x:c>
      <x:c r="AM41" s="128" t="e">
        <x:f>'PROJECT TA Y TB KARINA'!$H37/8</x:f>
        <x:v>#REF!</x:v>
      </x:c>
      <x:c r="AN41" s="128" t="e">
        <x:f>'PROJECT TA Y TB KARINA'!$H37/8</x:f>
        <x:v>#REF!</x:v>
      </x:c>
      <x:c r="AO41" s="128" t="e">
        <x:f>'PROJECT TA Y TB KARINA'!$I37/8</x:f>
        <x:v>#REF!</x:v>
      </x:c>
      <x:c r="AP41" s="128" t="e">
        <x:f>'PROJECT TA Y TB KARINA'!$I37/8</x:f>
        <x:v>#REF!</x:v>
      </x:c>
      <x:c r="AQ41" s="128" t="e">
        <x:f>'PROJECT TA Y TB KARINA'!$I37/8</x:f>
        <x:v>#REF!</x:v>
      </x:c>
      <x:c r="AR41" s="128" t="e">
        <x:f>'PROJECT TA Y TB KARINA'!$I37/8</x:f>
        <x:v>#REF!</x:v>
      </x:c>
      <x:c r="AS41" s="128" t="e">
        <x:f>'PROJECT TA Y TB KARINA'!$I37/8</x:f>
        <x:v>#REF!</x:v>
      </x:c>
      <x:c r="AT41" s="128" t="e">
        <x:f>'PROJECT TA Y TB KARINA'!$I37/8</x:f>
        <x:v>#REF!</x:v>
      </x:c>
      <x:c r="AU41" s="128" t="e">
        <x:f>'PROJECT TA Y TB KARINA'!$I37/8</x:f>
        <x:v>#REF!</x:v>
      </x:c>
      <x:c r="AV41" s="128" t="e">
        <x:f>'PROJECT TA Y TB KARINA'!$I37/8</x:f>
        <x:v>#REF!</x:v>
      </x:c>
      <x:c r="AW41" s="128" t="e">
        <x:f>'PROJECT TA Y TB KARINA'!$J37/8</x:f>
        <x:v>#REF!</x:v>
      </x:c>
      <x:c r="AX41" s="128" t="e">
        <x:f>'PROJECT TA Y TB KARINA'!$J37/8</x:f>
        <x:v>#REF!</x:v>
      </x:c>
      <x:c r="AY41" s="128" t="e">
        <x:f>'PROJECT TA Y TB KARINA'!$J37/8</x:f>
        <x:v>#REF!</x:v>
      </x:c>
      <x:c r="AZ41" s="128" t="e">
        <x:f>'PROJECT TA Y TB KARINA'!$J37/8</x:f>
        <x:v>#REF!</x:v>
      </x:c>
      <x:c r="BA41" s="128" t="e">
        <x:f>'PROJECT TA Y TB KARINA'!$J37/8</x:f>
        <x:v>#REF!</x:v>
      </x:c>
      <x:c r="BB41" s="128" t="e">
        <x:f>'PROJECT TA Y TB KARINA'!$J37/8</x:f>
        <x:v>#REF!</x:v>
      </x:c>
      <x:c r="BC41" s="128" t="e">
        <x:f>'PROJECT TA Y TB KARINA'!$J37/8</x:f>
        <x:v>#REF!</x:v>
      </x:c>
      <x:c r="BD41" s="128" t="e">
        <x:f>'PROJECT TA Y TB KARINA'!$J37/8</x:f>
        <x:v>#REF!</x:v>
      </x:c>
      <x:c r="BE41" s="128" t="e">
        <x:f>'PROJECT TA Y TB KARINA'!$K37/8</x:f>
        <x:v>#REF!</x:v>
      </x:c>
      <x:c r="BF41" s="128" t="e">
        <x:f>'PROJECT TA Y TB KARINA'!$K37/8</x:f>
        <x:v>#REF!</x:v>
      </x:c>
      <x:c r="BG41" s="128" t="e">
        <x:f>'PROJECT TA Y TB KARINA'!$K37/8</x:f>
        <x:v>#REF!</x:v>
      </x:c>
      <x:c r="BH41" s="128" t="e">
        <x:f>'PROJECT TA Y TB KARINA'!$K37/8</x:f>
        <x:v>#REF!</x:v>
      </x:c>
      <x:c r="BI41" s="128" t="e">
        <x:f>'PROJECT TA Y TB KARINA'!$K37/8</x:f>
        <x:v>#REF!</x:v>
      </x:c>
      <x:c r="BJ41" s="128" t="e">
        <x:f>'PROJECT TA Y TB KARINA'!$K37/8</x:f>
        <x:v>#REF!</x:v>
      </x:c>
      <x:c r="BK41" s="128" t="e">
        <x:f>'PROJECT TA Y TB KARINA'!$K37/8</x:f>
        <x:v>#REF!</x:v>
      </x:c>
      <x:c r="BL41" s="128" t="e">
        <x:f>'PROJECT TA Y TB KARINA'!$K37/8</x:f>
        <x:v>#REF!</x:v>
      </x:c>
      <x:c r="BM41" s="128" t="e">
        <x:f>'PROJECT TA Y TB KARINA'!$L37/8</x:f>
        <x:v>#REF!</x:v>
      </x:c>
      <x:c r="BN41" s="128" t="e">
        <x:f>'PROJECT TA Y TB KARINA'!$L37/8</x:f>
        <x:v>#REF!</x:v>
      </x:c>
      <x:c r="BO41" s="128" t="e">
        <x:f>'PROJECT TA Y TB KARINA'!$L37/8</x:f>
        <x:v>#REF!</x:v>
      </x:c>
      <x:c r="BP41" s="128" t="e">
        <x:f>'PROJECT TA Y TB KARINA'!$L37/8</x:f>
        <x:v>#REF!</x:v>
      </x:c>
      <x:c r="BQ41" s="128" t="e">
        <x:f>'PROJECT TA Y TB KARINA'!$L37/8</x:f>
        <x:v>#REF!</x:v>
      </x:c>
      <x:c r="BR41" s="128" t="e">
        <x:f>'PROJECT TA Y TB KARINA'!$L37/8</x:f>
        <x:v>#REF!</x:v>
      </x:c>
      <x:c r="BS41" s="128" t="e">
        <x:f>'PROJECT TA Y TB KARINA'!$L37/8</x:f>
        <x:v>#REF!</x:v>
      </x:c>
      <x:c r="BT41" s="128" t="e">
        <x:f>'PROJECT TA Y TB KARINA'!$L37/8</x:f>
        <x:v>#REF!</x:v>
      </x:c>
      <x:c r="BU41" s="128" t="e">
        <x:f>'PROJECT TA Y TB KARINA'!$M37/8</x:f>
        <x:v>#REF!</x:v>
      </x:c>
      <x:c r="BV41" s="128" t="e">
        <x:f>'PROJECT TA Y TB KARINA'!$M37/8</x:f>
        <x:v>#REF!</x:v>
      </x:c>
      <x:c r="BW41" s="128" t="e">
        <x:f>'PROJECT TA Y TB KARINA'!$M37/8</x:f>
        <x:v>#REF!</x:v>
      </x:c>
      <x:c r="BX41" s="128" t="e">
        <x:f>'PROJECT TA Y TB KARINA'!$M37/8</x:f>
        <x:v>#REF!</x:v>
      </x:c>
      <x:c r="BY41" s="128" t="e">
        <x:f>'PROJECT TA Y TB KARINA'!$M37/8</x:f>
        <x:v>#REF!</x:v>
      </x:c>
      <x:c r="BZ41" s="128" t="e">
        <x:f>'PROJECT TA Y TB KARINA'!$M37/8</x:f>
        <x:v>#REF!</x:v>
      </x:c>
      <x:c r="CA41" s="128" t="e">
        <x:f>'PROJECT TA Y TB KARINA'!$M37/8</x:f>
        <x:v>#REF!</x:v>
      </x:c>
      <x:c r="CB41" s="128" t="e">
        <x:f>'PROJECT TA Y TB KARINA'!$M37/8</x:f>
        <x:v>#REF!</x:v>
      </x:c>
      <x:c r="CC41" s="128" t="e">
        <x:f>'PROJECT TA Y TB KARINA'!$N37/8</x:f>
        <x:v>#REF!</x:v>
      </x:c>
      <x:c r="CD41" s="128" t="e">
        <x:f>'PROJECT TA Y TB KARINA'!$N37/8</x:f>
        <x:v>#REF!</x:v>
      </x:c>
      <x:c r="CE41" s="128" t="e">
        <x:f>'PROJECT TA Y TB KARINA'!$N37/8</x:f>
        <x:v>#REF!</x:v>
      </x:c>
      <x:c r="CF41" s="128" t="e">
        <x:f>'PROJECT TA Y TB KARINA'!$N37/8</x:f>
        <x:v>#REF!</x:v>
      </x:c>
      <x:c r="CG41" s="128" t="e">
        <x:f>'PROJECT TA Y TB KARINA'!$N37/8</x:f>
        <x:v>#REF!</x:v>
      </x:c>
      <x:c r="CH41" s="128" t="e">
        <x:f>'PROJECT TA Y TB KARINA'!$N37/8</x:f>
        <x:v>#REF!</x:v>
      </x:c>
      <x:c r="CI41" s="128" t="e">
        <x:f>'PROJECT TA Y TB KARINA'!$N37/8</x:f>
        <x:v>#REF!</x:v>
      </x:c>
      <x:c r="CJ41" s="128" t="e">
        <x:f>'PROJECT TA Y TB KARINA'!$N37/8</x:f>
        <x:v>#REF!</x:v>
      </x:c>
      <x:c r="CK41" s="128" t="e">
        <x:f>'PROJECT TA Y TB KARINA'!$O37/8</x:f>
        <x:v>#REF!</x:v>
      </x:c>
      <x:c r="CL41" s="128" t="e">
        <x:f>'PROJECT TA Y TB KARINA'!$O37/8</x:f>
        <x:v>#REF!</x:v>
      </x:c>
      <x:c r="CM41" s="128" t="e">
        <x:f>'PROJECT TA Y TB KARINA'!$O37/8</x:f>
        <x:v>#REF!</x:v>
      </x:c>
      <x:c r="CN41" s="128" t="e">
        <x:f>'PROJECT TA Y TB KARINA'!$O37/8</x:f>
        <x:v>#REF!</x:v>
      </x:c>
      <x:c r="CO41" s="128" t="e">
        <x:f>'PROJECT TA Y TB KARINA'!$O37/8</x:f>
        <x:v>#REF!</x:v>
      </x:c>
      <x:c r="CP41" s="128" t="e">
        <x:f>'PROJECT TA Y TB KARINA'!$O37/8</x:f>
        <x:v>#REF!</x:v>
      </x:c>
      <x:c r="CQ41" s="128" t="e">
        <x:f>'PROJECT TA Y TB KARINA'!$O37/8</x:f>
        <x:v>#REF!</x:v>
      </x:c>
      <x:c r="CR41" s="128" t="e">
        <x:f>'PROJECT TA Y TB KARINA'!$O37/8</x:f>
        <x:v>#REF!</x:v>
      </x:c>
      <x:c r="CS41" s="128" t="e">
        <x:f>'PROJECT TA Y TB KARINA'!$P37/8</x:f>
        <x:v>#REF!</x:v>
      </x:c>
      <x:c r="CT41" s="128" t="e">
        <x:f>'PROJECT TA Y TB KARINA'!$P37/8</x:f>
        <x:v>#REF!</x:v>
      </x:c>
      <x:c r="CU41" s="128" t="e">
        <x:f>'PROJECT TA Y TB KARINA'!$P37/8</x:f>
        <x:v>#REF!</x:v>
      </x:c>
      <x:c r="CV41" s="128" t="e">
        <x:f>'PROJECT TA Y TB KARINA'!$P37/8</x:f>
        <x:v>#REF!</x:v>
      </x:c>
      <x:c r="CW41" s="128" t="e">
        <x:f>'PROJECT TA Y TB KARINA'!$P37/8</x:f>
        <x:v>#REF!</x:v>
      </x:c>
      <x:c r="CX41" s="128" t="e">
        <x:f>'PROJECT TA Y TB KARINA'!$P37/8</x:f>
        <x:v>#REF!</x:v>
      </x:c>
      <x:c r="CY41" s="128" t="e">
        <x:f>'PROJECT TA Y TB KARINA'!$P37/8</x:f>
        <x:v>#REF!</x:v>
      </x:c>
      <x:c r="CZ41" s="128" t="e">
        <x:f>'PROJECT TA Y TB KARINA'!$P37/8</x:f>
        <x:v>#REF!</x:v>
      </x:c>
      <x:c r="DA41" s="128" t="e">
        <x:f>'PROJECT TA Y TB KARINA'!$Q37/8</x:f>
        <x:v>#REF!</x:v>
      </x:c>
      <x:c r="DB41" s="128" t="e">
        <x:f>'PROJECT TA Y TB KARINA'!$Q37/8</x:f>
        <x:v>#REF!</x:v>
      </x:c>
      <x:c r="DC41" s="128" t="e">
        <x:f>'PROJECT TA Y TB KARINA'!$Q37/8</x:f>
        <x:v>#REF!</x:v>
      </x:c>
      <x:c r="DD41" s="128" t="e">
        <x:f>'PROJECT TA Y TB KARINA'!$Q37/8</x:f>
        <x:v>#REF!</x:v>
      </x:c>
      <x:c r="DE41" s="128" t="e">
        <x:f>'PROJECT TA Y TB KARINA'!$Q37/8</x:f>
        <x:v>#REF!</x:v>
      </x:c>
      <x:c r="DF41" s="128" t="e">
        <x:f>'PROJECT TA Y TB KARINA'!$Q37/8</x:f>
        <x:v>#REF!</x:v>
      </x:c>
      <x:c r="DG41" s="128" t="e">
        <x:f>'PROJECT TA Y TB KARINA'!$Q37/8</x:f>
        <x:v>#REF!</x:v>
      </x:c>
      <x:c r="DH41" s="128" t="e">
        <x:f>'PROJECT TA Y TB KARINA'!$Q37/8</x:f>
        <x:v>#REF!</x:v>
      </x:c>
      <x:c r="DI41" s="128" t="e">
        <x:f>'PROJECT TA Y TB KARINA'!$R37/8</x:f>
        <x:v>#REF!</x:v>
      </x:c>
      <x:c r="DJ41" s="128" t="e">
        <x:f>'PROJECT TA Y TB KARINA'!$R37/8</x:f>
        <x:v>#REF!</x:v>
      </x:c>
      <x:c r="DK41" s="128" t="e">
        <x:f>'PROJECT TA Y TB KARINA'!$R37/8</x:f>
        <x:v>#REF!</x:v>
      </x:c>
      <x:c r="DL41" s="128" t="e">
        <x:f>'PROJECT TA Y TB KARINA'!$R37/8</x:f>
        <x:v>#REF!</x:v>
      </x:c>
      <x:c r="DM41" s="128" t="e">
        <x:f>'PROJECT TA Y TB KARINA'!$R37/8</x:f>
        <x:v>#REF!</x:v>
      </x:c>
      <x:c r="DN41" s="128" t="e">
        <x:f>'PROJECT TA Y TB KARINA'!$R37/8</x:f>
        <x:v>#REF!</x:v>
      </x:c>
      <x:c r="DO41" s="128" t="e">
        <x:f>'PROJECT TA Y TB KARINA'!$R37/8</x:f>
        <x:v>#REF!</x:v>
      </x:c>
      <x:c r="DP41" s="128" t="e">
        <x:f>'PROJECT TA Y TB KARINA'!$R37/8</x:f>
        <x:v>#REF!</x:v>
      </x:c>
      <x:c r="DQ41" s="128" t="e">
        <x:f>'PROJECT TA Y TB KARINA'!$S37/8</x:f>
        <x:v>#REF!</x:v>
      </x:c>
      <x:c r="DR41" s="128" t="e">
        <x:f>'PROJECT TA Y TB KARINA'!$S37/8</x:f>
        <x:v>#REF!</x:v>
      </x:c>
      <x:c r="DS41" s="128" t="e">
        <x:f>'PROJECT TA Y TB KARINA'!$S37/8</x:f>
        <x:v>#REF!</x:v>
      </x:c>
      <x:c r="DT41" s="128" t="e">
        <x:f>'PROJECT TA Y TB KARINA'!$S37/8</x:f>
        <x:v>#REF!</x:v>
      </x:c>
      <x:c r="DU41" s="128" t="e">
        <x:f>'PROJECT TA Y TB KARINA'!$S37/8</x:f>
        <x:v>#REF!</x:v>
      </x:c>
      <x:c r="DV41" s="128" t="e">
        <x:f>'PROJECT TA Y TB KARINA'!$S37/8</x:f>
        <x:v>#REF!</x:v>
      </x:c>
      <x:c r="DW41" s="128" t="e">
        <x:f>'PROJECT TA Y TB KARINA'!$S37/8</x:f>
        <x:v>#REF!</x:v>
      </x:c>
      <x:c r="DX41" s="128" t="e">
        <x:f>'PROJECT TA Y TB KARINA'!$S37/8</x:f>
        <x:v>#REF!</x:v>
      </x:c>
      <x:c r="DY41" s="128" t="e">
        <x:f>'PROJECT TA Y TB KARINA'!$T37/8</x:f>
        <x:v>#REF!</x:v>
      </x:c>
      <x:c r="DZ41" s="128" t="e">
        <x:f>'PROJECT TA Y TB KARINA'!$T37/8</x:f>
        <x:v>#REF!</x:v>
      </x:c>
      <x:c r="EA41" s="128" t="e">
        <x:f>'PROJECT TA Y TB KARINA'!$T37/8</x:f>
        <x:v>#REF!</x:v>
      </x:c>
      <x:c r="EB41" s="128" t="e">
        <x:f>'PROJECT TA Y TB KARINA'!$T37/8</x:f>
        <x:v>#REF!</x:v>
      </x:c>
      <x:c r="EC41" s="128" t="e">
        <x:f>'PROJECT TA Y TB KARINA'!$T37/8</x:f>
        <x:v>#REF!</x:v>
      </x:c>
      <x:c r="ED41" s="128" t="e">
        <x:f>'PROJECT TA Y TB KARINA'!$T37/8</x:f>
        <x:v>#REF!</x:v>
      </x:c>
      <x:c r="EE41" s="128" t="e">
        <x:f>'PROJECT TA Y TB KARINA'!$T37/8</x:f>
        <x:v>#REF!</x:v>
      </x:c>
      <x:c r="EF41" s="128" t="e">
        <x:f>'PROJECT TA Y TB KARINA'!$T37/8</x:f>
        <x:v>#REF!</x:v>
      </x:c>
      <x:c r="EG41" s="128" t="e">
        <x:f>'PROJECT TA Y TB KARINA'!#REF!/8</x:f>
        <x:v>#NAME?</x:v>
      </x:c>
      <x:c r="EH41" s="128" t="e">
        <x:f>'PROJECT TA Y TB KARINA'!#REF!/8</x:f>
        <x:v>#NAME?</x:v>
      </x:c>
      <x:c r="EI41" s="128" t="e">
        <x:f>'PROJECT TA Y TB KARINA'!#REF!/8</x:f>
        <x:v>#NAME?</x:v>
      </x:c>
      <x:c r="EJ41" s="128" t="e">
        <x:f>'PROJECT TA Y TB KARINA'!#REF!/8</x:f>
        <x:v>#NAME?</x:v>
      </x:c>
      <x:c r="EK41" s="128" t="e">
        <x:f>'PROJECT TA Y TB KARINA'!#REF!/8</x:f>
        <x:v>#NAME?</x:v>
      </x:c>
      <x:c r="EL41" s="128" t="e">
        <x:f>'PROJECT TA Y TB KARINA'!#REF!/8</x:f>
        <x:v>#NAME?</x:v>
      </x:c>
      <x:c r="EM41" s="128" t="e">
        <x:f>'PROJECT TA Y TB KARINA'!#REF!/8</x:f>
        <x:v>#NAME?</x:v>
      </x:c>
      <x:c r="EN41" s="128" t="e">
        <x:f>'PROJECT TA Y TB KARINA'!#REF!/8</x:f>
        <x:v>#NAME?</x:v>
      </x:c>
      <x:c r="EO41" s="128" t="n">
        <x:f>'PROJECT TA Y TB KARINA'!$C95/8</x:f>
        <x:v>0</x:v>
      </x:c>
      <x:c r="EP41" s="128" t="n">
        <x:f>'PROJECT TA Y TB KARINA'!$C95/8</x:f>
        <x:v>0</x:v>
      </x:c>
      <x:c r="EQ41" s="128" t="n">
        <x:f>'PROJECT TA Y TB KARINA'!$C95/8</x:f>
        <x:v>0</x:v>
      </x:c>
      <x:c r="ER41" s="128" t="n">
        <x:f>'PROJECT TA Y TB KARINA'!$C95/8</x:f>
        <x:v>0</x:v>
      </x:c>
      <x:c r="ES41" s="128" t="n">
        <x:f>'PROJECT TA Y TB KARINA'!$C95/8</x:f>
        <x:v>0</x:v>
      </x:c>
      <x:c r="ET41" s="128" t="n">
        <x:f>'PROJECT TA Y TB KARINA'!$C95/8</x:f>
        <x:v>0</x:v>
      </x:c>
      <x:c r="EU41" s="128" t="n">
        <x:f>'PROJECT TA Y TB KARINA'!$C95/8</x:f>
        <x:v>0</x:v>
      </x:c>
      <x:c r="EV41" s="128" t="n">
        <x:f>'PROJECT TA Y TB KARINA'!$E95/8</x:f>
        <x:v>0</x:v>
      </x:c>
      <x:c r="EW41" s="128" t="n">
        <x:f>'PROJECT TA Y TB KARINA'!$E95/8</x:f>
        <x:v>0</x:v>
      </x:c>
      <x:c r="EX41" s="128" t="n">
        <x:f>'PROJECT TA Y TB KARINA'!$E95/8</x:f>
        <x:v>0</x:v>
      </x:c>
      <x:c r="EY41" s="128" t="n">
        <x:f>'PROJECT TA Y TB KARINA'!$E95/8</x:f>
        <x:v>0</x:v>
      </x:c>
      <x:c r="EZ41" s="128" t="n">
        <x:f>'PROJECT TA Y TB KARINA'!$E95/8</x:f>
        <x:v>0</x:v>
      </x:c>
      <x:c r="FA41" s="128" t="n">
        <x:f>'PROJECT TA Y TB KARINA'!$E95/8</x:f>
        <x:v>0</x:v>
      </x:c>
      <x:c r="FB41" s="128" t="n">
        <x:f>'PROJECT TA Y TB KARINA'!$E95/8</x:f>
        <x:v>0</x:v>
      </x:c>
      <x:c r="FC41" s="128" t="n">
        <x:f>'PROJECT TA Y TB KARINA'!$E95/8</x:f>
        <x:v>0</x:v>
      </x:c>
      <x:c r="FD41" s="128" t="n">
        <x:f>'PROJECT TA Y TB KARINA'!$F95/8</x:f>
        <x:v>0</x:v>
      </x:c>
      <x:c r="FE41" s="128" t="n">
        <x:f>'PROJECT TA Y TB KARINA'!$F95/8</x:f>
        <x:v>0</x:v>
      </x:c>
      <x:c r="FF41" s="128" t="n">
        <x:f>'PROJECT TA Y TB KARINA'!$F95/8</x:f>
        <x:v>0</x:v>
      </x:c>
      <x:c r="FG41" s="128" t="n">
        <x:f>'PROJECT TA Y TB KARINA'!$F95/8</x:f>
        <x:v>0</x:v>
      </x:c>
      <x:c r="FH41" s="128" t="n">
        <x:f>'PROJECT TA Y TB KARINA'!$F95/8</x:f>
        <x:v>0</x:v>
      </x:c>
      <x:c r="FI41" s="128" t="n">
        <x:f>'PROJECT TA Y TB KARINA'!$F95/8</x:f>
        <x:v>0</x:v>
      </x:c>
      <x:c r="FJ41" s="128" t="n">
        <x:f>'PROJECT TA Y TB KARINA'!$F95/8</x:f>
        <x:v>0</x:v>
      </x:c>
      <x:c r="FK41" s="128" t="n">
        <x:f>'PROJECT TA Y TB KARINA'!$F95/8</x:f>
        <x:v>0</x:v>
      </x:c>
      <x:c r="FL41" s="128" t="n">
        <x:f>'PROJECT TA Y TB KARINA'!$G95/8</x:f>
        <x:v>0</x:v>
      </x:c>
      <x:c r="FM41" s="128" t="n">
        <x:f>'PROJECT TA Y TB KARINA'!$G95/8</x:f>
        <x:v>0</x:v>
      </x:c>
      <x:c r="FN41" s="128" t="n">
        <x:f>'PROJECT TA Y TB KARINA'!$G95/8</x:f>
        <x:v>0</x:v>
      </x:c>
      <x:c r="FO41" s="128" t="n">
        <x:f>'PROJECT TA Y TB KARINA'!$G95/8</x:f>
        <x:v>0</x:v>
      </x:c>
      <x:c r="FP41" s="128" t="n">
        <x:f>'PROJECT TA Y TB KARINA'!$G95/8</x:f>
        <x:v>0</x:v>
      </x:c>
      <x:c r="FQ41" s="128" t="n">
        <x:f>'PROJECT TA Y TB KARINA'!$G95/8</x:f>
        <x:v>0</x:v>
      </x:c>
      <x:c r="FR41" s="128" t="n">
        <x:f>'PROJECT TA Y TB KARINA'!$G95/8</x:f>
        <x:v>0</x:v>
      </x:c>
      <x:c r="FS41" s="128" t="n">
        <x:f>'PROJECT TA Y TB KARINA'!$G95/8</x:f>
        <x:v>0</x:v>
      </x:c>
      <x:c r="FT41" s="128" t="n">
        <x:f>'PROJECT TA Y TB KARINA'!$H95/8</x:f>
        <x:v>0</x:v>
      </x:c>
      <x:c r="FU41" s="128" t="n">
        <x:f>'PROJECT TA Y TB KARINA'!$H95/8</x:f>
        <x:v>0</x:v>
      </x:c>
      <x:c r="FV41" s="128" t="n">
        <x:f>'PROJECT TA Y TB KARINA'!$H95/8</x:f>
        <x:v>0</x:v>
      </x:c>
      <x:c r="FW41" s="128" t="n">
        <x:f>'PROJECT TA Y TB KARINA'!$H95/8</x:f>
        <x:v>0</x:v>
      </x:c>
      <x:c r="FX41" s="128" t="n">
        <x:f>'PROJECT TA Y TB KARINA'!$H95/8</x:f>
        <x:v>0</x:v>
      </x:c>
      <x:c r="FY41" s="128" t="n">
        <x:f>'PROJECT TA Y TB KARINA'!$H95/8</x:f>
        <x:v>0</x:v>
      </x:c>
      <x:c r="FZ41" s="128" t="n">
        <x:f>'PROJECT TA Y TB KARINA'!$H95/8</x:f>
        <x:v>0</x:v>
      </x:c>
      <x:c r="GA41" s="128" t="n">
        <x:f>'PROJECT TA Y TB KARINA'!$H95/8</x:f>
        <x:v>0</x:v>
      </x:c>
      <x:c r="GB41" s="128" t="n">
        <x:f>'PROJECT TA Y TB KARINA'!$I95/8</x:f>
        <x:v>0</x:v>
      </x:c>
      <x:c r="GC41" s="128" t="n">
        <x:f>'PROJECT TA Y TB KARINA'!$I95/8</x:f>
        <x:v>0</x:v>
      </x:c>
      <x:c r="GD41" s="128" t="n">
        <x:f>'PROJECT TA Y TB KARINA'!$I95/8</x:f>
        <x:v>0</x:v>
      </x:c>
      <x:c r="GE41" s="128" t="n">
        <x:f>'PROJECT TA Y TB KARINA'!$I95/8</x:f>
        <x:v>0</x:v>
      </x:c>
      <x:c r="GF41" s="128" t="n">
        <x:f>'PROJECT TA Y TB KARINA'!$I95/8</x:f>
        <x:v>0</x:v>
      </x:c>
      <x:c r="GG41" s="128" t="n">
        <x:f>'PROJECT TA Y TB KARINA'!$I95/8</x:f>
        <x:v>0</x:v>
      </x:c>
      <x:c r="GH41" s="128" t="n">
        <x:f>'PROJECT TA Y TB KARINA'!$I95/8</x:f>
        <x:v>0</x:v>
      </x:c>
      <x:c r="GI41" s="128" t="n">
        <x:f>'PROJECT TA Y TB KARINA'!$I95/8</x:f>
        <x:v>0</x:v>
      </x:c>
      <x:c r="GJ41" s="128" t="n">
        <x:f>'PROJECT TA Y TB KARINA'!$J95/8</x:f>
        <x:v>0</x:v>
      </x:c>
      <x:c r="GK41" s="128" t="n">
        <x:f>'PROJECT TA Y TB KARINA'!$J95/8</x:f>
        <x:v>0</x:v>
      </x:c>
      <x:c r="GL41" s="128" t="n">
        <x:f>'PROJECT TA Y TB KARINA'!$J95/8</x:f>
        <x:v>0</x:v>
      </x:c>
      <x:c r="GM41" s="128" t="n">
        <x:f>'PROJECT TA Y TB KARINA'!$J95/8</x:f>
        <x:v>0</x:v>
      </x:c>
      <x:c r="GN41" s="128" t="n">
        <x:f>'PROJECT TA Y TB KARINA'!$J95/8</x:f>
        <x:v>0</x:v>
      </x:c>
      <x:c r="GO41" s="128" t="n">
        <x:f>'PROJECT TA Y TB KARINA'!$J95/8</x:f>
        <x:v>0</x:v>
      </x:c>
      <x:c r="GP41" s="128" t="n">
        <x:f>'PROJECT TA Y TB KARINA'!$J95/8</x:f>
        <x:v>0</x:v>
      </x:c>
      <x:c r="GQ41" s="128" t="n">
        <x:f>'PROJECT TA Y TB KARINA'!$J95/8</x:f>
        <x:v>0</x:v>
      </x:c>
      <x:c r="GR41" s="128" t="n">
        <x:f>'PROJECT TA Y TB KARINA'!$K95/8</x:f>
        <x:v>0</x:v>
      </x:c>
      <x:c r="GS41" s="128" t="n">
        <x:f>'PROJECT TA Y TB KARINA'!$K95/8</x:f>
        <x:v>0</x:v>
      </x:c>
      <x:c r="GT41" s="128" t="n">
        <x:f>'PROJECT TA Y TB KARINA'!$K95/8</x:f>
        <x:v>0</x:v>
      </x:c>
      <x:c r="GU41" s="128" t="n">
        <x:f>'PROJECT TA Y TB KARINA'!$K95/8</x:f>
        <x:v>0</x:v>
      </x:c>
      <x:c r="GV41" s="128" t="n">
        <x:f>'PROJECT TA Y TB KARINA'!$K95/8</x:f>
        <x:v>0</x:v>
      </x:c>
      <x:c r="GW41" s="128" t="n">
        <x:f>'PROJECT TA Y TB KARINA'!$K95/8</x:f>
        <x:v>0</x:v>
      </x:c>
      <x:c r="GX41" s="128" t="n">
        <x:f>'PROJECT TA Y TB KARINA'!$K95/8</x:f>
        <x:v>0</x:v>
      </x:c>
      <x:c r="GY41" s="128" t="n">
        <x:f>'PROJECT TA Y TB KARINA'!$K95/8</x:f>
        <x:v>0</x:v>
      </x:c>
      <x:c r="GZ41" s="128" t="n">
        <x:f>'PROJECT TA Y TB KARINA'!$L95/8</x:f>
        <x:v>0</x:v>
      </x:c>
      <x:c r="HA41" s="128" t="n">
        <x:f>'PROJECT TA Y TB KARINA'!$L95/8</x:f>
        <x:v>0</x:v>
      </x:c>
      <x:c r="HB41" s="128" t="n">
        <x:f>'PROJECT TA Y TB KARINA'!$L95/8</x:f>
        <x:v>0</x:v>
      </x:c>
      <x:c r="HC41" s="128" t="n">
        <x:f>'PROJECT TA Y TB KARINA'!$L95/8</x:f>
        <x:v>0</x:v>
      </x:c>
      <x:c r="HD41" s="128" t="n">
        <x:f>'PROJECT TA Y TB KARINA'!$L95/8</x:f>
        <x:v>0</x:v>
      </x:c>
      <x:c r="HE41" s="128" t="n">
        <x:f>'PROJECT TA Y TB KARINA'!$L95/8</x:f>
        <x:v>0</x:v>
      </x:c>
      <x:c r="HF41" s="128" t="n">
        <x:f>'PROJECT TA Y TB KARINA'!$L95/8</x:f>
        <x:v>0</x:v>
      </x:c>
      <x:c r="HG41" s="128" t="n">
        <x:f>'PROJECT TA Y TB KARINA'!$L95/8</x:f>
        <x:v>0</x:v>
      </x:c>
      <x:c r="HH41" s="128" t="n">
        <x:f>'PROJECT TA Y TB KARINA'!$M95/8</x:f>
        <x:v>0</x:v>
      </x:c>
      <x:c r="HI41" s="128" t="n">
        <x:f>'PROJECT TA Y TB KARINA'!$M95/8</x:f>
        <x:v>0</x:v>
      </x:c>
      <x:c r="HJ41" s="128" t="n">
        <x:f>'PROJECT TA Y TB KARINA'!$M95/8</x:f>
        <x:v>0</x:v>
      </x:c>
      <x:c r="HK41" s="128" t="n">
        <x:f>'PROJECT TA Y TB KARINA'!$M95/8</x:f>
        <x:v>0</x:v>
      </x:c>
      <x:c r="HL41" s="128" t="n">
        <x:f>'PROJECT TA Y TB KARINA'!$M95/8</x:f>
        <x:v>0</x:v>
      </x:c>
      <x:c r="HM41" s="128" t="n">
        <x:f>'PROJECT TA Y TB KARINA'!$M95/8</x:f>
        <x:v>0</x:v>
      </x:c>
      <x:c r="HN41" s="128" t="n">
        <x:f>'PROJECT TA Y TB KARINA'!$M95/8</x:f>
        <x:v>0</x:v>
      </x:c>
      <x:c r="HO41" s="128" t="n">
        <x:f>'PROJECT TA Y TB KARINA'!$M95/8</x:f>
        <x:v>0</x:v>
      </x:c>
      <x:c r="HP41" s="128" t="n">
        <x:f>'PROJECT TA Y TB KARINA'!$N95/8</x:f>
        <x:v>0</x:v>
      </x:c>
      <x:c r="HQ41" s="128" t="n">
        <x:f>'PROJECT TA Y TB KARINA'!$N95/8</x:f>
        <x:v>0</x:v>
      </x:c>
      <x:c r="HR41" s="128" t="n">
        <x:f>'PROJECT TA Y TB KARINA'!$N95/8</x:f>
        <x:v>0</x:v>
      </x:c>
      <x:c r="HS41" s="128" t="n">
        <x:f>'PROJECT TA Y TB KARINA'!$N95/8</x:f>
        <x:v>0</x:v>
      </x:c>
      <x:c r="HT41" s="128" t="n">
        <x:f>'PROJECT TA Y TB KARINA'!$N95/8</x:f>
        <x:v>0</x:v>
      </x:c>
      <x:c r="HU41" s="128" t="n">
        <x:f>'PROJECT TA Y TB KARINA'!$N95/8</x:f>
        <x:v>0</x:v>
      </x:c>
      <x:c r="HV41" s="128" t="n">
        <x:f>'PROJECT TA Y TB KARINA'!$N95/8</x:f>
        <x:v>0</x:v>
      </x:c>
      <x:c r="HW41" s="128" t="n">
        <x:f>'PROJECT TA Y TB KARINA'!$N95/8</x:f>
        <x:v>0</x:v>
      </x:c>
      <x:c r="HX41" s="128" t="n">
        <x:f>'PROJECT TA Y TB KARINA'!$O95/8</x:f>
        <x:v>0</x:v>
      </x:c>
      <x:c r="HY41" s="128" t="n">
        <x:f>'PROJECT TA Y TB KARINA'!$O95/8</x:f>
        <x:v>0</x:v>
      </x:c>
      <x:c r="HZ41" s="128" t="n">
        <x:f>'PROJECT TA Y TB KARINA'!$O95/8</x:f>
        <x:v>0</x:v>
      </x:c>
      <x:c r="IA41" s="128" t="n">
        <x:f>'PROJECT TA Y TB KARINA'!$O95/8</x:f>
        <x:v>0</x:v>
      </x:c>
      <x:c r="IB41" s="128" t="n">
        <x:f>'PROJECT TA Y TB KARINA'!$O95/8</x:f>
        <x:v>0</x:v>
      </x:c>
      <x:c r="IC41" s="128" t="n">
        <x:f>'PROJECT TA Y TB KARINA'!$O95/8</x:f>
        <x:v>0</x:v>
      </x:c>
      <x:c r="ID41" s="128" t="n">
        <x:f>'PROJECT TA Y TB KARINA'!$O95/8</x:f>
        <x:v>0</x:v>
      </x:c>
      <x:c r="IE41" s="128" t="n">
        <x:f>'PROJECT TA Y TB KARINA'!$O95/8</x:f>
        <x:v>0</x:v>
      </x:c>
      <x:c r="IF41" s="128" t="n">
        <x:f>'PROJECT TA Y TB KARINA'!$P95/8</x:f>
        <x:v>0</x:v>
      </x:c>
      <x:c r="IG41" s="128" t="n">
        <x:f>'PROJECT TA Y TB KARINA'!$P95/8</x:f>
        <x:v>0</x:v>
      </x:c>
      <x:c r="IH41" s="128" t="n">
        <x:f>'PROJECT TA Y TB KARINA'!$P95/8</x:f>
        <x:v>0</x:v>
      </x:c>
      <x:c r="II41" s="128" t="n">
        <x:f>'PROJECT TA Y TB KARINA'!$P95/8</x:f>
        <x:v>0</x:v>
      </x:c>
      <x:c r="IJ41" s="128" t="n">
        <x:f>'PROJECT TA Y TB KARINA'!$P95/8</x:f>
        <x:v>0</x:v>
      </x:c>
      <x:c r="IK41" s="128" t="n">
        <x:f>'PROJECT TA Y TB KARINA'!$P95/8</x:f>
        <x:v>0</x:v>
      </x:c>
      <x:c r="IL41" s="128" t="n">
        <x:f>'PROJECT TA Y TB KARINA'!$P95/8</x:f>
        <x:v>0</x:v>
      </x:c>
      <x:c r="IM41" s="128" t="n">
        <x:f>'PROJECT TA Y TB KARINA'!$P95/8</x:f>
        <x:v>0</x:v>
      </x:c>
      <x:c r="IN41" s="128" t="n">
        <x:f>'PROJECT TA Y TB KARINA'!$Q95/8</x:f>
        <x:v>0</x:v>
      </x:c>
      <x:c r="IO41" s="128" t="n">
        <x:f>'PROJECT TA Y TB KARINA'!$Q95/8</x:f>
        <x:v>0</x:v>
      </x:c>
      <x:c r="IP41" s="128" t="n">
        <x:f>'PROJECT TA Y TB KARINA'!$Q95/8</x:f>
        <x:v>0</x:v>
      </x:c>
      <x:c r="IQ41" s="128" t="n">
        <x:f>'PROJECT TA Y TB KARINA'!$Q95/8</x:f>
        <x:v>0</x:v>
      </x:c>
      <x:c r="IR41" s="128" t="n">
        <x:f>'PROJECT TA Y TB KARINA'!$Q95/8</x:f>
        <x:v>0</x:v>
      </x:c>
      <x:c r="IS41" s="128" t="n">
        <x:f>'PROJECT TA Y TB KARINA'!$Q95/8</x:f>
        <x:v>0</x:v>
      </x:c>
      <x:c r="IT41" s="128" t="n">
        <x:f>'PROJECT TA Y TB KARINA'!$Q95/8</x:f>
        <x:v>0</x:v>
      </x:c>
      <x:c r="IU41" s="128" t="n">
        <x:f>'PROJECT TA Y TB KARINA'!$Q95/8</x:f>
        <x:v>0</x:v>
      </x:c>
      <x:c r="IV41" s="128" t="n">
        <x:f>'PROJECT TA Y TB KARINA'!$R95/8</x:f>
        <x:v>0</x:v>
      </x:c>
      <x:c r="IW41" s="128" t="n">
        <x:f>'PROJECT TA Y TB KARINA'!$R95/8</x:f>
        <x:v>0</x:v>
      </x:c>
      <x:c r="IX41" s="128" t="n">
        <x:f>'PROJECT TA Y TB KARINA'!$R95/8</x:f>
        <x:v>0</x:v>
      </x:c>
      <x:c r="IY41" s="128" t="n">
        <x:f>'PROJECT TA Y TB KARINA'!$R95/8</x:f>
        <x:v>0</x:v>
      </x:c>
      <x:c r="IZ41" s="128" t="n">
        <x:f>'PROJECT TA Y TB KARINA'!$R95/8</x:f>
        <x:v>0</x:v>
      </x:c>
      <x:c r="JA41" s="128" t="n">
        <x:f>'PROJECT TA Y TB KARINA'!$R95/8</x:f>
        <x:v>0</x:v>
      </x:c>
      <x:c r="JB41" s="128" t="n">
        <x:f>'PROJECT TA Y TB KARINA'!$R95/8</x:f>
        <x:v>0</x:v>
      </x:c>
      <x:c r="JC41" s="128" t="n">
        <x:f>'PROJECT TA Y TB KARINA'!$R95/8</x:f>
        <x:v>0</x:v>
      </x:c>
      <x:c r="JD41" s="128" t="n">
        <x:f>'PROJECT TA Y TB KARINA'!$S95/8</x:f>
        <x:v>0</x:v>
      </x:c>
      <x:c r="JE41" s="128" t="n">
        <x:f>'PROJECT TA Y TB KARINA'!$S95/8</x:f>
        <x:v>0</x:v>
      </x:c>
      <x:c r="JF41" s="128" t="n">
        <x:f>'PROJECT TA Y TB KARINA'!$S95/8</x:f>
        <x:v>0</x:v>
      </x:c>
      <x:c r="JG41" s="128" t="n">
        <x:f>'PROJECT TA Y TB KARINA'!$S95/8</x:f>
        <x:v>0</x:v>
      </x:c>
      <x:c r="JH41" s="128" t="n">
        <x:f>'PROJECT TA Y TB KARINA'!$S95/8</x:f>
        <x:v>0</x:v>
      </x:c>
      <x:c r="JI41" s="128" t="n">
        <x:f>'PROJECT TA Y TB KARINA'!$S95/8</x:f>
        <x:v>0</x:v>
      </x:c>
      <x:c r="JJ41" s="128" t="n">
        <x:f>'PROJECT TA Y TB KARINA'!$S95/8</x:f>
        <x:v>0</x:v>
      </x:c>
      <x:c r="JK41" s="128" t="n">
        <x:f>'PROJECT TA Y TB KARINA'!$S95/8</x:f>
        <x:v>0</x:v>
      </x:c>
      <x:c r="JL41" s="128" t="n">
        <x:f>'PROJECT TA Y TB KARINA'!$T95/8</x:f>
        <x:v>0</x:v>
      </x:c>
      <x:c r="JM41" s="128" t="n">
        <x:f>'PROJECT TA Y TB KARINA'!$T95/8</x:f>
        <x:v>0</x:v>
      </x:c>
      <x:c r="JN41" s="128" t="n">
        <x:f>'PROJECT TA Y TB KARINA'!$T95/8</x:f>
        <x:v>0</x:v>
      </x:c>
      <x:c r="JO41" s="128" t="n">
        <x:f>'PROJECT TA Y TB KARINA'!$T95/8</x:f>
        <x:v>0</x:v>
      </x:c>
      <x:c r="JP41" s="128" t="n">
        <x:f>'PROJECT TA Y TB KARINA'!$T95/8</x:f>
        <x:v>0</x:v>
      </x:c>
      <x:c r="JQ41" s="128" t="n">
        <x:f>'PROJECT TA Y TB KARINA'!$T95/8</x:f>
        <x:v>0</x:v>
      </x:c>
      <x:c r="JR41" s="128" t="n">
        <x:f>'PROJECT TA Y TB KARINA'!$T95/8</x:f>
        <x:v>0</x:v>
      </x:c>
      <x:c r="JS41" s="128" t="n">
        <x:f>'PROJECT TA Y TB KARINA'!$T95/8</x:f>
        <x:v>0</x:v>
      </x:c>
      <x:c r="JT41" s="128" t="e">
        <x:f>'PROJECT TA Y TB KARINA'!#REF!/8</x:f>
        <x:v>#NAME?</x:v>
      </x:c>
      <x:c r="JU41" s="128" t="e">
        <x:f>'PROJECT TA Y TB KARINA'!#REF!/8</x:f>
        <x:v>#NAME?</x:v>
      </x:c>
      <x:c r="JV41" s="128" t="e">
        <x:f>'PROJECT TA Y TB KARINA'!#REF!/8</x:f>
        <x:v>#NAME?</x:v>
      </x:c>
      <x:c r="JW41" s="128" t="e">
        <x:f>'PROJECT TA Y TB KARINA'!#REF!/8</x:f>
        <x:v>#NAME?</x:v>
      </x:c>
      <x:c r="JX41" s="128" t="e">
        <x:f>'PROJECT TA Y TB KARINA'!#REF!/8</x:f>
        <x:v>#NAME?</x:v>
      </x:c>
      <x:c r="JY41" s="128" t="e">
        <x:f>'PROJECT TA Y TB KARINA'!#REF!/8</x:f>
        <x:v>#NAME?</x:v>
      </x:c>
      <x:c r="JZ41" s="128" t="e">
        <x:f>'PROJECT TA Y TB KARINA'!#REF!/8</x:f>
        <x:v>#NAME?</x:v>
      </x:c>
      <x:c r="KA41" s="128" t="e">
        <x:f>'PROJECT TA Y TB KARINA'!#REF!/8</x:f>
        <x:v>#NAME?</x:v>
      </x:c>
    </x:row>
    <x:row r="42" ht="21">
      <x:c r="A42" s="130" t="s">
        <x:v>527</x:v>
      </x:c>
      <x:c r="B42" s="128" t="e">
        <x:f>'PROJECT TA Y TB KARINA'!$C$38/8</x:f>
        <x:v>#REF!</x:v>
      </x:c>
      <x:c r="C42" s="128" t="e">
        <x:f>'PROJECT TA Y TB KARINA'!$C$38/8</x:f>
        <x:v>#REF!</x:v>
      </x:c>
      <x:c r="D42" s="128" t="e">
        <x:f>'PROJECT TA Y TB KARINA'!$C$38/8</x:f>
        <x:v>#REF!</x:v>
      </x:c>
      <x:c r="E42" s="128" t="e">
        <x:f>'PROJECT TA Y TB KARINA'!$C$38/8</x:f>
        <x:v>#REF!</x:v>
      </x:c>
      <x:c r="F42" s="128" t="e">
        <x:f>'PROJECT TA Y TB KARINA'!$C$38/8</x:f>
        <x:v>#REF!</x:v>
      </x:c>
      <x:c r="G42" s="128" t="e">
        <x:f>'PROJECT TA Y TB KARINA'!$C$38/8</x:f>
        <x:v>#REF!</x:v>
      </x:c>
      <x:c r="H42" s="128" t="e">
        <x:f>'PROJECT TA Y TB KARINA'!$C$38/8</x:f>
        <x:v>#REF!</x:v>
      </x:c>
      <x:c r="I42" s="128" t="e">
        <x:f>'PROJECT TA Y TB KARINA'!$E38/8</x:f>
        <x:v>#REF!</x:v>
      </x:c>
      <x:c r="J42" s="128" t="e">
        <x:f>'PROJECT TA Y TB KARINA'!$E38/8</x:f>
        <x:v>#REF!</x:v>
      </x:c>
      <x:c r="K42" s="128" t="e">
        <x:f>'PROJECT TA Y TB KARINA'!$E38/8</x:f>
        <x:v>#REF!</x:v>
      </x:c>
      <x:c r="L42" s="128" t="e">
        <x:f>'PROJECT TA Y TB KARINA'!$E38/8</x:f>
        <x:v>#REF!</x:v>
      </x:c>
      <x:c r="M42" s="128" t="e">
        <x:f>'PROJECT TA Y TB KARINA'!$E38/8</x:f>
        <x:v>#REF!</x:v>
      </x:c>
      <x:c r="N42" s="128" t="e">
        <x:f>'PROJECT TA Y TB KARINA'!$E38/8</x:f>
        <x:v>#REF!</x:v>
      </x:c>
      <x:c r="O42" s="128" t="e">
        <x:f>'PROJECT TA Y TB KARINA'!$E38/8</x:f>
        <x:v>#REF!</x:v>
      </x:c>
      <x:c r="P42" s="128" t="e">
        <x:f>'PROJECT TA Y TB KARINA'!$E38/8</x:f>
        <x:v>#REF!</x:v>
      </x:c>
      <x:c r="Q42" s="128" t="e">
        <x:f>'PROJECT TA Y TB KARINA'!$F38/8</x:f>
        <x:v>#REF!</x:v>
      </x:c>
      <x:c r="R42" s="128" t="e">
        <x:f>'PROJECT TA Y TB KARINA'!$F38/8</x:f>
        <x:v>#REF!</x:v>
      </x:c>
      <x:c r="S42" s="128" t="e">
        <x:f>'PROJECT TA Y TB KARINA'!$F38/8</x:f>
        <x:v>#REF!</x:v>
      </x:c>
      <x:c r="T42" s="128" t="e">
        <x:f>'PROJECT TA Y TB KARINA'!$F38/8</x:f>
        <x:v>#REF!</x:v>
      </x:c>
      <x:c r="U42" s="128" t="e">
        <x:f>'PROJECT TA Y TB KARINA'!$F38/8</x:f>
        <x:v>#REF!</x:v>
      </x:c>
      <x:c r="V42" s="128" t="e">
        <x:f>'PROJECT TA Y TB KARINA'!$F38/8</x:f>
        <x:v>#REF!</x:v>
      </x:c>
      <x:c r="W42" s="128" t="e">
        <x:f>'PROJECT TA Y TB KARINA'!$F38/8</x:f>
        <x:v>#REF!</x:v>
      </x:c>
      <x:c r="X42" s="128" t="e">
        <x:f>'PROJECT TA Y TB KARINA'!$F38/8</x:f>
        <x:v>#REF!</x:v>
      </x:c>
      <x:c r="Y42" s="128" t="e">
        <x:f>'PROJECT TA Y TB KARINA'!$G38/8</x:f>
        <x:v>#REF!</x:v>
      </x:c>
      <x:c r="Z42" s="128" t="e">
        <x:f>'PROJECT TA Y TB KARINA'!$G38/8</x:f>
        <x:v>#REF!</x:v>
      </x:c>
      <x:c r="AA42" s="128" t="e">
        <x:f>'PROJECT TA Y TB KARINA'!$G38/8</x:f>
        <x:v>#REF!</x:v>
      </x:c>
      <x:c r="AB42" s="128" t="e">
        <x:f>'PROJECT TA Y TB KARINA'!$G38/8</x:f>
        <x:v>#REF!</x:v>
      </x:c>
      <x:c r="AC42" s="128" t="e">
        <x:f>'PROJECT TA Y TB KARINA'!$G38/8</x:f>
        <x:v>#REF!</x:v>
      </x:c>
      <x:c r="AD42" s="128" t="e">
        <x:f>'PROJECT TA Y TB KARINA'!$G38/8</x:f>
        <x:v>#REF!</x:v>
      </x:c>
      <x:c r="AE42" s="128" t="e">
        <x:f>'PROJECT TA Y TB KARINA'!$G38/8</x:f>
        <x:v>#REF!</x:v>
      </x:c>
      <x:c r="AF42" s="128" t="e">
        <x:f>'PROJECT TA Y TB KARINA'!$G38/8</x:f>
        <x:v>#REF!</x:v>
      </x:c>
      <x:c r="AG42" s="128" t="e">
        <x:f>'PROJECT TA Y TB KARINA'!$H38/8</x:f>
        <x:v>#REF!</x:v>
      </x:c>
      <x:c r="AH42" s="128" t="e">
        <x:f>'PROJECT TA Y TB KARINA'!$H38/8</x:f>
        <x:v>#REF!</x:v>
      </x:c>
      <x:c r="AI42" s="128" t="e">
        <x:f>'PROJECT TA Y TB KARINA'!$H38/8</x:f>
        <x:v>#REF!</x:v>
      </x:c>
      <x:c r="AJ42" s="128" t="e">
        <x:f>'PROJECT TA Y TB KARINA'!$H38/8</x:f>
        <x:v>#REF!</x:v>
      </x:c>
      <x:c r="AK42" s="128" t="e">
        <x:f>'PROJECT TA Y TB KARINA'!$H38/8</x:f>
        <x:v>#REF!</x:v>
      </x:c>
      <x:c r="AL42" s="128" t="e">
        <x:f>'PROJECT TA Y TB KARINA'!$H38/8</x:f>
        <x:v>#REF!</x:v>
      </x:c>
      <x:c r="AM42" s="128" t="e">
        <x:f>'PROJECT TA Y TB KARINA'!$H38/8</x:f>
        <x:v>#REF!</x:v>
      </x:c>
      <x:c r="AN42" s="128" t="e">
        <x:f>'PROJECT TA Y TB KARINA'!$H38/8</x:f>
        <x:v>#REF!</x:v>
      </x:c>
      <x:c r="AO42" s="128" t="e">
        <x:f>'PROJECT TA Y TB KARINA'!$I38/8</x:f>
        <x:v>#REF!</x:v>
      </x:c>
      <x:c r="AP42" s="128" t="e">
        <x:f>'PROJECT TA Y TB KARINA'!$I38/8</x:f>
        <x:v>#REF!</x:v>
      </x:c>
      <x:c r="AQ42" s="128" t="e">
        <x:f>'PROJECT TA Y TB KARINA'!$I38/8</x:f>
        <x:v>#REF!</x:v>
      </x:c>
      <x:c r="AR42" s="128" t="e">
        <x:f>'PROJECT TA Y TB KARINA'!$I38/8</x:f>
        <x:v>#REF!</x:v>
      </x:c>
      <x:c r="AS42" s="128" t="e">
        <x:f>'PROJECT TA Y TB KARINA'!$I38/8</x:f>
        <x:v>#REF!</x:v>
      </x:c>
      <x:c r="AT42" s="128" t="e">
        <x:f>'PROJECT TA Y TB KARINA'!$I38/8</x:f>
        <x:v>#REF!</x:v>
      </x:c>
      <x:c r="AU42" s="128" t="e">
        <x:f>'PROJECT TA Y TB KARINA'!$I38/8</x:f>
        <x:v>#REF!</x:v>
      </x:c>
      <x:c r="AV42" s="128" t="e">
        <x:f>'PROJECT TA Y TB KARINA'!$I38/8</x:f>
        <x:v>#REF!</x:v>
      </x:c>
      <x:c r="AW42" s="128" t="e">
        <x:f>'PROJECT TA Y TB KARINA'!$J38/8</x:f>
        <x:v>#REF!</x:v>
      </x:c>
      <x:c r="AX42" s="128" t="e">
        <x:f>'PROJECT TA Y TB KARINA'!$J38/8</x:f>
        <x:v>#REF!</x:v>
      </x:c>
      <x:c r="AY42" s="128" t="e">
        <x:f>'PROJECT TA Y TB KARINA'!$J38/8</x:f>
        <x:v>#REF!</x:v>
      </x:c>
      <x:c r="AZ42" s="128" t="e">
        <x:f>'PROJECT TA Y TB KARINA'!$J38/8</x:f>
        <x:v>#REF!</x:v>
      </x:c>
      <x:c r="BA42" s="128" t="e">
        <x:f>'PROJECT TA Y TB KARINA'!$J38/8</x:f>
        <x:v>#REF!</x:v>
      </x:c>
      <x:c r="BB42" s="128" t="e">
        <x:f>'PROJECT TA Y TB KARINA'!$J38/8</x:f>
        <x:v>#REF!</x:v>
      </x:c>
      <x:c r="BC42" s="128" t="e">
        <x:f>'PROJECT TA Y TB KARINA'!$J38/8</x:f>
        <x:v>#REF!</x:v>
      </x:c>
      <x:c r="BD42" s="128" t="e">
        <x:f>'PROJECT TA Y TB KARINA'!$J38/8</x:f>
        <x:v>#REF!</x:v>
      </x:c>
      <x:c r="BE42" s="128" t="e">
        <x:f>'PROJECT TA Y TB KARINA'!$K38/8</x:f>
        <x:v>#REF!</x:v>
      </x:c>
      <x:c r="BF42" s="128" t="e">
        <x:f>'PROJECT TA Y TB KARINA'!$K38/8</x:f>
        <x:v>#REF!</x:v>
      </x:c>
      <x:c r="BG42" s="128" t="e">
        <x:f>'PROJECT TA Y TB KARINA'!$K38/8</x:f>
        <x:v>#REF!</x:v>
      </x:c>
      <x:c r="BH42" s="128" t="e">
        <x:f>'PROJECT TA Y TB KARINA'!$K38/8</x:f>
        <x:v>#REF!</x:v>
      </x:c>
      <x:c r="BI42" s="128" t="e">
        <x:f>'PROJECT TA Y TB KARINA'!$K38/8</x:f>
        <x:v>#REF!</x:v>
      </x:c>
      <x:c r="BJ42" s="128" t="e">
        <x:f>'PROJECT TA Y TB KARINA'!$K38/8</x:f>
        <x:v>#REF!</x:v>
      </x:c>
      <x:c r="BK42" s="128" t="e">
        <x:f>'PROJECT TA Y TB KARINA'!$K38/8</x:f>
        <x:v>#REF!</x:v>
      </x:c>
      <x:c r="BL42" s="128" t="e">
        <x:f>'PROJECT TA Y TB KARINA'!$K38/8</x:f>
        <x:v>#REF!</x:v>
      </x:c>
      <x:c r="BM42" s="128" t="e">
        <x:f>'PROJECT TA Y TB KARINA'!$L38/8</x:f>
        <x:v>#REF!</x:v>
      </x:c>
      <x:c r="BN42" s="128" t="e">
        <x:f>'PROJECT TA Y TB KARINA'!$L38/8</x:f>
        <x:v>#REF!</x:v>
      </x:c>
      <x:c r="BO42" s="128" t="e">
        <x:f>'PROJECT TA Y TB KARINA'!$L38/8</x:f>
        <x:v>#REF!</x:v>
      </x:c>
      <x:c r="BP42" s="128" t="e">
        <x:f>'PROJECT TA Y TB KARINA'!$L38/8</x:f>
        <x:v>#REF!</x:v>
      </x:c>
      <x:c r="BQ42" s="128" t="e">
        <x:f>'PROJECT TA Y TB KARINA'!$L38/8</x:f>
        <x:v>#REF!</x:v>
      </x:c>
      <x:c r="BR42" s="128" t="e">
        <x:f>'PROJECT TA Y TB KARINA'!$L38/8</x:f>
        <x:v>#REF!</x:v>
      </x:c>
      <x:c r="BS42" s="128" t="e">
        <x:f>'PROJECT TA Y TB KARINA'!$L38/8</x:f>
        <x:v>#REF!</x:v>
      </x:c>
      <x:c r="BT42" s="128" t="e">
        <x:f>'PROJECT TA Y TB KARINA'!$L38/8</x:f>
        <x:v>#REF!</x:v>
      </x:c>
      <x:c r="BU42" s="128" t="e">
        <x:f>'PROJECT TA Y TB KARINA'!$M38/8</x:f>
        <x:v>#REF!</x:v>
      </x:c>
      <x:c r="BV42" s="128" t="e">
        <x:f>'PROJECT TA Y TB KARINA'!$M38/8</x:f>
        <x:v>#REF!</x:v>
      </x:c>
      <x:c r="BW42" s="128" t="e">
        <x:f>'PROJECT TA Y TB KARINA'!$M38/8</x:f>
        <x:v>#REF!</x:v>
      </x:c>
      <x:c r="BX42" s="128" t="e">
        <x:f>'PROJECT TA Y TB KARINA'!$M38/8</x:f>
        <x:v>#REF!</x:v>
      </x:c>
      <x:c r="BY42" s="128" t="e">
        <x:f>'PROJECT TA Y TB KARINA'!$M38/8</x:f>
        <x:v>#REF!</x:v>
      </x:c>
      <x:c r="BZ42" s="128" t="e">
        <x:f>'PROJECT TA Y TB KARINA'!$M38/8</x:f>
        <x:v>#REF!</x:v>
      </x:c>
      <x:c r="CA42" s="128" t="e">
        <x:f>'PROJECT TA Y TB KARINA'!$M38/8</x:f>
        <x:v>#REF!</x:v>
      </x:c>
      <x:c r="CB42" s="128" t="e">
        <x:f>'PROJECT TA Y TB KARINA'!$M38/8</x:f>
        <x:v>#REF!</x:v>
      </x:c>
      <x:c r="CC42" s="128" t="e">
        <x:f>'PROJECT TA Y TB KARINA'!$N38/8</x:f>
        <x:v>#REF!</x:v>
      </x:c>
      <x:c r="CD42" s="128" t="e">
        <x:f>'PROJECT TA Y TB KARINA'!$N38/8</x:f>
        <x:v>#REF!</x:v>
      </x:c>
      <x:c r="CE42" s="128" t="e">
        <x:f>'PROJECT TA Y TB KARINA'!$N38/8</x:f>
        <x:v>#REF!</x:v>
      </x:c>
      <x:c r="CF42" s="128" t="e">
        <x:f>'PROJECT TA Y TB KARINA'!$N38/8</x:f>
        <x:v>#REF!</x:v>
      </x:c>
      <x:c r="CG42" s="128" t="e">
        <x:f>'PROJECT TA Y TB KARINA'!$N38/8</x:f>
        <x:v>#REF!</x:v>
      </x:c>
      <x:c r="CH42" s="128" t="e">
        <x:f>'PROJECT TA Y TB KARINA'!$N38/8</x:f>
        <x:v>#REF!</x:v>
      </x:c>
      <x:c r="CI42" s="128" t="e">
        <x:f>'PROJECT TA Y TB KARINA'!$N38/8</x:f>
        <x:v>#REF!</x:v>
      </x:c>
      <x:c r="CJ42" s="128" t="e">
        <x:f>'PROJECT TA Y TB KARINA'!$N38/8</x:f>
        <x:v>#REF!</x:v>
      </x:c>
      <x:c r="CK42" s="128" t="e">
        <x:f>'PROJECT TA Y TB KARINA'!$O38/8</x:f>
        <x:v>#REF!</x:v>
      </x:c>
      <x:c r="CL42" s="128" t="e">
        <x:f>'PROJECT TA Y TB KARINA'!$O38/8</x:f>
        <x:v>#REF!</x:v>
      </x:c>
      <x:c r="CM42" s="128" t="e">
        <x:f>'PROJECT TA Y TB KARINA'!$O38/8</x:f>
        <x:v>#REF!</x:v>
      </x:c>
      <x:c r="CN42" s="128" t="e">
        <x:f>'PROJECT TA Y TB KARINA'!$O38/8</x:f>
        <x:v>#REF!</x:v>
      </x:c>
      <x:c r="CO42" s="128" t="e">
        <x:f>'PROJECT TA Y TB KARINA'!$O38/8</x:f>
        <x:v>#REF!</x:v>
      </x:c>
      <x:c r="CP42" s="128" t="e">
        <x:f>'PROJECT TA Y TB KARINA'!$O38/8</x:f>
        <x:v>#REF!</x:v>
      </x:c>
      <x:c r="CQ42" s="128" t="e">
        <x:f>'PROJECT TA Y TB KARINA'!$O38/8</x:f>
        <x:v>#REF!</x:v>
      </x:c>
      <x:c r="CR42" s="128" t="e">
        <x:f>'PROJECT TA Y TB KARINA'!$O38/8</x:f>
        <x:v>#REF!</x:v>
      </x:c>
      <x:c r="CS42" s="128" t="e">
        <x:f>'PROJECT TA Y TB KARINA'!$P38/8</x:f>
        <x:v>#REF!</x:v>
      </x:c>
      <x:c r="CT42" s="128" t="e">
        <x:f>'PROJECT TA Y TB KARINA'!$P38/8</x:f>
        <x:v>#REF!</x:v>
      </x:c>
      <x:c r="CU42" s="128" t="e">
        <x:f>'PROJECT TA Y TB KARINA'!$P38/8</x:f>
        <x:v>#REF!</x:v>
      </x:c>
      <x:c r="CV42" s="128" t="e">
        <x:f>'PROJECT TA Y TB KARINA'!$P38/8</x:f>
        <x:v>#REF!</x:v>
      </x:c>
      <x:c r="CW42" s="128" t="e">
        <x:f>'PROJECT TA Y TB KARINA'!$P38/8</x:f>
        <x:v>#REF!</x:v>
      </x:c>
      <x:c r="CX42" s="128" t="e">
        <x:f>'PROJECT TA Y TB KARINA'!$P38/8</x:f>
        <x:v>#REF!</x:v>
      </x:c>
      <x:c r="CY42" s="128" t="e">
        <x:f>'PROJECT TA Y TB KARINA'!$P38/8</x:f>
        <x:v>#REF!</x:v>
      </x:c>
      <x:c r="CZ42" s="128" t="e">
        <x:f>'PROJECT TA Y TB KARINA'!$P38/8</x:f>
        <x:v>#REF!</x:v>
      </x:c>
      <x:c r="DA42" s="128" t="e">
        <x:f>'PROJECT TA Y TB KARINA'!$Q38/8</x:f>
        <x:v>#REF!</x:v>
      </x:c>
      <x:c r="DB42" s="128" t="e">
        <x:f>'PROJECT TA Y TB KARINA'!$Q38/8</x:f>
        <x:v>#REF!</x:v>
      </x:c>
      <x:c r="DC42" s="128" t="e">
        <x:f>'PROJECT TA Y TB KARINA'!$Q38/8</x:f>
        <x:v>#REF!</x:v>
      </x:c>
      <x:c r="DD42" s="128" t="e">
        <x:f>'PROJECT TA Y TB KARINA'!$Q38/8</x:f>
        <x:v>#REF!</x:v>
      </x:c>
      <x:c r="DE42" s="128" t="e">
        <x:f>'PROJECT TA Y TB KARINA'!$Q38/8</x:f>
        <x:v>#REF!</x:v>
      </x:c>
      <x:c r="DF42" s="128" t="e">
        <x:f>'PROJECT TA Y TB KARINA'!$Q38/8</x:f>
        <x:v>#REF!</x:v>
      </x:c>
      <x:c r="DG42" s="128" t="e">
        <x:f>'PROJECT TA Y TB KARINA'!$Q38/8</x:f>
        <x:v>#REF!</x:v>
      </x:c>
      <x:c r="DH42" s="128" t="e">
        <x:f>'PROJECT TA Y TB KARINA'!$Q38/8</x:f>
        <x:v>#REF!</x:v>
      </x:c>
      <x:c r="DI42" s="128" t="e">
        <x:f>'PROJECT TA Y TB KARINA'!$R38/8</x:f>
        <x:v>#REF!</x:v>
      </x:c>
      <x:c r="DJ42" s="128" t="e">
        <x:f>'PROJECT TA Y TB KARINA'!$R38/8</x:f>
        <x:v>#REF!</x:v>
      </x:c>
      <x:c r="DK42" s="128" t="e">
        <x:f>'PROJECT TA Y TB KARINA'!$R38/8</x:f>
        <x:v>#REF!</x:v>
      </x:c>
      <x:c r="DL42" s="128" t="e">
        <x:f>'PROJECT TA Y TB KARINA'!$R38/8</x:f>
        <x:v>#REF!</x:v>
      </x:c>
      <x:c r="DM42" s="128" t="e">
        <x:f>'PROJECT TA Y TB KARINA'!$R38/8</x:f>
        <x:v>#REF!</x:v>
      </x:c>
      <x:c r="DN42" s="128" t="e">
        <x:f>'PROJECT TA Y TB KARINA'!$R38/8</x:f>
        <x:v>#REF!</x:v>
      </x:c>
      <x:c r="DO42" s="128" t="e">
        <x:f>'PROJECT TA Y TB KARINA'!$R38/8</x:f>
        <x:v>#REF!</x:v>
      </x:c>
      <x:c r="DP42" s="128" t="e">
        <x:f>'PROJECT TA Y TB KARINA'!$R38/8</x:f>
        <x:v>#REF!</x:v>
      </x:c>
      <x:c r="DQ42" s="128" t="e">
        <x:f>'PROJECT TA Y TB KARINA'!$S38/8</x:f>
        <x:v>#REF!</x:v>
      </x:c>
      <x:c r="DR42" s="128" t="e">
        <x:f>'PROJECT TA Y TB KARINA'!$S38/8</x:f>
        <x:v>#REF!</x:v>
      </x:c>
      <x:c r="DS42" s="128" t="e">
        <x:f>'PROJECT TA Y TB KARINA'!$S38/8</x:f>
        <x:v>#REF!</x:v>
      </x:c>
      <x:c r="DT42" s="128" t="e">
        <x:f>'PROJECT TA Y TB KARINA'!$S38/8</x:f>
        <x:v>#REF!</x:v>
      </x:c>
      <x:c r="DU42" s="128" t="e">
        <x:f>'PROJECT TA Y TB KARINA'!$S38/8</x:f>
        <x:v>#REF!</x:v>
      </x:c>
      <x:c r="DV42" s="128" t="e">
        <x:f>'PROJECT TA Y TB KARINA'!$S38/8</x:f>
        <x:v>#REF!</x:v>
      </x:c>
      <x:c r="DW42" s="128" t="e">
        <x:f>'PROJECT TA Y TB KARINA'!$S38/8</x:f>
        <x:v>#REF!</x:v>
      </x:c>
      <x:c r="DX42" s="128" t="e">
        <x:f>'PROJECT TA Y TB KARINA'!$S38/8</x:f>
        <x:v>#REF!</x:v>
      </x:c>
      <x:c r="DY42" s="128" t="e">
        <x:f>'PROJECT TA Y TB KARINA'!$T38/8</x:f>
        <x:v>#REF!</x:v>
      </x:c>
      <x:c r="DZ42" s="128" t="e">
        <x:f>'PROJECT TA Y TB KARINA'!$T38/8</x:f>
        <x:v>#REF!</x:v>
      </x:c>
      <x:c r="EA42" s="128" t="e">
        <x:f>'PROJECT TA Y TB KARINA'!$T38/8</x:f>
        <x:v>#REF!</x:v>
      </x:c>
      <x:c r="EB42" s="128" t="e">
        <x:f>'PROJECT TA Y TB KARINA'!$T38/8</x:f>
        <x:v>#REF!</x:v>
      </x:c>
      <x:c r="EC42" s="128" t="e">
        <x:f>'PROJECT TA Y TB KARINA'!$T38/8</x:f>
        <x:v>#REF!</x:v>
      </x:c>
      <x:c r="ED42" s="128" t="e">
        <x:f>'PROJECT TA Y TB KARINA'!$T38/8</x:f>
        <x:v>#REF!</x:v>
      </x:c>
      <x:c r="EE42" s="128" t="e">
        <x:f>'PROJECT TA Y TB KARINA'!$T38/8</x:f>
        <x:v>#REF!</x:v>
      </x:c>
      <x:c r="EF42" s="128" t="e">
        <x:f>'PROJECT TA Y TB KARINA'!$T38/8</x:f>
        <x:v>#REF!</x:v>
      </x:c>
      <x:c r="EG42" s="128" t="e">
        <x:f>'PROJECT TA Y TB KARINA'!#REF!/8</x:f>
        <x:v>#NAME?</x:v>
      </x:c>
      <x:c r="EH42" s="128" t="e">
        <x:f>'PROJECT TA Y TB KARINA'!#REF!/8</x:f>
        <x:v>#NAME?</x:v>
      </x:c>
      <x:c r="EI42" s="128" t="e">
        <x:f>'PROJECT TA Y TB KARINA'!#REF!/8</x:f>
        <x:v>#NAME?</x:v>
      </x:c>
      <x:c r="EJ42" s="128" t="e">
        <x:f>'PROJECT TA Y TB KARINA'!#REF!/8</x:f>
        <x:v>#NAME?</x:v>
      </x:c>
      <x:c r="EK42" s="128" t="e">
        <x:f>'PROJECT TA Y TB KARINA'!#REF!/8</x:f>
        <x:v>#NAME?</x:v>
      </x:c>
      <x:c r="EL42" s="128" t="e">
        <x:f>'PROJECT TA Y TB KARINA'!#REF!/8</x:f>
        <x:v>#NAME?</x:v>
      </x:c>
      <x:c r="EM42" s="128" t="e">
        <x:f>'PROJECT TA Y TB KARINA'!#REF!/8</x:f>
        <x:v>#NAME?</x:v>
      </x:c>
      <x:c r="EN42" s="128" t="e">
        <x:f>'PROJECT TA Y TB KARINA'!#REF!/8</x:f>
        <x:v>#NAME?</x:v>
      </x:c>
      <x:c r="EO42" s="128" t="n">
        <x:f>'PROJECT TA Y TB KARINA'!$C96/8</x:f>
        <x:v>0</x:v>
      </x:c>
      <x:c r="EP42" s="128" t="n">
        <x:f>'PROJECT TA Y TB KARINA'!$C96/8</x:f>
        <x:v>0</x:v>
      </x:c>
      <x:c r="EQ42" s="128" t="n">
        <x:f>'PROJECT TA Y TB KARINA'!$C96/8</x:f>
        <x:v>0</x:v>
      </x:c>
      <x:c r="ER42" s="128" t="n">
        <x:f>'PROJECT TA Y TB KARINA'!$C96/8</x:f>
        <x:v>0</x:v>
      </x:c>
      <x:c r="ES42" s="128" t="n">
        <x:f>'PROJECT TA Y TB KARINA'!$C96/8</x:f>
        <x:v>0</x:v>
      </x:c>
      <x:c r="ET42" s="128" t="n">
        <x:f>'PROJECT TA Y TB KARINA'!$C96/8</x:f>
        <x:v>0</x:v>
      </x:c>
      <x:c r="EU42" s="128" t="n">
        <x:f>'PROJECT TA Y TB KARINA'!$C96/8</x:f>
        <x:v>0</x:v>
      </x:c>
      <x:c r="EV42" s="128" t="n">
        <x:f>'PROJECT TA Y TB KARINA'!$E96/8</x:f>
        <x:v>0</x:v>
      </x:c>
      <x:c r="EW42" s="128" t="n">
        <x:f>'PROJECT TA Y TB KARINA'!$E96/8</x:f>
        <x:v>0</x:v>
      </x:c>
      <x:c r="EX42" s="128" t="n">
        <x:f>'PROJECT TA Y TB KARINA'!$E96/8</x:f>
        <x:v>0</x:v>
      </x:c>
      <x:c r="EY42" s="128" t="n">
        <x:f>'PROJECT TA Y TB KARINA'!$E96/8</x:f>
        <x:v>0</x:v>
      </x:c>
      <x:c r="EZ42" s="128" t="n">
        <x:f>'PROJECT TA Y TB KARINA'!$E96/8</x:f>
        <x:v>0</x:v>
      </x:c>
      <x:c r="FA42" s="128" t="n">
        <x:f>'PROJECT TA Y TB KARINA'!$E96/8</x:f>
        <x:v>0</x:v>
      </x:c>
      <x:c r="FB42" s="128" t="n">
        <x:f>'PROJECT TA Y TB KARINA'!$E96/8</x:f>
        <x:v>0</x:v>
      </x:c>
      <x:c r="FC42" s="128" t="n">
        <x:f>'PROJECT TA Y TB KARINA'!$E96/8</x:f>
        <x:v>0</x:v>
      </x:c>
      <x:c r="FD42" s="128" t="n">
        <x:f>'PROJECT TA Y TB KARINA'!$F96/8</x:f>
        <x:v>0</x:v>
      </x:c>
      <x:c r="FE42" s="128" t="n">
        <x:f>'PROJECT TA Y TB KARINA'!$F96/8</x:f>
        <x:v>0</x:v>
      </x:c>
      <x:c r="FF42" s="128" t="n">
        <x:f>'PROJECT TA Y TB KARINA'!$F96/8</x:f>
        <x:v>0</x:v>
      </x:c>
      <x:c r="FG42" s="128" t="n">
        <x:f>'PROJECT TA Y TB KARINA'!$F96/8</x:f>
        <x:v>0</x:v>
      </x:c>
      <x:c r="FH42" s="128" t="n">
        <x:f>'PROJECT TA Y TB KARINA'!$F96/8</x:f>
        <x:v>0</x:v>
      </x:c>
      <x:c r="FI42" s="128" t="n">
        <x:f>'PROJECT TA Y TB KARINA'!$F96/8</x:f>
        <x:v>0</x:v>
      </x:c>
      <x:c r="FJ42" s="128" t="n">
        <x:f>'PROJECT TA Y TB KARINA'!$F96/8</x:f>
        <x:v>0</x:v>
      </x:c>
      <x:c r="FK42" s="128" t="n">
        <x:f>'PROJECT TA Y TB KARINA'!$F96/8</x:f>
        <x:v>0</x:v>
      </x:c>
      <x:c r="FL42" s="128" t="n">
        <x:f>'PROJECT TA Y TB KARINA'!$G96/8</x:f>
        <x:v>0</x:v>
      </x:c>
      <x:c r="FM42" s="128" t="n">
        <x:f>'PROJECT TA Y TB KARINA'!$G96/8</x:f>
        <x:v>0</x:v>
      </x:c>
      <x:c r="FN42" s="128" t="n">
        <x:f>'PROJECT TA Y TB KARINA'!$G96/8</x:f>
        <x:v>0</x:v>
      </x:c>
      <x:c r="FO42" s="128" t="n">
        <x:f>'PROJECT TA Y TB KARINA'!$G96/8</x:f>
        <x:v>0</x:v>
      </x:c>
      <x:c r="FP42" s="128" t="n">
        <x:f>'PROJECT TA Y TB KARINA'!$G96/8</x:f>
        <x:v>0</x:v>
      </x:c>
      <x:c r="FQ42" s="128" t="n">
        <x:f>'PROJECT TA Y TB KARINA'!$G96/8</x:f>
        <x:v>0</x:v>
      </x:c>
      <x:c r="FR42" s="128" t="n">
        <x:f>'PROJECT TA Y TB KARINA'!$G96/8</x:f>
        <x:v>0</x:v>
      </x:c>
      <x:c r="FS42" s="128" t="n">
        <x:f>'PROJECT TA Y TB KARINA'!$G96/8</x:f>
        <x:v>0</x:v>
      </x:c>
      <x:c r="FT42" s="128" t="n">
        <x:f>'PROJECT TA Y TB KARINA'!$H96/8</x:f>
        <x:v>0</x:v>
      </x:c>
      <x:c r="FU42" s="128" t="n">
        <x:f>'PROJECT TA Y TB KARINA'!$H96/8</x:f>
        <x:v>0</x:v>
      </x:c>
      <x:c r="FV42" s="128" t="n">
        <x:f>'PROJECT TA Y TB KARINA'!$H96/8</x:f>
        <x:v>0</x:v>
      </x:c>
      <x:c r="FW42" s="128" t="n">
        <x:f>'PROJECT TA Y TB KARINA'!$H96/8</x:f>
        <x:v>0</x:v>
      </x:c>
      <x:c r="FX42" s="128" t="n">
        <x:f>'PROJECT TA Y TB KARINA'!$H96/8</x:f>
        <x:v>0</x:v>
      </x:c>
      <x:c r="FY42" s="128" t="n">
        <x:f>'PROJECT TA Y TB KARINA'!$H96/8</x:f>
        <x:v>0</x:v>
      </x:c>
      <x:c r="FZ42" s="128" t="n">
        <x:f>'PROJECT TA Y TB KARINA'!$H96/8</x:f>
        <x:v>0</x:v>
      </x:c>
      <x:c r="GA42" s="128" t="n">
        <x:f>'PROJECT TA Y TB KARINA'!$H96/8</x:f>
        <x:v>0</x:v>
      </x:c>
      <x:c r="GB42" s="128" t="n">
        <x:f>'PROJECT TA Y TB KARINA'!$I96/8</x:f>
        <x:v>0</x:v>
      </x:c>
      <x:c r="GC42" s="128" t="n">
        <x:f>'PROJECT TA Y TB KARINA'!$I96/8</x:f>
        <x:v>0</x:v>
      </x:c>
      <x:c r="GD42" s="128" t="n">
        <x:f>'PROJECT TA Y TB KARINA'!$I96/8</x:f>
        <x:v>0</x:v>
      </x:c>
      <x:c r="GE42" s="128" t="n">
        <x:f>'PROJECT TA Y TB KARINA'!$I96/8</x:f>
        <x:v>0</x:v>
      </x:c>
      <x:c r="GF42" s="128" t="n">
        <x:f>'PROJECT TA Y TB KARINA'!$I96/8</x:f>
        <x:v>0</x:v>
      </x:c>
      <x:c r="GG42" s="128" t="n">
        <x:f>'PROJECT TA Y TB KARINA'!$I96/8</x:f>
        <x:v>0</x:v>
      </x:c>
      <x:c r="GH42" s="128" t="n">
        <x:f>'PROJECT TA Y TB KARINA'!$I96/8</x:f>
        <x:v>0</x:v>
      </x:c>
      <x:c r="GI42" s="128" t="n">
        <x:f>'PROJECT TA Y TB KARINA'!$I96/8</x:f>
        <x:v>0</x:v>
      </x:c>
      <x:c r="GJ42" s="128" t="n">
        <x:f>'PROJECT TA Y TB KARINA'!$J96/8</x:f>
        <x:v>0</x:v>
      </x:c>
      <x:c r="GK42" s="128" t="n">
        <x:f>'PROJECT TA Y TB KARINA'!$J96/8</x:f>
        <x:v>0</x:v>
      </x:c>
      <x:c r="GL42" s="128" t="n">
        <x:f>'PROJECT TA Y TB KARINA'!$J96/8</x:f>
        <x:v>0</x:v>
      </x:c>
      <x:c r="GM42" s="128" t="n">
        <x:f>'PROJECT TA Y TB KARINA'!$J96/8</x:f>
        <x:v>0</x:v>
      </x:c>
      <x:c r="GN42" s="128" t="n">
        <x:f>'PROJECT TA Y TB KARINA'!$J96/8</x:f>
        <x:v>0</x:v>
      </x:c>
      <x:c r="GO42" s="128" t="n">
        <x:f>'PROJECT TA Y TB KARINA'!$J96/8</x:f>
        <x:v>0</x:v>
      </x:c>
      <x:c r="GP42" s="128" t="n">
        <x:f>'PROJECT TA Y TB KARINA'!$J96/8</x:f>
        <x:v>0</x:v>
      </x:c>
      <x:c r="GQ42" s="128" t="n">
        <x:f>'PROJECT TA Y TB KARINA'!$J96/8</x:f>
        <x:v>0</x:v>
      </x:c>
      <x:c r="GR42" s="128" t="n">
        <x:f>'PROJECT TA Y TB KARINA'!$K96/8</x:f>
        <x:v>0</x:v>
      </x:c>
      <x:c r="GS42" s="128" t="n">
        <x:f>'PROJECT TA Y TB KARINA'!$K96/8</x:f>
        <x:v>0</x:v>
      </x:c>
      <x:c r="GT42" s="128" t="n">
        <x:f>'PROJECT TA Y TB KARINA'!$K96/8</x:f>
        <x:v>0</x:v>
      </x:c>
      <x:c r="GU42" s="128" t="n">
        <x:f>'PROJECT TA Y TB KARINA'!$K96/8</x:f>
        <x:v>0</x:v>
      </x:c>
      <x:c r="GV42" s="128" t="n">
        <x:f>'PROJECT TA Y TB KARINA'!$K96/8</x:f>
        <x:v>0</x:v>
      </x:c>
      <x:c r="GW42" s="128" t="n">
        <x:f>'PROJECT TA Y TB KARINA'!$K96/8</x:f>
        <x:v>0</x:v>
      </x:c>
      <x:c r="GX42" s="128" t="n">
        <x:f>'PROJECT TA Y TB KARINA'!$K96/8</x:f>
        <x:v>0</x:v>
      </x:c>
      <x:c r="GY42" s="128" t="n">
        <x:f>'PROJECT TA Y TB KARINA'!$K96/8</x:f>
        <x:v>0</x:v>
      </x:c>
      <x:c r="GZ42" s="128" t="n">
        <x:f>'PROJECT TA Y TB KARINA'!$L96/8</x:f>
        <x:v>0</x:v>
      </x:c>
      <x:c r="HA42" s="128" t="n">
        <x:f>'PROJECT TA Y TB KARINA'!$L96/8</x:f>
        <x:v>0</x:v>
      </x:c>
      <x:c r="HB42" s="128" t="n">
        <x:f>'PROJECT TA Y TB KARINA'!$L96/8</x:f>
        <x:v>0</x:v>
      </x:c>
      <x:c r="HC42" s="128" t="n">
        <x:f>'PROJECT TA Y TB KARINA'!$L96/8</x:f>
        <x:v>0</x:v>
      </x:c>
      <x:c r="HD42" s="128" t="n">
        <x:f>'PROJECT TA Y TB KARINA'!$L96/8</x:f>
        <x:v>0</x:v>
      </x:c>
      <x:c r="HE42" s="128" t="n">
        <x:f>'PROJECT TA Y TB KARINA'!$L96/8</x:f>
        <x:v>0</x:v>
      </x:c>
      <x:c r="HF42" s="128" t="n">
        <x:f>'PROJECT TA Y TB KARINA'!$L96/8</x:f>
        <x:v>0</x:v>
      </x:c>
      <x:c r="HG42" s="128" t="n">
        <x:f>'PROJECT TA Y TB KARINA'!$L96/8</x:f>
        <x:v>0</x:v>
      </x:c>
      <x:c r="HH42" s="128" t="n">
        <x:f>'PROJECT TA Y TB KARINA'!$M96/8</x:f>
        <x:v>0</x:v>
      </x:c>
      <x:c r="HI42" s="128" t="n">
        <x:f>'PROJECT TA Y TB KARINA'!$M96/8</x:f>
        <x:v>0</x:v>
      </x:c>
      <x:c r="HJ42" s="128" t="n">
        <x:f>'PROJECT TA Y TB KARINA'!$M96/8</x:f>
        <x:v>0</x:v>
      </x:c>
      <x:c r="HK42" s="128" t="n">
        <x:f>'PROJECT TA Y TB KARINA'!$M96/8</x:f>
        <x:v>0</x:v>
      </x:c>
      <x:c r="HL42" s="128" t="n">
        <x:f>'PROJECT TA Y TB KARINA'!$M96/8</x:f>
        <x:v>0</x:v>
      </x:c>
      <x:c r="HM42" s="128" t="n">
        <x:f>'PROJECT TA Y TB KARINA'!$M96/8</x:f>
        <x:v>0</x:v>
      </x:c>
      <x:c r="HN42" s="128" t="n">
        <x:f>'PROJECT TA Y TB KARINA'!$M96/8</x:f>
        <x:v>0</x:v>
      </x:c>
      <x:c r="HO42" s="128" t="n">
        <x:f>'PROJECT TA Y TB KARINA'!$M96/8</x:f>
        <x:v>0</x:v>
      </x:c>
      <x:c r="HP42" s="128" t="n">
        <x:f>'PROJECT TA Y TB KARINA'!$N96/8</x:f>
        <x:v>0</x:v>
      </x:c>
      <x:c r="HQ42" s="128" t="n">
        <x:f>'PROJECT TA Y TB KARINA'!$N96/8</x:f>
        <x:v>0</x:v>
      </x:c>
      <x:c r="HR42" s="128" t="n">
        <x:f>'PROJECT TA Y TB KARINA'!$N96/8</x:f>
        <x:v>0</x:v>
      </x:c>
      <x:c r="HS42" s="128" t="n">
        <x:f>'PROJECT TA Y TB KARINA'!$N96/8</x:f>
        <x:v>0</x:v>
      </x:c>
      <x:c r="HT42" s="128" t="n">
        <x:f>'PROJECT TA Y TB KARINA'!$N96/8</x:f>
        <x:v>0</x:v>
      </x:c>
      <x:c r="HU42" s="128" t="n">
        <x:f>'PROJECT TA Y TB KARINA'!$N96/8</x:f>
        <x:v>0</x:v>
      </x:c>
      <x:c r="HV42" s="128" t="n">
        <x:f>'PROJECT TA Y TB KARINA'!$N96/8</x:f>
        <x:v>0</x:v>
      </x:c>
      <x:c r="HW42" s="128" t="n">
        <x:f>'PROJECT TA Y TB KARINA'!$N96/8</x:f>
        <x:v>0</x:v>
      </x:c>
      <x:c r="HX42" s="128" t="n">
        <x:f>'PROJECT TA Y TB KARINA'!$O96/8</x:f>
        <x:v>0</x:v>
      </x:c>
      <x:c r="HY42" s="128" t="n">
        <x:f>'PROJECT TA Y TB KARINA'!$O96/8</x:f>
        <x:v>0</x:v>
      </x:c>
      <x:c r="HZ42" s="128" t="n">
        <x:f>'PROJECT TA Y TB KARINA'!$O96/8</x:f>
        <x:v>0</x:v>
      </x:c>
      <x:c r="IA42" s="128" t="n">
        <x:f>'PROJECT TA Y TB KARINA'!$O96/8</x:f>
        <x:v>0</x:v>
      </x:c>
      <x:c r="IB42" s="128" t="n">
        <x:f>'PROJECT TA Y TB KARINA'!$O96/8</x:f>
        <x:v>0</x:v>
      </x:c>
      <x:c r="IC42" s="128" t="n">
        <x:f>'PROJECT TA Y TB KARINA'!$O96/8</x:f>
        <x:v>0</x:v>
      </x:c>
      <x:c r="ID42" s="128" t="n">
        <x:f>'PROJECT TA Y TB KARINA'!$O96/8</x:f>
        <x:v>0</x:v>
      </x:c>
      <x:c r="IE42" s="128" t="n">
        <x:f>'PROJECT TA Y TB KARINA'!$O96/8</x:f>
        <x:v>0</x:v>
      </x:c>
      <x:c r="IF42" s="128" t="n">
        <x:f>'PROJECT TA Y TB KARINA'!$P96/8</x:f>
        <x:v>0</x:v>
      </x:c>
      <x:c r="IG42" s="128" t="n">
        <x:f>'PROJECT TA Y TB KARINA'!$P96/8</x:f>
        <x:v>0</x:v>
      </x:c>
      <x:c r="IH42" s="128" t="n">
        <x:f>'PROJECT TA Y TB KARINA'!$P96/8</x:f>
        <x:v>0</x:v>
      </x:c>
      <x:c r="II42" s="128" t="n">
        <x:f>'PROJECT TA Y TB KARINA'!$P96/8</x:f>
        <x:v>0</x:v>
      </x:c>
      <x:c r="IJ42" s="128" t="n">
        <x:f>'PROJECT TA Y TB KARINA'!$P96/8</x:f>
        <x:v>0</x:v>
      </x:c>
      <x:c r="IK42" s="128" t="n">
        <x:f>'PROJECT TA Y TB KARINA'!$P96/8</x:f>
        <x:v>0</x:v>
      </x:c>
      <x:c r="IL42" s="128" t="n">
        <x:f>'PROJECT TA Y TB KARINA'!$P96/8</x:f>
        <x:v>0</x:v>
      </x:c>
      <x:c r="IM42" s="128" t="n">
        <x:f>'PROJECT TA Y TB KARINA'!$P96/8</x:f>
        <x:v>0</x:v>
      </x:c>
      <x:c r="IN42" s="128" t="n">
        <x:f>'PROJECT TA Y TB KARINA'!$Q96/8</x:f>
        <x:v>0</x:v>
      </x:c>
      <x:c r="IO42" s="128" t="n">
        <x:f>'PROJECT TA Y TB KARINA'!$Q96/8</x:f>
        <x:v>0</x:v>
      </x:c>
      <x:c r="IP42" s="128" t="n">
        <x:f>'PROJECT TA Y TB KARINA'!$Q96/8</x:f>
        <x:v>0</x:v>
      </x:c>
      <x:c r="IQ42" s="128" t="n">
        <x:f>'PROJECT TA Y TB KARINA'!$Q96/8</x:f>
        <x:v>0</x:v>
      </x:c>
      <x:c r="IR42" s="128" t="n">
        <x:f>'PROJECT TA Y TB KARINA'!$Q96/8</x:f>
        <x:v>0</x:v>
      </x:c>
      <x:c r="IS42" s="128" t="n">
        <x:f>'PROJECT TA Y TB KARINA'!$Q96/8</x:f>
        <x:v>0</x:v>
      </x:c>
      <x:c r="IT42" s="128" t="n">
        <x:f>'PROJECT TA Y TB KARINA'!$Q96/8</x:f>
        <x:v>0</x:v>
      </x:c>
      <x:c r="IU42" s="128" t="n">
        <x:f>'PROJECT TA Y TB KARINA'!$Q96/8</x:f>
        <x:v>0</x:v>
      </x:c>
      <x:c r="IV42" s="128" t="n">
        <x:f>'PROJECT TA Y TB KARINA'!$R96/8</x:f>
        <x:v>0</x:v>
      </x:c>
      <x:c r="IW42" s="128" t="n">
        <x:f>'PROJECT TA Y TB KARINA'!$R96/8</x:f>
        <x:v>0</x:v>
      </x:c>
      <x:c r="IX42" s="128" t="n">
        <x:f>'PROJECT TA Y TB KARINA'!$R96/8</x:f>
        <x:v>0</x:v>
      </x:c>
      <x:c r="IY42" s="128" t="n">
        <x:f>'PROJECT TA Y TB KARINA'!$R96/8</x:f>
        <x:v>0</x:v>
      </x:c>
      <x:c r="IZ42" s="128" t="n">
        <x:f>'PROJECT TA Y TB KARINA'!$R96/8</x:f>
        <x:v>0</x:v>
      </x:c>
      <x:c r="JA42" s="128" t="n">
        <x:f>'PROJECT TA Y TB KARINA'!$R96/8</x:f>
        <x:v>0</x:v>
      </x:c>
      <x:c r="JB42" s="128" t="n">
        <x:f>'PROJECT TA Y TB KARINA'!$R96/8</x:f>
        <x:v>0</x:v>
      </x:c>
      <x:c r="JC42" s="128" t="n">
        <x:f>'PROJECT TA Y TB KARINA'!$R96/8</x:f>
        <x:v>0</x:v>
      </x:c>
      <x:c r="JD42" s="128" t="n">
        <x:f>'PROJECT TA Y TB KARINA'!$S96/8</x:f>
        <x:v>0</x:v>
      </x:c>
      <x:c r="JE42" s="128" t="n">
        <x:f>'PROJECT TA Y TB KARINA'!$S96/8</x:f>
        <x:v>0</x:v>
      </x:c>
      <x:c r="JF42" s="128" t="n">
        <x:f>'PROJECT TA Y TB KARINA'!$S96/8</x:f>
        <x:v>0</x:v>
      </x:c>
      <x:c r="JG42" s="128" t="n">
        <x:f>'PROJECT TA Y TB KARINA'!$S96/8</x:f>
        <x:v>0</x:v>
      </x:c>
      <x:c r="JH42" s="128" t="n">
        <x:f>'PROJECT TA Y TB KARINA'!$S96/8</x:f>
        <x:v>0</x:v>
      </x:c>
      <x:c r="JI42" s="128" t="n">
        <x:f>'PROJECT TA Y TB KARINA'!$S96/8</x:f>
        <x:v>0</x:v>
      </x:c>
      <x:c r="JJ42" s="128" t="n">
        <x:f>'PROJECT TA Y TB KARINA'!$S96/8</x:f>
        <x:v>0</x:v>
      </x:c>
      <x:c r="JK42" s="128" t="n">
        <x:f>'PROJECT TA Y TB KARINA'!$S96/8</x:f>
        <x:v>0</x:v>
      </x:c>
      <x:c r="JL42" s="128" t="n">
        <x:f>'PROJECT TA Y TB KARINA'!$T96/8</x:f>
        <x:v>0</x:v>
      </x:c>
      <x:c r="JM42" s="128" t="n">
        <x:f>'PROJECT TA Y TB KARINA'!$T96/8</x:f>
        <x:v>0</x:v>
      </x:c>
      <x:c r="JN42" s="128" t="n">
        <x:f>'PROJECT TA Y TB KARINA'!$T96/8</x:f>
        <x:v>0</x:v>
      </x:c>
      <x:c r="JO42" s="128" t="n">
        <x:f>'PROJECT TA Y TB KARINA'!$T96/8</x:f>
        <x:v>0</x:v>
      </x:c>
      <x:c r="JP42" s="128" t="n">
        <x:f>'PROJECT TA Y TB KARINA'!$T96/8</x:f>
        <x:v>0</x:v>
      </x:c>
      <x:c r="JQ42" s="128" t="n">
        <x:f>'PROJECT TA Y TB KARINA'!$T96/8</x:f>
        <x:v>0</x:v>
      </x:c>
      <x:c r="JR42" s="128" t="n">
        <x:f>'PROJECT TA Y TB KARINA'!$T96/8</x:f>
        <x:v>0</x:v>
      </x:c>
      <x:c r="JS42" s="128" t="n">
        <x:f>'PROJECT TA Y TB KARINA'!$T96/8</x:f>
        <x:v>0</x:v>
      </x:c>
      <x:c r="JT42" s="128" t="e">
        <x:f>'PROJECT TA Y TB KARINA'!#REF!/8</x:f>
        <x:v>#NAME?</x:v>
      </x:c>
      <x:c r="JU42" s="128" t="e">
        <x:f>'PROJECT TA Y TB KARINA'!#REF!/8</x:f>
        <x:v>#NAME?</x:v>
      </x:c>
      <x:c r="JV42" s="128" t="e">
        <x:f>'PROJECT TA Y TB KARINA'!#REF!/8</x:f>
        <x:v>#NAME?</x:v>
      </x:c>
      <x:c r="JW42" s="128" t="e">
        <x:f>'PROJECT TA Y TB KARINA'!#REF!/8</x:f>
        <x:v>#NAME?</x:v>
      </x:c>
      <x:c r="JX42" s="128" t="e">
        <x:f>'PROJECT TA Y TB KARINA'!#REF!/8</x:f>
        <x:v>#NAME?</x:v>
      </x:c>
      <x:c r="JY42" s="128" t="e">
        <x:f>'PROJECT TA Y TB KARINA'!#REF!/8</x:f>
        <x:v>#NAME?</x:v>
      </x:c>
      <x:c r="JZ42" s="128" t="e">
        <x:f>'PROJECT TA Y TB KARINA'!#REF!/8</x:f>
        <x:v>#NAME?</x:v>
      </x:c>
      <x:c r="KA42" s="128" t="e">
        <x:f>'PROJECT TA Y TB KARINA'!#REF!/8</x:f>
        <x:v>#NAME?</x:v>
      </x:c>
    </x:row>
    <x:row r="43" ht="21">
      <x:c r="A43" s="130" t="s">
        <x:v>528</x:v>
      </x:c>
      <x:c r="B43" s="128" t="e">
        <x:f>'PROJECT TA Y TB KARINA'!$C$39/8</x:f>
        <x:v>#REF!</x:v>
      </x:c>
      <x:c r="C43" s="128" t="e">
        <x:f>'PROJECT TA Y TB KARINA'!$C$39/8</x:f>
        <x:v>#REF!</x:v>
      </x:c>
      <x:c r="D43" s="128" t="e">
        <x:f>'PROJECT TA Y TB KARINA'!$C$39/8</x:f>
        <x:v>#REF!</x:v>
      </x:c>
      <x:c r="E43" s="128" t="e">
        <x:f>'PROJECT TA Y TB KARINA'!$C$39/8</x:f>
        <x:v>#REF!</x:v>
      </x:c>
      <x:c r="F43" s="128" t="e">
        <x:f>'PROJECT TA Y TB KARINA'!$C$39/8</x:f>
        <x:v>#REF!</x:v>
      </x:c>
      <x:c r="G43" s="128" t="e">
        <x:f>'PROJECT TA Y TB KARINA'!$C$39/8</x:f>
        <x:v>#REF!</x:v>
      </x:c>
      <x:c r="H43" s="128" t="e">
        <x:f>'PROJECT TA Y TB KARINA'!$C$39/8</x:f>
        <x:v>#REF!</x:v>
      </x:c>
      <x:c r="I43" s="128" t="e">
        <x:f>'PROJECT TA Y TB KARINA'!$E39/8</x:f>
        <x:v>#REF!</x:v>
      </x:c>
      <x:c r="J43" s="128" t="e">
        <x:f>'PROJECT TA Y TB KARINA'!$E39/8</x:f>
        <x:v>#REF!</x:v>
      </x:c>
      <x:c r="K43" s="128" t="e">
        <x:f>'PROJECT TA Y TB KARINA'!$E39/8</x:f>
        <x:v>#REF!</x:v>
      </x:c>
      <x:c r="L43" s="128" t="e">
        <x:f>'PROJECT TA Y TB KARINA'!$E39/8</x:f>
        <x:v>#REF!</x:v>
      </x:c>
      <x:c r="M43" s="128" t="e">
        <x:f>'PROJECT TA Y TB KARINA'!$E39/8</x:f>
        <x:v>#REF!</x:v>
      </x:c>
      <x:c r="N43" s="128" t="e">
        <x:f>'PROJECT TA Y TB KARINA'!$E39/8</x:f>
        <x:v>#REF!</x:v>
      </x:c>
      <x:c r="O43" s="128" t="e">
        <x:f>'PROJECT TA Y TB KARINA'!$E39/8</x:f>
        <x:v>#REF!</x:v>
      </x:c>
      <x:c r="P43" s="128" t="e">
        <x:f>'PROJECT TA Y TB KARINA'!$E39/8</x:f>
        <x:v>#REF!</x:v>
      </x:c>
      <x:c r="Q43" s="128" t="e">
        <x:f>'PROJECT TA Y TB KARINA'!$F39/8</x:f>
        <x:v>#REF!</x:v>
      </x:c>
      <x:c r="R43" s="128" t="e">
        <x:f>'PROJECT TA Y TB KARINA'!$F39/8</x:f>
        <x:v>#REF!</x:v>
      </x:c>
      <x:c r="S43" s="128" t="e">
        <x:f>'PROJECT TA Y TB KARINA'!$F39/8</x:f>
        <x:v>#REF!</x:v>
      </x:c>
      <x:c r="T43" s="128" t="e">
        <x:f>'PROJECT TA Y TB KARINA'!$F39/8</x:f>
        <x:v>#REF!</x:v>
      </x:c>
      <x:c r="U43" s="128" t="e">
        <x:f>'PROJECT TA Y TB KARINA'!$F39/8</x:f>
        <x:v>#REF!</x:v>
      </x:c>
      <x:c r="V43" s="128" t="e">
        <x:f>'PROJECT TA Y TB KARINA'!$F39/8</x:f>
        <x:v>#REF!</x:v>
      </x:c>
      <x:c r="W43" s="128" t="e">
        <x:f>'PROJECT TA Y TB KARINA'!$F39/8</x:f>
        <x:v>#REF!</x:v>
      </x:c>
      <x:c r="X43" s="128" t="e">
        <x:f>'PROJECT TA Y TB KARINA'!$F39/8</x:f>
        <x:v>#REF!</x:v>
      </x:c>
      <x:c r="Y43" s="128" t="e">
        <x:f>'PROJECT TA Y TB KARINA'!$G39/8</x:f>
        <x:v>#REF!</x:v>
      </x:c>
      <x:c r="Z43" s="128" t="e">
        <x:f>'PROJECT TA Y TB KARINA'!$G39/8</x:f>
        <x:v>#REF!</x:v>
      </x:c>
      <x:c r="AA43" s="128" t="e">
        <x:f>'PROJECT TA Y TB KARINA'!$G39/8</x:f>
        <x:v>#REF!</x:v>
      </x:c>
      <x:c r="AB43" s="128" t="e">
        <x:f>'PROJECT TA Y TB KARINA'!$G39/8</x:f>
        <x:v>#REF!</x:v>
      </x:c>
      <x:c r="AC43" s="128" t="e">
        <x:f>'PROJECT TA Y TB KARINA'!$G39/8</x:f>
        <x:v>#REF!</x:v>
      </x:c>
      <x:c r="AD43" s="128" t="e">
        <x:f>'PROJECT TA Y TB KARINA'!$G39/8</x:f>
        <x:v>#REF!</x:v>
      </x:c>
      <x:c r="AE43" s="128" t="e">
        <x:f>'PROJECT TA Y TB KARINA'!$G39/8</x:f>
        <x:v>#REF!</x:v>
      </x:c>
      <x:c r="AF43" s="128" t="e">
        <x:f>'PROJECT TA Y TB KARINA'!$G39/8</x:f>
        <x:v>#REF!</x:v>
      </x:c>
      <x:c r="AG43" s="128" t="e">
        <x:f>'PROJECT TA Y TB KARINA'!$H39/8</x:f>
        <x:v>#REF!</x:v>
      </x:c>
      <x:c r="AH43" s="128" t="e">
        <x:f>'PROJECT TA Y TB KARINA'!$H39/8</x:f>
        <x:v>#REF!</x:v>
      </x:c>
      <x:c r="AI43" s="128" t="e">
        <x:f>'PROJECT TA Y TB KARINA'!$H39/8</x:f>
        <x:v>#REF!</x:v>
      </x:c>
      <x:c r="AJ43" s="128" t="e">
        <x:f>'PROJECT TA Y TB KARINA'!$H39/8</x:f>
        <x:v>#REF!</x:v>
      </x:c>
      <x:c r="AK43" s="128" t="e">
        <x:f>'PROJECT TA Y TB KARINA'!$H39/8</x:f>
        <x:v>#REF!</x:v>
      </x:c>
      <x:c r="AL43" s="128" t="e">
        <x:f>'PROJECT TA Y TB KARINA'!$H39/8</x:f>
        <x:v>#REF!</x:v>
      </x:c>
      <x:c r="AM43" s="128" t="e">
        <x:f>'PROJECT TA Y TB KARINA'!$H39/8</x:f>
        <x:v>#REF!</x:v>
      </x:c>
      <x:c r="AN43" s="128" t="e">
        <x:f>'PROJECT TA Y TB KARINA'!$H39/8</x:f>
        <x:v>#REF!</x:v>
      </x:c>
      <x:c r="AO43" s="128" t="e">
        <x:f>'PROJECT TA Y TB KARINA'!$I39/8</x:f>
        <x:v>#REF!</x:v>
      </x:c>
      <x:c r="AP43" s="128" t="e">
        <x:f>'PROJECT TA Y TB KARINA'!$I39/8</x:f>
        <x:v>#REF!</x:v>
      </x:c>
      <x:c r="AQ43" s="128" t="e">
        <x:f>'PROJECT TA Y TB KARINA'!$I39/8</x:f>
        <x:v>#REF!</x:v>
      </x:c>
      <x:c r="AR43" s="128" t="e">
        <x:f>'PROJECT TA Y TB KARINA'!$I39/8</x:f>
        <x:v>#REF!</x:v>
      </x:c>
      <x:c r="AS43" s="128" t="e">
        <x:f>'PROJECT TA Y TB KARINA'!$I39/8</x:f>
        <x:v>#REF!</x:v>
      </x:c>
      <x:c r="AT43" s="128" t="e">
        <x:f>'PROJECT TA Y TB KARINA'!$I39/8</x:f>
        <x:v>#REF!</x:v>
      </x:c>
      <x:c r="AU43" s="128" t="e">
        <x:f>'PROJECT TA Y TB KARINA'!$I39/8</x:f>
        <x:v>#REF!</x:v>
      </x:c>
      <x:c r="AV43" s="128" t="e">
        <x:f>'PROJECT TA Y TB KARINA'!$I39/8</x:f>
        <x:v>#REF!</x:v>
      </x:c>
      <x:c r="AW43" s="128" t="e">
        <x:f>'PROJECT TA Y TB KARINA'!$J39/8</x:f>
        <x:v>#REF!</x:v>
      </x:c>
      <x:c r="AX43" s="128" t="e">
        <x:f>'PROJECT TA Y TB KARINA'!$J39/8</x:f>
        <x:v>#REF!</x:v>
      </x:c>
      <x:c r="AY43" s="128" t="e">
        <x:f>'PROJECT TA Y TB KARINA'!$J39/8</x:f>
        <x:v>#REF!</x:v>
      </x:c>
      <x:c r="AZ43" s="128" t="e">
        <x:f>'PROJECT TA Y TB KARINA'!$J39/8</x:f>
        <x:v>#REF!</x:v>
      </x:c>
      <x:c r="BA43" s="128" t="e">
        <x:f>'PROJECT TA Y TB KARINA'!$J39/8</x:f>
        <x:v>#REF!</x:v>
      </x:c>
      <x:c r="BB43" s="128" t="e">
        <x:f>'PROJECT TA Y TB KARINA'!$J39/8</x:f>
        <x:v>#REF!</x:v>
      </x:c>
      <x:c r="BC43" s="128" t="e">
        <x:f>'PROJECT TA Y TB KARINA'!$J39/8</x:f>
        <x:v>#REF!</x:v>
      </x:c>
      <x:c r="BD43" s="128" t="e">
        <x:f>'PROJECT TA Y TB KARINA'!$J39/8</x:f>
        <x:v>#REF!</x:v>
      </x:c>
      <x:c r="BE43" s="128" t="e">
        <x:f>'PROJECT TA Y TB KARINA'!$K39/8</x:f>
        <x:v>#REF!</x:v>
      </x:c>
      <x:c r="BF43" s="128" t="e">
        <x:f>'PROJECT TA Y TB KARINA'!$K39/8</x:f>
        <x:v>#REF!</x:v>
      </x:c>
      <x:c r="BG43" s="128" t="e">
        <x:f>'PROJECT TA Y TB KARINA'!$K39/8</x:f>
        <x:v>#REF!</x:v>
      </x:c>
      <x:c r="BH43" s="128" t="e">
        <x:f>'PROJECT TA Y TB KARINA'!$K39/8</x:f>
        <x:v>#REF!</x:v>
      </x:c>
      <x:c r="BI43" s="128" t="e">
        <x:f>'PROJECT TA Y TB KARINA'!$K39/8</x:f>
        <x:v>#REF!</x:v>
      </x:c>
      <x:c r="BJ43" s="128" t="e">
        <x:f>'PROJECT TA Y TB KARINA'!$K39/8</x:f>
        <x:v>#REF!</x:v>
      </x:c>
      <x:c r="BK43" s="128" t="e">
        <x:f>'PROJECT TA Y TB KARINA'!$K39/8</x:f>
        <x:v>#REF!</x:v>
      </x:c>
      <x:c r="BL43" s="128" t="e">
        <x:f>'PROJECT TA Y TB KARINA'!$K39/8</x:f>
        <x:v>#REF!</x:v>
      </x:c>
      <x:c r="BM43" s="128" t="e">
        <x:f>'PROJECT TA Y TB KARINA'!$L39/8</x:f>
        <x:v>#REF!</x:v>
      </x:c>
      <x:c r="BN43" s="128" t="e">
        <x:f>'PROJECT TA Y TB KARINA'!$L39/8</x:f>
        <x:v>#REF!</x:v>
      </x:c>
      <x:c r="BO43" s="128" t="e">
        <x:f>'PROJECT TA Y TB KARINA'!$L39/8</x:f>
        <x:v>#REF!</x:v>
      </x:c>
      <x:c r="BP43" s="128" t="e">
        <x:f>'PROJECT TA Y TB KARINA'!$L39/8</x:f>
        <x:v>#REF!</x:v>
      </x:c>
      <x:c r="BQ43" s="128" t="e">
        <x:f>'PROJECT TA Y TB KARINA'!$L39/8</x:f>
        <x:v>#REF!</x:v>
      </x:c>
      <x:c r="BR43" s="128" t="e">
        <x:f>'PROJECT TA Y TB KARINA'!$L39/8</x:f>
        <x:v>#REF!</x:v>
      </x:c>
      <x:c r="BS43" s="128" t="e">
        <x:f>'PROJECT TA Y TB KARINA'!$L39/8</x:f>
        <x:v>#REF!</x:v>
      </x:c>
      <x:c r="BT43" s="128" t="e">
        <x:f>'PROJECT TA Y TB KARINA'!$L39/8</x:f>
        <x:v>#REF!</x:v>
      </x:c>
      <x:c r="BU43" s="128" t="e">
        <x:f>'PROJECT TA Y TB KARINA'!$M39/8</x:f>
        <x:v>#REF!</x:v>
      </x:c>
      <x:c r="BV43" s="128" t="e">
        <x:f>'PROJECT TA Y TB KARINA'!$M39/8</x:f>
        <x:v>#REF!</x:v>
      </x:c>
      <x:c r="BW43" s="128" t="e">
        <x:f>'PROJECT TA Y TB KARINA'!$M39/8</x:f>
        <x:v>#REF!</x:v>
      </x:c>
      <x:c r="BX43" s="128" t="e">
        <x:f>'PROJECT TA Y TB KARINA'!$M39/8</x:f>
        <x:v>#REF!</x:v>
      </x:c>
      <x:c r="BY43" s="128" t="e">
        <x:f>'PROJECT TA Y TB KARINA'!$M39/8</x:f>
        <x:v>#REF!</x:v>
      </x:c>
      <x:c r="BZ43" s="128" t="e">
        <x:f>'PROJECT TA Y TB KARINA'!$M39/8</x:f>
        <x:v>#REF!</x:v>
      </x:c>
      <x:c r="CA43" s="128" t="e">
        <x:f>'PROJECT TA Y TB KARINA'!$M39/8</x:f>
        <x:v>#REF!</x:v>
      </x:c>
      <x:c r="CB43" s="128" t="e">
        <x:f>'PROJECT TA Y TB KARINA'!$M39/8</x:f>
        <x:v>#REF!</x:v>
      </x:c>
      <x:c r="CC43" s="128" t="e">
        <x:f>'PROJECT TA Y TB KARINA'!$N39/8</x:f>
        <x:v>#REF!</x:v>
      </x:c>
      <x:c r="CD43" s="128" t="e">
        <x:f>'PROJECT TA Y TB KARINA'!$N39/8</x:f>
        <x:v>#REF!</x:v>
      </x:c>
      <x:c r="CE43" s="128" t="e">
        <x:f>'PROJECT TA Y TB KARINA'!$N39/8</x:f>
        <x:v>#REF!</x:v>
      </x:c>
      <x:c r="CF43" s="128" t="e">
        <x:f>'PROJECT TA Y TB KARINA'!$N39/8</x:f>
        <x:v>#REF!</x:v>
      </x:c>
      <x:c r="CG43" s="128" t="e">
        <x:f>'PROJECT TA Y TB KARINA'!$N39/8</x:f>
        <x:v>#REF!</x:v>
      </x:c>
      <x:c r="CH43" s="128" t="e">
        <x:f>'PROJECT TA Y TB KARINA'!$N39/8</x:f>
        <x:v>#REF!</x:v>
      </x:c>
      <x:c r="CI43" s="128" t="e">
        <x:f>'PROJECT TA Y TB KARINA'!$N39/8</x:f>
        <x:v>#REF!</x:v>
      </x:c>
      <x:c r="CJ43" s="128" t="e">
        <x:f>'PROJECT TA Y TB KARINA'!$N39/8</x:f>
        <x:v>#REF!</x:v>
      </x:c>
      <x:c r="CK43" s="128" t="e">
        <x:f>'PROJECT TA Y TB KARINA'!$O39/8</x:f>
        <x:v>#REF!</x:v>
      </x:c>
      <x:c r="CL43" s="128" t="e">
        <x:f>'PROJECT TA Y TB KARINA'!$O39/8</x:f>
        <x:v>#REF!</x:v>
      </x:c>
      <x:c r="CM43" s="128" t="e">
        <x:f>'PROJECT TA Y TB KARINA'!$O39/8</x:f>
        <x:v>#REF!</x:v>
      </x:c>
      <x:c r="CN43" s="128" t="e">
        <x:f>'PROJECT TA Y TB KARINA'!$O39/8</x:f>
        <x:v>#REF!</x:v>
      </x:c>
      <x:c r="CO43" s="128" t="e">
        <x:f>'PROJECT TA Y TB KARINA'!$O39/8</x:f>
        <x:v>#REF!</x:v>
      </x:c>
      <x:c r="CP43" s="128" t="e">
        <x:f>'PROJECT TA Y TB KARINA'!$O39/8</x:f>
        <x:v>#REF!</x:v>
      </x:c>
      <x:c r="CQ43" s="128" t="e">
        <x:f>'PROJECT TA Y TB KARINA'!$O39/8</x:f>
        <x:v>#REF!</x:v>
      </x:c>
      <x:c r="CR43" s="128" t="e">
        <x:f>'PROJECT TA Y TB KARINA'!$O39/8</x:f>
        <x:v>#REF!</x:v>
      </x:c>
      <x:c r="CS43" s="128" t="e">
        <x:f>'PROJECT TA Y TB KARINA'!$P39/8</x:f>
        <x:v>#REF!</x:v>
      </x:c>
      <x:c r="CT43" s="128" t="e">
        <x:f>'PROJECT TA Y TB KARINA'!$P39/8</x:f>
        <x:v>#REF!</x:v>
      </x:c>
      <x:c r="CU43" s="128" t="e">
        <x:f>'PROJECT TA Y TB KARINA'!$P39/8</x:f>
        <x:v>#REF!</x:v>
      </x:c>
      <x:c r="CV43" s="128" t="e">
        <x:f>'PROJECT TA Y TB KARINA'!$P39/8</x:f>
        <x:v>#REF!</x:v>
      </x:c>
      <x:c r="CW43" s="128" t="e">
        <x:f>'PROJECT TA Y TB KARINA'!$P39/8</x:f>
        <x:v>#REF!</x:v>
      </x:c>
      <x:c r="CX43" s="128" t="e">
        <x:f>'PROJECT TA Y TB KARINA'!$P39/8</x:f>
        <x:v>#REF!</x:v>
      </x:c>
      <x:c r="CY43" s="128" t="e">
        <x:f>'PROJECT TA Y TB KARINA'!$P39/8</x:f>
        <x:v>#REF!</x:v>
      </x:c>
      <x:c r="CZ43" s="128" t="e">
        <x:f>'PROJECT TA Y TB KARINA'!$P39/8</x:f>
        <x:v>#REF!</x:v>
      </x:c>
      <x:c r="DA43" s="128" t="e">
        <x:f>'PROJECT TA Y TB KARINA'!$Q39/8</x:f>
        <x:v>#REF!</x:v>
      </x:c>
      <x:c r="DB43" s="128" t="e">
        <x:f>'PROJECT TA Y TB KARINA'!$Q39/8</x:f>
        <x:v>#REF!</x:v>
      </x:c>
      <x:c r="DC43" s="128" t="e">
        <x:f>'PROJECT TA Y TB KARINA'!$Q39/8</x:f>
        <x:v>#REF!</x:v>
      </x:c>
      <x:c r="DD43" s="128" t="e">
        <x:f>'PROJECT TA Y TB KARINA'!$Q39/8</x:f>
        <x:v>#REF!</x:v>
      </x:c>
      <x:c r="DE43" s="128" t="e">
        <x:f>'PROJECT TA Y TB KARINA'!$Q39/8</x:f>
        <x:v>#REF!</x:v>
      </x:c>
      <x:c r="DF43" s="128" t="e">
        <x:f>'PROJECT TA Y TB KARINA'!$Q39/8</x:f>
        <x:v>#REF!</x:v>
      </x:c>
      <x:c r="DG43" s="128" t="e">
        <x:f>'PROJECT TA Y TB KARINA'!$Q39/8</x:f>
        <x:v>#REF!</x:v>
      </x:c>
      <x:c r="DH43" s="128" t="e">
        <x:f>'PROJECT TA Y TB KARINA'!$Q39/8</x:f>
        <x:v>#REF!</x:v>
      </x:c>
      <x:c r="DI43" s="128" t="e">
        <x:f>'PROJECT TA Y TB KARINA'!$R39/8</x:f>
        <x:v>#REF!</x:v>
      </x:c>
      <x:c r="DJ43" s="128" t="e">
        <x:f>'PROJECT TA Y TB KARINA'!$R39/8</x:f>
        <x:v>#REF!</x:v>
      </x:c>
      <x:c r="DK43" s="128" t="e">
        <x:f>'PROJECT TA Y TB KARINA'!$R39/8</x:f>
        <x:v>#REF!</x:v>
      </x:c>
      <x:c r="DL43" s="128" t="e">
        <x:f>'PROJECT TA Y TB KARINA'!$R39/8</x:f>
        <x:v>#REF!</x:v>
      </x:c>
      <x:c r="DM43" s="128" t="e">
        <x:f>'PROJECT TA Y TB KARINA'!$R39/8</x:f>
        <x:v>#REF!</x:v>
      </x:c>
      <x:c r="DN43" s="128" t="e">
        <x:f>'PROJECT TA Y TB KARINA'!$R39/8</x:f>
        <x:v>#REF!</x:v>
      </x:c>
      <x:c r="DO43" s="128" t="e">
        <x:f>'PROJECT TA Y TB KARINA'!$R39/8</x:f>
        <x:v>#REF!</x:v>
      </x:c>
      <x:c r="DP43" s="128" t="e">
        <x:f>'PROJECT TA Y TB KARINA'!$R39/8</x:f>
        <x:v>#REF!</x:v>
      </x:c>
      <x:c r="DQ43" s="128" t="e">
        <x:f>'PROJECT TA Y TB KARINA'!$S39/8</x:f>
        <x:v>#REF!</x:v>
      </x:c>
      <x:c r="DR43" s="128" t="e">
        <x:f>'PROJECT TA Y TB KARINA'!$S39/8</x:f>
        <x:v>#REF!</x:v>
      </x:c>
      <x:c r="DS43" s="128" t="e">
        <x:f>'PROJECT TA Y TB KARINA'!$S39/8</x:f>
        <x:v>#REF!</x:v>
      </x:c>
      <x:c r="DT43" s="128" t="e">
        <x:f>'PROJECT TA Y TB KARINA'!$S39/8</x:f>
        <x:v>#REF!</x:v>
      </x:c>
      <x:c r="DU43" s="128" t="e">
        <x:f>'PROJECT TA Y TB KARINA'!$S39/8</x:f>
        <x:v>#REF!</x:v>
      </x:c>
      <x:c r="DV43" s="128" t="e">
        <x:f>'PROJECT TA Y TB KARINA'!$S39/8</x:f>
        <x:v>#REF!</x:v>
      </x:c>
      <x:c r="DW43" s="128" t="e">
        <x:f>'PROJECT TA Y TB KARINA'!$S39/8</x:f>
        <x:v>#REF!</x:v>
      </x:c>
      <x:c r="DX43" s="128" t="e">
        <x:f>'PROJECT TA Y TB KARINA'!$S39/8</x:f>
        <x:v>#REF!</x:v>
      </x:c>
      <x:c r="DY43" s="128" t="e">
        <x:f>'PROJECT TA Y TB KARINA'!$T39/8</x:f>
        <x:v>#REF!</x:v>
      </x:c>
      <x:c r="DZ43" s="128" t="e">
        <x:f>'PROJECT TA Y TB KARINA'!$T39/8</x:f>
        <x:v>#REF!</x:v>
      </x:c>
      <x:c r="EA43" s="128" t="e">
        <x:f>'PROJECT TA Y TB KARINA'!$T39/8</x:f>
        <x:v>#REF!</x:v>
      </x:c>
      <x:c r="EB43" s="128" t="e">
        <x:f>'PROJECT TA Y TB KARINA'!$T39/8</x:f>
        <x:v>#REF!</x:v>
      </x:c>
      <x:c r="EC43" s="128" t="e">
        <x:f>'PROJECT TA Y TB KARINA'!$T39/8</x:f>
        <x:v>#REF!</x:v>
      </x:c>
      <x:c r="ED43" s="128" t="e">
        <x:f>'PROJECT TA Y TB KARINA'!$T39/8</x:f>
        <x:v>#REF!</x:v>
      </x:c>
      <x:c r="EE43" s="128" t="e">
        <x:f>'PROJECT TA Y TB KARINA'!$T39/8</x:f>
        <x:v>#REF!</x:v>
      </x:c>
      <x:c r="EF43" s="128" t="e">
        <x:f>'PROJECT TA Y TB KARINA'!$T39/8</x:f>
        <x:v>#REF!</x:v>
      </x:c>
      <x:c r="EG43" s="128" t="e">
        <x:f>'PROJECT TA Y TB KARINA'!#REF!/8</x:f>
        <x:v>#NAME?</x:v>
      </x:c>
      <x:c r="EH43" s="128" t="e">
        <x:f>'PROJECT TA Y TB KARINA'!#REF!/8</x:f>
        <x:v>#NAME?</x:v>
      </x:c>
      <x:c r="EI43" s="128" t="e">
        <x:f>'PROJECT TA Y TB KARINA'!#REF!/8</x:f>
        <x:v>#NAME?</x:v>
      </x:c>
      <x:c r="EJ43" s="128" t="e">
        <x:f>'PROJECT TA Y TB KARINA'!#REF!/8</x:f>
        <x:v>#NAME?</x:v>
      </x:c>
      <x:c r="EK43" s="128" t="e">
        <x:f>'PROJECT TA Y TB KARINA'!#REF!/8</x:f>
        <x:v>#NAME?</x:v>
      </x:c>
      <x:c r="EL43" s="128" t="e">
        <x:f>'PROJECT TA Y TB KARINA'!#REF!/8</x:f>
        <x:v>#NAME?</x:v>
      </x:c>
      <x:c r="EM43" s="128" t="e">
        <x:f>'PROJECT TA Y TB KARINA'!#REF!/8</x:f>
        <x:v>#NAME?</x:v>
      </x:c>
      <x:c r="EN43" s="128" t="e">
        <x:f>'PROJECT TA Y TB KARINA'!#REF!/8</x:f>
        <x:v>#NAME?</x:v>
      </x:c>
      <x:c r="EO43" s="128" t="n">
        <x:f>'PROJECT TA Y TB KARINA'!$C97/8</x:f>
        <x:v>0</x:v>
      </x:c>
      <x:c r="EP43" s="128" t="n">
        <x:f>'PROJECT TA Y TB KARINA'!$C97/8</x:f>
        <x:v>0</x:v>
      </x:c>
      <x:c r="EQ43" s="128" t="n">
        <x:f>'PROJECT TA Y TB KARINA'!$C97/8</x:f>
        <x:v>0</x:v>
      </x:c>
      <x:c r="ER43" s="128" t="n">
        <x:f>'PROJECT TA Y TB KARINA'!$C97/8</x:f>
        <x:v>0</x:v>
      </x:c>
      <x:c r="ES43" s="128" t="n">
        <x:f>'PROJECT TA Y TB KARINA'!$C97/8</x:f>
        <x:v>0</x:v>
      </x:c>
      <x:c r="ET43" s="128" t="n">
        <x:f>'PROJECT TA Y TB KARINA'!$C97/8</x:f>
        <x:v>0</x:v>
      </x:c>
      <x:c r="EU43" s="128" t="n">
        <x:f>'PROJECT TA Y TB KARINA'!$C97/8</x:f>
        <x:v>0</x:v>
      </x:c>
      <x:c r="EV43" s="128" t="n">
        <x:f>'PROJECT TA Y TB KARINA'!$E97/8</x:f>
        <x:v>0</x:v>
      </x:c>
      <x:c r="EW43" s="128" t="n">
        <x:f>'PROJECT TA Y TB KARINA'!$E97/8</x:f>
        <x:v>0</x:v>
      </x:c>
      <x:c r="EX43" s="128" t="n">
        <x:f>'PROJECT TA Y TB KARINA'!$E97/8</x:f>
        <x:v>0</x:v>
      </x:c>
      <x:c r="EY43" s="128" t="n">
        <x:f>'PROJECT TA Y TB KARINA'!$E97/8</x:f>
        <x:v>0</x:v>
      </x:c>
      <x:c r="EZ43" s="128" t="n">
        <x:f>'PROJECT TA Y TB KARINA'!$E97/8</x:f>
        <x:v>0</x:v>
      </x:c>
      <x:c r="FA43" s="128" t="n">
        <x:f>'PROJECT TA Y TB KARINA'!$E97/8</x:f>
        <x:v>0</x:v>
      </x:c>
      <x:c r="FB43" s="128" t="n">
        <x:f>'PROJECT TA Y TB KARINA'!$E97/8</x:f>
        <x:v>0</x:v>
      </x:c>
      <x:c r="FC43" s="128" t="n">
        <x:f>'PROJECT TA Y TB KARINA'!$E97/8</x:f>
        <x:v>0</x:v>
      </x:c>
      <x:c r="FD43" s="128" t="n">
        <x:f>'PROJECT TA Y TB KARINA'!$F97/8</x:f>
        <x:v>0</x:v>
      </x:c>
      <x:c r="FE43" s="128" t="n">
        <x:f>'PROJECT TA Y TB KARINA'!$F97/8</x:f>
        <x:v>0</x:v>
      </x:c>
      <x:c r="FF43" s="128" t="n">
        <x:f>'PROJECT TA Y TB KARINA'!$F97/8</x:f>
        <x:v>0</x:v>
      </x:c>
      <x:c r="FG43" s="128" t="n">
        <x:f>'PROJECT TA Y TB KARINA'!$F97/8</x:f>
        <x:v>0</x:v>
      </x:c>
      <x:c r="FH43" s="128" t="n">
        <x:f>'PROJECT TA Y TB KARINA'!$F97/8</x:f>
        <x:v>0</x:v>
      </x:c>
      <x:c r="FI43" s="128" t="n">
        <x:f>'PROJECT TA Y TB KARINA'!$F97/8</x:f>
        <x:v>0</x:v>
      </x:c>
      <x:c r="FJ43" s="128" t="n">
        <x:f>'PROJECT TA Y TB KARINA'!$F97/8</x:f>
        <x:v>0</x:v>
      </x:c>
      <x:c r="FK43" s="128" t="n">
        <x:f>'PROJECT TA Y TB KARINA'!$F97/8</x:f>
        <x:v>0</x:v>
      </x:c>
      <x:c r="FL43" s="128" t="n">
        <x:f>'PROJECT TA Y TB KARINA'!$G97/8</x:f>
        <x:v>0</x:v>
      </x:c>
      <x:c r="FM43" s="128" t="n">
        <x:f>'PROJECT TA Y TB KARINA'!$G97/8</x:f>
        <x:v>0</x:v>
      </x:c>
      <x:c r="FN43" s="128" t="n">
        <x:f>'PROJECT TA Y TB KARINA'!$G97/8</x:f>
        <x:v>0</x:v>
      </x:c>
      <x:c r="FO43" s="128" t="n">
        <x:f>'PROJECT TA Y TB KARINA'!$G97/8</x:f>
        <x:v>0</x:v>
      </x:c>
      <x:c r="FP43" s="128" t="n">
        <x:f>'PROJECT TA Y TB KARINA'!$G97/8</x:f>
        <x:v>0</x:v>
      </x:c>
      <x:c r="FQ43" s="128" t="n">
        <x:f>'PROJECT TA Y TB KARINA'!$G97/8</x:f>
        <x:v>0</x:v>
      </x:c>
      <x:c r="FR43" s="128" t="n">
        <x:f>'PROJECT TA Y TB KARINA'!$G97/8</x:f>
        <x:v>0</x:v>
      </x:c>
      <x:c r="FS43" s="128" t="n">
        <x:f>'PROJECT TA Y TB KARINA'!$G97/8</x:f>
        <x:v>0</x:v>
      </x:c>
      <x:c r="FT43" s="128" t="n">
        <x:f>'PROJECT TA Y TB KARINA'!$H97/8</x:f>
        <x:v>0</x:v>
      </x:c>
      <x:c r="FU43" s="128" t="n">
        <x:f>'PROJECT TA Y TB KARINA'!$H97/8</x:f>
        <x:v>0</x:v>
      </x:c>
      <x:c r="FV43" s="128" t="n">
        <x:f>'PROJECT TA Y TB KARINA'!$H97/8</x:f>
        <x:v>0</x:v>
      </x:c>
      <x:c r="FW43" s="128" t="n">
        <x:f>'PROJECT TA Y TB KARINA'!$H97/8</x:f>
        <x:v>0</x:v>
      </x:c>
      <x:c r="FX43" s="128" t="n">
        <x:f>'PROJECT TA Y TB KARINA'!$H97/8</x:f>
        <x:v>0</x:v>
      </x:c>
      <x:c r="FY43" s="128" t="n">
        <x:f>'PROJECT TA Y TB KARINA'!$H97/8</x:f>
        <x:v>0</x:v>
      </x:c>
      <x:c r="FZ43" s="128" t="n">
        <x:f>'PROJECT TA Y TB KARINA'!$H97/8</x:f>
        <x:v>0</x:v>
      </x:c>
      <x:c r="GA43" s="128" t="n">
        <x:f>'PROJECT TA Y TB KARINA'!$H97/8</x:f>
        <x:v>0</x:v>
      </x:c>
      <x:c r="GB43" s="128" t="n">
        <x:f>'PROJECT TA Y TB KARINA'!$I97/8</x:f>
        <x:v>0</x:v>
      </x:c>
      <x:c r="GC43" s="128" t="n">
        <x:f>'PROJECT TA Y TB KARINA'!$I97/8</x:f>
        <x:v>0</x:v>
      </x:c>
      <x:c r="GD43" s="128" t="n">
        <x:f>'PROJECT TA Y TB KARINA'!$I97/8</x:f>
        <x:v>0</x:v>
      </x:c>
      <x:c r="GE43" s="128" t="n">
        <x:f>'PROJECT TA Y TB KARINA'!$I97/8</x:f>
        <x:v>0</x:v>
      </x:c>
      <x:c r="GF43" s="128" t="n">
        <x:f>'PROJECT TA Y TB KARINA'!$I97/8</x:f>
        <x:v>0</x:v>
      </x:c>
      <x:c r="GG43" s="128" t="n">
        <x:f>'PROJECT TA Y TB KARINA'!$I97/8</x:f>
        <x:v>0</x:v>
      </x:c>
      <x:c r="GH43" s="128" t="n">
        <x:f>'PROJECT TA Y TB KARINA'!$I97/8</x:f>
        <x:v>0</x:v>
      </x:c>
      <x:c r="GI43" s="128" t="n">
        <x:f>'PROJECT TA Y TB KARINA'!$I97/8</x:f>
        <x:v>0</x:v>
      </x:c>
      <x:c r="GJ43" s="128" t="n">
        <x:f>'PROJECT TA Y TB KARINA'!$J97/8</x:f>
        <x:v>0</x:v>
      </x:c>
      <x:c r="GK43" s="128" t="n">
        <x:f>'PROJECT TA Y TB KARINA'!$J97/8</x:f>
        <x:v>0</x:v>
      </x:c>
      <x:c r="GL43" s="128" t="n">
        <x:f>'PROJECT TA Y TB KARINA'!$J97/8</x:f>
        <x:v>0</x:v>
      </x:c>
      <x:c r="GM43" s="128" t="n">
        <x:f>'PROJECT TA Y TB KARINA'!$J97/8</x:f>
        <x:v>0</x:v>
      </x:c>
      <x:c r="GN43" s="128" t="n">
        <x:f>'PROJECT TA Y TB KARINA'!$J97/8</x:f>
        <x:v>0</x:v>
      </x:c>
      <x:c r="GO43" s="128" t="n">
        <x:f>'PROJECT TA Y TB KARINA'!$J97/8</x:f>
        <x:v>0</x:v>
      </x:c>
      <x:c r="GP43" s="128" t="n">
        <x:f>'PROJECT TA Y TB KARINA'!$J97/8</x:f>
        <x:v>0</x:v>
      </x:c>
      <x:c r="GQ43" s="128" t="n">
        <x:f>'PROJECT TA Y TB KARINA'!$J97/8</x:f>
        <x:v>0</x:v>
      </x:c>
      <x:c r="GR43" s="128" t="n">
        <x:f>'PROJECT TA Y TB KARINA'!$K97/8</x:f>
        <x:v>0</x:v>
      </x:c>
      <x:c r="GS43" s="128" t="n">
        <x:f>'PROJECT TA Y TB KARINA'!$K97/8</x:f>
        <x:v>0</x:v>
      </x:c>
      <x:c r="GT43" s="128" t="n">
        <x:f>'PROJECT TA Y TB KARINA'!$K97/8</x:f>
        <x:v>0</x:v>
      </x:c>
      <x:c r="GU43" s="128" t="n">
        <x:f>'PROJECT TA Y TB KARINA'!$K97/8</x:f>
        <x:v>0</x:v>
      </x:c>
      <x:c r="GV43" s="128" t="n">
        <x:f>'PROJECT TA Y TB KARINA'!$K97/8</x:f>
        <x:v>0</x:v>
      </x:c>
      <x:c r="GW43" s="128" t="n">
        <x:f>'PROJECT TA Y TB KARINA'!$K97/8</x:f>
        <x:v>0</x:v>
      </x:c>
      <x:c r="GX43" s="128" t="n">
        <x:f>'PROJECT TA Y TB KARINA'!$K97/8</x:f>
        <x:v>0</x:v>
      </x:c>
      <x:c r="GY43" s="128" t="n">
        <x:f>'PROJECT TA Y TB KARINA'!$K97/8</x:f>
        <x:v>0</x:v>
      </x:c>
      <x:c r="GZ43" s="128" t="n">
        <x:f>'PROJECT TA Y TB KARINA'!$L97/8</x:f>
        <x:v>0</x:v>
      </x:c>
      <x:c r="HA43" s="128" t="n">
        <x:f>'PROJECT TA Y TB KARINA'!$L97/8</x:f>
        <x:v>0</x:v>
      </x:c>
      <x:c r="HB43" s="128" t="n">
        <x:f>'PROJECT TA Y TB KARINA'!$L97/8</x:f>
        <x:v>0</x:v>
      </x:c>
      <x:c r="HC43" s="128" t="n">
        <x:f>'PROJECT TA Y TB KARINA'!$L97/8</x:f>
        <x:v>0</x:v>
      </x:c>
      <x:c r="HD43" s="128" t="n">
        <x:f>'PROJECT TA Y TB KARINA'!$L97/8</x:f>
        <x:v>0</x:v>
      </x:c>
      <x:c r="HE43" s="128" t="n">
        <x:f>'PROJECT TA Y TB KARINA'!$L97/8</x:f>
        <x:v>0</x:v>
      </x:c>
      <x:c r="HF43" s="128" t="n">
        <x:f>'PROJECT TA Y TB KARINA'!$L97/8</x:f>
        <x:v>0</x:v>
      </x:c>
      <x:c r="HG43" s="128" t="n">
        <x:f>'PROJECT TA Y TB KARINA'!$L97/8</x:f>
        <x:v>0</x:v>
      </x:c>
      <x:c r="HH43" s="128" t="n">
        <x:f>'PROJECT TA Y TB KARINA'!$M97/8</x:f>
        <x:v>0</x:v>
      </x:c>
      <x:c r="HI43" s="128" t="n">
        <x:f>'PROJECT TA Y TB KARINA'!$M97/8</x:f>
        <x:v>0</x:v>
      </x:c>
      <x:c r="HJ43" s="128" t="n">
        <x:f>'PROJECT TA Y TB KARINA'!$M97/8</x:f>
        <x:v>0</x:v>
      </x:c>
      <x:c r="HK43" s="128" t="n">
        <x:f>'PROJECT TA Y TB KARINA'!$M97/8</x:f>
        <x:v>0</x:v>
      </x:c>
      <x:c r="HL43" s="128" t="n">
        <x:f>'PROJECT TA Y TB KARINA'!$M97/8</x:f>
        <x:v>0</x:v>
      </x:c>
      <x:c r="HM43" s="128" t="n">
        <x:f>'PROJECT TA Y TB KARINA'!$M97/8</x:f>
        <x:v>0</x:v>
      </x:c>
      <x:c r="HN43" s="128" t="n">
        <x:f>'PROJECT TA Y TB KARINA'!$M97/8</x:f>
        <x:v>0</x:v>
      </x:c>
      <x:c r="HO43" s="128" t="n">
        <x:f>'PROJECT TA Y TB KARINA'!$M97/8</x:f>
        <x:v>0</x:v>
      </x:c>
      <x:c r="HP43" s="128" t="n">
        <x:f>'PROJECT TA Y TB KARINA'!$N97/8</x:f>
        <x:v>0</x:v>
      </x:c>
      <x:c r="HQ43" s="128" t="n">
        <x:f>'PROJECT TA Y TB KARINA'!$N97/8</x:f>
        <x:v>0</x:v>
      </x:c>
      <x:c r="HR43" s="128" t="n">
        <x:f>'PROJECT TA Y TB KARINA'!$N97/8</x:f>
        <x:v>0</x:v>
      </x:c>
      <x:c r="HS43" s="128" t="n">
        <x:f>'PROJECT TA Y TB KARINA'!$N97/8</x:f>
        <x:v>0</x:v>
      </x:c>
      <x:c r="HT43" s="128" t="n">
        <x:f>'PROJECT TA Y TB KARINA'!$N97/8</x:f>
        <x:v>0</x:v>
      </x:c>
      <x:c r="HU43" s="128" t="n">
        <x:f>'PROJECT TA Y TB KARINA'!$N97/8</x:f>
        <x:v>0</x:v>
      </x:c>
      <x:c r="HV43" s="128" t="n">
        <x:f>'PROJECT TA Y TB KARINA'!$N97/8</x:f>
        <x:v>0</x:v>
      </x:c>
      <x:c r="HW43" s="128" t="n">
        <x:f>'PROJECT TA Y TB KARINA'!$N97/8</x:f>
        <x:v>0</x:v>
      </x:c>
      <x:c r="HX43" s="128" t="n">
        <x:f>'PROJECT TA Y TB KARINA'!$O97/8</x:f>
        <x:v>0</x:v>
      </x:c>
      <x:c r="HY43" s="128" t="n">
        <x:f>'PROJECT TA Y TB KARINA'!$O97/8</x:f>
        <x:v>0</x:v>
      </x:c>
      <x:c r="HZ43" s="128" t="n">
        <x:f>'PROJECT TA Y TB KARINA'!$O97/8</x:f>
        <x:v>0</x:v>
      </x:c>
      <x:c r="IA43" s="128" t="n">
        <x:f>'PROJECT TA Y TB KARINA'!$O97/8</x:f>
        <x:v>0</x:v>
      </x:c>
      <x:c r="IB43" s="128" t="n">
        <x:f>'PROJECT TA Y TB KARINA'!$O97/8</x:f>
        <x:v>0</x:v>
      </x:c>
      <x:c r="IC43" s="128" t="n">
        <x:f>'PROJECT TA Y TB KARINA'!$O97/8</x:f>
        <x:v>0</x:v>
      </x:c>
      <x:c r="ID43" s="128" t="n">
        <x:f>'PROJECT TA Y TB KARINA'!$O97/8</x:f>
        <x:v>0</x:v>
      </x:c>
      <x:c r="IE43" s="128" t="n">
        <x:f>'PROJECT TA Y TB KARINA'!$O97/8</x:f>
        <x:v>0</x:v>
      </x:c>
      <x:c r="IF43" s="128" t="n">
        <x:f>'PROJECT TA Y TB KARINA'!$P97/8</x:f>
        <x:v>0</x:v>
      </x:c>
      <x:c r="IG43" s="128" t="n">
        <x:f>'PROJECT TA Y TB KARINA'!$P97/8</x:f>
        <x:v>0</x:v>
      </x:c>
      <x:c r="IH43" s="128" t="n">
        <x:f>'PROJECT TA Y TB KARINA'!$P97/8</x:f>
        <x:v>0</x:v>
      </x:c>
      <x:c r="II43" s="128" t="n">
        <x:f>'PROJECT TA Y TB KARINA'!$P97/8</x:f>
        <x:v>0</x:v>
      </x:c>
      <x:c r="IJ43" s="128" t="n">
        <x:f>'PROJECT TA Y TB KARINA'!$P97/8</x:f>
        <x:v>0</x:v>
      </x:c>
      <x:c r="IK43" s="128" t="n">
        <x:f>'PROJECT TA Y TB KARINA'!$P97/8</x:f>
        <x:v>0</x:v>
      </x:c>
      <x:c r="IL43" s="128" t="n">
        <x:f>'PROJECT TA Y TB KARINA'!$P97/8</x:f>
        <x:v>0</x:v>
      </x:c>
      <x:c r="IM43" s="128" t="n">
        <x:f>'PROJECT TA Y TB KARINA'!$P97/8</x:f>
        <x:v>0</x:v>
      </x:c>
      <x:c r="IN43" s="128" t="n">
        <x:f>'PROJECT TA Y TB KARINA'!$Q97/8</x:f>
        <x:v>0</x:v>
      </x:c>
      <x:c r="IO43" s="128" t="n">
        <x:f>'PROJECT TA Y TB KARINA'!$Q97/8</x:f>
        <x:v>0</x:v>
      </x:c>
      <x:c r="IP43" s="128" t="n">
        <x:f>'PROJECT TA Y TB KARINA'!$Q97/8</x:f>
        <x:v>0</x:v>
      </x:c>
      <x:c r="IQ43" s="128" t="n">
        <x:f>'PROJECT TA Y TB KARINA'!$Q97/8</x:f>
        <x:v>0</x:v>
      </x:c>
      <x:c r="IR43" s="128" t="n">
        <x:f>'PROJECT TA Y TB KARINA'!$Q97/8</x:f>
        <x:v>0</x:v>
      </x:c>
      <x:c r="IS43" s="128" t="n">
        <x:f>'PROJECT TA Y TB KARINA'!$Q97/8</x:f>
        <x:v>0</x:v>
      </x:c>
      <x:c r="IT43" s="128" t="n">
        <x:f>'PROJECT TA Y TB KARINA'!$Q97/8</x:f>
        <x:v>0</x:v>
      </x:c>
      <x:c r="IU43" s="128" t="n">
        <x:f>'PROJECT TA Y TB KARINA'!$Q97/8</x:f>
        <x:v>0</x:v>
      </x:c>
      <x:c r="IV43" s="128" t="n">
        <x:f>'PROJECT TA Y TB KARINA'!$R97/8</x:f>
        <x:v>0</x:v>
      </x:c>
      <x:c r="IW43" s="128" t="n">
        <x:f>'PROJECT TA Y TB KARINA'!$R97/8</x:f>
        <x:v>0</x:v>
      </x:c>
      <x:c r="IX43" s="128" t="n">
        <x:f>'PROJECT TA Y TB KARINA'!$R97/8</x:f>
        <x:v>0</x:v>
      </x:c>
      <x:c r="IY43" s="128" t="n">
        <x:f>'PROJECT TA Y TB KARINA'!$R97/8</x:f>
        <x:v>0</x:v>
      </x:c>
      <x:c r="IZ43" s="128" t="n">
        <x:f>'PROJECT TA Y TB KARINA'!$R97/8</x:f>
        <x:v>0</x:v>
      </x:c>
      <x:c r="JA43" s="128" t="n">
        <x:f>'PROJECT TA Y TB KARINA'!$R97/8</x:f>
        <x:v>0</x:v>
      </x:c>
      <x:c r="JB43" s="128" t="n">
        <x:f>'PROJECT TA Y TB KARINA'!$R97/8</x:f>
        <x:v>0</x:v>
      </x:c>
      <x:c r="JC43" s="128" t="n">
        <x:f>'PROJECT TA Y TB KARINA'!$R97/8</x:f>
        <x:v>0</x:v>
      </x:c>
      <x:c r="JD43" s="128" t="n">
        <x:f>'PROJECT TA Y TB KARINA'!$S97/8</x:f>
        <x:v>0</x:v>
      </x:c>
      <x:c r="JE43" s="128" t="n">
        <x:f>'PROJECT TA Y TB KARINA'!$S97/8</x:f>
        <x:v>0</x:v>
      </x:c>
      <x:c r="JF43" s="128" t="n">
        <x:f>'PROJECT TA Y TB KARINA'!$S97/8</x:f>
        <x:v>0</x:v>
      </x:c>
      <x:c r="JG43" s="128" t="n">
        <x:f>'PROJECT TA Y TB KARINA'!$S97/8</x:f>
        <x:v>0</x:v>
      </x:c>
      <x:c r="JH43" s="128" t="n">
        <x:f>'PROJECT TA Y TB KARINA'!$S97/8</x:f>
        <x:v>0</x:v>
      </x:c>
      <x:c r="JI43" s="128" t="n">
        <x:f>'PROJECT TA Y TB KARINA'!$S97/8</x:f>
        <x:v>0</x:v>
      </x:c>
      <x:c r="JJ43" s="128" t="n">
        <x:f>'PROJECT TA Y TB KARINA'!$S97/8</x:f>
        <x:v>0</x:v>
      </x:c>
      <x:c r="JK43" s="128" t="n">
        <x:f>'PROJECT TA Y TB KARINA'!$S97/8</x:f>
        <x:v>0</x:v>
      </x:c>
      <x:c r="JL43" s="128" t="n">
        <x:f>'PROJECT TA Y TB KARINA'!$T97/8</x:f>
        <x:v>0</x:v>
      </x:c>
      <x:c r="JM43" s="128" t="n">
        <x:f>'PROJECT TA Y TB KARINA'!$T97/8</x:f>
        <x:v>0</x:v>
      </x:c>
      <x:c r="JN43" s="128" t="n">
        <x:f>'PROJECT TA Y TB KARINA'!$T97/8</x:f>
        <x:v>0</x:v>
      </x:c>
      <x:c r="JO43" s="128" t="n">
        <x:f>'PROJECT TA Y TB KARINA'!$T97/8</x:f>
        <x:v>0</x:v>
      </x:c>
      <x:c r="JP43" s="128" t="n">
        <x:f>'PROJECT TA Y TB KARINA'!$T97/8</x:f>
        <x:v>0</x:v>
      </x:c>
      <x:c r="JQ43" s="128" t="n">
        <x:f>'PROJECT TA Y TB KARINA'!$T97/8</x:f>
        <x:v>0</x:v>
      </x:c>
      <x:c r="JR43" s="128" t="n">
        <x:f>'PROJECT TA Y TB KARINA'!$T97/8</x:f>
        <x:v>0</x:v>
      </x:c>
      <x:c r="JS43" s="128" t="n">
        <x:f>'PROJECT TA Y TB KARINA'!$T97/8</x:f>
        <x:v>0</x:v>
      </x:c>
      <x:c r="JT43" s="128" t="e">
        <x:f>'PROJECT TA Y TB KARINA'!#REF!/8</x:f>
        <x:v>#NAME?</x:v>
      </x:c>
      <x:c r="JU43" s="128" t="e">
        <x:f>'PROJECT TA Y TB KARINA'!#REF!/8</x:f>
        <x:v>#NAME?</x:v>
      </x:c>
      <x:c r="JV43" s="128" t="e">
        <x:f>'PROJECT TA Y TB KARINA'!#REF!/8</x:f>
        <x:v>#NAME?</x:v>
      </x:c>
      <x:c r="JW43" s="128" t="e">
        <x:f>'PROJECT TA Y TB KARINA'!#REF!/8</x:f>
        <x:v>#NAME?</x:v>
      </x:c>
      <x:c r="JX43" s="128" t="e">
        <x:f>'PROJECT TA Y TB KARINA'!#REF!/8</x:f>
        <x:v>#NAME?</x:v>
      </x:c>
      <x:c r="JY43" s="128" t="e">
        <x:f>'PROJECT TA Y TB KARINA'!#REF!/8</x:f>
        <x:v>#NAME?</x:v>
      </x:c>
      <x:c r="JZ43" s="128" t="e">
        <x:f>'PROJECT TA Y TB KARINA'!#REF!/8</x:f>
        <x:v>#NAME?</x:v>
      </x:c>
      <x:c r="KA43" s="128" t="e">
        <x:f>'PROJECT TA Y TB KARINA'!#REF!/8</x:f>
        <x:v>#NAME?</x:v>
      </x:c>
    </x:row>
    <x:row r="44" ht="21">
      <x:c r="A44" s="130" t="s">
        <x:v>529</x:v>
      </x:c>
      <x:c r="B44" s="128" t="e">
        <x:f>'PROJECT TA Y TB KARINA'!$C$40/8</x:f>
        <x:v>#REF!</x:v>
      </x:c>
      <x:c r="C44" s="128" t="e">
        <x:f>'PROJECT TA Y TB KARINA'!$C$40/8</x:f>
        <x:v>#REF!</x:v>
      </x:c>
      <x:c r="D44" s="128" t="e">
        <x:f>'PROJECT TA Y TB KARINA'!$C$40/8</x:f>
        <x:v>#REF!</x:v>
      </x:c>
      <x:c r="E44" s="128" t="e">
        <x:f>'PROJECT TA Y TB KARINA'!$C$40/8</x:f>
        <x:v>#REF!</x:v>
      </x:c>
      <x:c r="F44" s="128" t="e">
        <x:f>'PROJECT TA Y TB KARINA'!$C$40/8</x:f>
        <x:v>#REF!</x:v>
      </x:c>
      <x:c r="G44" s="128" t="e">
        <x:f>'PROJECT TA Y TB KARINA'!$C$40/8</x:f>
        <x:v>#REF!</x:v>
      </x:c>
      <x:c r="H44" s="128" t="e">
        <x:f>'PROJECT TA Y TB KARINA'!$C$40/8</x:f>
        <x:v>#REF!</x:v>
      </x:c>
      <x:c r="I44" s="128" t="e">
        <x:f>'PROJECT TA Y TB KARINA'!$E40/8</x:f>
        <x:v>#REF!</x:v>
      </x:c>
      <x:c r="J44" s="128" t="e">
        <x:f>'PROJECT TA Y TB KARINA'!$E40/8</x:f>
        <x:v>#REF!</x:v>
      </x:c>
      <x:c r="K44" s="128" t="e">
        <x:f>'PROJECT TA Y TB KARINA'!$E40/8</x:f>
        <x:v>#REF!</x:v>
      </x:c>
      <x:c r="L44" s="128" t="e">
        <x:f>'PROJECT TA Y TB KARINA'!$E40/8</x:f>
        <x:v>#REF!</x:v>
      </x:c>
      <x:c r="M44" s="128" t="e">
        <x:f>'PROJECT TA Y TB KARINA'!$E40/8</x:f>
        <x:v>#REF!</x:v>
      </x:c>
      <x:c r="N44" s="128" t="e">
        <x:f>'PROJECT TA Y TB KARINA'!$E40/8</x:f>
        <x:v>#REF!</x:v>
      </x:c>
      <x:c r="O44" s="128" t="e">
        <x:f>'PROJECT TA Y TB KARINA'!$E40/8</x:f>
        <x:v>#REF!</x:v>
      </x:c>
      <x:c r="P44" s="128" t="e">
        <x:f>'PROJECT TA Y TB KARINA'!$E40/8</x:f>
        <x:v>#REF!</x:v>
      </x:c>
      <x:c r="Q44" s="128" t="e">
        <x:f>'PROJECT TA Y TB KARINA'!$F40/8</x:f>
        <x:v>#REF!</x:v>
      </x:c>
      <x:c r="R44" s="128" t="e">
        <x:f>'PROJECT TA Y TB KARINA'!$F40/8</x:f>
        <x:v>#REF!</x:v>
      </x:c>
      <x:c r="S44" s="128" t="e">
        <x:f>'PROJECT TA Y TB KARINA'!$F40/8</x:f>
        <x:v>#REF!</x:v>
      </x:c>
      <x:c r="T44" s="128" t="e">
        <x:f>'PROJECT TA Y TB KARINA'!$F40/8</x:f>
        <x:v>#REF!</x:v>
      </x:c>
      <x:c r="U44" s="128" t="e">
        <x:f>'PROJECT TA Y TB KARINA'!$F40/8</x:f>
        <x:v>#REF!</x:v>
      </x:c>
      <x:c r="V44" s="128" t="e">
        <x:f>'PROJECT TA Y TB KARINA'!$F40/8</x:f>
        <x:v>#REF!</x:v>
      </x:c>
      <x:c r="W44" s="128" t="e">
        <x:f>'PROJECT TA Y TB KARINA'!$F40/8</x:f>
        <x:v>#REF!</x:v>
      </x:c>
      <x:c r="X44" s="128" t="e">
        <x:f>'PROJECT TA Y TB KARINA'!$F40/8</x:f>
        <x:v>#REF!</x:v>
      </x:c>
      <x:c r="Y44" s="128" t="e">
        <x:f>'PROJECT TA Y TB KARINA'!$G40/8</x:f>
        <x:v>#REF!</x:v>
      </x:c>
      <x:c r="Z44" s="128" t="e">
        <x:f>'PROJECT TA Y TB KARINA'!$G40/8</x:f>
        <x:v>#REF!</x:v>
      </x:c>
      <x:c r="AA44" s="128" t="e">
        <x:f>'PROJECT TA Y TB KARINA'!$G40/8</x:f>
        <x:v>#REF!</x:v>
      </x:c>
      <x:c r="AB44" s="128" t="e">
        <x:f>'PROJECT TA Y TB KARINA'!$G40/8</x:f>
        <x:v>#REF!</x:v>
      </x:c>
      <x:c r="AC44" s="128" t="e">
        <x:f>'PROJECT TA Y TB KARINA'!$G40/8</x:f>
        <x:v>#REF!</x:v>
      </x:c>
      <x:c r="AD44" s="128" t="e">
        <x:f>'PROJECT TA Y TB KARINA'!$G40/8</x:f>
        <x:v>#REF!</x:v>
      </x:c>
      <x:c r="AE44" s="128" t="e">
        <x:f>'PROJECT TA Y TB KARINA'!$G40/8</x:f>
        <x:v>#REF!</x:v>
      </x:c>
      <x:c r="AF44" s="128" t="e">
        <x:f>'PROJECT TA Y TB KARINA'!$G40/8</x:f>
        <x:v>#REF!</x:v>
      </x:c>
      <x:c r="AG44" s="128" t="e">
        <x:f>'PROJECT TA Y TB KARINA'!$H40/8</x:f>
        <x:v>#REF!</x:v>
      </x:c>
      <x:c r="AH44" s="128" t="e">
        <x:f>'PROJECT TA Y TB KARINA'!$H40/8</x:f>
        <x:v>#REF!</x:v>
      </x:c>
      <x:c r="AI44" s="128" t="e">
        <x:f>'PROJECT TA Y TB KARINA'!$H40/8</x:f>
        <x:v>#REF!</x:v>
      </x:c>
      <x:c r="AJ44" s="128" t="e">
        <x:f>'PROJECT TA Y TB KARINA'!$H40/8</x:f>
        <x:v>#REF!</x:v>
      </x:c>
      <x:c r="AK44" s="128" t="e">
        <x:f>'PROJECT TA Y TB KARINA'!$H40/8</x:f>
        <x:v>#REF!</x:v>
      </x:c>
      <x:c r="AL44" s="128" t="e">
        <x:f>'PROJECT TA Y TB KARINA'!$H40/8</x:f>
        <x:v>#REF!</x:v>
      </x:c>
      <x:c r="AM44" s="128" t="e">
        <x:f>'PROJECT TA Y TB KARINA'!$H40/8</x:f>
        <x:v>#REF!</x:v>
      </x:c>
      <x:c r="AN44" s="128" t="e">
        <x:f>'PROJECT TA Y TB KARINA'!$H40/8</x:f>
        <x:v>#REF!</x:v>
      </x:c>
      <x:c r="AO44" s="128" t="e">
        <x:f>'PROJECT TA Y TB KARINA'!$I40/8</x:f>
        <x:v>#REF!</x:v>
      </x:c>
      <x:c r="AP44" s="128" t="e">
        <x:f>'PROJECT TA Y TB KARINA'!$I40/8</x:f>
        <x:v>#REF!</x:v>
      </x:c>
      <x:c r="AQ44" s="128" t="e">
        <x:f>'PROJECT TA Y TB KARINA'!$I40/8</x:f>
        <x:v>#REF!</x:v>
      </x:c>
      <x:c r="AR44" s="128" t="e">
        <x:f>'PROJECT TA Y TB KARINA'!$I40/8</x:f>
        <x:v>#REF!</x:v>
      </x:c>
      <x:c r="AS44" s="128" t="e">
        <x:f>'PROJECT TA Y TB KARINA'!$I40/8</x:f>
        <x:v>#REF!</x:v>
      </x:c>
      <x:c r="AT44" s="128" t="e">
        <x:f>'PROJECT TA Y TB KARINA'!$I40/8</x:f>
        <x:v>#REF!</x:v>
      </x:c>
      <x:c r="AU44" s="128" t="e">
        <x:f>'PROJECT TA Y TB KARINA'!$I40/8</x:f>
        <x:v>#REF!</x:v>
      </x:c>
      <x:c r="AV44" s="128" t="e">
        <x:f>'PROJECT TA Y TB KARINA'!$I40/8</x:f>
        <x:v>#REF!</x:v>
      </x:c>
      <x:c r="AW44" s="128" t="e">
        <x:f>'PROJECT TA Y TB KARINA'!$J40/8</x:f>
        <x:v>#REF!</x:v>
      </x:c>
      <x:c r="AX44" s="128" t="e">
        <x:f>'PROJECT TA Y TB KARINA'!$J40/8</x:f>
        <x:v>#REF!</x:v>
      </x:c>
      <x:c r="AY44" s="128" t="e">
        <x:f>'PROJECT TA Y TB KARINA'!$J40/8</x:f>
        <x:v>#REF!</x:v>
      </x:c>
      <x:c r="AZ44" s="128" t="e">
        <x:f>'PROJECT TA Y TB KARINA'!$J40/8</x:f>
        <x:v>#REF!</x:v>
      </x:c>
      <x:c r="BA44" s="128" t="e">
        <x:f>'PROJECT TA Y TB KARINA'!$J40/8</x:f>
        <x:v>#REF!</x:v>
      </x:c>
      <x:c r="BB44" s="128" t="e">
        <x:f>'PROJECT TA Y TB KARINA'!$J40/8</x:f>
        <x:v>#REF!</x:v>
      </x:c>
      <x:c r="BC44" s="128" t="e">
        <x:f>'PROJECT TA Y TB KARINA'!$J40/8</x:f>
        <x:v>#REF!</x:v>
      </x:c>
      <x:c r="BD44" s="128" t="e">
        <x:f>'PROJECT TA Y TB KARINA'!$J40/8</x:f>
        <x:v>#REF!</x:v>
      </x:c>
      <x:c r="BE44" s="128" t="e">
        <x:f>'PROJECT TA Y TB KARINA'!$K40/8</x:f>
        <x:v>#REF!</x:v>
      </x:c>
      <x:c r="BF44" s="128" t="e">
        <x:f>'PROJECT TA Y TB KARINA'!$K40/8</x:f>
        <x:v>#REF!</x:v>
      </x:c>
      <x:c r="BG44" s="128" t="e">
        <x:f>'PROJECT TA Y TB KARINA'!$K40/8</x:f>
        <x:v>#REF!</x:v>
      </x:c>
      <x:c r="BH44" s="128" t="e">
        <x:f>'PROJECT TA Y TB KARINA'!$K40/8</x:f>
        <x:v>#REF!</x:v>
      </x:c>
      <x:c r="BI44" s="128" t="e">
        <x:f>'PROJECT TA Y TB KARINA'!$K40/8</x:f>
        <x:v>#REF!</x:v>
      </x:c>
      <x:c r="BJ44" s="128" t="e">
        <x:f>'PROJECT TA Y TB KARINA'!$K40/8</x:f>
        <x:v>#REF!</x:v>
      </x:c>
      <x:c r="BK44" s="128" t="e">
        <x:f>'PROJECT TA Y TB KARINA'!$K40/8</x:f>
        <x:v>#REF!</x:v>
      </x:c>
      <x:c r="BL44" s="128" t="e">
        <x:f>'PROJECT TA Y TB KARINA'!$K40/8</x:f>
        <x:v>#REF!</x:v>
      </x:c>
      <x:c r="BM44" s="128" t="e">
        <x:f>'PROJECT TA Y TB KARINA'!$L40/8</x:f>
        <x:v>#REF!</x:v>
      </x:c>
      <x:c r="BN44" s="128" t="e">
        <x:f>'PROJECT TA Y TB KARINA'!$L40/8</x:f>
        <x:v>#REF!</x:v>
      </x:c>
      <x:c r="BO44" s="128" t="e">
        <x:f>'PROJECT TA Y TB KARINA'!$L40/8</x:f>
        <x:v>#REF!</x:v>
      </x:c>
      <x:c r="BP44" s="128" t="e">
        <x:f>'PROJECT TA Y TB KARINA'!$L40/8</x:f>
        <x:v>#REF!</x:v>
      </x:c>
      <x:c r="BQ44" s="128" t="e">
        <x:f>'PROJECT TA Y TB KARINA'!$L40/8</x:f>
        <x:v>#REF!</x:v>
      </x:c>
      <x:c r="BR44" s="128" t="e">
        <x:f>'PROJECT TA Y TB KARINA'!$L40/8</x:f>
        <x:v>#REF!</x:v>
      </x:c>
      <x:c r="BS44" s="128" t="e">
        <x:f>'PROJECT TA Y TB KARINA'!$L40/8</x:f>
        <x:v>#REF!</x:v>
      </x:c>
      <x:c r="BT44" s="128" t="e">
        <x:f>'PROJECT TA Y TB KARINA'!$L40/8</x:f>
        <x:v>#REF!</x:v>
      </x:c>
      <x:c r="BU44" s="128" t="e">
        <x:f>'PROJECT TA Y TB KARINA'!$M40/8</x:f>
        <x:v>#REF!</x:v>
      </x:c>
      <x:c r="BV44" s="128" t="e">
        <x:f>'PROJECT TA Y TB KARINA'!$M40/8</x:f>
        <x:v>#REF!</x:v>
      </x:c>
      <x:c r="BW44" s="128" t="e">
        <x:f>'PROJECT TA Y TB KARINA'!$M40/8</x:f>
        <x:v>#REF!</x:v>
      </x:c>
      <x:c r="BX44" s="128" t="e">
        <x:f>'PROJECT TA Y TB KARINA'!$M40/8</x:f>
        <x:v>#REF!</x:v>
      </x:c>
      <x:c r="BY44" s="128" t="e">
        <x:f>'PROJECT TA Y TB KARINA'!$M40/8</x:f>
        <x:v>#REF!</x:v>
      </x:c>
      <x:c r="BZ44" s="128" t="e">
        <x:f>'PROJECT TA Y TB KARINA'!$M40/8</x:f>
        <x:v>#REF!</x:v>
      </x:c>
      <x:c r="CA44" s="128" t="e">
        <x:f>'PROJECT TA Y TB KARINA'!$M40/8</x:f>
        <x:v>#REF!</x:v>
      </x:c>
      <x:c r="CB44" s="128" t="e">
        <x:f>'PROJECT TA Y TB KARINA'!$M40/8</x:f>
        <x:v>#REF!</x:v>
      </x:c>
      <x:c r="CC44" s="128" t="e">
        <x:f>'PROJECT TA Y TB KARINA'!$N40/8</x:f>
        <x:v>#REF!</x:v>
      </x:c>
      <x:c r="CD44" s="128" t="e">
        <x:f>'PROJECT TA Y TB KARINA'!$N40/8</x:f>
        <x:v>#REF!</x:v>
      </x:c>
      <x:c r="CE44" s="128" t="e">
        <x:f>'PROJECT TA Y TB KARINA'!$N40/8</x:f>
        <x:v>#REF!</x:v>
      </x:c>
      <x:c r="CF44" s="128" t="e">
        <x:f>'PROJECT TA Y TB KARINA'!$N40/8</x:f>
        <x:v>#REF!</x:v>
      </x:c>
      <x:c r="CG44" s="128" t="e">
        <x:f>'PROJECT TA Y TB KARINA'!$N40/8</x:f>
        <x:v>#REF!</x:v>
      </x:c>
      <x:c r="CH44" s="128" t="e">
        <x:f>'PROJECT TA Y TB KARINA'!$N40/8</x:f>
        <x:v>#REF!</x:v>
      </x:c>
      <x:c r="CI44" s="128" t="e">
        <x:f>'PROJECT TA Y TB KARINA'!$N40/8</x:f>
        <x:v>#REF!</x:v>
      </x:c>
      <x:c r="CJ44" s="128" t="e">
        <x:f>'PROJECT TA Y TB KARINA'!$N40/8</x:f>
        <x:v>#REF!</x:v>
      </x:c>
      <x:c r="CK44" s="128" t="e">
        <x:f>'PROJECT TA Y TB KARINA'!$O40/8</x:f>
        <x:v>#REF!</x:v>
      </x:c>
      <x:c r="CL44" s="128" t="e">
        <x:f>'PROJECT TA Y TB KARINA'!$O40/8</x:f>
        <x:v>#REF!</x:v>
      </x:c>
      <x:c r="CM44" s="128" t="e">
        <x:f>'PROJECT TA Y TB KARINA'!$O40/8</x:f>
        <x:v>#REF!</x:v>
      </x:c>
      <x:c r="CN44" s="128" t="e">
        <x:f>'PROJECT TA Y TB KARINA'!$O40/8</x:f>
        <x:v>#REF!</x:v>
      </x:c>
      <x:c r="CO44" s="128" t="e">
        <x:f>'PROJECT TA Y TB KARINA'!$O40/8</x:f>
        <x:v>#REF!</x:v>
      </x:c>
      <x:c r="CP44" s="128" t="e">
        <x:f>'PROJECT TA Y TB KARINA'!$O40/8</x:f>
        <x:v>#REF!</x:v>
      </x:c>
      <x:c r="CQ44" s="128" t="e">
        <x:f>'PROJECT TA Y TB KARINA'!$O40/8</x:f>
        <x:v>#REF!</x:v>
      </x:c>
      <x:c r="CR44" s="128" t="e">
        <x:f>'PROJECT TA Y TB KARINA'!$O40/8</x:f>
        <x:v>#REF!</x:v>
      </x:c>
      <x:c r="CS44" s="128" t="e">
        <x:f>'PROJECT TA Y TB KARINA'!$P40/8</x:f>
        <x:v>#REF!</x:v>
      </x:c>
      <x:c r="CT44" s="128" t="e">
        <x:f>'PROJECT TA Y TB KARINA'!$P40/8</x:f>
        <x:v>#REF!</x:v>
      </x:c>
      <x:c r="CU44" s="128" t="e">
        <x:f>'PROJECT TA Y TB KARINA'!$P40/8</x:f>
        <x:v>#REF!</x:v>
      </x:c>
      <x:c r="CV44" s="128" t="e">
        <x:f>'PROJECT TA Y TB KARINA'!$P40/8</x:f>
        <x:v>#REF!</x:v>
      </x:c>
      <x:c r="CW44" s="128" t="e">
        <x:f>'PROJECT TA Y TB KARINA'!$P40/8</x:f>
        <x:v>#REF!</x:v>
      </x:c>
      <x:c r="CX44" s="128" t="e">
        <x:f>'PROJECT TA Y TB KARINA'!$P40/8</x:f>
        <x:v>#REF!</x:v>
      </x:c>
      <x:c r="CY44" s="128" t="e">
        <x:f>'PROJECT TA Y TB KARINA'!$P40/8</x:f>
        <x:v>#REF!</x:v>
      </x:c>
      <x:c r="CZ44" s="128" t="e">
        <x:f>'PROJECT TA Y TB KARINA'!$P40/8</x:f>
        <x:v>#REF!</x:v>
      </x:c>
      <x:c r="DA44" s="128" t="e">
        <x:f>'PROJECT TA Y TB KARINA'!$Q40/8</x:f>
        <x:v>#REF!</x:v>
      </x:c>
      <x:c r="DB44" s="128" t="e">
        <x:f>'PROJECT TA Y TB KARINA'!$Q40/8</x:f>
        <x:v>#REF!</x:v>
      </x:c>
      <x:c r="DC44" s="128" t="e">
        <x:f>'PROJECT TA Y TB KARINA'!$Q40/8</x:f>
        <x:v>#REF!</x:v>
      </x:c>
      <x:c r="DD44" s="128" t="e">
        <x:f>'PROJECT TA Y TB KARINA'!$Q40/8</x:f>
        <x:v>#REF!</x:v>
      </x:c>
      <x:c r="DE44" s="128" t="e">
        <x:f>'PROJECT TA Y TB KARINA'!$Q40/8</x:f>
        <x:v>#REF!</x:v>
      </x:c>
      <x:c r="DF44" s="128" t="e">
        <x:f>'PROJECT TA Y TB KARINA'!$Q40/8</x:f>
        <x:v>#REF!</x:v>
      </x:c>
      <x:c r="DG44" s="128" t="e">
        <x:f>'PROJECT TA Y TB KARINA'!$Q40/8</x:f>
        <x:v>#REF!</x:v>
      </x:c>
      <x:c r="DH44" s="128" t="e">
        <x:f>'PROJECT TA Y TB KARINA'!$Q40/8</x:f>
        <x:v>#REF!</x:v>
      </x:c>
      <x:c r="DI44" s="128" t="e">
        <x:f>'PROJECT TA Y TB KARINA'!$R40/8</x:f>
        <x:v>#REF!</x:v>
      </x:c>
      <x:c r="DJ44" s="128" t="e">
        <x:f>'PROJECT TA Y TB KARINA'!$R40/8</x:f>
        <x:v>#REF!</x:v>
      </x:c>
      <x:c r="DK44" s="128" t="e">
        <x:f>'PROJECT TA Y TB KARINA'!$R40/8</x:f>
        <x:v>#REF!</x:v>
      </x:c>
      <x:c r="DL44" s="128" t="e">
        <x:f>'PROJECT TA Y TB KARINA'!$R40/8</x:f>
        <x:v>#REF!</x:v>
      </x:c>
      <x:c r="DM44" s="128" t="e">
        <x:f>'PROJECT TA Y TB KARINA'!$R40/8</x:f>
        <x:v>#REF!</x:v>
      </x:c>
      <x:c r="DN44" s="128" t="e">
        <x:f>'PROJECT TA Y TB KARINA'!$R40/8</x:f>
        <x:v>#REF!</x:v>
      </x:c>
      <x:c r="DO44" s="128" t="e">
        <x:f>'PROJECT TA Y TB KARINA'!$R40/8</x:f>
        <x:v>#REF!</x:v>
      </x:c>
      <x:c r="DP44" s="128" t="e">
        <x:f>'PROJECT TA Y TB KARINA'!$R40/8</x:f>
        <x:v>#REF!</x:v>
      </x:c>
      <x:c r="DQ44" s="128" t="e">
        <x:f>'PROJECT TA Y TB KARINA'!$S40/8</x:f>
        <x:v>#REF!</x:v>
      </x:c>
      <x:c r="DR44" s="128" t="e">
        <x:f>'PROJECT TA Y TB KARINA'!$S40/8</x:f>
        <x:v>#REF!</x:v>
      </x:c>
      <x:c r="DS44" s="128" t="e">
        <x:f>'PROJECT TA Y TB KARINA'!$S40/8</x:f>
        <x:v>#REF!</x:v>
      </x:c>
      <x:c r="DT44" s="128" t="e">
        <x:f>'PROJECT TA Y TB KARINA'!$S40/8</x:f>
        <x:v>#REF!</x:v>
      </x:c>
      <x:c r="DU44" s="128" t="e">
        <x:f>'PROJECT TA Y TB KARINA'!$S40/8</x:f>
        <x:v>#REF!</x:v>
      </x:c>
      <x:c r="DV44" s="128" t="e">
        <x:f>'PROJECT TA Y TB KARINA'!$S40/8</x:f>
        <x:v>#REF!</x:v>
      </x:c>
      <x:c r="DW44" s="128" t="e">
        <x:f>'PROJECT TA Y TB KARINA'!$S40/8</x:f>
        <x:v>#REF!</x:v>
      </x:c>
      <x:c r="DX44" s="128" t="e">
        <x:f>'PROJECT TA Y TB KARINA'!$S40/8</x:f>
        <x:v>#REF!</x:v>
      </x:c>
      <x:c r="DY44" s="128" t="e">
        <x:f>'PROJECT TA Y TB KARINA'!$T40/8</x:f>
        <x:v>#REF!</x:v>
      </x:c>
      <x:c r="DZ44" s="128" t="e">
        <x:f>'PROJECT TA Y TB KARINA'!$T40/8</x:f>
        <x:v>#REF!</x:v>
      </x:c>
      <x:c r="EA44" s="128" t="e">
        <x:f>'PROJECT TA Y TB KARINA'!$T40/8</x:f>
        <x:v>#REF!</x:v>
      </x:c>
      <x:c r="EB44" s="128" t="e">
        <x:f>'PROJECT TA Y TB KARINA'!$T40/8</x:f>
        <x:v>#REF!</x:v>
      </x:c>
      <x:c r="EC44" s="128" t="e">
        <x:f>'PROJECT TA Y TB KARINA'!$T40/8</x:f>
        <x:v>#REF!</x:v>
      </x:c>
      <x:c r="ED44" s="128" t="e">
        <x:f>'PROJECT TA Y TB KARINA'!$T40/8</x:f>
        <x:v>#REF!</x:v>
      </x:c>
      <x:c r="EE44" s="128" t="e">
        <x:f>'PROJECT TA Y TB KARINA'!$T40/8</x:f>
        <x:v>#REF!</x:v>
      </x:c>
      <x:c r="EF44" s="128" t="e">
        <x:f>'PROJECT TA Y TB KARINA'!$T40/8</x:f>
        <x:v>#REF!</x:v>
      </x:c>
      <x:c r="EG44" s="128" t="e">
        <x:f>'PROJECT TA Y TB KARINA'!#REF!/8</x:f>
        <x:v>#NAME?</x:v>
      </x:c>
      <x:c r="EH44" s="128" t="e">
        <x:f>'PROJECT TA Y TB KARINA'!#REF!/8</x:f>
        <x:v>#NAME?</x:v>
      </x:c>
      <x:c r="EI44" s="128" t="e">
        <x:f>'PROJECT TA Y TB KARINA'!#REF!/8</x:f>
        <x:v>#NAME?</x:v>
      </x:c>
      <x:c r="EJ44" s="128" t="e">
        <x:f>'PROJECT TA Y TB KARINA'!#REF!/8</x:f>
        <x:v>#NAME?</x:v>
      </x:c>
      <x:c r="EK44" s="128" t="e">
        <x:f>'PROJECT TA Y TB KARINA'!#REF!/8</x:f>
        <x:v>#NAME?</x:v>
      </x:c>
      <x:c r="EL44" s="128" t="e">
        <x:f>'PROJECT TA Y TB KARINA'!#REF!/8</x:f>
        <x:v>#NAME?</x:v>
      </x:c>
      <x:c r="EM44" s="128" t="e">
        <x:f>'PROJECT TA Y TB KARINA'!#REF!/8</x:f>
        <x:v>#NAME?</x:v>
      </x:c>
      <x:c r="EN44" s="128" t="e">
        <x:f>'PROJECT TA Y TB KARINA'!#REF!/8</x:f>
        <x:v>#NAME?</x:v>
      </x:c>
      <x:c r="EO44" s="128" t="n">
        <x:f>'PROJECT TA Y TB KARINA'!$C98/8</x:f>
        <x:v>0</x:v>
      </x:c>
      <x:c r="EP44" s="128" t="n">
        <x:f>'PROJECT TA Y TB KARINA'!$C98/8</x:f>
        <x:v>0</x:v>
      </x:c>
      <x:c r="EQ44" s="128" t="n">
        <x:f>'PROJECT TA Y TB KARINA'!$C98/8</x:f>
        <x:v>0</x:v>
      </x:c>
      <x:c r="ER44" s="128" t="n">
        <x:f>'PROJECT TA Y TB KARINA'!$C98/8</x:f>
        <x:v>0</x:v>
      </x:c>
      <x:c r="ES44" s="128" t="n">
        <x:f>'PROJECT TA Y TB KARINA'!$C98/8</x:f>
        <x:v>0</x:v>
      </x:c>
      <x:c r="ET44" s="128" t="n">
        <x:f>'PROJECT TA Y TB KARINA'!$C98/8</x:f>
        <x:v>0</x:v>
      </x:c>
      <x:c r="EU44" s="128" t="n">
        <x:f>'PROJECT TA Y TB KARINA'!$C98/8</x:f>
        <x:v>0</x:v>
      </x:c>
      <x:c r="EV44" s="128" t="n">
        <x:f>'PROJECT TA Y TB KARINA'!$E98/8</x:f>
        <x:v>0</x:v>
      </x:c>
      <x:c r="EW44" s="128" t="n">
        <x:f>'PROJECT TA Y TB KARINA'!$E98/8</x:f>
        <x:v>0</x:v>
      </x:c>
      <x:c r="EX44" s="128" t="n">
        <x:f>'PROJECT TA Y TB KARINA'!$E98/8</x:f>
        <x:v>0</x:v>
      </x:c>
      <x:c r="EY44" s="128" t="n">
        <x:f>'PROJECT TA Y TB KARINA'!$E98/8</x:f>
        <x:v>0</x:v>
      </x:c>
      <x:c r="EZ44" s="128" t="n">
        <x:f>'PROJECT TA Y TB KARINA'!$E98/8</x:f>
        <x:v>0</x:v>
      </x:c>
      <x:c r="FA44" s="128" t="n">
        <x:f>'PROJECT TA Y TB KARINA'!$E98/8</x:f>
        <x:v>0</x:v>
      </x:c>
      <x:c r="FB44" s="128" t="n">
        <x:f>'PROJECT TA Y TB KARINA'!$E98/8</x:f>
        <x:v>0</x:v>
      </x:c>
      <x:c r="FC44" s="128" t="n">
        <x:f>'PROJECT TA Y TB KARINA'!$E98/8</x:f>
        <x:v>0</x:v>
      </x:c>
      <x:c r="FD44" s="128" t="n">
        <x:f>'PROJECT TA Y TB KARINA'!$F98/8</x:f>
        <x:v>0</x:v>
      </x:c>
      <x:c r="FE44" s="128" t="n">
        <x:f>'PROJECT TA Y TB KARINA'!$F98/8</x:f>
        <x:v>0</x:v>
      </x:c>
      <x:c r="FF44" s="128" t="n">
        <x:f>'PROJECT TA Y TB KARINA'!$F98/8</x:f>
        <x:v>0</x:v>
      </x:c>
      <x:c r="FG44" s="128" t="n">
        <x:f>'PROJECT TA Y TB KARINA'!$F98/8</x:f>
        <x:v>0</x:v>
      </x:c>
      <x:c r="FH44" s="128" t="n">
        <x:f>'PROJECT TA Y TB KARINA'!$F98/8</x:f>
        <x:v>0</x:v>
      </x:c>
      <x:c r="FI44" s="128" t="n">
        <x:f>'PROJECT TA Y TB KARINA'!$F98/8</x:f>
        <x:v>0</x:v>
      </x:c>
      <x:c r="FJ44" s="128" t="n">
        <x:f>'PROJECT TA Y TB KARINA'!$F98/8</x:f>
        <x:v>0</x:v>
      </x:c>
      <x:c r="FK44" s="128" t="n">
        <x:f>'PROJECT TA Y TB KARINA'!$F98/8</x:f>
        <x:v>0</x:v>
      </x:c>
      <x:c r="FL44" s="128" t="n">
        <x:f>'PROJECT TA Y TB KARINA'!$G98/8</x:f>
        <x:v>0</x:v>
      </x:c>
      <x:c r="FM44" s="128" t="n">
        <x:f>'PROJECT TA Y TB KARINA'!$G98/8</x:f>
        <x:v>0</x:v>
      </x:c>
      <x:c r="FN44" s="128" t="n">
        <x:f>'PROJECT TA Y TB KARINA'!$G98/8</x:f>
        <x:v>0</x:v>
      </x:c>
      <x:c r="FO44" s="128" t="n">
        <x:f>'PROJECT TA Y TB KARINA'!$G98/8</x:f>
        <x:v>0</x:v>
      </x:c>
      <x:c r="FP44" s="128" t="n">
        <x:f>'PROJECT TA Y TB KARINA'!$G98/8</x:f>
        <x:v>0</x:v>
      </x:c>
      <x:c r="FQ44" s="128" t="n">
        <x:f>'PROJECT TA Y TB KARINA'!$G98/8</x:f>
        <x:v>0</x:v>
      </x:c>
      <x:c r="FR44" s="128" t="n">
        <x:f>'PROJECT TA Y TB KARINA'!$G98/8</x:f>
        <x:v>0</x:v>
      </x:c>
      <x:c r="FS44" s="128" t="n">
        <x:f>'PROJECT TA Y TB KARINA'!$G98/8</x:f>
        <x:v>0</x:v>
      </x:c>
      <x:c r="FT44" s="128" t="n">
        <x:f>'PROJECT TA Y TB KARINA'!$H98/8</x:f>
        <x:v>0</x:v>
      </x:c>
      <x:c r="FU44" s="128" t="n">
        <x:f>'PROJECT TA Y TB KARINA'!$H98/8</x:f>
        <x:v>0</x:v>
      </x:c>
      <x:c r="FV44" s="128" t="n">
        <x:f>'PROJECT TA Y TB KARINA'!$H98/8</x:f>
        <x:v>0</x:v>
      </x:c>
      <x:c r="FW44" s="128" t="n">
        <x:f>'PROJECT TA Y TB KARINA'!$H98/8</x:f>
        <x:v>0</x:v>
      </x:c>
      <x:c r="FX44" s="128" t="n">
        <x:f>'PROJECT TA Y TB KARINA'!$H98/8</x:f>
        <x:v>0</x:v>
      </x:c>
      <x:c r="FY44" s="128" t="n">
        <x:f>'PROJECT TA Y TB KARINA'!$H98/8</x:f>
        <x:v>0</x:v>
      </x:c>
      <x:c r="FZ44" s="128" t="n">
        <x:f>'PROJECT TA Y TB KARINA'!$H98/8</x:f>
        <x:v>0</x:v>
      </x:c>
      <x:c r="GA44" s="128" t="n">
        <x:f>'PROJECT TA Y TB KARINA'!$H98/8</x:f>
        <x:v>0</x:v>
      </x:c>
      <x:c r="GB44" s="128" t="n">
        <x:f>'PROJECT TA Y TB KARINA'!$I98/8</x:f>
        <x:v>0</x:v>
      </x:c>
      <x:c r="GC44" s="128" t="n">
        <x:f>'PROJECT TA Y TB KARINA'!$I98/8</x:f>
        <x:v>0</x:v>
      </x:c>
      <x:c r="GD44" s="128" t="n">
        <x:f>'PROJECT TA Y TB KARINA'!$I98/8</x:f>
        <x:v>0</x:v>
      </x:c>
      <x:c r="GE44" s="128" t="n">
        <x:f>'PROJECT TA Y TB KARINA'!$I98/8</x:f>
        <x:v>0</x:v>
      </x:c>
      <x:c r="GF44" s="128" t="n">
        <x:f>'PROJECT TA Y TB KARINA'!$I98/8</x:f>
        <x:v>0</x:v>
      </x:c>
      <x:c r="GG44" s="128" t="n">
        <x:f>'PROJECT TA Y TB KARINA'!$I98/8</x:f>
        <x:v>0</x:v>
      </x:c>
      <x:c r="GH44" s="128" t="n">
        <x:f>'PROJECT TA Y TB KARINA'!$I98/8</x:f>
        <x:v>0</x:v>
      </x:c>
      <x:c r="GI44" s="128" t="n">
        <x:f>'PROJECT TA Y TB KARINA'!$I98/8</x:f>
        <x:v>0</x:v>
      </x:c>
      <x:c r="GJ44" s="128" t="n">
        <x:f>'PROJECT TA Y TB KARINA'!$J98/8</x:f>
        <x:v>0</x:v>
      </x:c>
      <x:c r="GK44" s="128" t="n">
        <x:f>'PROJECT TA Y TB KARINA'!$J98/8</x:f>
        <x:v>0</x:v>
      </x:c>
      <x:c r="GL44" s="128" t="n">
        <x:f>'PROJECT TA Y TB KARINA'!$J98/8</x:f>
        <x:v>0</x:v>
      </x:c>
      <x:c r="GM44" s="128" t="n">
        <x:f>'PROJECT TA Y TB KARINA'!$J98/8</x:f>
        <x:v>0</x:v>
      </x:c>
      <x:c r="GN44" s="128" t="n">
        <x:f>'PROJECT TA Y TB KARINA'!$J98/8</x:f>
        <x:v>0</x:v>
      </x:c>
      <x:c r="GO44" s="128" t="n">
        <x:f>'PROJECT TA Y TB KARINA'!$J98/8</x:f>
        <x:v>0</x:v>
      </x:c>
      <x:c r="GP44" s="128" t="n">
        <x:f>'PROJECT TA Y TB KARINA'!$J98/8</x:f>
        <x:v>0</x:v>
      </x:c>
      <x:c r="GQ44" s="128" t="n">
        <x:f>'PROJECT TA Y TB KARINA'!$J98/8</x:f>
        <x:v>0</x:v>
      </x:c>
      <x:c r="GR44" s="128" t="n">
        <x:f>'PROJECT TA Y TB KARINA'!$K98/8</x:f>
        <x:v>0</x:v>
      </x:c>
      <x:c r="GS44" s="128" t="n">
        <x:f>'PROJECT TA Y TB KARINA'!$K98/8</x:f>
        <x:v>0</x:v>
      </x:c>
      <x:c r="GT44" s="128" t="n">
        <x:f>'PROJECT TA Y TB KARINA'!$K98/8</x:f>
        <x:v>0</x:v>
      </x:c>
      <x:c r="GU44" s="128" t="n">
        <x:f>'PROJECT TA Y TB KARINA'!$K98/8</x:f>
        <x:v>0</x:v>
      </x:c>
      <x:c r="GV44" s="128" t="n">
        <x:f>'PROJECT TA Y TB KARINA'!$K98/8</x:f>
        <x:v>0</x:v>
      </x:c>
      <x:c r="GW44" s="128" t="n">
        <x:f>'PROJECT TA Y TB KARINA'!$K98/8</x:f>
        <x:v>0</x:v>
      </x:c>
      <x:c r="GX44" s="128" t="n">
        <x:f>'PROJECT TA Y TB KARINA'!$K98/8</x:f>
        <x:v>0</x:v>
      </x:c>
      <x:c r="GY44" s="128" t="n">
        <x:f>'PROJECT TA Y TB KARINA'!$K98/8</x:f>
        <x:v>0</x:v>
      </x:c>
      <x:c r="GZ44" s="128" t="n">
        <x:f>'PROJECT TA Y TB KARINA'!$L98/8</x:f>
        <x:v>0</x:v>
      </x:c>
      <x:c r="HA44" s="128" t="n">
        <x:f>'PROJECT TA Y TB KARINA'!$L98/8</x:f>
        <x:v>0</x:v>
      </x:c>
      <x:c r="HB44" s="128" t="n">
        <x:f>'PROJECT TA Y TB KARINA'!$L98/8</x:f>
        <x:v>0</x:v>
      </x:c>
      <x:c r="HC44" s="128" t="n">
        <x:f>'PROJECT TA Y TB KARINA'!$L98/8</x:f>
        <x:v>0</x:v>
      </x:c>
      <x:c r="HD44" s="128" t="n">
        <x:f>'PROJECT TA Y TB KARINA'!$L98/8</x:f>
        <x:v>0</x:v>
      </x:c>
      <x:c r="HE44" s="128" t="n">
        <x:f>'PROJECT TA Y TB KARINA'!$L98/8</x:f>
        <x:v>0</x:v>
      </x:c>
      <x:c r="HF44" s="128" t="n">
        <x:f>'PROJECT TA Y TB KARINA'!$L98/8</x:f>
        <x:v>0</x:v>
      </x:c>
      <x:c r="HG44" s="128" t="n">
        <x:f>'PROJECT TA Y TB KARINA'!$L98/8</x:f>
        <x:v>0</x:v>
      </x:c>
      <x:c r="HH44" s="128" t="n">
        <x:f>'PROJECT TA Y TB KARINA'!$M98/8</x:f>
        <x:v>0</x:v>
      </x:c>
      <x:c r="HI44" s="128" t="n">
        <x:f>'PROJECT TA Y TB KARINA'!$M98/8</x:f>
        <x:v>0</x:v>
      </x:c>
      <x:c r="HJ44" s="128" t="n">
        <x:f>'PROJECT TA Y TB KARINA'!$M98/8</x:f>
        <x:v>0</x:v>
      </x:c>
      <x:c r="HK44" s="128" t="n">
        <x:f>'PROJECT TA Y TB KARINA'!$M98/8</x:f>
        <x:v>0</x:v>
      </x:c>
      <x:c r="HL44" s="128" t="n">
        <x:f>'PROJECT TA Y TB KARINA'!$M98/8</x:f>
        <x:v>0</x:v>
      </x:c>
      <x:c r="HM44" s="128" t="n">
        <x:f>'PROJECT TA Y TB KARINA'!$M98/8</x:f>
        <x:v>0</x:v>
      </x:c>
      <x:c r="HN44" s="128" t="n">
        <x:f>'PROJECT TA Y TB KARINA'!$M98/8</x:f>
        <x:v>0</x:v>
      </x:c>
      <x:c r="HO44" s="128" t="n">
        <x:f>'PROJECT TA Y TB KARINA'!$M98/8</x:f>
        <x:v>0</x:v>
      </x:c>
      <x:c r="HP44" s="128" t="n">
        <x:f>'PROJECT TA Y TB KARINA'!$N98/8</x:f>
        <x:v>0</x:v>
      </x:c>
      <x:c r="HQ44" s="128" t="n">
        <x:f>'PROJECT TA Y TB KARINA'!$N98/8</x:f>
        <x:v>0</x:v>
      </x:c>
      <x:c r="HR44" s="128" t="n">
        <x:f>'PROJECT TA Y TB KARINA'!$N98/8</x:f>
        <x:v>0</x:v>
      </x:c>
      <x:c r="HS44" s="128" t="n">
        <x:f>'PROJECT TA Y TB KARINA'!$N98/8</x:f>
        <x:v>0</x:v>
      </x:c>
      <x:c r="HT44" s="128" t="n">
        <x:f>'PROJECT TA Y TB KARINA'!$N98/8</x:f>
        <x:v>0</x:v>
      </x:c>
      <x:c r="HU44" s="128" t="n">
        <x:f>'PROJECT TA Y TB KARINA'!$N98/8</x:f>
        <x:v>0</x:v>
      </x:c>
      <x:c r="HV44" s="128" t="n">
        <x:f>'PROJECT TA Y TB KARINA'!$N98/8</x:f>
        <x:v>0</x:v>
      </x:c>
      <x:c r="HW44" s="128" t="n">
        <x:f>'PROJECT TA Y TB KARINA'!$N98/8</x:f>
        <x:v>0</x:v>
      </x:c>
      <x:c r="HX44" s="128" t="n">
        <x:f>'PROJECT TA Y TB KARINA'!$O98/8</x:f>
        <x:v>0</x:v>
      </x:c>
      <x:c r="HY44" s="128" t="n">
        <x:f>'PROJECT TA Y TB KARINA'!$O98/8</x:f>
        <x:v>0</x:v>
      </x:c>
      <x:c r="HZ44" s="128" t="n">
        <x:f>'PROJECT TA Y TB KARINA'!$O98/8</x:f>
        <x:v>0</x:v>
      </x:c>
      <x:c r="IA44" s="128" t="n">
        <x:f>'PROJECT TA Y TB KARINA'!$O98/8</x:f>
        <x:v>0</x:v>
      </x:c>
      <x:c r="IB44" s="128" t="n">
        <x:f>'PROJECT TA Y TB KARINA'!$O98/8</x:f>
        <x:v>0</x:v>
      </x:c>
      <x:c r="IC44" s="128" t="n">
        <x:f>'PROJECT TA Y TB KARINA'!$O98/8</x:f>
        <x:v>0</x:v>
      </x:c>
      <x:c r="ID44" s="128" t="n">
        <x:f>'PROJECT TA Y TB KARINA'!$O98/8</x:f>
        <x:v>0</x:v>
      </x:c>
      <x:c r="IE44" s="128" t="n">
        <x:f>'PROJECT TA Y TB KARINA'!$O98/8</x:f>
        <x:v>0</x:v>
      </x:c>
      <x:c r="IF44" s="128" t="n">
        <x:f>'PROJECT TA Y TB KARINA'!$P98/8</x:f>
        <x:v>0</x:v>
      </x:c>
      <x:c r="IG44" s="128" t="n">
        <x:f>'PROJECT TA Y TB KARINA'!$P98/8</x:f>
        <x:v>0</x:v>
      </x:c>
      <x:c r="IH44" s="128" t="n">
        <x:f>'PROJECT TA Y TB KARINA'!$P98/8</x:f>
        <x:v>0</x:v>
      </x:c>
      <x:c r="II44" s="128" t="n">
        <x:f>'PROJECT TA Y TB KARINA'!$P98/8</x:f>
        <x:v>0</x:v>
      </x:c>
      <x:c r="IJ44" s="128" t="n">
        <x:f>'PROJECT TA Y TB KARINA'!$P98/8</x:f>
        <x:v>0</x:v>
      </x:c>
      <x:c r="IK44" s="128" t="n">
        <x:f>'PROJECT TA Y TB KARINA'!$P98/8</x:f>
        <x:v>0</x:v>
      </x:c>
      <x:c r="IL44" s="128" t="n">
        <x:f>'PROJECT TA Y TB KARINA'!$P98/8</x:f>
        <x:v>0</x:v>
      </x:c>
      <x:c r="IM44" s="128" t="n">
        <x:f>'PROJECT TA Y TB KARINA'!$P98/8</x:f>
        <x:v>0</x:v>
      </x:c>
      <x:c r="IN44" s="128" t="n">
        <x:f>'PROJECT TA Y TB KARINA'!$Q98/8</x:f>
        <x:v>0</x:v>
      </x:c>
      <x:c r="IO44" s="128" t="n">
        <x:f>'PROJECT TA Y TB KARINA'!$Q98/8</x:f>
        <x:v>0</x:v>
      </x:c>
      <x:c r="IP44" s="128" t="n">
        <x:f>'PROJECT TA Y TB KARINA'!$Q98/8</x:f>
        <x:v>0</x:v>
      </x:c>
      <x:c r="IQ44" s="128" t="n">
        <x:f>'PROJECT TA Y TB KARINA'!$Q98/8</x:f>
        <x:v>0</x:v>
      </x:c>
      <x:c r="IR44" s="128" t="n">
        <x:f>'PROJECT TA Y TB KARINA'!$Q98/8</x:f>
        <x:v>0</x:v>
      </x:c>
      <x:c r="IS44" s="128" t="n">
        <x:f>'PROJECT TA Y TB KARINA'!$Q98/8</x:f>
        <x:v>0</x:v>
      </x:c>
      <x:c r="IT44" s="128" t="n">
        <x:f>'PROJECT TA Y TB KARINA'!$Q98/8</x:f>
        <x:v>0</x:v>
      </x:c>
      <x:c r="IU44" s="128" t="n">
        <x:f>'PROJECT TA Y TB KARINA'!$Q98/8</x:f>
        <x:v>0</x:v>
      </x:c>
      <x:c r="IV44" s="128" t="n">
        <x:f>'PROJECT TA Y TB KARINA'!$R98/8</x:f>
        <x:v>0</x:v>
      </x:c>
      <x:c r="IW44" s="128" t="n">
        <x:f>'PROJECT TA Y TB KARINA'!$R98/8</x:f>
        <x:v>0</x:v>
      </x:c>
      <x:c r="IX44" s="128" t="n">
        <x:f>'PROJECT TA Y TB KARINA'!$R98/8</x:f>
        <x:v>0</x:v>
      </x:c>
      <x:c r="IY44" s="128" t="n">
        <x:f>'PROJECT TA Y TB KARINA'!$R98/8</x:f>
        <x:v>0</x:v>
      </x:c>
      <x:c r="IZ44" s="128" t="n">
        <x:f>'PROJECT TA Y TB KARINA'!$R98/8</x:f>
        <x:v>0</x:v>
      </x:c>
      <x:c r="JA44" s="128" t="n">
        <x:f>'PROJECT TA Y TB KARINA'!$R98/8</x:f>
        <x:v>0</x:v>
      </x:c>
      <x:c r="JB44" s="128" t="n">
        <x:f>'PROJECT TA Y TB KARINA'!$R98/8</x:f>
        <x:v>0</x:v>
      </x:c>
      <x:c r="JC44" s="128" t="n">
        <x:f>'PROJECT TA Y TB KARINA'!$R98/8</x:f>
        <x:v>0</x:v>
      </x:c>
      <x:c r="JD44" s="128" t="n">
        <x:f>'PROJECT TA Y TB KARINA'!$S98/8</x:f>
        <x:v>0</x:v>
      </x:c>
      <x:c r="JE44" s="128" t="n">
        <x:f>'PROJECT TA Y TB KARINA'!$S98/8</x:f>
        <x:v>0</x:v>
      </x:c>
      <x:c r="JF44" s="128" t="n">
        <x:f>'PROJECT TA Y TB KARINA'!$S98/8</x:f>
        <x:v>0</x:v>
      </x:c>
      <x:c r="JG44" s="128" t="n">
        <x:f>'PROJECT TA Y TB KARINA'!$S98/8</x:f>
        <x:v>0</x:v>
      </x:c>
      <x:c r="JH44" s="128" t="n">
        <x:f>'PROJECT TA Y TB KARINA'!$S98/8</x:f>
        <x:v>0</x:v>
      </x:c>
      <x:c r="JI44" s="128" t="n">
        <x:f>'PROJECT TA Y TB KARINA'!$S98/8</x:f>
        <x:v>0</x:v>
      </x:c>
      <x:c r="JJ44" s="128" t="n">
        <x:f>'PROJECT TA Y TB KARINA'!$S98/8</x:f>
        <x:v>0</x:v>
      </x:c>
      <x:c r="JK44" s="128" t="n">
        <x:f>'PROJECT TA Y TB KARINA'!$S98/8</x:f>
        <x:v>0</x:v>
      </x:c>
      <x:c r="JL44" s="128" t="n">
        <x:f>'PROJECT TA Y TB KARINA'!$T98/8</x:f>
        <x:v>0</x:v>
      </x:c>
      <x:c r="JM44" s="128" t="n">
        <x:f>'PROJECT TA Y TB KARINA'!$T98/8</x:f>
        <x:v>0</x:v>
      </x:c>
      <x:c r="JN44" s="128" t="n">
        <x:f>'PROJECT TA Y TB KARINA'!$T98/8</x:f>
        <x:v>0</x:v>
      </x:c>
      <x:c r="JO44" s="128" t="n">
        <x:f>'PROJECT TA Y TB KARINA'!$T98/8</x:f>
        <x:v>0</x:v>
      </x:c>
      <x:c r="JP44" s="128" t="n">
        <x:f>'PROJECT TA Y TB KARINA'!$T98/8</x:f>
        <x:v>0</x:v>
      </x:c>
      <x:c r="JQ44" s="128" t="n">
        <x:f>'PROJECT TA Y TB KARINA'!$T98/8</x:f>
        <x:v>0</x:v>
      </x:c>
      <x:c r="JR44" s="128" t="n">
        <x:f>'PROJECT TA Y TB KARINA'!$T98/8</x:f>
        <x:v>0</x:v>
      </x:c>
      <x:c r="JS44" s="128" t="n">
        <x:f>'PROJECT TA Y TB KARINA'!$T98/8</x:f>
        <x:v>0</x:v>
      </x:c>
      <x:c r="JT44" s="128" t="e">
        <x:f>'PROJECT TA Y TB KARINA'!#REF!/8</x:f>
        <x:v>#NAME?</x:v>
      </x:c>
      <x:c r="JU44" s="128" t="e">
        <x:f>'PROJECT TA Y TB KARINA'!#REF!/8</x:f>
        <x:v>#NAME?</x:v>
      </x:c>
      <x:c r="JV44" s="128" t="e">
        <x:f>'PROJECT TA Y TB KARINA'!#REF!/8</x:f>
        <x:v>#NAME?</x:v>
      </x:c>
      <x:c r="JW44" s="128" t="e">
        <x:f>'PROJECT TA Y TB KARINA'!#REF!/8</x:f>
        <x:v>#NAME?</x:v>
      </x:c>
      <x:c r="JX44" s="128" t="e">
        <x:f>'PROJECT TA Y TB KARINA'!#REF!/8</x:f>
        <x:v>#NAME?</x:v>
      </x:c>
      <x:c r="JY44" s="128" t="e">
        <x:f>'PROJECT TA Y TB KARINA'!#REF!/8</x:f>
        <x:v>#NAME?</x:v>
      </x:c>
      <x:c r="JZ44" s="128" t="e">
        <x:f>'PROJECT TA Y TB KARINA'!#REF!/8</x:f>
        <x:v>#NAME?</x:v>
      </x:c>
      <x:c r="KA44" s="128" t="e">
        <x:f>'PROJECT TA Y TB KARINA'!#REF!/8</x:f>
        <x:v>#NAME?</x:v>
      </x:c>
    </x:row>
    <x:row r="45" ht="21">
      <x:c r="A45" s="130" t="s">
        <x:v>530</x:v>
      </x:c>
      <x:c r="B45" s="128" t="e">
        <x:f>'PROJECT TA Y TB KARINA'!$C$41/8</x:f>
        <x:v>#REF!</x:v>
      </x:c>
      <x:c r="C45" s="128" t="e">
        <x:f>'PROJECT TA Y TB KARINA'!$C$41/8</x:f>
        <x:v>#REF!</x:v>
      </x:c>
      <x:c r="D45" s="128" t="e">
        <x:f>'PROJECT TA Y TB KARINA'!$C$41/8</x:f>
        <x:v>#REF!</x:v>
      </x:c>
      <x:c r="E45" s="128" t="e">
        <x:f>'PROJECT TA Y TB KARINA'!$C$41/8</x:f>
        <x:v>#REF!</x:v>
      </x:c>
      <x:c r="F45" s="128" t="e">
        <x:f>'PROJECT TA Y TB KARINA'!$C$41/8</x:f>
        <x:v>#REF!</x:v>
      </x:c>
      <x:c r="G45" s="128" t="e">
        <x:f>'PROJECT TA Y TB KARINA'!$C$41/8</x:f>
        <x:v>#REF!</x:v>
      </x:c>
      <x:c r="H45" s="128" t="e">
        <x:f>'PROJECT TA Y TB KARINA'!$C$41/8</x:f>
        <x:v>#REF!</x:v>
      </x:c>
      <x:c r="I45" s="128" t="e">
        <x:f>'PROJECT TA Y TB KARINA'!$E41/8</x:f>
        <x:v>#REF!</x:v>
      </x:c>
      <x:c r="J45" s="128" t="e">
        <x:f>'PROJECT TA Y TB KARINA'!$E41/8</x:f>
        <x:v>#REF!</x:v>
      </x:c>
      <x:c r="K45" s="128" t="e">
        <x:f>'PROJECT TA Y TB KARINA'!$E41/8</x:f>
        <x:v>#REF!</x:v>
      </x:c>
      <x:c r="L45" s="128" t="e">
        <x:f>'PROJECT TA Y TB KARINA'!$E41/8</x:f>
        <x:v>#REF!</x:v>
      </x:c>
      <x:c r="M45" s="128" t="e">
        <x:f>'PROJECT TA Y TB KARINA'!$E41/8</x:f>
        <x:v>#REF!</x:v>
      </x:c>
      <x:c r="N45" s="128" t="e">
        <x:f>'PROJECT TA Y TB KARINA'!$E41/8</x:f>
        <x:v>#REF!</x:v>
      </x:c>
      <x:c r="O45" s="128" t="e">
        <x:f>'PROJECT TA Y TB KARINA'!$E41/8</x:f>
        <x:v>#REF!</x:v>
      </x:c>
      <x:c r="P45" s="128" t="e">
        <x:f>'PROJECT TA Y TB KARINA'!$E41/8</x:f>
        <x:v>#REF!</x:v>
      </x:c>
      <x:c r="Q45" s="128" t="e">
        <x:f>'PROJECT TA Y TB KARINA'!$F41/8</x:f>
        <x:v>#REF!</x:v>
      </x:c>
      <x:c r="R45" s="128" t="e">
        <x:f>'PROJECT TA Y TB KARINA'!$F41/8</x:f>
        <x:v>#REF!</x:v>
      </x:c>
      <x:c r="S45" s="128" t="e">
        <x:f>'PROJECT TA Y TB KARINA'!$F41/8</x:f>
        <x:v>#REF!</x:v>
      </x:c>
      <x:c r="T45" s="128" t="e">
        <x:f>'PROJECT TA Y TB KARINA'!$F41/8</x:f>
        <x:v>#REF!</x:v>
      </x:c>
      <x:c r="U45" s="128" t="e">
        <x:f>'PROJECT TA Y TB KARINA'!$F41/8</x:f>
        <x:v>#REF!</x:v>
      </x:c>
      <x:c r="V45" s="128" t="e">
        <x:f>'PROJECT TA Y TB KARINA'!$F41/8</x:f>
        <x:v>#REF!</x:v>
      </x:c>
      <x:c r="W45" s="128" t="e">
        <x:f>'PROJECT TA Y TB KARINA'!$F41/8</x:f>
        <x:v>#REF!</x:v>
      </x:c>
      <x:c r="X45" s="128" t="e">
        <x:f>'PROJECT TA Y TB KARINA'!$F41/8</x:f>
        <x:v>#REF!</x:v>
      </x:c>
      <x:c r="Y45" s="128" t="e">
        <x:f>'PROJECT TA Y TB KARINA'!$G41/8</x:f>
        <x:v>#REF!</x:v>
      </x:c>
      <x:c r="Z45" s="128" t="e">
        <x:f>'PROJECT TA Y TB KARINA'!$G41/8</x:f>
        <x:v>#REF!</x:v>
      </x:c>
      <x:c r="AA45" s="128" t="e">
        <x:f>'PROJECT TA Y TB KARINA'!$G41/8</x:f>
        <x:v>#REF!</x:v>
      </x:c>
      <x:c r="AB45" s="128" t="e">
        <x:f>'PROJECT TA Y TB KARINA'!$G41/8</x:f>
        <x:v>#REF!</x:v>
      </x:c>
      <x:c r="AC45" s="128" t="e">
        <x:f>'PROJECT TA Y TB KARINA'!$G41/8</x:f>
        <x:v>#REF!</x:v>
      </x:c>
      <x:c r="AD45" s="128" t="e">
        <x:f>'PROJECT TA Y TB KARINA'!$G41/8</x:f>
        <x:v>#REF!</x:v>
      </x:c>
      <x:c r="AE45" s="128" t="e">
        <x:f>'PROJECT TA Y TB KARINA'!$G41/8</x:f>
        <x:v>#REF!</x:v>
      </x:c>
      <x:c r="AF45" s="128" t="e">
        <x:f>'PROJECT TA Y TB KARINA'!$G41/8</x:f>
        <x:v>#REF!</x:v>
      </x:c>
      <x:c r="AG45" s="128" t="e">
        <x:f>'PROJECT TA Y TB KARINA'!$H41/8</x:f>
        <x:v>#REF!</x:v>
      </x:c>
      <x:c r="AH45" s="128" t="e">
        <x:f>'PROJECT TA Y TB KARINA'!$H41/8</x:f>
        <x:v>#REF!</x:v>
      </x:c>
      <x:c r="AI45" s="128" t="e">
        <x:f>'PROJECT TA Y TB KARINA'!$H41/8</x:f>
        <x:v>#REF!</x:v>
      </x:c>
      <x:c r="AJ45" s="128" t="e">
        <x:f>'PROJECT TA Y TB KARINA'!$H41/8</x:f>
        <x:v>#REF!</x:v>
      </x:c>
      <x:c r="AK45" s="128" t="e">
        <x:f>'PROJECT TA Y TB KARINA'!$H41/8</x:f>
        <x:v>#REF!</x:v>
      </x:c>
      <x:c r="AL45" s="128" t="e">
        <x:f>'PROJECT TA Y TB KARINA'!$H41/8</x:f>
        <x:v>#REF!</x:v>
      </x:c>
      <x:c r="AM45" s="128" t="e">
        <x:f>'PROJECT TA Y TB KARINA'!$H41/8</x:f>
        <x:v>#REF!</x:v>
      </x:c>
      <x:c r="AN45" s="128" t="e">
        <x:f>'PROJECT TA Y TB KARINA'!$H41/8</x:f>
        <x:v>#REF!</x:v>
      </x:c>
      <x:c r="AO45" s="128" t="e">
        <x:f>'PROJECT TA Y TB KARINA'!$I41/8</x:f>
        <x:v>#REF!</x:v>
      </x:c>
      <x:c r="AP45" s="128" t="e">
        <x:f>'PROJECT TA Y TB KARINA'!$I41/8</x:f>
        <x:v>#REF!</x:v>
      </x:c>
      <x:c r="AQ45" s="128" t="e">
        <x:f>'PROJECT TA Y TB KARINA'!$I41/8</x:f>
        <x:v>#REF!</x:v>
      </x:c>
      <x:c r="AR45" s="128" t="e">
        <x:f>'PROJECT TA Y TB KARINA'!$I41/8</x:f>
        <x:v>#REF!</x:v>
      </x:c>
      <x:c r="AS45" s="128" t="e">
        <x:f>'PROJECT TA Y TB KARINA'!$I41/8</x:f>
        <x:v>#REF!</x:v>
      </x:c>
      <x:c r="AT45" s="128" t="e">
        <x:f>'PROJECT TA Y TB KARINA'!$I41/8</x:f>
        <x:v>#REF!</x:v>
      </x:c>
      <x:c r="AU45" s="128" t="e">
        <x:f>'PROJECT TA Y TB KARINA'!$I41/8</x:f>
        <x:v>#REF!</x:v>
      </x:c>
      <x:c r="AV45" s="128" t="e">
        <x:f>'PROJECT TA Y TB KARINA'!$I41/8</x:f>
        <x:v>#REF!</x:v>
      </x:c>
      <x:c r="AW45" s="128" t="e">
        <x:f>'PROJECT TA Y TB KARINA'!$J41/8</x:f>
        <x:v>#REF!</x:v>
      </x:c>
      <x:c r="AX45" s="128" t="e">
        <x:f>'PROJECT TA Y TB KARINA'!$J41/8</x:f>
        <x:v>#REF!</x:v>
      </x:c>
      <x:c r="AY45" s="128" t="e">
        <x:f>'PROJECT TA Y TB KARINA'!$J41/8</x:f>
        <x:v>#REF!</x:v>
      </x:c>
      <x:c r="AZ45" s="128" t="e">
        <x:f>'PROJECT TA Y TB KARINA'!$J41/8</x:f>
        <x:v>#REF!</x:v>
      </x:c>
      <x:c r="BA45" s="128" t="e">
        <x:f>'PROJECT TA Y TB KARINA'!$J41/8</x:f>
        <x:v>#REF!</x:v>
      </x:c>
      <x:c r="BB45" s="128" t="e">
        <x:f>'PROJECT TA Y TB KARINA'!$J41/8</x:f>
        <x:v>#REF!</x:v>
      </x:c>
      <x:c r="BC45" s="128" t="e">
        <x:f>'PROJECT TA Y TB KARINA'!$J41/8</x:f>
        <x:v>#REF!</x:v>
      </x:c>
      <x:c r="BD45" s="128" t="e">
        <x:f>'PROJECT TA Y TB KARINA'!$J41/8</x:f>
        <x:v>#REF!</x:v>
      </x:c>
      <x:c r="BE45" s="128" t="e">
        <x:f>'PROJECT TA Y TB KARINA'!$K41/8</x:f>
        <x:v>#REF!</x:v>
      </x:c>
      <x:c r="BF45" s="128" t="e">
        <x:f>'PROJECT TA Y TB KARINA'!$K41/8</x:f>
        <x:v>#REF!</x:v>
      </x:c>
      <x:c r="BG45" s="128" t="e">
        <x:f>'PROJECT TA Y TB KARINA'!$K41/8</x:f>
        <x:v>#REF!</x:v>
      </x:c>
      <x:c r="BH45" s="128" t="e">
        <x:f>'PROJECT TA Y TB KARINA'!$K41/8</x:f>
        <x:v>#REF!</x:v>
      </x:c>
      <x:c r="BI45" s="128" t="e">
        <x:f>'PROJECT TA Y TB KARINA'!$K41/8</x:f>
        <x:v>#REF!</x:v>
      </x:c>
      <x:c r="BJ45" s="128" t="e">
        <x:f>'PROJECT TA Y TB KARINA'!$K41/8</x:f>
        <x:v>#REF!</x:v>
      </x:c>
      <x:c r="BK45" s="128" t="e">
        <x:f>'PROJECT TA Y TB KARINA'!$K41/8</x:f>
        <x:v>#REF!</x:v>
      </x:c>
      <x:c r="BL45" s="128" t="e">
        <x:f>'PROJECT TA Y TB KARINA'!$K41/8</x:f>
        <x:v>#REF!</x:v>
      </x:c>
      <x:c r="BM45" s="128" t="e">
        <x:f>'PROJECT TA Y TB KARINA'!$L41/8</x:f>
        <x:v>#REF!</x:v>
      </x:c>
      <x:c r="BN45" s="128" t="e">
        <x:f>'PROJECT TA Y TB KARINA'!$L41/8</x:f>
        <x:v>#REF!</x:v>
      </x:c>
      <x:c r="BO45" s="128" t="e">
        <x:f>'PROJECT TA Y TB KARINA'!$L41/8</x:f>
        <x:v>#REF!</x:v>
      </x:c>
      <x:c r="BP45" s="128" t="e">
        <x:f>'PROJECT TA Y TB KARINA'!$L41/8</x:f>
        <x:v>#REF!</x:v>
      </x:c>
      <x:c r="BQ45" s="128" t="e">
        <x:f>'PROJECT TA Y TB KARINA'!$L41/8</x:f>
        <x:v>#REF!</x:v>
      </x:c>
      <x:c r="BR45" s="128" t="e">
        <x:f>'PROJECT TA Y TB KARINA'!$L41/8</x:f>
        <x:v>#REF!</x:v>
      </x:c>
      <x:c r="BS45" s="128" t="e">
        <x:f>'PROJECT TA Y TB KARINA'!$L41/8</x:f>
        <x:v>#REF!</x:v>
      </x:c>
      <x:c r="BT45" s="128" t="e">
        <x:f>'PROJECT TA Y TB KARINA'!$L41/8</x:f>
        <x:v>#REF!</x:v>
      </x:c>
      <x:c r="BU45" s="128" t="e">
        <x:f>'PROJECT TA Y TB KARINA'!$M41/8</x:f>
        <x:v>#REF!</x:v>
      </x:c>
      <x:c r="BV45" s="128" t="e">
        <x:f>'PROJECT TA Y TB KARINA'!$M41/8</x:f>
        <x:v>#REF!</x:v>
      </x:c>
      <x:c r="BW45" s="128" t="e">
        <x:f>'PROJECT TA Y TB KARINA'!$M41/8</x:f>
        <x:v>#REF!</x:v>
      </x:c>
      <x:c r="BX45" s="128" t="e">
        <x:f>'PROJECT TA Y TB KARINA'!$M41/8</x:f>
        <x:v>#REF!</x:v>
      </x:c>
      <x:c r="BY45" s="128" t="e">
        <x:f>'PROJECT TA Y TB KARINA'!$M41/8</x:f>
        <x:v>#REF!</x:v>
      </x:c>
      <x:c r="BZ45" s="128" t="e">
        <x:f>'PROJECT TA Y TB KARINA'!$M41/8</x:f>
        <x:v>#REF!</x:v>
      </x:c>
      <x:c r="CA45" s="128" t="e">
        <x:f>'PROJECT TA Y TB KARINA'!$M41/8</x:f>
        <x:v>#REF!</x:v>
      </x:c>
      <x:c r="CB45" s="128" t="e">
        <x:f>'PROJECT TA Y TB KARINA'!$M41/8</x:f>
        <x:v>#REF!</x:v>
      </x:c>
      <x:c r="CC45" s="128" t="e">
        <x:f>'PROJECT TA Y TB KARINA'!$N41/8</x:f>
        <x:v>#REF!</x:v>
      </x:c>
      <x:c r="CD45" s="128" t="e">
        <x:f>'PROJECT TA Y TB KARINA'!$N41/8</x:f>
        <x:v>#REF!</x:v>
      </x:c>
      <x:c r="CE45" s="128" t="e">
        <x:f>'PROJECT TA Y TB KARINA'!$N41/8</x:f>
        <x:v>#REF!</x:v>
      </x:c>
      <x:c r="CF45" s="128" t="e">
        <x:f>'PROJECT TA Y TB KARINA'!$N41/8</x:f>
        <x:v>#REF!</x:v>
      </x:c>
      <x:c r="CG45" s="128" t="e">
        <x:f>'PROJECT TA Y TB KARINA'!$N41/8</x:f>
        <x:v>#REF!</x:v>
      </x:c>
      <x:c r="CH45" s="128" t="e">
        <x:f>'PROJECT TA Y TB KARINA'!$N41/8</x:f>
        <x:v>#REF!</x:v>
      </x:c>
      <x:c r="CI45" s="128" t="e">
        <x:f>'PROJECT TA Y TB KARINA'!$N41/8</x:f>
        <x:v>#REF!</x:v>
      </x:c>
      <x:c r="CJ45" s="128" t="e">
        <x:f>'PROJECT TA Y TB KARINA'!$N41/8</x:f>
        <x:v>#REF!</x:v>
      </x:c>
      <x:c r="CK45" s="128" t="e">
        <x:f>'PROJECT TA Y TB KARINA'!$O41/8</x:f>
        <x:v>#REF!</x:v>
      </x:c>
      <x:c r="CL45" s="128" t="e">
        <x:f>'PROJECT TA Y TB KARINA'!$O41/8</x:f>
        <x:v>#REF!</x:v>
      </x:c>
      <x:c r="CM45" s="128" t="e">
        <x:f>'PROJECT TA Y TB KARINA'!$O41/8</x:f>
        <x:v>#REF!</x:v>
      </x:c>
      <x:c r="CN45" s="128" t="e">
        <x:f>'PROJECT TA Y TB KARINA'!$O41/8</x:f>
        <x:v>#REF!</x:v>
      </x:c>
      <x:c r="CO45" s="128" t="e">
        <x:f>'PROJECT TA Y TB KARINA'!$O41/8</x:f>
        <x:v>#REF!</x:v>
      </x:c>
      <x:c r="CP45" s="128" t="e">
        <x:f>'PROJECT TA Y TB KARINA'!$O41/8</x:f>
        <x:v>#REF!</x:v>
      </x:c>
      <x:c r="CQ45" s="128" t="e">
        <x:f>'PROJECT TA Y TB KARINA'!$O41/8</x:f>
        <x:v>#REF!</x:v>
      </x:c>
      <x:c r="CR45" s="128" t="e">
        <x:f>'PROJECT TA Y TB KARINA'!$O41/8</x:f>
        <x:v>#REF!</x:v>
      </x:c>
      <x:c r="CS45" s="128" t="e">
        <x:f>'PROJECT TA Y TB KARINA'!$P41/8</x:f>
        <x:v>#REF!</x:v>
      </x:c>
      <x:c r="CT45" s="128" t="e">
        <x:f>'PROJECT TA Y TB KARINA'!$P41/8</x:f>
        <x:v>#REF!</x:v>
      </x:c>
      <x:c r="CU45" s="128" t="e">
        <x:f>'PROJECT TA Y TB KARINA'!$P41/8</x:f>
        <x:v>#REF!</x:v>
      </x:c>
      <x:c r="CV45" s="128" t="e">
        <x:f>'PROJECT TA Y TB KARINA'!$P41/8</x:f>
        <x:v>#REF!</x:v>
      </x:c>
      <x:c r="CW45" s="128" t="e">
        <x:f>'PROJECT TA Y TB KARINA'!$P41/8</x:f>
        <x:v>#REF!</x:v>
      </x:c>
      <x:c r="CX45" s="128" t="e">
        <x:f>'PROJECT TA Y TB KARINA'!$P41/8</x:f>
        <x:v>#REF!</x:v>
      </x:c>
      <x:c r="CY45" s="128" t="e">
        <x:f>'PROJECT TA Y TB KARINA'!$P41/8</x:f>
        <x:v>#REF!</x:v>
      </x:c>
      <x:c r="CZ45" s="128" t="e">
        <x:f>'PROJECT TA Y TB KARINA'!$P41/8</x:f>
        <x:v>#REF!</x:v>
      </x:c>
      <x:c r="DA45" s="128" t="e">
        <x:f>'PROJECT TA Y TB KARINA'!$Q41/8</x:f>
        <x:v>#REF!</x:v>
      </x:c>
      <x:c r="DB45" s="128" t="e">
        <x:f>'PROJECT TA Y TB KARINA'!$Q41/8</x:f>
        <x:v>#REF!</x:v>
      </x:c>
      <x:c r="DC45" s="128" t="e">
        <x:f>'PROJECT TA Y TB KARINA'!$Q41/8</x:f>
        <x:v>#REF!</x:v>
      </x:c>
      <x:c r="DD45" s="128" t="e">
        <x:f>'PROJECT TA Y TB KARINA'!$Q41/8</x:f>
        <x:v>#REF!</x:v>
      </x:c>
      <x:c r="DE45" s="128" t="e">
        <x:f>'PROJECT TA Y TB KARINA'!$Q41/8</x:f>
        <x:v>#REF!</x:v>
      </x:c>
      <x:c r="DF45" s="128" t="e">
        <x:f>'PROJECT TA Y TB KARINA'!$Q41/8</x:f>
        <x:v>#REF!</x:v>
      </x:c>
      <x:c r="DG45" s="128" t="e">
        <x:f>'PROJECT TA Y TB KARINA'!$Q41/8</x:f>
        <x:v>#REF!</x:v>
      </x:c>
      <x:c r="DH45" s="128" t="e">
        <x:f>'PROJECT TA Y TB KARINA'!$Q41/8</x:f>
        <x:v>#REF!</x:v>
      </x:c>
      <x:c r="DI45" s="128" t="e">
        <x:f>'PROJECT TA Y TB KARINA'!$R41/8</x:f>
        <x:v>#REF!</x:v>
      </x:c>
      <x:c r="DJ45" s="128" t="e">
        <x:f>'PROJECT TA Y TB KARINA'!$R41/8</x:f>
        <x:v>#REF!</x:v>
      </x:c>
      <x:c r="DK45" s="128" t="e">
        <x:f>'PROJECT TA Y TB KARINA'!$R41/8</x:f>
        <x:v>#REF!</x:v>
      </x:c>
      <x:c r="DL45" s="128" t="e">
        <x:f>'PROJECT TA Y TB KARINA'!$R41/8</x:f>
        <x:v>#REF!</x:v>
      </x:c>
      <x:c r="DM45" s="128" t="e">
        <x:f>'PROJECT TA Y TB KARINA'!$R41/8</x:f>
        <x:v>#REF!</x:v>
      </x:c>
      <x:c r="DN45" s="128" t="e">
        <x:f>'PROJECT TA Y TB KARINA'!$R41/8</x:f>
        <x:v>#REF!</x:v>
      </x:c>
      <x:c r="DO45" s="128" t="e">
        <x:f>'PROJECT TA Y TB KARINA'!$R41/8</x:f>
        <x:v>#REF!</x:v>
      </x:c>
      <x:c r="DP45" s="128" t="e">
        <x:f>'PROJECT TA Y TB KARINA'!$R41/8</x:f>
        <x:v>#REF!</x:v>
      </x:c>
      <x:c r="DQ45" s="128" t="e">
        <x:f>'PROJECT TA Y TB KARINA'!$S41/8</x:f>
        <x:v>#REF!</x:v>
      </x:c>
      <x:c r="DR45" s="128" t="e">
        <x:f>'PROJECT TA Y TB KARINA'!$S41/8</x:f>
        <x:v>#REF!</x:v>
      </x:c>
      <x:c r="DS45" s="128" t="e">
        <x:f>'PROJECT TA Y TB KARINA'!$S41/8</x:f>
        <x:v>#REF!</x:v>
      </x:c>
      <x:c r="DT45" s="128" t="e">
        <x:f>'PROJECT TA Y TB KARINA'!$S41/8</x:f>
        <x:v>#REF!</x:v>
      </x:c>
      <x:c r="DU45" s="128" t="e">
        <x:f>'PROJECT TA Y TB KARINA'!$S41/8</x:f>
        <x:v>#REF!</x:v>
      </x:c>
      <x:c r="DV45" s="128" t="e">
        <x:f>'PROJECT TA Y TB KARINA'!$S41/8</x:f>
        <x:v>#REF!</x:v>
      </x:c>
      <x:c r="DW45" s="128" t="e">
        <x:f>'PROJECT TA Y TB KARINA'!$S41/8</x:f>
        <x:v>#REF!</x:v>
      </x:c>
      <x:c r="DX45" s="128" t="e">
        <x:f>'PROJECT TA Y TB KARINA'!$S41/8</x:f>
        <x:v>#REF!</x:v>
      </x:c>
      <x:c r="DY45" s="128" t="e">
        <x:f>'PROJECT TA Y TB KARINA'!$T41/8</x:f>
        <x:v>#REF!</x:v>
      </x:c>
      <x:c r="DZ45" s="128" t="e">
        <x:f>'PROJECT TA Y TB KARINA'!$T41/8</x:f>
        <x:v>#REF!</x:v>
      </x:c>
      <x:c r="EA45" s="128" t="e">
        <x:f>'PROJECT TA Y TB KARINA'!$T41/8</x:f>
        <x:v>#REF!</x:v>
      </x:c>
      <x:c r="EB45" s="128" t="e">
        <x:f>'PROJECT TA Y TB KARINA'!$T41/8</x:f>
        <x:v>#REF!</x:v>
      </x:c>
      <x:c r="EC45" s="128" t="e">
        <x:f>'PROJECT TA Y TB KARINA'!$T41/8</x:f>
        <x:v>#REF!</x:v>
      </x:c>
      <x:c r="ED45" s="128" t="e">
        <x:f>'PROJECT TA Y TB KARINA'!$T41/8</x:f>
        <x:v>#REF!</x:v>
      </x:c>
      <x:c r="EE45" s="128" t="e">
        <x:f>'PROJECT TA Y TB KARINA'!$T41/8</x:f>
        <x:v>#REF!</x:v>
      </x:c>
      <x:c r="EF45" s="128" t="e">
        <x:f>'PROJECT TA Y TB KARINA'!$T41/8</x:f>
        <x:v>#REF!</x:v>
      </x:c>
      <x:c r="EG45" s="128" t="e">
        <x:f>'PROJECT TA Y TB KARINA'!#REF!/8</x:f>
        <x:v>#NAME?</x:v>
      </x:c>
      <x:c r="EH45" s="128" t="e">
        <x:f>'PROJECT TA Y TB KARINA'!#REF!/8</x:f>
        <x:v>#NAME?</x:v>
      </x:c>
      <x:c r="EI45" s="128" t="e">
        <x:f>'PROJECT TA Y TB KARINA'!#REF!/8</x:f>
        <x:v>#NAME?</x:v>
      </x:c>
      <x:c r="EJ45" s="128" t="e">
        <x:f>'PROJECT TA Y TB KARINA'!#REF!/8</x:f>
        <x:v>#NAME?</x:v>
      </x:c>
      <x:c r="EK45" s="128" t="e">
        <x:f>'PROJECT TA Y TB KARINA'!#REF!/8</x:f>
        <x:v>#NAME?</x:v>
      </x:c>
      <x:c r="EL45" s="128" t="e">
        <x:f>'PROJECT TA Y TB KARINA'!#REF!/8</x:f>
        <x:v>#NAME?</x:v>
      </x:c>
      <x:c r="EM45" s="128" t="e">
        <x:f>'PROJECT TA Y TB KARINA'!#REF!/8</x:f>
        <x:v>#NAME?</x:v>
      </x:c>
      <x:c r="EN45" s="128" t="e">
        <x:f>'PROJECT TA Y TB KARINA'!#REF!/8</x:f>
        <x:v>#NAME?</x:v>
      </x:c>
      <x:c r="EO45" s="128" t="n">
        <x:f>'PROJECT TA Y TB KARINA'!$C99/8</x:f>
        <x:v>0</x:v>
      </x:c>
      <x:c r="EP45" s="128" t="n">
        <x:f>'PROJECT TA Y TB KARINA'!$C99/8</x:f>
        <x:v>0</x:v>
      </x:c>
      <x:c r="EQ45" s="128" t="n">
        <x:f>'PROJECT TA Y TB KARINA'!$C99/8</x:f>
        <x:v>0</x:v>
      </x:c>
      <x:c r="ER45" s="128" t="n">
        <x:f>'PROJECT TA Y TB KARINA'!$C99/8</x:f>
        <x:v>0</x:v>
      </x:c>
      <x:c r="ES45" s="128" t="n">
        <x:f>'PROJECT TA Y TB KARINA'!$C99/8</x:f>
        <x:v>0</x:v>
      </x:c>
      <x:c r="ET45" s="128" t="n">
        <x:f>'PROJECT TA Y TB KARINA'!$C99/8</x:f>
        <x:v>0</x:v>
      </x:c>
      <x:c r="EU45" s="128" t="n">
        <x:f>'PROJECT TA Y TB KARINA'!$C99/8</x:f>
        <x:v>0</x:v>
      </x:c>
      <x:c r="EV45" s="128" t="n">
        <x:f>'PROJECT TA Y TB KARINA'!$E99/8</x:f>
        <x:v>0</x:v>
      </x:c>
      <x:c r="EW45" s="128" t="n">
        <x:f>'PROJECT TA Y TB KARINA'!$E99/8</x:f>
        <x:v>0</x:v>
      </x:c>
      <x:c r="EX45" s="128" t="n">
        <x:f>'PROJECT TA Y TB KARINA'!$E99/8</x:f>
        <x:v>0</x:v>
      </x:c>
      <x:c r="EY45" s="128" t="n">
        <x:f>'PROJECT TA Y TB KARINA'!$E99/8</x:f>
        <x:v>0</x:v>
      </x:c>
      <x:c r="EZ45" s="128" t="n">
        <x:f>'PROJECT TA Y TB KARINA'!$E99/8</x:f>
        <x:v>0</x:v>
      </x:c>
      <x:c r="FA45" s="128" t="n">
        <x:f>'PROJECT TA Y TB KARINA'!$E99/8</x:f>
        <x:v>0</x:v>
      </x:c>
      <x:c r="FB45" s="128" t="n">
        <x:f>'PROJECT TA Y TB KARINA'!$E99/8</x:f>
        <x:v>0</x:v>
      </x:c>
      <x:c r="FC45" s="128" t="n">
        <x:f>'PROJECT TA Y TB KARINA'!$E99/8</x:f>
        <x:v>0</x:v>
      </x:c>
      <x:c r="FD45" s="128" t="n">
        <x:f>'PROJECT TA Y TB KARINA'!$F99/8</x:f>
        <x:v>0</x:v>
      </x:c>
      <x:c r="FE45" s="128" t="n">
        <x:f>'PROJECT TA Y TB KARINA'!$F99/8</x:f>
        <x:v>0</x:v>
      </x:c>
      <x:c r="FF45" s="128" t="n">
        <x:f>'PROJECT TA Y TB KARINA'!$F99/8</x:f>
        <x:v>0</x:v>
      </x:c>
      <x:c r="FG45" s="128" t="n">
        <x:f>'PROJECT TA Y TB KARINA'!$F99/8</x:f>
        <x:v>0</x:v>
      </x:c>
      <x:c r="FH45" s="128" t="n">
        <x:f>'PROJECT TA Y TB KARINA'!$F99/8</x:f>
        <x:v>0</x:v>
      </x:c>
      <x:c r="FI45" s="128" t="n">
        <x:f>'PROJECT TA Y TB KARINA'!$F99/8</x:f>
        <x:v>0</x:v>
      </x:c>
      <x:c r="FJ45" s="128" t="n">
        <x:f>'PROJECT TA Y TB KARINA'!$F99/8</x:f>
        <x:v>0</x:v>
      </x:c>
      <x:c r="FK45" s="128" t="n">
        <x:f>'PROJECT TA Y TB KARINA'!$F99/8</x:f>
        <x:v>0</x:v>
      </x:c>
      <x:c r="FL45" s="128" t="n">
        <x:f>'PROJECT TA Y TB KARINA'!$G99/8</x:f>
        <x:v>0</x:v>
      </x:c>
      <x:c r="FM45" s="128" t="n">
        <x:f>'PROJECT TA Y TB KARINA'!$G99/8</x:f>
        <x:v>0</x:v>
      </x:c>
      <x:c r="FN45" s="128" t="n">
        <x:f>'PROJECT TA Y TB KARINA'!$G99/8</x:f>
        <x:v>0</x:v>
      </x:c>
      <x:c r="FO45" s="128" t="n">
        <x:f>'PROJECT TA Y TB KARINA'!$G99/8</x:f>
        <x:v>0</x:v>
      </x:c>
      <x:c r="FP45" s="128" t="n">
        <x:f>'PROJECT TA Y TB KARINA'!$G99/8</x:f>
        <x:v>0</x:v>
      </x:c>
      <x:c r="FQ45" s="128" t="n">
        <x:f>'PROJECT TA Y TB KARINA'!$G99/8</x:f>
        <x:v>0</x:v>
      </x:c>
      <x:c r="FR45" s="128" t="n">
        <x:f>'PROJECT TA Y TB KARINA'!$G99/8</x:f>
        <x:v>0</x:v>
      </x:c>
      <x:c r="FS45" s="128" t="n">
        <x:f>'PROJECT TA Y TB KARINA'!$G99/8</x:f>
        <x:v>0</x:v>
      </x:c>
      <x:c r="FT45" s="128" t="n">
        <x:f>'PROJECT TA Y TB KARINA'!$H99/8</x:f>
        <x:v>0</x:v>
      </x:c>
      <x:c r="FU45" s="128" t="n">
        <x:f>'PROJECT TA Y TB KARINA'!$H99/8</x:f>
        <x:v>0</x:v>
      </x:c>
      <x:c r="FV45" s="128" t="n">
        <x:f>'PROJECT TA Y TB KARINA'!$H99/8</x:f>
        <x:v>0</x:v>
      </x:c>
      <x:c r="FW45" s="128" t="n">
        <x:f>'PROJECT TA Y TB KARINA'!$H99/8</x:f>
        <x:v>0</x:v>
      </x:c>
      <x:c r="FX45" s="128" t="n">
        <x:f>'PROJECT TA Y TB KARINA'!$H99/8</x:f>
        <x:v>0</x:v>
      </x:c>
      <x:c r="FY45" s="128" t="n">
        <x:f>'PROJECT TA Y TB KARINA'!$H99/8</x:f>
        <x:v>0</x:v>
      </x:c>
      <x:c r="FZ45" s="128" t="n">
        <x:f>'PROJECT TA Y TB KARINA'!$H99/8</x:f>
        <x:v>0</x:v>
      </x:c>
      <x:c r="GA45" s="128" t="n">
        <x:f>'PROJECT TA Y TB KARINA'!$H99/8</x:f>
        <x:v>0</x:v>
      </x:c>
      <x:c r="GB45" s="128" t="n">
        <x:f>'PROJECT TA Y TB KARINA'!$I99/8</x:f>
        <x:v>0</x:v>
      </x:c>
      <x:c r="GC45" s="128" t="n">
        <x:f>'PROJECT TA Y TB KARINA'!$I99/8</x:f>
        <x:v>0</x:v>
      </x:c>
      <x:c r="GD45" s="128" t="n">
        <x:f>'PROJECT TA Y TB KARINA'!$I99/8</x:f>
        <x:v>0</x:v>
      </x:c>
      <x:c r="GE45" s="128" t="n">
        <x:f>'PROJECT TA Y TB KARINA'!$I99/8</x:f>
        <x:v>0</x:v>
      </x:c>
      <x:c r="GF45" s="128" t="n">
        <x:f>'PROJECT TA Y TB KARINA'!$I99/8</x:f>
        <x:v>0</x:v>
      </x:c>
      <x:c r="GG45" s="128" t="n">
        <x:f>'PROJECT TA Y TB KARINA'!$I99/8</x:f>
        <x:v>0</x:v>
      </x:c>
      <x:c r="GH45" s="128" t="n">
        <x:f>'PROJECT TA Y TB KARINA'!$I99/8</x:f>
        <x:v>0</x:v>
      </x:c>
      <x:c r="GI45" s="128" t="n">
        <x:f>'PROJECT TA Y TB KARINA'!$I99/8</x:f>
        <x:v>0</x:v>
      </x:c>
      <x:c r="GJ45" s="128" t="n">
        <x:f>'PROJECT TA Y TB KARINA'!$J99/8</x:f>
        <x:v>0</x:v>
      </x:c>
      <x:c r="GK45" s="128" t="n">
        <x:f>'PROJECT TA Y TB KARINA'!$J99/8</x:f>
        <x:v>0</x:v>
      </x:c>
      <x:c r="GL45" s="128" t="n">
        <x:f>'PROJECT TA Y TB KARINA'!$J99/8</x:f>
        <x:v>0</x:v>
      </x:c>
      <x:c r="GM45" s="128" t="n">
        <x:f>'PROJECT TA Y TB KARINA'!$J99/8</x:f>
        <x:v>0</x:v>
      </x:c>
      <x:c r="GN45" s="128" t="n">
        <x:f>'PROJECT TA Y TB KARINA'!$J99/8</x:f>
        <x:v>0</x:v>
      </x:c>
      <x:c r="GO45" s="128" t="n">
        <x:f>'PROJECT TA Y TB KARINA'!$J99/8</x:f>
        <x:v>0</x:v>
      </x:c>
      <x:c r="GP45" s="128" t="n">
        <x:f>'PROJECT TA Y TB KARINA'!$J99/8</x:f>
        <x:v>0</x:v>
      </x:c>
      <x:c r="GQ45" s="128" t="n">
        <x:f>'PROJECT TA Y TB KARINA'!$J99/8</x:f>
        <x:v>0</x:v>
      </x:c>
      <x:c r="GR45" s="128" t="n">
        <x:f>'PROJECT TA Y TB KARINA'!$K99/8</x:f>
        <x:v>0</x:v>
      </x:c>
      <x:c r="GS45" s="128" t="n">
        <x:f>'PROJECT TA Y TB KARINA'!$K99/8</x:f>
        <x:v>0</x:v>
      </x:c>
      <x:c r="GT45" s="128" t="n">
        <x:f>'PROJECT TA Y TB KARINA'!$K99/8</x:f>
        <x:v>0</x:v>
      </x:c>
      <x:c r="GU45" s="128" t="n">
        <x:f>'PROJECT TA Y TB KARINA'!$K99/8</x:f>
        <x:v>0</x:v>
      </x:c>
      <x:c r="GV45" s="128" t="n">
        <x:f>'PROJECT TA Y TB KARINA'!$K99/8</x:f>
        <x:v>0</x:v>
      </x:c>
      <x:c r="GW45" s="128" t="n">
        <x:f>'PROJECT TA Y TB KARINA'!$K99/8</x:f>
        <x:v>0</x:v>
      </x:c>
      <x:c r="GX45" s="128" t="n">
        <x:f>'PROJECT TA Y TB KARINA'!$K99/8</x:f>
        <x:v>0</x:v>
      </x:c>
      <x:c r="GY45" s="128" t="n">
        <x:f>'PROJECT TA Y TB KARINA'!$K99/8</x:f>
        <x:v>0</x:v>
      </x:c>
      <x:c r="GZ45" s="128" t="n">
        <x:f>'PROJECT TA Y TB KARINA'!$L99/8</x:f>
        <x:v>0</x:v>
      </x:c>
      <x:c r="HA45" s="128" t="n">
        <x:f>'PROJECT TA Y TB KARINA'!$L99/8</x:f>
        <x:v>0</x:v>
      </x:c>
      <x:c r="HB45" s="128" t="n">
        <x:f>'PROJECT TA Y TB KARINA'!$L99/8</x:f>
        <x:v>0</x:v>
      </x:c>
      <x:c r="HC45" s="128" t="n">
        <x:f>'PROJECT TA Y TB KARINA'!$L99/8</x:f>
        <x:v>0</x:v>
      </x:c>
      <x:c r="HD45" s="128" t="n">
        <x:f>'PROJECT TA Y TB KARINA'!$L99/8</x:f>
        <x:v>0</x:v>
      </x:c>
      <x:c r="HE45" s="128" t="n">
        <x:f>'PROJECT TA Y TB KARINA'!$L99/8</x:f>
        <x:v>0</x:v>
      </x:c>
      <x:c r="HF45" s="128" t="n">
        <x:f>'PROJECT TA Y TB KARINA'!$L99/8</x:f>
        <x:v>0</x:v>
      </x:c>
      <x:c r="HG45" s="128" t="n">
        <x:f>'PROJECT TA Y TB KARINA'!$L99/8</x:f>
        <x:v>0</x:v>
      </x:c>
      <x:c r="HH45" s="128" t="n">
        <x:f>'PROJECT TA Y TB KARINA'!$M99/8</x:f>
        <x:v>0</x:v>
      </x:c>
      <x:c r="HI45" s="128" t="n">
        <x:f>'PROJECT TA Y TB KARINA'!$M99/8</x:f>
        <x:v>0</x:v>
      </x:c>
      <x:c r="HJ45" s="128" t="n">
        <x:f>'PROJECT TA Y TB KARINA'!$M99/8</x:f>
        <x:v>0</x:v>
      </x:c>
      <x:c r="HK45" s="128" t="n">
        <x:f>'PROJECT TA Y TB KARINA'!$M99/8</x:f>
        <x:v>0</x:v>
      </x:c>
      <x:c r="HL45" s="128" t="n">
        <x:f>'PROJECT TA Y TB KARINA'!$M99/8</x:f>
        <x:v>0</x:v>
      </x:c>
      <x:c r="HM45" s="128" t="n">
        <x:f>'PROJECT TA Y TB KARINA'!$M99/8</x:f>
        <x:v>0</x:v>
      </x:c>
      <x:c r="HN45" s="128" t="n">
        <x:f>'PROJECT TA Y TB KARINA'!$M99/8</x:f>
        <x:v>0</x:v>
      </x:c>
      <x:c r="HO45" s="128" t="n">
        <x:f>'PROJECT TA Y TB KARINA'!$M99/8</x:f>
        <x:v>0</x:v>
      </x:c>
      <x:c r="HP45" s="128" t="n">
        <x:f>'PROJECT TA Y TB KARINA'!$N99/8</x:f>
        <x:v>0</x:v>
      </x:c>
      <x:c r="HQ45" s="128" t="n">
        <x:f>'PROJECT TA Y TB KARINA'!$N99/8</x:f>
        <x:v>0</x:v>
      </x:c>
      <x:c r="HR45" s="128" t="n">
        <x:f>'PROJECT TA Y TB KARINA'!$N99/8</x:f>
        <x:v>0</x:v>
      </x:c>
      <x:c r="HS45" s="128" t="n">
        <x:f>'PROJECT TA Y TB KARINA'!$N99/8</x:f>
        <x:v>0</x:v>
      </x:c>
      <x:c r="HT45" s="128" t="n">
        <x:f>'PROJECT TA Y TB KARINA'!$N99/8</x:f>
        <x:v>0</x:v>
      </x:c>
      <x:c r="HU45" s="128" t="n">
        <x:f>'PROJECT TA Y TB KARINA'!$N99/8</x:f>
        <x:v>0</x:v>
      </x:c>
      <x:c r="HV45" s="128" t="n">
        <x:f>'PROJECT TA Y TB KARINA'!$N99/8</x:f>
        <x:v>0</x:v>
      </x:c>
      <x:c r="HW45" s="128" t="n">
        <x:f>'PROJECT TA Y TB KARINA'!$N99/8</x:f>
        <x:v>0</x:v>
      </x:c>
      <x:c r="HX45" s="128" t="n">
        <x:f>'PROJECT TA Y TB KARINA'!$O99/8</x:f>
        <x:v>0</x:v>
      </x:c>
      <x:c r="HY45" s="128" t="n">
        <x:f>'PROJECT TA Y TB KARINA'!$O99/8</x:f>
        <x:v>0</x:v>
      </x:c>
      <x:c r="HZ45" s="128" t="n">
        <x:f>'PROJECT TA Y TB KARINA'!$O99/8</x:f>
        <x:v>0</x:v>
      </x:c>
      <x:c r="IA45" s="128" t="n">
        <x:f>'PROJECT TA Y TB KARINA'!$O99/8</x:f>
        <x:v>0</x:v>
      </x:c>
      <x:c r="IB45" s="128" t="n">
        <x:f>'PROJECT TA Y TB KARINA'!$O99/8</x:f>
        <x:v>0</x:v>
      </x:c>
      <x:c r="IC45" s="128" t="n">
        <x:f>'PROJECT TA Y TB KARINA'!$O99/8</x:f>
        <x:v>0</x:v>
      </x:c>
      <x:c r="ID45" s="128" t="n">
        <x:f>'PROJECT TA Y TB KARINA'!$O99/8</x:f>
        <x:v>0</x:v>
      </x:c>
      <x:c r="IE45" s="128" t="n">
        <x:f>'PROJECT TA Y TB KARINA'!$O99/8</x:f>
        <x:v>0</x:v>
      </x:c>
      <x:c r="IF45" s="128" t="n">
        <x:f>'PROJECT TA Y TB KARINA'!$P99/8</x:f>
        <x:v>0</x:v>
      </x:c>
      <x:c r="IG45" s="128" t="n">
        <x:f>'PROJECT TA Y TB KARINA'!$P99/8</x:f>
        <x:v>0</x:v>
      </x:c>
      <x:c r="IH45" s="128" t="n">
        <x:f>'PROJECT TA Y TB KARINA'!$P99/8</x:f>
        <x:v>0</x:v>
      </x:c>
      <x:c r="II45" s="128" t="n">
        <x:f>'PROJECT TA Y TB KARINA'!$P99/8</x:f>
        <x:v>0</x:v>
      </x:c>
      <x:c r="IJ45" s="128" t="n">
        <x:f>'PROJECT TA Y TB KARINA'!$P99/8</x:f>
        <x:v>0</x:v>
      </x:c>
      <x:c r="IK45" s="128" t="n">
        <x:f>'PROJECT TA Y TB KARINA'!$P99/8</x:f>
        <x:v>0</x:v>
      </x:c>
      <x:c r="IL45" s="128" t="n">
        <x:f>'PROJECT TA Y TB KARINA'!$P99/8</x:f>
        <x:v>0</x:v>
      </x:c>
      <x:c r="IM45" s="128" t="n">
        <x:f>'PROJECT TA Y TB KARINA'!$P99/8</x:f>
        <x:v>0</x:v>
      </x:c>
      <x:c r="IN45" s="128" t="n">
        <x:f>'PROJECT TA Y TB KARINA'!$Q99/8</x:f>
        <x:v>0</x:v>
      </x:c>
      <x:c r="IO45" s="128" t="n">
        <x:f>'PROJECT TA Y TB KARINA'!$Q99/8</x:f>
        <x:v>0</x:v>
      </x:c>
      <x:c r="IP45" s="128" t="n">
        <x:f>'PROJECT TA Y TB KARINA'!$Q99/8</x:f>
        <x:v>0</x:v>
      </x:c>
      <x:c r="IQ45" s="128" t="n">
        <x:f>'PROJECT TA Y TB KARINA'!$Q99/8</x:f>
        <x:v>0</x:v>
      </x:c>
      <x:c r="IR45" s="128" t="n">
        <x:f>'PROJECT TA Y TB KARINA'!$Q99/8</x:f>
        <x:v>0</x:v>
      </x:c>
      <x:c r="IS45" s="128" t="n">
        <x:f>'PROJECT TA Y TB KARINA'!$Q99/8</x:f>
        <x:v>0</x:v>
      </x:c>
      <x:c r="IT45" s="128" t="n">
        <x:f>'PROJECT TA Y TB KARINA'!$Q99/8</x:f>
        <x:v>0</x:v>
      </x:c>
      <x:c r="IU45" s="128" t="n">
        <x:f>'PROJECT TA Y TB KARINA'!$Q99/8</x:f>
        <x:v>0</x:v>
      </x:c>
      <x:c r="IV45" s="128" t="n">
        <x:f>'PROJECT TA Y TB KARINA'!$R99/8</x:f>
        <x:v>0</x:v>
      </x:c>
      <x:c r="IW45" s="128" t="n">
        <x:f>'PROJECT TA Y TB KARINA'!$R99/8</x:f>
        <x:v>0</x:v>
      </x:c>
      <x:c r="IX45" s="128" t="n">
        <x:f>'PROJECT TA Y TB KARINA'!$R99/8</x:f>
        <x:v>0</x:v>
      </x:c>
      <x:c r="IY45" s="128" t="n">
        <x:f>'PROJECT TA Y TB KARINA'!$R99/8</x:f>
        <x:v>0</x:v>
      </x:c>
      <x:c r="IZ45" s="128" t="n">
        <x:f>'PROJECT TA Y TB KARINA'!$R99/8</x:f>
        <x:v>0</x:v>
      </x:c>
      <x:c r="JA45" s="128" t="n">
        <x:f>'PROJECT TA Y TB KARINA'!$R99/8</x:f>
        <x:v>0</x:v>
      </x:c>
      <x:c r="JB45" s="128" t="n">
        <x:f>'PROJECT TA Y TB KARINA'!$R99/8</x:f>
        <x:v>0</x:v>
      </x:c>
      <x:c r="JC45" s="128" t="n">
        <x:f>'PROJECT TA Y TB KARINA'!$R99/8</x:f>
        <x:v>0</x:v>
      </x:c>
      <x:c r="JD45" s="128" t="n">
        <x:f>'PROJECT TA Y TB KARINA'!$S99/8</x:f>
        <x:v>0</x:v>
      </x:c>
      <x:c r="JE45" s="128" t="n">
        <x:f>'PROJECT TA Y TB KARINA'!$S99/8</x:f>
        <x:v>0</x:v>
      </x:c>
      <x:c r="JF45" s="128" t="n">
        <x:f>'PROJECT TA Y TB KARINA'!$S99/8</x:f>
        <x:v>0</x:v>
      </x:c>
      <x:c r="JG45" s="128" t="n">
        <x:f>'PROJECT TA Y TB KARINA'!$S99/8</x:f>
        <x:v>0</x:v>
      </x:c>
      <x:c r="JH45" s="128" t="n">
        <x:f>'PROJECT TA Y TB KARINA'!$S99/8</x:f>
        <x:v>0</x:v>
      </x:c>
      <x:c r="JI45" s="128" t="n">
        <x:f>'PROJECT TA Y TB KARINA'!$S99/8</x:f>
        <x:v>0</x:v>
      </x:c>
      <x:c r="JJ45" s="128" t="n">
        <x:f>'PROJECT TA Y TB KARINA'!$S99/8</x:f>
        <x:v>0</x:v>
      </x:c>
      <x:c r="JK45" s="128" t="n">
        <x:f>'PROJECT TA Y TB KARINA'!$S99/8</x:f>
        <x:v>0</x:v>
      </x:c>
      <x:c r="JL45" s="128" t="n">
        <x:f>'PROJECT TA Y TB KARINA'!$T99/8</x:f>
        <x:v>0</x:v>
      </x:c>
      <x:c r="JM45" s="128" t="n">
        <x:f>'PROJECT TA Y TB KARINA'!$T99/8</x:f>
        <x:v>0</x:v>
      </x:c>
      <x:c r="JN45" s="128" t="n">
        <x:f>'PROJECT TA Y TB KARINA'!$T99/8</x:f>
        <x:v>0</x:v>
      </x:c>
      <x:c r="JO45" s="128" t="n">
        <x:f>'PROJECT TA Y TB KARINA'!$T99/8</x:f>
        <x:v>0</x:v>
      </x:c>
      <x:c r="JP45" s="128" t="n">
        <x:f>'PROJECT TA Y TB KARINA'!$T99/8</x:f>
        <x:v>0</x:v>
      </x:c>
      <x:c r="JQ45" s="128" t="n">
        <x:f>'PROJECT TA Y TB KARINA'!$T99/8</x:f>
        <x:v>0</x:v>
      </x:c>
      <x:c r="JR45" s="128" t="n">
        <x:f>'PROJECT TA Y TB KARINA'!$T99/8</x:f>
        <x:v>0</x:v>
      </x:c>
      <x:c r="JS45" s="128" t="n">
        <x:f>'PROJECT TA Y TB KARINA'!$T99/8</x:f>
        <x:v>0</x:v>
      </x:c>
      <x:c r="JT45" s="128" t="e">
        <x:f>'PROJECT TA Y TB KARINA'!#REF!/8</x:f>
        <x:v>#NAME?</x:v>
      </x:c>
      <x:c r="JU45" s="128" t="e">
        <x:f>'PROJECT TA Y TB KARINA'!#REF!/8</x:f>
        <x:v>#NAME?</x:v>
      </x:c>
      <x:c r="JV45" s="128" t="e">
        <x:f>'PROJECT TA Y TB KARINA'!#REF!/8</x:f>
        <x:v>#NAME?</x:v>
      </x:c>
      <x:c r="JW45" s="128" t="e">
        <x:f>'PROJECT TA Y TB KARINA'!#REF!/8</x:f>
        <x:v>#NAME?</x:v>
      </x:c>
      <x:c r="JX45" s="128" t="e">
        <x:f>'PROJECT TA Y TB KARINA'!#REF!/8</x:f>
        <x:v>#NAME?</x:v>
      </x:c>
      <x:c r="JY45" s="128" t="e">
        <x:f>'PROJECT TA Y TB KARINA'!#REF!/8</x:f>
        <x:v>#NAME?</x:v>
      </x:c>
      <x:c r="JZ45" s="128" t="e">
        <x:f>'PROJECT TA Y TB KARINA'!#REF!/8</x:f>
        <x:v>#NAME?</x:v>
      </x:c>
      <x:c r="KA45" s="128" t="e">
        <x:f>'PROJECT TA Y TB KARINA'!#REF!/8</x:f>
        <x:v>#NAME?</x:v>
      </x:c>
    </x:row>
    <x:row r="46" ht="21">
      <x:c r="A46" s="130" t="s">
        <x:v>531</x:v>
      </x:c>
      <x:c r="B46" s="128" t="e">
        <x:f>'PROJECT TA Y TB KARINA'!$C$42/8</x:f>
        <x:v>#REF!</x:v>
      </x:c>
      <x:c r="C46" s="128" t="e">
        <x:f>'PROJECT TA Y TB KARINA'!$C$42/8</x:f>
        <x:v>#REF!</x:v>
      </x:c>
      <x:c r="D46" s="128" t="e">
        <x:f>'PROJECT TA Y TB KARINA'!$C$42/8</x:f>
        <x:v>#REF!</x:v>
      </x:c>
      <x:c r="E46" s="128" t="e">
        <x:f>'PROJECT TA Y TB KARINA'!$C$42/8</x:f>
        <x:v>#REF!</x:v>
      </x:c>
      <x:c r="F46" s="128" t="e">
        <x:f>'PROJECT TA Y TB KARINA'!$C$42/8</x:f>
        <x:v>#REF!</x:v>
      </x:c>
      <x:c r="G46" s="128" t="e">
        <x:f>'PROJECT TA Y TB KARINA'!$C$42/8</x:f>
        <x:v>#REF!</x:v>
      </x:c>
      <x:c r="H46" s="128" t="e">
        <x:f>'PROJECT TA Y TB KARINA'!$C$42/8</x:f>
        <x:v>#REF!</x:v>
      </x:c>
      <x:c r="I46" s="128" t="e">
        <x:f>'PROJECT TA Y TB KARINA'!$E42/8</x:f>
        <x:v>#REF!</x:v>
      </x:c>
      <x:c r="J46" s="128" t="e">
        <x:f>'PROJECT TA Y TB KARINA'!$E42/8</x:f>
        <x:v>#REF!</x:v>
      </x:c>
      <x:c r="K46" s="128" t="e">
        <x:f>'PROJECT TA Y TB KARINA'!$E42/8</x:f>
        <x:v>#REF!</x:v>
      </x:c>
      <x:c r="L46" s="128" t="e">
        <x:f>'PROJECT TA Y TB KARINA'!$E42/8</x:f>
        <x:v>#REF!</x:v>
      </x:c>
      <x:c r="M46" s="128" t="e">
        <x:f>'PROJECT TA Y TB KARINA'!$E42/8</x:f>
        <x:v>#REF!</x:v>
      </x:c>
      <x:c r="N46" s="128" t="e">
        <x:f>'PROJECT TA Y TB KARINA'!$E42/8</x:f>
        <x:v>#REF!</x:v>
      </x:c>
      <x:c r="O46" s="128" t="e">
        <x:f>'PROJECT TA Y TB KARINA'!$E42/8</x:f>
        <x:v>#REF!</x:v>
      </x:c>
      <x:c r="P46" s="128" t="e">
        <x:f>'PROJECT TA Y TB KARINA'!$E42/8</x:f>
        <x:v>#REF!</x:v>
      </x:c>
      <x:c r="Q46" s="128" t="e">
        <x:f>'PROJECT TA Y TB KARINA'!$F42/8</x:f>
        <x:v>#REF!</x:v>
      </x:c>
      <x:c r="R46" s="128" t="e">
        <x:f>'PROJECT TA Y TB KARINA'!$F42/8</x:f>
        <x:v>#REF!</x:v>
      </x:c>
      <x:c r="S46" s="128" t="e">
        <x:f>'PROJECT TA Y TB KARINA'!$F42/8</x:f>
        <x:v>#REF!</x:v>
      </x:c>
      <x:c r="T46" s="128" t="e">
        <x:f>'PROJECT TA Y TB KARINA'!$F42/8</x:f>
        <x:v>#REF!</x:v>
      </x:c>
      <x:c r="U46" s="128" t="e">
        <x:f>'PROJECT TA Y TB KARINA'!$F42/8</x:f>
        <x:v>#REF!</x:v>
      </x:c>
      <x:c r="V46" s="128" t="e">
        <x:f>'PROJECT TA Y TB KARINA'!$F42/8</x:f>
        <x:v>#REF!</x:v>
      </x:c>
      <x:c r="W46" s="128" t="e">
        <x:f>'PROJECT TA Y TB KARINA'!$F42/8</x:f>
        <x:v>#REF!</x:v>
      </x:c>
      <x:c r="X46" s="128" t="e">
        <x:f>'PROJECT TA Y TB KARINA'!$F42/8</x:f>
        <x:v>#REF!</x:v>
      </x:c>
      <x:c r="Y46" s="128" t="e">
        <x:f>'PROJECT TA Y TB KARINA'!$G42/8</x:f>
        <x:v>#REF!</x:v>
      </x:c>
      <x:c r="Z46" s="128" t="e">
        <x:f>'PROJECT TA Y TB KARINA'!$G42/8</x:f>
        <x:v>#REF!</x:v>
      </x:c>
      <x:c r="AA46" s="128" t="e">
        <x:f>'PROJECT TA Y TB KARINA'!$G42/8</x:f>
        <x:v>#REF!</x:v>
      </x:c>
      <x:c r="AB46" s="128" t="e">
        <x:f>'PROJECT TA Y TB KARINA'!$G42/8</x:f>
        <x:v>#REF!</x:v>
      </x:c>
      <x:c r="AC46" s="128" t="e">
        <x:f>'PROJECT TA Y TB KARINA'!$G42/8</x:f>
        <x:v>#REF!</x:v>
      </x:c>
      <x:c r="AD46" s="128" t="e">
        <x:f>'PROJECT TA Y TB KARINA'!$G42/8</x:f>
        <x:v>#REF!</x:v>
      </x:c>
      <x:c r="AE46" s="128" t="e">
        <x:f>'PROJECT TA Y TB KARINA'!$G42/8</x:f>
        <x:v>#REF!</x:v>
      </x:c>
      <x:c r="AF46" s="128" t="e">
        <x:f>'PROJECT TA Y TB KARINA'!$G42/8</x:f>
        <x:v>#REF!</x:v>
      </x:c>
      <x:c r="AG46" s="128" t="e">
        <x:f>'PROJECT TA Y TB KARINA'!$H42/8</x:f>
        <x:v>#REF!</x:v>
      </x:c>
      <x:c r="AH46" s="128" t="e">
        <x:f>'PROJECT TA Y TB KARINA'!$H42/8</x:f>
        <x:v>#REF!</x:v>
      </x:c>
      <x:c r="AI46" s="128" t="e">
        <x:f>'PROJECT TA Y TB KARINA'!$H42/8</x:f>
        <x:v>#REF!</x:v>
      </x:c>
      <x:c r="AJ46" s="128" t="e">
        <x:f>'PROJECT TA Y TB KARINA'!$H42/8</x:f>
        <x:v>#REF!</x:v>
      </x:c>
      <x:c r="AK46" s="128" t="e">
        <x:f>'PROJECT TA Y TB KARINA'!$H42/8</x:f>
        <x:v>#REF!</x:v>
      </x:c>
      <x:c r="AL46" s="128" t="e">
        <x:f>'PROJECT TA Y TB KARINA'!$H42/8</x:f>
        <x:v>#REF!</x:v>
      </x:c>
      <x:c r="AM46" s="128" t="e">
        <x:f>'PROJECT TA Y TB KARINA'!$H42/8</x:f>
        <x:v>#REF!</x:v>
      </x:c>
      <x:c r="AN46" s="128" t="e">
        <x:f>'PROJECT TA Y TB KARINA'!$H42/8</x:f>
        <x:v>#REF!</x:v>
      </x:c>
      <x:c r="AO46" s="128" t="e">
        <x:f>'PROJECT TA Y TB KARINA'!$I42/8</x:f>
        <x:v>#REF!</x:v>
      </x:c>
      <x:c r="AP46" s="128" t="e">
        <x:f>'PROJECT TA Y TB KARINA'!$I42/8</x:f>
        <x:v>#REF!</x:v>
      </x:c>
      <x:c r="AQ46" s="128" t="e">
        <x:f>'PROJECT TA Y TB KARINA'!$I42/8</x:f>
        <x:v>#REF!</x:v>
      </x:c>
      <x:c r="AR46" s="128" t="e">
        <x:f>'PROJECT TA Y TB KARINA'!$I42/8</x:f>
        <x:v>#REF!</x:v>
      </x:c>
      <x:c r="AS46" s="128" t="e">
        <x:f>'PROJECT TA Y TB KARINA'!$I42/8</x:f>
        <x:v>#REF!</x:v>
      </x:c>
      <x:c r="AT46" s="128" t="e">
        <x:f>'PROJECT TA Y TB KARINA'!$I42/8</x:f>
        <x:v>#REF!</x:v>
      </x:c>
      <x:c r="AU46" s="128" t="e">
        <x:f>'PROJECT TA Y TB KARINA'!$I42/8</x:f>
        <x:v>#REF!</x:v>
      </x:c>
      <x:c r="AV46" s="128" t="e">
        <x:f>'PROJECT TA Y TB KARINA'!$I42/8</x:f>
        <x:v>#REF!</x:v>
      </x:c>
      <x:c r="AW46" s="128" t="e">
        <x:f>'PROJECT TA Y TB KARINA'!$J42/8</x:f>
        <x:v>#REF!</x:v>
      </x:c>
      <x:c r="AX46" s="128" t="e">
        <x:f>'PROJECT TA Y TB KARINA'!$J42/8</x:f>
        <x:v>#REF!</x:v>
      </x:c>
      <x:c r="AY46" s="128" t="e">
        <x:f>'PROJECT TA Y TB KARINA'!$J42/8</x:f>
        <x:v>#REF!</x:v>
      </x:c>
      <x:c r="AZ46" s="128" t="e">
        <x:f>'PROJECT TA Y TB KARINA'!$J42/8</x:f>
        <x:v>#REF!</x:v>
      </x:c>
      <x:c r="BA46" s="128" t="e">
        <x:f>'PROJECT TA Y TB KARINA'!$J42/8</x:f>
        <x:v>#REF!</x:v>
      </x:c>
      <x:c r="BB46" s="128" t="e">
        <x:f>'PROJECT TA Y TB KARINA'!$J42/8</x:f>
        <x:v>#REF!</x:v>
      </x:c>
      <x:c r="BC46" s="128" t="e">
        <x:f>'PROJECT TA Y TB KARINA'!$J42/8</x:f>
        <x:v>#REF!</x:v>
      </x:c>
      <x:c r="BD46" s="128" t="e">
        <x:f>'PROJECT TA Y TB KARINA'!$J42/8</x:f>
        <x:v>#REF!</x:v>
      </x:c>
      <x:c r="BE46" s="128" t="e">
        <x:f>'PROJECT TA Y TB KARINA'!$K42/8</x:f>
        <x:v>#REF!</x:v>
      </x:c>
      <x:c r="BF46" s="128" t="e">
        <x:f>'PROJECT TA Y TB KARINA'!$K42/8</x:f>
        <x:v>#REF!</x:v>
      </x:c>
      <x:c r="BG46" s="128" t="e">
        <x:f>'PROJECT TA Y TB KARINA'!$K42/8</x:f>
        <x:v>#REF!</x:v>
      </x:c>
      <x:c r="BH46" s="128" t="e">
        <x:f>'PROJECT TA Y TB KARINA'!$K42/8</x:f>
        <x:v>#REF!</x:v>
      </x:c>
      <x:c r="BI46" s="128" t="e">
        <x:f>'PROJECT TA Y TB KARINA'!$K42/8</x:f>
        <x:v>#REF!</x:v>
      </x:c>
      <x:c r="BJ46" s="128" t="e">
        <x:f>'PROJECT TA Y TB KARINA'!$K42/8</x:f>
        <x:v>#REF!</x:v>
      </x:c>
      <x:c r="BK46" s="128" t="e">
        <x:f>'PROJECT TA Y TB KARINA'!$K42/8</x:f>
        <x:v>#REF!</x:v>
      </x:c>
      <x:c r="BL46" s="128" t="e">
        <x:f>'PROJECT TA Y TB KARINA'!$K42/8</x:f>
        <x:v>#REF!</x:v>
      </x:c>
      <x:c r="BM46" s="128" t="e">
        <x:f>'PROJECT TA Y TB KARINA'!$L42/8</x:f>
        <x:v>#REF!</x:v>
      </x:c>
      <x:c r="BN46" s="128" t="e">
        <x:f>'PROJECT TA Y TB KARINA'!$L42/8</x:f>
        <x:v>#REF!</x:v>
      </x:c>
      <x:c r="BO46" s="128" t="e">
        <x:f>'PROJECT TA Y TB KARINA'!$L42/8</x:f>
        <x:v>#REF!</x:v>
      </x:c>
      <x:c r="BP46" s="128" t="e">
        <x:f>'PROJECT TA Y TB KARINA'!$L42/8</x:f>
        <x:v>#REF!</x:v>
      </x:c>
      <x:c r="BQ46" s="128" t="e">
        <x:f>'PROJECT TA Y TB KARINA'!$L42/8</x:f>
        <x:v>#REF!</x:v>
      </x:c>
      <x:c r="BR46" s="128" t="e">
        <x:f>'PROJECT TA Y TB KARINA'!$L42/8</x:f>
        <x:v>#REF!</x:v>
      </x:c>
      <x:c r="BS46" s="128" t="e">
        <x:f>'PROJECT TA Y TB KARINA'!$L42/8</x:f>
        <x:v>#REF!</x:v>
      </x:c>
      <x:c r="BT46" s="128" t="e">
        <x:f>'PROJECT TA Y TB KARINA'!$L42/8</x:f>
        <x:v>#REF!</x:v>
      </x:c>
      <x:c r="BU46" s="128" t="e">
        <x:f>'PROJECT TA Y TB KARINA'!$M42/8</x:f>
        <x:v>#REF!</x:v>
      </x:c>
      <x:c r="BV46" s="128" t="e">
        <x:f>'PROJECT TA Y TB KARINA'!$M42/8</x:f>
        <x:v>#REF!</x:v>
      </x:c>
      <x:c r="BW46" s="128" t="e">
        <x:f>'PROJECT TA Y TB KARINA'!$M42/8</x:f>
        <x:v>#REF!</x:v>
      </x:c>
      <x:c r="BX46" s="128" t="e">
        <x:f>'PROJECT TA Y TB KARINA'!$M42/8</x:f>
        <x:v>#REF!</x:v>
      </x:c>
      <x:c r="BY46" s="128" t="e">
        <x:f>'PROJECT TA Y TB KARINA'!$M42/8</x:f>
        <x:v>#REF!</x:v>
      </x:c>
      <x:c r="BZ46" s="128" t="e">
        <x:f>'PROJECT TA Y TB KARINA'!$M42/8</x:f>
        <x:v>#REF!</x:v>
      </x:c>
      <x:c r="CA46" s="128" t="e">
        <x:f>'PROJECT TA Y TB KARINA'!$M42/8</x:f>
        <x:v>#REF!</x:v>
      </x:c>
      <x:c r="CB46" s="128" t="e">
        <x:f>'PROJECT TA Y TB KARINA'!$M42/8</x:f>
        <x:v>#REF!</x:v>
      </x:c>
      <x:c r="CC46" s="128" t="e">
        <x:f>'PROJECT TA Y TB KARINA'!$N42/8</x:f>
        <x:v>#REF!</x:v>
      </x:c>
      <x:c r="CD46" s="128" t="e">
        <x:f>'PROJECT TA Y TB KARINA'!$N42/8</x:f>
        <x:v>#REF!</x:v>
      </x:c>
      <x:c r="CE46" s="128" t="e">
        <x:f>'PROJECT TA Y TB KARINA'!$N42/8</x:f>
        <x:v>#REF!</x:v>
      </x:c>
      <x:c r="CF46" s="128" t="e">
        <x:f>'PROJECT TA Y TB KARINA'!$N42/8</x:f>
        <x:v>#REF!</x:v>
      </x:c>
      <x:c r="CG46" s="128" t="e">
        <x:f>'PROJECT TA Y TB KARINA'!$N42/8</x:f>
        <x:v>#REF!</x:v>
      </x:c>
      <x:c r="CH46" s="128" t="e">
        <x:f>'PROJECT TA Y TB KARINA'!$N42/8</x:f>
        <x:v>#REF!</x:v>
      </x:c>
      <x:c r="CI46" s="128" t="e">
        <x:f>'PROJECT TA Y TB KARINA'!$N42/8</x:f>
        <x:v>#REF!</x:v>
      </x:c>
      <x:c r="CJ46" s="128" t="e">
        <x:f>'PROJECT TA Y TB KARINA'!$N42/8</x:f>
        <x:v>#REF!</x:v>
      </x:c>
      <x:c r="CK46" s="128" t="e">
        <x:f>'PROJECT TA Y TB KARINA'!$O42/8</x:f>
        <x:v>#REF!</x:v>
      </x:c>
      <x:c r="CL46" s="128" t="e">
        <x:f>'PROJECT TA Y TB KARINA'!$O42/8</x:f>
        <x:v>#REF!</x:v>
      </x:c>
      <x:c r="CM46" s="128" t="e">
        <x:f>'PROJECT TA Y TB KARINA'!$O42/8</x:f>
        <x:v>#REF!</x:v>
      </x:c>
      <x:c r="CN46" s="128" t="e">
        <x:f>'PROJECT TA Y TB KARINA'!$O42/8</x:f>
        <x:v>#REF!</x:v>
      </x:c>
      <x:c r="CO46" s="128" t="e">
        <x:f>'PROJECT TA Y TB KARINA'!$O42/8</x:f>
        <x:v>#REF!</x:v>
      </x:c>
      <x:c r="CP46" s="128" t="e">
        <x:f>'PROJECT TA Y TB KARINA'!$O42/8</x:f>
        <x:v>#REF!</x:v>
      </x:c>
      <x:c r="CQ46" s="128" t="e">
        <x:f>'PROJECT TA Y TB KARINA'!$O42/8</x:f>
        <x:v>#REF!</x:v>
      </x:c>
      <x:c r="CR46" s="128" t="e">
        <x:f>'PROJECT TA Y TB KARINA'!$O42/8</x:f>
        <x:v>#REF!</x:v>
      </x:c>
      <x:c r="CS46" s="128" t="e">
        <x:f>'PROJECT TA Y TB KARINA'!$P42/8</x:f>
        <x:v>#REF!</x:v>
      </x:c>
      <x:c r="CT46" s="128" t="e">
        <x:f>'PROJECT TA Y TB KARINA'!$P42/8</x:f>
        <x:v>#REF!</x:v>
      </x:c>
      <x:c r="CU46" s="128" t="e">
        <x:f>'PROJECT TA Y TB KARINA'!$P42/8</x:f>
        <x:v>#REF!</x:v>
      </x:c>
      <x:c r="CV46" s="128" t="e">
        <x:f>'PROJECT TA Y TB KARINA'!$P42/8</x:f>
        <x:v>#REF!</x:v>
      </x:c>
      <x:c r="CW46" s="128" t="e">
        <x:f>'PROJECT TA Y TB KARINA'!$P42/8</x:f>
        <x:v>#REF!</x:v>
      </x:c>
      <x:c r="CX46" s="128" t="e">
        <x:f>'PROJECT TA Y TB KARINA'!$P42/8</x:f>
        <x:v>#REF!</x:v>
      </x:c>
      <x:c r="CY46" s="128" t="e">
        <x:f>'PROJECT TA Y TB KARINA'!$P42/8</x:f>
        <x:v>#REF!</x:v>
      </x:c>
      <x:c r="CZ46" s="128" t="e">
        <x:f>'PROJECT TA Y TB KARINA'!$P42/8</x:f>
        <x:v>#REF!</x:v>
      </x:c>
      <x:c r="DA46" s="128" t="e">
        <x:f>'PROJECT TA Y TB KARINA'!$Q42/8</x:f>
        <x:v>#REF!</x:v>
      </x:c>
      <x:c r="DB46" s="128" t="e">
        <x:f>'PROJECT TA Y TB KARINA'!$Q42/8</x:f>
        <x:v>#REF!</x:v>
      </x:c>
      <x:c r="DC46" s="128" t="e">
        <x:f>'PROJECT TA Y TB KARINA'!$Q42/8</x:f>
        <x:v>#REF!</x:v>
      </x:c>
      <x:c r="DD46" s="128" t="e">
        <x:f>'PROJECT TA Y TB KARINA'!$Q42/8</x:f>
        <x:v>#REF!</x:v>
      </x:c>
      <x:c r="DE46" s="128" t="e">
        <x:f>'PROJECT TA Y TB KARINA'!$Q42/8</x:f>
        <x:v>#REF!</x:v>
      </x:c>
      <x:c r="DF46" s="128" t="e">
        <x:f>'PROJECT TA Y TB KARINA'!$Q42/8</x:f>
        <x:v>#REF!</x:v>
      </x:c>
      <x:c r="DG46" s="128" t="e">
        <x:f>'PROJECT TA Y TB KARINA'!$Q42/8</x:f>
        <x:v>#REF!</x:v>
      </x:c>
      <x:c r="DH46" s="128" t="e">
        <x:f>'PROJECT TA Y TB KARINA'!$Q42/8</x:f>
        <x:v>#REF!</x:v>
      </x:c>
      <x:c r="DI46" s="128" t="e">
        <x:f>'PROJECT TA Y TB KARINA'!$R42/8</x:f>
        <x:v>#REF!</x:v>
      </x:c>
      <x:c r="DJ46" s="128" t="e">
        <x:f>'PROJECT TA Y TB KARINA'!$R42/8</x:f>
        <x:v>#REF!</x:v>
      </x:c>
      <x:c r="DK46" s="128" t="e">
        <x:f>'PROJECT TA Y TB KARINA'!$R42/8</x:f>
        <x:v>#REF!</x:v>
      </x:c>
      <x:c r="DL46" s="128" t="e">
        <x:f>'PROJECT TA Y TB KARINA'!$R42/8</x:f>
        <x:v>#REF!</x:v>
      </x:c>
      <x:c r="DM46" s="128" t="e">
        <x:f>'PROJECT TA Y TB KARINA'!$R42/8</x:f>
        <x:v>#REF!</x:v>
      </x:c>
      <x:c r="DN46" s="128" t="e">
        <x:f>'PROJECT TA Y TB KARINA'!$R42/8</x:f>
        <x:v>#REF!</x:v>
      </x:c>
      <x:c r="DO46" s="128" t="e">
        <x:f>'PROJECT TA Y TB KARINA'!$R42/8</x:f>
        <x:v>#REF!</x:v>
      </x:c>
      <x:c r="DP46" s="128" t="e">
        <x:f>'PROJECT TA Y TB KARINA'!$R42/8</x:f>
        <x:v>#REF!</x:v>
      </x:c>
      <x:c r="DQ46" s="128" t="e">
        <x:f>'PROJECT TA Y TB KARINA'!$S42/8</x:f>
        <x:v>#REF!</x:v>
      </x:c>
      <x:c r="DR46" s="128" t="e">
        <x:f>'PROJECT TA Y TB KARINA'!$S42/8</x:f>
        <x:v>#REF!</x:v>
      </x:c>
      <x:c r="DS46" s="128" t="e">
        <x:f>'PROJECT TA Y TB KARINA'!$S42/8</x:f>
        <x:v>#REF!</x:v>
      </x:c>
      <x:c r="DT46" s="128" t="e">
        <x:f>'PROJECT TA Y TB KARINA'!$S42/8</x:f>
        <x:v>#REF!</x:v>
      </x:c>
      <x:c r="DU46" s="128" t="e">
        <x:f>'PROJECT TA Y TB KARINA'!$S42/8</x:f>
        <x:v>#REF!</x:v>
      </x:c>
      <x:c r="DV46" s="128" t="e">
        <x:f>'PROJECT TA Y TB KARINA'!$S42/8</x:f>
        <x:v>#REF!</x:v>
      </x:c>
      <x:c r="DW46" s="128" t="e">
        <x:f>'PROJECT TA Y TB KARINA'!$S42/8</x:f>
        <x:v>#REF!</x:v>
      </x:c>
      <x:c r="DX46" s="128" t="e">
        <x:f>'PROJECT TA Y TB KARINA'!$S42/8</x:f>
        <x:v>#REF!</x:v>
      </x:c>
      <x:c r="DY46" s="128" t="e">
        <x:f>'PROJECT TA Y TB KARINA'!$T42/8</x:f>
        <x:v>#REF!</x:v>
      </x:c>
      <x:c r="DZ46" s="128" t="e">
        <x:f>'PROJECT TA Y TB KARINA'!$T42/8</x:f>
        <x:v>#REF!</x:v>
      </x:c>
      <x:c r="EA46" s="128" t="e">
        <x:f>'PROJECT TA Y TB KARINA'!$T42/8</x:f>
        <x:v>#REF!</x:v>
      </x:c>
      <x:c r="EB46" s="128" t="e">
        <x:f>'PROJECT TA Y TB KARINA'!$T42/8</x:f>
        <x:v>#REF!</x:v>
      </x:c>
      <x:c r="EC46" s="128" t="e">
        <x:f>'PROJECT TA Y TB KARINA'!$T42/8</x:f>
        <x:v>#REF!</x:v>
      </x:c>
      <x:c r="ED46" s="128" t="e">
        <x:f>'PROJECT TA Y TB KARINA'!$T42/8</x:f>
        <x:v>#REF!</x:v>
      </x:c>
      <x:c r="EE46" s="128" t="e">
        <x:f>'PROJECT TA Y TB KARINA'!$T42/8</x:f>
        <x:v>#REF!</x:v>
      </x:c>
      <x:c r="EF46" s="128" t="e">
        <x:f>'PROJECT TA Y TB KARINA'!$T42/8</x:f>
        <x:v>#REF!</x:v>
      </x:c>
      <x:c r="EG46" s="128" t="e">
        <x:f>'PROJECT TA Y TB KARINA'!#REF!/8</x:f>
        <x:v>#NAME?</x:v>
      </x:c>
      <x:c r="EH46" s="128" t="e">
        <x:f>'PROJECT TA Y TB KARINA'!#REF!/8</x:f>
        <x:v>#NAME?</x:v>
      </x:c>
      <x:c r="EI46" s="128" t="e">
        <x:f>'PROJECT TA Y TB KARINA'!#REF!/8</x:f>
        <x:v>#NAME?</x:v>
      </x:c>
      <x:c r="EJ46" s="128" t="e">
        <x:f>'PROJECT TA Y TB KARINA'!#REF!/8</x:f>
        <x:v>#NAME?</x:v>
      </x:c>
      <x:c r="EK46" s="128" t="e">
        <x:f>'PROJECT TA Y TB KARINA'!#REF!/8</x:f>
        <x:v>#NAME?</x:v>
      </x:c>
      <x:c r="EL46" s="128" t="e">
        <x:f>'PROJECT TA Y TB KARINA'!#REF!/8</x:f>
        <x:v>#NAME?</x:v>
      </x:c>
      <x:c r="EM46" s="128" t="e">
        <x:f>'PROJECT TA Y TB KARINA'!#REF!/8</x:f>
        <x:v>#NAME?</x:v>
      </x:c>
      <x:c r="EN46" s="128" t="e">
        <x:f>'PROJECT TA Y TB KARINA'!#REF!/8</x:f>
        <x:v>#NAME?</x:v>
      </x:c>
      <x:c r="EO46" s="128" t="n">
        <x:f>'PROJECT TA Y TB KARINA'!$C100/8</x:f>
        <x:v>0</x:v>
      </x:c>
      <x:c r="EP46" s="128" t="n">
        <x:f>'PROJECT TA Y TB KARINA'!$C100/8</x:f>
        <x:v>0</x:v>
      </x:c>
      <x:c r="EQ46" s="128" t="n">
        <x:f>'PROJECT TA Y TB KARINA'!$C100/8</x:f>
        <x:v>0</x:v>
      </x:c>
      <x:c r="ER46" s="128" t="n">
        <x:f>'PROJECT TA Y TB KARINA'!$C100/8</x:f>
        <x:v>0</x:v>
      </x:c>
      <x:c r="ES46" s="128" t="n">
        <x:f>'PROJECT TA Y TB KARINA'!$C100/8</x:f>
        <x:v>0</x:v>
      </x:c>
      <x:c r="ET46" s="128" t="n">
        <x:f>'PROJECT TA Y TB KARINA'!$C100/8</x:f>
        <x:v>0</x:v>
      </x:c>
      <x:c r="EU46" s="128" t="n">
        <x:f>'PROJECT TA Y TB KARINA'!$C100/8</x:f>
        <x:v>0</x:v>
      </x:c>
      <x:c r="EV46" s="128" t="n">
        <x:f>'PROJECT TA Y TB KARINA'!$E100/8</x:f>
        <x:v>0</x:v>
      </x:c>
      <x:c r="EW46" s="128" t="n">
        <x:f>'PROJECT TA Y TB KARINA'!$E100/8</x:f>
        <x:v>0</x:v>
      </x:c>
      <x:c r="EX46" s="128" t="n">
        <x:f>'PROJECT TA Y TB KARINA'!$E100/8</x:f>
        <x:v>0</x:v>
      </x:c>
      <x:c r="EY46" s="128" t="n">
        <x:f>'PROJECT TA Y TB KARINA'!$E100/8</x:f>
        <x:v>0</x:v>
      </x:c>
      <x:c r="EZ46" s="128" t="n">
        <x:f>'PROJECT TA Y TB KARINA'!$E100/8</x:f>
        <x:v>0</x:v>
      </x:c>
      <x:c r="FA46" s="128" t="n">
        <x:f>'PROJECT TA Y TB KARINA'!$E100/8</x:f>
        <x:v>0</x:v>
      </x:c>
      <x:c r="FB46" s="128" t="n">
        <x:f>'PROJECT TA Y TB KARINA'!$E100/8</x:f>
        <x:v>0</x:v>
      </x:c>
      <x:c r="FC46" s="128" t="n">
        <x:f>'PROJECT TA Y TB KARINA'!$E100/8</x:f>
        <x:v>0</x:v>
      </x:c>
      <x:c r="FD46" s="128" t="n">
        <x:f>'PROJECT TA Y TB KARINA'!$F100/8</x:f>
        <x:v>0</x:v>
      </x:c>
      <x:c r="FE46" s="128" t="n">
        <x:f>'PROJECT TA Y TB KARINA'!$F100/8</x:f>
        <x:v>0</x:v>
      </x:c>
      <x:c r="FF46" s="128" t="n">
        <x:f>'PROJECT TA Y TB KARINA'!$F100/8</x:f>
        <x:v>0</x:v>
      </x:c>
      <x:c r="FG46" s="128" t="n">
        <x:f>'PROJECT TA Y TB KARINA'!$F100/8</x:f>
        <x:v>0</x:v>
      </x:c>
      <x:c r="FH46" s="128" t="n">
        <x:f>'PROJECT TA Y TB KARINA'!$F100/8</x:f>
        <x:v>0</x:v>
      </x:c>
      <x:c r="FI46" s="128" t="n">
        <x:f>'PROJECT TA Y TB KARINA'!$F100/8</x:f>
        <x:v>0</x:v>
      </x:c>
      <x:c r="FJ46" s="128" t="n">
        <x:f>'PROJECT TA Y TB KARINA'!$F100/8</x:f>
        <x:v>0</x:v>
      </x:c>
      <x:c r="FK46" s="128" t="n">
        <x:f>'PROJECT TA Y TB KARINA'!$F100/8</x:f>
        <x:v>0</x:v>
      </x:c>
      <x:c r="FL46" s="128" t="n">
        <x:f>'PROJECT TA Y TB KARINA'!$G100/8</x:f>
        <x:v>0</x:v>
      </x:c>
      <x:c r="FM46" s="128" t="n">
        <x:f>'PROJECT TA Y TB KARINA'!$G100/8</x:f>
        <x:v>0</x:v>
      </x:c>
      <x:c r="FN46" s="128" t="n">
        <x:f>'PROJECT TA Y TB KARINA'!$G100/8</x:f>
        <x:v>0</x:v>
      </x:c>
      <x:c r="FO46" s="128" t="n">
        <x:f>'PROJECT TA Y TB KARINA'!$G100/8</x:f>
        <x:v>0</x:v>
      </x:c>
      <x:c r="FP46" s="128" t="n">
        <x:f>'PROJECT TA Y TB KARINA'!$G100/8</x:f>
        <x:v>0</x:v>
      </x:c>
      <x:c r="FQ46" s="128" t="n">
        <x:f>'PROJECT TA Y TB KARINA'!$G100/8</x:f>
        <x:v>0</x:v>
      </x:c>
      <x:c r="FR46" s="128" t="n">
        <x:f>'PROJECT TA Y TB KARINA'!$G100/8</x:f>
        <x:v>0</x:v>
      </x:c>
      <x:c r="FS46" s="128" t="n">
        <x:f>'PROJECT TA Y TB KARINA'!$G100/8</x:f>
        <x:v>0</x:v>
      </x:c>
      <x:c r="FT46" s="128" t="n">
        <x:f>'PROJECT TA Y TB KARINA'!$H100/8</x:f>
        <x:v>0</x:v>
      </x:c>
      <x:c r="FU46" s="128" t="n">
        <x:f>'PROJECT TA Y TB KARINA'!$H100/8</x:f>
        <x:v>0</x:v>
      </x:c>
      <x:c r="FV46" s="128" t="n">
        <x:f>'PROJECT TA Y TB KARINA'!$H100/8</x:f>
        <x:v>0</x:v>
      </x:c>
      <x:c r="FW46" s="128" t="n">
        <x:f>'PROJECT TA Y TB KARINA'!$H100/8</x:f>
        <x:v>0</x:v>
      </x:c>
      <x:c r="FX46" s="128" t="n">
        <x:f>'PROJECT TA Y TB KARINA'!$H100/8</x:f>
        <x:v>0</x:v>
      </x:c>
      <x:c r="FY46" s="128" t="n">
        <x:f>'PROJECT TA Y TB KARINA'!$H100/8</x:f>
        <x:v>0</x:v>
      </x:c>
      <x:c r="FZ46" s="128" t="n">
        <x:f>'PROJECT TA Y TB KARINA'!$H100/8</x:f>
        <x:v>0</x:v>
      </x:c>
      <x:c r="GA46" s="128" t="n">
        <x:f>'PROJECT TA Y TB KARINA'!$H100/8</x:f>
        <x:v>0</x:v>
      </x:c>
      <x:c r="GB46" s="128" t="n">
        <x:f>'PROJECT TA Y TB KARINA'!$I100/8</x:f>
        <x:v>0</x:v>
      </x:c>
      <x:c r="GC46" s="128" t="n">
        <x:f>'PROJECT TA Y TB KARINA'!$I100/8</x:f>
        <x:v>0</x:v>
      </x:c>
      <x:c r="GD46" s="128" t="n">
        <x:f>'PROJECT TA Y TB KARINA'!$I100/8</x:f>
        <x:v>0</x:v>
      </x:c>
      <x:c r="GE46" s="128" t="n">
        <x:f>'PROJECT TA Y TB KARINA'!$I100/8</x:f>
        <x:v>0</x:v>
      </x:c>
      <x:c r="GF46" s="128" t="n">
        <x:f>'PROJECT TA Y TB KARINA'!$I100/8</x:f>
        <x:v>0</x:v>
      </x:c>
      <x:c r="GG46" s="128" t="n">
        <x:f>'PROJECT TA Y TB KARINA'!$I100/8</x:f>
        <x:v>0</x:v>
      </x:c>
      <x:c r="GH46" s="128" t="n">
        <x:f>'PROJECT TA Y TB KARINA'!$I100/8</x:f>
        <x:v>0</x:v>
      </x:c>
      <x:c r="GI46" s="128" t="n">
        <x:f>'PROJECT TA Y TB KARINA'!$I100/8</x:f>
        <x:v>0</x:v>
      </x:c>
      <x:c r="GJ46" s="128" t="n">
        <x:f>'PROJECT TA Y TB KARINA'!$J100/8</x:f>
        <x:v>0</x:v>
      </x:c>
      <x:c r="GK46" s="128" t="n">
        <x:f>'PROJECT TA Y TB KARINA'!$J100/8</x:f>
        <x:v>0</x:v>
      </x:c>
      <x:c r="GL46" s="128" t="n">
        <x:f>'PROJECT TA Y TB KARINA'!$J100/8</x:f>
        <x:v>0</x:v>
      </x:c>
      <x:c r="GM46" s="128" t="n">
        <x:f>'PROJECT TA Y TB KARINA'!$J100/8</x:f>
        <x:v>0</x:v>
      </x:c>
      <x:c r="GN46" s="128" t="n">
        <x:f>'PROJECT TA Y TB KARINA'!$J100/8</x:f>
        <x:v>0</x:v>
      </x:c>
      <x:c r="GO46" s="128" t="n">
        <x:f>'PROJECT TA Y TB KARINA'!$J100/8</x:f>
        <x:v>0</x:v>
      </x:c>
      <x:c r="GP46" s="128" t="n">
        <x:f>'PROJECT TA Y TB KARINA'!$J100/8</x:f>
        <x:v>0</x:v>
      </x:c>
      <x:c r="GQ46" s="128" t="n">
        <x:f>'PROJECT TA Y TB KARINA'!$J100/8</x:f>
        <x:v>0</x:v>
      </x:c>
      <x:c r="GR46" s="128" t="n">
        <x:f>'PROJECT TA Y TB KARINA'!$K100/8</x:f>
        <x:v>0</x:v>
      </x:c>
      <x:c r="GS46" s="128" t="n">
        <x:f>'PROJECT TA Y TB KARINA'!$K100/8</x:f>
        <x:v>0</x:v>
      </x:c>
      <x:c r="GT46" s="128" t="n">
        <x:f>'PROJECT TA Y TB KARINA'!$K100/8</x:f>
        <x:v>0</x:v>
      </x:c>
      <x:c r="GU46" s="128" t="n">
        <x:f>'PROJECT TA Y TB KARINA'!$K100/8</x:f>
        <x:v>0</x:v>
      </x:c>
      <x:c r="GV46" s="128" t="n">
        <x:f>'PROJECT TA Y TB KARINA'!$K100/8</x:f>
        <x:v>0</x:v>
      </x:c>
      <x:c r="GW46" s="128" t="n">
        <x:f>'PROJECT TA Y TB KARINA'!$K100/8</x:f>
        <x:v>0</x:v>
      </x:c>
      <x:c r="GX46" s="128" t="n">
        <x:f>'PROJECT TA Y TB KARINA'!$K100/8</x:f>
        <x:v>0</x:v>
      </x:c>
      <x:c r="GY46" s="128" t="n">
        <x:f>'PROJECT TA Y TB KARINA'!$K100/8</x:f>
        <x:v>0</x:v>
      </x:c>
      <x:c r="GZ46" s="128" t="n">
        <x:f>'PROJECT TA Y TB KARINA'!$L100/8</x:f>
        <x:v>0</x:v>
      </x:c>
      <x:c r="HA46" s="128" t="n">
        <x:f>'PROJECT TA Y TB KARINA'!$L100/8</x:f>
        <x:v>0</x:v>
      </x:c>
      <x:c r="HB46" s="128" t="n">
        <x:f>'PROJECT TA Y TB KARINA'!$L100/8</x:f>
        <x:v>0</x:v>
      </x:c>
      <x:c r="HC46" s="128" t="n">
        <x:f>'PROJECT TA Y TB KARINA'!$L100/8</x:f>
        <x:v>0</x:v>
      </x:c>
      <x:c r="HD46" s="128" t="n">
        <x:f>'PROJECT TA Y TB KARINA'!$L100/8</x:f>
        <x:v>0</x:v>
      </x:c>
      <x:c r="HE46" s="128" t="n">
        <x:f>'PROJECT TA Y TB KARINA'!$L100/8</x:f>
        <x:v>0</x:v>
      </x:c>
      <x:c r="HF46" s="128" t="n">
        <x:f>'PROJECT TA Y TB KARINA'!$L100/8</x:f>
        <x:v>0</x:v>
      </x:c>
      <x:c r="HG46" s="128" t="n">
        <x:f>'PROJECT TA Y TB KARINA'!$L100/8</x:f>
        <x:v>0</x:v>
      </x:c>
      <x:c r="HH46" s="128" t="n">
        <x:f>'PROJECT TA Y TB KARINA'!$M100/8</x:f>
        <x:v>0</x:v>
      </x:c>
      <x:c r="HI46" s="128" t="n">
        <x:f>'PROJECT TA Y TB KARINA'!$M100/8</x:f>
        <x:v>0</x:v>
      </x:c>
      <x:c r="HJ46" s="128" t="n">
        <x:f>'PROJECT TA Y TB KARINA'!$M100/8</x:f>
        <x:v>0</x:v>
      </x:c>
      <x:c r="HK46" s="128" t="n">
        <x:f>'PROJECT TA Y TB KARINA'!$M100/8</x:f>
        <x:v>0</x:v>
      </x:c>
      <x:c r="HL46" s="128" t="n">
        <x:f>'PROJECT TA Y TB KARINA'!$M100/8</x:f>
        <x:v>0</x:v>
      </x:c>
      <x:c r="HM46" s="128" t="n">
        <x:f>'PROJECT TA Y TB KARINA'!$M100/8</x:f>
        <x:v>0</x:v>
      </x:c>
      <x:c r="HN46" s="128" t="n">
        <x:f>'PROJECT TA Y TB KARINA'!$M100/8</x:f>
        <x:v>0</x:v>
      </x:c>
      <x:c r="HO46" s="128" t="n">
        <x:f>'PROJECT TA Y TB KARINA'!$M100/8</x:f>
        <x:v>0</x:v>
      </x:c>
      <x:c r="HP46" s="128" t="n">
        <x:f>'PROJECT TA Y TB KARINA'!$N100/8</x:f>
        <x:v>0</x:v>
      </x:c>
      <x:c r="HQ46" s="128" t="n">
        <x:f>'PROJECT TA Y TB KARINA'!$N100/8</x:f>
        <x:v>0</x:v>
      </x:c>
      <x:c r="HR46" s="128" t="n">
        <x:f>'PROJECT TA Y TB KARINA'!$N100/8</x:f>
        <x:v>0</x:v>
      </x:c>
      <x:c r="HS46" s="128" t="n">
        <x:f>'PROJECT TA Y TB KARINA'!$N100/8</x:f>
        <x:v>0</x:v>
      </x:c>
      <x:c r="HT46" s="128" t="n">
        <x:f>'PROJECT TA Y TB KARINA'!$N100/8</x:f>
        <x:v>0</x:v>
      </x:c>
      <x:c r="HU46" s="128" t="n">
        <x:f>'PROJECT TA Y TB KARINA'!$N100/8</x:f>
        <x:v>0</x:v>
      </x:c>
      <x:c r="HV46" s="128" t="n">
        <x:f>'PROJECT TA Y TB KARINA'!$N100/8</x:f>
        <x:v>0</x:v>
      </x:c>
      <x:c r="HW46" s="128" t="n">
        <x:f>'PROJECT TA Y TB KARINA'!$N100/8</x:f>
        <x:v>0</x:v>
      </x:c>
      <x:c r="HX46" s="128" t="n">
        <x:f>'PROJECT TA Y TB KARINA'!$O100/8</x:f>
        <x:v>0</x:v>
      </x:c>
      <x:c r="HY46" s="128" t="n">
        <x:f>'PROJECT TA Y TB KARINA'!$O100/8</x:f>
        <x:v>0</x:v>
      </x:c>
      <x:c r="HZ46" s="128" t="n">
        <x:f>'PROJECT TA Y TB KARINA'!$O100/8</x:f>
        <x:v>0</x:v>
      </x:c>
      <x:c r="IA46" s="128" t="n">
        <x:f>'PROJECT TA Y TB KARINA'!$O100/8</x:f>
        <x:v>0</x:v>
      </x:c>
      <x:c r="IB46" s="128" t="n">
        <x:f>'PROJECT TA Y TB KARINA'!$O100/8</x:f>
        <x:v>0</x:v>
      </x:c>
      <x:c r="IC46" s="128" t="n">
        <x:f>'PROJECT TA Y TB KARINA'!$O100/8</x:f>
        <x:v>0</x:v>
      </x:c>
      <x:c r="ID46" s="128" t="n">
        <x:f>'PROJECT TA Y TB KARINA'!$O100/8</x:f>
        <x:v>0</x:v>
      </x:c>
      <x:c r="IE46" s="128" t="n">
        <x:f>'PROJECT TA Y TB KARINA'!$O100/8</x:f>
        <x:v>0</x:v>
      </x:c>
      <x:c r="IF46" s="128" t="n">
        <x:f>'PROJECT TA Y TB KARINA'!$P100/8</x:f>
        <x:v>0</x:v>
      </x:c>
      <x:c r="IG46" s="128" t="n">
        <x:f>'PROJECT TA Y TB KARINA'!$P100/8</x:f>
        <x:v>0</x:v>
      </x:c>
      <x:c r="IH46" s="128" t="n">
        <x:f>'PROJECT TA Y TB KARINA'!$P100/8</x:f>
        <x:v>0</x:v>
      </x:c>
      <x:c r="II46" s="128" t="n">
        <x:f>'PROJECT TA Y TB KARINA'!$P100/8</x:f>
        <x:v>0</x:v>
      </x:c>
      <x:c r="IJ46" s="128" t="n">
        <x:f>'PROJECT TA Y TB KARINA'!$P100/8</x:f>
        <x:v>0</x:v>
      </x:c>
      <x:c r="IK46" s="128" t="n">
        <x:f>'PROJECT TA Y TB KARINA'!$P100/8</x:f>
        <x:v>0</x:v>
      </x:c>
      <x:c r="IL46" s="128" t="n">
        <x:f>'PROJECT TA Y TB KARINA'!$P100/8</x:f>
        <x:v>0</x:v>
      </x:c>
      <x:c r="IM46" s="128" t="n">
        <x:f>'PROJECT TA Y TB KARINA'!$P100/8</x:f>
        <x:v>0</x:v>
      </x:c>
      <x:c r="IN46" s="128" t="n">
        <x:f>'PROJECT TA Y TB KARINA'!$Q100/8</x:f>
        <x:v>0</x:v>
      </x:c>
      <x:c r="IO46" s="128" t="n">
        <x:f>'PROJECT TA Y TB KARINA'!$Q100/8</x:f>
        <x:v>0</x:v>
      </x:c>
      <x:c r="IP46" s="128" t="n">
        <x:f>'PROJECT TA Y TB KARINA'!$Q100/8</x:f>
        <x:v>0</x:v>
      </x:c>
      <x:c r="IQ46" s="128" t="n">
        <x:f>'PROJECT TA Y TB KARINA'!$Q100/8</x:f>
        <x:v>0</x:v>
      </x:c>
      <x:c r="IR46" s="128" t="n">
        <x:f>'PROJECT TA Y TB KARINA'!$Q100/8</x:f>
        <x:v>0</x:v>
      </x:c>
      <x:c r="IS46" s="128" t="n">
        <x:f>'PROJECT TA Y TB KARINA'!$Q100/8</x:f>
        <x:v>0</x:v>
      </x:c>
      <x:c r="IT46" s="128" t="n">
        <x:f>'PROJECT TA Y TB KARINA'!$Q100/8</x:f>
        <x:v>0</x:v>
      </x:c>
      <x:c r="IU46" s="128" t="n">
        <x:f>'PROJECT TA Y TB KARINA'!$Q100/8</x:f>
        <x:v>0</x:v>
      </x:c>
      <x:c r="IV46" s="128" t="n">
        <x:f>'PROJECT TA Y TB KARINA'!$R100/8</x:f>
        <x:v>0</x:v>
      </x:c>
      <x:c r="IW46" s="128" t="n">
        <x:f>'PROJECT TA Y TB KARINA'!$R100/8</x:f>
        <x:v>0</x:v>
      </x:c>
      <x:c r="IX46" s="128" t="n">
        <x:f>'PROJECT TA Y TB KARINA'!$R100/8</x:f>
        <x:v>0</x:v>
      </x:c>
      <x:c r="IY46" s="128" t="n">
        <x:f>'PROJECT TA Y TB KARINA'!$R100/8</x:f>
        <x:v>0</x:v>
      </x:c>
      <x:c r="IZ46" s="128" t="n">
        <x:f>'PROJECT TA Y TB KARINA'!$R100/8</x:f>
        <x:v>0</x:v>
      </x:c>
      <x:c r="JA46" s="128" t="n">
        <x:f>'PROJECT TA Y TB KARINA'!$R100/8</x:f>
        <x:v>0</x:v>
      </x:c>
      <x:c r="JB46" s="128" t="n">
        <x:f>'PROJECT TA Y TB KARINA'!$R100/8</x:f>
        <x:v>0</x:v>
      </x:c>
      <x:c r="JC46" s="128" t="n">
        <x:f>'PROJECT TA Y TB KARINA'!$R100/8</x:f>
        <x:v>0</x:v>
      </x:c>
      <x:c r="JD46" s="128" t="n">
        <x:f>'PROJECT TA Y TB KARINA'!$S100/8</x:f>
        <x:v>0</x:v>
      </x:c>
      <x:c r="JE46" s="128" t="n">
        <x:f>'PROJECT TA Y TB KARINA'!$S100/8</x:f>
        <x:v>0</x:v>
      </x:c>
      <x:c r="JF46" s="128" t="n">
        <x:f>'PROJECT TA Y TB KARINA'!$S100/8</x:f>
        <x:v>0</x:v>
      </x:c>
      <x:c r="JG46" s="128" t="n">
        <x:f>'PROJECT TA Y TB KARINA'!$S100/8</x:f>
        <x:v>0</x:v>
      </x:c>
      <x:c r="JH46" s="128" t="n">
        <x:f>'PROJECT TA Y TB KARINA'!$S100/8</x:f>
        <x:v>0</x:v>
      </x:c>
      <x:c r="JI46" s="128" t="n">
        <x:f>'PROJECT TA Y TB KARINA'!$S100/8</x:f>
        <x:v>0</x:v>
      </x:c>
      <x:c r="JJ46" s="128" t="n">
        <x:f>'PROJECT TA Y TB KARINA'!$S100/8</x:f>
        <x:v>0</x:v>
      </x:c>
      <x:c r="JK46" s="128" t="n">
        <x:f>'PROJECT TA Y TB KARINA'!$S100/8</x:f>
        <x:v>0</x:v>
      </x:c>
      <x:c r="JL46" s="128" t="n">
        <x:f>'PROJECT TA Y TB KARINA'!$T100/8</x:f>
        <x:v>0</x:v>
      </x:c>
      <x:c r="JM46" s="128" t="n">
        <x:f>'PROJECT TA Y TB KARINA'!$T100/8</x:f>
        <x:v>0</x:v>
      </x:c>
      <x:c r="JN46" s="128" t="n">
        <x:f>'PROJECT TA Y TB KARINA'!$T100/8</x:f>
        <x:v>0</x:v>
      </x:c>
      <x:c r="JO46" s="128" t="n">
        <x:f>'PROJECT TA Y TB KARINA'!$T100/8</x:f>
        <x:v>0</x:v>
      </x:c>
      <x:c r="JP46" s="128" t="n">
        <x:f>'PROJECT TA Y TB KARINA'!$T100/8</x:f>
        <x:v>0</x:v>
      </x:c>
      <x:c r="JQ46" s="128" t="n">
        <x:f>'PROJECT TA Y TB KARINA'!$T100/8</x:f>
        <x:v>0</x:v>
      </x:c>
      <x:c r="JR46" s="128" t="n">
        <x:f>'PROJECT TA Y TB KARINA'!$T100/8</x:f>
        <x:v>0</x:v>
      </x:c>
      <x:c r="JS46" s="128" t="n">
        <x:f>'PROJECT TA Y TB KARINA'!$T100/8</x:f>
        <x:v>0</x:v>
      </x:c>
      <x:c r="JT46" s="128" t="e">
        <x:f>'PROJECT TA Y TB KARINA'!#REF!/8</x:f>
        <x:v>#NAME?</x:v>
      </x:c>
      <x:c r="JU46" s="128" t="e">
        <x:f>'PROJECT TA Y TB KARINA'!#REF!/8</x:f>
        <x:v>#NAME?</x:v>
      </x:c>
      <x:c r="JV46" s="128" t="e">
        <x:f>'PROJECT TA Y TB KARINA'!#REF!/8</x:f>
        <x:v>#NAME?</x:v>
      </x:c>
      <x:c r="JW46" s="128" t="e">
        <x:f>'PROJECT TA Y TB KARINA'!#REF!/8</x:f>
        <x:v>#NAME?</x:v>
      </x:c>
      <x:c r="JX46" s="128" t="e">
        <x:f>'PROJECT TA Y TB KARINA'!#REF!/8</x:f>
        <x:v>#NAME?</x:v>
      </x:c>
      <x:c r="JY46" s="128" t="e">
        <x:f>'PROJECT TA Y TB KARINA'!#REF!/8</x:f>
        <x:v>#NAME?</x:v>
      </x:c>
      <x:c r="JZ46" s="128" t="e">
        <x:f>'PROJECT TA Y TB KARINA'!#REF!/8</x:f>
        <x:v>#NAME?</x:v>
      </x:c>
      <x:c r="KA46" s="128" t="e">
        <x:f>'PROJECT TA Y TB KARINA'!#REF!/8</x:f>
        <x:v>#NAME?</x:v>
      </x:c>
    </x:row>
    <x:row r="47" ht="21">
      <x:c r="A47" s="130" t="s">
        <x:v>532</x:v>
      </x:c>
      <x:c r="B47" s="128" t="e">
        <x:f>'PROJECT TA Y TB KARINA'!$C$43/8</x:f>
        <x:v>#REF!</x:v>
      </x:c>
      <x:c r="C47" s="128" t="e">
        <x:f>'PROJECT TA Y TB KARINA'!$C$43/8</x:f>
        <x:v>#REF!</x:v>
      </x:c>
      <x:c r="D47" s="128" t="e">
        <x:f>'PROJECT TA Y TB KARINA'!$C$43/8</x:f>
        <x:v>#REF!</x:v>
      </x:c>
      <x:c r="E47" s="128" t="e">
        <x:f>'PROJECT TA Y TB KARINA'!$C$43/8</x:f>
        <x:v>#REF!</x:v>
      </x:c>
      <x:c r="F47" s="128" t="e">
        <x:f>'PROJECT TA Y TB KARINA'!$C$43/8</x:f>
        <x:v>#REF!</x:v>
      </x:c>
      <x:c r="G47" s="128" t="e">
        <x:f>'PROJECT TA Y TB KARINA'!$C$43/8</x:f>
        <x:v>#REF!</x:v>
      </x:c>
      <x:c r="H47" s="128" t="e">
        <x:f>'PROJECT TA Y TB KARINA'!$C$43/8</x:f>
        <x:v>#REF!</x:v>
      </x:c>
      <x:c r="I47" s="128" t="e">
        <x:f>'PROJECT TA Y TB KARINA'!$E43/8</x:f>
        <x:v>#REF!</x:v>
      </x:c>
      <x:c r="J47" s="128" t="e">
        <x:f>'PROJECT TA Y TB KARINA'!$E43/8</x:f>
        <x:v>#REF!</x:v>
      </x:c>
      <x:c r="K47" s="128" t="e">
        <x:f>'PROJECT TA Y TB KARINA'!$E43/8</x:f>
        <x:v>#REF!</x:v>
      </x:c>
      <x:c r="L47" s="128" t="e">
        <x:f>'PROJECT TA Y TB KARINA'!$E43/8</x:f>
        <x:v>#REF!</x:v>
      </x:c>
      <x:c r="M47" s="128" t="e">
        <x:f>'PROJECT TA Y TB KARINA'!$E43/8</x:f>
        <x:v>#REF!</x:v>
      </x:c>
      <x:c r="N47" s="128" t="e">
        <x:f>'PROJECT TA Y TB KARINA'!$E43/8</x:f>
        <x:v>#REF!</x:v>
      </x:c>
      <x:c r="O47" s="128" t="e">
        <x:f>'PROJECT TA Y TB KARINA'!$E43/8</x:f>
        <x:v>#REF!</x:v>
      </x:c>
      <x:c r="P47" s="128" t="e">
        <x:f>'PROJECT TA Y TB KARINA'!$E43/8</x:f>
        <x:v>#REF!</x:v>
      </x:c>
      <x:c r="Q47" s="128" t="e">
        <x:f>'PROJECT TA Y TB KARINA'!$F43/8</x:f>
        <x:v>#REF!</x:v>
      </x:c>
      <x:c r="R47" s="128" t="e">
        <x:f>'PROJECT TA Y TB KARINA'!$F43/8</x:f>
        <x:v>#REF!</x:v>
      </x:c>
      <x:c r="S47" s="128" t="e">
        <x:f>'PROJECT TA Y TB KARINA'!$F43/8</x:f>
        <x:v>#REF!</x:v>
      </x:c>
      <x:c r="T47" s="128" t="e">
        <x:f>'PROJECT TA Y TB KARINA'!$F43/8</x:f>
        <x:v>#REF!</x:v>
      </x:c>
      <x:c r="U47" s="128" t="e">
        <x:f>'PROJECT TA Y TB KARINA'!$F43/8</x:f>
        <x:v>#REF!</x:v>
      </x:c>
      <x:c r="V47" s="128" t="e">
        <x:f>'PROJECT TA Y TB KARINA'!$F43/8</x:f>
        <x:v>#REF!</x:v>
      </x:c>
      <x:c r="W47" s="128" t="e">
        <x:f>'PROJECT TA Y TB KARINA'!$F43/8</x:f>
        <x:v>#REF!</x:v>
      </x:c>
      <x:c r="X47" s="128" t="e">
        <x:f>'PROJECT TA Y TB KARINA'!$F43/8</x:f>
        <x:v>#REF!</x:v>
      </x:c>
      <x:c r="Y47" s="128" t="e">
        <x:f>'PROJECT TA Y TB KARINA'!$G43/8</x:f>
        <x:v>#REF!</x:v>
      </x:c>
      <x:c r="Z47" s="128" t="e">
        <x:f>'PROJECT TA Y TB KARINA'!$G43/8</x:f>
        <x:v>#REF!</x:v>
      </x:c>
      <x:c r="AA47" s="128" t="e">
        <x:f>'PROJECT TA Y TB KARINA'!$G43/8</x:f>
        <x:v>#REF!</x:v>
      </x:c>
      <x:c r="AB47" s="128" t="e">
        <x:f>'PROJECT TA Y TB KARINA'!$G43/8</x:f>
        <x:v>#REF!</x:v>
      </x:c>
      <x:c r="AC47" s="128" t="e">
        <x:f>'PROJECT TA Y TB KARINA'!$G43/8</x:f>
        <x:v>#REF!</x:v>
      </x:c>
      <x:c r="AD47" s="128" t="e">
        <x:f>'PROJECT TA Y TB KARINA'!$G43/8</x:f>
        <x:v>#REF!</x:v>
      </x:c>
      <x:c r="AE47" s="128" t="e">
        <x:f>'PROJECT TA Y TB KARINA'!$G43/8</x:f>
        <x:v>#REF!</x:v>
      </x:c>
      <x:c r="AF47" s="128" t="e">
        <x:f>'PROJECT TA Y TB KARINA'!$G43/8</x:f>
        <x:v>#REF!</x:v>
      </x:c>
      <x:c r="AG47" s="128" t="e">
        <x:f>'PROJECT TA Y TB KARINA'!$H43/8</x:f>
        <x:v>#REF!</x:v>
      </x:c>
      <x:c r="AH47" s="128" t="e">
        <x:f>'PROJECT TA Y TB KARINA'!$H43/8</x:f>
        <x:v>#REF!</x:v>
      </x:c>
      <x:c r="AI47" s="128" t="e">
        <x:f>'PROJECT TA Y TB KARINA'!$H43/8</x:f>
        <x:v>#REF!</x:v>
      </x:c>
      <x:c r="AJ47" s="128" t="e">
        <x:f>'PROJECT TA Y TB KARINA'!$H43/8</x:f>
        <x:v>#REF!</x:v>
      </x:c>
      <x:c r="AK47" s="128" t="e">
        <x:f>'PROJECT TA Y TB KARINA'!$H43/8</x:f>
        <x:v>#REF!</x:v>
      </x:c>
      <x:c r="AL47" s="128" t="e">
        <x:f>'PROJECT TA Y TB KARINA'!$H43/8</x:f>
        <x:v>#REF!</x:v>
      </x:c>
      <x:c r="AM47" s="128" t="e">
        <x:f>'PROJECT TA Y TB KARINA'!$H43/8</x:f>
        <x:v>#REF!</x:v>
      </x:c>
      <x:c r="AN47" s="128" t="e">
        <x:f>'PROJECT TA Y TB KARINA'!$H43/8</x:f>
        <x:v>#REF!</x:v>
      </x:c>
      <x:c r="AO47" s="128" t="e">
        <x:f>'PROJECT TA Y TB KARINA'!$I43/8</x:f>
        <x:v>#REF!</x:v>
      </x:c>
      <x:c r="AP47" s="128" t="e">
        <x:f>'PROJECT TA Y TB KARINA'!$I43/8</x:f>
        <x:v>#REF!</x:v>
      </x:c>
      <x:c r="AQ47" s="128" t="e">
        <x:f>'PROJECT TA Y TB KARINA'!$I43/8</x:f>
        <x:v>#REF!</x:v>
      </x:c>
      <x:c r="AR47" s="128" t="e">
        <x:f>'PROJECT TA Y TB KARINA'!$I43/8</x:f>
        <x:v>#REF!</x:v>
      </x:c>
      <x:c r="AS47" s="128" t="e">
        <x:f>'PROJECT TA Y TB KARINA'!$I43/8</x:f>
        <x:v>#REF!</x:v>
      </x:c>
      <x:c r="AT47" s="128" t="e">
        <x:f>'PROJECT TA Y TB KARINA'!$I43/8</x:f>
        <x:v>#REF!</x:v>
      </x:c>
      <x:c r="AU47" s="128" t="e">
        <x:f>'PROJECT TA Y TB KARINA'!$I43/8</x:f>
        <x:v>#REF!</x:v>
      </x:c>
      <x:c r="AV47" s="128" t="e">
        <x:f>'PROJECT TA Y TB KARINA'!$I43/8</x:f>
        <x:v>#REF!</x:v>
      </x:c>
      <x:c r="AW47" s="128" t="e">
        <x:f>'PROJECT TA Y TB KARINA'!$J43/8</x:f>
        <x:v>#REF!</x:v>
      </x:c>
      <x:c r="AX47" s="128" t="e">
        <x:f>'PROJECT TA Y TB KARINA'!$J43/8</x:f>
        <x:v>#REF!</x:v>
      </x:c>
      <x:c r="AY47" s="128" t="e">
        <x:f>'PROJECT TA Y TB KARINA'!$J43/8</x:f>
        <x:v>#REF!</x:v>
      </x:c>
      <x:c r="AZ47" s="128" t="e">
        <x:f>'PROJECT TA Y TB KARINA'!$J43/8</x:f>
        <x:v>#REF!</x:v>
      </x:c>
      <x:c r="BA47" s="128" t="e">
        <x:f>'PROJECT TA Y TB KARINA'!$J43/8</x:f>
        <x:v>#REF!</x:v>
      </x:c>
      <x:c r="BB47" s="128" t="e">
        <x:f>'PROJECT TA Y TB KARINA'!$J43/8</x:f>
        <x:v>#REF!</x:v>
      </x:c>
      <x:c r="BC47" s="128" t="e">
        <x:f>'PROJECT TA Y TB KARINA'!$J43/8</x:f>
        <x:v>#REF!</x:v>
      </x:c>
      <x:c r="BD47" s="128" t="e">
        <x:f>'PROJECT TA Y TB KARINA'!$J43/8</x:f>
        <x:v>#REF!</x:v>
      </x:c>
      <x:c r="BE47" s="128" t="e">
        <x:f>'PROJECT TA Y TB KARINA'!$K43/8</x:f>
        <x:v>#REF!</x:v>
      </x:c>
      <x:c r="BF47" s="128" t="e">
        <x:f>'PROJECT TA Y TB KARINA'!$K43/8</x:f>
        <x:v>#REF!</x:v>
      </x:c>
      <x:c r="BG47" s="128" t="e">
        <x:f>'PROJECT TA Y TB KARINA'!$K43/8</x:f>
        <x:v>#REF!</x:v>
      </x:c>
      <x:c r="BH47" s="128" t="e">
        <x:f>'PROJECT TA Y TB KARINA'!$K43/8</x:f>
        <x:v>#REF!</x:v>
      </x:c>
      <x:c r="BI47" s="128" t="e">
        <x:f>'PROJECT TA Y TB KARINA'!$K43/8</x:f>
        <x:v>#REF!</x:v>
      </x:c>
      <x:c r="BJ47" s="128" t="e">
        <x:f>'PROJECT TA Y TB KARINA'!$K43/8</x:f>
        <x:v>#REF!</x:v>
      </x:c>
      <x:c r="BK47" s="128" t="e">
        <x:f>'PROJECT TA Y TB KARINA'!$K43/8</x:f>
        <x:v>#REF!</x:v>
      </x:c>
      <x:c r="BL47" s="128" t="e">
        <x:f>'PROJECT TA Y TB KARINA'!$K43/8</x:f>
        <x:v>#REF!</x:v>
      </x:c>
      <x:c r="BM47" s="128" t="e">
        <x:f>'PROJECT TA Y TB KARINA'!$L43/8</x:f>
        <x:v>#REF!</x:v>
      </x:c>
      <x:c r="BN47" s="128" t="e">
        <x:f>'PROJECT TA Y TB KARINA'!$L43/8</x:f>
        <x:v>#REF!</x:v>
      </x:c>
      <x:c r="BO47" s="128" t="e">
        <x:f>'PROJECT TA Y TB KARINA'!$L43/8</x:f>
        <x:v>#REF!</x:v>
      </x:c>
      <x:c r="BP47" s="128" t="e">
        <x:f>'PROJECT TA Y TB KARINA'!$L43/8</x:f>
        <x:v>#REF!</x:v>
      </x:c>
      <x:c r="BQ47" s="128" t="e">
        <x:f>'PROJECT TA Y TB KARINA'!$L43/8</x:f>
        <x:v>#REF!</x:v>
      </x:c>
      <x:c r="BR47" s="128" t="e">
        <x:f>'PROJECT TA Y TB KARINA'!$L43/8</x:f>
        <x:v>#REF!</x:v>
      </x:c>
      <x:c r="BS47" s="128" t="e">
        <x:f>'PROJECT TA Y TB KARINA'!$L43/8</x:f>
        <x:v>#REF!</x:v>
      </x:c>
      <x:c r="BT47" s="128" t="e">
        <x:f>'PROJECT TA Y TB KARINA'!$L43/8</x:f>
        <x:v>#REF!</x:v>
      </x:c>
      <x:c r="BU47" s="128" t="e">
        <x:f>'PROJECT TA Y TB KARINA'!$M43/8</x:f>
        <x:v>#REF!</x:v>
      </x:c>
      <x:c r="BV47" s="128" t="e">
        <x:f>'PROJECT TA Y TB KARINA'!$M43/8</x:f>
        <x:v>#REF!</x:v>
      </x:c>
      <x:c r="BW47" s="128" t="e">
        <x:f>'PROJECT TA Y TB KARINA'!$M43/8</x:f>
        <x:v>#REF!</x:v>
      </x:c>
      <x:c r="BX47" s="128" t="e">
        <x:f>'PROJECT TA Y TB KARINA'!$M43/8</x:f>
        <x:v>#REF!</x:v>
      </x:c>
      <x:c r="BY47" s="128" t="e">
        <x:f>'PROJECT TA Y TB KARINA'!$M43/8</x:f>
        <x:v>#REF!</x:v>
      </x:c>
      <x:c r="BZ47" s="128" t="e">
        <x:f>'PROJECT TA Y TB KARINA'!$M43/8</x:f>
        <x:v>#REF!</x:v>
      </x:c>
      <x:c r="CA47" s="128" t="e">
        <x:f>'PROJECT TA Y TB KARINA'!$M43/8</x:f>
        <x:v>#REF!</x:v>
      </x:c>
      <x:c r="CB47" s="128" t="e">
        <x:f>'PROJECT TA Y TB KARINA'!$M43/8</x:f>
        <x:v>#REF!</x:v>
      </x:c>
      <x:c r="CC47" s="128" t="e">
        <x:f>'PROJECT TA Y TB KARINA'!$N43/8</x:f>
        <x:v>#REF!</x:v>
      </x:c>
      <x:c r="CD47" s="128" t="e">
        <x:f>'PROJECT TA Y TB KARINA'!$N43/8</x:f>
        <x:v>#REF!</x:v>
      </x:c>
      <x:c r="CE47" s="128" t="e">
        <x:f>'PROJECT TA Y TB KARINA'!$N43/8</x:f>
        <x:v>#REF!</x:v>
      </x:c>
      <x:c r="CF47" s="128" t="e">
        <x:f>'PROJECT TA Y TB KARINA'!$N43/8</x:f>
        <x:v>#REF!</x:v>
      </x:c>
      <x:c r="CG47" s="128" t="e">
        <x:f>'PROJECT TA Y TB KARINA'!$N43/8</x:f>
        <x:v>#REF!</x:v>
      </x:c>
      <x:c r="CH47" s="128" t="e">
        <x:f>'PROJECT TA Y TB KARINA'!$N43/8</x:f>
        <x:v>#REF!</x:v>
      </x:c>
      <x:c r="CI47" s="128" t="e">
        <x:f>'PROJECT TA Y TB KARINA'!$N43/8</x:f>
        <x:v>#REF!</x:v>
      </x:c>
      <x:c r="CJ47" s="128" t="e">
        <x:f>'PROJECT TA Y TB KARINA'!$N43/8</x:f>
        <x:v>#REF!</x:v>
      </x:c>
      <x:c r="CK47" s="128" t="e">
        <x:f>'PROJECT TA Y TB KARINA'!$O43/8</x:f>
        <x:v>#REF!</x:v>
      </x:c>
      <x:c r="CL47" s="128" t="e">
        <x:f>'PROJECT TA Y TB KARINA'!$O43/8</x:f>
        <x:v>#REF!</x:v>
      </x:c>
      <x:c r="CM47" s="128" t="e">
        <x:f>'PROJECT TA Y TB KARINA'!$O43/8</x:f>
        <x:v>#REF!</x:v>
      </x:c>
      <x:c r="CN47" s="128" t="e">
        <x:f>'PROJECT TA Y TB KARINA'!$O43/8</x:f>
        <x:v>#REF!</x:v>
      </x:c>
      <x:c r="CO47" s="128" t="e">
        <x:f>'PROJECT TA Y TB KARINA'!$O43/8</x:f>
        <x:v>#REF!</x:v>
      </x:c>
      <x:c r="CP47" s="128" t="e">
        <x:f>'PROJECT TA Y TB KARINA'!$O43/8</x:f>
        <x:v>#REF!</x:v>
      </x:c>
      <x:c r="CQ47" s="128" t="e">
        <x:f>'PROJECT TA Y TB KARINA'!$O43/8</x:f>
        <x:v>#REF!</x:v>
      </x:c>
      <x:c r="CR47" s="128" t="e">
        <x:f>'PROJECT TA Y TB KARINA'!$O43/8</x:f>
        <x:v>#REF!</x:v>
      </x:c>
      <x:c r="CS47" s="128" t="e">
        <x:f>'PROJECT TA Y TB KARINA'!$P43/8</x:f>
        <x:v>#REF!</x:v>
      </x:c>
      <x:c r="CT47" s="128" t="e">
        <x:f>'PROJECT TA Y TB KARINA'!$P43/8</x:f>
        <x:v>#REF!</x:v>
      </x:c>
      <x:c r="CU47" s="128" t="e">
        <x:f>'PROJECT TA Y TB KARINA'!$P43/8</x:f>
        <x:v>#REF!</x:v>
      </x:c>
      <x:c r="CV47" s="128" t="e">
        <x:f>'PROJECT TA Y TB KARINA'!$P43/8</x:f>
        <x:v>#REF!</x:v>
      </x:c>
      <x:c r="CW47" s="128" t="e">
        <x:f>'PROJECT TA Y TB KARINA'!$P43/8</x:f>
        <x:v>#REF!</x:v>
      </x:c>
      <x:c r="CX47" s="128" t="e">
        <x:f>'PROJECT TA Y TB KARINA'!$P43/8</x:f>
        <x:v>#REF!</x:v>
      </x:c>
      <x:c r="CY47" s="128" t="e">
        <x:f>'PROJECT TA Y TB KARINA'!$P43/8</x:f>
        <x:v>#REF!</x:v>
      </x:c>
      <x:c r="CZ47" s="128" t="e">
        <x:f>'PROJECT TA Y TB KARINA'!$P43/8</x:f>
        <x:v>#REF!</x:v>
      </x:c>
      <x:c r="DA47" s="128" t="e">
        <x:f>'PROJECT TA Y TB KARINA'!$Q43/8</x:f>
        <x:v>#REF!</x:v>
      </x:c>
      <x:c r="DB47" s="128" t="e">
        <x:f>'PROJECT TA Y TB KARINA'!$Q43/8</x:f>
        <x:v>#REF!</x:v>
      </x:c>
      <x:c r="DC47" s="128" t="e">
        <x:f>'PROJECT TA Y TB KARINA'!$Q43/8</x:f>
        <x:v>#REF!</x:v>
      </x:c>
      <x:c r="DD47" s="128" t="e">
        <x:f>'PROJECT TA Y TB KARINA'!$Q43/8</x:f>
        <x:v>#REF!</x:v>
      </x:c>
      <x:c r="DE47" s="128" t="e">
        <x:f>'PROJECT TA Y TB KARINA'!$Q43/8</x:f>
        <x:v>#REF!</x:v>
      </x:c>
      <x:c r="DF47" s="128" t="e">
        <x:f>'PROJECT TA Y TB KARINA'!$Q43/8</x:f>
        <x:v>#REF!</x:v>
      </x:c>
      <x:c r="DG47" s="128" t="e">
        <x:f>'PROJECT TA Y TB KARINA'!$Q43/8</x:f>
        <x:v>#REF!</x:v>
      </x:c>
      <x:c r="DH47" s="128" t="e">
        <x:f>'PROJECT TA Y TB KARINA'!$Q43/8</x:f>
        <x:v>#REF!</x:v>
      </x:c>
      <x:c r="DI47" s="128" t="e">
        <x:f>'PROJECT TA Y TB KARINA'!$R43/8</x:f>
        <x:v>#REF!</x:v>
      </x:c>
      <x:c r="DJ47" s="128" t="e">
        <x:f>'PROJECT TA Y TB KARINA'!$R43/8</x:f>
        <x:v>#REF!</x:v>
      </x:c>
      <x:c r="DK47" s="128" t="e">
        <x:f>'PROJECT TA Y TB KARINA'!$R43/8</x:f>
        <x:v>#REF!</x:v>
      </x:c>
      <x:c r="DL47" s="128" t="e">
        <x:f>'PROJECT TA Y TB KARINA'!$R43/8</x:f>
        <x:v>#REF!</x:v>
      </x:c>
      <x:c r="DM47" s="128" t="e">
        <x:f>'PROJECT TA Y TB KARINA'!$R43/8</x:f>
        <x:v>#REF!</x:v>
      </x:c>
      <x:c r="DN47" s="128" t="e">
        <x:f>'PROJECT TA Y TB KARINA'!$R43/8</x:f>
        <x:v>#REF!</x:v>
      </x:c>
      <x:c r="DO47" s="128" t="e">
        <x:f>'PROJECT TA Y TB KARINA'!$R43/8</x:f>
        <x:v>#REF!</x:v>
      </x:c>
      <x:c r="DP47" s="128" t="e">
        <x:f>'PROJECT TA Y TB KARINA'!$R43/8</x:f>
        <x:v>#REF!</x:v>
      </x:c>
      <x:c r="DQ47" s="128" t="e">
        <x:f>'PROJECT TA Y TB KARINA'!$S43/8</x:f>
        <x:v>#REF!</x:v>
      </x:c>
      <x:c r="DR47" s="128" t="e">
        <x:f>'PROJECT TA Y TB KARINA'!$S43/8</x:f>
        <x:v>#REF!</x:v>
      </x:c>
      <x:c r="DS47" s="128" t="e">
        <x:f>'PROJECT TA Y TB KARINA'!$S43/8</x:f>
        <x:v>#REF!</x:v>
      </x:c>
      <x:c r="DT47" s="128" t="e">
        <x:f>'PROJECT TA Y TB KARINA'!$S43/8</x:f>
        <x:v>#REF!</x:v>
      </x:c>
      <x:c r="DU47" s="128" t="e">
        <x:f>'PROJECT TA Y TB KARINA'!$S43/8</x:f>
        <x:v>#REF!</x:v>
      </x:c>
      <x:c r="DV47" s="128" t="e">
        <x:f>'PROJECT TA Y TB KARINA'!$S43/8</x:f>
        <x:v>#REF!</x:v>
      </x:c>
      <x:c r="DW47" s="128" t="e">
        <x:f>'PROJECT TA Y TB KARINA'!$S43/8</x:f>
        <x:v>#REF!</x:v>
      </x:c>
      <x:c r="DX47" s="128" t="e">
        <x:f>'PROJECT TA Y TB KARINA'!$S43/8</x:f>
        <x:v>#REF!</x:v>
      </x:c>
      <x:c r="DY47" s="128" t="e">
        <x:f>'PROJECT TA Y TB KARINA'!$T43/8</x:f>
        <x:v>#REF!</x:v>
      </x:c>
      <x:c r="DZ47" s="128" t="e">
        <x:f>'PROJECT TA Y TB KARINA'!$T43/8</x:f>
        <x:v>#REF!</x:v>
      </x:c>
      <x:c r="EA47" s="128" t="e">
        <x:f>'PROJECT TA Y TB KARINA'!$T43/8</x:f>
        <x:v>#REF!</x:v>
      </x:c>
      <x:c r="EB47" s="128" t="e">
        <x:f>'PROJECT TA Y TB KARINA'!$T43/8</x:f>
        <x:v>#REF!</x:v>
      </x:c>
      <x:c r="EC47" s="128" t="e">
        <x:f>'PROJECT TA Y TB KARINA'!$T43/8</x:f>
        <x:v>#REF!</x:v>
      </x:c>
      <x:c r="ED47" s="128" t="e">
        <x:f>'PROJECT TA Y TB KARINA'!$T43/8</x:f>
        <x:v>#REF!</x:v>
      </x:c>
      <x:c r="EE47" s="128" t="e">
        <x:f>'PROJECT TA Y TB KARINA'!$T43/8</x:f>
        <x:v>#REF!</x:v>
      </x:c>
      <x:c r="EF47" s="128" t="e">
        <x:f>'PROJECT TA Y TB KARINA'!$T43/8</x:f>
        <x:v>#REF!</x:v>
      </x:c>
      <x:c r="EG47" s="128" t="e">
        <x:f>'PROJECT TA Y TB KARINA'!#REF!/8</x:f>
        <x:v>#NAME?</x:v>
      </x:c>
      <x:c r="EH47" s="128" t="e">
        <x:f>'PROJECT TA Y TB KARINA'!#REF!/8</x:f>
        <x:v>#NAME?</x:v>
      </x:c>
      <x:c r="EI47" s="128" t="e">
        <x:f>'PROJECT TA Y TB KARINA'!#REF!/8</x:f>
        <x:v>#NAME?</x:v>
      </x:c>
      <x:c r="EJ47" s="128" t="e">
        <x:f>'PROJECT TA Y TB KARINA'!#REF!/8</x:f>
        <x:v>#NAME?</x:v>
      </x:c>
      <x:c r="EK47" s="128" t="e">
        <x:f>'PROJECT TA Y TB KARINA'!#REF!/8</x:f>
        <x:v>#NAME?</x:v>
      </x:c>
      <x:c r="EL47" s="128" t="e">
        <x:f>'PROJECT TA Y TB KARINA'!#REF!/8</x:f>
        <x:v>#NAME?</x:v>
      </x:c>
      <x:c r="EM47" s="128" t="e">
        <x:f>'PROJECT TA Y TB KARINA'!#REF!/8</x:f>
        <x:v>#NAME?</x:v>
      </x:c>
      <x:c r="EN47" s="128" t="e">
        <x:f>'PROJECT TA Y TB KARINA'!#REF!/8</x:f>
        <x:v>#NAME?</x:v>
      </x:c>
      <x:c r="EO47" s="128" t="n">
        <x:f>'PROJECT TA Y TB KARINA'!$C101/8</x:f>
        <x:v>0</x:v>
      </x:c>
      <x:c r="EP47" s="128" t="n">
        <x:f>'PROJECT TA Y TB KARINA'!$C101/8</x:f>
        <x:v>0</x:v>
      </x:c>
      <x:c r="EQ47" s="128" t="n">
        <x:f>'PROJECT TA Y TB KARINA'!$C101/8</x:f>
        <x:v>0</x:v>
      </x:c>
      <x:c r="ER47" s="128" t="n">
        <x:f>'PROJECT TA Y TB KARINA'!$C101/8</x:f>
        <x:v>0</x:v>
      </x:c>
      <x:c r="ES47" s="128" t="n">
        <x:f>'PROJECT TA Y TB KARINA'!$C101/8</x:f>
        <x:v>0</x:v>
      </x:c>
      <x:c r="ET47" s="128" t="n">
        <x:f>'PROJECT TA Y TB KARINA'!$C101/8</x:f>
        <x:v>0</x:v>
      </x:c>
      <x:c r="EU47" s="128" t="n">
        <x:f>'PROJECT TA Y TB KARINA'!$C101/8</x:f>
        <x:v>0</x:v>
      </x:c>
      <x:c r="EV47" s="128" t="n">
        <x:f>'PROJECT TA Y TB KARINA'!$E101/8</x:f>
        <x:v>0</x:v>
      </x:c>
      <x:c r="EW47" s="128" t="n">
        <x:f>'PROJECT TA Y TB KARINA'!$E101/8</x:f>
        <x:v>0</x:v>
      </x:c>
      <x:c r="EX47" s="128" t="n">
        <x:f>'PROJECT TA Y TB KARINA'!$E101/8</x:f>
        <x:v>0</x:v>
      </x:c>
      <x:c r="EY47" s="128" t="n">
        <x:f>'PROJECT TA Y TB KARINA'!$E101/8</x:f>
        <x:v>0</x:v>
      </x:c>
      <x:c r="EZ47" s="128" t="n">
        <x:f>'PROJECT TA Y TB KARINA'!$E101/8</x:f>
        <x:v>0</x:v>
      </x:c>
      <x:c r="FA47" s="128" t="n">
        <x:f>'PROJECT TA Y TB KARINA'!$E101/8</x:f>
        <x:v>0</x:v>
      </x:c>
      <x:c r="FB47" s="128" t="n">
        <x:f>'PROJECT TA Y TB KARINA'!$E101/8</x:f>
        <x:v>0</x:v>
      </x:c>
      <x:c r="FC47" s="128" t="n">
        <x:f>'PROJECT TA Y TB KARINA'!$E101/8</x:f>
        <x:v>0</x:v>
      </x:c>
      <x:c r="FD47" s="128" t="n">
        <x:f>'PROJECT TA Y TB KARINA'!$F101/8</x:f>
        <x:v>0</x:v>
      </x:c>
      <x:c r="FE47" s="128" t="n">
        <x:f>'PROJECT TA Y TB KARINA'!$F101/8</x:f>
        <x:v>0</x:v>
      </x:c>
      <x:c r="FF47" s="128" t="n">
        <x:f>'PROJECT TA Y TB KARINA'!$F101/8</x:f>
        <x:v>0</x:v>
      </x:c>
      <x:c r="FG47" s="128" t="n">
        <x:f>'PROJECT TA Y TB KARINA'!$F101/8</x:f>
        <x:v>0</x:v>
      </x:c>
      <x:c r="FH47" s="128" t="n">
        <x:f>'PROJECT TA Y TB KARINA'!$F101/8</x:f>
        <x:v>0</x:v>
      </x:c>
      <x:c r="FI47" s="128" t="n">
        <x:f>'PROJECT TA Y TB KARINA'!$F101/8</x:f>
        <x:v>0</x:v>
      </x:c>
      <x:c r="FJ47" s="128" t="n">
        <x:f>'PROJECT TA Y TB KARINA'!$F101/8</x:f>
        <x:v>0</x:v>
      </x:c>
      <x:c r="FK47" s="128" t="n">
        <x:f>'PROJECT TA Y TB KARINA'!$F101/8</x:f>
        <x:v>0</x:v>
      </x:c>
      <x:c r="FL47" s="128" t="n">
        <x:f>'PROJECT TA Y TB KARINA'!$G101/8</x:f>
        <x:v>0</x:v>
      </x:c>
      <x:c r="FM47" s="128" t="n">
        <x:f>'PROJECT TA Y TB KARINA'!$G101/8</x:f>
        <x:v>0</x:v>
      </x:c>
      <x:c r="FN47" s="128" t="n">
        <x:f>'PROJECT TA Y TB KARINA'!$G101/8</x:f>
        <x:v>0</x:v>
      </x:c>
      <x:c r="FO47" s="128" t="n">
        <x:f>'PROJECT TA Y TB KARINA'!$G101/8</x:f>
        <x:v>0</x:v>
      </x:c>
      <x:c r="FP47" s="128" t="n">
        <x:f>'PROJECT TA Y TB KARINA'!$G101/8</x:f>
        <x:v>0</x:v>
      </x:c>
      <x:c r="FQ47" s="128" t="n">
        <x:f>'PROJECT TA Y TB KARINA'!$G101/8</x:f>
        <x:v>0</x:v>
      </x:c>
      <x:c r="FR47" s="128" t="n">
        <x:f>'PROJECT TA Y TB KARINA'!$G101/8</x:f>
        <x:v>0</x:v>
      </x:c>
      <x:c r="FS47" s="128" t="n">
        <x:f>'PROJECT TA Y TB KARINA'!$G101/8</x:f>
        <x:v>0</x:v>
      </x:c>
      <x:c r="FT47" s="128" t="n">
        <x:f>'PROJECT TA Y TB KARINA'!$H101/8</x:f>
        <x:v>0</x:v>
      </x:c>
      <x:c r="FU47" s="128" t="n">
        <x:f>'PROJECT TA Y TB KARINA'!$H101/8</x:f>
        <x:v>0</x:v>
      </x:c>
      <x:c r="FV47" s="128" t="n">
        <x:f>'PROJECT TA Y TB KARINA'!$H101/8</x:f>
        <x:v>0</x:v>
      </x:c>
      <x:c r="FW47" s="128" t="n">
        <x:f>'PROJECT TA Y TB KARINA'!$H101/8</x:f>
        <x:v>0</x:v>
      </x:c>
      <x:c r="FX47" s="128" t="n">
        <x:f>'PROJECT TA Y TB KARINA'!$H101/8</x:f>
        <x:v>0</x:v>
      </x:c>
      <x:c r="FY47" s="128" t="n">
        <x:f>'PROJECT TA Y TB KARINA'!$H101/8</x:f>
        <x:v>0</x:v>
      </x:c>
      <x:c r="FZ47" s="128" t="n">
        <x:f>'PROJECT TA Y TB KARINA'!$H101/8</x:f>
        <x:v>0</x:v>
      </x:c>
      <x:c r="GA47" s="128" t="n">
        <x:f>'PROJECT TA Y TB KARINA'!$H101/8</x:f>
        <x:v>0</x:v>
      </x:c>
      <x:c r="GB47" s="128" t="n">
        <x:f>'PROJECT TA Y TB KARINA'!$I101/8</x:f>
        <x:v>0</x:v>
      </x:c>
      <x:c r="GC47" s="128" t="n">
        <x:f>'PROJECT TA Y TB KARINA'!$I101/8</x:f>
        <x:v>0</x:v>
      </x:c>
      <x:c r="GD47" s="128" t="n">
        <x:f>'PROJECT TA Y TB KARINA'!$I101/8</x:f>
        <x:v>0</x:v>
      </x:c>
      <x:c r="GE47" s="128" t="n">
        <x:f>'PROJECT TA Y TB KARINA'!$I101/8</x:f>
        <x:v>0</x:v>
      </x:c>
      <x:c r="GF47" s="128" t="n">
        <x:f>'PROJECT TA Y TB KARINA'!$I101/8</x:f>
        <x:v>0</x:v>
      </x:c>
      <x:c r="GG47" s="128" t="n">
        <x:f>'PROJECT TA Y TB KARINA'!$I101/8</x:f>
        <x:v>0</x:v>
      </x:c>
      <x:c r="GH47" s="128" t="n">
        <x:f>'PROJECT TA Y TB KARINA'!$I101/8</x:f>
        <x:v>0</x:v>
      </x:c>
      <x:c r="GI47" s="128" t="n">
        <x:f>'PROJECT TA Y TB KARINA'!$I101/8</x:f>
        <x:v>0</x:v>
      </x:c>
      <x:c r="GJ47" s="128" t="n">
        <x:f>'PROJECT TA Y TB KARINA'!$J101/8</x:f>
        <x:v>0</x:v>
      </x:c>
      <x:c r="GK47" s="128" t="n">
        <x:f>'PROJECT TA Y TB KARINA'!$J101/8</x:f>
        <x:v>0</x:v>
      </x:c>
      <x:c r="GL47" s="128" t="n">
        <x:f>'PROJECT TA Y TB KARINA'!$J101/8</x:f>
        <x:v>0</x:v>
      </x:c>
      <x:c r="GM47" s="128" t="n">
        <x:f>'PROJECT TA Y TB KARINA'!$J101/8</x:f>
        <x:v>0</x:v>
      </x:c>
      <x:c r="GN47" s="128" t="n">
        <x:f>'PROJECT TA Y TB KARINA'!$J101/8</x:f>
        <x:v>0</x:v>
      </x:c>
      <x:c r="GO47" s="128" t="n">
        <x:f>'PROJECT TA Y TB KARINA'!$J101/8</x:f>
        <x:v>0</x:v>
      </x:c>
      <x:c r="GP47" s="128" t="n">
        <x:f>'PROJECT TA Y TB KARINA'!$J101/8</x:f>
        <x:v>0</x:v>
      </x:c>
      <x:c r="GQ47" s="128" t="n">
        <x:f>'PROJECT TA Y TB KARINA'!$J101/8</x:f>
        <x:v>0</x:v>
      </x:c>
      <x:c r="GR47" s="128" t="n">
        <x:f>'PROJECT TA Y TB KARINA'!$K101/8</x:f>
        <x:v>0</x:v>
      </x:c>
      <x:c r="GS47" s="128" t="n">
        <x:f>'PROJECT TA Y TB KARINA'!$K101/8</x:f>
        <x:v>0</x:v>
      </x:c>
      <x:c r="GT47" s="128" t="n">
        <x:f>'PROJECT TA Y TB KARINA'!$K101/8</x:f>
        <x:v>0</x:v>
      </x:c>
      <x:c r="GU47" s="128" t="n">
        <x:f>'PROJECT TA Y TB KARINA'!$K101/8</x:f>
        <x:v>0</x:v>
      </x:c>
      <x:c r="GV47" s="128" t="n">
        <x:f>'PROJECT TA Y TB KARINA'!$K101/8</x:f>
        <x:v>0</x:v>
      </x:c>
      <x:c r="GW47" s="128" t="n">
        <x:f>'PROJECT TA Y TB KARINA'!$K101/8</x:f>
        <x:v>0</x:v>
      </x:c>
      <x:c r="GX47" s="128" t="n">
        <x:f>'PROJECT TA Y TB KARINA'!$K101/8</x:f>
        <x:v>0</x:v>
      </x:c>
      <x:c r="GY47" s="128" t="n">
        <x:f>'PROJECT TA Y TB KARINA'!$K101/8</x:f>
        <x:v>0</x:v>
      </x:c>
      <x:c r="GZ47" s="128" t="n">
        <x:f>'PROJECT TA Y TB KARINA'!$L101/8</x:f>
        <x:v>0</x:v>
      </x:c>
      <x:c r="HA47" s="128" t="n">
        <x:f>'PROJECT TA Y TB KARINA'!$L101/8</x:f>
        <x:v>0</x:v>
      </x:c>
      <x:c r="HB47" s="128" t="n">
        <x:f>'PROJECT TA Y TB KARINA'!$L101/8</x:f>
        <x:v>0</x:v>
      </x:c>
      <x:c r="HC47" s="128" t="n">
        <x:f>'PROJECT TA Y TB KARINA'!$L101/8</x:f>
        <x:v>0</x:v>
      </x:c>
      <x:c r="HD47" s="128" t="n">
        <x:f>'PROJECT TA Y TB KARINA'!$L101/8</x:f>
        <x:v>0</x:v>
      </x:c>
      <x:c r="HE47" s="128" t="n">
        <x:f>'PROJECT TA Y TB KARINA'!$L101/8</x:f>
        <x:v>0</x:v>
      </x:c>
      <x:c r="HF47" s="128" t="n">
        <x:f>'PROJECT TA Y TB KARINA'!$L101/8</x:f>
        <x:v>0</x:v>
      </x:c>
      <x:c r="HG47" s="128" t="n">
        <x:f>'PROJECT TA Y TB KARINA'!$L101/8</x:f>
        <x:v>0</x:v>
      </x:c>
      <x:c r="HH47" s="128" t="n">
        <x:f>'PROJECT TA Y TB KARINA'!$M101/8</x:f>
        <x:v>0</x:v>
      </x:c>
      <x:c r="HI47" s="128" t="n">
        <x:f>'PROJECT TA Y TB KARINA'!$M101/8</x:f>
        <x:v>0</x:v>
      </x:c>
      <x:c r="HJ47" s="128" t="n">
        <x:f>'PROJECT TA Y TB KARINA'!$M101/8</x:f>
        <x:v>0</x:v>
      </x:c>
      <x:c r="HK47" s="128" t="n">
        <x:f>'PROJECT TA Y TB KARINA'!$M101/8</x:f>
        <x:v>0</x:v>
      </x:c>
      <x:c r="HL47" s="128" t="n">
        <x:f>'PROJECT TA Y TB KARINA'!$M101/8</x:f>
        <x:v>0</x:v>
      </x:c>
      <x:c r="HM47" s="128" t="n">
        <x:f>'PROJECT TA Y TB KARINA'!$M101/8</x:f>
        <x:v>0</x:v>
      </x:c>
      <x:c r="HN47" s="128" t="n">
        <x:f>'PROJECT TA Y TB KARINA'!$M101/8</x:f>
        <x:v>0</x:v>
      </x:c>
      <x:c r="HO47" s="128" t="n">
        <x:f>'PROJECT TA Y TB KARINA'!$M101/8</x:f>
        <x:v>0</x:v>
      </x:c>
      <x:c r="HP47" s="128" t="n">
        <x:f>'PROJECT TA Y TB KARINA'!$N101/8</x:f>
        <x:v>0</x:v>
      </x:c>
      <x:c r="HQ47" s="128" t="n">
        <x:f>'PROJECT TA Y TB KARINA'!$N101/8</x:f>
        <x:v>0</x:v>
      </x:c>
      <x:c r="HR47" s="128" t="n">
        <x:f>'PROJECT TA Y TB KARINA'!$N101/8</x:f>
        <x:v>0</x:v>
      </x:c>
      <x:c r="HS47" s="128" t="n">
        <x:f>'PROJECT TA Y TB KARINA'!$N101/8</x:f>
        <x:v>0</x:v>
      </x:c>
      <x:c r="HT47" s="128" t="n">
        <x:f>'PROJECT TA Y TB KARINA'!$N101/8</x:f>
        <x:v>0</x:v>
      </x:c>
      <x:c r="HU47" s="128" t="n">
        <x:f>'PROJECT TA Y TB KARINA'!$N101/8</x:f>
        <x:v>0</x:v>
      </x:c>
      <x:c r="HV47" s="128" t="n">
        <x:f>'PROJECT TA Y TB KARINA'!$N101/8</x:f>
        <x:v>0</x:v>
      </x:c>
      <x:c r="HW47" s="128" t="n">
        <x:f>'PROJECT TA Y TB KARINA'!$N101/8</x:f>
        <x:v>0</x:v>
      </x:c>
      <x:c r="HX47" s="128" t="n">
        <x:f>'PROJECT TA Y TB KARINA'!$O101/8</x:f>
        <x:v>0</x:v>
      </x:c>
      <x:c r="HY47" s="128" t="n">
        <x:f>'PROJECT TA Y TB KARINA'!$O101/8</x:f>
        <x:v>0</x:v>
      </x:c>
      <x:c r="HZ47" s="128" t="n">
        <x:f>'PROJECT TA Y TB KARINA'!$O101/8</x:f>
        <x:v>0</x:v>
      </x:c>
      <x:c r="IA47" s="128" t="n">
        <x:f>'PROJECT TA Y TB KARINA'!$O101/8</x:f>
        <x:v>0</x:v>
      </x:c>
      <x:c r="IB47" s="128" t="n">
        <x:f>'PROJECT TA Y TB KARINA'!$O101/8</x:f>
        <x:v>0</x:v>
      </x:c>
      <x:c r="IC47" s="128" t="n">
        <x:f>'PROJECT TA Y TB KARINA'!$O101/8</x:f>
        <x:v>0</x:v>
      </x:c>
      <x:c r="ID47" s="128" t="n">
        <x:f>'PROJECT TA Y TB KARINA'!$O101/8</x:f>
        <x:v>0</x:v>
      </x:c>
      <x:c r="IE47" s="128" t="n">
        <x:f>'PROJECT TA Y TB KARINA'!$O101/8</x:f>
        <x:v>0</x:v>
      </x:c>
      <x:c r="IF47" s="128" t="n">
        <x:f>'PROJECT TA Y TB KARINA'!$P101/8</x:f>
        <x:v>0</x:v>
      </x:c>
      <x:c r="IG47" s="128" t="n">
        <x:f>'PROJECT TA Y TB KARINA'!$P101/8</x:f>
        <x:v>0</x:v>
      </x:c>
      <x:c r="IH47" s="128" t="n">
        <x:f>'PROJECT TA Y TB KARINA'!$P101/8</x:f>
        <x:v>0</x:v>
      </x:c>
      <x:c r="II47" s="128" t="n">
        <x:f>'PROJECT TA Y TB KARINA'!$P101/8</x:f>
        <x:v>0</x:v>
      </x:c>
      <x:c r="IJ47" s="128" t="n">
        <x:f>'PROJECT TA Y TB KARINA'!$P101/8</x:f>
        <x:v>0</x:v>
      </x:c>
      <x:c r="IK47" s="128" t="n">
        <x:f>'PROJECT TA Y TB KARINA'!$P101/8</x:f>
        <x:v>0</x:v>
      </x:c>
      <x:c r="IL47" s="128" t="n">
        <x:f>'PROJECT TA Y TB KARINA'!$P101/8</x:f>
        <x:v>0</x:v>
      </x:c>
      <x:c r="IM47" s="128" t="n">
        <x:f>'PROJECT TA Y TB KARINA'!$P101/8</x:f>
        <x:v>0</x:v>
      </x:c>
      <x:c r="IN47" s="128" t="n">
        <x:f>'PROJECT TA Y TB KARINA'!$Q101/8</x:f>
        <x:v>0</x:v>
      </x:c>
      <x:c r="IO47" s="128" t="n">
        <x:f>'PROJECT TA Y TB KARINA'!$Q101/8</x:f>
        <x:v>0</x:v>
      </x:c>
      <x:c r="IP47" s="128" t="n">
        <x:f>'PROJECT TA Y TB KARINA'!$Q101/8</x:f>
        <x:v>0</x:v>
      </x:c>
      <x:c r="IQ47" s="128" t="n">
        <x:f>'PROJECT TA Y TB KARINA'!$Q101/8</x:f>
        <x:v>0</x:v>
      </x:c>
      <x:c r="IR47" s="128" t="n">
        <x:f>'PROJECT TA Y TB KARINA'!$Q101/8</x:f>
        <x:v>0</x:v>
      </x:c>
      <x:c r="IS47" s="128" t="n">
        <x:f>'PROJECT TA Y TB KARINA'!$Q101/8</x:f>
        <x:v>0</x:v>
      </x:c>
      <x:c r="IT47" s="128" t="n">
        <x:f>'PROJECT TA Y TB KARINA'!$Q101/8</x:f>
        <x:v>0</x:v>
      </x:c>
      <x:c r="IU47" s="128" t="n">
        <x:f>'PROJECT TA Y TB KARINA'!$Q101/8</x:f>
        <x:v>0</x:v>
      </x:c>
      <x:c r="IV47" s="128" t="n">
        <x:f>'PROJECT TA Y TB KARINA'!$R101/8</x:f>
        <x:v>0</x:v>
      </x:c>
      <x:c r="IW47" s="128" t="n">
        <x:f>'PROJECT TA Y TB KARINA'!$R101/8</x:f>
        <x:v>0</x:v>
      </x:c>
      <x:c r="IX47" s="128" t="n">
        <x:f>'PROJECT TA Y TB KARINA'!$R101/8</x:f>
        <x:v>0</x:v>
      </x:c>
      <x:c r="IY47" s="128" t="n">
        <x:f>'PROJECT TA Y TB KARINA'!$R101/8</x:f>
        <x:v>0</x:v>
      </x:c>
      <x:c r="IZ47" s="128" t="n">
        <x:f>'PROJECT TA Y TB KARINA'!$R101/8</x:f>
        <x:v>0</x:v>
      </x:c>
      <x:c r="JA47" s="128" t="n">
        <x:f>'PROJECT TA Y TB KARINA'!$R101/8</x:f>
        <x:v>0</x:v>
      </x:c>
      <x:c r="JB47" s="128" t="n">
        <x:f>'PROJECT TA Y TB KARINA'!$R101/8</x:f>
        <x:v>0</x:v>
      </x:c>
      <x:c r="JC47" s="128" t="n">
        <x:f>'PROJECT TA Y TB KARINA'!$R101/8</x:f>
        <x:v>0</x:v>
      </x:c>
      <x:c r="JD47" s="128" t="n">
        <x:f>'PROJECT TA Y TB KARINA'!$S101/8</x:f>
        <x:v>0</x:v>
      </x:c>
      <x:c r="JE47" s="128" t="n">
        <x:f>'PROJECT TA Y TB KARINA'!$S101/8</x:f>
        <x:v>0</x:v>
      </x:c>
      <x:c r="JF47" s="128" t="n">
        <x:f>'PROJECT TA Y TB KARINA'!$S101/8</x:f>
        <x:v>0</x:v>
      </x:c>
      <x:c r="JG47" s="128" t="n">
        <x:f>'PROJECT TA Y TB KARINA'!$S101/8</x:f>
        <x:v>0</x:v>
      </x:c>
      <x:c r="JH47" s="128" t="n">
        <x:f>'PROJECT TA Y TB KARINA'!$S101/8</x:f>
        <x:v>0</x:v>
      </x:c>
      <x:c r="JI47" s="128" t="n">
        <x:f>'PROJECT TA Y TB KARINA'!$S101/8</x:f>
        <x:v>0</x:v>
      </x:c>
      <x:c r="JJ47" s="128" t="n">
        <x:f>'PROJECT TA Y TB KARINA'!$S101/8</x:f>
        <x:v>0</x:v>
      </x:c>
      <x:c r="JK47" s="128" t="n">
        <x:f>'PROJECT TA Y TB KARINA'!$S101/8</x:f>
        <x:v>0</x:v>
      </x:c>
      <x:c r="JL47" s="128" t="n">
        <x:f>'PROJECT TA Y TB KARINA'!$T101/8</x:f>
        <x:v>0</x:v>
      </x:c>
      <x:c r="JM47" s="128" t="n">
        <x:f>'PROJECT TA Y TB KARINA'!$T101/8</x:f>
        <x:v>0</x:v>
      </x:c>
      <x:c r="JN47" s="128" t="n">
        <x:f>'PROJECT TA Y TB KARINA'!$T101/8</x:f>
        <x:v>0</x:v>
      </x:c>
      <x:c r="JO47" s="128" t="n">
        <x:f>'PROJECT TA Y TB KARINA'!$T101/8</x:f>
        <x:v>0</x:v>
      </x:c>
      <x:c r="JP47" s="128" t="n">
        <x:f>'PROJECT TA Y TB KARINA'!$T101/8</x:f>
        <x:v>0</x:v>
      </x:c>
      <x:c r="JQ47" s="128" t="n">
        <x:f>'PROJECT TA Y TB KARINA'!$T101/8</x:f>
        <x:v>0</x:v>
      </x:c>
      <x:c r="JR47" s="128" t="n">
        <x:f>'PROJECT TA Y TB KARINA'!$T101/8</x:f>
        <x:v>0</x:v>
      </x:c>
      <x:c r="JS47" s="128" t="n">
        <x:f>'PROJECT TA Y TB KARINA'!$T101/8</x:f>
        <x:v>0</x:v>
      </x:c>
      <x:c r="JT47" s="128" t="e">
        <x:f>'PROJECT TA Y TB KARINA'!#REF!/8</x:f>
        <x:v>#NAME?</x:v>
      </x:c>
      <x:c r="JU47" s="128" t="e">
        <x:f>'PROJECT TA Y TB KARINA'!#REF!/8</x:f>
        <x:v>#NAME?</x:v>
      </x:c>
      <x:c r="JV47" s="128" t="e">
        <x:f>'PROJECT TA Y TB KARINA'!#REF!/8</x:f>
        <x:v>#NAME?</x:v>
      </x:c>
      <x:c r="JW47" s="128" t="e">
        <x:f>'PROJECT TA Y TB KARINA'!#REF!/8</x:f>
        <x:v>#NAME?</x:v>
      </x:c>
      <x:c r="JX47" s="128" t="e">
        <x:f>'PROJECT TA Y TB KARINA'!#REF!/8</x:f>
        <x:v>#NAME?</x:v>
      </x:c>
      <x:c r="JY47" s="128" t="e">
        <x:f>'PROJECT TA Y TB KARINA'!#REF!/8</x:f>
        <x:v>#NAME?</x:v>
      </x:c>
      <x:c r="JZ47" s="128" t="e">
        <x:f>'PROJECT TA Y TB KARINA'!#REF!/8</x:f>
        <x:v>#NAME?</x:v>
      </x:c>
      <x:c r="KA47" s="128" t="e">
        <x:f>'PROJECT TA Y TB KARINA'!#REF!/8</x:f>
        <x:v>#NAME?</x:v>
      </x:c>
    </x:row>
    <x:row r="48" ht="21">
      <x:c r="A48" s="130" t="s">
        <x:v>533</x:v>
      </x:c>
      <x:c r="B48" s="128" t="e">
        <x:f>'PROJECT TA Y TB KARINA'!$C$44/8</x:f>
        <x:v>#REF!</x:v>
      </x:c>
      <x:c r="C48" s="128" t="e">
        <x:f>'PROJECT TA Y TB KARINA'!$C$44/8</x:f>
        <x:v>#REF!</x:v>
      </x:c>
      <x:c r="D48" s="128" t="e">
        <x:f>'PROJECT TA Y TB KARINA'!$C$44/8</x:f>
        <x:v>#REF!</x:v>
      </x:c>
      <x:c r="E48" s="128" t="e">
        <x:f>'PROJECT TA Y TB KARINA'!$C$44/8</x:f>
        <x:v>#REF!</x:v>
      </x:c>
      <x:c r="F48" s="128" t="e">
        <x:f>'PROJECT TA Y TB KARINA'!$C$44/8</x:f>
        <x:v>#REF!</x:v>
      </x:c>
      <x:c r="G48" s="128" t="e">
        <x:f>'PROJECT TA Y TB KARINA'!$C$44/8</x:f>
        <x:v>#REF!</x:v>
      </x:c>
      <x:c r="H48" s="128" t="e">
        <x:f>'PROJECT TA Y TB KARINA'!$C$44/8</x:f>
        <x:v>#REF!</x:v>
      </x:c>
      <x:c r="I48" s="128" t="e">
        <x:f>'PROJECT TA Y TB KARINA'!$E44/8</x:f>
        <x:v>#REF!</x:v>
      </x:c>
      <x:c r="J48" s="128" t="e">
        <x:f>'PROJECT TA Y TB KARINA'!$E44/8</x:f>
        <x:v>#REF!</x:v>
      </x:c>
      <x:c r="K48" s="128" t="e">
        <x:f>'PROJECT TA Y TB KARINA'!$E44/8</x:f>
        <x:v>#REF!</x:v>
      </x:c>
      <x:c r="L48" s="128" t="e">
        <x:f>'PROJECT TA Y TB KARINA'!$E44/8</x:f>
        <x:v>#REF!</x:v>
      </x:c>
      <x:c r="M48" s="128" t="e">
        <x:f>'PROJECT TA Y TB KARINA'!$E44/8</x:f>
        <x:v>#REF!</x:v>
      </x:c>
      <x:c r="N48" s="128" t="e">
        <x:f>'PROJECT TA Y TB KARINA'!$E44/8</x:f>
        <x:v>#REF!</x:v>
      </x:c>
      <x:c r="O48" s="128" t="e">
        <x:f>'PROJECT TA Y TB KARINA'!$E44/8</x:f>
        <x:v>#REF!</x:v>
      </x:c>
      <x:c r="P48" s="128" t="e">
        <x:f>'PROJECT TA Y TB KARINA'!$E44/8</x:f>
        <x:v>#REF!</x:v>
      </x:c>
      <x:c r="Q48" s="128" t="e">
        <x:f>'PROJECT TA Y TB KARINA'!$F44/8</x:f>
        <x:v>#REF!</x:v>
      </x:c>
      <x:c r="R48" s="128" t="e">
        <x:f>'PROJECT TA Y TB KARINA'!$F44/8</x:f>
        <x:v>#REF!</x:v>
      </x:c>
      <x:c r="S48" s="128" t="e">
        <x:f>'PROJECT TA Y TB KARINA'!$F44/8</x:f>
        <x:v>#REF!</x:v>
      </x:c>
      <x:c r="T48" s="128" t="e">
        <x:f>'PROJECT TA Y TB KARINA'!$F44/8</x:f>
        <x:v>#REF!</x:v>
      </x:c>
      <x:c r="U48" s="128" t="e">
        <x:f>'PROJECT TA Y TB KARINA'!$F44/8</x:f>
        <x:v>#REF!</x:v>
      </x:c>
      <x:c r="V48" s="128" t="e">
        <x:f>'PROJECT TA Y TB KARINA'!$F44/8</x:f>
        <x:v>#REF!</x:v>
      </x:c>
      <x:c r="W48" s="128" t="e">
        <x:f>'PROJECT TA Y TB KARINA'!$F44/8</x:f>
        <x:v>#REF!</x:v>
      </x:c>
      <x:c r="X48" s="128" t="e">
        <x:f>'PROJECT TA Y TB KARINA'!$F44/8</x:f>
        <x:v>#REF!</x:v>
      </x:c>
      <x:c r="Y48" s="128" t="e">
        <x:f>'PROJECT TA Y TB KARINA'!$G44/8</x:f>
        <x:v>#REF!</x:v>
      </x:c>
      <x:c r="Z48" s="128" t="e">
        <x:f>'PROJECT TA Y TB KARINA'!$G44/8</x:f>
        <x:v>#REF!</x:v>
      </x:c>
      <x:c r="AA48" s="128" t="e">
        <x:f>'PROJECT TA Y TB KARINA'!$G44/8</x:f>
        <x:v>#REF!</x:v>
      </x:c>
      <x:c r="AB48" s="128" t="e">
        <x:f>'PROJECT TA Y TB KARINA'!$G44/8</x:f>
        <x:v>#REF!</x:v>
      </x:c>
      <x:c r="AC48" s="128" t="e">
        <x:f>'PROJECT TA Y TB KARINA'!$G44/8</x:f>
        <x:v>#REF!</x:v>
      </x:c>
      <x:c r="AD48" s="128" t="e">
        <x:f>'PROJECT TA Y TB KARINA'!$G44/8</x:f>
        <x:v>#REF!</x:v>
      </x:c>
      <x:c r="AE48" s="128" t="e">
        <x:f>'PROJECT TA Y TB KARINA'!$G44/8</x:f>
        <x:v>#REF!</x:v>
      </x:c>
      <x:c r="AF48" s="128" t="e">
        <x:f>'PROJECT TA Y TB KARINA'!$G44/8</x:f>
        <x:v>#REF!</x:v>
      </x:c>
      <x:c r="AG48" s="128" t="e">
        <x:f>'PROJECT TA Y TB KARINA'!$H44/8</x:f>
        <x:v>#REF!</x:v>
      </x:c>
      <x:c r="AH48" s="128" t="e">
        <x:f>'PROJECT TA Y TB KARINA'!$H44/8</x:f>
        <x:v>#REF!</x:v>
      </x:c>
      <x:c r="AI48" s="128" t="e">
        <x:f>'PROJECT TA Y TB KARINA'!$H44/8</x:f>
        <x:v>#REF!</x:v>
      </x:c>
      <x:c r="AJ48" s="128" t="e">
        <x:f>'PROJECT TA Y TB KARINA'!$H44/8</x:f>
        <x:v>#REF!</x:v>
      </x:c>
      <x:c r="AK48" s="128" t="e">
        <x:f>'PROJECT TA Y TB KARINA'!$H44/8</x:f>
        <x:v>#REF!</x:v>
      </x:c>
      <x:c r="AL48" s="128" t="e">
        <x:f>'PROJECT TA Y TB KARINA'!$H44/8</x:f>
        <x:v>#REF!</x:v>
      </x:c>
      <x:c r="AM48" s="128" t="e">
        <x:f>'PROJECT TA Y TB KARINA'!$H44/8</x:f>
        <x:v>#REF!</x:v>
      </x:c>
      <x:c r="AN48" s="128" t="e">
        <x:f>'PROJECT TA Y TB KARINA'!$H44/8</x:f>
        <x:v>#REF!</x:v>
      </x:c>
      <x:c r="AO48" s="128" t="e">
        <x:f>'PROJECT TA Y TB KARINA'!$I44/8</x:f>
        <x:v>#REF!</x:v>
      </x:c>
      <x:c r="AP48" s="128" t="e">
        <x:f>'PROJECT TA Y TB KARINA'!$I44/8</x:f>
        <x:v>#REF!</x:v>
      </x:c>
      <x:c r="AQ48" s="128" t="e">
        <x:f>'PROJECT TA Y TB KARINA'!$I44/8</x:f>
        <x:v>#REF!</x:v>
      </x:c>
      <x:c r="AR48" s="128" t="e">
        <x:f>'PROJECT TA Y TB KARINA'!$I44/8</x:f>
        <x:v>#REF!</x:v>
      </x:c>
      <x:c r="AS48" s="128" t="e">
        <x:f>'PROJECT TA Y TB KARINA'!$I44/8</x:f>
        <x:v>#REF!</x:v>
      </x:c>
      <x:c r="AT48" s="128" t="e">
        <x:f>'PROJECT TA Y TB KARINA'!$I44/8</x:f>
        <x:v>#REF!</x:v>
      </x:c>
      <x:c r="AU48" s="128" t="e">
        <x:f>'PROJECT TA Y TB KARINA'!$I44/8</x:f>
        <x:v>#REF!</x:v>
      </x:c>
      <x:c r="AV48" s="128" t="e">
        <x:f>'PROJECT TA Y TB KARINA'!$I44/8</x:f>
        <x:v>#REF!</x:v>
      </x:c>
      <x:c r="AW48" s="128" t="e">
        <x:f>'PROJECT TA Y TB KARINA'!$J44/8</x:f>
        <x:v>#REF!</x:v>
      </x:c>
      <x:c r="AX48" s="128" t="e">
        <x:f>'PROJECT TA Y TB KARINA'!$J44/8</x:f>
        <x:v>#REF!</x:v>
      </x:c>
      <x:c r="AY48" s="128" t="e">
        <x:f>'PROJECT TA Y TB KARINA'!$J44/8</x:f>
        <x:v>#REF!</x:v>
      </x:c>
      <x:c r="AZ48" s="128" t="e">
        <x:f>'PROJECT TA Y TB KARINA'!$J44/8</x:f>
        <x:v>#REF!</x:v>
      </x:c>
      <x:c r="BA48" s="128" t="e">
        <x:f>'PROJECT TA Y TB KARINA'!$J44/8</x:f>
        <x:v>#REF!</x:v>
      </x:c>
      <x:c r="BB48" s="128" t="e">
        <x:f>'PROJECT TA Y TB KARINA'!$J44/8</x:f>
        <x:v>#REF!</x:v>
      </x:c>
      <x:c r="BC48" s="128" t="e">
        <x:f>'PROJECT TA Y TB KARINA'!$J44/8</x:f>
        <x:v>#REF!</x:v>
      </x:c>
      <x:c r="BD48" s="128" t="e">
        <x:f>'PROJECT TA Y TB KARINA'!$J44/8</x:f>
        <x:v>#REF!</x:v>
      </x:c>
      <x:c r="BE48" s="128" t="e">
        <x:f>'PROJECT TA Y TB KARINA'!$K44/8</x:f>
        <x:v>#REF!</x:v>
      </x:c>
      <x:c r="BF48" s="128" t="e">
        <x:f>'PROJECT TA Y TB KARINA'!$K44/8</x:f>
        <x:v>#REF!</x:v>
      </x:c>
      <x:c r="BG48" s="128" t="e">
        <x:f>'PROJECT TA Y TB KARINA'!$K44/8</x:f>
        <x:v>#REF!</x:v>
      </x:c>
      <x:c r="BH48" s="128" t="e">
        <x:f>'PROJECT TA Y TB KARINA'!$K44/8</x:f>
        <x:v>#REF!</x:v>
      </x:c>
      <x:c r="BI48" s="128" t="e">
        <x:f>'PROJECT TA Y TB KARINA'!$K44/8</x:f>
        <x:v>#REF!</x:v>
      </x:c>
      <x:c r="BJ48" s="128" t="e">
        <x:f>'PROJECT TA Y TB KARINA'!$K44/8</x:f>
        <x:v>#REF!</x:v>
      </x:c>
      <x:c r="BK48" s="128" t="e">
        <x:f>'PROJECT TA Y TB KARINA'!$K44/8</x:f>
        <x:v>#REF!</x:v>
      </x:c>
      <x:c r="BL48" s="128" t="e">
        <x:f>'PROJECT TA Y TB KARINA'!$K44/8</x:f>
        <x:v>#REF!</x:v>
      </x:c>
      <x:c r="BM48" s="128" t="e">
        <x:f>'PROJECT TA Y TB KARINA'!$L44/8</x:f>
        <x:v>#REF!</x:v>
      </x:c>
      <x:c r="BN48" s="128" t="e">
        <x:f>'PROJECT TA Y TB KARINA'!$L44/8</x:f>
        <x:v>#REF!</x:v>
      </x:c>
      <x:c r="BO48" s="128" t="e">
        <x:f>'PROJECT TA Y TB KARINA'!$L44/8</x:f>
        <x:v>#REF!</x:v>
      </x:c>
      <x:c r="BP48" s="128" t="e">
        <x:f>'PROJECT TA Y TB KARINA'!$L44/8</x:f>
        <x:v>#REF!</x:v>
      </x:c>
      <x:c r="BQ48" s="128" t="e">
        <x:f>'PROJECT TA Y TB KARINA'!$L44/8</x:f>
        <x:v>#REF!</x:v>
      </x:c>
      <x:c r="BR48" s="128" t="e">
        <x:f>'PROJECT TA Y TB KARINA'!$L44/8</x:f>
        <x:v>#REF!</x:v>
      </x:c>
      <x:c r="BS48" s="128" t="e">
        <x:f>'PROJECT TA Y TB KARINA'!$L44/8</x:f>
        <x:v>#REF!</x:v>
      </x:c>
      <x:c r="BT48" s="128" t="e">
        <x:f>'PROJECT TA Y TB KARINA'!$L44/8</x:f>
        <x:v>#REF!</x:v>
      </x:c>
      <x:c r="BU48" s="128" t="e">
        <x:f>'PROJECT TA Y TB KARINA'!$M44/8</x:f>
        <x:v>#REF!</x:v>
      </x:c>
      <x:c r="BV48" s="128" t="e">
        <x:f>'PROJECT TA Y TB KARINA'!$M44/8</x:f>
        <x:v>#REF!</x:v>
      </x:c>
      <x:c r="BW48" s="128" t="e">
        <x:f>'PROJECT TA Y TB KARINA'!$M44/8</x:f>
        <x:v>#REF!</x:v>
      </x:c>
      <x:c r="BX48" s="128" t="e">
        <x:f>'PROJECT TA Y TB KARINA'!$M44/8</x:f>
        <x:v>#REF!</x:v>
      </x:c>
      <x:c r="BY48" s="128" t="e">
        <x:f>'PROJECT TA Y TB KARINA'!$M44/8</x:f>
        <x:v>#REF!</x:v>
      </x:c>
      <x:c r="BZ48" s="128" t="e">
        <x:f>'PROJECT TA Y TB KARINA'!$M44/8</x:f>
        <x:v>#REF!</x:v>
      </x:c>
      <x:c r="CA48" s="128" t="e">
        <x:f>'PROJECT TA Y TB KARINA'!$M44/8</x:f>
        <x:v>#REF!</x:v>
      </x:c>
      <x:c r="CB48" s="128" t="e">
        <x:f>'PROJECT TA Y TB KARINA'!$M44/8</x:f>
        <x:v>#REF!</x:v>
      </x:c>
      <x:c r="CC48" s="128" t="e">
        <x:f>'PROJECT TA Y TB KARINA'!$N44/8</x:f>
        <x:v>#REF!</x:v>
      </x:c>
      <x:c r="CD48" s="128" t="e">
        <x:f>'PROJECT TA Y TB KARINA'!$N44/8</x:f>
        <x:v>#REF!</x:v>
      </x:c>
      <x:c r="CE48" s="128" t="e">
        <x:f>'PROJECT TA Y TB KARINA'!$N44/8</x:f>
        <x:v>#REF!</x:v>
      </x:c>
      <x:c r="CF48" s="128" t="e">
        <x:f>'PROJECT TA Y TB KARINA'!$N44/8</x:f>
        <x:v>#REF!</x:v>
      </x:c>
      <x:c r="CG48" s="128" t="e">
        <x:f>'PROJECT TA Y TB KARINA'!$N44/8</x:f>
        <x:v>#REF!</x:v>
      </x:c>
      <x:c r="CH48" s="128" t="e">
        <x:f>'PROJECT TA Y TB KARINA'!$N44/8</x:f>
        <x:v>#REF!</x:v>
      </x:c>
      <x:c r="CI48" s="128" t="e">
        <x:f>'PROJECT TA Y TB KARINA'!$N44/8</x:f>
        <x:v>#REF!</x:v>
      </x:c>
      <x:c r="CJ48" s="128" t="e">
        <x:f>'PROJECT TA Y TB KARINA'!$N44/8</x:f>
        <x:v>#REF!</x:v>
      </x:c>
      <x:c r="CK48" s="128" t="e">
        <x:f>'PROJECT TA Y TB KARINA'!$O44/8</x:f>
        <x:v>#REF!</x:v>
      </x:c>
      <x:c r="CL48" s="128" t="e">
        <x:f>'PROJECT TA Y TB KARINA'!$O44/8</x:f>
        <x:v>#REF!</x:v>
      </x:c>
      <x:c r="CM48" s="128" t="e">
        <x:f>'PROJECT TA Y TB KARINA'!$O44/8</x:f>
        <x:v>#REF!</x:v>
      </x:c>
      <x:c r="CN48" s="128" t="e">
        <x:f>'PROJECT TA Y TB KARINA'!$O44/8</x:f>
        <x:v>#REF!</x:v>
      </x:c>
      <x:c r="CO48" s="128" t="e">
        <x:f>'PROJECT TA Y TB KARINA'!$O44/8</x:f>
        <x:v>#REF!</x:v>
      </x:c>
      <x:c r="CP48" s="128" t="e">
        <x:f>'PROJECT TA Y TB KARINA'!$O44/8</x:f>
        <x:v>#REF!</x:v>
      </x:c>
      <x:c r="CQ48" s="128" t="e">
        <x:f>'PROJECT TA Y TB KARINA'!$O44/8</x:f>
        <x:v>#REF!</x:v>
      </x:c>
      <x:c r="CR48" s="128" t="e">
        <x:f>'PROJECT TA Y TB KARINA'!$O44/8</x:f>
        <x:v>#REF!</x:v>
      </x:c>
      <x:c r="CS48" s="128" t="e">
        <x:f>'PROJECT TA Y TB KARINA'!$P44/8</x:f>
        <x:v>#REF!</x:v>
      </x:c>
      <x:c r="CT48" s="128" t="e">
        <x:f>'PROJECT TA Y TB KARINA'!$P44/8</x:f>
        <x:v>#REF!</x:v>
      </x:c>
      <x:c r="CU48" s="128" t="e">
        <x:f>'PROJECT TA Y TB KARINA'!$P44/8</x:f>
        <x:v>#REF!</x:v>
      </x:c>
      <x:c r="CV48" s="128" t="e">
        <x:f>'PROJECT TA Y TB KARINA'!$P44/8</x:f>
        <x:v>#REF!</x:v>
      </x:c>
      <x:c r="CW48" s="128" t="e">
        <x:f>'PROJECT TA Y TB KARINA'!$P44/8</x:f>
        <x:v>#REF!</x:v>
      </x:c>
      <x:c r="CX48" s="128" t="e">
        <x:f>'PROJECT TA Y TB KARINA'!$P44/8</x:f>
        <x:v>#REF!</x:v>
      </x:c>
      <x:c r="CY48" s="128" t="e">
        <x:f>'PROJECT TA Y TB KARINA'!$P44/8</x:f>
        <x:v>#REF!</x:v>
      </x:c>
      <x:c r="CZ48" s="128" t="e">
        <x:f>'PROJECT TA Y TB KARINA'!$P44/8</x:f>
        <x:v>#REF!</x:v>
      </x:c>
      <x:c r="DA48" s="128" t="e">
        <x:f>'PROJECT TA Y TB KARINA'!$Q44/8</x:f>
        <x:v>#REF!</x:v>
      </x:c>
      <x:c r="DB48" s="128" t="e">
        <x:f>'PROJECT TA Y TB KARINA'!$Q44/8</x:f>
        <x:v>#REF!</x:v>
      </x:c>
      <x:c r="DC48" s="128" t="e">
        <x:f>'PROJECT TA Y TB KARINA'!$Q44/8</x:f>
        <x:v>#REF!</x:v>
      </x:c>
      <x:c r="DD48" s="128" t="e">
        <x:f>'PROJECT TA Y TB KARINA'!$Q44/8</x:f>
        <x:v>#REF!</x:v>
      </x:c>
      <x:c r="DE48" s="128" t="e">
        <x:f>'PROJECT TA Y TB KARINA'!$Q44/8</x:f>
        <x:v>#REF!</x:v>
      </x:c>
      <x:c r="DF48" s="128" t="e">
        <x:f>'PROJECT TA Y TB KARINA'!$Q44/8</x:f>
        <x:v>#REF!</x:v>
      </x:c>
      <x:c r="DG48" s="128" t="e">
        <x:f>'PROJECT TA Y TB KARINA'!$Q44/8</x:f>
        <x:v>#REF!</x:v>
      </x:c>
      <x:c r="DH48" s="128" t="e">
        <x:f>'PROJECT TA Y TB KARINA'!$Q44/8</x:f>
        <x:v>#REF!</x:v>
      </x:c>
      <x:c r="DI48" s="128" t="e">
        <x:f>'PROJECT TA Y TB KARINA'!$R44/8</x:f>
        <x:v>#REF!</x:v>
      </x:c>
      <x:c r="DJ48" s="128" t="e">
        <x:f>'PROJECT TA Y TB KARINA'!$R44/8</x:f>
        <x:v>#REF!</x:v>
      </x:c>
      <x:c r="DK48" s="128" t="e">
        <x:f>'PROJECT TA Y TB KARINA'!$R44/8</x:f>
        <x:v>#REF!</x:v>
      </x:c>
      <x:c r="DL48" s="128" t="e">
        <x:f>'PROJECT TA Y TB KARINA'!$R44/8</x:f>
        <x:v>#REF!</x:v>
      </x:c>
      <x:c r="DM48" s="128" t="e">
        <x:f>'PROJECT TA Y TB KARINA'!$R44/8</x:f>
        <x:v>#REF!</x:v>
      </x:c>
      <x:c r="DN48" s="128" t="e">
        <x:f>'PROJECT TA Y TB KARINA'!$R44/8</x:f>
        <x:v>#REF!</x:v>
      </x:c>
      <x:c r="DO48" s="128" t="e">
        <x:f>'PROJECT TA Y TB KARINA'!$R44/8</x:f>
        <x:v>#REF!</x:v>
      </x:c>
      <x:c r="DP48" s="128" t="e">
        <x:f>'PROJECT TA Y TB KARINA'!$R44/8</x:f>
        <x:v>#REF!</x:v>
      </x:c>
      <x:c r="DQ48" s="128" t="e">
        <x:f>'PROJECT TA Y TB KARINA'!$S44/8</x:f>
        <x:v>#REF!</x:v>
      </x:c>
      <x:c r="DR48" s="128" t="e">
        <x:f>'PROJECT TA Y TB KARINA'!$S44/8</x:f>
        <x:v>#REF!</x:v>
      </x:c>
      <x:c r="DS48" s="128" t="e">
        <x:f>'PROJECT TA Y TB KARINA'!$S44/8</x:f>
        <x:v>#REF!</x:v>
      </x:c>
      <x:c r="DT48" s="128" t="e">
        <x:f>'PROJECT TA Y TB KARINA'!$S44/8</x:f>
        <x:v>#REF!</x:v>
      </x:c>
      <x:c r="DU48" s="128" t="e">
        <x:f>'PROJECT TA Y TB KARINA'!$S44/8</x:f>
        <x:v>#REF!</x:v>
      </x:c>
      <x:c r="DV48" s="128" t="e">
        <x:f>'PROJECT TA Y TB KARINA'!$S44/8</x:f>
        <x:v>#REF!</x:v>
      </x:c>
      <x:c r="DW48" s="128" t="e">
        <x:f>'PROJECT TA Y TB KARINA'!$S44/8</x:f>
        <x:v>#REF!</x:v>
      </x:c>
      <x:c r="DX48" s="128" t="e">
        <x:f>'PROJECT TA Y TB KARINA'!$S44/8</x:f>
        <x:v>#REF!</x:v>
      </x:c>
      <x:c r="DY48" s="128" t="e">
        <x:f>'PROJECT TA Y TB KARINA'!$T44/8</x:f>
        <x:v>#REF!</x:v>
      </x:c>
      <x:c r="DZ48" s="128" t="e">
        <x:f>'PROJECT TA Y TB KARINA'!$T44/8</x:f>
        <x:v>#REF!</x:v>
      </x:c>
      <x:c r="EA48" s="128" t="e">
        <x:f>'PROJECT TA Y TB KARINA'!$T44/8</x:f>
        <x:v>#REF!</x:v>
      </x:c>
      <x:c r="EB48" s="128" t="e">
        <x:f>'PROJECT TA Y TB KARINA'!$T44/8</x:f>
        <x:v>#REF!</x:v>
      </x:c>
      <x:c r="EC48" s="128" t="e">
        <x:f>'PROJECT TA Y TB KARINA'!$T44/8</x:f>
        <x:v>#REF!</x:v>
      </x:c>
      <x:c r="ED48" s="128" t="e">
        <x:f>'PROJECT TA Y TB KARINA'!$T44/8</x:f>
        <x:v>#REF!</x:v>
      </x:c>
      <x:c r="EE48" s="128" t="e">
        <x:f>'PROJECT TA Y TB KARINA'!$T44/8</x:f>
        <x:v>#REF!</x:v>
      </x:c>
      <x:c r="EF48" s="128" t="e">
        <x:f>'PROJECT TA Y TB KARINA'!$T44/8</x:f>
        <x:v>#REF!</x:v>
      </x:c>
      <x:c r="EG48" s="128" t="e">
        <x:f>'PROJECT TA Y TB KARINA'!#REF!/8</x:f>
        <x:v>#NAME?</x:v>
      </x:c>
      <x:c r="EH48" s="128" t="e">
        <x:f>'PROJECT TA Y TB KARINA'!#REF!/8</x:f>
        <x:v>#NAME?</x:v>
      </x:c>
      <x:c r="EI48" s="128" t="e">
        <x:f>'PROJECT TA Y TB KARINA'!#REF!/8</x:f>
        <x:v>#NAME?</x:v>
      </x:c>
      <x:c r="EJ48" s="128" t="e">
        <x:f>'PROJECT TA Y TB KARINA'!#REF!/8</x:f>
        <x:v>#NAME?</x:v>
      </x:c>
      <x:c r="EK48" s="128" t="e">
        <x:f>'PROJECT TA Y TB KARINA'!#REF!/8</x:f>
        <x:v>#NAME?</x:v>
      </x:c>
      <x:c r="EL48" s="128" t="e">
        <x:f>'PROJECT TA Y TB KARINA'!#REF!/8</x:f>
        <x:v>#NAME?</x:v>
      </x:c>
      <x:c r="EM48" s="128" t="e">
        <x:f>'PROJECT TA Y TB KARINA'!#REF!/8</x:f>
        <x:v>#NAME?</x:v>
      </x:c>
      <x:c r="EN48" s="128" t="e">
        <x:f>'PROJECT TA Y TB KARINA'!#REF!/8</x:f>
        <x:v>#NAME?</x:v>
      </x:c>
      <x:c r="EO48" s="128" t="n">
        <x:f>'PROJECT TA Y TB KARINA'!$C102/8</x:f>
        <x:v>0</x:v>
      </x:c>
      <x:c r="EP48" s="128" t="n">
        <x:f>'PROJECT TA Y TB KARINA'!$C102/8</x:f>
        <x:v>0</x:v>
      </x:c>
      <x:c r="EQ48" s="128" t="n">
        <x:f>'PROJECT TA Y TB KARINA'!$C102/8</x:f>
        <x:v>0</x:v>
      </x:c>
      <x:c r="ER48" s="128" t="n">
        <x:f>'PROJECT TA Y TB KARINA'!$C102/8</x:f>
        <x:v>0</x:v>
      </x:c>
      <x:c r="ES48" s="128" t="n">
        <x:f>'PROJECT TA Y TB KARINA'!$C102/8</x:f>
        <x:v>0</x:v>
      </x:c>
      <x:c r="ET48" s="128" t="n">
        <x:f>'PROJECT TA Y TB KARINA'!$C102/8</x:f>
        <x:v>0</x:v>
      </x:c>
      <x:c r="EU48" s="128" t="n">
        <x:f>'PROJECT TA Y TB KARINA'!$C102/8</x:f>
        <x:v>0</x:v>
      </x:c>
      <x:c r="EV48" s="128" t="n">
        <x:f>'PROJECT TA Y TB KARINA'!$E102/8</x:f>
        <x:v>0</x:v>
      </x:c>
      <x:c r="EW48" s="128" t="n">
        <x:f>'PROJECT TA Y TB KARINA'!$E102/8</x:f>
        <x:v>0</x:v>
      </x:c>
      <x:c r="EX48" s="128" t="n">
        <x:f>'PROJECT TA Y TB KARINA'!$E102/8</x:f>
        <x:v>0</x:v>
      </x:c>
      <x:c r="EY48" s="128" t="n">
        <x:f>'PROJECT TA Y TB KARINA'!$E102/8</x:f>
        <x:v>0</x:v>
      </x:c>
      <x:c r="EZ48" s="128" t="n">
        <x:f>'PROJECT TA Y TB KARINA'!$E102/8</x:f>
        <x:v>0</x:v>
      </x:c>
      <x:c r="FA48" s="128" t="n">
        <x:f>'PROJECT TA Y TB KARINA'!$E102/8</x:f>
        <x:v>0</x:v>
      </x:c>
      <x:c r="FB48" s="128" t="n">
        <x:f>'PROJECT TA Y TB KARINA'!$E102/8</x:f>
        <x:v>0</x:v>
      </x:c>
      <x:c r="FC48" s="128" t="n">
        <x:f>'PROJECT TA Y TB KARINA'!$E102/8</x:f>
        <x:v>0</x:v>
      </x:c>
      <x:c r="FD48" s="128" t="n">
        <x:f>'PROJECT TA Y TB KARINA'!$F102/8</x:f>
        <x:v>0</x:v>
      </x:c>
      <x:c r="FE48" s="128" t="n">
        <x:f>'PROJECT TA Y TB KARINA'!$F102/8</x:f>
        <x:v>0</x:v>
      </x:c>
      <x:c r="FF48" s="128" t="n">
        <x:f>'PROJECT TA Y TB KARINA'!$F102/8</x:f>
        <x:v>0</x:v>
      </x:c>
      <x:c r="FG48" s="128" t="n">
        <x:f>'PROJECT TA Y TB KARINA'!$F102/8</x:f>
        <x:v>0</x:v>
      </x:c>
      <x:c r="FH48" s="128" t="n">
        <x:f>'PROJECT TA Y TB KARINA'!$F102/8</x:f>
        <x:v>0</x:v>
      </x:c>
      <x:c r="FI48" s="128" t="n">
        <x:f>'PROJECT TA Y TB KARINA'!$F102/8</x:f>
        <x:v>0</x:v>
      </x:c>
      <x:c r="FJ48" s="128" t="n">
        <x:f>'PROJECT TA Y TB KARINA'!$F102/8</x:f>
        <x:v>0</x:v>
      </x:c>
      <x:c r="FK48" s="128" t="n">
        <x:f>'PROJECT TA Y TB KARINA'!$F102/8</x:f>
        <x:v>0</x:v>
      </x:c>
      <x:c r="FL48" s="128" t="n">
        <x:f>'PROJECT TA Y TB KARINA'!$G102/8</x:f>
        <x:v>0</x:v>
      </x:c>
      <x:c r="FM48" s="128" t="n">
        <x:f>'PROJECT TA Y TB KARINA'!$G102/8</x:f>
        <x:v>0</x:v>
      </x:c>
      <x:c r="FN48" s="128" t="n">
        <x:f>'PROJECT TA Y TB KARINA'!$G102/8</x:f>
        <x:v>0</x:v>
      </x:c>
      <x:c r="FO48" s="128" t="n">
        <x:f>'PROJECT TA Y TB KARINA'!$G102/8</x:f>
        <x:v>0</x:v>
      </x:c>
      <x:c r="FP48" s="128" t="n">
        <x:f>'PROJECT TA Y TB KARINA'!$G102/8</x:f>
        <x:v>0</x:v>
      </x:c>
      <x:c r="FQ48" s="128" t="n">
        <x:f>'PROJECT TA Y TB KARINA'!$G102/8</x:f>
        <x:v>0</x:v>
      </x:c>
      <x:c r="FR48" s="128" t="n">
        <x:f>'PROJECT TA Y TB KARINA'!$G102/8</x:f>
        <x:v>0</x:v>
      </x:c>
      <x:c r="FS48" s="128" t="n">
        <x:f>'PROJECT TA Y TB KARINA'!$G102/8</x:f>
        <x:v>0</x:v>
      </x:c>
      <x:c r="FT48" s="128" t="n">
        <x:f>'PROJECT TA Y TB KARINA'!$H102/8</x:f>
        <x:v>0</x:v>
      </x:c>
      <x:c r="FU48" s="128" t="n">
        <x:f>'PROJECT TA Y TB KARINA'!$H102/8</x:f>
        <x:v>0</x:v>
      </x:c>
      <x:c r="FV48" s="128" t="n">
        <x:f>'PROJECT TA Y TB KARINA'!$H102/8</x:f>
        <x:v>0</x:v>
      </x:c>
      <x:c r="FW48" s="128" t="n">
        <x:f>'PROJECT TA Y TB KARINA'!$H102/8</x:f>
        <x:v>0</x:v>
      </x:c>
      <x:c r="FX48" s="128" t="n">
        <x:f>'PROJECT TA Y TB KARINA'!$H102/8</x:f>
        <x:v>0</x:v>
      </x:c>
      <x:c r="FY48" s="128" t="n">
        <x:f>'PROJECT TA Y TB KARINA'!$H102/8</x:f>
        <x:v>0</x:v>
      </x:c>
      <x:c r="FZ48" s="128" t="n">
        <x:f>'PROJECT TA Y TB KARINA'!$H102/8</x:f>
        <x:v>0</x:v>
      </x:c>
      <x:c r="GA48" s="128" t="n">
        <x:f>'PROJECT TA Y TB KARINA'!$H102/8</x:f>
        <x:v>0</x:v>
      </x:c>
      <x:c r="GB48" s="128" t="n">
        <x:f>'PROJECT TA Y TB KARINA'!$I102/8</x:f>
        <x:v>0</x:v>
      </x:c>
      <x:c r="GC48" s="128" t="n">
        <x:f>'PROJECT TA Y TB KARINA'!$I102/8</x:f>
        <x:v>0</x:v>
      </x:c>
      <x:c r="GD48" s="128" t="n">
        <x:f>'PROJECT TA Y TB KARINA'!$I102/8</x:f>
        <x:v>0</x:v>
      </x:c>
      <x:c r="GE48" s="128" t="n">
        <x:f>'PROJECT TA Y TB KARINA'!$I102/8</x:f>
        <x:v>0</x:v>
      </x:c>
      <x:c r="GF48" s="128" t="n">
        <x:f>'PROJECT TA Y TB KARINA'!$I102/8</x:f>
        <x:v>0</x:v>
      </x:c>
      <x:c r="GG48" s="128" t="n">
        <x:f>'PROJECT TA Y TB KARINA'!$I102/8</x:f>
        <x:v>0</x:v>
      </x:c>
      <x:c r="GH48" s="128" t="n">
        <x:f>'PROJECT TA Y TB KARINA'!$I102/8</x:f>
        <x:v>0</x:v>
      </x:c>
      <x:c r="GI48" s="128" t="n">
        <x:f>'PROJECT TA Y TB KARINA'!$I102/8</x:f>
        <x:v>0</x:v>
      </x:c>
      <x:c r="GJ48" s="128" t="n">
        <x:f>'PROJECT TA Y TB KARINA'!$J102/8</x:f>
        <x:v>0</x:v>
      </x:c>
      <x:c r="GK48" s="128" t="n">
        <x:f>'PROJECT TA Y TB KARINA'!$J102/8</x:f>
        <x:v>0</x:v>
      </x:c>
      <x:c r="GL48" s="128" t="n">
        <x:f>'PROJECT TA Y TB KARINA'!$J102/8</x:f>
        <x:v>0</x:v>
      </x:c>
      <x:c r="GM48" s="128" t="n">
        <x:f>'PROJECT TA Y TB KARINA'!$J102/8</x:f>
        <x:v>0</x:v>
      </x:c>
      <x:c r="GN48" s="128" t="n">
        <x:f>'PROJECT TA Y TB KARINA'!$J102/8</x:f>
        <x:v>0</x:v>
      </x:c>
      <x:c r="GO48" s="128" t="n">
        <x:f>'PROJECT TA Y TB KARINA'!$J102/8</x:f>
        <x:v>0</x:v>
      </x:c>
      <x:c r="GP48" s="128" t="n">
        <x:f>'PROJECT TA Y TB KARINA'!$J102/8</x:f>
        <x:v>0</x:v>
      </x:c>
      <x:c r="GQ48" s="128" t="n">
        <x:f>'PROJECT TA Y TB KARINA'!$J102/8</x:f>
        <x:v>0</x:v>
      </x:c>
      <x:c r="GR48" s="128" t="n">
        <x:f>'PROJECT TA Y TB KARINA'!$K102/8</x:f>
        <x:v>0</x:v>
      </x:c>
      <x:c r="GS48" s="128" t="n">
        <x:f>'PROJECT TA Y TB KARINA'!$K102/8</x:f>
        <x:v>0</x:v>
      </x:c>
      <x:c r="GT48" s="128" t="n">
        <x:f>'PROJECT TA Y TB KARINA'!$K102/8</x:f>
        <x:v>0</x:v>
      </x:c>
      <x:c r="GU48" s="128" t="n">
        <x:f>'PROJECT TA Y TB KARINA'!$K102/8</x:f>
        <x:v>0</x:v>
      </x:c>
      <x:c r="GV48" s="128" t="n">
        <x:f>'PROJECT TA Y TB KARINA'!$K102/8</x:f>
        <x:v>0</x:v>
      </x:c>
      <x:c r="GW48" s="128" t="n">
        <x:f>'PROJECT TA Y TB KARINA'!$K102/8</x:f>
        <x:v>0</x:v>
      </x:c>
      <x:c r="GX48" s="128" t="n">
        <x:f>'PROJECT TA Y TB KARINA'!$K102/8</x:f>
        <x:v>0</x:v>
      </x:c>
      <x:c r="GY48" s="128" t="n">
        <x:f>'PROJECT TA Y TB KARINA'!$K102/8</x:f>
        <x:v>0</x:v>
      </x:c>
      <x:c r="GZ48" s="128" t="n">
        <x:f>'PROJECT TA Y TB KARINA'!$L102/8</x:f>
        <x:v>0</x:v>
      </x:c>
      <x:c r="HA48" s="128" t="n">
        <x:f>'PROJECT TA Y TB KARINA'!$L102/8</x:f>
        <x:v>0</x:v>
      </x:c>
      <x:c r="HB48" s="128" t="n">
        <x:f>'PROJECT TA Y TB KARINA'!$L102/8</x:f>
        <x:v>0</x:v>
      </x:c>
      <x:c r="HC48" s="128" t="n">
        <x:f>'PROJECT TA Y TB KARINA'!$L102/8</x:f>
        <x:v>0</x:v>
      </x:c>
      <x:c r="HD48" s="128" t="n">
        <x:f>'PROJECT TA Y TB KARINA'!$L102/8</x:f>
        <x:v>0</x:v>
      </x:c>
      <x:c r="HE48" s="128" t="n">
        <x:f>'PROJECT TA Y TB KARINA'!$L102/8</x:f>
        <x:v>0</x:v>
      </x:c>
      <x:c r="HF48" s="128" t="n">
        <x:f>'PROJECT TA Y TB KARINA'!$L102/8</x:f>
        <x:v>0</x:v>
      </x:c>
      <x:c r="HG48" s="128" t="n">
        <x:f>'PROJECT TA Y TB KARINA'!$L102/8</x:f>
        <x:v>0</x:v>
      </x:c>
      <x:c r="HH48" s="128" t="n">
        <x:f>'PROJECT TA Y TB KARINA'!$M102/8</x:f>
        <x:v>0</x:v>
      </x:c>
      <x:c r="HI48" s="128" t="n">
        <x:f>'PROJECT TA Y TB KARINA'!$M102/8</x:f>
        <x:v>0</x:v>
      </x:c>
      <x:c r="HJ48" s="128" t="n">
        <x:f>'PROJECT TA Y TB KARINA'!$M102/8</x:f>
        <x:v>0</x:v>
      </x:c>
      <x:c r="HK48" s="128" t="n">
        <x:f>'PROJECT TA Y TB KARINA'!$M102/8</x:f>
        <x:v>0</x:v>
      </x:c>
      <x:c r="HL48" s="128" t="n">
        <x:f>'PROJECT TA Y TB KARINA'!$M102/8</x:f>
        <x:v>0</x:v>
      </x:c>
      <x:c r="HM48" s="128" t="n">
        <x:f>'PROJECT TA Y TB KARINA'!$M102/8</x:f>
        <x:v>0</x:v>
      </x:c>
      <x:c r="HN48" s="128" t="n">
        <x:f>'PROJECT TA Y TB KARINA'!$M102/8</x:f>
        <x:v>0</x:v>
      </x:c>
      <x:c r="HO48" s="128" t="n">
        <x:f>'PROJECT TA Y TB KARINA'!$M102/8</x:f>
        <x:v>0</x:v>
      </x:c>
      <x:c r="HP48" s="128" t="n">
        <x:f>'PROJECT TA Y TB KARINA'!$N102/8</x:f>
        <x:v>0</x:v>
      </x:c>
      <x:c r="HQ48" s="128" t="n">
        <x:f>'PROJECT TA Y TB KARINA'!$N102/8</x:f>
        <x:v>0</x:v>
      </x:c>
      <x:c r="HR48" s="128" t="n">
        <x:f>'PROJECT TA Y TB KARINA'!$N102/8</x:f>
        <x:v>0</x:v>
      </x:c>
      <x:c r="HS48" s="128" t="n">
        <x:f>'PROJECT TA Y TB KARINA'!$N102/8</x:f>
        <x:v>0</x:v>
      </x:c>
      <x:c r="HT48" s="128" t="n">
        <x:f>'PROJECT TA Y TB KARINA'!$N102/8</x:f>
        <x:v>0</x:v>
      </x:c>
      <x:c r="HU48" s="128" t="n">
        <x:f>'PROJECT TA Y TB KARINA'!$N102/8</x:f>
        <x:v>0</x:v>
      </x:c>
      <x:c r="HV48" s="128" t="n">
        <x:f>'PROJECT TA Y TB KARINA'!$N102/8</x:f>
        <x:v>0</x:v>
      </x:c>
      <x:c r="HW48" s="128" t="n">
        <x:f>'PROJECT TA Y TB KARINA'!$N102/8</x:f>
        <x:v>0</x:v>
      </x:c>
      <x:c r="HX48" s="128" t="n">
        <x:f>'PROJECT TA Y TB KARINA'!$O102/8</x:f>
        <x:v>0</x:v>
      </x:c>
      <x:c r="HY48" s="128" t="n">
        <x:f>'PROJECT TA Y TB KARINA'!$O102/8</x:f>
        <x:v>0</x:v>
      </x:c>
      <x:c r="HZ48" s="128" t="n">
        <x:f>'PROJECT TA Y TB KARINA'!$O102/8</x:f>
        <x:v>0</x:v>
      </x:c>
      <x:c r="IA48" s="128" t="n">
        <x:f>'PROJECT TA Y TB KARINA'!$O102/8</x:f>
        <x:v>0</x:v>
      </x:c>
      <x:c r="IB48" s="128" t="n">
        <x:f>'PROJECT TA Y TB KARINA'!$O102/8</x:f>
        <x:v>0</x:v>
      </x:c>
      <x:c r="IC48" s="128" t="n">
        <x:f>'PROJECT TA Y TB KARINA'!$O102/8</x:f>
        <x:v>0</x:v>
      </x:c>
      <x:c r="ID48" s="128" t="n">
        <x:f>'PROJECT TA Y TB KARINA'!$O102/8</x:f>
        <x:v>0</x:v>
      </x:c>
      <x:c r="IE48" s="128" t="n">
        <x:f>'PROJECT TA Y TB KARINA'!$O102/8</x:f>
        <x:v>0</x:v>
      </x:c>
      <x:c r="IF48" s="128" t="n">
        <x:f>'PROJECT TA Y TB KARINA'!$P102/8</x:f>
        <x:v>0</x:v>
      </x:c>
      <x:c r="IG48" s="128" t="n">
        <x:f>'PROJECT TA Y TB KARINA'!$P102/8</x:f>
        <x:v>0</x:v>
      </x:c>
      <x:c r="IH48" s="128" t="n">
        <x:f>'PROJECT TA Y TB KARINA'!$P102/8</x:f>
        <x:v>0</x:v>
      </x:c>
      <x:c r="II48" s="128" t="n">
        <x:f>'PROJECT TA Y TB KARINA'!$P102/8</x:f>
        <x:v>0</x:v>
      </x:c>
      <x:c r="IJ48" s="128" t="n">
        <x:f>'PROJECT TA Y TB KARINA'!$P102/8</x:f>
        <x:v>0</x:v>
      </x:c>
      <x:c r="IK48" s="128" t="n">
        <x:f>'PROJECT TA Y TB KARINA'!$P102/8</x:f>
        <x:v>0</x:v>
      </x:c>
      <x:c r="IL48" s="128" t="n">
        <x:f>'PROJECT TA Y TB KARINA'!$P102/8</x:f>
        <x:v>0</x:v>
      </x:c>
      <x:c r="IM48" s="128" t="n">
        <x:f>'PROJECT TA Y TB KARINA'!$P102/8</x:f>
        <x:v>0</x:v>
      </x:c>
      <x:c r="IN48" s="128" t="n">
        <x:f>'PROJECT TA Y TB KARINA'!$Q102/8</x:f>
        <x:v>0</x:v>
      </x:c>
      <x:c r="IO48" s="128" t="n">
        <x:f>'PROJECT TA Y TB KARINA'!$Q102/8</x:f>
        <x:v>0</x:v>
      </x:c>
      <x:c r="IP48" s="128" t="n">
        <x:f>'PROJECT TA Y TB KARINA'!$Q102/8</x:f>
        <x:v>0</x:v>
      </x:c>
      <x:c r="IQ48" s="128" t="n">
        <x:f>'PROJECT TA Y TB KARINA'!$Q102/8</x:f>
        <x:v>0</x:v>
      </x:c>
      <x:c r="IR48" s="128" t="n">
        <x:f>'PROJECT TA Y TB KARINA'!$Q102/8</x:f>
        <x:v>0</x:v>
      </x:c>
      <x:c r="IS48" s="128" t="n">
        <x:f>'PROJECT TA Y TB KARINA'!$Q102/8</x:f>
        <x:v>0</x:v>
      </x:c>
      <x:c r="IT48" s="128" t="n">
        <x:f>'PROJECT TA Y TB KARINA'!$Q102/8</x:f>
        <x:v>0</x:v>
      </x:c>
      <x:c r="IU48" s="128" t="n">
        <x:f>'PROJECT TA Y TB KARINA'!$Q102/8</x:f>
        <x:v>0</x:v>
      </x:c>
      <x:c r="IV48" s="128" t="n">
        <x:f>'PROJECT TA Y TB KARINA'!$R102/8</x:f>
        <x:v>0</x:v>
      </x:c>
      <x:c r="IW48" s="128" t="n">
        <x:f>'PROJECT TA Y TB KARINA'!$R102/8</x:f>
        <x:v>0</x:v>
      </x:c>
      <x:c r="IX48" s="128" t="n">
        <x:f>'PROJECT TA Y TB KARINA'!$R102/8</x:f>
        <x:v>0</x:v>
      </x:c>
      <x:c r="IY48" s="128" t="n">
        <x:f>'PROJECT TA Y TB KARINA'!$R102/8</x:f>
        <x:v>0</x:v>
      </x:c>
      <x:c r="IZ48" s="128" t="n">
        <x:f>'PROJECT TA Y TB KARINA'!$R102/8</x:f>
        <x:v>0</x:v>
      </x:c>
      <x:c r="JA48" s="128" t="n">
        <x:f>'PROJECT TA Y TB KARINA'!$R102/8</x:f>
        <x:v>0</x:v>
      </x:c>
      <x:c r="JB48" s="128" t="n">
        <x:f>'PROJECT TA Y TB KARINA'!$R102/8</x:f>
        <x:v>0</x:v>
      </x:c>
      <x:c r="JC48" s="128" t="n">
        <x:f>'PROJECT TA Y TB KARINA'!$R102/8</x:f>
        <x:v>0</x:v>
      </x:c>
      <x:c r="JD48" s="128" t="n">
        <x:f>'PROJECT TA Y TB KARINA'!$S102/8</x:f>
        <x:v>0</x:v>
      </x:c>
      <x:c r="JE48" s="128" t="n">
        <x:f>'PROJECT TA Y TB KARINA'!$S102/8</x:f>
        <x:v>0</x:v>
      </x:c>
      <x:c r="JF48" s="128" t="n">
        <x:f>'PROJECT TA Y TB KARINA'!$S102/8</x:f>
        <x:v>0</x:v>
      </x:c>
      <x:c r="JG48" s="128" t="n">
        <x:f>'PROJECT TA Y TB KARINA'!$S102/8</x:f>
        <x:v>0</x:v>
      </x:c>
      <x:c r="JH48" s="128" t="n">
        <x:f>'PROJECT TA Y TB KARINA'!$S102/8</x:f>
        <x:v>0</x:v>
      </x:c>
      <x:c r="JI48" s="128" t="n">
        <x:f>'PROJECT TA Y TB KARINA'!$S102/8</x:f>
        <x:v>0</x:v>
      </x:c>
      <x:c r="JJ48" s="128" t="n">
        <x:f>'PROJECT TA Y TB KARINA'!$S102/8</x:f>
        <x:v>0</x:v>
      </x:c>
      <x:c r="JK48" s="128" t="n">
        <x:f>'PROJECT TA Y TB KARINA'!$S102/8</x:f>
        <x:v>0</x:v>
      </x:c>
      <x:c r="JL48" s="128" t="n">
        <x:f>'PROJECT TA Y TB KARINA'!$T102/8</x:f>
        <x:v>0</x:v>
      </x:c>
      <x:c r="JM48" s="128" t="n">
        <x:f>'PROJECT TA Y TB KARINA'!$T102/8</x:f>
        <x:v>0</x:v>
      </x:c>
      <x:c r="JN48" s="128" t="n">
        <x:f>'PROJECT TA Y TB KARINA'!$T102/8</x:f>
        <x:v>0</x:v>
      </x:c>
      <x:c r="JO48" s="128" t="n">
        <x:f>'PROJECT TA Y TB KARINA'!$T102/8</x:f>
        <x:v>0</x:v>
      </x:c>
      <x:c r="JP48" s="128" t="n">
        <x:f>'PROJECT TA Y TB KARINA'!$T102/8</x:f>
        <x:v>0</x:v>
      </x:c>
      <x:c r="JQ48" s="128" t="n">
        <x:f>'PROJECT TA Y TB KARINA'!$T102/8</x:f>
        <x:v>0</x:v>
      </x:c>
      <x:c r="JR48" s="128" t="n">
        <x:f>'PROJECT TA Y TB KARINA'!$T102/8</x:f>
        <x:v>0</x:v>
      </x:c>
      <x:c r="JS48" s="128" t="n">
        <x:f>'PROJECT TA Y TB KARINA'!$T102/8</x:f>
        <x:v>0</x:v>
      </x:c>
      <x:c r="JT48" s="128" t="e">
        <x:f>'PROJECT TA Y TB KARINA'!#REF!/8</x:f>
        <x:v>#NAME?</x:v>
      </x:c>
      <x:c r="JU48" s="128" t="e">
        <x:f>'PROJECT TA Y TB KARINA'!#REF!/8</x:f>
        <x:v>#NAME?</x:v>
      </x:c>
      <x:c r="JV48" s="128" t="e">
        <x:f>'PROJECT TA Y TB KARINA'!#REF!/8</x:f>
        <x:v>#NAME?</x:v>
      </x:c>
      <x:c r="JW48" s="128" t="e">
        <x:f>'PROJECT TA Y TB KARINA'!#REF!/8</x:f>
        <x:v>#NAME?</x:v>
      </x:c>
      <x:c r="JX48" s="128" t="e">
        <x:f>'PROJECT TA Y TB KARINA'!#REF!/8</x:f>
        <x:v>#NAME?</x:v>
      </x:c>
      <x:c r="JY48" s="128" t="e">
        <x:f>'PROJECT TA Y TB KARINA'!#REF!/8</x:f>
        <x:v>#NAME?</x:v>
      </x:c>
      <x:c r="JZ48" s="128" t="e">
        <x:f>'PROJECT TA Y TB KARINA'!#REF!/8</x:f>
        <x:v>#NAME?</x:v>
      </x:c>
      <x:c r="KA48" s="128" t="e">
        <x:f>'PROJECT TA Y TB KARINA'!#REF!/8</x:f>
        <x:v>#NAME?</x:v>
      </x:c>
    </x:row>
    <x:row r="49" ht="21">
      <x:c r="A49" s="130" t="s">
        <x:v>534</x:v>
      </x:c>
      <x:c r="B49" s="128" t="e">
        <x:f>'PROJECT TA Y TB KARINA'!$C$45/8</x:f>
        <x:v>#REF!</x:v>
      </x:c>
      <x:c r="C49" s="128" t="e">
        <x:f>'PROJECT TA Y TB KARINA'!$C$45/8</x:f>
        <x:v>#REF!</x:v>
      </x:c>
      <x:c r="D49" s="128" t="e">
        <x:f>'PROJECT TA Y TB KARINA'!$C$45/8</x:f>
        <x:v>#REF!</x:v>
      </x:c>
      <x:c r="E49" s="128" t="e">
        <x:f>'PROJECT TA Y TB KARINA'!$C$45/8</x:f>
        <x:v>#REF!</x:v>
      </x:c>
      <x:c r="F49" s="128" t="e">
        <x:f>'PROJECT TA Y TB KARINA'!$C$45/8</x:f>
        <x:v>#REF!</x:v>
      </x:c>
      <x:c r="G49" s="128" t="e">
        <x:f>'PROJECT TA Y TB KARINA'!$C$45/8</x:f>
        <x:v>#REF!</x:v>
      </x:c>
      <x:c r="H49" s="128" t="e">
        <x:f>'PROJECT TA Y TB KARINA'!$C$45/8</x:f>
        <x:v>#REF!</x:v>
      </x:c>
      <x:c r="I49" s="128" t="e">
        <x:f>'PROJECT TA Y TB KARINA'!$E45/8</x:f>
        <x:v>#REF!</x:v>
      </x:c>
      <x:c r="J49" s="128" t="e">
        <x:f>'PROJECT TA Y TB KARINA'!$E45/8</x:f>
        <x:v>#REF!</x:v>
      </x:c>
      <x:c r="K49" s="128" t="e">
        <x:f>'PROJECT TA Y TB KARINA'!$E45/8</x:f>
        <x:v>#REF!</x:v>
      </x:c>
      <x:c r="L49" s="128" t="e">
        <x:f>'PROJECT TA Y TB KARINA'!$E45/8</x:f>
        <x:v>#REF!</x:v>
      </x:c>
      <x:c r="M49" s="128" t="e">
        <x:f>'PROJECT TA Y TB KARINA'!$E45/8</x:f>
        <x:v>#REF!</x:v>
      </x:c>
      <x:c r="N49" s="128" t="e">
        <x:f>'PROJECT TA Y TB KARINA'!$E45/8</x:f>
        <x:v>#REF!</x:v>
      </x:c>
      <x:c r="O49" s="128" t="e">
        <x:f>'PROJECT TA Y TB KARINA'!$E45/8</x:f>
        <x:v>#REF!</x:v>
      </x:c>
      <x:c r="P49" s="128" t="e">
        <x:f>'PROJECT TA Y TB KARINA'!$E45/8</x:f>
        <x:v>#REF!</x:v>
      </x:c>
      <x:c r="Q49" s="128" t="e">
        <x:f>'PROJECT TA Y TB KARINA'!$F45/8</x:f>
        <x:v>#REF!</x:v>
      </x:c>
      <x:c r="R49" s="128" t="e">
        <x:f>'PROJECT TA Y TB KARINA'!$F45/8</x:f>
        <x:v>#REF!</x:v>
      </x:c>
      <x:c r="S49" s="128" t="e">
        <x:f>'PROJECT TA Y TB KARINA'!$F45/8</x:f>
        <x:v>#REF!</x:v>
      </x:c>
      <x:c r="T49" s="128" t="e">
        <x:f>'PROJECT TA Y TB KARINA'!$F45/8</x:f>
        <x:v>#REF!</x:v>
      </x:c>
      <x:c r="U49" s="128" t="e">
        <x:f>'PROJECT TA Y TB KARINA'!$F45/8</x:f>
        <x:v>#REF!</x:v>
      </x:c>
      <x:c r="V49" s="128" t="e">
        <x:f>'PROJECT TA Y TB KARINA'!$F45/8</x:f>
        <x:v>#REF!</x:v>
      </x:c>
      <x:c r="W49" s="128" t="e">
        <x:f>'PROJECT TA Y TB KARINA'!$F45/8</x:f>
        <x:v>#REF!</x:v>
      </x:c>
      <x:c r="X49" s="128" t="e">
        <x:f>'PROJECT TA Y TB KARINA'!$F45/8</x:f>
        <x:v>#REF!</x:v>
      </x:c>
      <x:c r="Y49" s="128" t="e">
        <x:f>'PROJECT TA Y TB KARINA'!$G45/8</x:f>
        <x:v>#REF!</x:v>
      </x:c>
      <x:c r="Z49" s="128" t="e">
        <x:f>'PROJECT TA Y TB KARINA'!$G45/8</x:f>
        <x:v>#REF!</x:v>
      </x:c>
      <x:c r="AA49" s="128" t="e">
        <x:f>'PROJECT TA Y TB KARINA'!$G45/8</x:f>
        <x:v>#REF!</x:v>
      </x:c>
      <x:c r="AB49" s="128" t="e">
        <x:f>'PROJECT TA Y TB KARINA'!$G45/8</x:f>
        <x:v>#REF!</x:v>
      </x:c>
      <x:c r="AC49" s="128" t="e">
        <x:f>'PROJECT TA Y TB KARINA'!$G45/8</x:f>
        <x:v>#REF!</x:v>
      </x:c>
      <x:c r="AD49" s="128" t="e">
        <x:f>'PROJECT TA Y TB KARINA'!$G45/8</x:f>
        <x:v>#REF!</x:v>
      </x:c>
      <x:c r="AE49" s="128" t="e">
        <x:f>'PROJECT TA Y TB KARINA'!$G45/8</x:f>
        <x:v>#REF!</x:v>
      </x:c>
      <x:c r="AF49" s="128" t="e">
        <x:f>'PROJECT TA Y TB KARINA'!$G45/8</x:f>
        <x:v>#REF!</x:v>
      </x:c>
      <x:c r="AG49" s="128" t="e">
        <x:f>'PROJECT TA Y TB KARINA'!$H45/8</x:f>
        <x:v>#REF!</x:v>
      </x:c>
      <x:c r="AH49" s="128" t="e">
        <x:f>'PROJECT TA Y TB KARINA'!$H45/8</x:f>
        <x:v>#REF!</x:v>
      </x:c>
      <x:c r="AI49" s="128" t="e">
        <x:f>'PROJECT TA Y TB KARINA'!$H45/8</x:f>
        <x:v>#REF!</x:v>
      </x:c>
      <x:c r="AJ49" s="128" t="e">
        <x:f>'PROJECT TA Y TB KARINA'!$H45/8</x:f>
        <x:v>#REF!</x:v>
      </x:c>
      <x:c r="AK49" s="128" t="e">
        <x:f>'PROJECT TA Y TB KARINA'!$H45/8</x:f>
        <x:v>#REF!</x:v>
      </x:c>
      <x:c r="AL49" s="128" t="e">
        <x:f>'PROJECT TA Y TB KARINA'!$H45/8</x:f>
        <x:v>#REF!</x:v>
      </x:c>
      <x:c r="AM49" s="128" t="e">
        <x:f>'PROJECT TA Y TB KARINA'!$H45/8</x:f>
        <x:v>#REF!</x:v>
      </x:c>
      <x:c r="AN49" s="128" t="e">
        <x:f>'PROJECT TA Y TB KARINA'!$H45/8</x:f>
        <x:v>#REF!</x:v>
      </x:c>
      <x:c r="AO49" s="128" t="e">
        <x:f>'PROJECT TA Y TB KARINA'!$I45/8</x:f>
        <x:v>#REF!</x:v>
      </x:c>
      <x:c r="AP49" s="128" t="e">
        <x:f>'PROJECT TA Y TB KARINA'!$I45/8</x:f>
        <x:v>#REF!</x:v>
      </x:c>
      <x:c r="AQ49" s="128" t="e">
        <x:f>'PROJECT TA Y TB KARINA'!$I45/8</x:f>
        <x:v>#REF!</x:v>
      </x:c>
      <x:c r="AR49" s="128" t="e">
        <x:f>'PROJECT TA Y TB KARINA'!$I45/8</x:f>
        <x:v>#REF!</x:v>
      </x:c>
      <x:c r="AS49" s="128" t="e">
        <x:f>'PROJECT TA Y TB KARINA'!$I45/8</x:f>
        <x:v>#REF!</x:v>
      </x:c>
      <x:c r="AT49" s="128" t="e">
        <x:f>'PROJECT TA Y TB KARINA'!$I45/8</x:f>
        <x:v>#REF!</x:v>
      </x:c>
      <x:c r="AU49" s="128" t="e">
        <x:f>'PROJECT TA Y TB KARINA'!$I45/8</x:f>
        <x:v>#REF!</x:v>
      </x:c>
      <x:c r="AV49" s="128" t="e">
        <x:f>'PROJECT TA Y TB KARINA'!$I45/8</x:f>
        <x:v>#REF!</x:v>
      </x:c>
      <x:c r="AW49" s="128" t="e">
        <x:f>'PROJECT TA Y TB KARINA'!$J45/8</x:f>
        <x:v>#REF!</x:v>
      </x:c>
      <x:c r="AX49" s="128" t="e">
        <x:f>'PROJECT TA Y TB KARINA'!$J45/8</x:f>
        <x:v>#REF!</x:v>
      </x:c>
      <x:c r="AY49" s="128" t="e">
        <x:f>'PROJECT TA Y TB KARINA'!$J45/8</x:f>
        <x:v>#REF!</x:v>
      </x:c>
      <x:c r="AZ49" s="128" t="e">
        <x:f>'PROJECT TA Y TB KARINA'!$J45/8</x:f>
        <x:v>#REF!</x:v>
      </x:c>
      <x:c r="BA49" s="128" t="e">
        <x:f>'PROJECT TA Y TB KARINA'!$J45/8</x:f>
        <x:v>#REF!</x:v>
      </x:c>
      <x:c r="BB49" s="128" t="e">
        <x:f>'PROJECT TA Y TB KARINA'!$J45/8</x:f>
        <x:v>#REF!</x:v>
      </x:c>
      <x:c r="BC49" s="128" t="e">
        <x:f>'PROJECT TA Y TB KARINA'!$J45/8</x:f>
        <x:v>#REF!</x:v>
      </x:c>
      <x:c r="BD49" s="128" t="e">
        <x:f>'PROJECT TA Y TB KARINA'!$J45/8</x:f>
        <x:v>#REF!</x:v>
      </x:c>
      <x:c r="BE49" s="128" t="e">
        <x:f>'PROJECT TA Y TB KARINA'!$K45/8</x:f>
        <x:v>#REF!</x:v>
      </x:c>
      <x:c r="BF49" s="128" t="e">
        <x:f>'PROJECT TA Y TB KARINA'!$K45/8</x:f>
        <x:v>#REF!</x:v>
      </x:c>
      <x:c r="BG49" s="128" t="e">
        <x:f>'PROJECT TA Y TB KARINA'!$K45/8</x:f>
        <x:v>#REF!</x:v>
      </x:c>
      <x:c r="BH49" s="128" t="e">
        <x:f>'PROJECT TA Y TB KARINA'!$K45/8</x:f>
        <x:v>#REF!</x:v>
      </x:c>
      <x:c r="BI49" s="128" t="e">
        <x:f>'PROJECT TA Y TB KARINA'!$K45/8</x:f>
        <x:v>#REF!</x:v>
      </x:c>
      <x:c r="BJ49" s="128" t="e">
        <x:f>'PROJECT TA Y TB KARINA'!$K45/8</x:f>
        <x:v>#REF!</x:v>
      </x:c>
      <x:c r="BK49" s="128" t="e">
        <x:f>'PROJECT TA Y TB KARINA'!$K45/8</x:f>
        <x:v>#REF!</x:v>
      </x:c>
      <x:c r="BL49" s="128" t="e">
        <x:f>'PROJECT TA Y TB KARINA'!$K45/8</x:f>
        <x:v>#REF!</x:v>
      </x:c>
      <x:c r="BM49" s="128" t="e">
        <x:f>'PROJECT TA Y TB KARINA'!$L45/8</x:f>
        <x:v>#REF!</x:v>
      </x:c>
      <x:c r="BN49" s="128" t="e">
        <x:f>'PROJECT TA Y TB KARINA'!$L45/8</x:f>
        <x:v>#REF!</x:v>
      </x:c>
      <x:c r="BO49" s="128" t="e">
        <x:f>'PROJECT TA Y TB KARINA'!$L45/8</x:f>
        <x:v>#REF!</x:v>
      </x:c>
      <x:c r="BP49" s="128" t="e">
        <x:f>'PROJECT TA Y TB KARINA'!$L45/8</x:f>
        <x:v>#REF!</x:v>
      </x:c>
      <x:c r="BQ49" s="128" t="e">
        <x:f>'PROJECT TA Y TB KARINA'!$L45/8</x:f>
        <x:v>#REF!</x:v>
      </x:c>
      <x:c r="BR49" s="128" t="e">
        <x:f>'PROJECT TA Y TB KARINA'!$L45/8</x:f>
        <x:v>#REF!</x:v>
      </x:c>
      <x:c r="BS49" s="128" t="e">
        <x:f>'PROJECT TA Y TB KARINA'!$L45/8</x:f>
        <x:v>#REF!</x:v>
      </x:c>
      <x:c r="BT49" s="128" t="e">
        <x:f>'PROJECT TA Y TB KARINA'!$L45/8</x:f>
        <x:v>#REF!</x:v>
      </x:c>
      <x:c r="BU49" s="128" t="e">
        <x:f>'PROJECT TA Y TB KARINA'!$M45/8</x:f>
        <x:v>#REF!</x:v>
      </x:c>
      <x:c r="BV49" s="128" t="e">
        <x:f>'PROJECT TA Y TB KARINA'!$M45/8</x:f>
        <x:v>#REF!</x:v>
      </x:c>
      <x:c r="BW49" s="128" t="e">
        <x:f>'PROJECT TA Y TB KARINA'!$M45/8</x:f>
        <x:v>#REF!</x:v>
      </x:c>
      <x:c r="BX49" s="128" t="e">
        <x:f>'PROJECT TA Y TB KARINA'!$M45/8</x:f>
        <x:v>#REF!</x:v>
      </x:c>
      <x:c r="BY49" s="128" t="e">
        <x:f>'PROJECT TA Y TB KARINA'!$M45/8</x:f>
        <x:v>#REF!</x:v>
      </x:c>
      <x:c r="BZ49" s="128" t="e">
        <x:f>'PROJECT TA Y TB KARINA'!$M45/8</x:f>
        <x:v>#REF!</x:v>
      </x:c>
      <x:c r="CA49" s="128" t="e">
        <x:f>'PROJECT TA Y TB KARINA'!$M45/8</x:f>
        <x:v>#REF!</x:v>
      </x:c>
      <x:c r="CB49" s="128" t="e">
        <x:f>'PROJECT TA Y TB KARINA'!$M45/8</x:f>
        <x:v>#REF!</x:v>
      </x:c>
      <x:c r="CC49" s="128" t="e">
        <x:f>'PROJECT TA Y TB KARINA'!$N45/8</x:f>
        <x:v>#REF!</x:v>
      </x:c>
      <x:c r="CD49" s="128" t="e">
        <x:f>'PROJECT TA Y TB KARINA'!$N45/8</x:f>
        <x:v>#REF!</x:v>
      </x:c>
      <x:c r="CE49" s="128" t="e">
        <x:f>'PROJECT TA Y TB KARINA'!$N45/8</x:f>
        <x:v>#REF!</x:v>
      </x:c>
      <x:c r="CF49" s="128" t="e">
        <x:f>'PROJECT TA Y TB KARINA'!$N45/8</x:f>
        <x:v>#REF!</x:v>
      </x:c>
      <x:c r="CG49" s="128" t="e">
        <x:f>'PROJECT TA Y TB KARINA'!$N45/8</x:f>
        <x:v>#REF!</x:v>
      </x:c>
      <x:c r="CH49" s="128" t="e">
        <x:f>'PROJECT TA Y TB KARINA'!$N45/8</x:f>
        <x:v>#REF!</x:v>
      </x:c>
      <x:c r="CI49" s="128" t="e">
        <x:f>'PROJECT TA Y TB KARINA'!$N45/8</x:f>
        <x:v>#REF!</x:v>
      </x:c>
      <x:c r="CJ49" s="128" t="e">
        <x:f>'PROJECT TA Y TB KARINA'!$N45/8</x:f>
        <x:v>#REF!</x:v>
      </x:c>
      <x:c r="CK49" s="128" t="e">
        <x:f>'PROJECT TA Y TB KARINA'!$O45/8</x:f>
        <x:v>#REF!</x:v>
      </x:c>
      <x:c r="CL49" s="128" t="e">
        <x:f>'PROJECT TA Y TB KARINA'!$O45/8</x:f>
        <x:v>#REF!</x:v>
      </x:c>
      <x:c r="CM49" s="128" t="e">
        <x:f>'PROJECT TA Y TB KARINA'!$O45/8</x:f>
        <x:v>#REF!</x:v>
      </x:c>
      <x:c r="CN49" s="128" t="e">
        <x:f>'PROJECT TA Y TB KARINA'!$O45/8</x:f>
        <x:v>#REF!</x:v>
      </x:c>
      <x:c r="CO49" s="128" t="e">
        <x:f>'PROJECT TA Y TB KARINA'!$O45/8</x:f>
        <x:v>#REF!</x:v>
      </x:c>
      <x:c r="CP49" s="128" t="e">
        <x:f>'PROJECT TA Y TB KARINA'!$O45/8</x:f>
        <x:v>#REF!</x:v>
      </x:c>
      <x:c r="CQ49" s="128" t="e">
        <x:f>'PROJECT TA Y TB KARINA'!$O45/8</x:f>
        <x:v>#REF!</x:v>
      </x:c>
      <x:c r="CR49" s="128" t="e">
        <x:f>'PROJECT TA Y TB KARINA'!$O45/8</x:f>
        <x:v>#REF!</x:v>
      </x:c>
      <x:c r="CS49" s="128" t="e">
        <x:f>'PROJECT TA Y TB KARINA'!$P45/8</x:f>
        <x:v>#REF!</x:v>
      </x:c>
      <x:c r="CT49" s="128" t="e">
        <x:f>'PROJECT TA Y TB KARINA'!$P45/8</x:f>
        <x:v>#REF!</x:v>
      </x:c>
      <x:c r="CU49" s="128" t="e">
        <x:f>'PROJECT TA Y TB KARINA'!$P45/8</x:f>
        <x:v>#REF!</x:v>
      </x:c>
      <x:c r="CV49" s="128" t="e">
        <x:f>'PROJECT TA Y TB KARINA'!$P45/8</x:f>
        <x:v>#REF!</x:v>
      </x:c>
      <x:c r="CW49" s="128" t="e">
        <x:f>'PROJECT TA Y TB KARINA'!$P45/8</x:f>
        <x:v>#REF!</x:v>
      </x:c>
      <x:c r="CX49" s="128" t="e">
        <x:f>'PROJECT TA Y TB KARINA'!$P45/8</x:f>
        <x:v>#REF!</x:v>
      </x:c>
      <x:c r="CY49" s="128" t="e">
        <x:f>'PROJECT TA Y TB KARINA'!$P45/8</x:f>
        <x:v>#REF!</x:v>
      </x:c>
      <x:c r="CZ49" s="128" t="e">
        <x:f>'PROJECT TA Y TB KARINA'!$P45/8</x:f>
        <x:v>#REF!</x:v>
      </x:c>
      <x:c r="DA49" s="128" t="e">
        <x:f>'PROJECT TA Y TB KARINA'!$Q45/8</x:f>
        <x:v>#REF!</x:v>
      </x:c>
      <x:c r="DB49" s="128" t="e">
        <x:f>'PROJECT TA Y TB KARINA'!$Q45/8</x:f>
        <x:v>#REF!</x:v>
      </x:c>
      <x:c r="DC49" s="128" t="e">
        <x:f>'PROJECT TA Y TB KARINA'!$Q45/8</x:f>
        <x:v>#REF!</x:v>
      </x:c>
      <x:c r="DD49" s="128" t="e">
        <x:f>'PROJECT TA Y TB KARINA'!$Q45/8</x:f>
        <x:v>#REF!</x:v>
      </x:c>
      <x:c r="DE49" s="128" t="e">
        <x:f>'PROJECT TA Y TB KARINA'!$Q45/8</x:f>
        <x:v>#REF!</x:v>
      </x:c>
      <x:c r="DF49" s="128" t="e">
        <x:f>'PROJECT TA Y TB KARINA'!$Q45/8</x:f>
        <x:v>#REF!</x:v>
      </x:c>
      <x:c r="DG49" s="128" t="e">
        <x:f>'PROJECT TA Y TB KARINA'!$Q45/8</x:f>
        <x:v>#REF!</x:v>
      </x:c>
      <x:c r="DH49" s="128" t="e">
        <x:f>'PROJECT TA Y TB KARINA'!$Q45/8</x:f>
        <x:v>#REF!</x:v>
      </x:c>
      <x:c r="DI49" s="128" t="e">
        <x:f>'PROJECT TA Y TB KARINA'!$R45/8</x:f>
        <x:v>#REF!</x:v>
      </x:c>
      <x:c r="DJ49" s="128" t="e">
        <x:f>'PROJECT TA Y TB KARINA'!$R45/8</x:f>
        <x:v>#REF!</x:v>
      </x:c>
      <x:c r="DK49" s="128" t="e">
        <x:f>'PROJECT TA Y TB KARINA'!$R45/8</x:f>
        <x:v>#REF!</x:v>
      </x:c>
      <x:c r="DL49" s="128" t="e">
        <x:f>'PROJECT TA Y TB KARINA'!$R45/8</x:f>
        <x:v>#REF!</x:v>
      </x:c>
      <x:c r="DM49" s="128" t="e">
        <x:f>'PROJECT TA Y TB KARINA'!$R45/8</x:f>
        <x:v>#REF!</x:v>
      </x:c>
      <x:c r="DN49" s="128" t="e">
        <x:f>'PROJECT TA Y TB KARINA'!$R45/8</x:f>
        <x:v>#REF!</x:v>
      </x:c>
      <x:c r="DO49" s="128" t="e">
        <x:f>'PROJECT TA Y TB KARINA'!$R45/8</x:f>
        <x:v>#REF!</x:v>
      </x:c>
      <x:c r="DP49" s="128" t="e">
        <x:f>'PROJECT TA Y TB KARINA'!$R45/8</x:f>
        <x:v>#REF!</x:v>
      </x:c>
      <x:c r="DQ49" s="128" t="e">
        <x:f>'PROJECT TA Y TB KARINA'!$S45/8</x:f>
        <x:v>#REF!</x:v>
      </x:c>
      <x:c r="DR49" s="128" t="e">
        <x:f>'PROJECT TA Y TB KARINA'!$S45/8</x:f>
        <x:v>#REF!</x:v>
      </x:c>
      <x:c r="DS49" s="128" t="e">
        <x:f>'PROJECT TA Y TB KARINA'!$S45/8</x:f>
        <x:v>#REF!</x:v>
      </x:c>
      <x:c r="DT49" s="128" t="e">
        <x:f>'PROJECT TA Y TB KARINA'!$S45/8</x:f>
        <x:v>#REF!</x:v>
      </x:c>
      <x:c r="DU49" s="128" t="e">
        <x:f>'PROJECT TA Y TB KARINA'!$S45/8</x:f>
        <x:v>#REF!</x:v>
      </x:c>
      <x:c r="DV49" s="128" t="e">
        <x:f>'PROJECT TA Y TB KARINA'!$S45/8</x:f>
        <x:v>#REF!</x:v>
      </x:c>
      <x:c r="DW49" s="128" t="e">
        <x:f>'PROJECT TA Y TB KARINA'!$S45/8</x:f>
        <x:v>#REF!</x:v>
      </x:c>
      <x:c r="DX49" s="128" t="e">
        <x:f>'PROJECT TA Y TB KARINA'!$S45/8</x:f>
        <x:v>#REF!</x:v>
      </x:c>
      <x:c r="DY49" s="128" t="e">
        <x:f>'PROJECT TA Y TB KARINA'!$T45/8</x:f>
        <x:v>#REF!</x:v>
      </x:c>
      <x:c r="DZ49" s="128" t="e">
        <x:f>'PROJECT TA Y TB KARINA'!$T45/8</x:f>
        <x:v>#REF!</x:v>
      </x:c>
      <x:c r="EA49" s="128" t="e">
        <x:f>'PROJECT TA Y TB KARINA'!$T45/8</x:f>
        <x:v>#REF!</x:v>
      </x:c>
      <x:c r="EB49" s="128" t="e">
        <x:f>'PROJECT TA Y TB KARINA'!$T45/8</x:f>
        <x:v>#REF!</x:v>
      </x:c>
      <x:c r="EC49" s="128" t="e">
        <x:f>'PROJECT TA Y TB KARINA'!$T45/8</x:f>
        <x:v>#REF!</x:v>
      </x:c>
      <x:c r="ED49" s="128" t="e">
        <x:f>'PROJECT TA Y TB KARINA'!$T45/8</x:f>
        <x:v>#REF!</x:v>
      </x:c>
      <x:c r="EE49" s="128" t="e">
        <x:f>'PROJECT TA Y TB KARINA'!$T45/8</x:f>
        <x:v>#REF!</x:v>
      </x:c>
      <x:c r="EF49" s="128" t="e">
        <x:f>'PROJECT TA Y TB KARINA'!$T45/8</x:f>
        <x:v>#REF!</x:v>
      </x:c>
      <x:c r="EG49" s="128" t="e">
        <x:f>'PROJECT TA Y TB KARINA'!#REF!/8</x:f>
        <x:v>#NAME?</x:v>
      </x:c>
      <x:c r="EH49" s="128" t="e">
        <x:f>'PROJECT TA Y TB KARINA'!#REF!/8</x:f>
        <x:v>#NAME?</x:v>
      </x:c>
      <x:c r="EI49" s="128" t="e">
        <x:f>'PROJECT TA Y TB KARINA'!#REF!/8</x:f>
        <x:v>#NAME?</x:v>
      </x:c>
      <x:c r="EJ49" s="128" t="e">
        <x:f>'PROJECT TA Y TB KARINA'!#REF!/8</x:f>
        <x:v>#NAME?</x:v>
      </x:c>
      <x:c r="EK49" s="128" t="e">
        <x:f>'PROJECT TA Y TB KARINA'!#REF!/8</x:f>
        <x:v>#NAME?</x:v>
      </x:c>
      <x:c r="EL49" s="128" t="e">
        <x:f>'PROJECT TA Y TB KARINA'!#REF!/8</x:f>
        <x:v>#NAME?</x:v>
      </x:c>
      <x:c r="EM49" s="128" t="e">
        <x:f>'PROJECT TA Y TB KARINA'!#REF!/8</x:f>
        <x:v>#NAME?</x:v>
      </x:c>
      <x:c r="EN49" s="128" t="e">
        <x:f>'PROJECT TA Y TB KARINA'!#REF!/8</x:f>
        <x:v>#NAME?</x:v>
      </x:c>
      <x:c r="EO49" s="128" t="n">
        <x:f>'PROJECT TA Y TB KARINA'!$C103/8</x:f>
        <x:v>0</x:v>
      </x:c>
      <x:c r="EP49" s="128" t="n">
        <x:f>'PROJECT TA Y TB KARINA'!$C103/8</x:f>
        <x:v>0</x:v>
      </x:c>
      <x:c r="EQ49" s="128" t="n">
        <x:f>'PROJECT TA Y TB KARINA'!$C103/8</x:f>
        <x:v>0</x:v>
      </x:c>
      <x:c r="ER49" s="128" t="n">
        <x:f>'PROJECT TA Y TB KARINA'!$C103/8</x:f>
        <x:v>0</x:v>
      </x:c>
      <x:c r="ES49" s="128" t="n">
        <x:f>'PROJECT TA Y TB KARINA'!$C103/8</x:f>
        <x:v>0</x:v>
      </x:c>
      <x:c r="ET49" s="128" t="n">
        <x:f>'PROJECT TA Y TB KARINA'!$C103/8</x:f>
        <x:v>0</x:v>
      </x:c>
      <x:c r="EU49" s="128" t="n">
        <x:f>'PROJECT TA Y TB KARINA'!$C103/8</x:f>
        <x:v>0</x:v>
      </x:c>
      <x:c r="EV49" s="128" t="n">
        <x:f>'PROJECT TA Y TB KARINA'!$E103/8</x:f>
        <x:v>0</x:v>
      </x:c>
      <x:c r="EW49" s="128" t="n">
        <x:f>'PROJECT TA Y TB KARINA'!$E103/8</x:f>
        <x:v>0</x:v>
      </x:c>
      <x:c r="EX49" s="128" t="n">
        <x:f>'PROJECT TA Y TB KARINA'!$E103/8</x:f>
        <x:v>0</x:v>
      </x:c>
      <x:c r="EY49" s="128" t="n">
        <x:f>'PROJECT TA Y TB KARINA'!$E103/8</x:f>
        <x:v>0</x:v>
      </x:c>
      <x:c r="EZ49" s="128" t="n">
        <x:f>'PROJECT TA Y TB KARINA'!$E103/8</x:f>
        <x:v>0</x:v>
      </x:c>
      <x:c r="FA49" s="128" t="n">
        <x:f>'PROJECT TA Y TB KARINA'!$E103/8</x:f>
        <x:v>0</x:v>
      </x:c>
      <x:c r="FB49" s="128" t="n">
        <x:f>'PROJECT TA Y TB KARINA'!$E103/8</x:f>
        <x:v>0</x:v>
      </x:c>
      <x:c r="FC49" s="128" t="n">
        <x:f>'PROJECT TA Y TB KARINA'!$E103/8</x:f>
        <x:v>0</x:v>
      </x:c>
      <x:c r="FD49" s="128" t="n">
        <x:f>'PROJECT TA Y TB KARINA'!$F103/8</x:f>
        <x:v>0</x:v>
      </x:c>
      <x:c r="FE49" s="128" t="n">
        <x:f>'PROJECT TA Y TB KARINA'!$F103/8</x:f>
        <x:v>0</x:v>
      </x:c>
      <x:c r="FF49" s="128" t="n">
        <x:f>'PROJECT TA Y TB KARINA'!$F103/8</x:f>
        <x:v>0</x:v>
      </x:c>
      <x:c r="FG49" s="128" t="n">
        <x:f>'PROJECT TA Y TB KARINA'!$F103/8</x:f>
        <x:v>0</x:v>
      </x:c>
      <x:c r="FH49" s="128" t="n">
        <x:f>'PROJECT TA Y TB KARINA'!$F103/8</x:f>
        <x:v>0</x:v>
      </x:c>
      <x:c r="FI49" s="128" t="n">
        <x:f>'PROJECT TA Y TB KARINA'!$F103/8</x:f>
        <x:v>0</x:v>
      </x:c>
      <x:c r="FJ49" s="128" t="n">
        <x:f>'PROJECT TA Y TB KARINA'!$F103/8</x:f>
        <x:v>0</x:v>
      </x:c>
      <x:c r="FK49" s="128" t="n">
        <x:f>'PROJECT TA Y TB KARINA'!$F103/8</x:f>
        <x:v>0</x:v>
      </x:c>
      <x:c r="FL49" s="128" t="n">
        <x:f>'PROJECT TA Y TB KARINA'!$G103/8</x:f>
        <x:v>0</x:v>
      </x:c>
      <x:c r="FM49" s="128" t="n">
        <x:f>'PROJECT TA Y TB KARINA'!$G103/8</x:f>
        <x:v>0</x:v>
      </x:c>
      <x:c r="FN49" s="128" t="n">
        <x:f>'PROJECT TA Y TB KARINA'!$G103/8</x:f>
        <x:v>0</x:v>
      </x:c>
      <x:c r="FO49" s="128" t="n">
        <x:f>'PROJECT TA Y TB KARINA'!$G103/8</x:f>
        <x:v>0</x:v>
      </x:c>
      <x:c r="FP49" s="128" t="n">
        <x:f>'PROJECT TA Y TB KARINA'!$G103/8</x:f>
        <x:v>0</x:v>
      </x:c>
      <x:c r="FQ49" s="128" t="n">
        <x:f>'PROJECT TA Y TB KARINA'!$G103/8</x:f>
        <x:v>0</x:v>
      </x:c>
      <x:c r="FR49" s="128" t="n">
        <x:f>'PROJECT TA Y TB KARINA'!$G103/8</x:f>
        <x:v>0</x:v>
      </x:c>
      <x:c r="FS49" s="128" t="n">
        <x:f>'PROJECT TA Y TB KARINA'!$G103/8</x:f>
        <x:v>0</x:v>
      </x:c>
      <x:c r="FT49" s="128" t="n">
        <x:f>'PROJECT TA Y TB KARINA'!$H103/8</x:f>
        <x:v>0</x:v>
      </x:c>
      <x:c r="FU49" s="128" t="n">
        <x:f>'PROJECT TA Y TB KARINA'!$H103/8</x:f>
        <x:v>0</x:v>
      </x:c>
      <x:c r="FV49" s="128" t="n">
        <x:f>'PROJECT TA Y TB KARINA'!$H103/8</x:f>
        <x:v>0</x:v>
      </x:c>
      <x:c r="FW49" s="128" t="n">
        <x:f>'PROJECT TA Y TB KARINA'!$H103/8</x:f>
        <x:v>0</x:v>
      </x:c>
      <x:c r="FX49" s="128" t="n">
        <x:f>'PROJECT TA Y TB KARINA'!$H103/8</x:f>
        <x:v>0</x:v>
      </x:c>
      <x:c r="FY49" s="128" t="n">
        <x:f>'PROJECT TA Y TB KARINA'!$H103/8</x:f>
        <x:v>0</x:v>
      </x:c>
      <x:c r="FZ49" s="128" t="n">
        <x:f>'PROJECT TA Y TB KARINA'!$H103/8</x:f>
        <x:v>0</x:v>
      </x:c>
      <x:c r="GA49" s="128" t="n">
        <x:f>'PROJECT TA Y TB KARINA'!$H103/8</x:f>
        <x:v>0</x:v>
      </x:c>
      <x:c r="GB49" s="128" t="n">
        <x:f>'PROJECT TA Y TB KARINA'!$I103/8</x:f>
        <x:v>0</x:v>
      </x:c>
      <x:c r="GC49" s="128" t="n">
        <x:f>'PROJECT TA Y TB KARINA'!$I103/8</x:f>
        <x:v>0</x:v>
      </x:c>
      <x:c r="GD49" s="128" t="n">
        <x:f>'PROJECT TA Y TB KARINA'!$I103/8</x:f>
        <x:v>0</x:v>
      </x:c>
      <x:c r="GE49" s="128" t="n">
        <x:f>'PROJECT TA Y TB KARINA'!$I103/8</x:f>
        <x:v>0</x:v>
      </x:c>
      <x:c r="GF49" s="128" t="n">
        <x:f>'PROJECT TA Y TB KARINA'!$I103/8</x:f>
        <x:v>0</x:v>
      </x:c>
      <x:c r="GG49" s="128" t="n">
        <x:f>'PROJECT TA Y TB KARINA'!$I103/8</x:f>
        <x:v>0</x:v>
      </x:c>
      <x:c r="GH49" s="128" t="n">
        <x:f>'PROJECT TA Y TB KARINA'!$I103/8</x:f>
        <x:v>0</x:v>
      </x:c>
      <x:c r="GI49" s="128" t="n">
        <x:f>'PROJECT TA Y TB KARINA'!$I103/8</x:f>
        <x:v>0</x:v>
      </x:c>
      <x:c r="GJ49" s="128" t="n">
        <x:f>'PROJECT TA Y TB KARINA'!$J103/8</x:f>
        <x:v>0</x:v>
      </x:c>
      <x:c r="GK49" s="128" t="n">
        <x:f>'PROJECT TA Y TB KARINA'!$J103/8</x:f>
        <x:v>0</x:v>
      </x:c>
      <x:c r="GL49" s="128" t="n">
        <x:f>'PROJECT TA Y TB KARINA'!$J103/8</x:f>
        <x:v>0</x:v>
      </x:c>
      <x:c r="GM49" s="128" t="n">
        <x:f>'PROJECT TA Y TB KARINA'!$J103/8</x:f>
        <x:v>0</x:v>
      </x:c>
      <x:c r="GN49" s="128" t="n">
        <x:f>'PROJECT TA Y TB KARINA'!$J103/8</x:f>
        <x:v>0</x:v>
      </x:c>
      <x:c r="GO49" s="128" t="n">
        <x:f>'PROJECT TA Y TB KARINA'!$J103/8</x:f>
        <x:v>0</x:v>
      </x:c>
      <x:c r="GP49" s="128" t="n">
        <x:f>'PROJECT TA Y TB KARINA'!$J103/8</x:f>
        <x:v>0</x:v>
      </x:c>
      <x:c r="GQ49" s="128" t="n">
        <x:f>'PROJECT TA Y TB KARINA'!$J103/8</x:f>
        <x:v>0</x:v>
      </x:c>
      <x:c r="GR49" s="128" t="n">
        <x:f>'PROJECT TA Y TB KARINA'!$K103/8</x:f>
        <x:v>0</x:v>
      </x:c>
      <x:c r="GS49" s="128" t="n">
        <x:f>'PROJECT TA Y TB KARINA'!$K103/8</x:f>
        <x:v>0</x:v>
      </x:c>
      <x:c r="GT49" s="128" t="n">
        <x:f>'PROJECT TA Y TB KARINA'!$K103/8</x:f>
        <x:v>0</x:v>
      </x:c>
      <x:c r="GU49" s="128" t="n">
        <x:f>'PROJECT TA Y TB KARINA'!$K103/8</x:f>
        <x:v>0</x:v>
      </x:c>
      <x:c r="GV49" s="128" t="n">
        <x:f>'PROJECT TA Y TB KARINA'!$K103/8</x:f>
        <x:v>0</x:v>
      </x:c>
      <x:c r="GW49" s="128" t="n">
        <x:f>'PROJECT TA Y TB KARINA'!$K103/8</x:f>
        <x:v>0</x:v>
      </x:c>
      <x:c r="GX49" s="128" t="n">
        <x:f>'PROJECT TA Y TB KARINA'!$K103/8</x:f>
        <x:v>0</x:v>
      </x:c>
      <x:c r="GY49" s="128" t="n">
        <x:f>'PROJECT TA Y TB KARINA'!$K103/8</x:f>
        <x:v>0</x:v>
      </x:c>
      <x:c r="GZ49" s="128" t="n">
        <x:f>'PROJECT TA Y TB KARINA'!$L103/8</x:f>
        <x:v>0</x:v>
      </x:c>
      <x:c r="HA49" s="128" t="n">
        <x:f>'PROJECT TA Y TB KARINA'!$L103/8</x:f>
        <x:v>0</x:v>
      </x:c>
      <x:c r="HB49" s="128" t="n">
        <x:f>'PROJECT TA Y TB KARINA'!$L103/8</x:f>
        <x:v>0</x:v>
      </x:c>
      <x:c r="HC49" s="128" t="n">
        <x:f>'PROJECT TA Y TB KARINA'!$L103/8</x:f>
        <x:v>0</x:v>
      </x:c>
      <x:c r="HD49" s="128" t="n">
        <x:f>'PROJECT TA Y TB KARINA'!$L103/8</x:f>
        <x:v>0</x:v>
      </x:c>
      <x:c r="HE49" s="128" t="n">
        <x:f>'PROJECT TA Y TB KARINA'!$L103/8</x:f>
        <x:v>0</x:v>
      </x:c>
      <x:c r="HF49" s="128" t="n">
        <x:f>'PROJECT TA Y TB KARINA'!$L103/8</x:f>
        <x:v>0</x:v>
      </x:c>
      <x:c r="HG49" s="128" t="n">
        <x:f>'PROJECT TA Y TB KARINA'!$L103/8</x:f>
        <x:v>0</x:v>
      </x:c>
      <x:c r="HH49" s="128" t="n">
        <x:f>'PROJECT TA Y TB KARINA'!$M103/8</x:f>
        <x:v>0</x:v>
      </x:c>
      <x:c r="HI49" s="128" t="n">
        <x:f>'PROJECT TA Y TB KARINA'!$M103/8</x:f>
        <x:v>0</x:v>
      </x:c>
      <x:c r="HJ49" s="128" t="n">
        <x:f>'PROJECT TA Y TB KARINA'!$M103/8</x:f>
        <x:v>0</x:v>
      </x:c>
      <x:c r="HK49" s="128" t="n">
        <x:f>'PROJECT TA Y TB KARINA'!$M103/8</x:f>
        <x:v>0</x:v>
      </x:c>
      <x:c r="HL49" s="128" t="n">
        <x:f>'PROJECT TA Y TB KARINA'!$M103/8</x:f>
        <x:v>0</x:v>
      </x:c>
      <x:c r="HM49" s="128" t="n">
        <x:f>'PROJECT TA Y TB KARINA'!$M103/8</x:f>
        <x:v>0</x:v>
      </x:c>
      <x:c r="HN49" s="128" t="n">
        <x:f>'PROJECT TA Y TB KARINA'!$M103/8</x:f>
        <x:v>0</x:v>
      </x:c>
      <x:c r="HO49" s="128" t="n">
        <x:f>'PROJECT TA Y TB KARINA'!$M103/8</x:f>
        <x:v>0</x:v>
      </x:c>
      <x:c r="HP49" s="128" t="n">
        <x:f>'PROJECT TA Y TB KARINA'!$N103/8</x:f>
        <x:v>0</x:v>
      </x:c>
      <x:c r="HQ49" s="128" t="n">
        <x:f>'PROJECT TA Y TB KARINA'!$N103/8</x:f>
        <x:v>0</x:v>
      </x:c>
      <x:c r="HR49" s="128" t="n">
        <x:f>'PROJECT TA Y TB KARINA'!$N103/8</x:f>
        <x:v>0</x:v>
      </x:c>
      <x:c r="HS49" s="128" t="n">
        <x:f>'PROJECT TA Y TB KARINA'!$N103/8</x:f>
        <x:v>0</x:v>
      </x:c>
      <x:c r="HT49" s="128" t="n">
        <x:f>'PROJECT TA Y TB KARINA'!$N103/8</x:f>
        <x:v>0</x:v>
      </x:c>
      <x:c r="HU49" s="128" t="n">
        <x:f>'PROJECT TA Y TB KARINA'!$N103/8</x:f>
        <x:v>0</x:v>
      </x:c>
      <x:c r="HV49" s="128" t="n">
        <x:f>'PROJECT TA Y TB KARINA'!$N103/8</x:f>
        <x:v>0</x:v>
      </x:c>
      <x:c r="HW49" s="128" t="n">
        <x:f>'PROJECT TA Y TB KARINA'!$N103/8</x:f>
        <x:v>0</x:v>
      </x:c>
      <x:c r="HX49" s="128" t="n">
        <x:f>'PROJECT TA Y TB KARINA'!$O103/8</x:f>
        <x:v>0</x:v>
      </x:c>
      <x:c r="HY49" s="128" t="n">
        <x:f>'PROJECT TA Y TB KARINA'!$O103/8</x:f>
        <x:v>0</x:v>
      </x:c>
      <x:c r="HZ49" s="128" t="n">
        <x:f>'PROJECT TA Y TB KARINA'!$O103/8</x:f>
        <x:v>0</x:v>
      </x:c>
      <x:c r="IA49" s="128" t="n">
        <x:f>'PROJECT TA Y TB KARINA'!$O103/8</x:f>
        <x:v>0</x:v>
      </x:c>
      <x:c r="IB49" s="128" t="n">
        <x:f>'PROJECT TA Y TB KARINA'!$O103/8</x:f>
        <x:v>0</x:v>
      </x:c>
      <x:c r="IC49" s="128" t="n">
        <x:f>'PROJECT TA Y TB KARINA'!$O103/8</x:f>
        <x:v>0</x:v>
      </x:c>
      <x:c r="ID49" s="128" t="n">
        <x:f>'PROJECT TA Y TB KARINA'!$O103/8</x:f>
        <x:v>0</x:v>
      </x:c>
      <x:c r="IE49" s="128" t="n">
        <x:f>'PROJECT TA Y TB KARINA'!$O103/8</x:f>
        <x:v>0</x:v>
      </x:c>
      <x:c r="IF49" s="128" t="n">
        <x:f>'PROJECT TA Y TB KARINA'!$P103/8</x:f>
        <x:v>0</x:v>
      </x:c>
      <x:c r="IG49" s="128" t="n">
        <x:f>'PROJECT TA Y TB KARINA'!$P103/8</x:f>
        <x:v>0</x:v>
      </x:c>
      <x:c r="IH49" s="128" t="n">
        <x:f>'PROJECT TA Y TB KARINA'!$P103/8</x:f>
        <x:v>0</x:v>
      </x:c>
      <x:c r="II49" s="128" t="n">
        <x:f>'PROJECT TA Y TB KARINA'!$P103/8</x:f>
        <x:v>0</x:v>
      </x:c>
      <x:c r="IJ49" s="128" t="n">
        <x:f>'PROJECT TA Y TB KARINA'!$P103/8</x:f>
        <x:v>0</x:v>
      </x:c>
      <x:c r="IK49" s="128" t="n">
        <x:f>'PROJECT TA Y TB KARINA'!$P103/8</x:f>
        <x:v>0</x:v>
      </x:c>
      <x:c r="IL49" s="128" t="n">
        <x:f>'PROJECT TA Y TB KARINA'!$P103/8</x:f>
        <x:v>0</x:v>
      </x:c>
      <x:c r="IM49" s="128" t="n">
        <x:f>'PROJECT TA Y TB KARINA'!$P103/8</x:f>
        <x:v>0</x:v>
      </x:c>
      <x:c r="IN49" s="128" t="n">
        <x:f>'PROJECT TA Y TB KARINA'!$Q103/8</x:f>
        <x:v>0</x:v>
      </x:c>
      <x:c r="IO49" s="128" t="n">
        <x:f>'PROJECT TA Y TB KARINA'!$Q103/8</x:f>
        <x:v>0</x:v>
      </x:c>
      <x:c r="IP49" s="128" t="n">
        <x:f>'PROJECT TA Y TB KARINA'!$Q103/8</x:f>
        <x:v>0</x:v>
      </x:c>
      <x:c r="IQ49" s="128" t="n">
        <x:f>'PROJECT TA Y TB KARINA'!$Q103/8</x:f>
        <x:v>0</x:v>
      </x:c>
      <x:c r="IR49" s="128" t="n">
        <x:f>'PROJECT TA Y TB KARINA'!$Q103/8</x:f>
        <x:v>0</x:v>
      </x:c>
      <x:c r="IS49" s="128" t="n">
        <x:f>'PROJECT TA Y TB KARINA'!$Q103/8</x:f>
        <x:v>0</x:v>
      </x:c>
      <x:c r="IT49" s="128" t="n">
        <x:f>'PROJECT TA Y TB KARINA'!$Q103/8</x:f>
        <x:v>0</x:v>
      </x:c>
      <x:c r="IU49" s="128" t="n">
        <x:f>'PROJECT TA Y TB KARINA'!$Q103/8</x:f>
        <x:v>0</x:v>
      </x:c>
      <x:c r="IV49" s="128" t="n">
        <x:f>'PROJECT TA Y TB KARINA'!$R103/8</x:f>
        <x:v>0</x:v>
      </x:c>
      <x:c r="IW49" s="128" t="n">
        <x:f>'PROJECT TA Y TB KARINA'!$R103/8</x:f>
        <x:v>0</x:v>
      </x:c>
      <x:c r="IX49" s="128" t="n">
        <x:f>'PROJECT TA Y TB KARINA'!$R103/8</x:f>
        <x:v>0</x:v>
      </x:c>
      <x:c r="IY49" s="128" t="n">
        <x:f>'PROJECT TA Y TB KARINA'!$R103/8</x:f>
        <x:v>0</x:v>
      </x:c>
      <x:c r="IZ49" s="128" t="n">
        <x:f>'PROJECT TA Y TB KARINA'!$R103/8</x:f>
        <x:v>0</x:v>
      </x:c>
      <x:c r="JA49" s="128" t="n">
        <x:f>'PROJECT TA Y TB KARINA'!$R103/8</x:f>
        <x:v>0</x:v>
      </x:c>
      <x:c r="JB49" s="128" t="n">
        <x:f>'PROJECT TA Y TB KARINA'!$R103/8</x:f>
        <x:v>0</x:v>
      </x:c>
      <x:c r="JC49" s="128" t="n">
        <x:f>'PROJECT TA Y TB KARINA'!$R103/8</x:f>
        <x:v>0</x:v>
      </x:c>
      <x:c r="JD49" s="128" t="n">
        <x:f>'PROJECT TA Y TB KARINA'!$S103/8</x:f>
        <x:v>0</x:v>
      </x:c>
      <x:c r="JE49" s="128" t="n">
        <x:f>'PROJECT TA Y TB KARINA'!$S103/8</x:f>
        <x:v>0</x:v>
      </x:c>
      <x:c r="JF49" s="128" t="n">
        <x:f>'PROJECT TA Y TB KARINA'!$S103/8</x:f>
        <x:v>0</x:v>
      </x:c>
      <x:c r="JG49" s="128" t="n">
        <x:f>'PROJECT TA Y TB KARINA'!$S103/8</x:f>
        <x:v>0</x:v>
      </x:c>
      <x:c r="JH49" s="128" t="n">
        <x:f>'PROJECT TA Y TB KARINA'!$S103/8</x:f>
        <x:v>0</x:v>
      </x:c>
      <x:c r="JI49" s="128" t="n">
        <x:f>'PROJECT TA Y TB KARINA'!$S103/8</x:f>
        <x:v>0</x:v>
      </x:c>
      <x:c r="JJ49" s="128" t="n">
        <x:f>'PROJECT TA Y TB KARINA'!$S103/8</x:f>
        <x:v>0</x:v>
      </x:c>
      <x:c r="JK49" s="128" t="n">
        <x:f>'PROJECT TA Y TB KARINA'!$S103/8</x:f>
        <x:v>0</x:v>
      </x:c>
      <x:c r="JL49" s="128" t="n">
        <x:f>'PROJECT TA Y TB KARINA'!$T103/8</x:f>
        <x:v>0</x:v>
      </x:c>
      <x:c r="JM49" s="128" t="n">
        <x:f>'PROJECT TA Y TB KARINA'!$T103/8</x:f>
        <x:v>0</x:v>
      </x:c>
      <x:c r="JN49" s="128" t="n">
        <x:f>'PROJECT TA Y TB KARINA'!$T103/8</x:f>
        <x:v>0</x:v>
      </x:c>
      <x:c r="JO49" s="128" t="n">
        <x:f>'PROJECT TA Y TB KARINA'!$T103/8</x:f>
        <x:v>0</x:v>
      </x:c>
      <x:c r="JP49" s="128" t="n">
        <x:f>'PROJECT TA Y TB KARINA'!$T103/8</x:f>
        <x:v>0</x:v>
      </x:c>
      <x:c r="JQ49" s="128" t="n">
        <x:f>'PROJECT TA Y TB KARINA'!$T103/8</x:f>
        <x:v>0</x:v>
      </x:c>
      <x:c r="JR49" s="128" t="n">
        <x:f>'PROJECT TA Y TB KARINA'!$T103/8</x:f>
        <x:v>0</x:v>
      </x:c>
      <x:c r="JS49" s="128" t="n">
        <x:f>'PROJECT TA Y TB KARINA'!$T103/8</x:f>
        <x:v>0</x:v>
      </x:c>
      <x:c r="JT49" s="128" t="e">
        <x:f>'PROJECT TA Y TB KARINA'!#REF!/8</x:f>
        <x:v>#NAME?</x:v>
      </x:c>
      <x:c r="JU49" s="128" t="e">
        <x:f>'PROJECT TA Y TB KARINA'!#REF!/8</x:f>
        <x:v>#NAME?</x:v>
      </x:c>
      <x:c r="JV49" s="128" t="e">
        <x:f>'PROJECT TA Y TB KARINA'!#REF!/8</x:f>
        <x:v>#NAME?</x:v>
      </x:c>
      <x:c r="JW49" s="128" t="e">
        <x:f>'PROJECT TA Y TB KARINA'!#REF!/8</x:f>
        <x:v>#NAME?</x:v>
      </x:c>
      <x:c r="JX49" s="128" t="e">
        <x:f>'PROJECT TA Y TB KARINA'!#REF!/8</x:f>
        <x:v>#NAME?</x:v>
      </x:c>
      <x:c r="JY49" s="128" t="e">
        <x:f>'PROJECT TA Y TB KARINA'!#REF!/8</x:f>
        <x:v>#NAME?</x:v>
      </x:c>
      <x:c r="JZ49" s="128" t="e">
        <x:f>'PROJECT TA Y TB KARINA'!#REF!/8</x:f>
        <x:v>#NAME?</x:v>
      </x:c>
      <x:c r="KA49" s="128" t="e">
        <x:f>'PROJECT TA Y TB KARINA'!#REF!/8</x:f>
        <x:v>#NAME?</x:v>
      </x:c>
    </x:row>
    <x:row r="50" ht="21">
      <x:c r="A50" s="130" t="s">
        <x:v>535</x:v>
      </x:c>
      <x:c r="B50" s="128" t="e">
        <x:f>'PROJECT TA Y TB KARINA'!$C$46/8</x:f>
        <x:v>#REF!</x:v>
      </x:c>
      <x:c r="C50" s="128" t="e">
        <x:f>'PROJECT TA Y TB KARINA'!$C$46/8</x:f>
        <x:v>#REF!</x:v>
      </x:c>
      <x:c r="D50" s="128" t="e">
        <x:f>'PROJECT TA Y TB KARINA'!$C$46/8</x:f>
        <x:v>#REF!</x:v>
      </x:c>
      <x:c r="E50" s="128" t="e">
        <x:f>'PROJECT TA Y TB KARINA'!$C$46/8</x:f>
        <x:v>#REF!</x:v>
      </x:c>
      <x:c r="F50" s="128" t="e">
        <x:f>'PROJECT TA Y TB KARINA'!$C$46/8</x:f>
        <x:v>#REF!</x:v>
      </x:c>
      <x:c r="G50" s="128" t="e">
        <x:f>'PROJECT TA Y TB KARINA'!$C$46/8</x:f>
        <x:v>#REF!</x:v>
      </x:c>
      <x:c r="H50" s="128" t="e">
        <x:f>'PROJECT TA Y TB KARINA'!$C$46/8</x:f>
        <x:v>#REF!</x:v>
      </x:c>
      <x:c r="I50" s="128" t="e">
        <x:f>'PROJECT TA Y TB KARINA'!$E46/8</x:f>
        <x:v>#REF!</x:v>
      </x:c>
      <x:c r="J50" s="128" t="e">
        <x:f>'PROJECT TA Y TB KARINA'!$E46/8</x:f>
        <x:v>#REF!</x:v>
      </x:c>
      <x:c r="K50" s="128" t="e">
        <x:f>'PROJECT TA Y TB KARINA'!$E46/8</x:f>
        <x:v>#REF!</x:v>
      </x:c>
      <x:c r="L50" s="128" t="e">
        <x:f>'PROJECT TA Y TB KARINA'!$E46/8</x:f>
        <x:v>#REF!</x:v>
      </x:c>
      <x:c r="M50" s="128" t="e">
        <x:f>'PROJECT TA Y TB KARINA'!$E46/8</x:f>
        <x:v>#REF!</x:v>
      </x:c>
      <x:c r="N50" s="128" t="e">
        <x:f>'PROJECT TA Y TB KARINA'!$E46/8</x:f>
        <x:v>#REF!</x:v>
      </x:c>
      <x:c r="O50" s="128" t="e">
        <x:f>'PROJECT TA Y TB KARINA'!$E46/8</x:f>
        <x:v>#REF!</x:v>
      </x:c>
      <x:c r="P50" s="128" t="e">
        <x:f>'PROJECT TA Y TB KARINA'!$E46/8</x:f>
        <x:v>#REF!</x:v>
      </x:c>
      <x:c r="Q50" s="128" t="e">
        <x:f>'PROJECT TA Y TB KARINA'!$F46/8</x:f>
        <x:v>#REF!</x:v>
      </x:c>
      <x:c r="R50" s="128" t="e">
        <x:f>'PROJECT TA Y TB KARINA'!$F46/8</x:f>
        <x:v>#REF!</x:v>
      </x:c>
      <x:c r="S50" s="128" t="e">
        <x:f>'PROJECT TA Y TB KARINA'!$F46/8</x:f>
        <x:v>#REF!</x:v>
      </x:c>
      <x:c r="T50" s="128" t="e">
        <x:f>'PROJECT TA Y TB KARINA'!$F46/8</x:f>
        <x:v>#REF!</x:v>
      </x:c>
      <x:c r="U50" s="128" t="e">
        <x:f>'PROJECT TA Y TB KARINA'!$F46/8</x:f>
        <x:v>#REF!</x:v>
      </x:c>
      <x:c r="V50" s="128" t="e">
        <x:f>'PROJECT TA Y TB KARINA'!$F46/8</x:f>
        <x:v>#REF!</x:v>
      </x:c>
      <x:c r="W50" s="128" t="e">
        <x:f>'PROJECT TA Y TB KARINA'!$F46/8</x:f>
        <x:v>#REF!</x:v>
      </x:c>
      <x:c r="X50" s="128" t="e">
        <x:f>'PROJECT TA Y TB KARINA'!$F46/8</x:f>
        <x:v>#REF!</x:v>
      </x:c>
      <x:c r="Y50" s="128" t="e">
        <x:f>'PROJECT TA Y TB KARINA'!$G46/8</x:f>
        <x:v>#REF!</x:v>
      </x:c>
      <x:c r="Z50" s="128" t="e">
        <x:f>'PROJECT TA Y TB KARINA'!$G46/8</x:f>
        <x:v>#REF!</x:v>
      </x:c>
      <x:c r="AA50" s="128" t="e">
        <x:f>'PROJECT TA Y TB KARINA'!$G46/8</x:f>
        <x:v>#REF!</x:v>
      </x:c>
      <x:c r="AB50" s="128" t="e">
        <x:f>'PROJECT TA Y TB KARINA'!$G46/8</x:f>
        <x:v>#REF!</x:v>
      </x:c>
      <x:c r="AC50" s="128" t="e">
        <x:f>'PROJECT TA Y TB KARINA'!$G46/8</x:f>
        <x:v>#REF!</x:v>
      </x:c>
      <x:c r="AD50" s="128" t="e">
        <x:f>'PROJECT TA Y TB KARINA'!$G46/8</x:f>
        <x:v>#REF!</x:v>
      </x:c>
      <x:c r="AE50" s="128" t="e">
        <x:f>'PROJECT TA Y TB KARINA'!$G46/8</x:f>
        <x:v>#REF!</x:v>
      </x:c>
      <x:c r="AF50" s="128" t="e">
        <x:f>'PROJECT TA Y TB KARINA'!$G46/8</x:f>
        <x:v>#REF!</x:v>
      </x:c>
      <x:c r="AG50" s="128" t="e">
        <x:f>'PROJECT TA Y TB KARINA'!$H46/8</x:f>
        <x:v>#REF!</x:v>
      </x:c>
      <x:c r="AH50" s="128" t="e">
        <x:f>'PROJECT TA Y TB KARINA'!$H46/8</x:f>
        <x:v>#REF!</x:v>
      </x:c>
      <x:c r="AI50" s="128" t="e">
        <x:f>'PROJECT TA Y TB KARINA'!$H46/8</x:f>
        <x:v>#REF!</x:v>
      </x:c>
      <x:c r="AJ50" s="128" t="e">
        <x:f>'PROJECT TA Y TB KARINA'!$H46/8</x:f>
        <x:v>#REF!</x:v>
      </x:c>
      <x:c r="AK50" s="128" t="e">
        <x:f>'PROJECT TA Y TB KARINA'!$H46/8</x:f>
        <x:v>#REF!</x:v>
      </x:c>
      <x:c r="AL50" s="128" t="e">
        <x:f>'PROJECT TA Y TB KARINA'!$H46/8</x:f>
        <x:v>#REF!</x:v>
      </x:c>
      <x:c r="AM50" s="128" t="e">
        <x:f>'PROJECT TA Y TB KARINA'!$H46/8</x:f>
        <x:v>#REF!</x:v>
      </x:c>
      <x:c r="AN50" s="128" t="e">
        <x:f>'PROJECT TA Y TB KARINA'!$H46/8</x:f>
        <x:v>#REF!</x:v>
      </x:c>
      <x:c r="AO50" s="128" t="e">
        <x:f>'PROJECT TA Y TB KARINA'!$I46/8</x:f>
        <x:v>#REF!</x:v>
      </x:c>
      <x:c r="AP50" s="128" t="e">
        <x:f>'PROJECT TA Y TB KARINA'!$I46/8</x:f>
        <x:v>#REF!</x:v>
      </x:c>
      <x:c r="AQ50" s="128" t="e">
        <x:f>'PROJECT TA Y TB KARINA'!$I46/8</x:f>
        <x:v>#REF!</x:v>
      </x:c>
      <x:c r="AR50" s="128" t="e">
        <x:f>'PROJECT TA Y TB KARINA'!$I46/8</x:f>
        <x:v>#REF!</x:v>
      </x:c>
      <x:c r="AS50" s="128" t="e">
        <x:f>'PROJECT TA Y TB KARINA'!$I46/8</x:f>
        <x:v>#REF!</x:v>
      </x:c>
      <x:c r="AT50" s="128" t="e">
        <x:f>'PROJECT TA Y TB KARINA'!$I46/8</x:f>
        <x:v>#REF!</x:v>
      </x:c>
      <x:c r="AU50" s="128" t="e">
        <x:f>'PROJECT TA Y TB KARINA'!$I46/8</x:f>
        <x:v>#REF!</x:v>
      </x:c>
      <x:c r="AV50" s="128" t="e">
        <x:f>'PROJECT TA Y TB KARINA'!$I46/8</x:f>
        <x:v>#REF!</x:v>
      </x:c>
      <x:c r="AW50" s="128" t="e">
        <x:f>'PROJECT TA Y TB KARINA'!$J46/8</x:f>
        <x:v>#REF!</x:v>
      </x:c>
      <x:c r="AX50" s="128" t="e">
        <x:f>'PROJECT TA Y TB KARINA'!$J46/8</x:f>
        <x:v>#REF!</x:v>
      </x:c>
      <x:c r="AY50" s="128" t="e">
        <x:f>'PROJECT TA Y TB KARINA'!$J46/8</x:f>
        <x:v>#REF!</x:v>
      </x:c>
      <x:c r="AZ50" s="128" t="e">
        <x:f>'PROJECT TA Y TB KARINA'!$J46/8</x:f>
        <x:v>#REF!</x:v>
      </x:c>
      <x:c r="BA50" s="128" t="e">
        <x:f>'PROJECT TA Y TB KARINA'!$J46/8</x:f>
        <x:v>#REF!</x:v>
      </x:c>
      <x:c r="BB50" s="128" t="e">
        <x:f>'PROJECT TA Y TB KARINA'!$J46/8</x:f>
        <x:v>#REF!</x:v>
      </x:c>
      <x:c r="BC50" s="128" t="e">
        <x:f>'PROJECT TA Y TB KARINA'!$J46/8</x:f>
        <x:v>#REF!</x:v>
      </x:c>
      <x:c r="BD50" s="128" t="e">
        <x:f>'PROJECT TA Y TB KARINA'!$J46/8</x:f>
        <x:v>#REF!</x:v>
      </x:c>
      <x:c r="BE50" s="128" t="e">
        <x:f>'PROJECT TA Y TB KARINA'!$K46/8</x:f>
        <x:v>#REF!</x:v>
      </x:c>
      <x:c r="BF50" s="128" t="e">
        <x:f>'PROJECT TA Y TB KARINA'!$K46/8</x:f>
        <x:v>#REF!</x:v>
      </x:c>
      <x:c r="BG50" s="128" t="e">
        <x:f>'PROJECT TA Y TB KARINA'!$K46/8</x:f>
        <x:v>#REF!</x:v>
      </x:c>
      <x:c r="BH50" s="128" t="e">
        <x:f>'PROJECT TA Y TB KARINA'!$K46/8</x:f>
        <x:v>#REF!</x:v>
      </x:c>
      <x:c r="BI50" s="128" t="e">
        <x:f>'PROJECT TA Y TB KARINA'!$K46/8</x:f>
        <x:v>#REF!</x:v>
      </x:c>
      <x:c r="BJ50" s="128" t="e">
        <x:f>'PROJECT TA Y TB KARINA'!$K46/8</x:f>
        <x:v>#REF!</x:v>
      </x:c>
      <x:c r="BK50" s="128" t="e">
        <x:f>'PROJECT TA Y TB KARINA'!$K46/8</x:f>
        <x:v>#REF!</x:v>
      </x:c>
      <x:c r="BL50" s="128" t="e">
        <x:f>'PROJECT TA Y TB KARINA'!$K46/8</x:f>
        <x:v>#REF!</x:v>
      </x:c>
      <x:c r="BM50" s="128" t="e">
        <x:f>'PROJECT TA Y TB KARINA'!$L46/8</x:f>
        <x:v>#REF!</x:v>
      </x:c>
      <x:c r="BN50" s="128" t="e">
        <x:f>'PROJECT TA Y TB KARINA'!$L46/8</x:f>
        <x:v>#REF!</x:v>
      </x:c>
      <x:c r="BO50" s="128" t="e">
        <x:f>'PROJECT TA Y TB KARINA'!$L46/8</x:f>
        <x:v>#REF!</x:v>
      </x:c>
      <x:c r="BP50" s="128" t="e">
        <x:f>'PROJECT TA Y TB KARINA'!$L46/8</x:f>
        <x:v>#REF!</x:v>
      </x:c>
      <x:c r="BQ50" s="128" t="e">
        <x:f>'PROJECT TA Y TB KARINA'!$L46/8</x:f>
        <x:v>#REF!</x:v>
      </x:c>
      <x:c r="BR50" s="128" t="e">
        <x:f>'PROJECT TA Y TB KARINA'!$L46/8</x:f>
        <x:v>#REF!</x:v>
      </x:c>
      <x:c r="BS50" s="128" t="e">
        <x:f>'PROJECT TA Y TB KARINA'!$L46/8</x:f>
        <x:v>#REF!</x:v>
      </x:c>
      <x:c r="BT50" s="128" t="e">
        <x:f>'PROJECT TA Y TB KARINA'!$L46/8</x:f>
        <x:v>#REF!</x:v>
      </x:c>
      <x:c r="BU50" s="128" t="e">
        <x:f>'PROJECT TA Y TB KARINA'!$M46/8</x:f>
        <x:v>#REF!</x:v>
      </x:c>
      <x:c r="BV50" s="128" t="e">
        <x:f>'PROJECT TA Y TB KARINA'!$M46/8</x:f>
        <x:v>#REF!</x:v>
      </x:c>
      <x:c r="BW50" s="128" t="e">
        <x:f>'PROJECT TA Y TB KARINA'!$M46/8</x:f>
        <x:v>#REF!</x:v>
      </x:c>
      <x:c r="BX50" s="128" t="e">
        <x:f>'PROJECT TA Y TB KARINA'!$M46/8</x:f>
        <x:v>#REF!</x:v>
      </x:c>
      <x:c r="BY50" s="128" t="e">
        <x:f>'PROJECT TA Y TB KARINA'!$M46/8</x:f>
        <x:v>#REF!</x:v>
      </x:c>
      <x:c r="BZ50" s="128" t="e">
        <x:f>'PROJECT TA Y TB KARINA'!$M46/8</x:f>
        <x:v>#REF!</x:v>
      </x:c>
      <x:c r="CA50" s="128" t="e">
        <x:f>'PROJECT TA Y TB KARINA'!$M46/8</x:f>
        <x:v>#REF!</x:v>
      </x:c>
      <x:c r="CB50" s="128" t="e">
        <x:f>'PROJECT TA Y TB KARINA'!$M46/8</x:f>
        <x:v>#REF!</x:v>
      </x:c>
      <x:c r="CC50" s="128" t="e">
        <x:f>'PROJECT TA Y TB KARINA'!$N46/8</x:f>
        <x:v>#REF!</x:v>
      </x:c>
      <x:c r="CD50" s="128" t="e">
        <x:f>'PROJECT TA Y TB KARINA'!$N46/8</x:f>
        <x:v>#REF!</x:v>
      </x:c>
      <x:c r="CE50" s="128" t="e">
        <x:f>'PROJECT TA Y TB KARINA'!$N46/8</x:f>
        <x:v>#REF!</x:v>
      </x:c>
      <x:c r="CF50" s="128" t="e">
        <x:f>'PROJECT TA Y TB KARINA'!$N46/8</x:f>
        <x:v>#REF!</x:v>
      </x:c>
      <x:c r="CG50" s="128" t="e">
        <x:f>'PROJECT TA Y TB KARINA'!$N46/8</x:f>
        <x:v>#REF!</x:v>
      </x:c>
      <x:c r="CH50" s="128" t="e">
        <x:f>'PROJECT TA Y TB KARINA'!$N46/8</x:f>
        <x:v>#REF!</x:v>
      </x:c>
      <x:c r="CI50" s="128" t="e">
        <x:f>'PROJECT TA Y TB KARINA'!$N46/8</x:f>
        <x:v>#REF!</x:v>
      </x:c>
      <x:c r="CJ50" s="128" t="e">
        <x:f>'PROJECT TA Y TB KARINA'!$N46/8</x:f>
        <x:v>#REF!</x:v>
      </x:c>
      <x:c r="CK50" s="128" t="e">
        <x:f>'PROJECT TA Y TB KARINA'!$O46/8</x:f>
        <x:v>#REF!</x:v>
      </x:c>
      <x:c r="CL50" s="128" t="e">
        <x:f>'PROJECT TA Y TB KARINA'!$O46/8</x:f>
        <x:v>#REF!</x:v>
      </x:c>
      <x:c r="CM50" s="128" t="e">
        <x:f>'PROJECT TA Y TB KARINA'!$O46/8</x:f>
        <x:v>#REF!</x:v>
      </x:c>
      <x:c r="CN50" s="128" t="e">
        <x:f>'PROJECT TA Y TB KARINA'!$O46/8</x:f>
        <x:v>#REF!</x:v>
      </x:c>
      <x:c r="CO50" s="128" t="e">
        <x:f>'PROJECT TA Y TB KARINA'!$O46/8</x:f>
        <x:v>#REF!</x:v>
      </x:c>
      <x:c r="CP50" s="128" t="e">
        <x:f>'PROJECT TA Y TB KARINA'!$O46/8</x:f>
        <x:v>#REF!</x:v>
      </x:c>
      <x:c r="CQ50" s="128" t="e">
        <x:f>'PROJECT TA Y TB KARINA'!$O46/8</x:f>
        <x:v>#REF!</x:v>
      </x:c>
      <x:c r="CR50" s="128" t="e">
        <x:f>'PROJECT TA Y TB KARINA'!$O46/8</x:f>
        <x:v>#REF!</x:v>
      </x:c>
      <x:c r="CS50" s="128" t="e">
        <x:f>'PROJECT TA Y TB KARINA'!$P46/8</x:f>
        <x:v>#REF!</x:v>
      </x:c>
      <x:c r="CT50" s="128" t="e">
        <x:f>'PROJECT TA Y TB KARINA'!$P46/8</x:f>
        <x:v>#REF!</x:v>
      </x:c>
      <x:c r="CU50" s="128" t="e">
        <x:f>'PROJECT TA Y TB KARINA'!$P46/8</x:f>
        <x:v>#REF!</x:v>
      </x:c>
      <x:c r="CV50" s="128" t="e">
        <x:f>'PROJECT TA Y TB KARINA'!$P46/8</x:f>
        <x:v>#REF!</x:v>
      </x:c>
      <x:c r="CW50" s="128" t="e">
        <x:f>'PROJECT TA Y TB KARINA'!$P46/8</x:f>
        <x:v>#REF!</x:v>
      </x:c>
      <x:c r="CX50" s="128" t="e">
        <x:f>'PROJECT TA Y TB KARINA'!$P46/8</x:f>
        <x:v>#REF!</x:v>
      </x:c>
      <x:c r="CY50" s="128" t="e">
        <x:f>'PROJECT TA Y TB KARINA'!$P46/8</x:f>
        <x:v>#REF!</x:v>
      </x:c>
      <x:c r="CZ50" s="128" t="e">
        <x:f>'PROJECT TA Y TB KARINA'!$P46/8</x:f>
        <x:v>#REF!</x:v>
      </x:c>
      <x:c r="DA50" s="128" t="e">
        <x:f>'PROJECT TA Y TB KARINA'!$Q46/8</x:f>
        <x:v>#REF!</x:v>
      </x:c>
      <x:c r="DB50" s="128" t="e">
        <x:f>'PROJECT TA Y TB KARINA'!$Q46/8</x:f>
        <x:v>#REF!</x:v>
      </x:c>
      <x:c r="DC50" s="128" t="e">
        <x:f>'PROJECT TA Y TB KARINA'!$Q46/8</x:f>
        <x:v>#REF!</x:v>
      </x:c>
      <x:c r="DD50" s="128" t="e">
        <x:f>'PROJECT TA Y TB KARINA'!$Q46/8</x:f>
        <x:v>#REF!</x:v>
      </x:c>
      <x:c r="DE50" s="128" t="e">
        <x:f>'PROJECT TA Y TB KARINA'!$Q46/8</x:f>
        <x:v>#REF!</x:v>
      </x:c>
      <x:c r="DF50" s="128" t="e">
        <x:f>'PROJECT TA Y TB KARINA'!$Q46/8</x:f>
        <x:v>#REF!</x:v>
      </x:c>
      <x:c r="DG50" s="128" t="e">
        <x:f>'PROJECT TA Y TB KARINA'!$Q46/8</x:f>
        <x:v>#REF!</x:v>
      </x:c>
      <x:c r="DH50" s="128" t="e">
        <x:f>'PROJECT TA Y TB KARINA'!$Q46/8</x:f>
        <x:v>#REF!</x:v>
      </x:c>
      <x:c r="DI50" s="128" t="e">
        <x:f>'PROJECT TA Y TB KARINA'!$R46/8</x:f>
        <x:v>#REF!</x:v>
      </x:c>
      <x:c r="DJ50" s="128" t="e">
        <x:f>'PROJECT TA Y TB KARINA'!$R46/8</x:f>
        <x:v>#REF!</x:v>
      </x:c>
      <x:c r="DK50" s="128" t="e">
        <x:f>'PROJECT TA Y TB KARINA'!$R46/8</x:f>
        <x:v>#REF!</x:v>
      </x:c>
      <x:c r="DL50" s="128" t="e">
        <x:f>'PROJECT TA Y TB KARINA'!$R46/8</x:f>
        <x:v>#REF!</x:v>
      </x:c>
      <x:c r="DM50" s="128" t="e">
        <x:f>'PROJECT TA Y TB KARINA'!$R46/8</x:f>
        <x:v>#REF!</x:v>
      </x:c>
      <x:c r="DN50" s="128" t="e">
        <x:f>'PROJECT TA Y TB KARINA'!$R46/8</x:f>
        <x:v>#REF!</x:v>
      </x:c>
      <x:c r="DO50" s="128" t="e">
        <x:f>'PROJECT TA Y TB KARINA'!$R46/8</x:f>
        <x:v>#REF!</x:v>
      </x:c>
      <x:c r="DP50" s="128" t="e">
        <x:f>'PROJECT TA Y TB KARINA'!$R46/8</x:f>
        <x:v>#REF!</x:v>
      </x:c>
      <x:c r="DQ50" s="128" t="e">
        <x:f>'PROJECT TA Y TB KARINA'!$S46/8</x:f>
        <x:v>#REF!</x:v>
      </x:c>
      <x:c r="DR50" s="128" t="e">
        <x:f>'PROJECT TA Y TB KARINA'!$S46/8</x:f>
        <x:v>#REF!</x:v>
      </x:c>
      <x:c r="DS50" s="128" t="e">
        <x:f>'PROJECT TA Y TB KARINA'!$S46/8</x:f>
        <x:v>#REF!</x:v>
      </x:c>
      <x:c r="DT50" s="128" t="e">
        <x:f>'PROJECT TA Y TB KARINA'!$S46/8</x:f>
        <x:v>#REF!</x:v>
      </x:c>
      <x:c r="DU50" s="128" t="e">
        <x:f>'PROJECT TA Y TB KARINA'!$S46/8</x:f>
        <x:v>#REF!</x:v>
      </x:c>
      <x:c r="DV50" s="128" t="e">
        <x:f>'PROJECT TA Y TB KARINA'!$S46/8</x:f>
        <x:v>#REF!</x:v>
      </x:c>
      <x:c r="DW50" s="128" t="e">
        <x:f>'PROJECT TA Y TB KARINA'!$S46/8</x:f>
        <x:v>#REF!</x:v>
      </x:c>
      <x:c r="DX50" s="128" t="e">
        <x:f>'PROJECT TA Y TB KARINA'!$S46/8</x:f>
        <x:v>#REF!</x:v>
      </x:c>
      <x:c r="DY50" s="128" t="e">
        <x:f>'PROJECT TA Y TB KARINA'!$T46/8</x:f>
        <x:v>#REF!</x:v>
      </x:c>
      <x:c r="DZ50" s="128" t="e">
        <x:f>'PROJECT TA Y TB KARINA'!$T46/8</x:f>
        <x:v>#REF!</x:v>
      </x:c>
      <x:c r="EA50" s="128" t="e">
        <x:f>'PROJECT TA Y TB KARINA'!$T46/8</x:f>
        <x:v>#REF!</x:v>
      </x:c>
      <x:c r="EB50" s="128" t="e">
        <x:f>'PROJECT TA Y TB KARINA'!$T46/8</x:f>
        <x:v>#REF!</x:v>
      </x:c>
      <x:c r="EC50" s="128" t="e">
        <x:f>'PROJECT TA Y TB KARINA'!$T46/8</x:f>
        <x:v>#REF!</x:v>
      </x:c>
      <x:c r="ED50" s="128" t="e">
        <x:f>'PROJECT TA Y TB KARINA'!$T46/8</x:f>
        <x:v>#REF!</x:v>
      </x:c>
      <x:c r="EE50" s="128" t="e">
        <x:f>'PROJECT TA Y TB KARINA'!$T46/8</x:f>
        <x:v>#REF!</x:v>
      </x:c>
      <x:c r="EF50" s="128" t="e">
        <x:f>'PROJECT TA Y TB KARINA'!$T46/8</x:f>
        <x:v>#REF!</x:v>
      </x:c>
      <x:c r="EG50" s="128" t="e">
        <x:f>'PROJECT TA Y TB KARINA'!#REF!/8</x:f>
        <x:v>#NAME?</x:v>
      </x:c>
      <x:c r="EH50" s="128" t="e">
        <x:f>'PROJECT TA Y TB KARINA'!#REF!/8</x:f>
        <x:v>#NAME?</x:v>
      </x:c>
      <x:c r="EI50" s="128" t="e">
        <x:f>'PROJECT TA Y TB KARINA'!#REF!/8</x:f>
        <x:v>#NAME?</x:v>
      </x:c>
      <x:c r="EJ50" s="128" t="e">
        <x:f>'PROJECT TA Y TB KARINA'!#REF!/8</x:f>
        <x:v>#NAME?</x:v>
      </x:c>
      <x:c r="EK50" s="128" t="e">
        <x:f>'PROJECT TA Y TB KARINA'!#REF!/8</x:f>
        <x:v>#NAME?</x:v>
      </x:c>
      <x:c r="EL50" s="128" t="e">
        <x:f>'PROJECT TA Y TB KARINA'!#REF!/8</x:f>
        <x:v>#NAME?</x:v>
      </x:c>
      <x:c r="EM50" s="128" t="e">
        <x:f>'PROJECT TA Y TB KARINA'!#REF!/8</x:f>
        <x:v>#NAME?</x:v>
      </x:c>
      <x:c r="EN50" s="128" t="e">
        <x:f>'PROJECT TA Y TB KARINA'!#REF!/8</x:f>
        <x:v>#NAME?</x:v>
      </x:c>
      <x:c r="EO50" s="128" t="n">
        <x:f>'PROJECT TA Y TB KARINA'!$C104/8</x:f>
        <x:v>0</x:v>
      </x:c>
      <x:c r="EP50" s="128" t="n">
        <x:f>'PROJECT TA Y TB KARINA'!$C104/8</x:f>
        <x:v>0</x:v>
      </x:c>
      <x:c r="EQ50" s="128" t="n">
        <x:f>'PROJECT TA Y TB KARINA'!$C104/8</x:f>
        <x:v>0</x:v>
      </x:c>
      <x:c r="ER50" s="128" t="n">
        <x:f>'PROJECT TA Y TB KARINA'!$C104/8</x:f>
        <x:v>0</x:v>
      </x:c>
      <x:c r="ES50" s="128" t="n">
        <x:f>'PROJECT TA Y TB KARINA'!$C104/8</x:f>
        <x:v>0</x:v>
      </x:c>
      <x:c r="ET50" s="128" t="n">
        <x:f>'PROJECT TA Y TB KARINA'!$C104/8</x:f>
        <x:v>0</x:v>
      </x:c>
      <x:c r="EU50" s="128" t="n">
        <x:f>'PROJECT TA Y TB KARINA'!$C104/8</x:f>
        <x:v>0</x:v>
      </x:c>
      <x:c r="EV50" s="128" t="n">
        <x:f>'PROJECT TA Y TB KARINA'!$E104/8</x:f>
        <x:v>0</x:v>
      </x:c>
      <x:c r="EW50" s="128" t="n">
        <x:f>'PROJECT TA Y TB KARINA'!$E104/8</x:f>
        <x:v>0</x:v>
      </x:c>
      <x:c r="EX50" s="128" t="n">
        <x:f>'PROJECT TA Y TB KARINA'!$E104/8</x:f>
        <x:v>0</x:v>
      </x:c>
      <x:c r="EY50" s="128" t="n">
        <x:f>'PROJECT TA Y TB KARINA'!$E104/8</x:f>
        <x:v>0</x:v>
      </x:c>
      <x:c r="EZ50" s="128" t="n">
        <x:f>'PROJECT TA Y TB KARINA'!$E104/8</x:f>
        <x:v>0</x:v>
      </x:c>
      <x:c r="FA50" s="128" t="n">
        <x:f>'PROJECT TA Y TB KARINA'!$E104/8</x:f>
        <x:v>0</x:v>
      </x:c>
      <x:c r="FB50" s="128" t="n">
        <x:f>'PROJECT TA Y TB KARINA'!$E104/8</x:f>
        <x:v>0</x:v>
      </x:c>
      <x:c r="FC50" s="128" t="n">
        <x:f>'PROJECT TA Y TB KARINA'!$E104/8</x:f>
        <x:v>0</x:v>
      </x:c>
      <x:c r="FD50" s="128" t="n">
        <x:f>'PROJECT TA Y TB KARINA'!$F104/8</x:f>
        <x:v>0</x:v>
      </x:c>
      <x:c r="FE50" s="128" t="n">
        <x:f>'PROJECT TA Y TB KARINA'!$F104/8</x:f>
        <x:v>0</x:v>
      </x:c>
      <x:c r="FF50" s="128" t="n">
        <x:f>'PROJECT TA Y TB KARINA'!$F104/8</x:f>
        <x:v>0</x:v>
      </x:c>
      <x:c r="FG50" s="128" t="n">
        <x:f>'PROJECT TA Y TB KARINA'!$F104/8</x:f>
        <x:v>0</x:v>
      </x:c>
      <x:c r="FH50" s="128" t="n">
        <x:f>'PROJECT TA Y TB KARINA'!$F104/8</x:f>
        <x:v>0</x:v>
      </x:c>
      <x:c r="FI50" s="128" t="n">
        <x:f>'PROJECT TA Y TB KARINA'!$F104/8</x:f>
        <x:v>0</x:v>
      </x:c>
      <x:c r="FJ50" s="128" t="n">
        <x:f>'PROJECT TA Y TB KARINA'!$F104/8</x:f>
        <x:v>0</x:v>
      </x:c>
      <x:c r="FK50" s="128" t="n">
        <x:f>'PROJECT TA Y TB KARINA'!$F104/8</x:f>
        <x:v>0</x:v>
      </x:c>
      <x:c r="FL50" s="128" t="n">
        <x:f>'PROJECT TA Y TB KARINA'!$G104/8</x:f>
        <x:v>0</x:v>
      </x:c>
      <x:c r="FM50" s="128" t="n">
        <x:f>'PROJECT TA Y TB KARINA'!$G104/8</x:f>
        <x:v>0</x:v>
      </x:c>
      <x:c r="FN50" s="128" t="n">
        <x:f>'PROJECT TA Y TB KARINA'!$G104/8</x:f>
        <x:v>0</x:v>
      </x:c>
      <x:c r="FO50" s="128" t="n">
        <x:f>'PROJECT TA Y TB KARINA'!$G104/8</x:f>
        <x:v>0</x:v>
      </x:c>
      <x:c r="FP50" s="128" t="n">
        <x:f>'PROJECT TA Y TB KARINA'!$G104/8</x:f>
        <x:v>0</x:v>
      </x:c>
      <x:c r="FQ50" s="128" t="n">
        <x:f>'PROJECT TA Y TB KARINA'!$G104/8</x:f>
        <x:v>0</x:v>
      </x:c>
      <x:c r="FR50" s="128" t="n">
        <x:f>'PROJECT TA Y TB KARINA'!$G104/8</x:f>
        <x:v>0</x:v>
      </x:c>
      <x:c r="FS50" s="128" t="n">
        <x:f>'PROJECT TA Y TB KARINA'!$G104/8</x:f>
        <x:v>0</x:v>
      </x:c>
      <x:c r="FT50" s="128" t="n">
        <x:f>'PROJECT TA Y TB KARINA'!$H104/8</x:f>
        <x:v>0</x:v>
      </x:c>
      <x:c r="FU50" s="128" t="n">
        <x:f>'PROJECT TA Y TB KARINA'!$H104/8</x:f>
        <x:v>0</x:v>
      </x:c>
      <x:c r="FV50" s="128" t="n">
        <x:f>'PROJECT TA Y TB KARINA'!$H104/8</x:f>
        <x:v>0</x:v>
      </x:c>
      <x:c r="FW50" s="128" t="n">
        <x:f>'PROJECT TA Y TB KARINA'!$H104/8</x:f>
        <x:v>0</x:v>
      </x:c>
      <x:c r="FX50" s="128" t="n">
        <x:f>'PROJECT TA Y TB KARINA'!$H104/8</x:f>
        <x:v>0</x:v>
      </x:c>
      <x:c r="FY50" s="128" t="n">
        <x:f>'PROJECT TA Y TB KARINA'!$H104/8</x:f>
        <x:v>0</x:v>
      </x:c>
      <x:c r="FZ50" s="128" t="n">
        <x:f>'PROJECT TA Y TB KARINA'!$H104/8</x:f>
        <x:v>0</x:v>
      </x:c>
      <x:c r="GA50" s="128" t="n">
        <x:f>'PROJECT TA Y TB KARINA'!$H104/8</x:f>
        <x:v>0</x:v>
      </x:c>
      <x:c r="GB50" s="128" t="n">
        <x:f>'PROJECT TA Y TB KARINA'!$I104/8</x:f>
        <x:v>0</x:v>
      </x:c>
      <x:c r="GC50" s="128" t="n">
        <x:f>'PROJECT TA Y TB KARINA'!$I104/8</x:f>
        <x:v>0</x:v>
      </x:c>
      <x:c r="GD50" s="128" t="n">
        <x:f>'PROJECT TA Y TB KARINA'!$I104/8</x:f>
        <x:v>0</x:v>
      </x:c>
      <x:c r="GE50" s="128" t="n">
        <x:f>'PROJECT TA Y TB KARINA'!$I104/8</x:f>
        <x:v>0</x:v>
      </x:c>
      <x:c r="GF50" s="128" t="n">
        <x:f>'PROJECT TA Y TB KARINA'!$I104/8</x:f>
        <x:v>0</x:v>
      </x:c>
      <x:c r="GG50" s="128" t="n">
        <x:f>'PROJECT TA Y TB KARINA'!$I104/8</x:f>
        <x:v>0</x:v>
      </x:c>
      <x:c r="GH50" s="128" t="n">
        <x:f>'PROJECT TA Y TB KARINA'!$I104/8</x:f>
        <x:v>0</x:v>
      </x:c>
      <x:c r="GI50" s="128" t="n">
        <x:f>'PROJECT TA Y TB KARINA'!$I104/8</x:f>
        <x:v>0</x:v>
      </x:c>
      <x:c r="GJ50" s="128" t="n">
        <x:f>'PROJECT TA Y TB KARINA'!$J104/8</x:f>
        <x:v>0</x:v>
      </x:c>
      <x:c r="GK50" s="128" t="n">
        <x:f>'PROJECT TA Y TB KARINA'!$J104/8</x:f>
        <x:v>0</x:v>
      </x:c>
      <x:c r="GL50" s="128" t="n">
        <x:f>'PROJECT TA Y TB KARINA'!$J104/8</x:f>
        <x:v>0</x:v>
      </x:c>
      <x:c r="GM50" s="128" t="n">
        <x:f>'PROJECT TA Y TB KARINA'!$J104/8</x:f>
        <x:v>0</x:v>
      </x:c>
      <x:c r="GN50" s="128" t="n">
        <x:f>'PROJECT TA Y TB KARINA'!$J104/8</x:f>
        <x:v>0</x:v>
      </x:c>
      <x:c r="GO50" s="128" t="n">
        <x:f>'PROJECT TA Y TB KARINA'!$J104/8</x:f>
        <x:v>0</x:v>
      </x:c>
      <x:c r="GP50" s="128" t="n">
        <x:f>'PROJECT TA Y TB KARINA'!$J104/8</x:f>
        <x:v>0</x:v>
      </x:c>
      <x:c r="GQ50" s="128" t="n">
        <x:f>'PROJECT TA Y TB KARINA'!$J104/8</x:f>
        <x:v>0</x:v>
      </x:c>
      <x:c r="GR50" s="128" t="n">
        <x:f>'PROJECT TA Y TB KARINA'!$K104/8</x:f>
        <x:v>0</x:v>
      </x:c>
      <x:c r="GS50" s="128" t="n">
        <x:f>'PROJECT TA Y TB KARINA'!$K104/8</x:f>
        <x:v>0</x:v>
      </x:c>
      <x:c r="GT50" s="128" t="n">
        <x:f>'PROJECT TA Y TB KARINA'!$K104/8</x:f>
        <x:v>0</x:v>
      </x:c>
      <x:c r="GU50" s="128" t="n">
        <x:f>'PROJECT TA Y TB KARINA'!$K104/8</x:f>
        <x:v>0</x:v>
      </x:c>
      <x:c r="GV50" s="128" t="n">
        <x:f>'PROJECT TA Y TB KARINA'!$K104/8</x:f>
        <x:v>0</x:v>
      </x:c>
      <x:c r="GW50" s="128" t="n">
        <x:f>'PROJECT TA Y TB KARINA'!$K104/8</x:f>
        <x:v>0</x:v>
      </x:c>
      <x:c r="GX50" s="128" t="n">
        <x:f>'PROJECT TA Y TB KARINA'!$K104/8</x:f>
        <x:v>0</x:v>
      </x:c>
      <x:c r="GY50" s="128" t="n">
        <x:f>'PROJECT TA Y TB KARINA'!$K104/8</x:f>
        <x:v>0</x:v>
      </x:c>
      <x:c r="GZ50" s="128" t="n">
        <x:f>'PROJECT TA Y TB KARINA'!$L104/8</x:f>
        <x:v>0</x:v>
      </x:c>
      <x:c r="HA50" s="128" t="n">
        <x:f>'PROJECT TA Y TB KARINA'!$L104/8</x:f>
        <x:v>0</x:v>
      </x:c>
      <x:c r="HB50" s="128" t="n">
        <x:f>'PROJECT TA Y TB KARINA'!$L104/8</x:f>
        <x:v>0</x:v>
      </x:c>
      <x:c r="HC50" s="128" t="n">
        <x:f>'PROJECT TA Y TB KARINA'!$L104/8</x:f>
        <x:v>0</x:v>
      </x:c>
      <x:c r="HD50" s="128" t="n">
        <x:f>'PROJECT TA Y TB KARINA'!$L104/8</x:f>
        <x:v>0</x:v>
      </x:c>
      <x:c r="HE50" s="128" t="n">
        <x:f>'PROJECT TA Y TB KARINA'!$L104/8</x:f>
        <x:v>0</x:v>
      </x:c>
      <x:c r="HF50" s="128" t="n">
        <x:f>'PROJECT TA Y TB KARINA'!$L104/8</x:f>
        <x:v>0</x:v>
      </x:c>
      <x:c r="HG50" s="128" t="n">
        <x:f>'PROJECT TA Y TB KARINA'!$L104/8</x:f>
        <x:v>0</x:v>
      </x:c>
      <x:c r="HH50" s="128" t="n">
        <x:f>'PROJECT TA Y TB KARINA'!$M104/8</x:f>
        <x:v>0</x:v>
      </x:c>
      <x:c r="HI50" s="128" t="n">
        <x:f>'PROJECT TA Y TB KARINA'!$M104/8</x:f>
        <x:v>0</x:v>
      </x:c>
      <x:c r="HJ50" s="128" t="n">
        <x:f>'PROJECT TA Y TB KARINA'!$M104/8</x:f>
        <x:v>0</x:v>
      </x:c>
      <x:c r="HK50" s="128" t="n">
        <x:f>'PROJECT TA Y TB KARINA'!$M104/8</x:f>
        <x:v>0</x:v>
      </x:c>
      <x:c r="HL50" s="128" t="n">
        <x:f>'PROJECT TA Y TB KARINA'!$M104/8</x:f>
        <x:v>0</x:v>
      </x:c>
      <x:c r="HM50" s="128" t="n">
        <x:f>'PROJECT TA Y TB KARINA'!$M104/8</x:f>
        <x:v>0</x:v>
      </x:c>
      <x:c r="HN50" s="128" t="n">
        <x:f>'PROJECT TA Y TB KARINA'!$M104/8</x:f>
        <x:v>0</x:v>
      </x:c>
      <x:c r="HO50" s="128" t="n">
        <x:f>'PROJECT TA Y TB KARINA'!$M104/8</x:f>
        <x:v>0</x:v>
      </x:c>
      <x:c r="HP50" s="128" t="n">
        <x:f>'PROJECT TA Y TB KARINA'!$N104/8</x:f>
        <x:v>0</x:v>
      </x:c>
      <x:c r="HQ50" s="128" t="n">
        <x:f>'PROJECT TA Y TB KARINA'!$N104/8</x:f>
        <x:v>0</x:v>
      </x:c>
      <x:c r="HR50" s="128" t="n">
        <x:f>'PROJECT TA Y TB KARINA'!$N104/8</x:f>
        <x:v>0</x:v>
      </x:c>
      <x:c r="HS50" s="128" t="n">
        <x:f>'PROJECT TA Y TB KARINA'!$N104/8</x:f>
        <x:v>0</x:v>
      </x:c>
      <x:c r="HT50" s="128" t="n">
        <x:f>'PROJECT TA Y TB KARINA'!$N104/8</x:f>
        <x:v>0</x:v>
      </x:c>
      <x:c r="HU50" s="128" t="n">
        <x:f>'PROJECT TA Y TB KARINA'!$N104/8</x:f>
        <x:v>0</x:v>
      </x:c>
      <x:c r="HV50" s="128" t="n">
        <x:f>'PROJECT TA Y TB KARINA'!$N104/8</x:f>
        <x:v>0</x:v>
      </x:c>
      <x:c r="HW50" s="128" t="n">
        <x:f>'PROJECT TA Y TB KARINA'!$N104/8</x:f>
        <x:v>0</x:v>
      </x:c>
      <x:c r="HX50" s="128" t="n">
        <x:f>'PROJECT TA Y TB KARINA'!$O104/8</x:f>
        <x:v>0</x:v>
      </x:c>
      <x:c r="HY50" s="128" t="n">
        <x:f>'PROJECT TA Y TB KARINA'!$O104/8</x:f>
        <x:v>0</x:v>
      </x:c>
      <x:c r="HZ50" s="128" t="n">
        <x:f>'PROJECT TA Y TB KARINA'!$O104/8</x:f>
        <x:v>0</x:v>
      </x:c>
      <x:c r="IA50" s="128" t="n">
        <x:f>'PROJECT TA Y TB KARINA'!$O104/8</x:f>
        <x:v>0</x:v>
      </x:c>
      <x:c r="IB50" s="128" t="n">
        <x:f>'PROJECT TA Y TB KARINA'!$O104/8</x:f>
        <x:v>0</x:v>
      </x:c>
      <x:c r="IC50" s="128" t="n">
        <x:f>'PROJECT TA Y TB KARINA'!$O104/8</x:f>
        <x:v>0</x:v>
      </x:c>
      <x:c r="ID50" s="128" t="n">
        <x:f>'PROJECT TA Y TB KARINA'!$O104/8</x:f>
        <x:v>0</x:v>
      </x:c>
      <x:c r="IE50" s="128" t="n">
        <x:f>'PROJECT TA Y TB KARINA'!$O104/8</x:f>
        <x:v>0</x:v>
      </x:c>
      <x:c r="IF50" s="128" t="n">
        <x:f>'PROJECT TA Y TB KARINA'!$P104/8</x:f>
        <x:v>0</x:v>
      </x:c>
      <x:c r="IG50" s="128" t="n">
        <x:f>'PROJECT TA Y TB KARINA'!$P104/8</x:f>
        <x:v>0</x:v>
      </x:c>
      <x:c r="IH50" s="128" t="n">
        <x:f>'PROJECT TA Y TB KARINA'!$P104/8</x:f>
        <x:v>0</x:v>
      </x:c>
      <x:c r="II50" s="128" t="n">
        <x:f>'PROJECT TA Y TB KARINA'!$P104/8</x:f>
        <x:v>0</x:v>
      </x:c>
      <x:c r="IJ50" s="128" t="n">
        <x:f>'PROJECT TA Y TB KARINA'!$P104/8</x:f>
        <x:v>0</x:v>
      </x:c>
      <x:c r="IK50" s="128" t="n">
        <x:f>'PROJECT TA Y TB KARINA'!$P104/8</x:f>
        <x:v>0</x:v>
      </x:c>
      <x:c r="IL50" s="128" t="n">
        <x:f>'PROJECT TA Y TB KARINA'!$P104/8</x:f>
        <x:v>0</x:v>
      </x:c>
      <x:c r="IM50" s="128" t="n">
        <x:f>'PROJECT TA Y TB KARINA'!$P104/8</x:f>
        <x:v>0</x:v>
      </x:c>
      <x:c r="IN50" s="128" t="n">
        <x:f>'PROJECT TA Y TB KARINA'!$Q104/8</x:f>
        <x:v>0</x:v>
      </x:c>
      <x:c r="IO50" s="128" t="n">
        <x:f>'PROJECT TA Y TB KARINA'!$Q104/8</x:f>
        <x:v>0</x:v>
      </x:c>
      <x:c r="IP50" s="128" t="n">
        <x:f>'PROJECT TA Y TB KARINA'!$Q104/8</x:f>
        <x:v>0</x:v>
      </x:c>
      <x:c r="IQ50" s="128" t="n">
        <x:f>'PROJECT TA Y TB KARINA'!$Q104/8</x:f>
        <x:v>0</x:v>
      </x:c>
      <x:c r="IR50" s="128" t="n">
        <x:f>'PROJECT TA Y TB KARINA'!$Q104/8</x:f>
        <x:v>0</x:v>
      </x:c>
      <x:c r="IS50" s="128" t="n">
        <x:f>'PROJECT TA Y TB KARINA'!$Q104/8</x:f>
        <x:v>0</x:v>
      </x:c>
      <x:c r="IT50" s="128" t="n">
        <x:f>'PROJECT TA Y TB KARINA'!$Q104/8</x:f>
        <x:v>0</x:v>
      </x:c>
      <x:c r="IU50" s="128" t="n">
        <x:f>'PROJECT TA Y TB KARINA'!$Q104/8</x:f>
        <x:v>0</x:v>
      </x:c>
      <x:c r="IV50" s="128" t="n">
        <x:f>'PROJECT TA Y TB KARINA'!$R104/8</x:f>
        <x:v>0</x:v>
      </x:c>
      <x:c r="IW50" s="128" t="n">
        <x:f>'PROJECT TA Y TB KARINA'!$R104/8</x:f>
        <x:v>0</x:v>
      </x:c>
      <x:c r="IX50" s="128" t="n">
        <x:f>'PROJECT TA Y TB KARINA'!$R104/8</x:f>
        <x:v>0</x:v>
      </x:c>
      <x:c r="IY50" s="128" t="n">
        <x:f>'PROJECT TA Y TB KARINA'!$R104/8</x:f>
        <x:v>0</x:v>
      </x:c>
      <x:c r="IZ50" s="128" t="n">
        <x:f>'PROJECT TA Y TB KARINA'!$R104/8</x:f>
        <x:v>0</x:v>
      </x:c>
      <x:c r="JA50" s="128" t="n">
        <x:f>'PROJECT TA Y TB KARINA'!$R104/8</x:f>
        <x:v>0</x:v>
      </x:c>
      <x:c r="JB50" s="128" t="n">
        <x:f>'PROJECT TA Y TB KARINA'!$R104/8</x:f>
        <x:v>0</x:v>
      </x:c>
      <x:c r="JC50" s="128" t="n">
        <x:f>'PROJECT TA Y TB KARINA'!$R104/8</x:f>
        <x:v>0</x:v>
      </x:c>
      <x:c r="JD50" s="128" t="n">
        <x:f>'PROJECT TA Y TB KARINA'!$S104/8</x:f>
        <x:v>0</x:v>
      </x:c>
      <x:c r="JE50" s="128" t="n">
        <x:f>'PROJECT TA Y TB KARINA'!$S104/8</x:f>
        <x:v>0</x:v>
      </x:c>
      <x:c r="JF50" s="128" t="n">
        <x:f>'PROJECT TA Y TB KARINA'!$S104/8</x:f>
        <x:v>0</x:v>
      </x:c>
      <x:c r="JG50" s="128" t="n">
        <x:f>'PROJECT TA Y TB KARINA'!$S104/8</x:f>
        <x:v>0</x:v>
      </x:c>
      <x:c r="JH50" s="128" t="n">
        <x:f>'PROJECT TA Y TB KARINA'!$S104/8</x:f>
        <x:v>0</x:v>
      </x:c>
      <x:c r="JI50" s="128" t="n">
        <x:f>'PROJECT TA Y TB KARINA'!$S104/8</x:f>
        <x:v>0</x:v>
      </x:c>
      <x:c r="JJ50" s="128" t="n">
        <x:f>'PROJECT TA Y TB KARINA'!$S104/8</x:f>
        <x:v>0</x:v>
      </x:c>
      <x:c r="JK50" s="128" t="n">
        <x:f>'PROJECT TA Y TB KARINA'!$S104/8</x:f>
        <x:v>0</x:v>
      </x:c>
      <x:c r="JL50" s="128" t="n">
        <x:f>'PROJECT TA Y TB KARINA'!$T104/8</x:f>
        <x:v>0</x:v>
      </x:c>
      <x:c r="JM50" s="128" t="n">
        <x:f>'PROJECT TA Y TB KARINA'!$T104/8</x:f>
        <x:v>0</x:v>
      </x:c>
      <x:c r="JN50" s="128" t="n">
        <x:f>'PROJECT TA Y TB KARINA'!$T104/8</x:f>
        <x:v>0</x:v>
      </x:c>
      <x:c r="JO50" s="128" t="n">
        <x:f>'PROJECT TA Y TB KARINA'!$T104/8</x:f>
        <x:v>0</x:v>
      </x:c>
      <x:c r="JP50" s="128" t="n">
        <x:f>'PROJECT TA Y TB KARINA'!$T104/8</x:f>
        <x:v>0</x:v>
      </x:c>
      <x:c r="JQ50" s="128" t="n">
        <x:f>'PROJECT TA Y TB KARINA'!$T104/8</x:f>
        <x:v>0</x:v>
      </x:c>
      <x:c r="JR50" s="128" t="n">
        <x:f>'PROJECT TA Y TB KARINA'!$T104/8</x:f>
        <x:v>0</x:v>
      </x:c>
      <x:c r="JS50" s="128" t="n">
        <x:f>'PROJECT TA Y TB KARINA'!$T104/8</x:f>
        <x:v>0</x:v>
      </x:c>
      <x:c r="JT50" s="128" t="e">
        <x:f>'PROJECT TA Y TB KARINA'!#REF!/8</x:f>
        <x:v>#NAME?</x:v>
      </x:c>
      <x:c r="JU50" s="128" t="e">
        <x:f>'PROJECT TA Y TB KARINA'!#REF!/8</x:f>
        <x:v>#NAME?</x:v>
      </x:c>
      <x:c r="JV50" s="128" t="e">
        <x:f>'PROJECT TA Y TB KARINA'!#REF!/8</x:f>
        <x:v>#NAME?</x:v>
      </x:c>
      <x:c r="JW50" s="128" t="e">
        <x:f>'PROJECT TA Y TB KARINA'!#REF!/8</x:f>
        <x:v>#NAME?</x:v>
      </x:c>
      <x:c r="JX50" s="128" t="e">
        <x:f>'PROJECT TA Y TB KARINA'!#REF!/8</x:f>
        <x:v>#NAME?</x:v>
      </x:c>
      <x:c r="JY50" s="128" t="e">
        <x:f>'PROJECT TA Y TB KARINA'!#REF!/8</x:f>
        <x:v>#NAME?</x:v>
      </x:c>
      <x:c r="JZ50" s="128" t="e">
        <x:f>'PROJECT TA Y TB KARINA'!#REF!/8</x:f>
        <x:v>#NAME?</x:v>
      </x:c>
      <x:c r="KA50" s="128" t="e">
        <x:f>'PROJECT TA Y TB KARINA'!#REF!/8</x:f>
        <x:v>#NAME?</x:v>
      </x:c>
    </x:row>
    <x:row r="51" ht="21">
      <x:c r="A51" s="130" t="s">
        <x:v>536</x:v>
      </x:c>
      <x:c r="B51" s="128" t="e">
        <x:f>'PROJECT TA Y TB KARINA'!$C$47/8</x:f>
        <x:v>#REF!</x:v>
      </x:c>
      <x:c r="C51" s="128" t="e">
        <x:f>'PROJECT TA Y TB KARINA'!$C$47/8</x:f>
        <x:v>#REF!</x:v>
      </x:c>
      <x:c r="D51" s="128" t="e">
        <x:f>'PROJECT TA Y TB KARINA'!$C$47/8</x:f>
        <x:v>#REF!</x:v>
      </x:c>
      <x:c r="E51" s="128" t="e">
        <x:f>'PROJECT TA Y TB KARINA'!$C$47/8</x:f>
        <x:v>#REF!</x:v>
      </x:c>
      <x:c r="F51" s="128" t="e">
        <x:f>'PROJECT TA Y TB KARINA'!$C$47/8</x:f>
        <x:v>#REF!</x:v>
      </x:c>
      <x:c r="G51" s="128" t="e">
        <x:f>'PROJECT TA Y TB KARINA'!$C$47/8</x:f>
        <x:v>#REF!</x:v>
      </x:c>
      <x:c r="H51" s="128" t="e">
        <x:f>'PROJECT TA Y TB KARINA'!$C$47/8</x:f>
        <x:v>#REF!</x:v>
      </x:c>
      <x:c r="I51" s="128" t="e">
        <x:f>'PROJECT TA Y TB KARINA'!$E47/8</x:f>
        <x:v>#REF!</x:v>
      </x:c>
      <x:c r="J51" s="128" t="e">
        <x:f>'PROJECT TA Y TB KARINA'!$E47/8</x:f>
        <x:v>#REF!</x:v>
      </x:c>
      <x:c r="K51" s="128" t="e">
        <x:f>'PROJECT TA Y TB KARINA'!$E47/8</x:f>
        <x:v>#REF!</x:v>
      </x:c>
      <x:c r="L51" s="128" t="e">
        <x:f>'PROJECT TA Y TB KARINA'!$E47/8</x:f>
        <x:v>#REF!</x:v>
      </x:c>
      <x:c r="M51" s="128" t="e">
        <x:f>'PROJECT TA Y TB KARINA'!$E47/8</x:f>
        <x:v>#REF!</x:v>
      </x:c>
      <x:c r="N51" s="128" t="e">
        <x:f>'PROJECT TA Y TB KARINA'!$E47/8</x:f>
        <x:v>#REF!</x:v>
      </x:c>
      <x:c r="O51" s="128" t="e">
        <x:f>'PROJECT TA Y TB KARINA'!$E47/8</x:f>
        <x:v>#REF!</x:v>
      </x:c>
      <x:c r="P51" s="128" t="e">
        <x:f>'PROJECT TA Y TB KARINA'!$E47/8</x:f>
        <x:v>#REF!</x:v>
      </x:c>
      <x:c r="Q51" s="128" t="e">
        <x:f>'PROJECT TA Y TB KARINA'!$F47/8</x:f>
        <x:v>#REF!</x:v>
      </x:c>
      <x:c r="R51" s="128" t="e">
        <x:f>'PROJECT TA Y TB KARINA'!$F47/8</x:f>
        <x:v>#REF!</x:v>
      </x:c>
      <x:c r="S51" s="128" t="e">
        <x:f>'PROJECT TA Y TB KARINA'!$F47/8</x:f>
        <x:v>#REF!</x:v>
      </x:c>
      <x:c r="T51" s="128" t="e">
        <x:f>'PROJECT TA Y TB KARINA'!$F47/8</x:f>
        <x:v>#REF!</x:v>
      </x:c>
      <x:c r="U51" s="128" t="e">
        <x:f>'PROJECT TA Y TB KARINA'!$F47/8</x:f>
        <x:v>#REF!</x:v>
      </x:c>
      <x:c r="V51" s="128" t="e">
        <x:f>'PROJECT TA Y TB KARINA'!$F47/8</x:f>
        <x:v>#REF!</x:v>
      </x:c>
      <x:c r="W51" s="128" t="e">
        <x:f>'PROJECT TA Y TB KARINA'!$F47/8</x:f>
        <x:v>#REF!</x:v>
      </x:c>
      <x:c r="X51" s="128" t="e">
        <x:f>'PROJECT TA Y TB KARINA'!$F47/8</x:f>
        <x:v>#REF!</x:v>
      </x:c>
      <x:c r="Y51" s="128" t="e">
        <x:f>'PROJECT TA Y TB KARINA'!$G47/8</x:f>
        <x:v>#REF!</x:v>
      </x:c>
      <x:c r="Z51" s="128" t="e">
        <x:f>'PROJECT TA Y TB KARINA'!$G47/8</x:f>
        <x:v>#REF!</x:v>
      </x:c>
      <x:c r="AA51" s="128" t="e">
        <x:f>'PROJECT TA Y TB KARINA'!$G47/8</x:f>
        <x:v>#REF!</x:v>
      </x:c>
      <x:c r="AB51" s="128" t="e">
        <x:f>'PROJECT TA Y TB KARINA'!$G47/8</x:f>
        <x:v>#REF!</x:v>
      </x:c>
      <x:c r="AC51" s="128" t="e">
        <x:f>'PROJECT TA Y TB KARINA'!$G47/8</x:f>
        <x:v>#REF!</x:v>
      </x:c>
      <x:c r="AD51" s="128" t="e">
        <x:f>'PROJECT TA Y TB KARINA'!$G47/8</x:f>
        <x:v>#REF!</x:v>
      </x:c>
      <x:c r="AE51" s="128" t="e">
        <x:f>'PROJECT TA Y TB KARINA'!$G47/8</x:f>
        <x:v>#REF!</x:v>
      </x:c>
      <x:c r="AF51" s="128" t="e">
        <x:f>'PROJECT TA Y TB KARINA'!$G47/8</x:f>
        <x:v>#REF!</x:v>
      </x:c>
      <x:c r="AG51" s="128" t="e">
        <x:f>'PROJECT TA Y TB KARINA'!$H47/8</x:f>
        <x:v>#REF!</x:v>
      </x:c>
      <x:c r="AH51" s="128" t="e">
        <x:f>'PROJECT TA Y TB KARINA'!$H47/8</x:f>
        <x:v>#REF!</x:v>
      </x:c>
      <x:c r="AI51" s="128" t="e">
        <x:f>'PROJECT TA Y TB KARINA'!$H47/8</x:f>
        <x:v>#REF!</x:v>
      </x:c>
      <x:c r="AJ51" s="128" t="e">
        <x:f>'PROJECT TA Y TB KARINA'!$H47/8</x:f>
        <x:v>#REF!</x:v>
      </x:c>
      <x:c r="AK51" s="128" t="e">
        <x:f>'PROJECT TA Y TB KARINA'!$H47/8</x:f>
        <x:v>#REF!</x:v>
      </x:c>
      <x:c r="AL51" s="128" t="e">
        <x:f>'PROJECT TA Y TB KARINA'!$H47/8</x:f>
        <x:v>#REF!</x:v>
      </x:c>
      <x:c r="AM51" s="128" t="e">
        <x:f>'PROJECT TA Y TB KARINA'!$H47/8</x:f>
        <x:v>#REF!</x:v>
      </x:c>
      <x:c r="AN51" s="128" t="e">
        <x:f>'PROJECT TA Y TB KARINA'!$H47/8</x:f>
        <x:v>#REF!</x:v>
      </x:c>
      <x:c r="AO51" s="128" t="e">
        <x:f>'PROJECT TA Y TB KARINA'!$I47/8</x:f>
        <x:v>#REF!</x:v>
      </x:c>
      <x:c r="AP51" s="128" t="e">
        <x:f>'PROJECT TA Y TB KARINA'!$I47/8</x:f>
        <x:v>#REF!</x:v>
      </x:c>
      <x:c r="AQ51" s="128" t="e">
        <x:f>'PROJECT TA Y TB KARINA'!$I47/8</x:f>
        <x:v>#REF!</x:v>
      </x:c>
      <x:c r="AR51" s="128" t="e">
        <x:f>'PROJECT TA Y TB KARINA'!$I47/8</x:f>
        <x:v>#REF!</x:v>
      </x:c>
      <x:c r="AS51" s="128" t="e">
        <x:f>'PROJECT TA Y TB KARINA'!$I47/8</x:f>
        <x:v>#REF!</x:v>
      </x:c>
      <x:c r="AT51" s="128" t="e">
        <x:f>'PROJECT TA Y TB KARINA'!$I47/8</x:f>
        <x:v>#REF!</x:v>
      </x:c>
      <x:c r="AU51" s="128" t="e">
        <x:f>'PROJECT TA Y TB KARINA'!$I47/8</x:f>
        <x:v>#REF!</x:v>
      </x:c>
      <x:c r="AV51" s="128" t="e">
        <x:f>'PROJECT TA Y TB KARINA'!$I47/8</x:f>
        <x:v>#REF!</x:v>
      </x:c>
      <x:c r="AW51" s="128" t="e">
        <x:f>'PROJECT TA Y TB KARINA'!$J47/8</x:f>
        <x:v>#REF!</x:v>
      </x:c>
      <x:c r="AX51" s="128" t="e">
        <x:f>'PROJECT TA Y TB KARINA'!$J47/8</x:f>
        <x:v>#REF!</x:v>
      </x:c>
      <x:c r="AY51" s="128" t="e">
        <x:f>'PROJECT TA Y TB KARINA'!$J47/8</x:f>
        <x:v>#REF!</x:v>
      </x:c>
      <x:c r="AZ51" s="128" t="e">
        <x:f>'PROJECT TA Y TB KARINA'!$J47/8</x:f>
        <x:v>#REF!</x:v>
      </x:c>
      <x:c r="BA51" s="128" t="e">
        <x:f>'PROJECT TA Y TB KARINA'!$J47/8</x:f>
        <x:v>#REF!</x:v>
      </x:c>
      <x:c r="BB51" s="128" t="e">
        <x:f>'PROJECT TA Y TB KARINA'!$J47/8</x:f>
        <x:v>#REF!</x:v>
      </x:c>
      <x:c r="BC51" s="128" t="e">
        <x:f>'PROJECT TA Y TB KARINA'!$J47/8</x:f>
        <x:v>#REF!</x:v>
      </x:c>
      <x:c r="BD51" s="128" t="e">
        <x:f>'PROJECT TA Y TB KARINA'!$J47/8</x:f>
        <x:v>#REF!</x:v>
      </x:c>
      <x:c r="BE51" s="128" t="e">
        <x:f>'PROJECT TA Y TB KARINA'!$K47/8</x:f>
        <x:v>#REF!</x:v>
      </x:c>
      <x:c r="BF51" s="128" t="e">
        <x:f>'PROJECT TA Y TB KARINA'!$K47/8</x:f>
        <x:v>#REF!</x:v>
      </x:c>
      <x:c r="BG51" s="128" t="e">
        <x:f>'PROJECT TA Y TB KARINA'!$K47/8</x:f>
        <x:v>#REF!</x:v>
      </x:c>
      <x:c r="BH51" s="128" t="e">
        <x:f>'PROJECT TA Y TB KARINA'!$K47/8</x:f>
        <x:v>#REF!</x:v>
      </x:c>
      <x:c r="BI51" s="128" t="e">
        <x:f>'PROJECT TA Y TB KARINA'!$K47/8</x:f>
        <x:v>#REF!</x:v>
      </x:c>
      <x:c r="BJ51" s="128" t="e">
        <x:f>'PROJECT TA Y TB KARINA'!$K47/8</x:f>
        <x:v>#REF!</x:v>
      </x:c>
      <x:c r="BK51" s="128" t="e">
        <x:f>'PROJECT TA Y TB KARINA'!$K47/8</x:f>
        <x:v>#REF!</x:v>
      </x:c>
      <x:c r="BL51" s="128" t="e">
        <x:f>'PROJECT TA Y TB KARINA'!$K47/8</x:f>
        <x:v>#REF!</x:v>
      </x:c>
      <x:c r="BM51" s="128" t="e">
        <x:f>'PROJECT TA Y TB KARINA'!$L47/8</x:f>
        <x:v>#REF!</x:v>
      </x:c>
      <x:c r="BN51" s="128" t="e">
        <x:f>'PROJECT TA Y TB KARINA'!$L47/8</x:f>
        <x:v>#REF!</x:v>
      </x:c>
      <x:c r="BO51" s="128" t="e">
        <x:f>'PROJECT TA Y TB KARINA'!$L47/8</x:f>
        <x:v>#REF!</x:v>
      </x:c>
      <x:c r="BP51" s="128" t="e">
        <x:f>'PROJECT TA Y TB KARINA'!$L47/8</x:f>
        <x:v>#REF!</x:v>
      </x:c>
      <x:c r="BQ51" s="128" t="e">
        <x:f>'PROJECT TA Y TB KARINA'!$L47/8</x:f>
        <x:v>#REF!</x:v>
      </x:c>
      <x:c r="BR51" s="128" t="e">
        <x:f>'PROJECT TA Y TB KARINA'!$L47/8</x:f>
        <x:v>#REF!</x:v>
      </x:c>
      <x:c r="BS51" s="128" t="e">
        <x:f>'PROJECT TA Y TB KARINA'!$L47/8</x:f>
        <x:v>#REF!</x:v>
      </x:c>
      <x:c r="BT51" s="128" t="e">
        <x:f>'PROJECT TA Y TB KARINA'!$L47/8</x:f>
        <x:v>#REF!</x:v>
      </x:c>
      <x:c r="BU51" s="128" t="e">
        <x:f>'PROJECT TA Y TB KARINA'!$M47/8</x:f>
        <x:v>#REF!</x:v>
      </x:c>
      <x:c r="BV51" s="128" t="e">
        <x:f>'PROJECT TA Y TB KARINA'!$M47/8</x:f>
        <x:v>#REF!</x:v>
      </x:c>
      <x:c r="BW51" s="128" t="e">
        <x:f>'PROJECT TA Y TB KARINA'!$M47/8</x:f>
        <x:v>#REF!</x:v>
      </x:c>
      <x:c r="BX51" s="128" t="e">
        <x:f>'PROJECT TA Y TB KARINA'!$M47/8</x:f>
        <x:v>#REF!</x:v>
      </x:c>
      <x:c r="BY51" s="128" t="e">
        <x:f>'PROJECT TA Y TB KARINA'!$M47/8</x:f>
        <x:v>#REF!</x:v>
      </x:c>
      <x:c r="BZ51" s="128" t="e">
        <x:f>'PROJECT TA Y TB KARINA'!$M47/8</x:f>
        <x:v>#REF!</x:v>
      </x:c>
      <x:c r="CA51" s="128" t="e">
        <x:f>'PROJECT TA Y TB KARINA'!$M47/8</x:f>
        <x:v>#REF!</x:v>
      </x:c>
      <x:c r="CB51" s="128" t="e">
        <x:f>'PROJECT TA Y TB KARINA'!$M47/8</x:f>
        <x:v>#REF!</x:v>
      </x:c>
      <x:c r="CC51" s="128" t="e">
        <x:f>'PROJECT TA Y TB KARINA'!$N47/8</x:f>
        <x:v>#REF!</x:v>
      </x:c>
      <x:c r="CD51" s="128" t="e">
        <x:f>'PROJECT TA Y TB KARINA'!$N47/8</x:f>
        <x:v>#REF!</x:v>
      </x:c>
      <x:c r="CE51" s="128" t="e">
        <x:f>'PROJECT TA Y TB KARINA'!$N47/8</x:f>
        <x:v>#REF!</x:v>
      </x:c>
      <x:c r="CF51" s="128" t="e">
        <x:f>'PROJECT TA Y TB KARINA'!$N47/8</x:f>
        <x:v>#REF!</x:v>
      </x:c>
      <x:c r="CG51" s="128" t="e">
        <x:f>'PROJECT TA Y TB KARINA'!$N47/8</x:f>
        <x:v>#REF!</x:v>
      </x:c>
      <x:c r="CH51" s="128" t="e">
        <x:f>'PROJECT TA Y TB KARINA'!$N47/8</x:f>
        <x:v>#REF!</x:v>
      </x:c>
      <x:c r="CI51" s="128" t="e">
        <x:f>'PROJECT TA Y TB KARINA'!$N47/8</x:f>
        <x:v>#REF!</x:v>
      </x:c>
      <x:c r="CJ51" s="128" t="e">
        <x:f>'PROJECT TA Y TB KARINA'!$N47/8</x:f>
        <x:v>#REF!</x:v>
      </x:c>
      <x:c r="CK51" s="128" t="e">
        <x:f>'PROJECT TA Y TB KARINA'!$O47/8</x:f>
        <x:v>#REF!</x:v>
      </x:c>
      <x:c r="CL51" s="128" t="e">
        <x:f>'PROJECT TA Y TB KARINA'!$O47/8</x:f>
        <x:v>#REF!</x:v>
      </x:c>
      <x:c r="CM51" s="128" t="e">
        <x:f>'PROJECT TA Y TB KARINA'!$O47/8</x:f>
        <x:v>#REF!</x:v>
      </x:c>
      <x:c r="CN51" s="128" t="e">
        <x:f>'PROJECT TA Y TB KARINA'!$O47/8</x:f>
        <x:v>#REF!</x:v>
      </x:c>
      <x:c r="CO51" s="128" t="e">
        <x:f>'PROJECT TA Y TB KARINA'!$O47/8</x:f>
        <x:v>#REF!</x:v>
      </x:c>
      <x:c r="CP51" s="128" t="e">
        <x:f>'PROJECT TA Y TB KARINA'!$O47/8</x:f>
        <x:v>#REF!</x:v>
      </x:c>
      <x:c r="CQ51" s="128" t="e">
        <x:f>'PROJECT TA Y TB KARINA'!$O47/8</x:f>
        <x:v>#REF!</x:v>
      </x:c>
      <x:c r="CR51" s="128" t="e">
        <x:f>'PROJECT TA Y TB KARINA'!$O47/8</x:f>
        <x:v>#REF!</x:v>
      </x:c>
      <x:c r="CS51" s="128" t="e">
        <x:f>'PROJECT TA Y TB KARINA'!$P47/8</x:f>
        <x:v>#REF!</x:v>
      </x:c>
      <x:c r="CT51" s="128" t="e">
        <x:f>'PROJECT TA Y TB KARINA'!$P47/8</x:f>
        <x:v>#REF!</x:v>
      </x:c>
      <x:c r="CU51" s="128" t="e">
        <x:f>'PROJECT TA Y TB KARINA'!$P47/8</x:f>
        <x:v>#REF!</x:v>
      </x:c>
      <x:c r="CV51" s="128" t="e">
        <x:f>'PROJECT TA Y TB KARINA'!$P47/8</x:f>
        <x:v>#REF!</x:v>
      </x:c>
      <x:c r="CW51" s="128" t="e">
        <x:f>'PROJECT TA Y TB KARINA'!$P47/8</x:f>
        <x:v>#REF!</x:v>
      </x:c>
      <x:c r="CX51" s="128" t="e">
        <x:f>'PROJECT TA Y TB KARINA'!$P47/8</x:f>
        <x:v>#REF!</x:v>
      </x:c>
      <x:c r="CY51" s="128" t="e">
        <x:f>'PROJECT TA Y TB KARINA'!$P47/8</x:f>
        <x:v>#REF!</x:v>
      </x:c>
      <x:c r="CZ51" s="128" t="e">
        <x:f>'PROJECT TA Y TB KARINA'!$P47/8</x:f>
        <x:v>#REF!</x:v>
      </x:c>
      <x:c r="DA51" s="128" t="e">
        <x:f>'PROJECT TA Y TB KARINA'!$Q47/8</x:f>
        <x:v>#REF!</x:v>
      </x:c>
      <x:c r="DB51" s="128" t="e">
        <x:f>'PROJECT TA Y TB KARINA'!$Q47/8</x:f>
        <x:v>#REF!</x:v>
      </x:c>
      <x:c r="DC51" s="128" t="e">
        <x:f>'PROJECT TA Y TB KARINA'!$Q47/8</x:f>
        <x:v>#REF!</x:v>
      </x:c>
      <x:c r="DD51" s="128" t="e">
        <x:f>'PROJECT TA Y TB KARINA'!$Q47/8</x:f>
        <x:v>#REF!</x:v>
      </x:c>
      <x:c r="DE51" s="128" t="e">
        <x:f>'PROJECT TA Y TB KARINA'!$Q47/8</x:f>
        <x:v>#REF!</x:v>
      </x:c>
      <x:c r="DF51" s="128" t="e">
        <x:f>'PROJECT TA Y TB KARINA'!$Q47/8</x:f>
        <x:v>#REF!</x:v>
      </x:c>
      <x:c r="DG51" s="128" t="e">
        <x:f>'PROJECT TA Y TB KARINA'!$Q47/8</x:f>
        <x:v>#REF!</x:v>
      </x:c>
      <x:c r="DH51" s="128" t="e">
        <x:f>'PROJECT TA Y TB KARINA'!$Q47/8</x:f>
        <x:v>#REF!</x:v>
      </x:c>
      <x:c r="DI51" s="128" t="e">
        <x:f>'PROJECT TA Y TB KARINA'!$R47/8</x:f>
        <x:v>#REF!</x:v>
      </x:c>
      <x:c r="DJ51" s="128" t="e">
        <x:f>'PROJECT TA Y TB KARINA'!$R47/8</x:f>
        <x:v>#REF!</x:v>
      </x:c>
      <x:c r="DK51" s="128" t="e">
        <x:f>'PROJECT TA Y TB KARINA'!$R47/8</x:f>
        <x:v>#REF!</x:v>
      </x:c>
      <x:c r="DL51" s="128" t="e">
        <x:f>'PROJECT TA Y TB KARINA'!$R47/8</x:f>
        <x:v>#REF!</x:v>
      </x:c>
      <x:c r="DM51" s="128" t="e">
        <x:f>'PROJECT TA Y TB KARINA'!$R47/8</x:f>
        <x:v>#REF!</x:v>
      </x:c>
      <x:c r="DN51" s="128" t="e">
        <x:f>'PROJECT TA Y TB KARINA'!$R47/8</x:f>
        <x:v>#REF!</x:v>
      </x:c>
      <x:c r="DO51" s="128" t="e">
        <x:f>'PROJECT TA Y TB KARINA'!$R47/8</x:f>
        <x:v>#REF!</x:v>
      </x:c>
      <x:c r="DP51" s="128" t="e">
        <x:f>'PROJECT TA Y TB KARINA'!$R47/8</x:f>
        <x:v>#REF!</x:v>
      </x:c>
      <x:c r="DQ51" s="128" t="e">
        <x:f>'PROJECT TA Y TB KARINA'!$S47/8</x:f>
        <x:v>#REF!</x:v>
      </x:c>
      <x:c r="DR51" s="128" t="e">
        <x:f>'PROJECT TA Y TB KARINA'!$S47/8</x:f>
        <x:v>#REF!</x:v>
      </x:c>
      <x:c r="DS51" s="128" t="e">
        <x:f>'PROJECT TA Y TB KARINA'!$S47/8</x:f>
        <x:v>#REF!</x:v>
      </x:c>
      <x:c r="DT51" s="128" t="e">
        <x:f>'PROJECT TA Y TB KARINA'!$S47/8</x:f>
        <x:v>#REF!</x:v>
      </x:c>
      <x:c r="DU51" s="128" t="e">
        <x:f>'PROJECT TA Y TB KARINA'!$S47/8</x:f>
        <x:v>#REF!</x:v>
      </x:c>
      <x:c r="DV51" s="128" t="e">
        <x:f>'PROJECT TA Y TB KARINA'!$S47/8</x:f>
        <x:v>#REF!</x:v>
      </x:c>
      <x:c r="DW51" s="128" t="e">
        <x:f>'PROJECT TA Y TB KARINA'!$S47/8</x:f>
        <x:v>#REF!</x:v>
      </x:c>
      <x:c r="DX51" s="128" t="e">
        <x:f>'PROJECT TA Y TB KARINA'!$S47/8</x:f>
        <x:v>#REF!</x:v>
      </x:c>
      <x:c r="DY51" s="128" t="e">
        <x:f>'PROJECT TA Y TB KARINA'!$T47/8</x:f>
        <x:v>#REF!</x:v>
      </x:c>
      <x:c r="DZ51" s="128" t="e">
        <x:f>'PROJECT TA Y TB KARINA'!$T47/8</x:f>
        <x:v>#REF!</x:v>
      </x:c>
      <x:c r="EA51" s="128" t="e">
        <x:f>'PROJECT TA Y TB KARINA'!$T47/8</x:f>
        <x:v>#REF!</x:v>
      </x:c>
      <x:c r="EB51" s="128" t="e">
        <x:f>'PROJECT TA Y TB KARINA'!$T47/8</x:f>
        <x:v>#REF!</x:v>
      </x:c>
      <x:c r="EC51" s="128" t="e">
        <x:f>'PROJECT TA Y TB KARINA'!$T47/8</x:f>
        <x:v>#REF!</x:v>
      </x:c>
      <x:c r="ED51" s="128" t="e">
        <x:f>'PROJECT TA Y TB KARINA'!$T47/8</x:f>
        <x:v>#REF!</x:v>
      </x:c>
      <x:c r="EE51" s="128" t="e">
        <x:f>'PROJECT TA Y TB KARINA'!$T47/8</x:f>
        <x:v>#REF!</x:v>
      </x:c>
      <x:c r="EF51" s="128" t="e">
        <x:f>'PROJECT TA Y TB KARINA'!$T47/8</x:f>
        <x:v>#REF!</x:v>
      </x:c>
      <x:c r="EG51" s="128" t="e">
        <x:f>'PROJECT TA Y TB KARINA'!#REF!/8</x:f>
        <x:v>#NAME?</x:v>
      </x:c>
      <x:c r="EH51" s="128" t="e">
        <x:f>'PROJECT TA Y TB KARINA'!#REF!/8</x:f>
        <x:v>#NAME?</x:v>
      </x:c>
      <x:c r="EI51" s="128" t="e">
        <x:f>'PROJECT TA Y TB KARINA'!#REF!/8</x:f>
        <x:v>#NAME?</x:v>
      </x:c>
      <x:c r="EJ51" s="128" t="e">
        <x:f>'PROJECT TA Y TB KARINA'!#REF!/8</x:f>
        <x:v>#NAME?</x:v>
      </x:c>
      <x:c r="EK51" s="128" t="e">
        <x:f>'PROJECT TA Y TB KARINA'!#REF!/8</x:f>
        <x:v>#NAME?</x:v>
      </x:c>
      <x:c r="EL51" s="128" t="e">
        <x:f>'PROJECT TA Y TB KARINA'!#REF!/8</x:f>
        <x:v>#NAME?</x:v>
      </x:c>
      <x:c r="EM51" s="128" t="e">
        <x:f>'PROJECT TA Y TB KARINA'!#REF!/8</x:f>
        <x:v>#NAME?</x:v>
      </x:c>
      <x:c r="EN51" s="128" t="e">
        <x:f>'PROJECT TA Y TB KARINA'!#REF!/8</x:f>
        <x:v>#NAME?</x:v>
      </x:c>
      <x:c r="EO51" s="128" t="n">
        <x:f>'PROJECT TA Y TB KARINA'!$C105/8</x:f>
        <x:v>0</x:v>
      </x:c>
      <x:c r="EP51" s="128" t="n">
        <x:f>'PROJECT TA Y TB KARINA'!$C105/8</x:f>
        <x:v>0</x:v>
      </x:c>
      <x:c r="EQ51" s="128" t="n">
        <x:f>'PROJECT TA Y TB KARINA'!$C105/8</x:f>
        <x:v>0</x:v>
      </x:c>
      <x:c r="ER51" s="128" t="n">
        <x:f>'PROJECT TA Y TB KARINA'!$C105/8</x:f>
        <x:v>0</x:v>
      </x:c>
      <x:c r="ES51" s="128" t="n">
        <x:f>'PROJECT TA Y TB KARINA'!$C105/8</x:f>
        <x:v>0</x:v>
      </x:c>
      <x:c r="ET51" s="128" t="n">
        <x:f>'PROJECT TA Y TB KARINA'!$C105/8</x:f>
        <x:v>0</x:v>
      </x:c>
      <x:c r="EU51" s="128" t="n">
        <x:f>'PROJECT TA Y TB KARINA'!$C105/8</x:f>
        <x:v>0</x:v>
      </x:c>
      <x:c r="EV51" s="128" t="n">
        <x:f>'PROJECT TA Y TB KARINA'!$E105/8</x:f>
        <x:v>0</x:v>
      </x:c>
      <x:c r="EW51" s="128" t="n">
        <x:f>'PROJECT TA Y TB KARINA'!$E105/8</x:f>
        <x:v>0</x:v>
      </x:c>
      <x:c r="EX51" s="128" t="n">
        <x:f>'PROJECT TA Y TB KARINA'!$E105/8</x:f>
        <x:v>0</x:v>
      </x:c>
      <x:c r="EY51" s="128" t="n">
        <x:f>'PROJECT TA Y TB KARINA'!$E105/8</x:f>
        <x:v>0</x:v>
      </x:c>
      <x:c r="EZ51" s="128" t="n">
        <x:f>'PROJECT TA Y TB KARINA'!$E105/8</x:f>
        <x:v>0</x:v>
      </x:c>
      <x:c r="FA51" s="128" t="n">
        <x:f>'PROJECT TA Y TB KARINA'!$E105/8</x:f>
        <x:v>0</x:v>
      </x:c>
      <x:c r="FB51" s="128" t="n">
        <x:f>'PROJECT TA Y TB KARINA'!$E105/8</x:f>
        <x:v>0</x:v>
      </x:c>
      <x:c r="FC51" s="128" t="n">
        <x:f>'PROJECT TA Y TB KARINA'!$E105/8</x:f>
        <x:v>0</x:v>
      </x:c>
      <x:c r="FD51" s="128" t="n">
        <x:f>'PROJECT TA Y TB KARINA'!$F105/8</x:f>
        <x:v>0</x:v>
      </x:c>
      <x:c r="FE51" s="128" t="n">
        <x:f>'PROJECT TA Y TB KARINA'!$F105/8</x:f>
        <x:v>0</x:v>
      </x:c>
      <x:c r="FF51" s="128" t="n">
        <x:f>'PROJECT TA Y TB KARINA'!$F105/8</x:f>
        <x:v>0</x:v>
      </x:c>
      <x:c r="FG51" s="128" t="n">
        <x:f>'PROJECT TA Y TB KARINA'!$F105/8</x:f>
        <x:v>0</x:v>
      </x:c>
      <x:c r="FH51" s="128" t="n">
        <x:f>'PROJECT TA Y TB KARINA'!$F105/8</x:f>
        <x:v>0</x:v>
      </x:c>
      <x:c r="FI51" s="128" t="n">
        <x:f>'PROJECT TA Y TB KARINA'!$F105/8</x:f>
        <x:v>0</x:v>
      </x:c>
      <x:c r="FJ51" s="128" t="n">
        <x:f>'PROJECT TA Y TB KARINA'!$F105/8</x:f>
        <x:v>0</x:v>
      </x:c>
      <x:c r="FK51" s="128" t="n">
        <x:f>'PROJECT TA Y TB KARINA'!$F105/8</x:f>
        <x:v>0</x:v>
      </x:c>
      <x:c r="FL51" s="128" t="n">
        <x:f>'PROJECT TA Y TB KARINA'!$G105/8</x:f>
        <x:v>0</x:v>
      </x:c>
      <x:c r="FM51" s="128" t="n">
        <x:f>'PROJECT TA Y TB KARINA'!$G105/8</x:f>
        <x:v>0</x:v>
      </x:c>
      <x:c r="FN51" s="128" t="n">
        <x:f>'PROJECT TA Y TB KARINA'!$G105/8</x:f>
        <x:v>0</x:v>
      </x:c>
      <x:c r="FO51" s="128" t="n">
        <x:f>'PROJECT TA Y TB KARINA'!$G105/8</x:f>
        <x:v>0</x:v>
      </x:c>
      <x:c r="FP51" s="128" t="n">
        <x:f>'PROJECT TA Y TB KARINA'!$G105/8</x:f>
        <x:v>0</x:v>
      </x:c>
      <x:c r="FQ51" s="128" t="n">
        <x:f>'PROJECT TA Y TB KARINA'!$G105/8</x:f>
        <x:v>0</x:v>
      </x:c>
      <x:c r="FR51" s="128" t="n">
        <x:f>'PROJECT TA Y TB KARINA'!$G105/8</x:f>
        <x:v>0</x:v>
      </x:c>
      <x:c r="FS51" s="128" t="n">
        <x:f>'PROJECT TA Y TB KARINA'!$G105/8</x:f>
        <x:v>0</x:v>
      </x:c>
      <x:c r="FT51" s="128" t="n">
        <x:f>'PROJECT TA Y TB KARINA'!$H105/8</x:f>
        <x:v>0</x:v>
      </x:c>
      <x:c r="FU51" s="128" t="n">
        <x:f>'PROJECT TA Y TB KARINA'!$H105/8</x:f>
        <x:v>0</x:v>
      </x:c>
      <x:c r="FV51" s="128" t="n">
        <x:f>'PROJECT TA Y TB KARINA'!$H105/8</x:f>
        <x:v>0</x:v>
      </x:c>
      <x:c r="FW51" s="128" t="n">
        <x:f>'PROJECT TA Y TB KARINA'!$H105/8</x:f>
        <x:v>0</x:v>
      </x:c>
      <x:c r="FX51" s="128" t="n">
        <x:f>'PROJECT TA Y TB KARINA'!$H105/8</x:f>
        <x:v>0</x:v>
      </x:c>
      <x:c r="FY51" s="128" t="n">
        <x:f>'PROJECT TA Y TB KARINA'!$H105/8</x:f>
        <x:v>0</x:v>
      </x:c>
      <x:c r="FZ51" s="128" t="n">
        <x:f>'PROJECT TA Y TB KARINA'!$H105/8</x:f>
        <x:v>0</x:v>
      </x:c>
      <x:c r="GA51" s="128" t="n">
        <x:f>'PROJECT TA Y TB KARINA'!$H105/8</x:f>
        <x:v>0</x:v>
      </x:c>
      <x:c r="GB51" s="128" t="n">
        <x:f>'PROJECT TA Y TB KARINA'!$I105/8</x:f>
        <x:v>0</x:v>
      </x:c>
      <x:c r="GC51" s="128" t="n">
        <x:f>'PROJECT TA Y TB KARINA'!$I105/8</x:f>
        <x:v>0</x:v>
      </x:c>
      <x:c r="GD51" s="128" t="n">
        <x:f>'PROJECT TA Y TB KARINA'!$I105/8</x:f>
        <x:v>0</x:v>
      </x:c>
      <x:c r="GE51" s="128" t="n">
        <x:f>'PROJECT TA Y TB KARINA'!$I105/8</x:f>
        <x:v>0</x:v>
      </x:c>
      <x:c r="GF51" s="128" t="n">
        <x:f>'PROJECT TA Y TB KARINA'!$I105/8</x:f>
        <x:v>0</x:v>
      </x:c>
      <x:c r="GG51" s="128" t="n">
        <x:f>'PROJECT TA Y TB KARINA'!$I105/8</x:f>
        <x:v>0</x:v>
      </x:c>
      <x:c r="GH51" s="128" t="n">
        <x:f>'PROJECT TA Y TB KARINA'!$I105/8</x:f>
        <x:v>0</x:v>
      </x:c>
      <x:c r="GI51" s="128" t="n">
        <x:f>'PROJECT TA Y TB KARINA'!$I105/8</x:f>
        <x:v>0</x:v>
      </x:c>
      <x:c r="GJ51" s="128" t="n">
        <x:f>'PROJECT TA Y TB KARINA'!$J105/8</x:f>
        <x:v>0</x:v>
      </x:c>
      <x:c r="GK51" s="128" t="n">
        <x:f>'PROJECT TA Y TB KARINA'!$J105/8</x:f>
        <x:v>0</x:v>
      </x:c>
      <x:c r="GL51" s="128" t="n">
        <x:f>'PROJECT TA Y TB KARINA'!$J105/8</x:f>
        <x:v>0</x:v>
      </x:c>
      <x:c r="GM51" s="128" t="n">
        <x:f>'PROJECT TA Y TB KARINA'!$J105/8</x:f>
        <x:v>0</x:v>
      </x:c>
      <x:c r="GN51" s="128" t="n">
        <x:f>'PROJECT TA Y TB KARINA'!$J105/8</x:f>
        <x:v>0</x:v>
      </x:c>
      <x:c r="GO51" s="128" t="n">
        <x:f>'PROJECT TA Y TB KARINA'!$J105/8</x:f>
        <x:v>0</x:v>
      </x:c>
      <x:c r="GP51" s="128" t="n">
        <x:f>'PROJECT TA Y TB KARINA'!$J105/8</x:f>
        <x:v>0</x:v>
      </x:c>
      <x:c r="GQ51" s="128" t="n">
        <x:f>'PROJECT TA Y TB KARINA'!$J105/8</x:f>
        <x:v>0</x:v>
      </x:c>
      <x:c r="GR51" s="128" t="n">
        <x:f>'PROJECT TA Y TB KARINA'!$K105/8</x:f>
        <x:v>0</x:v>
      </x:c>
      <x:c r="GS51" s="128" t="n">
        <x:f>'PROJECT TA Y TB KARINA'!$K105/8</x:f>
        <x:v>0</x:v>
      </x:c>
      <x:c r="GT51" s="128" t="n">
        <x:f>'PROJECT TA Y TB KARINA'!$K105/8</x:f>
        <x:v>0</x:v>
      </x:c>
      <x:c r="GU51" s="128" t="n">
        <x:f>'PROJECT TA Y TB KARINA'!$K105/8</x:f>
        <x:v>0</x:v>
      </x:c>
      <x:c r="GV51" s="128" t="n">
        <x:f>'PROJECT TA Y TB KARINA'!$K105/8</x:f>
        <x:v>0</x:v>
      </x:c>
      <x:c r="GW51" s="128" t="n">
        <x:f>'PROJECT TA Y TB KARINA'!$K105/8</x:f>
        <x:v>0</x:v>
      </x:c>
      <x:c r="GX51" s="128" t="n">
        <x:f>'PROJECT TA Y TB KARINA'!$K105/8</x:f>
        <x:v>0</x:v>
      </x:c>
      <x:c r="GY51" s="128" t="n">
        <x:f>'PROJECT TA Y TB KARINA'!$K105/8</x:f>
        <x:v>0</x:v>
      </x:c>
      <x:c r="GZ51" s="128" t="n">
        <x:f>'PROJECT TA Y TB KARINA'!$L105/8</x:f>
        <x:v>0</x:v>
      </x:c>
      <x:c r="HA51" s="128" t="n">
        <x:f>'PROJECT TA Y TB KARINA'!$L105/8</x:f>
        <x:v>0</x:v>
      </x:c>
      <x:c r="HB51" s="128" t="n">
        <x:f>'PROJECT TA Y TB KARINA'!$L105/8</x:f>
        <x:v>0</x:v>
      </x:c>
      <x:c r="HC51" s="128" t="n">
        <x:f>'PROJECT TA Y TB KARINA'!$L105/8</x:f>
        <x:v>0</x:v>
      </x:c>
      <x:c r="HD51" s="128" t="n">
        <x:f>'PROJECT TA Y TB KARINA'!$L105/8</x:f>
        <x:v>0</x:v>
      </x:c>
      <x:c r="HE51" s="128" t="n">
        <x:f>'PROJECT TA Y TB KARINA'!$L105/8</x:f>
        <x:v>0</x:v>
      </x:c>
      <x:c r="HF51" s="128" t="n">
        <x:f>'PROJECT TA Y TB KARINA'!$L105/8</x:f>
        <x:v>0</x:v>
      </x:c>
      <x:c r="HG51" s="128" t="n">
        <x:f>'PROJECT TA Y TB KARINA'!$L105/8</x:f>
        <x:v>0</x:v>
      </x:c>
      <x:c r="HH51" s="128" t="n">
        <x:f>'PROJECT TA Y TB KARINA'!$M105/8</x:f>
        <x:v>0</x:v>
      </x:c>
      <x:c r="HI51" s="128" t="n">
        <x:f>'PROJECT TA Y TB KARINA'!$M105/8</x:f>
        <x:v>0</x:v>
      </x:c>
      <x:c r="HJ51" s="128" t="n">
        <x:f>'PROJECT TA Y TB KARINA'!$M105/8</x:f>
        <x:v>0</x:v>
      </x:c>
      <x:c r="HK51" s="128" t="n">
        <x:f>'PROJECT TA Y TB KARINA'!$M105/8</x:f>
        <x:v>0</x:v>
      </x:c>
      <x:c r="HL51" s="128" t="n">
        <x:f>'PROJECT TA Y TB KARINA'!$M105/8</x:f>
        <x:v>0</x:v>
      </x:c>
      <x:c r="HM51" s="128" t="n">
        <x:f>'PROJECT TA Y TB KARINA'!$M105/8</x:f>
        <x:v>0</x:v>
      </x:c>
      <x:c r="HN51" s="128" t="n">
        <x:f>'PROJECT TA Y TB KARINA'!$M105/8</x:f>
        <x:v>0</x:v>
      </x:c>
      <x:c r="HO51" s="128" t="n">
        <x:f>'PROJECT TA Y TB KARINA'!$M105/8</x:f>
        <x:v>0</x:v>
      </x:c>
      <x:c r="HP51" s="128" t="n">
        <x:f>'PROJECT TA Y TB KARINA'!$N105/8</x:f>
        <x:v>0</x:v>
      </x:c>
      <x:c r="HQ51" s="128" t="n">
        <x:f>'PROJECT TA Y TB KARINA'!$N105/8</x:f>
        <x:v>0</x:v>
      </x:c>
      <x:c r="HR51" s="128" t="n">
        <x:f>'PROJECT TA Y TB KARINA'!$N105/8</x:f>
        <x:v>0</x:v>
      </x:c>
      <x:c r="HS51" s="128" t="n">
        <x:f>'PROJECT TA Y TB KARINA'!$N105/8</x:f>
        <x:v>0</x:v>
      </x:c>
      <x:c r="HT51" s="128" t="n">
        <x:f>'PROJECT TA Y TB KARINA'!$N105/8</x:f>
        <x:v>0</x:v>
      </x:c>
      <x:c r="HU51" s="128" t="n">
        <x:f>'PROJECT TA Y TB KARINA'!$N105/8</x:f>
        <x:v>0</x:v>
      </x:c>
      <x:c r="HV51" s="128" t="n">
        <x:f>'PROJECT TA Y TB KARINA'!$N105/8</x:f>
        <x:v>0</x:v>
      </x:c>
      <x:c r="HW51" s="128" t="n">
        <x:f>'PROJECT TA Y TB KARINA'!$N105/8</x:f>
        <x:v>0</x:v>
      </x:c>
      <x:c r="HX51" s="128" t="n">
        <x:f>'PROJECT TA Y TB KARINA'!$O105/8</x:f>
        <x:v>0</x:v>
      </x:c>
      <x:c r="HY51" s="128" t="n">
        <x:f>'PROJECT TA Y TB KARINA'!$O105/8</x:f>
        <x:v>0</x:v>
      </x:c>
      <x:c r="HZ51" s="128" t="n">
        <x:f>'PROJECT TA Y TB KARINA'!$O105/8</x:f>
        <x:v>0</x:v>
      </x:c>
      <x:c r="IA51" s="128" t="n">
        <x:f>'PROJECT TA Y TB KARINA'!$O105/8</x:f>
        <x:v>0</x:v>
      </x:c>
      <x:c r="IB51" s="128" t="n">
        <x:f>'PROJECT TA Y TB KARINA'!$O105/8</x:f>
        <x:v>0</x:v>
      </x:c>
      <x:c r="IC51" s="128" t="n">
        <x:f>'PROJECT TA Y TB KARINA'!$O105/8</x:f>
        <x:v>0</x:v>
      </x:c>
      <x:c r="ID51" s="128" t="n">
        <x:f>'PROJECT TA Y TB KARINA'!$O105/8</x:f>
        <x:v>0</x:v>
      </x:c>
      <x:c r="IE51" s="128" t="n">
        <x:f>'PROJECT TA Y TB KARINA'!$O105/8</x:f>
        <x:v>0</x:v>
      </x:c>
      <x:c r="IF51" s="128" t="n">
        <x:f>'PROJECT TA Y TB KARINA'!$P105/8</x:f>
        <x:v>0</x:v>
      </x:c>
      <x:c r="IG51" s="128" t="n">
        <x:f>'PROJECT TA Y TB KARINA'!$P105/8</x:f>
        <x:v>0</x:v>
      </x:c>
      <x:c r="IH51" s="128" t="n">
        <x:f>'PROJECT TA Y TB KARINA'!$P105/8</x:f>
        <x:v>0</x:v>
      </x:c>
      <x:c r="II51" s="128" t="n">
        <x:f>'PROJECT TA Y TB KARINA'!$P105/8</x:f>
        <x:v>0</x:v>
      </x:c>
      <x:c r="IJ51" s="128" t="n">
        <x:f>'PROJECT TA Y TB KARINA'!$P105/8</x:f>
        <x:v>0</x:v>
      </x:c>
      <x:c r="IK51" s="128" t="n">
        <x:f>'PROJECT TA Y TB KARINA'!$P105/8</x:f>
        <x:v>0</x:v>
      </x:c>
      <x:c r="IL51" s="128" t="n">
        <x:f>'PROJECT TA Y TB KARINA'!$P105/8</x:f>
        <x:v>0</x:v>
      </x:c>
      <x:c r="IM51" s="128" t="n">
        <x:f>'PROJECT TA Y TB KARINA'!$P105/8</x:f>
        <x:v>0</x:v>
      </x:c>
      <x:c r="IN51" s="128" t="n">
        <x:f>'PROJECT TA Y TB KARINA'!$Q105/8</x:f>
        <x:v>0</x:v>
      </x:c>
      <x:c r="IO51" s="128" t="n">
        <x:f>'PROJECT TA Y TB KARINA'!$Q105/8</x:f>
        <x:v>0</x:v>
      </x:c>
      <x:c r="IP51" s="128" t="n">
        <x:f>'PROJECT TA Y TB KARINA'!$Q105/8</x:f>
        <x:v>0</x:v>
      </x:c>
      <x:c r="IQ51" s="128" t="n">
        <x:f>'PROJECT TA Y TB KARINA'!$Q105/8</x:f>
        <x:v>0</x:v>
      </x:c>
      <x:c r="IR51" s="128" t="n">
        <x:f>'PROJECT TA Y TB KARINA'!$Q105/8</x:f>
        <x:v>0</x:v>
      </x:c>
      <x:c r="IS51" s="128" t="n">
        <x:f>'PROJECT TA Y TB KARINA'!$Q105/8</x:f>
        <x:v>0</x:v>
      </x:c>
      <x:c r="IT51" s="128" t="n">
        <x:f>'PROJECT TA Y TB KARINA'!$Q105/8</x:f>
        <x:v>0</x:v>
      </x:c>
      <x:c r="IU51" s="128" t="n">
        <x:f>'PROJECT TA Y TB KARINA'!$Q105/8</x:f>
        <x:v>0</x:v>
      </x:c>
      <x:c r="IV51" s="128" t="n">
        <x:f>'PROJECT TA Y TB KARINA'!$R105/8</x:f>
        <x:v>0</x:v>
      </x:c>
      <x:c r="IW51" s="128" t="n">
        <x:f>'PROJECT TA Y TB KARINA'!$R105/8</x:f>
        <x:v>0</x:v>
      </x:c>
      <x:c r="IX51" s="128" t="n">
        <x:f>'PROJECT TA Y TB KARINA'!$R105/8</x:f>
        <x:v>0</x:v>
      </x:c>
      <x:c r="IY51" s="128" t="n">
        <x:f>'PROJECT TA Y TB KARINA'!$R105/8</x:f>
        <x:v>0</x:v>
      </x:c>
      <x:c r="IZ51" s="128" t="n">
        <x:f>'PROJECT TA Y TB KARINA'!$R105/8</x:f>
        <x:v>0</x:v>
      </x:c>
      <x:c r="JA51" s="128" t="n">
        <x:f>'PROJECT TA Y TB KARINA'!$R105/8</x:f>
        <x:v>0</x:v>
      </x:c>
      <x:c r="JB51" s="128" t="n">
        <x:f>'PROJECT TA Y TB KARINA'!$R105/8</x:f>
        <x:v>0</x:v>
      </x:c>
      <x:c r="JC51" s="128" t="n">
        <x:f>'PROJECT TA Y TB KARINA'!$R105/8</x:f>
        <x:v>0</x:v>
      </x:c>
      <x:c r="JD51" s="128" t="n">
        <x:f>'PROJECT TA Y TB KARINA'!$S105/8</x:f>
        <x:v>0</x:v>
      </x:c>
      <x:c r="JE51" s="128" t="n">
        <x:f>'PROJECT TA Y TB KARINA'!$S105/8</x:f>
        <x:v>0</x:v>
      </x:c>
      <x:c r="JF51" s="128" t="n">
        <x:f>'PROJECT TA Y TB KARINA'!$S105/8</x:f>
        <x:v>0</x:v>
      </x:c>
      <x:c r="JG51" s="128" t="n">
        <x:f>'PROJECT TA Y TB KARINA'!$S105/8</x:f>
        <x:v>0</x:v>
      </x:c>
      <x:c r="JH51" s="128" t="n">
        <x:f>'PROJECT TA Y TB KARINA'!$S105/8</x:f>
        <x:v>0</x:v>
      </x:c>
      <x:c r="JI51" s="128" t="n">
        <x:f>'PROJECT TA Y TB KARINA'!$S105/8</x:f>
        <x:v>0</x:v>
      </x:c>
      <x:c r="JJ51" s="128" t="n">
        <x:f>'PROJECT TA Y TB KARINA'!$S105/8</x:f>
        <x:v>0</x:v>
      </x:c>
      <x:c r="JK51" s="128" t="n">
        <x:f>'PROJECT TA Y TB KARINA'!$S105/8</x:f>
        <x:v>0</x:v>
      </x:c>
      <x:c r="JL51" s="128" t="n">
        <x:f>'PROJECT TA Y TB KARINA'!$T105/8</x:f>
        <x:v>0</x:v>
      </x:c>
      <x:c r="JM51" s="128" t="n">
        <x:f>'PROJECT TA Y TB KARINA'!$T105/8</x:f>
        <x:v>0</x:v>
      </x:c>
      <x:c r="JN51" s="128" t="n">
        <x:f>'PROJECT TA Y TB KARINA'!$T105/8</x:f>
        <x:v>0</x:v>
      </x:c>
      <x:c r="JO51" s="128" t="n">
        <x:f>'PROJECT TA Y TB KARINA'!$T105/8</x:f>
        <x:v>0</x:v>
      </x:c>
      <x:c r="JP51" s="128" t="n">
        <x:f>'PROJECT TA Y TB KARINA'!$T105/8</x:f>
        <x:v>0</x:v>
      </x:c>
      <x:c r="JQ51" s="128" t="n">
        <x:f>'PROJECT TA Y TB KARINA'!$T105/8</x:f>
        <x:v>0</x:v>
      </x:c>
      <x:c r="JR51" s="128" t="n">
        <x:f>'PROJECT TA Y TB KARINA'!$T105/8</x:f>
        <x:v>0</x:v>
      </x:c>
      <x:c r="JS51" s="128" t="n">
        <x:f>'PROJECT TA Y TB KARINA'!$T105/8</x:f>
        <x:v>0</x:v>
      </x:c>
      <x:c r="JT51" s="128" t="e">
        <x:f>'PROJECT TA Y TB KARINA'!#REF!/8</x:f>
        <x:v>#NAME?</x:v>
      </x:c>
      <x:c r="JU51" s="128" t="e">
        <x:f>'PROJECT TA Y TB KARINA'!#REF!/8</x:f>
        <x:v>#NAME?</x:v>
      </x:c>
      <x:c r="JV51" s="128" t="e">
        <x:f>'PROJECT TA Y TB KARINA'!#REF!/8</x:f>
        <x:v>#NAME?</x:v>
      </x:c>
      <x:c r="JW51" s="128" t="e">
        <x:f>'PROJECT TA Y TB KARINA'!#REF!/8</x:f>
        <x:v>#NAME?</x:v>
      </x:c>
      <x:c r="JX51" s="128" t="e">
        <x:f>'PROJECT TA Y TB KARINA'!#REF!/8</x:f>
        <x:v>#NAME?</x:v>
      </x:c>
      <x:c r="JY51" s="128" t="e">
        <x:f>'PROJECT TA Y TB KARINA'!#REF!/8</x:f>
        <x:v>#NAME?</x:v>
      </x:c>
      <x:c r="JZ51" s="128" t="e">
        <x:f>'PROJECT TA Y TB KARINA'!#REF!/8</x:f>
        <x:v>#NAME?</x:v>
      </x:c>
      <x:c r="KA51" s="128" t="e">
        <x:f>'PROJECT TA Y TB KARINA'!#REF!/8</x:f>
        <x:v>#NAME?</x:v>
      </x:c>
    </x:row>
    <x:row r="52" ht="21">
      <x:c r="A52" s="130" t="s">
        <x:v>537</x:v>
      </x:c>
      <x:c r="B52" s="128" t="e">
        <x:f>'PROJECT TA Y TB KARINA'!$C$48/8</x:f>
        <x:v>#REF!</x:v>
      </x:c>
      <x:c r="C52" s="128" t="e">
        <x:f>'PROJECT TA Y TB KARINA'!$C$48/8</x:f>
        <x:v>#REF!</x:v>
      </x:c>
      <x:c r="D52" s="128" t="e">
        <x:f>'PROJECT TA Y TB KARINA'!$C$48/8</x:f>
        <x:v>#REF!</x:v>
      </x:c>
      <x:c r="E52" s="128" t="e">
        <x:f>'PROJECT TA Y TB KARINA'!$C$48/8</x:f>
        <x:v>#REF!</x:v>
      </x:c>
      <x:c r="F52" s="128" t="e">
        <x:f>'PROJECT TA Y TB KARINA'!$C$48/8</x:f>
        <x:v>#REF!</x:v>
      </x:c>
      <x:c r="G52" s="128" t="e">
        <x:f>'PROJECT TA Y TB KARINA'!$C$48/8</x:f>
        <x:v>#REF!</x:v>
      </x:c>
      <x:c r="H52" s="128" t="e">
        <x:f>'PROJECT TA Y TB KARINA'!$C$48/8</x:f>
        <x:v>#REF!</x:v>
      </x:c>
      <x:c r="I52" s="128" t="e">
        <x:f>'PROJECT TA Y TB KARINA'!$E48/8</x:f>
        <x:v>#REF!</x:v>
      </x:c>
      <x:c r="J52" s="128" t="e">
        <x:f>'PROJECT TA Y TB KARINA'!$E48/8</x:f>
        <x:v>#REF!</x:v>
      </x:c>
      <x:c r="K52" s="128" t="e">
        <x:f>'PROJECT TA Y TB KARINA'!$E48/8</x:f>
        <x:v>#REF!</x:v>
      </x:c>
      <x:c r="L52" s="128" t="e">
        <x:f>'PROJECT TA Y TB KARINA'!$E48/8</x:f>
        <x:v>#REF!</x:v>
      </x:c>
      <x:c r="M52" s="128" t="e">
        <x:f>'PROJECT TA Y TB KARINA'!$E48/8</x:f>
        <x:v>#REF!</x:v>
      </x:c>
      <x:c r="N52" s="128" t="e">
        <x:f>'PROJECT TA Y TB KARINA'!$E48/8</x:f>
        <x:v>#REF!</x:v>
      </x:c>
      <x:c r="O52" s="128" t="e">
        <x:f>'PROJECT TA Y TB KARINA'!$E48/8</x:f>
        <x:v>#REF!</x:v>
      </x:c>
      <x:c r="P52" s="128" t="e">
        <x:f>'PROJECT TA Y TB KARINA'!$E48/8</x:f>
        <x:v>#REF!</x:v>
      </x:c>
      <x:c r="Q52" s="128" t="e">
        <x:f>'PROJECT TA Y TB KARINA'!$F48/8</x:f>
        <x:v>#REF!</x:v>
      </x:c>
      <x:c r="R52" s="128" t="e">
        <x:f>'PROJECT TA Y TB KARINA'!$F48/8</x:f>
        <x:v>#REF!</x:v>
      </x:c>
      <x:c r="S52" s="128" t="e">
        <x:f>'PROJECT TA Y TB KARINA'!$F48/8</x:f>
        <x:v>#REF!</x:v>
      </x:c>
      <x:c r="T52" s="128" t="e">
        <x:f>'PROJECT TA Y TB KARINA'!$F48/8</x:f>
        <x:v>#REF!</x:v>
      </x:c>
      <x:c r="U52" s="128" t="e">
        <x:f>'PROJECT TA Y TB KARINA'!$F48/8</x:f>
        <x:v>#REF!</x:v>
      </x:c>
      <x:c r="V52" s="128" t="e">
        <x:f>'PROJECT TA Y TB KARINA'!$F48/8</x:f>
        <x:v>#REF!</x:v>
      </x:c>
      <x:c r="W52" s="128" t="e">
        <x:f>'PROJECT TA Y TB KARINA'!$F48/8</x:f>
        <x:v>#REF!</x:v>
      </x:c>
      <x:c r="X52" s="128" t="e">
        <x:f>'PROJECT TA Y TB KARINA'!$F48/8</x:f>
        <x:v>#REF!</x:v>
      </x:c>
      <x:c r="Y52" s="128" t="e">
        <x:f>'PROJECT TA Y TB KARINA'!$G48/8</x:f>
        <x:v>#REF!</x:v>
      </x:c>
      <x:c r="Z52" s="128" t="e">
        <x:f>'PROJECT TA Y TB KARINA'!$G48/8</x:f>
        <x:v>#REF!</x:v>
      </x:c>
      <x:c r="AA52" s="128" t="e">
        <x:f>'PROJECT TA Y TB KARINA'!$G48/8</x:f>
        <x:v>#REF!</x:v>
      </x:c>
      <x:c r="AB52" s="128" t="e">
        <x:f>'PROJECT TA Y TB KARINA'!$G48/8</x:f>
        <x:v>#REF!</x:v>
      </x:c>
      <x:c r="AC52" s="128" t="e">
        <x:f>'PROJECT TA Y TB KARINA'!$G48/8</x:f>
        <x:v>#REF!</x:v>
      </x:c>
      <x:c r="AD52" s="128" t="e">
        <x:f>'PROJECT TA Y TB KARINA'!$G48/8</x:f>
        <x:v>#REF!</x:v>
      </x:c>
      <x:c r="AE52" s="128" t="e">
        <x:f>'PROJECT TA Y TB KARINA'!$G48/8</x:f>
        <x:v>#REF!</x:v>
      </x:c>
      <x:c r="AF52" s="128" t="e">
        <x:f>'PROJECT TA Y TB KARINA'!$G48/8</x:f>
        <x:v>#REF!</x:v>
      </x:c>
      <x:c r="AG52" s="128" t="e">
        <x:f>'PROJECT TA Y TB KARINA'!$H48/8</x:f>
        <x:v>#REF!</x:v>
      </x:c>
      <x:c r="AH52" s="128" t="e">
        <x:f>'PROJECT TA Y TB KARINA'!$H48/8</x:f>
        <x:v>#REF!</x:v>
      </x:c>
      <x:c r="AI52" s="128" t="e">
        <x:f>'PROJECT TA Y TB KARINA'!$H48/8</x:f>
        <x:v>#REF!</x:v>
      </x:c>
      <x:c r="AJ52" s="128" t="e">
        <x:f>'PROJECT TA Y TB KARINA'!$H48/8</x:f>
        <x:v>#REF!</x:v>
      </x:c>
      <x:c r="AK52" s="128" t="e">
        <x:f>'PROJECT TA Y TB KARINA'!$H48/8</x:f>
        <x:v>#REF!</x:v>
      </x:c>
      <x:c r="AL52" s="128" t="e">
        <x:f>'PROJECT TA Y TB KARINA'!$H48/8</x:f>
        <x:v>#REF!</x:v>
      </x:c>
      <x:c r="AM52" s="128" t="e">
        <x:f>'PROJECT TA Y TB KARINA'!$H48/8</x:f>
        <x:v>#REF!</x:v>
      </x:c>
      <x:c r="AN52" s="128" t="e">
        <x:f>'PROJECT TA Y TB KARINA'!$H48/8</x:f>
        <x:v>#REF!</x:v>
      </x:c>
      <x:c r="AO52" s="128" t="e">
        <x:f>'PROJECT TA Y TB KARINA'!$I48/8</x:f>
        <x:v>#REF!</x:v>
      </x:c>
      <x:c r="AP52" s="128" t="e">
        <x:f>'PROJECT TA Y TB KARINA'!$I48/8</x:f>
        <x:v>#REF!</x:v>
      </x:c>
      <x:c r="AQ52" s="128" t="e">
        <x:f>'PROJECT TA Y TB KARINA'!$I48/8</x:f>
        <x:v>#REF!</x:v>
      </x:c>
      <x:c r="AR52" s="128" t="e">
        <x:f>'PROJECT TA Y TB KARINA'!$I48/8</x:f>
        <x:v>#REF!</x:v>
      </x:c>
      <x:c r="AS52" s="128" t="e">
        <x:f>'PROJECT TA Y TB KARINA'!$I48/8</x:f>
        <x:v>#REF!</x:v>
      </x:c>
      <x:c r="AT52" s="128" t="e">
        <x:f>'PROJECT TA Y TB KARINA'!$I48/8</x:f>
        <x:v>#REF!</x:v>
      </x:c>
      <x:c r="AU52" s="128" t="e">
        <x:f>'PROJECT TA Y TB KARINA'!$I48/8</x:f>
        <x:v>#REF!</x:v>
      </x:c>
      <x:c r="AV52" s="128" t="e">
        <x:f>'PROJECT TA Y TB KARINA'!$I48/8</x:f>
        <x:v>#REF!</x:v>
      </x:c>
      <x:c r="AW52" s="128" t="e">
        <x:f>'PROJECT TA Y TB KARINA'!$J48/8</x:f>
        <x:v>#REF!</x:v>
      </x:c>
      <x:c r="AX52" s="128" t="e">
        <x:f>'PROJECT TA Y TB KARINA'!$J48/8</x:f>
        <x:v>#REF!</x:v>
      </x:c>
      <x:c r="AY52" s="128" t="e">
        <x:f>'PROJECT TA Y TB KARINA'!$J48/8</x:f>
        <x:v>#REF!</x:v>
      </x:c>
      <x:c r="AZ52" s="128" t="e">
        <x:f>'PROJECT TA Y TB KARINA'!$J48/8</x:f>
        <x:v>#REF!</x:v>
      </x:c>
      <x:c r="BA52" s="128" t="e">
        <x:f>'PROJECT TA Y TB KARINA'!$J48/8</x:f>
        <x:v>#REF!</x:v>
      </x:c>
      <x:c r="BB52" s="128" t="e">
        <x:f>'PROJECT TA Y TB KARINA'!$J48/8</x:f>
        <x:v>#REF!</x:v>
      </x:c>
      <x:c r="BC52" s="128" t="e">
        <x:f>'PROJECT TA Y TB KARINA'!$J48/8</x:f>
        <x:v>#REF!</x:v>
      </x:c>
      <x:c r="BD52" s="128" t="e">
        <x:f>'PROJECT TA Y TB KARINA'!$J48/8</x:f>
        <x:v>#REF!</x:v>
      </x:c>
      <x:c r="BE52" s="128" t="e">
        <x:f>'PROJECT TA Y TB KARINA'!$K48/8</x:f>
        <x:v>#REF!</x:v>
      </x:c>
      <x:c r="BF52" s="128" t="e">
        <x:f>'PROJECT TA Y TB KARINA'!$K48/8</x:f>
        <x:v>#REF!</x:v>
      </x:c>
      <x:c r="BG52" s="128" t="e">
        <x:f>'PROJECT TA Y TB KARINA'!$K48/8</x:f>
        <x:v>#REF!</x:v>
      </x:c>
      <x:c r="BH52" s="128" t="e">
        <x:f>'PROJECT TA Y TB KARINA'!$K48/8</x:f>
        <x:v>#REF!</x:v>
      </x:c>
      <x:c r="BI52" s="128" t="e">
        <x:f>'PROJECT TA Y TB KARINA'!$K48/8</x:f>
        <x:v>#REF!</x:v>
      </x:c>
      <x:c r="BJ52" s="128" t="e">
        <x:f>'PROJECT TA Y TB KARINA'!$K48/8</x:f>
        <x:v>#REF!</x:v>
      </x:c>
      <x:c r="BK52" s="128" t="e">
        <x:f>'PROJECT TA Y TB KARINA'!$K48/8</x:f>
        <x:v>#REF!</x:v>
      </x:c>
      <x:c r="BL52" s="128" t="e">
        <x:f>'PROJECT TA Y TB KARINA'!$K48/8</x:f>
        <x:v>#REF!</x:v>
      </x:c>
      <x:c r="BM52" s="128" t="e">
        <x:f>'PROJECT TA Y TB KARINA'!$L48/8</x:f>
        <x:v>#REF!</x:v>
      </x:c>
      <x:c r="BN52" s="128" t="e">
        <x:f>'PROJECT TA Y TB KARINA'!$L48/8</x:f>
        <x:v>#REF!</x:v>
      </x:c>
      <x:c r="BO52" s="128" t="e">
        <x:f>'PROJECT TA Y TB KARINA'!$L48/8</x:f>
        <x:v>#REF!</x:v>
      </x:c>
      <x:c r="BP52" s="128" t="e">
        <x:f>'PROJECT TA Y TB KARINA'!$L48/8</x:f>
        <x:v>#REF!</x:v>
      </x:c>
      <x:c r="BQ52" s="128" t="e">
        <x:f>'PROJECT TA Y TB KARINA'!$L48/8</x:f>
        <x:v>#REF!</x:v>
      </x:c>
      <x:c r="BR52" s="128" t="e">
        <x:f>'PROJECT TA Y TB KARINA'!$L48/8</x:f>
        <x:v>#REF!</x:v>
      </x:c>
      <x:c r="BS52" s="128" t="e">
        <x:f>'PROJECT TA Y TB KARINA'!$L48/8</x:f>
        <x:v>#REF!</x:v>
      </x:c>
      <x:c r="BT52" s="128" t="e">
        <x:f>'PROJECT TA Y TB KARINA'!$L48/8</x:f>
        <x:v>#REF!</x:v>
      </x:c>
      <x:c r="BU52" s="128" t="e">
        <x:f>'PROJECT TA Y TB KARINA'!$M48/8</x:f>
        <x:v>#REF!</x:v>
      </x:c>
      <x:c r="BV52" s="128" t="e">
        <x:f>'PROJECT TA Y TB KARINA'!$M48/8</x:f>
        <x:v>#REF!</x:v>
      </x:c>
      <x:c r="BW52" s="128" t="e">
        <x:f>'PROJECT TA Y TB KARINA'!$M48/8</x:f>
        <x:v>#REF!</x:v>
      </x:c>
      <x:c r="BX52" s="128" t="e">
        <x:f>'PROJECT TA Y TB KARINA'!$M48/8</x:f>
        <x:v>#REF!</x:v>
      </x:c>
      <x:c r="BY52" s="128" t="e">
        <x:f>'PROJECT TA Y TB KARINA'!$M48/8</x:f>
        <x:v>#REF!</x:v>
      </x:c>
      <x:c r="BZ52" s="128" t="e">
        <x:f>'PROJECT TA Y TB KARINA'!$M48/8</x:f>
        <x:v>#REF!</x:v>
      </x:c>
      <x:c r="CA52" s="128" t="e">
        <x:f>'PROJECT TA Y TB KARINA'!$M48/8</x:f>
        <x:v>#REF!</x:v>
      </x:c>
      <x:c r="CB52" s="128" t="e">
        <x:f>'PROJECT TA Y TB KARINA'!$M48/8</x:f>
        <x:v>#REF!</x:v>
      </x:c>
      <x:c r="CC52" s="128" t="e">
        <x:f>'PROJECT TA Y TB KARINA'!$N48/8</x:f>
        <x:v>#REF!</x:v>
      </x:c>
      <x:c r="CD52" s="128" t="e">
        <x:f>'PROJECT TA Y TB KARINA'!$N48/8</x:f>
        <x:v>#REF!</x:v>
      </x:c>
      <x:c r="CE52" s="128" t="e">
        <x:f>'PROJECT TA Y TB KARINA'!$N48/8</x:f>
        <x:v>#REF!</x:v>
      </x:c>
      <x:c r="CF52" s="128" t="e">
        <x:f>'PROJECT TA Y TB KARINA'!$N48/8</x:f>
        <x:v>#REF!</x:v>
      </x:c>
      <x:c r="CG52" s="128" t="e">
        <x:f>'PROJECT TA Y TB KARINA'!$N48/8</x:f>
        <x:v>#REF!</x:v>
      </x:c>
      <x:c r="CH52" s="128" t="e">
        <x:f>'PROJECT TA Y TB KARINA'!$N48/8</x:f>
        <x:v>#REF!</x:v>
      </x:c>
      <x:c r="CI52" s="128" t="e">
        <x:f>'PROJECT TA Y TB KARINA'!$N48/8</x:f>
        <x:v>#REF!</x:v>
      </x:c>
      <x:c r="CJ52" s="128" t="e">
        <x:f>'PROJECT TA Y TB KARINA'!$N48/8</x:f>
        <x:v>#REF!</x:v>
      </x:c>
      <x:c r="CK52" s="128" t="e">
        <x:f>'PROJECT TA Y TB KARINA'!$O48/8</x:f>
        <x:v>#REF!</x:v>
      </x:c>
      <x:c r="CL52" s="128" t="e">
        <x:f>'PROJECT TA Y TB KARINA'!$O48/8</x:f>
        <x:v>#REF!</x:v>
      </x:c>
      <x:c r="CM52" s="128" t="e">
        <x:f>'PROJECT TA Y TB KARINA'!$O48/8</x:f>
        <x:v>#REF!</x:v>
      </x:c>
      <x:c r="CN52" s="128" t="e">
        <x:f>'PROJECT TA Y TB KARINA'!$O48/8</x:f>
        <x:v>#REF!</x:v>
      </x:c>
      <x:c r="CO52" s="128" t="e">
        <x:f>'PROJECT TA Y TB KARINA'!$O48/8</x:f>
        <x:v>#REF!</x:v>
      </x:c>
      <x:c r="CP52" s="128" t="e">
        <x:f>'PROJECT TA Y TB KARINA'!$O48/8</x:f>
        <x:v>#REF!</x:v>
      </x:c>
      <x:c r="CQ52" s="128" t="e">
        <x:f>'PROJECT TA Y TB KARINA'!$O48/8</x:f>
        <x:v>#REF!</x:v>
      </x:c>
      <x:c r="CR52" s="128" t="e">
        <x:f>'PROJECT TA Y TB KARINA'!$O48/8</x:f>
        <x:v>#REF!</x:v>
      </x:c>
      <x:c r="CS52" s="128" t="e">
        <x:f>'PROJECT TA Y TB KARINA'!$P48/8</x:f>
        <x:v>#REF!</x:v>
      </x:c>
      <x:c r="CT52" s="128" t="e">
        <x:f>'PROJECT TA Y TB KARINA'!$P48/8</x:f>
        <x:v>#REF!</x:v>
      </x:c>
      <x:c r="CU52" s="128" t="e">
        <x:f>'PROJECT TA Y TB KARINA'!$P48/8</x:f>
        <x:v>#REF!</x:v>
      </x:c>
      <x:c r="CV52" s="128" t="e">
        <x:f>'PROJECT TA Y TB KARINA'!$P48/8</x:f>
        <x:v>#REF!</x:v>
      </x:c>
      <x:c r="CW52" s="128" t="e">
        <x:f>'PROJECT TA Y TB KARINA'!$P48/8</x:f>
        <x:v>#REF!</x:v>
      </x:c>
      <x:c r="CX52" s="128" t="e">
        <x:f>'PROJECT TA Y TB KARINA'!$P48/8</x:f>
        <x:v>#REF!</x:v>
      </x:c>
      <x:c r="CY52" s="128" t="e">
        <x:f>'PROJECT TA Y TB KARINA'!$P48/8</x:f>
        <x:v>#REF!</x:v>
      </x:c>
      <x:c r="CZ52" s="128" t="e">
        <x:f>'PROJECT TA Y TB KARINA'!$P48/8</x:f>
        <x:v>#REF!</x:v>
      </x:c>
      <x:c r="DA52" s="128" t="e">
        <x:f>'PROJECT TA Y TB KARINA'!$Q48/8</x:f>
        <x:v>#REF!</x:v>
      </x:c>
      <x:c r="DB52" s="128" t="e">
        <x:f>'PROJECT TA Y TB KARINA'!$Q48/8</x:f>
        <x:v>#REF!</x:v>
      </x:c>
      <x:c r="DC52" s="128" t="e">
        <x:f>'PROJECT TA Y TB KARINA'!$Q48/8</x:f>
        <x:v>#REF!</x:v>
      </x:c>
      <x:c r="DD52" s="128" t="e">
        <x:f>'PROJECT TA Y TB KARINA'!$Q48/8</x:f>
        <x:v>#REF!</x:v>
      </x:c>
      <x:c r="DE52" s="128" t="e">
        <x:f>'PROJECT TA Y TB KARINA'!$Q48/8</x:f>
        <x:v>#REF!</x:v>
      </x:c>
      <x:c r="DF52" s="128" t="e">
        <x:f>'PROJECT TA Y TB KARINA'!$Q48/8</x:f>
        <x:v>#REF!</x:v>
      </x:c>
      <x:c r="DG52" s="128" t="e">
        <x:f>'PROJECT TA Y TB KARINA'!$Q48/8</x:f>
        <x:v>#REF!</x:v>
      </x:c>
      <x:c r="DH52" s="128" t="e">
        <x:f>'PROJECT TA Y TB KARINA'!$Q48/8</x:f>
        <x:v>#REF!</x:v>
      </x:c>
      <x:c r="DI52" s="128" t="e">
        <x:f>'PROJECT TA Y TB KARINA'!$R48/8</x:f>
        <x:v>#REF!</x:v>
      </x:c>
      <x:c r="DJ52" s="128" t="e">
        <x:f>'PROJECT TA Y TB KARINA'!$R48/8</x:f>
        <x:v>#REF!</x:v>
      </x:c>
      <x:c r="DK52" s="128" t="e">
        <x:f>'PROJECT TA Y TB KARINA'!$R48/8</x:f>
        <x:v>#REF!</x:v>
      </x:c>
      <x:c r="DL52" s="128" t="e">
        <x:f>'PROJECT TA Y TB KARINA'!$R48/8</x:f>
        <x:v>#REF!</x:v>
      </x:c>
      <x:c r="DM52" s="128" t="e">
        <x:f>'PROJECT TA Y TB KARINA'!$R48/8</x:f>
        <x:v>#REF!</x:v>
      </x:c>
      <x:c r="DN52" s="128" t="e">
        <x:f>'PROJECT TA Y TB KARINA'!$R48/8</x:f>
        <x:v>#REF!</x:v>
      </x:c>
      <x:c r="DO52" s="128" t="e">
        <x:f>'PROJECT TA Y TB KARINA'!$R48/8</x:f>
        <x:v>#REF!</x:v>
      </x:c>
      <x:c r="DP52" s="128" t="e">
        <x:f>'PROJECT TA Y TB KARINA'!$R48/8</x:f>
        <x:v>#REF!</x:v>
      </x:c>
      <x:c r="DQ52" s="128" t="e">
        <x:f>'PROJECT TA Y TB KARINA'!$S48/8</x:f>
        <x:v>#REF!</x:v>
      </x:c>
      <x:c r="DR52" s="128" t="e">
        <x:f>'PROJECT TA Y TB KARINA'!$S48/8</x:f>
        <x:v>#REF!</x:v>
      </x:c>
      <x:c r="DS52" s="128" t="e">
        <x:f>'PROJECT TA Y TB KARINA'!$S48/8</x:f>
        <x:v>#REF!</x:v>
      </x:c>
      <x:c r="DT52" s="128" t="e">
        <x:f>'PROJECT TA Y TB KARINA'!$S48/8</x:f>
        <x:v>#REF!</x:v>
      </x:c>
      <x:c r="DU52" s="128" t="e">
        <x:f>'PROJECT TA Y TB KARINA'!$S48/8</x:f>
        <x:v>#REF!</x:v>
      </x:c>
      <x:c r="DV52" s="128" t="e">
        <x:f>'PROJECT TA Y TB KARINA'!$S48/8</x:f>
        <x:v>#REF!</x:v>
      </x:c>
      <x:c r="DW52" s="128" t="e">
        <x:f>'PROJECT TA Y TB KARINA'!$S48/8</x:f>
        <x:v>#REF!</x:v>
      </x:c>
      <x:c r="DX52" s="128" t="e">
        <x:f>'PROJECT TA Y TB KARINA'!$S48/8</x:f>
        <x:v>#REF!</x:v>
      </x:c>
      <x:c r="DY52" s="128" t="e">
        <x:f>'PROJECT TA Y TB KARINA'!$T48/8</x:f>
        <x:v>#REF!</x:v>
      </x:c>
      <x:c r="DZ52" s="128" t="e">
        <x:f>'PROJECT TA Y TB KARINA'!$T48/8</x:f>
        <x:v>#REF!</x:v>
      </x:c>
      <x:c r="EA52" s="128" t="e">
        <x:f>'PROJECT TA Y TB KARINA'!$T48/8</x:f>
        <x:v>#REF!</x:v>
      </x:c>
      <x:c r="EB52" s="128" t="e">
        <x:f>'PROJECT TA Y TB KARINA'!$T48/8</x:f>
        <x:v>#REF!</x:v>
      </x:c>
      <x:c r="EC52" s="128" t="e">
        <x:f>'PROJECT TA Y TB KARINA'!$T48/8</x:f>
        <x:v>#REF!</x:v>
      </x:c>
      <x:c r="ED52" s="128" t="e">
        <x:f>'PROJECT TA Y TB KARINA'!$T48/8</x:f>
        <x:v>#REF!</x:v>
      </x:c>
      <x:c r="EE52" s="128" t="e">
        <x:f>'PROJECT TA Y TB KARINA'!$T48/8</x:f>
        <x:v>#REF!</x:v>
      </x:c>
      <x:c r="EF52" s="128" t="e">
        <x:f>'PROJECT TA Y TB KARINA'!$T48/8</x:f>
        <x:v>#REF!</x:v>
      </x:c>
      <x:c r="EG52" s="128" t="e">
        <x:f>'PROJECT TA Y TB KARINA'!#REF!/8</x:f>
        <x:v>#NAME?</x:v>
      </x:c>
      <x:c r="EH52" s="128" t="e">
        <x:f>'PROJECT TA Y TB KARINA'!#REF!/8</x:f>
        <x:v>#NAME?</x:v>
      </x:c>
      <x:c r="EI52" s="128" t="e">
        <x:f>'PROJECT TA Y TB KARINA'!#REF!/8</x:f>
        <x:v>#NAME?</x:v>
      </x:c>
      <x:c r="EJ52" s="128" t="e">
        <x:f>'PROJECT TA Y TB KARINA'!#REF!/8</x:f>
        <x:v>#NAME?</x:v>
      </x:c>
      <x:c r="EK52" s="128" t="e">
        <x:f>'PROJECT TA Y TB KARINA'!#REF!/8</x:f>
        <x:v>#NAME?</x:v>
      </x:c>
      <x:c r="EL52" s="128" t="e">
        <x:f>'PROJECT TA Y TB KARINA'!#REF!/8</x:f>
        <x:v>#NAME?</x:v>
      </x:c>
      <x:c r="EM52" s="128" t="e">
        <x:f>'PROJECT TA Y TB KARINA'!#REF!/8</x:f>
        <x:v>#NAME?</x:v>
      </x:c>
      <x:c r="EN52" s="128" t="e">
        <x:f>'PROJECT TA Y TB KARINA'!#REF!/8</x:f>
        <x:v>#NAME?</x:v>
      </x:c>
      <x:c r="EO52" s="128" t="n">
        <x:f>'PROJECT TA Y TB KARINA'!$C106/8</x:f>
        <x:v>0</x:v>
      </x:c>
      <x:c r="EP52" s="128" t="n">
        <x:f>'PROJECT TA Y TB KARINA'!$C106/8</x:f>
        <x:v>0</x:v>
      </x:c>
      <x:c r="EQ52" s="128" t="n">
        <x:f>'PROJECT TA Y TB KARINA'!$C106/8</x:f>
        <x:v>0</x:v>
      </x:c>
      <x:c r="ER52" s="128" t="n">
        <x:f>'PROJECT TA Y TB KARINA'!$C106/8</x:f>
        <x:v>0</x:v>
      </x:c>
      <x:c r="ES52" s="128" t="n">
        <x:f>'PROJECT TA Y TB KARINA'!$C106/8</x:f>
        <x:v>0</x:v>
      </x:c>
      <x:c r="ET52" s="128" t="n">
        <x:f>'PROJECT TA Y TB KARINA'!$C106/8</x:f>
        <x:v>0</x:v>
      </x:c>
      <x:c r="EU52" s="128" t="n">
        <x:f>'PROJECT TA Y TB KARINA'!$C106/8</x:f>
        <x:v>0</x:v>
      </x:c>
      <x:c r="EV52" s="128" t="n">
        <x:f>'PROJECT TA Y TB KARINA'!$E106/8</x:f>
        <x:v>0</x:v>
      </x:c>
      <x:c r="EW52" s="128" t="n">
        <x:f>'PROJECT TA Y TB KARINA'!$E106/8</x:f>
        <x:v>0</x:v>
      </x:c>
      <x:c r="EX52" s="128" t="n">
        <x:f>'PROJECT TA Y TB KARINA'!$E106/8</x:f>
        <x:v>0</x:v>
      </x:c>
      <x:c r="EY52" s="128" t="n">
        <x:f>'PROJECT TA Y TB KARINA'!$E106/8</x:f>
        <x:v>0</x:v>
      </x:c>
      <x:c r="EZ52" s="128" t="n">
        <x:f>'PROJECT TA Y TB KARINA'!$E106/8</x:f>
        <x:v>0</x:v>
      </x:c>
      <x:c r="FA52" s="128" t="n">
        <x:f>'PROJECT TA Y TB KARINA'!$E106/8</x:f>
        <x:v>0</x:v>
      </x:c>
      <x:c r="FB52" s="128" t="n">
        <x:f>'PROJECT TA Y TB KARINA'!$E106/8</x:f>
        <x:v>0</x:v>
      </x:c>
      <x:c r="FC52" s="128" t="n">
        <x:f>'PROJECT TA Y TB KARINA'!$E106/8</x:f>
        <x:v>0</x:v>
      </x:c>
      <x:c r="FD52" s="128" t="n">
        <x:f>'PROJECT TA Y TB KARINA'!$F106/8</x:f>
        <x:v>0</x:v>
      </x:c>
      <x:c r="FE52" s="128" t="n">
        <x:f>'PROJECT TA Y TB KARINA'!$F106/8</x:f>
        <x:v>0</x:v>
      </x:c>
      <x:c r="FF52" s="128" t="n">
        <x:f>'PROJECT TA Y TB KARINA'!$F106/8</x:f>
        <x:v>0</x:v>
      </x:c>
      <x:c r="FG52" s="128" t="n">
        <x:f>'PROJECT TA Y TB KARINA'!$F106/8</x:f>
        <x:v>0</x:v>
      </x:c>
      <x:c r="FH52" s="128" t="n">
        <x:f>'PROJECT TA Y TB KARINA'!$F106/8</x:f>
        <x:v>0</x:v>
      </x:c>
      <x:c r="FI52" s="128" t="n">
        <x:f>'PROJECT TA Y TB KARINA'!$F106/8</x:f>
        <x:v>0</x:v>
      </x:c>
      <x:c r="FJ52" s="128" t="n">
        <x:f>'PROJECT TA Y TB KARINA'!$F106/8</x:f>
        <x:v>0</x:v>
      </x:c>
      <x:c r="FK52" s="128" t="n">
        <x:f>'PROJECT TA Y TB KARINA'!$F106/8</x:f>
        <x:v>0</x:v>
      </x:c>
      <x:c r="FL52" s="128" t="n">
        <x:f>'PROJECT TA Y TB KARINA'!$G106/8</x:f>
        <x:v>0</x:v>
      </x:c>
      <x:c r="FM52" s="128" t="n">
        <x:f>'PROJECT TA Y TB KARINA'!$G106/8</x:f>
        <x:v>0</x:v>
      </x:c>
      <x:c r="FN52" s="128" t="n">
        <x:f>'PROJECT TA Y TB KARINA'!$G106/8</x:f>
        <x:v>0</x:v>
      </x:c>
      <x:c r="FO52" s="128" t="n">
        <x:f>'PROJECT TA Y TB KARINA'!$G106/8</x:f>
        <x:v>0</x:v>
      </x:c>
      <x:c r="FP52" s="128" t="n">
        <x:f>'PROJECT TA Y TB KARINA'!$G106/8</x:f>
        <x:v>0</x:v>
      </x:c>
      <x:c r="FQ52" s="128" t="n">
        <x:f>'PROJECT TA Y TB KARINA'!$G106/8</x:f>
        <x:v>0</x:v>
      </x:c>
      <x:c r="FR52" s="128" t="n">
        <x:f>'PROJECT TA Y TB KARINA'!$G106/8</x:f>
        <x:v>0</x:v>
      </x:c>
      <x:c r="FS52" s="128" t="n">
        <x:f>'PROJECT TA Y TB KARINA'!$G106/8</x:f>
        <x:v>0</x:v>
      </x:c>
      <x:c r="FT52" s="128" t="n">
        <x:f>'PROJECT TA Y TB KARINA'!$H106/8</x:f>
        <x:v>0</x:v>
      </x:c>
      <x:c r="FU52" s="128" t="n">
        <x:f>'PROJECT TA Y TB KARINA'!$H106/8</x:f>
        <x:v>0</x:v>
      </x:c>
      <x:c r="FV52" s="128" t="n">
        <x:f>'PROJECT TA Y TB KARINA'!$H106/8</x:f>
        <x:v>0</x:v>
      </x:c>
      <x:c r="FW52" s="128" t="n">
        <x:f>'PROJECT TA Y TB KARINA'!$H106/8</x:f>
        <x:v>0</x:v>
      </x:c>
      <x:c r="FX52" s="128" t="n">
        <x:f>'PROJECT TA Y TB KARINA'!$H106/8</x:f>
        <x:v>0</x:v>
      </x:c>
      <x:c r="FY52" s="128" t="n">
        <x:f>'PROJECT TA Y TB KARINA'!$H106/8</x:f>
        <x:v>0</x:v>
      </x:c>
      <x:c r="FZ52" s="128" t="n">
        <x:f>'PROJECT TA Y TB KARINA'!$H106/8</x:f>
        <x:v>0</x:v>
      </x:c>
      <x:c r="GA52" s="128" t="n">
        <x:f>'PROJECT TA Y TB KARINA'!$H106/8</x:f>
        <x:v>0</x:v>
      </x:c>
      <x:c r="GB52" s="128" t="n">
        <x:f>'PROJECT TA Y TB KARINA'!$I106/8</x:f>
        <x:v>0</x:v>
      </x:c>
      <x:c r="GC52" s="128" t="n">
        <x:f>'PROJECT TA Y TB KARINA'!$I106/8</x:f>
        <x:v>0</x:v>
      </x:c>
      <x:c r="GD52" s="128" t="n">
        <x:f>'PROJECT TA Y TB KARINA'!$I106/8</x:f>
        <x:v>0</x:v>
      </x:c>
      <x:c r="GE52" s="128" t="n">
        <x:f>'PROJECT TA Y TB KARINA'!$I106/8</x:f>
        <x:v>0</x:v>
      </x:c>
      <x:c r="GF52" s="128" t="n">
        <x:f>'PROJECT TA Y TB KARINA'!$I106/8</x:f>
        <x:v>0</x:v>
      </x:c>
      <x:c r="GG52" s="128" t="n">
        <x:f>'PROJECT TA Y TB KARINA'!$I106/8</x:f>
        <x:v>0</x:v>
      </x:c>
      <x:c r="GH52" s="128" t="n">
        <x:f>'PROJECT TA Y TB KARINA'!$I106/8</x:f>
        <x:v>0</x:v>
      </x:c>
      <x:c r="GI52" s="128" t="n">
        <x:f>'PROJECT TA Y TB KARINA'!$I106/8</x:f>
        <x:v>0</x:v>
      </x:c>
      <x:c r="GJ52" s="128" t="n">
        <x:f>'PROJECT TA Y TB KARINA'!$J106/8</x:f>
        <x:v>0</x:v>
      </x:c>
      <x:c r="GK52" s="128" t="n">
        <x:f>'PROJECT TA Y TB KARINA'!$J106/8</x:f>
        <x:v>0</x:v>
      </x:c>
      <x:c r="GL52" s="128" t="n">
        <x:f>'PROJECT TA Y TB KARINA'!$J106/8</x:f>
        <x:v>0</x:v>
      </x:c>
      <x:c r="GM52" s="128" t="n">
        <x:f>'PROJECT TA Y TB KARINA'!$J106/8</x:f>
        <x:v>0</x:v>
      </x:c>
      <x:c r="GN52" s="128" t="n">
        <x:f>'PROJECT TA Y TB KARINA'!$J106/8</x:f>
        <x:v>0</x:v>
      </x:c>
      <x:c r="GO52" s="128" t="n">
        <x:f>'PROJECT TA Y TB KARINA'!$J106/8</x:f>
        <x:v>0</x:v>
      </x:c>
      <x:c r="GP52" s="128" t="n">
        <x:f>'PROJECT TA Y TB KARINA'!$J106/8</x:f>
        <x:v>0</x:v>
      </x:c>
      <x:c r="GQ52" s="128" t="n">
        <x:f>'PROJECT TA Y TB KARINA'!$J106/8</x:f>
        <x:v>0</x:v>
      </x:c>
      <x:c r="GR52" s="128" t="n">
        <x:f>'PROJECT TA Y TB KARINA'!$K106/8</x:f>
        <x:v>0</x:v>
      </x:c>
      <x:c r="GS52" s="128" t="n">
        <x:f>'PROJECT TA Y TB KARINA'!$K106/8</x:f>
        <x:v>0</x:v>
      </x:c>
      <x:c r="GT52" s="128" t="n">
        <x:f>'PROJECT TA Y TB KARINA'!$K106/8</x:f>
        <x:v>0</x:v>
      </x:c>
      <x:c r="GU52" s="128" t="n">
        <x:f>'PROJECT TA Y TB KARINA'!$K106/8</x:f>
        <x:v>0</x:v>
      </x:c>
      <x:c r="GV52" s="128" t="n">
        <x:f>'PROJECT TA Y TB KARINA'!$K106/8</x:f>
        <x:v>0</x:v>
      </x:c>
      <x:c r="GW52" s="128" t="n">
        <x:f>'PROJECT TA Y TB KARINA'!$K106/8</x:f>
        <x:v>0</x:v>
      </x:c>
      <x:c r="GX52" s="128" t="n">
        <x:f>'PROJECT TA Y TB KARINA'!$K106/8</x:f>
        <x:v>0</x:v>
      </x:c>
      <x:c r="GY52" s="128" t="n">
        <x:f>'PROJECT TA Y TB KARINA'!$K106/8</x:f>
        <x:v>0</x:v>
      </x:c>
      <x:c r="GZ52" s="128" t="n">
        <x:f>'PROJECT TA Y TB KARINA'!$L106/8</x:f>
        <x:v>0</x:v>
      </x:c>
      <x:c r="HA52" s="128" t="n">
        <x:f>'PROJECT TA Y TB KARINA'!$L106/8</x:f>
        <x:v>0</x:v>
      </x:c>
      <x:c r="HB52" s="128" t="n">
        <x:f>'PROJECT TA Y TB KARINA'!$L106/8</x:f>
        <x:v>0</x:v>
      </x:c>
      <x:c r="HC52" s="128" t="n">
        <x:f>'PROJECT TA Y TB KARINA'!$L106/8</x:f>
        <x:v>0</x:v>
      </x:c>
      <x:c r="HD52" s="128" t="n">
        <x:f>'PROJECT TA Y TB KARINA'!$L106/8</x:f>
        <x:v>0</x:v>
      </x:c>
      <x:c r="HE52" s="128" t="n">
        <x:f>'PROJECT TA Y TB KARINA'!$L106/8</x:f>
        <x:v>0</x:v>
      </x:c>
      <x:c r="HF52" s="128" t="n">
        <x:f>'PROJECT TA Y TB KARINA'!$L106/8</x:f>
        <x:v>0</x:v>
      </x:c>
      <x:c r="HG52" s="128" t="n">
        <x:f>'PROJECT TA Y TB KARINA'!$L106/8</x:f>
        <x:v>0</x:v>
      </x:c>
      <x:c r="HH52" s="128" t="n">
        <x:f>'PROJECT TA Y TB KARINA'!$M106/8</x:f>
        <x:v>0</x:v>
      </x:c>
      <x:c r="HI52" s="128" t="n">
        <x:f>'PROJECT TA Y TB KARINA'!$M106/8</x:f>
        <x:v>0</x:v>
      </x:c>
      <x:c r="HJ52" s="128" t="n">
        <x:f>'PROJECT TA Y TB KARINA'!$M106/8</x:f>
        <x:v>0</x:v>
      </x:c>
      <x:c r="HK52" s="128" t="n">
        <x:f>'PROJECT TA Y TB KARINA'!$M106/8</x:f>
        <x:v>0</x:v>
      </x:c>
      <x:c r="HL52" s="128" t="n">
        <x:f>'PROJECT TA Y TB KARINA'!$M106/8</x:f>
        <x:v>0</x:v>
      </x:c>
      <x:c r="HM52" s="128" t="n">
        <x:f>'PROJECT TA Y TB KARINA'!$M106/8</x:f>
        <x:v>0</x:v>
      </x:c>
      <x:c r="HN52" s="128" t="n">
        <x:f>'PROJECT TA Y TB KARINA'!$M106/8</x:f>
        <x:v>0</x:v>
      </x:c>
      <x:c r="HO52" s="128" t="n">
        <x:f>'PROJECT TA Y TB KARINA'!$M106/8</x:f>
        <x:v>0</x:v>
      </x:c>
      <x:c r="HP52" s="128" t="n">
        <x:f>'PROJECT TA Y TB KARINA'!$N106/8</x:f>
        <x:v>0</x:v>
      </x:c>
      <x:c r="HQ52" s="128" t="n">
        <x:f>'PROJECT TA Y TB KARINA'!$N106/8</x:f>
        <x:v>0</x:v>
      </x:c>
      <x:c r="HR52" s="128" t="n">
        <x:f>'PROJECT TA Y TB KARINA'!$N106/8</x:f>
        <x:v>0</x:v>
      </x:c>
      <x:c r="HS52" s="128" t="n">
        <x:f>'PROJECT TA Y TB KARINA'!$N106/8</x:f>
        <x:v>0</x:v>
      </x:c>
      <x:c r="HT52" s="128" t="n">
        <x:f>'PROJECT TA Y TB KARINA'!$N106/8</x:f>
        <x:v>0</x:v>
      </x:c>
      <x:c r="HU52" s="128" t="n">
        <x:f>'PROJECT TA Y TB KARINA'!$N106/8</x:f>
        <x:v>0</x:v>
      </x:c>
      <x:c r="HV52" s="128" t="n">
        <x:f>'PROJECT TA Y TB KARINA'!$N106/8</x:f>
        <x:v>0</x:v>
      </x:c>
      <x:c r="HW52" s="128" t="n">
        <x:f>'PROJECT TA Y TB KARINA'!$N106/8</x:f>
        <x:v>0</x:v>
      </x:c>
      <x:c r="HX52" s="128" t="n">
        <x:f>'PROJECT TA Y TB KARINA'!$O106/8</x:f>
        <x:v>0</x:v>
      </x:c>
      <x:c r="HY52" s="128" t="n">
        <x:f>'PROJECT TA Y TB KARINA'!$O106/8</x:f>
        <x:v>0</x:v>
      </x:c>
      <x:c r="HZ52" s="128" t="n">
        <x:f>'PROJECT TA Y TB KARINA'!$O106/8</x:f>
        <x:v>0</x:v>
      </x:c>
      <x:c r="IA52" s="128" t="n">
        <x:f>'PROJECT TA Y TB KARINA'!$O106/8</x:f>
        <x:v>0</x:v>
      </x:c>
      <x:c r="IB52" s="128" t="n">
        <x:f>'PROJECT TA Y TB KARINA'!$O106/8</x:f>
        <x:v>0</x:v>
      </x:c>
      <x:c r="IC52" s="128" t="n">
        <x:f>'PROJECT TA Y TB KARINA'!$O106/8</x:f>
        <x:v>0</x:v>
      </x:c>
      <x:c r="ID52" s="128" t="n">
        <x:f>'PROJECT TA Y TB KARINA'!$O106/8</x:f>
        <x:v>0</x:v>
      </x:c>
      <x:c r="IE52" s="128" t="n">
        <x:f>'PROJECT TA Y TB KARINA'!$O106/8</x:f>
        <x:v>0</x:v>
      </x:c>
      <x:c r="IF52" s="128" t="n">
        <x:f>'PROJECT TA Y TB KARINA'!$P106/8</x:f>
        <x:v>0</x:v>
      </x:c>
      <x:c r="IG52" s="128" t="n">
        <x:f>'PROJECT TA Y TB KARINA'!$P106/8</x:f>
        <x:v>0</x:v>
      </x:c>
      <x:c r="IH52" s="128" t="n">
        <x:f>'PROJECT TA Y TB KARINA'!$P106/8</x:f>
        <x:v>0</x:v>
      </x:c>
      <x:c r="II52" s="128" t="n">
        <x:f>'PROJECT TA Y TB KARINA'!$P106/8</x:f>
        <x:v>0</x:v>
      </x:c>
      <x:c r="IJ52" s="128" t="n">
        <x:f>'PROJECT TA Y TB KARINA'!$P106/8</x:f>
        <x:v>0</x:v>
      </x:c>
      <x:c r="IK52" s="128" t="n">
        <x:f>'PROJECT TA Y TB KARINA'!$P106/8</x:f>
        <x:v>0</x:v>
      </x:c>
      <x:c r="IL52" s="128" t="n">
        <x:f>'PROJECT TA Y TB KARINA'!$P106/8</x:f>
        <x:v>0</x:v>
      </x:c>
      <x:c r="IM52" s="128" t="n">
        <x:f>'PROJECT TA Y TB KARINA'!$P106/8</x:f>
        <x:v>0</x:v>
      </x:c>
      <x:c r="IN52" s="128" t="n">
        <x:f>'PROJECT TA Y TB KARINA'!$Q106/8</x:f>
        <x:v>0</x:v>
      </x:c>
      <x:c r="IO52" s="128" t="n">
        <x:f>'PROJECT TA Y TB KARINA'!$Q106/8</x:f>
        <x:v>0</x:v>
      </x:c>
      <x:c r="IP52" s="128" t="n">
        <x:f>'PROJECT TA Y TB KARINA'!$Q106/8</x:f>
        <x:v>0</x:v>
      </x:c>
      <x:c r="IQ52" s="128" t="n">
        <x:f>'PROJECT TA Y TB KARINA'!$Q106/8</x:f>
        <x:v>0</x:v>
      </x:c>
      <x:c r="IR52" s="128" t="n">
        <x:f>'PROJECT TA Y TB KARINA'!$Q106/8</x:f>
        <x:v>0</x:v>
      </x:c>
      <x:c r="IS52" s="128" t="n">
        <x:f>'PROJECT TA Y TB KARINA'!$Q106/8</x:f>
        <x:v>0</x:v>
      </x:c>
      <x:c r="IT52" s="128" t="n">
        <x:f>'PROJECT TA Y TB KARINA'!$Q106/8</x:f>
        <x:v>0</x:v>
      </x:c>
      <x:c r="IU52" s="128" t="n">
        <x:f>'PROJECT TA Y TB KARINA'!$Q106/8</x:f>
        <x:v>0</x:v>
      </x:c>
      <x:c r="IV52" s="128" t="n">
        <x:f>'PROJECT TA Y TB KARINA'!$R106/8</x:f>
        <x:v>0</x:v>
      </x:c>
      <x:c r="IW52" s="128" t="n">
        <x:f>'PROJECT TA Y TB KARINA'!$R106/8</x:f>
        <x:v>0</x:v>
      </x:c>
      <x:c r="IX52" s="128" t="n">
        <x:f>'PROJECT TA Y TB KARINA'!$R106/8</x:f>
        <x:v>0</x:v>
      </x:c>
      <x:c r="IY52" s="128" t="n">
        <x:f>'PROJECT TA Y TB KARINA'!$R106/8</x:f>
        <x:v>0</x:v>
      </x:c>
      <x:c r="IZ52" s="128" t="n">
        <x:f>'PROJECT TA Y TB KARINA'!$R106/8</x:f>
        <x:v>0</x:v>
      </x:c>
      <x:c r="JA52" s="128" t="n">
        <x:f>'PROJECT TA Y TB KARINA'!$R106/8</x:f>
        <x:v>0</x:v>
      </x:c>
      <x:c r="JB52" s="128" t="n">
        <x:f>'PROJECT TA Y TB KARINA'!$R106/8</x:f>
        <x:v>0</x:v>
      </x:c>
      <x:c r="JC52" s="128" t="n">
        <x:f>'PROJECT TA Y TB KARINA'!$R106/8</x:f>
        <x:v>0</x:v>
      </x:c>
      <x:c r="JD52" s="128" t="n">
        <x:f>'PROJECT TA Y TB KARINA'!$S106/8</x:f>
        <x:v>0</x:v>
      </x:c>
      <x:c r="JE52" s="128" t="n">
        <x:f>'PROJECT TA Y TB KARINA'!$S106/8</x:f>
        <x:v>0</x:v>
      </x:c>
      <x:c r="JF52" s="128" t="n">
        <x:f>'PROJECT TA Y TB KARINA'!$S106/8</x:f>
        <x:v>0</x:v>
      </x:c>
      <x:c r="JG52" s="128" t="n">
        <x:f>'PROJECT TA Y TB KARINA'!$S106/8</x:f>
        <x:v>0</x:v>
      </x:c>
      <x:c r="JH52" s="128" t="n">
        <x:f>'PROJECT TA Y TB KARINA'!$S106/8</x:f>
        <x:v>0</x:v>
      </x:c>
      <x:c r="JI52" s="128" t="n">
        <x:f>'PROJECT TA Y TB KARINA'!$S106/8</x:f>
        <x:v>0</x:v>
      </x:c>
      <x:c r="JJ52" s="128" t="n">
        <x:f>'PROJECT TA Y TB KARINA'!$S106/8</x:f>
        <x:v>0</x:v>
      </x:c>
      <x:c r="JK52" s="128" t="n">
        <x:f>'PROJECT TA Y TB KARINA'!$S106/8</x:f>
        <x:v>0</x:v>
      </x:c>
      <x:c r="JL52" s="128" t="n">
        <x:f>'PROJECT TA Y TB KARINA'!$T106/8</x:f>
        <x:v>0</x:v>
      </x:c>
      <x:c r="JM52" s="128" t="n">
        <x:f>'PROJECT TA Y TB KARINA'!$T106/8</x:f>
        <x:v>0</x:v>
      </x:c>
      <x:c r="JN52" s="128" t="n">
        <x:f>'PROJECT TA Y TB KARINA'!$T106/8</x:f>
        <x:v>0</x:v>
      </x:c>
      <x:c r="JO52" s="128" t="n">
        <x:f>'PROJECT TA Y TB KARINA'!$T106/8</x:f>
        <x:v>0</x:v>
      </x:c>
      <x:c r="JP52" s="128" t="n">
        <x:f>'PROJECT TA Y TB KARINA'!$T106/8</x:f>
        <x:v>0</x:v>
      </x:c>
      <x:c r="JQ52" s="128" t="n">
        <x:f>'PROJECT TA Y TB KARINA'!$T106/8</x:f>
        <x:v>0</x:v>
      </x:c>
      <x:c r="JR52" s="128" t="n">
        <x:f>'PROJECT TA Y TB KARINA'!$T106/8</x:f>
        <x:v>0</x:v>
      </x:c>
      <x:c r="JS52" s="128" t="n">
        <x:f>'PROJECT TA Y TB KARINA'!$T106/8</x:f>
        <x:v>0</x:v>
      </x:c>
      <x:c r="JT52" s="128" t="e">
        <x:f>'PROJECT TA Y TB KARINA'!#REF!/8</x:f>
        <x:v>#NAME?</x:v>
      </x:c>
      <x:c r="JU52" s="128" t="e">
        <x:f>'PROJECT TA Y TB KARINA'!#REF!/8</x:f>
        <x:v>#NAME?</x:v>
      </x:c>
      <x:c r="JV52" s="128" t="e">
        <x:f>'PROJECT TA Y TB KARINA'!#REF!/8</x:f>
        <x:v>#NAME?</x:v>
      </x:c>
      <x:c r="JW52" s="128" t="e">
        <x:f>'PROJECT TA Y TB KARINA'!#REF!/8</x:f>
        <x:v>#NAME?</x:v>
      </x:c>
      <x:c r="JX52" s="128" t="e">
        <x:f>'PROJECT TA Y TB KARINA'!#REF!/8</x:f>
        <x:v>#NAME?</x:v>
      </x:c>
      <x:c r="JY52" s="128" t="e">
        <x:f>'PROJECT TA Y TB KARINA'!#REF!/8</x:f>
        <x:v>#NAME?</x:v>
      </x:c>
      <x:c r="JZ52" s="128" t="e">
        <x:f>'PROJECT TA Y TB KARINA'!#REF!/8</x:f>
        <x:v>#NAME?</x:v>
      </x:c>
      <x:c r="KA52" s="128" t="e">
        <x:f>'PROJECT TA Y TB KARINA'!#REF!/8</x:f>
        <x:v>#NAME?</x:v>
      </x:c>
    </x:row>
    <x:row r="53" ht="21">
      <x:c r="A53" s="130" t="s">
        <x:v>538</x:v>
      </x:c>
      <x:c r="B53" s="128" t="e">
        <x:f>'PROJECT TA Y TB KARINA'!$C$49/8</x:f>
        <x:v>#REF!</x:v>
      </x:c>
      <x:c r="C53" s="128" t="e">
        <x:f>'PROJECT TA Y TB KARINA'!$C$49/8</x:f>
        <x:v>#REF!</x:v>
      </x:c>
      <x:c r="D53" s="128" t="e">
        <x:f>'PROJECT TA Y TB KARINA'!$C$49/8</x:f>
        <x:v>#REF!</x:v>
      </x:c>
      <x:c r="E53" s="128" t="e">
        <x:f>'PROJECT TA Y TB KARINA'!$C$49/8</x:f>
        <x:v>#REF!</x:v>
      </x:c>
      <x:c r="F53" s="128" t="e">
        <x:f>'PROJECT TA Y TB KARINA'!$C$49/8</x:f>
        <x:v>#REF!</x:v>
      </x:c>
      <x:c r="G53" s="128" t="e">
        <x:f>'PROJECT TA Y TB KARINA'!$C$49/8</x:f>
        <x:v>#REF!</x:v>
      </x:c>
      <x:c r="H53" s="128" t="e">
        <x:f>'PROJECT TA Y TB KARINA'!$C$49/8</x:f>
        <x:v>#REF!</x:v>
      </x:c>
      <x:c r="I53" s="128" t="e">
        <x:f>'PROJECT TA Y TB KARINA'!$E49/8</x:f>
        <x:v>#REF!</x:v>
      </x:c>
      <x:c r="J53" s="128" t="e">
        <x:f>'PROJECT TA Y TB KARINA'!$E49/8</x:f>
        <x:v>#REF!</x:v>
      </x:c>
      <x:c r="K53" s="128" t="e">
        <x:f>'PROJECT TA Y TB KARINA'!$E49/8</x:f>
        <x:v>#REF!</x:v>
      </x:c>
      <x:c r="L53" s="128" t="e">
        <x:f>'PROJECT TA Y TB KARINA'!$E49/8</x:f>
        <x:v>#REF!</x:v>
      </x:c>
      <x:c r="M53" s="128" t="e">
        <x:f>'PROJECT TA Y TB KARINA'!$E49/8</x:f>
        <x:v>#REF!</x:v>
      </x:c>
      <x:c r="N53" s="128" t="e">
        <x:f>'PROJECT TA Y TB KARINA'!$E49/8</x:f>
        <x:v>#REF!</x:v>
      </x:c>
      <x:c r="O53" s="128" t="e">
        <x:f>'PROJECT TA Y TB KARINA'!$E49/8</x:f>
        <x:v>#REF!</x:v>
      </x:c>
      <x:c r="P53" s="128" t="e">
        <x:f>'PROJECT TA Y TB KARINA'!$E49/8</x:f>
        <x:v>#REF!</x:v>
      </x:c>
      <x:c r="Q53" s="128" t="e">
        <x:f>'PROJECT TA Y TB KARINA'!$F49/8</x:f>
        <x:v>#REF!</x:v>
      </x:c>
      <x:c r="R53" s="128" t="e">
        <x:f>'PROJECT TA Y TB KARINA'!$F49/8</x:f>
        <x:v>#REF!</x:v>
      </x:c>
      <x:c r="S53" s="128" t="e">
        <x:f>'PROJECT TA Y TB KARINA'!$F49/8</x:f>
        <x:v>#REF!</x:v>
      </x:c>
      <x:c r="T53" s="128" t="e">
        <x:f>'PROJECT TA Y TB KARINA'!$F49/8</x:f>
        <x:v>#REF!</x:v>
      </x:c>
      <x:c r="U53" s="128" t="e">
        <x:f>'PROJECT TA Y TB KARINA'!$F49/8</x:f>
        <x:v>#REF!</x:v>
      </x:c>
      <x:c r="V53" s="128" t="e">
        <x:f>'PROJECT TA Y TB KARINA'!$F49/8</x:f>
        <x:v>#REF!</x:v>
      </x:c>
      <x:c r="W53" s="128" t="e">
        <x:f>'PROJECT TA Y TB KARINA'!$F49/8</x:f>
        <x:v>#REF!</x:v>
      </x:c>
      <x:c r="X53" s="128" t="e">
        <x:f>'PROJECT TA Y TB KARINA'!$F49/8</x:f>
        <x:v>#REF!</x:v>
      </x:c>
      <x:c r="Y53" s="128" t="e">
        <x:f>'PROJECT TA Y TB KARINA'!$G49/8</x:f>
        <x:v>#REF!</x:v>
      </x:c>
      <x:c r="Z53" s="128" t="e">
        <x:f>'PROJECT TA Y TB KARINA'!$G49/8</x:f>
        <x:v>#REF!</x:v>
      </x:c>
      <x:c r="AA53" s="128" t="e">
        <x:f>'PROJECT TA Y TB KARINA'!$G49/8</x:f>
        <x:v>#REF!</x:v>
      </x:c>
      <x:c r="AB53" s="128" t="e">
        <x:f>'PROJECT TA Y TB KARINA'!$G49/8</x:f>
        <x:v>#REF!</x:v>
      </x:c>
      <x:c r="AC53" s="128" t="e">
        <x:f>'PROJECT TA Y TB KARINA'!$G49/8</x:f>
        <x:v>#REF!</x:v>
      </x:c>
      <x:c r="AD53" s="128" t="e">
        <x:f>'PROJECT TA Y TB KARINA'!$G49/8</x:f>
        <x:v>#REF!</x:v>
      </x:c>
      <x:c r="AE53" s="128" t="e">
        <x:f>'PROJECT TA Y TB KARINA'!$G49/8</x:f>
        <x:v>#REF!</x:v>
      </x:c>
      <x:c r="AF53" s="128" t="e">
        <x:f>'PROJECT TA Y TB KARINA'!$G49/8</x:f>
        <x:v>#REF!</x:v>
      </x:c>
      <x:c r="AG53" s="128" t="e">
        <x:f>'PROJECT TA Y TB KARINA'!$H49/8</x:f>
        <x:v>#REF!</x:v>
      </x:c>
      <x:c r="AH53" s="128" t="e">
        <x:f>'PROJECT TA Y TB KARINA'!$H49/8</x:f>
        <x:v>#REF!</x:v>
      </x:c>
      <x:c r="AI53" s="128" t="e">
        <x:f>'PROJECT TA Y TB KARINA'!$H49/8</x:f>
        <x:v>#REF!</x:v>
      </x:c>
      <x:c r="AJ53" s="128" t="e">
        <x:f>'PROJECT TA Y TB KARINA'!$H49/8</x:f>
        <x:v>#REF!</x:v>
      </x:c>
      <x:c r="AK53" s="128" t="e">
        <x:f>'PROJECT TA Y TB KARINA'!$H49/8</x:f>
        <x:v>#REF!</x:v>
      </x:c>
      <x:c r="AL53" s="128" t="e">
        <x:f>'PROJECT TA Y TB KARINA'!$H49/8</x:f>
        <x:v>#REF!</x:v>
      </x:c>
      <x:c r="AM53" s="128" t="e">
        <x:f>'PROJECT TA Y TB KARINA'!$H49/8</x:f>
        <x:v>#REF!</x:v>
      </x:c>
      <x:c r="AN53" s="128" t="e">
        <x:f>'PROJECT TA Y TB KARINA'!$H49/8</x:f>
        <x:v>#REF!</x:v>
      </x:c>
      <x:c r="AO53" s="128" t="e">
        <x:f>'PROJECT TA Y TB KARINA'!$I49/8</x:f>
        <x:v>#REF!</x:v>
      </x:c>
      <x:c r="AP53" s="128" t="e">
        <x:f>'PROJECT TA Y TB KARINA'!$I49/8</x:f>
        <x:v>#REF!</x:v>
      </x:c>
      <x:c r="AQ53" s="128" t="e">
        <x:f>'PROJECT TA Y TB KARINA'!$I49/8</x:f>
        <x:v>#REF!</x:v>
      </x:c>
      <x:c r="AR53" s="128" t="e">
        <x:f>'PROJECT TA Y TB KARINA'!$I49/8</x:f>
        <x:v>#REF!</x:v>
      </x:c>
      <x:c r="AS53" s="128" t="e">
        <x:f>'PROJECT TA Y TB KARINA'!$I49/8</x:f>
        <x:v>#REF!</x:v>
      </x:c>
      <x:c r="AT53" s="128" t="e">
        <x:f>'PROJECT TA Y TB KARINA'!$I49/8</x:f>
        <x:v>#REF!</x:v>
      </x:c>
      <x:c r="AU53" s="128" t="e">
        <x:f>'PROJECT TA Y TB KARINA'!$I49/8</x:f>
        <x:v>#REF!</x:v>
      </x:c>
      <x:c r="AV53" s="128" t="e">
        <x:f>'PROJECT TA Y TB KARINA'!$I49/8</x:f>
        <x:v>#REF!</x:v>
      </x:c>
      <x:c r="AW53" s="128" t="e">
        <x:f>'PROJECT TA Y TB KARINA'!$J49/8</x:f>
        <x:v>#REF!</x:v>
      </x:c>
      <x:c r="AX53" s="128" t="e">
        <x:f>'PROJECT TA Y TB KARINA'!$J49/8</x:f>
        <x:v>#REF!</x:v>
      </x:c>
      <x:c r="AY53" s="128" t="e">
        <x:f>'PROJECT TA Y TB KARINA'!$J49/8</x:f>
        <x:v>#REF!</x:v>
      </x:c>
      <x:c r="AZ53" s="128" t="e">
        <x:f>'PROJECT TA Y TB KARINA'!$J49/8</x:f>
        <x:v>#REF!</x:v>
      </x:c>
      <x:c r="BA53" s="128" t="e">
        <x:f>'PROJECT TA Y TB KARINA'!$J49/8</x:f>
        <x:v>#REF!</x:v>
      </x:c>
      <x:c r="BB53" s="128" t="e">
        <x:f>'PROJECT TA Y TB KARINA'!$J49/8</x:f>
        <x:v>#REF!</x:v>
      </x:c>
      <x:c r="BC53" s="128" t="e">
        <x:f>'PROJECT TA Y TB KARINA'!$J49/8</x:f>
        <x:v>#REF!</x:v>
      </x:c>
      <x:c r="BD53" s="128" t="e">
        <x:f>'PROJECT TA Y TB KARINA'!$J49/8</x:f>
        <x:v>#REF!</x:v>
      </x:c>
      <x:c r="BE53" s="128" t="e">
        <x:f>'PROJECT TA Y TB KARINA'!$K49/8</x:f>
        <x:v>#REF!</x:v>
      </x:c>
      <x:c r="BF53" s="128" t="e">
        <x:f>'PROJECT TA Y TB KARINA'!$K49/8</x:f>
        <x:v>#REF!</x:v>
      </x:c>
      <x:c r="BG53" s="128" t="e">
        <x:f>'PROJECT TA Y TB KARINA'!$K49/8</x:f>
        <x:v>#REF!</x:v>
      </x:c>
      <x:c r="BH53" s="128" t="e">
        <x:f>'PROJECT TA Y TB KARINA'!$K49/8</x:f>
        <x:v>#REF!</x:v>
      </x:c>
      <x:c r="BI53" s="128" t="e">
        <x:f>'PROJECT TA Y TB KARINA'!$K49/8</x:f>
        <x:v>#REF!</x:v>
      </x:c>
      <x:c r="BJ53" s="128" t="e">
        <x:f>'PROJECT TA Y TB KARINA'!$K49/8</x:f>
        <x:v>#REF!</x:v>
      </x:c>
      <x:c r="BK53" s="128" t="e">
        <x:f>'PROJECT TA Y TB KARINA'!$K49/8</x:f>
        <x:v>#REF!</x:v>
      </x:c>
      <x:c r="BL53" s="128" t="e">
        <x:f>'PROJECT TA Y TB KARINA'!$K49/8</x:f>
        <x:v>#REF!</x:v>
      </x:c>
      <x:c r="BM53" s="128" t="e">
        <x:f>'PROJECT TA Y TB KARINA'!$L49/8</x:f>
        <x:v>#REF!</x:v>
      </x:c>
      <x:c r="BN53" s="128" t="e">
        <x:f>'PROJECT TA Y TB KARINA'!$L49/8</x:f>
        <x:v>#REF!</x:v>
      </x:c>
      <x:c r="BO53" s="128" t="e">
        <x:f>'PROJECT TA Y TB KARINA'!$L49/8</x:f>
        <x:v>#REF!</x:v>
      </x:c>
      <x:c r="BP53" s="128" t="e">
        <x:f>'PROJECT TA Y TB KARINA'!$L49/8</x:f>
        <x:v>#REF!</x:v>
      </x:c>
      <x:c r="BQ53" s="128" t="e">
        <x:f>'PROJECT TA Y TB KARINA'!$L49/8</x:f>
        <x:v>#REF!</x:v>
      </x:c>
      <x:c r="BR53" s="128" t="e">
        <x:f>'PROJECT TA Y TB KARINA'!$L49/8</x:f>
        <x:v>#REF!</x:v>
      </x:c>
      <x:c r="BS53" s="128" t="e">
        <x:f>'PROJECT TA Y TB KARINA'!$L49/8</x:f>
        <x:v>#REF!</x:v>
      </x:c>
      <x:c r="BT53" s="128" t="e">
        <x:f>'PROJECT TA Y TB KARINA'!$L49/8</x:f>
        <x:v>#REF!</x:v>
      </x:c>
      <x:c r="BU53" s="128" t="e">
        <x:f>'PROJECT TA Y TB KARINA'!$M49/8</x:f>
        <x:v>#REF!</x:v>
      </x:c>
      <x:c r="BV53" s="128" t="e">
        <x:f>'PROJECT TA Y TB KARINA'!$M49/8</x:f>
        <x:v>#REF!</x:v>
      </x:c>
      <x:c r="BW53" s="128" t="e">
        <x:f>'PROJECT TA Y TB KARINA'!$M49/8</x:f>
        <x:v>#REF!</x:v>
      </x:c>
      <x:c r="BX53" s="128" t="e">
        <x:f>'PROJECT TA Y TB KARINA'!$M49/8</x:f>
        <x:v>#REF!</x:v>
      </x:c>
      <x:c r="BY53" s="128" t="e">
        <x:f>'PROJECT TA Y TB KARINA'!$M49/8</x:f>
        <x:v>#REF!</x:v>
      </x:c>
      <x:c r="BZ53" s="128" t="e">
        <x:f>'PROJECT TA Y TB KARINA'!$M49/8</x:f>
        <x:v>#REF!</x:v>
      </x:c>
      <x:c r="CA53" s="128" t="e">
        <x:f>'PROJECT TA Y TB KARINA'!$M49/8</x:f>
        <x:v>#REF!</x:v>
      </x:c>
      <x:c r="CB53" s="128" t="e">
        <x:f>'PROJECT TA Y TB KARINA'!$M49/8</x:f>
        <x:v>#REF!</x:v>
      </x:c>
      <x:c r="CC53" s="128" t="e">
        <x:f>'PROJECT TA Y TB KARINA'!$N49/8</x:f>
        <x:v>#REF!</x:v>
      </x:c>
      <x:c r="CD53" s="128" t="e">
        <x:f>'PROJECT TA Y TB KARINA'!$N49/8</x:f>
        <x:v>#REF!</x:v>
      </x:c>
      <x:c r="CE53" s="128" t="e">
        <x:f>'PROJECT TA Y TB KARINA'!$N49/8</x:f>
        <x:v>#REF!</x:v>
      </x:c>
      <x:c r="CF53" s="128" t="e">
        <x:f>'PROJECT TA Y TB KARINA'!$N49/8</x:f>
        <x:v>#REF!</x:v>
      </x:c>
      <x:c r="CG53" s="128" t="e">
        <x:f>'PROJECT TA Y TB KARINA'!$N49/8</x:f>
        <x:v>#REF!</x:v>
      </x:c>
      <x:c r="CH53" s="128" t="e">
        <x:f>'PROJECT TA Y TB KARINA'!$N49/8</x:f>
        <x:v>#REF!</x:v>
      </x:c>
      <x:c r="CI53" s="128" t="e">
        <x:f>'PROJECT TA Y TB KARINA'!$N49/8</x:f>
        <x:v>#REF!</x:v>
      </x:c>
      <x:c r="CJ53" s="128" t="e">
        <x:f>'PROJECT TA Y TB KARINA'!$N49/8</x:f>
        <x:v>#REF!</x:v>
      </x:c>
      <x:c r="CK53" s="128" t="e">
        <x:f>'PROJECT TA Y TB KARINA'!$O49/8</x:f>
        <x:v>#REF!</x:v>
      </x:c>
      <x:c r="CL53" s="128" t="e">
        <x:f>'PROJECT TA Y TB KARINA'!$O49/8</x:f>
        <x:v>#REF!</x:v>
      </x:c>
      <x:c r="CM53" s="128" t="e">
        <x:f>'PROJECT TA Y TB KARINA'!$O49/8</x:f>
        <x:v>#REF!</x:v>
      </x:c>
      <x:c r="CN53" s="128" t="e">
        <x:f>'PROJECT TA Y TB KARINA'!$O49/8</x:f>
        <x:v>#REF!</x:v>
      </x:c>
      <x:c r="CO53" s="128" t="e">
        <x:f>'PROJECT TA Y TB KARINA'!$O49/8</x:f>
        <x:v>#REF!</x:v>
      </x:c>
      <x:c r="CP53" s="128" t="e">
        <x:f>'PROJECT TA Y TB KARINA'!$O49/8</x:f>
        <x:v>#REF!</x:v>
      </x:c>
      <x:c r="CQ53" s="128" t="e">
        <x:f>'PROJECT TA Y TB KARINA'!$O49/8</x:f>
        <x:v>#REF!</x:v>
      </x:c>
      <x:c r="CR53" s="128" t="e">
        <x:f>'PROJECT TA Y TB KARINA'!$O49/8</x:f>
        <x:v>#REF!</x:v>
      </x:c>
      <x:c r="CS53" s="128" t="e">
        <x:f>'PROJECT TA Y TB KARINA'!$P49/8</x:f>
        <x:v>#REF!</x:v>
      </x:c>
      <x:c r="CT53" s="128" t="e">
        <x:f>'PROJECT TA Y TB KARINA'!$P49/8</x:f>
        <x:v>#REF!</x:v>
      </x:c>
      <x:c r="CU53" s="128" t="e">
        <x:f>'PROJECT TA Y TB KARINA'!$P49/8</x:f>
        <x:v>#REF!</x:v>
      </x:c>
      <x:c r="CV53" s="128" t="e">
        <x:f>'PROJECT TA Y TB KARINA'!$P49/8</x:f>
        <x:v>#REF!</x:v>
      </x:c>
      <x:c r="CW53" s="128" t="e">
        <x:f>'PROJECT TA Y TB KARINA'!$P49/8</x:f>
        <x:v>#REF!</x:v>
      </x:c>
      <x:c r="CX53" s="128" t="e">
        <x:f>'PROJECT TA Y TB KARINA'!$P49/8</x:f>
        <x:v>#REF!</x:v>
      </x:c>
      <x:c r="CY53" s="128" t="e">
        <x:f>'PROJECT TA Y TB KARINA'!$P49/8</x:f>
        <x:v>#REF!</x:v>
      </x:c>
      <x:c r="CZ53" s="128" t="e">
        <x:f>'PROJECT TA Y TB KARINA'!$P49/8</x:f>
        <x:v>#REF!</x:v>
      </x:c>
      <x:c r="DA53" s="128" t="e">
        <x:f>'PROJECT TA Y TB KARINA'!$Q49/8</x:f>
        <x:v>#REF!</x:v>
      </x:c>
      <x:c r="DB53" s="128" t="e">
        <x:f>'PROJECT TA Y TB KARINA'!$Q49/8</x:f>
        <x:v>#REF!</x:v>
      </x:c>
      <x:c r="DC53" s="128" t="e">
        <x:f>'PROJECT TA Y TB KARINA'!$Q49/8</x:f>
        <x:v>#REF!</x:v>
      </x:c>
      <x:c r="DD53" s="128" t="e">
        <x:f>'PROJECT TA Y TB KARINA'!$Q49/8</x:f>
        <x:v>#REF!</x:v>
      </x:c>
      <x:c r="DE53" s="128" t="e">
        <x:f>'PROJECT TA Y TB KARINA'!$Q49/8</x:f>
        <x:v>#REF!</x:v>
      </x:c>
      <x:c r="DF53" s="128" t="e">
        <x:f>'PROJECT TA Y TB KARINA'!$Q49/8</x:f>
        <x:v>#REF!</x:v>
      </x:c>
      <x:c r="DG53" s="128" t="e">
        <x:f>'PROJECT TA Y TB KARINA'!$Q49/8</x:f>
        <x:v>#REF!</x:v>
      </x:c>
      <x:c r="DH53" s="128" t="e">
        <x:f>'PROJECT TA Y TB KARINA'!$Q49/8</x:f>
        <x:v>#REF!</x:v>
      </x:c>
      <x:c r="DI53" s="128" t="e">
        <x:f>'PROJECT TA Y TB KARINA'!$R49/8</x:f>
        <x:v>#REF!</x:v>
      </x:c>
      <x:c r="DJ53" s="128" t="e">
        <x:f>'PROJECT TA Y TB KARINA'!$R49/8</x:f>
        <x:v>#REF!</x:v>
      </x:c>
      <x:c r="DK53" s="128" t="e">
        <x:f>'PROJECT TA Y TB KARINA'!$R49/8</x:f>
        <x:v>#REF!</x:v>
      </x:c>
      <x:c r="DL53" s="128" t="e">
        <x:f>'PROJECT TA Y TB KARINA'!$R49/8</x:f>
        <x:v>#REF!</x:v>
      </x:c>
      <x:c r="DM53" s="128" t="e">
        <x:f>'PROJECT TA Y TB KARINA'!$R49/8</x:f>
        <x:v>#REF!</x:v>
      </x:c>
      <x:c r="DN53" s="128" t="e">
        <x:f>'PROJECT TA Y TB KARINA'!$R49/8</x:f>
        <x:v>#REF!</x:v>
      </x:c>
      <x:c r="DO53" s="128" t="e">
        <x:f>'PROJECT TA Y TB KARINA'!$R49/8</x:f>
        <x:v>#REF!</x:v>
      </x:c>
      <x:c r="DP53" s="128" t="e">
        <x:f>'PROJECT TA Y TB KARINA'!$R49/8</x:f>
        <x:v>#REF!</x:v>
      </x:c>
      <x:c r="DQ53" s="128" t="e">
        <x:f>'PROJECT TA Y TB KARINA'!$S49/8</x:f>
        <x:v>#REF!</x:v>
      </x:c>
      <x:c r="DR53" s="128" t="e">
        <x:f>'PROJECT TA Y TB KARINA'!$S49/8</x:f>
        <x:v>#REF!</x:v>
      </x:c>
      <x:c r="DS53" s="128" t="e">
        <x:f>'PROJECT TA Y TB KARINA'!$S49/8</x:f>
        <x:v>#REF!</x:v>
      </x:c>
      <x:c r="DT53" s="128" t="e">
        <x:f>'PROJECT TA Y TB KARINA'!$S49/8</x:f>
        <x:v>#REF!</x:v>
      </x:c>
      <x:c r="DU53" s="128" t="e">
        <x:f>'PROJECT TA Y TB KARINA'!$S49/8</x:f>
        <x:v>#REF!</x:v>
      </x:c>
      <x:c r="DV53" s="128" t="e">
        <x:f>'PROJECT TA Y TB KARINA'!$S49/8</x:f>
        <x:v>#REF!</x:v>
      </x:c>
      <x:c r="DW53" s="128" t="e">
        <x:f>'PROJECT TA Y TB KARINA'!$S49/8</x:f>
        <x:v>#REF!</x:v>
      </x:c>
      <x:c r="DX53" s="128" t="e">
        <x:f>'PROJECT TA Y TB KARINA'!$S49/8</x:f>
        <x:v>#REF!</x:v>
      </x:c>
      <x:c r="DY53" s="128" t="e">
        <x:f>'PROJECT TA Y TB KARINA'!$T49/8</x:f>
        <x:v>#REF!</x:v>
      </x:c>
      <x:c r="DZ53" s="128" t="e">
        <x:f>'PROJECT TA Y TB KARINA'!$T49/8</x:f>
        <x:v>#REF!</x:v>
      </x:c>
      <x:c r="EA53" s="128" t="e">
        <x:f>'PROJECT TA Y TB KARINA'!$T49/8</x:f>
        <x:v>#REF!</x:v>
      </x:c>
      <x:c r="EB53" s="128" t="e">
        <x:f>'PROJECT TA Y TB KARINA'!$T49/8</x:f>
        <x:v>#REF!</x:v>
      </x:c>
      <x:c r="EC53" s="128" t="e">
        <x:f>'PROJECT TA Y TB KARINA'!$T49/8</x:f>
        <x:v>#REF!</x:v>
      </x:c>
      <x:c r="ED53" s="128" t="e">
        <x:f>'PROJECT TA Y TB KARINA'!$T49/8</x:f>
        <x:v>#REF!</x:v>
      </x:c>
      <x:c r="EE53" s="128" t="e">
        <x:f>'PROJECT TA Y TB KARINA'!$T49/8</x:f>
        <x:v>#REF!</x:v>
      </x:c>
      <x:c r="EF53" s="128" t="e">
        <x:f>'PROJECT TA Y TB KARINA'!$T49/8</x:f>
        <x:v>#REF!</x:v>
      </x:c>
      <x:c r="EG53" s="128" t="e">
        <x:f>'PROJECT TA Y TB KARINA'!#REF!/8</x:f>
        <x:v>#NAME?</x:v>
      </x:c>
      <x:c r="EH53" s="128" t="e">
        <x:f>'PROJECT TA Y TB KARINA'!#REF!/8</x:f>
        <x:v>#NAME?</x:v>
      </x:c>
      <x:c r="EI53" s="128" t="e">
        <x:f>'PROJECT TA Y TB KARINA'!#REF!/8</x:f>
        <x:v>#NAME?</x:v>
      </x:c>
      <x:c r="EJ53" s="128" t="e">
        <x:f>'PROJECT TA Y TB KARINA'!#REF!/8</x:f>
        <x:v>#NAME?</x:v>
      </x:c>
      <x:c r="EK53" s="128" t="e">
        <x:f>'PROJECT TA Y TB KARINA'!#REF!/8</x:f>
        <x:v>#NAME?</x:v>
      </x:c>
      <x:c r="EL53" s="128" t="e">
        <x:f>'PROJECT TA Y TB KARINA'!#REF!/8</x:f>
        <x:v>#NAME?</x:v>
      </x:c>
      <x:c r="EM53" s="128" t="e">
        <x:f>'PROJECT TA Y TB KARINA'!#REF!/8</x:f>
        <x:v>#NAME?</x:v>
      </x:c>
      <x:c r="EN53" s="128" t="e">
        <x:f>'PROJECT TA Y TB KARINA'!#REF!/8</x:f>
        <x:v>#NAME?</x:v>
      </x:c>
      <x:c r="EO53" s="128" t="n">
        <x:f>'PROJECT TA Y TB KARINA'!$C107/8</x:f>
        <x:v>0</x:v>
      </x:c>
      <x:c r="EP53" s="128" t="n">
        <x:f>'PROJECT TA Y TB KARINA'!$C107/8</x:f>
        <x:v>0</x:v>
      </x:c>
      <x:c r="EQ53" s="128" t="n">
        <x:f>'PROJECT TA Y TB KARINA'!$C107/8</x:f>
        <x:v>0</x:v>
      </x:c>
      <x:c r="ER53" s="128" t="n">
        <x:f>'PROJECT TA Y TB KARINA'!$C107/8</x:f>
        <x:v>0</x:v>
      </x:c>
      <x:c r="ES53" s="128" t="n">
        <x:f>'PROJECT TA Y TB KARINA'!$C107/8</x:f>
        <x:v>0</x:v>
      </x:c>
      <x:c r="ET53" s="128" t="n">
        <x:f>'PROJECT TA Y TB KARINA'!$C107/8</x:f>
        <x:v>0</x:v>
      </x:c>
      <x:c r="EU53" s="128" t="n">
        <x:f>'PROJECT TA Y TB KARINA'!$C107/8</x:f>
        <x:v>0</x:v>
      </x:c>
      <x:c r="EV53" s="128" t="n">
        <x:f>'PROJECT TA Y TB KARINA'!$E107/8</x:f>
        <x:v>0</x:v>
      </x:c>
      <x:c r="EW53" s="128" t="n">
        <x:f>'PROJECT TA Y TB KARINA'!$E107/8</x:f>
        <x:v>0</x:v>
      </x:c>
      <x:c r="EX53" s="128" t="n">
        <x:f>'PROJECT TA Y TB KARINA'!$E107/8</x:f>
        <x:v>0</x:v>
      </x:c>
      <x:c r="EY53" s="128" t="n">
        <x:f>'PROJECT TA Y TB KARINA'!$E107/8</x:f>
        <x:v>0</x:v>
      </x:c>
      <x:c r="EZ53" s="128" t="n">
        <x:f>'PROJECT TA Y TB KARINA'!$E107/8</x:f>
        <x:v>0</x:v>
      </x:c>
      <x:c r="FA53" s="128" t="n">
        <x:f>'PROJECT TA Y TB KARINA'!$E107/8</x:f>
        <x:v>0</x:v>
      </x:c>
      <x:c r="FB53" s="128" t="n">
        <x:f>'PROJECT TA Y TB KARINA'!$E107/8</x:f>
        <x:v>0</x:v>
      </x:c>
      <x:c r="FC53" s="128" t="n">
        <x:f>'PROJECT TA Y TB KARINA'!$E107/8</x:f>
        <x:v>0</x:v>
      </x:c>
      <x:c r="FD53" s="128" t="n">
        <x:f>'PROJECT TA Y TB KARINA'!$F107/8</x:f>
        <x:v>0</x:v>
      </x:c>
      <x:c r="FE53" s="128" t="n">
        <x:f>'PROJECT TA Y TB KARINA'!$F107/8</x:f>
        <x:v>0</x:v>
      </x:c>
      <x:c r="FF53" s="128" t="n">
        <x:f>'PROJECT TA Y TB KARINA'!$F107/8</x:f>
        <x:v>0</x:v>
      </x:c>
      <x:c r="FG53" s="128" t="n">
        <x:f>'PROJECT TA Y TB KARINA'!$F107/8</x:f>
        <x:v>0</x:v>
      </x:c>
      <x:c r="FH53" s="128" t="n">
        <x:f>'PROJECT TA Y TB KARINA'!$F107/8</x:f>
        <x:v>0</x:v>
      </x:c>
      <x:c r="FI53" s="128" t="n">
        <x:f>'PROJECT TA Y TB KARINA'!$F107/8</x:f>
        <x:v>0</x:v>
      </x:c>
      <x:c r="FJ53" s="128" t="n">
        <x:f>'PROJECT TA Y TB KARINA'!$F107/8</x:f>
        <x:v>0</x:v>
      </x:c>
      <x:c r="FK53" s="128" t="n">
        <x:f>'PROJECT TA Y TB KARINA'!$F107/8</x:f>
        <x:v>0</x:v>
      </x:c>
      <x:c r="FL53" s="128" t="n">
        <x:f>'PROJECT TA Y TB KARINA'!$G107/8</x:f>
        <x:v>0</x:v>
      </x:c>
      <x:c r="FM53" s="128" t="n">
        <x:f>'PROJECT TA Y TB KARINA'!$G107/8</x:f>
        <x:v>0</x:v>
      </x:c>
      <x:c r="FN53" s="128" t="n">
        <x:f>'PROJECT TA Y TB KARINA'!$G107/8</x:f>
        <x:v>0</x:v>
      </x:c>
      <x:c r="FO53" s="128" t="n">
        <x:f>'PROJECT TA Y TB KARINA'!$G107/8</x:f>
        <x:v>0</x:v>
      </x:c>
      <x:c r="FP53" s="128" t="n">
        <x:f>'PROJECT TA Y TB KARINA'!$G107/8</x:f>
        <x:v>0</x:v>
      </x:c>
      <x:c r="FQ53" s="128" t="n">
        <x:f>'PROJECT TA Y TB KARINA'!$G107/8</x:f>
        <x:v>0</x:v>
      </x:c>
      <x:c r="FR53" s="128" t="n">
        <x:f>'PROJECT TA Y TB KARINA'!$G107/8</x:f>
        <x:v>0</x:v>
      </x:c>
      <x:c r="FS53" s="128" t="n">
        <x:f>'PROJECT TA Y TB KARINA'!$G107/8</x:f>
        <x:v>0</x:v>
      </x:c>
      <x:c r="FT53" s="128" t="n">
        <x:f>'PROJECT TA Y TB KARINA'!$H107/8</x:f>
        <x:v>0</x:v>
      </x:c>
      <x:c r="FU53" s="128" t="n">
        <x:f>'PROJECT TA Y TB KARINA'!$H107/8</x:f>
        <x:v>0</x:v>
      </x:c>
      <x:c r="FV53" s="128" t="n">
        <x:f>'PROJECT TA Y TB KARINA'!$H107/8</x:f>
        <x:v>0</x:v>
      </x:c>
      <x:c r="FW53" s="128" t="n">
        <x:f>'PROJECT TA Y TB KARINA'!$H107/8</x:f>
        <x:v>0</x:v>
      </x:c>
      <x:c r="FX53" s="128" t="n">
        <x:f>'PROJECT TA Y TB KARINA'!$H107/8</x:f>
        <x:v>0</x:v>
      </x:c>
      <x:c r="FY53" s="128" t="n">
        <x:f>'PROJECT TA Y TB KARINA'!$H107/8</x:f>
        <x:v>0</x:v>
      </x:c>
      <x:c r="FZ53" s="128" t="n">
        <x:f>'PROJECT TA Y TB KARINA'!$H107/8</x:f>
        <x:v>0</x:v>
      </x:c>
      <x:c r="GA53" s="128" t="n">
        <x:f>'PROJECT TA Y TB KARINA'!$H107/8</x:f>
        <x:v>0</x:v>
      </x:c>
      <x:c r="GB53" s="128" t="n">
        <x:f>'PROJECT TA Y TB KARINA'!$I107/8</x:f>
        <x:v>0</x:v>
      </x:c>
      <x:c r="GC53" s="128" t="n">
        <x:f>'PROJECT TA Y TB KARINA'!$I107/8</x:f>
        <x:v>0</x:v>
      </x:c>
      <x:c r="GD53" s="128" t="n">
        <x:f>'PROJECT TA Y TB KARINA'!$I107/8</x:f>
        <x:v>0</x:v>
      </x:c>
      <x:c r="GE53" s="128" t="n">
        <x:f>'PROJECT TA Y TB KARINA'!$I107/8</x:f>
        <x:v>0</x:v>
      </x:c>
      <x:c r="GF53" s="128" t="n">
        <x:f>'PROJECT TA Y TB KARINA'!$I107/8</x:f>
        <x:v>0</x:v>
      </x:c>
      <x:c r="GG53" s="128" t="n">
        <x:f>'PROJECT TA Y TB KARINA'!$I107/8</x:f>
        <x:v>0</x:v>
      </x:c>
      <x:c r="GH53" s="128" t="n">
        <x:f>'PROJECT TA Y TB KARINA'!$I107/8</x:f>
        <x:v>0</x:v>
      </x:c>
      <x:c r="GI53" s="128" t="n">
        <x:f>'PROJECT TA Y TB KARINA'!$I107/8</x:f>
        <x:v>0</x:v>
      </x:c>
      <x:c r="GJ53" s="128" t="n">
        <x:f>'PROJECT TA Y TB KARINA'!$J107/8</x:f>
        <x:v>0</x:v>
      </x:c>
      <x:c r="GK53" s="128" t="n">
        <x:f>'PROJECT TA Y TB KARINA'!$J107/8</x:f>
        <x:v>0</x:v>
      </x:c>
      <x:c r="GL53" s="128" t="n">
        <x:f>'PROJECT TA Y TB KARINA'!$J107/8</x:f>
        <x:v>0</x:v>
      </x:c>
      <x:c r="GM53" s="128" t="n">
        <x:f>'PROJECT TA Y TB KARINA'!$J107/8</x:f>
        <x:v>0</x:v>
      </x:c>
      <x:c r="GN53" s="128" t="n">
        <x:f>'PROJECT TA Y TB KARINA'!$J107/8</x:f>
        <x:v>0</x:v>
      </x:c>
      <x:c r="GO53" s="128" t="n">
        <x:f>'PROJECT TA Y TB KARINA'!$J107/8</x:f>
        <x:v>0</x:v>
      </x:c>
      <x:c r="GP53" s="128" t="n">
        <x:f>'PROJECT TA Y TB KARINA'!$J107/8</x:f>
        <x:v>0</x:v>
      </x:c>
      <x:c r="GQ53" s="128" t="n">
        <x:f>'PROJECT TA Y TB KARINA'!$J107/8</x:f>
        <x:v>0</x:v>
      </x:c>
      <x:c r="GR53" s="128" t="n">
        <x:f>'PROJECT TA Y TB KARINA'!$K107/8</x:f>
        <x:v>0</x:v>
      </x:c>
      <x:c r="GS53" s="128" t="n">
        <x:f>'PROJECT TA Y TB KARINA'!$K107/8</x:f>
        <x:v>0</x:v>
      </x:c>
      <x:c r="GT53" s="128" t="n">
        <x:f>'PROJECT TA Y TB KARINA'!$K107/8</x:f>
        <x:v>0</x:v>
      </x:c>
      <x:c r="GU53" s="128" t="n">
        <x:f>'PROJECT TA Y TB KARINA'!$K107/8</x:f>
        <x:v>0</x:v>
      </x:c>
      <x:c r="GV53" s="128" t="n">
        <x:f>'PROJECT TA Y TB KARINA'!$K107/8</x:f>
        <x:v>0</x:v>
      </x:c>
      <x:c r="GW53" s="128" t="n">
        <x:f>'PROJECT TA Y TB KARINA'!$K107/8</x:f>
        <x:v>0</x:v>
      </x:c>
      <x:c r="GX53" s="128" t="n">
        <x:f>'PROJECT TA Y TB KARINA'!$K107/8</x:f>
        <x:v>0</x:v>
      </x:c>
      <x:c r="GY53" s="128" t="n">
        <x:f>'PROJECT TA Y TB KARINA'!$K107/8</x:f>
        <x:v>0</x:v>
      </x:c>
      <x:c r="GZ53" s="128" t="n">
        <x:f>'PROJECT TA Y TB KARINA'!$L107/8</x:f>
        <x:v>0</x:v>
      </x:c>
      <x:c r="HA53" s="128" t="n">
        <x:f>'PROJECT TA Y TB KARINA'!$L107/8</x:f>
        <x:v>0</x:v>
      </x:c>
      <x:c r="HB53" s="128" t="n">
        <x:f>'PROJECT TA Y TB KARINA'!$L107/8</x:f>
        <x:v>0</x:v>
      </x:c>
      <x:c r="HC53" s="128" t="n">
        <x:f>'PROJECT TA Y TB KARINA'!$L107/8</x:f>
        <x:v>0</x:v>
      </x:c>
      <x:c r="HD53" s="128" t="n">
        <x:f>'PROJECT TA Y TB KARINA'!$L107/8</x:f>
        <x:v>0</x:v>
      </x:c>
      <x:c r="HE53" s="128" t="n">
        <x:f>'PROJECT TA Y TB KARINA'!$L107/8</x:f>
        <x:v>0</x:v>
      </x:c>
      <x:c r="HF53" s="128" t="n">
        <x:f>'PROJECT TA Y TB KARINA'!$L107/8</x:f>
        <x:v>0</x:v>
      </x:c>
      <x:c r="HG53" s="128" t="n">
        <x:f>'PROJECT TA Y TB KARINA'!$L107/8</x:f>
        <x:v>0</x:v>
      </x:c>
      <x:c r="HH53" s="128" t="n">
        <x:f>'PROJECT TA Y TB KARINA'!$M107/8</x:f>
        <x:v>0</x:v>
      </x:c>
      <x:c r="HI53" s="128" t="n">
        <x:f>'PROJECT TA Y TB KARINA'!$M107/8</x:f>
        <x:v>0</x:v>
      </x:c>
      <x:c r="HJ53" s="128" t="n">
        <x:f>'PROJECT TA Y TB KARINA'!$M107/8</x:f>
        <x:v>0</x:v>
      </x:c>
      <x:c r="HK53" s="128" t="n">
        <x:f>'PROJECT TA Y TB KARINA'!$M107/8</x:f>
        <x:v>0</x:v>
      </x:c>
      <x:c r="HL53" s="128" t="n">
        <x:f>'PROJECT TA Y TB KARINA'!$M107/8</x:f>
        <x:v>0</x:v>
      </x:c>
      <x:c r="HM53" s="128" t="n">
        <x:f>'PROJECT TA Y TB KARINA'!$M107/8</x:f>
        <x:v>0</x:v>
      </x:c>
      <x:c r="HN53" s="128" t="n">
        <x:f>'PROJECT TA Y TB KARINA'!$M107/8</x:f>
        <x:v>0</x:v>
      </x:c>
      <x:c r="HO53" s="128" t="n">
        <x:f>'PROJECT TA Y TB KARINA'!$M107/8</x:f>
        <x:v>0</x:v>
      </x:c>
      <x:c r="HP53" s="128" t="n">
        <x:f>'PROJECT TA Y TB KARINA'!$N107/8</x:f>
        <x:v>0</x:v>
      </x:c>
      <x:c r="HQ53" s="128" t="n">
        <x:f>'PROJECT TA Y TB KARINA'!$N107/8</x:f>
        <x:v>0</x:v>
      </x:c>
      <x:c r="HR53" s="128" t="n">
        <x:f>'PROJECT TA Y TB KARINA'!$N107/8</x:f>
        <x:v>0</x:v>
      </x:c>
      <x:c r="HS53" s="128" t="n">
        <x:f>'PROJECT TA Y TB KARINA'!$N107/8</x:f>
        <x:v>0</x:v>
      </x:c>
      <x:c r="HT53" s="128" t="n">
        <x:f>'PROJECT TA Y TB KARINA'!$N107/8</x:f>
        <x:v>0</x:v>
      </x:c>
      <x:c r="HU53" s="128" t="n">
        <x:f>'PROJECT TA Y TB KARINA'!$N107/8</x:f>
        <x:v>0</x:v>
      </x:c>
      <x:c r="HV53" s="128" t="n">
        <x:f>'PROJECT TA Y TB KARINA'!$N107/8</x:f>
        <x:v>0</x:v>
      </x:c>
      <x:c r="HW53" s="128" t="n">
        <x:f>'PROJECT TA Y TB KARINA'!$N107/8</x:f>
        <x:v>0</x:v>
      </x:c>
      <x:c r="HX53" s="128" t="n">
        <x:f>'PROJECT TA Y TB KARINA'!$O107/8</x:f>
        <x:v>0</x:v>
      </x:c>
      <x:c r="HY53" s="128" t="n">
        <x:f>'PROJECT TA Y TB KARINA'!$O107/8</x:f>
        <x:v>0</x:v>
      </x:c>
      <x:c r="HZ53" s="128" t="n">
        <x:f>'PROJECT TA Y TB KARINA'!$O107/8</x:f>
        <x:v>0</x:v>
      </x:c>
      <x:c r="IA53" s="128" t="n">
        <x:f>'PROJECT TA Y TB KARINA'!$O107/8</x:f>
        <x:v>0</x:v>
      </x:c>
      <x:c r="IB53" s="128" t="n">
        <x:f>'PROJECT TA Y TB KARINA'!$O107/8</x:f>
        <x:v>0</x:v>
      </x:c>
      <x:c r="IC53" s="128" t="n">
        <x:f>'PROJECT TA Y TB KARINA'!$O107/8</x:f>
        <x:v>0</x:v>
      </x:c>
      <x:c r="ID53" s="128" t="n">
        <x:f>'PROJECT TA Y TB KARINA'!$O107/8</x:f>
        <x:v>0</x:v>
      </x:c>
      <x:c r="IE53" s="128" t="n">
        <x:f>'PROJECT TA Y TB KARINA'!$O107/8</x:f>
        <x:v>0</x:v>
      </x:c>
      <x:c r="IF53" s="128" t="n">
        <x:f>'PROJECT TA Y TB KARINA'!$P107/8</x:f>
        <x:v>0</x:v>
      </x:c>
      <x:c r="IG53" s="128" t="n">
        <x:f>'PROJECT TA Y TB KARINA'!$P107/8</x:f>
        <x:v>0</x:v>
      </x:c>
      <x:c r="IH53" s="128" t="n">
        <x:f>'PROJECT TA Y TB KARINA'!$P107/8</x:f>
        <x:v>0</x:v>
      </x:c>
      <x:c r="II53" s="128" t="n">
        <x:f>'PROJECT TA Y TB KARINA'!$P107/8</x:f>
        <x:v>0</x:v>
      </x:c>
      <x:c r="IJ53" s="128" t="n">
        <x:f>'PROJECT TA Y TB KARINA'!$P107/8</x:f>
        <x:v>0</x:v>
      </x:c>
      <x:c r="IK53" s="128" t="n">
        <x:f>'PROJECT TA Y TB KARINA'!$P107/8</x:f>
        <x:v>0</x:v>
      </x:c>
      <x:c r="IL53" s="128" t="n">
        <x:f>'PROJECT TA Y TB KARINA'!$P107/8</x:f>
        <x:v>0</x:v>
      </x:c>
      <x:c r="IM53" s="128" t="n">
        <x:f>'PROJECT TA Y TB KARINA'!$P107/8</x:f>
        <x:v>0</x:v>
      </x:c>
      <x:c r="IN53" s="128" t="n">
        <x:f>'PROJECT TA Y TB KARINA'!$Q107/8</x:f>
        <x:v>0</x:v>
      </x:c>
      <x:c r="IO53" s="128" t="n">
        <x:f>'PROJECT TA Y TB KARINA'!$Q107/8</x:f>
        <x:v>0</x:v>
      </x:c>
      <x:c r="IP53" s="128" t="n">
        <x:f>'PROJECT TA Y TB KARINA'!$Q107/8</x:f>
        <x:v>0</x:v>
      </x:c>
      <x:c r="IQ53" s="128" t="n">
        <x:f>'PROJECT TA Y TB KARINA'!$Q107/8</x:f>
        <x:v>0</x:v>
      </x:c>
      <x:c r="IR53" s="128" t="n">
        <x:f>'PROJECT TA Y TB KARINA'!$Q107/8</x:f>
        <x:v>0</x:v>
      </x:c>
      <x:c r="IS53" s="128" t="n">
        <x:f>'PROJECT TA Y TB KARINA'!$Q107/8</x:f>
        <x:v>0</x:v>
      </x:c>
      <x:c r="IT53" s="128" t="n">
        <x:f>'PROJECT TA Y TB KARINA'!$Q107/8</x:f>
        <x:v>0</x:v>
      </x:c>
      <x:c r="IU53" s="128" t="n">
        <x:f>'PROJECT TA Y TB KARINA'!$Q107/8</x:f>
        <x:v>0</x:v>
      </x:c>
      <x:c r="IV53" s="128" t="n">
        <x:f>'PROJECT TA Y TB KARINA'!$R107/8</x:f>
        <x:v>0</x:v>
      </x:c>
      <x:c r="IW53" s="128" t="n">
        <x:f>'PROJECT TA Y TB KARINA'!$R107/8</x:f>
        <x:v>0</x:v>
      </x:c>
      <x:c r="IX53" s="128" t="n">
        <x:f>'PROJECT TA Y TB KARINA'!$R107/8</x:f>
        <x:v>0</x:v>
      </x:c>
      <x:c r="IY53" s="128" t="n">
        <x:f>'PROJECT TA Y TB KARINA'!$R107/8</x:f>
        <x:v>0</x:v>
      </x:c>
      <x:c r="IZ53" s="128" t="n">
        <x:f>'PROJECT TA Y TB KARINA'!$R107/8</x:f>
        <x:v>0</x:v>
      </x:c>
      <x:c r="JA53" s="128" t="n">
        <x:f>'PROJECT TA Y TB KARINA'!$R107/8</x:f>
        <x:v>0</x:v>
      </x:c>
      <x:c r="JB53" s="128" t="n">
        <x:f>'PROJECT TA Y TB KARINA'!$R107/8</x:f>
        <x:v>0</x:v>
      </x:c>
      <x:c r="JC53" s="128" t="n">
        <x:f>'PROJECT TA Y TB KARINA'!$R107/8</x:f>
        <x:v>0</x:v>
      </x:c>
      <x:c r="JD53" s="128" t="n">
        <x:f>'PROJECT TA Y TB KARINA'!$S107/8</x:f>
        <x:v>0</x:v>
      </x:c>
      <x:c r="JE53" s="128" t="n">
        <x:f>'PROJECT TA Y TB KARINA'!$S107/8</x:f>
        <x:v>0</x:v>
      </x:c>
      <x:c r="JF53" s="128" t="n">
        <x:f>'PROJECT TA Y TB KARINA'!$S107/8</x:f>
        <x:v>0</x:v>
      </x:c>
      <x:c r="JG53" s="128" t="n">
        <x:f>'PROJECT TA Y TB KARINA'!$S107/8</x:f>
        <x:v>0</x:v>
      </x:c>
      <x:c r="JH53" s="128" t="n">
        <x:f>'PROJECT TA Y TB KARINA'!$S107/8</x:f>
        <x:v>0</x:v>
      </x:c>
      <x:c r="JI53" s="128" t="n">
        <x:f>'PROJECT TA Y TB KARINA'!$S107/8</x:f>
        <x:v>0</x:v>
      </x:c>
      <x:c r="JJ53" s="128" t="n">
        <x:f>'PROJECT TA Y TB KARINA'!$S107/8</x:f>
        <x:v>0</x:v>
      </x:c>
      <x:c r="JK53" s="128" t="n">
        <x:f>'PROJECT TA Y TB KARINA'!$S107/8</x:f>
        <x:v>0</x:v>
      </x:c>
      <x:c r="JL53" s="128" t="n">
        <x:f>'PROJECT TA Y TB KARINA'!$T107/8</x:f>
        <x:v>0</x:v>
      </x:c>
      <x:c r="JM53" s="128" t="n">
        <x:f>'PROJECT TA Y TB KARINA'!$T107/8</x:f>
        <x:v>0</x:v>
      </x:c>
      <x:c r="JN53" s="128" t="n">
        <x:f>'PROJECT TA Y TB KARINA'!$T107/8</x:f>
        <x:v>0</x:v>
      </x:c>
      <x:c r="JO53" s="128" t="n">
        <x:f>'PROJECT TA Y TB KARINA'!$T107/8</x:f>
        <x:v>0</x:v>
      </x:c>
      <x:c r="JP53" s="128" t="n">
        <x:f>'PROJECT TA Y TB KARINA'!$T107/8</x:f>
        <x:v>0</x:v>
      </x:c>
      <x:c r="JQ53" s="128" t="n">
        <x:f>'PROJECT TA Y TB KARINA'!$T107/8</x:f>
        <x:v>0</x:v>
      </x:c>
      <x:c r="JR53" s="128" t="n">
        <x:f>'PROJECT TA Y TB KARINA'!$T107/8</x:f>
        <x:v>0</x:v>
      </x:c>
      <x:c r="JS53" s="128" t="n">
        <x:f>'PROJECT TA Y TB KARINA'!$T107/8</x:f>
        <x:v>0</x:v>
      </x:c>
      <x:c r="JT53" s="128" t="e">
        <x:f>'PROJECT TA Y TB KARINA'!#REF!/8</x:f>
        <x:v>#NAME?</x:v>
      </x:c>
      <x:c r="JU53" s="128" t="e">
        <x:f>'PROJECT TA Y TB KARINA'!#REF!/8</x:f>
        <x:v>#NAME?</x:v>
      </x:c>
      <x:c r="JV53" s="128" t="e">
        <x:f>'PROJECT TA Y TB KARINA'!#REF!/8</x:f>
        <x:v>#NAME?</x:v>
      </x:c>
      <x:c r="JW53" s="128" t="e">
        <x:f>'PROJECT TA Y TB KARINA'!#REF!/8</x:f>
        <x:v>#NAME?</x:v>
      </x:c>
      <x:c r="JX53" s="128" t="e">
        <x:f>'PROJECT TA Y TB KARINA'!#REF!/8</x:f>
        <x:v>#NAME?</x:v>
      </x:c>
      <x:c r="JY53" s="128" t="e">
        <x:f>'PROJECT TA Y TB KARINA'!#REF!/8</x:f>
        <x:v>#NAME?</x:v>
      </x:c>
      <x:c r="JZ53" s="128" t="e">
        <x:f>'PROJECT TA Y TB KARINA'!#REF!/8</x:f>
        <x:v>#NAME?</x:v>
      </x:c>
      <x:c r="KA53" s="128" t="e">
        <x:f>'PROJECT TA Y TB KARINA'!#REF!/8</x:f>
        <x:v>#NAME?</x:v>
      </x:c>
    </x:row>
    <x:row r="54" ht="21">
      <x:c r="A54" s="130" t="s">
        <x:v>539</x:v>
      </x:c>
      <x:c r="B54" s="128" t="e">
        <x:f>'PROJECT TA Y TB KARINA'!$C$50/8</x:f>
        <x:v>#REF!</x:v>
      </x:c>
      <x:c r="C54" s="128" t="e">
        <x:f>'PROJECT TA Y TB KARINA'!$C$50/8</x:f>
        <x:v>#REF!</x:v>
      </x:c>
      <x:c r="D54" s="128" t="e">
        <x:f>'PROJECT TA Y TB KARINA'!$C$50/8</x:f>
        <x:v>#REF!</x:v>
      </x:c>
      <x:c r="E54" s="128" t="e">
        <x:f>'PROJECT TA Y TB KARINA'!$C$50/8</x:f>
        <x:v>#REF!</x:v>
      </x:c>
      <x:c r="F54" s="128" t="e">
        <x:f>'PROJECT TA Y TB KARINA'!$C$50/8</x:f>
        <x:v>#REF!</x:v>
      </x:c>
      <x:c r="G54" s="128" t="e">
        <x:f>'PROJECT TA Y TB KARINA'!$C$50/8</x:f>
        <x:v>#REF!</x:v>
      </x:c>
      <x:c r="H54" s="128" t="e">
        <x:f>'PROJECT TA Y TB KARINA'!$C$50/8</x:f>
        <x:v>#REF!</x:v>
      </x:c>
      <x:c r="I54" s="128" t="e">
        <x:f>'PROJECT TA Y TB KARINA'!$E50/8</x:f>
        <x:v>#REF!</x:v>
      </x:c>
      <x:c r="J54" s="128" t="e">
        <x:f>'PROJECT TA Y TB KARINA'!$E50/8</x:f>
        <x:v>#REF!</x:v>
      </x:c>
      <x:c r="K54" s="128" t="e">
        <x:f>'PROJECT TA Y TB KARINA'!$E50/8</x:f>
        <x:v>#REF!</x:v>
      </x:c>
      <x:c r="L54" s="128" t="e">
        <x:f>'PROJECT TA Y TB KARINA'!$E50/8</x:f>
        <x:v>#REF!</x:v>
      </x:c>
      <x:c r="M54" s="128" t="e">
        <x:f>'PROJECT TA Y TB KARINA'!$E50/8</x:f>
        <x:v>#REF!</x:v>
      </x:c>
      <x:c r="N54" s="128" t="e">
        <x:f>'PROJECT TA Y TB KARINA'!$E50/8</x:f>
        <x:v>#REF!</x:v>
      </x:c>
      <x:c r="O54" s="128" t="e">
        <x:f>'PROJECT TA Y TB KARINA'!$E50/8</x:f>
        <x:v>#REF!</x:v>
      </x:c>
      <x:c r="P54" s="128" t="e">
        <x:f>'PROJECT TA Y TB KARINA'!$E50/8</x:f>
        <x:v>#REF!</x:v>
      </x:c>
      <x:c r="Q54" s="128" t="e">
        <x:f>'PROJECT TA Y TB KARINA'!$F50/8</x:f>
        <x:v>#REF!</x:v>
      </x:c>
      <x:c r="R54" s="128" t="e">
        <x:f>'PROJECT TA Y TB KARINA'!$F50/8</x:f>
        <x:v>#REF!</x:v>
      </x:c>
      <x:c r="S54" s="128" t="e">
        <x:f>'PROJECT TA Y TB KARINA'!$F50/8</x:f>
        <x:v>#REF!</x:v>
      </x:c>
      <x:c r="T54" s="128" t="e">
        <x:f>'PROJECT TA Y TB KARINA'!$F50/8</x:f>
        <x:v>#REF!</x:v>
      </x:c>
      <x:c r="U54" s="128" t="e">
        <x:f>'PROJECT TA Y TB KARINA'!$F50/8</x:f>
        <x:v>#REF!</x:v>
      </x:c>
      <x:c r="V54" s="128" t="e">
        <x:f>'PROJECT TA Y TB KARINA'!$F50/8</x:f>
        <x:v>#REF!</x:v>
      </x:c>
      <x:c r="W54" s="128" t="e">
        <x:f>'PROJECT TA Y TB KARINA'!$F50/8</x:f>
        <x:v>#REF!</x:v>
      </x:c>
      <x:c r="X54" s="128" t="e">
        <x:f>'PROJECT TA Y TB KARINA'!$F50/8</x:f>
        <x:v>#REF!</x:v>
      </x:c>
      <x:c r="Y54" s="128" t="e">
        <x:f>'PROJECT TA Y TB KARINA'!$G50/8</x:f>
        <x:v>#REF!</x:v>
      </x:c>
      <x:c r="Z54" s="128" t="e">
        <x:f>'PROJECT TA Y TB KARINA'!$G50/8</x:f>
        <x:v>#REF!</x:v>
      </x:c>
      <x:c r="AA54" s="128" t="e">
        <x:f>'PROJECT TA Y TB KARINA'!$G50/8</x:f>
        <x:v>#REF!</x:v>
      </x:c>
      <x:c r="AB54" s="128" t="e">
        <x:f>'PROJECT TA Y TB KARINA'!$G50/8</x:f>
        <x:v>#REF!</x:v>
      </x:c>
      <x:c r="AC54" s="128" t="e">
        <x:f>'PROJECT TA Y TB KARINA'!$G50/8</x:f>
        <x:v>#REF!</x:v>
      </x:c>
      <x:c r="AD54" s="128" t="e">
        <x:f>'PROJECT TA Y TB KARINA'!$G50/8</x:f>
        <x:v>#REF!</x:v>
      </x:c>
      <x:c r="AE54" s="128" t="e">
        <x:f>'PROJECT TA Y TB KARINA'!$G50/8</x:f>
        <x:v>#REF!</x:v>
      </x:c>
      <x:c r="AF54" s="128" t="e">
        <x:f>'PROJECT TA Y TB KARINA'!$G50/8</x:f>
        <x:v>#REF!</x:v>
      </x:c>
      <x:c r="AG54" s="128" t="e">
        <x:f>'PROJECT TA Y TB KARINA'!$H50/8</x:f>
        <x:v>#REF!</x:v>
      </x:c>
      <x:c r="AH54" s="128" t="e">
        <x:f>'PROJECT TA Y TB KARINA'!$H50/8</x:f>
        <x:v>#REF!</x:v>
      </x:c>
      <x:c r="AI54" s="128" t="e">
        <x:f>'PROJECT TA Y TB KARINA'!$H50/8</x:f>
        <x:v>#REF!</x:v>
      </x:c>
      <x:c r="AJ54" s="128" t="e">
        <x:f>'PROJECT TA Y TB KARINA'!$H50/8</x:f>
        <x:v>#REF!</x:v>
      </x:c>
      <x:c r="AK54" s="128" t="e">
        <x:f>'PROJECT TA Y TB KARINA'!$H50/8</x:f>
        <x:v>#REF!</x:v>
      </x:c>
      <x:c r="AL54" s="128" t="e">
        <x:f>'PROJECT TA Y TB KARINA'!$H50/8</x:f>
        <x:v>#REF!</x:v>
      </x:c>
      <x:c r="AM54" s="128" t="e">
        <x:f>'PROJECT TA Y TB KARINA'!$H50/8</x:f>
        <x:v>#REF!</x:v>
      </x:c>
      <x:c r="AN54" s="128" t="e">
        <x:f>'PROJECT TA Y TB KARINA'!$H50/8</x:f>
        <x:v>#REF!</x:v>
      </x:c>
      <x:c r="AO54" s="128" t="e">
        <x:f>'PROJECT TA Y TB KARINA'!$I50/8</x:f>
        <x:v>#REF!</x:v>
      </x:c>
      <x:c r="AP54" s="128" t="e">
        <x:f>'PROJECT TA Y TB KARINA'!$I50/8</x:f>
        <x:v>#REF!</x:v>
      </x:c>
      <x:c r="AQ54" s="128" t="e">
        <x:f>'PROJECT TA Y TB KARINA'!$I50/8</x:f>
        <x:v>#REF!</x:v>
      </x:c>
      <x:c r="AR54" s="128" t="e">
        <x:f>'PROJECT TA Y TB KARINA'!$I50/8</x:f>
        <x:v>#REF!</x:v>
      </x:c>
      <x:c r="AS54" s="128" t="e">
        <x:f>'PROJECT TA Y TB KARINA'!$I50/8</x:f>
        <x:v>#REF!</x:v>
      </x:c>
      <x:c r="AT54" s="128" t="e">
        <x:f>'PROJECT TA Y TB KARINA'!$I50/8</x:f>
        <x:v>#REF!</x:v>
      </x:c>
      <x:c r="AU54" s="128" t="e">
        <x:f>'PROJECT TA Y TB KARINA'!$I50/8</x:f>
        <x:v>#REF!</x:v>
      </x:c>
      <x:c r="AV54" s="128" t="e">
        <x:f>'PROJECT TA Y TB KARINA'!$I50/8</x:f>
        <x:v>#REF!</x:v>
      </x:c>
      <x:c r="AW54" s="128" t="e">
        <x:f>'PROJECT TA Y TB KARINA'!$J50/8</x:f>
        <x:v>#REF!</x:v>
      </x:c>
      <x:c r="AX54" s="128" t="e">
        <x:f>'PROJECT TA Y TB KARINA'!$J50/8</x:f>
        <x:v>#REF!</x:v>
      </x:c>
      <x:c r="AY54" s="128" t="e">
        <x:f>'PROJECT TA Y TB KARINA'!$J50/8</x:f>
        <x:v>#REF!</x:v>
      </x:c>
      <x:c r="AZ54" s="128" t="e">
        <x:f>'PROJECT TA Y TB KARINA'!$J50/8</x:f>
        <x:v>#REF!</x:v>
      </x:c>
      <x:c r="BA54" s="128" t="e">
        <x:f>'PROJECT TA Y TB KARINA'!$J50/8</x:f>
        <x:v>#REF!</x:v>
      </x:c>
      <x:c r="BB54" s="128" t="e">
        <x:f>'PROJECT TA Y TB KARINA'!$J50/8</x:f>
        <x:v>#REF!</x:v>
      </x:c>
      <x:c r="BC54" s="128" t="e">
        <x:f>'PROJECT TA Y TB KARINA'!$J50/8</x:f>
        <x:v>#REF!</x:v>
      </x:c>
      <x:c r="BD54" s="128" t="e">
        <x:f>'PROJECT TA Y TB KARINA'!$J50/8</x:f>
        <x:v>#REF!</x:v>
      </x:c>
      <x:c r="BE54" s="128" t="e">
        <x:f>'PROJECT TA Y TB KARINA'!$K50/8</x:f>
        <x:v>#REF!</x:v>
      </x:c>
      <x:c r="BF54" s="128" t="e">
        <x:f>'PROJECT TA Y TB KARINA'!$K50/8</x:f>
        <x:v>#REF!</x:v>
      </x:c>
      <x:c r="BG54" s="128" t="e">
        <x:f>'PROJECT TA Y TB KARINA'!$K50/8</x:f>
        <x:v>#REF!</x:v>
      </x:c>
      <x:c r="BH54" s="128" t="e">
        <x:f>'PROJECT TA Y TB KARINA'!$K50/8</x:f>
        <x:v>#REF!</x:v>
      </x:c>
      <x:c r="BI54" s="128" t="e">
        <x:f>'PROJECT TA Y TB KARINA'!$K50/8</x:f>
        <x:v>#REF!</x:v>
      </x:c>
      <x:c r="BJ54" s="128" t="e">
        <x:f>'PROJECT TA Y TB KARINA'!$K50/8</x:f>
        <x:v>#REF!</x:v>
      </x:c>
      <x:c r="BK54" s="128" t="e">
        <x:f>'PROJECT TA Y TB KARINA'!$K50/8</x:f>
        <x:v>#REF!</x:v>
      </x:c>
      <x:c r="BL54" s="128" t="e">
        <x:f>'PROJECT TA Y TB KARINA'!$K50/8</x:f>
        <x:v>#REF!</x:v>
      </x:c>
      <x:c r="BM54" s="128" t="e">
        <x:f>'PROJECT TA Y TB KARINA'!$L50/8</x:f>
        <x:v>#REF!</x:v>
      </x:c>
      <x:c r="BN54" s="128" t="e">
        <x:f>'PROJECT TA Y TB KARINA'!$L50/8</x:f>
        <x:v>#REF!</x:v>
      </x:c>
      <x:c r="BO54" s="128" t="e">
        <x:f>'PROJECT TA Y TB KARINA'!$L50/8</x:f>
        <x:v>#REF!</x:v>
      </x:c>
      <x:c r="BP54" s="128" t="e">
        <x:f>'PROJECT TA Y TB KARINA'!$L50/8</x:f>
        <x:v>#REF!</x:v>
      </x:c>
      <x:c r="BQ54" s="128" t="e">
        <x:f>'PROJECT TA Y TB KARINA'!$L50/8</x:f>
        <x:v>#REF!</x:v>
      </x:c>
      <x:c r="BR54" s="128" t="e">
        <x:f>'PROJECT TA Y TB KARINA'!$L50/8</x:f>
        <x:v>#REF!</x:v>
      </x:c>
      <x:c r="BS54" s="128" t="e">
        <x:f>'PROJECT TA Y TB KARINA'!$L50/8</x:f>
        <x:v>#REF!</x:v>
      </x:c>
      <x:c r="BT54" s="128" t="e">
        <x:f>'PROJECT TA Y TB KARINA'!$L50/8</x:f>
        <x:v>#REF!</x:v>
      </x:c>
      <x:c r="BU54" s="128" t="e">
        <x:f>'PROJECT TA Y TB KARINA'!$M50/8</x:f>
        <x:v>#REF!</x:v>
      </x:c>
      <x:c r="BV54" s="128" t="e">
        <x:f>'PROJECT TA Y TB KARINA'!$M50/8</x:f>
        <x:v>#REF!</x:v>
      </x:c>
      <x:c r="BW54" s="128" t="e">
        <x:f>'PROJECT TA Y TB KARINA'!$M50/8</x:f>
        <x:v>#REF!</x:v>
      </x:c>
      <x:c r="BX54" s="128" t="e">
        <x:f>'PROJECT TA Y TB KARINA'!$M50/8</x:f>
        <x:v>#REF!</x:v>
      </x:c>
      <x:c r="BY54" s="128" t="e">
        <x:f>'PROJECT TA Y TB KARINA'!$M50/8</x:f>
        <x:v>#REF!</x:v>
      </x:c>
      <x:c r="BZ54" s="128" t="e">
        <x:f>'PROJECT TA Y TB KARINA'!$M50/8</x:f>
        <x:v>#REF!</x:v>
      </x:c>
      <x:c r="CA54" s="128" t="e">
        <x:f>'PROJECT TA Y TB KARINA'!$M50/8</x:f>
        <x:v>#REF!</x:v>
      </x:c>
      <x:c r="CB54" s="128" t="e">
        <x:f>'PROJECT TA Y TB KARINA'!$M50/8</x:f>
        <x:v>#REF!</x:v>
      </x:c>
      <x:c r="CC54" s="128" t="e">
        <x:f>'PROJECT TA Y TB KARINA'!$N50/8</x:f>
        <x:v>#REF!</x:v>
      </x:c>
      <x:c r="CD54" s="128" t="e">
        <x:f>'PROJECT TA Y TB KARINA'!$N50/8</x:f>
        <x:v>#REF!</x:v>
      </x:c>
      <x:c r="CE54" s="128" t="e">
        <x:f>'PROJECT TA Y TB KARINA'!$N50/8</x:f>
        <x:v>#REF!</x:v>
      </x:c>
      <x:c r="CF54" s="128" t="e">
        <x:f>'PROJECT TA Y TB KARINA'!$N50/8</x:f>
        <x:v>#REF!</x:v>
      </x:c>
      <x:c r="CG54" s="128" t="e">
        <x:f>'PROJECT TA Y TB KARINA'!$N50/8</x:f>
        <x:v>#REF!</x:v>
      </x:c>
      <x:c r="CH54" s="128" t="e">
        <x:f>'PROJECT TA Y TB KARINA'!$N50/8</x:f>
        <x:v>#REF!</x:v>
      </x:c>
      <x:c r="CI54" s="128" t="e">
        <x:f>'PROJECT TA Y TB KARINA'!$N50/8</x:f>
        <x:v>#REF!</x:v>
      </x:c>
      <x:c r="CJ54" s="128" t="e">
        <x:f>'PROJECT TA Y TB KARINA'!$N50/8</x:f>
        <x:v>#REF!</x:v>
      </x:c>
      <x:c r="CK54" s="128" t="e">
        <x:f>'PROJECT TA Y TB KARINA'!$O50/8</x:f>
        <x:v>#REF!</x:v>
      </x:c>
      <x:c r="CL54" s="128" t="e">
        <x:f>'PROJECT TA Y TB KARINA'!$O50/8</x:f>
        <x:v>#REF!</x:v>
      </x:c>
      <x:c r="CM54" s="128" t="e">
        <x:f>'PROJECT TA Y TB KARINA'!$O50/8</x:f>
        <x:v>#REF!</x:v>
      </x:c>
      <x:c r="CN54" s="128" t="e">
        <x:f>'PROJECT TA Y TB KARINA'!$O50/8</x:f>
        <x:v>#REF!</x:v>
      </x:c>
      <x:c r="CO54" s="128" t="e">
        <x:f>'PROJECT TA Y TB KARINA'!$O50/8</x:f>
        <x:v>#REF!</x:v>
      </x:c>
      <x:c r="CP54" s="128" t="e">
        <x:f>'PROJECT TA Y TB KARINA'!$O50/8</x:f>
        <x:v>#REF!</x:v>
      </x:c>
      <x:c r="CQ54" s="128" t="e">
        <x:f>'PROJECT TA Y TB KARINA'!$O50/8</x:f>
        <x:v>#REF!</x:v>
      </x:c>
      <x:c r="CR54" s="128" t="e">
        <x:f>'PROJECT TA Y TB KARINA'!$O50/8</x:f>
        <x:v>#REF!</x:v>
      </x:c>
      <x:c r="CS54" s="128" t="e">
        <x:f>'PROJECT TA Y TB KARINA'!$P50/8</x:f>
        <x:v>#REF!</x:v>
      </x:c>
      <x:c r="CT54" s="128" t="e">
        <x:f>'PROJECT TA Y TB KARINA'!$P50/8</x:f>
        <x:v>#REF!</x:v>
      </x:c>
      <x:c r="CU54" s="128" t="e">
        <x:f>'PROJECT TA Y TB KARINA'!$P50/8</x:f>
        <x:v>#REF!</x:v>
      </x:c>
      <x:c r="CV54" s="128" t="e">
        <x:f>'PROJECT TA Y TB KARINA'!$P50/8</x:f>
        <x:v>#REF!</x:v>
      </x:c>
      <x:c r="CW54" s="128" t="e">
        <x:f>'PROJECT TA Y TB KARINA'!$P50/8</x:f>
        <x:v>#REF!</x:v>
      </x:c>
      <x:c r="CX54" s="128" t="e">
        <x:f>'PROJECT TA Y TB KARINA'!$P50/8</x:f>
        <x:v>#REF!</x:v>
      </x:c>
      <x:c r="CY54" s="128" t="e">
        <x:f>'PROJECT TA Y TB KARINA'!$P50/8</x:f>
        <x:v>#REF!</x:v>
      </x:c>
      <x:c r="CZ54" s="128" t="e">
        <x:f>'PROJECT TA Y TB KARINA'!$P50/8</x:f>
        <x:v>#REF!</x:v>
      </x:c>
      <x:c r="DA54" s="128" t="e">
        <x:f>'PROJECT TA Y TB KARINA'!$Q50/8</x:f>
        <x:v>#REF!</x:v>
      </x:c>
      <x:c r="DB54" s="128" t="e">
        <x:f>'PROJECT TA Y TB KARINA'!$Q50/8</x:f>
        <x:v>#REF!</x:v>
      </x:c>
      <x:c r="DC54" s="128" t="e">
        <x:f>'PROJECT TA Y TB KARINA'!$Q50/8</x:f>
        <x:v>#REF!</x:v>
      </x:c>
      <x:c r="DD54" s="128" t="e">
        <x:f>'PROJECT TA Y TB KARINA'!$Q50/8</x:f>
        <x:v>#REF!</x:v>
      </x:c>
      <x:c r="DE54" s="128" t="e">
        <x:f>'PROJECT TA Y TB KARINA'!$Q50/8</x:f>
        <x:v>#REF!</x:v>
      </x:c>
      <x:c r="DF54" s="128" t="e">
        <x:f>'PROJECT TA Y TB KARINA'!$Q50/8</x:f>
        <x:v>#REF!</x:v>
      </x:c>
      <x:c r="DG54" s="128" t="e">
        <x:f>'PROJECT TA Y TB KARINA'!$Q50/8</x:f>
        <x:v>#REF!</x:v>
      </x:c>
      <x:c r="DH54" s="128" t="e">
        <x:f>'PROJECT TA Y TB KARINA'!$Q50/8</x:f>
        <x:v>#REF!</x:v>
      </x:c>
      <x:c r="DI54" s="128" t="e">
        <x:f>'PROJECT TA Y TB KARINA'!$R50/8</x:f>
        <x:v>#REF!</x:v>
      </x:c>
      <x:c r="DJ54" s="128" t="e">
        <x:f>'PROJECT TA Y TB KARINA'!$R50/8</x:f>
        <x:v>#REF!</x:v>
      </x:c>
      <x:c r="DK54" s="128" t="e">
        <x:f>'PROJECT TA Y TB KARINA'!$R50/8</x:f>
        <x:v>#REF!</x:v>
      </x:c>
      <x:c r="DL54" s="128" t="e">
        <x:f>'PROJECT TA Y TB KARINA'!$R50/8</x:f>
        <x:v>#REF!</x:v>
      </x:c>
      <x:c r="DM54" s="128" t="e">
        <x:f>'PROJECT TA Y TB KARINA'!$R50/8</x:f>
        <x:v>#REF!</x:v>
      </x:c>
      <x:c r="DN54" s="128" t="e">
        <x:f>'PROJECT TA Y TB KARINA'!$R50/8</x:f>
        <x:v>#REF!</x:v>
      </x:c>
      <x:c r="DO54" s="128" t="e">
        <x:f>'PROJECT TA Y TB KARINA'!$R50/8</x:f>
        <x:v>#REF!</x:v>
      </x:c>
      <x:c r="DP54" s="128" t="e">
        <x:f>'PROJECT TA Y TB KARINA'!$R50/8</x:f>
        <x:v>#REF!</x:v>
      </x:c>
      <x:c r="DQ54" s="128" t="e">
        <x:f>'PROJECT TA Y TB KARINA'!$S50/8</x:f>
        <x:v>#REF!</x:v>
      </x:c>
      <x:c r="DR54" s="128" t="e">
        <x:f>'PROJECT TA Y TB KARINA'!$S50/8</x:f>
        <x:v>#REF!</x:v>
      </x:c>
      <x:c r="DS54" s="128" t="e">
        <x:f>'PROJECT TA Y TB KARINA'!$S50/8</x:f>
        <x:v>#REF!</x:v>
      </x:c>
      <x:c r="DT54" s="128" t="e">
        <x:f>'PROJECT TA Y TB KARINA'!$S50/8</x:f>
        <x:v>#REF!</x:v>
      </x:c>
      <x:c r="DU54" s="128" t="e">
        <x:f>'PROJECT TA Y TB KARINA'!$S50/8</x:f>
        <x:v>#REF!</x:v>
      </x:c>
      <x:c r="DV54" s="128" t="e">
        <x:f>'PROJECT TA Y TB KARINA'!$S50/8</x:f>
        <x:v>#REF!</x:v>
      </x:c>
      <x:c r="DW54" s="128" t="e">
        <x:f>'PROJECT TA Y TB KARINA'!$S50/8</x:f>
        <x:v>#REF!</x:v>
      </x:c>
      <x:c r="DX54" s="128" t="e">
        <x:f>'PROJECT TA Y TB KARINA'!$S50/8</x:f>
        <x:v>#REF!</x:v>
      </x:c>
      <x:c r="DY54" s="128" t="e">
        <x:f>'PROJECT TA Y TB KARINA'!$T50/8</x:f>
        <x:v>#REF!</x:v>
      </x:c>
      <x:c r="DZ54" s="128" t="e">
        <x:f>'PROJECT TA Y TB KARINA'!$T50/8</x:f>
        <x:v>#REF!</x:v>
      </x:c>
      <x:c r="EA54" s="128" t="e">
        <x:f>'PROJECT TA Y TB KARINA'!$T50/8</x:f>
        <x:v>#REF!</x:v>
      </x:c>
      <x:c r="EB54" s="128" t="e">
        <x:f>'PROJECT TA Y TB KARINA'!$T50/8</x:f>
        <x:v>#REF!</x:v>
      </x:c>
      <x:c r="EC54" s="128" t="e">
        <x:f>'PROJECT TA Y TB KARINA'!$T50/8</x:f>
        <x:v>#REF!</x:v>
      </x:c>
      <x:c r="ED54" s="128" t="e">
        <x:f>'PROJECT TA Y TB KARINA'!$T50/8</x:f>
        <x:v>#REF!</x:v>
      </x:c>
      <x:c r="EE54" s="128" t="e">
        <x:f>'PROJECT TA Y TB KARINA'!$T50/8</x:f>
        <x:v>#REF!</x:v>
      </x:c>
      <x:c r="EF54" s="128" t="e">
        <x:f>'PROJECT TA Y TB KARINA'!$T50/8</x:f>
        <x:v>#REF!</x:v>
      </x:c>
      <x:c r="EG54" s="128" t="e">
        <x:f>'PROJECT TA Y TB KARINA'!#REF!/8</x:f>
        <x:v>#NAME?</x:v>
      </x:c>
      <x:c r="EH54" s="128" t="e">
        <x:f>'PROJECT TA Y TB KARINA'!#REF!/8</x:f>
        <x:v>#NAME?</x:v>
      </x:c>
      <x:c r="EI54" s="128" t="e">
        <x:f>'PROJECT TA Y TB KARINA'!#REF!/8</x:f>
        <x:v>#NAME?</x:v>
      </x:c>
      <x:c r="EJ54" s="128" t="e">
        <x:f>'PROJECT TA Y TB KARINA'!#REF!/8</x:f>
        <x:v>#NAME?</x:v>
      </x:c>
      <x:c r="EK54" s="128" t="e">
        <x:f>'PROJECT TA Y TB KARINA'!#REF!/8</x:f>
        <x:v>#NAME?</x:v>
      </x:c>
      <x:c r="EL54" s="128" t="e">
        <x:f>'PROJECT TA Y TB KARINA'!#REF!/8</x:f>
        <x:v>#NAME?</x:v>
      </x:c>
      <x:c r="EM54" s="128" t="e">
        <x:f>'PROJECT TA Y TB KARINA'!#REF!/8</x:f>
        <x:v>#NAME?</x:v>
      </x:c>
      <x:c r="EN54" s="128" t="e">
        <x:f>'PROJECT TA Y TB KARINA'!#REF!/8</x:f>
        <x:v>#NAME?</x:v>
      </x:c>
      <x:c r="EO54" s="128" t="n">
        <x:f>'PROJECT TA Y TB KARINA'!$C108/8</x:f>
        <x:v>0</x:v>
      </x:c>
      <x:c r="EP54" s="128" t="n">
        <x:f>'PROJECT TA Y TB KARINA'!$C108/8</x:f>
        <x:v>0</x:v>
      </x:c>
      <x:c r="EQ54" s="128" t="n">
        <x:f>'PROJECT TA Y TB KARINA'!$C108/8</x:f>
        <x:v>0</x:v>
      </x:c>
      <x:c r="ER54" s="128" t="n">
        <x:f>'PROJECT TA Y TB KARINA'!$C108/8</x:f>
        <x:v>0</x:v>
      </x:c>
      <x:c r="ES54" s="128" t="n">
        <x:f>'PROJECT TA Y TB KARINA'!$C108/8</x:f>
        <x:v>0</x:v>
      </x:c>
      <x:c r="ET54" s="128" t="n">
        <x:f>'PROJECT TA Y TB KARINA'!$C108/8</x:f>
        <x:v>0</x:v>
      </x:c>
      <x:c r="EU54" s="128" t="n">
        <x:f>'PROJECT TA Y TB KARINA'!$C108/8</x:f>
        <x:v>0</x:v>
      </x:c>
      <x:c r="EV54" s="128" t="n">
        <x:f>'PROJECT TA Y TB KARINA'!$E108/8</x:f>
        <x:v>0</x:v>
      </x:c>
      <x:c r="EW54" s="128" t="n">
        <x:f>'PROJECT TA Y TB KARINA'!$E108/8</x:f>
        <x:v>0</x:v>
      </x:c>
      <x:c r="EX54" s="128" t="n">
        <x:f>'PROJECT TA Y TB KARINA'!$E108/8</x:f>
        <x:v>0</x:v>
      </x:c>
      <x:c r="EY54" s="128" t="n">
        <x:f>'PROJECT TA Y TB KARINA'!$E108/8</x:f>
        <x:v>0</x:v>
      </x:c>
      <x:c r="EZ54" s="128" t="n">
        <x:f>'PROJECT TA Y TB KARINA'!$E108/8</x:f>
        <x:v>0</x:v>
      </x:c>
      <x:c r="FA54" s="128" t="n">
        <x:f>'PROJECT TA Y TB KARINA'!$E108/8</x:f>
        <x:v>0</x:v>
      </x:c>
      <x:c r="FB54" s="128" t="n">
        <x:f>'PROJECT TA Y TB KARINA'!$E108/8</x:f>
        <x:v>0</x:v>
      </x:c>
      <x:c r="FC54" s="128" t="n">
        <x:f>'PROJECT TA Y TB KARINA'!$E108/8</x:f>
        <x:v>0</x:v>
      </x:c>
      <x:c r="FD54" s="128" t="n">
        <x:f>'PROJECT TA Y TB KARINA'!$F108/8</x:f>
        <x:v>0</x:v>
      </x:c>
      <x:c r="FE54" s="128" t="n">
        <x:f>'PROJECT TA Y TB KARINA'!$F108/8</x:f>
        <x:v>0</x:v>
      </x:c>
      <x:c r="FF54" s="128" t="n">
        <x:f>'PROJECT TA Y TB KARINA'!$F108/8</x:f>
        <x:v>0</x:v>
      </x:c>
      <x:c r="FG54" s="128" t="n">
        <x:f>'PROJECT TA Y TB KARINA'!$F108/8</x:f>
        <x:v>0</x:v>
      </x:c>
      <x:c r="FH54" s="128" t="n">
        <x:f>'PROJECT TA Y TB KARINA'!$F108/8</x:f>
        <x:v>0</x:v>
      </x:c>
      <x:c r="FI54" s="128" t="n">
        <x:f>'PROJECT TA Y TB KARINA'!$F108/8</x:f>
        <x:v>0</x:v>
      </x:c>
      <x:c r="FJ54" s="128" t="n">
        <x:f>'PROJECT TA Y TB KARINA'!$F108/8</x:f>
        <x:v>0</x:v>
      </x:c>
      <x:c r="FK54" s="128" t="n">
        <x:f>'PROJECT TA Y TB KARINA'!$F108/8</x:f>
        <x:v>0</x:v>
      </x:c>
      <x:c r="FL54" s="128" t="n">
        <x:f>'PROJECT TA Y TB KARINA'!$G108/8</x:f>
        <x:v>0</x:v>
      </x:c>
      <x:c r="FM54" s="128" t="n">
        <x:f>'PROJECT TA Y TB KARINA'!$G108/8</x:f>
        <x:v>0</x:v>
      </x:c>
      <x:c r="FN54" s="128" t="n">
        <x:f>'PROJECT TA Y TB KARINA'!$G108/8</x:f>
        <x:v>0</x:v>
      </x:c>
      <x:c r="FO54" s="128" t="n">
        <x:f>'PROJECT TA Y TB KARINA'!$G108/8</x:f>
        <x:v>0</x:v>
      </x:c>
      <x:c r="FP54" s="128" t="n">
        <x:f>'PROJECT TA Y TB KARINA'!$G108/8</x:f>
        <x:v>0</x:v>
      </x:c>
      <x:c r="FQ54" s="128" t="n">
        <x:f>'PROJECT TA Y TB KARINA'!$G108/8</x:f>
        <x:v>0</x:v>
      </x:c>
      <x:c r="FR54" s="128" t="n">
        <x:f>'PROJECT TA Y TB KARINA'!$G108/8</x:f>
        <x:v>0</x:v>
      </x:c>
      <x:c r="FS54" s="128" t="n">
        <x:f>'PROJECT TA Y TB KARINA'!$G108/8</x:f>
        <x:v>0</x:v>
      </x:c>
      <x:c r="FT54" s="128" t="n">
        <x:f>'PROJECT TA Y TB KARINA'!$H108/8</x:f>
        <x:v>0</x:v>
      </x:c>
      <x:c r="FU54" s="128" t="n">
        <x:f>'PROJECT TA Y TB KARINA'!$H108/8</x:f>
        <x:v>0</x:v>
      </x:c>
      <x:c r="FV54" s="128" t="n">
        <x:f>'PROJECT TA Y TB KARINA'!$H108/8</x:f>
        <x:v>0</x:v>
      </x:c>
      <x:c r="FW54" s="128" t="n">
        <x:f>'PROJECT TA Y TB KARINA'!$H108/8</x:f>
        <x:v>0</x:v>
      </x:c>
      <x:c r="FX54" s="128" t="n">
        <x:f>'PROJECT TA Y TB KARINA'!$H108/8</x:f>
        <x:v>0</x:v>
      </x:c>
      <x:c r="FY54" s="128" t="n">
        <x:f>'PROJECT TA Y TB KARINA'!$H108/8</x:f>
        <x:v>0</x:v>
      </x:c>
      <x:c r="FZ54" s="128" t="n">
        <x:f>'PROJECT TA Y TB KARINA'!$H108/8</x:f>
        <x:v>0</x:v>
      </x:c>
      <x:c r="GA54" s="128" t="n">
        <x:f>'PROJECT TA Y TB KARINA'!$H108/8</x:f>
        <x:v>0</x:v>
      </x:c>
      <x:c r="GB54" s="128" t="n">
        <x:f>'PROJECT TA Y TB KARINA'!$I108/8</x:f>
        <x:v>0</x:v>
      </x:c>
      <x:c r="GC54" s="128" t="n">
        <x:f>'PROJECT TA Y TB KARINA'!$I108/8</x:f>
        <x:v>0</x:v>
      </x:c>
      <x:c r="GD54" s="128" t="n">
        <x:f>'PROJECT TA Y TB KARINA'!$I108/8</x:f>
        <x:v>0</x:v>
      </x:c>
      <x:c r="GE54" s="128" t="n">
        <x:f>'PROJECT TA Y TB KARINA'!$I108/8</x:f>
        <x:v>0</x:v>
      </x:c>
      <x:c r="GF54" s="128" t="n">
        <x:f>'PROJECT TA Y TB KARINA'!$I108/8</x:f>
        <x:v>0</x:v>
      </x:c>
      <x:c r="GG54" s="128" t="n">
        <x:f>'PROJECT TA Y TB KARINA'!$I108/8</x:f>
        <x:v>0</x:v>
      </x:c>
      <x:c r="GH54" s="128" t="n">
        <x:f>'PROJECT TA Y TB KARINA'!$I108/8</x:f>
        <x:v>0</x:v>
      </x:c>
      <x:c r="GI54" s="128" t="n">
        <x:f>'PROJECT TA Y TB KARINA'!$I108/8</x:f>
        <x:v>0</x:v>
      </x:c>
      <x:c r="GJ54" s="128" t="n">
        <x:f>'PROJECT TA Y TB KARINA'!$J108/8</x:f>
        <x:v>0</x:v>
      </x:c>
      <x:c r="GK54" s="128" t="n">
        <x:f>'PROJECT TA Y TB KARINA'!$J108/8</x:f>
        <x:v>0</x:v>
      </x:c>
      <x:c r="GL54" s="128" t="n">
        <x:f>'PROJECT TA Y TB KARINA'!$J108/8</x:f>
        <x:v>0</x:v>
      </x:c>
      <x:c r="GM54" s="128" t="n">
        <x:f>'PROJECT TA Y TB KARINA'!$J108/8</x:f>
        <x:v>0</x:v>
      </x:c>
      <x:c r="GN54" s="128" t="n">
        <x:f>'PROJECT TA Y TB KARINA'!$J108/8</x:f>
        <x:v>0</x:v>
      </x:c>
      <x:c r="GO54" s="128" t="n">
        <x:f>'PROJECT TA Y TB KARINA'!$J108/8</x:f>
        <x:v>0</x:v>
      </x:c>
      <x:c r="GP54" s="128" t="n">
        <x:f>'PROJECT TA Y TB KARINA'!$J108/8</x:f>
        <x:v>0</x:v>
      </x:c>
      <x:c r="GQ54" s="128" t="n">
        <x:f>'PROJECT TA Y TB KARINA'!$J108/8</x:f>
        <x:v>0</x:v>
      </x:c>
      <x:c r="GR54" s="128" t="n">
        <x:f>'PROJECT TA Y TB KARINA'!$K108/8</x:f>
        <x:v>0</x:v>
      </x:c>
      <x:c r="GS54" s="128" t="n">
        <x:f>'PROJECT TA Y TB KARINA'!$K108/8</x:f>
        <x:v>0</x:v>
      </x:c>
      <x:c r="GT54" s="128" t="n">
        <x:f>'PROJECT TA Y TB KARINA'!$K108/8</x:f>
        <x:v>0</x:v>
      </x:c>
      <x:c r="GU54" s="128" t="n">
        <x:f>'PROJECT TA Y TB KARINA'!$K108/8</x:f>
        <x:v>0</x:v>
      </x:c>
      <x:c r="GV54" s="128" t="n">
        <x:f>'PROJECT TA Y TB KARINA'!$K108/8</x:f>
        <x:v>0</x:v>
      </x:c>
      <x:c r="GW54" s="128" t="n">
        <x:f>'PROJECT TA Y TB KARINA'!$K108/8</x:f>
        <x:v>0</x:v>
      </x:c>
      <x:c r="GX54" s="128" t="n">
        <x:f>'PROJECT TA Y TB KARINA'!$K108/8</x:f>
        <x:v>0</x:v>
      </x:c>
      <x:c r="GY54" s="128" t="n">
        <x:f>'PROJECT TA Y TB KARINA'!$K108/8</x:f>
        <x:v>0</x:v>
      </x:c>
      <x:c r="GZ54" s="128" t="n">
        <x:f>'PROJECT TA Y TB KARINA'!$L108/8</x:f>
        <x:v>0</x:v>
      </x:c>
      <x:c r="HA54" s="128" t="n">
        <x:f>'PROJECT TA Y TB KARINA'!$L108/8</x:f>
        <x:v>0</x:v>
      </x:c>
      <x:c r="HB54" s="128" t="n">
        <x:f>'PROJECT TA Y TB KARINA'!$L108/8</x:f>
        <x:v>0</x:v>
      </x:c>
      <x:c r="HC54" s="128" t="n">
        <x:f>'PROJECT TA Y TB KARINA'!$L108/8</x:f>
        <x:v>0</x:v>
      </x:c>
      <x:c r="HD54" s="128" t="n">
        <x:f>'PROJECT TA Y TB KARINA'!$L108/8</x:f>
        <x:v>0</x:v>
      </x:c>
      <x:c r="HE54" s="128" t="n">
        <x:f>'PROJECT TA Y TB KARINA'!$L108/8</x:f>
        <x:v>0</x:v>
      </x:c>
      <x:c r="HF54" s="128" t="n">
        <x:f>'PROJECT TA Y TB KARINA'!$L108/8</x:f>
        <x:v>0</x:v>
      </x:c>
      <x:c r="HG54" s="128" t="n">
        <x:f>'PROJECT TA Y TB KARINA'!$L108/8</x:f>
        <x:v>0</x:v>
      </x:c>
      <x:c r="HH54" s="128" t="n">
        <x:f>'PROJECT TA Y TB KARINA'!$M108/8</x:f>
        <x:v>0</x:v>
      </x:c>
      <x:c r="HI54" s="128" t="n">
        <x:f>'PROJECT TA Y TB KARINA'!$M108/8</x:f>
        <x:v>0</x:v>
      </x:c>
      <x:c r="HJ54" s="128" t="n">
        <x:f>'PROJECT TA Y TB KARINA'!$M108/8</x:f>
        <x:v>0</x:v>
      </x:c>
      <x:c r="HK54" s="128" t="n">
        <x:f>'PROJECT TA Y TB KARINA'!$M108/8</x:f>
        <x:v>0</x:v>
      </x:c>
      <x:c r="HL54" s="128" t="n">
        <x:f>'PROJECT TA Y TB KARINA'!$M108/8</x:f>
        <x:v>0</x:v>
      </x:c>
      <x:c r="HM54" s="128" t="n">
        <x:f>'PROJECT TA Y TB KARINA'!$M108/8</x:f>
        <x:v>0</x:v>
      </x:c>
      <x:c r="HN54" s="128" t="n">
        <x:f>'PROJECT TA Y TB KARINA'!$M108/8</x:f>
        <x:v>0</x:v>
      </x:c>
      <x:c r="HO54" s="128" t="n">
        <x:f>'PROJECT TA Y TB KARINA'!$M108/8</x:f>
        <x:v>0</x:v>
      </x:c>
      <x:c r="HP54" s="128" t="n">
        <x:f>'PROJECT TA Y TB KARINA'!$N108/8</x:f>
        <x:v>0</x:v>
      </x:c>
      <x:c r="HQ54" s="128" t="n">
        <x:f>'PROJECT TA Y TB KARINA'!$N108/8</x:f>
        <x:v>0</x:v>
      </x:c>
      <x:c r="HR54" s="128" t="n">
        <x:f>'PROJECT TA Y TB KARINA'!$N108/8</x:f>
        <x:v>0</x:v>
      </x:c>
      <x:c r="HS54" s="128" t="n">
        <x:f>'PROJECT TA Y TB KARINA'!$N108/8</x:f>
        <x:v>0</x:v>
      </x:c>
      <x:c r="HT54" s="128" t="n">
        <x:f>'PROJECT TA Y TB KARINA'!$N108/8</x:f>
        <x:v>0</x:v>
      </x:c>
      <x:c r="HU54" s="128" t="n">
        <x:f>'PROJECT TA Y TB KARINA'!$N108/8</x:f>
        <x:v>0</x:v>
      </x:c>
      <x:c r="HV54" s="128" t="n">
        <x:f>'PROJECT TA Y TB KARINA'!$N108/8</x:f>
        <x:v>0</x:v>
      </x:c>
      <x:c r="HW54" s="128" t="n">
        <x:f>'PROJECT TA Y TB KARINA'!$N108/8</x:f>
        <x:v>0</x:v>
      </x:c>
      <x:c r="HX54" s="128" t="n">
        <x:f>'PROJECT TA Y TB KARINA'!$O108/8</x:f>
        <x:v>0</x:v>
      </x:c>
      <x:c r="HY54" s="128" t="n">
        <x:f>'PROJECT TA Y TB KARINA'!$O108/8</x:f>
        <x:v>0</x:v>
      </x:c>
      <x:c r="HZ54" s="128" t="n">
        <x:f>'PROJECT TA Y TB KARINA'!$O108/8</x:f>
        <x:v>0</x:v>
      </x:c>
      <x:c r="IA54" s="128" t="n">
        <x:f>'PROJECT TA Y TB KARINA'!$O108/8</x:f>
        <x:v>0</x:v>
      </x:c>
      <x:c r="IB54" s="128" t="n">
        <x:f>'PROJECT TA Y TB KARINA'!$O108/8</x:f>
        <x:v>0</x:v>
      </x:c>
      <x:c r="IC54" s="128" t="n">
        <x:f>'PROJECT TA Y TB KARINA'!$O108/8</x:f>
        <x:v>0</x:v>
      </x:c>
      <x:c r="ID54" s="128" t="n">
        <x:f>'PROJECT TA Y TB KARINA'!$O108/8</x:f>
        <x:v>0</x:v>
      </x:c>
      <x:c r="IE54" s="128" t="n">
        <x:f>'PROJECT TA Y TB KARINA'!$O108/8</x:f>
        <x:v>0</x:v>
      </x:c>
      <x:c r="IF54" s="128" t="n">
        <x:f>'PROJECT TA Y TB KARINA'!$P108/8</x:f>
        <x:v>0</x:v>
      </x:c>
      <x:c r="IG54" s="128" t="n">
        <x:f>'PROJECT TA Y TB KARINA'!$P108/8</x:f>
        <x:v>0</x:v>
      </x:c>
      <x:c r="IH54" s="128" t="n">
        <x:f>'PROJECT TA Y TB KARINA'!$P108/8</x:f>
        <x:v>0</x:v>
      </x:c>
      <x:c r="II54" s="128" t="n">
        <x:f>'PROJECT TA Y TB KARINA'!$P108/8</x:f>
        <x:v>0</x:v>
      </x:c>
      <x:c r="IJ54" s="128" t="n">
        <x:f>'PROJECT TA Y TB KARINA'!$P108/8</x:f>
        <x:v>0</x:v>
      </x:c>
      <x:c r="IK54" s="128" t="n">
        <x:f>'PROJECT TA Y TB KARINA'!$P108/8</x:f>
        <x:v>0</x:v>
      </x:c>
      <x:c r="IL54" s="128" t="n">
        <x:f>'PROJECT TA Y TB KARINA'!$P108/8</x:f>
        <x:v>0</x:v>
      </x:c>
      <x:c r="IM54" s="128" t="n">
        <x:f>'PROJECT TA Y TB KARINA'!$P108/8</x:f>
        <x:v>0</x:v>
      </x:c>
      <x:c r="IN54" s="128" t="n">
        <x:f>'PROJECT TA Y TB KARINA'!$Q108/8</x:f>
        <x:v>0</x:v>
      </x:c>
      <x:c r="IO54" s="128" t="n">
        <x:f>'PROJECT TA Y TB KARINA'!$Q108/8</x:f>
        <x:v>0</x:v>
      </x:c>
      <x:c r="IP54" s="128" t="n">
        <x:f>'PROJECT TA Y TB KARINA'!$Q108/8</x:f>
        <x:v>0</x:v>
      </x:c>
      <x:c r="IQ54" s="128" t="n">
        <x:f>'PROJECT TA Y TB KARINA'!$Q108/8</x:f>
        <x:v>0</x:v>
      </x:c>
      <x:c r="IR54" s="128" t="n">
        <x:f>'PROJECT TA Y TB KARINA'!$Q108/8</x:f>
        <x:v>0</x:v>
      </x:c>
      <x:c r="IS54" s="128" t="n">
        <x:f>'PROJECT TA Y TB KARINA'!$Q108/8</x:f>
        <x:v>0</x:v>
      </x:c>
      <x:c r="IT54" s="128" t="n">
        <x:f>'PROJECT TA Y TB KARINA'!$Q108/8</x:f>
        <x:v>0</x:v>
      </x:c>
      <x:c r="IU54" s="128" t="n">
        <x:f>'PROJECT TA Y TB KARINA'!$Q108/8</x:f>
        <x:v>0</x:v>
      </x:c>
      <x:c r="IV54" s="128" t="n">
        <x:f>'PROJECT TA Y TB KARINA'!$R108/8</x:f>
        <x:v>0</x:v>
      </x:c>
      <x:c r="IW54" s="128" t="n">
        <x:f>'PROJECT TA Y TB KARINA'!$R108/8</x:f>
        <x:v>0</x:v>
      </x:c>
      <x:c r="IX54" s="128" t="n">
        <x:f>'PROJECT TA Y TB KARINA'!$R108/8</x:f>
        <x:v>0</x:v>
      </x:c>
      <x:c r="IY54" s="128" t="n">
        <x:f>'PROJECT TA Y TB KARINA'!$R108/8</x:f>
        <x:v>0</x:v>
      </x:c>
      <x:c r="IZ54" s="128" t="n">
        <x:f>'PROJECT TA Y TB KARINA'!$R108/8</x:f>
        <x:v>0</x:v>
      </x:c>
      <x:c r="JA54" s="128" t="n">
        <x:f>'PROJECT TA Y TB KARINA'!$R108/8</x:f>
        <x:v>0</x:v>
      </x:c>
      <x:c r="JB54" s="128" t="n">
        <x:f>'PROJECT TA Y TB KARINA'!$R108/8</x:f>
        <x:v>0</x:v>
      </x:c>
      <x:c r="JC54" s="128" t="n">
        <x:f>'PROJECT TA Y TB KARINA'!$R108/8</x:f>
        <x:v>0</x:v>
      </x:c>
      <x:c r="JD54" s="128" t="n">
        <x:f>'PROJECT TA Y TB KARINA'!$S108/8</x:f>
        <x:v>0</x:v>
      </x:c>
      <x:c r="JE54" s="128" t="n">
        <x:f>'PROJECT TA Y TB KARINA'!$S108/8</x:f>
        <x:v>0</x:v>
      </x:c>
      <x:c r="JF54" s="128" t="n">
        <x:f>'PROJECT TA Y TB KARINA'!$S108/8</x:f>
        <x:v>0</x:v>
      </x:c>
      <x:c r="JG54" s="128" t="n">
        <x:f>'PROJECT TA Y TB KARINA'!$S108/8</x:f>
        <x:v>0</x:v>
      </x:c>
      <x:c r="JH54" s="128" t="n">
        <x:f>'PROJECT TA Y TB KARINA'!$S108/8</x:f>
        <x:v>0</x:v>
      </x:c>
      <x:c r="JI54" s="128" t="n">
        <x:f>'PROJECT TA Y TB KARINA'!$S108/8</x:f>
        <x:v>0</x:v>
      </x:c>
      <x:c r="JJ54" s="128" t="n">
        <x:f>'PROJECT TA Y TB KARINA'!$S108/8</x:f>
        <x:v>0</x:v>
      </x:c>
      <x:c r="JK54" s="128" t="n">
        <x:f>'PROJECT TA Y TB KARINA'!$S108/8</x:f>
        <x:v>0</x:v>
      </x:c>
      <x:c r="JL54" s="128" t="n">
        <x:f>'PROJECT TA Y TB KARINA'!$T108/8</x:f>
        <x:v>0</x:v>
      </x:c>
      <x:c r="JM54" s="128" t="n">
        <x:f>'PROJECT TA Y TB KARINA'!$T108/8</x:f>
        <x:v>0</x:v>
      </x:c>
      <x:c r="JN54" s="128" t="n">
        <x:f>'PROJECT TA Y TB KARINA'!$T108/8</x:f>
        <x:v>0</x:v>
      </x:c>
      <x:c r="JO54" s="128" t="n">
        <x:f>'PROJECT TA Y TB KARINA'!$T108/8</x:f>
        <x:v>0</x:v>
      </x:c>
      <x:c r="JP54" s="128" t="n">
        <x:f>'PROJECT TA Y TB KARINA'!$T108/8</x:f>
        <x:v>0</x:v>
      </x:c>
      <x:c r="JQ54" s="128" t="n">
        <x:f>'PROJECT TA Y TB KARINA'!$T108/8</x:f>
        <x:v>0</x:v>
      </x:c>
      <x:c r="JR54" s="128" t="n">
        <x:f>'PROJECT TA Y TB KARINA'!$T108/8</x:f>
        <x:v>0</x:v>
      </x:c>
      <x:c r="JS54" s="128" t="n">
        <x:f>'PROJECT TA Y TB KARINA'!$T108/8</x:f>
        <x:v>0</x:v>
      </x:c>
      <x:c r="JT54" s="128" t="e">
        <x:f>'PROJECT TA Y TB KARINA'!#REF!/8</x:f>
        <x:v>#NAME?</x:v>
      </x:c>
      <x:c r="JU54" s="128" t="e">
        <x:f>'PROJECT TA Y TB KARINA'!#REF!/8</x:f>
        <x:v>#NAME?</x:v>
      </x:c>
      <x:c r="JV54" s="128" t="e">
        <x:f>'PROJECT TA Y TB KARINA'!#REF!/8</x:f>
        <x:v>#NAME?</x:v>
      </x:c>
      <x:c r="JW54" s="128" t="e">
        <x:f>'PROJECT TA Y TB KARINA'!#REF!/8</x:f>
        <x:v>#NAME?</x:v>
      </x:c>
      <x:c r="JX54" s="128" t="e">
        <x:f>'PROJECT TA Y TB KARINA'!#REF!/8</x:f>
        <x:v>#NAME?</x:v>
      </x:c>
      <x:c r="JY54" s="128" t="e">
        <x:f>'PROJECT TA Y TB KARINA'!#REF!/8</x:f>
        <x:v>#NAME?</x:v>
      </x:c>
      <x:c r="JZ54" s="128" t="e">
        <x:f>'PROJECT TA Y TB KARINA'!#REF!/8</x:f>
        <x:v>#NAME?</x:v>
      </x:c>
      <x:c r="KA54" s="128" t="e">
        <x:f>'PROJECT TA Y TB KARINA'!#REF!/8</x:f>
        <x:v>#NAME?</x:v>
      </x:c>
    </x:row>
    <x:row r="55" ht="21">
      <x:c r="A55" s="130" t="s">
        <x:v>540</x:v>
      </x:c>
      <x:c r="B55" s="128" t="e">
        <x:f>'PROJECT TA Y TB KARINA'!$C$51/8</x:f>
        <x:v>#REF!</x:v>
      </x:c>
      <x:c r="C55" s="128" t="e">
        <x:f>'PROJECT TA Y TB KARINA'!$C$51/8</x:f>
        <x:v>#REF!</x:v>
      </x:c>
      <x:c r="D55" s="128" t="e">
        <x:f>'PROJECT TA Y TB KARINA'!$C$51/8</x:f>
        <x:v>#REF!</x:v>
      </x:c>
      <x:c r="E55" s="128" t="e">
        <x:f>'PROJECT TA Y TB KARINA'!$C$51/8</x:f>
        <x:v>#REF!</x:v>
      </x:c>
      <x:c r="F55" s="128" t="e">
        <x:f>'PROJECT TA Y TB KARINA'!$C$51/8</x:f>
        <x:v>#REF!</x:v>
      </x:c>
      <x:c r="G55" s="128" t="e">
        <x:f>'PROJECT TA Y TB KARINA'!$C$51/8</x:f>
        <x:v>#REF!</x:v>
      </x:c>
      <x:c r="H55" s="128" t="e">
        <x:f>'PROJECT TA Y TB KARINA'!$C$51/8</x:f>
        <x:v>#REF!</x:v>
      </x:c>
      <x:c r="I55" s="128" t="e">
        <x:f>'PROJECT TA Y TB KARINA'!$E51/8</x:f>
        <x:v>#REF!</x:v>
      </x:c>
      <x:c r="J55" s="128" t="e">
        <x:f>'PROJECT TA Y TB KARINA'!$E51/8</x:f>
        <x:v>#REF!</x:v>
      </x:c>
      <x:c r="K55" s="128" t="e">
        <x:f>'PROJECT TA Y TB KARINA'!$E51/8</x:f>
        <x:v>#REF!</x:v>
      </x:c>
      <x:c r="L55" s="128" t="e">
        <x:f>'PROJECT TA Y TB KARINA'!$E51/8</x:f>
        <x:v>#REF!</x:v>
      </x:c>
      <x:c r="M55" s="128" t="e">
        <x:f>'PROJECT TA Y TB KARINA'!$E51/8</x:f>
        <x:v>#REF!</x:v>
      </x:c>
      <x:c r="N55" s="128" t="e">
        <x:f>'PROJECT TA Y TB KARINA'!$E51/8</x:f>
        <x:v>#REF!</x:v>
      </x:c>
      <x:c r="O55" s="128" t="e">
        <x:f>'PROJECT TA Y TB KARINA'!$E51/8</x:f>
        <x:v>#REF!</x:v>
      </x:c>
      <x:c r="P55" s="128" t="e">
        <x:f>'PROJECT TA Y TB KARINA'!$E51/8</x:f>
        <x:v>#REF!</x:v>
      </x:c>
      <x:c r="Q55" s="128" t="e">
        <x:f>'PROJECT TA Y TB KARINA'!$F51/8</x:f>
        <x:v>#REF!</x:v>
      </x:c>
      <x:c r="R55" s="128" t="e">
        <x:f>'PROJECT TA Y TB KARINA'!$F51/8</x:f>
        <x:v>#REF!</x:v>
      </x:c>
      <x:c r="S55" s="128" t="e">
        <x:f>'PROJECT TA Y TB KARINA'!$F51/8</x:f>
        <x:v>#REF!</x:v>
      </x:c>
      <x:c r="T55" s="128" t="e">
        <x:f>'PROJECT TA Y TB KARINA'!$F51/8</x:f>
        <x:v>#REF!</x:v>
      </x:c>
      <x:c r="U55" s="128" t="e">
        <x:f>'PROJECT TA Y TB KARINA'!$F51/8</x:f>
        <x:v>#REF!</x:v>
      </x:c>
      <x:c r="V55" s="128" t="e">
        <x:f>'PROJECT TA Y TB KARINA'!$F51/8</x:f>
        <x:v>#REF!</x:v>
      </x:c>
      <x:c r="W55" s="128" t="e">
        <x:f>'PROJECT TA Y TB KARINA'!$F51/8</x:f>
        <x:v>#REF!</x:v>
      </x:c>
      <x:c r="X55" s="128" t="e">
        <x:f>'PROJECT TA Y TB KARINA'!$F51/8</x:f>
        <x:v>#REF!</x:v>
      </x:c>
      <x:c r="Y55" s="128" t="e">
        <x:f>'PROJECT TA Y TB KARINA'!$G51/8</x:f>
        <x:v>#REF!</x:v>
      </x:c>
      <x:c r="Z55" s="128" t="e">
        <x:f>'PROJECT TA Y TB KARINA'!$G51/8</x:f>
        <x:v>#REF!</x:v>
      </x:c>
      <x:c r="AA55" s="128" t="e">
        <x:f>'PROJECT TA Y TB KARINA'!$G51/8</x:f>
        <x:v>#REF!</x:v>
      </x:c>
      <x:c r="AB55" s="128" t="e">
        <x:f>'PROJECT TA Y TB KARINA'!$G51/8</x:f>
        <x:v>#REF!</x:v>
      </x:c>
      <x:c r="AC55" s="128" t="e">
        <x:f>'PROJECT TA Y TB KARINA'!$G51/8</x:f>
        <x:v>#REF!</x:v>
      </x:c>
      <x:c r="AD55" s="128" t="e">
        <x:f>'PROJECT TA Y TB KARINA'!$G51/8</x:f>
        <x:v>#REF!</x:v>
      </x:c>
      <x:c r="AE55" s="128" t="e">
        <x:f>'PROJECT TA Y TB KARINA'!$G51/8</x:f>
        <x:v>#REF!</x:v>
      </x:c>
      <x:c r="AF55" s="128" t="e">
        <x:f>'PROJECT TA Y TB KARINA'!$G51/8</x:f>
        <x:v>#REF!</x:v>
      </x:c>
      <x:c r="AG55" s="128" t="e">
        <x:f>'PROJECT TA Y TB KARINA'!$H51/8</x:f>
        <x:v>#REF!</x:v>
      </x:c>
      <x:c r="AH55" s="128" t="e">
        <x:f>'PROJECT TA Y TB KARINA'!$H51/8</x:f>
        <x:v>#REF!</x:v>
      </x:c>
      <x:c r="AI55" s="128" t="e">
        <x:f>'PROJECT TA Y TB KARINA'!$H51/8</x:f>
        <x:v>#REF!</x:v>
      </x:c>
      <x:c r="AJ55" s="128" t="e">
        <x:f>'PROJECT TA Y TB KARINA'!$H51/8</x:f>
        <x:v>#REF!</x:v>
      </x:c>
      <x:c r="AK55" s="128" t="e">
        <x:f>'PROJECT TA Y TB KARINA'!$H51/8</x:f>
        <x:v>#REF!</x:v>
      </x:c>
      <x:c r="AL55" s="128" t="e">
        <x:f>'PROJECT TA Y TB KARINA'!$H51/8</x:f>
        <x:v>#REF!</x:v>
      </x:c>
      <x:c r="AM55" s="128" t="e">
        <x:f>'PROJECT TA Y TB KARINA'!$H51/8</x:f>
        <x:v>#REF!</x:v>
      </x:c>
      <x:c r="AN55" s="128" t="e">
        <x:f>'PROJECT TA Y TB KARINA'!$H51/8</x:f>
        <x:v>#REF!</x:v>
      </x:c>
      <x:c r="AO55" s="128" t="e">
        <x:f>'PROJECT TA Y TB KARINA'!$I51/8</x:f>
        <x:v>#REF!</x:v>
      </x:c>
      <x:c r="AP55" s="128" t="e">
        <x:f>'PROJECT TA Y TB KARINA'!$I51/8</x:f>
        <x:v>#REF!</x:v>
      </x:c>
      <x:c r="AQ55" s="128" t="e">
        <x:f>'PROJECT TA Y TB KARINA'!$I51/8</x:f>
        <x:v>#REF!</x:v>
      </x:c>
      <x:c r="AR55" s="128" t="e">
        <x:f>'PROJECT TA Y TB KARINA'!$I51/8</x:f>
        <x:v>#REF!</x:v>
      </x:c>
      <x:c r="AS55" s="128" t="e">
        <x:f>'PROJECT TA Y TB KARINA'!$I51/8</x:f>
        <x:v>#REF!</x:v>
      </x:c>
      <x:c r="AT55" s="128" t="e">
        <x:f>'PROJECT TA Y TB KARINA'!$I51/8</x:f>
        <x:v>#REF!</x:v>
      </x:c>
      <x:c r="AU55" s="128" t="e">
        <x:f>'PROJECT TA Y TB KARINA'!$I51/8</x:f>
        <x:v>#REF!</x:v>
      </x:c>
      <x:c r="AV55" s="128" t="e">
        <x:f>'PROJECT TA Y TB KARINA'!$I51/8</x:f>
        <x:v>#REF!</x:v>
      </x:c>
      <x:c r="AW55" s="128" t="e">
        <x:f>'PROJECT TA Y TB KARINA'!$J51/8</x:f>
        <x:v>#REF!</x:v>
      </x:c>
      <x:c r="AX55" s="128" t="e">
        <x:f>'PROJECT TA Y TB KARINA'!$J51/8</x:f>
        <x:v>#REF!</x:v>
      </x:c>
      <x:c r="AY55" s="128" t="e">
        <x:f>'PROJECT TA Y TB KARINA'!$J51/8</x:f>
        <x:v>#REF!</x:v>
      </x:c>
      <x:c r="AZ55" s="128" t="e">
        <x:f>'PROJECT TA Y TB KARINA'!$J51/8</x:f>
        <x:v>#REF!</x:v>
      </x:c>
      <x:c r="BA55" s="128" t="e">
        <x:f>'PROJECT TA Y TB KARINA'!$J51/8</x:f>
        <x:v>#REF!</x:v>
      </x:c>
      <x:c r="BB55" s="128" t="e">
        <x:f>'PROJECT TA Y TB KARINA'!$J51/8</x:f>
        <x:v>#REF!</x:v>
      </x:c>
      <x:c r="BC55" s="128" t="e">
        <x:f>'PROJECT TA Y TB KARINA'!$J51/8</x:f>
        <x:v>#REF!</x:v>
      </x:c>
      <x:c r="BD55" s="128" t="e">
        <x:f>'PROJECT TA Y TB KARINA'!$J51/8</x:f>
        <x:v>#REF!</x:v>
      </x:c>
      <x:c r="BE55" s="128" t="e">
        <x:f>'PROJECT TA Y TB KARINA'!$K51/8</x:f>
        <x:v>#REF!</x:v>
      </x:c>
      <x:c r="BF55" s="128" t="e">
        <x:f>'PROJECT TA Y TB KARINA'!$K51/8</x:f>
        <x:v>#REF!</x:v>
      </x:c>
      <x:c r="BG55" s="128" t="e">
        <x:f>'PROJECT TA Y TB KARINA'!$K51/8</x:f>
        <x:v>#REF!</x:v>
      </x:c>
      <x:c r="BH55" s="128" t="e">
        <x:f>'PROJECT TA Y TB KARINA'!$K51/8</x:f>
        <x:v>#REF!</x:v>
      </x:c>
      <x:c r="BI55" s="128" t="e">
        <x:f>'PROJECT TA Y TB KARINA'!$K51/8</x:f>
        <x:v>#REF!</x:v>
      </x:c>
      <x:c r="BJ55" s="128" t="e">
        <x:f>'PROJECT TA Y TB KARINA'!$K51/8</x:f>
        <x:v>#REF!</x:v>
      </x:c>
      <x:c r="BK55" s="128" t="e">
        <x:f>'PROJECT TA Y TB KARINA'!$K51/8</x:f>
        <x:v>#REF!</x:v>
      </x:c>
      <x:c r="BL55" s="128" t="e">
        <x:f>'PROJECT TA Y TB KARINA'!$K51/8</x:f>
        <x:v>#REF!</x:v>
      </x:c>
      <x:c r="BM55" s="128" t="e">
        <x:f>'PROJECT TA Y TB KARINA'!$L51/8</x:f>
        <x:v>#REF!</x:v>
      </x:c>
      <x:c r="BN55" s="128" t="e">
        <x:f>'PROJECT TA Y TB KARINA'!$L51/8</x:f>
        <x:v>#REF!</x:v>
      </x:c>
      <x:c r="BO55" s="128" t="e">
        <x:f>'PROJECT TA Y TB KARINA'!$L51/8</x:f>
        <x:v>#REF!</x:v>
      </x:c>
      <x:c r="BP55" s="128" t="e">
        <x:f>'PROJECT TA Y TB KARINA'!$L51/8</x:f>
        <x:v>#REF!</x:v>
      </x:c>
      <x:c r="BQ55" s="128" t="e">
        <x:f>'PROJECT TA Y TB KARINA'!$L51/8</x:f>
        <x:v>#REF!</x:v>
      </x:c>
      <x:c r="BR55" s="128" t="e">
        <x:f>'PROJECT TA Y TB KARINA'!$L51/8</x:f>
        <x:v>#REF!</x:v>
      </x:c>
      <x:c r="BS55" s="128" t="e">
        <x:f>'PROJECT TA Y TB KARINA'!$L51/8</x:f>
        <x:v>#REF!</x:v>
      </x:c>
      <x:c r="BT55" s="128" t="e">
        <x:f>'PROJECT TA Y TB KARINA'!$L51/8</x:f>
        <x:v>#REF!</x:v>
      </x:c>
      <x:c r="BU55" s="128" t="e">
        <x:f>'PROJECT TA Y TB KARINA'!$M51/8</x:f>
        <x:v>#REF!</x:v>
      </x:c>
      <x:c r="BV55" s="128" t="e">
        <x:f>'PROJECT TA Y TB KARINA'!$M51/8</x:f>
        <x:v>#REF!</x:v>
      </x:c>
      <x:c r="BW55" s="128" t="e">
        <x:f>'PROJECT TA Y TB KARINA'!$M51/8</x:f>
        <x:v>#REF!</x:v>
      </x:c>
      <x:c r="BX55" s="128" t="e">
        <x:f>'PROJECT TA Y TB KARINA'!$M51/8</x:f>
        <x:v>#REF!</x:v>
      </x:c>
      <x:c r="BY55" s="128" t="e">
        <x:f>'PROJECT TA Y TB KARINA'!$M51/8</x:f>
        <x:v>#REF!</x:v>
      </x:c>
      <x:c r="BZ55" s="128" t="e">
        <x:f>'PROJECT TA Y TB KARINA'!$M51/8</x:f>
        <x:v>#REF!</x:v>
      </x:c>
      <x:c r="CA55" s="128" t="e">
        <x:f>'PROJECT TA Y TB KARINA'!$M51/8</x:f>
        <x:v>#REF!</x:v>
      </x:c>
      <x:c r="CB55" s="128" t="e">
        <x:f>'PROJECT TA Y TB KARINA'!$M51/8</x:f>
        <x:v>#REF!</x:v>
      </x:c>
      <x:c r="CC55" s="128" t="e">
        <x:f>'PROJECT TA Y TB KARINA'!$N51/8</x:f>
        <x:v>#REF!</x:v>
      </x:c>
      <x:c r="CD55" s="128" t="e">
        <x:f>'PROJECT TA Y TB KARINA'!$N51/8</x:f>
        <x:v>#REF!</x:v>
      </x:c>
      <x:c r="CE55" s="128" t="e">
        <x:f>'PROJECT TA Y TB KARINA'!$N51/8</x:f>
        <x:v>#REF!</x:v>
      </x:c>
      <x:c r="CF55" s="128" t="e">
        <x:f>'PROJECT TA Y TB KARINA'!$N51/8</x:f>
        <x:v>#REF!</x:v>
      </x:c>
      <x:c r="CG55" s="128" t="e">
        <x:f>'PROJECT TA Y TB KARINA'!$N51/8</x:f>
        <x:v>#REF!</x:v>
      </x:c>
      <x:c r="CH55" s="128" t="e">
        <x:f>'PROJECT TA Y TB KARINA'!$N51/8</x:f>
        <x:v>#REF!</x:v>
      </x:c>
      <x:c r="CI55" s="128" t="e">
        <x:f>'PROJECT TA Y TB KARINA'!$N51/8</x:f>
        <x:v>#REF!</x:v>
      </x:c>
      <x:c r="CJ55" s="128" t="e">
        <x:f>'PROJECT TA Y TB KARINA'!$N51/8</x:f>
        <x:v>#REF!</x:v>
      </x:c>
      <x:c r="CK55" s="128" t="e">
        <x:f>'PROJECT TA Y TB KARINA'!$O51/8</x:f>
        <x:v>#REF!</x:v>
      </x:c>
      <x:c r="CL55" s="128" t="e">
        <x:f>'PROJECT TA Y TB KARINA'!$O51/8</x:f>
        <x:v>#REF!</x:v>
      </x:c>
      <x:c r="CM55" s="128" t="e">
        <x:f>'PROJECT TA Y TB KARINA'!$O51/8</x:f>
        <x:v>#REF!</x:v>
      </x:c>
      <x:c r="CN55" s="128" t="e">
        <x:f>'PROJECT TA Y TB KARINA'!$O51/8</x:f>
        <x:v>#REF!</x:v>
      </x:c>
      <x:c r="CO55" s="128" t="e">
        <x:f>'PROJECT TA Y TB KARINA'!$O51/8</x:f>
        <x:v>#REF!</x:v>
      </x:c>
      <x:c r="CP55" s="128" t="e">
        <x:f>'PROJECT TA Y TB KARINA'!$O51/8</x:f>
        <x:v>#REF!</x:v>
      </x:c>
      <x:c r="CQ55" s="128" t="e">
        <x:f>'PROJECT TA Y TB KARINA'!$O51/8</x:f>
        <x:v>#REF!</x:v>
      </x:c>
      <x:c r="CR55" s="128" t="e">
        <x:f>'PROJECT TA Y TB KARINA'!$O51/8</x:f>
        <x:v>#REF!</x:v>
      </x:c>
      <x:c r="CS55" s="128" t="e">
        <x:f>'PROJECT TA Y TB KARINA'!$P51/8</x:f>
        <x:v>#REF!</x:v>
      </x:c>
      <x:c r="CT55" s="128" t="e">
        <x:f>'PROJECT TA Y TB KARINA'!$P51/8</x:f>
        <x:v>#REF!</x:v>
      </x:c>
      <x:c r="CU55" s="128" t="e">
        <x:f>'PROJECT TA Y TB KARINA'!$P51/8</x:f>
        <x:v>#REF!</x:v>
      </x:c>
      <x:c r="CV55" s="128" t="e">
        <x:f>'PROJECT TA Y TB KARINA'!$P51/8</x:f>
        <x:v>#REF!</x:v>
      </x:c>
      <x:c r="CW55" s="128" t="e">
        <x:f>'PROJECT TA Y TB KARINA'!$P51/8</x:f>
        <x:v>#REF!</x:v>
      </x:c>
      <x:c r="CX55" s="128" t="e">
        <x:f>'PROJECT TA Y TB KARINA'!$P51/8</x:f>
        <x:v>#REF!</x:v>
      </x:c>
      <x:c r="CY55" s="128" t="e">
        <x:f>'PROJECT TA Y TB KARINA'!$P51/8</x:f>
        <x:v>#REF!</x:v>
      </x:c>
      <x:c r="CZ55" s="128" t="e">
        <x:f>'PROJECT TA Y TB KARINA'!$P51/8</x:f>
        <x:v>#REF!</x:v>
      </x:c>
      <x:c r="DA55" s="128" t="e">
        <x:f>'PROJECT TA Y TB KARINA'!$Q51/8</x:f>
        <x:v>#REF!</x:v>
      </x:c>
      <x:c r="DB55" s="128" t="e">
        <x:f>'PROJECT TA Y TB KARINA'!$Q51/8</x:f>
        <x:v>#REF!</x:v>
      </x:c>
      <x:c r="DC55" s="128" t="e">
        <x:f>'PROJECT TA Y TB KARINA'!$Q51/8</x:f>
        <x:v>#REF!</x:v>
      </x:c>
      <x:c r="DD55" s="128" t="e">
        <x:f>'PROJECT TA Y TB KARINA'!$Q51/8</x:f>
        <x:v>#REF!</x:v>
      </x:c>
      <x:c r="DE55" s="128" t="e">
        <x:f>'PROJECT TA Y TB KARINA'!$Q51/8</x:f>
        <x:v>#REF!</x:v>
      </x:c>
      <x:c r="DF55" s="128" t="e">
        <x:f>'PROJECT TA Y TB KARINA'!$Q51/8</x:f>
        <x:v>#REF!</x:v>
      </x:c>
      <x:c r="DG55" s="128" t="e">
        <x:f>'PROJECT TA Y TB KARINA'!$Q51/8</x:f>
        <x:v>#REF!</x:v>
      </x:c>
      <x:c r="DH55" s="128" t="e">
        <x:f>'PROJECT TA Y TB KARINA'!$Q51/8</x:f>
        <x:v>#REF!</x:v>
      </x:c>
      <x:c r="DI55" s="128" t="e">
        <x:f>'PROJECT TA Y TB KARINA'!$R51/8</x:f>
        <x:v>#REF!</x:v>
      </x:c>
      <x:c r="DJ55" s="128" t="e">
        <x:f>'PROJECT TA Y TB KARINA'!$R51/8</x:f>
        <x:v>#REF!</x:v>
      </x:c>
      <x:c r="DK55" s="128" t="e">
        <x:f>'PROJECT TA Y TB KARINA'!$R51/8</x:f>
        <x:v>#REF!</x:v>
      </x:c>
      <x:c r="DL55" s="128" t="e">
        <x:f>'PROJECT TA Y TB KARINA'!$R51/8</x:f>
        <x:v>#REF!</x:v>
      </x:c>
      <x:c r="DM55" s="128" t="e">
        <x:f>'PROJECT TA Y TB KARINA'!$R51/8</x:f>
        <x:v>#REF!</x:v>
      </x:c>
      <x:c r="DN55" s="128" t="e">
        <x:f>'PROJECT TA Y TB KARINA'!$R51/8</x:f>
        <x:v>#REF!</x:v>
      </x:c>
      <x:c r="DO55" s="128" t="e">
        <x:f>'PROJECT TA Y TB KARINA'!$R51/8</x:f>
        <x:v>#REF!</x:v>
      </x:c>
      <x:c r="DP55" s="128" t="e">
        <x:f>'PROJECT TA Y TB KARINA'!$R51/8</x:f>
        <x:v>#REF!</x:v>
      </x:c>
      <x:c r="DQ55" s="128" t="e">
        <x:f>'PROJECT TA Y TB KARINA'!$S51/8</x:f>
        <x:v>#REF!</x:v>
      </x:c>
      <x:c r="DR55" s="128" t="e">
        <x:f>'PROJECT TA Y TB KARINA'!$S51/8</x:f>
        <x:v>#REF!</x:v>
      </x:c>
      <x:c r="DS55" s="128" t="e">
        <x:f>'PROJECT TA Y TB KARINA'!$S51/8</x:f>
        <x:v>#REF!</x:v>
      </x:c>
      <x:c r="DT55" s="128" t="e">
        <x:f>'PROJECT TA Y TB KARINA'!$S51/8</x:f>
        <x:v>#REF!</x:v>
      </x:c>
      <x:c r="DU55" s="128" t="e">
        <x:f>'PROJECT TA Y TB KARINA'!$S51/8</x:f>
        <x:v>#REF!</x:v>
      </x:c>
      <x:c r="DV55" s="128" t="e">
        <x:f>'PROJECT TA Y TB KARINA'!$S51/8</x:f>
        <x:v>#REF!</x:v>
      </x:c>
      <x:c r="DW55" s="128" t="e">
        <x:f>'PROJECT TA Y TB KARINA'!$S51/8</x:f>
        <x:v>#REF!</x:v>
      </x:c>
      <x:c r="DX55" s="128" t="e">
        <x:f>'PROJECT TA Y TB KARINA'!$S51/8</x:f>
        <x:v>#REF!</x:v>
      </x:c>
      <x:c r="DY55" s="128" t="e">
        <x:f>'PROJECT TA Y TB KARINA'!$T51/8</x:f>
        <x:v>#REF!</x:v>
      </x:c>
      <x:c r="DZ55" s="128" t="e">
        <x:f>'PROJECT TA Y TB KARINA'!$T51/8</x:f>
        <x:v>#REF!</x:v>
      </x:c>
      <x:c r="EA55" s="128" t="e">
        <x:f>'PROJECT TA Y TB KARINA'!$T51/8</x:f>
        <x:v>#REF!</x:v>
      </x:c>
      <x:c r="EB55" s="128" t="e">
        <x:f>'PROJECT TA Y TB KARINA'!$T51/8</x:f>
        <x:v>#REF!</x:v>
      </x:c>
      <x:c r="EC55" s="128" t="e">
        <x:f>'PROJECT TA Y TB KARINA'!$T51/8</x:f>
        <x:v>#REF!</x:v>
      </x:c>
      <x:c r="ED55" s="128" t="e">
        <x:f>'PROJECT TA Y TB KARINA'!$T51/8</x:f>
        <x:v>#REF!</x:v>
      </x:c>
      <x:c r="EE55" s="128" t="e">
        <x:f>'PROJECT TA Y TB KARINA'!$T51/8</x:f>
        <x:v>#REF!</x:v>
      </x:c>
      <x:c r="EF55" s="128" t="e">
        <x:f>'PROJECT TA Y TB KARINA'!$T51/8</x:f>
        <x:v>#REF!</x:v>
      </x:c>
      <x:c r="EG55" s="128" t="e">
        <x:f>'PROJECT TA Y TB KARINA'!#REF!/8</x:f>
        <x:v>#NAME?</x:v>
      </x:c>
      <x:c r="EH55" s="128" t="e">
        <x:f>'PROJECT TA Y TB KARINA'!#REF!/8</x:f>
        <x:v>#NAME?</x:v>
      </x:c>
      <x:c r="EI55" s="128" t="e">
        <x:f>'PROJECT TA Y TB KARINA'!#REF!/8</x:f>
        <x:v>#NAME?</x:v>
      </x:c>
      <x:c r="EJ55" s="128" t="e">
        <x:f>'PROJECT TA Y TB KARINA'!#REF!/8</x:f>
        <x:v>#NAME?</x:v>
      </x:c>
      <x:c r="EK55" s="128" t="e">
        <x:f>'PROJECT TA Y TB KARINA'!#REF!/8</x:f>
        <x:v>#NAME?</x:v>
      </x:c>
      <x:c r="EL55" s="128" t="e">
        <x:f>'PROJECT TA Y TB KARINA'!#REF!/8</x:f>
        <x:v>#NAME?</x:v>
      </x:c>
      <x:c r="EM55" s="128" t="e">
        <x:f>'PROJECT TA Y TB KARINA'!#REF!/8</x:f>
        <x:v>#NAME?</x:v>
      </x:c>
      <x:c r="EN55" s="128" t="e">
        <x:f>'PROJECT TA Y TB KARINA'!#REF!/8</x:f>
        <x:v>#NAME?</x:v>
      </x:c>
      <x:c r="EO55" s="128" t="n">
        <x:f>'PROJECT TA Y TB KARINA'!$C109/8</x:f>
        <x:v>0</x:v>
      </x:c>
      <x:c r="EP55" s="128" t="n">
        <x:f>'PROJECT TA Y TB KARINA'!$C109/8</x:f>
        <x:v>0</x:v>
      </x:c>
      <x:c r="EQ55" s="128" t="n">
        <x:f>'PROJECT TA Y TB KARINA'!$C109/8</x:f>
        <x:v>0</x:v>
      </x:c>
      <x:c r="ER55" s="128" t="n">
        <x:f>'PROJECT TA Y TB KARINA'!$C109/8</x:f>
        <x:v>0</x:v>
      </x:c>
      <x:c r="ES55" s="128" t="n">
        <x:f>'PROJECT TA Y TB KARINA'!$C109/8</x:f>
        <x:v>0</x:v>
      </x:c>
      <x:c r="ET55" s="128" t="n">
        <x:f>'PROJECT TA Y TB KARINA'!$C109/8</x:f>
        <x:v>0</x:v>
      </x:c>
      <x:c r="EU55" s="128" t="n">
        <x:f>'PROJECT TA Y TB KARINA'!$C109/8</x:f>
        <x:v>0</x:v>
      </x:c>
      <x:c r="EV55" s="128" t="n">
        <x:f>'PROJECT TA Y TB KARINA'!$E109/8</x:f>
        <x:v>0</x:v>
      </x:c>
      <x:c r="EW55" s="128" t="n">
        <x:f>'PROJECT TA Y TB KARINA'!$E109/8</x:f>
        <x:v>0</x:v>
      </x:c>
      <x:c r="EX55" s="128" t="n">
        <x:f>'PROJECT TA Y TB KARINA'!$E109/8</x:f>
        <x:v>0</x:v>
      </x:c>
      <x:c r="EY55" s="128" t="n">
        <x:f>'PROJECT TA Y TB KARINA'!$E109/8</x:f>
        <x:v>0</x:v>
      </x:c>
      <x:c r="EZ55" s="128" t="n">
        <x:f>'PROJECT TA Y TB KARINA'!$E109/8</x:f>
        <x:v>0</x:v>
      </x:c>
      <x:c r="FA55" s="128" t="n">
        <x:f>'PROJECT TA Y TB KARINA'!$E109/8</x:f>
        <x:v>0</x:v>
      </x:c>
      <x:c r="FB55" s="128" t="n">
        <x:f>'PROJECT TA Y TB KARINA'!$E109/8</x:f>
        <x:v>0</x:v>
      </x:c>
      <x:c r="FC55" s="128" t="n">
        <x:f>'PROJECT TA Y TB KARINA'!$E109/8</x:f>
        <x:v>0</x:v>
      </x:c>
      <x:c r="FD55" s="128" t="n">
        <x:f>'PROJECT TA Y TB KARINA'!$F109/8</x:f>
        <x:v>0</x:v>
      </x:c>
      <x:c r="FE55" s="128" t="n">
        <x:f>'PROJECT TA Y TB KARINA'!$F109/8</x:f>
        <x:v>0</x:v>
      </x:c>
      <x:c r="FF55" s="128" t="n">
        <x:f>'PROJECT TA Y TB KARINA'!$F109/8</x:f>
        <x:v>0</x:v>
      </x:c>
      <x:c r="FG55" s="128" t="n">
        <x:f>'PROJECT TA Y TB KARINA'!$F109/8</x:f>
        <x:v>0</x:v>
      </x:c>
      <x:c r="FH55" s="128" t="n">
        <x:f>'PROJECT TA Y TB KARINA'!$F109/8</x:f>
        <x:v>0</x:v>
      </x:c>
      <x:c r="FI55" s="128" t="n">
        <x:f>'PROJECT TA Y TB KARINA'!$F109/8</x:f>
        <x:v>0</x:v>
      </x:c>
      <x:c r="FJ55" s="128" t="n">
        <x:f>'PROJECT TA Y TB KARINA'!$F109/8</x:f>
        <x:v>0</x:v>
      </x:c>
      <x:c r="FK55" s="128" t="n">
        <x:f>'PROJECT TA Y TB KARINA'!$F109/8</x:f>
        <x:v>0</x:v>
      </x:c>
      <x:c r="FL55" s="128" t="n">
        <x:f>'PROJECT TA Y TB KARINA'!$G109/8</x:f>
        <x:v>0</x:v>
      </x:c>
      <x:c r="FM55" s="128" t="n">
        <x:f>'PROJECT TA Y TB KARINA'!$G109/8</x:f>
        <x:v>0</x:v>
      </x:c>
      <x:c r="FN55" s="128" t="n">
        <x:f>'PROJECT TA Y TB KARINA'!$G109/8</x:f>
        <x:v>0</x:v>
      </x:c>
      <x:c r="FO55" s="128" t="n">
        <x:f>'PROJECT TA Y TB KARINA'!$G109/8</x:f>
        <x:v>0</x:v>
      </x:c>
      <x:c r="FP55" s="128" t="n">
        <x:f>'PROJECT TA Y TB KARINA'!$G109/8</x:f>
        <x:v>0</x:v>
      </x:c>
      <x:c r="FQ55" s="128" t="n">
        <x:f>'PROJECT TA Y TB KARINA'!$G109/8</x:f>
        <x:v>0</x:v>
      </x:c>
      <x:c r="FR55" s="128" t="n">
        <x:f>'PROJECT TA Y TB KARINA'!$G109/8</x:f>
        <x:v>0</x:v>
      </x:c>
      <x:c r="FS55" s="128" t="n">
        <x:f>'PROJECT TA Y TB KARINA'!$G109/8</x:f>
        <x:v>0</x:v>
      </x:c>
      <x:c r="FT55" s="128" t="n">
        <x:f>'PROJECT TA Y TB KARINA'!$H109/8</x:f>
        <x:v>0</x:v>
      </x:c>
      <x:c r="FU55" s="128" t="n">
        <x:f>'PROJECT TA Y TB KARINA'!$H109/8</x:f>
        <x:v>0</x:v>
      </x:c>
      <x:c r="FV55" s="128" t="n">
        <x:f>'PROJECT TA Y TB KARINA'!$H109/8</x:f>
        <x:v>0</x:v>
      </x:c>
      <x:c r="FW55" s="128" t="n">
        <x:f>'PROJECT TA Y TB KARINA'!$H109/8</x:f>
        <x:v>0</x:v>
      </x:c>
      <x:c r="FX55" s="128" t="n">
        <x:f>'PROJECT TA Y TB KARINA'!$H109/8</x:f>
        <x:v>0</x:v>
      </x:c>
      <x:c r="FY55" s="128" t="n">
        <x:f>'PROJECT TA Y TB KARINA'!$H109/8</x:f>
        <x:v>0</x:v>
      </x:c>
      <x:c r="FZ55" s="128" t="n">
        <x:f>'PROJECT TA Y TB KARINA'!$H109/8</x:f>
        <x:v>0</x:v>
      </x:c>
      <x:c r="GA55" s="128" t="n">
        <x:f>'PROJECT TA Y TB KARINA'!$H109/8</x:f>
        <x:v>0</x:v>
      </x:c>
      <x:c r="GB55" s="128" t="n">
        <x:f>'PROJECT TA Y TB KARINA'!$I109/8</x:f>
        <x:v>0</x:v>
      </x:c>
      <x:c r="GC55" s="128" t="n">
        <x:f>'PROJECT TA Y TB KARINA'!$I109/8</x:f>
        <x:v>0</x:v>
      </x:c>
      <x:c r="GD55" s="128" t="n">
        <x:f>'PROJECT TA Y TB KARINA'!$I109/8</x:f>
        <x:v>0</x:v>
      </x:c>
      <x:c r="GE55" s="128" t="n">
        <x:f>'PROJECT TA Y TB KARINA'!$I109/8</x:f>
        <x:v>0</x:v>
      </x:c>
      <x:c r="GF55" s="128" t="n">
        <x:f>'PROJECT TA Y TB KARINA'!$I109/8</x:f>
        <x:v>0</x:v>
      </x:c>
      <x:c r="GG55" s="128" t="n">
        <x:f>'PROJECT TA Y TB KARINA'!$I109/8</x:f>
        <x:v>0</x:v>
      </x:c>
      <x:c r="GH55" s="128" t="n">
        <x:f>'PROJECT TA Y TB KARINA'!$I109/8</x:f>
        <x:v>0</x:v>
      </x:c>
      <x:c r="GI55" s="128" t="n">
        <x:f>'PROJECT TA Y TB KARINA'!$I109/8</x:f>
        <x:v>0</x:v>
      </x:c>
      <x:c r="GJ55" s="128" t="n">
        <x:f>'PROJECT TA Y TB KARINA'!$J109/8</x:f>
        <x:v>0</x:v>
      </x:c>
      <x:c r="GK55" s="128" t="n">
        <x:f>'PROJECT TA Y TB KARINA'!$J109/8</x:f>
        <x:v>0</x:v>
      </x:c>
      <x:c r="GL55" s="128" t="n">
        <x:f>'PROJECT TA Y TB KARINA'!$J109/8</x:f>
        <x:v>0</x:v>
      </x:c>
      <x:c r="GM55" s="128" t="n">
        <x:f>'PROJECT TA Y TB KARINA'!$J109/8</x:f>
        <x:v>0</x:v>
      </x:c>
      <x:c r="GN55" s="128" t="n">
        <x:f>'PROJECT TA Y TB KARINA'!$J109/8</x:f>
        <x:v>0</x:v>
      </x:c>
      <x:c r="GO55" s="128" t="n">
        <x:f>'PROJECT TA Y TB KARINA'!$J109/8</x:f>
        <x:v>0</x:v>
      </x:c>
      <x:c r="GP55" s="128" t="n">
        <x:f>'PROJECT TA Y TB KARINA'!$J109/8</x:f>
        <x:v>0</x:v>
      </x:c>
      <x:c r="GQ55" s="128" t="n">
        <x:f>'PROJECT TA Y TB KARINA'!$J109/8</x:f>
        <x:v>0</x:v>
      </x:c>
      <x:c r="GR55" s="128" t="n">
        <x:f>'PROJECT TA Y TB KARINA'!$K109/8</x:f>
        <x:v>0</x:v>
      </x:c>
      <x:c r="GS55" s="128" t="n">
        <x:f>'PROJECT TA Y TB KARINA'!$K109/8</x:f>
        <x:v>0</x:v>
      </x:c>
      <x:c r="GT55" s="128" t="n">
        <x:f>'PROJECT TA Y TB KARINA'!$K109/8</x:f>
        <x:v>0</x:v>
      </x:c>
      <x:c r="GU55" s="128" t="n">
        <x:f>'PROJECT TA Y TB KARINA'!$K109/8</x:f>
        <x:v>0</x:v>
      </x:c>
      <x:c r="GV55" s="128" t="n">
        <x:f>'PROJECT TA Y TB KARINA'!$K109/8</x:f>
        <x:v>0</x:v>
      </x:c>
      <x:c r="GW55" s="128" t="n">
        <x:f>'PROJECT TA Y TB KARINA'!$K109/8</x:f>
        <x:v>0</x:v>
      </x:c>
      <x:c r="GX55" s="128" t="n">
        <x:f>'PROJECT TA Y TB KARINA'!$K109/8</x:f>
        <x:v>0</x:v>
      </x:c>
      <x:c r="GY55" s="128" t="n">
        <x:f>'PROJECT TA Y TB KARINA'!$K109/8</x:f>
        <x:v>0</x:v>
      </x:c>
      <x:c r="GZ55" s="128" t="n">
        <x:f>'PROJECT TA Y TB KARINA'!$L109/8</x:f>
        <x:v>0</x:v>
      </x:c>
      <x:c r="HA55" s="128" t="n">
        <x:f>'PROJECT TA Y TB KARINA'!$L109/8</x:f>
        <x:v>0</x:v>
      </x:c>
      <x:c r="HB55" s="128" t="n">
        <x:f>'PROJECT TA Y TB KARINA'!$L109/8</x:f>
        <x:v>0</x:v>
      </x:c>
      <x:c r="HC55" s="128" t="n">
        <x:f>'PROJECT TA Y TB KARINA'!$L109/8</x:f>
        <x:v>0</x:v>
      </x:c>
      <x:c r="HD55" s="128" t="n">
        <x:f>'PROJECT TA Y TB KARINA'!$L109/8</x:f>
        <x:v>0</x:v>
      </x:c>
      <x:c r="HE55" s="128" t="n">
        <x:f>'PROJECT TA Y TB KARINA'!$L109/8</x:f>
        <x:v>0</x:v>
      </x:c>
      <x:c r="HF55" s="128" t="n">
        <x:f>'PROJECT TA Y TB KARINA'!$L109/8</x:f>
        <x:v>0</x:v>
      </x:c>
      <x:c r="HG55" s="128" t="n">
        <x:f>'PROJECT TA Y TB KARINA'!$L109/8</x:f>
        <x:v>0</x:v>
      </x:c>
      <x:c r="HH55" s="128" t="n">
        <x:f>'PROJECT TA Y TB KARINA'!$M109/8</x:f>
        <x:v>0</x:v>
      </x:c>
      <x:c r="HI55" s="128" t="n">
        <x:f>'PROJECT TA Y TB KARINA'!$M109/8</x:f>
        <x:v>0</x:v>
      </x:c>
      <x:c r="HJ55" s="128" t="n">
        <x:f>'PROJECT TA Y TB KARINA'!$M109/8</x:f>
        <x:v>0</x:v>
      </x:c>
      <x:c r="HK55" s="128" t="n">
        <x:f>'PROJECT TA Y TB KARINA'!$M109/8</x:f>
        <x:v>0</x:v>
      </x:c>
      <x:c r="HL55" s="128" t="n">
        <x:f>'PROJECT TA Y TB KARINA'!$M109/8</x:f>
        <x:v>0</x:v>
      </x:c>
      <x:c r="HM55" s="128" t="n">
        <x:f>'PROJECT TA Y TB KARINA'!$M109/8</x:f>
        <x:v>0</x:v>
      </x:c>
      <x:c r="HN55" s="128" t="n">
        <x:f>'PROJECT TA Y TB KARINA'!$M109/8</x:f>
        <x:v>0</x:v>
      </x:c>
      <x:c r="HO55" s="128" t="n">
        <x:f>'PROJECT TA Y TB KARINA'!$M109/8</x:f>
        <x:v>0</x:v>
      </x:c>
      <x:c r="HP55" s="128" t="n">
        <x:f>'PROJECT TA Y TB KARINA'!$N109/8</x:f>
        <x:v>0</x:v>
      </x:c>
      <x:c r="HQ55" s="128" t="n">
        <x:f>'PROJECT TA Y TB KARINA'!$N109/8</x:f>
        <x:v>0</x:v>
      </x:c>
      <x:c r="HR55" s="128" t="n">
        <x:f>'PROJECT TA Y TB KARINA'!$N109/8</x:f>
        <x:v>0</x:v>
      </x:c>
      <x:c r="HS55" s="128" t="n">
        <x:f>'PROJECT TA Y TB KARINA'!$N109/8</x:f>
        <x:v>0</x:v>
      </x:c>
      <x:c r="HT55" s="128" t="n">
        <x:f>'PROJECT TA Y TB KARINA'!$N109/8</x:f>
        <x:v>0</x:v>
      </x:c>
      <x:c r="HU55" s="128" t="n">
        <x:f>'PROJECT TA Y TB KARINA'!$N109/8</x:f>
        <x:v>0</x:v>
      </x:c>
      <x:c r="HV55" s="128" t="n">
        <x:f>'PROJECT TA Y TB KARINA'!$N109/8</x:f>
        <x:v>0</x:v>
      </x:c>
      <x:c r="HW55" s="128" t="n">
        <x:f>'PROJECT TA Y TB KARINA'!$N109/8</x:f>
        <x:v>0</x:v>
      </x:c>
      <x:c r="HX55" s="128" t="n">
        <x:f>'PROJECT TA Y TB KARINA'!$O109/8</x:f>
        <x:v>0</x:v>
      </x:c>
      <x:c r="HY55" s="128" t="n">
        <x:f>'PROJECT TA Y TB KARINA'!$O109/8</x:f>
        <x:v>0</x:v>
      </x:c>
      <x:c r="HZ55" s="128" t="n">
        <x:f>'PROJECT TA Y TB KARINA'!$O109/8</x:f>
        <x:v>0</x:v>
      </x:c>
      <x:c r="IA55" s="128" t="n">
        <x:f>'PROJECT TA Y TB KARINA'!$O109/8</x:f>
        <x:v>0</x:v>
      </x:c>
      <x:c r="IB55" s="128" t="n">
        <x:f>'PROJECT TA Y TB KARINA'!$O109/8</x:f>
        <x:v>0</x:v>
      </x:c>
      <x:c r="IC55" s="128" t="n">
        <x:f>'PROJECT TA Y TB KARINA'!$O109/8</x:f>
        <x:v>0</x:v>
      </x:c>
      <x:c r="ID55" s="128" t="n">
        <x:f>'PROJECT TA Y TB KARINA'!$O109/8</x:f>
        <x:v>0</x:v>
      </x:c>
      <x:c r="IE55" s="128" t="n">
        <x:f>'PROJECT TA Y TB KARINA'!$O109/8</x:f>
        <x:v>0</x:v>
      </x:c>
      <x:c r="IF55" s="128" t="n">
        <x:f>'PROJECT TA Y TB KARINA'!$P109/8</x:f>
        <x:v>0</x:v>
      </x:c>
      <x:c r="IG55" s="128" t="n">
        <x:f>'PROJECT TA Y TB KARINA'!$P109/8</x:f>
        <x:v>0</x:v>
      </x:c>
      <x:c r="IH55" s="128" t="n">
        <x:f>'PROJECT TA Y TB KARINA'!$P109/8</x:f>
        <x:v>0</x:v>
      </x:c>
      <x:c r="II55" s="128" t="n">
        <x:f>'PROJECT TA Y TB KARINA'!$P109/8</x:f>
        <x:v>0</x:v>
      </x:c>
      <x:c r="IJ55" s="128" t="n">
        <x:f>'PROJECT TA Y TB KARINA'!$P109/8</x:f>
        <x:v>0</x:v>
      </x:c>
      <x:c r="IK55" s="128" t="n">
        <x:f>'PROJECT TA Y TB KARINA'!$P109/8</x:f>
        <x:v>0</x:v>
      </x:c>
      <x:c r="IL55" s="128" t="n">
        <x:f>'PROJECT TA Y TB KARINA'!$P109/8</x:f>
        <x:v>0</x:v>
      </x:c>
      <x:c r="IM55" s="128" t="n">
        <x:f>'PROJECT TA Y TB KARINA'!$P109/8</x:f>
        <x:v>0</x:v>
      </x:c>
      <x:c r="IN55" s="128" t="n">
        <x:f>'PROJECT TA Y TB KARINA'!$Q109/8</x:f>
        <x:v>0</x:v>
      </x:c>
      <x:c r="IO55" s="128" t="n">
        <x:f>'PROJECT TA Y TB KARINA'!$Q109/8</x:f>
        <x:v>0</x:v>
      </x:c>
      <x:c r="IP55" s="128" t="n">
        <x:f>'PROJECT TA Y TB KARINA'!$Q109/8</x:f>
        <x:v>0</x:v>
      </x:c>
      <x:c r="IQ55" s="128" t="n">
        <x:f>'PROJECT TA Y TB KARINA'!$Q109/8</x:f>
        <x:v>0</x:v>
      </x:c>
      <x:c r="IR55" s="128" t="n">
        <x:f>'PROJECT TA Y TB KARINA'!$Q109/8</x:f>
        <x:v>0</x:v>
      </x:c>
      <x:c r="IS55" s="128" t="n">
        <x:f>'PROJECT TA Y TB KARINA'!$Q109/8</x:f>
        <x:v>0</x:v>
      </x:c>
      <x:c r="IT55" s="128" t="n">
        <x:f>'PROJECT TA Y TB KARINA'!$Q109/8</x:f>
        <x:v>0</x:v>
      </x:c>
      <x:c r="IU55" s="128" t="n">
        <x:f>'PROJECT TA Y TB KARINA'!$Q109/8</x:f>
        <x:v>0</x:v>
      </x:c>
      <x:c r="IV55" s="128" t="n">
        <x:f>'PROJECT TA Y TB KARINA'!$R109/8</x:f>
        <x:v>0</x:v>
      </x:c>
      <x:c r="IW55" s="128" t="n">
        <x:f>'PROJECT TA Y TB KARINA'!$R109/8</x:f>
        <x:v>0</x:v>
      </x:c>
      <x:c r="IX55" s="128" t="n">
        <x:f>'PROJECT TA Y TB KARINA'!$R109/8</x:f>
        <x:v>0</x:v>
      </x:c>
      <x:c r="IY55" s="128" t="n">
        <x:f>'PROJECT TA Y TB KARINA'!$R109/8</x:f>
        <x:v>0</x:v>
      </x:c>
      <x:c r="IZ55" s="128" t="n">
        <x:f>'PROJECT TA Y TB KARINA'!$R109/8</x:f>
        <x:v>0</x:v>
      </x:c>
      <x:c r="JA55" s="128" t="n">
        <x:f>'PROJECT TA Y TB KARINA'!$R109/8</x:f>
        <x:v>0</x:v>
      </x:c>
      <x:c r="JB55" s="128" t="n">
        <x:f>'PROJECT TA Y TB KARINA'!$R109/8</x:f>
        <x:v>0</x:v>
      </x:c>
      <x:c r="JC55" s="128" t="n">
        <x:f>'PROJECT TA Y TB KARINA'!$R109/8</x:f>
        <x:v>0</x:v>
      </x:c>
      <x:c r="JD55" s="128" t="n">
        <x:f>'PROJECT TA Y TB KARINA'!$S109/8</x:f>
        <x:v>0</x:v>
      </x:c>
      <x:c r="JE55" s="128" t="n">
        <x:f>'PROJECT TA Y TB KARINA'!$S109/8</x:f>
        <x:v>0</x:v>
      </x:c>
      <x:c r="JF55" s="128" t="n">
        <x:f>'PROJECT TA Y TB KARINA'!$S109/8</x:f>
        <x:v>0</x:v>
      </x:c>
      <x:c r="JG55" s="128" t="n">
        <x:f>'PROJECT TA Y TB KARINA'!$S109/8</x:f>
        <x:v>0</x:v>
      </x:c>
      <x:c r="JH55" s="128" t="n">
        <x:f>'PROJECT TA Y TB KARINA'!$S109/8</x:f>
        <x:v>0</x:v>
      </x:c>
      <x:c r="JI55" s="128" t="n">
        <x:f>'PROJECT TA Y TB KARINA'!$S109/8</x:f>
        <x:v>0</x:v>
      </x:c>
      <x:c r="JJ55" s="128" t="n">
        <x:f>'PROJECT TA Y TB KARINA'!$S109/8</x:f>
        <x:v>0</x:v>
      </x:c>
      <x:c r="JK55" s="128" t="n">
        <x:f>'PROJECT TA Y TB KARINA'!$S109/8</x:f>
        <x:v>0</x:v>
      </x:c>
      <x:c r="JL55" s="128" t="n">
        <x:f>'PROJECT TA Y TB KARINA'!$T109/8</x:f>
        <x:v>0</x:v>
      </x:c>
      <x:c r="JM55" s="128" t="n">
        <x:f>'PROJECT TA Y TB KARINA'!$T109/8</x:f>
        <x:v>0</x:v>
      </x:c>
      <x:c r="JN55" s="128" t="n">
        <x:f>'PROJECT TA Y TB KARINA'!$T109/8</x:f>
        <x:v>0</x:v>
      </x:c>
      <x:c r="JO55" s="128" t="n">
        <x:f>'PROJECT TA Y TB KARINA'!$T109/8</x:f>
        <x:v>0</x:v>
      </x:c>
      <x:c r="JP55" s="128" t="n">
        <x:f>'PROJECT TA Y TB KARINA'!$T109/8</x:f>
        <x:v>0</x:v>
      </x:c>
      <x:c r="JQ55" s="128" t="n">
        <x:f>'PROJECT TA Y TB KARINA'!$T109/8</x:f>
        <x:v>0</x:v>
      </x:c>
      <x:c r="JR55" s="128" t="n">
        <x:f>'PROJECT TA Y TB KARINA'!$T109/8</x:f>
        <x:v>0</x:v>
      </x:c>
      <x:c r="JS55" s="128" t="n">
        <x:f>'PROJECT TA Y TB KARINA'!$T109/8</x:f>
        <x:v>0</x:v>
      </x:c>
      <x:c r="JT55" s="128" t="e">
        <x:f>'PROJECT TA Y TB KARINA'!#REF!/8</x:f>
        <x:v>#NAME?</x:v>
      </x:c>
      <x:c r="JU55" s="128" t="e">
        <x:f>'PROJECT TA Y TB KARINA'!#REF!/8</x:f>
        <x:v>#NAME?</x:v>
      </x:c>
      <x:c r="JV55" s="128" t="e">
        <x:f>'PROJECT TA Y TB KARINA'!#REF!/8</x:f>
        <x:v>#NAME?</x:v>
      </x:c>
      <x:c r="JW55" s="128" t="e">
        <x:f>'PROJECT TA Y TB KARINA'!#REF!/8</x:f>
        <x:v>#NAME?</x:v>
      </x:c>
      <x:c r="JX55" s="128" t="e">
        <x:f>'PROJECT TA Y TB KARINA'!#REF!/8</x:f>
        <x:v>#NAME?</x:v>
      </x:c>
      <x:c r="JY55" s="128" t="e">
        <x:f>'PROJECT TA Y TB KARINA'!#REF!/8</x:f>
        <x:v>#NAME?</x:v>
      </x:c>
      <x:c r="JZ55" s="128" t="e">
        <x:f>'PROJECT TA Y TB KARINA'!#REF!/8</x:f>
        <x:v>#NAME?</x:v>
      </x:c>
      <x:c r="KA55" s="128" t="e">
        <x:f>'PROJECT TA Y TB KARINA'!#REF!/8</x:f>
        <x:v>#NAME?</x:v>
      </x:c>
    </x:row>
    <x:row r="56" ht="21">
      <x:c r="A56" s="130" t="s">
        <x:v>541</x:v>
      </x:c>
      <x:c r="B56" s="128" t="e">
        <x:f>'PROJECT TA Y TB KARINA'!$C$52/8</x:f>
        <x:v>#REF!</x:v>
      </x:c>
      <x:c r="C56" s="128" t="e">
        <x:f>'PROJECT TA Y TB KARINA'!$C$52/8</x:f>
        <x:v>#REF!</x:v>
      </x:c>
      <x:c r="D56" s="128" t="e">
        <x:f>'PROJECT TA Y TB KARINA'!$C$52/8</x:f>
        <x:v>#REF!</x:v>
      </x:c>
      <x:c r="E56" s="128" t="e">
        <x:f>'PROJECT TA Y TB KARINA'!$C$52/8</x:f>
        <x:v>#REF!</x:v>
      </x:c>
      <x:c r="F56" s="128" t="e">
        <x:f>'PROJECT TA Y TB KARINA'!$C$52/8</x:f>
        <x:v>#REF!</x:v>
      </x:c>
      <x:c r="G56" s="128" t="e">
        <x:f>'PROJECT TA Y TB KARINA'!$C$52/8</x:f>
        <x:v>#REF!</x:v>
      </x:c>
      <x:c r="H56" s="128" t="e">
        <x:f>'PROJECT TA Y TB KARINA'!$C$52/8</x:f>
        <x:v>#REF!</x:v>
      </x:c>
      <x:c r="I56" s="128" t="e">
        <x:f>'PROJECT TA Y TB KARINA'!$E52/8</x:f>
        <x:v>#REF!</x:v>
      </x:c>
      <x:c r="J56" s="128" t="e">
        <x:f>'PROJECT TA Y TB KARINA'!$E52/8</x:f>
        <x:v>#REF!</x:v>
      </x:c>
      <x:c r="K56" s="128" t="e">
        <x:f>'PROJECT TA Y TB KARINA'!$E52/8</x:f>
        <x:v>#REF!</x:v>
      </x:c>
      <x:c r="L56" s="128" t="e">
        <x:f>'PROJECT TA Y TB KARINA'!$E52/8</x:f>
        <x:v>#REF!</x:v>
      </x:c>
      <x:c r="M56" s="128" t="e">
        <x:f>'PROJECT TA Y TB KARINA'!$E52/8</x:f>
        <x:v>#REF!</x:v>
      </x:c>
      <x:c r="N56" s="128" t="e">
        <x:f>'PROJECT TA Y TB KARINA'!$E52/8</x:f>
        <x:v>#REF!</x:v>
      </x:c>
      <x:c r="O56" s="128" t="e">
        <x:f>'PROJECT TA Y TB KARINA'!$E52/8</x:f>
        <x:v>#REF!</x:v>
      </x:c>
      <x:c r="P56" s="128" t="e">
        <x:f>'PROJECT TA Y TB KARINA'!$E52/8</x:f>
        <x:v>#REF!</x:v>
      </x:c>
      <x:c r="Q56" s="128" t="e">
        <x:f>'PROJECT TA Y TB KARINA'!$F52/8</x:f>
        <x:v>#REF!</x:v>
      </x:c>
      <x:c r="R56" s="128" t="e">
        <x:f>'PROJECT TA Y TB KARINA'!$F52/8</x:f>
        <x:v>#REF!</x:v>
      </x:c>
      <x:c r="S56" s="128" t="e">
        <x:f>'PROJECT TA Y TB KARINA'!$F52/8</x:f>
        <x:v>#REF!</x:v>
      </x:c>
      <x:c r="T56" s="128" t="e">
        <x:f>'PROJECT TA Y TB KARINA'!$F52/8</x:f>
        <x:v>#REF!</x:v>
      </x:c>
      <x:c r="U56" s="128" t="e">
        <x:f>'PROJECT TA Y TB KARINA'!$F52/8</x:f>
        <x:v>#REF!</x:v>
      </x:c>
      <x:c r="V56" s="128" t="e">
        <x:f>'PROJECT TA Y TB KARINA'!$F52/8</x:f>
        <x:v>#REF!</x:v>
      </x:c>
      <x:c r="W56" s="128" t="e">
        <x:f>'PROJECT TA Y TB KARINA'!$F52/8</x:f>
        <x:v>#REF!</x:v>
      </x:c>
      <x:c r="X56" s="128" t="e">
        <x:f>'PROJECT TA Y TB KARINA'!$F52/8</x:f>
        <x:v>#REF!</x:v>
      </x:c>
      <x:c r="Y56" s="128" t="e">
        <x:f>'PROJECT TA Y TB KARINA'!$G52/8</x:f>
        <x:v>#REF!</x:v>
      </x:c>
      <x:c r="Z56" s="128" t="e">
        <x:f>'PROJECT TA Y TB KARINA'!$G52/8</x:f>
        <x:v>#REF!</x:v>
      </x:c>
      <x:c r="AA56" s="128" t="e">
        <x:f>'PROJECT TA Y TB KARINA'!$G52/8</x:f>
        <x:v>#REF!</x:v>
      </x:c>
      <x:c r="AB56" s="128" t="e">
        <x:f>'PROJECT TA Y TB KARINA'!$G52/8</x:f>
        <x:v>#REF!</x:v>
      </x:c>
      <x:c r="AC56" s="128" t="e">
        <x:f>'PROJECT TA Y TB KARINA'!$G52/8</x:f>
        <x:v>#REF!</x:v>
      </x:c>
      <x:c r="AD56" s="128" t="e">
        <x:f>'PROJECT TA Y TB KARINA'!$G52/8</x:f>
        <x:v>#REF!</x:v>
      </x:c>
      <x:c r="AE56" s="128" t="e">
        <x:f>'PROJECT TA Y TB KARINA'!$G52/8</x:f>
        <x:v>#REF!</x:v>
      </x:c>
      <x:c r="AF56" s="128" t="e">
        <x:f>'PROJECT TA Y TB KARINA'!$G52/8</x:f>
        <x:v>#REF!</x:v>
      </x:c>
      <x:c r="AG56" s="128" t="e">
        <x:f>'PROJECT TA Y TB KARINA'!$H52/8</x:f>
        <x:v>#REF!</x:v>
      </x:c>
      <x:c r="AH56" s="128" t="e">
        <x:f>'PROJECT TA Y TB KARINA'!$H52/8</x:f>
        <x:v>#REF!</x:v>
      </x:c>
      <x:c r="AI56" s="128" t="e">
        <x:f>'PROJECT TA Y TB KARINA'!$H52/8</x:f>
        <x:v>#REF!</x:v>
      </x:c>
      <x:c r="AJ56" s="128" t="e">
        <x:f>'PROJECT TA Y TB KARINA'!$H52/8</x:f>
        <x:v>#REF!</x:v>
      </x:c>
      <x:c r="AK56" s="128" t="e">
        <x:f>'PROJECT TA Y TB KARINA'!$H52/8</x:f>
        <x:v>#REF!</x:v>
      </x:c>
      <x:c r="AL56" s="128" t="e">
        <x:f>'PROJECT TA Y TB KARINA'!$H52/8</x:f>
        <x:v>#REF!</x:v>
      </x:c>
      <x:c r="AM56" s="128" t="e">
        <x:f>'PROJECT TA Y TB KARINA'!$H52/8</x:f>
        <x:v>#REF!</x:v>
      </x:c>
      <x:c r="AN56" s="128" t="e">
        <x:f>'PROJECT TA Y TB KARINA'!$H52/8</x:f>
        <x:v>#REF!</x:v>
      </x:c>
      <x:c r="AO56" s="128" t="e">
        <x:f>'PROJECT TA Y TB KARINA'!$I52/8</x:f>
        <x:v>#REF!</x:v>
      </x:c>
      <x:c r="AP56" s="128" t="e">
        <x:f>'PROJECT TA Y TB KARINA'!$I52/8</x:f>
        <x:v>#REF!</x:v>
      </x:c>
      <x:c r="AQ56" s="128" t="e">
        <x:f>'PROJECT TA Y TB KARINA'!$I52/8</x:f>
        <x:v>#REF!</x:v>
      </x:c>
      <x:c r="AR56" s="128" t="e">
        <x:f>'PROJECT TA Y TB KARINA'!$I52/8</x:f>
        <x:v>#REF!</x:v>
      </x:c>
      <x:c r="AS56" s="128" t="e">
        <x:f>'PROJECT TA Y TB KARINA'!$I52/8</x:f>
        <x:v>#REF!</x:v>
      </x:c>
      <x:c r="AT56" s="128" t="e">
        <x:f>'PROJECT TA Y TB KARINA'!$I52/8</x:f>
        <x:v>#REF!</x:v>
      </x:c>
      <x:c r="AU56" s="128" t="e">
        <x:f>'PROJECT TA Y TB KARINA'!$I52/8</x:f>
        <x:v>#REF!</x:v>
      </x:c>
      <x:c r="AV56" s="128" t="e">
        <x:f>'PROJECT TA Y TB KARINA'!$I52/8</x:f>
        <x:v>#REF!</x:v>
      </x:c>
      <x:c r="AW56" s="128" t="e">
        <x:f>'PROJECT TA Y TB KARINA'!$J52/8</x:f>
        <x:v>#REF!</x:v>
      </x:c>
      <x:c r="AX56" s="128" t="e">
        <x:f>'PROJECT TA Y TB KARINA'!$J52/8</x:f>
        <x:v>#REF!</x:v>
      </x:c>
      <x:c r="AY56" s="128" t="e">
        <x:f>'PROJECT TA Y TB KARINA'!$J52/8</x:f>
        <x:v>#REF!</x:v>
      </x:c>
      <x:c r="AZ56" s="128" t="e">
        <x:f>'PROJECT TA Y TB KARINA'!$J52/8</x:f>
        <x:v>#REF!</x:v>
      </x:c>
      <x:c r="BA56" s="128" t="e">
        <x:f>'PROJECT TA Y TB KARINA'!$J52/8</x:f>
        <x:v>#REF!</x:v>
      </x:c>
      <x:c r="BB56" s="128" t="e">
        <x:f>'PROJECT TA Y TB KARINA'!$J52/8</x:f>
        <x:v>#REF!</x:v>
      </x:c>
      <x:c r="BC56" s="128" t="e">
        <x:f>'PROJECT TA Y TB KARINA'!$J52/8</x:f>
        <x:v>#REF!</x:v>
      </x:c>
      <x:c r="BD56" s="128" t="e">
        <x:f>'PROJECT TA Y TB KARINA'!$J52/8</x:f>
        <x:v>#REF!</x:v>
      </x:c>
      <x:c r="BE56" s="128" t="e">
        <x:f>'PROJECT TA Y TB KARINA'!$K52/8</x:f>
        <x:v>#REF!</x:v>
      </x:c>
      <x:c r="BF56" s="128" t="e">
        <x:f>'PROJECT TA Y TB KARINA'!$K52/8</x:f>
        <x:v>#REF!</x:v>
      </x:c>
      <x:c r="BG56" s="128" t="e">
        <x:f>'PROJECT TA Y TB KARINA'!$K52/8</x:f>
        <x:v>#REF!</x:v>
      </x:c>
      <x:c r="BH56" s="128" t="e">
        <x:f>'PROJECT TA Y TB KARINA'!$K52/8</x:f>
        <x:v>#REF!</x:v>
      </x:c>
      <x:c r="BI56" s="128" t="e">
        <x:f>'PROJECT TA Y TB KARINA'!$K52/8</x:f>
        <x:v>#REF!</x:v>
      </x:c>
      <x:c r="BJ56" s="128" t="e">
        <x:f>'PROJECT TA Y TB KARINA'!$K52/8</x:f>
        <x:v>#REF!</x:v>
      </x:c>
      <x:c r="BK56" s="128" t="e">
        <x:f>'PROJECT TA Y TB KARINA'!$K52/8</x:f>
        <x:v>#REF!</x:v>
      </x:c>
      <x:c r="BL56" s="128" t="e">
        <x:f>'PROJECT TA Y TB KARINA'!$K52/8</x:f>
        <x:v>#REF!</x:v>
      </x:c>
      <x:c r="BM56" s="128" t="e">
        <x:f>'PROJECT TA Y TB KARINA'!$L52/8</x:f>
        <x:v>#REF!</x:v>
      </x:c>
      <x:c r="BN56" s="128" t="e">
        <x:f>'PROJECT TA Y TB KARINA'!$L52/8</x:f>
        <x:v>#REF!</x:v>
      </x:c>
      <x:c r="BO56" s="128" t="e">
        <x:f>'PROJECT TA Y TB KARINA'!$L52/8</x:f>
        <x:v>#REF!</x:v>
      </x:c>
      <x:c r="BP56" s="128" t="e">
        <x:f>'PROJECT TA Y TB KARINA'!$L52/8</x:f>
        <x:v>#REF!</x:v>
      </x:c>
      <x:c r="BQ56" s="128" t="e">
        <x:f>'PROJECT TA Y TB KARINA'!$L52/8</x:f>
        <x:v>#REF!</x:v>
      </x:c>
      <x:c r="BR56" s="128" t="e">
        <x:f>'PROJECT TA Y TB KARINA'!$L52/8</x:f>
        <x:v>#REF!</x:v>
      </x:c>
      <x:c r="BS56" s="128" t="e">
        <x:f>'PROJECT TA Y TB KARINA'!$L52/8</x:f>
        <x:v>#REF!</x:v>
      </x:c>
      <x:c r="BT56" s="128" t="e">
        <x:f>'PROJECT TA Y TB KARINA'!$L52/8</x:f>
        <x:v>#REF!</x:v>
      </x:c>
      <x:c r="BU56" s="128" t="e">
        <x:f>'PROJECT TA Y TB KARINA'!$M52/8</x:f>
        <x:v>#REF!</x:v>
      </x:c>
      <x:c r="BV56" s="128" t="e">
        <x:f>'PROJECT TA Y TB KARINA'!$M52/8</x:f>
        <x:v>#REF!</x:v>
      </x:c>
      <x:c r="BW56" s="128" t="e">
        <x:f>'PROJECT TA Y TB KARINA'!$M52/8</x:f>
        <x:v>#REF!</x:v>
      </x:c>
      <x:c r="BX56" s="128" t="e">
        <x:f>'PROJECT TA Y TB KARINA'!$M52/8</x:f>
        <x:v>#REF!</x:v>
      </x:c>
      <x:c r="BY56" s="128" t="e">
        <x:f>'PROJECT TA Y TB KARINA'!$M52/8</x:f>
        <x:v>#REF!</x:v>
      </x:c>
      <x:c r="BZ56" s="128" t="e">
        <x:f>'PROJECT TA Y TB KARINA'!$M52/8</x:f>
        <x:v>#REF!</x:v>
      </x:c>
      <x:c r="CA56" s="128" t="e">
        <x:f>'PROJECT TA Y TB KARINA'!$M52/8</x:f>
        <x:v>#REF!</x:v>
      </x:c>
      <x:c r="CB56" s="128" t="e">
        <x:f>'PROJECT TA Y TB KARINA'!$M52/8</x:f>
        <x:v>#REF!</x:v>
      </x:c>
      <x:c r="CC56" s="128" t="e">
        <x:f>'PROJECT TA Y TB KARINA'!$N52/8</x:f>
        <x:v>#REF!</x:v>
      </x:c>
      <x:c r="CD56" s="128" t="e">
        <x:f>'PROJECT TA Y TB KARINA'!$N52/8</x:f>
        <x:v>#REF!</x:v>
      </x:c>
      <x:c r="CE56" s="128" t="e">
        <x:f>'PROJECT TA Y TB KARINA'!$N52/8</x:f>
        <x:v>#REF!</x:v>
      </x:c>
      <x:c r="CF56" s="128" t="e">
        <x:f>'PROJECT TA Y TB KARINA'!$N52/8</x:f>
        <x:v>#REF!</x:v>
      </x:c>
      <x:c r="CG56" s="128" t="e">
        <x:f>'PROJECT TA Y TB KARINA'!$N52/8</x:f>
        <x:v>#REF!</x:v>
      </x:c>
      <x:c r="CH56" s="128" t="e">
        <x:f>'PROJECT TA Y TB KARINA'!$N52/8</x:f>
        <x:v>#REF!</x:v>
      </x:c>
      <x:c r="CI56" s="128" t="e">
        <x:f>'PROJECT TA Y TB KARINA'!$N52/8</x:f>
        <x:v>#REF!</x:v>
      </x:c>
      <x:c r="CJ56" s="128" t="e">
        <x:f>'PROJECT TA Y TB KARINA'!$N52/8</x:f>
        <x:v>#REF!</x:v>
      </x:c>
      <x:c r="CK56" s="128" t="e">
        <x:f>'PROJECT TA Y TB KARINA'!$O52/8</x:f>
        <x:v>#REF!</x:v>
      </x:c>
      <x:c r="CL56" s="128" t="e">
        <x:f>'PROJECT TA Y TB KARINA'!$O52/8</x:f>
        <x:v>#REF!</x:v>
      </x:c>
      <x:c r="CM56" s="128" t="e">
        <x:f>'PROJECT TA Y TB KARINA'!$O52/8</x:f>
        <x:v>#REF!</x:v>
      </x:c>
      <x:c r="CN56" s="128" t="e">
        <x:f>'PROJECT TA Y TB KARINA'!$O52/8</x:f>
        <x:v>#REF!</x:v>
      </x:c>
      <x:c r="CO56" s="128" t="e">
        <x:f>'PROJECT TA Y TB KARINA'!$O52/8</x:f>
        <x:v>#REF!</x:v>
      </x:c>
      <x:c r="CP56" s="128" t="e">
        <x:f>'PROJECT TA Y TB KARINA'!$O52/8</x:f>
        <x:v>#REF!</x:v>
      </x:c>
      <x:c r="CQ56" s="128" t="e">
        <x:f>'PROJECT TA Y TB KARINA'!$O52/8</x:f>
        <x:v>#REF!</x:v>
      </x:c>
      <x:c r="CR56" s="128" t="e">
        <x:f>'PROJECT TA Y TB KARINA'!$O52/8</x:f>
        <x:v>#REF!</x:v>
      </x:c>
      <x:c r="CS56" s="128" t="e">
        <x:f>'PROJECT TA Y TB KARINA'!$P52/8</x:f>
        <x:v>#REF!</x:v>
      </x:c>
      <x:c r="CT56" s="128" t="e">
        <x:f>'PROJECT TA Y TB KARINA'!$P52/8</x:f>
        <x:v>#REF!</x:v>
      </x:c>
      <x:c r="CU56" s="128" t="e">
        <x:f>'PROJECT TA Y TB KARINA'!$P52/8</x:f>
        <x:v>#REF!</x:v>
      </x:c>
      <x:c r="CV56" s="128" t="e">
        <x:f>'PROJECT TA Y TB KARINA'!$P52/8</x:f>
        <x:v>#REF!</x:v>
      </x:c>
      <x:c r="CW56" s="128" t="e">
        <x:f>'PROJECT TA Y TB KARINA'!$P52/8</x:f>
        <x:v>#REF!</x:v>
      </x:c>
      <x:c r="CX56" s="128" t="e">
        <x:f>'PROJECT TA Y TB KARINA'!$P52/8</x:f>
        <x:v>#REF!</x:v>
      </x:c>
      <x:c r="CY56" s="128" t="e">
        <x:f>'PROJECT TA Y TB KARINA'!$P52/8</x:f>
        <x:v>#REF!</x:v>
      </x:c>
      <x:c r="CZ56" s="128" t="e">
        <x:f>'PROJECT TA Y TB KARINA'!$P52/8</x:f>
        <x:v>#REF!</x:v>
      </x:c>
      <x:c r="DA56" s="128" t="e">
        <x:f>'PROJECT TA Y TB KARINA'!$Q52/8</x:f>
        <x:v>#REF!</x:v>
      </x:c>
      <x:c r="DB56" s="128" t="e">
        <x:f>'PROJECT TA Y TB KARINA'!$Q52/8</x:f>
        <x:v>#REF!</x:v>
      </x:c>
      <x:c r="DC56" s="128" t="e">
        <x:f>'PROJECT TA Y TB KARINA'!$Q52/8</x:f>
        <x:v>#REF!</x:v>
      </x:c>
      <x:c r="DD56" s="128" t="e">
        <x:f>'PROJECT TA Y TB KARINA'!$Q52/8</x:f>
        <x:v>#REF!</x:v>
      </x:c>
      <x:c r="DE56" s="128" t="e">
        <x:f>'PROJECT TA Y TB KARINA'!$Q52/8</x:f>
        <x:v>#REF!</x:v>
      </x:c>
      <x:c r="DF56" s="128" t="e">
        <x:f>'PROJECT TA Y TB KARINA'!$Q52/8</x:f>
        <x:v>#REF!</x:v>
      </x:c>
      <x:c r="DG56" s="128" t="e">
        <x:f>'PROJECT TA Y TB KARINA'!$Q52/8</x:f>
        <x:v>#REF!</x:v>
      </x:c>
      <x:c r="DH56" s="128" t="e">
        <x:f>'PROJECT TA Y TB KARINA'!$Q52/8</x:f>
        <x:v>#REF!</x:v>
      </x:c>
      <x:c r="DI56" s="128" t="e">
        <x:f>'PROJECT TA Y TB KARINA'!$R52/8</x:f>
        <x:v>#REF!</x:v>
      </x:c>
      <x:c r="DJ56" s="128" t="e">
        <x:f>'PROJECT TA Y TB KARINA'!$R52/8</x:f>
        <x:v>#REF!</x:v>
      </x:c>
      <x:c r="DK56" s="128" t="e">
        <x:f>'PROJECT TA Y TB KARINA'!$R52/8</x:f>
        <x:v>#REF!</x:v>
      </x:c>
      <x:c r="DL56" s="128" t="e">
        <x:f>'PROJECT TA Y TB KARINA'!$R52/8</x:f>
        <x:v>#REF!</x:v>
      </x:c>
      <x:c r="DM56" s="128" t="e">
        <x:f>'PROJECT TA Y TB KARINA'!$R52/8</x:f>
        <x:v>#REF!</x:v>
      </x:c>
      <x:c r="DN56" s="128" t="e">
        <x:f>'PROJECT TA Y TB KARINA'!$R52/8</x:f>
        <x:v>#REF!</x:v>
      </x:c>
      <x:c r="DO56" s="128" t="e">
        <x:f>'PROJECT TA Y TB KARINA'!$R52/8</x:f>
        <x:v>#REF!</x:v>
      </x:c>
      <x:c r="DP56" s="128" t="e">
        <x:f>'PROJECT TA Y TB KARINA'!$R52/8</x:f>
        <x:v>#REF!</x:v>
      </x:c>
      <x:c r="DQ56" s="128" t="e">
        <x:f>'PROJECT TA Y TB KARINA'!$S52/8</x:f>
        <x:v>#REF!</x:v>
      </x:c>
      <x:c r="DR56" s="128" t="e">
        <x:f>'PROJECT TA Y TB KARINA'!$S52/8</x:f>
        <x:v>#REF!</x:v>
      </x:c>
      <x:c r="DS56" s="128" t="e">
        <x:f>'PROJECT TA Y TB KARINA'!$S52/8</x:f>
        <x:v>#REF!</x:v>
      </x:c>
      <x:c r="DT56" s="128" t="e">
        <x:f>'PROJECT TA Y TB KARINA'!$S52/8</x:f>
        <x:v>#REF!</x:v>
      </x:c>
      <x:c r="DU56" s="128" t="e">
        <x:f>'PROJECT TA Y TB KARINA'!$S52/8</x:f>
        <x:v>#REF!</x:v>
      </x:c>
      <x:c r="DV56" s="128" t="e">
        <x:f>'PROJECT TA Y TB KARINA'!$S52/8</x:f>
        <x:v>#REF!</x:v>
      </x:c>
      <x:c r="DW56" s="128" t="e">
        <x:f>'PROJECT TA Y TB KARINA'!$S52/8</x:f>
        <x:v>#REF!</x:v>
      </x:c>
      <x:c r="DX56" s="128" t="e">
        <x:f>'PROJECT TA Y TB KARINA'!$S52/8</x:f>
        <x:v>#REF!</x:v>
      </x:c>
      <x:c r="DY56" s="128" t="e">
        <x:f>'PROJECT TA Y TB KARINA'!$T52/8</x:f>
        <x:v>#REF!</x:v>
      </x:c>
      <x:c r="DZ56" s="128" t="e">
        <x:f>'PROJECT TA Y TB KARINA'!$T52/8</x:f>
        <x:v>#REF!</x:v>
      </x:c>
      <x:c r="EA56" s="128" t="e">
        <x:f>'PROJECT TA Y TB KARINA'!$T52/8</x:f>
        <x:v>#REF!</x:v>
      </x:c>
      <x:c r="EB56" s="128" t="e">
        <x:f>'PROJECT TA Y TB KARINA'!$T52/8</x:f>
        <x:v>#REF!</x:v>
      </x:c>
      <x:c r="EC56" s="128" t="e">
        <x:f>'PROJECT TA Y TB KARINA'!$T52/8</x:f>
        <x:v>#REF!</x:v>
      </x:c>
      <x:c r="ED56" s="128" t="e">
        <x:f>'PROJECT TA Y TB KARINA'!$T52/8</x:f>
        <x:v>#REF!</x:v>
      </x:c>
      <x:c r="EE56" s="128" t="e">
        <x:f>'PROJECT TA Y TB KARINA'!$T52/8</x:f>
        <x:v>#REF!</x:v>
      </x:c>
      <x:c r="EF56" s="128" t="e">
        <x:f>'PROJECT TA Y TB KARINA'!$T52/8</x:f>
        <x:v>#REF!</x:v>
      </x:c>
      <x:c r="EG56" s="128" t="e">
        <x:f>'PROJECT TA Y TB KARINA'!#REF!/8</x:f>
        <x:v>#NAME?</x:v>
      </x:c>
      <x:c r="EH56" s="128" t="e">
        <x:f>'PROJECT TA Y TB KARINA'!#REF!/8</x:f>
        <x:v>#NAME?</x:v>
      </x:c>
      <x:c r="EI56" s="128" t="e">
        <x:f>'PROJECT TA Y TB KARINA'!#REF!/8</x:f>
        <x:v>#NAME?</x:v>
      </x:c>
      <x:c r="EJ56" s="128" t="e">
        <x:f>'PROJECT TA Y TB KARINA'!#REF!/8</x:f>
        <x:v>#NAME?</x:v>
      </x:c>
      <x:c r="EK56" s="128" t="e">
        <x:f>'PROJECT TA Y TB KARINA'!#REF!/8</x:f>
        <x:v>#NAME?</x:v>
      </x:c>
      <x:c r="EL56" s="128" t="e">
        <x:f>'PROJECT TA Y TB KARINA'!#REF!/8</x:f>
        <x:v>#NAME?</x:v>
      </x:c>
      <x:c r="EM56" s="128" t="e">
        <x:f>'PROJECT TA Y TB KARINA'!#REF!/8</x:f>
        <x:v>#NAME?</x:v>
      </x:c>
      <x:c r="EN56" s="128" t="e">
        <x:f>'PROJECT TA Y TB KARINA'!#REF!/8</x:f>
        <x:v>#NAME?</x:v>
      </x:c>
      <x:c r="EO56" s="128" t="n">
        <x:f>'PROJECT TA Y TB KARINA'!$C110/8</x:f>
        <x:v>0</x:v>
      </x:c>
      <x:c r="EP56" s="128" t="n">
        <x:f>'PROJECT TA Y TB KARINA'!$C110/8</x:f>
        <x:v>0</x:v>
      </x:c>
      <x:c r="EQ56" s="128" t="n">
        <x:f>'PROJECT TA Y TB KARINA'!$C110/8</x:f>
        <x:v>0</x:v>
      </x:c>
      <x:c r="ER56" s="128" t="n">
        <x:f>'PROJECT TA Y TB KARINA'!$C110/8</x:f>
        <x:v>0</x:v>
      </x:c>
      <x:c r="ES56" s="128" t="n">
        <x:f>'PROJECT TA Y TB KARINA'!$C110/8</x:f>
        <x:v>0</x:v>
      </x:c>
      <x:c r="ET56" s="128" t="n">
        <x:f>'PROJECT TA Y TB KARINA'!$C110/8</x:f>
        <x:v>0</x:v>
      </x:c>
      <x:c r="EU56" s="128" t="n">
        <x:f>'PROJECT TA Y TB KARINA'!$C110/8</x:f>
        <x:v>0</x:v>
      </x:c>
      <x:c r="EV56" s="128" t="n">
        <x:f>'PROJECT TA Y TB KARINA'!$E110/8</x:f>
        <x:v>0</x:v>
      </x:c>
      <x:c r="EW56" s="128" t="n">
        <x:f>'PROJECT TA Y TB KARINA'!$E110/8</x:f>
        <x:v>0</x:v>
      </x:c>
      <x:c r="EX56" s="128" t="n">
        <x:f>'PROJECT TA Y TB KARINA'!$E110/8</x:f>
        <x:v>0</x:v>
      </x:c>
      <x:c r="EY56" s="128" t="n">
        <x:f>'PROJECT TA Y TB KARINA'!$E110/8</x:f>
        <x:v>0</x:v>
      </x:c>
      <x:c r="EZ56" s="128" t="n">
        <x:f>'PROJECT TA Y TB KARINA'!$E110/8</x:f>
        <x:v>0</x:v>
      </x:c>
      <x:c r="FA56" s="128" t="n">
        <x:f>'PROJECT TA Y TB KARINA'!$E110/8</x:f>
        <x:v>0</x:v>
      </x:c>
      <x:c r="FB56" s="128" t="n">
        <x:f>'PROJECT TA Y TB KARINA'!$E110/8</x:f>
        <x:v>0</x:v>
      </x:c>
      <x:c r="FC56" s="128" t="n">
        <x:f>'PROJECT TA Y TB KARINA'!$E110/8</x:f>
        <x:v>0</x:v>
      </x:c>
      <x:c r="FD56" s="128" t="n">
        <x:f>'PROJECT TA Y TB KARINA'!$F110/8</x:f>
        <x:v>0</x:v>
      </x:c>
      <x:c r="FE56" s="128" t="n">
        <x:f>'PROJECT TA Y TB KARINA'!$F110/8</x:f>
        <x:v>0</x:v>
      </x:c>
      <x:c r="FF56" s="128" t="n">
        <x:f>'PROJECT TA Y TB KARINA'!$F110/8</x:f>
        <x:v>0</x:v>
      </x:c>
      <x:c r="FG56" s="128" t="n">
        <x:f>'PROJECT TA Y TB KARINA'!$F110/8</x:f>
        <x:v>0</x:v>
      </x:c>
      <x:c r="FH56" s="128" t="n">
        <x:f>'PROJECT TA Y TB KARINA'!$F110/8</x:f>
        <x:v>0</x:v>
      </x:c>
      <x:c r="FI56" s="128" t="n">
        <x:f>'PROJECT TA Y TB KARINA'!$F110/8</x:f>
        <x:v>0</x:v>
      </x:c>
      <x:c r="FJ56" s="128" t="n">
        <x:f>'PROJECT TA Y TB KARINA'!$F110/8</x:f>
        <x:v>0</x:v>
      </x:c>
      <x:c r="FK56" s="128" t="n">
        <x:f>'PROJECT TA Y TB KARINA'!$F110/8</x:f>
        <x:v>0</x:v>
      </x:c>
      <x:c r="FL56" s="128" t="n">
        <x:f>'PROJECT TA Y TB KARINA'!$G110/8</x:f>
        <x:v>0</x:v>
      </x:c>
      <x:c r="FM56" s="128" t="n">
        <x:f>'PROJECT TA Y TB KARINA'!$G110/8</x:f>
        <x:v>0</x:v>
      </x:c>
      <x:c r="FN56" s="128" t="n">
        <x:f>'PROJECT TA Y TB KARINA'!$G110/8</x:f>
        <x:v>0</x:v>
      </x:c>
      <x:c r="FO56" s="128" t="n">
        <x:f>'PROJECT TA Y TB KARINA'!$G110/8</x:f>
        <x:v>0</x:v>
      </x:c>
      <x:c r="FP56" s="128" t="n">
        <x:f>'PROJECT TA Y TB KARINA'!$G110/8</x:f>
        <x:v>0</x:v>
      </x:c>
      <x:c r="FQ56" s="128" t="n">
        <x:f>'PROJECT TA Y TB KARINA'!$G110/8</x:f>
        <x:v>0</x:v>
      </x:c>
      <x:c r="FR56" s="128" t="n">
        <x:f>'PROJECT TA Y TB KARINA'!$G110/8</x:f>
        <x:v>0</x:v>
      </x:c>
      <x:c r="FS56" s="128" t="n">
        <x:f>'PROJECT TA Y TB KARINA'!$G110/8</x:f>
        <x:v>0</x:v>
      </x:c>
      <x:c r="FT56" s="128" t="n">
        <x:f>'PROJECT TA Y TB KARINA'!$H110/8</x:f>
        <x:v>0</x:v>
      </x:c>
      <x:c r="FU56" s="128" t="n">
        <x:f>'PROJECT TA Y TB KARINA'!$H110/8</x:f>
        <x:v>0</x:v>
      </x:c>
      <x:c r="FV56" s="128" t="n">
        <x:f>'PROJECT TA Y TB KARINA'!$H110/8</x:f>
        <x:v>0</x:v>
      </x:c>
      <x:c r="FW56" s="128" t="n">
        <x:f>'PROJECT TA Y TB KARINA'!$H110/8</x:f>
        <x:v>0</x:v>
      </x:c>
      <x:c r="FX56" s="128" t="n">
        <x:f>'PROJECT TA Y TB KARINA'!$H110/8</x:f>
        <x:v>0</x:v>
      </x:c>
      <x:c r="FY56" s="128" t="n">
        <x:f>'PROJECT TA Y TB KARINA'!$H110/8</x:f>
        <x:v>0</x:v>
      </x:c>
      <x:c r="FZ56" s="128" t="n">
        <x:f>'PROJECT TA Y TB KARINA'!$H110/8</x:f>
        <x:v>0</x:v>
      </x:c>
      <x:c r="GA56" s="128" t="n">
        <x:f>'PROJECT TA Y TB KARINA'!$H110/8</x:f>
        <x:v>0</x:v>
      </x:c>
      <x:c r="GB56" s="128" t="n">
        <x:f>'PROJECT TA Y TB KARINA'!$I110/8</x:f>
        <x:v>0</x:v>
      </x:c>
      <x:c r="GC56" s="128" t="n">
        <x:f>'PROJECT TA Y TB KARINA'!$I110/8</x:f>
        <x:v>0</x:v>
      </x:c>
      <x:c r="GD56" s="128" t="n">
        <x:f>'PROJECT TA Y TB KARINA'!$I110/8</x:f>
        <x:v>0</x:v>
      </x:c>
      <x:c r="GE56" s="128" t="n">
        <x:f>'PROJECT TA Y TB KARINA'!$I110/8</x:f>
        <x:v>0</x:v>
      </x:c>
      <x:c r="GF56" s="128" t="n">
        <x:f>'PROJECT TA Y TB KARINA'!$I110/8</x:f>
        <x:v>0</x:v>
      </x:c>
      <x:c r="GG56" s="128" t="n">
        <x:f>'PROJECT TA Y TB KARINA'!$I110/8</x:f>
        <x:v>0</x:v>
      </x:c>
      <x:c r="GH56" s="128" t="n">
        <x:f>'PROJECT TA Y TB KARINA'!$I110/8</x:f>
        <x:v>0</x:v>
      </x:c>
      <x:c r="GI56" s="128" t="n">
        <x:f>'PROJECT TA Y TB KARINA'!$I110/8</x:f>
        <x:v>0</x:v>
      </x:c>
      <x:c r="GJ56" s="128" t="n">
        <x:f>'PROJECT TA Y TB KARINA'!$J110/8</x:f>
        <x:v>0</x:v>
      </x:c>
      <x:c r="GK56" s="128" t="n">
        <x:f>'PROJECT TA Y TB KARINA'!$J110/8</x:f>
        <x:v>0</x:v>
      </x:c>
      <x:c r="GL56" s="128" t="n">
        <x:f>'PROJECT TA Y TB KARINA'!$J110/8</x:f>
        <x:v>0</x:v>
      </x:c>
      <x:c r="GM56" s="128" t="n">
        <x:f>'PROJECT TA Y TB KARINA'!$J110/8</x:f>
        <x:v>0</x:v>
      </x:c>
      <x:c r="GN56" s="128" t="n">
        <x:f>'PROJECT TA Y TB KARINA'!$J110/8</x:f>
        <x:v>0</x:v>
      </x:c>
      <x:c r="GO56" s="128" t="n">
        <x:f>'PROJECT TA Y TB KARINA'!$J110/8</x:f>
        <x:v>0</x:v>
      </x:c>
      <x:c r="GP56" s="128" t="n">
        <x:f>'PROJECT TA Y TB KARINA'!$J110/8</x:f>
        <x:v>0</x:v>
      </x:c>
      <x:c r="GQ56" s="128" t="n">
        <x:f>'PROJECT TA Y TB KARINA'!$J110/8</x:f>
        <x:v>0</x:v>
      </x:c>
      <x:c r="GR56" s="128" t="n">
        <x:f>'PROJECT TA Y TB KARINA'!$K110/8</x:f>
        <x:v>0</x:v>
      </x:c>
      <x:c r="GS56" s="128" t="n">
        <x:f>'PROJECT TA Y TB KARINA'!$K110/8</x:f>
        <x:v>0</x:v>
      </x:c>
      <x:c r="GT56" s="128" t="n">
        <x:f>'PROJECT TA Y TB KARINA'!$K110/8</x:f>
        <x:v>0</x:v>
      </x:c>
      <x:c r="GU56" s="128" t="n">
        <x:f>'PROJECT TA Y TB KARINA'!$K110/8</x:f>
        <x:v>0</x:v>
      </x:c>
      <x:c r="GV56" s="128" t="n">
        <x:f>'PROJECT TA Y TB KARINA'!$K110/8</x:f>
        <x:v>0</x:v>
      </x:c>
      <x:c r="GW56" s="128" t="n">
        <x:f>'PROJECT TA Y TB KARINA'!$K110/8</x:f>
        <x:v>0</x:v>
      </x:c>
      <x:c r="GX56" s="128" t="n">
        <x:f>'PROJECT TA Y TB KARINA'!$K110/8</x:f>
        <x:v>0</x:v>
      </x:c>
      <x:c r="GY56" s="128" t="n">
        <x:f>'PROJECT TA Y TB KARINA'!$K110/8</x:f>
        <x:v>0</x:v>
      </x:c>
      <x:c r="GZ56" s="128" t="n">
        <x:f>'PROJECT TA Y TB KARINA'!$L110/8</x:f>
        <x:v>0</x:v>
      </x:c>
      <x:c r="HA56" s="128" t="n">
        <x:f>'PROJECT TA Y TB KARINA'!$L110/8</x:f>
        <x:v>0</x:v>
      </x:c>
      <x:c r="HB56" s="128" t="n">
        <x:f>'PROJECT TA Y TB KARINA'!$L110/8</x:f>
        <x:v>0</x:v>
      </x:c>
      <x:c r="HC56" s="128" t="n">
        <x:f>'PROJECT TA Y TB KARINA'!$L110/8</x:f>
        <x:v>0</x:v>
      </x:c>
      <x:c r="HD56" s="128" t="n">
        <x:f>'PROJECT TA Y TB KARINA'!$L110/8</x:f>
        <x:v>0</x:v>
      </x:c>
      <x:c r="HE56" s="128" t="n">
        <x:f>'PROJECT TA Y TB KARINA'!$L110/8</x:f>
        <x:v>0</x:v>
      </x:c>
      <x:c r="HF56" s="128" t="n">
        <x:f>'PROJECT TA Y TB KARINA'!$L110/8</x:f>
        <x:v>0</x:v>
      </x:c>
      <x:c r="HG56" s="128" t="n">
        <x:f>'PROJECT TA Y TB KARINA'!$L110/8</x:f>
        <x:v>0</x:v>
      </x:c>
      <x:c r="HH56" s="128" t="n">
        <x:f>'PROJECT TA Y TB KARINA'!$M110/8</x:f>
        <x:v>0</x:v>
      </x:c>
      <x:c r="HI56" s="128" t="n">
        <x:f>'PROJECT TA Y TB KARINA'!$M110/8</x:f>
        <x:v>0</x:v>
      </x:c>
      <x:c r="HJ56" s="128" t="n">
        <x:f>'PROJECT TA Y TB KARINA'!$M110/8</x:f>
        <x:v>0</x:v>
      </x:c>
      <x:c r="HK56" s="128" t="n">
        <x:f>'PROJECT TA Y TB KARINA'!$M110/8</x:f>
        <x:v>0</x:v>
      </x:c>
      <x:c r="HL56" s="128" t="n">
        <x:f>'PROJECT TA Y TB KARINA'!$M110/8</x:f>
        <x:v>0</x:v>
      </x:c>
      <x:c r="HM56" s="128" t="n">
        <x:f>'PROJECT TA Y TB KARINA'!$M110/8</x:f>
        <x:v>0</x:v>
      </x:c>
      <x:c r="HN56" s="128" t="n">
        <x:f>'PROJECT TA Y TB KARINA'!$M110/8</x:f>
        <x:v>0</x:v>
      </x:c>
      <x:c r="HO56" s="128" t="n">
        <x:f>'PROJECT TA Y TB KARINA'!$M110/8</x:f>
        <x:v>0</x:v>
      </x:c>
      <x:c r="HP56" s="128" t="n">
        <x:f>'PROJECT TA Y TB KARINA'!$N110/8</x:f>
        <x:v>0</x:v>
      </x:c>
      <x:c r="HQ56" s="128" t="n">
        <x:f>'PROJECT TA Y TB KARINA'!$N110/8</x:f>
        <x:v>0</x:v>
      </x:c>
      <x:c r="HR56" s="128" t="n">
        <x:f>'PROJECT TA Y TB KARINA'!$N110/8</x:f>
        <x:v>0</x:v>
      </x:c>
      <x:c r="HS56" s="128" t="n">
        <x:f>'PROJECT TA Y TB KARINA'!$N110/8</x:f>
        <x:v>0</x:v>
      </x:c>
      <x:c r="HT56" s="128" t="n">
        <x:f>'PROJECT TA Y TB KARINA'!$N110/8</x:f>
        <x:v>0</x:v>
      </x:c>
      <x:c r="HU56" s="128" t="n">
        <x:f>'PROJECT TA Y TB KARINA'!$N110/8</x:f>
        <x:v>0</x:v>
      </x:c>
      <x:c r="HV56" s="128" t="n">
        <x:f>'PROJECT TA Y TB KARINA'!$N110/8</x:f>
        <x:v>0</x:v>
      </x:c>
      <x:c r="HW56" s="128" t="n">
        <x:f>'PROJECT TA Y TB KARINA'!$N110/8</x:f>
        <x:v>0</x:v>
      </x:c>
      <x:c r="HX56" s="128" t="n">
        <x:f>'PROJECT TA Y TB KARINA'!$O110/8</x:f>
        <x:v>0</x:v>
      </x:c>
      <x:c r="HY56" s="128" t="n">
        <x:f>'PROJECT TA Y TB KARINA'!$O110/8</x:f>
        <x:v>0</x:v>
      </x:c>
      <x:c r="HZ56" s="128" t="n">
        <x:f>'PROJECT TA Y TB KARINA'!$O110/8</x:f>
        <x:v>0</x:v>
      </x:c>
      <x:c r="IA56" s="128" t="n">
        <x:f>'PROJECT TA Y TB KARINA'!$O110/8</x:f>
        <x:v>0</x:v>
      </x:c>
      <x:c r="IB56" s="128" t="n">
        <x:f>'PROJECT TA Y TB KARINA'!$O110/8</x:f>
        <x:v>0</x:v>
      </x:c>
      <x:c r="IC56" s="128" t="n">
        <x:f>'PROJECT TA Y TB KARINA'!$O110/8</x:f>
        <x:v>0</x:v>
      </x:c>
      <x:c r="ID56" s="128" t="n">
        <x:f>'PROJECT TA Y TB KARINA'!$O110/8</x:f>
        <x:v>0</x:v>
      </x:c>
      <x:c r="IE56" s="128" t="n">
        <x:f>'PROJECT TA Y TB KARINA'!$O110/8</x:f>
        <x:v>0</x:v>
      </x:c>
      <x:c r="IF56" s="128" t="n">
        <x:f>'PROJECT TA Y TB KARINA'!$P110/8</x:f>
        <x:v>0</x:v>
      </x:c>
      <x:c r="IG56" s="128" t="n">
        <x:f>'PROJECT TA Y TB KARINA'!$P110/8</x:f>
        <x:v>0</x:v>
      </x:c>
      <x:c r="IH56" s="128" t="n">
        <x:f>'PROJECT TA Y TB KARINA'!$P110/8</x:f>
        <x:v>0</x:v>
      </x:c>
      <x:c r="II56" s="128" t="n">
        <x:f>'PROJECT TA Y TB KARINA'!$P110/8</x:f>
        <x:v>0</x:v>
      </x:c>
      <x:c r="IJ56" s="128" t="n">
        <x:f>'PROJECT TA Y TB KARINA'!$P110/8</x:f>
        <x:v>0</x:v>
      </x:c>
      <x:c r="IK56" s="128" t="n">
        <x:f>'PROJECT TA Y TB KARINA'!$P110/8</x:f>
        <x:v>0</x:v>
      </x:c>
      <x:c r="IL56" s="128" t="n">
        <x:f>'PROJECT TA Y TB KARINA'!$P110/8</x:f>
        <x:v>0</x:v>
      </x:c>
      <x:c r="IM56" s="128" t="n">
        <x:f>'PROJECT TA Y TB KARINA'!$P110/8</x:f>
        <x:v>0</x:v>
      </x:c>
      <x:c r="IN56" s="128" t="n">
        <x:f>'PROJECT TA Y TB KARINA'!$Q110/8</x:f>
        <x:v>0</x:v>
      </x:c>
      <x:c r="IO56" s="128" t="n">
        <x:f>'PROJECT TA Y TB KARINA'!$Q110/8</x:f>
        <x:v>0</x:v>
      </x:c>
      <x:c r="IP56" s="128" t="n">
        <x:f>'PROJECT TA Y TB KARINA'!$Q110/8</x:f>
        <x:v>0</x:v>
      </x:c>
      <x:c r="IQ56" s="128" t="n">
        <x:f>'PROJECT TA Y TB KARINA'!$Q110/8</x:f>
        <x:v>0</x:v>
      </x:c>
      <x:c r="IR56" s="128" t="n">
        <x:f>'PROJECT TA Y TB KARINA'!$Q110/8</x:f>
        <x:v>0</x:v>
      </x:c>
      <x:c r="IS56" s="128" t="n">
        <x:f>'PROJECT TA Y TB KARINA'!$Q110/8</x:f>
        <x:v>0</x:v>
      </x:c>
      <x:c r="IT56" s="128" t="n">
        <x:f>'PROJECT TA Y TB KARINA'!$Q110/8</x:f>
        <x:v>0</x:v>
      </x:c>
      <x:c r="IU56" s="128" t="n">
        <x:f>'PROJECT TA Y TB KARINA'!$Q110/8</x:f>
        <x:v>0</x:v>
      </x:c>
      <x:c r="IV56" s="128" t="n">
        <x:f>'PROJECT TA Y TB KARINA'!$R110/8</x:f>
        <x:v>0</x:v>
      </x:c>
      <x:c r="IW56" s="128" t="n">
        <x:f>'PROJECT TA Y TB KARINA'!$R110/8</x:f>
        <x:v>0</x:v>
      </x:c>
      <x:c r="IX56" s="128" t="n">
        <x:f>'PROJECT TA Y TB KARINA'!$R110/8</x:f>
        <x:v>0</x:v>
      </x:c>
      <x:c r="IY56" s="128" t="n">
        <x:f>'PROJECT TA Y TB KARINA'!$R110/8</x:f>
        <x:v>0</x:v>
      </x:c>
      <x:c r="IZ56" s="128" t="n">
        <x:f>'PROJECT TA Y TB KARINA'!$R110/8</x:f>
        <x:v>0</x:v>
      </x:c>
      <x:c r="JA56" s="128" t="n">
        <x:f>'PROJECT TA Y TB KARINA'!$R110/8</x:f>
        <x:v>0</x:v>
      </x:c>
      <x:c r="JB56" s="128" t="n">
        <x:f>'PROJECT TA Y TB KARINA'!$R110/8</x:f>
        <x:v>0</x:v>
      </x:c>
      <x:c r="JC56" s="128" t="n">
        <x:f>'PROJECT TA Y TB KARINA'!$R110/8</x:f>
        <x:v>0</x:v>
      </x:c>
      <x:c r="JD56" s="128" t="n">
        <x:f>'PROJECT TA Y TB KARINA'!$S110/8</x:f>
        <x:v>0</x:v>
      </x:c>
      <x:c r="JE56" s="128" t="n">
        <x:f>'PROJECT TA Y TB KARINA'!$S110/8</x:f>
        <x:v>0</x:v>
      </x:c>
      <x:c r="JF56" s="128" t="n">
        <x:f>'PROJECT TA Y TB KARINA'!$S110/8</x:f>
        <x:v>0</x:v>
      </x:c>
      <x:c r="JG56" s="128" t="n">
        <x:f>'PROJECT TA Y TB KARINA'!$S110/8</x:f>
        <x:v>0</x:v>
      </x:c>
      <x:c r="JH56" s="128" t="n">
        <x:f>'PROJECT TA Y TB KARINA'!$S110/8</x:f>
        <x:v>0</x:v>
      </x:c>
      <x:c r="JI56" s="128" t="n">
        <x:f>'PROJECT TA Y TB KARINA'!$S110/8</x:f>
        <x:v>0</x:v>
      </x:c>
      <x:c r="JJ56" s="128" t="n">
        <x:f>'PROJECT TA Y TB KARINA'!$S110/8</x:f>
        <x:v>0</x:v>
      </x:c>
      <x:c r="JK56" s="128" t="n">
        <x:f>'PROJECT TA Y TB KARINA'!$S110/8</x:f>
        <x:v>0</x:v>
      </x:c>
      <x:c r="JL56" s="128" t="n">
        <x:f>'PROJECT TA Y TB KARINA'!$T110/8</x:f>
        <x:v>0</x:v>
      </x:c>
      <x:c r="JM56" s="128" t="n">
        <x:f>'PROJECT TA Y TB KARINA'!$T110/8</x:f>
        <x:v>0</x:v>
      </x:c>
      <x:c r="JN56" s="128" t="n">
        <x:f>'PROJECT TA Y TB KARINA'!$T110/8</x:f>
        <x:v>0</x:v>
      </x:c>
      <x:c r="JO56" s="128" t="n">
        <x:f>'PROJECT TA Y TB KARINA'!$T110/8</x:f>
        <x:v>0</x:v>
      </x:c>
      <x:c r="JP56" s="128" t="n">
        <x:f>'PROJECT TA Y TB KARINA'!$T110/8</x:f>
        <x:v>0</x:v>
      </x:c>
      <x:c r="JQ56" s="128" t="n">
        <x:f>'PROJECT TA Y TB KARINA'!$T110/8</x:f>
        <x:v>0</x:v>
      </x:c>
      <x:c r="JR56" s="128" t="n">
        <x:f>'PROJECT TA Y TB KARINA'!$T110/8</x:f>
        <x:v>0</x:v>
      </x:c>
      <x:c r="JS56" s="128" t="n">
        <x:f>'PROJECT TA Y TB KARINA'!$T110/8</x:f>
        <x:v>0</x:v>
      </x:c>
      <x:c r="JT56" s="128" t="e">
        <x:f>'PROJECT TA Y TB KARINA'!#REF!/8</x:f>
        <x:v>#NAME?</x:v>
      </x:c>
      <x:c r="JU56" s="128" t="e">
        <x:f>'PROJECT TA Y TB KARINA'!#REF!/8</x:f>
        <x:v>#NAME?</x:v>
      </x:c>
      <x:c r="JV56" s="128" t="e">
        <x:f>'PROJECT TA Y TB KARINA'!#REF!/8</x:f>
        <x:v>#NAME?</x:v>
      </x:c>
      <x:c r="JW56" s="128" t="e">
        <x:f>'PROJECT TA Y TB KARINA'!#REF!/8</x:f>
        <x:v>#NAME?</x:v>
      </x:c>
      <x:c r="JX56" s="128" t="e">
        <x:f>'PROJECT TA Y TB KARINA'!#REF!/8</x:f>
        <x:v>#NAME?</x:v>
      </x:c>
      <x:c r="JY56" s="128" t="e">
        <x:f>'PROJECT TA Y TB KARINA'!#REF!/8</x:f>
        <x:v>#NAME?</x:v>
      </x:c>
      <x:c r="JZ56" s="128" t="e">
        <x:f>'PROJECT TA Y TB KARINA'!#REF!/8</x:f>
        <x:v>#NAME?</x:v>
      </x:c>
      <x:c r="KA56" s="128" t="e">
        <x:f>'PROJECT TA Y TB KARINA'!#REF!/8</x:f>
        <x:v>#NAME?</x:v>
      </x:c>
    </x:row>
    <x:row r="57" ht="21">
      <x:c r="A57" s="130" t="s">
        <x:v>542</x:v>
      </x:c>
      <x:c r="B57" s="128" t="e">
        <x:f>'PROJECT TA Y TB KARINA'!$C$53/8</x:f>
        <x:v>#REF!</x:v>
      </x:c>
      <x:c r="C57" s="128" t="e">
        <x:f>'PROJECT TA Y TB KARINA'!$C$53/8</x:f>
        <x:v>#REF!</x:v>
      </x:c>
      <x:c r="D57" s="128" t="e">
        <x:f>'PROJECT TA Y TB KARINA'!$C$53/8</x:f>
        <x:v>#REF!</x:v>
      </x:c>
      <x:c r="E57" s="128" t="e">
        <x:f>'PROJECT TA Y TB KARINA'!$C$53/8</x:f>
        <x:v>#REF!</x:v>
      </x:c>
      <x:c r="F57" s="128" t="e">
        <x:f>'PROJECT TA Y TB KARINA'!$C$53/8</x:f>
        <x:v>#REF!</x:v>
      </x:c>
      <x:c r="G57" s="128" t="e">
        <x:f>'PROJECT TA Y TB KARINA'!$C$53/8</x:f>
        <x:v>#REF!</x:v>
      </x:c>
      <x:c r="H57" s="128" t="e">
        <x:f>'PROJECT TA Y TB KARINA'!$C$53/8</x:f>
        <x:v>#REF!</x:v>
      </x:c>
      <x:c r="I57" s="128" t="e">
        <x:f>'PROJECT TA Y TB KARINA'!$E53/8</x:f>
        <x:v>#REF!</x:v>
      </x:c>
      <x:c r="J57" s="128" t="e">
        <x:f>'PROJECT TA Y TB KARINA'!$E53/8</x:f>
        <x:v>#REF!</x:v>
      </x:c>
      <x:c r="K57" s="128" t="e">
        <x:f>'PROJECT TA Y TB KARINA'!$E53/8</x:f>
        <x:v>#REF!</x:v>
      </x:c>
      <x:c r="L57" s="128" t="e">
        <x:f>'PROJECT TA Y TB KARINA'!$E53/8</x:f>
        <x:v>#REF!</x:v>
      </x:c>
      <x:c r="M57" s="128" t="e">
        <x:f>'PROJECT TA Y TB KARINA'!$E53/8</x:f>
        <x:v>#REF!</x:v>
      </x:c>
      <x:c r="N57" s="128" t="e">
        <x:f>'PROJECT TA Y TB KARINA'!$E53/8</x:f>
        <x:v>#REF!</x:v>
      </x:c>
      <x:c r="O57" s="128" t="e">
        <x:f>'PROJECT TA Y TB KARINA'!$E53/8</x:f>
        <x:v>#REF!</x:v>
      </x:c>
      <x:c r="P57" s="128" t="e">
        <x:f>'PROJECT TA Y TB KARINA'!$E53/8</x:f>
        <x:v>#REF!</x:v>
      </x:c>
      <x:c r="Q57" s="128" t="e">
        <x:f>'PROJECT TA Y TB KARINA'!$F53/8</x:f>
        <x:v>#REF!</x:v>
      </x:c>
      <x:c r="R57" s="128" t="e">
        <x:f>'PROJECT TA Y TB KARINA'!$F53/8</x:f>
        <x:v>#REF!</x:v>
      </x:c>
      <x:c r="S57" s="128" t="e">
        <x:f>'PROJECT TA Y TB KARINA'!$F53/8</x:f>
        <x:v>#REF!</x:v>
      </x:c>
      <x:c r="T57" s="128" t="e">
        <x:f>'PROJECT TA Y TB KARINA'!$F53/8</x:f>
        <x:v>#REF!</x:v>
      </x:c>
      <x:c r="U57" s="128" t="e">
        <x:f>'PROJECT TA Y TB KARINA'!$F53/8</x:f>
        <x:v>#REF!</x:v>
      </x:c>
      <x:c r="V57" s="128" t="e">
        <x:f>'PROJECT TA Y TB KARINA'!$F53/8</x:f>
        <x:v>#REF!</x:v>
      </x:c>
      <x:c r="W57" s="128" t="e">
        <x:f>'PROJECT TA Y TB KARINA'!$F53/8</x:f>
        <x:v>#REF!</x:v>
      </x:c>
      <x:c r="X57" s="128" t="e">
        <x:f>'PROJECT TA Y TB KARINA'!$F53/8</x:f>
        <x:v>#REF!</x:v>
      </x:c>
      <x:c r="Y57" s="128" t="e">
        <x:f>'PROJECT TA Y TB KARINA'!$G53/8</x:f>
        <x:v>#REF!</x:v>
      </x:c>
      <x:c r="Z57" s="128" t="e">
        <x:f>'PROJECT TA Y TB KARINA'!$G53/8</x:f>
        <x:v>#REF!</x:v>
      </x:c>
      <x:c r="AA57" s="128" t="e">
        <x:f>'PROJECT TA Y TB KARINA'!$G53/8</x:f>
        <x:v>#REF!</x:v>
      </x:c>
      <x:c r="AB57" s="128" t="e">
        <x:f>'PROJECT TA Y TB KARINA'!$G53/8</x:f>
        <x:v>#REF!</x:v>
      </x:c>
      <x:c r="AC57" s="128" t="e">
        <x:f>'PROJECT TA Y TB KARINA'!$G53/8</x:f>
        <x:v>#REF!</x:v>
      </x:c>
      <x:c r="AD57" s="128" t="e">
        <x:f>'PROJECT TA Y TB KARINA'!$G53/8</x:f>
        <x:v>#REF!</x:v>
      </x:c>
      <x:c r="AE57" s="128" t="e">
        <x:f>'PROJECT TA Y TB KARINA'!$G53/8</x:f>
        <x:v>#REF!</x:v>
      </x:c>
      <x:c r="AF57" s="128" t="e">
        <x:f>'PROJECT TA Y TB KARINA'!$G53/8</x:f>
        <x:v>#REF!</x:v>
      </x:c>
      <x:c r="AG57" s="128" t="e">
        <x:f>'PROJECT TA Y TB KARINA'!$H53/8</x:f>
        <x:v>#REF!</x:v>
      </x:c>
      <x:c r="AH57" s="128" t="e">
        <x:f>'PROJECT TA Y TB KARINA'!$H53/8</x:f>
        <x:v>#REF!</x:v>
      </x:c>
      <x:c r="AI57" s="128" t="e">
        <x:f>'PROJECT TA Y TB KARINA'!$H53/8</x:f>
        <x:v>#REF!</x:v>
      </x:c>
      <x:c r="AJ57" s="128" t="e">
        <x:f>'PROJECT TA Y TB KARINA'!$H53/8</x:f>
        <x:v>#REF!</x:v>
      </x:c>
      <x:c r="AK57" s="128" t="e">
        <x:f>'PROJECT TA Y TB KARINA'!$H53/8</x:f>
        <x:v>#REF!</x:v>
      </x:c>
      <x:c r="AL57" s="128" t="e">
        <x:f>'PROJECT TA Y TB KARINA'!$H53/8</x:f>
        <x:v>#REF!</x:v>
      </x:c>
      <x:c r="AM57" s="128" t="e">
        <x:f>'PROJECT TA Y TB KARINA'!$H53/8</x:f>
        <x:v>#REF!</x:v>
      </x:c>
      <x:c r="AN57" s="128" t="e">
        <x:f>'PROJECT TA Y TB KARINA'!$H53/8</x:f>
        <x:v>#REF!</x:v>
      </x:c>
      <x:c r="AO57" s="128" t="e">
        <x:f>'PROJECT TA Y TB KARINA'!$I53/8</x:f>
        <x:v>#REF!</x:v>
      </x:c>
      <x:c r="AP57" s="128" t="e">
        <x:f>'PROJECT TA Y TB KARINA'!$I53/8</x:f>
        <x:v>#REF!</x:v>
      </x:c>
      <x:c r="AQ57" s="128" t="e">
        <x:f>'PROJECT TA Y TB KARINA'!$I53/8</x:f>
        <x:v>#REF!</x:v>
      </x:c>
      <x:c r="AR57" s="128" t="e">
        <x:f>'PROJECT TA Y TB KARINA'!$I53/8</x:f>
        <x:v>#REF!</x:v>
      </x:c>
      <x:c r="AS57" s="128" t="e">
        <x:f>'PROJECT TA Y TB KARINA'!$I53/8</x:f>
        <x:v>#REF!</x:v>
      </x:c>
      <x:c r="AT57" s="128" t="e">
        <x:f>'PROJECT TA Y TB KARINA'!$I53/8</x:f>
        <x:v>#REF!</x:v>
      </x:c>
      <x:c r="AU57" s="128" t="e">
        <x:f>'PROJECT TA Y TB KARINA'!$I53/8</x:f>
        <x:v>#REF!</x:v>
      </x:c>
      <x:c r="AV57" s="128" t="e">
        <x:f>'PROJECT TA Y TB KARINA'!$I53/8</x:f>
        <x:v>#REF!</x:v>
      </x:c>
      <x:c r="AW57" s="128" t="e">
        <x:f>'PROJECT TA Y TB KARINA'!$J53/8</x:f>
        <x:v>#REF!</x:v>
      </x:c>
      <x:c r="AX57" s="128" t="e">
        <x:f>'PROJECT TA Y TB KARINA'!$J53/8</x:f>
        <x:v>#REF!</x:v>
      </x:c>
      <x:c r="AY57" s="128" t="e">
        <x:f>'PROJECT TA Y TB KARINA'!$J53/8</x:f>
        <x:v>#REF!</x:v>
      </x:c>
      <x:c r="AZ57" s="128" t="e">
        <x:f>'PROJECT TA Y TB KARINA'!$J53/8</x:f>
        <x:v>#REF!</x:v>
      </x:c>
      <x:c r="BA57" s="128" t="e">
        <x:f>'PROJECT TA Y TB KARINA'!$J53/8</x:f>
        <x:v>#REF!</x:v>
      </x:c>
      <x:c r="BB57" s="128" t="e">
        <x:f>'PROJECT TA Y TB KARINA'!$J53/8</x:f>
        <x:v>#REF!</x:v>
      </x:c>
      <x:c r="BC57" s="128" t="e">
        <x:f>'PROJECT TA Y TB KARINA'!$J53/8</x:f>
        <x:v>#REF!</x:v>
      </x:c>
      <x:c r="BD57" s="128" t="e">
        <x:f>'PROJECT TA Y TB KARINA'!$J53/8</x:f>
        <x:v>#REF!</x:v>
      </x:c>
      <x:c r="BE57" s="128" t="e">
        <x:f>'PROJECT TA Y TB KARINA'!$K53/8</x:f>
        <x:v>#REF!</x:v>
      </x:c>
      <x:c r="BF57" s="128" t="e">
        <x:f>'PROJECT TA Y TB KARINA'!$K53/8</x:f>
        <x:v>#REF!</x:v>
      </x:c>
      <x:c r="BG57" s="128" t="e">
        <x:f>'PROJECT TA Y TB KARINA'!$K53/8</x:f>
        <x:v>#REF!</x:v>
      </x:c>
      <x:c r="BH57" s="128" t="e">
        <x:f>'PROJECT TA Y TB KARINA'!$K53/8</x:f>
        <x:v>#REF!</x:v>
      </x:c>
      <x:c r="BI57" s="128" t="e">
        <x:f>'PROJECT TA Y TB KARINA'!$K53/8</x:f>
        <x:v>#REF!</x:v>
      </x:c>
      <x:c r="BJ57" s="128" t="e">
        <x:f>'PROJECT TA Y TB KARINA'!$K53/8</x:f>
        <x:v>#REF!</x:v>
      </x:c>
      <x:c r="BK57" s="128" t="e">
        <x:f>'PROJECT TA Y TB KARINA'!$K53/8</x:f>
        <x:v>#REF!</x:v>
      </x:c>
      <x:c r="BL57" s="128" t="e">
        <x:f>'PROJECT TA Y TB KARINA'!$K53/8</x:f>
        <x:v>#REF!</x:v>
      </x:c>
      <x:c r="BM57" s="128" t="e">
        <x:f>'PROJECT TA Y TB KARINA'!$L53/8</x:f>
        <x:v>#REF!</x:v>
      </x:c>
      <x:c r="BN57" s="128" t="e">
        <x:f>'PROJECT TA Y TB KARINA'!$L53/8</x:f>
        <x:v>#REF!</x:v>
      </x:c>
      <x:c r="BO57" s="128" t="e">
        <x:f>'PROJECT TA Y TB KARINA'!$L53/8</x:f>
        <x:v>#REF!</x:v>
      </x:c>
      <x:c r="BP57" s="128" t="e">
        <x:f>'PROJECT TA Y TB KARINA'!$L53/8</x:f>
        <x:v>#REF!</x:v>
      </x:c>
      <x:c r="BQ57" s="128" t="e">
        <x:f>'PROJECT TA Y TB KARINA'!$L53/8</x:f>
        <x:v>#REF!</x:v>
      </x:c>
      <x:c r="BR57" s="128" t="e">
        <x:f>'PROJECT TA Y TB KARINA'!$L53/8</x:f>
        <x:v>#REF!</x:v>
      </x:c>
      <x:c r="BS57" s="128" t="e">
        <x:f>'PROJECT TA Y TB KARINA'!$L53/8</x:f>
        <x:v>#REF!</x:v>
      </x:c>
      <x:c r="BT57" s="128" t="e">
        <x:f>'PROJECT TA Y TB KARINA'!$L53/8</x:f>
        <x:v>#REF!</x:v>
      </x:c>
      <x:c r="BU57" s="128" t="e">
        <x:f>'PROJECT TA Y TB KARINA'!$M53/8</x:f>
        <x:v>#REF!</x:v>
      </x:c>
      <x:c r="BV57" s="128" t="e">
        <x:f>'PROJECT TA Y TB KARINA'!$M53/8</x:f>
        <x:v>#REF!</x:v>
      </x:c>
      <x:c r="BW57" s="128" t="e">
        <x:f>'PROJECT TA Y TB KARINA'!$M53/8</x:f>
        <x:v>#REF!</x:v>
      </x:c>
      <x:c r="BX57" s="128" t="e">
        <x:f>'PROJECT TA Y TB KARINA'!$M53/8</x:f>
        <x:v>#REF!</x:v>
      </x:c>
      <x:c r="BY57" s="128" t="e">
        <x:f>'PROJECT TA Y TB KARINA'!$M53/8</x:f>
        <x:v>#REF!</x:v>
      </x:c>
      <x:c r="BZ57" s="128" t="e">
        <x:f>'PROJECT TA Y TB KARINA'!$M53/8</x:f>
        <x:v>#REF!</x:v>
      </x:c>
      <x:c r="CA57" s="128" t="e">
        <x:f>'PROJECT TA Y TB KARINA'!$M53/8</x:f>
        <x:v>#REF!</x:v>
      </x:c>
      <x:c r="CB57" s="128" t="e">
        <x:f>'PROJECT TA Y TB KARINA'!$M53/8</x:f>
        <x:v>#REF!</x:v>
      </x:c>
      <x:c r="CC57" s="128" t="e">
        <x:f>'PROJECT TA Y TB KARINA'!$N53/8</x:f>
        <x:v>#REF!</x:v>
      </x:c>
      <x:c r="CD57" s="128" t="e">
        <x:f>'PROJECT TA Y TB KARINA'!$N53/8</x:f>
        <x:v>#REF!</x:v>
      </x:c>
      <x:c r="CE57" s="128" t="e">
        <x:f>'PROJECT TA Y TB KARINA'!$N53/8</x:f>
        <x:v>#REF!</x:v>
      </x:c>
      <x:c r="CF57" s="128" t="e">
        <x:f>'PROJECT TA Y TB KARINA'!$N53/8</x:f>
        <x:v>#REF!</x:v>
      </x:c>
      <x:c r="CG57" s="128" t="e">
        <x:f>'PROJECT TA Y TB KARINA'!$N53/8</x:f>
        <x:v>#REF!</x:v>
      </x:c>
      <x:c r="CH57" s="128" t="e">
        <x:f>'PROJECT TA Y TB KARINA'!$N53/8</x:f>
        <x:v>#REF!</x:v>
      </x:c>
      <x:c r="CI57" s="128" t="e">
        <x:f>'PROJECT TA Y TB KARINA'!$N53/8</x:f>
        <x:v>#REF!</x:v>
      </x:c>
      <x:c r="CJ57" s="128" t="e">
        <x:f>'PROJECT TA Y TB KARINA'!$N53/8</x:f>
        <x:v>#REF!</x:v>
      </x:c>
      <x:c r="CK57" s="128" t="e">
        <x:f>'PROJECT TA Y TB KARINA'!$O53/8</x:f>
        <x:v>#REF!</x:v>
      </x:c>
      <x:c r="CL57" s="128" t="e">
        <x:f>'PROJECT TA Y TB KARINA'!$O53/8</x:f>
        <x:v>#REF!</x:v>
      </x:c>
      <x:c r="CM57" s="128" t="e">
        <x:f>'PROJECT TA Y TB KARINA'!$O53/8</x:f>
        <x:v>#REF!</x:v>
      </x:c>
      <x:c r="CN57" s="128" t="e">
        <x:f>'PROJECT TA Y TB KARINA'!$O53/8</x:f>
        <x:v>#REF!</x:v>
      </x:c>
      <x:c r="CO57" s="128" t="e">
        <x:f>'PROJECT TA Y TB KARINA'!$O53/8</x:f>
        <x:v>#REF!</x:v>
      </x:c>
      <x:c r="CP57" s="128" t="e">
        <x:f>'PROJECT TA Y TB KARINA'!$O53/8</x:f>
        <x:v>#REF!</x:v>
      </x:c>
      <x:c r="CQ57" s="128" t="e">
        <x:f>'PROJECT TA Y TB KARINA'!$O53/8</x:f>
        <x:v>#REF!</x:v>
      </x:c>
      <x:c r="CR57" s="128" t="e">
        <x:f>'PROJECT TA Y TB KARINA'!$O53/8</x:f>
        <x:v>#REF!</x:v>
      </x:c>
      <x:c r="CS57" s="128" t="e">
        <x:f>'PROJECT TA Y TB KARINA'!$P53/8</x:f>
        <x:v>#REF!</x:v>
      </x:c>
      <x:c r="CT57" s="128" t="e">
        <x:f>'PROJECT TA Y TB KARINA'!$P53/8</x:f>
        <x:v>#REF!</x:v>
      </x:c>
      <x:c r="CU57" s="128" t="e">
        <x:f>'PROJECT TA Y TB KARINA'!$P53/8</x:f>
        <x:v>#REF!</x:v>
      </x:c>
      <x:c r="CV57" s="128" t="e">
        <x:f>'PROJECT TA Y TB KARINA'!$P53/8</x:f>
        <x:v>#REF!</x:v>
      </x:c>
      <x:c r="CW57" s="128" t="e">
        <x:f>'PROJECT TA Y TB KARINA'!$P53/8</x:f>
        <x:v>#REF!</x:v>
      </x:c>
      <x:c r="CX57" s="128" t="e">
        <x:f>'PROJECT TA Y TB KARINA'!$P53/8</x:f>
        <x:v>#REF!</x:v>
      </x:c>
      <x:c r="CY57" s="128" t="e">
        <x:f>'PROJECT TA Y TB KARINA'!$P53/8</x:f>
        <x:v>#REF!</x:v>
      </x:c>
      <x:c r="CZ57" s="128" t="e">
        <x:f>'PROJECT TA Y TB KARINA'!$P53/8</x:f>
        <x:v>#REF!</x:v>
      </x:c>
      <x:c r="DA57" s="128" t="e">
        <x:f>'PROJECT TA Y TB KARINA'!$Q53/8</x:f>
        <x:v>#REF!</x:v>
      </x:c>
      <x:c r="DB57" s="128" t="e">
        <x:f>'PROJECT TA Y TB KARINA'!$Q53/8</x:f>
        <x:v>#REF!</x:v>
      </x:c>
      <x:c r="DC57" s="128" t="e">
        <x:f>'PROJECT TA Y TB KARINA'!$Q53/8</x:f>
        <x:v>#REF!</x:v>
      </x:c>
      <x:c r="DD57" s="128" t="e">
        <x:f>'PROJECT TA Y TB KARINA'!$Q53/8</x:f>
        <x:v>#REF!</x:v>
      </x:c>
      <x:c r="DE57" s="128" t="e">
        <x:f>'PROJECT TA Y TB KARINA'!$Q53/8</x:f>
        <x:v>#REF!</x:v>
      </x:c>
      <x:c r="DF57" s="128" t="e">
        <x:f>'PROJECT TA Y TB KARINA'!$Q53/8</x:f>
        <x:v>#REF!</x:v>
      </x:c>
      <x:c r="DG57" s="128" t="e">
        <x:f>'PROJECT TA Y TB KARINA'!$Q53/8</x:f>
        <x:v>#REF!</x:v>
      </x:c>
      <x:c r="DH57" s="128" t="e">
        <x:f>'PROJECT TA Y TB KARINA'!$Q53/8</x:f>
        <x:v>#REF!</x:v>
      </x:c>
      <x:c r="DI57" s="128" t="e">
        <x:f>'PROJECT TA Y TB KARINA'!$R53/8</x:f>
        <x:v>#REF!</x:v>
      </x:c>
      <x:c r="DJ57" s="128" t="e">
        <x:f>'PROJECT TA Y TB KARINA'!$R53/8</x:f>
        <x:v>#REF!</x:v>
      </x:c>
      <x:c r="DK57" s="128" t="e">
        <x:f>'PROJECT TA Y TB KARINA'!$R53/8</x:f>
        <x:v>#REF!</x:v>
      </x:c>
      <x:c r="DL57" s="128" t="e">
        <x:f>'PROJECT TA Y TB KARINA'!$R53/8</x:f>
        <x:v>#REF!</x:v>
      </x:c>
      <x:c r="DM57" s="128" t="e">
        <x:f>'PROJECT TA Y TB KARINA'!$R53/8</x:f>
        <x:v>#REF!</x:v>
      </x:c>
      <x:c r="DN57" s="128" t="e">
        <x:f>'PROJECT TA Y TB KARINA'!$R53/8</x:f>
        <x:v>#REF!</x:v>
      </x:c>
      <x:c r="DO57" s="128" t="e">
        <x:f>'PROJECT TA Y TB KARINA'!$R53/8</x:f>
        <x:v>#REF!</x:v>
      </x:c>
      <x:c r="DP57" s="128" t="e">
        <x:f>'PROJECT TA Y TB KARINA'!$R53/8</x:f>
        <x:v>#REF!</x:v>
      </x:c>
      <x:c r="DQ57" s="128" t="e">
        <x:f>'PROJECT TA Y TB KARINA'!$S53/8</x:f>
        <x:v>#REF!</x:v>
      </x:c>
      <x:c r="DR57" s="128" t="e">
        <x:f>'PROJECT TA Y TB KARINA'!$S53/8</x:f>
        <x:v>#REF!</x:v>
      </x:c>
      <x:c r="DS57" s="128" t="e">
        <x:f>'PROJECT TA Y TB KARINA'!$S53/8</x:f>
        <x:v>#REF!</x:v>
      </x:c>
      <x:c r="DT57" s="128" t="e">
        <x:f>'PROJECT TA Y TB KARINA'!$S53/8</x:f>
        <x:v>#REF!</x:v>
      </x:c>
      <x:c r="DU57" s="128" t="e">
        <x:f>'PROJECT TA Y TB KARINA'!$S53/8</x:f>
        <x:v>#REF!</x:v>
      </x:c>
      <x:c r="DV57" s="128" t="e">
        <x:f>'PROJECT TA Y TB KARINA'!$S53/8</x:f>
        <x:v>#REF!</x:v>
      </x:c>
      <x:c r="DW57" s="128" t="e">
        <x:f>'PROJECT TA Y TB KARINA'!$S53/8</x:f>
        <x:v>#REF!</x:v>
      </x:c>
      <x:c r="DX57" s="128" t="e">
        <x:f>'PROJECT TA Y TB KARINA'!$S53/8</x:f>
        <x:v>#REF!</x:v>
      </x:c>
      <x:c r="DY57" s="128" t="e">
        <x:f>'PROJECT TA Y TB KARINA'!$T53/8</x:f>
        <x:v>#REF!</x:v>
      </x:c>
      <x:c r="DZ57" s="128" t="e">
        <x:f>'PROJECT TA Y TB KARINA'!$T53/8</x:f>
        <x:v>#REF!</x:v>
      </x:c>
      <x:c r="EA57" s="128" t="e">
        <x:f>'PROJECT TA Y TB KARINA'!$T53/8</x:f>
        <x:v>#REF!</x:v>
      </x:c>
      <x:c r="EB57" s="128" t="e">
        <x:f>'PROJECT TA Y TB KARINA'!$T53/8</x:f>
        <x:v>#REF!</x:v>
      </x:c>
      <x:c r="EC57" s="128" t="e">
        <x:f>'PROJECT TA Y TB KARINA'!$T53/8</x:f>
        <x:v>#REF!</x:v>
      </x:c>
      <x:c r="ED57" s="128" t="e">
        <x:f>'PROJECT TA Y TB KARINA'!$T53/8</x:f>
        <x:v>#REF!</x:v>
      </x:c>
      <x:c r="EE57" s="128" t="e">
        <x:f>'PROJECT TA Y TB KARINA'!$T53/8</x:f>
        <x:v>#REF!</x:v>
      </x:c>
      <x:c r="EF57" s="128" t="e">
        <x:f>'PROJECT TA Y TB KARINA'!$T53/8</x:f>
        <x:v>#REF!</x:v>
      </x:c>
      <x:c r="EG57" s="128" t="e">
        <x:f>'PROJECT TA Y TB KARINA'!#REF!/8</x:f>
        <x:v>#NAME?</x:v>
      </x:c>
      <x:c r="EH57" s="128" t="e">
        <x:f>'PROJECT TA Y TB KARINA'!#REF!/8</x:f>
        <x:v>#NAME?</x:v>
      </x:c>
      <x:c r="EI57" s="128" t="e">
        <x:f>'PROJECT TA Y TB KARINA'!#REF!/8</x:f>
        <x:v>#NAME?</x:v>
      </x:c>
      <x:c r="EJ57" s="128" t="e">
        <x:f>'PROJECT TA Y TB KARINA'!#REF!/8</x:f>
        <x:v>#NAME?</x:v>
      </x:c>
      <x:c r="EK57" s="128" t="e">
        <x:f>'PROJECT TA Y TB KARINA'!#REF!/8</x:f>
        <x:v>#NAME?</x:v>
      </x:c>
      <x:c r="EL57" s="128" t="e">
        <x:f>'PROJECT TA Y TB KARINA'!#REF!/8</x:f>
        <x:v>#NAME?</x:v>
      </x:c>
      <x:c r="EM57" s="128" t="e">
        <x:f>'PROJECT TA Y TB KARINA'!#REF!/8</x:f>
        <x:v>#NAME?</x:v>
      </x:c>
      <x:c r="EN57" s="128" t="e">
        <x:f>'PROJECT TA Y TB KARINA'!#REF!/8</x:f>
        <x:v>#NAME?</x:v>
      </x:c>
      <x:c r="EO57" s="128" t="n">
        <x:f>'PROJECT TA Y TB KARINA'!$C111/8</x:f>
        <x:v>0</x:v>
      </x:c>
      <x:c r="EP57" s="128" t="n">
        <x:f>'PROJECT TA Y TB KARINA'!$C111/8</x:f>
        <x:v>0</x:v>
      </x:c>
      <x:c r="EQ57" s="128" t="n">
        <x:f>'PROJECT TA Y TB KARINA'!$C111/8</x:f>
        <x:v>0</x:v>
      </x:c>
      <x:c r="ER57" s="128" t="n">
        <x:f>'PROJECT TA Y TB KARINA'!$C111/8</x:f>
        <x:v>0</x:v>
      </x:c>
      <x:c r="ES57" s="128" t="n">
        <x:f>'PROJECT TA Y TB KARINA'!$C111/8</x:f>
        <x:v>0</x:v>
      </x:c>
      <x:c r="ET57" s="128" t="n">
        <x:f>'PROJECT TA Y TB KARINA'!$C111/8</x:f>
        <x:v>0</x:v>
      </x:c>
      <x:c r="EU57" s="128" t="n">
        <x:f>'PROJECT TA Y TB KARINA'!$C111/8</x:f>
        <x:v>0</x:v>
      </x:c>
      <x:c r="EV57" s="128" t="n">
        <x:f>'PROJECT TA Y TB KARINA'!$E111/8</x:f>
        <x:v>0</x:v>
      </x:c>
      <x:c r="EW57" s="128" t="n">
        <x:f>'PROJECT TA Y TB KARINA'!$E111/8</x:f>
        <x:v>0</x:v>
      </x:c>
      <x:c r="EX57" s="128" t="n">
        <x:f>'PROJECT TA Y TB KARINA'!$E111/8</x:f>
        <x:v>0</x:v>
      </x:c>
      <x:c r="EY57" s="128" t="n">
        <x:f>'PROJECT TA Y TB KARINA'!$E111/8</x:f>
        <x:v>0</x:v>
      </x:c>
      <x:c r="EZ57" s="128" t="n">
        <x:f>'PROJECT TA Y TB KARINA'!$E111/8</x:f>
        <x:v>0</x:v>
      </x:c>
      <x:c r="FA57" s="128" t="n">
        <x:f>'PROJECT TA Y TB KARINA'!$E111/8</x:f>
        <x:v>0</x:v>
      </x:c>
      <x:c r="FB57" s="128" t="n">
        <x:f>'PROJECT TA Y TB KARINA'!$E111/8</x:f>
        <x:v>0</x:v>
      </x:c>
      <x:c r="FC57" s="128" t="n">
        <x:f>'PROJECT TA Y TB KARINA'!$E111/8</x:f>
        <x:v>0</x:v>
      </x:c>
      <x:c r="FD57" s="128" t="n">
        <x:f>'PROJECT TA Y TB KARINA'!$F111/8</x:f>
        <x:v>0</x:v>
      </x:c>
      <x:c r="FE57" s="128" t="n">
        <x:f>'PROJECT TA Y TB KARINA'!$F111/8</x:f>
        <x:v>0</x:v>
      </x:c>
      <x:c r="FF57" s="128" t="n">
        <x:f>'PROJECT TA Y TB KARINA'!$F111/8</x:f>
        <x:v>0</x:v>
      </x:c>
      <x:c r="FG57" s="128" t="n">
        <x:f>'PROJECT TA Y TB KARINA'!$F111/8</x:f>
        <x:v>0</x:v>
      </x:c>
      <x:c r="FH57" s="128" t="n">
        <x:f>'PROJECT TA Y TB KARINA'!$F111/8</x:f>
        <x:v>0</x:v>
      </x:c>
      <x:c r="FI57" s="128" t="n">
        <x:f>'PROJECT TA Y TB KARINA'!$F111/8</x:f>
        <x:v>0</x:v>
      </x:c>
      <x:c r="FJ57" s="128" t="n">
        <x:f>'PROJECT TA Y TB KARINA'!$F111/8</x:f>
        <x:v>0</x:v>
      </x:c>
      <x:c r="FK57" s="128" t="n">
        <x:f>'PROJECT TA Y TB KARINA'!$F111/8</x:f>
        <x:v>0</x:v>
      </x:c>
      <x:c r="FL57" s="128" t="n">
        <x:f>'PROJECT TA Y TB KARINA'!$G111/8</x:f>
        <x:v>0</x:v>
      </x:c>
      <x:c r="FM57" s="128" t="n">
        <x:f>'PROJECT TA Y TB KARINA'!$G111/8</x:f>
        <x:v>0</x:v>
      </x:c>
      <x:c r="FN57" s="128" t="n">
        <x:f>'PROJECT TA Y TB KARINA'!$G111/8</x:f>
        <x:v>0</x:v>
      </x:c>
      <x:c r="FO57" s="128" t="n">
        <x:f>'PROJECT TA Y TB KARINA'!$G111/8</x:f>
        <x:v>0</x:v>
      </x:c>
      <x:c r="FP57" s="128" t="n">
        <x:f>'PROJECT TA Y TB KARINA'!$G111/8</x:f>
        <x:v>0</x:v>
      </x:c>
      <x:c r="FQ57" s="128" t="n">
        <x:f>'PROJECT TA Y TB KARINA'!$G111/8</x:f>
        <x:v>0</x:v>
      </x:c>
      <x:c r="FR57" s="128" t="n">
        <x:f>'PROJECT TA Y TB KARINA'!$G111/8</x:f>
        <x:v>0</x:v>
      </x:c>
      <x:c r="FS57" s="128" t="n">
        <x:f>'PROJECT TA Y TB KARINA'!$G111/8</x:f>
        <x:v>0</x:v>
      </x:c>
      <x:c r="FT57" s="128" t="n">
        <x:f>'PROJECT TA Y TB KARINA'!$H111/8</x:f>
        <x:v>0</x:v>
      </x:c>
      <x:c r="FU57" s="128" t="n">
        <x:f>'PROJECT TA Y TB KARINA'!$H111/8</x:f>
        <x:v>0</x:v>
      </x:c>
      <x:c r="FV57" s="128" t="n">
        <x:f>'PROJECT TA Y TB KARINA'!$H111/8</x:f>
        <x:v>0</x:v>
      </x:c>
      <x:c r="FW57" s="128" t="n">
        <x:f>'PROJECT TA Y TB KARINA'!$H111/8</x:f>
        <x:v>0</x:v>
      </x:c>
      <x:c r="FX57" s="128" t="n">
        <x:f>'PROJECT TA Y TB KARINA'!$H111/8</x:f>
        <x:v>0</x:v>
      </x:c>
      <x:c r="FY57" s="128" t="n">
        <x:f>'PROJECT TA Y TB KARINA'!$H111/8</x:f>
        <x:v>0</x:v>
      </x:c>
      <x:c r="FZ57" s="128" t="n">
        <x:f>'PROJECT TA Y TB KARINA'!$H111/8</x:f>
        <x:v>0</x:v>
      </x:c>
      <x:c r="GA57" s="128" t="n">
        <x:f>'PROJECT TA Y TB KARINA'!$H111/8</x:f>
        <x:v>0</x:v>
      </x:c>
      <x:c r="GB57" s="128" t="n">
        <x:f>'PROJECT TA Y TB KARINA'!$I111/8</x:f>
        <x:v>0</x:v>
      </x:c>
      <x:c r="GC57" s="128" t="n">
        <x:f>'PROJECT TA Y TB KARINA'!$I111/8</x:f>
        <x:v>0</x:v>
      </x:c>
      <x:c r="GD57" s="128" t="n">
        <x:f>'PROJECT TA Y TB KARINA'!$I111/8</x:f>
        <x:v>0</x:v>
      </x:c>
      <x:c r="GE57" s="128" t="n">
        <x:f>'PROJECT TA Y TB KARINA'!$I111/8</x:f>
        <x:v>0</x:v>
      </x:c>
      <x:c r="GF57" s="128" t="n">
        <x:f>'PROJECT TA Y TB KARINA'!$I111/8</x:f>
        <x:v>0</x:v>
      </x:c>
      <x:c r="GG57" s="128" t="n">
        <x:f>'PROJECT TA Y TB KARINA'!$I111/8</x:f>
        <x:v>0</x:v>
      </x:c>
      <x:c r="GH57" s="128" t="n">
        <x:f>'PROJECT TA Y TB KARINA'!$I111/8</x:f>
        <x:v>0</x:v>
      </x:c>
      <x:c r="GI57" s="128" t="n">
        <x:f>'PROJECT TA Y TB KARINA'!$I111/8</x:f>
        <x:v>0</x:v>
      </x:c>
      <x:c r="GJ57" s="128" t="n">
        <x:f>'PROJECT TA Y TB KARINA'!$J111/8</x:f>
        <x:v>0</x:v>
      </x:c>
      <x:c r="GK57" s="128" t="n">
        <x:f>'PROJECT TA Y TB KARINA'!$J111/8</x:f>
        <x:v>0</x:v>
      </x:c>
      <x:c r="GL57" s="128" t="n">
        <x:f>'PROJECT TA Y TB KARINA'!$J111/8</x:f>
        <x:v>0</x:v>
      </x:c>
      <x:c r="GM57" s="128" t="n">
        <x:f>'PROJECT TA Y TB KARINA'!$J111/8</x:f>
        <x:v>0</x:v>
      </x:c>
      <x:c r="GN57" s="128" t="n">
        <x:f>'PROJECT TA Y TB KARINA'!$J111/8</x:f>
        <x:v>0</x:v>
      </x:c>
      <x:c r="GO57" s="128" t="n">
        <x:f>'PROJECT TA Y TB KARINA'!$J111/8</x:f>
        <x:v>0</x:v>
      </x:c>
      <x:c r="GP57" s="128" t="n">
        <x:f>'PROJECT TA Y TB KARINA'!$J111/8</x:f>
        <x:v>0</x:v>
      </x:c>
      <x:c r="GQ57" s="128" t="n">
        <x:f>'PROJECT TA Y TB KARINA'!$J111/8</x:f>
        <x:v>0</x:v>
      </x:c>
      <x:c r="GR57" s="128" t="n">
        <x:f>'PROJECT TA Y TB KARINA'!$K111/8</x:f>
        <x:v>0</x:v>
      </x:c>
      <x:c r="GS57" s="128" t="n">
        <x:f>'PROJECT TA Y TB KARINA'!$K111/8</x:f>
        <x:v>0</x:v>
      </x:c>
      <x:c r="GT57" s="128" t="n">
        <x:f>'PROJECT TA Y TB KARINA'!$K111/8</x:f>
        <x:v>0</x:v>
      </x:c>
      <x:c r="GU57" s="128" t="n">
        <x:f>'PROJECT TA Y TB KARINA'!$K111/8</x:f>
        <x:v>0</x:v>
      </x:c>
      <x:c r="GV57" s="128" t="n">
        <x:f>'PROJECT TA Y TB KARINA'!$K111/8</x:f>
        <x:v>0</x:v>
      </x:c>
      <x:c r="GW57" s="128" t="n">
        <x:f>'PROJECT TA Y TB KARINA'!$K111/8</x:f>
        <x:v>0</x:v>
      </x:c>
      <x:c r="GX57" s="128" t="n">
        <x:f>'PROJECT TA Y TB KARINA'!$K111/8</x:f>
        <x:v>0</x:v>
      </x:c>
      <x:c r="GY57" s="128" t="n">
        <x:f>'PROJECT TA Y TB KARINA'!$K111/8</x:f>
        <x:v>0</x:v>
      </x:c>
      <x:c r="GZ57" s="128" t="n">
        <x:f>'PROJECT TA Y TB KARINA'!$L111/8</x:f>
        <x:v>0</x:v>
      </x:c>
      <x:c r="HA57" s="128" t="n">
        <x:f>'PROJECT TA Y TB KARINA'!$L111/8</x:f>
        <x:v>0</x:v>
      </x:c>
      <x:c r="HB57" s="128" t="n">
        <x:f>'PROJECT TA Y TB KARINA'!$L111/8</x:f>
        <x:v>0</x:v>
      </x:c>
      <x:c r="HC57" s="128" t="n">
        <x:f>'PROJECT TA Y TB KARINA'!$L111/8</x:f>
        <x:v>0</x:v>
      </x:c>
      <x:c r="HD57" s="128" t="n">
        <x:f>'PROJECT TA Y TB KARINA'!$L111/8</x:f>
        <x:v>0</x:v>
      </x:c>
      <x:c r="HE57" s="128" t="n">
        <x:f>'PROJECT TA Y TB KARINA'!$L111/8</x:f>
        <x:v>0</x:v>
      </x:c>
      <x:c r="HF57" s="128" t="n">
        <x:f>'PROJECT TA Y TB KARINA'!$L111/8</x:f>
        <x:v>0</x:v>
      </x:c>
      <x:c r="HG57" s="128" t="n">
        <x:f>'PROJECT TA Y TB KARINA'!$L111/8</x:f>
        <x:v>0</x:v>
      </x:c>
      <x:c r="HH57" s="128" t="n">
        <x:f>'PROJECT TA Y TB KARINA'!$M111/8</x:f>
        <x:v>0</x:v>
      </x:c>
      <x:c r="HI57" s="128" t="n">
        <x:f>'PROJECT TA Y TB KARINA'!$M111/8</x:f>
        <x:v>0</x:v>
      </x:c>
      <x:c r="HJ57" s="128" t="n">
        <x:f>'PROJECT TA Y TB KARINA'!$M111/8</x:f>
        <x:v>0</x:v>
      </x:c>
      <x:c r="HK57" s="128" t="n">
        <x:f>'PROJECT TA Y TB KARINA'!$M111/8</x:f>
        <x:v>0</x:v>
      </x:c>
      <x:c r="HL57" s="128" t="n">
        <x:f>'PROJECT TA Y TB KARINA'!$M111/8</x:f>
        <x:v>0</x:v>
      </x:c>
      <x:c r="HM57" s="128" t="n">
        <x:f>'PROJECT TA Y TB KARINA'!$M111/8</x:f>
        <x:v>0</x:v>
      </x:c>
      <x:c r="HN57" s="128" t="n">
        <x:f>'PROJECT TA Y TB KARINA'!$M111/8</x:f>
        <x:v>0</x:v>
      </x:c>
      <x:c r="HO57" s="128" t="n">
        <x:f>'PROJECT TA Y TB KARINA'!$M111/8</x:f>
        <x:v>0</x:v>
      </x:c>
      <x:c r="HP57" s="128" t="n">
        <x:f>'PROJECT TA Y TB KARINA'!$N111/8</x:f>
        <x:v>0</x:v>
      </x:c>
      <x:c r="HQ57" s="128" t="n">
        <x:f>'PROJECT TA Y TB KARINA'!$N111/8</x:f>
        <x:v>0</x:v>
      </x:c>
      <x:c r="HR57" s="128" t="n">
        <x:f>'PROJECT TA Y TB KARINA'!$N111/8</x:f>
        <x:v>0</x:v>
      </x:c>
      <x:c r="HS57" s="128" t="n">
        <x:f>'PROJECT TA Y TB KARINA'!$N111/8</x:f>
        <x:v>0</x:v>
      </x:c>
      <x:c r="HT57" s="128" t="n">
        <x:f>'PROJECT TA Y TB KARINA'!$N111/8</x:f>
        <x:v>0</x:v>
      </x:c>
      <x:c r="HU57" s="128" t="n">
        <x:f>'PROJECT TA Y TB KARINA'!$N111/8</x:f>
        <x:v>0</x:v>
      </x:c>
      <x:c r="HV57" s="128" t="n">
        <x:f>'PROJECT TA Y TB KARINA'!$N111/8</x:f>
        <x:v>0</x:v>
      </x:c>
      <x:c r="HW57" s="128" t="n">
        <x:f>'PROJECT TA Y TB KARINA'!$N111/8</x:f>
        <x:v>0</x:v>
      </x:c>
      <x:c r="HX57" s="128" t="n">
        <x:f>'PROJECT TA Y TB KARINA'!$O111/8</x:f>
        <x:v>0</x:v>
      </x:c>
      <x:c r="HY57" s="128" t="n">
        <x:f>'PROJECT TA Y TB KARINA'!$O111/8</x:f>
        <x:v>0</x:v>
      </x:c>
      <x:c r="HZ57" s="128" t="n">
        <x:f>'PROJECT TA Y TB KARINA'!$O111/8</x:f>
        <x:v>0</x:v>
      </x:c>
      <x:c r="IA57" s="128" t="n">
        <x:f>'PROJECT TA Y TB KARINA'!$O111/8</x:f>
        <x:v>0</x:v>
      </x:c>
      <x:c r="IB57" s="128" t="n">
        <x:f>'PROJECT TA Y TB KARINA'!$O111/8</x:f>
        <x:v>0</x:v>
      </x:c>
      <x:c r="IC57" s="128" t="n">
        <x:f>'PROJECT TA Y TB KARINA'!$O111/8</x:f>
        <x:v>0</x:v>
      </x:c>
      <x:c r="ID57" s="128" t="n">
        <x:f>'PROJECT TA Y TB KARINA'!$O111/8</x:f>
        <x:v>0</x:v>
      </x:c>
      <x:c r="IE57" s="128" t="n">
        <x:f>'PROJECT TA Y TB KARINA'!$O111/8</x:f>
        <x:v>0</x:v>
      </x:c>
      <x:c r="IF57" s="128" t="n">
        <x:f>'PROJECT TA Y TB KARINA'!$P111/8</x:f>
        <x:v>0</x:v>
      </x:c>
      <x:c r="IG57" s="128" t="n">
        <x:f>'PROJECT TA Y TB KARINA'!$P111/8</x:f>
        <x:v>0</x:v>
      </x:c>
      <x:c r="IH57" s="128" t="n">
        <x:f>'PROJECT TA Y TB KARINA'!$P111/8</x:f>
        <x:v>0</x:v>
      </x:c>
      <x:c r="II57" s="128" t="n">
        <x:f>'PROJECT TA Y TB KARINA'!$P111/8</x:f>
        <x:v>0</x:v>
      </x:c>
      <x:c r="IJ57" s="128" t="n">
        <x:f>'PROJECT TA Y TB KARINA'!$P111/8</x:f>
        <x:v>0</x:v>
      </x:c>
      <x:c r="IK57" s="128" t="n">
        <x:f>'PROJECT TA Y TB KARINA'!$P111/8</x:f>
        <x:v>0</x:v>
      </x:c>
      <x:c r="IL57" s="128" t="n">
        <x:f>'PROJECT TA Y TB KARINA'!$P111/8</x:f>
        <x:v>0</x:v>
      </x:c>
      <x:c r="IM57" s="128" t="n">
        <x:f>'PROJECT TA Y TB KARINA'!$P111/8</x:f>
        <x:v>0</x:v>
      </x:c>
      <x:c r="IN57" s="128" t="n">
        <x:f>'PROJECT TA Y TB KARINA'!$Q111/8</x:f>
        <x:v>0</x:v>
      </x:c>
      <x:c r="IO57" s="128" t="n">
        <x:f>'PROJECT TA Y TB KARINA'!$Q111/8</x:f>
        <x:v>0</x:v>
      </x:c>
      <x:c r="IP57" s="128" t="n">
        <x:f>'PROJECT TA Y TB KARINA'!$Q111/8</x:f>
        <x:v>0</x:v>
      </x:c>
      <x:c r="IQ57" s="128" t="n">
        <x:f>'PROJECT TA Y TB KARINA'!$Q111/8</x:f>
        <x:v>0</x:v>
      </x:c>
      <x:c r="IR57" s="128" t="n">
        <x:f>'PROJECT TA Y TB KARINA'!$Q111/8</x:f>
        <x:v>0</x:v>
      </x:c>
      <x:c r="IS57" s="128" t="n">
        <x:f>'PROJECT TA Y TB KARINA'!$Q111/8</x:f>
        <x:v>0</x:v>
      </x:c>
      <x:c r="IT57" s="128" t="n">
        <x:f>'PROJECT TA Y TB KARINA'!$Q111/8</x:f>
        <x:v>0</x:v>
      </x:c>
      <x:c r="IU57" s="128" t="n">
        <x:f>'PROJECT TA Y TB KARINA'!$Q111/8</x:f>
        <x:v>0</x:v>
      </x:c>
      <x:c r="IV57" s="128" t="n">
        <x:f>'PROJECT TA Y TB KARINA'!$R111/8</x:f>
        <x:v>0</x:v>
      </x:c>
      <x:c r="IW57" s="128" t="n">
        <x:f>'PROJECT TA Y TB KARINA'!$R111/8</x:f>
        <x:v>0</x:v>
      </x:c>
      <x:c r="IX57" s="128" t="n">
        <x:f>'PROJECT TA Y TB KARINA'!$R111/8</x:f>
        <x:v>0</x:v>
      </x:c>
      <x:c r="IY57" s="128" t="n">
        <x:f>'PROJECT TA Y TB KARINA'!$R111/8</x:f>
        <x:v>0</x:v>
      </x:c>
      <x:c r="IZ57" s="128" t="n">
        <x:f>'PROJECT TA Y TB KARINA'!$R111/8</x:f>
        <x:v>0</x:v>
      </x:c>
      <x:c r="JA57" s="128" t="n">
        <x:f>'PROJECT TA Y TB KARINA'!$R111/8</x:f>
        <x:v>0</x:v>
      </x:c>
      <x:c r="JB57" s="128" t="n">
        <x:f>'PROJECT TA Y TB KARINA'!$R111/8</x:f>
        <x:v>0</x:v>
      </x:c>
      <x:c r="JC57" s="128" t="n">
        <x:f>'PROJECT TA Y TB KARINA'!$R111/8</x:f>
        <x:v>0</x:v>
      </x:c>
      <x:c r="JD57" s="128" t="n">
        <x:f>'PROJECT TA Y TB KARINA'!$S111/8</x:f>
        <x:v>0</x:v>
      </x:c>
      <x:c r="JE57" s="128" t="n">
        <x:f>'PROJECT TA Y TB KARINA'!$S111/8</x:f>
        <x:v>0</x:v>
      </x:c>
      <x:c r="JF57" s="128" t="n">
        <x:f>'PROJECT TA Y TB KARINA'!$S111/8</x:f>
        <x:v>0</x:v>
      </x:c>
      <x:c r="JG57" s="128" t="n">
        <x:f>'PROJECT TA Y TB KARINA'!$S111/8</x:f>
        <x:v>0</x:v>
      </x:c>
      <x:c r="JH57" s="128" t="n">
        <x:f>'PROJECT TA Y TB KARINA'!$S111/8</x:f>
        <x:v>0</x:v>
      </x:c>
      <x:c r="JI57" s="128" t="n">
        <x:f>'PROJECT TA Y TB KARINA'!$S111/8</x:f>
        <x:v>0</x:v>
      </x:c>
      <x:c r="JJ57" s="128" t="n">
        <x:f>'PROJECT TA Y TB KARINA'!$S111/8</x:f>
        <x:v>0</x:v>
      </x:c>
      <x:c r="JK57" s="128" t="n">
        <x:f>'PROJECT TA Y TB KARINA'!$S111/8</x:f>
        <x:v>0</x:v>
      </x:c>
      <x:c r="JL57" s="128" t="n">
        <x:f>'PROJECT TA Y TB KARINA'!$T111/8</x:f>
        <x:v>0</x:v>
      </x:c>
      <x:c r="JM57" s="128" t="n">
        <x:f>'PROJECT TA Y TB KARINA'!$T111/8</x:f>
        <x:v>0</x:v>
      </x:c>
      <x:c r="JN57" s="128" t="n">
        <x:f>'PROJECT TA Y TB KARINA'!$T111/8</x:f>
        <x:v>0</x:v>
      </x:c>
      <x:c r="JO57" s="128" t="n">
        <x:f>'PROJECT TA Y TB KARINA'!$T111/8</x:f>
        <x:v>0</x:v>
      </x:c>
      <x:c r="JP57" s="128" t="n">
        <x:f>'PROJECT TA Y TB KARINA'!$T111/8</x:f>
        <x:v>0</x:v>
      </x:c>
      <x:c r="JQ57" s="128" t="n">
        <x:f>'PROJECT TA Y TB KARINA'!$T111/8</x:f>
        <x:v>0</x:v>
      </x:c>
      <x:c r="JR57" s="128" t="n">
        <x:f>'PROJECT TA Y TB KARINA'!$T111/8</x:f>
        <x:v>0</x:v>
      </x:c>
      <x:c r="JS57" s="128" t="n">
        <x:f>'PROJECT TA Y TB KARINA'!$T111/8</x:f>
        <x:v>0</x:v>
      </x:c>
      <x:c r="JT57" s="128" t="e">
        <x:f>'PROJECT TA Y TB KARINA'!#REF!/8</x:f>
        <x:v>#NAME?</x:v>
      </x:c>
      <x:c r="JU57" s="128" t="e">
        <x:f>'PROJECT TA Y TB KARINA'!#REF!/8</x:f>
        <x:v>#NAME?</x:v>
      </x:c>
      <x:c r="JV57" s="128" t="e">
        <x:f>'PROJECT TA Y TB KARINA'!#REF!/8</x:f>
        <x:v>#NAME?</x:v>
      </x:c>
      <x:c r="JW57" s="128" t="e">
        <x:f>'PROJECT TA Y TB KARINA'!#REF!/8</x:f>
        <x:v>#NAME?</x:v>
      </x:c>
      <x:c r="JX57" s="128" t="e">
        <x:f>'PROJECT TA Y TB KARINA'!#REF!/8</x:f>
        <x:v>#NAME?</x:v>
      </x:c>
      <x:c r="JY57" s="128" t="e">
        <x:f>'PROJECT TA Y TB KARINA'!#REF!/8</x:f>
        <x:v>#NAME?</x:v>
      </x:c>
      <x:c r="JZ57" s="128" t="e">
        <x:f>'PROJECT TA Y TB KARINA'!#REF!/8</x:f>
        <x:v>#NAME?</x:v>
      </x:c>
      <x:c r="KA57" s="128" t="e">
        <x:f>'PROJECT TA Y TB KARINA'!#REF!/8</x:f>
        <x:v>#NAME?</x:v>
      </x:c>
    </x:row>
    <x:row r="58" ht="21">
      <x:c r="A58" s="130" t="s">
        <x:v>543</x:v>
      </x:c>
      <x:c r="B58" s="128" t="e">
        <x:f>'PROJECT TA Y TB KARINA'!$C$54/8</x:f>
        <x:v>#REF!</x:v>
      </x:c>
      <x:c r="C58" s="128" t="e">
        <x:f>'PROJECT TA Y TB KARINA'!$C$54/8</x:f>
        <x:v>#REF!</x:v>
      </x:c>
      <x:c r="D58" s="128" t="e">
        <x:f>'PROJECT TA Y TB KARINA'!$C$54/8</x:f>
        <x:v>#REF!</x:v>
      </x:c>
      <x:c r="E58" s="128" t="e">
        <x:f>'PROJECT TA Y TB KARINA'!$C$54/8</x:f>
        <x:v>#REF!</x:v>
      </x:c>
      <x:c r="F58" s="128" t="e">
        <x:f>'PROJECT TA Y TB KARINA'!$C$54/8</x:f>
        <x:v>#REF!</x:v>
      </x:c>
      <x:c r="G58" s="128" t="e">
        <x:f>'PROJECT TA Y TB KARINA'!$C$54/8</x:f>
        <x:v>#REF!</x:v>
      </x:c>
      <x:c r="H58" s="128" t="e">
        <x:f>'PROJECT TA Y TB KARINA'!$C$54/8</x:f>
        <x:v>#REF!</x:v>
      </x:c>
      <x:c r="I58" s="128" t="e">
        <x:f>'PROJECT TA Y TB KARINA'!$E54/8</x:f>
        <x:v>#REF!</x:v>
      </x:c>
      <x:c r="J58" s="128" t="e">
        <x:f>'PROJECT TA Y TB KARINA'!$E54/8</x:f>
        <x:v>#REF!</x:v>
      </x:c>
      <x:c r="K58" s="128" t="e">
        <x:f>'PROJECT TA Y TB KARINA'!$E54/8</x:f>
        <x:v>#REF!</x:v>
      </x:c>
      <x:c r="L58" s="128" t="e">
        <x:f>'PROJECT TA Y TB KARINA'!$E54/8</x:f>
        <x:v>#REF!</x:v>
      </x:c>
      <x:c r="M58" s="128" t="e">
        <x:f>'PROJECT TA Y TB KARINA'!$E54/8</x:f>
        <x:v>#REF!</x:v>
      </x:c>
      <x:c r="N58" s="128" t="e">
        <x:f>'PROJECT TA Y TB KARINA'!$E54/8</x:f>
        <x:v>#REF!</x:v>
      </x:c>
      <x:c r="O58" s="128" t="e">
        <x:f>'PROJECT TA Y TB KARINA'!$E54/8</x:f>
        <x:v>#REF!</x:v>
      </x:c>
      <x:c r="P58" s="128" t="e">
        <x:f>'PROJECT TA Y TB KARINA'!$E54/8</x:f>
        <x:v>#REF!</x:v>
      </x:c>
      <x:c r="Q58" s="128" t="e">
        <x:f>'PROJECT TA Y TB KARINA'!$F54/8</x:f>
        <x:v>#REF!</x:v>
      </x:c>
      <x:c r="R58" s="128" t="e">
        <x:f>'PROJECT TA Y TB KARINA'!$F54/8</x:f>
        <x:v>#REF!</x:v>
      </x:c>
      <x:c r="S58" s="128" t="e">
        <x:f>'PROJECT TA Y TB KARINA'!$F54/8</x:f>
        <x:v>#REF!</x:v>
      </x:c>
      <x:c r="T58" s="128" t="e">
        <x:f>'PROJECT TA Y TB KARINA'!$F54/8</x:f>
        <x:v>#REF!</x:v>
      </x:c>
      <x:c r="U58" s="128" t="e">
        <x:f>'PROJECT TA Y TB KARINA'!$F54/8</x:f>
        <x:v>#REF!</x:v>
      </x:c>
      <x:c r="V58" s="128" t="e">
        <x:f>'PROJECT TA Y TB KARINA'!$F54/8</x:f>
        <x:v>#REF!</x:v>
      </x:c>
      <x:c r="W58" s="128" t="e">
        <x:f>'PROJECT TA Y TB KARINA'!$F54/8</x:f>
        <x:v>#REF!</x:v>
      </x:c>
      <x:c r="X58" s="128" t="e">
        <x:f>'PROJECT TA Y TB KARINA'!$F54/8</x:f>
        <x:v>#REF!</x:v>
      </x:c>
      <x:c r="Y58" s="128" t="e">
        <x:f>'PROJECT TA Y TB KARINA'!$G54/8</x:f>
        <x:v>#REF!</x:v>
      </x:c>
      <x:c r="Z58" s="128" t="e">
        <x:f>'PROJECT TA Y TB KARINA'!$G54/8</x:f>
        <x:v>#REF!</x:v>
      </x:c>
      <x:c r="AA58" s="128" t="e">
        <x:f>'PROJECT TA Y TB KARINA'!$G54/8</x:f>
        <x:v>#REF!</x:v>
      </x:c>
      <x:c r="AB58" s="128" t="e">
        <x:f>'PROJECT TA Y TB KARINA'!$G54/8</x:f>
        <x:v>#REF!</x:v>
      </x:c>
      <x:c r="AC58" s="128" t="e">
        <x:f>'PROJECT TA Y TB KARINA'!$G54/8</x:f>
        <x:v>#REF!</x:v>
      </x:c>
      <x:c r="AD58" s="128" t="e">
        <x:f>'PROJECT TA Y TB KARINA'!$G54/8</x:f>
        <x:v>#REF!</x:v>
      </x:c>
      <x:c r="AE58" s="128" t="e">
        <x:f>'PROJECT TA Y TB KARINA'!$G54/8</x:f>
        <x:v>#REF!</x:v>
      </x:c>
      <x:c r="AF58" s="128" t="e">
        <x:f>'PROJECT TA Y TB KARINA'!$G54/8</x:f>
        <x:v>#REF!</x:v>
      </x:c>
      <x:c r="AG58" s="128" t="e">
        <x:f>'PROJECT TA Y TB KARINA'!$H54/8</x:f>
        <x:v>#REF!</x:v>
      </x:c>
      <x:c r="AH58" s="128" t="e">
        <x:f>'PROJECT TA Y TB KARINA'!$H54/8</x:f>
        <x:v>#REF!</x:v>
      </x:c>
      <x:c r="AI58" s="128" t="e">
        <x:f>'PROJECT TA Y TB KARINA'!$H54/8</x:f>
        <x:v>#REF!</x:v>
      </x:c>
      <x:c r="AJ58" s="128" t="e">
        <x:f>'PROJECT TA Y TB KARINA'!$H54/8</x:f>
        <x:v>#REF!</x:v>
      </x:c>
      <x:c r="AK58" s="128" t="e">
        <x:f>'PROJECT TA Y TB KARINA'!$H54/8</x:f>
        <x:v>#REF!</x:v>
      </x:c>
      <x:c r="AL58" s="128" t="e">
        <x:f>'PROJECT TA Y TB KARINA'!$H54/8</x:f>
        <x:v>#REF!</x:v>
      </x:c>
      <x:c r="AM58" s="128" t="e">
        <x:f>'PROJECT TA Y TB KARINA'!$H54/8</x:f>
        <x:v>#REF!</x:v>
      </x:c>
      <x:c r="AN58" s="128" t="e">
        <x:f>'PROJECT TA Y TB KARINA'!$H54/8</x:f>
        <x:v>#REF!</x:v>
      </x:c>
      <x:c r="AO58" s="128" t="e">
        <x:f>'PROJECT TA Y TB KARINA'!$I54/8</x:f>
        <x:v>#REF!</x:v>
      </x:c>
      <x:c r="AP58" s="128" t="e">
        <x:f>'PROJECT TA Y TB KARINA'!$I54/8</x:f>
        <x:v>#REF!</x:v>
      </x:c>
      <x:c r="AQ58" s="128" t="e">
        <x:f>'PROJECT TA Y TB KARINA'!$I54/8</x:f>
        <x:v>#REF!</x:v>
      </x:c>
      <x:c r="AR58" s="128" t="e">
        <x:f>'PROJECT TA Y TB KARINA'!$I54/8</x:f>
        <x:v>#REF!</x:v>
      </x:c>
      <x:c r="AS58" s="128" t="e">
        <x:f>'PROJECT TA Y TB KARINA'!$I54/8</x:f>
        <x:v>#REF!</x:v>
      </x:c>
      <x:c r="AT58" s="128" t="e">
        <x:f>'PROJECT TA Y TB KARINA'!$I54/8</x:f>
        <x:v>#REF!</x:v>
      </x:c>
      <x:c r="AU58" s="128" t="e">
        <x:f>'PROJECT TA Y TB KARINA'!$I54/8</x:f>
        <x:v>#REF!</x:v>
      </x:c>
      <x:c r="AV58" s="128" t="e">
        <x:f>'PROJECT TA Y TB KARINA'!$I54/8</x:f>
        <x:v>#REF!</x:v>
      </x:c>
      <x:c r="AW58" s="128" t="e">
        <x:f>'PROJECT TA Y TB KARINA'!$J54/8</x:f>
        <x:v>#REF!</x:v>
      </x:c>
      <x:c r="AX58" s="128" t="e">
        <x:f>'PROJECT TA Y TB KARINA'!$J54/8</x:f>
        <x:v>#REF!</x:v>
      </x:c>
      <x:c r="AY58" s="128" t="e">
        <x:f>'PROJECT TA Y TB KARINA'!$J54/8</x:f>
        <x:v>#REF!</x:v>
      </x:c>
      <x:c r="AZ58" s="128" t="e">
        <x:f>'PROJECT TA Y TB KARINA'!$J54/8</x:f>
        <x:v>#REF!</x:v>
      </x:c>
      <x:c r="BA58" s="128" t="e">
        <x:f>'PROJECT TA Y TB KARINA'!$J54/8</x:f>
        <x:v>#REF!</x:v>
      </x:c>
      <x:c r="BB58" s="128" t="e">
        <x:f>'PROJECT TA Y TB KARINA'!$J54/8</x:f>
        <x:v>#REF!</x:v>
      </x:c>
      <x:c r="BC58" s="128" t="e">
        <x:f>'PROJECT TA Y TB KARINA'!$J54/8</x:f>
        <x:v>#REF!</x:v>
      </x:c>
      <x:c r="BD58" s="128" t="e">
        <x:f>'PROJECT TA Y TB KARINA'!$J54/8</x:f>
        <x:v>#REF!</x:v>
      </x:c>
      <x:c r="BE58" s="128" t="e">
        <x:f>'PROJECT TA Y TB KARINA'!$K54/8</x:f>
        <x:v>#REF!</x:v>
      </x:c>
      <x:c r="BF58" s="128" t="e">
        <x:f>'PROJECT TA Y TB KARINA'!$K54/8</x:f>
        <x:v>#REF!</x:v>
      </x:c>
      <x:c r="BG58" s="128" t="e">
        <x:f>'PROJECT TA Y TB KARINA'!$K54/8</x:f>
        <x:v>#REF!</x:v>
      </x:c>
      <x:c r="BH58" s="128" t="e">
        <x:f>'PROJECT TA Y TB KARINA'!$K54/8</x:f>
        <x:v>#REF!</x:v>
      </x:c>
      <x:c r="BI58" s="128" t="e">
        <x:f>'PROJECT TA Y TB KARINA'!$K54/8</x:f>
        <x:v>#REF!</x:v>
      </x:c>
      <x:c r="BJ58" s="128" t="e">
        <x:f>'PROJECT TA Y TB KARINA'!$K54/8</x:f>
        <x:v>#REF!</x:v>
      </x:c>
      <x:c r="BK58" s="128" t="e">
        <x:f>'PROJECT TA Y TB KARINA'!$K54/8</x:f>
        <x:v>#REF!</x:v>
      </x:c>
      <x:c r="BL58" s="128" t="e">
        <x:f>'PROJECT TA Y TB KARINA'!$K54/8</x:f>
        <x:v>#REF!</x:v>
      </x:c>
      <x:c r="BM58" s="128" t="e">
        <x:f>'PROJECT TA Y TB KARINA'!$L54/8</x:f>
        <x:v>#REF!</x:v>
      </x:c>
      <x:c r="BN58" s="128" t="e">
        <x:f>'PROJECT TA Y TB KARINA'!$L54/8</x:f>
        <x:v>#REF!</x:v>
      </x:c>
      <x:c r="BO58" s="128" t="e">
        <x:f>'PROJECT TA Y TB KARINA'!$L54/8</x:f>
        <x:v>#REF!</x:v>
      </x:c>
      <x:c r="BP58" s="128" t="e">
        <x:f>'PROJECT TA Y TB KARINA'!$L54/8</x:f>
        <x:v>#REF!</x:v>
      </x:c>
      <x:c r="BQ58" s="128" t="e">
        <x:f>'PROJECT TA Y TB KARINA'!$L54/8</x:f>
        <x:v>#REF!</x:v>
      </x:c>
      <x:c r="BR58" s="128" t="e">
        <x:f>'PROJECT TA Y TB KARINA'!$L54/8</x:f>
        <x:v>#REF!</x:v>
      </x:c>
      <x:c r="BS58" s="128" t="e">
        <x:f>'PROJECT TA Y TB KARINA'!$L54/8</x:f>
        <x:v>#REF!</x:v>
      </x:c>
      <x:c r="BT58" s="128" t="e">
        <x:f>'PROJECT TA Y TB KARINA'!$L54/8</x:f>
        <x:v>#REF!</x:v>
      </x:c>
      <x:c r="BU58" s="128" t="e">
        <x:f>'PROJECT TA Y TB KARINA'!$M54/8</x:f>
        <x:v>#REF!</x:v>
      </x:c>
      <x:c r="BV58" s="128" t="e">
        <x:f>'PROJECT TA Y TB KARINA'!$M54/8</x:f>
        <x:v>#REF!</x:v>
      </x:c>
      <x:c r="BW58" s="128" t="e">
        <x:f>'PROJECT TA Y TB KARINA'!$M54/8</x:f>
        <x:v>#REF!</x:v>
      </x:c>
      <x:c r="BX58" s="128" t="e">
        <x:f>'PROJECT TA Y TB KARINA'!$M54/8</x:f>
        <x:v>#REF!</x:v>
      </x:c>
      <x:c r="BY58" s="128" t="e">
        <x:f>'PROJECT TA Y TB KARINA'!$M54/8</x:f>
        <x:v>#REF!</x:v>
      </x:c>
      <x:c r="BZ58" s="128" t="e">
        <x:f>'PROJECT TA Y TB KARINA'!$M54/8</x:f>
        <x:v>#REF!</x:v>
      </x:c>
      <x:c r="CA58" s="128" t="e">
        <x:f>'PROJECT TA Y TB KARINA'!$M54/8</x:f>
        <x:v>#REF!</x:v>
      </x:c>
      <x:c r="CB58" s="128" t="e">
        <x:f>'PROJECT TA Y TB KARINA'!$M54/8</x:f>
        <x:v>#REF!</x:v>
      </x:c>
      <x:c r="CC58" s="128" t="e">
        <x:f>'PROJECT TA Y TB KARINA'!$N54/8</x:f>
        <x:v>#REF!</x:v>
      </x:c>
      <x:c r="CD58" s="128" t="e">
        <x:f>'PROJECT TA Y TB KARINA'!$N54/8</x:f>
        <x:v>#REF!</x:v>
      </x:c>
      <x:c r="CE58" s="128" t="e">
        <x:f>'PROJECT TA Y TB KARINA'!$N54/8</x:f>
        <x:v>#REF!</x:v>
      </x:c>
      <x:c r="CF58" s="128" t="e">
        <x:f>'PROJECT TA Y TB KARINA'!$N54/8</x:f>
        <x:v>#REF!</x:v>
      </x:c>
      <x:c r="CG58" s="128" t="e">
        <x:f>'PROJECT TA Y TB KARINA'!$N54/8</x:f>
        <x:v>#REF!</x:v>
      </x:c>
      <x:c r="CH58" s="128" t="e">
        <x:f>'PROJECT TA Y TB KARINA'!$N54/8</x:f>
        <x:v>#REF!</x:v>
      </x:c>
      <x:c r="CI58" s="128" t="e">
        <x:f>'PROJECT TA Y TB KARINA'!$N54/8</x:f>
        <x:v>#REF!</x:v>
      </x:c>
      <x:c r="CJ58" s="128" t="e">
        <x:f>'PROJECT TA Y TB KARINA'!$N54/8</x:f>
        <x:v>#REF!</x:v>
      </x:c>
      <x:c r="CK58" s="128" t="e">
        <x:f>'PROJECT TA Y TB KARINA'!$O54/8</x:f>
        <x:v>#REF!</x:v>
      </x:c>
      <x:c r="CL58" s="128" t="e">
        <x:f>'PROJECT TA Y TB KARINA'!$O54/8</x:f>
        <x:v>#REF!</x:v>
      </x:c>
      <x:c r="CM58" s="128" t="e">
        <x:f>'PROJECT TA Y TB KARINA'!$O54/8</x:f>
        <x:v>#REF!</x:v>
      </x:c>
      <x:c r="CN58" s="128" t="e">
        <x:f>'PROJECT TA Y TB KARINA'!$O54/8</x:f>
        <x:v>#REF!</x:v>
      </x:c>
      <x:c r="CO58" s="128" t="e">
        <x:f>'PROJECT TA Y TB KARINA'!$O54/8</x:f>
        <x:v>#REF!</x:v>
      </x:c>
      <x:c r="CP58" s="128" t="e">
        <x:f>'PROJECT TA Y TB KARINA'!$O54/8</x:f>
        <x:v>#REF!</x:v>
      </x:c>
      <x:c r="CQ58" s="128" t="e">
        <x:f>'PROJECT TA Y TB KARINA'!$O54/8</x:f>
        <x:v>#REF!</x:v>
      </x:c>
      <x:c r="CR58" s="128" t="e">
        <x:f>'PROJECT TA Y TB KARINA'!$O54/8</x:f>
        <x:v>#REF!</x:v>
      </x:c>
      <x:c r="CS58" s="128" t="e">
        <x:f>'PROJECT TA Y TB KARINA'!$P54/8</x:f>
        <x:v>#REF!</x:v>
      </x:c>
      <x:c r="CT58" s="128" t="e">
        <x:f>'PROJECT TA Y TB KARINA'!$P54/8</x:f>
        <x:v>#REF!</x:v>
      </x:c>
      <x:c r="CU58" s="128" t="e">
        <x:f>'PROJECT TA Y TB KARINA'!$P54/8</x:f>
        <x:v>#REF!</x:v>
      </x:c>
      <x:c r="CV58" s="128" t="e">
        <x:f>'PROJECT TA Y TB KARINA'!$P54/8</x:f>
        <x:v>#REF!</x:v>
      </x:c>
      <x:c r="CW58" s="128" t="e">
        <x:f>'PROJECT TA Y TB KARINA'!$P54/8</x:f>
        <x:v>#REF!</x:v>
      </x:c>
      <x:c r="CX58" s="128" t="e">
        <x:f>'PROJECT TA Y TB KARINA'!$P54/8</x:f>
        <x:v>#REF!</x:v>
      </x:c>
      <x:c r="CY58" s="128" t="e">
        <x:f>'PROJECT TA Y TB KARINA'!$P54/8</x:f>
        <x:v>#REF!</x:v>
      </x:c>
      <x:c r="CZ58" s="128" t="e">
        <x:f>'PROJECT TA Y TB KARINA'!$P54/8</x:f>
        <x:v>#REF!</x:v>
      </x:c>
      <x:c r="DA58" s="128" t="e">
        <x:f>'PROJECT TA Y TB KARINA'!$Q54/8</x:f>
        <x:v>#REF!</x:v>
      </x:c>
      <x:c r="DB58" s="128" t="e">
        <x:f>'PROJECT TA Y TB KARINA'!$Q54/8</x:f>
        <x:v>#REF!</x:v>
      </x:c>
      <x:c r="DC58" s="128" t="e">
        <x:f>'PROJECT TA Y TB KARINA'!$Q54/8</x:f>
        <x:v>#REF!</x:v>
      </x:c>
      <x:c r="DD58" s="128" t="e">
        <x:f>'PROJECT TA Y TB KARINA'!$Q54/8</x:f>
        <x:v>#REF!</x:v>
      </x:c>
      <x:c r="DE58" s="128" t="e">
        <x:f>'PROJECT TA Y TB KARINA'!$Q54/8</x:f>
        <x:v>#REF!</x:v>
      </x:c>
      <x:c r="DF58" s="128" t="e">
        <x:f>'PROJECT TA Y TB KARINA'!$Q54/8</x:f>
        <x:v>#REF!</x:v>
      </x:c>
      <x:c r="DG58" s="128" t="e">
        <x:f>'PROJECT TA Y TB KARINA'!$Q54/8</x:f>
        <x:v>#REF!</x:v>
      </x:c>
      <x:c r="DH58" s="128" t="e">
        <x:f>'PROJECT TA Y TB KARINA'!$Q54/8</x:f>
        <x:v>#REF!</x:v>
      </x:c>
      <x:c r="DI58" s="128" t="e">
        <x:f>'PROJECT TA Y TB KARINA'!$R54/8</x:f>
        <x:v>#REF!</x:v>
      </x:c>
      <x:c r="DJ58" s="128" t="e">
        <x:f>'PROJECT TA Y TB KARINA'!$R54/8</x:f>
        <x:v>#REF!</x:v>
      </x:c>
      <x:c r="DK58" s="128" t="e">
        <x:f>'PROJECT TA Y TB KARINA'!$R54/8</x:f>
        <x:v>#REF!</x:v>
      </x:c>
      <x:c r="DL58" s="128" t="e">
        <x:f>'PROJECT TA Y TB KARINA'!$R54/8</x:f>
        <x:v>#REF!</x:v>
      </x:c>
      <x:c r="DM58" s="128" t="e">
        <x:f>'PROJECT TA Y TB KARINA'!$R54/8</x:f>
        <x:v>#REF!</x:v>
      </x:c>
      <x:c r="DN58" s="128" t="e">
        <x:f>'PROJECT TA Y TB KARINA'!$R54/8</x:f>
        <x:v>#REF!</x:v>
      </x:c>
      <x:c r="DO58" s="128" t="e">
        <x:f>'PROJECT TA Y TB KARINA'!$R54/8</x:f>
        <x:v>#REF!</x:v>
      </x:c>
      <x:c r="DP58" s="128" t="e">
        <x:f>'PROJECT TA Y TB KARINA'!$R54/8</x:f>
        <x:v>#REF!</x:v>
      </x:c>
      <x:c r="DQ58" s="128" t="e">
        <x:f>'PROJECT TA Y TB KARINA'!$S54/8</x:f>
        <x:v>#REF!</x:v>
      </x:c>
      <x:c r="DR58" s="128" t="e">
        <x:f>'PROJECT TA Y TB KARINA'!$S54/8</x:f>
        <x:v>#REF!</x:v>
      </x:c>
      <x:c r="DS58" s="128" t="e">
        <x:f>'PROJECT TA Y TB KARINA'!$S54/8</x:f>
        <x:v>#REF!</x:v>
      </x:c>
      <x:c r="DT58" s="128" t="e">
        <x:f>'PROJECT TA Y TB KARINA'!$S54/8</x:f>
        <x:v>#REF!</x:v>
      </x:c>
      <x:c r="DU58" s="128" t="e">
        <x:f>'PROJECT TA Y TB KARINA'!$S54/8</x:f>
        <x:v>#REF!</x:v>
      </x:c>
      <x:c r="DV58" s="128" t="e">
        <x:f>'PROJECT TA Y TB KARINA'!$S54/8</x:f>
        <x:v>#REF!</x:v>
      </x:c>
      <x:c r="DW58" s="128" t="e">
        <x:f>'PROJECT TA Y TB KARINA'!$S54/8</x:f>
        <x:v>#REF!</x:v>
      </x:c>
      <x:c r="DX58" s="128" t="e">
        <x:f>'PROJECT TA Y TB KARINA'!$S54/8</x:f>
        <x:v>#REF!</x:v>
      </x:c>
      <x:c r="DY58" s="128" t="e">
        <x:f>'PROJECT TA Y TB KARINA'!$T54/8</x:f>
        <x:v>#REF!</x:v>
      </x:c>
      <x:c r="DZ58" s="128" t="e">
        <x:f>'PROJECT TA Y TB KARINA'!$T54/8</x:f>
        <x:v>#REF!</x:v>
      </x:c>
      <x:c r="EA58" s="128" t="e">
        <x:f>'PROJECT TA Y TB KARINA'!$T54/8</x:f>
        <x:v>#REF!</x:v>
      </x:c>
      <x:c r="EB58" s="128" t="e">
        <x:f>'PROJECT TA Y TB KARINA'!$T54/8</x:f>
        <x:v>#REF!</x:v>
      </x:c>
      <x:c r="EC58" s="128" t="e">
        <x:f>'PROJECT TA Y TB KARINA'!$T54/8</x:f>
        <x:v>#REF!</x:v>
      </x:c>
      <x:c r="ED58" s="128" t="e">
        <x:f>'PROJECT TA Y TB KARINA'!$T54/8</x:f>
        <x:v>#REF!</x:v>
      </x:c>
      <x:c r="EE58" s="128" t="e">
        <x:f>'PROJECT TA Y TB KARINA'!$T54/8</x:f>
        <x:v>#REF!</x:v>
      </x:c>
      <x:c r="EF58" s="128" t="e">
        <x:f>'PROJECT TA Y TB KARINA'!$T54/8</x:f>
        <x:v>#REF!</x:v>
      </x:c>
      <x:c r="EG58" s="128" t="e">
        <x:f>'PROJECT TA Y TB KARINA'!#REF!/8</x:f>
        <x:v>#NAME?</x:v>
      </x:c>
      <x:c r="EH58" s="128" t="e">
        <x:f>'PROJECT TA Y TB KARINA'!#REF!/8</x:f>
        <x:v>#NAME?</x:v>
      </x:c>
      <x:c r="EI58" s="128" t="e">
        <x:f>'PROJECT TA Y TB KARINA'!#REF!/8</x:f>
        <x:v>#NAME?</x:v>
      </x:c>
      <x:c r="EJ58" s="128" t="e">
        <x:f>'PROJECT TA Y TB KARINA'!#REF!/8</x:f>
        <x:v>#NAME?</x:v>
      </x:c>
      <x:c r="EK58" s="128" t="e">
        <x:f>'PROJECT TA Y TB KARINA'!#REF!/8</x:f>
        <x:v>#NAME?</x:v>
      </x:c>
      <x:c r="EL58" s="128" t="e">
        <x:f>'PROJECT TA Y TB KARINA'!#REF!/8</x:f>
        <x:v>#NAME?</x:v>
      </x:c>
      <x:c r="EM58" s="128" t="e">
        <x:f>'PROJECT TA Y TB KARINA'!#REF!/8</x:f>
        <x:v>#NAME?</x:v>
      </x:c>
      <x:c r="EN58" s="128" t="e">
        <x:f>'PROJECT TA Y TB KARINA'!#REF!/8</x:f>
        <x:v>#NAME?</x:v>
      </x:c>
      <x:c r="EO58" s="128" t="n">
        <x:f>'PROJECT TA Y TB KARINA'!$C112/8</x:f>
        <x:v>0</x:v>
      </x:c>
      <x:c r="EP58" s="128" t="n">
        <x:f>'PROJECT TA Y TB KARINA'!$C112/8</x:f>
        <x:v>0</x:v>
      </x:c>
      <x:c r="EQ58" s="128" t="n">
        <x:f>'PROJECT TA Y TB KARINA'!$C112/8</x:f>
        <x:v>0</x:v>
      </x:c>
      <x:c r="ER58" s="128" t="n">
        <x:f>'PROJECT TA Y TB KARINA'!$C112/8</x:f>
        <x:v>0</x:v>
      </x:c>
      <x:c r="ES58" s="128" t="n">
        <x:f>'PROJECT TA Y TB KARINA'!$C112/8</x:f>
        <x:v>0</x:v>
      </x:c>
      <x:c r="ET58" s="128" t="n">
        <x:f>'PROJECT TA Y TB KARINA'!$C112/8</x:f>
        <x:v>0</x:v>
      </x:c>
      <x:c r="EU58" s="128" t="n">
        <x:f>'PROJECT TA Y TB KARINA'!$C112/8</x:f>
        <x:v>0</x:v>
      </x:c>
      <x:c r="EV58" s="128" t="n">
        <x:f>'PROJECT TA Y TB KARINA'!$E112/8</x:f>
        <x:v>0</x:v>
      </x:c>
      <x:c r="EW58" s="128" t="n">
        <x:f>'PROJECT TA Y TB KARINA'!$E112/8</x:f>
        <x:v>0</x:v>
      </x:c>
      <x:c r="EX58" s="128" t="n">
        <x:f>'PROJECT TA Y TB KARINA'!$E112/8</x:f>
        <x:v>0</x:v>
      </x:c>
      <x:c r="EY58" s="128" t="n">
        <x:f>'PROJECT TA Y TB KARINA'!$E112/8</x:f>
        <x:v>0</x:v>
      </x:c>
      <x:c r="EZ58" s="128" t="n">
        <x:f>'PROJECT TA Y TB KARINA'!$E112/8</x:f>
        <x:v>0</x:v>
      </x:c>
      <x:c r="FA58" s="128" t="n">
        <x:f>'PROJECT TA Y TB KARINA'!$E112/8</x:f>
        <x:v>0</x:v>
      </x:c>
      <x:c r="FB58" s="128" t="n">
        <x:f>'PROJECT TA Y TB KARINA'!$E112/8</x:f>
        <x:v>0</x:v>
      </x:c>
      <x:c r="FC58" s="128" t="n">
        <x:f>'PROJECT TA Y TB KARINA'!$E112/8</x:f>
        <x:v>0</x:v>
      </x:c>
      <x:c r="FD58" s="128" t="n">
        <x:f>'PROJECT TA Y TB KARINA'!$F112/8</x:f>
        <x:v>0</x:v>
      </x:c>
      <x:c r="FE58" s="128" t="n">
        <x:f>'PROJECT TA Y TB KARINA'!$F112/8</x:f>
        <x:v>0</x:v>
      </x:c>
      <x:c r="FF58" s="128" t="n">
        <x:f>'PROJECT TA Y TB KARINA'!$F112/8</x:f>
        <x:v>0</x:v>
      </x:c>
      <x:c r="FG58" s="128" t="n">
        <x:f>'PROJECT TA Y TB KARINA'!$F112/8</x:f>
        <x:v>0</x:v>
      </x:c>
      <x:c r="FH58" s="128" t="n">
        <x:f>'PROJECT TA Y TB KARINA'!$F112/8</x:f>
        <x:v>0</x:v>
      </x:c>
      <x:c r="FI58" s="128" t="n">
        <x:f>'PROJECT TA Y TB KARINA'!$F112/8</x:f>
        <x:v>0</x:v>
      </x:c>
      <x:c r="FJ58" s="128" t="n">
        <x:f>'PROJECT TA Y TB KARINA'!$F112/8</x:f>
        <x:v>0</x:v>
      </x:c>
      <x:c r="FK58" s="128" t="n">
        <x:f>'PROJECT TA Y TB KARINA'!$F112/8</x:f>
        <x:v>0</x:v>
      </x:c>
      <x:c r="FL58" s="128" t="n">
        <x:f>'PROJECT TA Y TB KARINA'!$G112/8</x:f>
        <x:v>0</x:v>
      </x:c>
      <x:c r="FM58" s="128" t="n">
        <x:f>'PROJECT TA Y TB KARINA'!$G112/8</x:f>
        <x:v>0</x:v>
      </x:c>
      <x:c r="FN58" s="128" t="n">
        <x:f>'PROJECT TA Y TB KARINA'!$G112/8</x:f>
        <x:v>0</x:v>
      </x:c>
      <x:c r="FO58" s="128" t="n">
        <x:f>'PROJECT TA Y TB KARINA'!$G112/8</x:f>
        <x:v>0</x:v>
      </x:c>
      <x:c r="FP58" s="128" t="n">
        <x:f>'PROJECT TA Y TB KARINA'!$G112/8</x:f>
        <x:v>0</x:v>
      </x:c>
      <x:c r="FQ58" s="128" t="n">
        <x:f>'PROJECT TA Y TB KARINA'!$G112/8</x:f>
        <x:v>0</x:v>
      </x:c>
      <x:c r="FR58" s="128" t="n">
        <x:f>'PROJECT TA Y TB KARINA'!$G112/8</x:f>
        <x:v>0</x:v>
      </x:c>
      <x:c r="FS58" s="128" t="n">
        <x:f>'PROJECT TA Y TB KARINA'!$G112/8</x:f>
        <x:v>0</x:v>
      </x:c>
      <x:c r="FT58" s="128" t="n">
        <x:f>'PROJECT TA Y TB KARINA'!$H112/8</x:f>
        <x:v>0</x:v>
      </x:c>
      <x:c r="FU58" s="128" t="n">
        <x:f>'PROJECT TA Y TB KARINA'!$H112/8</x:f>
        <x:v>0</x:v>
      </x:c>
      <x:c r="FV58" s="128" t="n">
        <x:f>'PROJECT TA Y TB KARINA'!$H112/8</x:f>
        <x:v>0</x:v>
      </x:c>
      <x:c r="FW58" s="128" t="n">
        <x:f>'PROJECT TA Y TB KARINA'!$H112/8</x:f>
        <x:v>0</x:v>
      </x:c>
      <x:c r="FX58" s="128" t="n">
        <x:f>'PROJECT TA Y TB KARINA'!$H112/8</x:f>
        <x:v>0</x:v>
      </x:c>
      <x:c r="FY58" s="128" t="n">
        <x:f>'PROJECT TA Y TB KARINA'!$H112/8</x:f>
        <x:v>0</x:v>
      </x:c>
      <x:c r="FZ58" s="128" t="n">
        <x:f>'PROJECT TA Y TB KARINA'!$H112/8</x:f>
        <x:v>0</x:v>
      </x:c>
      <x:c r="GA58" s="128" t="n">
        <x:f>'PROJECT TA Y TB KARINA'!$H112/8</x:f>
        <x:v>0</x:v>
      </x:c>
      <x:c r="GB58" s="128" t="n">
        <x:f>'PROJECT TA Y TB KARINA'!$I112/8</x:f>
        <x:v>0</x:v>
      </x:c>
      <x:c r="GC58" s="128" t="n">
        <x:f>'PROJECT TA Y TB KARINA'!$I112/8</x:f>
        <x:v>0</x:v>
      </x:c>
      <x:c r="GD58" s="128" t="n">
        <x:f>'PROJECT TA Y TB KARINA'!$I112/8</x:f>
        <x:v>0</x:v>
      </x:c>
      <x:c r="GE58" s="128" t="n">
        <x:f>'PROJECT TA Y TB KARINA'!$I112/8</x:f>
        <x:v>0</x:v>
      </x:c>
      <x:c r="GF58" s="128" t="n">
        <x:f>'PROJECT TA Y TB KARINA'!$I112/8</x:f>
        <x:v>0</x:v>
      </x:c>
      <x:c r="GG58" s="128" t="n">
        <x:f>'PROJECT TA Y TB KARINA'!$I112/8</x:f>
        <x:v>0</x:v>
      </x:c>
      <x:c r="GH58" s="128" t="n">
        <x:f>'PROJECT TA Y TB KARINA'!$I112/8</x:f>
        <x:v>0</x:v>
      </x:c>
      <x:c r="GI58" s="128" t="n">
        <x:f>'PROJECT TA Y TB KARINA'!$I112/8</x:f>
        <x:v>0</x:v>
      </x:c>
      <x:c r="GJ58" s="128" t="n">
        <x:f>'PROJECT TA Y TB KARINA'!$J112/8</x:f>
        <x:v>0</x:v>
      </x:c>
      <x:c r="GK58" s="128" t="n">
        <x:f>'PROJECT TA Y TB KARINA'!$J112/8</x:f>
        <x:v>0</x:v>
      </x:c>
      <x:c r="GL58" s="128" t="n">
        <x:f>'PROJECT TA Y TB KARINA'!$J112/8</x:f>
        <x:v>0</x:v>
      </x:c>
      <x:c r="GM58" s="128" t="n">
        <x:f>'PROJECT TA Y TB KARINA'!$J112/8</x:f>
        <x:v>0</x:v>
      </x:c>
      <x:c r="GN58" s="128" t="n">
        <x:f>'PROJECT TA Y TB KARINA'!$J112/8</x:f>
        <x:v>0</x:v>
      </x:c>
      <x:c r="GO58" s="128" t="n">
        <x:f>'PROJECT TA Y TB KARINA'!$J112/8</x:f>
        <x:v>0</x:v>
      </x:c>
      <x:c r="GP58" s="128" t="n">
        <x:f>'PROJECT TA Y TB KARINA'!$J112/8</x:f>
        <x:v>0</x:v>
      </x:c>
      <x:c r="GQ58" s="128" t="n">
        <x:f>'PROJECT TA Y TB KARINA'!$J112/8</x:f>
        <x:v>0</x:v>
      </x:c>
      <x:c r="GR58" s="128" t="n">
        <x:f>'PROJECT TA Y TB KARINA'!$K112/8</x:f>
        <x:v>0</x:v>
      </x:c>
      <x:c r="GS58" s="128" t="n">
        <x:f>'PROJECT TA Y TB KARINA'!$K112/8</x:f>
        <x:v>0</x:v>
      </x:c>
      <x:c r="GT58" s="128" t="n">
        <x:f>'PROJECT TA Y TB KARINA'!$K112/8</x:f>
        <x:v>0</x:v>
      </x:c>
      <x:c r="GU58" s="128" t="n">
        <x:f>'PROJECT TA Y TB KARINA'!$K112/8</x:f>
        <x:v>0</x:v>
      </x:c>
      <x:c r="GV58" s="128" t="n">
        <x:f>'PROJECT TA Y TB KARINA'!$K112/8</x:f>
        <x:v>0</x:v>
      </x:c>
      <x:c r="GW58" s="128" t="n">
        <x:f>'PROJECT TA Y TB KARINA'!$K112/8</x:f>
        <x:v>0</x:v>
      </x:c>
      <x:c r="GX58" s="128" t="n">
        <x:f>'PROJECT TA Y TB KARINA'!$K112/8</x:f>
        <x:v>0</x:v>
      </x:c>
      <x:c r="GY58" s="128" t="n">
        <x:f>'PROJECT TA Y TB KARINA'!$K112/8</x:f>
        <x:v>0</x:v>
      </x:c>
      <x:c r="GZ58" s="128" t="n">
        <x:f>'PROJECT TA Y TB KARINA'!$L112/8</x:f>
        <x:v>0</x:v>
      </x:c>
      <x:c r="HA58" s="128" t="n">
        <x:f>'PROJECT TA Y TB KARINA'!$L112/8</x:f>
        <x:v>0</x:v>
      </x:c>
      <x:c r="HB58" s="128" t="n">
        <x:f>'PROJECT TA Y TB KARINA'!$L112/8</x:f>
        <x:v>0</x:v>
      </x:c>
      <x:c r="HC58" s="128" t="n">
        <x:f>'PROJECT TA Y TB KARINA'!$L112/8</x:f>
        <x:v>0</x:v>
      </x:c>
      <x:c r="HD58" s="128" t="n">
        <x:f>'PROJECT TA Y TB KARINA'!$L112/8</x:f>
        <x:v>0</x:v>
      </x:c>
      <x:c r="HE58" s="128" t="n">
        <x:f>'PROJECT TA Y TB KARINA'!$L112/8</x:f>
        <x:v>0</x:v>
      </x:c>
      <x:c r="HF58" s="128" t="n">
        <x:f>'PROJECT TA Y TB KARINA'!$L112/8</x:f>
        <x:v>0</x:v>
      </x:c>
      <x:c r="HG58" s="128" t="n">
        <x:f>'PROJECT TA Y TB KARINA'!$L112/8</x:f>
        <x:v>0</x:v>
      </x:c>
      <x:c r="HH58" s="128" t="n">
        <x:f>'PROJECT TA Y TB KARINA'!$M112/8</x:f>
        <x:v>0</x:v>
      </x:c>
      <x:c r="HI58" s="128" t="n">
        <x:f>'PROJECT TA Y TB KARINA'!$M112/8</x:f>
        <x:v>0</x:v>
      </x:c>
      <x:c r="HJ58" s="128" t="n">
        <x:f>'PROJECT TA Y TB KARINA'!$M112/8</x:f>
        <x:v>0</x:v>
      </x:c>
      <x:c r="HK58" s="128" t="n">
        <x:f>'PROJECT TA Y TB KARINA'!$M112/8</x:f>
        <x:v>0</x:v>
      </x:c>
      <x:c r="HL58" s="128" t="n">
        <x:f>'PROJECT TA Y TB KARINA'!$M112/8</x:f>
        <x:v>0</x:v>
      </x:c>
      <x:c r="HM58" s="128" t="n">
        <x:f>'PROJECT TA Y TB KARINA'!$M112/8</x:f>
        <x:v>0</x:v>
      </x:c>
      <x:c r="HN58" s="128" t="n">
        <x:f>'PROJECT TA Y TB KARINA'!$M112/8</x:f>
        <x:v>0</x:v>
      </x:c>
      <x:c r="HO58" s="128" t="n">
        <x:f>'PROJECT TA Y TB KARINA'!$M112/8</x:f>
        <x:v>0</x:v>
      </x:c>
      <x:c r="HP58" s="128" t="n">
        <x:f>'PROJECT TA Y TB KARINA'!$N112/8</x:f>
        <x:v>0</x:v>
      </x:c>
      <x:c r="HQ58" s="128" t="n">
        <x:f>'PROJECT TA Y TB KARINA'!$N112/8</x:f>
        <x:v>0</x:v>
      </x:c>
      <x:c r="HR58" s="128" t="n">
        <x:f>'PROJECT TA Y TB KARINA'!$N112/8</x:f>
        <x:v>0</x:v>
      </x:c>
      <x:c r="HS58" s="128" t="n">
        <x:f>'PROJECT TA Y TB KARINA'!$N112/8</x:f>
        <x:v>0</x:v>
      </x:c>
      <x:c r="HT58" s="128" t="n">
        <x:f>'PROJECT TA Y TB KARINA'!$N112/8</x:f>
        <x:v>0</x:v>
      </x:c>
      <x:c r="HU58" s="128" t="n">
        <x:f>'PROJECT TA Y TB KARINA'!$N112/8</x:f>
        <x:v>0</x:v>
      </x:c>
      <x:c r="HV58" s="128" t="n">
        <x:f>'PROJECT TA Y TB KARINA'!$N112/8</x:f>
        <x:v>0</x:v>
      </x:c>
      <x:c r="HW58" s="128" t="n">
        <x:f>'PROJECT TA Y TB KARINA'!$N112/8</x:f>
        <x:v>0</x:v>
      </x:c>
      <x:c r="HX58" s="128" t="n">
        <x:f>'PROJECT TA Y TB KARINA'!$O112/8</x:f>
        <x:v>0</x:v>
      </x:c>
      <x:c r="HY58" s="128" t="n">
        <x:f>'PROJECT TA Y TB KARINA'!$O112/8</x:f>
        <x:v>0</x:v>
      </x:c>
      <x:c r="HZ58" s="128" t="n">
        <x:f>'PROJECT TA Y TB KARINA'!$O112/8</x:f>
        <x:v>0</x:v>
      </x:c>
      <x:c r="IA58" s="128" t="n">
        <x:f>'PROJECT TA Y TB KARINA'!$O112/8</x:f>
        <x:v>0</x:v>
      </x:c>
      <x:c r="IB58" s="128" t="n">
        <x:f>'PROJECT TA Y TB KARINA'!$O112/8</x:f>
        <x:v>0</x:v>
      </x:c>
      <x:c r="IC58" s="128" t="n">
        <x:f>'PROJECT TA Y TB KARINA'!$O112/8</x:f>
        <x:v>0</x:v>
      </x:c>
      <x:c r="ID58" s="128" t="n">
        <x:f>'PROJECT TA Y TB KARINA'!$O112/8</x:f>
        <x:v>0</x:v>
      </x:c>
      <x:c r="IE58" s="128" t="n">
        <x:f>'PROJECT TA Y TB KARINA'!$O112/8</x:f>
        <x:v>0</x:v>
      </x:c>
      <x:c r="IF58" s="128" t="n">
        <x:f>'PROJECT TA Y TB KARINA'!$P112/8</x:f>
        <x:v>0</x:v>
      </x:c>
      <x:c r="IG58" s="128" t="n">
        <x:f>'PROJECT TA Y TB KARINA'!$P112/8</x:f>
        <x:v>0</x:v>
      </x:c>
      <x:c r="IH58" s="128" t="n">
        <x:f>'PROJECT TA Y TB KARINA'!$P112/8</x:f>
        <x:v>0</x:v>
      </x:c>
      <x:c r="II58" s="128" t="n">
        <x:f>'PROJECT TA Y TB KARINA'!$P112/8</x:f>
        <x:v>0</x:v>
      </x:c>
      <x:c r="IJ58" s="128" t="n">
        <x:f>'PROJECT TA Y TB KARINA'!$P112/8</x:f>
        <x:v>0</x:v>
      </x:c>
      <x:c r="IK58" s="128" t="n">
        <x:f>'PROJECT TA Y TB KARINA'!$P112/8</x:f>
        <x:v>0</x:v>
      </x:c>
      <x:c r="IL58" s="128" t="n">
        <x:f>'PROJECT TA Y TB KARINA'!$P112/8</x:f>
        <x:v>0</x:v>
      </x:c>
      <x:c r="IM58" s="128" t="n">
        <x:f>'PROJECT TA Y TB KARINA'!$P112/8</x:f>
        <x:v>0</x:v>
      </x:c>
      <x:c r="IN58" s="128" t="n">
        <x:f>'PROJECT TA Y TB KARINA'!$Q112/8</x:f>
        <x:v>0</x:v>
      </x:c>
      <x:c r="IO58" s="128" t="n">
        <x:f>'PROJECT TA Y TB KARINA'!$Q112/8</x:f>
        <x:v>0</x:v>
      </x:c>
      <x:c r="IP58" s="128" t="n">
        <x:f>'PROJECT TA Y TB KARINA'!$Q112/8</x:f>
        <x:v>0</x:v>
      </x:c>
      <x:c r="IQ58" s="128" t="n">
        <x:f>'PROJECT TA Y TB KARINA'!$Q112/8</x:f>
        <x:v>0</x:v>
      </x:c>
      <x:c r="IR58" s="128" t="n">
        <x:f>'PROJECT TA Y TB KARINA'!$Q112/8</x:f>
        <x:v>0</x:v>
      </x:c>
      <x:c r="IS58" s="128" t="n">
        <x:f>'PROJECT TA Y TB KARINA'!$Q112/8</x:f>
        <x:v>0</x:v>
      </x:c>
      <x:c r="IT58" s="128" t="n">
        <x:f>'PROJECT TA Y TB KARINA'!$Q112/8</x:f>
        <x:v>0</x:v>
      </x:c>
      <x:c r="IU58" s="128" t="n">
        <x:f>'PROJECT TA Y TB KARINA'!$Q112/8</x:f>
        <x:v>0</x:v>
      </x:c>
      <x:c r="IV58" s="128" t="n">
        <x:f>'PROJECT TA Y TB KARINA'!$R112/8</x:f>
        <x:v>0</x:v>
      </x:c>
      <x:c r="IW58" s="128" t="n">
        <x:f>'PROJECT TA Y TB KARINA'!$R112/8</x:f>
        <x:v>0</x:v>
      </x:c>
      <x:c r="IX58" s="128" t="n">
        <x:f>'PROJECT TA Y TB KARINA'!$R112/8</x:f>
        <x:v>0</x:v>
      </x:c>
      <x:c r="IY58" s="128" t="n">
        <x:f>'PROJECT TA Y TB KARINA'!$R112/8</x:f>
        <x:v>0</x:v>
      </x:c>
      <x:c r="IZ58" s="128" t="n">
        <x:f>'PROJECT TA Y TB KARINA'!$R112/8</x:f>
        <x:v>0</x:v>
      </x:c>
      <x:c r="JA58" s="128" t="n">
        <x:f>'PROJECT TA Y TB KARINA'!$R112/8</x:f>
        <x:v>0</x:v>
      </x:c>
      <x:c r="JB58" s="128" t="n">
        <x:f>'PROJECT TA Y TB KARINA'!$R112/8</x:f>
        <x:v>0</x:v>
      </x:c>
      <x:c r="JC58" s="128" t="n">
        <x:f>'PROJECT TA Y TB KARINA'!$R112/8</x:f>
        <x:v>0</x:v>
      </x:c>
      <x:c r="JD58" s="128" t="n">
        <x:f>'PROJECT TA Y TB KARINA'!$S112/8</x:f>
        <x:v>0</x:v>
      </x:c>
      <x:c r="JE58" s="128" t="n">
        <x:f>'PROJECT TA Y TB KARINA'!$S112/8</x:f>
        <x:v>0</x:v>
      </x:c>
      <x:c r="JF58" s="128" t="n">
        <x:f>'PROJECT TA Y TB KARINA'!$S112/8</x:f>
        <x:v>0</x:v>
      </x:c>
      <x:c r="JG58" s="128" t="n">
        <x:f>'PROJECT TA Y TB KARINA'!$S112/8</x:f>
        <x:v>0</x:v>
      </x:c>
      <x:c r="JH58" s="128" t="n">
        <x:f>'PROJECT TA Y TB KARINA'!$S112/8</x:f>
        <x:v>0</x:v>
      </x:c>
      <x:c r="JI58" s="128" t="n">
        <x:f>'PROJECT TA Y TB KARINA'!$S112/8</x:f>
        <x:v>0</x:v>
      </x:c>
      <x:c r="JJ58" s="128" t="n">
        <x:f>'PROJECT TA Y TB KARINA'!$S112/8</x:f>
        <x:v>0</x:v>
      </x:c>
      <x:c r="JK58" s="128" t="n">
        <x:f>'PROJECT TA Y TB KARINA'!$S112/8</x:f>
        <x:v>0</x:v>
      </x:c>
      <x:c r="JL58" s="128" t="n">
        <x:f>'PROJECT TA Y TB KARINA'!$T112/8</x:f>
        <x:v>0</x:v>
      </x:c>
      <x:c r="JM58" s="128" t="n">
        <x:f>'PROJECT TA Y TB KARINA'!$T112/8</x:f>
        <x:v>0</x:v>
      </x:c>
      <x:c r="JN58" s="128" t="n">
        <x:f>'PROJECT TA Y TB KARINA'!$T112/8</x:f>
        <x:v>0</x:v>
      </x:c>
      <x:c r="JO58" s="128" t="n">
        <x:f>'PROJECT TA Y TB KARINA'!$T112/8</x:f>
        <x:v>0</x:v>
      </x:c>
      <x:c r="JP58" s="128" t="n">
        <x:f>'PROJECT TA Y TB KARINA'!$T112/8</x:f>
        <x:v>0</x:v>
      </x:c>
      <x:c r="JQ58" s="128" t="n">
        <x:f>'PROJECT TA Y TB KARINA'!$T112/8</x:f>
        <x:v>0</x:v>
      </x:c>
      <x:c r="JR58" s="128" t="n">
        <x:f>'PROJECT TA Y TB KARINA'!$T112/8</x:f>
        <x:v>0</x:v>
      </x:c>
      <x:c r="JS58" s="128" t="n">
        <x:f>'PROJECT TA Y TB KARINA'!$T112/8</x:f>
        <x:v>0</x:v>
      </x:c>
      <x:c r="JT58" s="128" t="e">
        <x:f>'PROJECT TA Y TB KARINA'!#REF!/8</x:f>
        <x:v>#NAME?</x:v>
      </x:c>
      <x:c r="JU58" s="128" t="e">
        <x:f>'PROJECT TA Y TB KARINA'!#REF!/8</x:f>
        <x:v>#NAME?</x:v>
      </x:c>
      <x:c r="JV58" s="128" t="e">
        <x:f>'PROJECT TA Y TB KARINA'!#REF!/8</x:f>
        <x:v>#NAME?</x:v>
      </x:c>
      <x:c r="JW58" s="128" t="e">
        <x:f>'PROJECT TA Y TB KARINA'!#REF!/8</x:f>
        <x:v>#NAME?</x:v>
      </x:c>
      <x:c r="JX58" s="128" t="e">
        <x:f>'PROJECT TA Y TB KARINA'!#REF!/8</x:f>
        <x:v>#NAME?</x:v>
      </x:c>
      <x:c r="JY58" s="128" t="e">
        <x:f>'PROJECT TA Y TB KARINA'!#REF!/8</x:f>
        <x:v>#NAME?</x:v>
      </x:c>
      <x:c r="JZ58" s="128" t="e">
        <x:f>'PROJECT TA Y TB KARINA'!#REF!/8</x:f>
        <x:v>#NAME?</x:v>
      </x:c>
      <x:c r="KA58" s="128" t="e">
        <x:f>'PROJECT TA Y TB KARINA'!#REF!/8</x:f>
        <x:v>#NAME?</x:v>
      </x:c>
    </x:row>
    <x:row r="59" ht="21">
      <x:c r="A59" s="130" t="s">
        <x:v>206</x:v>
      </x:c>
      <x:c r="B59" s="128" t="e">
        <x:f>'PROJECT TA Y TB KARINA'!$C$55/8</x:f>
        <x:v>#REF!</x:v>
      </x:c>
      <x:c r="C59" s="128" t="e">
        <x:f>'PROJECT TA Y TB KARINA'!$C$55/8</x:f>
        <x:v>#REF!</x:v>
      </x:c>
      <x:c r="D59" s="128" t="e">
        <x:f>'PROJECT TA Y TB KARINA'!$C$55/8</x:f>
        <x:v>#REF!</x:v>
      </x:c>
      <x:c r="E59" s="128" t="e">
        <x:f>'PROJECT TA Y TB KARINA'!$C$55/8</x:f>
        <x:v>#REF!</x:v>
      </x:c>
      <x:c r="F59" s="128" t="e">
        <x:f>'PROJECT TA Y TB KARINA'!$C$55/8</x:f>
        <x:v>#REF!</x:v>
      </x:c>
      <x:c r="G59" s="128" t="e">
        <x:f>'PROJECT TA Y TB KARINA'!$C$55/8</x:f>
        <x:v>#REF!</x:v>
      </x:c>
      <x:c r="H59" s="128" t="e">
        <x:f>'PROJECT TA Y TB KARINA'!$C$55/8</x:f>
        <x:v>#REF!</x:v>
      </x:c>
      <x:c r="I59" s="128" t="e">
        <x:f>'PROJECT TA Y TB KARINA'!$E55/8</x:f>
        <x:v>#REF!</x:v>
      </x:c>
      <x:c r="J59" s="128" t="e">
        <x:f>'PROJECT TA Y TB KARINA'!$E55/8</x:f>
        <x:v>#REF!</x:v>
      </x:c>
      <x:c r="K59" s="128" t="e">
        <x:f>'PROJECT TA Y TB KARINA'!$E55/8</x:f>
        <x:v>#REF!</x:v>
      </x:c>
      <x:c r="L59" s="128" t="e">
        <x:f>'PROJECT TA Y TB KARINA'!$E55/8</x:f>
        <x:v>#REF!</x:v>
      </x:c>
      <x:c r="M59" s="128" t="e">
        <x:f>'PROJECT TA Y TB KARINA'!$E55/8</x:f>
        <x:v>#REF!</x:v>
      </x:c>
      <x:c r="N59" s="128" t="e">
        <x:f>'PROJECT TA Y TB KARINA'!$E55/8</x:f>
        <x:v>#REF!</x:v>
      </x:c>
      <x:c r="O59" s="128" t="e">
        <x:f>'PROJECT TA Y TB KARINA'!$E55/8</x:f>
        <x:v>#REF!</x:v>
      </x:c>
      <x:c r="P59" s="128" t="e">
        <x:f>'PROJECT TA Y TB KARINA'!$E55/8</x:f>
        <x:v>#REF!</x:v>
      </x:c>
      <x:c r="Q59" s="128" t="e">
        <x:f>'PROJECT TA Y TB KARINA'!$F55/8</x:f>
        <x:v>#REF!</x:v>
      </x:c>
      <x:c r="R59" s="128" t="e">
        <x:f>'PROJECT TA Y TB KARINA'!$F55/8</x:f>
        <x:v>#REF!</x:v>
      </x:c>
      <x:c r="S59" s="128" t="e">
        <x:f>'PROJECT TA Y TB KARINA'!$F55/8</x:f>
        <x:v>#REF!</x:v>
      </x:c>
      <x:c r="T59" s="128" t="e">
        <x:f>'PROJECT TA Y TB KARINA'!$F55/8</x:f>
        <x:v>#REF!</x:v>
      </x:c>
      <x:c r="U59" s="128" t="e">
        <x:f>'PROJECT TA Y TB KARINA'!$F55/8</x:f>
        <x:v>#REF!</x:v>
      </x:c>
      <x:c r="V59" s="128" t="e">
        <x:f>'PROJECT TA Y TB KARINA'!$F55/8</x:f>
        <x:v>#REF!</x:v>
      </x:c>
      <x:c r="W59" s="128" t="e">
        <x:f>'PROJECT TA Y TB KARINA'!$F55/8</x:f>
        <x:v>#REF!</x:v>
      </x:c>
      <x:c r="X59" s="128" t="e">
        <x:f>'PROJECT TA Y TB KARINA'!$F55/8</x:f>
        <x:v>#REF!</x:v>
      </x:c>
      <x:c r="Y59" s="128" t="e">
        <x:f>'PROJECT TA Y TB KARINA'!$G55/8</x:f>
        <x:v>#REF!</x:v>
      </x:c>
      <x:c r="Z59" s="128" t="e">
        <x:f>'PROJECT TA Y TB KARINA'!$G55/8</x:f>
        <x:v>#REF!</x:v>
      </x:c>
      <x:c r="AA59" s="128" t="e">
        <x:f>'PROJECT TA Y TB KARINA'!$G55/8</x:f>
        <x:v>#REF!</x:v>
      </x:c>
      <x:c r="AB59" s="128" t="e">
        <x:f>'PROJECT TA Y TB KARINA'!$G55/8</x:f>
        <x:v>#REF!</x:v>
      </x:c>
      <x:c r="AC59" s="128" t="e">
        <x:f>'PROJECT TA Y TB KARINA'!$G55/8</x:f>
        <x:v>#REF!</x:v>
      </x:c>
      <x:c r="AD59" s="128" t="e">
        <x:f>'PROJECT TA Y TB KARINA'!$G55/8</x:f>
        <x:v>#REF!</x:v>
      </x:c>
      <x:c r="AE59" s="128" t="e">
        <x:f>'PROJECT TA Y TB KARINA'!$G55/8</x:f>
        <x:v>#REF!</x:v>
      </x:c>
      <x:c r="AF59" s="128" t="e">
        <x:f>'PROJECT TA Y TB KARINA'!$G55/8</x:f>
        <x:v>#REF!</x:v>
      </x:c>
      <x:c r="AG59" s="128" t="e">
        <x:f>'PROJECT TA Y TB KARINA'!$H55/8</x:f>
        <x:v>#REF!</x:v>
      </x:c>
      <x:c r="AH59" s="128" t="e">
        <x:f>'PROJECT TA Y TB KARINA'!$H55/8</x:f>
        <x:v>#REF!</x:v>
      </x:c>
      <x:c r="AI59" s="128" t="e">
        <x:f>'PROJECT TA Y TB KARINA'!$H55/8</x:f>
        <x:v>#REF!</x:v>
      </x:c>
      <x:c r="AJ59" s="128" t="e">
        <x:f>'PROJECT TA Y TB KARINA'!$H55/8</x:f>
        <x:v>#REF!</x:v>
      </x:c>
      <x:c r="AK59" s="128" t="e">
        <x:f>'PROJECT TA Y TB KARINA'!$H55/8</x:f>
        <x:v>#REF!</x:v>
      </x:c>
      <x:c r="AL59" s="128" t="e">
        <x:f>'PROJECT TA Y TB KARINA'!$H55/8</x:f>
        <x:v>#REF!</x:v>
      </x:c>
      <x:c r="AM59" s="128" t="e">
        <x:f>'PROJECT TA Y TB KARINA'!$H55/8</x:f>
        <x:v>#REF!</x:v>
      </x:c>
      <x:c r="AN59" s="128" t="e">
        <x:f>'PROJECT TA Y TB KARINA'!$H55/8</x:f>
        <x:v>#REF!</x:v>
      </x:c>
      <x:c r="AO59" s="128" t="e">
        <x:f>'PROJECT TA Y TB KARINA'!$I55/8</x:f>
        <x:v>#REF!</x:v>
      </x:c>
      <x:c r="AP59" s="128" t="e">
        <x:f>'PROJECT TA Y TB KARINA'!$I55/8</x:f>
        <x:v>#REF!</x:v>
      </x:c>
      <x:c r="AQ59" s="128" t="e">
        <x:f>'PROJECT TA Y TB KARINA'!$I55/8</x:f>
        <x:v>#REF!</x:v>
      </x:c>
      <x:c r="AR59" s="128" t="e">
        <x:f>'PROJECT TA Y TB KARINA'!$I55/8</x:f>
        <x:v>#REF!</x:v>
      </x:c>
      <x:c r="AS59" s="128" t="e">
        <x:f>'PROJECT TA Y TB KARINA'!$I55/8</x:f>
        <x:v>#REF!</x:v>
      </x:c>
      <x:c r="AT59" s="128" t="e">
        <x:f>'PROJECT TA Y TB KARINA'!$I55/8</x:f>
        <x:v>#REF!</x:v>
      </x:c>
      <x:c r="AU59" s="128" t="e">
        <x:f>'PROJECT TA Y TB KARINA'!$I55/8</x:f>
        <x:v>#REF!</x:v>
      </x:c>
      <x:c r="AV59" s="128" t="e">
        <x:f>'PROJECT TA Y TB KARINA'!$I55/8</x:f>
        <x:v>#REF!</x:v>
      </x:c>
      <x:c r="AW59" s="128" t="e">
        <x:f>'PROJECT TA Y TB KARINA'!$J55/8</x:f>
        <x:v>#REF!</x:v>
      </x:c>
      <x:c r="AX59" s="128" t="e">
        <x:f>'PROJECT TA Y TB KARINA'!$J55/8</x:f>
        <x:v>#REF!</x:v>
      </x:c>
      <x:c r="AY59" s="128" t="e">
        <x:f>'PROJECT TA Y TB KARINA'!$J55/8</x:f>
        <x:v>#REF!</x:v>
      </x:c>
      <x:c r="AZ59" s="128" t="e">
        <x:f>'PROJECT TA Y TB KARINA'!$J55/8</x:f>
        <x:v>#REF!</x:v>
      </x:c>
      <x:c r="BA59" s="128" t="e">
        <x:f>'PROJECT TA Y TB KARINA'!$J55/8</x:f>
        <x:v>#REF!</x:v>
      </x:c>
      <x:c r="BB59" s="128" t="e">
        <x:f>'PROJECT TA Y TB KARINA'!$J55/8</x:f>
        <x:v>#REF!</x:v>
      </x:c>
      <x:c r="BC59" s="128" t="e">
        <x:f>'PROJECT TA Y TB KARINA'!$J55/8</x:f>
        <x:v>#REF!</x:v>
      </x:c>
      <x:c r="BD59" s="128" t="e">
        <x:f>'PROJECT TA Y TB KARINA'!$J55/8</x:f>
        <x:v>#REF!</x:v>
      </x:c>
      <x:c r="BE59" s="128" t="e">
        <x:f>'PROJECT TA Y TB KARINA'!$K55/8</x:f>
        <x:v>#REF!</x:v>
      </x:c>
      <x:c r="BF59" s="128" t="e">
        <x:f>'PROJECT TA Y TB KARINA'!$K55/8</x:f>
        <x:v>#REF!</x:v>
      </x:c>
      <x:c r="BG59" s="128" t="e">
        <x:f>'PROJECT TA Y TB KARINA'!$K55/8</x:f>
        <x:v>#REF!</x:v>
      </x:c>
      <x:c r="BH59" s="128" t="e">
        <x:f>'PROJECT TA Y TB KARINA'!$K55/8</x:f>
        <x:v>#REF!</x:v>
      </x:c>
      <x:c r="BI59" s="128" t="e">
        <x:f>'PROJECT TA Y TB KARINA'!$K55/8</x:f>
        <x:v>#REF!</x:v>
      </x:c>
      <x:c r="BJ59" s="128" t="e">
        <x:f>'PROJECT TA Y TB KARINA'!$K55/8</x:f>
        <x:v>#REF!</x:v>
      </x:c>
      <x:c r="BK59" s="128" t="e">
        <x:f>'PROJECT TA Y TB KARINA'!$K55/8</x:f>
        <x:v>#REF!</x:v>
      </x:c>
      <x:c r="BL59" s="128" t="e">
        <x:f>'PROJECT TA Y TB KARINA'!$K55/8</x:f>
        <x:v>#REF!</x:v>
      </x:c>
      <x:c r="BM59" s="128" t="e">
        <x:f>'PROJECT TA Y TB KARINA'!$L55/8</x:f>
        <x:v>#REF!</x:v>
      </x:c>
      <x:c r="BN59" s="128" t="e">
        <x:f>'PROJECT TA Y TB KARINA'!$L55/8</x:f>
        <x:v>#REF!</x:v>
      </x:c>
      <x:c r="BO59" s="128" t="e">
        <x:f>'PROJECT TA Y TB KARINA'!$L55/8</x:f>
        <x:v>#REF!</x:v>
      </x:c>
      <x:c r="BP59" s="128" t="e">
        <x:f>'PROJECT TA Y TB KARINA'!$L55/8</x:f>
        <x:v>#REF!</x:v>
      </x:c>
      <x:c r="BQ59" s="128" t="e">
        <x:f>'PROJECT TA Y TB KARINA'!$L55/8</x:f>
        <x:v>#REF!</x:v>
      </x:c>
      <x:c r="BR59" s="128" t="e">
        <x:f>'PROJECT TA Y TB KARINA'!$L55/8</x:f>
        <x:v>#REF!</x:v>
      </x:c>
      <x:c r="BS59" s="128" t="e">
        <x:f>'PROJECT TA Y TB KARINA'!$L55/8</x:f>
        <x:v>#REF!</x:v>
      </x:c>
      <x:c r="BT59" s="128" t="e">
        <x:f>'PROJECT TA Y TB KARINA'!$L55/8</x:f>
        <x:v>#REF!</x:v>
      </x:c>
      <x:c r="BU59" s="128" t="e">
        <x:f>'PROJECT TA Y TB KARINA'!$M55/8</x:f>
        <x:v>#REF!</x:v>
      </x:c>
      <x:c r="BV59" s="128" t="e">
        <x:f>'PROJECT TA Y TB KARINA'!$M55/8</x:f>
        <x:v>#REF!</x:v>
      </x:c>
      <x:c r="BW59" s="128" t="e">
        <x:f>'PROJECT TA Y TB KARINA'!$M55/8</x:f>
        <x:v>#REF!</x:v>
      </x:c>
      <x:c r="BX59" s="128" t="e">
        <x:f>'PROJECT TA Y TB KARINA'!$M55/8</x:f>
        <x:v>#REF!</x:v>
      </x:c>
      <x:c r="BY59" s="128" t="e">
        <x:f>'PROJECT TA Y TB KARINA'!$M55/8</x:f>
        <x:v>#REF!</x:v>
      </x:c>
      <x:c r="BZ59" s="128" t="e">
        <x:f>'PROJECT TA Y TB KARINA'!$M55/8</x:f>
        <x:v>#REF!</x:v>
      </x:c>
      <x:c r="CA59" s="128" t="e">
        <x:f>'PROJECT TA Y TB KARINA'!$M55/8</x:f>
        <x:v>#REF!</x:v>
      </x:c>
      <x:c r="CB59" s="128" t="e">
        <x:f>'PROJECT TA Y TB KARINA'!$M55/8</x:f>
        <x:v>#REF!</x:v>
      </x:c>
      <x:c r="CC59" s="128" t="e">
        <x:f>'PROJECT TA Y TB KARINA'!$N55/8</x:f>
        <x:v>#REF!</x:v>
      </x:c>
      <x:c r="CD59" s="128" t="e">
        <x:f>'PROJECT TA Y TB KARINA'!$N55/8</x:f>
        <x:v>#REF!</x:v>
      </x:c>
      <x:c r="CE59" s="128" t="e">
        <x:f>'PROJECT TA Y TB KARINA'!$N55/8</x:f>
        <x:v>#REF!</x:v>
      </x:c>
      <x:c r="CF59" s="128" t="e">
        <x:f>'PROJECT TA Y TB KARINA'!$N55/8</x:f>
        <x:v>#REF!</x:v>
      </x:c>
      <x:c r="CG59" s="128" t="e">
        <x:f>'PROJECT TA Y TB KARINA'!$N55/8</x:f>
        <x:v>#REF!</x:v>
      </x:c>
      <x:c r="CH59" s="128" t="e">
        <x:f>'PROJECT TA Y TB KARINA'!$N55/8</x:f>
        <x:v>#REF!</x:v>
      </x:c>
      <x:c r="CI59" s="128" t="e">
        <x:f>'PROJECT TA Y TB KARINA'!$N55/8</x:f>
        <x:v>#REF!</x:v>
      </x:c>
      <x:c r="CJ59" s="128" t="e">
        <x:f>'PROJECT TA Y TB KARINA'!$N55/8</x:f>
        <x:v>#REF!</x:v>
      </x:c>
      <x:c r="CK59" s="128" t="e">
        <x:f>'PROJECT TA Y TB KARINA'!$O55/8</x:f>
        <x:v>#REF!</x:v>
      </x:c>
      <x:c r="CL59" s="128" t="e">
        <x:f>'PROJECT TA Y TB KARINA'!$O55/8</x:f>
        <x:v>#REF!</x:v>
      </x:c>
      <x:c r="CM59" s="128" t="e">
        <x:f>'PROJECT TA Y TB KARINA'!$O55/8</x:f>
        <x:v>#REF!</x:v>
      </x:c>
      <x:c r="CN59" s="128" t="e">
        <x:f>'PROJECT TA Y TB KARINA'!$O55/8</x:f>
        <x:v>#REF!</x:v>
      </x:c>
      <x:c r="CO59" s="128" t="e">
        <x:f>'PROJECT TA Y TB KARINA'!$O55/8</x:f>
        <x:v>#REF!</x:v>
      </x:c>
      <x:c r="CP59" s="128" t="e">
        <x:f>'PROJECT TA Y TB KARINA'!$O55/8</x:f>
        <x:v>#REF!</x:v>
      </x:c>
      <x:c r="CQ59" s="128" t="e">
        <x:f>'PROJECT TA Y TB KARINA'!$O55/8</x:f>
        <x:v>#REF!</x:v>
      </x:c>
      <x:c r="CR59" s="128" t="e">
        <x:f>'PROJECT TA Y TB KARINA'!$O55/8</x:f>
        <x:v>#REF!</x:v>
      </x:c>
      <x:c r="CS59" s="128" t="e">
        <x:f>'PROJECT TA Y TB KARINA'!$P55/8</x:f>
        <x:v>#REF!</x:v>
      </x:c>
      <x:c r="CT59" s="128" t="e">
        <x:f>'PROJECT TA Y TB KARINA'!$P55/8</x:f>
        <x:v>#REF!</x:v>
      </x:c>
      <x:c r="CU59" s="128" t="e">
        <x:f>'PROJECT TA Y TB KARINA'!$P55/8</x:f>
        <x:v>#REF!</x:v>
      </x:c>
      <x:c r="CV59" s="128" t="e">
        <x:f>'PROJECT TA Y TB KARINA'!$P55/8</x:f>
        <x:v>#REF!</x:v>
      </x:c>
      <x:c r="CW59" s="128" t="e">
        <x:f>'PROJECT TA Y TB KARINA'!$P55/8</x:f>
        <x:v>#REF!</x:v>
      </x:c>
      <x:c r="CX59" s="128" t="e">
        <x:f>'PROJECT TA Y TB KARINA'!$P55/8</x:f>
        <x:v>#REF!</x:v>
      </x:c>
      <x:c r="CY59" s="128" t="e">
        <x:f>'PROJECT TA Y TB KARINA'!$P55/8</x:f>
        <x:v>#REF!</x:v>
      </x:c>
      <x:c r="CZ59" s="128" t="e">
        <x:f>'PROJECT TA Y TB KARINA'!$P55/8</x:f>
        <x:v>#REF!</x:v>
      </x:c>
      <x:c r="DA59" s="128" t="e">
        <x:f>'PROJECT TA Y TB KARINA'!$Q55/8</x:f>
        <x:v>#REF!</x:v>
      </x:c>
      <x:c r="DB59" s="128" t="e">
        <x:f>'PROJECT TA Y TB KARINA'!$Q55/8</x:f>
        <x:v>#REF!</x:v>
      </x:c>
      <x:c r="DC59" s="128" t="e">
        <x:f>'PROJECT TA Y TB KARINA'!$Q55/8</x:f>
        <x:v>#REF!</x:v>
      </x:c>
      <x:c r="DD59" s="128" t="e">
        <x:f>'PROJECT TA Y TB KARINA'!$Q55/8</x:f>
        <x:v>#REF!</x:v>
      </x:c>
      <x:c r="DE59" s="128" t="e">
        <x:f>'PROJECT TA Y TB KARINA'!$Q55/8</x:f>
        <x:v>#REF!</x:v>
      </x:c>
      <x:c r="DF59" s="128" t="e">
        <x:f>'PROJECT TA Y TB KARINA'!$Q55/8</x:f>
        <x:v>#REF!</x:v>
      </x:c>
      <x:c r="DG59" s="128" t="e">
        <x:f>'PROJECT TA Y TB KARINA'!$Q55/8</x:f>
        <x:v>#REF!</x:v>
      </x:c>
      <x:c r="DH59" s="128" t="e">
        <x:f>'PROJECT TA Y TB KARINA'!$Q55/8</x:f>
        <x:v>#REF!</x:v>
      </x:c>
      <x:c r="DI59" s="128" t="e">
        <x:f>'PROJECT TA Y TB KARINA'!$R55/8</x:f>
        <x:v>#REF!</x:v>
      </x:c>
      <x:c r="DJ59" s="128" t="e">
        <x:f>'PROJECT TA Y TB KARINA'!$R55/8</x:f>
        <x:v>#REF!</x:v>
      </x:c>
      <x:c r="DK59" s="128" t="e">
        <x:f>'PROJECT TA Y TB KARINA'!$R55/8</x:f>
        <x:v>#REF!</x:v>
      </x:c>
      <x:c r="DL59" s="128" t="e">
        <x:f>'PROJECT TA Y TB KARINA'!$R55/8</x:f>
        <x:v>#REF!</x:v>
      </x:c>
      <x:c r="DM59" s="128" t="e">
        <x:f>'PROJECT TA Y TB KARINA'!$R55/8</x:f>
        <x:v>#REF!</x:v>
      </x:c>
      <x:c r="DN59" s="128" t="e">
        <x:f>'PROJECT TA Y TB KARINA'!$R55/8</x:f>
        <x:v>#REF!</x:v>
      </x:c>
      <x:c r="DO59" s="128" t="e">
        <x:f>'PROJECT TA Y TB KARINA'!$R55/8</x:f>
        <x:v>#REF!</x:v>
      </x:c>
      <x:c r="DP59" s="128" t="e">
        <x:f>'PROJECT TA Y TB KARINA'!$R55/8</x:f>
        <x:v>#REF!</x:v>
      </x:c>
      <x:c r="DQ59" s="128" t="e">
        <x:f>'PROJECT TA Y TB KARINA'!$S55/8</x:f>
        <x:v>#REF!</x:v>
      </x:c>
      <x:c r="DR59" s="128" t="e">
        <x:f>'PROJECT TA Y TB KARINA'!$S55/8</x:f>
        <x:v>#REF!</x:v>
      </x:c>
      <x:c r="DS59" s="128" t="e">
        <x:f>'PROJECT TA Y TB KARINA'!$S55/8</x:f>
        <x:v>#REF!</x:v>
      </x:c>
      <x:c r="DT59" s="128" t="e">
        <x:f>'PROJECT TA Y TB KARINA'!$S55/8</x:f>
        <x:v>#REF!</x:v>
      </x:c>
      <x:c r="DU59" s="128" t="e">
        <x:f>'PROJECT TA Y TB KARINA'!$S55/8</x:f>
        <x:v>#REF!</x:v>
      </x:c>
      <x:c r="DV59" s="128" t="e">
        <x:f>'PROJECT TA Y TB KARINA'!$S55/8</x:f>
        <x:v>#REF!</x:v>
      </x:c>
      <x:c r="DW59" s="128" t="e">
        <x:f>'PROJECT TA Y TB KARINA'!$S55/8</x:f>
        <x:v>#REF!</x:v>
      </x:c>
      <x:c r="DX59" s="128" t="e">
        <x:f>'PROJECT TA Y TB KARINA'!$S55/8</x:f>
        <x:v>#REF!</x:v>
      </x:c>
      <x:c r="DY59" s="128" t="e">
        <x:f>'PROJECT TA Y TB KARINA'!$T55/8</x:f>
        <x:v>#REF!</x:v>
      </x:c>
      <x:c r="DZ59" s="128" t="e">
        <x:f>'PROJECT TA Y TB KARINA'!$T55/8</x:f>
        <x:v>#REF!</x:v>
      </x:c>
      <x:c r="EA59" s="128" t="e">
        <x:f>'PROJECT TA Y TB KARINA'!$T55/8</x:f>
        <x:v>#REF!</x:v>
      </x:c>
      <x:c r="EB59" s="128" t="e">
        <x:f>'PROJECT TA Y TB KARINA'!$T55/8</x:f>
        <x:v>#REF!</x:v>
      </x:c>
      <x:c r="EC59" s="128" t="e">
        <x:f>'PROJECT TA Y TB KARINA'!$T55/8</x:f>
        <x:v>#REF!</x:v>
      </x:c>
      <x:c r="ED59" s="128" t="e">
        <x:f>'PROJECT TA Y TB KARINA'!$T55/8</x:f>
        <x:v>#REF!</x:v>
      </x:c>
      <x:c r="EE59" s="128" t="e">
        <x:f>'PROJECT TA Y TB KARINA'!$T55/8</x:f>
        <x:v>#REF!</x:v>
      </x:c>
      <x:c r="EF59" s="128" t="e">
        <x:f>'PROJECT TA Y TB KARINA'!$T55/8</x:f>
        <x:v>#REF!</x:v>
      </x:c>
      <x:c r="EG59" s="128" t="e">
        <x:f>'PROJECT TA Y TB KARINA'!#REF!/8</x:f>
        <x:v>#NAME?</x:v>
      </x:c>
      <x:c r="EH59" s="128" t="e">
        <x:f>'PROJECT TA Y TB KARINA'!#REF!/8</x:f>
        <x:v>#NAME?</x:v>
      </x:c>
      <x:c r="EI59" s="128" t="e">
        <x:f>'PROJECT TA Y TB KARINA'!#REF!/8</x:f>
        <x:v>#NAME?</x:v>
      </x:c>
      <x:c r="EJ59" s="128" t="e">
        <x:f>'PROJECT TA Y TB KARINA'!#REF!/8</x:f>
        <x:v>#NAME?</x:v>
      </x:c>
      <x:c r="EK59" s="128" t="e">
        <x:f>'PROJECT TA Y TB KARINA'!#REF!/8</x:f>
        <x:v>#NAME?</x:v>
      </x:c>
      <x:c r="EL59" s="128" t="e">
        <x:f>'PROJECT TA Y TB KARINA'!#REF!/8</x:f>
        <x:v>#NAME?</x:v>
      </x:c>
      <x:c r="EM59" s="128" t="e">
        <x:f>'PROJECT TA Y TB KARINA'!#REF!/8</x:f>
        <x:v>#NAME?</x:v>
      </x:c>
      <x:c r="EN59" s="128" t="e">
        <x:f>'PROJECT TA Y TB KARINA'!#REF!/8</x:f>
        <x:v>#NAME?</x:v>
      </x:c>
      <x:c r="EO59" s="128" t="n">
        <x:f>'PROJECT TA Y TB KARINA'!$C113/8</x:f>
        <x:v>0</x:v>
      </x:c>
      <x:c r="EP59" s="128" t="n">
        <x:f>'PROJECT TA Y TB KARINA'!$C113/8</x:f>
        <x:v>0</x:v>
      </x:c>
      <x:c r="EQ59" s="128" t="n">
        <x:f>'PROJECT TA Y TB KARINA'!$C113/8</x:f>
        <x:v>0</x:v>
      </x:c>
      <x:c r="ER59" s="128" t="n">
        <x:f>'PROJECT TA Y TB KARINA'!$C113/8</x:f>
        <x:v>0</x:v>
      </x:c>
      <x:c r="ES59" s="128" t="n">
        <x:f>'PROJECT TA Y TB KARINA'!$C113/8</x:f>
        <x:v>0</x:v>
      </x:c>
      <x:c r="ET59" s="128" t="n">
        <x:f>'PROJECT TA Y TB KARINA'!$C113/8</x:f>
        <x:v>0</x:v>
      </x:c>
      <x:c r="EU59" s="128" t="n">
        <x:f>'PROJECT TA Y TB KARINA'!$C113/8</x:f>
        <x:v>0</x:v>
      </x:c>
      <x:c r="EV59" s="128" t="n">
        <x:f>'PROJECT TA Y TB KARINA'!$E113/8</x:f>
        <x:v>0</x:v>
      </x:c>
      <x:c r="EW59" s="128" t="n">
        <x:f>'PROJECT TA Y TB KARINA'!$E113/8</x:f>
        <x:v>0</x:v>
      </x:c>
      <x:c r="EX59" s="128" t="n">
        <x:f>'PROJECT TA Y TB KARINA'!$E113/8</x:f>
        <x:v>0</x:v>
      </x:c>
      <x:c r="EY59" s="128" t="n">
        <x:f>'PROJECT TA Y TB KARINA'!$E113/8</x:f>
        <x:v>0</x:v>
      </x:c>
      <x:c r="EZ59" s="128" t="n">
        <x:f>'PROJECT TA Y TB KARINA'!$E113/8</x:f>
        <x:v>0</x:v>
      </x:c>
      <x:c r="FA59" s="128" t="n">
        <x:f>'PROJECT TA Y TB KARINA'!$E113/8</x:f>
        <x:v>0</x:v>
      </x:c>
      <x:c r="FB59" s="128" t="n">
        <x:f>'PROJECT TA Y TB KARINA'!$E113/8</x:f>
        <x:v>0</x:v>
      </x:c>
      <x:c r="FC59" s="128" t="n">
        <x:f>'PROJECT TA Y TB KARINA'!$E113/8</x:f>
        <x:v>0</x:v>
      </x:c>
      <x:c r="FD59" s="128" t="n">
        <x:f>'PROJECT TA Y TB KARINA'!$F113/8</x:f>
        <x:v>0</x:v>
      </x:c>
      <x:c r="FE59" s="128" t="n">
        <x:f>'PROJECT TA Y TB KARINA'!$F113/8</x:f>
        <x:v>0</x:v>
      </x:c>
      <x:c r="FF59" s="128" t="n">
        <x:f>'PROJECT TA Y TB KARINA'!$F113/8</x:f>
        <x:v>0</x:v>
      </x:c>
      <x:c r="FG59" s="128" t="n">
        <x:f>'PROJECT TA Y TB KARINA'!$F113/8</x:f>
        <x:v>0</x:v>
      </x:c>
      <x:c r="FH59" s="128" t="n">
        <x:f>'PROJECT TA Y TB KARINA'!$F113/8</x:f>
        <x:v>0</x:v>
      </x:c>
      <x:c r="FI59" s="128" t="n">
        <x:f>'PROJECT TA Y TB KARINA'!$F113/8</x:f>
        <x:v>0</x:v>
      </x:c>
      <x:c r="FJ59" s="128" t="n">
        <x:f>'PROJECT TA Y TB KARINA'!$F113/8</x:f>
        <x:v>0</x:v>
      </x:c>
      <x:c r="FK59" s="128" t="n">
        <x:f>'PROJECT TA Y TB KARINA'!$F113/8</x:f>
        <x:v>0</x:v>
      </x:c>
      <x:c r="FL59" s="128" t="n">
        <x:f>'PROJECT TA Y TB KARINA'!$G113/8</x:f>
        <x:v>0</x:v>
      </x:c>
      <x:c r="FM59" s="128" t="n">
        <x:f>'PROJECT TA Y TB KARINA'!$G113/8</x:f>
        <x:v>0</x:v>
      </x:c>
      <x:c r="FN59" s="128" t="n">
        <x:f>'PROJECT TA Y TB KARINA'!$G113/8</x:f>
        <x:v>0</x:v>
      </x:c>
      <x:c r="FO59" s="128" t="n">
        <x:f>'PROJECT TA Y TB KARINA'!$G113/8</x:f>
        <x:v>0</x:v>
      </x:c>
      <x:c r="FP59" s="128" t="n">
        <x:f>'PROJECT TA Y TB KARINA'!$G113/8</x:f>
        <x:v>0</x:v>
      </x:c>
      <x:c r="FQ59" s="128" t="n">
        <x:f>'PROJECT TA Y TB KARINA'!$G113/8</x:f>
        <x:v>0</x:v>
      </x:c>
      <x:c r="FR59" s="128" t="n">
        <x:f>'PROJECT TA Y TB KARINA'!$G113/8</x:f>
        <x:v>0</x:v>
      </x:c>
      <x:c r="FS59" s="128" t="n">
        <x:f>'PROJECT TA Y TB KARINA'!$G113/8</x:f>
        <x:v>0</x:v>
      </x:c>
      <x:c r="FT59" s="128" t="n">
        <x:f>'PROJECT TA Y TB KARINA'!$H113/8</x:f>
        <x:v>0</x:v>
      </x:c>
      <x:c r="FU59" s="128" t="n">
        <x:f>'PROJECT TA Y TB KARINA'!$H113/8</x:f>
        <x:v>0</x:v>
      </x:c>
      <x:c r="FV59" s="128" t="n">
        <x:f>'PROJECT TA Y TB KARINA'!$H113/8</x:f>
        <x:v>0</x:v>
      </x:c>
      <x:c r="FW59" s="128" t="n">
        <x:f>'PROJECT TA Y TB KARINA'!$H113/8</x:f>
        <x:v>0</x:v>
      </x:c>
      <x:c r="FX59" s="128" t="n">
        <x:f>'PROJECT TA Y TB KARINA'!$H113/8</x:f>
        <x:v>0</x:v>
      </x:c>
      <x:c r="FY59" s="128" t="n">
        <x:f>'PROJECT TA Y TB KARINA'!$H113/8</x:f>
        <x:v>0</x:v>
      </x:c>
      <x:c r="FZ59" s="128" t="n">
        <x:f>'PROJECT TA Y TB KARINA'!$H113/8</x:f>
        <x:v>0</x:v>
      </x:c>
      <x:c r="GA59" s="128" t="n">
        <x:f>'PROJECT TA Y TB KARINA'!$H113/8</x:f>
        <x:v>0</x:v>
      </x:c>
      <x:c r="GB59" s="128" t="n">
        <x:f>'PROJECT TA Y TB KARINA'!$I113/8</x:f>
        <x:v>0</x:v>
      </x:c>
      <x:c r="GC59" s="128" t="n">
        <x:f>'PROJECT TA Y TB KARINA'!$I113/8</x:f>
        <x:v>0</x:v>
      </x:c>
      <x:c r="GD59" s="128" t="n">
        <x:f>'PROJECT TA Y TB KARINA'!$I113/8</x:f>
        <x:v>0</x:v>
      </x:c>
      <x:c r="GE59" s="128" t="n">
        <x:f>'PROJECT TA Y TB KARINA'!$I113/8</x:f>
        <x:v>0</x:v>
      </x:c>
      <x:c r="GF59" s="128" t="n">
        <x:f>'PROJECT TA Y TB KARINA'!$I113/8</x:f>
        <x:v>0</x:v>
      </x:c>
      <x:c r="GG59" s="128" t="n">
        <x:f>'PROJECT TA Y TB KARINA'!$I113/8</x:f>
        <x:v>0</x:v>
      </x:c>
      <x:c r="GH59" s="128" t="n">
        <x:f>'PROJECT TA Y TB KARINA'!$I113/8</x:f>
        <x:v>0</x:v>
      </x:c>
      <x:c r="GI59" s="128" t="n">
        <x:f>'PROJECT TA Y TB KARINA'!$I113/8</x:f>
        <x:v>0</x:v>
      </x:c>
      <x:c r="GJ59" s="128" t="n">
        <x:f>'PROJECT TA Y TB KARINA'!$J113/8</x:f>
        <x:v>0</x:v>
      </x:c>
      <x:c r="GK59" s="128" t="n">
        <x:f>'PROJECT TA Y TB KARINA'!$J113/8</x:f>
        <x:v>0</x:v>
      </x:c>
      <x:c r="GL59" s="128" t="n">
        <x:f>'PROJECT TA Y TB KARINA'!$J113/8</x:f>
        <x:v>0</x:v>
      </x:c>
      <x:c r="GM59" s="128" t="n">
        <x:f>'PROJECT TA Y TB KARINA'!$J113/8</x:f>
        <x:v>0</x:v>
      </x:c>
      <x:c r="GN59" s="128" t="n">
        <x:f>'PROJECT TA Y TB KARINA'!$J113/8</x:f>
        <x:v>0</x:v>
      </x:c>
      <x:c r="GO59" s="128" t="n">
        <x:f>'PROJECT TA Y TB KARINA'!$J113/8</x:f>
        <x:v>0</x:v>
      </x:c>
      <x:c r="GP59" s="128" t="n">
        <x:f>'PROJECT TA Y TB KARINA'!$J113/8</x:f>
        <x:v>0</x:v>
      </x:c>
      <x:c r="GQ59" s="128" t="n">
        <x:f>'PROJECT TA Y TB KARINA'!$J113/8</x:f>
        <x:v>0</x:v>
      </x:c>
      <x:c r="GR59" s="128" t="n">
        <x:f>'PROJECT TA Y TB KARINA'!$K113/8</x:f>
        <x:v>0</x:v>
      </x:c>
      <x:c r="GS59" s="128" t="n">
        <x:f>'PROJECT TA Y TB KARINA'!$K113/8</x:f>
        <x:v>0</x:v>
      </x:c>
      <x:c r="GT59" s="128" t="n">
        <x:f>'PROJECT TA Y TB KARINA'!$K113/8</x:f>
        <x:v>0</x:v>
      </x:c>
      <x:c r="GU59" s="128" t="n">
        <x:f>'PROJECT TA Y TB KARINA'!$K113/8</x:f>
        <x:v>0</x:v>
      </x:c>
      <x:c r="GV59" s="128" t="n">
        <x:f>'PROJECT TA Y TB KARINA'!$K113/8</x:f>
        <x:v>0</x:v>
      </x:c>
      <x:c r="GW59" s="128" t="n">
        <x:f>'PROJECT TA Y TB KARINA'!$K113/8</x:f>
        <x:v>0</x:v>
      </x:c>
      <x:c r="GX59" s="128" t="n">
        <x:f>'PROJECT TA Y TB KARINA'!$K113/8</x:f>
        <x:v>0</x:v>
      </x:c>
      <x:c r="GY59" s="128" t="n">
        <x:f>'PROJECT TA Y TB KARINA'!$K113/8</x:f>
        <x:v>0</x:v>
      </x:c>
      <x:c r="GZ59" s="128" t="n">
        <x:f>'PROJECT TA Y TB KARINA'!$L113/8</x:f>
        <x:v>0</x:v>
      </x:c>
      <x:c r="HA59" s="128" t="n">
        <x:f>'PROJECT TA Y TB KARINA'!$L113/8</x:f>
        <x:v>0</x:v>
      </x:c>
      <x:c r="HB59" s="128" t="n">
        <x:f>'PROJECT TA Y TB KARINA'!$L113/8</x:f>
        <x:v>0</x:v>
      </x:c>
      <x:c r="HC59" s="128" t="n">
        <x:f>'PROJECT TA Y TB KARINA'!$L113/8</x:f>
        <x:v>0</x:v>
      </x:c>
      <x:c r="HD59" s="128" t="n">
        <x:f>'PROJECT TA Y TB KARINA'!$L113/8</x:f>
        <x:v>0</x:v>
      </x:c>
      <x:c r="HE59" s="128" t="n">
        <x:f>'PROJECT TA Y TB KARINA'!$L113/8</x:f>
        <x:v>0</x:v>
      </x:c>
      <x:c r="HF59" s="128" t="n">
        <x:f>'PROJECT TA Y TB KARINA'!$L113/8</x:f>
        <x:v>0</x:v>
      </x:c>
      <x:c r="HG59" s="128" t="n">
        <x:f>'PROJECT TA Y TB KARINA'!$L113/8</x:f>
        <x:v>0</x:v>
      </x:c>
      <x:c r="HH59" s="128" t="n">
        <x:f>'PROJECT TA Y TB KARINA'!$M113/8</x:f>
        <x:v>0</x:v>
      </x:c>
      <x:c r="HI59" s="128" t="n">
        <x:f>'PROJECT TA Y TB KARINA'!$M113/8</x:f>
        <x:v>0</x:v>
      </x:c>
      <x:c r="HJ59" s="128" t="n">
        <x:f>'PROJECT TA Y TB KARINA'!$M113/8</x:f>
        <x:v>0</x:v>
      </x:c>
      <x:c r="HK59" s="128" t="n">
        <x:f>'PROJECT TA Y TB KARINA'!$M113/8</x:f>
        <x:v>0</x:v>
      </x:c>
      <x:c r="HL59" s="128" t="n">
        <x:f>'PROJECT TA Y TB KARINA'!$M113/8</x:f>
        <x:v>0</x:v>
      </x:c>
      <x:c r="HM59" s="128" t="n">
        <x:f>'PROJECT TA Y TB KARINA'!$M113/8</x:f>
        <x:v>0</x:v>
      </x:c>
      <x:c r="HN59" s="128" t="n">
        <x:f>'PROJECT TA Y TB KARINA'!$M113/8</x:f>
        <x:v>0</x:v>
      </x:c>
      <x:c r="HO59" s="128" t="n">
        <x:f>'PROJECT TA Y TB KARINA'!$M113/8</x:f>
        <x:v>0</x:v>
      </x:c>
      <x:c r="HP59" s="128" t="n">
        <x:f>'PROJECT TA Y TB KARINA'!$N113/8</x:f>
        <x:v>0</x:v>
      </x:c>
      <x:c r="HQ59" s="128" t="n">
        <x:f>'PROJECT TA Y TB KARINA'!$N113/8</x:f>
        <x:v>0</x:v>
      </x:c>
      <x:c r="HR59" s="128" t="n">
        <x:f>'PROJECT TA Y TB KARINA'!$N113/8</x:f>
        <x:v>0</x:v>
      </x:c>
      <x:c r="HS59" s="128" t="n">
        <x:f>'PROJECT TA Y TB KARINA'!$N113/8</x:f>
        <x:v>0</x:v>
      </x:c>
      <x:c r="HT59" s="128" t="n">
        <x:f>'PROJECT TA Y TB KARINA'!$N113/8</x:f>
        <x:v>0</x:v>
      </x:c>
      <x:c r="HU59" s="128" t="n">
        <x:f>'PROJECT TA Y TB KARINA'!$N113/8</x:f>
        <x:v>0</x:v>
      </x:c>
      <x:c r="HV59" s="128" t="n">
        <x:f>'PROJECT TA Y TB KARINA'!$N113/8</x:f>
        <x:v>0</x:v>
      </x:c>
      <x:c r="HW59" s="128" t="n">
        <x:f>'PROJECT TA Y TB KARINA'!$N113/8</x:f>
        <x:v>0</x:v>
      </x:c>
      <x:c r="HX59" s="128" t="n">
        <x:f>'PROJECT TA Y TB KARINA'!$O113/8</x:f>
        <x:v>0</x:v>
      </x:c>
      <x:c r="HY59" s="128" t="n">
        <x:f>'PROJECT TA Y TB KARINA'!$O113/8</x:f>
        <x:v>0</x:v>
      </x:c>
      <x:c r="HZ59" s="128" t="n">
        <x:f>'PROJECT TA Y TB KARINA'!$O113/8</x:f>
        <x:v>0</x:v>
      </x:c>
      <x:c r="IA59" s="128" t="n">
        <x:f>'PROJECT TA Y TB KARINA'!$O113/8</x:f>
        <x:v>0</x:v>
      </x:c>
      <x:c r="IB59" s="128" t="n">
        <x:f>'PROJECT TA Y TB KARINA'!$O113/8</x:f>
        <x:v>0</x:v>
      </x:c>
      <x:c r="IC59" s="128" t="n">
        <x:f>'PROJECT TA Y TB KARINA'!$O113/8</x:f>
        <x:v>0</x:v>
      </x:c>
      <x:c r="ID59" s="128" t="n">
        <x:f>'PROJECT TA Y TB KARINA'!$O113/8</x:f>
        <x:v>0</x:v>
      </x:c>
      <x:c r="IE59" s="128" t="n">
        <x:f>'PROJECT TA Y TB KARINA'!$O113/8</x:f>
        <x:v>0</x:v>
      </x:c>
      <x:c r="IF59" s="128" t="n">
        <x:f>'PROJECT TA Y TB KARINA'!$P113/8</x:f>
        <x:v>0</x:v>
      </x:c>
      <x:c r="IG59" s="128" t="n">
        <x:f>'PROJECT TA Y TB KARINA'!$P113/8</x:f>
        <x:v>0</x:v>
      </x:c>
      <x:c r="IH59" s="128" t="n">
        <x:f>'PROJECT TA Y TB KARINA'!$P113/8</x:f>
        <x:v>0</x:v>
      </x:c>
      <x:c r="II59" s="128" t="n">
        <x:f>'PROJECT TA Y TB KARINA'!$P113/8</x:f>
        <x:v>0</x:v>
      </x:c>
      <x:c r="IJ59" s="128" t="n">
        <x:f>'PROJECT TA Y TB KARINA'!$P113/8</x:f>
        <x:v>0</x:v>
      </x:c>
      <x:c r="IK59" s="128" t="n">
        <x:f>'PROJECT TA Y TB KARINA'!$P113/8</x:f>
        <x:v>0</x:v>
      </x:c>
      <x:c r="IL59" s="128" t="n">
        <x:f>'PROJECT TA Y TB KARINA'!$P113/8</x:f>
        <x:v>0</x:v>
      </x:c>
      <x:c r="IM59" s="128" t="n">
        <x:f>'PROJECT TA Y TB KARINA'!$P113/8</x:f>
        <x:v>0</x:v>
      </x:c>
      <x:c r="IN59" s="128" t="n">
        <x:f>'PROJECT TA Y TB KARINA'!$Q113/8</x:f>
        <x:v>0</x:v>
      </x:c>
      <x:c r="IO59" s="128" t="n">
        <x:f>'PROJECT TA Y TB KARINA'!$Q113/8</x:f>
        <x:v>0</x:v>
      </x:c>
      <x:c r="IP59" s="128" t="n">
        <x:f>'PROJECT TA Y TB KARINA'!$Q113/8</x:f>
        <x:v>0</x:v>
      </x:c>
      <x:c r="IQ59" s="128" t="n">
        <x:f>'PROJECT TA Y TB KARINA'!$Q113/8</x:f>
        <x:v>0</x:v>
      </x:c>
      <x:c r="IR59" s="128" t="n">
        <x:f>'PROJECT TA Y TB KARINA'!$Q113/8</x:f>
        <x:v>0</x:v>
      </x:c>
      <x:c r="IS59" s="128" t="n">
        <x:f>'PROJECT TA Y TB KARINA'!$Q113/8</x:f>
        <x:v>0</x:v>
      </x:c>
      <x:c r="IT59" s="128" t="n">
        <x:f>'PROJECT TA Y TB KARINA'!$Q113/8</x:f>
        <x:v>0</x:v>
      </x:c>
      <x:c r="IU59" s="128" t="n">
        <x:f>'PROJECT TA Y TB KARINA'!$Q113/8</x:f>
        <x:v>0</x:v>
      </x:c>
      <x:c r="IV59" s="128" t="n">
        <x:f>'PROJECT TA Y TB KARINA'!$R113/8</x:f>
        <x:v>0</x:v>
      </x:c>
      <x:c r="IW59" s="128" t="n">
        <x:f>'PROJECT TA Y TB KARINA'!$R113/8</x:f>
        <x:v>0</x:v>
      </x:c>
      <x:c r="IX59" s="128" t="n">
        <x:f>'PROJECT TA Y TB KARINA'!$R113/8</x:f>
        <x:v>0</x:v>
      </x:c>
      <x:c r="IY59" s="128" t="n">
        <x:f>'PROJECT TA Y TB KARINA'!$R113/8</x:f>
        <x:v>0</x:v>
      </x:c>
      <x:c r="IZ59" s="128" t="n">
        <x:f>'PROJECT TA Y TB KARINA'!$R113/8</x:f>
        <x:v>0</x:v>
      </x:c>
      <x:c r="JA59" s="128" t="n">
        <x:f>'PROJECT TA Y TB KARINA'!$R113/8</x:f>
        <x:v>0</x:v>
      </x:c>
      <x:c r="JB59" s="128" t="n">
        <x:f>'PROJECT TA Y TB KARINA'!$R113/8</x:f>
        <x:v>0</x:v>
      </x:c>
      <x:c r="JC59" s="128" t="n">
        <x:f>'PROJECT TA Y TB KARINA'!$R113/8</x:f>
        <x:v>0</x:v>
      </x:c>
      <x:c r="JD59" s="128" t="n">
        <x:f>'PROJECT TA Y TB KARINA'!$S113/8</x:f>
        <x:v>0</x:v>
      </x:c>
      <x:c r="JE59" s="128" t="n">
        <x:f>'PROJECT TA Y TB KARINA'!$S113/8</x:f>
        <x:v>0</x:v>
      </x:c>
      <x:c r="JF59" s="128" t="n">
        <x:f>'PROJECT TA Y TB KARINA'!$S113/8</x:f>
        <x:v>0</x:v>
      </x:c>
      <x:c r="JG59" s="128" t="n">
        <x:f>'PROJECT TA Y TB KARINA'!$S113/8</x:f>
        <x:v>0</x:v>
      </x:c>
      <x:c r="JH59" s="128" t="n">
        <x:f>'PROJECT TA Y TB KARINA'!$S113/8</x:f>
        <x:v>0</x:v>
      </x:c>
      <x:c r="JI59" s="128" t="n">
        <x:f>'PROJECT TA Y TB KARINA'!$S113/8</x:f>
        <x:v>0</x:v>
      </x:c>
      <x:c r="JJ59" s="128" t="n">
        <x:f>'PROJECT TA Y TB KARINA'!$S113/8</x:f>
        <x:v>0</x:v>
      </x:c>
      <x:c r="JK59" s="128" t="n">
        <x:f>'PROJECT TA Y TB KARINA'!$S113/8</x:f>
        <x:v>0</x:v>
      </x:c>
      <x:c r="JL59" s="128" t="n">
        <x:f>'PROJECT TA Y TB KARINA'!$T113/8</x:f>
        <x:v>0</x:v>
      </x:c>
      <x:c r="JM59" s="128" t="n">
        <x:f>'PROJECT TA Y TB KARINA'!$T113/8</x:f>
        <x:v>0</x:v>
      </x:c>
      <x:c r="JN59" s="128" t="n">
        <x:f>'PROJECT TA Y TB KARINA'!$T113/8</x:f>
        <x:v>0</x:v>
      </x:c>
      <x:c r="JO59" s="128" t="n">
        <x:f>'PROJECT TA Y TB KARINA'!$T113/8</x:f>
        <x:v>0</x:v>
      </x:c>
      <x:c r="JP59" s="128" t="n">
        <x:f>'PROJECT TA Y TB KARINA'!$T113/8</x:f>
        <x:v>0</x:v>
      </x:c>
      <x:c r="JQ59" s="128" t="n">
        <x:f>'PROJECT TA Y TB KARINA'!$T113/8</x:f>
        <x:v>0</x:v>
      </x:c>
      <x:c r="JR59" s="128" t="n">
        <x:f>'PROJECT TA Y TB KARINA'!$T113/8</x:f>
        <x:v>0</x:v>
      </x:c>
      <x:c r="JS59" s="128" t="n">
        <x:f>'PROJECT TA Y TB KARINA'!$T113/8</x:f>
        <x:v>0</x:v>
      </x:c>
      <x:c r="JT59" s="128" t="e">
        <x:f>'PROJECT TA Y TB KARINA'!#REF!/8</x:f>
        <x:v>#NAME?</x:v>
      </x:c>
      <x:c r="JU59" s="128" t="e">
        <x:f>'PROJECT TA Y TB KARINA'!#REF!/8</x:f>
        <x:v>#NAME?</x:v>
      </x:c>
      <x:c r="JV59" s="128" t="e">
        <x:f>'PROJECT TA Y TB KARINA'!#REF!/8</x:f>
        <x:v>#NAME?</x:v>
      </x:c>
      <x:c r="JW59" s="128" t="e">
        <x:f>'PROJECT TA Y TB KARINA'!#REF!/8</x:f>
        <x:v>#NAME?</x:v>
      </x:c>
      <x:c r="JX59" s="128" t="e">
        <x:f>'PROJECT TA Y TB KARINA'!#REF!/8</x:f>
        <x:v>#NAME?</x:v>
      </x:c>
      <x:c r="JY59" s="128" t="e">
        <x:f>'PROJECT TA Y TB KARINA'!#REF!/8</x:f>
        <x:v>#NAME?</x:v>
      </x:c>
      <x:c r="JZ59" s="128" t="e">
        <x:f>'PROJECT TA Y TB KARINA'!#REF!/8</x:f>
        <x:v>#NAME?</x:v>
      </x:c>
      <x:c r="KA59" s="128" t="e">
        <x:f>'PROJECT TA Y TB KARINA'!#REF!/8</x:f>
        <x:v>#NAME?</x:v>
      </x:c>
    </x:row>
    <x:row r="60" ht="21">
      <x:c r="A60" s="130" t="s">
        <x:v>544</x:v>
      </x:c>
      <x:c r="B60" s="128" t="e">
        <x:f>'PROJECT TA Y TB KARINA'!$C$56/8</x:f>
        <x:v>#REF!</x:v>
      </x:c>
      <x:c r="C60" s="128" t="e">
        <x:f>'PROJECT TA Y TB KARINA'!$C$56/8</x:f>
        <x:v>#REF!</x:v>
      </x:c>
      <x:c r="D60" s="128" t="e">
        <x:f>'PROJECT TA Y TB KARINA'!$C$56/8</x:f>
        <x:v>#REF!</x:v>
      </x:c>
      <x:c r="E60" s="128" t="e">
        <x:f>'PROJECT TA Y TB KARINA'!$C$56/8</x:f>
        <x:v>#REF!</x:v>
      </x:c>
      <x:c r="F60" s="128" t="e">
        <x:f>'PROJECT TA Y TB KARINA'!$C$56/8</x:f>
        <x:v>#REF!</x:v>
      </x:c>
      <x:c r="G60" s="128" t="e">
        <x:f>'PROJECT TA Y TB KARINA'!$C$56/8</x:f>
        <x:v>#REF!</x:v>
      </x:c>
      <x:c r="H60" s="128" t="e">
        <x:f>'PROJECT TA Y TB KARINA'!$C$56/8</x:f>
        <x:v>#REF!</x:v>
      </x:c>
      <x:c r="I60" s="128" t="e">
        <x:f>'PROJECT TA Y TB KARINA'!$E56/8</x:f>
        <x:v>#REF!</x:v>
      </x:c>
      <x:c r="J60" s="128" t="e">
        <x:f>'PROJECT TA Y TB KARINA'!$E56/8</x:f>
        <x:v>#REF!</x:v>
      </x:c>
      <x:c r="K60" s="128" t="e">
        <x:f>'PROJECT TA Y TB KARINA'!$E56/8</x:f>
        <x:v>#REF!</x:v>
      </x:c>
      <x:c r="L60" s="128" t="e">
        <x:f>'PROJECT TA Y TB KARINA'!$E56/8</x:f>
        <x:v>#REF!</x:v>
      </x:c>
      <x:c r="M60" s="128" t="e">
        <x:f>'PROJECT TA Y TB KARINA'!$E56/8</x:f>
        <x:v>#REF!</x:v>
      </x:c>
      <x:c r="N60" s="128" t="e">
        <x:f>'PROJECT TA Y TB KARINA'!$E56/8</x:f>
        <x:v>#REF!</x:v>
      </x:c>
      <x:c r="O60" s="128" t="e">
        <x:f>'PROJECT TA Y TB KARINA'!$E56/8</x:f>
        <x:v>#REF!</x:v>
      </x:c>
      <x:c r="P60" s="128" t="e">
        <x:f>'PROJECT TA Y TB KARINA'!$E56/8</x:f>
        <x:v>#REF!</x:v>
      </x:c>
      <x:c r="Q60" s="128" t="e">
        <x:f>'PROJECT TA Y TB KARINA'!$F56/8</x:f>
        <x:v>#REF!</x:v>
      </x:c>
      <x:c r="R60" s="128" t="e">
        <x:f>'PROJECT TA Y TB KARINA'!$F56/8</x:f>
        <x:v>#REF!</x:v>
      </x:c>
      <x:c r="S60" s="128" t="e">
        <x:f>'PROJECT TA Y TB KARINA'!$F56/8</x:f>
        <x:v>#REF!</x:v>
      </x:c>
      <x:c r="T60" s="128" t="e">
        <x:f>'PROJECT TA Y TB KARINA'!$F56/8</x:f>
        <x:v>#REF!</x:v>
      </x:c>
      <x:c r="U60" s="128" t="e">
        <x:f>'PROJECT TA Y TB KARINA'!$F56/8</x:f>
        <x:v>#REF!</x:v>
      </x:c>
      <x:c r="V60" s="128" t="e">
        <x:f>'PROJECT TA Y TB KARINA'!$F56/8</x:f>
        <x:v>#REF!</x:v>
      </x:c>
      <x:c r="W60" s="128" t="e">
        <x:f>'PROJECT TA Y TB KARINA'!$F56/8</x:f>
        <x:v>#REF!</x:v>
      </x:c>
      <x:c r="X60" s="128" t="e">
        <x:f>'PROJECT TA Y TB KARINA'!$F56/8</x:f>
        <x:v>#REF!</x:v>
      </x:c>
      <x:c r="Y60" s="128" t="e">
        <x:f>'PROJECT TA Y TB KARINA'!$G56/8</x:f>
        <x:v>#REF!</x:v>
      </x:c>
      <x:c r="Z60" s="128" t="e">
        <x:f>'PROJECT TA Y TB KARINA'!$G56/8</x:f>
        <x:v>#REF!</x:v>
      </x:c>
      <x:c r="AA60" s="128" t="e">
        <x:f>'PROJECT TA Y TB KARINA'!$G56/8</x:f>
        <x:v>#REF!</x:v>
      </x:c>
      <x:c r="AB60" s="128" t="e">
        <x:f>'PROJECT TA Y TB KARINA'!$G56/8</x:f>
        <x:v>#REF!</x:v>
      </x:c>
      <x:c r="AC60" s="128" t="e">
        <x:f>'PROJECT TA Y TB KARINA'!$G56/8</x:f>
        <x:v>#REF!</x:v>
      </x:c>
      <x:c r="AD60" s="128" t="e">
        <x:f>'PROJECT TA Y TB KARINA'!$G56/8</x:f>
        <x:v>#REF!</x:v>
      </x:c>
      <x:c r="AE60" s="128" t="e">
        <x:f>'PROJECT TA Y TB KARINA'!$G56/8</x:f>
        <x:v>#REF!</x:v>
      </x:c>
      <x:c r="AF60" s="128" t="e">
        <x:f>'PROJECT TA Y TB KARINA'!$G56/8</x:f>
        <x:v>#REF!</x:v>
      </x:c>
      <x:c r="AG60" s="128" t="e">
        <x:f>'PROJECT TA Y TB KARINA'!$H56/8</x:f>
        <x:v>#REF!</x:v>
      </x:c>
      <x:c r="AH60" s="128" t="e">
        <x:f>'PROJECT TA Y TB KARINA'!$H56/8</x:f>
        <x:v>#REF!</x:v>
      </x:c>
      <x:c r="AI60" s="128" t="e">
        <x:f>'PROJECT TA Y TB KARINA'!$H56/8</x:f>
        <x:v>#REF!</x:v>
      </x:c>
      <x:c r="AJ60" s="128" t="e">
        <x:f>'PROJECT TA Y TB KARINA'!$H56/8</x:f>
        <x:v>#REF!</x:v>
      </x:c>
      <x:c r="AK60" s="128" t="e">
        <x:f>'PROJECT TA Y TB KARINA'!$H56/8</x:f>
        <x:v>#REF!</x:v>
      </x:c>
      <x:c r="AL60" s="128" t="e">
        <x:f>'PROJECT TA Y TB KARINA'!$H56/8</x:f>
        <x:v>#REF!</x:v>
      </x:c>
      <x:c r="AM60" s="128" t="e">
        <x:f>'PROJECT TA Y TB KARINA'!$H56/8</x:f>
        <x:v>#REF!</x:v>
      </x:c>
      <x:c r="AN60" s="128" t="e">
        <x:f>'PROJECT TA Y TB KARINA'!$H56/8</x:f>
        <x:v>#REF!</x:v>
      </x:c>
      <x:c r="AO60" s="128" t="e">
        <x:f>'PROJECT TA Y TB KARINA'!$I56/8</x:f>
        <x:v>#REF!</x:v>
      </x:c>
      <x:c r="AP60" s="128" t="e">
        <x:f>'PROJECT TA Y TB KARINA'!$I56/8</x:f>
        <x:v>#REF!</x:v>
      </x:c>
      <x:c r="AQ60" s="128" t="e">
        <x:f>'PROJECT TA Y TB KARINA'!$I56/8</x:f>
        <x:v>#REF!</x:v>
      </x:c>
      <x:c r="AR60" s="128" t="e">
        <x:f>'PROJECT TA Y TB KARINA'!$I56/8</x:f>
        <x:v>#REF!</x:v>
      </x:c>
      <x:c r="AS60" s="128" t="e">
        <x:f>'PROJECT TA Y TB KARINA'!$I56/8</x:f>
        <x:v>#REF!</x:v>
      </x:c>
      <x:c r="AT60" s="128" t="e">
        <x:f>'PROJECT TA Y TB KARINA'!$I56/8</x:f>
        <x:v>#REF!</x:v>
      </x:c>
      <x:c r="AU60" s="128" t="e">
        <x:f>'PROJECT TA Y TB KARINA'!$I56/8</x:f>
        <x:v>#REF!</x:v>
      </x:c>
      <x:c r="AV60" s="128" t="e">
        <x:f>'PROJECT TA Y TB KARINA'!$I56/8</x:f>
        <x:v>#REF!</x:v>
      </x:c>
      <x:c r="AW60" s="128" t="e">
        <x:f>'PROJECT TA Y TB KARINA'!$J56/8</x:f>
        <x:v>#REF!</x:v>
      </x:c>
      <x:c r="AX60" s="128" t="e">
        <x:f>'PROJECT TA Y TB KARINA'!$J56/8</x:f>
        <x:v>#REF!</x:v>
      </x:c>
      <x:c r="AY60" s="128" t="e">
        <x:f>'PROJECT TA Y TB KARINA'!$J56/8</x:f>
        <x:v>#REF!</x:v>
      </x:c>
      <x:c r="AZ60" s="128" t="e">
        <x:f>'PROJECT TA Y TB KARINA'!$J56/8</x:f>
        <x:v>#REF!</x:v>
      </x:c>
      <x:c r="BA60" s="128" t="e">
        <x:f>'PROJECT TA Y TB KARINA'!$J56/8</x:f>
        <x:v>#REF!</x:v>
      </x:c>
      <x:c r="BB60" s="128" t="e">
        <x:f>'PROJECT TA Y TB KARINA'!$J56/8</x:f>
        <x:v>#REF!</x:v>
      </x:c>
      <x:c r="BC60" s="128" t="e">
        <x:f>'PROJECT TA Y TB KARINA'!$J56/8</x:f>
        <x:v>#REF!</x:v>
      </x:c>
      <x:c r="BD60" s="128" t="e">
        <x:f>'PROJECT TA Y TB KARINA'!$J56/8</x:f>
        <x:v>#REF!</x:v>
      </x:c>
      <x:c r="BE60" s="128" t="e">
        <x:f>'PROJECT TA Y TB KARINA'!$K56/8</x:f>
        <x:v>#REF!</x:v>
      </x:c>
      <x:c r="BF60" s="128" t="e">
        <x:f>'PROJECT TA Y TB KARINA'!$K56/8</x:f>
        <x:v>#REF!</x:v>
      </x:c>
      <x:c r="BG60" s="128" t="e">
        <x:f>'PROJECT TA Y TB KARINA'!$K56/8</x:f>
        <x:v>#REF!</x:v>
      </x:c>
      <x:c r="BH60" s="128" t="e">
        <x:f>'PROJECT TA Y TB KARINA'!$K56/8</x:f>
        <x:v>#REF!</x:v>
      </x:c>
      <x:c r="BI60" s="128" t="e">
        <x:f>'PROJECT TA Y TB KARINA'!$K56/8</x:f>
        <x:v>#REF!</x:v>
      </x:c>
      <x:c r="BJ60" s="128" t="e">
        <x:f>'PROJECT TA Y TB KARINA'!$K56/8</x:f>
        <x:v>#REF!</x:v>
      </x:c>
      <x:c r="BK60" s="128" t="e">
        <x:f>'PROJECT TA Y TB KARINA'!$K56/8</x:f>
        <x:v>#REF!</x:v>
      </x:c>
      <x:c r="BL60" s="128" t="e">
        <x:f>'PROJECT TA Y TB KARINA'!$K56/8</x:f>
        <x:v>#REF!</x:v>
      </x:c>
      <x:c r="BM60" s="128" t="e">
        <x:f>'PROJECT TA Y TB KARINA'!$L56/8</x:f>
        <x:v>#REF!</x:v>
      </x:c>
      <x:c r="BN60" s="128" t="e">
        <x:f>'PROJECT TA Y TB KARINA'!$L56/8</x:f>
        <x:v>#REF!</x:v>
      </x:c>
      <x:c r="BO60" s="128" t="e">
        <x:f>'PROJECT TA Y TB KARINA'!$L56/8</x:f>
        <x:v>#REF!</x:v>
      </x:c>
      <x:c r="BP60" s="128" t="e">
        <x:f>'PROJECT TA Y TB KARINA'!$L56/8</x:f>
        <x:v>#REF!</x:v>
      </x:c>
      <x:c r="BQ60" s="128" t="e">
        <x:f>'PROJECT TA Y TB KARINA'!$L56/8</x:f>
        <x:v>#REF!</x:v>
      </x:c>
      <x:c r="BR60" s="128" t="e">
        <x:f>'PROJECT TA Y TB KARINA'!$L56/8</x:f>
        <x:v>#REF!</x:v>
      </x:c>
      <x:c r="BS60" s="128" t="e">
        <x:f>'PROJECT TA Y TB KARINA'!$L56/8</x:f>
        <x:v>#REF!</x:v>
      </x:c>
      <x:c r="BT60" s="128" t="e">
        <x:f>'PROJECT TA Y TB KARINA'!$L56/8</x:f>
        <x:v>#REF!</x:v>
      </x:c>
      <x:c r="BU60" s="128" t="e">
        <x:f>'PROJECT TA Y TB KARINA'!$M56/8</x:f>
        <x:v>#REF!</x:v>
      </x:c>
      <x:c r="BV60" s="128" t="e">
        <x:f>'PROJECT TA Y TB KARINA'!$M56/8</x:f>
        <x:v>#REF!</x:v>
      </x:c>
      <x:c r="BW60" s="128" t="e">
        <x:f>'PROJECT TA Y TB KARINA'!$M56/8</x:f>
        <x:v>#REF!</x:v>
      </x:c>
      <x:c r="BX60" s="128" t="e">
        <x:f>'PROJECT TA Y TB KARINA'!$M56/8</x:f>
        <x:v>#REF!</x:v>
      </x:c>
      <x:c r="BY60" s="128" t="e">
        <x:f>'PROJECT TA Y TB KARINA'!$M56/8</x:f>
        <x:v>#REF!</x:v>
      </x:c>
      <x:c r="BZ60" s="128" t="e">
        <x:f>'PROJECT TA Y TB KARINA'!$M56/8</x:f>
        <x:v>#REF!</x:v>
      </x:c>
      <x:c r="CA60" s="128" t="e">
        <x:f>'PROJECT TA Y TB KARINA'!$M56/8</x:f>
        <x:v>#REF!</x:v>
      </x:c>
      <x:c r="CB60" s="128" t="e">
        <x:f>'PROJECT TA Y TB KARINA'!$M56/8</x:f>
        <x:v>#REF!</x:v>
      </x:c>
      <x:c r="CC60" s="128" t="e">
        <x:f>'PROJECT TA Y TB KARINA'!$N56/8</x:f>
        <x:v>#REF!</x:v>
      </x:c>
      <x:c r="CD60" s="128" t="e">
        <x:f>'PROJECT TA Y TB KARINA'!$N56/8</x:f>
        <x:v>#REF!</x:v>
      </x:c>
      <x:c r="CE60" s="128" t="e">
        <x:f>'PROJECT TA Y TB KARINA'!$N56/8</x:f>
        <x:v>#REF!</x:v>
      </x:c>
      <x:c r="CF60" s="128" t="e">
        <x:f>'PROJECT TA Y TB KARINA'!$N56/8</x:f>
        <x:v>#REF!</x:v>
      </x:c>
      <x:c r="CG60" s="128" t="e">
        <x:f>'PROJECT TA Y TB KARINA'!$N56/8</x:f>
        <x:v>#REF!</x:v>
      </x:c>
      <x:c r="CH60" s="128" t="e">
        <x:f>'PROJECT TA Y TB KARINA'!$N56/8</x:f>
        <x:v>#REF!</x:v>
      </x:c>
      <x:c r="CI60" s="128" t="e">
        <x:f>'PROJECT TA Y TB KARINA'!$N56/8</x:f>
        <x:v>#REF!</x:v>
      </x:c>
      <x:c r="CJ60" s="128" t="e">
        <x:f>'PROJECT TA Y TB KARINA'!$N56/8</x:f>
        <x:v>#REF!</x:v>
      </x:c>
      <x:c r="CK60" s="128" t="e">
        <x:f>'PROJECT TA Y TB KARINA'!$O56/8</x:f>
        <x:v>#REF!</x:v>
      </x:c>
      <x:c r="CL60" s="128" t="e">
        <x:f>'PROJECT TA Y TB KARINA'!$O56/8</x:f>
        <x:v>#REF!</x:v>
      </x:c>
      <x:c r="CM60" s="128" t="e">
        <x:f>'PROJECT TA Y TB KARINA'!$O56/8</x:f>
        <x:v>#REF!</x:v>
      </x:c>
      <x:c r="CN60" s="128" t="e">
        <x:f>'PROJECT TA Y TB KARINA'!$O56/8</x:f>
        <x:v>#REF!</x:v>
      </x:c>
      <x:c r="CO60" s="128" t="e">
        <x:f>'PROJECT TA Y TB KARINA'!$O56/8</x:f>
        <x:v>#REF!</x:v>
      </x:c>
      <x:c r="CP60" s="128" t="e">
        <x:f>'PROJECT TA Y TB KARINA'!$O56/8</x:f>
        <x:v>#REF!</x:v>
      </x:c>
      <x:c r="CQ60" s="128" t="e">
        <x:f>'PROJECT TA Y TB KARINA'!$O56/8</x:f>
        <x:v>#REF!</x:v>
      </x:c>
      <x:c r="CR60" s="128" t="e">
        <x:f>'PROJECT TA Y TB KARINA'!$O56/8</x:f>
        <x:v>#REF!</x:v>
      </x:c>
      <x:c r="CS60" s="128" t="e">
        <x:f>'PROJECT TA Y TB KARINA'!$P56/8</x:f>
        <x:v>#REF!</x:v>
      </x:c>
      <x:c r="CT60" s="128" t="e">
        <x:f>'PROJECT TA Y TB KARINA'!$P56/8</x:f>
        <x:v>#REF!</x:v>
      </x:c>
      <x:c r="CU60" s="128" t="e">
        <x:f>'PROJECT TA Y TB KARINA'!$P56/8</x:f>
        <x:v>#REF!</x:v>
      </x:c>
      <x:c r="CV60" s="128" t="e">
        <x:f>'PROJECT TA Y TB KARINA'!$P56/8</x:f>
        <x:v>#REF!</x:v>
      </x:c>
      <x:c r="CW60" s="128" t="e">
        <x:f>'PROJECT TA Y TB KARINA'!$P56/8</x:f>
        <x:v>#REF!</x:v>
      </x:c>
      <x:c r="CX60" s="128" t="e">
        <x:f>'PROJECT TA Y TB KARINA'!$P56/8</x:f>
        <x:v>#REF!</x:v>
      </x:c>
      <x:c r="CY60" s="128" t="e">
        <x:f>'PROJECT TA Y TB KARINA'!$P56/8</x:f>
        <x:v>#REF!</x:v>
      </x:c>
      <x:c r="CZ60" s="128" t="e">
        <x:f>'PROJECT TA Y TB KARINA'!$P56/8</x:f>
        <x:v>#REF!</x:v>
      </x:c>
      <x:c r="DA60" s="128" t="e">
        <x:f>'PROJECT TA Y TB KARINA'!$Q56/8</x:f>
        <x:v>#REF!</x:v>
      </x:c>
      <x:c r="DB60" s="128" t="e">
        <x:f>'PROJECT TA Y TB KARINA'!$Q56/8</x:f>
        <x:v>#REF!</x:v>
      </x:c>
      <x:c r="DC60" s="128" t="e">
        <x:f>'PROJECT TA Y TB KARINA'!$Q56/8</x:f>
        <x:v>#REF!</x:v>
      </x:c>
      <x:c r="DD60" s="128" t="e">
        <x:f>'PROJECT TA Y TB KARINA'!$Q56/8</x:f>
        <x:v>#REF!</x:v>
      </x:c>
      <x:c r="DE60" s="128" t="e">
        <x:f>'PROJECT TA Y TB KARINA'!$Q56/8</x:f>
        <x:v>#REF!</x:v>
      </x:c>
      <x:c r="DF60" s="128" t="e">
        <x:f>'PROJECT TA Y TB KARINA'!$Q56/8</x:f>
        <x:v>#REF!</x:v>
      </x:c>
      <x:c r="DG60" s="128" t="e">
        <x:f>'PROJECT TA Y TB KARINA'!$Q56/8</x:f>
        <x:v>#REF!</x:v>
      </x:c>
      <x:c r="DH60" s="128" t="e">
        <x:f>'PROJECT TA Y TB KARINA'!$Q56/8</x:f>
        <x:v>#REF!</x:v>
      </x:c>
      <x:c r="DI60" s="128" t="e">
        <x:f>'PROJECT TA Y TB KARINA'!$R56/8</x:f>
        <x:v>#REF!</x:v>
      </x:c>
      <x:c r="DJ60" s="128" t="e">
        <x:f>'PROJECT TA Y TB KARINA'!$R56/8</x:f>
        <x:v>#REF!</x:v>
      </x:c>
      <x:c r="DK60" s="128" t="e">
        <x:f>'PROJECT TA Y TB KARINA'!$R56/8</x:f>
        <x:v>#REF!</x:v>
      </x:c>
      <x:c r="DL60" s="128" t="e">
        <x:f>'PROJECT TA Y TB KARINA'!$R56/8</x:f>
        <x:v>#REF!</x:v>
      </x:c>
      <x:c r="DM60" s="128" t="e">
        <x:f>'PROJECT TA Y TB KARINA'!$R56/8</x:f>
        <x:v>#REF!</x:v>
      </x:c>
      <x:c r="DN60" s="128" t="e">
        <x:f>'PROJECT TA Y TB KARINA'!$R56/8</x:f>
        <x:v>#REF!</x:v>
      </x:c>
      <x:c r="DO60" s="128" t="e">
        <x:f>'PROJECT TA Y TB KARINA'!$R56/8</x:f>
        <x:v>#REF!</x:v>
      </x:c>
      <x:c r="DP60" s="128" t="e">
        <x:f>'PROJECT TA Y TB KARINA'!$R56/8</x:f>
        <x:v>#REF!</x:v>
      </x:c>
      <x:c r="DQ60" s="128" t="e">
        <x:f>'PROJECT TA Y TB KARINA'!$S56/8</x:f>
        <x:v>#REF!</x:v>
      </x:c>
      <x:c r="DR60" s="128" t="e">
        <x:f>'PROJECT TA Y TB KARINA'!$S56/8</x:f>
        <x:v>#REF!</x:v>
      </x:c>
      <x:c r="DS60" s="128" t="e">
        <x:f>'PROJECT TA Y TB KARINA'!$S56/8</x:f>
        <x:v>#REF!</x:v>
      </x:c>
      <x:c r="DT60" s="128" t="e">
        <x:f>'PROJECT TA Y TB KARINA'!$S56/8</x:f>
        <x:v>#REF!</x:v>
      </x:c>
      <x:c r="DU60" s="128" t="e">
        <x:f>'PROJECT TA Y TB KARINA'!$S56/8</x:f>
        <x:v>#REF!</x:v>
      </x:c>
      <x:c r="DV60" s="128" t="e">
        <x:f>'PROJECT TA Y TB KARINA'!$S56/8</x:f>
        <x:v>#REF!</x:v>
      </x:c>
      <x:c r="DW60" s="128" t="e">
        <x:f>'PROJECT TA Y TB KARINA'!$S56/8</x:f>
        <x:v>#REF!</x:v>
      </x:c>
      <x:c r="DX60" s="128" t="e">
        <x:f>'PROJECT TA Y TB KARINA'!$S56/8</x:f>
        <x:v>#REF!</x:v>
      </x:c>
      <x:c r="DY60" s="128" t="e">
        <x:f>'PROJECT TA Y TB KARINA'!$T56/8</x:f>
        <x:v>#REF!</x:v>
      </x:c>
      <x:c r="DZ60" s="128" t="e">
        <x:f>'PROJECT TA Y TB KARINA'!$T56/8</x:f>
        <x:v>#REF!</x:v>
      </x:c>
      <x:c r="EA60" s="128" t="e">
        <x:f>'PROJECT TA Y TB KARINA'!$T56/8</x:f>
        <x:v>#REF!</x:v>
      </x:c>
      <x:c r="EB60" s="128" t="e">
        <x:f>'PROJECT TA Y TB KARINA'!$T56/8</x:f>
        <x:v>#REF!</x:v>
      </x:c>
      <x:c r="EC60" s="128" t="e">
        <x:f>'PROJECT TA Y TB KARINA'!$T56/8</x:f>
        <x:v>#REF!</x:v>
      </x:c>
      <x:c r="ED60" s="128" t="e">
        <x:f>'PROJECT TA Y TB KARINA'!$T56/8</x:f>
        <x:v>#REF!</x:v>
      </x:c>
      <x:c r="EE60" s="128" t="e">
        <x:f>'PROJECT TA Y TB KARINA'!$T56/8</x:f>
        <x:v>#REF!</x:v>
      </x:c>
      <x:c r="EF60" s="128" t="e">
        <x:f>'PROJECT TA Y TB KARINA'!$T56/8</x:f>
        <x:v>#REF!</x:v>
      </x:c>
      <x:c r="EG60" s="128" t="e">
        <x:f>'PROJECT TA Y TB KARINA'!#REF!/8</x:f>
        <x:v>#NAME?</x:v>
      </x:c>
      <x:c r="EH60" s="128" t="e">
        <x:f>'PROJECT TA Y TB KARINA'!#REF!/8</x:f>
        <x:v>#NAME?</x:v>
      </x:c>
      <x:c r="EI60" s="128" t="e">
        <x:f>'PROJECT TA Y TB KARINA'!#REF!/8</x:f>
        <x:v>#NAME?</x:v>
      </x:c>
      <x:c r="EJ60" s="128" t="e">
        <x:f>'PROJECT TA Y TB KARINA'!#REF!/8</x:f>
        <x:v>#NAME?</x:v>
      </x:c>
      <x:c r="EK60" s="128" t="e">
        <x:f>'PROJECT TA Y TB KARINA'!#REF!/8</x:f>
        <x:v>#NAME?</x:v>
      </x:c>
      <x:c r="EL60" s="128" t="e">
        <x:f>'PROJECT TA Y TB KARINA'!#REF!/8</x:f>
        <x:v>#NAME?</x:v>
      </x:c>
      <x:c r="EM60" s="128" t="e">
        <x:f>'PROJECT TA Y TB KARINA'!#REF!/8</x:f>
        <x:v>#NAME?</x:v>
      </x:c>
      <x:c r="EN60" s="128" t="e">
        <x:f>'PROJECT TA Y TB KARINA'!#REF!/8</x:f>
        <x:v>#NAME?</x:v>
      </x:c>
      <x:c r="EO60" s="128" t="n">
        <x:f>'PROJECT TA Y TB KARINA'!$C114/8</x:f>
        <x:v>0</x:v>
      </x:c>
      <x:c r="EP60" s="128" t="n">
        <x:f>'PROJECT TA Y TB KARINA'!$C114/8</x:f>
        <x:v>0</x:v>
      </x:c>
      <x:c r="EQ60" s="128" t="n">
        <x:f>'PROJECT TA Y TB KARINA'!$C114/8</x:f>
        <x:v>0</x:v>
      </x:c>
      <x:c r="ER60" s="128" t="n">
        <x:f>'PROJECT TA Y TB KARINA'!$C114/8</x:f>
        <x:v>0</x:v>
      </x:c>
      <x:c r="ES60" s="128" t="n">
        <x:f>'PROJECT TA Y TB KARINA'!$C114/8</x:f>
        <x:v>0</x:v>
      </x:c>
      <x:c r="ET60" s="128" t="n">
        <x:f>'PROJECT TA Y TB KARINA'!$C114/8</x:f>
        <x:v>0</x:v>
      </x:c>
      <x:c r="EU60" s="128" t="n">
        <x:f>'PROJECT TA Y TB KARINA'!$C114/8</x:f>
        <x:v>0</x:v>
      </x:c>
      <x:c r="EV60" s="128" t="n">
        <x:f>'PROJECT TA Y TB KARINA'!$E114/8</x:f>
        <x:v>0</x:v>
      </x:c>
      <x:c r="EW60" s="128" t="n">
        <x:f>'PROJECT TA Y TB KARINA'!$E114/8</x:f>
        <x:v>0</x:v>
      </x:c>
      <x:c r="EX60" s="128" t="n">
        <x:f>'PROJECT TA Y TB KARINA'!$E114/8</x:f>
        <x:v>0</x:v>
      </x:c>
      <x:c r="EY60" s="128" t="n">
        <x:f>'PROJECT TA Y TB KARINA'!$E114/8</x:f>
        <x:v>0</x:v>
      </x:c>
      <x:c r="EZ60" s="128" t="n">
        <x:f>'PROJECT TA Y TB KARINA'!$E114/8</x:f>
        <x:v>0</x:v>
      </x:c>
      <x:c r="FA60" s="128" t="n">
        <x:f>'PROJECT TA Y TB KARINA'!$E114/8</x:f>
        <x:v>0</x:v>
      </x:c>
      <x:c r="FB60" s="128" t="n">
        <x:f>'PROJECT TA Y TB KARINA'!$E114/8</x:f>
        <x:v>0</x:v>
      </x:c>
      <x:c r="FC60" s="128" t="n">
        <x:f>'PROJECT TA Y TB KARINA'!$E114/8</x:f>
        <x:v>0</x:v>
      </x:c>
      <x:c r="FD60" s="128" t="n">
        <x:f>'PROJECT TA Y TB KARINA'!$F114/8</x:f>
        <x:v>0</x:v>
      </x:c>
      <x:c r="FE60" s="128" t="n">
        <x:f>'PROJECT TA Y TB KARINA'!$F114/8</x:f>
        <x:v>0</x:v>
      </x:c>
      <x:c r="FF60" s="128" t="n">
        <x:f>'PROJECT TA Y TB KARINA'!$F114/8</x:f>
        <x:v>0</x:v>
      </x:c>
      <x:c r="FG60" s="128" t="n">
        <x:f>'PROJECT TA Y TB KARINA'!$F114/8</x:f>
        <x:v>0</x:v>
      </x:c>
      <x:c r="FH60" s="128" t="n">
        <x:f>'PROJECT TA Y TB KARINA'!$F114/8</x:f>
        <x:v>0</x:v>
      </x:c>
      <x:c r="FI60" s="128" t="n">
        <x:f>'PROJECT TA Y TB KARINA'!$F114/8</x:f>
        <x:v>0</x:v>
      </x:c>
      <x:c r="FJ60" s="128" t="n">
        <x:f>'PROJECT TA Y TB KARINA'!$F114/8</x:f>
        <x:v>0</x:v>
      </x:c>
      <x:c r="FK60" s="128" t="n">
        <x:f>'PROJECT TA Y TB KARINA'!$F114/8</x:f>
        <x:v>0</x:v>
      </x:c>
      <x:c r="FL60" s="128" t="n">
        <x:f>'PROJECT TA Y TB KARINA'!$G114/8</x:f>
        <x:v>0</x:v>
      </x:c>
      <x:c r="FM60" s="128" t="n">
        <x:f>'PROJECT TA Y TB KARINA'!$G114/8</x:f>
        <x:v>0</x:v>
      </x:c>
      <x:c r="FN60" s="128" t="n">
        <x:f>'PROJECT TA Y TB KARINA'!$G114/8</x:f>
        <x:v>0</x:v>
      </x:c>
      <x:c r="FO60" s="128" t="n">
        <x:f>'PROJECT TA Y TB KARINA'!$G114/8</x:f>
        <x:v>0</x:v>
      </x:c>
      <x:c r="FP60" s="128" t="n">
        <x:f>'PROJECT TA Y TB KARINA'!$G114/8</x:f>
        <x:v>0</x:v>
      </x:c>
      <x:c r="FQ60" s="128" t="n">
        <x:f>'PROJECT TA Y TB KARINA'!$G114/8</x:f>
        <x:v>0</x:v>
      </x:c>
      <x:c r="FR60" s="128" t="n">
        <x:f>'PROJECT TA Y TB KARINA'!$G114/8</x:f>
        <x:v>0</x:v>
      </x:c>
      <x:c r="FS60" s="128" t="n">
        <x:f>'PROJECT TA Y TB KARINA'!$G114/8</x:f>
        <x:v>0</x:v>
      </x:c>
      <x:c r="FT60" s="128" t="n">
        <x:f>'PROJECT TA Y TB KARINA'!$H114/8</x:f>
        <x:v>0</x:v>
      </x:c>
      <x:c r="FU60" s="128" t="n">
        <x:f>'PROJECT TA Y TB KARINA'!$H114/8</x:f>
        <x:v>0</x:v>
      </x:c>
      <x:c r="FV60" s="128" t="n">
        <x:f>'PROJECT TA Y TB KARINA'!$H114/8</x:f>
        <x:v>0</x:v>
      </x:c>
      <x:c r="FW60" s="128" t="n">
        <x:f>'PROJECT TA Y TB KARINA'!$H114/8</x:f>
        <x:v>0</x:v>
      </x:c>
      <x:c r="FX60" s="128" t="n">
        <x:f>'PROJECT TA Y TB KARINA'!$H114/8</x:f>
        <x:v>0</x:v>
      </x:c>
      <x:c r="FY60" s="128" t="n">
        <x:f>'PROJECT TA Y TB KARINA'!$H114/8</x:f>
        <x:v>0</x:v>
      </x:c>
      <x:c r="FZ60" s="128" t="n">
        <x:f>'PROJECT TA Y TB KARINA'!$H114/8</x:f>
        <x:v>0</x:v>
      </x:c>
      <x:c r="GA60" s="128" t="n">
        <x:f>'PROJECT TA Y TB KARINA'!$H114/8</x:f>
        <x:v>0</x:v>
      </x:c>
      <x:c r="GB60" s="128" t="n">
        <x:f>'PROJECT TA Y TB KARINA'!$I114/8</x:f>
        <x:v>0</x:v>
      </x:c>
      <x:c r="GC60" s="128" t="n">
        <x:f>'PROJECT TA Y TB KARINA'!$I114/8</x:f>
        <x:v>0</x:v>
      </x:c>
      <x:c r="GD60" s="128" t="n">
        <x:f>'PROJECT TA Y TB KARINA'!$I114/8</x:f>
        <x:v>0</x:v>
      </x:c>
      <x:c r="GE60" s="128" t="n">
        <x:f>'PROJECT TA Y TB KARINA'!$I114/8</x:f>
        <x:v>0</x:v>
      </x:c>
      <x:c r="GF60" s="128" t="n">
        <x:f>'PROJECT TA Y TB KARINA'!$I114/8</x:f>
        <x:v>0</x:v>
      </x:c>
      <x:c r="GG60" s="128" t="n">
        <x:f>'PROJECT TA Y TB KARINA'!$I114/8</x:f>
        <x:v>0</x:v>
      </x:c>
      <x:c r="GH60" s="128" t="n">
        <x:f>'PROJECT TA Y TB KARINA'!$I114/8</x:f>
        <x:v>0</x:v>
      </x:c>
      <x:c r="GI60" s="128" t="n">
        <x:f>'PROJECT TA Y TB KARINA'!$I114/8</x:f>
        <x:v>0</x:v>
      </x:c>
      <x:c r="GJ60" s="128" t="n">
        <x:f>'PROJECT TA Y TB KARINA'!$J114/8</x:f>
        <x:v>0</x:v>
      </x:c>
      <x:c r="GK60" s="128" t="n">
        <x:f>'PROJECT TA Y TB KARINA'!$J114/8</x:f>
        <x:v>0</x:v>
      </x:c>
      <x:c r="GL60" s="128" t="n">
        <x:f>'PROJECT TA Y TB KARINA'!$J114/8</x:f>
        <x:v>0</x:v>
      </x:c>
      <x:c r="GM60" s="128" t="n">
        <x:f>'PROJECT TA Y TB KARINA'!$J114/8</x:f>
        <x:v>0</x:v>
      </x:c>
      <x:c r="GN60" s="128" t="n">
        <x:f>'PROJECT TA Y TB KARINA'!$J114/8</x:f>
        <x:v>0</x:v>
      </x:c>
      <x:c r="GO60" s="128" t="n">
        <x:f>'PROJECT TA Y TB KARINA'!$J114/8</x:f>
        <x:v>0</x:v>
      </x:c>
      <x:c r="GP60" s="128" t="n">
        <x:f>'PROJECT TA Y TB KARINA'!$J114/8</x:f>
        <x:v>0</x:v>
      </x:c>
      <x:c r="GQ60" s="128" t="n">
        <x:f>'PROJECT TA Y TB KARINA'!$J114/8</x:f>
        <x:v>0</x:v>
      </x:c>
      <x:c r="GR60" s="128" t="n">
        <x:f>'PROJECT TA Y TB KARINA'!$K114/8</x:f>
        <x:v>0</x:v>
      </x:c>
      <x:c r="GS60" s="128" t="n">
        <x:f>'PROJECT TA Y TB KARINA'!$K114/8</x:f>
        <x:v>0</x:v>
      </x:c>
      <x:c r="GT60" s="128" t="n">
        <x:f>'PROJECT TA Y TB KARINA'!$K114/8</x:f>
        <x:v>0</x:v>
      </x:c>
      <x:c r="GU60" s="128" t="n">
        <x:f>'PROJECT TA Y TB KARINA'!$K114/8</x:f>
        <x:v>0</x:v>
      </x:c>
      <x:c r="GV60" s="128" t="n">
        <x:f>'PROJECT TA Y TB KARINA'!$K114/8</x:f>
        <x:v>0</x:v>
      </x:c>
      <x:c r="GW60" s="128" t="n">
        <x:f>'PROJECT TA Y TB KARINA'!$K114/8</x:f>
        <x:v>0</x:v>
      </x:c>
      <x:c r="GX60" s="128" t="n">
        <x:f>'PROJECT TA Y TB KARINA'!$K114/8</x:f>
        <x:v>0</x:v>
      </x:c>
      <x:c r="GY60" s="128" t="n">
        <x:f>'PROJECT TA Y TB KARINA'!$K114/8</x:f>
        <x:v>0</x:v>
      </x:c>
      <x:c r="GZ60" s="128" t="n">
        <x:f>'PROJECT TA Y TB KARINA'!$L114/8</x:f>
        <x:v>0</x:v>
      </x:c>
      <x:c r="HA60" s="128" t="n">
        <x:f>'PROJECT TA Y TB KARINA'!$L114/8</x:f>
        <x:v>0</x:v>
      </x:c>
      <x:c r="HB60" s="128" t="n">
        <x:f>'PROJECT TA Y TB KARINA'!$L114/8</x:f>
        <x:v>0</x:v>
      </x:c>
      <x:c r="HC60" s="128" t="n">
        <x:f>'PROJECT TA Y TB KARINA'!$L114/8</x:f>
        <x:v>0</x:v>
      </x:c>
      <x:c r="HD60" s="128" t="n">
        <x:f>'PROJECT TA Y TB KARINA'!$L114/8</x:f>
        <x:v>0</x:v>
      </x:c>
      <x:c r="HE60" s="128" t="n">
        <x:f>'PROJECT TA Y TB KARINA'!$L114/8</x:f>
        <x:v>0</x:v>
      </x:c>
      <x:c r="HF60" s="128" t="n">
        <x:f>'PROJECT TA Y TB KARINA'!$L114/8</x:f>
        <x:v>0</x:v>
      </x:c>
      <x:c r="HG60" s="128" t="n">
        <x:f>'PROJECT TA Y TB KARINA'!$L114/8</x:f>
        <x:v>0</x:v>
      </x:c>
      <x:c r="HH60" s="128" t="n">
        <x:f>'PROJECT TA Y TB KARINA'!$M114/8</x:f>
        <x:v>0</x:v>
      </x:c>
      <x:c r="HI60" s="128" t="n">
        <x:f>'PROJECT TA Y TB KARINA'!$M114/8</x:f>
        <x:v>0</x:v>
      </x:c>
      <x:c r="HJ60" s="128" t="n">
        <x:f>'PROJECT TA Y TB KARINA'!$M114/8</x:f>
        <x:v>0</x:v>
      </x:c>
      <x:c r="HK60" s="128" t="n">
        <x:f>'PROJECT TA Y TB KARINA'!$M114/8</x:f>
        <x:v>0</x:v>
      </x:c>
      <x:c r="HL60" s="128" t="n">
        <x:f>'PROJECT TA Y TB KARINA'!$M114/8</x:f>
        <x:v>0</x:v>
      </x:c>
      <x:c r="HM60" s="128" t="n">
        <x:f>'PROJECT TA Y TB KARINA'!$M114/8</x:f>
        <x:v>0</x:v>
      </x:c>
      <x:c r="HN60" s="128" t="n">
        <x:f>'PROJECT TA Y TB KARINA'!$M114/8</x:f>
        <x:v>0</x:v>
      </x:c>
      <x:c r="HO60" s="128" t="n">
        <x:f>'PROJECT TA Y TB KARINA'!$M114/8</x:f>
        <x:v>0</x:v>
      </x:c>
      <x:c r="HP60" s="128" t="n">
        <x:f>'PROJECT TA Y TB KARINA'!$N114/8</x:f>
        <x:v>0</x:v>
      </x:c>
      <x:c r="HQ60" s="128" t="n">
        <x:f>'PROJECT TA Y TB KARINA'!$N114/8</x:f>
        <x:v>0</x:v>
      </x:c>
      <x:c r="HR60" s="128" t="n">
        <x:f>'PROJECT TA Y TB KARINA'!$N114/8</x:f>
        <x:v>0</x:v>
      </x:c>
      <x:c r="HS60" s="128" t="n">
        <x:f>'PROJECT TA Y TB KARINA'!$N114/8</x:f>
        <x:v>0</x:v>
      </x:c>
      <x:c r="HT60" s="128" t="n">
        <x:f>'PROJECT TA Y TB KARINA'!$N114/8</x:f>
        <x:v>0</x:v>
      </x:c>
      <x:c r="HU60" s="128" t="n">
        <x:f>'PROJECT TA Y TB KARINA'!$N114/8</x:f>
        <x:v>0</x:v>
      </x:c>
      <x:c r="HV60" s="128" t="n">
        <x:f>'PROJECT TA Y TB KARINA'!$N114/8</x:f>
        <x:v>0</x:v>
      </x:c>
      <x:c r="HW60" s="128" t="n">
        <x:f>'PROJECT TA Y TB KARINA'!$N114/8</x:f>
        <x:v>0</x:v>
      </x:c>
      <x:c r="HX60" s="128" t="n">
        <x:f>'PROJECT TA Y TB KARINA'!$O114/8</x:f>
        <x:v>0</x:v>
      </x:c>
      <x:c r="HY60" s="128" t="n">
        <x:f>'PROJECT TA Y TB KARINA'!$O114/8</x:f>
        <x:v>0</x:v>
      </x:c>
      <x:c r="HZ60" s="128" t="n">
        <x:f>'PROJECT TA Y TB KARINA'!$O114/8</x:f>
        <x:v>0</x:v>
      </x:c>
      <x:c r="IA60" s="128" t="n">
        <x:f>'PROJECT TA Y TB KARINA'!$O114/8</x:f>
        <x:v>0</x:v>
      </x:c>
      <x:c r="IB60" s="128" t="n">
        <x:f>'PROJECT TA Y TB KARINA'!$O114/8</x:f>
        <x:v>0</x:v>
      </x:c>
      <x:c r="IC60" s="128" t="n">
        <x:f>'PROJECT TA Y TB KARINA'!$O114/8</x:f>
        <x:v>0</x:v>
      </x:c>
      <x:c r="ID60" s="128" t="n">
        <x:f>'PROJECT TA Y TB KARINA'!$O114/8</x:f>
        <x:v>0</x:v>
      </x:c>
      <x:c r="IE60" s="128" t="n">
        <x:f>'PROJECT TA Y TB KARINA'!$O114/8</x:f>
        <x:v>0</x:v>
      </x:c>
      <x:c r="IF60" s="128" t="n">
        <x:f>'PROJECT TA Y TB KARINA'!$P114/8</x:f>
        <x:v>0</x:v>
      </x:c>
      <x:c r="IG60" s="128" t="n">
        <x:f>'PROJECT TA Y TB KARINA'!$P114/8</x:f>
        <x:v>0</x:v>
      </x:c>
      <x:c r="IH60" s="128" t="n">
        <x:f>'PROJECT TA Y TB KARINA'!$P114/8</x:f>
        <x:v>0</x:v>
      </x:c>
      <x:c r="II60" s="128" t="n">
        <x:f>'PROJECT TA Y TB KARINA'!$P114/8</x:f>
        <x:v>0</x:v>
      </x:c>
      <x:c r="IJ60" s="128" t="n">
        <x:f>'PROJECT TA Y TB KARINA'!$P114/8</x:f>
        <x:v>0</x:v>
      </x:c>
      <x:c r="IK60" s="128" t="n">
        <x:f>'PROJECT TA Y TB KARINA'!$P114/8</x:f>
        <x:v>0</x:v>
      </x:c>
      <x:c r="IL60" s="128" t="n">
        <x:f>'PROJECT TA Y TB KARINA'!$P114/8</x:f>
        <x:v>0</x:v>
      </x:c>
      <x:c r="IM60" s="128" t="n">
        <x:f>'PROJECT TA Y TB KARINA'!$P114/8</x:f>
        <x:v>0</x:v>
      </x:c>
      <x:c r="IN60" s="128" t="n">
        <x:f>'PROJECT TA Y TB KARINA'!$Q114/8</x:f>
        <x:v>0</x:v>
      </x:c>
      <x:c r="IO60" s="128" t="n">
        <x:f>'PROJECT TA Y TB KARINA'!$Q114/8</x:f>
        <x:v>0</x:v>
      </x:c>
      <x:c r="IP60" s="128" t="n">
        <x:f>'PROJECT TA Y TB KARINA'!$Q114/8</x:f>
        <x:v>0</x:v>
      </x:c>
      <x:c r="IQ60" s="128" t="n">
        <x:f>'PROJECT TA Y TB KARINA'!$Q114/8</x:f>
        <x:v>0</x:v>
      </x:c>
      <x:c r="IR60" s="128" t="n">
        <x:f>'PROJECT TA Y TB KARINA'!$Q114/8</x:f>
        <x:v>0</x:v>
      </x:c>
      <x:c r="IS60" s="128" t="n">
        <x:f>'PROJECT TA Y TB KARINA'!$Q114/8</x:f>
        <x:v>0</x:v>
      </x:c>
      <x:c r="IT60" s="128" t="n">
        <x:f>'PROJECT TA Y TB KARINA'!$Q114/8</x:f>
        <x:v>0</x:v>
      </x:c>
      <x:c r="IU60" s="128" t="n">
        <x:f>'PROJECT TA Y TB KARINA'!$Q114/8</x:f>
        <x:v>0</x:v>
      </x:c>
      <x:c r="IV60" s="128" t="n">
        <x:f>'PROJECT TA Y TB KARINA'!$R114/8</x:f>
        <x:v>0</x:v>
      </x:c>
      <x:c r="IW60" s="128" t="n">
        <x:f>'PROJECT TA Y TB KARINA'!$R114/8</x:f>
        <x:v>0</x:v>
      </x:c>
      <x:c r="IX60" s="128" t="n">
        <x:f>'PROJECT TA Y TB KARINA'!$R114/8</x:f>
        <x:v>0</x:v>
      </x:c>
      <x:c r="IY60" s="128" t="n">
        <x:f>'PROJECT TA Y TB KARINA'!$R114/8</x:f>
        <x:v>0</x:v>
      </x:c>
      <x:c r="IZ60" s="128" t="n">
        <x:f>'PROJECT TA Y TB KARINA'!$R114/8</x:f>
        <x:v>0</x:v>
      </x:c>
      <x:c r="JA60" s="128" t="n">
        <x:f>'PROJECT TA Y TB KARINA'!$R114/8</x:f>
        <x:v>0</x:v>
      </x:c>
      <x:c r="JB60" s="128" t="n">
        <x:f>'PROJECT TA Y TB KARINA'!$R114/8</x:f>
        <x:v>0</x:v>
      </x:c>
      <x:c r="JC60" s="128" t="n">
        <x:f>'PROJECT TA Y TB KARINA'!$R114/8</x:f>
        <x:v>0</x:v>
      </x:c>
      <x:c r="JD60" s="128" t="n">
        <x:f>'PROJECT TA Y TB KARINA'!$S114/8</x:f>
        <x:v>0</x:v>
      </x:c>
      <x:c r="JE60" s="128" t="n">
        <x:f>'PROJECT TA Y TB KARINA'!$S114/8</x:f>
        <x:v>0</x:v>
      </x:c>
      <x:c r="JF60" s="128" t="n">
        <x:f>'PROJECT TA Y TB KARINA'!$S114/8</x:f>
        <x:v>0</x:v>
      </x:c>
      <x:c r="JG60" s="128" t="n">
        <x:f>'PROJECT TA Y TB KARINA'!$S114/8</x:f>
        <x:v>0</x:v>
      </x:c>
      <x:c r="JH60" s="128" t="n">
        <x:f>'PROJECT TA Y TB KARINA'!$S114/8</x:f>
        <x:v>0</x:v>
      </x:c>
      <x:c r="JI60" s="128" t="n">
        <x:f>'PROJECT TA Y TB KARINA'!$S114/8</x:f>
        <x:v>0</x:v>
      </x:c>
      <x:c r="JJ60" s="128" t="n">
        <x:f>'PROJECT TA Y TB KARINA'!$S114/8</x:f>
        <x:v>0</x:v>
      </x:c>
      <x:c r="JK60" s="128" t="n">
        <x:f>'PROJECT TA Y TB KARINA'!$S114/8</x:f>
        <x:v>0</x:v>
      </x:c>
      <x:c r="JL60" s="128" t="n">
        <x:f>'PROJECT TA Y TB KARINA'!$T114/8</x:f>
        <x:v>0</x:v>
      </x:c>
      <x:c r="JM60" s="128" t="n">
        <x:f>'PROJECT TA Y TB KARINA'!$T114/8</x:f>
        <x:v>0</x:v>
      </x:c>
      <x:c r="JN60" s="128" t="n">
        <x:f>'PROJECT TA Y TB KARINA'!$T114/8</x:f>
        <x:v>0</x:v>
      </x:c>
      <x:c r="JO60" s="128" t="n">
        <x:f>'PROJECT TA Y TB KARINA'!$T114/8</x:f>
        <x:v>0</x:v>
      </x:c>
      <x:c r="JP60" s="128" t="n">
        <x:f>'PROJECT TA Y TB KARINA'!$T114/8</x:f>
        <x:v>0</x:v>
      </x:c>
      <x:c r="JQ60" s="128" t="n">
        <x:f>'PROJECT TA Y TB KARINA'!$T114/8</x:f>
        <x:v>0</x:v>
      </x:c>
      <x:c r="JR60" s="128" t="n">
        <x:f>'PROJECT TA Y TB KARINA'!$T114/8</x:f>
        <x:v>0</x:v>
      </x:c>
      <x:c r="JS60" s="128" t="n">
        <x:f>'PROJECT TA Y TB KARINA'!$T114/8</x:f>
        <x:v>0</x:v>
      </x:c>
      <x:c r="JT60" s="128" t="e">
        <x:f>'PROJECT TA Y TB KARINA'!#REF!/8</x:f>
        <x:v>#NAME?</x:v>
      </x:c>
      <x:c r="JU60" s="128" t="e">
        <x:f>'PROJECT TA Y TB KARINA'!#REF!/8</x:f>
        <x:v>#NAME?</x:v>
      </x:c>
      <x:c r="JV60" s="128" t="e">
        <x:f>'PROJECT TA Y TB KARINA'!#REF!/8</x:f>
        <x:v>#NAME?</x:v>
      </x:c>
      <x:c r="JW60" s="128" t="e">
        <x:f>'PROJECT TA Y TB KARINA'!#REF!/8</x:f>
        <x:v>#NAME?</x:v>
      </x:c>
      <x:c r="JX60" s="128" t="e">
        <x:f>'PROJECT TA Y TB KARINA'!#REF!/8</x:f>
        <x:v>#NAME?</x:v>
      </x:c>
      <x:c r="JY60" s="128" t="e">
        <x:f>'PROJECT TA Y TB KARINA'!#REF!/8</x:f>
        <x:v>#NAME?</x:v>
      </x:c>
      <x:c r="JZ60" s="128" t="e">
        <x:f>'PROJECT TA Y TB KARINA'!#REF!/8</x:f>
        <x:v>#NAME?</x:v>
      </x:c>
      <x:c r="KA60" s="128" t="e">
        <x:f>'PROJECT TA Y TB KARINA'!#REF!/8</x:f>
        <x:v>#NAME?</x:v>
      </x:c>
    </x:row>
    <x:row r="61" ht="21">
      <x:c r="A61" s="130" t="s">
        <x:v>545</x:v>
      </x:c>
      <x:c r="B61" s="128"/>
      <x:c r="C61" s="129"/>
      <x:c r="D61" s="129"/>
      <x:c r="E61" s="129"/>
      <x:c r="F61" s="129"/>
      <x:c r="G61" s="129"/>
      <x:c r="H61" s="129"/>
      <x:c r="I61" s="129"/>
      <x:c r="J61" s="129"/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  <x:c r="U61" s="129"/>
      <x:c r="V61" s="129"/>
      <x:c r="W61" s="129"/>
      <x:c r="X61" s="129"/>
      <x:c r="Y61" s="129"/>
      <x:c r="Z61" s="129"/>
      <x:c r="AA61" s="129"/>
      <x:c r="AB61" s="129"/>
      <x:c r="AC61" s="129"/>
      <x:c r="AD61" s="129"/>
      <x:c r="AE61" s="129"/>
      <x:c r="AF61" s="129"/>
      <x:c r="AG61" s="129"/>
      <x:c r="AH61" s="129"/>
      <x:c r="AI61" s="129"/>
      <x:c r="AJ61" s="129"/>
      <x:c r="AK61" s="129"/>
      <x:c r="AL61" s="129"/>
      <x:c r="AM61" s="129"/>
      <x:c r="AN61" s="129"/>
      <x:c r="AO61" s="129"/>
      <x:c r="AP61" s="129"/>
      <x:c r="AQ61" s="129"/>
      <x:c r="AR61" s="129"/>
      <x:c r="AS61" s="129"/>
      <x:c r="AT61" s="129"/>
      <x:c r="AU61" s="129"/>
      <x:c r="AV61" s="129"/>
      <x:c r="AW61" s="129"/>
      <x:c r="AX61" s="129"/>
      <x:c r="AY61" s="129"/>
      <x:c r="AZ61" s="129"/>
      <x:c r="BA61" s="129"/>
      <x:c r="BB61" s="129"/>
      <x:c r="BC61" s="129"/>
      <x:c r="BD61" s="129"/>
      <x:c r="BE61" s="129"/>
      <x:c r="BF61" s="129"/>
      <x:c r="BG61" s="129"/>
      <x:c r="BH61" s="129"/>
      <x:c r="BI61" s="129"/>
      <x:c r="BJ61" s="129"/>
      <x:c r="BK61" s="129"/>
      <x:c r="BL61" s="129"/>
      <x:c r="BM61" s="129"/>
      <x:c r="BN61" s="129"/>
      <x:c r="BO61" s="129"/>
      <x:c r="BP61" s="129"/>
      <x:c r="BQ61" s="129"/>
      <x:c r="BR61" s="129"/>
      <x:c r="BS61" s="129"/>
      <x:c r="BT61" s="129"/>
      <x:c r="BU61" s="129"/>
      <x:c r="BV61" s="129"/>
      <x:c r="BW61" s="129"/>
      <x:c r="BX61" s="129"/>
      <x:c r="BY61" s="129"/>
      <x:c r="BZ61" s="129"/>
      <x:c r="CA61" s="129"/>
      <x:c r="CB61" s="129"/>
      <x:c r="CC61" s="129"/>
      <x:c r="CD61" s="129"/>
      <x:c r="CE61" s="129"/>
      <x:c r="CF61" s="129"/>
      <x:c r="CG61" s="129"/>
      <x:c r="CH61" s="129"/>
      <x:c r="CI61" s="129"/>
      <x:c r="CJ61" s="129"/>
      <x:c r="CK61" s="129"/>
      <x:c r="CL61" s="129"/>
      <x:c r="CM61" s="129"/>
      <x:c r="CN61" s="129"/>
      <x:c r="CO61" s="129"/>
      <x:c r="CP61" s="129"/>
      <x:c r="CQ61" s="129"/>
      <x:c r="CR61" s="129"/>
      <x:c r="CS61" s="129"/>
      <x:c r="CT61" s="129"/>
      <x:c r="CU61" s="129"/>
      <x:c r="CV61" s="129"/>
      <x:c r="CW61" s="129"/>
      <x:c r="CX61" s="129"/>
      <x:c r="CY61" s="129"/>
      <x:c r="CZ61" s="129"/>
      <x:c r="DA61" s="129"/>
      <x:c r="DB61" s="129"/>
      <x:c r="DC61" s="129"/>
      <x:c r="DD61" s="129"/>
      <x:c r="DE61" s="129"/>
      <x:c r="DF61" s="129"/>
      <x:c r="DG61" s="129"/>
      <x:c r="DH61" s="129"/>
      <x:c r="DI61" s="129"/>
      <x:c r="DJ61" s="129"/>
      <x:c r="DK61" s="129"/>
      <x:c r="DL61" s="129"/>
      <x:c r="DM61" s="129"/>
      <x:c r="DN61" s="129"/>
      <x:c r="DO61" s="129"/>
      <x:c r="DP61" s="129"/>
      <x:c r="DQ61" s="129"/>
      <x:c r="DR61" s="129"/>
      <x:c r="DS61" s="129"/>
      <x:c r="DT61" s="129"/>
      <x:c r="DU61" s="129"/>
      <x:c r="DV61" s="129"/>
      <x:c r="DW61" s="129"/>
      <x:c r="DX61" s="129"/>
      <x:c r="DY61" s="129"/>
      <x:c r="DZ61" s="129"/>
      <x:c r="EA61" s="129"/>
      <x:c r="EB61" s="129"/>
      <x:c r="EC61" s="129"/>
      <x:c r="ED61" s="129"/>
      <x:c r="EE61" s="129"/>
      <x:c r="EF61" s="129"/>
      <x:c r="EG61" s="129"/>
      <x:c r="EH61" s="129"/>
      <x:c r="EI61" s="129"/>
      <x:c r="EJ61" s="129"/>
      <x:c r="EK61" s="129"/>
      <x:c r="EL61" s="129"/>
      <x:c r="EM61" s="129"/>
      <x:c r="EN61" s="129"/>
      <x:c r="EO61" s="120"/>
      <x:c r="EP61" s="120"/>
      <x:c r="EQ61" s="120"/>
      <x:c r="ER61" s="120"/>
      <x:c r="ES61" s="120"/>
      <x:c r="ET61" s="120"/>
      <x:c r="EU61" s="120"/>
      <x:c r="EV61" s="129"/>
      <x:c r="EW61" s="129"/>
      <x:c r="EX61" s="129"/>
      <x:c r="EY61" s="129"/>
      <x:c r="EZ61" s="129"/>
      <x:c r="FA61" s="129"/>
      <x:c r="FB61" s="129"/>
      <x:c r="FC61" s="129"/>
      <x:c r="FD61" s="129"/>
      <x:c r="FE61" s="129"/>
      <x:c r="FF61" s="129"/>
      <x:c r="FG61" s="129"/>
      <x:c r="FH61" s="129"/>
      <x:c r="FI61" s="129"/>
      <x:c r="FJ61" s="129"/>
      <x:c r="FK61" s="129"/>
      <x:c r="FL61" s="129"/>
      <x:c r="FM61" s="129"/>
      <x:c r="FN61" s="129"/>
      <x:c r="FO61" s="129"/>
      <x:c r="FP61" s="129"/>
      <x:c r="FQ61" s="129"/>
      <x:c r="FR61" s="129"/>
      <x:c r="FS61" s="129"/>
      <x:c r="FT61" s="129"/>
      <x:c r="FU61" s="129"/>
      <x:c r="FV61" s="129"/>
      <x:c r="FW61" s="129"/>
      <x:c r="FX61" s="129"/>
      <x:c r="FY61" s="129"/>
      <x:c r="FZ61" s="129"/>
      <x:c r="GA61" s="129"/>
      <x:c r="GB61" s="129"/>
      <x:c r="GC61" s="129"/>
      <x:c r="GD61" s="129"/>
      <x:c r="GE61" s="129"/>
      <x:c r="GF61" s="129"/>
      <x:c r="GG61" s="129"/>
      <x:c r="GH61" s="129"/>
      <x:c r="GI61" s="129"/>
      <x:c r="GJ61" s="129"/>
      <x:c r="GK61" s="129"/>
      <x:c r="GL61" s="129"/>
      <x:c r="GM61" s="129"/>
      <x:c r="GN61" s="129"/>
      <x:c r="GO61" s="129"/>
      <x:c r="GP61" s="129"/>
      <x:c r="GQ61" s="129"/>
      <x:c r="GR61" s="129"/>
      <x:c r="GS61" s="129"/>
      <x:c r="GT61" s="129"/>
      <x:c r="GU61" s="129"/>
      <x:c r="GV61" s="129"/>
      <x:c r="GW61" s="129"/>
      <x:c r="GX61" s="129"/>
      <x:c r="GY61" s="129"/>
      <x:c r="GZ61" s="129"/>
      <x:c r="HA61" s="129"/>
      <x:c r="HB61" s="129"/>
      <x:c r="HC61" s="129"/>
      <x:c r="HD61" s="129"/>
      <x:c r="HE61" s="129"/>
      <x:c r="HF61" s="129"/>
      <x:c r="HG61" s="129"/>
      <x:c r="HH61" s="129"/>
      <x:c r="HI61" s="129"/>
      <x:c r="HJ61" s="129"/>
      <x:c r="HK61" s="129"/>
      <x:c r="HL61" s="129"/>
      <x:c r="HM61" s="129"/>
      <x:c r="HN61" s="129"/>
      <x:c r="HO61" s="129"/>
      <x:c r="HP61" s="129"/>
      <x:c r="HQ61" s="129"/>
      <x:c r="HR61" s="129"/>
      <x:c r="HS61" s="129"/>
      <x:c r="HT61" s="129"/>
      <x:c r="HU61" s="129"/>
      <x:c r="HV61" s="129"/>
      <x:c r="HW61" s="129"/>
      <x:c r="HX61" s="129"/>
      <x:c r="HY61" s="129"/>
      <x:c r="HZ61" s="129"/>
      <x:c r="IA61" s="129"/>
      <x:c r="IB61" s="129"/>
      <x:c r="IC61" s="129"/>
      <x:c r="ID61" s="129"/>
      <x:c r="IE61" s="129"/>
      <x:c r="IF61" s="129"/>
      <x:c r="IG61" s="129"/>
      <x:c r="IH61" s="129"/>
      <x:c r="II61" s="129"/>
      <x:c r="IJ61" s="129"/>
      <x:c r="IK61" s="129"/>
      <x:c r="IL61" s="129"/>
      <x:c r="IM61" s="129"/>
      <x:c r="IN61" s="129"/>
      <x:c r="IO61" s="129"/>
      <x:c r="IP61" s="129"/>
      <x:c r="IQ61" s="129"/>
      <x:c r="IR61" s="129"/>
      <x:c r="IS61" s="129"/>
      <x:c r="IT61" s="129"/>
      <x:c r="IU61" s="129"/>
      <x:c r="IV61" s="129"/>
      <x:c r="IW61" s="129"/>
      <x:c r="IX61" s="129"/>
      <x:c r="IY61" s="129"/>
      <x:c r="IZ61" s="129"/>
      <x:c r="JA61" s="129"/>
      <x:c r="JB61" s="129"/>
      <x:c r="JC61" s="129"/>
      <x:c r="JD61" s="129"/>
      <x:c r="JE61" s="129"/>
      <x:c r="JF61" s="129"/>
      <x:c r="JG61" s="129"/>
      <x:c r="JH61" s="129"/>
      <x:c r="JI61" s="129"/>
      <x:c r="JJ61" s="129"/>
      <x:c r="JK61" s="129"/>
      <x:c r="JL61" s="129"/>
      <x:c r="JM61" s="129"/>
      <x:c r="JN61" s="129"/>
      <x:c r="JO61" s="129"/>
      <x:c r="JP61" s="129"/>
      <x:c r="JQ61" s="129"/>
      <x:c r="JR61" s="129"/>
      <x:c r="JS61" s="129"/>
      <x:c r="JT61" s="129"/>
      <x:c r="JU61" s="129"/>
      <x:c r="JV61" s="129"/>
      <x:c r="JW61" s="129"/>
      <x:c r="JX61" s="129"/>
      <x:c r="JY61" s="129"/>
      <x:c r="JZ61" s="129"/>
      <x:c r="KA61" s="129"/>
    </x:row>
    <x:row r="62" ht="21">
      <x:c r="A62" s="130" t="s">
        <x:v>546</x:v>
      </x:c>
      <x:c r="B62" s="128"/>
      <x:c r="C62" s="129"/>
      <x:c r="D62" s="129"/>
      <x:c r="E62" s="129"/>
      <x:c r="F62" s="129"/>
      <x:c r="G62" s="129"/>
      <x:c r="H62" s="129"/>
      <x:c r="I62" s="129"/>
      <x:c r="J62" s="129"/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  <x:c r="U62" s="129"/>
      <x:c r="V62" s="129"/>
      <x:c r="W62" s="129"/>
      <x:c r="X62" s="129"/>
      <x:c r="Y62" s="129"/>
      <x:c r="Z62" s="129"/>
      <x:c r="AA62" s="129"/>
      <x:c r="AB62" s="129"/>
      <x:c r="AC62" s="129"/>
      <x:c r="AD62" s="129"/>
      <x:c r="AE62" s="129"/>
      <x:c r="AF62" s="129"/>
      <x:c r="AG62" s="129"/>
      <x:c r="AH62" s="129"/>
      <x:c r="AI62" s="129"/>
      <x:c r="AJ62" s="129"/>
      <x:c r="AK62" s="129"/>
      <x:c r="AL62" s="129"/>
      <x:c r="AM62" s="129"/>
      <x:c r="AN62" s="129"/>
      <x:c r="AO62" s="129"/>
      <x:c r="AP62" s="129"/>
      <x:c r="AQ62" s="129"/>
      <x:c r="AR62" s="129"/>
      <x:c r="AS62" s="129"/>
      <x:c r="AT62" s="129"/>
      <x:c r="AU62" s="129"/>
      <x:c r="AV62" s="129"/>
      <x:c r="AW62" s="129"/>
      <x:c r="AX62" s="129"/>
      <x:c r="AY62" s="129"/>
      <x:c r="AZ62" s="129"/>
      <x:c r="BA62" s="129"/>
      <x:c r="BB62" s="129"/>
      <x:c r="BC62" s="129"/>
      <x:c r="BD62" s="129"/>
      <x:c r="BE62" s="129"/>
      <x:c r="BF62" s="129"/>
      <x:c r="BG62" s="129"/>
      <x:c r="BH62" s="129"/>
      <x:c r="BI62" s="129"/>
      <x:c r="BJ62" s="129"/>
      <x:c r="BK62" s="129"/>
      <x:c r="BL62" s="129"/>
      <x:c r="BM62" s="129"/>
      <x:c r="BN62" s="129"/>
      <x:c r="BO62" s="129"/>
      <x:c r="BP62" s="129"/>
      <x:c r="BQ62" s="129"/>
      <x:c r="BR62" s="129"/>
      <x:c r="BS62" s="129"/>
      <x:c r="BT62" s="129"/>
      <x:c r="BU62" s="129"/>
      <x:c r="BV62" s="129"/>
      <x:c r="BW62" s="129"/>
      <x:c r="BX62" s="129"/>
      <x:c r="BY62" s="129"/>
      <x:c r="BZ62" s="129"/>
      <x:c r="CA62" s="129"/>
      <x:c r="CB62" s="129"/>
      <x:c r="CC62" s="129"/>
      <x:c r="CD62" s="129"/>
      <x:c r="CE62" s="129"/>
      <x:c r="CF62" s="129"/>
      <x:c r="CG62" s="129"/>
      <x:c r="CH62" s="129"/>
      <x:c r="CI62" s="129"/>
      <x:c r="CJ62" s="129"/>
      <x:c r="CK62" s="129"/>
      <x:c r="CL62" s="129"/>
      <x:c r="CM62" s="129"/>
      <x:c r="CN62" s="129"/>
      <x:c r="CO62" s="129"/>
      <x:c r="CP62" s="129"/>
      <x:c r="CQ62" s="129"/>
      <x:c r="CR62" s="129"/>
      <x:c r="CS62" s="129"/>
      <x:c r="CT62" s="129"/>
      <x:c r="CU62" s="129"/>
      <x:c r="CV62" s="129"/>
      <x:c r="CW62" s="129"/>
      <x:c r="CX62" s="129"/>
      <x:c r="CY62" s="129"/>
      <x:c r="CZ62" s="129"/>
      <x:c r="DA62" s="129"/>
      <x:c r="DB62" s="129"/>
      <x:c r="DC62" s="129"/>
      <x:c r="DD62" s="129"/>
      <x:c r="DE62" s="129"/>
      <x:c r="DF62" s="129"/>
      <x:c r="DG62" s="129"/>
      <x:c r="DH62" s="129"/>
      <x:c r="DI62" s="129"/>
      <x:c r="DJ62" s="129"/>
      <x:c r="DK62" s="129"/>
      <x:c r="DL62" s="129"/>
      <x:c r="DM62" s="129"/>
      <x:c r="DN62" s="129"/>
      <x:c r="DO62" s="129"/>
      <x:c r="DP62" s="129"/>
      <x:c r="DQ62" s="129"/>
      <x:c r="DR62" s="129"/>
      <x:c r="DS62" s="129"/>
      <x:c r="DT62" s="129"/>
      <x:c r="DU62" s="129"/>
      <x:c r="DV62" s="129"/>
      <x:c r="DW62" s="129"/>
      <x:c r="DX62" s="129"/>
      <x:c r="DY62" s="129"/>
      <x:c r="DZ62" s="129"/>
      <x:c r="EA62" s="129"/>
      <x:c r="EB62" s="129"/>
      <x:c r="EC62" s="129"/>
      <x:c r="ED62" s="129"/>
      <x:c r="EE62" s="129"/>
      <x:c r="EF62" s="129"/>
      <x:c r="EG62" s="129"/>
      <x:c r="EH62" s="129"/>
      <x:c r="EI62" s="129"/>
      <x:c r="EJ62" s="129"/>
      <x:c r="EK62" s="129"/>
      <x:c r="EL62" s="129"/>
      <x:c r="EM62" s="129"/>
      <x:c r="EN62" s="129"/>
      <x:c r="EO62" s="120"/>
      <x:c r="EP62" s="120"/>
      <x:c r="EQ62" s="120"/>
      <x:c r="ER62" s="120"/>
      <x:c r="ES62" s="120"/>
      <x:c r="ET62" s="120"/>
      <x:c r="EU62" s="120"/>
      <x:c r="EV62" s="129"/>
      <x:c r="EW62" s="129"/>
      <x:c r="EX62" s="129"/>
      <x:c r="EY62" s="129"/>
      <x:c r="EZ62" s="129"/>
      <x:c r="FA62" s="129"/>
      <x:c r="FB62" s="129"/>
      <x:c r="FC62" s="129"/>
      <x:c r="FD62" s="129"/>
      <x:c r="FE62" s="129"/>
      <x:c r="FF62" s="129"/>
      <x:c r="FG62" s="129"/>
      <x:c r="FH62" s="129"/>
      <x:c r="FI62" s="129"/>
      <x:c r="FJ62" s="129"/>
      <x:c r="FK62" s="129"/>
      <x:c r="FL62" s="129"/>
      <x:c r="FM62" s="129"/>
      <x:c r="FN62" s="129"/>
      <x:c r="FO62" s="129"/>
      <x:c r="FP62" s="129"/>
      <x:c r="FQ62" s="129"/>
      <x:c r="FR62" s="129"/>
      <x:c r="FS62" s="129"/>
      <x:c r="FT62" s="129"/>
      <x:c r="FU62" s="129"/>
      <x:c r="FV62" s="129"/>
      <x:c r="FW62" s="129"/>
      <x:c r="FX62" s="129"/>
      <x:c r="FY62" s="129"/>
      <x:c r="FZ62" s="129"/>
      <x:c r="GA62" s="129"/>
      <x:c r="GB62" s="129"/>
      <x:c r="GC62" s="129"/>
      <x:c r="GD62" s="129"/>
      <x:c r="GE62" s="129"/>
      <x:c r="GF62" s="129"/>
      <x:c r="GG62" s="129"/>
      <x:c r="GH62" s="129"/>
      <x:c r="GI62" s="129"/>
      <x:c r="GJ62" s="129"/>
      <x:c r="GK62" s="129"/>
      <x:c r="GL62" s="129"/>
      <x:c r="GM62" s="129"/>
      <x:c r="GN62" s="129"/>
      <x:c r="GO62" s="129"/>
      <x:c r="GP62" s="129"/>
      <x:c r="GQ62" s="129"/>
      <x:c r="GR62" s="129"/>
      <x:c r="GS62" s="129"/>
      <x:c r="GT62" s="129"/>
      <x:c r="GU62" s="129"/>
      <x:c r="GV62" s="129"/>
      <x:c r="GW62" s="129"/>
      <x:c r="GX62" s="129"/>
      <x:c r="GY62" s="129"/>
      <x:c r="GZ62" s="129"/>
      <x:c r="HA62" s="129"/>
      <x:c r="HB62" s="129"/>
      <x:c r="HC62" s="129"/>
      <x:c r="HD62" s="129"/>
      <x:c r="HE62" s="129"/>
      <x:c r="HF62" s="129"/>
      <x:c r="HG62" s="129"/>
      <x:c r="HH62" s="129"/>
      <x:c r="HI62" s="129"/>
      <x:c r="HJ62" s="129"/>
      <x:c r="HK62" s="129"/>
      <x:c r="HL62" s="129"/>
      <x:c r="HM62" s="129"/>
      <x:c r="HN62" s="129"/>
      <x:c r="HO62" s="129"/>
      <x:c r="HP62" s="129"/>
      <x:c r="HQ62" s="129"/>
      <x:c r="HR62" s="129"/>
      <x:c r="HS62" s="129"/>
      <x:c r="HT62" s="129"/>
      <x:c r="HU62" s="129"/>
      <x:c r="HV62" s="129"/>
      <x:c r="HW62" s="129"/>
      <x:c r="HX62" s="129"/>
      <x:c r="HY62" s="129"/>
      <x:c r="HZ62" s="129"/>
      <x:c r="IA62" s="129"/>
      <x:c r="IB62" s="129"/>
      <x:c r="IC62" s="129"/>
      <x:c r="ID62" s="129"/>
      <x:c r="IE62" s="129"/>
      <x:c r="IF62" s="129"/>
      <x:c r="IG62" s="129"/>
      <x:c r="IH62" s="129"/>
      <x:c r="II62" s="129"/>
      <x:c r="IJ62" s="129"/>
      <x:c r="IK62" s="129"/>
      <x:c r="IL62" s="129"/>
      <x:c r="IM62" s="129"/>
      <x:c r="IN62" s="129"/>
      <x:c r="IO62" s="129"/>
      <x:c r="IP62" s="129"/>
      <x:c r="IQ62" s="129"/>
      <x:c r="IR62" s="129"/>
      <x:c r="IS62" s="129"/>
      <x:c r="IT62" s="129"/>
      <x:c r="IU62" s="129"/>
      <x:c r="IV62" s="129"/>
      <x:c r="IW62" s="129"/>
      <x:c r="IX62" s="129"/>
      <x:c r="IY62" s="129"/>
      <x:c r="IZ62" s="129"/>
      <x:c r="JA62" s="129"/>
      <x:c r="JB62" s="129"/>
      <x:c r="JC62" s="129"/>
      <x:c r="JD62" s="129"/>
      <x:c r="JE62" s="129"/>
      <x:c r="JF62" s="129"/>
      <x:c r="JG62" s="129"/>
      <x:c r="JH62" s="129"/>
      <x:c r="JI62" s="129"/>
      <x:c r="JJ62" s="129"/>
      <x:c r="JK62" s="129"/>
      <x:c r="JL62" s="129"/>
      <x:c r="JM62" s="129"/>
      <x:c r="JN62" s="129"/>
      <x:c r="JO62" s="129"/>
      <x:c r="JP62" s="129"/>
      <x:c r="JQ62" s="129"/>
      <x:c r="JR62" s="129"/>
      <x:c r="JS62" s="129"/>
      <x:c r="JT62" s="129"/>
      <x:c r="JU62" s="129"/>
      <x:c r="JV62" s="129"/>
      <x:c r="JW62" s="129"/>
      <x:c r="JX62" s="129"/>
      <x:c r="JY62" s="129"/>
      <x:c r="JZ62" s="129"/>
      <x:c r="KA62" s="129"/>
    </x:row>
    <x:row r="66">
      <x:c r="B66" s="306" t="s">
        <x:v>547</x:v>
      </x:c>
      <x:c r="C66" s="306"/>
      <x:c r="D66" s="306"/>
      <x:c r="E66" s="306"/>
      <x:c r="F66" s="306"/>
      <x:c r="G66" s="306"/>
      <x:c r="H66" s="306"/>
      <x:c r="I66" s="306"/>
      <x:c r="J66" s="306"/>
      <x:c r="K66" s="306"/>
      <x:c r="L66" s="306"/>
      <x:c r="M66" s="306"/>
      <x:c r="N66" s="306"/>
      <x:c r="O66" s="306"/>
      <x:c r="P66" s="306"/>
      <x:c r="Q66" s="306"/>
      <x:c r="R66" s="306"/>
      <x:c r="S66" s="306"/>
      <x:c r="T66" s="306"/>
      <x:c r="U66" s="306" t="s">
        <x:v>548</x:v>
      </x:c>
      <x:c r="V66" s="306"/>
      <x:c r="W66" s="306"/>
      <x:c r="X66" s="306"/>
      <x:c r="Y66" s="306"/>
      <x:c r="Z66" s="306"/>
      <x:c r="AA66" s="306"/>
      <x:c r="AB66" s="306"/>
      <x:c r="AC66" s="306"/>
      <x:c r="AD66" s="306"/>
      <x:c r="AE66" s="306"/>
      <x:c r="AF66" s="306"/>
      <x:c r="AG66" s="306"/>
      <x:c r="AH66" s="306"/>
      <x:c r="AI66" s="306"/>
      <x:c r="AJ66" s="306"/>
      <x:c r="AK66" s="306"/>
      <x:c r="AL66" s="306"/>
      <x:c r="AM66" s="306"/>
    </x:row>
    <x:row r="67">
      <x:c r="A67" s="121" t="s">
        <x:v>549</x:v>
      </x:c>
      <x:c r="B67" s="122" t="s">
        <x:v>139</x:v>
      </x:c>
      <x:c r="C67" s="122" t="s">
        <x:v>140</x:v>
      </x:c>
      <x:c r="D67" s="122" t="s">
        <x:v>141</x:v>
      </x:c>
      <x:c r="E67" s="122" t="s">
        <x:v>142</x:v>
      </x:c>
      <x:c r="F67" s="122" t="s">
        <x:v>143</x:v>
      </x:c>
      <x:c r="G67" s="122" t="s">
        <x:v>144</x:v>
      </x:c>
      <x:c r="H67" s="122" t="s">
        <x:v>145</x:v>
      </x:c>
      <x:c r="I67" s="122" t="s">
        <x:v>146</x:v>
      </x:c>
      <x:c r="J67" s="122" t="s">
        <x:v>147</x:v>
      </x:c>
      <x:c r="K67" s="122" t="s">
        <x:v>153</x:v>
      </x:c>
      <x:c r="L67" s="122" t="s">
        <x:v>154</x:v>
      </x:c>
      <x:c r="M67" s="122" t="s">
        <x:v>155</x:v>
      </x:c>
      <x:c r="N67" s="122" t="s">
        <x:v>550</x:v>
      </x:c>
      <x:c r="O67" s="122" t="s">
        <x:v>551</x:v>
      </x:c>
      <x:c r="P67" s="122" t="s">
        <x:v>552</x:v>
      </x:c>
      <x:c r="Q67" s="122" t="s">
        <x:v>553</x:v>
      </x:c>
      <x:c r="R67" s="122" t="s">
        <x:v>554</x:v>
      </x:c>
      <x:c r="S67" s="122" t="s">
        <x:v>555</x:v>
      </x:c>
      <x:c r="T67" s="122" t="s">
        <x:v>556</x:v>
      </x:c>
      <x:c r="U67" s="122" t="s">
        <x:v>139</x:v>
      </x:c>
      <x:c r="V67" s="122" t="s">
        <x:v>140</x:v>
      </x:c>
      <x:c r="W67" s="122" t="s">
        <x:v>141</x:v>
      </x:c>
      <x:c r="X67" s="122" t="s">
        <x:v>142</x:v>
      </x:c>
      <x:c r="Y67" s="122" t="s">
        <x:v>143</x:v>
      </x:c>
      <x:c r="Z67" s="122" t="s">
        <x:v>144</x:v>
      </x:c>
      <x:c r="AA67" s="122" t="s">
        <x:v>145</x:v>
      </x:c>
      <x:c r="AB67" s="122" t="s">
        <x:v>146</x:v>
      </x:c>
      <x:c r="AC67" s="122" t="s">
        <x:v>147</x:v>
      </x:c>
      <x:c r="AD67" s="122" t="s">
        <x:v>153</x:v>
      </x:c>
      <x:c r="AE67" s="122" t="s">
        <x:v>154</x:v>
      </x:c>
      <x:c r="AF67" s="122" t="s">
        <x:v>155</x:v>
      </x:c>
      <x:c r="AG67" s="122" t="s">
        <x:v>550</x:v>
      </x:c>
      <x:c r="AH67" s="122" t="s">
        <x:v>551</x:v>
      </x:c>
      <x:c r="AI67" s="122" t="s">
        <x:v>552</x:v>
      </x:c>
      <x:c r="AJ67" s="122" t="s">
        <x:v>553</x:v>
      </x:c>
      <x:c r="AK67" s="122" t="s">
        <x:v>554</x:v>
      </x:c>
      <x:c r="AL67" s="122" t="s">
        <x:v>555</x:v>
      </x:c>
      <x:c r="AM67" s="122" t="s">
        <x:v>556</x:v>
      </x:c>
      <x:c r="EO67" s="122" t="s">
        <x:v>557</x:v>
      </x:c>
      <x:c r="EP67" s="122" t="s">
        <x:v>558</x:v>
      </x:c>
      <x:c r="EQ67" s="122" t="s">
        <x:v>559</x:v>
      </x:c>
      <x:c r="ER67" s="122" t="s">
        <x:v>560</x:v>
      </x:c>
    </x:row>
    <x:row r="68">
      <x:c r="A68" s="123" t="s">
        <x:v>561</x:v>
      </x:c>
      <x:c r="B68" s="124">
        <x:v>50</x:v>
      </x:c>
      <x:c r="C68" s="124">
        <x:v>100</x:v>
      </x:c>
      <x:c r="D68" s="125"/>
      <x:c r="E68" s="125"/>
      <x:c r="F68" s="125"/>
      <x:c r="G68" s="125"/>
      <x:c r="H68" s="125"/>
      <x:c r="I68" s="125"/>
      <x:c r="J68" s="125"/>
      <x:c r="K68" s="125"/>
      <x:c r="L68" s="125"/>
      <x:c r="M68" s="125"/>
      <x:c r="N68" s="125"/>
      <x:c r="O68" s="125"/>
      <x:c r="P68" s="125"/>
      <x:c r="Q68" s="125"/>
      <x:c r="R68" s="125"/>
      <x:c r="S68" s="125"/>
      <x:c r="T68" s="125"/>
      <x:c r="U68" s="125"/>
      <x:c r="V68" s="125"/>
      <x:c r="W68" s="125"/>
      <x:c r="X68" s="125"/>
      <x:c r="Y68" s="125"/>
      <x:c r="Z68" s="125"/>
      <x:c r="AA68" s="125"/>
      <x:c r="AB68" s="125"/>
      <x:c r="AC68" s="125"/>
      <x:c r="AD68" s="125"/>
      <x:c r="AE68" s="125"/>
      <x:c r="AF68" s="125"/>
      <x:c r="AG68" s="125"/>
      <x:c r="AH68" s="125"/>
      <x:c r="AI68" s="125"/>
      <x:c r="AJ68" s="125"/>
      <x:c r="AK68" s="125"/>
      <x:c r="AL68" s="125"/>
      <x:c r="AM68" s="125"/>
      <x:c r="EO68" s="126">
        <x:v>1</x:v>
      </x:c>
      <x:c r="EP68" s="126">
        <x:v>1</x:v>
      </x:c>
      <x:c r="EQ68" s="126">
        <x:v>1</x:v>
      </x:c>
      <x:c r="ER68" s="126">
        <x:v>1</x:v>
      </x:c>
    </x:row>
    <x:row r="69">
      <x:c r="A69" s="123" t="s">
        <x:v>562</x:v>
      </x:c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  <x:c r="N69" s="127"/>
      <x:c r="O69" s="127"/>
      <x:c r="P69" s="127"/>
      <x:c r="Q69" s="127"/>
      <x:c r="R69" s="127"/>
      <x:c r="S69" s="127"/>
      <x:c r="T69" s="127"/>
      <x:c r="U69" s="125"/>
      <x:c r="V69" s="125"/>
      <x:c r="W69" s="125"/>
      <x:c r="X69" s="125"/>
      <x:c r="Y69" s="125"/>
      <x:c r="Z69" s="125"/>
      <x:c r="AA69" s="125"/>
      <x:c r="AB69" s="125"/>
      <x:c r="AC69" s="125"/>
      <x:c r="AD69" s="125"/>
      <x:c r="AE69" s="125"/>
      <x:c r="AF69" s="125"/>
      <x:c r="AG69" s="125"/>
      <x:c r="AH69" s="125"/>
      <x:c r="AI69" s="125"/>
      <x:c r="AJ69" s="125"/>
      <x:c r="AK69" s="125"/>
      <x:c r="AL69" s="125"/>
      <x:c r="AM69" s="125"/>
      <x:c r="EO69" s="122"/>
      <x:c r="EP69" s="122"/>
      <x:c r="EQ69" s="122"/>
      <x:c r="ER69" s="122"/>
    </x:row>
    <x:row r="70">
      <x:c r="A70" s="123" t="s">
        <x:v>563</x:v>
      </x:c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  <x:c r="N70" s="127"/>
      <x:c r="O70" s="127"/>
      <x:c r="P70" s="127"/>
      <x:c r="Q70" s="127"/>
      <x:c r="R70" s="127"/>
      <x:c r="S70" s="127"/>
      <x:c r="T70" s="127"/>
      <x:c r="U70" s="125"/>
      <x:c r="V70" s="125"/>
      <x:c r="W70" s="125"/>
      <x:c r="X70" s="125"/>
      <x:c r="Y70" s="125"/>
      <x:c r="Z70" s="125"/>
      <x:c r="AA70" s="125"/>
      <x:c r="AB70" s="125"/>
      <x:c r="AC70" s="125"/>
      <x:c r="AD70" s="125"/>
      <x:c r="AE70" s="125"/>
      <x:c r="AF70" s="125"/>
      <x:c r="AG70" s="125"/>
      <x:c r="AH70" s="125"/>
      <x:c r="AI70" s="125"/>
      <x:c r="AJ70" s="125"/>
      <x:c r="AK70" s="125"/>
      <x:c r="AL70" s="125"/>
      <x:c r="AM70" s="125"/>
      <x:c r="EO70" s="122"/>
      <x:c r="EP70" s="126">
        <x:v>0.3</x:v>
      </x:c>
      <x:c r="EQ70" s="122"/>
      <x:c r="ER70" s="122"/>
    </x:row>
    <x:row r="71">
      <x:c r="A71" s="123" t="s">
        <x:v>564</x:v>
      </x:c>
      <x:c r="B71" s="127"/>
      <x:c r="C71" s="127"/>
      <x:c r="D71" s="127"/>
      <x:c r="E71" s="127"/>
      <x:c r="F71" s="127"/>
      <x:c r="G71" s="127"/>
      <x:c r="H71" s="127"/>
      <x:c r="I71" s="127"/>
      <x:c r="J71" s="127"/>
      <x:c r="K71" s="127"/>
      <x:c r="L71" s="127"/>
      <x:c r="M71" s="127"/>
      <x:c r="N71" s="127"/>
      <x:c r="O71" s="127"/>
      <x:c r="P71" s="127"/>
      <x:c r="Q71" s="127"/>
      <x:c r="R71" s="127"/>
      <x:c r="S71" s="127"/>
      <x:c r="T71" s="127"/>
      <x:c r="U71" s="125"/>
      <x:c r="V71" s="125"/>
      <x:c r="W71" s="125"/>
      <x:c r="X71" s="125"/>
      <x:c r="Y71" s="125"/>
      <x:c r="Z71" s="125"/>
      <x:c r="AA71" s="125"/>
      <x:c r="AB71" s="125"/>
      <x:c r="AC71" s="125"/>
      <x:c r="AD71" s="125"/>
      <x:c r="AE71" s="125"/>
      <x:c r="AF71" s="125"/>
      <x:c r="AG71" s="125"/>
      <x:c r="AH71" s="125"/>
      <x:c r="AI71" s="125"/>
      <x:c r="AJ71" s="125"/>
      <x:c r="AK71" s="125"/>
      <x:c r="AL71" s="125"/>
      <x:c r="AM71" s="125"/>
      <x:c r="EO71" s="122"/>
      <x:c r="EP71" s="122"/>
      <x:c r="EQ71" s="122"/>
      <x:c r="ER71" s="122"/>
    </x:row>
    <x:row r="72">
      <x:c r="A72" s="123" t="s">
        <x:v>565</x:v>
      </x:c>
      <x:c r="B72" s="127"/>
      <x:c r="C72" s="127"/>
      <x:c r="D72" s="127"/>
      <x:c r="E72" s="127"/>
      <x:c r="F72" s="127"/>
      <x:c r="G72" s="127"/>
      <x:c r="H72" s="127"/>
      <x:c r="I72" s="127"/>
      <x:c r="J72" s="127"/>
      <x:c r="K72" s="127"/>
      <x:c r="L72" s="127"/>
      <x:c r="M72" s="127"/>
      <x:c r="N72" s="127"/>
      <x:c r="O72" s="127"/>
      <x:c r="P72" s="127"/>
      <x:c r="Q72" s="127"/>
      <x:c r="R72" s="127"/>
      <x:c r="S72" s="127"/>
      <x:c r="T72" s="127"/>
      <x:c r="U72" s="125"/>
      <x:c r="V72" s="125"/>
      <x:c r="W72" s="125"/>
      <x:c r="X72" s="125"/>
      <x:c r="Y72" s="125"/>
      <x:c r="Z72" s="125"/>
      <x:c r="AA72" s="125"/>
      <x:c r="AB72" s="125"/>
      <x:c r="AC72" s="125"/>
      <x:c r="AD72" s="125"/>
      <x:c r="AE72" s="125"/>
      <x:c r="AF72" s="125"/>
      <x:c r="AG72" s="125"/>
      <x:c r="AH72" s="125"/>
      <x:c r="AI72" s="125"/>
      <x:c r="AJ72" s="125"/>
      <x:c r="AK72" s="125"/>
      <x:c r="AL72" s="125"/>
      <x:c r="AM72" s="125"/>
      <x:c r="EO72" s="122"/>
      <x:c r="EP72" s="126">
        <x:v>0.7</x:v>
      </x:c>
      <x:c r="EQ72" s="126">
        <x:v>0.5</x:v>
      </x:c>
      <x:c r="ER72" s="126">
        <x:v>0.3</x:v>
      </x:c>
    </x:row>
    <x:row r="73">
      <x:c r="A73" s="123" t="s">
        <x:v>566</x:v>
      </x:c>
      <x:c r="B73" s="127"/>
      <x:c r="C73" s="127"/>
      <x:c r="D73" s="127"/>
      <x:c r="E73" s="127"/>
      <x:c r="F73" s="127"/>
      <x:c r="G73" s="127"/>
      <x:c r="H73" s="127"/>
      <x:c r="I73" s="127"/>
      <x:c r="J73" s="127"/>
      <x:c r="K73" s="127"/>
      <x:c r="L73" s="127"/>
      <x:c r="M73" s="127"/>
      <x:c r="N73" s="127"/>
      <x:c r="O73" s="127"/>
      <x:c r="P73" s="127"/>
      <x:c r="Q73" s="127"/>
      <x:c r="R73" s="127"/>
      <x:c r="S73" s="127"/>
      <x:c r="T73" s="127"/>
      <x:c r="U73" s="125"/>
      <x:c r="V73" s="125"/>
      <x:c r="W73" s="125"/>
      <x:c r="X73" s="125"/>
      <x:c r="Y73" s="125"/>
      <x:c r="Z73" s="125"/>
      <x:c r="AA73" s="125"/>
      <x:c r="AB73" s="125"/>
      <x:c r="AC73" s="125"/>
      <x:c r="AD73" s="125"/>
      <x:c r="AE73" s="125"/>
      <x:c r="AF73" s="125"/>
      <x:c r="AG73" s="125"/>
      <x:c r="AH73" s="125"/>
      <x:c r="AI73" s="125"/>
      <x:c r="AJ73" s="125"/>
      <x:c r="AK73" s="125"/>
      <x:c r="AL73" s="125"/>
      <x:c r="AM73" s="125"/>
      <x:c r="EO73" s="122"/>
      <x:c r="EP73" s="126">
        <x:v>0.5</x:v>
      </x:c>
      <x:c r="EQ73" s="126">
        <x:v>0.5</x:v>
      </x:c>
      <x:c r="ER73" s="126">
        <x:v>0.5</x:v>
      </x:c>
    </x:row>
    <x:row r="74">
      <x:c r="A74" s="123" t="s">
        <x:v>567</x:v>
      </x:c>
      <x:c r="B74" s="127"/>
      <x:c r="C74" s="127"/>
      <x:c r="D74" s="127"/>
      <x:c r="E74" s="127"/>
      <x:c r="F74" s="127"/>
      <x:c r="G74" s="127"/>
      <x:c r="H74" s="127"/>
      <x:c r="I74" s="127"/>
      <x:c r="J74" s="127"/>
      <x:c r="K74" s="127"/>
      <x:c r="L74" s="127"/>
      <x:c r="M74" s="127"/>
      <x:c r="N74" s="127"/>
      <x:c r="O74" s="127"/>
      <x:c r="P74" s="127"/>
      <x:c r="Q74" s="127"/>
      <x:c r="R74" s="127"/>
      <x:c r="S74" s="127"/>
      <x:c r="T74" s="127"/>
      <x:c r="U74" s="125"/>
      <x:c r="V74" s="125"/>
      <x:c r="W74" s="125"/>
      <x:c r="X74" s="125"/>
      <x:c r="Y74" s="125"/>
      <x:c r="Z74" s="125"/>
      <x:c r="AA74" s="125"/>
      <x:c r="AB74" s="125"/>
      <x:c r="AC74" s="125"/>
      <x:c r="AD74" s="125"/>
      <x:c r="AE74" s="125"/>
      <x:c r="AF74" s="125"/>
      <x:c r="AG74" s="125"/>
      <x:c r="AH74" s="125"/>
      <x:c r="AI74" s="125"/>
      <x:c r="AJ74" s="125"/>
      <x:c r="AK74" s="125"/>
      <x:c r="AL74" s="125"/>
      <x:c r="AM74" s="125"/>
      <x:c r="EO74" s="122"/>
      <x:c r="EP74" s="122"/>
      <x:c r="EQ74" s="122"/>
      <x:c r="ER74" s="122"/>
    </x:row>
    <x:row r="75">
      <x:c r="A75" s="123" t="s">
        <x:v>568</x:v>
      </x:c>
      <x:c r="B75" s="127"/>
      <x:c r="C75" s="127"/>
      <x:c r="D75" s="127"/>
      <x:c r="E75" s="127"/>
      <x:c r="F75" s="127"/>
      <x:c r="G75" s="127"/>
      <x:c r="H75" s="127"/>
      <x:c r="I75" s="127"/>
      <x:c r="J75" s="127"/>
      <x:c r="K75" s="127"/>
      <x:c r="L75" s="127"/>
      <x:c r="M75" s="127"/>
      <x:c r="N75" s="127"/>
      <x:c r="O75" s="127"/>
      <x:c r="P75" s="127"/>
      <x:c r="Q75" s="127"/>
      <x:c r="R75" s="127"/>
      <x:c r="S75" s="127"/>
      <x:c r="T75" s="127"/>
      <x:c r="U75" s="125"/>
      <x:c r="V75" s="125"/>
      <x:c r="W75" s="125"/>
      <x:c r="X75" s="125"/>
      <x:c r="Y75" s="125"/>
      <x:c r="Z75" s="125"/>
      <x:c r="AA75" s="125"/>
      <x:c r="AB75" s="125"/>
      <x:c r="AC75" s="125"/>
      <x:c r="AD75" s="125"/>
      <x:c r="AE75" s="125"/>
      <x:c r="AF75" s="125"/>
      <x:c r="AG75" s="125"/>
      <x:c r="AH75" s="125"/>
      <x:c r="AI75" s="125"/>
      <x:c r="AJ75" s="125"/>
      <x:c r="AK75" s="125"/>
      <x:c r="AL75" s="125"/>
      <x:c r="AM75" s="125"/>
      <x:c r="EO75" s="122"/>
      <x:c r="EP75" s="122"/>
      <x:c r="EQ75" s="122"/>
      <x:c r="ER75" s="122"/>
    </x:row>
  </x:sheetData>
  <x:mergeCells>
    <x:mergeCell ref="B66:T66"/>
    <x:mergeCell ref="U66:AM66"/>
  </x:mergeCells>
  <x:conditionalFormatting sqref="B12:KA60">
    <x:cfRule type="cellIs" dxfId="16" priority="1" operator="equal">
      <x:formula>100%</x:formula>
    </x:cfRule>
    <x:cfRule type="cellIs" dxfId="15" priority="2" operator="between">
      <x:formula>50%</x:formula>
      <x:formula>99%</x:formula>
    </x:cfRule>
    <x:cfRule type="cellIs" dxfId="14" priority="3" operator="between">
      <x:formula>1%</x:formula>
      <x:formula>49%</x:formula>
    </x:cfRule>
  </x:conditionalFormatting>
  <x:pageMargins left="0.7" right="0.7" top="0.75" bottom="0.75" header="0.3" footer="0.3"/>
  <x:drawing xmlns:r="http://schemas.openxmlformats.org/officeDocument/2006/relationships" r:id="Rb1f64429528b497a"/>
</x:worksheet>
</file>

<file path=xl/worksheets/sheet12.xml><?xml version="1.0" encoding="utf-8"?>
<x:worksheet xmlns:x="http://schemas.openxmlformats.org/spreadsheetml/2006/main">
  <x:sheetPr>
    <x:tabColor rgb="FFFF9900"/>
  </x:sheetPr>
  <x:sheetFormatPr baseColWidth="10" defaultColWidth="9.140625" defaultRowHeight="28.5"/>
  <x:cols>
    <x:col min="1" max="1" width="17.5703125" style="6" customWidth="1"/>
    <x:col min="2" max="2" width="105.140625" style="37" customWidth="1"/>
    <x:col min="3" max="5" width="11.28515625" style="1" customWidth="1"/>
    <x:col min="6" max="6" width="11.5703125" style="1" customWidth="1"/>
    <x:col min="7" max="8" width="11.28515625" style="1" customWidth="1"/>
    <x:col min="9" max="9" width="12.28515625" style="1" customWidth="1"/>
    <x:col min="10" max="20" width="12.28515625" style="1" customWidth="1"/>
    <x:col min="21" max="21" width="14.42578125" style="1" customWidth="1"/>
    <x:col min="22" max="22" width="8.42578125" style="1" customWidth="1"/>
    <x:col min="23" max="23" width="15.5703125" style="1" customWidth="1"/>
    <x:col min="24" max="24" width="20" style="1" customWidth="1"/>
    <x:col min="25" max="25" width="17" style="1" customWidth="1"/>
    <x:col min="26" max="26" width="22.85546875" style="1" customWidth="1"/>
  </x:cols>
  <x:sheetData>
    <x:row r="1" ht="90.75" customHeight="1">
      <x:c r="A1" s="307" t="s">
        <x:v>569</x:v>
      </x:c>
      <x:c r="B1" s="307"/>
      <x:c r="C1" s="307"/>
      <x:c r="D1" s="307"/>
      <x:c r="E1" s="307"/>
      <x:c r="F1" s="307"/>
      <x:c r="G1" s="307"/>
      <x:c r="H1" s="307"/>
      <x:c r="I1" s="307"/>
      <x:c r="J1" s="307"/>
      <x:c r="K1" s="307"/>
      <x:c r="L1" s="307"/>
      <x:c r="M1" s="307"/>
      <x:c r="N1" s="307"/>
      <x:c r="O1" s="307"/>
      <x:c r="P1" s="307"/>
      <x:c r="Q1" s="307"/>
      <x:c r="R1" s="307"/>
      <x:c r="S1" s="307"/>
      <x:c r="T1" s="307"/>
      <x:c r="U1" s="307"/>
      <x:c r="V1" s="307"/>
      <x:c r="W1" s="307"/>
      <x:c r="X1" s="307"/>
      <x:c r="Y1" s="307"/>
      <x:c r="Z1" s="307"/>
    </x:row>
    <x:row r="2" ht="31.5">
      <x:c r="B2" s="7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5"/>
      <x:c r="Y2" s="4"/>
      <x:c r="Z2" s="5"/>
    </x:row>
    <x:row r="3" s="1" customFormat="1" ht="29.25">
      <x:c r="A3" s="6"/>
      <x:c r="B3" s="7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B4" s="284" t="s">
        <x:v>6</x:v>
      </x:c>
      <x:c r="C4" s="9" t="s">
        <x:v>7</x:v>
      </x:c>
      <x:c r="D4" s="9" t="s">
        <x:v>7</x:v>
      </x:c>
      <x:c r="E4" s="9" t="s">
        <x:v>7</x:v>
      </x:c>
      <x:c r="F4" s="9" t="s">
        <x:v>7</x:v>
      </x:c>
      <x:c r="G4" s="9" t="s">
        <x:v>7</x:v>
      </x:c>
      <x:c r="H4" s="9" t="s">
        <x:v>7</x:v>
      </x:c>
      <x:c r="I4" s="9" t="s">
        <x:v>7</x:v>
      </x:c>
      <x:c r="J4" s="9" t="s">
        <x:v>7</x:v>
      </x:c>
      <x:c r="K4" s="9" t="s">
        <x:v>7</x:v>
      </x:c>
      <x:c r="L4" s="9" t="s">
        <x:v>7</x:v>
      </x:c>
      <x:c r="M4" s="9" t="s">
        <x:v>7</x:v>
      </x:c>
      <x:c r="N4" s="9" t="s">
        <x:v>7</x:v>
      </x:c>
      <x:c r="O4" s="9" t="s">
        <x:v>7</x:v>
      </x:c>
      <x:c r="P4" s="9" t="s">
        <x:v>7</x:v>
      </x:c>
      <x:c r="Q4" s="9" t="s">
        <x:v>7</x:v>
      </x:c>
      <x:c r="R4" s="9" t="s">
        <x:v>7</x:v>
      </x:c>
      <x:c r="S4" s="9" t="s">
        <x:v>7</x:v>
      </x:c>
      <x:c r="T4" s="9" t="s">
        <x:v>7</x:v>
      </x:c>
      <x:c r="U4" s="9" t="s">
        <x:v>7</x:v>
      </x:c>
      <x:c r="V4" s="302">
        <x:v>1900</x:v>
      </x:c>
      <x:c r="W4" s="281" t="s">
        <x:v>8</x:v>
      </x:c>
      <x:c r="X4" s="304" t="s">
        <x:v>9</x:v>
      </x:c>
      <x:c r="Y4" s="281" t="s">
        <x:v>10</x:v>
      </x:c>
      <x:c r="Z4" s="295" t="s">
        <x:v>11</x:v>
      </x:c>
    </x:row>
    <x:row r="5" ht="29.25">
      <x:c r="B5" s="285"/>
      <x:c r="C5" s="10">
        <x:v>1</x:v>
      </x:c>
      <x:c r="D5" s="11">
        <x:v>2</x:v>
      </x:c>
      <x:c r="E5" s="11">
        <x:v>3</x:v>
      </x:c>
      <x:c r="F5" s="11">
        <x:v>4</x:v>
      </x:c>
      <x:c r="G5" s="11">
        <x:v>5</x:v>
      </x:c>
      <x:c r="H5" s="11">
        <x:v>6</x:v>
      </x:c>
      <x:c r="I5" s="11">
        <x:v>7</x:v>
      </x:c>
      <x:c r="J5" s="11">
        <x:v>8</x:v>
      </x:c>
      <x:c r="K5" s="11">
        <x:v>9</x:v>
      </x:c>
      <x:c r="L5" s="11">
        <x:v>10</x:v>
      </x:c>
      <x:c r="M5" s="11">
        <x:v>11</x:v>
      </x:c>
      <x:c r="N5" s="11">
        <x:v>12</x:v>
      </x:c>
      <x:c r="O5" s="11">
        <x:v>13</x:v>
      </x:c>
      <x:c r="P5" s="11">
        <x:v>14</x:v>
      </x:c>
      <x:c r="Q5" s="11">
        <x:v>15</x:v>
      </x:c>
      <x:c r="R5" s="11">
        <x:v>16</x:v>
      </x:c>
      <x:c r="S5" s="11">
        <x:v>17</x:v>
      </x:c>
      <x:c r="T5" s="11">
        <x:v>18</x:v>
      </x:c>
      <x:c r="U5" s="11">
        <x:v>19</x:v>
      </x:c>
      <x:c r="V5" s="303"/>
      <x:c r="W5" s="282"/>
      <x:c r="X5" s="305"/>
      <x:c r="Y5" s="282"/>
      <x:c r="Z5" s="296"/>
    </x:row>
    <x:row r="6" ht="29.25">
      <x:c r="B6" s="12" t="n">
        <x:f>0%/100</x:f>
        <x:v>0</x:v>
      </x:c>
      <x:c r="C6" s="79" t="n">
        <x:f>526.31%/100</x:f>
        <x:v>0.052631</x:v>
      </x:c>
      <x:c r="D6" s="79" t="n">
        <x:f>(526.31%/100)*2</x:f>
        <x:v>0.105262</x:v>
      </x:c>
      <x:c r="E6" s="79" t="n">
        <x:f>(526.31%/100)*3</x:f>
        <x:v>0.157893</x:v>
      </x:c>
      <x:c r="F6" s="79" t="n">
        <x:f>(526.31%/100)*4</x:f>
        <x:v>0.210524</x:v>
      </x:c>
      <x:c r="G6" s="79" t="n">
        <x:f>(526.31%/100)*5</x:f>
        <x:v>0.263155</x:v>
      </x:c>
      <x:c r="H6" s="79" t="n">
        <x:f>(526.31%/100)*6</x:f>
        <x:v>0.315786</x:v>
      </x:c>
      <x:c r="I6" s="79" t="n">
        <x:f>(526.31%/100)*7</x:f>
        <x:v>0.368417</x:v>
      </x:c>
      <x:c r="J6" s="79" t="n">
        <x:f>(526.31%/100)*8</x:f>
        <x:v>0.421048</x:v>
      </x:c>
      <x:c r="K6" s="79" t="n">
        <x:f>(526.31%/100)*9</x:f>
        <x:v>0.47367899999999996</x:v>
      </x:c>
      <x:c r="L6" s="79" t="n">
        <x:f>(526.31%/100)*10</x:f>
        <x:v>0.52631</x:v>
      </x:c>
      <x:c r="M6" s="79" t="n">
        <x:f>(526.31%/100)*11</x:f>
        <x:v>0.5789409999999999</x:v>
      </x:c>
      <x:c r="N6" s="79" t="n">
        <x:f>(526.31%/100)*12</x:f>
        <x:v>0.631572</x:v>
      </x:c>
      <x:c r="O6" s="79" t="n">
        <x:f>(526.31%/100)*13</x:f>
        <x:v>0.684203</x:v>
      </x:c>
      <x:c r="P6" s="79" t="n">
        <x:f>(526.31%/100)*14</x:f>
        <x:v>0.736834</x:v>
      </x:c>
      <x:c r="Q6" s="79" t="n">
        <x:f>(526.31%/100)*15</x:f>
        <x:v>0.789465</x:v>
      </x:c>
      <x:c r="R6" s="79" t="n">
        <x:f>(526.31%/100)*16</x:f>
        <x:v>0.842096</x:v>
      </x:c>
      <x:c r="S6" s="79" t="n">
        <x:f>(526.31%/100)*17</x:f>
        <x:v>0.8947269999999999</x:v>
      </x:c>
      <x:c r="T6" s="79" t="n">
        <x:f>(526.31%/100)*18</x:f>
        <x:v>0.9473579999999999</x:v>
      </x:c>
      <x:c r="U6" s="79" t="n">
        <x:f>(526.32%/100)*19</x:f>
        <x:v>1.000008</x:v>
      </x:c>
      <x:c r="V6" s="13"/>
      <x:c r="W6" s="14"/>
      <x:c r="X6" s="14"/>
      <x:c r="Y6" s="14"/>
      <x:c r="Z6" s="15"/>
    </x:row>
    <x:row r="7" ht="29.25">
      <x:c r="A7" s="53">
        <x:v>1</x:v>
      </x:c>
      <x:c r="B7" s="136" t="s">
        <x:v>159</x:v>
      </x:c>
      <x:c r="C7" s="81"/>
      <x:c r="D7" s="81" t="e">
        <x:f>#REF!</x:f>
        <x:v>#REF!</x:v>
      </x:c>
      <x:c r="E7" s="81" t="e">
        <x:f>#REF!</x:f>
        <x:v>#REF!</x:v>
      </x:c>
      <x:c r="F7" s="81" t="e">
        <x:f>#REF!</x:f>
        <x:v>#REF!</x:v>
      </x:c>
      <x:c r="G7" s="81" t="e">
        <x:f>#REF!</x:f>
        <x:v>#REF!</x:v>
      </x:c>
      <x:c r="H7" s="81" t="e">
        <x:f>#REF!</x:f>
        <x:v>#REF!</x:v>
      </x:c>
      <x:c r="I7" s="81" t="e">
        <x:f>#REF!</x:f>
        <x:v>#REF!</x:v>
      </x:c>
      <x:c r="J7" s="81" t="e">
        <x:f>#REF!</x:f>
        <x:v>#REF!</x:v>
      </x:c>
      <x:c r="K7" s="81" t="e">
        <x:f>#REF!</x:f>
        <x:v>#REF!</x:v>
      </x:c>
      <x:c r="L7" s="81" t="e">
        <x:f>#REF!</x:f>
        <x:v>#REF!</x:v>
      </x:c>
      <x:c r="M7" s="81" t="e">
        <x:f>#REF!</x:f>
        <x:v>#REF!</x:v>
      </x:c>
      <x:c r="N7" s="81" t="e">
        <x:f>#REF!</x:f>
        <x:v>#REF!</x:v>
      </x:c>
      <x:c r="O7" s="81" t="e">
        <x:f>#REF!</x:f>
        <x:v>#REF!</x:v>
      </x:c>
      <x:c r="P7" s="81" t="e">
        <x:f>#REF!</x:f>
        <x:v>#REF!</x:v>
      </x:c>
      <x:c r="Q7" s="81" t="e">
        <x:f>#REF!</x:f>
        <x:v>#REF!</x:v>
      </x:c>
      <x:c r="R7" s="81" t="e">
        <x:f>#REF!</x:f>
        <x:v>#REF!</x:v>
      </x:c>
      <x:c r="S7" s="81" t="e">
        <x:f>#REF!</x:f>
        <x:v>#REF!</x:v>
      </x:c>
      <x:c r="T7" s="81" t="e">
        <x:f>#REF!</x:f>
        <x:v>#REF!</x:v>
      </x:c>
      <x:c r="U7" s="81" t="e">
        <x:f>#REF!</x:f>
        <x:v>#REF!</x:v>
      </x:c>
      <x:c r="V7" s="80" t="e">
        <x:f>D7+E7+F7+G7+H7+I7+L7+M7+N7+O7+P7+Q7+R7+S7+T7+U7+J7+K7+C7</x:f>
        <x:v>#REF!</x:v>
      </x:c>
      <x:c r="W7" s="18" t="e">
        <x:f>IF($V$4&gt;0,V7/$V$4,0)</x:f>
        <x:v>#REF!</x:v>
      </x:c>
      <x:c r="X7" s="19" t="n">
        <x:f>$U$6</x:f>
        <x:v>1.000008</x:v>
      </x:c>
      <x:c r="Y7" s="20"/>
      <x:c r="Z7" s="21"/>
    </x:row>
    <x:row r="8" ht="29.25">
      <x:c r="A8" s="53">
        <x:v>2</x:v>
      </x:c>
      <x:c r="B8" s="108" t="s">
        <x:v>570</x:v>
      </x:c>
      <x:c r="C8" s="81"/>
      <x:c r="D8" s="81" t="e">
        <x:f>#REF!</x:f>
        <x:v>#REF!</x:v>
      </x:c>
      <x:c r="E8" s="81" t="e">
        <x:f>#REF!</x:f>
        <x:v>#REF!</x:v>
      </x:c>
      <x:c r="F8" s="81" t="e">
        <x:f>#REF!</x:f>
        <x:v>#REF!</x:v>
      </x:c>
      <x:c r="G8" s="81" t="e">
        <x:f>#REF!</x:f>
        <x:v>#REF!</x:v>
      </x:c>
      <x:c r="H8" s="81" t="e">
        <x:f>#REF!</x:f>
        <x:v>#REF!</x:v>
      </x:c>
      <x:c r="I8" s="81" t="e">
        <x:f>#REF!</x:f>
        <x:v>#REF!</x:v>
      </x:c>
      <x:c r="J8" s="81" t="e">
        <x:f>#REF!</x:f>
        <x:v>#REF!</x:v>
      </x:c>
      <x:c r="K8" s="81" t="e">
        <x:f>#REF!</x:f>
        <x:v>#REF!</x:v>
      </x:c>
      <x:c r="L8" s="81" t="e">
        <x:f>#REF!</x:f>
        <x:v>#REF!</x:v>
      </x:c>
      <x:c r="M8" s="81" t="e">
        <x:f>#REF!</x:f>
        <x:v>#REF!</x:v>
      </x:c>
      <x:c r="N8" s="81" t="e">
        <x:f>#REF!</x:f>
        <x:v>#REF!</x:v>
      </x:c>
      <x:c r="O8" s="81" t="e">
        <x:f>#REF!</x:f>
        <x:v>#REF!</x:v>
      </x:c>
      <x:c r="P8" s="81" t="e">
        <x:f>#REF!</x:f>
        <x:v>#REF!</x:v>
      </x:c>
      <x:c r="Q8" s="81" t="e">
        <x:f>#REF!</x:f>
        <x:v>#REF!</x:v>
      </x:c>
      <x:c r="R8" s="81" t="e">
        <x:f>#REF!</x:f>
        <x:v>#REF!</x:v>
      </x:c>
      <x:c r="S8" s="81" t="e">
        <x:f>#REF!</x:f>
        <x:v>#REF!</x:v>
      </x:c>
      <x:c r="T8" s="81" t="e">
        <x:f>#REF!</x:f>
        <x:v>#REF!</x:v>
      </x:c>
      <x:c r="U8" s="81" t="e">
        <x:f>#REF!</x:f>
        <x:v>#REF!</x:v>
      </x:c>
      <x:c r="V8" s="80"/>
      <x:c r="W8" s="18"/>
      <x:c r="X8" s="19"/>
      <x:c r="Y8" s="30"/>
      <x:c r="Z8" s="23"/>
    </x:row>
    <x:row r="9" s="1" customFormat="1" ht="29.25">
      <x:c r="A9" s="53">
        <x:v>3</x:v>
      </x:c>
      <x:c r="B9" s="108" t="s">
        <x:v>199</x:v>
      </x:c>
      <x:c r="C9" s="81"/>
      <x:c r="D9" s="81" t="e">
        <x:f>#REF!</x:f>
        <x:v>#REF!</x:v>
      </x:c>
      <x:c r="E9" s="81" t="e">
        <x:f>#REF!</x:f>
        <x:v>#REF!</x:v>
      </x:c>
      <x:c r="F9" s="81" t="e">
        <x:f>#REF!</x:f>
        <x:v>#REF!</x:v>
      </x:c>
      <x:c r="G9" s="81" t="e">
        <x:f>#REF!</x:f>
        <x:v>#REF!</x:v>
      </x:c>
      <x:c r="H9" s="81" t="e">
        <x:f>#REF!</x:f>
        <x:v>#REF!</x:v>
      </x:c>
      <x:c r="I9" s="81" t="e">
        <x:f>#REF!</x:f>
        <x:v>#REF!</x:v>
      </x:c>
      <x:c r="J9" s="81" t="e">
        <x:f>#REF!</x:f>
        <x:v>#REF!</x:v>
      </x:c>
      <x:c r="K9" s="81" t="e">
        <x:f>#REF!</x:f>
        <x:v>#REF!</x:v>
      </x:c>
      <x:c r="L9" s="81" t="e">
        <x:f>#REF!</x:f>
        <x:v>#REF!</x:v>
      </x:c>
      <x:c r="M9" s="81" t="e">
        <x:f>#REF!</x:f>
        <x:v>#REF!</x:v>
      </x:c>
      <x:c r="N9" s="81" t="e">
        <x:f>#REF!</x:f>
        <x:v>#REF!</x:v>
      </x:c>
      <x:c r="O9" s="81" t="e">
        <x:f>#REF!</x:f>
        <x:v>#REF!</x:v>
      </x:c>
      <x:c r="P9" s="81" t="e">
        <x:f>#REF!</x:f>
        <x:v>#REF!</x:v>
      </x:c>
      <x:c r="Q9" s="81" t="e">
        <x:f>#REF!</x:f>
        <x:v>#REF!</x:v>
      </x:c>
      <x:c r="R9" s="81" t="e">
        <x:f>#REF!</x:f>
        <x:v>#REF!</x:v>
      </x:c>
      <x:c r="S9" s="81" t="e">
        <x:f>#REF!</x:f>
        <x:v>#REF!</x:v>
      </x:c>
      <x:c r="T9" s="81" t="e">
        <x:f>#REF!</x:f>
        <x:v>#REF!</x:v>
      </x:c>
      <x:c r="U9" s="81" t="e">
        <x:f>#REF!</x:f>
        <x:v>#REF!</x:v>
      </x:c>
      <x:c r="V9" s="80" t="e">
        <x:f t="shared" ref="V9:V14" si="0">D9+E9+F9+G9+H9+I9+L9+M9+N9+O9+P9+Q9+R9+S9+T9+U9+J9+K9+C9</x:f>
        <x:v>#REF!</x:v>
      </x:c>
      <x:c r="W9" s="18" t="e">
        <x:f t="shared" ref="W9:W17" si="1">IF($V$4&gt;0,V9/$V$4,0)</x:f>
        <x:v>#REF!</x:v>
      </x:c>
      <x:c r="X9" s="19" t="n">
        <x:f t="shared" ref="X9:X20" si="2">$U$6</x:f>
        <x:v>1.000008</x:v>
      </x:c>
      <x:c r="Y9" s="30"/>
      <x:c r="Z9" s="23"/>
    </x:row>
    <x:row r="10" s="1" customFormat="1" ht="29.25">
      <x:c r="A10" s="53">
        <x:v>4</x:v>
      </x:c>
      <x:c r="B10" s="136" t="s">
        <x:v>160</x:v>
      </x:c>
      <x:c r="C10" s="81"/>
      <x:c r="D10" s="81" t="e">
        <x:f>#REF!</x:f>
        <x:v>#REF!</x:v>
      </x:c>
      <x:c r="E10" s="81" t="e">
        <x:f>#REF!</x:f>
        <x:v>#REF!</x:v>
      </x:c>
      <x:c r="F10" s="81" t="e">
        <x:f>#REF!</x:f>
        <x:v>#REF!</x:v>
      </x:c>
      <x:c r="G10" s="81" t="e">
        <x:f>#REF!</x:f>
        <x:v>#REF!</x:v>
      </x:c>
      <x:c r="H10" s="81" t="e">
        <x:f>#REF!</x:f>
        <x:v>#REF!</x:v>
      </x:c>
      <x:c r="I10" s="81" t="e">
        <x:f>#REF!</x:f>
        <x:v>#REF!</x:v>
      </x:c>
      <x:c r="J10" s="81" t="e">
        <x:f>#REF!</x:f>
        <x:v>#REF!</x:v>
      </x:c>
      <x:c r="K10" s="81" t="e">
        <x:f>#REF!</x:f>
        <x:v>#REF!</x:v>
      </x:c>
      <x:c r="L10" s="81" t="e">
        <x:f>#REF!</x:f>
        <x:v>#REF!</x:v>
      </x:c>
      <x:c r="M10" s="81" t="e">
        <x:f>#REF!</x:f>
        <x:v>#REF!</x:v>
      </x:c>
      <x:c r="N10" s="81" t="e">
        <x:f>#REF!</x:f>
        <x:v>#REF!</x:v>
      </x:c>
      <x:c r="O10" s="81" t="e">
        <x:f>#REF!</x:f>
        <x:v>#REF!</x:v>
      </x:c>
      <x:c r="P10" s="81" t="e">
        <x:f>#REF!</x:f>
        <x:v>#REF!</x:v>
      </x:c>
      <x:c r="Q10" s="81" t="e">
        <x:f>#REF!</x:f>
        <x:v>#REF!</x:v>
      </x:c>
      <x:c r="R10" s="81" t="e">
        <x:f>#REF!</x:f>
        <x:v>#REF!</x:v>
      </x:c>
      <x:c r="S10" s="81" t="e">
        <x:f>#REF!</x:f>
        <x:v>#REF!</x:v>
      </x:c>
      <x:c r="T10" s="81" t="e">
        <x:f>#REF!</x:f>
        <x:v>#REF!</x:v>
      </x:c>
      <x:c r="U10" s="81" t="e">
        <x:f>#REF!</x:f>
        <x:v>#REF!</x:v>
      </x:c>
      <x:c r="V10" s="80" t="e">
        <x:f t="shared" si="0"/>
        <x:v>#REF!</x:v>
      </x:c>
      <x:c r="W10" s="18" t="e">
        <x:f t="shared" si="1"/>
        <x:v>#REF!</x:v>
      </x:c>
      <x:c r="X10" s="19">
        <x:f t="shared" si="2"/>
        <x:v>1.000008</x:v>
      </x:c>
      <x:c r="Y10" s="20"/>
      <x:c r="Z10" s="21"/>
    </x:row>
    <x:row r="11" ht="29.25">
      <x:c r="A11" s="53">
        <x:v>5</x:v>
      </x:c>
      <x:c r="B11" s="109" t="s">
        <x:v>571</x:v>
      </x:c>
      <x:c r="C11" s="81"/>
      <x:c r="D11" s="81" t="e">
        <x:f>AVERAGE(#REF!,#REF!)</x:f>
        <x:v>#REF!</x:v>
      </x:c>
      <x:c r="E11" s="81" t="e">
        <x:f>AVERAGE(#REF!,#REF!)</x:f>
        <x:v>#REF!</x:v>
      </x:c>
      <x:c r="F11" s="81" t="e">
        <x:f>AVERAGE(#REF!,#REF!)</x:f>
        <x:v>#REF!</x:v>
      </x:c>
      <x:c r="G11" s="81" t="e">
        <x:f>AVERAGE(#REF!,#REF!)</x:f>
        <x:v>#REF!</x:v>
      </x:c>
      <x:c r="H11" s="81" t="e">
        <x:f>AVERAGE(#REF!,#REF!)</x:f>
        <x:v>#REF!</x:v>
      </x:c>
      <x:c r="I11" s="81" t="e">
        <x:f>AVERAGE(#REF!,#REF!)</x:f>
        <x:v>#REF!</x:v>
      </x:c>
      <x:c r="J11" s="81" t="e">
        <x:f>AVERAGE(#REF!,#REF!)</x:f>
        <x:v>#REF!</x:v>
      </x:c>
      <x:c r="K11" s="81" t="e">
        <x:f>AVERAGE(#REF!,#REF!)</x:f>
        <x:v>#REF!</x:v>
      </x:c>
      <x:c r="L11" s="81" t="e">
        <x:f>AVERAGE(#REF!,#REF!)</x:f>
        <x:v>#REF!</x:v>
      </x:c>
      <x:c r="M11" s="81" t="e">
        <x:f>AVERAGE(#REF!,#REF!)</x:f>
        <x:v>#REF!</x:v>
      </x:c>
      <x:c r="N11" s="81" t="e">
        <x:f>AVERAGE(#REF!,#REF!)</x:f>
        <x:v>#REF!</x:v>
      </x:c>
      <x:c r="O11" s="81" t="e">
        <x:f>AVERAGE(#REF!,#REF!)</x:f>
        <x:v>#REF!</x:v>
      </x:c>
      <x:c r="P11" s="81" t="e">
        <x:f>AVERAGE(#REF!,#REF!)</x:f>
        <x:v>#REF!</x:v>
      </x:c>
      <x:c r="Q11" s="81" t="e">
        <x:f>AVERAGE(#REF!,#REF!)</x:f>
        <x:v>#REF!</x:v>
      </x:c>
      <x:c r="R11" s="81" t="e">
        <x:f>AVERAGE(#REF!,#REF!)</x:f>
        <x:v>#REF!</x:v>
      </x:c>
      <x:c r="S11" s="81" t="e">
        <x:f>AVERAGE(#REF!,#REF!)</x:f>
        <x:v>#REF!</x:v>
      </x:c>
      <x:c r="T11" s="81" t="e">
        <x:f>AVERAGE(#REF!,#REF!)</x:f>
        <x:v>#REF!</x:v>
      </x:c>
      <x:c r="U11" s="81" t="e">
        <x:f>AVERAGE(#REF!,#REF!)</x:f>
        <x:v>#REF!</x:v>
      </x:c>
      <x:c r="V11" s="80"/>
      <x:c r="W11" s="18"/>
      <x:c r="X11" s="19"/>
      <x:c r="Y11" s="30"/>
      <x:c r="Z11" s="23"/>
    </x:row>
    <x:row r="12" ht="28.5" customHeight="1">
      <x:c r="A12" s="82">
        <x:v>6</x:v>
      </x:c>
      <x:c r="B12" s="109" t="s">
        <x:v>181</x:v>
      </x:c>
      <x:c r="C12" s="81"/>
      <x:c r="D12" s="81" t="e">
        <x:f>AVERAGE(#REF!)</x:f>
        <x:v>#REF!</x:v>
      </x:c>
      <x:c r="E12" s="81" t="e">
        <x:f>AVERAGE(#REF!)</x:f>
        <x:v>#REF!</x:v>
      </x:c>
      <x:c r="F12" s="81" t="e">
        <x:f>AVERAGE(#REF!)</x:f>
        <x:v>#REF!</x:v>
      </x:c>
      <x:c r="G12" s="81" t="e">
        <x:f>AVERAGE(#REF!)</x:f>
        <x:v>#REF!</x:v>
      </x:c>
      <x:c r="H12" s="81" t="e">
        <x:f>AVERAGE(#REF!)</x:f>
        <x:v>#REF!</x:v>
      </x:c>
      <x:c r="I12" s="81" t="e">
        <x:f>AVERAGE(#REF!)</x:f>
        <x:v>#REF!</x:v>
      </x:c>
      <x:c r="J12" s="81" t="e">
        <x:f>AVERAGE(#REF!)</x:f>
        <x:v>#REF!</x:v>
      </x:c>
      <x:c r="K12" s="81" t="e">
        <x:f>AVERAGE(#REF!)</x:f>
        <x:v>#REF!</x:v>
      </x:c>
      <x:c r="L12" s="81" t="e">
        <x:f>AVERAGE(#REF!)</x:f>
        <x:v>#REF!</x:v>
      </x:c>
      <x:c r="M12" s="81" t="e">
        <x:f>AVERAGE(#REF!)</x:f>
        <x:v>#REF!</x:v>
      </x:c>
      <x:c r="N12" s="81" t="e">
        <x:f>AVERAGE(#REF!)</x:f>
        <x:v>#REF!</x:v>
      </x:c>
      <x:c r="O12" s="81" t="e">
        <x:f>AVERAGE(#REF!)</x:f>
        <x:v>#REF!</x:v>
      </x:c>
      <x:c r="P12" s="81" t="e">
        <x:f>AVERAGE(#REF!)</x:f>
        <x:v>#REF!</x:v>
      </x:c>
      <x:c r="Q12" s="81" t="e">
        <x:f>AVERAGE(#REF!)</x:f>
        <x:v>#REF!</x:v>
      </x:c>
      <x:c r="R12" s="81" t="e">
        <x:f>AVERAGE(#REF!)</x:f>
        <x:v>#REF!</x:v>
      </x:c>
      <x:c r="S12" s="81" t="e">
        <x:f>AVERAGE(#REF!)</x:f>
        <x:v>#REF!</x:v>
      </x:c>
      <x:c r="T12" s="81" t="e">
        <x:f>AVERAGE(#REF!)</x:f>
        <x:v>#REF!</x:v>
      </x:c>
      <x:c r="U12" s="81" t="e">
        <x:f>AVERAGE(#REF!)</x:f>
        <x:v>#REF!</x:v>
      </x:c>
      <x:c r="V12" s="80" t="e">
        <x:f t="shared" si="0"/>
        <x:v>#REF!</x:v>
      </x:c>
      <x:c r="W12" s="18" t="e">
        <x:f t="shared" si="1"/>
        <x:v>#REF!</x:v>
      </x:c>
      <x:c r="X12" s="19">
        <x:f t="shared" si="2"/>
        <x:v>1.000008</x:v>
      </x:c>
      <x:c r="Y12" s="83"/>
      <x:c r="Z12" s="84"/>
    </x:row>
    <x:row r="13" ht="29.25">
      <x:c r="A13" s="53">
        <x:v>7</x:v>
      </x:c>
      <x:c r="B13" s="137" t="s">
        <x:v>173</x:v>
      </x:c>
      <x:c r="C13" s="81"/>
      <x:c r="D13" s="81" t="e">
        <x:f>#REF!</x:f>
        <x:v>#REF!</x:v>
      </x:c>
      <x:c r="E13" s="81" t="e">
        <x:f>#REF!</x:f>
        <x:v>#REF!</x:v>
      </x:c>
      <x:c r="F13" s="81" t="e">
        <x:f>#REF!</x:f>
        <x:v>#REF!</x:v>
      </x:c>
      <x:c r="G13" s="81" t="e">
        <x:f>#REF!</x:f>
        <x:v>#REF!</x:v>
      </x:c>
      <x:c r="H13" s="81" t="e">
        <x:f>#REF!</x:f>
        <x:v>#REF!</x:v>
      </x:c>
      <x:c r="I13" s="81" t="e">
        <x:f>#REF!</x:f>
        <x:v>#REF!</x:v>
      </x:c>
      <x:c r="J13" s="81" t="e">
        <x:f>#REF!</x:f>
        <x:v>#REF!</x:v>
      </x:c>
      <x:c r="K13" s="81" t="e">
        <x:f>#REF!</x:f>
        <x:v>#REF!</x:v>
      </x:c>
      <x:c r="L13" s="81" t="e">
        <x:f>#REF!</x:f>
        <x:v>#REF!</x:v>
      </x:c>
      <x:c r="M13" s="81" t="e">
        <x:f>#REF!</x:f>
        <x:v>#REF!</x:v>
      </x:c>
      <x:c r="N13" s="81" t="e">
        <x:f>#REF!</x:f>
        <x:v>#REF!</x:v>
      </x:c>
      <x:c r="O13" s="81" t="e">
        <x:f>#REF!</x:f>
        <x:v>#REF!</x:v>
      </x:c>
      <x:c r="P13" s="81" t="e">
        <x:f>#REF!</x:f>
        <x:v>#REF!</x:v>
      </x:c>
      <x:c r="Q13" s="81" t="e">
        <x:f>#REF!</x:f>
        <x:v>#REF!</x:v>
      </x:c>
      <x:c r="R13" s="81" t="e">
        <x:f>#REF!</x:f>
        <x:v>#REF!</x:v>
      </x:c>
      <x:c r="S13" s="81" t="e">
        <x:f>#REF!</x:f>
        <x:v>#REF!</x:v>
      </x:c>
      <x:c r="T13" s="81" t="e">
        <x:f>#REF!</x:f>
        <x:v>#REF!</x:v>
      </x:c>
      <x:c r="U13" s="81" t="e">
        <x:f>#REF!</x:f>
        <x:v>#REF!</x:v>
      </x:c>
      <x:c r="V13" s="80" t="e">
        <x:f t="shared" si="0"/>
        <x:v>#REF!</x:v>
      </x:c>
      <x:c r="W13" s="18" t="e">
        <x:f t="shared" si="1"/>
        <x:v>#REF!</x:v>
      </x:c>
      <x:c r="X13" s="19">
        <x:f t="shared" si="2"/>
        <x:v>1.000008</x:v>
      </x:c>
      <x:c r="Y13" s="30"/>
      <x:c r="Z13" s="23"/>
    </x:row>
    <x:row r="14" ht="29.25">
      <x:c r="A14" s="53">
        <x:v>8</x:v>
      </x:c>
      <x:c r="B14" s="138" t="s">
        <x:v>572</x:v>
      </x:c>
      <x:c r="C14" s="81"/>
      <x:c r="D14" s="81" t="e">
        <x:f>#REF!</x:f>
        <x:v>#REF!</x:v>
      </x:c>
      <x:c r="E14" s="81" t="e">
        <x:f>#REF!</x:f>
        <x:v>#REF!</x:v>
      </x:c>
      <x:c r="F14" s="81" t="e">
        <x:f>#REF!</x:f>
        <x:v>#REF!</x:v>
      </x:c>
      <x:c r="G14" s="81" t="e">
        <x:f>#REF!</x:f>
        <x:v>#REF!</x:v>
      </x:c>
      <x:c r="H14" s="81" t="e">
        <x:f>#REF!</x:f>
        <x:v>#REF!</x:v>
      </x:c>
      <x:c r="I14" s="81" t="e">
        <x:f>#REF!</x:f>
        <x:v>#REF!</x:v>
      </x:c>
      <x:c r="J14" s="81" t="e">
        <x:f>#REF!</x:f>
        <x:v>#REF!</x:v>
      </x:c>
      <x:c r="K14" s="81" t="e">
        <x:f>#REF!</x:f>
        <x:v>#REF!</x:v>
      </x:c>
      <x:c r="L14" s="81" t="e">
        <x:f>#REF!</x:f>
        <x:v>#REF!</x:v>
      </x:c>
      <x:c r="M14" s="81" t="e">
        <x:f>#REF!</x:f>
        <x:v>#REF!</x:v>
      </x:c>
      <x:c r="N14" s="81" t="e">
        <x:f>#REF!</x:f>
        <x:v>#REF!</x:v>
      </x:c>
      <x:c r="O14" s="81" t="e">
        <x:f>#REF!</x:f>
        <x:v>#REF!</x:v>
      </x:c>
      <x:c r="P14" s="81" t="e">
        <x:f>#REF!</x:f>
        <x:v>#REF!</x:v>
      </x:c>
      <x:c r="Q14" s="81" t="e">
        <x:f>#REF!</x:f>
        <x:v>#REF!</x:v>
      </x:c>
      <x:c r="R14" s="81" t="e">
        <x:f>#REF!</x:f>
        <x:v>#REF!</x:v>
      </x:c>
      <x:c r="S14" s="81" t="e">
        <x:f>#REF!</x:f>
        <x:v>#REF!</x:v>
      </x:c>
      <x:c r="T14" s="81" t="e">
        <x:f>#REF!</x:f>
        <x:v>#REF!</x:v>
      </x:c>
      <x:c r="U14" s="81" t="e">
        <x:f>#REF!</x:f>
        <x:v>#REF!</x:v>
      </x:c>
      <x:c r="V14" s="80" t="e">
        <x:f t="shared" si="0"/>
        <x:v>#REF!</x:v>
      </x:c>
      <x:c r="W14" s="18" t="e">
        <x:f t="shared" si="1"/>
        <x:v>#REF!</x:v>
      </x:c>
      <x:c r="X14" s="19">
        <x:f t="shared" si="2"/>
        <x:v>1.000008</x:v>
      </x:c>
      <x:c r="Y14" s="30"/>
      <x:c r="Z14" s="23"/>
    </x:row>
    <x:row r="15" ht="29.25">
      <x:c r="A15" s="53">
        <x:v>9</x:v>
      </x:c>
      <x:c r="B15" s="138" t="s">
        <x:v>573</x:v>
      </x:c>
      <x:c r="C15" s="81"/>
      <x:c r="D15" s="81" t="e">
        <x:f>#REF!</x:f>
        <x:v>#REF!</x:v>
      </x:c>
      <x:c r="E15" s="81" t="e">
        <x:f>#REF!</x:f>
        <x:v>#REF!</x:v>
      </x:c>
      <x:c r="F15" s="81" t="e">
        <x:f>#REF!</x:f>
        <x:v>#REF!</x:v>
      </x:c>
      <x:c r="G15" s="81" t="e">
        <x:f>#REF!</x:f>
        <x:v>#REF!</x:v>
      </x:c>
      <x:c r="H15" s="81" t="e">
        <x:f>#REF!</x:f>
        <x:v>#REF!</x:v>
      </x:c>
      <x:c r="I15" s="81" t="e">
        <x:f>#REF!</x:f>
        <x:v>#REF!</x:v>
      </x:c>
      <x:c r="J15" s="81" t="e">
        <x:f>#REF!</x:f>
        <x:v>#REF!</x:v>
      </x:c>
      <x:c r="K15" s="81" t="e">
        <x:f>#REF!</x:f>
        <x:v>#REF!</x:v>
      </x:c>
      <x:c r="L15" s="81" t="e">
        <x:f>#REF!</x:f>
        <x:v>#REF!</x:v>
      </x:c>
      <x:c r="M15" s="81" t="e">
        <x:f>#REF!</x:f>
        <x:v>#REF!</x:v>
      </x:c>
      <x:c r="N15" s="81" t="e">
        <x:f>#REF!</x:f>
        <x:v>#REF!</x:v>
      </x:c>
      <x:c r="O15" s="81" t="e">
        <x:f>#REF!</x:f>
        <x:v>#REF!</x:v>
      </x:c>
      <x:c r="P15" s="81" t="e">
        <x:f>#REF!</x:f>
        <x:v>#REF!</x:v>
      </x:c>
      <x:c r="Q15" s="81" t="e">
        <x:f>#REF!</x:f>
        <x:v>#REF!</x:v>
      </x:c>
      <x:c r="R15" s="81" t="e">
        <x:f>#REF!</x:f>
        <x:v>#REF!</x:v>
      </x:c>
      <x:c r="S15" s="81" t="e">
        <x:f>#REF!</x:f>
        <x:v>#REF!</x:v>
      </x:c>
      <x:c r="T15" s="81" t="e">
        <x:f>#REF!</x:f>
        <x:v>#REF!</x:v>
      </x:c>
      <x:c r="U15" s="81" t="e">
        <x:f>#REF!</x:f>
        <x:v>#REF!</x:v>
      </x:c>
      <x:c r="V15" s="80"/>
      <x:c r="W15" s="18"/>
      <x:c r="X15" s="19"/>
      <x:c r="Y15" s="30"/>
      <x:c r="Z15" s="23"/>
    </x:row>
    <x:row r="16" ht="29.25">
      <x:c r="A16" s="53">
        <x:v>10</x:v>
      </x:c>
      <x:c r="B16" s="138" t="s">
        <x:v>574</x:v>
      </x:c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0"/>
      <x:c r="W16" s="18"/>
      <x:c r="X16" s="19"/>
      <x:c r="Y16" s="30"/>
      <x:c r="Z16" s="23"/>
    </x:row>
    <x:row r="17" s="1" customFormat="1" ht="29.25">
      <x:c r="A17" s="53">
        <x:v>11</x:v>
      </x:c>
      <x:c r="B17" s="139" t="s">
        <x:v>195</x:v>
      </x:c>
      <x:c r="C17" s="81"/>
      <x:c r="D17" s="81" t="e">
        <x:f>#REF!</x:f>
        <x:v>#REF!</x:v>
      </x:c>
      <x:c r="E17" s="81" t="e">
        <x:f>#REF!</x:f>
        <x:v>#REF!</x:v>
      </x:c>
      <x:c r="F17" s="81" t="e">
        <x:f>#REF!</x:f>
        <x:v>#REF!</x:v>
      </x:c>
      <x:c r="G17" s="81" t="e">
        <x:f>#REF!</x:f>
        <x:v>#REF!</x:v>
      </x:c>
      <x:c r="H17" s="81" t="e">
        <x:f>#REF!</x:f>
        <x:v>#REF!</x:v>
      </x:c>
      <x:c r="I17" s="81" t="e">
        <x:f>#REF!</x:f>
        <x:v>#REF!</x:v>
      </x:c>
      <x:c r="J17" s="81" t="e">
        <x:f>#REF!</x:f>
        <x:v>#REF!</x:v>
      </x:c>
      <x:c r="K17" s="81" t="e">
        <x:f>#REF!</x:f>
        <x:v>#REF!</x:v>
      </x:c>
      <x:c r="L17" s="81" t="e">
        <x:f>#REF!</x:f>
        <x:v>#REF!</x:v>
      </x:c>
      <x:c r="M17" s="81" t="e">
        <x:f>#REF!</x:f>
        <x:v>#REF!</x:v>
      </x:c>
      <x:c r="N17" s="81" t="e">
        <x:f>#REF!</x:f>
        <x:v>#REF!</x:v>
      </x:c>
      <x:c r="O17" s="81" t="e">
        <x:f>#REF!</x:f>
        <x:v>#REF!</x:v>
      </x:c>
      <x:c r="P17" s="81" t="e">
        <x:f>#REF!</x:f>
        <x:v>#REF!</x:v>
      </x:c>
      <x:c r="Q17" s="81" t="e">
        <x:f>#REF!</x:f>
        <x:v>#REF!</x:v>
      </x:c>
      <x:c r="R17" s="81" t="e">
        <x:f>#REF!</x:f>
        <x:v>#REF!</x:v>
      </x:c>
      <x:c r="S17" s="81" t="e">
        <x:f>#REF!</x:f>
        <x:v>#REF!</x:v>
      </x:c>
      <x:c r="T17" s="81" t="e">
        <x:f>#REF!</x:f>
        <x:v>#REF!</x:v>
      </x:c>
      <x:c r="U17" s="81" t="e">
        <x:f>#REF!</x:f>
        <x:v>#REF!</x:v>
      </x:c>
      <x:c r="V17" s="80" t="e">
        <x:f>D17+E17+F17+G17+H17+I17+L17+M17+N17+O17+P17+Q17+R17+S17+T17+U17+J17+K17+C17</x:f>
        <x:v>#REF!</x:v>
      </x:c>
      <x:c r="W17" s="18" t="e">
        <x:f t="shared" si="1"/>
        <x:v>#REF!</x:v>
      </x:c>
      <x:c r="X17" s="19">
        <x:f t="shared" si="2"/>
        <x:v>1.000008</x:v>
      </x:c>
      <x:c r="Y17" s="30"/>
      <x:c r="Z17" s="23"/>
    </x:row>
    <x:row r="18" s="1" customFormat="1" ht="29.25">
      <x:c r="A18" s="53">
        <x:v>12</x:v>
      </x:c>
      <x:c r="B18" s="135" t="s">
        <x:v>575</x:v>
      </x:c>
      <x:c r="C18" s="81"/>
      <x:c r="D18" s="81" t="e">
        <x:f>AVERAGE(#REF!,#REF!)</x:f>
        <x:v>#REF!</x:v>
      </x:c>
      <x:c r="E18" s="81" t="e">
        <x:f>AVERAGE(#REF!,#REF!)</x:f>
        <x:v>#REF!</x:v>
      </x:c>
      <x:c r="F18" s="81" t="e">
        <x:f>AVERAGE(#REF!,#REF!)</x:f>
        <x:v>#REF!</x:v>
      </x:c>
      <x:c r="G18" s="81" t="e">
        <x:f>AVERAGE(#REF!,#REF!)</x:f>
        <x:v>#REF!</x:v>
      </x:c>
      <x:c r="H18" s="81" t="e">
        <x:f>AVERAGE(#REF!,#REF!)</x:f>
        <x:v>#REF!</x:v>
      </x:c>
      <x:c r="I18" s="81" t="e">
        <x:f>AVERAGE(#REF!,#REF!)</x:f>
        <x:v>#REF!</x:v>
      </x:c>
      <x:c r="J18" s="81" t="e">
        <x:f>AVERAGE(#REF!,#REF!)</x:f>
        <x:v>#REF!</x:v>
      </x:c>
      <x:c r="K18" s="81" t="e">
        <x:f>AVERAGE(#REF!,#REF!)</x:f>
        <x:v>#REF!</x:v>
      </x:c>
      <x:c r="L18" s="81" t="e">
        <x:f>AVERAGE(#REF!,#REF!)</x:f>
        <x:v>#REF!</x:v>
      </x:c>
      <x:c r="M18" s="81" t="e">
        <x:f>AVERAGE(#REF!,#REF!)</x:f>
        <x:v>#REF!</x:v>
      </x:c>
      <x:c r="N18" s="81" t="e">
        <x:f>AVERAGE(#REF!,#REF!)</x:f>
        <x:v>#REF!</x:v>
      </x:c>
      <x:c r="O18" s="81" t="e">
        <x:f>AVERAGE(#REF!,#REF!)</x:f>
        <x:v>#REF!</x:v>
      </x:c>
      <x:c r="P18" s="81" t="e">
        <x:f>AVERAGE(#REF!,#REF!)</x:f>
        <x:v>#REF!</x:v>
      </x:c>
      <x:c r="Q18" s="81" t="e">
        <x:f>AVERAGE(#REF!,#REF!)</x:f>
        <x:v>#REF!</x:v>
      </x:c>
      <x:c r="R18" s="81" t="e">
        <x:f>AVERAGE(#REF!,#REF!)</x:f>
        <x:v>#REF!</x:v>
      </x:c>
      <x:c r="S18" s="81" t="e">
        <x:f>AVERAGE(#REF!,#REF!)</x:f>
        <x:v>#REF!</x:v>
      </x:c>
      <x:c r="T18" s="81" t="e">
        <x:f>AVERAGE(#REF!,#REF!)</x:f>
        <x:v>#REF!</x:v>
      </x:c>
      <x:c r="U18" s="81" t="e">
        <x:f>AVERAGE(#REF!,#REF!)</x:f>
        <x:v>#REF!</x:v>
      </x:c>
      <x:c r="V18" s="80"/>
      <x:c r="W18" s="18"/>
      <x:c r="X18" s="19"/>
      <x:c r="Y18" s="30"/>
      <x:c r="Z18" s="35"/>
    </x:row>
    <x:row r="19" s="1" customFormat="1" ht="29.25">
      <x:c r="A19" s="53">
        <x:v>13</x:v>
      </x:c>
      <x:c r="B19" s="138" t="s">
        <x:v>191</x:v>
      </x:c>
      <x:c r="C19" s="81"/>
      <x:c r="D19" s="81" t="e">
        <x:f>#REF!</x:f>
        <x:v>#REF!</x:v>
      </x:c>
      <x:c r="E19" s="81" t="e">
        <x:f>#REF!</x:f>
        <x:v>#REF!</x:v>
      </x:c>
      <x:c r="F19" s="81" t="e">
        <x:f>#REF!</x:f>
        <x:v>#REF!</x:v>
      </x:c>
      <x:c r="G19" s="81" t="e">
        <x:f>#REF!</x:f>
        <x:v>#REF!</x:v>
      </x:c>
      <x:c r="H19" s="81" t="e">
        <x:f>#REF!</x:f>
        <x:v>#REF!</x:v>
      </x:c>
      <x:c r="I19" s="81" t="e">
        <x:f>#REF!</x:f>
        <x:v>#REF!</x:v>
      </x:c>
      <x:c r="J19" s="81" t="e">
        <x:f>#REF!</x:f>
        <x:v>#REF!</x:v>
      </x:c>
      <x:c r="K19" s="81" t="e">
        <x:f>#REF!</x:f>
        <x:v>#REF!</x:v>
      </x:c>
      <x:c r="L19" s="81" t="e">
        <x:f>#REF!</x:f>
        <x:v>#REF!</x:v>
      </x:c>
      <x:c r="M19" s="81" t="e">
        <x:f>#REF!</x:f>
        <x:v>#REF!</x:v>
      </x:c>
      <x:c r="N19" s="81" t="e">
        <x:f>#REF!</x:f>
        <x:v>#REF!</x:v>
      </x:c>
      <x:c r="O19" s="81" t="e">
        <x:f>#REF!</x:f>
        <x:v>#REF!</x:v>
      </x:c>
      <x:c r="P19" s="81" t="e">
        <x:f>#REF!</x:f>
        <x:v>#REF!</x:v>
      </x:c>
      <x:c r="Q19" s="81" t="e">
        <x:f>#REF!</x:f>
        <x:v>#REF!</x:v>
      </x:c>
      <x:c r="R19" s="81" t="e">
        <x:f>#REF!</x:f>
        <x:v>#REF!</x:v>
      </x:c>
      <x:c r="S19" s="81" t="e">
        <x:f>#REF!</x:f>
        <x:v>#REF!</x:v>
      </x:c>
      <x:c r="T19" s="81" t="e">
        <x:f>#REF!</x:f>
        <x:v>#REF!</x:v>
      </x:c>
      <x:c r="U19" s="81" t="e">
        <x:f>#REF!</x:f>
        <x:v>#REF!</x:v>
      </x:c>
      <x:c r="V19" s="80" t="e">
        <x:f>D19+E19+F19+G19+H19+I19+L19+M19+N19+O19+P19+Q19+R19+S19+T19+U19+J19+K19+C19</x:f>
        <x:v>#REF!</x:v>
      </x:c>
      <x:c r="W19" s="18" t="e">
        <x:f>IF($V$4&gt;0,V19/$V$4,0)</x:f>
        <x:v>#REF!</x:v>
      </x:c>
      <x:c r="X19" s="19">
        <x:f t="shared" si="2"/>
        <x:v>1.000008</x:v>
      </x:c>
      <x:c r="Y19" s="30"/>
      <x:c r="Z19" s="35"/>
    </x:row>
    <x:row r="20">
      <x:c r="A20" s="53">
        <x:v>14</x:v>
      </x:c>
      <x:c r="B20" s="139" t="s">
        <x:v>204</x:v>
      </x:c>
      <x:c r="C20" s="81"/>
      <x:c r="D20" s="81" t="e">
        <x:f>#REF!</x:f>
        <x:v>#REF!</x:v>
      </x:c>
      <x:c r="E20" s="81" t="e">
        <x:f>#REF!</x:f>
        <x:v>#REF!</x:v>
      </x:c>
      <x:c r="F20" s="81" t="e">
        <x:f>#REF!</x:f>
        <x:v>#REF!</x:v>
      </x:c>
      <x:c r="G20" s="81" t="e">
        <x:f>#REF!</x:f>
        <x:v>#REF!</x:v>
      </x:c>
      <x:c r="H20" s="81" t="e">
        <x:f>#REF!</x:f>
        <x:v>#REF!</x:v>
      </x:c>
      <x:c r="I20" s="81" t="e">
        <x:f>#REF!</x:f>
        <x:v>#REF!</x:v>
      </x:c>
      <x:c r="J20" s="81" t="e">
        <x:f>#REF!</x:f>
        <x:v>#REF!</x:v>
      </x:c>
      <x:c r="K20" s="81" t="e">
        <x:f>#REF!</x:f>
        <x:v>#REF!</x:v>
      </x:c>
      <x:c r="L20" s="81" t="e">
        <x:f>#REF!</x:f>
        <x:v>#REF!</x:v>
      </x:c>
      <x:c r="M20" s="81" t="e">
        <x:f>#REF!</x:f>
        <x:v>#REF!</x:v>
      </x:c>
      <x:c r="N20" s="81" t="e">
        <x:f>#REF!</x:f>
        <x:v>#REF!</x:v>
      </x:c>
      <x:c r="O20" s="81" t="e">
        <x:f>#REF!</x:f>
        <x:v>#REF!</x:v>
      </x:c>
      <x:c r="P20" s="81" t="e">
        <x:f>#REF!</x:f>
        <x:v>#REF!</x:v>
      </x:c>
      <x:c r="Q20" s="81" t="e">
        <x:f>#REF!</x:f>
        <x:v>#REF!</x:v>
      </x:c>
      <x:c r="R20" s="81" t="e">
        <x:f>#REF!</x:f>
        <x:v>#REF!</x:v>
      </x:c>
      <x:c r="S20" s="81" t="e">
        <x:f>#REF!</x:f>
        <x:v>#REF!</x:v>
      </x:c>
      <x:c r="T20" s="81" t="e">
        <x:f>#REF!</x:f>
        <x:v>#REF!</x:v>
      </x:c>
      <x:c r="U20" s="81" t="e">
        <x:f>#REF!</x:f>
        <x:v>#REF!</x:v>
      </x:c>
      <x:c r="V20" s="80" t="e">
        <x:f>D20+E20+F20+G20+H20+I20+L20+M20+N20+O20+P20+Q20+R20+S20+T20+U20+J20+K20+C20</x:f>
        <x:v>#REF!</x:v>
      </x:c>
      <x:c r="W20" s="18" t="e">
        <x:f>IF($V$4&gt;0,V20/$V$4,0)</x:f>
        <x:v>#REF!</x:v>
      </x:c>
      <x:c r="X20" s="19">
        <x:f t="shared" si="2"/>
        <x:v>1.000008</x:v>
      </x:c>
      <x:c r="Y20" s="30"/>
      <x:c r="Z20" s="23"/>
    </x:row>
    <x:row r="23" s="4" customFormat="1" ht="31.5" hidden="1">
      <x:c r="A23" s="6"/>
      <x:c r="B23" s="7"/>
      <x:c r="C23" s="5"/>
      <x:c r="D23" s="5"/>
      <x:c r="E23" s="5"/>
      <x:c r="F23" s="8" t="s">
        <x:v>576</x:v>
      </x:c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5"/>
      <x:c r="R23" s="5"/>
      <x:c r="S23" s="5"/>
      <x:c r="T23" s="5"/>
      <x:c r="U23" s="5"/>
      <x:c r="V23" s="5"/>
      <x:c r="W23" s="5"/>
      <x:c r="X23" s="5"/>
      <x:c r="Y23" s="5"/>
      <x:c r="Z23" s="5"/>
    </x:row>
    <x:row r="24" s="4" customFormat="1" ht="31.5" hidden="1">
      <x:c r="A24" s="6"/>
      <x:c r="B24" s="7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5"/>
      <x:c r="Z24" s="5"/>
    </x:row>
    <x:row r="25" s="4" customFormat="1" hidden="1">
      <x:c r="A25" s="6"/>
      <x:c r="B25" s="7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</x:row>
    <x:row r="26" hidden="1">
      <x:c r="B26" s="284" t="s">
        <x:v>6</x:v>
      </x:c>
      <x:c r="C26" s="9" t="s">
        <x:v>7</x:v>
      </x:c>
      <x:c r="D26" s="9" t="s">
        <x:v>7</x:v>
      </x:c>
      <x:c r="E26" s="9" t="s">
        <x:v>7</x:v>
      </x:c>
      <x:c r="F26" s="9" t="s">
        <x:v>7</x:v>
      </x:c>
      <x:c r="G26" s="9" t="s">
        <x:v>7</x:v>
      </x:c>
      <x:c r="H26" s="9" t="s">
        <x:v>7</x:v>
      </x:c>
      <x:c r="I26" s="9" t="s">
        <x:v>7</x:v>
      </x:c>
      <x:c r="J26" s="9" t="s">
        <x:v>7</x:v>
      </x:c>
      <x:c r="K26" s="9" t="s">
        <x:v>7</x:v>
      </x:c>
      <x:c r="L26" s="9" t="s">
        <x:v>7</x:v>
      </x:c>
      <x:c r="M26" s="9" t="s">
        <x:v>7</x:v>
      </x:c>
      <x:c r="N26" s="9" t="s">
        <x:v>7</x:v>
      </x:c>
      <x:c r="O26" s="9" t="s">
        <x:v>7</x:v>
      </x:c>
      <x:c r="P26" s="9" t="s">
        <x:v>7</x:v>
      </x:c>
      <x:c r="Q26" s="9" t="s">
        <x:v>7</x:v>
      </x:c>
      <x:c r="R26" s="9" t="s">
        <x:v>7</x:v>
      </x:c>
      <x:c r="S26" s="9" t="s">
        <x:v>7</x:v>
      </x:c>
      <x:c r="T26" s="9" t="s">
        <x:v>7</x:v>
      </x:c>
      <x:c r="U26" s="9" t="s">
        <x:v>7</x:v>
      </x:c>
      <x:c r="V26" s="302">
        <x:v>1900</x:v>
      </x:c>
      <x:c r="W26" s="281" t="s">
        <x:v>8</x:v>
      </x:c>
      <x:c r="X26" s="304" t="s">
        <x:v>9</x:v>
      </x:c>
      <x:c r="Y26" s="281" t="s">
        <x:v>10</x:v>
      </x:c>
      <x:c r="Z26" s="295" t="s">
        <x:v>11</x:v>
      </x:c>
    </x:row>
    <x:row r="27" ht="75" hidden="1" customHeight="1">
      <x:c r="B27" s="285"/>
      <x:c r="C27" s="10">
        <x:v>1</x:v>
      </x:c>
      <x:c r="D27" s="11">
        <x:v>2</x:v>
      </x:c>
      <x:c r="E27" s="11">
        <x:v>3</x:v>
      </x:c>
      <x:c r="F27" s="11">
        <x:v>4</x:v>
      </x:c>
      <x:c r="G27" s="11">
        <x:v>5</x:v>
      </x:c>
      <x:c r="H27" s="11">
        <x:v>6</x:v>
      </x:c>
      <x:c r="I27" s="11">
        <x:v>7</x:v>
      </x:c>
      <x:c r="J27" s="11">
        <x:v>8</x:v>
      </x:c>
      <x:c r="K27" s="11">
        <x:v>9</x:v>
      </x:c>
      <x:c r="L27" s="11">
        <x:v>10</x:v>
      </x:c>
      <x:c r="M27" s="11">
        <x:v>11</x:v>
      </x:c>
      <x:c r="N27" s="11">
        <x:v>12</x:v>
      </x:c>
      <x:c r="O27" s="11">
        <x:v>13</x:v>
      </x:c>
      <x:c r="P27" s="11">
        <x:v>14</x:v>
      </x:c>
      <x:c r="Q27" s="11">
        <x:v>15</x:v>
      </x:c>
      <x:c r="R27" s="11">
        <x:v>16</x:v>
      </x:c>
      <x:c r="S27" s="11">
        <x:v>17</x:v>
      </x:c>
      <x:c r="T27" s="11">
        <x:v>18</x:v>
      </x:c>
      <x:c r="U27" s="11">
        <x:v>19</x:v>
      </x:c>
      <x:c r="V27" s="303"/>
      <x:c r="W27" s="282"/>
      <x:c r="X27" s="305"/>
      <x:c r="Y27" s="282"/>
      <x:c r="Z27" s="296"/>
    </x:row>
    <x:row r="28" ht="29.25" hidden="1">
      <x:c r="B28" s="12" t="n">
        <x:f>0%/100</x:f>
        <x:v>0</x:v>
      </x:c>
      <x:c r="C28" s="12" t="n">
        <x:f>526.31%/100</x:f>
        <x:v>0.052631</x:v>
      </x:c>
      <x:c r="D28" s="12" t="n">
        <x:f>(526.31%/100)*2</x:f>
        <x:v>0.105262</x:v>
      </x:c>
      <x:c r="E28" s="12" t="n">
        <x:f>(526.31%/100)*3</x:f>
        <x:v>0.157893</x:v>
      </x:c>
      <x:c r="F28" s="12" t="n">
        <x:f>(526.31%/100)*4</x:f>
        <x:v>0.210524</x:v>
      </x:c>
      <x:c r="G28" s="12" t="n">
        <x:f>(526.31%/100)*5</x:f>
        <x:v>0.263155</x:v>
      </x:c>
      <x:c r="H28" s="12" t="n">
        <x:f>(526.31%/100)*6</x:f>
        <x:v>0.315786</x:v>
      </x:c>
      <x:c r="I28" s="12" t="n">
        <x:f>(526.31%/100)*7</x:f>
        <x:v>0.368417</x:v>
      </x:c>
      <x:c r="J28" s="12" t="n">
        <x:f>(526.31%/100)*8</x:f>
        <x:v>0.421048</x:v>
      </x:c>
      <x:c r="K28" s="12" t="n">
        <x:f>(526.31%/100)*9</x:f>
        <x:v>0.47367899999999996</x:v>
      </x:c>
      <x:c r="L28" s="12" t="n">
        <x:f>(526.31%/100)*10</x:f>
        <x:v>0.52631</x:v>
      </x:c>
      <x:c r="M28" s="12" t="n">
        <x:f>(526.31%/100)*11</x:f>
        <x:v>0.5789409999999999</x:v>
      </x:c>
      <x:c r="N28" s="12" t="n">
        <x:f>(526.31%/100)*12</x:f>
        <x:v>0.631572</x:v>
      </x:c>
      <x:c r="O28" s="12" t="n">
        <x:f>(526.31%/100)*13</x:f>
        <x:v>0.684203</x:v>
      </x:c>
      <x:c r="P28" s="12" t="n">
        <x:f>(526.31%/100)*14</x:f>
        <x:v>0.736834</x:v>
      </x:c>
      <x:c r="Q28" s="12" t="n">
        <x:f>(526.31%/100)*15</x:f>
        <x:v>0.789465</x:v>
      </x:c>
      <x:c r="R28" s="12" t="n">
        <x:f>(526.31%/100)*16</x:f>
        <x:v>0.842096</x:v>
      </x:c>
      <x:c r="S28" s="12" t="n">
        <x:f>(526.31%/100)*17</x:f>
        <x:v>0.8947269999999999</x:v>
      </x:c>
      <x:c r="T28" s="12" t="n">
        <x:f>(526.31%/100)*18</x:f>
        <x:v>0.9473579999999999</x:v>
      </x:c>
      <x:c r="U28" s="12" t="n">
        <x:f>(526.32%/100)*19</x:f>
        <x:v>1.000008</x:v>
      </x:c>
      <x:c r="V28" s="13"/>
      <x:c r="W28" s="14"/>
      <x:c r="X28" s="14"/>
      <x:c r="Y28" s="14"/>
      <x:c r="Z28" s="15"/>
    </x:row>
    <x:row r="29" ht="29.25" hidden="1" customHeight="1">
      <x:c r="A29" s="53">
        <x:v>1</x:v>
      </x:c>
      <x:c r="B29" s="73" t="s">
        <x:v>159</x:v>
      </x:c>
      <x:c r="D29" s="16" t="e">
        <x:f>#REF!</x:f>
        <x:v>#REF!</x:v>
      </x:c>
      <x:c r="E29" s="16" t="e">
        <x:f>#REF!</x:f>
        <x:v>#REF!</x:v>
      </x:c>
      <x:c r="F29" s="16" t="e">
        <x:f>#REF!</x:f>
        <x:v>#REF!</x:v>
      </x:c>
      <x:c r="G29" s="16" t="e">
        <x:f>#REF!</x:f>
        <x:v>#REF!</x:v>
      </x:c>
      <x:c r="H29" s="16" t="e">
        <x:f>#REF!</x:f>
        <x:v>#REF!</x:v>
      </x:c>
      <x:c r="I29" s="16" t="e">
        <x:f>#REF!</x:f>
        <x:v>#REF!</x:v>
      </x:c>
      <x:c r="J29" s="16" t="e">
        <x:f>#REF!</x:f>
        <x:v>#REF!</x:v>
      </x:c>
      <x:c r="K29" s="16" t="e">
        <x:f>#REF!</x:f>
        <x:v>#REF!</x:v>
      </x:c>
      <x:c r="L29" s="16" t="e">
        <x:f>#REF!</x:f>
        <x:v>#REF!</x:v>
      </x:c>
      <x:c r="M29" s="16" t="e">
        <x:f>#REF!</x:f>
        <x:v>#REF!</x:v>
      </x:c>
      <x:c r="N29" s="16" t="e">
        <x:f>#REF!</x:f>
        <x:v>#REF!</x:v>
      </x:c>
      <x:c r="O29" s="16" t="e">
        <x:f>#REF!</x:f>
        <x:v>#REF!</x:v>
      </x:c>
      <x:c r="P29" s="16" t="e">
        <x:f>#REF!</x:f>
        <x:v>#REF!</x:v>
      </x:c>
      <x:c r="Q29" s="16" t="e">
        <x:f>#REF!</x:f>
        <x:v>#REF!</x:v>
      </x:c>
      <x:c r="R29" s="16" t="e">
        <x:f>#REF!</x:f>
        <x:v>#REF!</x:v>
      </x:c>
      <x:c r="S29" s="16" t="e">
        <x:f>#REF!</x:f>
        <x:v>#REF!</x:v>
      </x:c>
      <x:c r="T29" s="16" t="e">
        <x:f>#REF!</x:f>
        <x:v>#REF!</x:v>
      </x:c>
      <x:c r="U29" s="16" t="e">
        <x:f>#REF!</x:f>
        <x:v>#REF!</x:v>
      </x:c>
      <x:c r="V29" s="17" t="e">
        <x:f t="shared" ref="V29:V77" si="3">D29+E29+F29+G29+H29+I29+L29+M29+N29+O29+P29+Q29+R29+S29+T29+U29+J29+K29+C29</x:f>
        <x:v>#REF!</x:v>
      </x:c>
      <x:c r="W29" s="18" t="e">
        <x:f>IF($V$26&gt;0,V29/$V$26,0)</x:f>
        <x:v>#REF!</x:v>
      </x:c>
      <x:c r="X29" s="19" t="n">
        <x:f t="shared" ref="X29:X77" si="4">C28</x:f>
        <x:v>0.052631</x:v>
      </x:c>
      <x:c r="Y29" s="20"/>
      <x:c r="Z29" s="21"/>
    </x:row>
    <x:row r="30" s="1" customFormat="1" hidden="1">
      <x:c r="A30" s="53">
        <x:v>2</x:v>
      </x:c>
      <x:c r="B30" s="73" t="s">
        <x:v>160</x:v>
      </x:c>
      <x:c r="D30" s="16" t="e">
        <x:f>#REF!</x:f>
        <x:v>#REF!</x:v>
      </x:c>
      <x:c r="E30" s="16" t="e">
        <x:f>#REF!</x:f>
        <x:v>#REF!</x:v>
      </x:c>
      <x:c r="F30" s="16" t="e">
        <x:f>#REF!</x:f>
        <x:v>#REF!</x:v>
      </x:c>
      <x:c r="G30" s="16" t="e">
        <x:f>#REF!</x:f>
        <x:v>#REF!</x:v>
      </x:c>
      <x:c r="H30" s="16" t="e">
        <x:f>#REF!</x:f>
        <x:v>#REF!</x:v>
      </x:c>
      <x:c r="I30" s="16" t="e">
        <x:f>#REF!</x:f>
        <x:v>#REF!</x:v>
      </x:c>
      <x:c r="J30" s="16" t="e">
        <x:f>#REF!</x:f>
        <x:v>#REF!</x:v>
      </x:c>
      <x:c r="K30" s="16" t="e">
        <x:f>#REF!</x:f>
        <x:v>#REF!</x:v>
      </x:c>
      <x:c r="L30" s="16" t="e">
        <x:f>#REF!</x:f>
        <x:v>#REF!</x:v>
      </x:c>
      <x:c r="M30" s="16" t="e">
        <x:f>#REF!</x:f>
        <x:v>#REF!</x:v>
      </x:c>
      <x:c r="N30" s="16" t="e">
        <x:f>#REF!</x:f>
        <x:v>#REF!</x:v>
      </x:c>
      <x:c r="O30" s="16" t="e">
        <x:f>#REF!</x:f>
        <x:v>#REF!</x:v>
      </x:c>
      <x:c r="P30" s="16" t="e">
        <x:f>#REF!</x:f>
        <x:v>#REF!</x:v>
      </x:c>
      <x:c r="Q30" s="16" t="e">
        <x:f>#REF!</x:f>
        <x:v>#REF!</x:v>
      </x:c>
      <x:c r="R30" s="16" t="e">
        <x:f>#REF!</x:f>
        <x:v>#REF!</x:v>
      </x:c>
      <x:c r="S30" s="16" t="e">
        <x:f>#REF!</x:f>
        <x:v>#REF!</x:v>
      </x:c>
      <x:c r="T30" s="16" t="e">
        <x:f>#REF!</x:f>
        <x:v>#REF!</x:v>
      </x:c>
      <x:c r="U30" s="16" t="e">
        <x:f>#REF!</x:f>
        <x:v>#REF!</x:v>
      </x:c>
      <x:c r="V30" s="17" t="e">
        <x:f t="shared" si="3"/>
        <x:v>#REF!</x:v>
      </x:c>
      <x:c r="W30" s="18" t="e">
        <x:f>IF($V$26&gt;0,V30/$V$26,0)</x:f>
        <x:v>#REF!</x:v>
      </x:c>
      <x:c r="X30" s="19">
        <x:f t="shared" si="4"/>
        <x:v>0</x:v>
      </x:c>
      <x:c r="Y30" s="20"/>
      <x:c r="Z30" s="21"/>
    </x:row>
    <x:row r="31" s="1" customFormat="1" hidden="1">
      <x:c r="A31" s="53">
        <x:v>3</x:v>
      </x:c>
      <x:c r="B31" s="73" t="s">
        <x:v>161</x:v>
      </x:c>
      <x:c r="C31" s="16"/>
      <x:c r="D31" s="16" t="e">
        <x:f>#REF!</x:f>
        <x:v>#REF!</x:v>
      </x:c>
      <x:c r="E31" s="16" t="e">
        <x:f>#REF!</x:f>
        <x:v>#REF!</x:v>
      </x:c>
      <x:c r="F31" s="16" t="e">
        <x:f>#REF!</x:f>
        <x:v>#REF!</x:v>
      </x:c>
      <x:c r="G31" s="16" t="e">
        <x:f>#REF!</x:f>
        <x:v>#REF!</x:v>
      </x:c>
      <x:c r="H31" s="16" t="e">
        <x:f>#REF!</x:f>
        <x:v>#REF!</x:v>
      </x:c>
      <x:c r="I31" s="16" t="e">
        <x:f>#REF!</x:f>
        <x:v>#REF!</x:v>
      </x:c>
      <x:c r="J31" s="16" t="e">
        <x:f>#REF!</x:f>
        <x:v>#REF!</x:v>
      </x:c>
      <x:c r="K31" s="16" t="e">
        <x:f>#REF!</x:f>
        <x:v>#REF!</x:v>
      </x:c>
      <x:c r="L31" s="16" t="e">
        <x:f>#REF!</x:f>
        <x:v>#REF!</x:v>
      </x:c>
      <x:c r="M31" s="16" t="e">
        <x:f>#REF!</x:f>
        <x:v>#REF!</x:v>
      </x:c>
      <x:c r="N31" s="16" t="e">
        <x:f>#REF!</x:f>
        <x:v>#REF!</x:v>
      </x:c>
      <x:c r="O31" s="16" t="e">
        <x:f>#REF!</x:f>
        <x:v>#REF!</x:v>
      </x:c>
      <x:c r="P31" s="16" t="e">
        <x:f>#REF!</x:f>
        <x:v>#REF!</x:v>
      </x:c>
      <x:c r="Q31" s="16" t="e">
        <x:f>#REF!</x:f>
        <x:v>#REF!</x:v>
      </x:c>
      <x:c r="R31" s="16" t="e">
        <x:f>#REF!</x:f>
        <x:v>#REF!</x:v>
      </x:c>
      <x:c r="S31" s="16" t="e">
        <x:f>#REF!</x:f>
        <x:v>#REF!</x:v>
      </x:c>
      <x:c r="T31" s="16" t="e">
        <x:f>#REF!</x:f>
        <x:v>#REF!</x:v>
      </x:c>
      <x:c r="U31" s="16" t="e">
        <x:f>#REF!</x:f>
        <x:v>#REF!</x:v>
      </x:c>
      <x:c r="V31" s="17" t="e">
        <x:f t="shared" si="3"/>
        <x:v>#REF!</x:v>
      </x:c>
      <x:c r="W31" s="18" t="e">
        <x:f>IF($V$26&gt;0,V31/$V$26,0)</x:f>
        <x:v>#REF!</x:v>
      </x:c>
      <x:c r="X31" s="19">
        <x:f t="shared" si="4"/>
        <x:v>0</x:v>
      </x:c>
      <x:c r="Y31" s="20"/>
      <x:c r="Z31" s="21"/>
    </x:row>
    <x:row r="32" s="1" customFormat="1" hidden="1">
      <x:c r="A32" s="53">
        <x:v>4</x:v>
      </x:c>
      <x:c r="B32" s="73" t="s">
        <x:v>162</x:v>
      </x:c>
      <x:c r="C32" s="16"/>
      <x:c r="D32" s="16" t="e">
        <x:f>#REF!</x:f>
        <x:v>#REF!</x:v>
      </x:c>
      <x:c r="E32" s="16" t="e">
        <x:f>#REF!</x:f>
        <x:v>#REF!</x:v>
      </x:c>
      <x:c r="F32" s="16" t="e">
        <x:f>#REF!</x:f>
        <x:v>#REF!</x:v>
      </x:c>
      <x:c r="G32" s="16" t="e">
        <x:f>#REF!</x:f>
        <x:v>#REF!</x:v>
      </x:c>
      <x:c r="H32" s="16" t="e">
        <x:f>#REF!</x:f>
        <x:v>#REF!</x:v>
      </x:c>
      <x:c r="I32" s="16" t="e">
        <x:f>#REF!</x:f>
        <x:v>#REF!</x:v>
      </x:c>
      <x:c r="J32" s="16" t="e">
        <x:f>#REF!</x:f>
        <x:v>#REF!</x:v>
      </x:c>
      <x:c r="K32" s="16" t="e">
        <x:f>#REF!</x:f>
        <x:v>#REF!</x:v>
      </x:c>
      <x:c r="L32" s="16" t="e">
        <x:f>#REF!</x:f>
        <x:v>#REF!</x:v>
      </x:c>
      <x:c r="M32" s="16" t="e">
        <x:f>#REF!</x:f>
        <x:v>#REF!</x:v>
      </x:c>
      <x:c r="N32" s="16" t="e">
        <x:f>#REF!</x:f>
        <x:v>#REF!</x:v>
      </x:c>
      <x:c r="O32" s="16" t="e">
        <x:f>#REF!</x:f>
        <x:v>#REF!</x:v>
      </x:c>
      <x:c r="P32" s="16" t="e">
        <x:f>#REF!</x:f>
        <x:v>#REF!</x:v>
      </x:c>
      <x:c r="Q32" s="16" t="e">
        <x:f>#REF!</x:f>
        <x:v>#REF!</x:v>
      </x:c>
      <x:c r="R32" s="16" t="e">
        <x:f>#REF!</x:f>
        <x:v>#REF!</x:v>
      </x:c>
      <x:c r="S32" s="16" t="e">
        <x:f>#REF!</x:f>
        <x:v>#REF!</x:v>
      </x:c>
      <x:c r="T32" s="16" t="e">
        <x:f>#REF!</x:f>
        <x:v>#REF!</x:v>
      </x:c>
      <x:c r="U32" s="16" t="e">
        <x:f>#REF!</x:f>
        <x:v>#REF!</x:v>
      </x:c>
      <x:c r="V32" s="17" t="e">
        <x:f t="shared" si="3"/>
        <x:v>#REF!</x:v>
      </x:c>
      <x:c r="W32" s="18" t="e">
        <x:f>IF($V$26&gt;0,V32/$V$26,0)</x:f>
        <x:v>#REF!</x:v>
      </x:c>
      <x:c r="X32" s="19">
        <x:f t="shared" si="4"/>
        <x:v>0</x:v>
      </x:c>
      <x:c r="Y32" s="20"/>
      <x:c r="Z32" s="21"/>
    </x:row>
    <x:row r="33" s="1" customFormat="1" ht="29.25" hidden="1" customHeight="1">
      <x:c r="A33" s="53">
        <x:v>5</x:v>
      </x:c>
      <x:c r="B33" s="71" t="s">
        <x:v>163</x:v>
      </x:c>
      <x:c r="C33" s="16"/>
      <x:c r="D33" s="16" t="e">
        <x:f>#REF!</x:f>
        <x:v>#REF!</x:v>
      </x:c>
      <x:c r="E33" s="16" t="e">
        <x:f>#REF!</x:f>
        <x:v>#REF!</x:v>
      </x:c>
      <x:c r="F33" s="16" t="e">
        <x:f>#REF!</x:f>
        <x:v>#REF!</x:v>
      </x:c>
      <x:c r="G33" s="16" t="e">
        <x:f>#REF!</x:f>
        <x:v>#REF!</x:v>
      </x:c>
      <x:c r="H33" s="16" t="e">
        <x:f>#REF!</x:f>
        <x:v>#REF!</x:v>
      </x:c>
      <x:c r="I33" s="16" t="e">
        <x:f>#REF!</x:f>
        <x:v>#REF!</x:v>
      </x:c>
      <x:c r="J33" s="16" t="e">
        <x:f>#REF!</x:f>
        <x:v>#REF!</x:v>
      </x:c>
      <x:c r="K33" s="16" t="e">
        <x:f>#REF!</x:f>
        <x:v>#REF!</x:v>
      </x:c>
      <x:c r="L33" s="16" t="e">
        <x:f>#REF!</x:f>
        <x:v>#REF!</x:v>
      </x:c>
      <x:c r="M33" s="16" t="e">
        <x:f>#REF!</x:f>
        <x:v>#REF!</x:v>
      </x:c>
      <x:c r="N33" s="16" t="e">
        <x:f>#REF!</x:f>
        <x:v>#REF!</x:v>
      </x:c>
      <x:c r="O33" s="16" t="e">
        <x:f>#REF!</x:f>
        <x:v>#REF!</x:v>
      </x:c>
      <x:c r="P33" s="16" t="e">
        <x:f>#REF!</x:f>
        <x:v>#REF!</x:v>
      </x:c>
      <x:c r="Q33" s="16" t="e">
        <x:f>#REF!</x:f>
        <x:v>#REF!</x:v>
      </x:c>
      <x:c r="R33" s="16" t="e">
        <x:f>#REF!</x:f>
        <x:v>#REF!</x:v>
      </x:c>
      <x:c r="S33" s="16" t="e">
        <x:f>#REF!</x:f>
        <x:v>#REF!</x:v>
      </x:c>
      <x:c r="T33" s="16" t="e">
        <x:f>#REF!</x:f>
        <x:v>#REF!</x:v>
      </x:c>
      <x:c r="U33" s="16" t="e">
        <x:f>#REF!</x:f>
        <x:v>#REF!</x:v>
      </x:c>
      <x:c r="V33" s="17" t="e">
        <x:f t="shared" si="3"/>
        <x:v>#REF!</x:v>
      </x:c>
      <x:c r="W33" s="18" t="e">
        <x:f>IF($V$26&gt;0,V33/$V$26,0)</x:f>
        <x:v>#REF!</x:v>
      </x:c>
      <x:c r="X33" s="19">
        <x:f t="shared" si="4"/>
        <x:v>0</x:v>
      </x:c>
      <x:c r="Y33" s="22"/>
      <x:c r="Z33" s="23"/>
    </x:row>
    <x:row r="34" s="1" customFormat="1" ht="29.25" hidden="1" customHeight="1">
      <x:c r="A34" s="53">
        <x:v>6</x:v>
      </x:c>
      <x:c r="B34" s="71" t="s">
        <x:v>164</x:v>
      </x:c>
      <x:c r="C34" s="16"/>
      <x:c r="D34" s="16" t="e">
        <x:f>#REF!</x:f>
        <x:v>#REF!</x:v>
      </x:c>
      <x:c r="E34" s="16" t="e">
        <x:f>#REF!</x:f>
        <x:v>#REF!</x:v>
      </x:c>
      <x:c r="F34" s="16" t="e">
        <x:f>#REF!</x:f>
        <x:v>#REF!</x:v>
      </x:c>
      <x:c r="G34" s="16" t="e">
        <x:f>#REF!</x:f>
        <x:v>#REF!</x:v>
      </x:c>
      <x:c r="H34" s="16" t="e">
        <x:f>#REF!</x:f>
        <x:v>#REF!</x:v>
      </x:c>
      <x:c r="I34" s="16" t="e">
        <x:f>#REF!</x:f>
        <x:v>#REF!</x:v>
      </x:c>
      <x:c r="J34" s="16" t="e">
        <x:f>#REF!</x:f>
        <x:v>#REF!</x:v>
      </x:c>
      <x:c r="K34" s="16" t="e">
        <x:f>#REF!</x:f>
        <x:v>#REF!</x:v>
      </x:c>
      <x:c r="L34" s="16" t="e">
        <x:f>#REF!</x:f>
        <x:v>#REF!</x:v>
      </x:c>
      <x:c r="M34" s="16" t="e">
        <x:f>#REF!</x:f>
        <x:v>#REF!</x:v>
      </x:c>
      <x:c r="N34" s="16" t="e">
        <x:f>#REF!</x:f>
        <x:v>#REF!</x:v>
      </x:c>
      <x:c r="O34" s="16" t="e">
        <x:f>#REF!</x:f>
        <x:v>#REF!</x:v>
      </x:c>
      <x:c r="P34" s="16" t="e">
        <x:f>#REF!</x:f>
        <x:v>#REF!</x:v>
      </x:c>
      <x:c r="Q34" s="16" t="e">
        <x:f>#REF!</x:f>
        <x:v>#REF!</x:v>
      </x:c>
      <x:c r="R34" s="16" t="e">
        <x:f>#REF!</x:f>
        <x:v>#REF!</x:v>
      </x:c>
      <x:c r="S34" s="16" t="e">
        <x:f>#REF!</x:f>
        <x:v>#REF!</x:v>
      </x:c>
      <x:c r="T34" s="16" t="e">
        <x:f>#REF!</x:f>
        <x:v>#REF!</x:v>
      </x:c>
      <x:c r="U34" s="16" t="e">
        <x:f>#REF!</x:f>
        <x:v>#REF!</x:v>
      </x:c>
      <x:c r="V34" s="17" t="e">
        <x:f t="shared" si="3"/>
        <x:v>#REF!</x:v>
      </x:c>
      <x:c r="W34" s="18" t="e">
        <x:f t="shared" ref="W34:W77" si="5">IF($V$26&gt;0,V34/$V$26,0)</x:f>
        <x:v>#REF!</x:v>
      </x:c>
      <x:c r="X34" s="19">
        <x:f t="shared" si="4"/>
        <x:v>0</x:v>
      </x:c>
      <x:c r="Y34" s="22"/>
      <x:c r="Z34" s="23"/>
    </x:row>
    <x:row r="35" s="1" customFormat="1" ht="29.25" hidden="1" customHeight="1">
      <x:c r="A35" s="53">
        <x:v>7</x:v>
      </x:c>
      <x:c r="B35" s="71" t="s">
        <x:v>165</x:v>
      </x:c>
      <x:c r="C35" s="16"/>
      <x:c r="D35" s="16" t="e">
        <x:f>#REF!</x:f>
        <x:v>#REF!</x:v>
      </x:c>
      <x:c r="E35" s="16" t="e">
        <x:f>#REF!</x:f>
        <x:v>#REF!</x:v>
      </x:c>
      <x:c r="F35" s="16" t="e">
        <x:f>#REF!</x:f>
        <x:v>#REF!</x:v>
      </x:c>
      <x:c r="G35" s="16" t="e">
        <x:f>#REF!</x:f>
        <x:v>#REF!</x:v>
      </x:c>
      <x:c r="H35" s="16" t="e">
        <x:f>#REF!</x:f>
        <x:v>#REF!</x:v>
      </x:c>
      <x:c r="I35" s="16" t="e">
        <x:f>#REF!</x:f>
        <x:v>#REF!</x:v>
      </x:c>
      <x:c r="J35" s="16" t="e">
        <x:f>#REF!</x:f>
        <x:v>#REF!</x:v>
      </x:c>
      <x:c r="K35" s="16" t="e">
        <x:f>#REF!</x:f>
        <x:v>#REF!</x:v>
      </x:c>
      <x:c r="L35" s="16" t="e">
        <x:f>#REF!</x:f>
        <x:v>#REF!</x:v>
      </x:c>
      <x:c r="M35" s="16" t="e">
        <x:f>#REF!</x:f>
        <x:v>#REF!</x:v>
      </x:c>
      <x:c r="N35" s="16" t="e">
        <x:f>#REF!</x:f>
        <x:v>#REF!</x:v>
      </x:c>
      <x:c r="O35" s="16" t="e">
        <x:f>#REF!</x:f>
        <x:v>#REF!</x:v>
      </x:c>
      <x:c r="P35" s="16" t="e">
        <x:f>#REF!</x:f>
        <x:v>#REF!</x:v>
      </x:c>
      <x:c r="Q35" s="16" t="e">
        <x:f>#REF!</x:f>
        <x:v>#REF!</x:v>
      </x:c>
      <x:c r="R35" s="16" t="e">
        <x:f>#REF!</x:f>
        <x:v>#REF!</x:v>
      </x:c>
      <x:c r="S35" s="16" t="e">
        <x:f>#REF!</x:f>
        <x:v>#REF!</x:v>
      </x:c>
      <x:c r="T35" s="16" t="e">
        <x:f>#REF!</x:f>
        <x:v>#REF!</x:v>
      </x:c>
      <x:c r="U35" s="16" t="e">
        <x:f>#REF!</x:f>
        <x:v>#REF!</x:v>
      </x:c>
      <x:c r="V35" s="17" t="e">
        <x:f t="shared" si="3"/>
        <x:v>#REF!</x:v>
      </x:c>
      <x:c r="W35" s="18" t="e">
        <x:f t="shared" si="5"/>
        <x:v>#REF!</x:v>
      </x:c>
      <x:c r="X35" s="19">
        <x:f t="shared" si="4"/>
        <x:v>0</x:v>
      </x:c>
      <x:c r="Y35" s="22"/>
      <x:c r="Z35" s="23"/>
    </x:row>
    <x:row r="36" s="1" customFormat="1" ht="29.25" hidden="1" customHeight="1">
      <x:c r="A36" s="53">
        <x:v>8</x:v>
      </x:c>
      <x:c r="B36" s="71" t="s">
        <x:v>166</x:v>
      </x:c>
      <x:c r="C36" s="16"/>
      <x:c r="D36" s="16" t="e">
        <x:f>#REF!</x:f>
        <x:v>#REF!</x:v>
      </x:c>
      <x:c r="E36" s="16" t="e">
        <x:f>#REF!</x:f>
        <x:v>#REF!</x:v>
      </x:c>
      <x:c r="F36" s="16" t="e">
        <x:f>#REF!</x:f>
        <x:v>#REF!</x:v>
      </x:c>
      <x:c r="G36" s="16" t="e">
        <x:f>#REF!</x:f>
        <x:v>#REF!</x:v>
      </x:c>
      <x:c r="H36" s="16" t="e">
        <x:f>#REF!</x:f>
        <x:v>#REF!</x:v>
      </x:c>
      <x:c r="I36" s="16" t="e">
        <x:f>#REF!</x:f>
        <x:v>#REF!</x:v>
      </x:c>
      <x:c r="J36" s="16" t="e">
        <x:f>#REF!</x:f>
        <x:v>#REF!</x:v>
      </x:c>
      <x:c r="K36" s="16" t="e">
        <x:f>#REF!</x:f>
        <x:v>#REF!</x:v>
      </x:c>
      <x:c r="L36" s="16" t="e">
        <x:f>#REF!</x:f>
        <x:v>#REF!</x:v>
      </x:c>
      <x:c r="M36" s="16" t="e">
        <x:f>#REF!</x:f>
        <x:v>#REF!</x:v>
      </x:c>
      <x:c r="N36" s="16" t="e">
        <x:f>#REF!</x:f>
        <x:v>#REF!</x:v>
      </x:c>
      <x:c r="O36" s="16" t="e">
        <x:f>#REF!</x:f>
        <x:v>#REF!</x:v>
      </x:c>
      <x:c r="P36" s="16" t="e">
        <x:f>#REF!</x:f>
        <x:v>#REF!</x:v>
      </x:c>
      <x:c r="Q36" s="16" t="e">
        <x:f>#REF!</x:f>
        <x:v>#REF!</x:v>
      </x:c>
      <x:c r="R36" s="16" t="e">
        <x:f>#REF!</x:f>
        <x:v>#REF!</x:v>
      </x:c>
      <x:c r="S36" s="16" t="e">
        <x:f>#REF!</x:f>
        <x:v>#REF!</x:v>
      </x:c>
      <x:c r="T36" s="16" t="e">
        <x:f>#REF!</x:f>
        <x:v>#REF!</x:v>
      </x:c>
      <x:c r="U36" s="16" t="e">
        <x:f>#REF!</x:f>
        <x:v>#REF!</x:v>
      </x:c>
      <x:c r="V36" s="17" t="e">
        <x:f t="shared" si="3"/>
        <x:v>#REF!</x:v>
      </x:c>
      <x:c r="W36" s="18" t="e">
        <x:f t="shared" si="5"/>
        <x:v>#REF!</x:v>
      </x:c>
      <x:c r="X36" s="19">
        <x:f t="shared" si="4"/>
        <x:v>0</x:v>
      </x:c>
      <x:c r="Y36" s="22"/>
      <x:c r="Z36" s="23"/>
    </x:row>
    <x:row r="37" s="1" customFormat="1" hidden="1">
      <x:c r="A37" s="53">
        <x:v>9</x:v>
      </x:c>
      <x:c r="B37" s="71" t="s">
        <x:v>167</x:v>
      </x:c>
      <x:c r="C37" s="16"/>
      <x:c r="D37" s="16" t="e">
        <x:f>#REF!</x:f>
        <x:v>#REF!</x:v>
      </x:c>
      <x:c r="E37" s="16" t="e">
        <x:f>#REF!</x:f>
        <x:v>#REF!</x:v>
      </x:c>
      <x:c r="F37" s="16" t="e">
        <x:f>#REF!</x:f>
        <x:v>#REF!</x:v>
      </x:c>
      <x:c r="G37" s="16" t="e">
        <x:f>#REF!</x:f>
        <x:v>#REF!</x:v>
      </x:c>
      <x:c r="H37" s="16" t="e">
        <x:f>#REF!</x:f>
        <x:v>#REF!</x:v>
      </x:c>
      <x:c r="I37" s="16" t="e">
        <x:f>#REF!</x:f>
        <x:v>#REF!</x:v>
      </x:c>
      <x:c r="J37" s="16" t="e">
        <x:f>#REF!</x:f>
        <x:v>#REF!</x:v>
      </x:c>
      <x:c r="K37" s="16" t="e">
        <x:f>#REF!</x:f>
        <x:v>#REF!</x:v>
      </x:c>
      <x:c r="L37" s="16" t="e">
        <x:f>#REF!</x:f>
        <x:v>#REF!</x:v>
      </x:c>
      <x:c r="M37" s="16" t="e">
        <x:f>#REF!</x:f>
        <x:v>#REF!</x:v>
      </x:c>
      <x:c r="N37" s="16" t="e">
        <x:f>#REF!</x:f>
        <x:v>#REF!</x:v>
      </x:c>
      <x:c r="O37" s="16" t="e">
        <x:f>#REF!</x:f>
        <x:v>#REF!</x:v>
      </x:c>
      <x:c r="P37" s="16" t="e">
        <x:f>#REF!</x:f>
        <x:v>#REF!</x:v>
      </x:c>
      <x:c r="Q37" s="16" t="e">
        <x:f>#REF!</x:f>
        <x:v>#REF!</x:v>
      </x:c>
      <x:c r="R37" s="16" t="e">
        <x:f>#REF!</x:f>
        <x:v>#REF!</x:v>
      </x:c>
      <x:c r="S37" s="16" t="e">
        <x:f>#REF!</x:f>
        <x:v>#REF!</x:v>
      </x:c>
      <x:c r="T37" s="16" t="e">
        <x:f>#REF!</x:f>
        <x:v>#REF!</x:v>
      </x:c>
      <x:c r="U37" s="16" t="e">
        <x:f>#REF!</x:f>
        <x:v>#REF!</x:v>
      </x:c>
      <x:c r="V37" s="17" t="e">
        <x:f t="shared" si="3"/>
        <x:v>#REF!</x:v>
      </x:c>
      <x:c r="W37" s="18" t="e">
        <x:f t="shared" si="5"/>
        <x:v>#REF!</x:v>
      </x:c>
      <x:c r="X37" s="19">
        <x:f t="shared" si="4"/>
        <x:v>0</x:v>
      </x:c>
      <x:c r="Y37" s="22"/>
      <x:c r="Z37" s="23"/>
    </x:row>
    <x:row r="38" s="1" customFormat="1" hidden="1">
      <x:c r="A38" s="53">
        <x:v>10</x:v>
      </x:c>
      <x:c r="B38" s="71" t="s">
        <x:v>168</x:v>
      </x:c>
      <x:c r="C38" s="16"/>
      <x:c r="D38" s="16" t="e">
        <x:f>#REF!</x:f>
        <x:v>#REF!</x:v>
      </x:c>
      <x:c r="E38" s="16" t="e">
        <x:f>#REF!</x:f>
        <x:v>#REF!</x:v>
      </x:c>
      <x:c r="F38" s="16" t="e">
        <x:f>#REF!</x:f>
        <x:v>#REF!</x:v>
      </x:c>
      <x:c r="G38" s="16" t="e">
        <x:f>#REF!</x:f>
        <x:v>#REF!</x:v>
      </x:c>
      <x:c r="H38" s="16" t="e">
        <x:f>#REF!</x:f>
        <x:v>#REF!</x:v>
      </x:c>
      <x:c r="I38" s="16" t="e">
        <x:f>#REF!</x:f>
        <x:v>#REF!</x:v>
      </x:c>
      <x:c r="J38" s="16" t="e">
        <x:f>#REF!</x:f>
        <x:v>#REF!</x:v>
      </x:c>
      <x:c r="K38" s="16" t="e">
        <x:f>#REF!</x:f>
        <x:v>#REF!</x:v>
      </x:c>
      <x:c r="L38" s="16" t="e">
        <x:f>#REF!</x:f>
        <x:v>#REF!</x:v>
      </x:c>
      <x:c r="M38" s="16" t="e">
        <x:f>#REF!</x:f>
        <x:v>#REF!</x:v>
      </x:c>
      <x:c r="N38" s="16" t="e">
        <x:f>#REF!</x:f>
        <x:v>#REF!</x:v>
      </x:c>
      <x:c r="O38" s="16" t="e">
        <x:f>#REF!</x:f>
        <x:v>#REF!</x:v>
      </x:c>
      <x:c r="P38" s="16" t="e">
        <x:f>#REF!</x:f>
        <x:v>#REF!</x:v>
      </x:c>
      <x:c r="Q38" s="16" t="e">
        <x:f>#REF!</x:f>
        <x:v>#REF!</x:v>
      </x:c>
      <x:c r="R38" s="16" t="e">
        <x:f>#REF!</x:f>
        <x:v>#REF!</x:v>
      </x:c>
      <x:c r="S38" s="16" t="e">
        <x:f>#REF!</x:f>
        <x:v>#REF!</x:v>
      </x:c>
      <x:c r="T38" s="16" t="e">
        <x:f>#REF!</x:f>
        <x:v>#REF!</x:v>
      </x:c>
      <x:c r="U38" s="16" t="e">
        <x:f>#REF!</x:f>
        <x:v>#REF!</x:v>
      </x:c>
      <x:c r="V38" s="17" t="e">
        <x:f t="shared" si="3"/>
        <x:v>#REF!</x:v>
      </x:c>
      <x:c r="W38" s="18" t="e">
        <x:f t="shared" si="5"/>
        <x:v>#REF!</x:v>
      </x:c>
      <x:c r="X38" s="19">
        <x:f t="shared" si="4"/>
        <x:v>0</x:v>
      </x:c>
      <x:c r="Y38" s="22"/>
      <x:c r="Z38" s="23"/>
    </x:row>
    <x:row r="39" s="1" customFormat="1" hidden="1">
      <x:c r="A39" s="53">
        <x:v>11</x:v>
      </x:c>
      <x:c r="B39" s="71" t="s">
        <x:v>169</x:v>
      </x:c>
      <x:c r="C39" s="16"/>
      <x:c r="D39" s="16" t="e">
        <x:f>#REF!</x:f>
        <x:v>#REF!</x:v>
      </x:c>
      <x:c r="E39" s="16" t="e">
        <x:f>#REF!</x:f>
        <x:v>#REF!</x:v>
      </x:c>
      <x:c r="F39" s="16" t="e">
        <x:f>#REF!</x:f>
        <x:v>#REF!</x:v>
      </x:c>
      <x:c r="G39" s="16" t="e">
        <x:f>#REF!</x:f>
        <x:v>#REF!</x:v>
      </x:c>
      <x:c r="H39" s="16" t="e">
        <x:f>#REF!</x:f>
        <x:v>#REF!</x:v>
      </x:c>
      <x:c r="I39" s="16" t="e">
        <x:f>#REF!</x:f>
        <x:v>#REF!</x:v>
      </x:c>
      <x:c r="J39" s="16" t="e">
        <x:f>#REF!</x:f>
        <x:v>#REF!</x:v>
      </x:c>
      <x:c r="K39" s="16" t="e">
        <x:f>#REF!</x:f>
        <x:v>#REF!</x:v>
      </x:c>
      <x:c r="L39" s="16" t="e">
        <x:f>#REF!</x:f>
        <x:v>#REF!</x:v>
      </x:c>
      <x:c r="M39" s="16" t="e">
        <x:f>#REF!</x:f>
        <x:v>#REF!</x:v>
      </x:c>
      <x:c r="N39" s="16" t="e">
        <x:f>#REF!</x:f>
        <x:v>#REF!</x:v>
      </x:c>
      <x:c r="O39" s="16" t="e">
        <x:f>#REF!</x:f>
        <x:v>#REF!</x:v>
      </x:c>
      <x:c r="P39" s="16" t="e">
        <x:f>#REF!</x:f>
        <x:v>#REF!</x:v>
      </x:c>
      <x:c r="Q39" s="16" t="e">
        <x:f>#REF!</x:f>
        <x:v>#REF!</x:v>
      </x:c>
      <x:c r="R39" s="16" t="e">
        <x:f>#REF!</x:f>
        <x:v>#REF!</x:v>
      </x:c>
      <x:c r="S39" s="16" t="e">
        <x:f>#REF!</x:f>
        <x:v>#REF!</x:v>
      </x:c>
      <x:c r="T39" s="16" t="e">
        <x:f>#REF!</x:f>
        <x:v>#REF!</x:v>
      </x:c>
      <x:c r="U39" s="16" t="e">
        <x:f>#REF!</x:f>
        <x:v>#REF!</x:v>
      </x:c>
      <x:c r="V39" s="17" t="e">
        <x:f t="shared" si="3"/>
        <x:v>#REF!</x:v>
      </x:c>
      <x:c r="W39" s="18" t="e">
        <x:f t="shared" si="5"/>
        <x:v>#REF!</x:v>
      </x:c>
      <x:c r="X39" s="19">
        <x:f t="shared" si="4"/>
        <x:v>0</x:v>
      </x:c>
      <x:c r="Y39" s="22"/>
      <x:c r="Z39" s="23"/>
    </x:row>
    <x:row r="40" s="1" customFormat="1" ht="29.25" hidden="1" customHeight="1">
      <x:c r="A40" s="53">
        <x:v>12</x:v>
      </x:c>
      <x:c r="B40" s="71" t="s">
        <x:v>170</x:v>
      </x:c>
      <x:c r="C40" s="16"/>
      <x:c r="D40" s="16" t="e">
        <x:f>#REF!</x:f>
        <x:v>#REF!</x:v>
      </x:c>
      <x:c r="E40" s="16" t="e">
        <x:f>#REF!</x:f>
        <x:v>#REF!</x:v>
      </x:c>
      <x:c r="F40" s="16" t="e">
        <x:f>#REF!</x:f>
        <x:v>#REF!</x:v>
      </x:c>
      <x:c r="G40" s="16" t="e">
        <x:f>#REF!</x:f>
        <x:v>#REF!</x:v>
      </x:c>
      <x:c r="H40" s="16" t="e">
        <x:f>#REF!</x:f>
        <x:v>#REF!</x:v>
      </x:c>
      <x:c r="I40" s="16" t="e">
        <x:f>#REF!</x:f>
        <x:v>#REF!</x:v>
      </x:c>
      <x:c r="J40" s="16" t="e">
        <x:f>#REF!</x:f>
        <x:v>#REF!</x:v>
      </x:c>
      <x:c r="K40" s="16" t="e">
        <x:f>#REF!</x:f>
        <x:v>#REF!</x:v>
      </x:c>
      <x:c r="L40" s="16" t="e">
        <x:f>#REF!</x:f>
        <x:v>#REF!</x:v>
      </x:c>
      <x:c r="M40" s="16" t="e">
        <x:f>#REF!</x:f>
        <x:v>#REF!</x:v>
      </x:c>
      <x:c r="N40" s="16" t="e">
        <x:f>#REF!</x:f>
        <x:v>#REF!</x:v>
      </x:c>
      <x:c r="O40" s="16" t="e">
        <x:f>#REF!</x:f>
        <x:v>#REF!</x:v>
      </x:c>
      <x:c r="P40" s="16" t="e">
        <x:f>#REF!</x:f>
        <x:v>#REF!</x:v>
      </x:c>
      <x:c r="Q40" s="16" t="e">
        <x:f>#REF!</x:f>
        <x:v>#REF!</x:v>
      </x:c>
      <x:c r="R40" s="16" t="e">
        <x:f>#REF!</x:f>
        <x:v>#REF!</x:v>
      </x:c>
      <x:c r="S40" s="16" t="e">
        <x:f>#REF!</x:f>
        <x:v>#REF!</x:v>
      </x:c>
      <x:c r="T40" s="16" t="e">
        <x:f>#REF!</x:f>
        <x:v>#REF!</x:v>
      </x:c>
      <x:c r="U40" s="16" t="e">
        <x:f>#REF!</x:f>
        <x:v>#REF!</x:v>
      </x:c>
      <x:c r="V40" s="17" t="e">
        <x:f t="shared" si="3"/>
        <x:v>#REF!</x:v>
      </x:c>
      <x:c r="W40" s="18" t="e">
        <x:f t="shared" si="5"/>
        <x:v>#REF!</x:v>
      </x:c>
      <x:c r="X40" s="19">
        <x:f t="shared" si="4"/>
        <x:v>0</x:v>
      </x:c>
      <x:c r="Y40" s="22"/>
      <x:c r="Z40" s="23"/>
    </x:row>
    <x:row r="41" s="1" customFormat="1" ht="29.25" hidden="1" customHeight="1">
      <x:c r="A41" s="53">
        <x:v>13</x:v>
      </x:c>
      <x:c r="B41" s="63" t="s">
        <x:v>171</x:v>
      </x:c>
      <x:c r="C41" s="24"/>
      <x:c r="D41" s="24" t="e">
        <x:f>#REF!</x:f>
        <x:v>#REF!</x:v>
      </x:c>
      <x:c r="E41" s="24" t="e">
        <x:f>#REF!</x:f>
        <x:v>#REF!</x:v>
      </x:c>
      <x:c r="F41" s="24" t="e">
        <x:f>#REF!</x:f>
        <x:v>#REF!</x:v>
      </x:c>
      <x:c r="G41" s="24" t="e">
        <x:f>#REF!</x:f>
        <x:v>#REF!</x:v>
      </x:c>
      <x:c r="H41" s="24" t="e">
        <x:f>#REF!</x:f>
        <x:v>#REF!</x:v>
      </x:c>
      <x:c r="I41" s="24" t="e">
        <x:f>#REF!</x:f>
        <x:v>#REF!</x:v>
      </x:c>
      <x:c r="J41" s="24" t="e">
        <x:f>#REF!</x:f>
        <x:v>#REF!</x:v>
      </x:c>
      <x:c r="K41" s="24" t="e">
        <x:f>#REF!</x:f>
        <x:v>#REF!</x:v>
      </x:c>
      <x:c r="L41" s="24" t="e">
        <x:f>#REF!</x:f>
        <x:v>#REF!</x:v>
      </x:c>
      <x:c r="M41" s="24" t="e">
        <x:f>#REF!</x:f>
        <x:v>#REF!</x:v>
      </x:c>
      <x:c r="N41" s="24" t="e">
        <x:f>#REF!</x:f>
        <x:v>#REF!</x:v>
      </x:c>
      <x:c r="O41" s="24" t="e">
        <x:f>#REF!</x:f>
        <x:v>#REF!</x:v>
      </x:c>
      <x:c r="P41" s="24" t="e">
        <x:f>#REF!</x:f>
        <x:v>#REF!</x:v>
      </x:c>
      <x:c r="Q41" s="24" t="e">
        <x:f>#REF!</x:f>
        <x:v>#REF!</x:v>
      </x:c>
      <x:c r="R41" s="24" t="e">
        <x:f>#REF!</x:f>
        <x:v>#REF!</x:v>
      </x:c>
      <x:c r="S41" s="24" t="e">
        <x:f>#REF!</x:f>
        <x:v>#REF!</x:v>
      </x:c>
      <x:c r="T41" s="24" t="e">
        <x:f>#REF!</x:f>
        <x:v>#REF!</x:v>
      </x:c>
      <x:c r="U41" s="24" t="e">
        <x:f>#REF!</x:f>
        <x:v>#REF!</x:v>
      </x:c>
      <x:c r="V41" s="17" t="e">
        <x:f t="shared" si="3"/>
        <x:v>#REF!</x:v>
      </x:c>
      <x:c r="W41" s="18" t="e">
        <x:f t="shared" si="5"/>
        <x:v>#REF!</x:v>
      </x:c>
      <x:c r="X41" s="19">
        <x:f t="shared" si="4"/>
        <x:v>0</x:v>
      </x:c>
      <x:c r="Y41" s="25"/>
      <x:c r="Z41" s="23"/>
    </x:row>
    <x:row r="42" s="1" customFormat="1" ht="29.25" hidden="1" customHeight="1">
      <x:c r="A42" s="53">
        <x:v>14</x:v>
      </x:c>
      <x:c r="B42" s="72" t="s">
        <x:v>172</x:v>
      </x:c>
      <x:c r="C42" s="26"/>
      <x:c r="D42" s="46" t="e">
        <x:f>#REF!</x:f>
        <x:v>#REF!</x:v>
      </x:c>
      <x:c r="E42" s="46" t="e">
        <x:f>#REF!</x:f>
        <x:v>#REF!</x:v>
      </x:c>
      <x:c r="F42" s="46" t="e">
        <x:f>#REF!</x:f>
        <x:v>#REF!</x:v>
      </x:c>
      <x:c r="G42" s="46" t="e">
        <x:f>#REF!</x:f>
        <x:v>#REF!</x:v>
      </x:c>
      <x:c r="H42" s="46" t="e">
        <x:f>#REF!</x:f>
        <x:v>#REF!</x:v>
      </x:c>
      <x:c r="I42" s="46" t="e">
        <x:f>#REF!</x:f>
        <x:v>#REF!</x:v>
      </x:c>
      <x:c r="J42" s="46" t="e">
        <x:f>#REF!</x:f>
        <x:v>#REF!</x:v>
      </x:c>
      <x:c r="K42" s="46" t="e">
        <x:f>#REF!</x:f>
        <x:v>#REF!</x:v>
      </x:c>
      <x:c r="L42" s="46" t="e">
        <x:f>#REF!</x:f>
        <x:v>#REF!</x:v>
      </x:c>
      <x:c r="M42" s="46" t="e">
        <x:f>#REF!</x:f>
        <x:v>#REF!</x:v>
      </x:c>
      <x:c r="N42" s="46" t="e">
        <x:f>#REF!</x:f>
        <x:v>#REF!</x:v>
      </x:c>
      <x:c r="O42" s="46" t="e">
        <x:f>#REF!</x:f>
        <x:v>#REF!</x:v>
      </x:c>
      <x:c r="P42" s="46" t="e">
        <x:f>#REF!</x:f>
        <x:v>#REF!</x:v>
      </x:c>
      <x:c r="Q42" s="46" t="e">
        <x:f>#REF!</x:f>
        <x:v>#REF!</x:v>
      </x:c>
      <x:c r="R42" s="46" t="e">
        <x:f>#REF!</x:f>
        <x:v>#REF!</x:v>
      </x:c>
      <x:c r="S42" s="46" t="e">
        <x:f>#REF!</x:f>
        <x:v>#REF!</x:v>
      </x:c>
      <x:c r="T42" s="46" t="e">
        <x:f>#REF!</x:f>
        <x:v>#REF!</x:v>
      </x:c>
      <x:c r="U42" s="46" t="e">
        <x:f>#REF!</x:f>
        <x:v>#REF!</x:v>
      </x:c>
      <x:c r="V42" s="17" t="e">
        <x:f t="shared" si="3"/>
        <x:v>#REF!</x:v>
      </x:c>
      <x:c r="W42" s="18" t="e">
        <x:f t="shared" si="5"/>
        <x:v>#REF!</x:v>
      </x:c>
      <x:c r="X42" s="19">
        <x:f t="shared" si="4"/>
        <x:v>0</x:v>
      </x:c>
      <x:c r="Y42" s="27"/>
      <x:c r="Z42" s="28"/>
    </x:row>
    <x:row r="43" s="1" customFormat="1" ht="29.25" hidden="1" customHeight="1">
      <x:c r="A43" s="53">
        <x:v>15</x:v>
      </x:c>
      <x:c r="B43" s="63" t="s">
        <x:v>173</x:v>
      </x:c>
      <x:c r="C43" s="50"/>
      <x:c r="D43" s="49" t="e">
        <x:f>#REF!</x:f>
        <x:v>#REF!</x:v>
      </x:c>
      <x:c r="E43" s="49" t="e">
        <x:f>#REF!</x:f>
        <x:v>#REF!</x:v>
      </x:c>
      <x:c r="F43" s="49" t="e">
        <x:f>#REF!</x:f>
        <x:v>#REF!</x:v>
      </x:c>
      <x:c r="G43" s="49" t="e">
        <x:f>#REF!</x:f>
        <x:v>#REF!</x:v>
      </x:c>
      <x:c r="H43" s="49" t="e">
        <x:f>#REF!</x:f>
        <x:v>#REF!</x:v>
      </x:c>
      <x:c r="I43" s="49" t="e">
        <x:f>#REF!</x:f>
        <x:v>#REF!</x:v>
      </x:c>
      <x:c r="J43" s="49" t="e">
        <x:f>#REF!</x:f>
        <x:v>#REF!</x:v>
      </x:c>
      <x:c r="K43" s="49" t="e">
        <x:f>#REF!</x:f>
        <x:v>#REF!</x:v>
      </x:c>
      <x:c r="L43" s="49" t="e">
        <x:f>#REF!</x:f>
        <x:v>#REF!</x:v>
      </x:c>
      <x:c r="M43" s="49" t="e">
        <x:f>#REF!</x:f>
        <x:v>#REF!</x:v>
      </x:c>
      <x:c r="N43" s="49" t="e">
        <x:f>#REF!</x:f>
        <x:v>#REF!</x:v>
      </x:c>
      <x:c r="O43" s="49" t="e">
        <x:f>#REF!</x:f>
        <x:v>#REF!</x:v>
      </x:c>
      <x:c r="P43" s="49" t="e">
        <x:f>#REF!</x:f>
        <x:v>#REF!</x:v>
      </x:c>
      <x:c r="Q43" s="49" t="e">
        <x:f>#REF!</x:f>
        <x:v>#REF!</x:v>
      </x:c>
      <x:c r="R43" s="49" t="e">
        <x:f>#REF!</x:f>
        <x:v>#REF!</x:v>
      </x:c>
      <x:c r="S43" s="49" t="e">
        <x:f>#REF!</x:f>
        <x:v>#REF!</x:v>
      </x:c>
      <x:c r="T43" s="49" t="e">
        <x:f>#REF!</x:f>
        <x:v>#REF!</x:v>
      </x:c>
      <x:c r="U43" s="49" t="e">
        <x:f>#REF!</x:f>
        <x:v>#REF!</x:v>
      </x:c>
      <x:c r="V43" s="17" t="e">
        <x:f t="shared" si="3"/>
        <x:v>#REF!</x:v>
      </x:c>
      <x:c r="W43" s="18" t="e">
        <x:f t="shared" si="5"/>
        <x:v>#REF!</x:v>
      </x:c>
      <x:c r="X43" s="19">
        <x:f t="shared" si="4"/>
        <x:v>0</x:v>
      </x:c>
      <x:c r="Y43" s="30"/>
      <x:c r="Z43" s="23"/>
    </x:row>
    <x:row r="44" s="1" customFormat="1" hidden="1">
      <x:c r="A44" s="53">
        <x:v>16</x:v>
      </x:c>
      <x:c r="B44" s="65" t="s">
        <x:v>174</x:v>
      </x:c>
      <x:c r="C44" s="26"/>
      <x:c r="D44" s="46" t="e">
        <x:f>#REF!</x:f>
        <x:v>#REF!</x:v>
      </x:c>
      <x:c r="E44" s="46" t="e">
        <x:f>#REF!</x:f>
        <x:v>#REF!</x:v>
      </x:c>
      <x:c r="F44" s="46" t="e">
        <x:f>#REF!</x:f>
        <x:v>#REF!</x:v>
      </x:c>
      <x:c r="G44" s="46" t="e">
        <x:f>#REF!</x:f>
        <x:v>#REF!</x:v>
      </x:c>
      <x:c r="H44" s="46" t="e">
        <x:f>#REF!</x:f>
        <x:v>#REF!</x:v>
      </x:c>
      <x:c r="I44" s="46" t="e">
        <x:f>#REF!</x:f>
        <x:v>#REF!</x:v>
      </x:c>
      <x:c r="J44" s="46" t="e">
        <x:f>#REF!</x:f>
        <x:v>#REF!</x:v>
      </x:c>
      <x:c r="K44" s="46" t="e">
        <x:f>#REF!</x:f>
        <x:v>#REF!</x:v>
      </x:c>
      <x:c r="L44" s="46" t="e">
        <x:f>#REF!</x:f>
        <x:v>#REF!</x:v>
      </x:c>
      <x:c r="M44" s="46" t="e">
        <x:f>#REF!</x:f>
        <x:v>#REF!</x:v>
      </x:c>
      <x:c r="N44" s="46" t="e">
        <x:f>#REF!</x:f>
        <x:v>#REF!</x:v>
      </x:c>
      <x:c r="O44" s="46" t="e">
        <x:f>#REF!</x:f>
        <x:v>#REF!</x:v>
      </x:c>
      <x:c r="P44" s="46" t="e">
        <x:f>#REF!</x:f>
        <x:v>#REF!</x:v>
      </x:c>
      <x:c r="Q44" s="46" t="e">
        <x:f>#REF!</x:f>
        <x:v>#REF!</x:v>
      </x:c>
      <x:c r="R44" s="46" t="e">
        <x:f>#REF!</x:f>
        <x:v>#REF!</x:v>
      </x:c>
      <x:c r="S44" s="46" t="e">
        <x:f>#REF!</x:f>
        <x:v>#REF!</x:v>
      </x:c>
      <x:c r="T44" s="46" t="e">
        <x:f>#REF!</x:f>
        <x:v>#REF!</x:v>
      </x:c>
      <x:c r="U44" s="46" t="e">
        <x:f>#REF!</x:f>
        <x:v>#REF!</x:v>
      </x:c>
      <x:c r="V44" s="17" t="e">
        <x:f t="shared" si="3"/>
        <x:v>#REF!</x:v>
      </x:c>
      <x:c r="W44" s="18" t="e">
        <x:f t="shared" si="5"/>
        <x:v>#REF!</x:v>
      </x:c>
      <x:c r="X44" s="19">
        <x:f t="shared" si="4"/>
        <x:v>0</x:v>
      </x:c>
      <x:c r="Y44" s="30"/>
      <x:c r="Z44" s="23"/>
    </x:row>
    <x:row r="45" s="1" customFormat="1" hidden="1">
      <x:c r="A45" s="53">
        <x:v>17</x:v>
      </x:c>
      <x:c r="B45" s="66" t="s">
        <x:v>175</x:v>
      </x:c>
      <x:c r="C45" s="29"/>
      <x:c r="D45" s="47" t="e">
        <x:f>#REF!</x:f>
        <x:v>#REF!</x:v>
      </x:c>
      <x:c r="E45" s="47" t="e">
        <x:f>#REF!</x:f>
        <x:v>#REF!</x:v>
      </x:c>
      <x:c r="F45" s="47" t="e">
        <x:f>#REF!</x:f>
        <x:v>#REF!</x:v>
      </x:c>
      <x:c r="G45" s="47" t="e">
        <x:f>#REF!</x:f>
        <x:v>#REF!</x:v>
      </x:c>
      <x:c r="H45" s="47" t="e">
        <x:f>#REF!</x:f>
        <x:v>#REF!</x:v>
      </x:c>
      <x:c r="I45" s="47" t="e">
        <x:f>#REF!</x:f>
        <x:v>#REF!</x:v>
      </x:c>
      <x:c r="J45" s="47" t="e">
        <x:f>#REF!</x:f>
        <x:v>#REF!</x:v>
      </x:c>
      <x:c r="K45" s="47" t="e">
        <x:f>#REF!</x:f>
        <x:v>#REF!</x:v>
      </x:c>
      <x:c r="L45" s="47" t="e">
        <x:f>#REF!</x:f>
        <x:v>#REF!</x:v>
      </x:c>
      <x:c r="M45" s="47" t="e">
        <x:f>#REF!</x:f>
        <x:v>#REF!</x:v>
      </x:c>
      <x:c r="N45" s="47" t="e">
        <x:f>#REF!</x:f>
        <x:v>#REF!</x:v>
      </x:c>
      <x:c r="O45" s="47" t="e">
        <x:f>#REF!</x:f>
        <x:v>#REF!</x:v>
      </x:c>
      <x:c r="P45" s="47" t="e">
        <x:f>#REF!</x:f>
        <x:v>#REF!</x:v>
      </x:c>
      <x:c r="Q45" s="47" t="e">
        <x:f>#REF!</x:f>
        <x:v>#REF!</x:v>
      </x:c>
      <x:c r="R45" s="47" t="e">
        <x:f>#REF!</x:f>
        <x:v>#REF!</x:v>
      </x:c>
      <x:c r="S45" s="47" t="e">
        <x:f>#REF!</x:f>
        <x:v>#REF!</x:v>
      </x:c>
      <x:c r="T45" s="47" t="e">
        <x:f>#REF!</x:f>
        <x:v>#REF!</x:v>
      </x:c>
      <x:c r="U45" s="47" t="e">
        <x:f>#REF!</x:f>
        <x:v>#REF!</x:v>
      </x:c>
      <x:c r="V45" s="17" t="e">
        <x:f t="shared" si="3"/>
        <x:v>#REF!</x:v>
      </x:c>
      <x:c r="W45" s="18" t="e">
        <x:f t="shared" si="5"/>
        <x:v>#REF!</x:v>
      </x:c>
      <x:c r="X45" s="19">
        <x:f t="shared" si="4"/>
        <x:v>0</x:v>
      </x:c>
      <x:c r="Y45" s="30"/>
      <x:c r="Z45" s="23"/>
    </x:row>
    <x:row r="46" s="1" customFormat="1" hidden="1">
      <x:c r="A46" s="53">
        <x:v>18</x:v>
      </x:c>
      <x:c r="B46" s="71" t="s">
        <x:v>176</x:v>
      </x:c>
      <x:c r="C46" s="29"/>
      <x:c r="D46" s="47" t="e">
        <x:f>#REF!</x:f>
        <x:v>#REF!</x:v>
      </x:c>
      <x:c r="E46" s="47" t="e">
        <x:f>#REF!</x:f>
        <x:v>#REF!</x:v>
      </x:c>
      <x:c r="F46" s="47" t="e">
        <x:f>#REF!</x:f>
        <x:v>#REF!</x:v>
      </x:c>
      <x:c r="G46" s="47" t="e">
        <x:f>#REF!</x:f>
        <x:v>#REF!</x:v>
      </x:c>
      <x:c r="H46" s="47" t="e">
        <x:f>#REF!</x:f>
        <x:v>#REF!</x:v>
      </x:c>
      <x:c r="I46" s="47" t="e">
        <x:f>#REF!</x:f>
        <x:v>#REF!</x:v>
      </x:c>
      <x:c r="J46" s="47" t="e">
        <x:f>#REF!</x:f>
        <x:v>#REF!</x:v>
      </x:c>
      <x:c r="K46" s="47" t="e">
        <x:f>#REF!</x:f>
        <x:v>#REF!</x:v>
      </x:c>
      <x:c r="L46" s="47" t="e">
        <x:f>#REF!</x:f>
        <x:v>#REF!</x:v>
      </x:c>
      <x:c r="M46" s="47" t="e">
        <x:f>#REF!</x:f>
        <x:v>#REF!</x:v>
      </x:c>
      <x:c r="N46" s="47" t="e">
        <x:f>#REF!</x:f>
        <x:v>#REF!</x:v>
      </x:c>
      <x:c r="O46" s="47" t="e">
        <x:f>#REF!</x:f>
        <x:v>#REF!</x:v>
      </x:c>
      <x:c r="P46" s="47" t="e">
        <x:f>#REF!</x:f>
        <x:v>#REF!</x:v>
      </x:c>
      <x:c r="Q46" s="47" t="e">
        <x:f>#REF!</x:f>
        <x:v>#REF!</x:v>
      </x:c>
      <x:c r="R46" s="47" t="e">
        <x:f>#REF!</x:f>
        <x:v>#REF!</x:v>
      </x:c>
      <x:c r="S46" s="47" t="e">
        <x:f>#REF!</x:f>
        <x:v>#REF!</x:v>
      </x:c>
      <x:c r="T46" s="47" t="e">
        <x:f>#REF!</x:f>
        <x:v>#REF!</x:v>
      </x:c>
      <x:c r="U46" s="47" t="e">
        <x:f>#REF!</x:f>
        <x:v>#REF!</x:v>
      </x:c>
      <x:c r="V46" s="17" t="e">
        <x:f t="shared" si="3"/>
        <x:v>#REF!</x:v>
      </x:c>
      <x:c r="W46" s="18" t="e">
        <x:f t="shared" si="5"/>
        <x:v>#REF!</x:v>
      </x:c>
      <x:c r="X46" s="19">
        <x:f t="shared" si="4"/>
        <x:v>0</x:v>
      </x:c>
      <x:c r="Y46" s="30"/>
      <x:c r="Z46" s="23"/>
    </x:row>
    <x:row r="47" s="1" customFormat="1" ht="29.25" hidden="1" customHeight="1">
      <x:c r="A47" s="53">
        <x:v>19</x:v>
      </x:c>
      <x:c r="B47" s="67" t="s">
        <x:v>177</x:v>
      </x:c>
      <x:c r="C47" s="74"/>
      <x:c r="D47" s="47" t="e">
        <x:f>#REF!</x:f>
        <x:v>#REF!</x:v>
      </x:c>
      <x:c r="E47" s="47" t="e">
        <x:f>#REF!</x:f>
        <x:v>#REF!</x:v>
      </x:c>
      <x:c r="F47" s="47" t="e">
        <x:f>#REF!</x:f>
        <x:v>#REF!</x:v>
      </x:c>
      <x:c r="G47" s="47" t="e">
        <x:f>#REF!</x:f>
        <x:v>#REF!</x:v>
      </x:c>
      <x:c r="H47" s="47" t="e">
        <x:f>#REF!</x:f>
        <x:v>#REF!</x:v>
      </x:c>
      <x:c r="I47" s="47" t="e">
        <x:f>#REF!</x:f>
        <x:v>#REF!</x:v>
      </x:c>
      <x:c r="J47" s="47" t="e">
        <x:f>#REF!</x:f>
        <x:v>#REF!</x:v>
      </x:c>
      <x:c r="K47" s="47" t="e">
        <x:f>#REF!</x:f>
        <x:v>#REF!</x:v>
      </x:c>
      <x:c r="L47" s="47" t="e">
        <x:f>#REF!</x:f>
        <x:v>#REF!</x:v>
      </x:c>
      <x:c r="M47" s="47" t="e">
        <x:f>#REF!</x:f>
        <x:v>#REF!</x:v>
      </x:c>
      <x:c r="N47" s="47" t="e">
        <x:f>#REF!</x:f>
        <x:v>#REF!</x:v>
      </x:c>
      <x:c r="O47" s="47" t="e">
        <x:f>#REF!</x:f>
        <x:v>#REF!</x:v>
      </x:c>
      <x:c r="P47" s="47" t="e">
        <x:f>#REF!</x:f>
        <x:v>#REF!</x:v>
      </x:c>
      <x:c r="Q47" s="47" t="e">
        <x:f>#REF!</x:f>
        <x:v>#REF!</x:v>
      </x:c>
      <x:c r="R47" s="47" t="e">
        <x:f>#REF!</x:f>
        <x:v>#REF!</x:v>
      </x:c>
      <x:c r="S47" s="47" t="e">
        <x:f>#REF!</x:f>
        <x:v>#REF!</x:v>
      </x:c>
      <x:c r="T47" s="47" t="e">
        <x:f>#REF!</x:f>
        <x:v>#REF!</x:v>
      </x:c>
      <x:c r="U47" s="47" t="e">
        <x:f>#REF!</x:f>
        <x:v>#REF!</x:v>
      </x:c>
      <x:c r="V47" s="17" t="e">
        <x:f t="shared" si="3"/>
        <x:v>#REF!</x:v>
      </x:c>
      <x:c r="W47" s="18" t="e">
        <x:f t="shared" si="5"/>
        <x:v>#REF!</x:v>
      </x:c>
      <x:c r="X47" s="19">
        <x:f t="shared" si="4"/>
        <x:v>0</x:v>
      </x:c>
      <x:c r="Y47" s="30"/>
      <x:c r="Z47" s="23"/>
    </x:row>
    <x:row r="48" s="1" customFormat="1" ht="29.25" hidden="1" customHeight="1">
      <x:c r="A48" s="53">
        <x:v>20</x:v>
      </x:c>
      <x:c r="B48" s="67" t="s">
        <x:v>178</x:v>
      </x:c>
      <x:c r="C48" s="29"/>
      <x:c r="D48" s="47" t="e">
        <x:f>#REF!</x:f>
        <x:v>#REF!</x:v>
      </x:c>
      <x:c r="E48" s="47" t="e">
        <x:f>#REF!</x:f>
        <x:v>#REF!</x:v>
      </x:c>
      <x:c r="F48" s="47" t="e">
        <x:f>#REF!</x:f>
        <x:v>#REF!</x:v>
      </x:c>
      <x:c r="G48" s="47" t="e">
        <x:f>#REF!</x:f>
        <x:v>#REF!</x:v>
      </x:c>
      <x:c r="H48" s="47" t="e">
        <x:f>#REF!</x:f>
        <x:v>#REF!</x:v>
      </x:c>
      <x:c r="I48" s="47" t="e">
        <x:f>#REF!</x:f>
        <x:v>#REF!</x:v>
      </x:c>
      <x:c r="J48" s="47" t="e">
        <x:f>#REF!</x:f>
        <x:v>#REF!</x:v>
      </x:c>
      <x:c r="K48" s="47" t="e">
        <x:f>#REF!</x:f>
        <x:v>#REF!</x:v>
      </x:c>
      <x:c r="L48" s="47" t="e">
        <x:f>#REF!</x:f>
        <x:v>#REF!</x:v>
      </x:c>
      <x:c r="M48" s="47" t="e">
        <x:f>#REF!</x:f>
        <x:v>#REF!</x:v>
      </x:c>
      <x:c r="N48" s="47" t="e">
        <x:f>#REF!</x:f>
        <x:v>#REF!</x:v>
      </x:c>
      <x:c r="O48" s="47" t="e">
        <x:f>#REF!</x:f>
        <x:v>#REF!</x:v>
      </x:c>
      <x:c r="P48" s="47" t="e">
        <x:f>#REF!</x:f>
        <x:v>#REF!</x:v>
      </x:c>
      <x:c r="Q48" s="47" t="e">
        <x:f>#REF!</x:f>
        <x:v>#REF!</x:v>
      </x:c>
      <x:c r="R48" s="47" t="e">
        <x:f>#REF!</x:f>
        <x:v>#REF!</x:v>
      </x:c>
      <x:c r="S48" s="47" t="e">
        <x:f>#REF!</x:f>
        <x:v>#REF!</x:v>
      </x:c>
      <x:c r="T48" s="47" t="e">
        <x:f>#REF!</x:f>
        <x:v>#REF!</x:v>
      </x:c>
      <x:c r="U48" s="47" t="e">
        <x:f>#REF!</x:f>
        <x:v>#REF!</x:v>
      </x:c>
      <x:c r="V48" s="17" t="e">
        <x:f t="shared" si="3"/>
        <x:v>#REF!</x:v>
      </x:c>
      <x:c r="W48" s="18" t="e">
        <x:f t="shared" si="5"/>
        <x:v>#REF!</x:v>
      </x:c>
      <x:c r="X48" s="19">
        <x:f t="shared" si="4"/>
        <x:v>0</x:v>
      </x:c>
      <x:c r="Y48" s="30"/>
      <x:c r="Z48" s="23"/>
    </x:row>
    <x:row r="49" s="1" customFormat="1" ht="29.25" hidden="1" customHeight="1">
      <x:c r="A49" s="53">
        <x:v>21</x:v>
      </x:c>
      <x:c r="B49" s="67" t="s">
        <x:v>179</x:v>
      </x:c>
      <x:c r="C49" s="29"/>
      <x:c r="D49" s="47" t="e">
        <x:f>#REF!</x:f>
        <x:v>#REF!</x:v>
      </x:c>
      <x:c r="E49" s="47" t="e">
        <x:f>#REF!</x:f>
        <x:v>#REF!</x:v>
      </x:c>
      <x:c r="F49" s="47" t="e">
        <x:f>#REF!</x:f>
        <x:v>#REF!</x:v>
      </x:c>
      <x:c r="G49" s="47" t="e">
        <x:f>#REF!</x:f>
        <x:v>#REF!</x:v>
      </x:c>
      <x:c r="H49" s="47" t="e">
        <x:f>#REF!</x:f>
        <x:v>#REF!</x:v>
      </x:c>
      <x:c r="I49" s="47" t="e">
        <x:f>#REF!</x:f>
        <x:v>#REF!</x:v>
      </x:c>
      <x:c r="J49" s="47" t="e">
        <x:f>#REF!</x:f>
        <x:v>#REF!</x:v>
      </x:c>
      <x:c r="K49" s="47" t="e">
        <x:f>#REF!</x:f>
        <x:v>#REF!</x:v>
      </x:c>
      <x:c r="L49" s="47" t="e">
        <x:f>#REF!</x:f>
        <x:v>#REF!</x:v>
      </x:c>
      <x:c r="M49" s="47" t="e">
        <x:f>#REF!</x:f>
        <x:v>#REF!</x:v>
      </x:c>
      <x:c r="N49" s="47" t="e">
        <x:f>#REF!</x:f>
        <x:v>#REF!</x:v>
      </x:c>
      <x:c r="O49" s="47" t="e">
        <x:f>#REF!</x:f>
        <x:v>#REF!</x:v>
      </x:c>
      <x:c r="P49" s="47" t="e">
        <x:f>#REF!</x:f>
        <x:v>#REF!</x:v>
      </x:c>
      <x:c r="Q49" s="47" t="e">
        <x:f>#REF!</x:f>
        <x:v>#REF!</x:v>
      </x:c>
      <x:c r="R49" s="47" t="e">
        <x:f>#REF!</x:f>
        <x:v>#REF!</x:v>
      </x:c>
      <x:c r="S49" s="47" t="e">
        <x:f>#REF!</x:f>
        <x:v>#REF!</x:v>
      </x:c>
      <x:c r="T49" s="47" t="e">
        <x:f>#REF!</x:f>
        <x:v>#REF!</x:v>
      </x:c>
      <x:c r="U49" s="47" t="e">
        <x:f>#REF!</x:f>
        <x:v>#REF!</x:v>
      </x:c>
      <x:c r="V49" s="17" t="e">
        <x:f t="shared" si="3"/>
        <x:v>#REF!</x:v>
      </x:c>
      <x:c r="W49" s="18" t="e">
        <x:f t="shared" si="5"/>
        <x:v>#REF!</x:v>
      </x:c>
      <x:c r="X49" s="19">
        <x:f t="shared" si="4"/>
        <x:v>0</x:v>
      </x:c>
      <x:c r="Y49" s="30"/>
      <x:c r="Z49" s="23"/>
    </x:row>
    <x:row r="50" s="1" customFormat="1" ht="29.25" hidden="1" customHeight="1">
      <x:c r="A50" s="53">
        <x:v>22</x:v>
      </x:c>
      <x:c r="B50" s="67" t="s">
        <x:v>180</x:v>
      </x:c>
      <x:c r="C50" s="29"/>
      <x:c r="D50" s="47" t="e">
        <x:f>#REF!</x:f>
        <x:v>#REF!</x:v>
      </x:c>
      <x:c r="E50" s="47" t="e">
        <x:f>#REF!</x:f>
        <x:v>#REF!</x:v>
      </x:c>
      <x:c r="F50" s="47" t="e">
        <x:f>#REF!</x:f>
        <x:v>#REF!</x:v>
      </x:c>
      <x:c r="G50" s="47" t="e">
        <x:f>#REF!</x:f>
        <x:v>#REF!</x:v>
      </x:c>
      <x:c r="H50" s="47" t="e">
        <x:f>#REF!</x:f>
        <x:v>#REF!</x:v>
      </x:c>
      <x:c r="I50" s="47" t="e">
        <x:f>#REF!</x:f>
        <x:v>#REF!</x:v>
      </x:c>
      <x:c r="J50" s="47" t="e">
        <x:f>#REF!</x:f>
        <x:v>#REF!</x:v>
      </x:c>
      <x:c r="K50" s="47" t="e">
        <x:f>#REF!</x:f>
        <x:v>#REF!</x:v>
      </x:c>
      <x:c r="L50" s="47" t="e">
        <x:f>#REF!</x:f>
        <x:v>#REF!</x:v>
      </x:c>
      <x:c r="M50" s="47" t="e">
        <x:f>#REF!</x:f>
        <x:v>#REF!</x:v>
      </x:c>
      <x:c r="N50" s="47" t="e">
        <x:f>#REF!</x:f>
        <x:v>#REF!</x:v>
      </x:c>
      <x:c r="O50" s="47" t="e">
        <x:f>#REF!</x:f>
        <x:v>#REF!</x:v>
      </x:c>
      <x:c r="P50" s="47" t="e">
        <x:f>#REF!</x:f>
        <x:v>#REF!</x:v>
      </x:c>
      <x:c r="Q50" s="47" t="e">
        <x:f>#REF!</x:f>
        <x:v>#REF!</x:v>
      </x:c>
      <x:c r="R50" s="47" t="e">
        <x:f>#REF!</x:f>
        <x:v>#REF!</x:v>
      </x:c>
      <x:c r="S50" s="47" t="e">
        <x:f>#REF!</x:f>
        <x:v>#REF!</x:v>
      </x:c>
      <x:c r="T50" s="47" t="e">
        <x:f>#REF!</x:f>
        <x:v>#REF!</x:v>
      </x:c>
      <x:c r="U50" s="47" t="e">
        <x:f>#REF!</x:f>
        <x:v>#REF!</x:v>
      </x:c>
      <x:c r="V50" s="17" t="e">
        <x:f t="shared" si="3"/>
        <x:v>#REF!</x:v>
      </x:c>
      <x:c r="W50" s="18" t="e">
        <x:f t="shared" si="5"/>
        <x:v>#REF!</x:v>
      </x:c>
      <x:c r="X50" s="19">
        <x:f t="shared" si="4"/>
        <x:v>0</x:v>
      </x:c>
      <x:c r="Y50" s="30"/>
      <x:c r="Z50" s="23"/>
    </x:row>
    <x:row r="51" s="1" customFormat="1" hidden="1">
      <x:c r="A51" s="75">
        <x:v>23</x:v>
      </x:c>
      <x:c r="B51" s="67" t="s">
        <x:v>181</x:v>
      </x:c>
      <x:c r="C51" s="29"/>
      <x:c r="D51" s="47" t="e">
        <x:f>AVERAGE(#REF!+#REF!+#REF!+#REF!+#REF!)/5</x:f>
        <x:v>#REF!</x:v>
      </x:c>
      <x:c r="E51" s="47" t="e">
        <x:f>AVERAGE(#REF!+#REF!+#REF!+#REF!+#REF!)/5</x:f>
        <x:v>#REF!</x:v>
      </x:c>
      <x:c r="F51" s="47" t="e">
        <x:f>AVERAGE(#REF!+#REF!+#REF!+#REF!+#REF!)/5</x:f>
        <x:v>#REF!</x:v>
      </x:c>
      <x:c r="G51" s="47" t="e">
        <x:f>AVERAGE(#REF!+#REF!+#REF!+#REF!+#REF!)/5</x:f>
        <x:v>#REF!</x:v>
      </x:c>
      <x:c r="H51" s="47" t="e">
        <x:f>AVERAGE(#REF!+#REF!+#REF!+#REF!+#REF!)/5</x:f>
        <x:v>#REF!</x:v>
      </x:c>
      <x:c r="I51" s="47" t="e">
        <x:f>AVERAGE(#REF!+#REF!+#REF!+#REF!+#REF!)/5</x:f>
        <x:v>#REF!</x:v>
      </x:c>
      <x:c r="J51" s="47" t="e">
        <x:f>AVERAGE(#REF!+#REF!+#REF!+#REF!+#REF!)/5</x:f>
        <x:v>#REF!</x:v>
      </x:c>
      <x:c r="K51" s="47" t="e">
        <x:f>AVERAGE(#REF!+#REF!+#REF!+#REF!+#REF!)</x:f>
        <x:v>#REF!</x:v>
      </x:c>
      <x:c r="L51" s="47" t="e">
        <x:f>AVERAGE(#REF!+#REF!+#REF!+#REF!+#REF!)</x:f>
        <x:v>#REF!</x:v>
      </x:c>
      <x:c r="M51" s="47" t="e">
        <x:f>AVERAGE(#REF!+#REF!+#REF!+#REF!+#REF!)</x:f>
        <x:v>#REF!</x:v>
      </x:c>
      <x:c r="N51" s="47" t="e">
        <x:f>AVERAGE(#REF!+#REF!+#REF!+#REF!+#REF!)</x:f>
        <x:v>#REF!</x:v>
      </x:c>
      <x:c r="O51" s="47" t="e">
        <x:f>AVERAGE(#REF!+#REF!+#REF!+#REF!+#REF!)</x:f>
        <x:v>#REF!</x:v>
      </x:c>
      <x:c r="P51" s="47" t="e">
        <x:f>AVERAGE(#REF!+#REF!+#REF!+#REF!+#REF!)</x:f>
        <x:v>#REF!</x:v>
      </x:c>
      <x:c r="Q51" s="47" t="e">
        <x:f>AVERAGE(#REF!+#REF!+#REF!+#REF!+#REF!)</x:f>
        <x:v>#REF!</x:v>
      </x:c>
      <x:c r="R51" s="47" t="e">
        <x:f>AVERAGE(#REF!+#REF!+#REF!+#REF!+#REF!)</x:f>
        <x:v>#REF!</x:v>
      </x:c>
      <x:c r="S51" s="47" t="e">
        <x:f>AVERAGE(#REF!+#REF!+#REF!+#REF!+#REF!)</x:f>
        <x:v>#REF!</x:v>
      </x:c>
      <x:c r="T51" s="47" t="e">
        <x:f>AVERAGE(#REF!+#REF!+#REF!+#REF!+#REF!)</x:f>
        <x:v>#REF!</x:v>
      </x:c>
      <x:c r="U51" s="47" t="e">
        <x:f>AVERAGE(#REF!+#REF!+#REF!+#REF!+#REF!)</x:f>
        <x:v>#REF!</x:v>
      </x:c>
      <x:c r="V51" s="17" t="e">
        <x:f t="shared" si="3"/>
        <x:v>#REF!</x:v>
      </x:c>
      <x:c r="W51" s="18" t="e">
        <x:f t="shared" si="5"/>
        <x:v>#REF!</x:v>
      </x:c>
      <x:c r="X51" s="19">
        <x:f t="shared" si="4"/>
        <x:v>0</x:v>
      </x:c>
      <x:c r="Y51" s="30"/>
      <x:c r="Z51" s="23"/>
    </x:row>
    <x:row r="52" s="1" customFormat="1" hidden="1">
      <x:c r="A52" s="53">
        <x:v>24</x:v>
      </x:c>
      <x:c r="B52" s="66" t="s">
        <x:v>182</x:v>
      </x:c>
      <x:c r="C52" s="29"/>
      <x:c r="D52" s="47" t="e">
        <x:f>#REF!</x:f>
        <x:v>#REF!</x:v>
      </x:c>
      <x:c r="E52" s="47" t="e">
        <x:f>#REF!</x:f>
        <x:v>#REF!</x:v>
      </x:c>
      <x:c r="F52" s="47" t="e">
        <x:f>#REF!</x:f>
        <x:v>#REF!</x:v>
      </x:c>
      <x:c r="G52" s="47" t="e">
        <x:f>#REF!</x:f>
        <x:v>#REF!</x:v>
      </x:c>
      <x:c r="H52" s="47" t="e">
        <x:f>#REF!</x:f>
        <x:v>#REF!</x:v>
      </x:c>
      <x:c r="I52" s="47" t="e">
        <x:f>#REF!</x:f>
        <x:v>#REF!</x:v>
      </x:c>
      <x:c r="J52" s="47" t="e">
        <x:f>#REF!</x:f>
        <x:v>#REF!</x:v>
      </x:c>
      <x:c r="K52" s="47" t="e">
        <x:f>#REF!</x:f>
        <x:v>#REF!</x:v>
      </x:c>
      <x:c r="L52" s="47" t="e">
        <x:f>#REF!</x:f>
        <x:v>#REF!</x:v>
      </x:c>
      <x:c r="M52" s="47" t="e">
        <x:f>#REF!</x:f>
        <x:v>#REF!</x:v>
      </x:c>
      <x:c r="N52" s="47" t="e">
        <x:f>#REF!</x:f>
        <x:v>#REF!</x:v>
      </x:c>
      <x:c r="O52" s="47" t="e">
        <x:f>#REF!</x:f>
        <x:v>#REF!</x:v>
      </x:c>
      <x:c r="P52" s="47" t="e">
        <x:f>#REF!</x:f>
        <x:v>#REF!</x:v>
      </x:c>
      <x:c r="Q52" s="47" t="e">
        <x:f>#REF!</x:f>
        <x:v>#REF!</x:v>
      </x:c>
      <x:c r="R52" s="47" t="e">
        <x:f>#REF!</x:f>
        <x:v>#REF!</x:v>
      </x:c>
      <x:c r="S52" s="47" t="e">
        <x:f>#REF!</x:f>
        <x:v>#REF!</x:v>
      </x:c>
      <x:c r="T52" s="47" t="e">
        <x:f>#REF!</x:f>
        <x:v>#REF!</x:v>
      </x:c>
      <x:c r="U52" s="47" t="e">
        <x:f>#REF!</x:f>
        <x:v>#REF!</x:v>
      </x:c>
      <x:c r="V52" s="17" t="e">
        <x:f t="shared" si="3"/>
        <x:v>#REF!</x:v>
      </x:c>
      <x:c r="W52" s="18" t="e">
        <x:f t="shared" si="5"/>
        <x:v>#REF!</x:v>
      </x:c>
      <x:c r="X52" s="19">
        <x:f t="shared" si="4"/>
        <x:v>0</x:v>
      </x:c>
      <x:c r="Y52" s="30"/>
      <x:c r="Z52" s="23"/>
    </x:row>
    <x:row r="53" s="1" customFormat="1" hidden="1">
      <x:c r="A53" s="53">
        <x:v>25</x:v>
      </x:c>
      <x:c r="B53" s="66" t="s">
        <x:v>183</x:v>
      </x:c>
      <x:c r="C53" s="29"/>
      <x:c r="D53" s="47" t="e">
        <x:f>#REF!</x:f>
        <x:v>#REF!</x:v>
      </x:c>
      <x:c r="E53" s="47" t="e">
        <x:f>#REF!</x:f>
        <x:v>#REF!</x:v>
      </x:c>
      <x:c r="F53" s="47" t="e">
        <x:f>#REF!</x:f>
        <x:v>#REF!</x:v>
      </x:c>
      <x:c r="G53" s="47" t="e">
        <x:f>#REF!</x:f>
        <x:v>#REF!</x:v>
      </x:c>
      <x:c r="H53" s="47" t="e">
        <x:f>#REF!</x:f>
        <x:v>#REF!</x:v>
      </x:c>
      <x:c r="I53" s="47" t="e">
        <x:f>#REF!</x:f>
        <x:v>#REF!</x:v>
      </x:c>
      <x:c r="J53" s="47" t="e">
        <x:f>#REF!</x:f>
        <x:v>#REF!</x:v>
      </x:c>
      <x:c r="K53" s="47" t="e">
        <x:f>#REF!</x:f>
        <x:v>#REF!</x:v>
      </x:c>
      <x:c r="L53" s="47" t="e">
        <x:f>#REF!</x:f>
        <x:v>#REF!</x:v>
      </x:c>
      <x:c r="M53" s="47" t="e">
        <x:f>#REF!</x:f>
        <x:v>#REF!</x:v>
      </x:c>
      <x:c r="N53" s="47" t="e">
        <x:f>#REF!</x:f>
        <x:v>#REF!</x:v>
      </x:c>
      <x:c r="O53" s="47" t="e">
        <x:f>#REF!</x:f>
        <x:v>#REF!</x:v>
      </x:c>
      <x:c r="P53" s="47" t="e">
        <x:f>#REF!</x:f>
        <x:v>#REF!</x:v>
      </x:c>
      <x:c r="Q53" s="47" t="e">
        <x:f>#REF!</x:f>
        <x:v>#REF!</x:v>
      </x:c>
      <x:c r="R53" s="47" t="e">
        <x:f>#REF!</x:f>
        <x:v>#REF!</x:v>
      </x:c>
      <x:c r="S53" s="47" t="e">
        <x:f>#REF!</x:f>
        <x:v>#REF!</x:v>
      </x:c>
      <x:c r="T53" s="47" t="e">
        <x:f>#REF!</x:f>
        <x:v>#REF!</x:v>
      </x:c>
      <x:c r="U53" s="47" t="e">
        <x:f>#REF!</x:f>
        <x:v>#REF!</x:v>
      </x:c>
      <x:c r="V53" s="17" t="e">
        <x:f t="shared" si="3"/>
        <x:v>#REF!</x:v>
      </x:c>
      <x:c r="W53" s="18" t="e">
        <x:f t="shared" si="5"/>
        <x:v>#REF!</x:v>
      </x:c>
      <x:c r="X53" s="19">
        <x:f t="shared" si="4"/>
        <x:v>0</x:v>
      </x:c>
      <x:c r="Y53" s="30"/>
      <x:c r="Z53" s="23"/>
    </x:row>
    <x:row r="54" s="1" customFormat="1" ht="29.25" hidden="1" customHeight="1">
      <x:c r="A54" s="53">
        <x:v>26</x:v>
      </x:c>
      <x:c r="B54" s="66" t="s">
        <x:v>184</x:v>
      </x:c>
      <x:c r="C54" s="29"/>
      <x:c r="D54" s="47" t="e">
        <x:f>#REF!</x:f>
        <x:v>#REF!</x:v>
      </x:c>
      <x:c r="E54" s="47" t="e">
        <x:f>#REF!</x:f>
        <x:v>#REF!</x:v>
      </x:c>
      <x:c r="F54" s="47" t="e">
        <x:f>#REF!</x:f>
        <x:v>#REF!</x:v>
      </x:c>
      <x:c r="G54" s="47" t="e">
        <x:f>#REF!</x:f>
        <x:v>#REF!</x:v>
      </x:c>
      <x:c r="H54" s="47" t="e">
        <x:f>#REF!</x:f>
        <x:v>#REF!</x:v>
      </x:c>
      <x:c r="I54" s="47" t="e">
        <x:f>#REF!</x:f>
        <x:v>#REF!</x:v>
      </x:c>
      <x:c r="J54" s="47" t="e">
        <x:f>#REF!</x:f>
        <x:v>#REF!</x:v>
      </x:c>
      <x:c r="K54" s="47" t="e">
        <x:f>#REF!</x:f>
        <x:v>#REF!</x:v>
      </x:c>
      <x:c r="L54" s="47" t="e">
        <x:f>#REF!</x:f>
        <x:v>#REF!</x:v>
      </x:c>
      <x:c r="M54" s="47" t="e">
        <x:f>#REF!</x:f>
        <x:v>#REF!</x:v>
      </x:c>
      <x:c r="N54" s="47" t="e">
        <x:f>#REF!</x:f>
        <x:v>#REF!</x:v>
      </x:c>
      <x:c r="O54" s="47" t="e">
        <x:f>#REF!</x:f>
        <x:v>#REF!</x:v>
      </x:c>
      <x:c r="P54" s="47" t="e">
        <x:f>#REF!</x:f>
        <x:v>#REF!</x:v>
      </x:c>
      <x:c r="Q54" s="47" t="e">
        <x:f>#REF!</x:f>
        <x:v>#REF!</x:v>
      </x:c>
      <x:c r="R54" s="47" t="e">
        <x:f>#REF!</x:f>
        <x:v>#REF!</x:v>
      </x:c>
      <x:c r="S54" s="47" t="e">
        <x:f>#REF!</x:f>
        <x:v>#REF!</x:v>
      </x:c>
      <x:c r="T54" s="47" t="e">
        <x:f>#REF!</x:f>
        <x:v>#REF!</x:v>
      </x:c>
      <x:c r="U54" s="47" t="e">
        <x:f>#REF!</x:f>
        <x:v>#REF!</x:v>
      </x:c>
      <x:c r="V54" s="17" t="e">
        <x:f t="shared" si="3"/>
        <x:v>#REF!</x:v>
      </x:c>
      <x:c r="W54" s="18" t="e">
        <x:f t="shared" si="5"/>
        <x:v>#REF!</x:v>
      </x:c>
      <x:c r="X54" s="19">
        <x:f t="shared" si="4"/>
        <x:v>0</x:v>
      </x:c>
      <x:c r="Y54" s="30"/>
      <x:c r="Z54" s="23"/>
    </x:row>
    <x:row r="55" s="1" customFormat="1" ht="29.25" hidden="1" customHeight="1">
      <x:c r="A55" s="75">
        <x:v>27</x:v>
      </x:c>
      <x:c r="B55" s="68" t="s">
        <x:v>185</x:v>
      </x:c>
      <x:c r="C55" s="31"/>
      <x:c r="D55" s="48" t="e">
        <x:f>AVERAGE(#REF!+#REF!)</x:f>
        <x:v>#REF!</x:v>
      </x:c>
      <x:c r="E55" s="48" t="e">
        <x:f>AVERAGE(#REF!+#REF!)</x:f>
        <x:v>#REF!</x:v>
      </x:c>
      <x:c r="F55" s="48" t="e">
        <x:f>AVERAGE(#REF!+#REF!)</x:f>
        <x:v>#REF!</x:v>
      </x:c>
      <x:c r="G55" s="48" t="e">
        <x:f>AVERAGE(#REF!+#REF!)</x:f>
        <x:v>#REF!</x:v>
      </x:c>
      <x:c r="H55" s="48" t="e">
        <x:f>AVERAGE(#REF!+#REF!)</x:f>
        <x:v>#REF!</x:v>
      </x:c>
      <x:c r="I55" s="48" t="e">
        <x:f>AVERAGE(#REF!+#REF!)</x:f>
        <x:v>#REF!</x:v>
      </x:c>
      <x:c r="J55" s="48" t="e">
        <x:f>AVERAGE(#REF!+#REF!)</x:f>
        <x:v>#REF!</x:v>
      </x:c>
      <x:c r="K55" s="48" t="e">
        <x:f>AVERAGE(#REF!+#REF!)</x:f>
        <x:v>#REF!</x:v>
      </x:c>
      <x:c r="L55" s="48" t="e">
        <x:f>AVERAGE(#REF!+#REF!)</x:f>
        <x:v>#REF!</x:v>
      </x:c>
      <x:c r="M55" s="48" t="e">
        <x:f>AVERAGE(#REF!+#REF!)</x:f>
        <x:v>#REF!</x:v>
      </x:c>
      <x:c r="N55" s="48" t="e">
        <x:f>AVERAGE(#REF!+#REF!)</x:f>
        <x:v>#REF!</x:v>
      </x:c>
      <x:c r="O55" s="48" t="e">
        <x:f>AVERAGE(#REF!+#REF!)</x:f>
        <x:v>#REF!</x:v>
      </x:c>
      <x:c r="P55" s="48" t="e">
        <x:f>AVERAGE(#REF!+#REF!)</x:f>
        <x:v>#REF!</x:v>
      </x:c>
      <x:c r="Q55" s="48" t="e">
        <x:f>AVERAGE(#REF!+#REF!)</x:f>
        <x:v>#REF!</x:v>
      </x:c>
      <x:c r="R55" s="48" t="e">
        <x:f>AVERAGE(#REF!+#REF!)</x:f>
        <x:v>#REF!</x:v>
      </x:c>
      <x:c r="S55" s="48" t="e">
        <x:f>AVERAGE(#REF!+#REF!)</x:f>
        <x:v>#REF!</x:v>
      </x:c>
      <x:c r="T55" s="48" t="e">
        <x:f>AVERAGE(#REF!+#REF!)</x:f>
        <x:v>#REF!</x:v>
      </x:c>
      <x:c r="U55" s="48" t="e">
        <x:f>AVERAGE(#REF!+#REF!)</x:f>
        <x:v>#REF!</x:v>
      </x:c>
      <x:c r="V55" s="17" t="e">
        <x:f t="shared" si="3"/>
        <x:v>#REF!</x:v>
      </x:c>
      <x:c r="W55" s="18" t="e">
        <x:f t="shared" si="5"/>
        <x:v>#REF!</x:v>
      </x:c>
      <x:c r="X55" s="19">
        <x:f t="shared" si="4"/>
        <x:v>0</x:v>
      </x:c>
      <x:c r="Y55" s="32"/>
      <x:c r="Z55" s="33"/>
    </x:row>
    <x:row r="56" s="1" customFormat="1" ht="29.25" hidden="1" customHeight="1">
      <x:c r="A56" s="53">
        <x:v>28</x:v>
      </x:c>
      <x:c r="B56" s="64" t="s">
        <x:v>186</x:v>
      </x:c>
      <x:c r="C56" s="34"/>
      <x:c r="D56" s="47" t="e">
        <x:f>#REF!</x:f>
        <x:v>#REF!</x:v>
      </x:c>
      <x:c r="E56" s="47" t="e">
        <x:f>#REF!</x:f>
        <x:v>#REF!</x:v>
      </x:c>
      <x:c r="F56" s="47" t="e">
        <x:f>#REF!</x:f>
        <x:v>#REF!</x:v>
      </x:c>
      <x:c r="G56" s="47" t="e">
        <x:f>#REF!</x:f>
        <x:v>#REF!</x:v>
      </x:c>
      <x:c r="H56" s="47" t="e">
        <x:f>#REF!</x:f>
        <x:v>#REF!</x:v>
      </x:c>
      <x:c r="I56" s="47" t="e">
        <x:f>#REF!</x:f>
        <x:v>#REF!</x:v>
      </x:c>
      <x:c r="J56" s="47" t="e">
        <x:f>#REF!</x:f>
        <x:v>#REF!</x:v>
      </x:c>
      <x:c r="K56" s="47" t="e">
        <x:f>#REF!</x:f>
        <x:v>#REF!</x:v>
      </x:c>
      <x:c r="L56" s="47" t="e">
        <x:f>#REF!</x:f>
        <x:v>#REF!</x:v>
      </x:c>
      <x:c r="M56" s="47" t="e">
        <x:f>#REF!</x:f>
        <x:v>#REF!</x:v>
      </x:c>
      <x:c r="N56" s="47" t="e">
        <x:f>#REF!</x:f>
        <x:v>#REF!</x:v>
      </x:c>
      <x:c r="O56" s="47" t="e">
        <x:f>#REF!</x:f>
        <x:v>#REF!</x:v>
      </x:c>
      <x:c r="P56" s="47" t="e">
        <x:f>#REF!</x:f>
        <x:v>#REF!</x:v>
      </x:c>
      <x:c r="Q56" s="47" t="e">
        <x:f>#REF!</x:f>
        <x:v>#REF!</x:v>
      </x:c>
      <x:c r="R56" s="47" t="e">
        <x:f>#REF!</x:f>
        <x:v>#REF!</x:v>
      </x:c>
      <x:c r="S56" s="47" t="e">
        <x:f>#REF!</x:f>
        <x:v>#REF!</x:v>
      </x:c>
      <x:c r="T56" s="47" t="e">
        <x:f>#REF!</x:f>
        <x:v>#REF!</x:v>
      </x:c>
      <x:c r="U56" s="47" t="e">
        <x:f>#REF!</x:f>
        <x:v>#REF!</x:v>
      </x:c>
      <x:c r="V56" s="17" t="e">
        <x:f t="shared" si="3"/>
        <x:v>#REF!</x:v>
      </x:c>
      <x:c r="W56" s="18" t="e">
        <x:f t="shared" si="5"/>
        <x:v>#REF!</x:v>
      </x:c>
      <x:c r="X56" s="19">
        <x:f t="shared" si="4"/>
        <x:v>0</x:v>
      </x:c>
      <x:c r="Y56" s="27"/>
      <x:c r="Z56" s="28"/>
    </x:row>
    <x:row r="57" s="1" customFormat="1" ht="29.25" hidden="1" customHeight="1">
      <x:c r="A57" s="53">
        <x:v>29</x:v>
      </x:c>
      <x:c r="B57" s="66" t="s">
        <x:v>187</x:v>
      </x:c>
      <x:c r="C57" s="34"/>
      <x:c r="D57" s="47" t="e">
        <x:f>#REF!</x:f>
        <x:v>#REF!</x:v>
      </x:c>
      <x:c r="E57" s="47" t="e">
        <x:f>#REF!</x:f>
        <x:v>#REF!</x:v>
      </x:c>
      <x:c r="F57" s="47" t="e">
        <x:f>#REF!</x:f>
        <x:v>#REF!</x:v>
      </x:c>
      <x:c r="G57" s="47" t="e">
        <x:f>#REF!</x:f>
        <x:v>#REF!</x:v>
      </x:c>
      <x:c r="H57" s="47" t="e">
        <x:f>#REF!</x:f>
        <x:v>#REF!</x:v>
      </x:c>
      <x:c r="I57" s="47" t="e">
        <x:f>#REF!</x:f>
        <x:v>#REF!</x:v>
      </x:c>
      <x:c r="J57" s="47" t="e">
        <x:f>#REF!</x:f>
        <x:v>#REF!</x:v>
      </x:c>
      <x:c r="K57" s="47" t="e">
        <x:f>#REF!</x:f>
        <x:v>#REF!</x:v>
      </x:c>
      <x:c r="L57" s="47" t="e">
        <x:f>#REF!</x:f>
        <x:v>#REF!</x:v>
      </x:c>
      <x:c r="M57" s="47" t="e">
        <x:f>#REF!</x:f>
        <x:v>#REF!</x:v>
      </x:c>
      <x:c r="N57" s="47" t="e">
        <x:f>#REF!</x:f>
        <x:v>#REF!</x:v>
      </x:c>
      <x:c r="O57" s="47" t="e">
        <x:f>#REF!</x:f>
        <x:v>#REF!</x:v>
      </x:c>
      <x:c r="P57" s="47" t="e">
        <x:f>#REF!</x:f>
        <x:v>#REF!</x:v>
      </x:c>
      <x:c r="Q57" s="47" t="e">
        <x:f>#REF!</x:f>
        <x:v>#REF!</x:v>
      </x:c>
      <x:c r="R57" s="47" t="e">
        <x:f>#REF!</x:f>
        <x:v>#REF!</x:v>
      </x:c>
      <x:c r="S57" s="47" t="e">
        <x:f>#REF!</x:f>
        <x:v>#REF!</x:v>
      </x:c>
      <x:c r="T57" s="47" t="e">
        <x:f>#REF!</x:f>
        <x:v>#REF!</x:v>
      </x:c>
      <x:c r="U57" s="47" t="e">
        <x:f>#REF!</x:f>
        <x:v>#REF!</x:v>
      </x:c>
      <x:c r="V57" s="17" t="e">
        <x:f t="shared" si="3"/>
        <x:v>#REF!</x:v>
      </x:c>
      <x:c r="W57" s="18" t="e">
        <x:f t="shared" si="5"/>
        <x:v>#REF!</x:v>
      </x:c>
      <x:c r="X57" s="19">
        <x:f t="shared" si="4"/>
        <x:v>0</x:v>
      </x:c>
      <x:c r="Y57" s="30"/>
      <x:c r="Z57" s="23"/>
    </x:row>
    <x:row r="58" s="1" customFormat="1" ht="29.25" hidden="1">
      <x:c r="A58" s="53">
        <x:v>30</x:v>
      </x:c>
      <x:c r="B58" s="68" t="s">
        <x:v>188</x:v>
      </x:c>
      <x:c r="C58" s="51"/>
      <x:c r="D58" s="48" t="e">
        <x:f>#REF!</x:f>
        <x:v>#REF!</x:v>
      </x:c>
      <x:c r="E58" s="48" t="e">
        <x:f>#REF!</x:f>
        <x:v>#REF!</x:v>
      </x:c>
      <x:c r="F58" s="48" t="e">
        <x:f>#REF!</x:f>
        <x:v>#REF!</x:v>
      </x:c>
      <x:c r="G58" s="48" t="e">
        <x:f>#REF!</x:f>
        <x:v>#REF!</x:v>
      </x:c>
      <x:c r="H58" s="48" t="e">
        <x:f>#REF!</x:f>
        <x:v>#REF!</x:v>
      </x:c>
      <x:c r="I58" s="48" t="e">
        <x:f>#REF!</x:f>
        <x:v>#REF!</x:v>
      </x:c>
      <x:c r="J58" s="48" t="e">
        <x:f>#REF!</x:f>
        <x:v>#REF!</x:v>
      </x:c>
      <x:c r="K58" s="48" t="e">
        <x:f>#REF!</x:f>
        <x:v>#REF!</x:v>
      </x:c>
      <x:c r="L58" s="48" t="e">
        <x:f>#REF!</x:f>
        <x:v>#REF!</x:v>
      </x:c>
      <x:c r="M58" s="48" t="e">
        <x:f>#REF!</x:f>
        <x:v>#REF!</x:v>
      </x:c>
      <x:c r="N58" s="48" t="e">
        <x:f>#REF!</x:f>
        <x:v>#REF!</x:v>
      </x:c>
      <x:c r="O58" s="48" t="e">
        <x:f>#REF!</x:f>
        <x:v>#REF!</x:v>
      </x:c>
      <x:c r="P58" s="48" t="e">
        <x:f>#REF!</x:f>
        <x:v>#REF!</x:v>
      </x:c>
      <x:c r="Q58" s="48" t="e">
        <x:f>#REF!</x:f>
        <x:v>#REF!</x:v>
      </x:c>
      <x:c r="R58" s="48" t="e">
        <x:f>#REF!</x:f>
        <x:v>#REF!</x:v>
      </x:c>
      <x:c r="S58" s="48" t="e">
        <x:f>#REF!</x:f>
        <x:v>#REF!</x:v>
      </x:c>
      <x:c r="T58" s="48" t="e">
        <x:f>#REF!</x:f>
        <x:v>#REF!</x:v>
      </x:c>
      <x:c r="U58" s="48" t="e">
        <x:f>#REF!</x:f>
        <x:v>#REF!</x:v>
      </x:c>
      <x:c r="V58" s="17" t="e">
        <x:f t="shared" si="3"/>
        <x:v>#REF!</x:v>
      </x:c>
      <x:c r="W58" s="18" t="e">
        <x:f t="shared" si="5"/>
        <x:v>#REF!</x:v>
      </x:c>
      <x:c r="X58" s="19">
        <x:f t="shared" si="4"/>
        <x:v>0</x:v>
      </x:c>
      <x:c r="Y58" s="30"/>
      <x:c r="Z58" s="23"/>
    </x:row>
    <x:row r="59" s="1" customFormat="1" ht="29.25" hidden="1" customHeight="1">
      <x:c r="A59" s="53">
        <x:v>31</x:v>
      </x:c>
      <x:c r="B59" s="69" t="s">
        <x:v>189</x:v>
      </x:c>
      <x:c r="C59" s="34"/>
      <x:c r="D59" s="47" t="e">
        <x:f>#REF!</x:f>
        <x:v>#REF!</x:v>
      </x:c>
      <x:c r="E59" s="47" t="e">
        <x:f>#REF!</x:f>
        <x:v>#REF!</x:v>
      </x:c>
      <x:c r="F59" s="47" t="e">
        <x:f>#REF!</x:f>
        <x:v>#REF!</x:v>
      </x:c>
      <x:c r="G59" s="47" t="e">
        <x:f>#REF!</x:f>
        <x:v>#REF!</x:v>
      </x:c>
      <x:c r="H59" s="47" t="e">
        <x:f>#REF!</x:f>
        <x:v>#REF!</x:v>
      </x:c>
      <x:c r="I59" s="47" t="e">
        <x:f>#REF!</x:f>
        <x:v>#REF!</x:v>
      </x:c>
      <x:c r="J59" s="47" t="e">
        <x:f>#REF!</x:f>
        <x:v>#REF!</x:v>
      </x:c>
      <x:c r="K59" s="47" t="e">
        <x:f>#REF!</x:f>
        <x:v>#REF!</x:v>
      </x:c>
      <x:c r="L59" s="47" t="e">
        <x:f>#REF!</x:f>
        <x:v>#REF!</x:v>
      </x:c>
      <x:c r="M59" s="47" t="e">
        <x:f>#REF!</x:f>
        <x:v>#REF!</x:v>
      </x:c>
      <x:c r="N59" s="47" t="e">
        <x:f>#REF!</x:f>
        <x:v>#REF!</x:v>
      </x:c>
      <x:c r="O59" s="47" t="e">
        <x:f>#REF!</x:f>
        <x:v>#REF!</x:v>
      </x:c>
      <x:c r="P59" s="47" t="e">
        <x:f>#REF!</x:f>
        <x:v>#REF!</x:v>
      </x:c>
      <x:c r="Q59" s="47" t="e">
        <x:f>#REF!</x:f>
        <x:v>#REF!</x:v>
      </x:c>
      <x:c r="R59" s="47" t="e">
        <x:f>#REF!</x:f>
        <x:v>#REF!</x:v>
      </x:c>
      <x:c r="S59" s="47" t="e">
        <x:f>#REF!</x:f>
        <x:v>#REF!</x:v>
      </x:c>
      <x:c r="T59" s="47" t="e">
        <x:f>#REF!</x:f>
        <x:v>#REF!</x:v>
      </x:c>
      <x:c r="U59" s="47" t="e">
        <x:f>#REF!</x:f>
        <x:v>#REF!</x:v>
      </x:c>
      <x:c r="V59" s="17" t="e">
        <x:f t="shared" si="3"/>
        <x:v>#REF!</x:v>
      </x:c>
      <x:c r="W59" s="18" t="e">
        <x:f t="shared" si="5"/>
        <x:v>#REF!</x:v>
      </x:c>
      <x:c r="X59" s="19">
        <x:f t="shared" si="4"/>
        <x:v>0</x:v>
      </x:c>
      <x:c r="Y59" s="30"/>
      <x:c r="Z59" s="23"/>
    </x:row>
    <x:row r="60" s="1" customFormat="1" ht="29.25" hidden="1" customHeight="1">
      <x:c r="A60" s="53">
        <x:v>32</x:v>
      </x:c>
      <x:c r="B60" s="70" t="s">
        <x:v>190</x:v>
      </x:c>
      <x:c r="C60" s="34"/>
      <x:c r="D60" s="47" t="e">
        <x:f>#REF!</x:f>
        <x:v>#REF!</x:v>
      </x:c>
      <x:c r="E60" s="47" t="e">
        <x:f>#REF!</x:f>
        <x:v>#REF!</x:v>
      </x:c>
      <x:c r="F60" s="47" t="e">
        <x:f>#REF!</x:f>
        <x:v>#REF!</x:v>
      </x:c>
      <x:c r="G60" s="47" t="e">
        <x:f>#REF!</x:f>
        <x:v>#REF!</x:v>
      </x:c>
      <x:c r="H60" s="47" t="e">
        <x:f>#REF!</x:f>
        <x:v>#REF!</x:v>
      </x:c>
      <x:c r="I60" s="47" t="e">
        <x:f>#REF!</x:f>
        <x:v>#REF!</x:v>
      </x:c>
      <x:c r="J60" s="47" t="e">
        <x:f>#REF!</x:f>
        <x:v>#REF!</x:v>
      </x:c>
      <x:c r="K60" s="47" t="e">
        <x:f>#REF!</x:f>
        <x:v>#REF!</x:v>
      </x:c>
      <x:c r="L60" s="47" t="e">
        <x:f>#REF!</x:f>
        <x:v>#REF!</x:v>
      </x:c>
      <x:c r="M60" s="47" t="e">
        <x:f>#REF!</x:f>
        <x:v>#REF!</x:v>
      </x:c>
      <x:c r="N60" s="47" t="e">
        <x:f>#REF!</x:f>
        <x:v>#REF!</x:v>
      </x:c>
      <x:c r="O60" s="47" t="e">
        <x:f>#REF!</x:f>
        <x:v>#REF!</x:v>
      </x:c>
      <x:c r="P60" s="47" t="e">
        <x:f>#REF!</x:f>
        <x:v>#REF!</x:v>
      </x:c>
      <x:c r="Q60" s="47" t="e">
        <x:f>#REF!</x:f>
        <x:v>#REF!</x:v>
      </x:c>
      <x:c r="R60" s="47" t="e">
        <x:f>#REF!</x:f>
        <x:v>#REF!</x:v>
      </x:c>
      <x:c r="S60" s="47" t="e">
        <x:f>#REF!</x:f>
        <x:v>#REF!</x:v>
      </x:c>
      <x:c r="T60" s="47" t="e">
        <x:f>#REF!</x:f>
        <x:v>#REF!</x:v>
      </x:c>
      <x:c r="U60" s="47" t="e">
        <x:f>#REF!</x:f>
        <x:v>#REF!</x:v>
      </x:c>
      <x:c r="V60" s="17" t="e">
        <x:f t="shared" si="3"/>
        <x:v>#REF!</x:v>
      </x:c>
      <x:c r="W60" s="18" t="e">
        <x:f t="shared" si="5"/>
        <x:v>#REF!</x:v>
      </x:c>
      <x:c r="X60" s="19">
        <x:f t="shared" si="4"/>
        <x:v>0</x:v>
      </x:c>
      <x:c r="Y60" s="30"/>
      <x:c r="Z60" s="35"/>
    </x:row>
    <x:row r="61" s="1" customFormat="1" ht="29.25" hidden="1" customHeight="1">
      <x:c r="A61" s="53">
        <x:v>33</x:v>
      </x:c>
      <x:c r="B61" s="66" t="s">
        <x:v>191</x:v>
      </x:c>
      <x:c r="C61" s="34"/>
      <x:c r="D61" s="47" t="e">
        <x:f>#REF!</x:f>
        <x:v>#REF!</x:v>
      </x:c>
      <x:c r="E61" s="47" t="e">
        <x:f>#REF!</x:f>
        <x:v>#REF!</x:v>
      </x:c>
      <x:c r="F61" s="47" t="e">
        <x:f>#REF!</x:f>
        <x:v>#REF!</x:v>
      </x:c>
      <x:c r="G61" s="47" t="e">
        <x:f>#REF!</x:f>
        <x:v>#REF!</x:v>
      </x:c>
      <x:c r="H61" s="47" t="e">
        <x:f>#REF!</x:f>
        <x:v>#REF!</x:v>
      </x:c>
      <x:c r="I61" s="47" t="e">
        <x:f>#REF!</x:f>
        <x:v>#REF!</x:v>
      </x:c>
      <x:c r="J61" s="47" t="e">
        <x:f>#REF!</x:f>
        <x:v>#REF!</x:v>
      </x:c>
      <x:c r="K61" s="47" t="e">
        <x:f>#REF!</x:f>
        <x:v>#REF!</x:v>
      </x:c>
      <x:c r="L61" s="47" t="e">
        <x:f>#REF!</x:f>
        <x:v>#REF!</x:v>
      </x:c>
      <x:c r="M61" s="47" t="e">
        <x:f>#REF!</x:f>
        <x:v>#REF!</x:v>
      </x:c>
      <x:c r="N61" s="47" t="e">
        <x:f>#REF!</x:f>
        <x:v>#REF!</x:v>
      </x:c>
      <x:c r="O61" s="47" t="e">
        <x:f>#REF!</x:f>
        <x:v>#REF!</x:v>
      </x:c>
      <x:c r="P61" s="47" t="e">
        <x:f>#REF!</x:f>
        <x:v>#REF!</x:v>
      </x:c>
      <x:c r="Q61" s="47" t="e">
        <x:f>#REF!</x:f>
        <x:v>#REF!</x:v>
      </x:c>
      <x:c r="R61" s="47" t="e">
        <x:f>#REF!</x:f>
        <x:v>#REF!</x:v>
      </x:c>
      <x:c r="S61" s="47" t="e">
        <x:f>#REF!</x:f>
        <x:v>#REF!</x:v>
      </x:c>
      <x:c r="T61" s="47" t="e">
        <x:f>#REF!</x:f>
        <x:v>#REF!</x:v>
      </x:c>
      <x:c r="U61" s="47" t="e">
        <x:f>#REF!</x:f>
        <x:v>#REF!</x:v>
      </x:c>
      <x:c r="V61" s="17" t="e">
        <x:f t="shared" si="3"/>
        <x:v>#REF!</x:v>
      </x:c>
      <x:c r="W61" s="18" t="e">
        <x:f t="shared" si="5"/>
        <x:v>#REF!</x:v>
      </x:c>
      <x:c r="X61" s="19">
        <x:f t="shared" si="4"/>
        <x:v>0</x:v>
      </x:c>
      <x:c r="Y61" s="30"/>
      <x:c r="Z61" s="35"/>
    </x:row>
    <x:row r="62" s="1" customFormat="1" ht="29.25" hidden="1" customHeight="1">
      <x:c r="A62" s="53">
        <x:v>34</x:v>
      </x:c>
      <x:c r="B62" s="70" t="s">
        <x:v>192</x:v>
      </x:c>
      <x:c r="C62" s="34"/>
      <x:c r="D62" s="47" t="e">
        <x:f>#REF!</x:f>
        <x:v>#REF!</x:v>
      </x:c>
      <x:c r="E62" s="47" t="e">
        <x:f>#REF!</x:f>
        <x:v>#REF!</x:v>
      </x:c>
      <x:c r="F62" s="47" t="e">
        <x:f>#REF!</x:f>
        <x:v>#REF!</x:v>
      </x:c>
      <x:c r="G62" s="47" t="e">
        <x:f>#REF!</x:f>
        <x:v>#REF!</x:v>
      </x:c>
      <x:c r="H62" s="47" t="e">
        <x:f>#REF!</x:f>
        <x:v>#REF!</x:v>
      </x:c>
      <x:c r="I62" s="47" t="e">
        <x:f>#REF!</x:f>
        <x:v>#REF!</x:v>
      </x:c>
      <x:c r="J62" s="47" t="e">
        <x:f>#REF!</x:f>
        <x:v>#REF!</x:v>
      </x:c>
      <x:c r="K62" s="47" t="e">
        <x:f>#REF!</x:f>
        <x:v>#REF!</x:v>
      </x:c>
      <x:c r="L62" s="47" t="e">
        <x:f>#REF!</x:f>
        <x:v>#REF!</x:v>
      </x:c>
      <x:c r="M62" s="47" t="e">
        <x:f>#REF!</x:f>
        <x:v>#REF!</x:v>
      </x:c>
      <x:c r="N62" s="47" t="e">
        <x:f>#REF!</x:f>
        <x:v>#REF!</x:v>
      </x:c>
      <x:c r="O62" s="47" t="e">
        <x:f>#REF!</x:f>
        <x:v>#REF!</x:v>
      </x:c>
      <x:c r="P62" s="47" t="e">
        <x:f>#REF!</x:f>
        <x:v>#REF!</x:v>
      </x:c>
      <x:c r="Q62" s="47" t="e">
        <x:f>#REF!</x:f>
        <x:v>#REF!</x:v>
      </x:c>
      <x:c r="R62" s="47" t="e">
        <x:f>#REF!</x:f>
        <x:v>#REF!</x:v>
      </x:c>
      <x:c r="S62" s="47" t="e">
        <x:f>#REF!</x:f>
        <x:v>#REF!</x:v>
      </x:c>
      <x:c r="T62" s="47" t="e">
        <x:f>#REF!</x:f>
        <x:v>#REF!</x:v>
      </x:c>
      <x:c r="U62" s="47" t="e">
        <x:f>#REF!</x:f>
        <x:v>#REF!</x:v>
      </x:c>
      <x:c r="V62" s="17" t="e">
        <x:f t="shared" si="3"/>
        <x:v>#REF!</x:v>
      </x:c>
      <x:c r="W62" s="18" t="e">
        <x:f t="shared" si="5"/>
        <x:v>#REF!</x:v>
      </x:c>
      <x:c r="X62" s="19">
        <x:f t="shared" si="4"/>
        <x:v>0</x:v>
      </x:c>
      <x:c r="Y62" s="30"/>
      <x:c r="Z62" s="35"/>
    </x:row>
    <x:row r="63" s="1" customFormat="1" hidden="1">
      <x:c r="A63" s="75">
        <x:v>35</x:v>
      </x:c>
      <x:c r="B63" s="70" t="s">
        <x:v>193</x:v>
      </x:c>
      <x:c r="C63" s="34"/>
      <x:c r="D63" s="47" t="e">
        <x:f>#REF!</x:f>
        <x:v>#REF!</x:v>
      </x:c>
      <x:c r="E63" s="47" t="e">
        <x:f>#REF!</x:f>
        <x:v>#REF!</x:v>
      </x:c>
      <x:c r="F63" s="47" t="e">
        <x:f>#REF!</x:f>
        <x:v>#REF!</x:v>
      </x:c>
      <x:c r="G63" s="47" t="e">
        <x:f>#REF!</x:f>
        <x:v>#REF!</x:v>
      </x:c>
      <x:c r="H63" s="76" t="e">
        <x:f>#REF!</x:f>
        <x:v>#REF!</x:v>
      </x:c>
      <x:c r="I63" s="47" t="e">
        <x:f>#REF!</x:f>
        <x:v>#REF!</x:v>
      </x:c>
      <x:c r="J63" s="47" t="e">
        <x:f>#REF!</x:f>
        <x:v>#REF!</x:v>
      </x:c>
      <x:c r="K63" s="47" t="e">
        <x:f>#REF!</x:f>
        <x:v>#REF!</x:v>
      </x:c>
      <x:c r="L63" s="47" t="e">
        <x:f>#REF!</x:f>
        <x:v>#REF!</x:v>
      </x:c>
      <x:c r="M63" s="47" t="e">
        <x:f>#REF!</x:f>
        <x:v>#REF!</x:v>
      </x:c>
      <x:c r="N63" s="47" t="e">
        <x:f>#REF!</x:f>
        <x:v>#REF!</x:v>
      </x:c>
      <x:c r="O63" s="47" t="e">
        <x:f>#REF!</x:f>
        <x:v>#REF!</x:v>
      </x:c>
      <x:c r="P63" s="47" t="e">
        <x:f>#REF!</x:f>
        <x:v>#REF!</x:v>
      </x:c>
      <x:c r="Q63" s="47" t="e">
        <x:f>#REF!</x:f>
        <x:v>#REF!</x:v>
      </x:c>
      <x:c r="R63" s="47" t="e">
        <x:f>#REF!</x:f>
        <x:v>#REF!</x:v>
      </x:c>
      <x:c r="S63" s="47" t="e">
        <x:f>#REF!</x:f>
        <x:v>#REF!</x:v>
      </x:c>
      <x:c r="T63" s="47" t="e">
        <x:f>#REF!</x:f>
        <x:v>#REF!</x:v>
      </x:c>
      <x:c r="U63" s="47" t="e">
        <x:f>#REF!</x:f>
        <x:v>#REF!</x:v>
      </x:c>
      <x:c r="V63" s="17" t="e">
        <x:f t="shared" si="3"/>
        <x:v>#REF!</x:v>
      </x:c>
      <x:c r="W63" s="18" t="e">
        <x:f t="shared" si="5"/>
        <x:v>#REF!</x:v>
      </x:c>
      <x:c r="X63" s="19">
        <x:f t="shared" si="4"/>
        <x:v>0</x:v>
      </x:c>
      <x:c r="Y63" s="30"/>
      <x:c r="Z63" s="35"/>
    </x:row>
    <x:row r="64" s="1" customFormat="1" hidden="1">
      <x:c r="A64" s="53">
        <x:v>36</x:v>
      </x:c>
      <x:c r="B64" s="70" t="s">
        <x:v>194</x:v>
      </x:c>
      <x:c r="C64" s="34"/>
      <x:c r="D64" s="47" t="e">
        <x:f>#REF!</x:f>
        <x:v>#REF!</x:v>
      </x:c>
      <x:c r="E64" s="47" t="e">
        <x:f>#REF!</x:f>
        <x:v>#REF!</x:v>
      </x:c>
      <x:c r="F64" s="47" t="e">
        <x:f>#REF!</x:f>
        <x:v>#REF!</x:v>
      </x:c>
      <x:c r="G64" s="47" t="e">
        <x:f>#REF!</x:f>
        <x:v>#REF!</x:v>
      </x:c>
      <x:c r="H64" s="47" t="e">
        <x:f>#REF!</x:f>
        <x:v>#REF!</x:v>
      </x:c>
      <x:c r="I64" s="47" t="e">
        <x:f>#REF!</x:f>
        <x:v>#REF!</x:v>
      </x:c>
      <x:c r="J64" s="47" t="e">
        <x:f>#REF!</x:f>
        <x:v>#REF!</x:v>
      </x:c>
      <x:c r="K64" s="47" t="e">
        <x:f>#REF!</x:f>
        <x:v>#REF!</x:v>
      </x:c>
      <x:c r="L64" s="47" t="e">
        <x:f>#REF!</x:f>
        <x:v>#REF!</x:v>
      </x:c>
      <x:c r="M64" s="47" t="e">
        <x:f>#REF!</x:f>
        <x:v>#REF!</x:v>
      </x:c>
      <x:c r="N64" s="47" t="e">
        <x:f>#REF!</x:f>
        <x:v>#REF!</x:v>
      </x:c>
      <x:c r="O64" s="47" t="e">
        <x:f>#REF!</x:f>
        <x:v>#REF!</x:v>
      </x:c>
      <x:c r="P64" s="47" t="e">
        <x:f>#REF!</x:f>
        <x:v>#REF!</x:v>
      </x:c>
      <x:c r="Q64" s="47" t="e">
        <x:f>#REF!</x:f>
        <x:v>#REF!</x:v>
      </x:c>
      <x:c r="R64" s="47" t="e">
        <x:f>#REF!</x:f>
        <x:v>#REF!</x:v>
      </x:c>
      <x:c r="S64" s="47" t="e">
        <x:f>#REF!</x:f>
        <x:v>#REF!</x:v>
      </x:c>
      <x:c r="T64" s="47" t="e">
        <x:f>#REF!</x:f>
        <x:v>#REF!</x:v>
      </x:c>
      <x:c r="U64" s="47" t="e">
        <x:f>#REF!</x:f>
        <x:v>#REF!</x:v>
      </x:c>
      <x:c r="V64" s="17" t="e">
        <x:f t="shared" si="3"/>
        <x:v>#REF!</x:v>
      </x:c>
      <x:c r="W64" s="18" t="e">
        <x:f t="shared" si="5"/>
        <x:v>#REF!</x:v>
      </x:c>
      <x:c r="X64" s="19">
        <x:f t="shared" si="4"/>
        <x:v>0</x:v>
      </x:c>
      <x:c r="Y64" s="30"/>
      <x:c r="Z64" s="35"/>
    </x:row>
    <x:row r="65" s="1" customFormat="1" hidden="1">
      <x:c r="A65" s="53">
        <x:v>37</x:v>
      </x:c>
      <x:c r="B65" s="52" t="s">
        <x:v>195</x:v>
      </x:c>
      <x:c r="C65" s="34"/>
      <x:c r="D65" s="49" t="e">
        <x:f>#REF!</x:f>
        <x:v>#REF!</x:v>
      </x:c>
      <x:c r="E65" s="49" t="e">
        <x:f>#REF!</x:f>
        <x:v>#REF!</x:v>
      </x:c>
      <x:c r="F65" s="49" t="e">
        <x:f>#REF!</x:f>
        <x:v>#REF!</x:v>
      </x:c>
      <x:c r="G65" s="49" t="e">
        <x:f>#REF!</x:f>
        <x:v>#REF!</x:v>
      </x:c>
      <x:c r="H65" s="49" t="e">
        <x:f>#REF!</x:f>
        <x:v>#REF!</x:v>
      </x:c>
      <x:c r="I65" s="49" t="e">
        <x:f>#REF!</x:f>
        <x:v>#REF!</x:v>
      </x:c>
      <x:c r="J65" s="49" t="e">
        <x:f>#REF!</x:f>
        <x:v>#REF!</x:v>
      </x:c>
      <x:c r="K65" s="49" t="e">
        <x:f>#REF!</x:f>
        <x:v>#REF!</x:v>
      </x:c>
      <x:c r="L65" s="49" t="e">
        <x:f>#REF!</x:f>
        <x:v>#REF!</x:v>
      </x:c>
      <x:c r="M65" s="49" t="e">
        <x:f>#REF!</x:f>
        <x:v>#REF!</x:v>
      </x:c>
      <x:c r="N65" s="49" t="e">
        <x:f>#REF!</x:f>
        <x:v>#REF!</x:v>
      </x:c>
      <x:c r="O65" s="49" t="e">
        <x:f>#REF!</x:f>
        <x:v>#REF!</x:v>
      </x:c>
      <x:c r="P65" s="49" t="e">
        <x:f>#REF!</x:f>
        <x:v>#REF!</x:v>
      </x:c>
      <x:c r="Q65" s="49" t="e">
        <x:f>#REF!</x:f>
        <x:v>#REF!</x:v>
      </x:c>
      <x:c r="R65" s="49" t="e">
        <x:f>#REF!</x:f>
        <x:v>#REF!</x:v>
      </x:c>
      <x:c r="S65" s="49" t="e">
        <x:f>#REF!</x:f>
        <x:v>#REF!</x:v>
      </x:c>
      <x:c r="T65" s="49" t="e">
        <x:f>#REF!</x:f>
        <x:v>#REF!</x:v>
      </x:c>
      <x:c r="U65" s="49" t="e">
        <x:f>#REF!</x:f>
        <x:v>#REF!</x:v>
      </x:c>
      <x:c r="V65" s="17" t="e">
        <x:f t="shared" si="3"/>
        <x:v>#REF!</x:v>
      </x:c>
      <x:c r="W65" s="18" t="e">
        <x:f t="shared" si="5"/>
        <x:v>#REF!</x:v>
      </x:c>
      <x:c r="X65" s="19">
        <x:f t="shared" si="4"/>
        <x:v>0</x:v>
      </x:c>
      <x:c r="Y65" s="30"/>
      <x:c r="Z65" s="23"/>
    </x:row>
    <x:row r="66" s="1" customFormat="1" ht="29.25" hidden="1" customHeight="1">
      <x:c r="A66" s="53">
        <x:v>38</x:v>
      </x:c>
      <x:c r="B66" s="52" t="s">
        <x:v>196</x:v>
      </x:c>
      <x:c r="C66" s="34"/>
      <x:c r="D66" s="49" t="e">
        <x:f>#REF!</x:f>
        <x:v>#REF!</x:v>
      </x:c>
      <x:c r="E66" s="49" t="e">
        <x:f>#REF!</x:f>
        <x:v>#REF!</x:v>
      </x:c>
      <x:c r="F66" s="49" t="e">
        <x:f>#REF!</x:f>
        <x:v>#REF!</x:v>
      </x:c>
      <x:c r="G66" s="49" t="e">
        <x:f>#REF!</x:f>
        <x:v>#REF!</x:v>
      </x:c>
      <x:c r="H66" s="49" t="e">
        <x:f>#REF!</x:f>
        <x:v>#REF!</x:v>
      </x:c>
      <x:c r="I66" s="49" t="e">
        <x:f>#REF!</x:f>
        <x:v>#REF!</x:v>
      </x:c>
      <x:c r="J66" s="49" t="e">
        <x:f>#REF!</x:f>
        <x:v>#REF!</x:v>
      </x:c>
      <x:c r="K66" s="49" t="e">
        <x:f>#REF!</x:f>
        <x:v>#REF!</x:v>
      </x:c>
      <x:c r="L66" s="49" t="e">
        <x:f>#REF!</x:f>
        <x:v>#REF!</x:v>
      </x:c>
      <x:c r="M66" s="49" t="e">
        <x:f>#REF!</x:f>
        <x:v>#REF!</x:v>
      </x:c>
      <x:c r="N66" s="49" t="e">
        <x:f>#REF!</x:f>
        <x:v>#REF!</x:v>
      </x:c>
      <x:c r="O66" s="49" t="e">
        <x:f>#REF!</x:f>
        <x:v>#REF!</x:v>
      </x:c>
      <x:c r="P66" s="49" t="e">
        <x:f>#REF!</x:f>
        <x:v>#REF!</x:v>
      </x:c>
      <x:c r="Q66" s="49" t="e">
        <x:f>#REF!</x:f>
        <x:v>#REF!</x:v>
      </x:c>
      <x:c r="R66" s="49" t="e">
        <x:f>#REF!</x:f>
        <x:v>#REF!</x:v>
      </x:c>
      <x:c r="S66" s="49" t="e">
        <x:f>#REF!</x:f>
        <x:v>#REF!</x:v>
      </x:c>
      <x:c r="T66" s="49" t="e">
        <x:f>#REF!</x:f>
        <x:v>#REF!</x:v>
      </x:c>
      <x:c r="U66" s="49" t="e">
        <x:f>#REF!</x:f>
        <x:v>#REF!</x:v>
      </x:c>
      <x:c r="V66" s="17" t="e">
        <x:f t="shared" si="3"/>
        <x:v>#REF!</x:v>
      </x:c>
      <x:c r="W66" s="18" t="e">
        <x:f t="shared" si="5"/>
        <x:v>#REF!</x:v>
      </x:c>
      <x:c r="X66" s="19">
        <x:f t="shared" si="4"/>
        <x:v>0</x:v>
      </x:c>
      <x:c r="Y66" s="30"/>
      <x:c r="Z66" s="35"/>
    </x:row>
    <x:row r="67" s="1" customFormat="1" ht="29.25" hidden="1" customHeight="1">
      <x:c r="A67" s="53">
        <x:v>39</x:v>
      </x:c>
      <x:c r="B67" s="52" t="s">
        <x:v>197</x:v>
      </x:c>
      <x:c r="C67" s="34"/>
      <x:c r="D67" s="47" t="e">
        <x:f>#REF!</x:f>
        <x:v>#REF!</x:v>
      </x:c>
      <x:c r="E67" s="47" t="e">
        <x:f>#REF!</x:f>
        <x:v>#REF!</x:v>
      </x:c>
      <x:c r="F67" s="47" t="e">
        <x:f>#REF!</x:f>
        <x:v>#REF!</x:v>
      </x:c>
      <x:c r="G67" s="47" t="e">
        <x:f>#REF!</x:f>
        <x:v>#REF!</x:v>
      </x:c>
      <x:c r="H67" s="47" t="e">
        <x:f>#REF!</x:f>
        <x:v>#REF!</x:v>
      </x:c>
      <x:c r="I67" s="47" t="e">
        <x:f>#REF!</x:f>
        <x:v>#REF!</x:v>
      </x:c>
      <x:c r="J67" s="47" t="e">
        <x:f>#REF!</x:f>
        <x:v>#REF!</x:v>
      </x:c>
      <x:c r="K67" s="47" t="e">
        <x:f>#REF!</x:f>
        <x:v>#REF!</x:v>
      </x:c>
      <x:c r="L67" s="47" t="e">
        <x:f>#REF!</x:f>
        <x:v>#REF!</x:v>
      </x:c>
      <x:c r="M67" s="47" t="e">
        <x:f>#REF!</x:f>
        <x:v>#REF!</x:v>
      </x:c>
      <x:c r="N67" s="47" t="e">
        <x:f>#REF!</x:f>
        <x:v>#REF!</x:v>
      </x:c>
      <x:c r="O67" s="47" t="e">
        <x:f>#REF!</x:f>
        <x:v>#REF!</x:v>
      </x:c>
      <x:c r="P67" s="47" t="e">
        <x:f>#REF!</x:f>
        <x:v>#REF!</x:v>
      </x:c>
      <x:c r="Q67" s="47" t="e">
        <x:f>#REF!</x:f>
        <x:v>#REF!</x:v>
      </x:c>
      <x:c r="R67" s="47" t="e">
        <x:f>#REF!</x:f>
        <x:v>#REF!</x:v>
      </x:c>
      <x:c r="S67" s="47" t="e">
        <x:f>#REF!</x:f>
        <x:v>#REF!</x:v>
      </x:c>
      <x:c r="T67" s="47" t="e">
        <x:f>#REF!</x:f>
        <x:v>#REF!</x:v>
      </x:c>
      <x:c r="U67" s="47" t="e">
        <x:f>#REF!</x:f>
        <x:v>#REF!</x:v>
      </x:c>
      <x:c r="V67" s="17" t="e">
        <x:f t="shared" si="3"/>
        <x:v>#REF!</x:v>
      </x:c>
      <x:c r="W67" s="18" t="e">
        <x:f t="shared" si="5"/>
        <x:v>#REF!</x:v>
      </x:c>
      <x:c r="X67" s="19">
        <x:f t="shared" si="4"/>
        <x:v>0</x:v>
      </x:c>
      <x:c r="Y67" s="30"/>
      <x:c r="Z67" s="35"/>
    </x:row>
    <x:row r="68" s="1" customFormat="1" hidden="1">
      <x:c r="A68" s="53">
        <x:v>40</x:v>
      </x:c>
      <x:c r="B68" s="52" t="s">
        <x:v>198</x:v>
      </x:c>
      <x:c r="C68" s="34"/>
      <x:c r="D68" s="47" t="e">
        <x:f>#REF!</x:f>
        <x:v>#REF!</x:v>
      </x:c>
      <x:c r="E68" s="47" t="e">
        <x:f>#REF!</x:f>
        <x:v>#REF!</x:v>
      </x:c>
      <x:c r="F68" s="47" t="e">
        <x:f>#REF!</x:f>
        <x:v>#REF!</x:v>
      </x:c>
      <x:c r="G68" s="47" t="e">
        <x:f>#REF!</x:f>
        <x:v>#REF!</x:v>
      </x:c>
      <x:c r="H68" s="47" t="e">
        <x:f>#REF!</x:f>
        <x:v>#REF!</x:v>
      </x:c>
      <x:c r="I68" s="47" t="e">
        <x:f>#REF!</x:f>
        <x:v>#REF!</x:v>
      </x:c>
      <x:c r="J68" s="47" t="e">
        <x:f>#REF!</x:f>
        <x:v>#REF!</x:v>
      </x:c>
      <x:c r="K68" s="47" t="e">
        <x:f>#REF!</x:f>
        <x:v>#REF!</x:v>
      </x:c>
      <x:c r="L68" s="47" t="e">
        <x:f>#REF!</x:f>
        <x:v>#REF!</x:v>
      </x:c>
      <x:c r="M68" s="47" t="e">
        <x:f>#REF!</x:f>
        <x:v>#REF!</x:v>
      </x:c>
      <x:c r="N68" s="47" t="e">
        <x:f>#REF!</x:f>
        <x:v>#REF!</x:v>
      </x:c>
      <x:c r="O68" s="47" t="e">
        <x:f>#REF!</x:f>
        <x:v>#REF!</x:v>
      </x:c>
      <x:c r="P68" s="47" t="e">
        <x:f>#REF!</x:f>
        <x:v>#REF!</x:v>
      </x:c>
      <x:c r="Q68" s="47" t="e">
        <x:f>#REF!</x:f>
        <x:v>#REF!</x:v>
      </x:c>
      <x:c r="R68" s="47" t="e">
        <x:f>#REF!</x:f>
        <x:v>#REF!</x:v>
      </x:c>
      <x:c r="S68" s="47" t="e">
        <x:f>#REF!</x:f>
        <x:v>#REF!</x:v>
      </x:c>
      <x:c r="T68" s="47" t="e">
        <x:f>#REF!</x:f>
        <x:v>#REF!</x:v>
      </x:c>
      <x:c r="U68" s="47" t="e">
        <x:f>#REF!</x:f>
        <x:v>#REF!</x:v>
      </x:c>
      <x:c r="V68" s="17" t="e">
        <x:f t="shared" si="3"/>
        <x:v>#REF!</x:v>
      </x:c>
      <x:c r="W68" s="18" t="e">
        <x:f t="shared" si="5"/>
        <x:v>#REF!</x:v>
      </x:c>
      <x:c r="X68" s="19">
        <x:f t="shared" si="4"/>
        <x:v>0</x:v>
      </x:c>
      <x:c r="Y68" s="30"/>
      <x:c r="Z68" s="35"/>
    </x:row>
    <x:row r="69" s="1" customFormat="1" hidden="1">
      <x:c r="A69" s="53">
        <x:v>41</x:v>
      </x:c>
      <x:c r="B69" s="71" t="s">
        <x:v>199</x:v>
      </x:c>
      <x:c r="C69" s="34"/>
      <x:c r="D69" s="47" t="e">
        <x:f>#REF!</x:f>
        <x:v>#REF!</x:v>
      </x:c>
      <x:c r="E69" s="47" t="e">
        <x:f>#REF!</x:f>
        <x:v>#REF!</x:v>
      </x:c>
      <x:c r="F69" s="47" t="e">
        <x:f>#REF!</x:f>
        <x:v>#REF!</x:v>
      </x:c>
      <x:c r="G69" s="47" t="e">
        <x:f>#REF!</x:f>
        <x:v>#REF!</x:v>
      </x:c>
      <x:c r="H69" s="47" t="e">
        <x:f>#REF!</x:f>
        <x:v>#REF!</x:v>
      </x:c>
      <x:c r="I69" s="47" t="e">
        <x:f>#REF!</x:f>
        <x:v>#REF!</x:v>
      </x:c>
      <x:c r="J69" s="47" t="e">
        <x:f>#REF!</x:f>
        <x:v>#REF!</x:v>
      </x:c>
      <x:c r="K69" s="47" t="e">
        <x:f>#REF!</x:f>
        <x:v>#REF!</x:v>
      </x:c>
      <x:c r="L69" s="47" t="e">
        <x:f>#REF!</x:f>
        <x:v>#REF!</x:v>
      </x:c>
      <x:c r="M69" s="47" t="e">
        <x:f>#REF!</x:f>
        <x:v>#REF!</x:v>
      </x:c>
      <x:c r="N69" s="47" t="e">
        <x:f>#REF!</x:f>
        <x:v>#REF!</x:v>
      </x:c>
      <x:c r="O69" s="47" t="e">
        <x:f>#REF!</x:f>
        <x:v>#REF!</x:v>
      </x:c>
      <x:c r="P69" s="47" t="e">
        <x:f>#REF!</x:f>
        <x:v>#REF!</x:v>
      </x:c>
      <x:c r="Q69" s="47" t="e">
        <x:f>#REF!</x:f>
        <x:v>#REF!</x:v>
      </x:c>
      <x:c r="R69" s="47" t="e">
        <x:f>#REF!</x:f>
        <x:v>#REF!</x:v>
      </x:c>
      <x:c r="S69" s="47" t="e">
        <x:f>#REF!</x:f>
        <x:v>#REF!</x:v>
      </x:c>
      <x:c r="T69" s="47" t="e">
        <x:f>#REF!</x:f>
        <x:v>#REF!</x:v>
      </x:c>
      <x:c r="U69" s="47" t="e">
        <x:f>#REF!</x:f>
        <x:v>#REF!</x:v>
      </x:c>
      <x:c r="V69" s="17" t="e">
        <x:f t="shared" si="3"/>
        <x:v>#REF!</x:v>
      </x:c>
      <x:c r="W69" s="18" t="e">
        <x:f t="shared" si="5"/>
        <x:v>#REF!</x:v>
      </x:c>
      <x:c r="X69" s="19">
        <x:f t="shared" si="4"/>
        <x:v>0</x:v>
      </x:c>
      <x:c r="Y69" s="30"/>
      <x:c r="Z69" s="23"/>
    </x:row>
    <x:row r="70" s="1" customFormat="1" hidden="1">
      <x:c r="A70" s="53">
        <x:v>42</x:v>
      </x:c>
      <x:c r="B70" s="52" t="s">
        <x:v>200</x:v>
      </x:c>
      <x:c r="C70" s="34"/>
      <x:c r="D70" s="47" t="e">
        <x:f>#REF!</x:f>
        <x:v>#REF!</x:v>
      </x:c>
      <x:c r="E70" s="47" t="e">
        <x:f>#REF!</x:f>
        <x:v>#REF!</x:v>
      </x:c>
      <x:c r="F70" s="47" t="e">
        <x:f>#REF!</x:f>
        <x:v>#REF!</x:v>
      </x:c>
      <x:c r="G70" s="47" t="e">
        <x:f>#REF!</x:f>
        <x:v>#REF!</x:v>
      </x:c>
      <x:c r="H70" s="47" t="e">
        <x:f>#REF!</x:f>
        <x:v>#REF!</x:v>
      </x:c>
      <x:c r="I70" s="47" t="e">
        <x:f>#REF!</x:f>
        <x:v>#REF!</x:v>
      </x:c>
      <x:c r="J70" s="47" t="e">
        <x:f>#REF!</x:f>
        <x:v>#REF!</x:v>
      </x:c>
      <x:c r="K70" s="47" t="e">
        <x:f>#REF!</x:f>
        <x:v>#REF!</x:v>
      </x:c>
      <x:c r="L70" s="47" t="e">
        <x:f>#REF!</x:f>
        <x:v>#REF!</x:v>
      </x:c>
      <x:c r="M70" s="47" t="e">
        <x:f>#REF!</x:f>
        <x:v>#REF!</x:v>
      </x:c>
      <x:c r="N70" s="47" t="e">
        <x:f>#REF!</x:f>
        <x:v>#REF!</x:v>
      </x:c>
      <x:c r="O70" s="47" t="e">
        <x:f>#REF!</x:f>
        <x:v>#REF!</x:v>
      </x:c>
      <x:c r="P70" s="47" t="e">
        <x:f>#REF!</x:f>
        <x:v>#REF!</x:v>
      </x:c>
      <x:c r="Q70" s="47" t="e">
        <x:f>#REF!</x:f>
        <x:v>#REF!</x:v>
      </x:c>
      <x:c r="R70" s="47" t="e">
        <x:f>#REF!</x:f>
        <x:v>#REF!</x:v>
      </x:c>
      <x:c r="S70" s="47" t="e">
        <x:f>#REF!</x:f>
        <x:v>#REF!</x:v>
      </x:c>
      <x:c r="T70" s="47" t="e">
        <x:f>#REF!</x:f>
        <x:v>#REF!</x:v>
      </x:c>
      <x:c r="U70" s="47" t="e">
        <x:f>#REF!</x:f>
        <x:v>#REF!</x:v>
      </x:c>
      <x:c r="V70" s="17" t="e">
        <x:f t="shared" si="3"/>
        <x:v>#REF!</x:v>
      </x:c>
      <x:c r="W70" s="18" t="e">
        <x:f t="shared" si="5"/>
        <x:v>#REF!</x:v>
      </x:c>
      <x:c r="X70" s="19">
        <x:f t="shared" si="4"/>
        <x:v>0</x:v>
      </x:c>
      <x:c r="Y70" s="30"/>
      <x:c r="Z70" s="35"/>
    </x:row>
    <x:row r="71" s="1" customFormat="1" ht="29.25" hidden="1" customHeight="1">
      <x:c r="A71" s="53">
        <x:v>43</x:v>
      </x:c>
      <x:c r="B71" s="62" t="s">
        <x:v>201</x:v>
      </x:c>
      <x:c r="C71" s="36"/>
      <x:c r="D71" s="49" t="e">
        <x:f>#REF!</x:f>
        <x:v>#REF!</x:v>
      </x:c>
      <x:c r="E71" s="49" t="e">
        <x:f>#REF!</x:f>
        <x:v>#REF!</x:v>
      </x:c>
      <x:c r="F71" s="49" t="e">
        <x:f>#REF!</x:f>
        <x:v>#REF!</x:v>
      </x:c>
      <x:c r="G71" s="49" t="e">
        <x:f>#REF!</x:f>
        <x:v>#REF!</x:v>
      </x:c>
      <x:c r="H71" s="49" t="e">
        <x:f>#REF!</x:f>
        <x:v>#REF!</x:v>
      </x:c>
      <x:c r="I71" s="49" t="e">
        <x:f>#REF!</x:f>
        <x:v>#REF!</x:v>
      </x:c>
      <x:c r="J71" s="49" t="e">
        <x:f>#REF!</x:f>
        <x:v>#REF!</x:v>
      </x:c>
      <x:c r="K71" s="49" t="e">
        <x:f>#REF!</x:f>
        <x:v>#REF!</x:v>
      </x:c>
      <x:c r="L71" s="49" t="e">
        <x:f>#REF!</x:f>
        <x:v>#REF!</x:v>
      </x:c>
      <x:c r="M71" s="49" t="e">
        <x:f>#REF!</x:f>
        <x:v>#REF!</x:v>
      </x:c>
      <x:c r="N71" s="49" t="e">
        <x:f>#REF!</x:f>
        <x:v>#REF!</x:v>
      </x:c>
      <x:c r="O71" s="49" t="e">
        <x:f>#REF!</x:f>
        <x:v>#REF!</x:v>
      </x:c>
      <x:c r="P71" s="49" t="e">
        <x:f>#REF!</x:f>
        <x:v>#REF!</x:v>
      </x:c>
      <x:c r="Q71" s="49" t="e">
        <x:f>#REF!</x:f>
        <x:v>#REF!</x:v>
      </x:c>
      <x:c r="R71" s="49" t="e">
        <x:f>#REF!</x:f>
        <x:v>#REF!</x:v>
      </x:c>
      <x:c r="S71" s="49" t="e">
        <x:f>#REF!</x:f>
        <x:v>#REF!</x:v>
      </x:c>
      <x:c r="T71" s="49" t="e">
        <x:f>#REF!</x:f>
        <x:v>#REF!</x:v>
      </x:c>
      <x:c r="U71" s="49" t="e">
        <x:f>#REF!</x:f>
        <x:v>#REF!</x:v>
      </x:c>
      <x:c r="V71" s="17" t="e">
        <x:f t="shared" si="3"/>
        <x:v>#REF!</x:v>
      </x:c>
      <x:c r="W71" s="18" t="e">
        <x:f t="shared" si="5"/>
        <x:v>#REF!</x:v>
      </x:c>
      <x:c r="X71" s="19">
        <x:f t="shared" si="4"/>
        <x:v>0</x:v>
      </x:c>
      <x:c r="Y71" s="32"/>
      <x:c r="Z71" s="33"/>
    </x:row>
    <x:row r="72" s="1" customFormat="1" ht="29.25" hidden="1" customHeight="1">
      <x:c r="A72" s="53">
        <x:v>44</x:v>
      </x:c>
      <x:c r="B72" s="61" t="s">
        <x:v>202</x:v>
      </x:c>
      <x:c r="C72" s="26"/>
      <x:c r="D72" s="49" t="e">
        <x:f>#REF!</x:f>
        <x:v>#REF!</x:v>
      </x:c>
      <x:c r="E72" s="49" t="e">
        <x:f>#REF!</x:f>
        <x:v>#REF!</x:v>
      </x:c>
      <x:c r="F72" s="49" t="e">
        <x:f>#REF!</x:f>
        <x:v>#REF!</x:v>
      </x:c>
      <x:c r="G72" s="49" t="e">
        <x:f>#REF!</x:f>
        <x:v>#REF!</x:v>
      </x:c>
      <x:c r="H72" s="49" t="e">
        <x:f>#REF!</x:f>
        <x:v>#REF!</x:v>
      </x:c>
      <x:c r="I72" s="49" t="e">
        <x:f>#REF!</x:f>
        <x:v>#REF!</x:v>
      </x:c>
      <x:c r="J72" s="49" t="e">
        <x:f>#REF!</x:f>
        <x:v>#REF!</x:v>
      </x:c>
      <x:c r="K72" s="49" t="e">
        <x:f>#REF!</x:f>
        <x:v>#REF!</x:v>
      </x:c>
      <x:c r="L72" s="49" t="e">
        <x:f>#REF!</x:f>
        <x:v>#REF!</x:v>
      </x:c>
      <x:c r="M72" s="49" t="e">
        <x:f>#REF!</x:f>
        <x:v>#REF!</x:v>
      </x:c>
      <x:c r="N72" s="49" t="e">
        <x:f>#REF!</x:f>
        <x:v>#REF!</x:v>
      </x:c>
      <x:c r="O72" s="49" t="e">
        <x:f>#REF!</x:f>
        <x:v>#REF!</x:v>
      </x:c>
      <x:c r="P72" s="49" t="e">
        <x:f>#REF!</x:f>
        <x:v>#REF!</x:v>
      </x:c>
      <x:c r="Q72" s="49" t="e">
        <x:f>#REF!</x:f>
        <x:v>#REF!</x:v>
      </x:c>
      <x:c r="R72" s="49" t="e">
        <x:f>#REF!</x:f>
        <x:v>#REF!</x:v>
      </x:c>
      <x:c r="S72" s="49" t="e">
        <x:f>#REF!</x:f>
        <x:v>#REF!</x:v>
      </x:c>
      <x:c r="T72" s="49" t="e">
        <x:f>#REF!</x:f>
        <x:v>#REF!</x:v>
      </x:c>
      <x:c r="U72" s="49" t="e">
        <x:f>#REF!</x:f>
        <x:v>#REF!</x:v>
      </x:c>
      <x:c r="V72" s="17" t="e">
        <x:f t="shared" si="3"/>
        <x:v>#REF!</x:v>
      </x:c>
      <x:c r="W72" s="18" t="e">
        <x:f t="shared" si="5"/>
        <x:v>#REF!</x:v>
      </x:c>
      <x:c r="X72" s="19">
        <x:f t="shared" si="4"/>
        <x:v>0</x:v>
      </x:c>
      <x:c r="Y72" s="27"/>
      <x:c r="Z72" s="28"/>
    </x:row>
    <x:row r="73" s="1" customFormat="1" hidden="1">
      <x:c r="A73" s="53">
        <x:v>45</x:v>
      </x:c>
      <x:c r="B73" s="52" t="s">
        <x:v>203</x:v>
      </x:c>
      <x:c r="C73" s="29"/>
      <x:c r="D73" s="49" t="e">
        <x:f>#REF!</x:f>
        <x:v>#REF!</x:v>
      </x:c>
      <x:c r="E73" s="49" t="e">
        <x:f>#REF!</x:f>
        <x:v>#REF!</x:v>
      </x:c>
      <x:c r="F73" s="49" t="e">
        <x:f>#REF!</x:f>
        <x:v>#REF!</x:v>
      </x:c>
      <x:c r="G73" s="49" t="e">
        <x:f>#REF!</x:f>
        <x:v>#REF!</x:v>
      </x:c>
      <x:c r="H73" s="49" t="e">
        <x:f>#REF!</x:f>
        <x:v>#REF!</x:v>
      </x:c>
      <x:c r="I73" s="49" t="e">
        <x:f>#REF!</x:f>
        <x:v>#REF!</x:v>
      </x:c>
      <x:c r="J73" s="49" t="e">
        <x:f>#REF!</x:f>
        <x:v>#REF!</x:v>
      </x:c>
      <x:c r="K73" s="49" t="e">
        <x:f>#REF!</x:f>
        <x:v>#REF!</x:v>
      </x:c>
      <x:c r="L73" s="49" t="e">
        <x:f>#REF!</x:f>
        <x:v>#REF!</x:v>
      </x:c>
      <x:c r="M73" s="49" t="e">
        <x:f>#REF!</x:f>
        <x:v>#REF!</x:v>
      </x:c>
      <x:c r="N73" s="49" t="e">
        <x:f>#REF!</x:f>
        <x:v>#REF!</x:v>
      </x:c>
      <x:c r="O73" s="49" t="e">
        <x:f>#REF!</x:f>
        <x:v>#REF!</x:v>
      </x:c>
      <x:c r="P73" s="49" t="e">
        <x:f>#REF!</x:f>
        <x:v>#REF!</x:v>
      </x:c>
      <x:c r="Q73" s="49" t="e">
        <x:f>#REF!</x:f>
        <x:v>#REF!</x:v>
      </x:c>
      <x:c r="R73" s="49" t="e">
        <x:f>#REF!</x:f>
        <x:v>#REF!</x:v>
      </x:c>
      <x:c r="S73" s="49" t="e">
        <x:f>#REF!</x:f>
        <x:v>#REF!</x:v>
      </x:c>
      <x:c r="T73" s="49" t="e">
        <x:f>#REF!</x:f>
        <x:v>#REF!</x:v>
      </x:c>
      <x:c r="U73" s="49" t="e">
        <x:f>#REF!</x:f>
        <x:v>#REF!</x:v>
      </x:c>
      <x:c r="V73" s="17" t="e">
        <x:f t="shared" si="3"/>
        <x:v>#REF!</x:v>
      </x:c>
      <x:c r="W73" s="18" t="e">
        <x:f t="shared" si="5"/>
        <x:v>#REF!</x:v>
      </x:c>
      <x:c r="X73" s="19">
        <x:f t="shared" si="4"/>
        <x:v>0</x:v>
      </x:c>
      <x:c r="Y73" s="30"/>
      <x:c r="Z73" s="35"/>
    </x:row>
    <x:row r="74" s="1" customFormat="1" ht="29.25" hidden="1" customHeight="1">
      <x:c r="A74" s="53">
        <x:v>46</x:v>
      </x:c>
      <x:c r="B74" s="52" t="s">
        <x:v>204</x:v>
      </x:c>
      <x:c r="C74" s="29"/>
      <x:c r="D74" s="49" t="e">
        <x:f>#REF!</x:f>
        <x:v>#REF!</x:v>
      </x:c>
      <x:c r="E74" s="49" t="e">
        <x:f>#REF!</x:f>
        <x:v>#REF!</x:v>
      </x:c>
      <x:c r="F74" s="49" t="e">
        <x:f>#REF!</x:f>
        <x:v>#REF!</x:v>
      </x:c>
      <x:c r="G74" s="49" t="e">
        <x:f>#REF!</x:f>
        <x:v>#REF!</x:v>
      </x:c>
      <x:c r="H74" s="49" t="e">
        <x:f>#REF!</x:f>
        <x:v>#REF!</x:v>
      </x:c>
      <x:c r="I74" s="49" t="e">
        <x:f>#REF!</x:f>
        <x:v>#REF!</x:v>
      </x:c>
      <x:c r="J74" s="49" t="e">
        <x:f>#REF!</x:f>
        <x:v>#REF!</x:v>
      </x:c>
      <x:c r="K74" s="49" t="e">
        <x:f>#REF!</x:f>
        <x:v>#REF!</x:v>
      </x:c>
      <x:c r="L74" s="49" t="e">
        <x:f>#REF!</x:f>
        <x:v>#REF!</x:v>
      </x:c>
      <x:c r="M74" s="49" t="e">
        <x:f>#REF!</x:f>
        <x:v>#REF!</x:v>
      </x:c>
      <x:c r="N74" s="49" t="e">
        <x:f>#REF!</x:f>
        <x:v>#REF!</x:v>
      </x:c>
      <x:c r="O74" s="49" t="e">
        <x:f>#REF!</x:f>
        <x:v>#REF!</x:v>
      </x:c>
      <x:c r="P74" s="49" t="e">
        <x:f>#REF!</x:f>
        <x:v>#REF!</x:v>
      </x:c>
      <x:c r="Q74" s="49" t="e">
        <x:f>#REF!</x:f>
        <x:v>#REF!</x:v>
      </x:c>
      <x:c r="R74" s="49" t="e">
        <x:f>#REF!</x:f>
        <x:v>#REF!</x:v>
      </x:c>
      <x:c r="S74" s="49" t="e">
        <x:f>#REF!</x:f>
        <x:v>#REF!</x:v>
      </x:c>
      <x:c r="T74" s="49" t="e">
        <x:f>#REF!</x:f>
        <x:v>#REF!</x:v>
      </x:c>
      <x:c r="U74" s="49" t="e">
        <x:f>#REF!</x:f>
        <x:v>#REF!</x:v>
      </x:c>
      <x:c r="V74" s="17" t="e">
        <x:f t="shared" si="3"/>
        <x:v>#REF!</x:v>
      </x:c>
      <x:c r="W74" s="18" t="e">
        <x:f t="shared" si="5"/>
        <x:v>#REF!</x:v>
      </x:c>
      <x:c r="X74" s="19">
        <x:f t="shared" si="4"/>
        <x:v>0</x:v>
      </x:c>
      <x:c r="Y74" s="30"/>
      <x:c r="Z74" s="23"/>
    </x:row>
    <x:row r="75" s="1" customFormat="1" hidden="1">
      <x:c r="A75" s="53">
        <x:v>47</x:v>
      </x:c>
      <x:c r="B75" s="52" t="s">
        <x:v>205</x:v>
      </x:c>
      <x:c r="C75" s="29"/>
      <x:c r="D75" s="49" t="e">
        <x:f>#REF!</x:f>
        <x:v>#REF!</x:v>
      </x:c>
      <x:c r="E75" s="49" t="e">
        <x:f>#REF!</x:f>
        <x:v>#REF!</x:v>
      </x:c>
      <x:c r="F75" s="49" t="e">
        <x:f>#REF!</x:f>
        <x:v>#REF!</x:v>
      </x:c>
      <x:c r="G75" s="49" t="e">
        <x:f>#REF!</x:f>
        <x:v>#REF!</x:v>
      </x:c>
      <x:c r="H75" s="49" t="e">
        <x:f>#REF!</x:f>
        <x:v>#REF!</x:v>
      </x:c>
      <x:c r="I75" s="49" t="e">
        <x:f>#REF!</x:f>
        <x:v>#REF!</x:v>
      </x:c>
      <x:c r="J75" s="49" t="e">
        <x:f>#REF!</x:f>
        <x:v>#REF!</x:v>
      </x:c>
      <x:c r="K75" s="49" t="e">
        <x:f>#REF!</x:f>
        <x:v>#REF!</x:v>
      </x:c>
      <x:c r="L75" s="49" t="e">
        <x:f>#REF!</x:f>
        <x:v>#REF!</x:v>
      </x:c>
      <x:c r="M75" s="49" t="e">
        <x:f>#REF!</x:f>
        <x:v>#REF!</x:v>
      </x:c>
      <x:c r="N75" s="49" t="e">
        <x:f>#REF!</x:f>
        <x:v>#REF!</x:v>
      </x:c>
      <x:c r="O75" s="49" t="e">
        <x:f>#REF!</x:f>
        <x:v>#REF!</x:v>
      </x:c>
      <x:c r="P75" s="49" t="e">
        <x:f>#REF!</x:f>
        <x:v>#REF!</x:v>
      </x:c>
      <x:c r="Q75" s="49" t="e">
        <x:f>#REF!</x:f>
        <x:v>#REF!</x:v>
      </x:c>
      <x:c r="R75" s="49" t="e">
        <x:f>#REF!</x:f>
        <x:v>#REF!</x:v>
      </x:c>
      <x:c r="S75" s="49" t="e">
        <x:f>#REF!</x:f>
        <x:v>#REF!</x:v>
      </x:c>
      <x:c r="T75" s="49" t="e">
        <x:f>#REF!</x:f>
        <x:v>#REF!</x:v>
      </x:c>
      <x:c r="U75" s="49" t="e">
        <x:f>#REF!</x:f>
        <x:v>#REF!</x:v>
      </x:c>
      <x:c r="V75" s="17" t="e">
        <x:f t="shared" si="3"/>
        <x:v>#REF!</x:v>
      </x:c>
      <x:c r="W75" s="18" t="e">
        <x:f t="shared" si="5"/>
        <x:v>#REF!</x:v>
      </x:c>
      <x:c r="X75" s="19">
        <x:f t="shared" si="4"/>
        <x:v>0</x:v>
      </x:c>
      <x:c r="Y75" s="30"/>
      <x:c r="Z75" s="23"/>
    </x:row>
    <x:row r="76" s="1" customFormat="1" ht="29.25" hidden="1" customHeight="1">
      <x:c r="A76" s="53">
        <x:v>48</x:v>
      </x:c>
      <x:c r="B76" s="52" t="s">
        <x:v>206</x:v>
      </x:c>
      <x:c r="C76" s="29"/>
      <x:c r="D76" s="49" t="e">
        <x:f>#REF!</x:f>
        <x:v>#REF!</x:v>
      </x:c>
      <x:c r="E76" s="49" t="e">
        <x:f>#REF!</x:f>
        <x:v>#REF!</x:v>
      </x:c>
      <x:c r="F76" s="49" t="e">
        <x:f>#REF!</x:f>
        <x:v>#REF!</x:v>
      </x:c>
      <x:c r="G76" s="49" t="e">
        <x:f>#REF!</x:f>
        <x:v>#REF!</x:v>
      </x:c>
      <x:c r="H76" s="49" t="e">
        <x:f>#REF!</x:f>
        <x:v>#REF!</x:v>
      </x:c>
      <x:c r="I76" s="49" t="e">
        <x:f>#REF!</x:f>
        <x:v>#REF!</x:v>
      </x:c>
      <x:c r="J76" s="49" t="e">
        <x:f>#REF!</x:f>
        <x:v>#REF!</x:v>
      </x:c>
      <x:c r="K76" s="49" t="e">
        <x:f>#REF!</x:f>
        <x:v>#REF!</x:v>
      </x:c>
      <x:c r="L76" s="49" t="e">
        <x:f>#REF!</x:f>
        <x:v>#REF!</x:v>
      </x:c>
      <x:c r="M76" s="49" t="e">
        <x:f>#REF!</x:f>
        <x:v>#REF!</x:v>
      </x:c>
      <x:c r="N76" s="49" t="e">
        <x:f>#REF!</x:f>
        <x:v>#REF!</x:v>
      </x:c>
      <x:c r="O76" s="49" t="e">
        <x:f>#REF!</x:f>
        <x:v>#REF!</x:v>
      </x:c>
      <x:c r="P76" s="49" t="e">
        <x:f>#REF!</x:f>
        <x:v>#REF!</x:v>
      </x:c>
      <x:c r="Q76" s="49" t="e">
        <x:f>#REF!</x:f>
        <x:v>#REF!</x:v>
      </x:c>
      <x:c r="R76" s="49" t="e">
        <x:f>#REF!</x:f>
        <x:v>#REF!</x:v>
      </x:c>
      <x:c r="S76" s="49" t="e">
        <x:f>#REF!</x:f>
        <x:v>#REF!</x:v>
      </x:c>
      <x:c r="T76" s="49" t="e">
        <x:f>#REF!</x:f>
        <x:v>#REF!</x:v>
      </x:c>
      <x:c r="U76" s="49" t="e">
        <x:f>#REF!</x:f>
        <x:v>#REF!</x:v>
      </x:c>
      <x:c r="V76" s="17" t="e">
        <x:f t="shared" si="3"/>
        <x:v>#REF!</x:v>
      </x:c>
      <x:c r="W76" s="18" t="e">
        <x:f t="shared" si="5"/>
        <x:v>#REF!</x:v>
      </x:c>
      <x:c r="X76" s="19">
        <x:f t="shared" si="4"/>
        <x:v>0</x:v>
      </x:c>
      <x:c r="Y76" s="30"/>
      <x:c r="Z76" s="23"/>
    </x:row>
    <x:row r="77" s="1" customFormat="1" ht="29.25" hidden="1" customHeight="1">
      <x:c r="A77" s="53">
        <x:v>49</x:v>
      </x:c>
      <x:c r="B77" s="52" t="s">
        <x:v>207</x:v>
      </x:c>
      <x:c r="C77" s="29"/>
      <x:c r="D77" s="49" t="e">
        <x:f>#REF!</x:f>
        <x:v>#REF!</x:v>
      </x:c>
      <x:c r="E77" s="49" t="e">
        <x:f>#REF!</x:f>
        <x:v>#REF!</x:v>
      </x:c>
      <x:c r="F77" s="49" t="e">
        <x:f>#REF!</x:f>
        <x:v>#REF!</x:v>
      </x:c>
      <x:c r="G77" s="49" t="e">
        <x:f>#REF!</x:f>
        <x:v>#REF!</x:v>
      </x:c>
      <x:c r="H77" s="49" t="e">
        <x:f>#REF!</x:f>
        <x:v>#REF!</x:v>
      </x:c>
      <x:c r="I77" s="49" t="e">
        <x:f>#REF!</x:f>
        <x:v>#REF!</x:v>
      </x:c>
      <x:c r="J77" s="49" t="e">
        <x:f>#REF!</x:f>
        <x:v>#REF!</x:v>
      </x:c>
      <x:c r="K77" s="49" t="e">
        <x:f>#REF!</x:f>
        <x:v>#REF!</x:v>
      </x:c>
      <x:c r="L77" s="49" t="e">
        <x:f>#REF!</x:f>
        <x:v>#REF!</x:v>
      </x:c>
      <x:c r="M77" s="49" t="e">
        <x:f>#REF!</x:f>
        <x:v>#REF!</x:v>
      </x:c>
      <x:c r="N77" s="49" t="e">
        <x:f>#REF!</x:f>
        <x:v>#REF!</x:v>
      </x:c>
      <x:c r="O77" s="49" t="e">
        <x:f>#REF!</x:f>
        <x:v>#REF!</x:v>
      </x:c>
      <x:c r="P77" s="49" t="e">
        <x:f>#REF!</x:f>
        <x:v>#REF!</x:v>
      </x:c>
      <x:c r="Q77" s="49" t="e">
        <x:f>#REF!</x:f>
        <x:v>#REF!</x:v>
      </x:c>
      <x:c r="R77" s="49" t="e">
        <x:f>#REF!</x:f>
        <x:v>#REF!</x:v>
      </x:c>
      <x:c r="S77" s="49" t="e">
        <x:f>#REF!</x:f>
        <x:v>#REF!</x:v>
      </x:c>
      <x:c r="T77" s="49" t="e">
        <x:f>#REF!</x:f>
        <x:v>#REF!</x:v>
      </x:c>
      <x:c r="U77" s="49" t="e">
        <x:f>#REF!</x:f>
        <x:v>#REF!</x:v>
      </x:c>
      <x:c r="V77" s="17" t="e">
        <x:f t="shared" si="3"/>
        <x:v>#REF!</x:v>
      </x:c>
      <x:c r="W77" s="18" t="e">
        <x:f t="shared" si="5"/>
        <x:v>#REF!</x:v>
      </x:c>
      <x:c r="X77" s="19">
        <x:f t="shared" si="4"/>
        <x:v>0</x:v>
      </x:c>
      <x:c r="Y77" s="30"/>
      <x:c r="Z77" s="35"/>
    </x:row>
    <x:row r="78" s="1" customFormat="1" hidden="1">
      <x:c r="A78" s="6"/>
      <x:c r="B78" s="37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</x:row>
    <x:row r="79" s="1" customFormat="1" hidden="1">
      <x:c r="A79" s="6"/>
      <x:c r="B79" s="37"/>
      <x:c r="E79" s="283"/>
      <x:c r="F79" s="283"/>
      <x:c r="G79" s="283"/>
    </x:row>
    <x:row r="80" s="1" customFormat="1" hidden="1">
      <x:c r="A80" s="6"/>
      <x:c r="B80" s="7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</x:row>
    <x:row r="81" s="1" customFormat="1" ht="31.5" hidden="1">
      <x:c r="A81" s="6"/>
      <x:c r="B81" s="7"/>
      <x:c r="C81" s="5"/>
      <x:c r="D81" s="5"/>
      <x:c r="E81" s="5"/>
      <x:c r="F81" s="8" t="s">
        <x:v>577</x:v>
      </x:c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5"/>
      <x:c r="R81" s="5"/>
      <x:c r="S81" s="5"/>
      <x:c r="T81" s="5"/>
      <x:c r="U81" s="5"/>
      <x:c r="V81" s="5"/>
      <x:c r="W81" s="5"/>
      <x:c r="X81" s="5"/>
      <x:c r="Y81" s="5"/>
      <x:c r="Z81" s="5"/>
    </x:row>
    <x:row r="82" s="1" customFormat="1" ht="31.5" hidden="1">
      <x:c r="A82" s="6"/>
      <x:c r="B82" s="7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5"/>
      <x:c r="Y82" s="4"/>
      <x:c r="Z82" s="5"/>
    </x:row>
    <x:row r="83" s="1" customFormat="1" hidden="1">
      <x:c r="A83" s="6"/>
      <x:c r="B83" s="7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</x:row>
    <x:row r="84" s="1" customFormat="1" hidden="1">
      <x:c r="A84" s="6"/>
      <x:c r="B84" s="284" t="s">
        <x:v>6</x:v>
      </x:c>
      <x:c r="C84" s="9" t="s">
        <x:v>7</x:v>
      </x:c>
      <x:c r="D84" s="9" t="s">
        <x:v>7</x:v>
      </x:c>
      <x:c r="E84" s="9" t="s">
        <x:v>7</x:v>
      </x:c>
      <x:c r="F84" s="9" t="s">
        <x:v>7</x:v>
      </x:c>
      <x:c r="G84" s="9" t="s">
        <x:v>7</x:v>
      </x:c>
      <x:c r="H84" s="9" t="s">
        <x:v>7</x:v>
      </x:c>
      <x:c r="I84" s="9" t="s">
        <x:v>7</x:v>
      </x:c>
      <x:c r="J84" s="9" t="s">
        <x:v>7</x:v>
      </x:c>
      <x:c r="K84" s="9" t="s">
        <x:v>7</x:v>
      </x:c>
      <x:c r="L84" s="9" t="s">
        <x:v>7</x:v>
      </x:c>
      <x:c r="M84" s="9" t="s">
        <x:v>7</x:v>
      </x:c>
      <x:c r="N84" s="9" t="s">
        <x:v>7</x:v>
      </x:c>
      <x:c r="O84" s="9" t="s">
        <x:v>7</x:v>
      </x:c>
      <x:c r="P84" s="9" t="s">
        <x:v>7</x:v>
      </x:c>
      <x:c r="Q84" s="9" t="s">
        <x:v>7</x:v>
      </x:c>
      <x:c r="R84" s="9" t="s">
        <x:v>7</x:v>
      </x:c>
      <x:c r="S84" s="9" t="s">
        <x:v>7</x:v>
      </x:c>
      <x:c r="T84" s="9" t="s">
        <x:v>7</x:v>
      </x:c>
      <x:c r="U84" s="9" t="s">
        <x:v>7</x:v>
      </x:c>
      <x:c r="V84" s="302">
        <x:v>1900</x:v>
      </x:c>
      <x:c r="W84" s="281" t="s">
        <x:v>8</x:v>
      </x:c>
      <x:c r="X84" s="304" t="s">
        <x:v>9</x:v>
      </x:c>
      <x:c r="Y84" s="281" t="s">
        <x:v>10</x:v>
      </x:c>
      <x:c r="Z84" s="295" t="s">
        <x:v>11</x:v>
      </x:c>
    </x:row>
    <x:row r="85" s="1" customFormat="1" ht="29.25" hidden="1">
      <x:c r="A85" s="6"/>
      <x:c r="B85" s="285"/>
      <x:c r="C85" s="10">
        <x:v>1</x:v>
      </x:c>
      <x:c r="D85" s="11">
        <x:v>2</x:v>
      </x:c>
      <x:c r="E85" s="11">
        <x:v>3</x:v>
      </x:c>
      <x:c r="F85" s="11">
        <x:v>4</x:v>
      </x:c>
      <x:c r="G85" s="11">
        <x:v>5</x:v>
      </x:c>
      <x:c r="H85" s="11">
        <x:v>6</x:v>
      </x:c>
      <x:c r="I85" s="11">
        <x:v>7</x:v>
      </x:c>
      <x:c r="J85" s="11">
        <x:v>8</x:v>
      </x:c>
      <x:c r="K85" s="11">
        <x:v>9</x:v>
      </x:c>
      <x:c r="L85" s="11">
        <x:v>10</x:v>
      </x:c>
      <x:c r="M85" s="11">
        <x:v>11</x:v>
      </x:c>
      <x:c r="N85" s="11">
        <x:v>12</x:v>
      </x:c>
      <x:c r="O85" s="11">
        <x:v>13</x:v>
      </x:c>
      <x:c r="P85" s="11">
        <x:v>14</x:v>
      </x:c>
      <x:c r="Q85" s="11">
        <x:v>15</x:v>
      </x:c>
      <x:c r="R85" s="11">
        <x:v>16</x:v>
      </x:c>
      <x:c r="S85" s="11">
        <x:v>17</x:v>
      </x:c>
      <x:c r="T85" s="11">
        <x:v>18</x:v>
      </x:c>
      <x:c r="U85" s="11">
        <x:v>19</x:v>
      </x:c>
      <x:c r="V85" s="303"/>
      <x:c r="W85" s="282"/>
      <x:c r="X85" s="305"/>
      <x:c r="Y85" s="282"/>
      <x:c r="Z85" s="296"/>
    </x:row>
    <x:row r="86" s="1" customFormat="1" ht="29.25" hidden="1">
      <x:c r="A86" s="6"/>
      <x:c r="B86" s="12" t="n">
        <x:f>0%/100</x:f>
        <x:v>0</x:v>
      </x:c>
      <x:c r="C86" s="12" t="n">
        <x:f>526.31%/100</x:f>
        <x:v>0.052631</x:v>
      </x:c>
      <x:c r="D86" s="12" t="n">
        <x:f>(526.31%/100)*2</x:f>
        <x:v>0.105262</x:v>
      </x:c>
      <x:c r="E86" s="12" t="n">
        <x:f>(526.31%/100)*3</x:f>
        <x:v>0.157893</x:v>
      </x:c>
      <x:c r="F86" s="12" t="n">
        <x:f>(526.31%/100)*4</x:f>
        <x:v>0.210524</x:v>
      </x:c>
      <x:c r="G86" s="12" t="n">
        <x:f>(526.31%/100)*5</x:f>
        <x:v>0.263155</x:v>
      </x:c>
      <x:c r="H86" s="12" t="n">
        <x:f>(526.31%/100)*6</x:f>
        <x:v>0.315786</x:v>
      </x:c>
      <x:c r="I86" s="12" t="n">
        <x:f>(526.31%/100)*7</x:f>
        <x:v>0.368417</x:v>
      </x:c>
      <x:c r="J86" s="12" t="n">
        <x:f>(526.31%/100)*8</x:f>
        <x:v>0.421048</x:v>
      </x:c>
      <x:c r="K86" s="12" t="n">
        <x:f>(526.31%/100)*9</x:f>
        <x:v>0.47367899999999996</x:v>
      </x:c>
      <x:c r="L86" s="12" t="n">
        <x:f>(526.31%/100)*10</x:f>
        <x:v>0.52631</x:v>
      </x:c>
      <x:c r="M86" s="12" t="n">
        <x:f>(526.31%/100)*11</x:f>
        <x:v>0.5789409999999999</x:v>
      </x:c>
      <x:c r="N86" s="12" t="n">
        <x:f>(526.31%/100)*12</x:f>
        <x:v>0.631572</x:v>
      </x:c>
      <x:c r="O86" s="12" t="n">
        <x:f>(526.31%/100)*13</x:f>
        <x:v>0.684203</x:v>
      </x:c>
      <x:c r="P86" s="12" t="n">
        <x:f>(526.31%/100)*14</x:f>
        <x:v>0.736834</x:v>
      </x:c>
      <x:c r="Q86" s="12" t="n">
        <x:f>(526.31%/100)*15</x:f>
        <x:v>0.789465</x:v>
      </x:c>
      <x:c r="R86" s="12" t="n">
        <x:f>(526.31%/100)*16</x:f>
        <x:v>0.842096</x:v>
      </x:c>
      <x:c r="S86" s="12" t="n">
        <x:f>(526.31%/100)*17</x:f>
        <x:v>0.8947269999999999</x:v>
      </x:c>
      <x:c r="T86" s="12" t="n">
        <x:f>(526.31%/100)*18</x:f>
        <x:v>0.9473579999999999</x:v>
      </x:c>
      <x:c r="U86" s="12" t="n">
        <x:f>(526.32%/100)*19</x:f>
        <x:v>1.000008</x:v>
      </x:c>
      <x:c r="V86" s="13"/>
      <x:c r="W86" s="14"/>
      <x:c r="X86" s="14"/>
      <x:c r="Y86" s="14"/>
      <x:c r="Z86" s="15"/>
    </x:row>
    <x:row r="87" s="1" customFormat="1" ht="29.25" hidden="1" customHeight="1">
      <x:c r="A87" s="53">
        <x:v>1</x:v>
      </x:c>
      <x:c r="B87" s="73" t="s">
        <x:v>159</x:v>
      </x:c>
      <x:c r="D87" s="16" t="e">
        <x:f>#REF!</x:f>
        <x:v>#REF!</x:v>
      </x:c>
      <x:c r="E87" s="16" t="e">
        <x:f>#REF!</x:f>
        <x:v>#REF!</x:v>
      </x:c>
      <x:c r="F87" s="16" t="e">
        <x:f>#REF!</x:f>
        <x:v>#REF!</x:v>
      </x:c>
      <x:c r="G87" s="16" t="e">
        <x:f>#REF!</x:f>
        <x:v>#REF!</x:v>
      </x:c>
      <x:c r="H87" s="16" t="e">
        <x:f>#REF!</x:f>
        <x:v>#REF!</x:v>
      </x:c>
      <x:c r="I87" s="16" t="e">
        <x:f>#REF!</x:f>
        <x:v>#REF!</x:v>
      </x:c>
      <x:c r="J87" s="16" t="e">
        <x:f>#REF!</x:f>
        <x:v>#REF!</x:v>
      </x:c>
      <x:c r="K87" s="16" t="e">
        <x:f>#REF!</x:f>
        <x:v>#REF!</x:v>
      </x:c>
      <x:c r="L87" s="16" t="e">
        <x:f>#REF!</x:f>
        <x:v>#REF!</x:v>
      </x:c>
      <x:c r="M87" s="16" t="e">
        <x:f>#REF!</x:f>
        <x:v>#REF!</x:v>
      </x:c>
      <x:c r="N87" s="16" t="e">
        <x:f>#REF!</x:f>
        <x:v>#REF!</x:v>
      </x:c>
      <x:c r="O87" s="16" t="e">
        <x:f>#REF!</x:f>
        <x:v>#REF!</x:v>
      </x:c>
      <x:c r="P87" s="16" t="e">
        <x:f>#REF!</x:f>
        <x:v>#REF!</x:v>
      </x:c>
      <x:c r="Q87" s="16" t="e">
        <x:f>#REF!</x:f>
        <x:v>#REF!</x:v>
      </x:c>
      <x:c r="R87" s="16" t="e">
        <x:f>#REF!</x:f>
        <x:v>#REF!</x:v>
      </x:c>
      <x:c r="S87" s="16" t="e">
        <x:f>#REF!</x:f>
        <x:v>#REF!</x:v>
      </x:c>
      <x:c r="T87" s="16" t="e">
        <x:f>#REF!</x:f>
        <x:v>#REF!</x:v>
      </x:c>
      <x:c r="U87" s="16" t="e">
        <x:f>#REF!</x:f>
        <x:v>#REF!</x:v>
      </x:c>
      <x:c r="V87" s="17" t="e">
        <x:f t="shared" ref="V87:V135" si="6">D87+E87+F87+G87+H87+I87+L87+M87+N87+O87+P87+Q87+R87+S87+T87+U87+J87+K87+C87</x:f>
        <x:v>#REF!</x:v>
      </x:c>
      <x:c r="W87" s="18" t="e">
        <x:f>IF($V$26&gt;0,V87/$V$26,0)</x:f>
        <x:v>#REF!</x:v>
      </x:c>
      <x:c r="X87" s="19" t="n">
        <x:f t="shared" ref="X87:X135" si="7">C86</x:f>
        <x:v>0.052631</x:v>
      </x:c>
      <x:c r="Y87" s="20"/>
      <x:c r="Z87" s="21"/>
    </x:row>
    <x:row r="88" s="1" customFormat="1" hidden="1">
      <x:c r="A88" s="53">
        <x:v>2</x:v>
      </x:c>
      <x:c r="B88" s="73" t="s">
        <x:v>160</x:v>
      </x:c>
      <x:c r="D88" s="16" t="e">
        <x:f>#REF!</x:f>
        <x:v>#REF!</x:v>
      </x:c>
      <x:c r="E88" s="16" t="e">
        <x:f>#REF!</x:f>
        <x:v>#REF!</x:v>
      </x:c>
      <x:c r="F88" s="16" t="e">
        <x:f>#REF!</x:f>
        <x:v>#REF!</x:v>
      </x:c>
      <x:c r="G88" s="16" t="e">
        <x:f>#REF!</x:f>
        <x:v>#REF!</x:v>
      </x:c>
      <x:c r="H88" s="16" t="e">
        <x:f>#REF!</x:f>
        <x:v>#REF!</x:v>
      </x:c>
      <x:c r="I88" s="16" t="e">
        <x:f>#REF!</x:f>
        <x:v>#REF!</x:v>
      </x:c>
      <x:c r="J88" s="16" t="e">
        <x:f>#REF!</x:f>
        <x:v>#REF!</x:v>
      </x:c>
      <x:c r="K88" s="16" t="e">
        <x:f>#REF!</x:f>
        <x:v>#REF!</x:v>
      </x:c>
      <x:c r="L88" s="16" t="e">
        <x:f>#REF!</x:f>
        <x:v>#REF!</x:v>
      </x:c>
      <x:c r="M88" s="16" t="e">
        <x:f>#REF!</x:f>
        <x:v>#REF!</x:v>
      </x:c>
      <x:c r="N88" s="16" t="e">
        <x:f>#REF!</x:f>
        <x:v>#REF!</x:v>
      </x:c>
      <x:c r="O88" s="16" t="e">
        <x:f>#REF!</x:f>
        <x:v>#REF!</x:v>
      </x:c>
      <x:c r="P88" s="16" t="e">
        <x:f>#REF!</x:f>
        <x:v>#REF!</x:v>
      </x:c>
      <x:c r="Q88" s="16" t="e">
        <x:f>#REF!</x:f>
        <x:v>#REF!</x:v>
      </x:c>
      <x:c r="R88" s="16" t="e">
        <x:f>#REF!</x:f>
        <x:v>#REF!</x:v>
      </x:c>
      <x:c r="S88" s="16" t="e">
        <x:f>#REF!</x:f>
        <x:v>#REF!</x:v>
      </x:c>
      <x:c r="T88" s="16" t="e">
        <x:f>#REF!</x:f>
        <x:v>#REF!</x:v>
      </x:c>
      <x:c r="U88" s="16" t="e">
        <x:f>#REF!</x:f>
        <x:v>#REF!</x:v>
      </x:c>
      <x:c r="V88" s="17" t="e">
        <x:f t="shared" si="6"/>
        <x:v>#REF!</x:v>
      </x:c>
      <x:c r="W88" s="18" t="e">
        <x:f>IF($V$26&gt;0,V88/$V$26,0)</x:f>
        <x:v>#REF!</x:v>
      </x:c>
      <x:c r="X88" s="19">
        <x:f t="shared" si="7"/>
        <x:v>0</x:v>
      </x:c>
      <x:c r="Y88" s="20"/>
      <x:c r="Z88" s="21"/>
    </x:row>
    <x:row r="89" s="1" customFormat="1" hidden="1">
      <x:c r="A89" s="53">
        <x:v>3</x:v>
      </x:c>
      <x:c r="B89" s="73" t="s">
        <x:v>161</x:v>
      </x:c>
      <x:c r="C89" s="16"/>
      <x:c r="D89" s="16" t="e">
        <x:f>#REF!</x:f>
        <x:v>#REF!</x:v>
      </x:c>
      <x:c r="E89" s="16" t="e">
        <x:f>#REF!</x:f>
        <x:v>#REF!</x:v>
      </x:c>
      <x:c r="F89" s="16" t="e">
        <x:f>#REF!</x:f>
        <x:v>#REF!</x:v>
      </x:c>
      <x:c r="G89" s="16" t="e">
        <x:f>#REF!</x:f>
        <x:v>#REF!</x:v>
      </x:c>
      <x:c r="H89" s="16" t="e">
        <x:f>#REF!</x:f>
        <x:v>#REF!</x:v>
      </x:c>
      <x:c r="I89" s="16" t="e">
        <x:f>#REF!</x:f>
        <x:v>#REF!</x:v>
      </x:c>
      <x:c r="J89" s="16" t="e">
        <x:f>#REF!</x:f>
        <x:v>#REF!</x:v>
      </x:c>
      <x:c r="K89" s="16" t="e">
        <x:f>#REF!</x:f>
        <x:v>#REF!</x:v>
      </x:c>
      <x:c r="L89" s="16" t="e">
        <x:f>#REF!</x:f>
        <x:v>#REF!</x:v>
      </x:c>
      <x:c r="M89" s="16" t="e">
        <x:f>#REF!</x:f>
        <x:v>#REF!</x:v>
      </x:c>
      <x:c r="N89" s="16" t="e">
        <x:f>#REF!</x:f>
        <x:v>#REF!</x:v>
      </x:c>
      <x:c r="O89" s="16" t="e">
        <x:f>#REF!</x:f>
        <x:v>#REF!</x:v>
      </x:c>
      <x:c r="P89" s="16" t="e">
        <x:f>#REF!</x:f>
        <x:v>#REF!</x:v>
      </x:c>
      <x:c r="Q89" s="16" t="e">
        <x:f>#REF!</x:f>
        <x:v>#REF!</x:v>
      </x:c>
      <x:c r="R89" s="16" t="e">
        <x:f>#REF!</x:f>
        <x:v>#REF!</x:v>
      </x:c>
      <x:c r="S89" s="16" t="e">
        <x:f>#REF!</x:f>
        <x:v>#REF!</x:v>
      </x:c>
      <x:c r="T89" s="16" t="e">
        <x:f>#REF!</x:f>
        <x:v>#REF!</x:v>
      </x:c>
      <x:c r="U89" s="16" t="e">
        <x:f>#REF!</x:f>
        <x:v>#REF!</x:v>
      </x:c>
      <x:c r="V89" s="17" t="e">
        <x:f t="shared" si="6"/>
        <x:v>#REF!</x:v>
      </x:c>
      <x:c r="W89" s="18" t="e">
        <x:f>IF($V$26&gt;0,V89/$V$26,0)</x:f>
        <x:v>#REF!</x:v>
      </x:c>
      <x:c r="X89" s="19">
        <x:f t="shared" si="7"/>
        <x:v>0</x:v>
      </x:c>
      <x:c r="Y89" s="20"/>
      <x:c r="Z89" s="21"/>
    </x:row>
    <x:row r="90" s="1" customFormat="1" hidden="1">
      <x:c r="A90" s="53">
        <x:v>4</x:v>
      </x:c>
      <x:c r="B90" s="73" t="s">
        <x:v>162</x:v>
      </x:c>
      <x:c r="C90" s="16"/>
      <x:c r="D90" s="16" t="e">
        <x:f>#REF!</x:f>
        <x:v>#REF!</x:v>
      </x:c>
      <x:c r="E90" s="16" t="e">
        <x:f>#REF!</x:f>
        <x:v>#REF!</x:v>
      </x:c>
      <x:c r="F90" s="16" t="e">
        <x:f>#REF!</x:f>
        <x:v>#REF!</x:v>
      </x:c>
      <x:c r="G90" s="16" t="e">
        <x:f>#REF!</x:f>
        <x:v>#REF!</x:v>
      </x:c>
      <x:c r="H90" s="16" t="e">
        <x:f>#REF!</x:f>
        <x:v>#REF!</x:v>
      </x:c>
      <x:c r="I90" s="16" t="e">
        <x:f>#REF!</x:f>
        <x:v>#REF!</x:v>
      </x:c>
      <x:c r="J90" s="16" t="e">
        <x:f>#REF!</x:f>
        <x:v>#REF!</x:v>
      </x:c>
      <x:c r="K90" s="16" t="e">
        <x:f>#REF!</x:f>
        <x:v>#REF!</x:v>
      </x:c>
      <x:c r="L90" s="16" t="e">
        <x:f>#REF!</x:f>
        <x:v>#REF!</x:v>
      </x:c>
      <x:c r="M90" s="16" t="e">
        <x:f>#REF!</x:f>
        <x:v>#REF!</x:v>
      </x:c>
      <x:c r="N90" s="16" t="e">
        <x:f>#REF!</x:f>
        <x:v>#REF!</x:v>
      </x:c>
      <x:c r="O90" s="16" t="e">
        <x:f>#REF!</x:f>
        <x:v>#REF!</x:v>
      </x:c>
      <x:c r="P90" s="16" t="e">
        <x:f>#REF!</x:f>
        <x:v>#REF!</x:v>
      </x:c>
      <x:c r="Q90" s="16" t="e">
        <x:f>#REF!</x:f>
        <x:v>#REF!</x:v>
      </x:c>
      <x:c r="R90" s="16" t="e">
        <x:f>#REF!</x:f>
        <x:v>#REF!</x:v>
      </x:c>
      <x:c r="S90" s="16" t="e">
        <x:f>#REF!</x:f>
        <x:v>#REF!</x:v>
      </x:c>
      <x:c r="T90" s="16" t="e">
        <x:f>#REF!</x:f>
        <x:v>#REF!</x:v>
      </x:c>
      <x:c r="U90" s="16" t="e">
        <x:f>#REF!</x:f>
        <x:v>#REF!</x:v>
      </x:c>
      <x:c r="V90" s="17" t="e">
        <x:f t="shared" si="6"/>
        <x:v>#REF!</x:v>
      </x:c>
      <x:c r="W90" s="18" t="e">
        <x:f>IF($V$26&gt;0,V90/$V$26,0)</x:f>
        <x:v>#REF!</x:v>
      </x:c>
      <x:c r="X90" s="19">
        <x:f t="shared" si="7"/>
        <x:v>0</x:v>
      </x:c>
      <x:c r="Y90" s="20"/>
      <x:c r="Z90" s="21"/>
    </x:row>
    <x:row r="91" s="1" customFormat="1" hidden="1">
      <x:c r="A91" s="53">
        <x:v>5</x:v>
      </x:c>
      <x:c r="B91" s="71" t="s">
        <x:v>163</x:v>
      </x:c>
      <x:c r="C91" s="16"/>
      <x:c r="D91" s="16" t="e">
        <x:f>#REF!</x:f>
        <x:v>#REF!</x:v>
      </x:c>
      <x:c r="E91" s="16" t="e">
        <x:f>#REF!</x:f>
        <x:v>#REF!</x:v>
      </x:c>
      <x:c r="F91" s="16" t="e">
        <x:f>#REF!</x:f>
        <x:v>#REF!</x:v>
      </x:c>
      <x:c r="G91" s="16" t="e">
        <x:f>#REF!</x:f>
        <x:v>#REF!</x:v>
      </x:c>
      <x:c r="H91" s="16" t="e">
        <x:f>#REF!</x:f>
        <x:v>#REF!</x:v>
      </x:c>
      <x:c r="I91" s="16" t="e">
        <x:f>#REF!</x:f>
        <x:v>#REF!</x:v>
      </x:c>
      <x:c r="J91" s="16" t="e">
        <x:f>#REF!</x:f>
        <x:v>#REF!</x:v>
      </x:c>
      <x:c r="K91" s="16" t="e">
        <x:f>#REF!</x:f>
        <x:v>#REF!</x:v>
      </x:c>
      <x:c r="L91" s="16" t="e">
        <x:f>#REF!</x:f>
        <x:v>#REF!</x:v>
      </x:c>
      <x:c r="M91" s="16" t="e">
        <x:f>#REF!</x:f>
        <x:v>#REF!</x:v>
      </x:c>
      <x:c r="N91" s="16" t="e">
        <x:f>#REF!</x:f>
        <x:v>#REF!</x:v>
      </x:c>
      <x:c r="O91" s="16" t="e">
        <x:f>#REF!</x:f>
        <x:v>#REF!</x:v>
      </x:c>
      <x:c r="P91" s="16" t="e">
        <x:f>#REF!</x:f>
        <x:v>#REF!</x:v>
      </x:c>
      <x:c r="Q91" s="16" t="e">
        <x:f>#REF!</x:f>
        <x:v>#REF!</x:v>
      </x:c>
      <x:c r="R91" s="16" t="e">
        <x:f>#REF!</x:f>
        <x:v>#REF!</x:v>
      </x:c>
      <x:c r="S91" s="16" t="e">
        <x:f>#REF!</x:f>
        <x:v>#REF!</x:v>
      </x:c>
      <x:c r="T91" s="16" t="e">
        <x:f>#REF!</x:f>
        <x:v>#REF!</x:v>
      </x:c>
      <x:c r="U91" s="16" t="e">
        <x:f>#REF!</x:f>
        <x:v>#REF!</x:v>
      </x:c>
      <x:c r="V91" s="17" t="e">
        <x:f t="shared" si="6"/>
        <x:v>#REF!</x:v>
      </x:c>
      <x:c r="W91" s="18" t="e">
        <x:f>IF($V$26&gt;0,V91/$V$26,0)</x:f>
        <x:v>#REF!</x:v>
      </x:c>
      <x:c r="X91" s="19">
        <x:f t="shared" si="7"/>
        <x:v>0</x:v>
      </x:c>
      <x:c r="Y91" s="22"/>
      <x:c r="Z91" s="23"/>
    </x:row>
    <x:row r="92" s="1" customFormat="1" hidden="1">
      <x:c r="A92" s="53">
        <x:v>6</x:v>
      </x:c>
      <x:c r="B92" s="71" t="s">
        <x:v>164</x:v>
      </x:c>
      <x:c r="C92" s="16"/>
      <x:c r="D92" s="16" t="e">
        <x:f>#REF!</x:f>
        <x:v>#REF!</x:v>
      </x:c>
      <x:c r="E92" s="16" t="e">
        <x:f>#REF!</x:f>
        <x:v>#REF!</x:v>
      </x:c>
      <x:c r="F92" s="16" t="e">
        <x:f>#REF!</x:f>
        <x:v>#REF!</x:v>
      </x:c>
      <x:c r="G92" s="16" t="e">
        <x:f>#REF!</x:f>
        <x:v>#REF!</x:v>
      </x:c>
      <x:c r="H92" s="16" t="e">
        <x:f>#REF!</x:f>
        <x:v>#REF!</x:v>
      </x:c>
      <x:c r="I92" s="16" t="e">
        <x:f>#REF!</x:f>
        <x:v>#REF!</x:v>
      </x:c>
      <x:c r="J92" s="16" t="e">
        <x:f>#REF!</x:f>
        <x:v>#REF!</x:v>
      </x:c>
      <x:c r="K92" s="16" t="e">
        <x:f>#REF!</x:f>
        <x:v>#REF!</x:v>
      </x:c>
      <x:c r="L92" s="16" t="e">
        <x:f>#REF!</x:f>
        <x:v>#REF!</x:v>
      </x:c>
      <x:c r="M92" s="16" t="e">
        <x:f>#REF!</x:f>
        <x:v>#REF!</x:v>
      </x:c>
      <x:c r="N92" s="16" t="e">
        <x:f>#REF!</x:f>
        <x:v>#REF!</x:v>
      </x:c>
      <x:c r="O92" s="16" t="e">
        <x:f>#REF!</x:f>
        <x:v>#REF!</x:v>
      </x:c>
      <x:c r="P92" s="16" t="e">
        <x:f>#REF!</x:f>
        <x:v>#REF!</x:v>
      </x:c>
      <x:c r="Q92" s="16" t="e">
        <x:f>#REF!</x:f>
        <x:v>#REF!</x:v>
      </x:c>
      <x:c r="R92" s="16" t="e">
        <x:f>#REF!</x:f>
        <x:v>#REF!</x:v>
      </x:c>
      <x:c r="S92" s="16" t="e">
        <x:f>#REF!</x:f>
        <x:v>#REF!</x:v>
      </x:c>
      <x:c r="T92" s="16" t="e">
        <x:f>#REF!</x:f>
        <x:v>#REF!</x:v>
      </x:c>
      <x:c r="U92" s="16" t="e">
        <x:f>#REF!</x:f>
        <x:v>#REF!</x:v>
      </x:c>
      <x:c r="V92" s="17" t="e">
        <x:f t="shared" si="6"/>
        <x:v>#REF!</x:v>
      </x:c>
      <x:c r="W92" s="18" t="e">
        <x:f t="shared" ref="W92:W135" si="8">IF($V$26&gt;0,V92/$V$26,0)</x:f>
        <x:v>#REF!</x:v>
      </x:c>
      <x:c r="X92" s="19">
        <x:f t="shared" si="7"/>
        <x:v>0</x:v>
      </x:c>
      <x:c r="Y92" s="22"/>
      <x:c r="Z92" s="23"/>
    </x:row>
    <x:row r="93" s="1" customFormat="1" hidden="1">
      <x:c r="A93" s="53">
        <x:v>7</x:v>
      </x:c>
      <x:c r="B93" s="71" t="s">
        <x:v>165</x:v>
      </x:c>
      <x:c r="C93" s="16"/>
      <x:c r="D93" s="16" t="e">
        <x:f>#REF!</x:f>
        <x:v>#REF!</x:v>
      </x:c>
      <x:c r="E93" s="16" t="e">
        <x:f>#REF!</x:f>
        <x:v>#REF!</x:v>
      </x:c>
      <x:c r="F93" s="16" t="e">
        <x:f>#REF!</x:f>
        <x:v>#REF!</x:v>
      </x:c>
      <x:c r="G93" s="16" t="e">
        <x:f>#REF!</x:f>
        <x:v>#REF!</x:v>
      </x:c>
      <x:c r="H93" s="16" t="e">
        <x:f>#REF!</x:f>
        <x:v>#REF!</x:v>
      </x:c>
      <x:c r="I93" s="16" t="e">
        <x:f>#REF!</x:f>
        <x:v>#REF!</x:v>
      </x:c>
      <x:c r="J93" s="16" t="e">
        <x:f>#REF!</x:f>
        <x:v>#REF!</x:v>
      </x:c>
      <x:c r="K93" s="16" t="e">
        <x:f>#REF!</x:f>
        <x:v>#REF!</x:v>
      </x:c>
      <x:c r="L93" s="16" t="e">
        <x:f>#REF!</x:f>
        <x:v>#REF!</x:v>
      </x:c>
      <x:c r="M93" s="16" t="e">
        <x:f>#REF!</x:f>
        <x:v>#REF!</x:v>
      </x:c>
      <x:c r="N93" s="16" t="e">
        <x:f>#REF!</x:f>
        <x:v>#REF!</x:v>
      </x:c>
      <x:c r="O93" s="16" t="e">
        <x:f>#REF!</x:f>
        <x:v>#REF!</x:v>
      </x:c>
      <x:c r="P93" s="16" t="e">
        <x:f>#REF!</x:f>
        <x:v>#REF!</x:v>
      </x:c>
      <x:c r="Q93" s="16" t="e">
        <x:f>#REF!</x:f>
        <x:v>#REF!</x:v>
      </x:c>
      <x:c r="R93" s="16" t="e">
        <x:f>#REF!</x:f>
        <x:v>#REF!</x:v>
      </x:c>
      <x:c r="S93" s="16" t="e">
        <x:f>#REF!</x:f>
        <x:v>#REF!</x:v>
      </x:c>
      <x:c r="T93" s="16" t="e">
        <x:f>#REF!</x:f>
        <x:v>#REF!</x:v>
      </x:c>
      <x:c r="U93" s="16" t="e">
        <x:f>#REF!</x:f>
        <x:v>#REF!</x:v>
      </x:c>
      <x:c r="V93" s="17" t="e">
        <x:f t="shared" si="6"/>
        <x:v>#REF!</x:v>
      </x:c>
      <x:c r="W93" s="18" t="e">
        <x:f t="shared" si="8"/>
        <x:v>#REF!</x:v>
      </x:c>
      <x:c r="X93" s="19">
        <x:f t="shared" si="7"/>
        <x:v>0</x:v>
      </x:c>
      <x:c r="Y93" s="22"/>
      <x:c r="Z93" s="23"/>
    </x:row>
    <x:row r="94" s="1" customFormat="1" hidden="1">
      <x:c r="A94" s="53">
        <x:v>8</x:v>
      </x:c>
      <x:c r="B94" s="71" t="s">
        <x:v>166</x:v>
      </x:c>
      <x:c r="C94" s="16"/>
      <x:c r="D94" s="16" t="e">
        <x:f>#REF!</x:f>
        <x:v>#REF!</x:v>
      </x:c>
      <x:c r="E94" s="16" t="e">
        <x:f>#REF!</x:f>
        <x:v>#REF!</x:v>
      </x:c>
      <x:c r="F94" s="16" t="e">
        <x:f>#REF!</x:f>
        <x:v>#REF!</x:v>
      </x:c>
      <x:c r="G94" s="16" t="e">
        <x:f>#REF!</x:f>
        <x:v>#REF!</x:v>
      </x:c>
      <x:c r="H94" s="16" t="e">
        <x:f>#REF!</x:f>
        <x:v>#REF!</x:v>
      </x:c>
      <x:c r="I94" s="16" t="e">
        <x:f>#REF!</x:f>
        <x:v>#REF!</x:v>
      </x:c>
      <x:c r="J94" s="16" t="e">
        <x:f>#REF!</x:f>
        <x:v>#REF!</x:v>
      </x:c>
      <x:c r="K94" s="16" t="e">
        <x:f>#REF!</x:f>
        <x:v>#REF!</x:v>
      </x:c>
      <x:c r="L94" s="16" t="e">
        <x:f>#REF!</x:f>
        <x:v>#REF!</x:v>
      </x:c>
      <x:c r="M94" s="16" t="e">
        <x:f>#REF!</x:f>
        <x:v>#REF!</x:v>
      </x:c>
      <x:c r="N94" s="16" t="e">
        <x:f>#REF!</x:f>
        <x:v>#REF!</x:v>
      </x:c>
      <x:c r="O94" s="16" t="e">
        <x:f>#REF!</x:f>
        <x:v>#REF!</x:v>
      </x:c>
      <x:c r="P94" s="16" t="e">
        <x:f>#REF!</x:f>
        <x:v>#REF!</x:v>
      </x:c>
      <x:c r="Q94" s="16" t="e">
        <x:f>#REF!</x:f>
        <x:v>#REF!</x:v>
      </x:c>
      <x:c r="R94" s="16" t="e">
        <x:f>#REF!</x:f>
        <x:v>#REF!</x:v>
      </x:c>
      <x:c r="S94" s="16" t="e">
        <x:f>#REF!</x:f>
        <x:v>#REF!</x:v>
      </x:c>
      <x:c r="T94" s="16" t="e">
        <x:f>#REF!</x:f>
        <x:v>#REF!</x:v>
      </x:c>
      <x:c r="U94" s="16" t="e">
        <x:f>#REF!</x:f>
        <x:v>#REF!</x:v>
      </x:c>
      <x:c r="V94" s="17" t="e">
        <x:f t="shared" si="6"/>
        <x:v>#REF!</x:v>
      </x:c>
      <x:c r="W94" s="18" t="e">
        <x:f t="shared" si="8"/>
        <x:v>#REF!</x:v>
      </x:c>
      <x:c r="X94" s="19">
        <x:f t="shared" si="7"/>
        <x:v>0</x:v>
      </x:c>
      <x:c r="Y94" s="22"/>
      <x:c r="Z94" s="23"/>
    </x:row>
    <x:row r="95" s="1" customFormat="1" hidden="1">
      <x:c r="A95" s="53">
        <x:v>9</x:v>
      </x:c>
      <x:c r="B95" s="71" t="s">
        <x:v>167</x:v>
      </x:c>
      <x:c r="C95" s="16"/>
      <x:c r="D95" s="16" t="e">
        <x:f>#REF!</x:f>
        <x:v>#REF!</x:v>
      </x:c>
      <x:c r="E95" s="16" t="e">
        <x:f>#REF!</x:f>
        <x:v>#REF!</x:v>
      </x:c>
      <x:c r="F95" s="16" t="e">
        <x:f>#REF!</x:f>
        <x:v>#REF!</x:v>
      </x:c>
      <x:c r="G95" s="16" t="e">
        <x:f>#REF!</x:f>
        <x:v>#REF!</x:v>
      </x:c>
      <x:c r="H95" s="16" t="e">
        <x:f>#REF!</x:f>
        <x:v>#REF!</x:v>
      </x:c>
      <x:c r="I95" s="16" t="e">
        <x:f>#REF!</x:f>
        <x:v>#REF!</x:v>
      </x:c>
      <x:c r="J95" s="16" t="e">
        <x:f>#REF!</x:f>
        <x:v>#REF!</x:v>
      </x:c>
      <x:c r="K95" s="16" t="e">
        <x:f>#REF!</x:f>
        <x:v>#REF!</x:v>
      </x:c>
      <x:c r="L95" s="16" t="e">
        <x:f>#REF!</x:f>
        <x:v>#REF!</x:v>
      </x:c>
      <x:c r="M95" s="16" t="e">
        <x:f>#REF!</x:f>
        <x:v>#REF!</x:v>
      </x:c>
      <x:c r="N95" s="16" t="e">
        <x:f>#REF!</x:f>
        <x:v>#REF!</x:v>
      </x:c>
      <x:c r="O95" s="16" t="e">
        <x:f>#REF!</x:f>
        <x:v>#REF!</x:v>
      </x:c>
      <x:c r="P95" s="16" t="e">
        <x:f>#REF!</x:f>
        <x:v>#REF!</x:v>
      </x:c>
      <x:c r="Q95" s="16" t="e">
        <x:f>#REF!</x:f>
        <x:v>#REF!</x:v>
      </x:c>
      <x:c r="R95" s="16" t="e">
        <x:f>#REF!</x:f>
        <x:v>#REF!</x:v>
      </x:c>
      <x:c r="S95" s="16" t="e">
        <x:f>#REF!</x:f>
        <x:v>#REF!</x:v>
      </x:c>
      <x:c r="T95" s="16" t="e">
        <x:f>#REF!</x:f>
        <x:v>#REF!</x:v>
      </x:c>
      <x:c r="U95" s="16" t="e">
        <x:f>#REF!</x:f>
        <x:v>#REF!</x:v>
      </x:c>
      <x:c r="V95" s="17" t="e">
        <x:f t="shared" si="6"/>
        <x:v>#REF!</x:v>
      </x:c>
      <x:c r="W95" s="18" t="e">
        <x:f t="shared" si="8"/>
        <x:v>#REF!</x:v>
      </x:c>
      <x:c r="X95" s="19">
        <x:f t="shared" si="7"/>
        <x:v>0</x:v>
      </x:c>
      <x:c r="Y95" s="22"/>
      <x:c r="Z95" s="23"/>
    </x:row>
    <x:row r="96" s="1" customFormat="1" ht="36.75" hidden="1" customHeight="1">
      <x:c r="A96" s="53">
        <x:v>10</x:v>
      </x:c>
      <x:c r="B96" s="71" t="s">
        <x:v>168</x:v>
      </x:c>
      <x:c r="C96" s="16"/>
      <x:c r="D96" s="16" t="e">
        <x:f>#REF!</x:f>
        <x:v>#REF!</x:v>
      </x:c>
      <x:c r="E96" s="16" t="e">
        <x:f>#REF!</x:f>
        <x:v>#REF!</x:v>
      </x:c>
      <x:c r="F96" s="16" t="e">
        <x:f>#REF!</x:f>
        <x:v>#REF!</x:v>
      </x:c>
      <x:c r="G96" s="16" t="e">
        <x:f>#REF!</x:f>
        <x:v>#REF!</x:v>
      </x:c>
      <x:c r="H96" s="16" t="e">
        <x:f>#REF!</x:f>
        <x:v>#REF!</x:v>
      </x:c>
      <x:c r="I96" s="16" t="e">
        <x:f>#REF!</x:f>
        <x:v>#REF!</x:v>
      </x:c>
      <x:c r="J96" s="16" t="e">
        <x:f>#REF!</x:f>
        <x:v>#REF!</x:v>
      </x:c>
      <x:c r="K96" s="16" t="e">
        <x:f>#REF!</x:f>
        <x:v>#REF!</x:v>
      </x:c>
      <x:c r="L96" s="16" t="e">
        <x:f>#REF!</x:f>
        <x:v>#REF!</x:v>
      </x:c>
      <x:c r="M96" s="16" t="e">
        <x:f>#REF!</x:f>
        <x:v>#REF!</x:v>
      </x:c>
      <x:c r="N96" s="16" t="e">
        <x:f>#REF!</x:f>
        <x:v>#REF!</x:v>
      </x:c>
      <x:c r="O96" s="16" t="e">
        <x:f>#REF!</x:f>
        <x:v>#REF!</x:v>
      </x:c>
      <x:c r="P96" s="16" t="e">
        <x:f>#REF!</x:f>
        <x:v>#REF!</x:v>
      </x:c>
      <x:c r="Q96" s="16" t="e">
        <x:f>#REF!</x:f>
        <x:v>#REF!</x:v>
      </x:c>
      <x:c r="R96" s="16" t="e">
        <x:f>#REF!</x:f>
        <x:v>#REF!</x:v>
      </x:c>
      <x:c r="S96" s="16" t="e">
        <x:f>#REF!</x:f>
        <x:v>#REF!</x:v>
      </x:c>
      <x:c r="T96" s="16" t="e">
        <x:f>#REF!</x:f>
        <x:v>#REF!</x:v>
      </x:c>
      <x:c r="U96" s="16" t="e">
        <x:f>#REF!</x:f>
        <x:v>#REF!</x:v>
      </x:c>
      <x:c r="V96" s="17" t="e">
        <x:f t="shared" si="6"/>
        <x:v>#REF!</x:v>
      </x:c>
      <x:c r="W96" s="18" t="e">
        <x:f t="shared" si="8"/>
        <x:v>#REF!</x:v>
      </x:c>
      <x:c r="X96" s="19">
        <x:f t="shared" si="7"/>
        <x:v>0</x:v>
      </x:c>
      <x:c r="Y96" s="22"/>
      <x:c r="Z96" s="23"/>
    </x:row>
    <x:row r="97" s="1" customFormat="1" hidden="1">
      <x:c r="A97" s="53">
        <x:v>11</x:v>
      </x:c>
      <x:c r="B97" s="71" t="s">
        <x:v>169</x:v>
      </x:c>
      <x:c r="C97" s="16"/>
      <x:c r="D97" s="16" t="e">
        <x:f>#REF!</x:f>
        <x:v>#REF!</x:v>
      </x:c>
      <x:c r="E97" s="16" t="e">
        <x:f>#REF!</x:f>
        <x:v>#REF!</x:v>
      </x:c>
      <x:c r="F97" s="16" t="e">
        <x:f>#REF!</x:f>
        <x:v>#REF!</x:v>
      </x:c>
      <x:c r="G97" s="16" t="e">
        <x:f>#REF!</x:f>
        <x:v>#REF!</x:v>
      </x:c>
      <x:c r="H97" s="16" t="e">
        <x:f>#REF!</x:f>
        <x:v>#REF!</x:v>
      </x:c>
      <x:c r="I97" s="16" t="e">
        <x:f>#REF!</x:f>
        <x:v>#REF!</x:v>
      </x:c>
      <x:c r="J97" s="16" t="e">
        <x:f>#REF!</x:f>
        <x:v>#REF!</x:v>
      </x:c>
      <x:c r="K97" s="16" t="e">
        <x:f>#REF!</x:f>
        <x:v>#REF!</x:v>
      </x:c>
      <x:c r="L97" s="16" t="e">
        <x:f>#REF!</x:f>
        <x:v>#REF!</x:v>
      </x:c>
      <x:c r="M97" s="16" t="e">
        <x:f>#REF!</x:f>
        <x:v>#REF!</x:v>
      </x:c>
      <x:c r="N97" s="16" t="e">
        <x:f>#REF!</x:f>
        <x:v>#REF!</x:v>
      </x:c>
      <x:c r="O97" s="16" t="e">
        <x:f>#REF!</x:f>
        <x:v>#REF!</x:v>
      </x:c>
      <x:c r="P97" s="16" t="e">
        <x:f>#REF!</x:f>
        <x:v>#REF!</x:v>
      </x:c>
      <x:c r="Q97" s="16" t="e">
        <x:f>#REF!</x:f>
        <x:v>#REF!</x:v>
      </x:c>
      <x:c r="R97" s="16" t="e">
        <x:f>#REF!</x:f>
        <x:v>#REF!</x:v>
      </x:c>
      <x:c r="S97" s="16" t="e">
        <x:f>#REF!</x:f>
        <x:v>#REF!</x:v>
      </x:c>
      <x:c r="T97" s="16" t="e">
        <x:f>#REF!</x:f>
        <x:v>#REF!</x:v>
      </x:c>
      <x:c r="U97" s="16" t="e">
        <x:f>#REF!</x:f>
        <x:v>#REF!</x:v>
      </x:c>
      <x:c r="V97" s="17" t="e">
        <x:f t="shared" si="6"/>
        <x:v>#REF!</x:v>
      </x:c>
      <x:c r="W97" s="18" t="e">
        <x:f t="shared" si="8"/>
        <x:v>#REF!</x:v>
      </x:c>
      <x:c r="X97" s="19">
        <x:f t="shared" si="7"/>
        <x:v>0</x:v>
      </x:c>
      <x:c r="Y97" s="22"/>
      <x:c r="Z97" s="23"/>
    </x:row>
    <x:row r="98" s="1" customFormat="1" hidden="1">
      <x:c r="A98" s="53">
        <x:v>12</x:v>
      </x:c>
      <x:c r="B98" s="71" t="s">
        <x:v>170</x:v>
      </x:c>
      <x:c r="C98" s="16"/>
      <x:c r="D98" s="16" t="e">
        <x:f>#REF!</x:f>
        <x:v>#REF!</x:v>
      </x:c>
      <x:c r="E98" s="16" t="e">
        <x:f>#REF!</x:f>
        <x:v>#REF!</x:v>
      </x:c>
      <x:c r="F98" s="16" t="e">
        <x:f>#REF!</x:f>
        <x:v>#REF!</x:v>
      </x:c>
      <x:c r="G98" s="16" t="e">
        <x:f>#REF!</x:f>
        <x:v>#REF!</x:v>
      </x:c>
      <x:c r="H98" s="16" t="e">
        <x:f>#REF!</x:f>
        <x:v>#REF!</x:v>
      </x:c>
      <x:c r="I98" s="16" t="e">
        <x:f>#REF!</x:f>
        <x:v>#REF!</x:v>
      </x:c>
      <x:c r="J98" s="16" t="e">
        <x:f>#REF!</x:f>
        <x:v>#REF!</x:v>
      </x:c>
      <x:c r="K98" s="16" t="e">
        <x:f>#REF!</x:f>
        <x:v>#REF!</x:v>
      </x:c>
      <x:c r="L98" s="16" t="e">
        <x:f>#REF!</x:f>
        <x:v>#REF!</x:v>
      </x:c>
      <x:c r="M98" s="16" t="e">
        <x:f>#REF!</x:f>
        <x:v>#REF!</x:v>
      </x:c>
      <x:c r="N98" s="16" t="e">
        <x:f>#REF!</x:f>
        <x:v>#REF!</x:v>
      </x:c>
      <x:c r="O98" s="16" t="e">
        <x:f>#REF!</x:f>
        <x:v>#REF!</x:v>
      </x:c>
      <x:c r="P98" s="16" t="e">
        <x:f>#REF!</x:f>
        <x:v>#REF!</x:v>
      </x:c>
      <x:c r="Q98" s="16" t="e">
        <x:f>#REF!</x:f>
        <x:v>#REF!</x:v>
      </x:c>
      <x:c r="R98" s="16" t="e">
        <x:f>#REF!</x:f>
        <x:v>#REF!</x:v>
      </x:c>
      <x:c r="S98" s="16" t="e">
        <x:f>#REF!</x:f>
        <x:v>#REF!</x:v>
      </x:c>
      <x:c r="T98" s="16" t="e">
        <x:f>#REF!</x:f>
        <x:v>#REF!</x:v>
      </x:c>
      <x:c r="U98" s="16" t="e">
        <x:f>#REF!</x:f>
        <x:v>#REF!</x:v>
      </x:c>
      <x:c r="V98" s="17" t="e">
        <x:f t="shared" si="6"/>
        <x:v>#REF!</x:v>
      </x:c>
      <x:c r="W98" s="18" t="e">
        <x:f t="shared" si="8"/>
        <x:v>#REF!</x:v>
      </x:c>
      <x:c r="X98" s="19">
        <x:f t="shared" si="7"/>
        <x:v>0</x:v>
      </x:c>
      <x:c r="Y98" s="22"/>
      <x:c r="Z98" s="23"/>
    </x:row>
    <x:row r="99" s="1" customFormat="1" ht="29.25" hidden="1">
      <x:c r="A99" s="53">
        <x:v>13</x:v>
      </x:c>
      <x:c r="B99" s="63" t="s">
        <x:v>171</x:v>
      </x:c>
      <x:c r="C99" s="24"/>
      <x:c r="D99" s="24" t="e">
        <x:f>#REF!</x:f>
        <x:v>#REF!</x:v>
      </x:c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17" t="e">
        <x:f t="shared" si="6"/>
        <x:v>#REF!</x:v>
      </x:c>
      <x:c r="W99" s="18" t="e">
        <x:f t="shared" si="8"/>
        <x:v>#REF!</x:v>
      </x:c>
      <x:c r="X99" s="19">
        <x:f t="shared" si="7"/>
        <x:v>0</x:v>
      </x:c>
      <x:c r="Y99" s="25"/>
      <x:c r="Z99" s="23"/>
    </x:row>
    <x:row r="100" s="1" customFormat="1" ht="29.25" hidden="1" customHeight="1">
      <x:c r="A100" s="53">
        <x:v>14</x:v>
      </x:c>
      <x:c r="B100" s="72" t="s">
        <x:v>172</x:v>
      </x:c>
      <x:c r="C100" s="26"/>
      <x:c r="D100" s="46" t="e">
        <x:f>#REF!</x:f>
        <x:v>#REF!</x:v>
      </x:c>
      <x:c r="E100" s="46" t="e">
        <x:f>#REF!</x:f>
        <x:v>#REF!</x:v>
      </x:c>
      <x:c r="F100" s="46" t="e">
        <x:f>#REF!</x:f>
        <x:v>#REF!</x:v>
      </x:c>
      <x:c r="G100" s="46" t="e">
        <x:f>#REF!</x:f>
        <x:v>#REF!</x:v>
      </x:c>
      <x:c r="H100" s="46" t="e">
        <x:f>#REF!</x:f>
        <x:v>#REF!</x:v>
      </x:c>
      <x:c r="I100" s="46" t="e">
        <x:f>#REF!</x:f>
        <x:v>#REF!</x:v>
      </x:c>
      <x:c r="J100" s="46" t="e">
        <x:f>#REF!</x:f>
        <x:v>#REF!</x:v>
      </x:c>
      <x:c r="K100" s="46" t="e">
        <x:f>#REF!</x:f>
        <x:v>#REF!</x:v>
      </x:c>
      <x:c r="L100" s="46" t="e">
        <x:f>#REF!</x:f>
        <x:v>#REF!</x:v>
      </x:c>
      <x:c r="M100" s="46" t="e">
        <x:f>#REF!</x:f>
        <x:v>#REF!</x:v>
      </x:c>
      <x:c r="N100" s="46" t="e">
        <x:f>#REF!</x:f>
        <x:v>#REF!</x:v>
      </x:c>
      <x:c r="O100" s="46" t="e">
        <x:f>#REF!</x:f>
        <x:v>#REF!</x:v>
      </x:c>
      <x:c r="P100" s="46" t="e">
        <x:f>#REF!</x:f>
        <x:v>#REF!</x:v>
      </x:c>
      <x:c r="Q100" s="46" t="e">
        <x:f>#REF!</x:f>
        <x:v>#REF!</x:v>
      </x:c>
      <x:c r="R100" s="46" t="e">
        <x:f>#REF!</x:f>
        <x:v>#REF!</x:v>
      </x:c>
      <x:c r="S100" s="46" t="e">
        <x:f>#REF!</x:f>
        <x:v>#REF!</x:v>
      </x:c>
      <x:c r="T100" s="46" t="e">
        <x:f>#REF!</x:f>
        <x:v>#REF!</x:v>
      </x:c>
      <x:c r="U100" s="46" t="e">
        <x:f>#REF!</x:f>
        <x:v>#REF!</x:v>
      </x:c>
      <x:c r="V100" s="17" t="e">
        <x:f t="shared" si="6"/>
        <x:v>#REF!</x:v>
      </x:c>
      <x:c r="W100" s="18" t="e">
        <x:f t="shared" si="8"/>
        <x:v>#REF!</x:v>
      </x:c>
      <x:c r="X100" s="19">
        <x:f t="shared" si="7"/>
        <x:v>0</x:v>
      </x:c>
      <x:c r="Y100" s="27"/>
      <x:c r="Z100" s="28"/>
    </x:row>
    <x:row r="101" s="1" customFormat="1" hidden="1">
      <x:c r="A101" s="53">
        <x:v>15</x:v>
      </x:c>
      <x:c r="B101" s="63" t="s">
        <x:v>173</x:v>
      </x:c>
      <x:c r="C101" s="50"/>
      <x:c r="D101" s="49" t="e">
        <x:f>#REF!</x:f>
        <x:v>#REF!</x:v>
      </x:c>
      <x:c r="E101" s="49" t="e">
        <x:f>#REF!</x:f>
        <x:v>#REF!</x:v>
      </x:c>
      <x:c r="F101" s="49" t="e">
        <x:f>#REF!</x:f>
        <x:v>#REF!</x:v>
      </x:c>
      <x:c r="G101" s="49" t="e">
        <x:f>#REF!</x:f>
        <x:v>#REF!</x:v>
      </x:c>
      <x:c r="H101" s="49" t="e">
        <x:f>#REF!</x:f>
        <x:v>#REF!</x:v>
      </x:c>
      <x:c r="I101" s="49" t="e">
        <x:f>#REF!</x:f>
        <x:v>#REF!</x:v>
      </x:c>
      <x:c r="J101" s="49" t="e">
        <x:f>#REF!</x:f>
        <x:v>#REF!</x:v>
      </x:c>
      <x:c r="K101" s="49" t="e">
        <x:f>#REF!</x:f>
        <x:v>#REF!</x:v>
      </x:c>
      <x:c r="L101" s="49" t="e">
        <x:f>#REF!</x:f>
        <x:v>#REF!</x:v>
      </x:c>
      <x:c r="M101" s="49" t="e">
        <x:f>#REF!</x:f>
        <x:v>#REF!</x:v>
      </x:c>
      <x:c r="N101" s="49" t="e">
        <x:f>#REF!</x:f>
        <x:v>#REF!</x:v>
      </x:c>
      <x:c r="O101" s="49" t="e">
        <x:f>#REF!</x:f>
        <x:v>#REF!</x:v>
      </x:c>
      <x:c r="P101" s="49" t="e">
        <x:f>#REF!</x:f>
        <x:v>#REF!</x:v>
      </x:c>
      <x:c r="Q101" s="49" t="e">
        <x:f>#REF!</x:f>
        <x:v>#REF!</x:v>
      </x:c>
      <x:c r="R101" s="49" t="e">
        <x:f>#REF!</x:f>
        <x:v>#REF!</x:v>
      </x:c>
      <x:c r="S101" s="49" t="e">
        <x:f>#REF!</x:f>
        <x:v>#REF!</x:v>
      </x:c>
      <x:c r="T101" s="49" t="e">
        <x:f>#REF!</x:f>
        <x:v>#REF!</x:v>
      </x:c>
      <x:c r="U101" s="49" t="e">
        <x:f>#REF!</x:f>
        <x:v>#REF!</x:v>
      </x:c>
      <x:c r="V101" s="17" t="e">
        <x:f t="shared" si="6"/>
        <x:v>#REF!</x:v>
      </x:c>
      <x:c r="W101" s="18" t="e">
        <x:f t="shared" si="8"/>
        <x:v>#REF!</x:v>
      </x:c>
      <x:c r="X101" s="19">
        <x:f t="shared" si="7"/>
        <x:v>0</x:v>
      </x:c>
      <x:c r="Y101" s="30"/>
      <x:c r="Z101" s="23"/>
    </x:row>
    <x:row r="102" s="1" customFormat="1" hidden="1">
      <x:c r="A102" s="53">
        <x:v>16</x:v>
      </x:c>
      <x:c r="B102" s="65" t="s">
        <x:v>174</x:v>
      </x:c>
      <x:c r="C102" s="26"/>
      <x:c r="D102" s="46" t="e">
        <x:f>#REF!</x:f>
        <x:v>#REF!</x:v>
      </x:c>
      <x:c r="E102" s="46" t="e">
        <x:f>#REF!</x:f>
        <x:v>#REF!</x:v>
      </x:c>
      <x:c r="F102" s="46" t="e">
        <x:f>#REF!</x:f>
        <x:v>#REF!</x:v>
      </x:c>
      <x:c r="G102" s="46" t="e">
        <x:f>#REF!</x:f>
        <x:v>#REF!</x:v>
      </x:c>
      <x:c r="H102" s="46" t="e">
        <x:f>#REF!</x:f>
        <x:v>#REF!</x:v>
      </x:c>
      <x:c r="I102" s="46" t="e">
        <x:f>#REF!</x:f>
        <x:v>#REF!</x:v>
      </x:c>
      <x:c r="J102" s="46" t="e">
        <x:f>#REF!</x:f>
        <x:v>#REF!</x:v>
      </x:c>
      <x:c r="K102" s="46" t="e">
        <x:f>#REF!</x:f>
        <x:v>#REF!</x:v>
      </x:c>
      <x:c r="L102" s="46" t="e">
        <x:f>#REF!</x:f>
        <x:v>#REF!</x:v>
      </x:c>
      <x:c r="M102" s="46" t="e">
        <x:f>#REF!</x:f>
        <x:v>#REF!</x:v>
      </x:c>
      <x:c r="N102" s="46" t="e">
        <x:f>#REF!</x:f>
        <x:v>#REF!</x:v>
      </x:c>
      <x:c r="O102" s="46" t="e">
        <x:f>#REF!</x:f>
        <x:v>#REF!</x:v>
      </x:c>
      <x:c r="P102" s="46" t="e">
        <x:f>#REF!</x:f>
        <x:v>#REF!</x:v>
      </x:c>
      <x:c r="Q102" s="46" t="e">
        <x:f>#REF!</x:f>
        <x:v>#REF!</x:v>
      </x:c>
      <x:c r="R102" s="46" t="e">
        <x:f>#REF!</x:f>
        <x:v>#REF!</x:v>
      </x:c>
      <x:c r="S102" s="46" t="e">
        <x:f>#REF!</x:f>
        <x:v>#REF!</x:v>
      </x:c>
      <x:c r="T102" s="46" t="e">
        <x:f>#REF!</x:f>
        <x:v>#REF!</x:v>
      </x:c>
      <x:c r="U102" s="46" t="e">
        <x:f>#REF!</x:f>
        <x:v>#REF!</x:v>
      </x:c>
      <x:c r="V102" s="17" t="e">
        <x:f t="shared" si="6"/>
        <x:v>#REF!</x:v>
      </x:c>
      <x:c r="W102" s="18" t="e">
        <x:f t="shared" si="8"/>
        <x:v>#REF!</x:v>
      </x:c>
      <x:c r="X102" s="19">
        <x:f t="shared" si="7"/>
        <x:v>0</x:v>
      </x:c>
      <x:c r="Y102" s="30"/>
      <x:c r="Z102" s="23"/>
    </x:row>
    <x:row r="103" s="1" customFormat="1" hidden="1">
      <x:c r="A103" s="53">
        <x:v>17</x:v>
      </x:c>
      <x:c r="B103" s="66" t="s">
        <x:v>175</x:v>
      </x:c>
      <x:c r="C103" s="29"/>
      <x:c r="D103" s="47" t="e">
        <x:f>#REF!</x:f>
        <x:v>#REF!</x:v>
      </x:c>
      <x:c r="E103" s="47" t="e">
        <x:f>#REF!</x:f>
        <x:v>#REF!</x:v>
      </x:c>
      <x:c r="F103" s="47" t="e">
        <x:f>#REF!</x:f>
        <x:v>#REF!</x:v>
      </x:c>
      <x:c r="G103" s="47" t="e">
        <x:f>#REF!</x:f>
        <x:v>#REF!</x:v>
      </x:c>
      <x:c r="H103" s="47" t="e">
        <x:f>#REF!</x:f>
        <x:v>#REF!</x:v>
      </x:c>
      <x:c r="I103" s="47" t="e">
        <x:f>#REF!</x:f>
        <x:v>#REF!</x:v>
      </x:c>
      <x:c r="J103" s="47" t="e">
        <x:f>#REF!</x:f>
        <x:v>#REF!</x:v>
      </x:c>
      <x:c r="K103" s="47" t="e">
        <x:f>#REF!</x:f>
        <x:v>#REF!</x:v>
      </x:c>
      <x:c r="L103" s="47" t="e">
        <x:f>#REF!</x:f>
        <x:v>#REF!</x:v>
      </x:c>
      <x:c r="M103" s="47" t="e">
        <x:f>#REF!</x:f>
        <x:v>#REF!</x:v>
      </x:c>
      <x:c r="N103" s="47" t="e">
        <x:f>#REF!</x:f>
        <x:v>#REF!</x:v>
      </x:c>
      <x:c r="O103" s="47" t="e">
        <x:f>#REF!</x:f>
        <x:v>#REF!</x:v>
      </x:c>
      <x:c r="P103" s="47" t="e">
        <x:f>#REF!</x:f>
        <x:v>#REF!</x:v>
      </x:c>
      <x:c r="Q103" s="47" t="e">
        <x:f>#REF!</x:f>
        <x:v>#REF!</x:v>
      </x:c>
      <x:c r="R103" s="47" t="e">
        <x:f>#REF!</x:f>
        <x:v>#REF!</x:v>
      </x:c>
      <x:c r="S103" s="47" t="e">
        <x:f>#REF!</x:f>
        <x:v>#REF!</x:v>
      </x:c>
      <x:c r="T103" s="47" t="e">
        <x:f>#REF!</x:f>
        <x:v>#REF!</x:v>
      </x:c>
      <x:c r="U103" s="47" t="e">
        <x:f>#REF!</x:f>
        <x:v>#REF!</x:v>
      </x:c>
      <x:c r="V103" s="17" t="e">
        <x:f t="shared" si="6"/>
        <x:v>#REF!</x:v>
      </x:c>
      <x:c r="W103" s="18" t="e">
        <x:f t="shared" si="8"/>
        <x:v>#REF!</x:v>
      </x:c>
      <x:c r="X103" s="19">
        <x:f t="shared" si="7"/>
        <x:v>0</x:v>
      </x:c>
      <x:c r="Y103" s="30"/>
      <x:c r="Z103" s="23"/>
    </x:row>
    <x:row r="104" s="1" customFormat="1" hidden="1">
      <x:c r="A104" s="53">
        <x:v>18</x:v>
      </x:c>
      <x:c r="B104" s="71" t="s">
        <x:v>176</x:v>
      </x:c>
      <x:c r="C104" s="29"/>
      <x:c r="D104" s="47" t="e">
        <x:f>#REF!</x:f>
        <x:v>#REF!</x:v>
      </x:c>
      <x:c r="E104" s="47" t="e">
        <x:f>#REF!</x:f>
        <x:v>#REF!</x:v>
      </x:c>
      <x:c r="F104" s="47" t="e">
        <x:f>#REF!</x:f>
        <x:v>#REF!</x:v>
      </x:c>
      <x:c r="G104" s="47" t="e">
        <x:f>#REF!</x:f>
        <x:v>#REF!</x:v>
      </x:c>
      <x:c r="H104" s="47" t="e">
        <x:f>#REF!</x:f>
        <x:v>#REF!</x:v>
      </x:c>
      <x:c r="I104" s="47" t="e">
        <x:f>#REF!</x:f>
        <x:v>#REF!</x:v>
      </x:c>
      <x:c r="J104" s="47" t="e">
        <x:f>#REF!</x:f>
        <x:v>#REF!</x:v>
      </x:c>
      <x:c r="K104" s="47" t="e">
        <x:f>#REF!</x:f>
        <x:v>#REF!</x:v>
      </x:c>
      <x:c r="L104" s="47" t="e">
        <x:f>#REF!</x:f>
        <x:v>#REF!</x:v>
      </x:c>
      <x:c r="M104" s="47" t="e">
        <x:f>#REF!</x:f>
        <x:v>#REF!</x:v>
      </x:c>
      <x:c r="N104" s="47" t="e">
        <x:f>#REF!</x:f>
        <x:v>#REF!</x:v>
      </x:c>
      <x:c r="O104" s="47" t="e">
        <x:f>#REF!</x:f>
        <x:v>#REF!</x:v>
      </x:c>
      <x:c r="P104" s="47" t="e">
        <x:f>#REF!</x:f>
        <x:v>#REF!</x:v>
      </x:c>
      <x:c r="Q104" s="47" t="e">
        <x:f>#REF!</x:f>
        <x:v>#REF!</x:v>
      </x:c>
      <x:c r="R104" s="47" t="e">
        <x:f>#REF!</x:f>
        <x:v>#REF!</x:v>
      </x:c>
      <x:c r="S104" s="47" t="e">
        <x:f>#REF!</x:f>
        <x:v>#REF!</x:v>
      </x:c>
      <x:c r="T104" s="47" t="e">
        <x:f>#REF!</x:f>
        <x:v>#REF!</x:v>
      </x:c>
      <x:c r="U104" s="47" t="e">
        <x:f>#REF!</x:f>
        <x:v>#REF!</x:v>
      </x:c>
      <x:c r="V104" s="17" t="e">
        <x:f t="shared" si="6"/>
        <x:v>#REF!</x:v>
      </x:c>
      <x:c r="W104" s="18" t="e">
        <x:f t="shared" si="8"/>
        <x:v>#REF!</x:v>
      </x:c>
      <x:c r="X104" s="19">
        <x:f t="shared" si="7"/>
        <x:v>0</x:v>
      </x:c>
      <x:c r="Y104" s="30"/>
      <x:c r="Z104" s="23"/>
    </x:row>
    <x:row r="105" s="1" customFormat="1" hidden="1">
      <x:c r="A105" s="53">
        <x:v>19</x:v>
      </x:c>
      <x:c r="B105" s="67" t="s">
        <x:v>177</x:v>
      </x:c>
      <x:c r="C105" s="74"/>
      <x:c r="D105" s="47" t="e">
        <x:f>#REF!</x:f>
        <x:v>#REF!</x:v>
      </x:c>
      <x:c r="E105" s="47" t="e">
        <x:f>#REF!</x:f>
        <x:v>#REF!</x:v>
      </x:c>
      <x:c r="F105" s="47" t="e">
        <x:f>#REF!</x:f>
        <x:v>#REF!</x:v>
      </x:c>
      <x:c r="G105" s="47" t="e">
        <x:f>#REF!</x:f>
        <x:v>#REF!</x:v>
      </x:c>
      <x:c r="H105" s="47" t="e">
        <x:f>#REF!</x:f>
        <x:v>#REF!</x:v>
      </x:c>
      <x:c r="I105" s="47" t="e">
        <x:f>#REF!</x:f>
        <x:v>#REF!</x:v>
      </x:c>
      <x:c r="J105" s="47" t="e">
        <x:f>#REF!</x:f>
        <x:v>#REF!</x:v>
      </x:c>
      <x:c r="K105" s="47" t="e">
        <x:f>#REF!</x:f>
        <x:v>#REF!</x:v>
      </x:c>
      <x:c r="L105" s="47" t="e">
        <x:f>#REF!</x:f>
        <x:v>#REF!</x:v>
      </x:c>
      <x:c r="M105" s="47" t="e">
        <x:f>#REF!</x:f>
        <x:v>#REF!</x:v>
      </x:c>
      <x:c r="N105" s="47" t="e">
        <x:f>#REF!</x:f>
        <x:v>#REF!</x:v>
      </x:c>
      <x:c r="O105" s="47" t="e">
        <x:f>#REF!</x:f>
        <x:v>#REF!</x:v>
      </x:c>
      <x:c r="P105" s="47" t="e">
        <x:f>#REF!</x:f>
        <x:v>#REF!</x:v>
      </x:c>
      <x:c r="Q105" s="47" t="e">
        <x:f>#REF!</x:f>
        <x:v>#REF!</x:v>
      </x:c>
      <x:c r="R105" s="47" t="e">
        <x:f>#REF!</x:f>
        <x:v>#REF!</x:v>
      </x:c>
      <x:c r="S105" s="47" t="e">
        <x:f>#REF!</x:f>
        <x:v>#REF!</x:v>
      </x:c>
      <x:c r="T105" s="47" t="e">
        <x:f>#REF!</x:f>
        <x:v>#REF!</x:v>
      </x:c>
      <x:c r="U105" s="47" t="e">
        <x:f>#REF!</x:f>
        <x:v>#REF!</x:v>
      </x:c>
      <x:c r="V105" s="17" t="e">
        <x:f t="shared" si="6"/>
        <x:v>#REF!</x:v>
      </x:c>
      <x:c r="W105" s="18" t="e">
        <x:f t="shared" si="8"/>
        <x:v>#REF!</x:v>
      </x:c>
      <x:c r="X105" s="19">
        <x:f t="shared" si="7"/>
        <x:v>0</x:v>
      </x:c>
      <x:c r="Y105" s="30"/>
      <x:c r="Z105" s="23"/>
    </x:row>
    <x:row r="106" s="1" customFormat="1" hidden="1">
      <x:c r="A106" s="53">
        <x:v>20</x:v>
      </x:c>
      <x:c r="B106" s="67" t="s">
        <x:v>178</x:v>
      </x:c>
      <x:c r="C106" s="29"/>
      <x:c r="D106" s="47" t="e">
        <x:f>#REF!</x:f>
        <x:v>#REF!</x:v>
      </x:c>
      <x:c r="E106" s="47" t="e">
        <x:f>#REF!</x:f>
        <x:v>#REF!</x:v>
      </x:c>
      <x:c r="F106" s="47" t="e">
        <x:f>#REF!</x:f>
        <x:v>#REF!</x:v>
      </x:c>
      <x:c r="G106" s="47" t="e">
        <x:f>#REF!</x:f>
        <x:v>#REF!</x:v>
      </x:c>
      <x:c r="H106" s="47" t="e">
        <x:f>#REF!</x:f>
        <x:v>#REF!</x:v>
      </x:c>
      <x:c r="I106" s="47" t="e">
        <x:f>#REF!</x:f>
        <x:v>#REF!</x:v>
      </x:c>
      <x:c r="J106" s="47" t="e">
        <x:f>#REF!</x:f>
        <x:v>#REF!</x:v>
      </x:c>
      <x:c r="K106" s="47" t="e">
        <x:f>#REF!</x:f>
        <x:v>#REF!</x:v>
      </x:c>
      <x:c r="L106" s="47" t="e">
        <x:f>#REF!</x:f>
        <x:v>#REF!</x:v>
      </x:c>
      <x:c r="M106" s="47" t="e">
        <x:f>#REF!</x:f>
        <x:v>#REF!</x:v>
      </x:c>
      <x:c r="N106" s="47" t="e">
        <x:f>#REF!</x:f>
        <x:v>#REF!</x:v>
      </x:c>
      <x:c r="O106" s="47" t="e">
        <x:f>#REF!</x:f>
        <x:v>#REF!</x:v>
      </x:c>
      <x:c r="P106" s="47" t="e">
        <x:f>#REF!</x:f>
        <x:v>#REF!</x:v>
      </x:c>
      <x:c r="Q106" s="47" t="e">
        <x:f>#REF!</x:f>
        <x:v>#REF!</x:v>
      </x:c>
      <x:c r="R106" s="47" t="e">
        <x:f>#REF!</x:f>
        <x:v>#REF!</x:v>
      </x:c>
      <x:c r="S106" s="47" t="e">
        <x:f>#REF!</x:f>
        <x:v>#REF!</x:v>
      </x:c>
      <x:c r="T106" s="47" t="e">
        <x:f>#REF!</x:f>
        <x:v>#REF!</x:v>
      </x:c>
      <x:c r="U106" s="47" t="e">
        <x:f>#REF!</x:f>
        <x:v>#REF!</x:v>
      </x:c>
      <x:c r="V106" s="17" t="e">
        <x:f t="shared" si="6"/>
        <x:v>#REF!</x:v>
      </x:c>
      <x:c r="W106" s="18" t="e">
        <x:f t="shared" si="8"/>
        <x:v>#REF!</x:v>
      </x:c>
      <x:c r="X106" s="19">
        <x:f t="shared" si="7"/>
        <x:v>0</x:v>
      </x:c>
      <x:c r="Y106" s="30"/>
      <x:c r="Z106" s="23"/>
    </x:row>
    <x:row r="107" s="1" customFormat="1" hidden="1">
      <x:c r="A107" s="53">
        <x:v>21</x:v>
      </x:c>
      <x:c r="B107" s="67" t="s">
        <x:v>179</x:v>
      </x:c>
      <x:c r="C107" s="29"/>
      <x:c r="D107" s="47" t="e">
        <x:f>#REF!</x:f>
        <x:v>#REF!</x:v>
      </x:c>
      <x:c r="E107" s="47" t="e">
        <x:f>#REF!</x:f>
        <x:v>#REF!</x:v>
      </x:c>
      <x:c r="F107" s="47" t="e">
        <x:f>#REF!</x:f>
        <x:v>#REF!</x:v>
      </x:c>
      <x:c r="G107" s="47" t="e">
        <x:f>#REF!</x:f>
        <x:v>#REF!</x:v>
      </x:c>
      <x:c r="H107" s="47" t="e">
        <x:f>#REF!</x:f>
        <x:v>#REF!</x:v>
      </x:c>
      <x:c r="I107" s="47" t="e">
        <x:f>#REF!</x:f>
        <x:v>#REF!</x:v>
      </x:c>
      <x:c r="J107" s="47" t="e">
        <x:f>#REF!</x:f>
        <x:v>#REF!</x:v>
      </x:c>
      <x:c r="K107" s="47" t="e">
        <x:f>#REF!</x:f>
        <x:v>#REF!</x:v>
      </x:c>
      <x:c r="L107" s="47" t="e">
        <x:f>#REF!</x:f>
        <x:v>#REF!</x:v>
      </x:c>
      <x:c r="M107" s="47" t="e">
        <x:f>#REF!</x:f>
        <x:v>#REF!</x:v>
      </x:c>
      <x:c r="N107" s="47" t="e">
        <x:f>#REF!</x:f>
        <x:v>#REF!</x:v>
      </x:c>
      <x:c r="O107" s="47" t="e">
        <x:f>#REF!</x:f>
        <x:v>#REF!</x:v>
      </x:c>
      <x:c r="P107" s="47" t="e">
        <x:f>#REF!</x:f>
        <x:v>#REF!</x:v>
      </x:c>
      <x:c r="Q107" s="47" t="e">
        <x:f>#REF!</x:f>
        <x:v>#REF!</x:v>
      </x:c>
      <x:c r="R107" s="47" t="e">
        <x:f>#REF!</x:f>
        <x:v>#REF!</x:v>
      </x:c>
      <x:c r="S107" s="47" t="e">
        <x:f>#REF!</x:f>
        <x:v>#REF!</x:v>
      </x:c>
      <x:c r="T107" s="47" t="e">
        <x:f>#REF!</x:f>
        <x:v>#REF!</x:v>
      </x:c>
      <x:c r="U107" s="47" t="e">
        <x:f>#REF!</x:f>
        <x:v>#REF!</x:v>
      </x:c>
      <x:c r="V107" s="17" t="e">
        <x:f t="shared" si="6"/>
        <x:v>#REF!</x:v>
      </x:c>
      <x:c r="W107" s="18" t="e">
        <x:f t="shared" si="8"/>
        <x:v>#REF!</x:v>
      </x:c>
      <x:c r="X107" s="19">
        <x:f t="shared" si="7"/>
        <x:v>0</x:v>
      </x:c>
      <x:c r="Y107" s="30"/>
      <x:c r="Z107" s="23"/>
    </x:row>
    <x:row r="108" s="1" customFormat="1" hidden="1">
      <x:c r="A108" s="53">
        <x:v>22</x:v>
      </x:c>
      <x:c r="B108" s="67" t="s">
        <x:v>180</x:v>
      </x:c>
      <x:c r="C108" s="29"/>
      <x:c r="D108" s="47" t="e">
        <x:f>#REF!</x:f>
        <x:v>#REF!</x:v>
      </x:c>
      <x:c r="E108" s="47" t="e">
        <x:f>#REF!</x:f>
        <x:v>#REF!</x:v>
      </x:c>
      <x:c r="F108" s="47" t="e">
        <x:f>#REF!</x:f>
        <x:v>#REF!</x:v>
      </x:c>
      <x:c r="G108" s="47" t="e">
        <x:f>#REF!</x:f>
        <x:v>#REF!</x:v>
      </x:c>
      <x:c r="H108" s="47" t="e">
        <x:f>#REF!</x:f>
        <x:v>#REF!</x:v>
      </x:c>
      <x:c r="I108" s="47" t="e">
        <x:f>#REF!</x:f>
        <x:v>#REF!</x:v>
      </x:c>
      <x:c r="J108" s="47" t="e">
        <x:f>#REF!</x:f>
        <x:v>#REF!</x:v>
      </x:c>
      <x:c r="K108" s="47" t="e">
        <x:f>#REF!</x:f>
        <x:v>#REF!</x:v>
      </x:c>
      <x:c r="L108" s="47" t="e">
        <x:f>#REF!</x:f>
        <x:v>#REF!</x:v>
      </x:c>
      <x:c r="M108" s="47" t="e">
        <x:f>#REF!</x:f>
        <x:v>#REF!</x:v>
      </x:c>
      <x:c r="N108" s="47" t="e">
        <x:f>#REF!</x:f>
        <x:v>#REF!</x:v>
      </x:c>
      <x:c r="O108" s="47" t="e">
        <x:f>#REF!</x:f>
        <x:v>#REF!</x:v>
      </x:c>
      <x:c r="P108" s="47" t="e">
        <x:f>#REF!</x:f>
        <x:v>#REF!</x:v>
      </x:c>
      <x:c r="Q108" s="47" t="e">
        <x:f>#REF!</x:f>
        <x:v>#REF!</x:v>
      </x:c>
      <x:c r="R108" s="47" t="e">
        <x:f>#REF!</x:f>
        <x:v>#REF!</x:v>
      </x:c>
      <x:c r="S108" s="47" t="e">
        <x:f>#REF!</x:f>
        <x:v>#REF!</x:v>
      </x:c>
      <x:c r="T108" s="47" t="e">
        <x:f>#REF!</x:f>
        <x:v>#REF!</x:v>
      </x:c>
      <x:c r="U108" s="47" t="e">
        <x:f>#REF!</x:f>
        <x:v>#REF!</x:v>
      </x:c>
      <x:c r="V108" s="17" t="e">
        <x:f t="shared" si="6"/>
        <x:v>#REF!</x:v>
      </x:c>
      <x:c r="W108" s="18" t="e">
        <x:f t="shared" si="8"/>
        <x:v>#REF!</x:v>
      </x:c>
      <x:c r="X108" s="19">
        <x:f t="shared" si="7"/>
        <x:v>0</x:v>
      </x:c>
      <x:c r="Y108" s="30"/>
      <x:c r="Z108" s="23"/>
    </x:row>
    <x:row r="109" s="1" customFormat="1" ht="36.75" hidden="1" customHeight="1">
      <x:c r="A109" s="75">
        <x:v>23</x:v>
      </x:c>
      <x:c r="B109" s="67" t="s">
        <x:v>181</x:v>
      </x:c>
      <x:c r="C109" s="29"/>
      <x:c r="D109" s="47" t="e">
        <x:f>AVERAGE(#REF!,#REF!,#REF!,#REF!,#REF!)/5</x:f>
        <x:v>#REF!</x:v>
      </x:c>
      <x:c r="E109" s="47" t="e">
        <x:f>AVERAGE(#REF!+#REF!+#REF!+#REF!+#REF!)/5</x:f>
        <x:v>#REF!</x:v>
      </x:c>
      <x:c r="F109" s="47" t="e">
        <x:f>AVERAGE(#REF!+#REF!+#REF!+#REF!+#REF!)/5</x:f>
        <x:v>#REF!</x:v>
      </x:c>
      <x:c r="G109" s="47" t="e">
        <x:f>AVERAGE(#REF!+#REF!+#REF!+#REF!+#REF!)</x:f>
        <x:v>#REF!</x:v>
      </x:c>
      <x:c r="H109" s="47" t="e">
        <x:f>AVERAGE(#REF!+#REF!+#REF!+#REF!+#REF!)</x:f>
        <x:v>#REF!</x:v>
      </x:c>
      <x:c r="I109" s="47" t="e">
        <x:f>AVERAGE(#REF!+#REF!+#REF!+#REF!+#REF!)</x:f>
        <x:v>#REF!</x:v>
      </x:c>
      <x:c r="J109" s="47" t="e">
        <x:f>AVERAGE(#REF!+#REF!+#REF!+#REF!+#REF!)</x:f>
        <x:v>#REF!</x:v>
      </x:c>
      <x:c r="K109" s="47" t="e">
        <x:f>AVERAGE(#REF!+#REF!+#REF!+#REF!+#REF!)</x:f>
        <x:v>#REF!</x:v>
      </x:c>
      <x:c r="L109" s="47" t="e">
        <x:f>AVERAGE(#REF!+#REF!+#REF!+#REF!+#REF!)</x:f>
        <x:v>#REF!</x:v>
      </x:c>
      <x:c r="M109" s="47" t="e">
        <x:f>AVERAGE(#REF!+#REF!+#REF!+#REF!+#REF!)</x:f>
        <x:v>#REF!</x:v>
      </x:c>
      <x:c r="N109" s="47" t="e">
        <x:f>AVERAGE(#REF!+#REF!+#REF!+#REF!+#REF!)</x:f>
        <x:v>#REF!</x:v>
      </x:c>
      <x:c r="O109" s="47" t="e">
        <x:f>AVERAGE(#REF!+#REF!+#REF!+#REF!+#REF!)</x:f>
        <x:v>#REF!</x:v>
      </x:c>
      <x:c r="P109" s="47" t="e">
        <x:f>AVERAGE(#REF!+#REF!+#REF!+#REF!+#REF!)</x:f>
        <x:v>#REF!</x:v>
      </x:c>
      <x:c r="Q109" s="47" t="e">
        <x:f>AVERAGE(#REF!+#REF!+#REF!+#REF!+#REF!)</x:f>
        <x:v>#REF!</x:v>
      </x:c>
      <x:c r="R109" s="47" t="e">
        <x:f>AVERAGE(#REF!+#REF!+#REF!+#REF!+#REF!)</x:f>
        <x:v>#REF!</x:v>
      </x:c>
      <x:c r="S109" s="47" t="e">
        <x:f>AVERAGE(#REF!+#REF!+#REF!+#REF!+#REF!)</x:f>
        <x:v>#REF!</x:v>
      </x:c>
      <x:c r="T109" s="47" t="e">
        <x:f>AVERAGE(#REF!+#REF!+#REF!+#REF!+#REF!)</x:f>
        <x:v>#REF!</x:v>
      </x:c>
      <x:c r="U109" s="47" t="e">
        <x:f>AVERAGE(#REF!+#REF!+#REF!+#REF!+#REF!)</x:f>
        <x:v>#REF!</x:v>
      </x:c>
      <x:c r="V109" s="17" t="e">
        <x:f t="shared" si="6"/>
        <x:v>#REF!</x:v>
      </x:c>
      <x:c r="W109" s="18" t="e">
        <x:f t="shared" si="8"/>
        <x:v>#REF!</x:v>
      </x:c>
      <x:c r="X109" s="19">
        <x:f t="shared" si="7"/>
        <x:v>0</x:v>
      </x:c>
      <x:c r="Y109" s="30"/>
      <x:c r="Z109" s="23"/>
    </x:row>
    <x:row r="110" s="1" customFormat="1" hidden="1">
      <x:c r="A110" s="53">
        <x:v>24</x:v>
      </x:c>
      <x:c r="B110" s="66" t="s">
        <x:v>182</x:v>
      </x:c>
      <x:c r="C110" s="29"/>
      <x:c r="D110" s="47" t="e">
        <x:f>#REF!</x:f>
        <x:v>#REF!</x:v>
      </x:c>
      <x:c r="E110" s="47" t="e">
        <x:f>#REF!</x:f>
        <x:v>#REF!</x:v>
      </x:c>
      <x:c r="F110" s="47" t="e">
        <x:f>#REF!</x:f>
        <x:v>#REF!</x:v>
      </x:c>
      <x:c r="G110" s="47" t="e">
        <x:f>#REF!</x:f>
        <x:v>#REF!</x:v>
      </x:c>
      <x:c r="H110" s="47" t="e">
        <x:f>#REF!</x:f>
        <x:v>#REF!</x:v>
      </x:c>
      <x:c r="I110" s="47" t="e">
        <x:f>#REF!</x:f>
        <x:v>#REF!</x:v>
      </x:c>
      <x:c r="J110" s="47" t="e">
        <x:f>#REF!</x:f>
        <x:v>#REF!</x:v>
      </x:c>
      <x:c r="K110" s="47" t="e">
        <x:f>#REF!</x:f>
        <x:v>#REF!</x:v>
      </x:c>
      <x:c r="L110" s="47" t="e">
        <x:f>#REF!</x:f>
        <x:v>#REF!</x:v>
      </x:c>
      <x:c r="M110" s="47" t="e">
        <x:f>#REF!</x:f>
        <x:v>#REF!</x:v>
      </x:c>
      <x:c r="N110" s="47" t="e">
        <x:f>#REF!</x:f>
        <x:v>#REF!</x:v>
      </x:c>
      <x:c r="O110" s="47" t="e">
        <x:f>#REF!</x:f>
        <x:v>#REF!</x:v>
      </x:c>
      <x:c r="P110" s="47" t="e">
        <x:f>#REF!</x:f>
        <x:v>#REF!</x:v>
      </x:c>
      <x:c r="Q110" s="47" t="e">
        <x:f>#REF!</x:f>
        <x:v>#REF!</x:v>
      </x:c>
      <x:c r="R110" s="47" t="e">
        <x:f>#REF!</x:f>
        <x:v>#REF!</x:v>
      </x:c>
      <x:c r="S110" s="47" t="e">
        <x:f>#REF!</x:f>
        <x:v>#REF!</x:v>
      </x:c>
      <x:c r="T110" s="47" t="e">
        <x:f>#REF!</x:f>
        <x:v>#REF!</x:v>
      </x:c>
      <x:c r="U110" s="47" t="e">
        <x:f>#REF!</x:f>
        <x:v>#REF!</x:v>
      </x:c>
      <x:c r="V110" s="17" t="e">
        <x:f t="shared" si="6"/>
        <x:v>#REF!</x:v>
      </x:c>
      <x:c r="W110" s="18" t="e">
        <x:f t="shared" si="8"/>
        <x:v>#REF!</x:v>
      </x:c>
      <x:c r="X110" s="19">
        <x:f t="shared" si="7"/>
        <x:v>0</x:v>
      </x:c>
      <x:c r="Y110" s="30"/>
      <x:c r="Z110" s="23"/>
    </x:row>
    <x:row r="111" s="1" customFormat="1" hidden="1">
      <x:c r="A111" s="53">
        <x:v>25</x:v>
      </x:c>
      <x:c r="B111" s="66" t="s">
        <x:v>183</x:v>
      </x:c>
      <x:c r="C111" s="29"/>
      <x:c r="D111" s="47" t="e">
        <x:f>#REF!</x:f>
        <x:v>#REF!</x:v>
      </x:c>
      <x:c r="E111" s="47" t="e">
        <x:f>#REF!</x:f>
        <x:v>#REF!</x:v>
      </x:c>
      <x:c r="F111" s="47" t="e">
        <x:f>#REF!</x:f>
        <x:v>#REF!</x:v>
      </x:c>
      <x:c r="G111" s="47" t="e">
        <x:f>#REF!</x:f>
        <x:v>#REF!</x:v>
      </x:c>
      <x:c r="H111" s="47" t="e">
        <x:f>#REF!</x:f>
        <x:v>#REF!</x:v>
      </x:c>
      <x:c r="I111" s="47" t="e">
        <x:f>#REF!</x:f>
        <x:v>#REF!</x:v>
      </x:c>
      <x:c r="J111" s="47" t="e">
        <x:f>#REF!</x:f>
        <x:v>#REF!</x:v>
      </x:c>
      <x:c r="K111" s="47" t="e">
        <x:f>#REF!</x:f>
        <x:v>#REF!</x:v>
      </x:c>
      <x:c r="L111" s="47" t="e">
        <x:f>#REF!</x:f>
        <x:v>#REF!</x:v>
      </x:c>
      <x:c r="M111" s="47" t="e">
        <x:f>#REF!</x:f>
        <x:v>#REF!</x:v>
      </x:c>
      <x:c r="N111" s="47" t="e">
        <x:f>#REF!</x:f>
        <x:v>#REF!</x:v>
      </x:c>
      <x:c r="O111" s="47" t="e">
        <x:f>#REF!</x:f>
        <x:v>#REF!</x:v>
      </x:c>
      <x:c r="P111" s="47" t="e">
        <x:f>#REF!</x:f>
        <x:v>#REF!</x:v>
      </x:c>
      <x:c r="Q111" s="47" t="e">
        <x:f>#REF!</x:f>
        <x:v>#REF!</x:v>
      </x:c>
      <x:c r="R111" s="47" t="e">
        <x:f>#REF!</x:f>
        <x:v>#REF!</x:v>
      </x:c>
      <x:c r="S111" s="47" t="e">
        <x:f>#REF!</x:f>
        <x:v>#REF!</x:v>
      </x:c>
      <x:c r="T111" s="47" t="e">
        <x:f>#REF!</x:f>
        <x:v>#REF!</x:v>
      </x:c>
      <x:c r="U111" s="47" t="e">
        <x:f>#REF!</x:f>
        <x:v>#REF!</x:v>
      </x:c>
      <x:c r="V111" s="17" t="e">
        <x:f t="shared" si="6"/>
        <x:v>#REF!</x:v>
      </x:c>
      <x:c r="W111" s="18" t="e">
        <x:f t="shared" si="8"/>
        <x:v>#REF!</x:v>
      </x:c>
      <x:c r="X111" s="19">
        <x:f t="shared" si="7"/>
        <x:v>0</x:v>
      </x:c>
      <x:c r="Y111" s="30"/>
      <x:c r="Z111" s="23"/>
    </x:row>
    <x:row r="112" s="1" customFormat="1" hidden="1">
      <x:c r="A112" s="53">
        <x:v>26</x:v>
      </x:c>
      <x:c r="B112" s="66" t="s">
        <x:v>184</x:v>
      </x:c>
      <x:c r="C112" s="29"/>
      <x:c r="D112" s="47" t="e">
        <x:f>#REF!</x:f>
        <x:v>#REF!</x:v>
      </x:c>
      <x:c r="E112" s="47" t="e">
        <x:f>#REF!</x:f>
        <x:v>#REF!</x:v>
      </x:c>
      <x:c r="F112" s="47" t="e">
        <x:f>#REF!</x:f>
        <x:v>#REF!</x:v>
      </x:c>
      <x:c r="G112" s="47" t="e">
        <x:f>#REF!</x:f>
        <x:v>#REF!</x:v>
      </x:c>
      <x:c r="H112" s="47" t="e">
        <x:f>#REF!</x:f>
        <x:v>#REF!</x:v>
      </x:c>
      <x:c r="I112" s="47" t="e">
        <x:f>#REF!</x:f>
        <x:v>#REF!</x:v>
      </x:c>
      <x:c r="J112" s="47" t="e">
        <x:f>#REF!</x:f>
        <x:v>#REF!</x:v>
      </x:c>
      <x:c r="K112" s="47" t="e">
        <x:f>#REF!</x:f>
        <x:v>#REF!</x:v>
      </x:c>
      <x:c r="L112" s="47" t="e">
        <x:f>#REF!</x:f>
        <x:v>#REF!</x:v>
      </x:c>
      <x:c r="M112" s="47" t="e">
        <x:f>#REF!</x:f>
        <x:v>#REF!</x:v>
      </x:c>
      <x:c r="N112" s="47" t="e">
        <x:f>#REF!</x:f>
        <x:v>#REF!</x:v>
      </x:c>
      <x:c r="O112" s="47" t="e">
        <x:f>#REF!</x:f>
        <x:v>#REF!</x:v>
      </x:c>
      <x:c r="P112" s="47" t="e">
        <x:f>#REF!</x:f>
        <x:v>#REF!</x:v>
      </x:c>
      <x:c r="Q112" s="47" t="e">
        <x:f>#REF!</x:f>
        <x:v>#REF!</x:v>
      </x:c>
      <x:c r="R112" s="47" t="e">
        <x:f>#REF!</x:f>
        <x:v>#REF!</x:v>
      </x:c>
      <x:c r="S112" s="47" t="e">
        <x:f>#REF!</x:f>
        <x:v>#REF!</x:v>
      </x:c>
      <x:c r="T112" s="47" t="e">
        <x:f>#REF!</x:f>
        <x:v>#REF!</x:v>
      </x:c>
      <x:c r="U112" s="47" t="e">
        <x:f>#REF!</x:f>
        <x:v>#REF!</x:v>
      </x:c>
      <x:c r="V112" s="17" t="e">
        <x:f t="shared" si="6"/>
        <x:v>#REF!</x:v>
      </x:c>
      <x:c r="W112" s="18" t="e">
        <x:f t="shared" si="8"/>
        <x:v>#REF!</x:v>
      </x:c>
      <x:c r="X112" s="19">
        <x:f t="shared" si="7"/>
        <x:v>0</x:v>
      </x:c>
      <x:c r="Y112" s="30"/>
      <x:c r="Z112" s="23"/>
    </x:row>
    <x:row r="113" s="1" customFormat="1" ht="29.25" hidden="1">
      <x:c r="A113" s="75">
        <x:v>27</x:v>
      </x:c>
      <x:c r="B113" s="68" t="s">
        <x:v>185</x:v>
      </x:c>
      <x:c r="C113" s="31"/>
      <x:c r="D113" s="48" t="e">
        <x:f>AVERAGE(#REF!+#REF!)</x:f>
        <x:v>#REF!</x:v>
      </x:c>
      <x:c r="E113" s="48" t="e">
        <x:f>AVERAGE(#REF!+#REF!)</x:f>
        <x:v>#REF!</x:v>
      </x:c>
      <x:c r="F113" s="48" t="e">
        <x:f>AVERAGE(#REF!+#REF!)</x:f>
        <x:v>#REF!</x:v>
      </x:c>
      <x:c r="G113" s="48" t="e">
        <x:f>AVERAGE(#REF!+#REF!)</x:f>
        <x:v>#REF!</x:v>
      </x:c>
      <x:c r="H113" s="48" t="e">
        <x:f>AVERAGE(#REF!+#REF!)</x:f>
        <x:v>#REF!</x:v>
      </x:c>
      <x:c r="I113" s="48" t="e">
        <x:f>AVERAGE(#REF!+#REF!)</x:f>
        <x:v>#REF!</x:v>
      </x:c>
      <x:c r="J113" s="48" t="e">
        <x:f>AVERAGE(#REF!+#REF!)</x:f>
        <x:v>#REF!</x:v>
      </x:c>
      <x:c r="K113" s="48" t="e">
        <x:f>AVERAGE(#REF!+#REF!)</x:f>
        <x:v>#REF!</x:v>
      </x:c>
      <x:c r="L113" s="48" t="e">
        <x:f>AVERAGE(#REF!+#REF!)</x:f>
        <x:v>#REF!</x:v>
      </x:c>
      <x:c r="M113" s="48" t="e">
        <x:f>AVERAGE(#REF!+#REF!)</x:f>
        <x:v>#REF!</x:v>
      </x:c>
      <x:c r="N113" s="48" t="e">
        <x:f>AVERAGE(#REF!+#REF!)</x:f>
        <x:v>#REF!</x:v>
      </x:c>
      <x:c r="O113" s="48" t="e">
        <x:f>AVERAGE(#REF!+#REF!)</x:f>
        <x:v>#REF!</x:v>
      </x:c>
      <x:c r="P113" s="48" t="e">
        <x:f>AVERAGE(#REF!+#REF!)</x:f>
        <x:v>#REF!</x:v>
      </x:c>
      <x:c r="Q113" s="48" t="e">
        <x:f>AVERAGE(#REF!+#REF!)</x:f>
        <x:v>#REF!</x:v>
      </x:c>
      <x:c r="R113" s="48" t="e">
        <x:f>AVERAGE(#REF!+#REF!)</x:f>
        <x:v>#REF!</x:v>
      </x:c>
      <x:c r="S113" s="48" t="e">
        <x:f>AVERAGE(#REF!+#REF!)</x:f>
        <x:v>#REF!</x:v>
      </x:c>
      <x:c r="T113" s="48" t="e">
        <x:f>AVERAGE(#REF!+#REF!)</x:f>
        <x:v>#REF!</x:v>
      </x:c>
      <x:c r="U113" s="48" t="e">
        <x:f>AVERAGE(#REF!+#REF!)</x:f>
        <x:v>#REF!</x:v>
      </x:c>
      <x:c r="V113" s="17" t="e">
        <x:f t="shared" si="6"/>
        <x:v>#REF!</x:v>
      </x:c>
      <x:c r="W113" s="18" t="e">
        <x:f t="shared" si="8"/>
        <x:v>#REF!</x:v>
      </x:c>
      <x:c r="X113" s="19">
        <x:f t="shared" si="7"/>
        <x:v>0</x:v>
      </x:c>
      <x:c r="Y113" s="32"/>
      <x:c r="Z113" s="33"/>
    </x:row>
    <x:row r="114" s="1" customFormat="1" ht="29.25" hidden="1" customHeight="1">
      <x:c r="A114" s="53">
        <x:v>28</x:v>
      </x:c>
      <x:c r="B114" s="64" t="s">
        <x:v>186</x:v>
      </x:c>
      <x:c r="C114" s="34"/>
      <x:c r="D114" s="47" t="e">
        <x:f>#REF!</x:f>
        <x:v>#REF!</x:v>
      </x:c>
      <x:c r="E114" s="47" t="e">
        <x:f>#REF!</x:f>
        <x:v>#REF!</x:v>
      </x:c>
      <x:c r="F114" s="47" t="e">
        <x:f>#REF!</x:f>
        <x:v>#REF!</x:v>
      </x:c>
      <x:c r="G114" s="47" t="e">
        <x:f>#REF!</x:f>
        <x:v>#REF!</x:v>
      </x:c>
      <x:c r="H114" s="47" t="e">
        <x:f>#REF!</x:f>
        <x:v>#REF!</x:v>
      </x:c>
      <x:c r="I114" s="47" t="e">
        <x:f>#REF!</x:f>
        <x:v>#REF!</x:v>
      </x:c>
      <x:c r="J114" s="47" t="e">
        <x:f>#REF!</x:f>
        <x:v>#REF!</x:v>
      </x:c>
      <x:c r="K114" s="47" t="e">
        <x:f>#REF!</x:f>
        <x:v>#REF!</x:v>
      </x:c>
      <x:c r="L114" s="47" t="e">
        <x:f>#REF!</x:f>
        <x:v>#REF!</x:v>
      </x:c>
      <x:c r="M114" s="47" t="e">
        <x:f>#REF!</x:f>
        <x:v>#REF!</x:v>
      </x:c>
      <x:c r="N114" s="47" t="e">
        <x:f>#REF!</x:f>
        <x:v>#REF!</x:v>
      </x:c>
      <x:c r="O114" s="47" t="e">
        <x:f>#REF!</x:f>
        <x:v>#REF!</x:v>
      </x:c>
      <x:c r="P114" s="47" t="e">
        <x:f>#REF!</x:f>
        <x:v>#REF!</x:v>
      </x:c>
      <x:c r="Q114" s="47" t="e">
        <x:f>#REF!</x:f>
        <x:v>#REF!</x:v>
      </x:c>
      <x:c r="R114" s="47" t="e">
        <x:f>#REF!</x:f>
        <x:v>#REF!</x:v>
      </x:c>
      <x:c r="S114" s="47" t="e">
        <x:f>#REF!</x:f>
        <x:v>#REF!</x:v>
      </x:c>
      <x:c r="T114" s="47" t="e">
        <x:f>#REF!</x:f>
        <x:v>#REF!</x:v>
      </x:c>
      <x:c r="U114" s="47" t="e">
        <x:f>#REF!</x:f>
        <x:v>#REF!</x:v>
      </x:c>
      <x:c r="V114" s="17" t="e">
        <x:f t="shared" si="6"/>
        <x:v>#REF!</x:v>
      </x:c>
      <x:c r="W114" s="18" t="e">
        <x:f t="shared" si="8"/>
        <x:v>#REF!</x:v>
      </x:c>
      <x:c r="X114" s="19">
        <x:f t="shared" si="7"/>
        <x:v>0</x:v>
      </x:c>
      <x:c r="Y114" s="27"/>
      <x:c r="Z114" s="28"/>
    </x:row>
    <x:row r="115" s="1" customFormat="1" hidden="1">
      <x:c r="A115" s="53">
        <x:v>29</x:v>
      </x:c>
      <x:c r="B115" s="66" t="s">
        <x:v>187</x:v>
      </x:c>
      <x:c r="C115" s="34"/>
      <x:c r="D115" s="47" t="e">
        <x:f>#REF!</x:f>
        <x:v>#REF!</x:v>
      </x:c>
      <x:c r="E115" s="47" t="e">
        <x:f>#REF!</x:f>
        <x:v>#REF!</x:v>
      </x:c>
      <x:c r="F115" s="47" t="e">
        <x:f>#REF!</x:f>
        <x:v>#REF!</x:v>
      </x:c>
      <x:c r="G115" s="47" t="e">
        <x:f>#REF!</x:f>
        <x:v>#REF!</x:v>
      </x:c>
      <x:c r="H115" s="47" t="e">
        <x:f>#REF!</x:f>
        <x:v>#REF!</x:v>
      </x:c>
      <x:c r="I115" s="47" t="e">
        <x:f>#REF!</x:f>
        <x:v>#REF!</x:v>
      </x:c>
      <x:c r="J115" s="47" t="e">
        <x:f>#REF!</x:f>
        <x:v>#REF!</x:v>
      </x:c>
      <x:c r="K115" s="47" t="e">
        <x:f>#REF!</x:f>
        <x:v>#REF!</x:v>
      </x:c>
      <x:c r="L115" s="47" t="e">
        <x:f>#REF!</x:f>
        <x:v>#REF!</x:v>
      </x:c>
      <x:c r="M115" s="47" t="e">
        <x:f>#REF!</x:f>
        <x:v>#REF!</x:v>
      </x:c>
      <x:c r="N115" s="47" t="e">
        <x:f>#REF!</x:f>
        <x:v>#REF!</x:v>
      </x:c>
      <x:c r="O115" s="47" t="e">
        <x:f>#REF!</x:f>
        <x:v>#REF!</x:v>
      </x:c>
      <x:c r="P115" s="47" t="e">
        <x:f>#REF!</x:f>
        <x:v>#REF!</x:v>
      </x:c>
      <x:c r="Q115" s="47" t="e">
        <x:f>#REF!</x:f>
        <x:v>#REF!</x:v>
      </x:c>
      <x:c r="R115" s="47" t="e">
        <x:f>#REF!</x:f>
        <x:v>#REF!</x:v>
      </x:c>
      <x:c r="S115" s="47" t="e">
        <x:f>#REF!</x:f>
        <x:v>#REF!</x:v>
      </x:c>
      <x:c r="T115" s="47" t="e">
        <x:f>#REF!</x:f>
        <x:v>#REF!</x:v>
      </x:c>
      <x:c r="U115" s="47" t="e">
        <x:f>#REF!</x:f>
        <x:v>#REF!</x:v>
      </x:c>
      <x:c r="V115" s="17" t="e">
        <x:f t="shared" si="6"/>
        <x:v>#REF!</x:v>
      </x:c>
      <x:c r="W115" s="18" t="e">
        <x:f t="shared" si="8"/>
        <x:v>#REF!</x:v>
      </x:c>
      <x:c r="X115" s="19">
        <x:f t="shared" si="7"/>
        <x:v>0</x:v>
      </x:c>
      <x:c r="Y115" s="30"/>
      <x:c r="Z115" s="23"/>
    </x:row>
    <x:row r="116" s="1" customFormat="1" ht="29.25" hidden="1">
      <x:c r="A116" s="53">
        <x:v>30</x:v>
      </x:c>
      <x:c r="B116" s="68" t="s">
        <x:v>188</x:v>
      </x:c>
      <x:c r="C116" s="51"/>
      <x:c r="D116" s="48" t="e">
        <x:f>#REF!</x:f>
        <x:v>#REF!</x:v>
      </x:c>
      <x:c r="E116" s="48" t="e">
        <x:f>#REF!</x:f>
        <x:v>#REF!</x:v>
      </x:c>
      <x:c r="F116" s="48" t="e">
        <x:f>#REF!</x:f>
        <x:v>#REF!</x:v>
      </x:c>
      <x:c r="G116" s="48" t="e">
        <x:f>#REF!</x:f>
        <x:v>#REF!</x:v>
      </x:c>
      <x:c r="H116" s="48" t="e">
        <x:f>#REF!</x:f>
        <x:v>#REF!</x:v>
      </x:c>
      <x:c r="I116" s="48" t="e">
        <x:f>#REF!</x:f>
        <x:v>#REF!</x:v>
      </x:c>
      <x:c r="J116" s="48" t="e">
        <x:f>#REF!</x:f>
        <x:v>#REF!</x:v>
      </x:c>
      <x:c r="K116" s="48" t="e">
        <x:f>#REF!</x:f>
        <x:v>#REF!</x:v>
      </x:c>
      <x:c r="L116" s="48" t="e">
        <x:f>#REF!</x:f>
        <x:v>#REF!</x:v>
      </x:c>
      <x:c r="M116" s="48" t="e">
        <x:f>#REF!</x:f>
        <x:v>#REF!</x:v>
      </x:c>
      <x:c r="N116" s="48" t="e">
        <x:f>#REF!</x:f>
        <x:v>#REF!</x:v>
      </x:c>
      <x:c r="O116" s="48" t="e">
        <x:f>#REF!</x:f>
        <x:v>#REF!</x:v>
      </x:c>
      <x:c r="P116" s="48" t="e">
        <x:f>#REF!</x:f>
        <x:v>#REF!</x:v>
      </x:c>
      <x:c r="Q116" s="48" t="e">
        <x:f>#REF!</x:f>
        <x:v>#REF!</x:v>
      </x:c>
      <x:c r="R116" s="48" t="e">
        <x:f>#REF!</x:f>
        <x:v>#REF!</x:v>
      </x:c>
      <x:c r="S116" s="48" t="e">
        <x:f>#REF!</x:f>
        <x:v>#REF!</x:v>
      </x:c>
      <x:c r="T116" s="48" t="e">
        <x:f>#REF!</x:f>
        <x:v>#REF!</x:v>
      </x:c>
      <x:c r="U116" s="48" t="e">
        <x:f>#REF!</x:f>
        <x:v>#REF!</x:v>
      </x:c>
      <x:c r="V116" s="17" t="e">
        <x:f t="shared" si="6"/>
        <x:v>#REF!</x:v>
      </x:c>
      <x:c r="W116" s="18" t="e">
        <x:f t="shared" si="8"/>
        <x:v>#REF!</x:v>
      </x:c>
      <x:c r="X116" s="19">
        <x:f t="shared" si="7"/>
        <x:v>0</x:v>
      </x:c>
      <x:c r="Y116" s="30"/>
      <x:c r="Z116" s="23"/>
    </x:row>
    <x:row r="117" s="1" customFormat="1" hidden="1">
      <x:c r="A117" s="53">
        <x:v>31</x:v>
      </x:c>
      <x:c r="B117" s="69" t="s">
        <x:v>189</x:v>
      </x:c>
      <x:c r="C117" s="34"/>
      <x:c r="D117" s="47" t="e">
        <x:f>#REF!</x:f>
        <x:v>#REF!</x:v>
      </x:c>
      <x:c r="E117" s="47" t="e">
        <x:f>#REF!</x:f>
        <x:v>#REF!</x:v>
      </x:c>
      <x:c r="F117" s="47" t="e">
        <x:f>#REF!</x:f>
        <x:v>#REF!</x:v>
      </x:c>
      <x:c r="G117" s="47" t="e">
        <x:f>#REF!</x:f>
        <x:v>#REF!</x:v>
      </x:c>
      <x:c r="H117" s="47" t="e">
        <x:f>#REF!</x:f>
        <x:v>#REF!</x:v>
      </x:c>
      <x:c r="I117" s="47" t="e">
        <x:f>#REF!</x:f>
        <x:v>#REF!</x:v>
      </x:c>
      <x:c r="J117" s="47" t="e">
        <x:f>#REF!</x:f>
        <x:v>#REF!</x:v>
      </x:c>
      <x:c r="K117" s="47" t="e">
        <x:f>#REF!</x:f>
        <x:v>#REF!</x:v>
      </x:c>
      <x:c r="L117" s="47" t="e">
        <x:f>#REF!</x:f>
        <x:v>#REF!</x:v>
      </x:c>
      <x:c r="M117" s="47" t="e">
        <x:f>#REF!</x:f>
        <x:v>#REF!</x:v>
      </x:c>
      <x:c r="N117" s="47" t="e">
        <x:f>#REF!</x:f>
        <x:v>#REF!</x:v>
      </x:c>
      <x:c r="O117" s="47" t="e">
        <x:f>#REF!</x:f>
        <x:v>#REF!</x:v>
      </x:c>
      <x:c r="P117" s="47" t="e">
        <x:f>#REF!</x:f>
        <x:v>#REF!</x:v>
      </x:c>
      <x:c r="Q117" s="47" t="e">
        <x:f>#REF!</x:f>
        <x:v>#REF!</x:v>
      </x:c>
      <x:c r="R117" s="47" t="e">
        <x:f>#REF!</x:f>
        <x:v>#REF!</x:v>
      </x:c>
      <x:c r="S117" s="47" t="e">
        <x:f>#REF!</x:f>
        <x:v>#REF!</x:v>
      </x:c>
      <x:c r="T117" s="47" t="e">
        <x:f>#REF!</x:f>
        <x:v>#REF!</x:v>
      </x:c>
      <x:c r="U117" s="47" t="e">
        <x:f>#REF!</x:f>
        <x:v>#REF!</x:v>
      </x:c>
      <x:c r="V117" s="17" t="e">
        <x:f t="shared" si="6"/>
        <x:v>#REF!</x:v>
      </x:c>
      <x:c r="W117" s="18" t="e">
        <x:f t="shared" si="8"/>
        <x:v>#REF!</x:v>
      </x:c>
      <x:c r="X117" s="19">
        <x:f t="shared" si="7"/>
        <x:v>0</x:v>
      </x:c>
      <x:c r="Y117" s="30"/>
      <x:c r="Z117" s="23"/>
    </x:row>
    <x:row r="118" s="1" customFormat="1" hidden="1">
      <x:c r="A118" s="53">
        <x:v>32</x:v>
      </x:c>
      <x:c r="B118" s="70" t="s">
        <x:v>190</x:v>
      </x:c>
      <x:c r="C118" s="34"/>
      <x:c r="D118" s="47" t="e">
        <x:f>#REF!</x:f>
        <x:v>#REF!</x:v>
      </x:c>
      <x:c r="E118" s="47" t="e">
        <x:f>#REF!</x:f>
        <x:v>#REF!</x:v>
      </x:c>
      <x:c r="F118" s="47" t="e">
        <x:f>#REF!</x:f>
        <x:v>#REF!</x:v>
      </x:c>
      <x:c r="G118" s="47" t="e">
        <x:f>#REF!</x:f>
        <x:v>#REF!</x:v>
      </x:c>
      <x:c r="H118" s="47" t="e">
        <x:f>#REF!</x:f>
        <x:v>#REF!</x:v>
      </x:c>
      <x:c r="I118" s="47" t="e">
        <x:f>#REF!</x:f>
        <x:v>#REF!</x:v>
      </x:c>
      <x:c r="J118" s="47" t="e">
        <x:f>#REF!</x:f>
        <x:v>#REF!</x:v>
      </x:c>
      <x:c r="K118" s="47" t="e">
        <x:f>#REF!</x:f>
        <x:v>#REF!</x:v>
      </x:c>
      <x:c r="L118" s="47" t="e">
        <x:f>#REF!</x:f>
        <x:v>#REF!</x:v>
      </x:c>
      <x:c r="M118" s="47" t="e">
        <x:f>#REF!</x:f>
        <x:v>#REF!</x:v>
      </x:c>
      <x:c r="N118" s="47" t="e">
        <x:f>#REF!</x:f>
        <x:v>#REF!</x:v>
      </x:c>
      <x:c r="O118" s="47" t="e">
        <x:f>#REF!</x:f>
        <x:v>#REF!</x:v>
      </x:c>
      <x:c r="P118" s="47" t="e">
        <x:f>#REF!</x:f>
        <x:v>#REF!</x:v>
      </x:c>
      <x:c r="Q118" s="47" t="e">
        <x:f>#REF!</x:f>
        <x:v>#REF!</x:v>
      </x:c>
      <x:c r="R118" s="47" t="e">
        <x:f>#REF!</x:f>
        <x:v>#REF!</x:v>
      </x:c>
      <x:c r="S118" s="47" t="e">
        <x:f>#REF!</x:f>
        <x:v>#REF!</x:v>
      </x:c>
      <x:c r="T118" s="47" t="e">
        <x:f>#REF!</x:f>
        <x:v>#REF!</x:v>
      </x:c>
      <x:c r="U118" s="47" t="e">
        <x:f>#REF!</x:f>
        <x:v>#REF!</x:v>
      </x:c>
      <x:c r="V118" s="17" t="e">
        <x:f t="shared" si="6"/>
        <x:v>#REF!</x:v>
      </x:c>
      <x:c r="W118" s="18" t="e">
        <x:f t="shared" si="8"/>
        <x:v>#REF!</x:v>
      </x:c>
      <x:c r="X118" s="19">
        <x:f t="shared" si="7"/>
        <x:v>0</x:v>
      </x:c>
      <x:c r="Y118" s="30"/>
      <x:c r="Z118" s="35"/>
    </x:row>
    <x:row r="119" s="1" customFormat="1" hidden="1">
      <x:c r="A119" s="53">
        <x:v>33</x:v>
      </x:c>
      <x:c r="B119" s="66" t="s">
        <x:v>191</x:v>
      </x:c>
      <x:c r="C119" s="34"/>
      <x:c r="D119" s="47" t="e">
        <x:f>#REF!</x:f>
        <x:v>#REF!</x:v>
      </x:c>
      <x:c r="E119" s="47" t="e">
        <x:f>#REF!</x:f>
        <x:v>#REF!</x:v>
      </x:c>
      <x:c r="F119" s="47" t="e">
        <x:f>#REF!</x:f>
        <x:v>#REF!</x:v>
      </x:c>
      <x:c r="G119" s="47" t="e">
        <x:f>#REF!</x:f>
        <x:v>#REF!</x:v>
      </x:c>
      <x:c r="H119" s="47" t="e">
        <x:f>#REF!</x:f>
        <x:v>#REF!</x:v>
      </x:c>
      <x:c r="I119" s="47" t="e">
        <x:f>#REF!</x:f>
        <x:v>#REF!</x:v>
      </x:c>
      <x:c r="J119" s="47" t="e">
        <x:f>#REF!</x:f>
        <x:v>#REF!</x:v>
      </x:c>
      <x:c r="K119" s="47" t="e">
        <x:f>#REF!</x:f>
        <x:v>#REF!</x:v>
      </x:c>
      <x:c r="L119" s="47" t="e">
        <x:f>#REF!</x:f>
        <x:v>#REF!</x:v>
      </x:c>
      <x:c r="M119" s="47" t="e">
        <x:f>#REF!</x:f>
        <x:v>#REF!</x:v>
      </x:c>
      <x:c r="N119" s="47" t="e">
        <x:f>#REF!</x:f>
        <x:v>#REF!</x:v>
      </x:c>
      <x:c r="O119" s="47" t="e">
        <x:f>#REF!</x:f>
        <x:v>#REF!</x:v>
      </x:c>
      <x:c r="P119" s="47" t="e">
        <x:f>#REF!</x:f>
        <x:v>#REF!</x:v>
      </x:c>
      <x:c r="Q119" s="47" t="e">
        <x:f>#REF!</x:f>
        <x:v>#REF!</x:v>
      </x:c>
      <x:c r="R119" s="47" t="e">
        <x:f>#REF!</x:f>
        <x:v>#REF!</x:v>
      </x:c>
      <x:c r="S119" s="47" t="e">
        <x:f>#REF!</x:f>
        <x:v>#REF!</x:v>
      </x:c>
      <x:c r="T119" s="47" t="e">
        <x:f>#REF!</x:f>
        <x:v>#REF!</x:v>
      </x:c>
      <x:c r="U119" s="47" t="e">
        <x:f>#REF!</x:f>
        <x:v>#REF!</x:v>
      </x:c>
      <x:c r="V119" s="17" t="e">
        <x:f t="shared" si="6"/>
        <x:v>#REF!</x:v>
      </x:c>
      <x:c r="W119" s="18" t="e">
        <x:f t="shared" si="8"/>
        <x:v>#REF!</x:v>
      </x:c>
      <x:c r="X119" s="19">
        <x:f t="shared" si="7"/>
        <x:v>0</x:v>
      </x:c>
      <x:c r="Y119" s="30"/>
      <x:c r="Z119" s="35"/>
    </x:row>
    <x:row r="120" s="1" customFormat="1" hidden="1">
      <x:c r="A120" s="53">
        <x:v>34</x:v>
      </x:c>
      <x:c r="B120" s="70" t="s">
        <x:v>192</x:v>
      </x:c>
      <x:c r="C120" s="34"/>
      <x:c r="D120" s="47" t="e">
        <x:f>#REF!</x:f>
        <x:v>#REF!</x:v>
      </x:c>
      <x:c r="E120" s="47" t="e">
        <x:f>#REF!</x:f>
        <x:v>#REF!</x:v>
      </x:c>
      <x:c r="F120" s="47" t="e">
        <x:f>#REF!</x:f>
        <x:v>#REF!</x:v>
      </x:c>
      <x:c r="G120" s="47" t="e">
        <x:f>#REF!</x:f>
        <x:v>#REF!</x:v>
      </x:c>
      <x:c r="H120" s="47" t="e">
        <x:f>#REF!</x:f>
        <x:v>#REF!</x:v>
      </x:c>
      <x:c r="I120" s="47" t="e">
        <x:f>#REF!</x:f>
        <x:v>#REF!</x:v>
      </x:c>
      <x:c r="J120" s="47" t="e">
        <x:f>#REF!</x:f>
        <x:v>#REF!</x:v>
      </x:c>
      <x:c r="K120" s="47" t="e">
        <x:f>#REF!</x:f>
        <x:v>#REF!</x:v>
      </x:c>
      <x:c r="L120" s="47" t="e">
        <x:f>#REF!</x:f>
        <x:v>#REF!</x:v>
      </x:c>
      <x:c r="M120" s="47" t="e">
        <x:f>#REF!</x:f>
        <x:v>#REF!</x:v>
      </x:c>
      <x:c r="N120" s="47" t="e">
        <x:f>#REF!</x:f>
        <x:v>#REF!</x:v>
      </x:c>
      <x:c r="O120" s="47" t="e">
        <x:f>#REF!</x:f>
        <x:v>#REF!</x:v>
      </x:c>
      <x:c r="P120" s="47" t="e">
        <x:f>#REF!</x:f>
        <x:v>#REF!</x:v>
      </x:c>
      <x:c r="Q120" s="47" t="e">
        <x:f>#REF!</x:f>
        <x:v>#REF!</x:v>
      </x:c>
      <x:c r="R120" s="47" t="e">
        <x:f>#REF!</x:f>
        <x:v>#REF!</x:v>
      </x:c>
      <x:c r="S120" s="47" t="e">
        <x:f>#REF!</x:f>
        <x:v>#REF!</x:v>
      </x:c>
      <x:c r="T120" s="47" t="e">
        <x:f>#REF!</x:f>
        <x:v>#REF!</x:v>
      </x:c>
      <x:c r="U120" s="47" t="e">
        <x:f>#REF!</x:f>
        <x:v>#REF!</x:v>
      </x:c>
      <x:c r="V120" s="17" t="e">
        <x:f t="shared" si="6"/>
        <x:v>#REF!</x:v>
      </x:c>
      <x:c r="W120" s="18" t="e">
        <x:f t="shared" si="8"/>
        <x:v>#REF!</x:v>
      </x:c>
      <x:c r="X120" s="19">
        <x:f t="shared" si="7"/>
        <x:v>0</x:v>
      </x:c>
      <x:c r="Y120" s="30"/>
      <x:c r="Z120" s="35"/>
    </x:row>
    <x:row r="121" s="1" customFormat="1" hidden="1">
      <x:c r="A121" s="75">
        <x:v>35</x:v>
      </x:c>
      <x:c r="B121" s="71" t="s">
        <x:v>193</x:v>
      </x:c>
      <x:c r="C121" s="34"/>
      <x:c r="D121" s="47" t="e">
        <x:f>#REF!</x:f>
        <x:v>#REF!</x:v>
      </x:c>
      <x:c r="E121" s="47" t="e">
        <x:f>#REF!</x:f>
        <x:v>#REF!</x:v>
      </x:c>
      <x:c r="F121" s="47" t="e">
        <x:f>#REF!</x:f>
        <x:v>#REF!</x:v>
      </x:c>
      <x:c r="G121" s="47" t="e">
        <x:f>#REF!</x:f>
        <x:v>#REF!</x:v>
      </x:c>
      <x:c r="H121" s="76" t="e">
        <x:f>#REF!</x:f>
        <x:v>#REF!</x:v>
      </x:c>
      <x:c r="I121" s="47" t="e">
        <x:f>#REF!</x:f>
        <x:v>#REF!</x:v>
      </x:c>
      <x:c r="J121" s="47" t="e">
        <x:f>#REF!</x:f>
        <x:v>#REF!</x:v>
      </x:c>
      <x:c r="K121" s="47" t="e">
        <x:f>#REF!</x:f>
        <x:v>#REF!</x:v>
      </x:c>
      <x:c r="L121" s="47" t="e">
        <x:f>#REF!</x:f>
        <x:v>#REF!</x:v>
      </x:c>
      <x:c r="M121" s="47" t="e">
        <x:f>#REF!</x:f>
        <x:v>#REF!</x:v>
      </x:c>
      <x:c r="N121" s="47" t="e">
        <x:f>#REF!</x:f>
        <x:v>#REF!</x:v>
      </x:c>
      <x:c r="O121" s="47" t="e">
        <x:f>#REF!</x:f>
        <x:v>#REF!</x:v>
      </x:c>
      <x:c r="P121" s="47" t="e">
        <x:f>#REF!</x:f>
        <x:v>#REF!</x:v>
      </x:c>
      <x:c r="Q121" s="47" t="e">
        <x:f>#REF!</x:f>
        <x:v>#REF!</x:v>
      </x:c>
      <x:c r="R121" s="47" t="e">
        <x:f>#REF!</x:f>
        <x:v>#REF!</x:v>
      </x:c>
      <x:c r="S121" s="47" t="e">
        <x:f>#REF!</x:f>
        <x:v>#REF!</x:v>
      </x:c>
      <x:c r="T121" s="47" t="e">
        <x:f>#REF!</x:f>
        <x:v>#REF!</x:v>
      </x:c>
      <x:c r="U121" s="47" t="e">
        <x:f>#REF!</x:f>
        <x:v>#REF!</x:v>
      </x:c>
      <x:c r="V121" s="17" t="e">
        <x:f t="shared" si="6"/>
        <x:v>#REF!</x:v>
      </x:c>
      <x:c r="W121" s="18" t="e">
        <x:f t="shared" si="8"/>
        <x:v>#REF!</x:v>
      </x:c>
      <x:c r="X121" s="19">
        <x:f t="shared" si="7"/>
        <x:v>0</x:v>
      </x:c>
      <x:c r="Y121" s="30"/>
      <x:c r="Z121" s="35"/>
    </x:row>
    <x:row r="122" s="1" customFormat="1" hidden="1">
      <x:c r="A122" s="53">
        <x:v>36</x:v>
      </x:c>
      <x:c r="B122" s="70" t="s">
        <x:v>194</x:v>
      </x:c>
      <x:c r="C122" s="34"/>
      <x:c r="D122" s="47" t="e">
        <x:f>#REF!</x:f>
        <x:v>#REF!</x:v>
      </x:c>
      <x:c r="E122" s="47" t="e">
        <x:f>#REF!</x:f>
        <x:v>#REF!</x:v>
      </x:c>
      <x:c r="F122" s="47" t="e">
        <x:f>#REF!</x:f>
        <x:v>#REF!</x:v>
      </x:c>
      <x:c r="G122" s="47" t="e">
        <x:f>#REF!</x:f>
        <x:v>#REF!</x:v>
      </x:c>
      <x:c r="H122" s="47" t="e">
        <x:f>#REF!</x:f>
        <x:v>#REF!</x:v>
      </x:c>
      <x:c r="I122" s="47" t="e">
        <x:f>#REF!</x:f>
        <x:v>#REF!</x:v>
      </x:c>
      <x:c r="J122" s="47" t="e">
        <x:f>#REF!</x:f>
        <x:v>#REF!</x:v>
      </x:c>
      <x:c r="K122" s="47" t="e">
        <x:f>#REF!</x:f>
        <x:v>#REF!</x:v>
      </x:c>
      <x:c r="L122" s="47" t="e">
        <x:f>#REF!</x:f>
        <x:v>#REF!</x:v>
      </x:c>
      <x:c r="M122" s="47" t="e">
        <x:f>#REF!</x:f>
        <x:v>#REF!</x:v>
      </x:c>
      <x:c r="N122" s="47" t="e">
        <x:f>#REF!</x:f>
        <x:v>#REF!</x:v>
      </x:c>
      <x:c r="O122" s="47" t="e">
        <x:f>#REF!</x:f>
        <x:v>#REF!</x:v>
      </x:c>
      <x:c r="P122" s="47" t="e">
        <x:f>#REF!</x:f>
        <x:v>#REF!</x:v>
      </x:c>
      <x:c r="Q122" s="47" t="e">
        <x:f>#REF!</x:f>
        <x:v>#REF!</x:v>
      </x:c>
      <x:c r="R122" s="47" t="e">
        <x:f>#REF!</x:f>
        <x:v>#REF!</x:v>
      </x:c>
      <x:c r="S122" s="47" t="e">
        <x:f>#REF!</x:f>
        <x:v>#REF!</x:v>
      </x:c>
      <x:c r="T122" s="47" t="e">
        <x:f>#REF!</x:f>
        <x:v>#REF!</x:v>
      </x:c>
      <x:c r="U122" s="47" t="e">
        <x:f>#REF!</x:f>
        <x:v>#REF!</x:v>
      </x:c>
      <x:c r="V122" s="17" t="e">
        <x:f t="shared" si="6"/>
        <x:v>#REF!</x:v>
      </x:c>
      <x:c r="W122" s="18" t="e">
        <x:f t="shared" si="8"/>
        <x:v>#REF!</x:v>
      </x:c>
      <x:c r="X122" s="19">
        <x:f t="shared" si="7"/>
        <x:v>0</x:v>
      </x:c>
      <x:c r="Y122" s="30"/>
      <x:c r="Z122" s="35"/>
    </x:row>
    <x:row r="123" s="1" customFormat="1" hidden="1">
      <x:c r="A123" s="53">
        <x:v>37</x:v>
      </x:c>
      <x:c r="B123" s="52" t="s">
        <x:v>195</x:v>
      </x:c>
      <x:c r="C123" s="34"/>
      <x:c r="D123" s="49" t="e">
        <x:f>#REF!</x:f>
        <x:v>#REF!</x:v>
      </x:c>
      <x:c r="E123" s="49" t="e">
        <x:f>#REF!</x:f>
        <x:v>#REF!</x:v>
      </x:c>
      <x:c r="F123" s="49" t="e">
        <x:f>#REF!</x:f>
        <x:v>#REF!</x:v>
      </x:c>
      <x:c r="G123" s="49" t="e">
        <x:f>#REF!</x:f>
        <x:v>#REF!</x:v>
      </x:c>
      <x:c r="H123" s="49" t="e">
        <x:f>#REF!</x:f>
        <x:v>#REF!</x:v>
      </x:c>
      <x:c r="I123" s="49" t="e">
        <x:f>#REF!</x:f>
        <x:v>#REF!</x:v>
      </x:c>
      <x:c r="J123" s="49" t="e">
        <x:f>#REF!</x:f>
        <x:v>#REF!</x:v>
      </x:c>
      <x:c r="K123" s="49" t="e">
        <x:f>#REF!</x:f>
        <x:v>#REF!</x:v>
      </x:c>
      <x:c r="L123" s="49" t="e">
        <x:f>#REF!</x:f>
        <x:v>#REF!</x:v>
      </x:c>
      <x:c r="M123" s="49" t="e">
        <x:f>#REF!</x:f>
        <x:v>#REF!</x:v>
      </x:c>
      <x:c r="N123" s="49" t="e">
        <x:f>#REF!</x:f>
        <x:v>#REF!</x:v>
      </x:c>
      <x:c r="O123" s="49" t="e">
        <x:f>#REF!</x:f>
        <x:v>#REF!</x:v>
      </x:c>
      <x:c r="P123" s="49" t="e">
        <x:f>#REF!</x:f>
        <x:v>#REF!</x:v>
      </x:c>
      <x:c r="Q123" s="49" t="e">
        <x:f>#REF!</x:f>
        <x:v>#REF!</x:v>
      </x:c>
      <x:c r="R123" s="49" t="e">
        <x:f>#REF!</x:f>
        <x:v>#REF!</x:v>
      </x:c>
      <x:c r="S123" s="49" t="e">
        <x:f>#REF!</x:f>
        <x:v>#REF!</x:v>
      </x:c>
      <x:c r="T123" s="49" t="e">
        <x:f>#REF!</x:f>
        <x:v>#REF!</x:v>
      </x:c>
      <x:c r="U123" s="49" t="e">
        <x:f>#REF!</x:f>
        <x:v>#REF!</x:v>
      </x:c>
      <x:c r="V123" s="17" t="e">
        <x:f t="shared" si="6"/>
        <x:v>#REF!</x:v>
      </x:c>
      <x:c r="W123" s="18" t="e">
        <x:f t="shared" si="8"/>
        <x:v>#REF!</x:v>
      </x:c>
      <x:c r="X123" s="19">
        <x:f t="shared" si="7"/>
        <x:v>0</x:v>
      </x:c>
      <x:c r="Y123" s="30"/>
      <x:c r="Z123" s="23"/>
    </x:row>
    <x:row r="124" s="1" customFormat="1" hidden="1">
      <x:c r="A124" s="53">
        <x:v>38</x:v>
      </x:c>
      <x:c r="B124" s="52" t="s">
        <x:v>196</x:v>
      </x:c>
      <x:c r="C124" s="34"/>
      <x:c r="D124" s="49" t="e">
        <x:f>#REF!</x:f>
        <x:v>#REF!</x:v>
      </x:c>
      <x:c r="E124" s="49" t="e">
        <x:f>#REF!</x:f>
        <x:v>#REF!</x:v>
      </x:c>
      <x:c r="F124" s="49" t="e">
        <x:f>#REF!</x:f>
        <x:v>#REF!</x:v>
      </x:c>
      <x:c r="G124" s="49" t="e">
        <x:f>#REF!</x:f>
        <x:v>#REF!</x:v>
      </x:c>
      <x:c r="H124" s="49" t="e">
        <x:f>#REF!</x:f>
        <x:v>#REF!</x:v>
      </x:c>
      <x:c r="I124" s="49" t="e">
        <x:f>#REF!</x:f>
        <x:v>#REF!</x:v>
      </x:c>
      <x:c r="J124" s="49" t="e">
        <x:f>#REF!</x:f>
        <x:v>#REF!</x:v>
      </x:c>
      <x:c r="K124" s="49" t="e">
        <x:f>#REF!</x:f>
        <x:v>#REF!</x:v>
      </x:c>
      <x:c r="L124" s="49" t="e">
        <x:f>#REF!</x:f>
        <x:v>#REF!</x:v>
      </x:c>
      <x:c r="M124" s="49" t="e">
        <x:f>#REF!</x:f>
        <x:v>#REF!</x:v>
      </x:c>
      <x:c r="N124" s="49" t="e">
        <x:f>#REF!</x:f>
        <x:v>#REF!</x:v>
      </x:c>
      <x:c r="O124" s="49" t="e">
        <x:f>#REF!</x:f>
        <x:v>#REF!</x:v>
      </x:c>
      <x:c r="P124" s="49" t="e">
        <x:f>#REF!</x:f>
        <x:v>#REF!</x:v>
      </x:c>
      <x:c r="Q124" s="49" t="e">
        <x:f>#REF!</x:f>
        <x:v>#REF!</x:v>
      </x:c>
      <x:c r="R124" s="49" t="e">
        <x:f>#REF!</x:f>
        <x:v>#REF!</x:v>
      </x:c>
      <x:c r="S124" s="49" t="e">
        <x:f>#REF!</x:f>
        <x:v>#REF!</x:v>
      </x:c>
      <x:c r="T124" s="49" t="e">
        <x:f>#REF!</x:f>
        <x:v>#REF!</x:v>
      </x:c>
      <x:c r="U124" s="49" t="e">
        <x:f>#REF!</x:f>
        <x:v>#REF!</x:v>
      </x:c>
      <x:c r="V124" s="17" t="e">
        <x:f t="shared" si="6"/>
        <x:v>#REF!</x:v>
      </x:c>
      <x:c r="W124" s="18" t="e">
        <x:f t="shared" si="8"/>
        <x:v>#REF!</x:v>
      </x:c>
      <x:c r="X124" s="19">
        <x:f t="shared" si="7"/>
        <x:v>0</x:v>
      </x:c>
      <x:c r="Y124" s="30"/>
      <x:c r="Z124" s="35"/>
    </x:row>
    <x:row r="125" s="1" customFormat="1" hidden="1">
      <x:c r="A125" s="53">
        <x:v>39</x:v>
      </x:c>
      <x:c r="B125" s="52" t="s">
        <x:v>197</x:v>
      </x:c>
      <x:c r="C125" s="34"/>
      <x:c r="D125" s="47" t="e">
        <x:f>#REF!</x:f>
        <x:v>#REF!</x:v>
      </x:c>
      <x:c r="E125" s="47" t="e">
        <x:f>#REF!</x:f>
        <x:v>#REF!</x:v>
      </x:c>
      <x:c r="F125" s="47" t="e">
        <x:f>#REF!</x:f>
        <x:v>#REF!</x:v>
      </x:c>
      <x:c r="G125" s="47" t="e">
        <x:f>#REF!</x:f>
        <x:v>#REF!</x:v>
      </x:c>
      <x:c r="H125" s="47" t="e">
        <x:f>#REF!</x:f>
        <x:v>#REF!</x:v>
      </x:c>
      <x:c r="I125" s="47" t="e">
        <x:f>#REF!</x:f>
        <x:v>#REF!</x:v>
      </x:c>
      <x:c r="J125" s="47" t="e">
        <x:f>#REF!</x:f>
        <x:v>#REF!</x:v>
      </x:c>
      <x:c r="K125" s="47" t="e">
        <x:f>#REF!</x:f>
        <x:v>#REF!</x:v>
      </x:c>
      <x:c r="L125" s="47" t="e">
        <x:f>#REF!</x:f>
        <x:v>#REF!</x:v>
      </x:c>
      <x:c r="M125" s="47" t="e">
        <x:f>#REF!</x:f>
        <x:v>#REF!</x:v>
      </x:c>
      <x:c r="N125" s="47" t="e">
        <x:f>#REF!</x:f>
        <x:v>#REF!</x:v>
      </x:c>
      <x:c r="O125" s="47" t="e">
        <x:f>#REF!</x:f>
        <x:v>#REF!</x:v>
      </x:c>
      <x:c r="P125" s="47" t="e">
        <x:f>#REF!</x:f>
        <x:v>#REF!</x:v>
      </x:c>
      <x:c r="Q125" s="47" t="e">
        <x:f>#REF!</x:f>
        <x:v>#REF!</x:v>
      </x:c>
      <x:c r="R125" s="47" t="e">
        <x:f>#REF!</x:f>
        <x:v>#REF!</x:v>
      </x:c>
      <x:c r="S125" s="47" t="e">
        <x:f>#REF!</x:f>
        <x:v>#REF!</x:v>
      </x:c>
      <x:c r="T125" s="47" t="e">
        <x:f>#REF!</x:f>
        <x:v>#REF!</x:v>
      </x:c>
      <x:c r="U125" s="47" t="e">
        <x:f>#REF!</x:f>
        <x:v>#REF!</x:v>
      </x:c>
      <x:c r="V125" s="17" t="e">
        <x:f t="shared" si="6"/>
        <x:v>#REF!</x:v>
      </x:c>
      <x:c r="W125" s="18" t="e">
        <x:f t="shared" si="8"/>
        <x:v>#REF!</x:v>
      </x:c>
      <x:c r="X125" s="19">
        <x:f t="shared" si="7"/>
        <x:v>0</x:v>
      </x:c>
      <x:c r="Y125" s="30"/>
      <x:c r="Z125" s="35"/>
    </x:row>
    <x:row r="126" s="1" customFormat="1" hidden="1">
      <x:c r="A126" s="53">
        <x:v>40</x:v>
      </x:c>
      <x:c r="B126" s="52" t="s">
        <x:v>198</x:v>
      </x:c>
      <x:c r="C126" s="34"/>
      <x:c r="D126" s="47" t="e">
        <x:f>#REF!</x:f>
        <x:v>#REF!</x:v>
      </x:c>
      <x:c r="E126" s="47" t="e">
        <x:f>#REF!</x:f>
        <x:v>#REF!</x:v>
      </x:c>
      <x:c r="F126" s="47" t="e">
        <x:f>#REF!</x:f>
        <x:v>#REF!</x:v>
      </x:c>
      <x:c r="G126" s="47" t="e">
        <x:f>#REF!</x:f>
        <x:v>#REF!</x:v>
      </x:c>
      <x:c r="H126" s="47" t="e">
        <x:f>#REF!</x:f>
        <x:v>#REF!</x:v>
      </x:c>
      <x:c r="I126" s="47" t="e">
        <x:f>#REF!</x:f>
        <x:v>#REF!</x:v>
      </x:c>
      <x:c r="J126" s="47" t="e">
        <x:f>#REF!</x:f>
        <x:v>#REF!</x:v>
      </x:c>
      <x:c r="K126" s="47" t="e">
        <x:f>#REF!</x:f>
        <x:v>#REF!</x:v>
      </x:c>
      <x:c r="L126" s="47" t="e">
        <x:f>#REF!</x:f>
        <x:v>#REF!</x:v>
      </x:c>
      <x:c r="M126" s="47" t="e">
        <x:f>#REF!</x:f>
        <x:v>#REF!</x:v>
      </x:c>
      <x:c r="N126" s="47" t="e">
        <x:f>#REF!</x:f>
        <x:v>#REF!</x:v>
      </x:c>
      <x:c r="O126" s="47" t="e">
        <x:f>#REF!</x:f>
        <x:v>#REF!</x:v>
      </x:c>
      <x:c r="P126" s="47" t="e">
        <x:f>#REF!</x:f>
        <x:v>#REF!</x:v>
      </x:c>
      <x:c r="Q126" s="47" t="e">
        <x:f>#REF!</x:f>
        <x:v>#REF!</x:v>
      </x:c>
      <x:c r="R126" s="47" t="e">
        <x:f>#REF!</x:f>
        <x:v>#REF!</x:v>
      </x:c>
      <x:c r="S126" s="47" t="e">
        <x:f>#REF!</x:f>
        <x:v>#REF!</x:v>
      </x:c>
      <x:c r="T126" s="47" t="e">
        <x:f>#REF!</x:f>
        <x:v>#REF!</x:v>
      </x:c>
      <x:c r="U126" s="47" t="e">
        <x:f>#REF!</x:f>
        <x:v>#REF!</x:v>
      </x:c>
      <x:c r="V126" s="17" t="e">
        <x:f t="shared" si="6"/>
        <x:v>#REF!</x:v>
      </x:c>
      <x:c r="W126" s="18" t="e">
        <x:f t="shared" si="8"/>
        <x:v>#REF!</x:v>
      </x:c>
      <x:c r="X126" s="19">
        <x:f t="shared" si="7"/>
        <x:v>0</x:v>
      </x:c>
      <x:c r="Y126" s="30"/>
      <x:c r="Z126" s="35"/>
    </x:row>
    <x:row r="127" s="1" customFormat="1" hidden="1">
      <x:c r="A127" s="53">
        <x:v>41</x:v>
      </x:c>
      <x:c r="B127" s="71" t="s">
        <x:v>199</x:v>
      </x:c>
      <x:c r="C127" s="34"/>
      <x:c r="D127" s="47" t="e">
        <x:f>#REF!</x:f>
        <x:v>#REF!</x:v>
      </x:c>
      <x:c r="E127" s="47" t="e">
        <x:f>#REF!</x:f>
        <x:v>#REF!</x:v>
      </x:c>
      <x:c r="F127" s="47" t="e">
        <x:f>#REF!</x:f>
        <x:v>#REF!</x:v>
      </x:c>
      <x:c r="G127" s="47" t="e">
        <x:f>#REF!</x:f>
        <x:v>#REF!</x:v>
      </x:c>
      <x:c r="H127" s="47" t="e">
        <x:f>#REF!</x:f>
        <x:v>#REF!</x:v>
      </x:c>
      <x:c r="I127" s="47" t="e">
        <x:f>#REF!</x:f>
        <x:v>#REF!</x:v>
      </x:c>
      <x:c r="J127" s="47" t="e">
        <x:f>#REF!</x:f>
        <x:v>#REF!</x:v>
      </x:c>
      <x:c r="K127" s="47" t="e">
        <x:f>#REF!</x:f>
        <x:v>#REF!</x:v>
      </x:c>
      <x:c r="L127" s="47" t="e">
        <x:f>#REF!</x:f>
        <x:v>#REF!</x:v>
      </x:c>
      <x:c r="M127" s="47" t="e">
        <x:f>#REF!</x:f>
        <x:v>#REF!</x:v>
      </x:c>
      <x:c r="N127" s="47" t="e">
        <x:f>#REF!</x:f>
        <x:v>#REF!</x:v>
      </x:c>
      <x:c r="O127" s="47" t="e">
        <x:f>#REF!</x:f>
        <x:v>#REF!</x:v>
      </x:c>
      <x:c r="P127" s="47" t="e">
        <x:f>#REF!</x:f>
        <x:v>#REF!</x:v>
      </x:c>
      <x:c r="Q127" s="47" t="e">
        <x:f>#REF!</x:f>
        <x:v>#REF!</x:v>
      </x:c>
      <x:c r="R127" s="47" t="e">
        <x:f>#REF!</x:f>
        <x:v>#REF!</x:v>
      </x:c>
      <x:c r="S127" s="47" t="e">
        <x:f>#REF!</x:f>
        <x:v>#REF!</x:v>
      </x:c>
      <x:c r="T127" s="47" t="e">
        <x:f>#REF!</x:f>
        <x:v>#REF!</x:v>
      </x:c>
      <x:c r="U127" s="47" t="e">
        <x:f>#REF!</x:f>
        <x:v>#REF!</x:v>
      </x:c>
      <x:c r="V127" s="17" t="e">
        <x:f t="shared" si="6"/>
        <x:v>#REF!</x:v>
      </x:c>
      <x:c r="W127" s="18" t="e">
        <x:f t="shared" si="8"/>
        <x:v>#REF!</x:v>
      </x:c>
      <x:c r="X127" s="19">
        <x:f t="shared" si="7"/>
        <x:v>0</x:v>
      </x:c>
      <x:c r="Y127" s="30"/>
      <x:c r="Z127" s="23"/>
    </x:row>
    <x:row r="128" s="1" customFormat="1" hidden="1">
      <x:c r="A128" s="53">
        <x:v>42</x:v>
      </x:c>
      <x:c r="B128" s="52" t="s">
        <x:v>200</x:v>
      </x:c>
      <x:c r="C128" s="34"/>
      <x:c r="D128" s="47" t="e">
        <x:f>#REF!</x:f>
        <x:v>#REF!</x:v>
      </x:c>
      <x:c r="E128" s="47" t="e">
        <x:f>#REF!</x:f>
        <x:v>#REF!</x:v>
      </x:c>
      <x:c r="F128" s="47" t="e">
        <x:f>#REF!</x:f>
        <x:v>#REF!</x:v>
      </x:c>
      <x:c r="G128" s="47" t="e">
        <x:f>#REF!</x:f>
        <x:v>#REF!</x:v>
      </x:c>
      <x:c r="H128" s="47" t="e">
        <x:f>#REF!</x:f>
        <x:v>#REF!</x:v>
      </x:c>
      <x:c r="I128" s="47" t="e">
        <x:f>#REF!</x:f>
        <x:v>#REF!</x:v>
      </x:c>
      <x:c r="J128" s="47" t="e">
        <x:f>#REF!</x:f>
        <x:v>#REF!</x:v>
      </x:c>
      <x:c r="K128" s="47" t="e">
        <x:f>#REF!</x:f>
        <x:v>#REF!</x:v>
      </x:c>
      <x:c r="L128" s="47" t="e">
        <x:f>#REF!</x:f>
        <x:v>#REF!</x:v>
      </x:c>
      <x:c r="M128" s="47" t="e">
        <x:f>#REF!</x:f>
        <x:v>#REF!</x:v>
      </x:c>
      <x:c r="N128" s="47" t="e">
        <x:f>#REF!</x:f>
        <x:v>#REF!</x:v>
      </x:c>
      <x:c r="O128" s="47" t="e">
        <x:f>#REF!</x:f>
        <x:v>#REF!</x:v>
      </x:c>
      <x:c r="P128" s="47" t="e">
        <x:f>#REF!</x:f>
        <x:v>#REF!</x:v>
      </x:c>
      <x:c r="Q128" s="47" t="e">
        <x:f>#REF!</x:f>
        <x:v>#REF!</x:v>
      </x:c>
      <x:c r="R128" s="47" t="e">
        <x:f>#REF!</x:f>
        <x:v>#REF!</x:v>
      </x:c>
      <x:c r="S128" s="47" t="e">
        <x:f>#REF!</x:f>
        <x:v>#REF!</x:v>
      </x:c>
      <x:c r="T128" s="47" t="e">
        <x:f>#REF!</x:f>
        <x:v>#REF!</x:v>
      </x:c>
      <x:c r="U128" s="47" t="e">
        <x:f>#REF!</x:f>
        <x:v>#REF!</x:v>
      </x:c>
      <x:c r="V128" s="17" t="e">
        <x:f t="shared" si="6"/>
        <x:v>#REF!</x:v>
      </x:c>
      <x:c r="W128" s="18" t="e">
        <x:f t="shared" si="8"/>
        <x:v>#REF!</x:v>
      </x:c>
      <x:c r="X128" s="19">
        <x:f t="shared" si="7"/>
        <x:v>0</x:v>
      </x:c>
      <x:c r="Y128" s="30"/>
      <x:c r="Z128" s="35"/>
    </x:row>
    <x:row r="129" s="1" customFormat="1" ht="29.25" hidden="1">
      <x:c r="A129" s="53">
        <x:v>43</x:v>
      </x:c>
      <x:c r="B129" s="62" t="s">
        <x:v>201</x:v>
      </x:c>
      <x:c r="C129" s="36"/>
      <x:c r="D129" s="49" t="e">
        <x:f>#REF!</x:f>
        <x:v>#REF!</x:v>
      </x:c>
      <x:c r="E129" s="49" t="e">
        <x:f>#REF!</x:f>
        <x:v>#REF!</x:v>
      </x:c>
      <x:c r="F129" s="49" t="e">
        <x:f>#REF!</x:f>
        <x:v>#REF!</x:v>
      </x:c>
      <x:c r="G129" s="49" t="e">
        <x:f>#REF!</x:f>
        <x:v>#REF!</x:v>
      </x:c>
      <x:c r="H129" s="49" t="e">
        <x:f>#REF!</x:f>
        <x:v>#REF!</x:v>
      </x:c>
      <x:c r="I129" s="49" t="e">
        <x:f>#REF!</x:f>
        <x:v>#REF!</x:v>
      </x:c>
      <x:c r="J129" s="49" t="e">
        <x:f>#REF!</x:f>
        <x:v>#REF!</x:v>
      </x:c>
      <x:c r="K129" s="49" t="e">
        <x:f>#REF!</x:f>
        <x:v>#REF!</x:v>
      </x:c>
      <x:c r="L129" s="49" t="e">
        <x:f>#REF!</x:f>
        <x:v>#REF!</x:v>
      </x:c>
      <x:c r="M129" s="49" t="e">
        <x:f>#REF!</x:f>
        <x:v>#REF!</x:v>
      </x:c>
      <x:c r="N129" s="49" t="e">
        <x:f>#REF!</x:f>
        <x:v>#REF!</x:v>
      </x:c>
      <x:c r="O129" s="49" t="e">
        <x:f>#REF!</x:f>
        <x:v>#REF!</x:v>
      </x:c>
      <x:c r="P129" s="49" t="e">
        <x:f>#REF!</x:f>
        <x:v>#REF!</x:v>
      </x:c>
      <x:c r="Q129" s="49" t="e">
        <x:f>#REF!</x:f>
        <x:v>#REF!</x:v>
      </x:c>
      <x:c r="R129" s="49" t="e">
        <x:f>#REF!</x:f>
        <x:v>#REF!</x:v>
      </x:c>
      <x:c r="S129" s="49" t="e">
        <x:f>#REF!</x:f>
        <x:v>#REF!</x:v>
      </x:c>
      <x:c r="T129" s="49" t="e">
        <x:f>#REF!</x:f>
        <x:v>#REF!</x:v>
      </x:c>
      <x:c r="U129" s="49" t="e">
        <x:f>#REF!</x:f>
        <x:v>#REF!</x:v>
      </x:c>
      <x:c r="V129" s="17" t="e">
        <x:f t="shared" si="6"/>
        <x:v>#REF!</x:v>
      </x:c>
      <x:c r="W129" s="18" t="e">
        <x:f t="shared" si="8"/>
        <x:v>#REF!</x:v>
      </x:c>
      <x:c r="X129" s="19">
        <x:f t="shared" si="7"/>
        <x:v>0</x:v>
      </x:c>
      <x:c r="Y129" s="32"/>
      <x:c r="Z129" s="33"/>
    </x:row>
    <x:row r="130" s="1" customFormat="1" ht="29.25" hidden="1" customHeight="1">
      <x:c r="A130" s="53">
        <x:v>44</x:v>
      </x:c>
      <x:c r="B130" s="61" t="s">
        <x:v>202</x:v>
      </x:c>
      <x:c r="C130" s="26"/>
      <x:c r="D130" s="49" t="e">
        <x:f>#REF!</x:f>
        <x:v>#REF!</x:v>
      </x:c>
      <x:c r="E130" s="49" t="e">
        <x:f>#REF!</x:f>
        <x:v>#REF!</x:v>
      </x:c>
      <x:c r="F130" s="49" t="e">
        <x:f>#REF!</x:f>
        <x:v>#REF!</x:v>
      </x:c>
      <x:c r="G130" s="49" t="e">
        <x:f>#REF!</x:f>
        <x:v>#REF!</x:v>
      </x:c>
      <x:c r="H130" s="49" t="e">
        <x:f>#REF!</x:f>
        <x:v>#REF!</x:v>
      </x:c>
      <x:c r="I130" s="49" t="e">
        <x:f>#REF!</x:f>
        <x:v>#REF!</x:v>
      </x:c>
      <x:c r="J130" s="49" t="e">
        <x:f>#REF!</x:f>
        <x:v>#REF!</x:v>
      </x:c>
      <x:c r="K130" s="49" t="e">
        <x:f>#REF!</x:f>
        <x:v>#REF!</x:v>
      </x:c>
      <x:c r="L130" s="49" t="e">
        <x:f>#REF!</x:f>
        <x:v>#REF!</x:v>
      </x:c>
      <x:c r="M130" s="49" t="e">
        <x:f>#REF!</x:f>
        <x:v>#REF!</x:v>
      </x:c>
      <x:c r="N130" s="49" t="e">
        <x:f>#REF!</x:f>
        <x:v>#REF!</x:v>
      </x:c>
      <x:c r="O130" s="49" t="e">
        <x:f>#REF!</x:f>
        <x:v>#REF!</x:v>
      </x:c>
      <x:c r="P130" s="49" t="e">
        <x:f>#REF!</x:f>
        <x:v>#REF!</x:v>
      </x:c>
      <x:c r="Q130" s="49" t="e">
        <x:f>#REF!</x:f>
        <x:v>#REF!</x:v>
      </x:c>
      <x:c r="R130" s="49" t="e">
        <x:f>#REF!</x:f>
        <x:v>#REF!</x:v>
      </x:c>
      <x:c r="S130" s="49" t="e">
        <x:f>#REF!</x:f>
        <x:v>#REF!</x:v>
      </x:c>
      <x:c r="T130" s="49" t="e">
        <x:f>#REF!</x:f>
        <x:v>#REF!</x:v>
      </x:c>
      <x:c r="U130" s="49" t="e">
        <x:f>#REF!</x:f>
        <x:v>#REF!</x:v>
      </x:c>
      <x:c r="V130" s="17" t="e">
        <x:f t="shared" si="6"/>
        <x:v>#REF!</x:v>
      </x:c>
      <x:c r="W130" s="18" t="e">
        <x:f t="shared" si="8"/>
        <x:v>#REF!</x:v>
      </x:c>
      <x:c r="X130" s="19">
        <x:f t="shared" si="7"/>
        <x:v>0</x:v>
      </x:c>
      <x:c r="Y130" s="27"/>
      <x:c r="Z130" s="28"/>
    </x:row>
    <x:row r="131" s="1" customFormat="1" hidden="1">
      <x:c r="A131" s="53">
        <x:v>45</x:v>
      </x:c>
      <x:c r="B131" s="52" t="s">
        <x:v>203</x:v>
      </x:c>
      <x:c r="C131" s="29"/>
      <x:c r="D131" s="49" t="e">
        <x:f>#REF!</x:f>
        <x:v>#REF!</x:v>
      </x:c>
      <x:c r="E131" s="49" t="e">
        <x:f>#REF!</x:f>
        <x:v>#REF!</x:v>
      </x:c>
      <x:c r="F131" s="49" t="e">
        <x:f>#REF!</x:f>
        <x:v>#REF!</x:v>
      </x:c>
      <x:c r="G131" s="49" t="e">
        <x:f>#REF!</x:f>
        <x:v>#REF!</x:v>
      </x:c>
      <x:c r="H131" s="49" t="e">
        <x:f>#REF!</x:f>
        <x:v>#REF!</x:v>
      </x:c>
      <x:c r="I131" s="49" t="e">
        <x:f>#REF!</x:f>
        <x:v>#REF!</x:v>
      </x:c>
      <x:c r="J131" s="49" t="e">
        <x:f>#REF!</x:f>
        <x:v>#REF!</x:v>
      </x:c>
      <x:c r="K131" s="49" t="e">
        <x:f>#REF!</x:f>
        <x:v>#REF!</x:v>
      </x:c>
      <x:c r="L131" s="49" t="e">
        <x:f>#REF!</x:f>
        <x:v>#REF!</x:v>
      </x:c>
      <x:c r="M131" s="49" t="e">
        <x:f>#REF!</x:f>
        <x:v>#REF!</x:v>
      </x:c>
      <x:c r="N131" s="49" t="e">
        <x:f>#REF!</x:f>
        <x:v>#REF!</x:v>
      </x:c>
      <x:c r="O131" s="49" t="e">
        <x:f>#REF!</x:f>
        <x:v>#REF!</x:v>
      </x:c>
      <x:c r="P131" s="49" t="e">
        <x:f>#REF!</x:f>
        <x:v>#REF!</x:v>
      </x:c>
      <x:c r="Q131" s="49" t="e">
        <x:f>#REF!</x:f>
        <x:v>#REF!</x:v>
      </x:c>
      <x:c r="R131" s="49" t="e">
        <x:f>#REF!</x:f>
        <x:v>#REF!</x:v>
      </x:c>
      <x:c r="S131" s="49" t="e">
        <x:f>#REF!</x:f>
        <x:v>#REF!</x:v>
      </x:c>
      <x:c r="T131" s="49" t="e">
        <x:f>#REF!</x:f>
        <x:v>#REF!</x:v>
      </x:c>
      <x:c r="U131" s="49" t="e">
        <x:f>#REF!</x:f>
        <x:v>#REF!</x:v>
      </x:c>
      <x:c r="V131" s="17" t="e">
        <x:f t="shared" si="6"/>
        <x:v>#REF!</x:v>
      </x:c>
      <x:c r="W131" s="18" t="e">
        <x:f t="shared" si="8"/>
        <x:v>#REF!</x:v>
      </x:c>
      <x:c r="X131" s="19">
        <x:f t="shared" si="7"/>
        <x:v>0</x:v>
      </x:c>
      <x:c r="Y131" s="30"/>
      <x:c r="Z131" s="35"/>
    </x:row>
    <x:row r="132" s="1" customFormat="1" hidden="1">
      <x:c r="A132" s="53">
        <x:v>46</x:v>
      </x:c>
      <x:c r="B132" s="52" t="s">
        <x:v>204</x:v>
      </x:c>
      <x:c r="C132" s="29"/>
      <x:c r="D132" s="49" t="e">
        <x:f>#REF!</x:f>
        <x:v>#REF!</x:v>
      </x:c>
      <x:c r="E132" s="49" t="e">
        <x:f>#REF!</x:f>
        <x:v>#REF!</x:v>
      </x:c>
      <x:c r="F132" s="49" t="e">
        <x:f>#REF!</x:f>
        <x:v>#REF!</x:v>
      </x:c>
      <x:c r="G132" s="49" t="e">
        <x:f>#REF!</x:f>
        <x:v>#REF!</x:v>
      </x:c>
      <x:c r="H132" s="49" t="e">
        <x:f>#REF!</x:f>
        <x:v>#REF!</x:v>
      </x:c>
      <x:c r="I132" s="49" t="e">
        <x:f>#REF!</x:f>
        <x:v>#REF!</x:v>
      </x:c>
      <x:c r="J132" s="49" t="e">
        <x:f>#REF!</x:f>
        <x:v>#REF!</x:v>
      </x:c>
      <x:c r="K132" s="49" t="e">
        <x:f>#REF!</x:f>
        <x:v>#REF!</x:v>
      </x:c>
      <x:c r="L132" s="49" t="e">
        <x:f>#REF!</x:f>
        <x:v>#REF!</x:v>
      </x:c>
      <x:c r="M132" s="49" t="e">
        <x:f>#REF!</x:f>
        <x:v>#REF!</x:v>
      </x:c>
      <x:c r="N132" s="49" t="e">
        <x:f>#REF!</x:f>
        <x:v>#REF!</x:v>
      </x:c>
      <x:c r="O132" s="49" t="e">
        <x:f>#REF!</x:f>
        <x:v>#REF!</x:v>
      </x:c>
      <x:c r="P132" s="49" t="e">
        <x:f>#REF!</x:f>
        <x:v>#REF!</x:v>
      </x:c>
      <x:c r="Q132" s="49" t="e">
        <x:f>#REF!</x:f>
        <x:v>#REF!</x:v>
      </x:c>
      <x:c r="R132" s="49" t="e">
        <x:f>#REF!</x:f>
        <x:v>#REF!</x:v>
      </x:c>
      <x:c r="S132" s="49" t="e">
        <x:f>#REF!</x:f>
        <x:v>#REF!</x:v>
      </x:c>
      <x:c r="T132" s="49" t="e">
        <x:f>#REF!</x:f>
        <x:v>#REF!</x:v>
      </x:c>
      <x:c r="U132" s="49" t="e">
        <x:f>#REF!</x:f>
        <x:v>#REF!</x:v>
      </x:c>
      <x:c r="V132" s="17" t="e">
        <x:f t="shared" si="6"/>
        <x:v>#REF!</x:v>
      </x:c>
      <x:c r="W132" s="18" t="e">
        <x:f t="shared" si="8"/>
        <x:v>#REF!</x:v>
      </x:c>
      <x:c r="X132" s="19">
        <x:f t="shared" si="7"/>
        <x:v>0</x:v>
      </x:c>
      <x:c r="Y132" s="30"/>
      <x:c r="Z132" s="23"/>
    </x:row>
    <x:row r="133" s="1" customFormat="1" hidden="1">
      <x:c r="A133" s="53">
        <x:v>47</x:v>
      </x:c>
      <x:c r="B133" s="52" t="s">
        <x:v>205</x:v>
      </x:c>
      <x:c r="C133" s="29"/>
      <x:c r="D133" s="49" t="e">
        <x:f>#REF!</x:f>
        <x:v>#REF!</x:v>
      </x:c>
      <x:c r="E133" s="49" t="e">
        <x:f>#REF!</x:f>
        <x:v>#REF!</x:v>
      </x:c>
      <x:c r="F133" s="49" t="e">
        <x:f>#REF!</x:f>
        <x:v>#REF!</x:v>
      </x:c>
      <x:c r="G133" s="49" t="e">
        <x:f>#REF!</x:f>
        <x:v>#REF!</x:v>
      </x:c>
      <x:c r="H133" s="49" t="e">
        <x:f>#REF!</x:f>
        <x:v>#REF!</x:v>
      </x:c>
      <x:c r="I133" s="49" t="e">
        <x:f>#REF!</x:f>
        <x:v>#REF!</x:v>
      </x:c>
      <x:c r="J133" s="49" t="e">
        <x:f>#REF!</x:f>
        <x:v>#REF!</x:v>
      </x:c>
      <x:c r="K133" s="49" t="e">
        <x:f>#REF!</x:f>
        <x:v>#REF!</x:v>
      </x:c>
      <x:c r="L133" s="49" t="e">
        <x:f>#REF!</x:f>
        <x:v>#REF!</x:v>
      </x:c>
      <x:c r="M133" s="49" t="e">
        <x:f>#REF!</x:f>
        <x:v>#REF!</x:v>
      </x:c>
      <x:c r="N133" s="49" t="e">
        <x:f>#REF!</x:f>
        <x:v>#REF!</x:v>
      </x:c>
      <x:c r="O133" s="49" t="e">
        <x:f>#REF!</x:f>
        <x:v>#REF!</x:v>
      </x:c>
      <x:c r="P133" s="49" t="e">
        <x:f>#REF!</x:f>
        <x:v>#REF!</x:v>
      </x:c>
      <x:c r="Q133" s="49" t="e">
        <x:f>#REF!</x:f>
        <x:v>#REF!</x:v>
      </x:c>
      <x:c r="R133" s="49" t="e">
        <x:f>#REF!</x:f>
        <x:v>#REF!</x:v>
      </x:c>
      <x:c r="S133" s="49" t="e">
        <x:f>#REF!</x:f>
        <x:v>#REF!</x:v>
      </x:c>
      <x:c r="T133" s="49" t="e">
        <x:f>#REF!</x:f>
        <x:v>#REF!</x:v>
      </x:c>
      <x:c r="U133" s="49" t="e">
        <x:f>#REF!</x:f>
        <x:v>#REF!</x:v>
      </x:c>
      <x:c r="V133" s="17" t="e">
        <x:f t="shared" si="6"/>
        <x:v>#REF!</x:v>
      </x:c>
      <x:c r="W133" s="18" t="e">
        <x:f t="shared" si="8"/>
        <x:v>#REF!</x:v>
      </x:c>
      <x:c r="X133" s="19">
        <x:f t="shared" si="7"/>
        <x:v>0</x:v>
      </x:c>
      <x:c r="Y133" s="30"/>
      <x:c r="Z133" s="23"/>
    </x:row>
    <x:row r="134" s="1" customFormat="1" hidden="1">
      <x:c r="A134" s="53">
        <x:v>48</x:v>
      </x:c>
      <x:c r="B134" s="52" t="s">
        <x:v>206</x:v>
      </x:c>
      <x:c r="C134" s="29"/>
      <x:c r="D134" s="49" t="e">
        <x:f>#REF!</x:f>
        <x:v>#REF!</x:v>
      </x:c>
      <x:c r="E134" s="49" t="e">
        <x:f>#REF!</x:f>
        <x:v>#REF!</x:v>
      </x:c>
      <x:c r="F134" s="49" t="e">
        <x:f>#REF!</x:f>
        <x:v>#REF!</x:v>
      </x:c>
      <x:c r="G134" s="49" t="e">
        <x:f>#REF!</x:f>
        <x:v>#REF!</x:v>
      </x:c>
      <x:c r="H134" s="49" t="e">
        <x:f>#REF!</x:f>
        <x:v>#REF!</x:v>
      </x:c>
      <x:c r="I134" s="49" t="e">
        <x:f>#REF!</x:f>
        <x:v>#REF!</x:v>
      </x:c>
      <x:c r="J134" s="49" t="e">
        <x:f>#REF!</x:f>
        <x:v>#REF!</x:v>
      </x:c>
      <x:c r="K134" s="49" t="e">
        <x:f>#REF!</x:f>
        <x:v>#REF!</x:v>
      </x:c>
      <x:c r="L134" s="49" t="e">
        <x:f>#REF!</x:f>
        <x:v>#REF!</x:v>
      </x:c>
      <x:c r="M134" s="49" t="e">
        <x:f>#REF!</x:f>
        <x:v>#REF!</x:v>
      </x:c>
      <x:c r="N134" s="49" t="e">
        <x:f>#REF!</x:f>
        <x:v>#REF!</x:v>
      </x:c>
      <x:c r="O134" s="49" t="e">
        <x:f>#REF!</x:f>
        <x:v>#REF!</x:v>
      </x:c>
      <x:c r="P134" s="49" t="e">
        <x:f>#REF!</x:f>
        <x:v>#REF!</x:v>
      </x:c>
      <x:c r="Q134" s="49" t="e">
        <x:f>#REF!</x:f>
        <x:v>#REF!</x:v>
      </x:c>
      <x:c r="R134" s="49" t="e">
        <x:f>#REF!</x:f>
        <x:v>#REF!</x:v>
      </x:c>
      <x:c r="S134" s="49" t="e">
        <x:f>#REF!</x:f>
        <x:v>#REF!</x:v>
      </x:c>
      <x:c r="T134" s="49" t="e">
        <x:f>#REF!</x:f>
        <x:v>#REF!</x:v>
      </x:c>
      <x:c r="U134" s="49" t="e">
        <x:f>#REF!</x:f>
        <x:v>#REF!</x:v>
      </x:c>
      <x:c r="V134" s="17" t="e">
        <x:f t="shared" si="6"/>
        <x:v>#REF!</x:v>
      </x:c>
      <x:c r="W134" s="18" t="e">
        <x:f t="shared" si="8"/>
        <x:v>#REF!</x:v>
      </x:c>
      <x:c r="X134" s="19">
        <x:f t="shared" si="7"/>
        <x:v>0</x:v>
      </x:c>
      <x:c r="Y134" s="30"/>
      <x:c r="Z134" s="23"/>
    </x:row>
    <x:row r="135" s="1" customFormat="1" hidden="1">
      <x:c r="A135" s="53">
        <x:v>49</x:v>
      </x:c>
      <x:c r="B135" s="52" t="s">
        <x:v>207</x:v>
      </x:c>
      <x:c r="C135" s="29"/>
      <x:c r="D135" s="49" t="e">
        <x:f>#REF!</x:f>
        <x:v>#REF!</x:v>
      </x:c>
      <x:c r="E135" s="49" t="e">
        <x:f>#REF!</x:f>
        <x:v>#REF!</x:v>
      </x:c>
      <x:c r="F135" s="49" t="e">
        <x:f>#REF!</x:f>
        <x:v>#REF!</x:v>
      </x:c>
      <x:c r="G135" s="49" t="e">
        <x:f>#REF!</x:f>
        <x:v>#REF!</x:v>
      </x:c>
      <x:c r="H135" s="49" t="e">
        <x:f>#REF!</x:f>
        <x:v>#REF!</x:v>
      </x:c>
      <x:c r="I135" s="49" t="e">
        <x:f>#REF!</x:f>
        <x:v>#REF!</x:v>
      </x:c>
      <x:c r="J135" s="49" t="e">
        <x:f>#REF!</x:f>
        <x:v>#REF!</x:v>
      </x:c>
      <x:c r="K135" s="49" t="e">
        <x:f>#REF!</x:f>
        <x:v>#REF!</x:v>
      </x:c>
      <x:c r="L135" s="49" t="e">
        <x:f>#REF!</x:f>
        <x:v>#REF!</x:v>
      </x:c>
      <x:c r="M135" s="49" t="e">
        <x:f>#REF!</x:f>
        <x:v>#REF!</x:v>
      </x:c>
      <x:c r="N135" s="49" t="e">
        <x:f>#REF!</x:f>
        <x:v>#REF!</x:v>
      </x:c>
      <x:c r="O135" s="49" t="e">
        <x:f>#REF!</x:f>
        <x:v>#REF!</x:v>
      </x:c>
      <x:c r="P135" s="49" t="e">
        <x:f>#REF!</x:f>
        <x:v>#REF!</x:v>
      </x:c>
      <x:c r="Q135" s="49" t="e">
        <x:f>#REF!</x:f>
        <x:v>#REF!</x:v>
      </x:c>
      <x:c r="R135" s="49" t="e">
        <x:f>#REF!</x:f>
        <x:v>#REF!</x:v>
      </x:c>
      <x:c r="S135" s="49" t="e">
        <x:f>#REF!</x:f>
        <x:v>#REF!</x:v>
      </x:c>
      <x:c r="T135" s="49" t="e">
        <x:f>#REF!</x:f>
        <x:v>#REF!</x:v>
      </x:c>
      <x:c r="U135" s="49" t="e">
        <x:f>#REF!</x:f>
        <x:v>#REF!</x:v>
      </x:c>
      <x:c r="V135" s="17" t="e">
        <x:f t="shared" si="6"/>
        <x:v>#REF!</x:v>
      </x:c>
      <x:c r="W135" s="18" t="e">
        <x:f t="shared" si="8"/>
        <x:v>#REF!</x:v>
      </x:c>
      <x:c r="X135" s="19">
        <x:f t="shared" si="7"/>
        <x:v>0</x:v>
      </x:c>
      <x:c r="Y135" s="30"/>
      <x:c r="Z135" s="35"/>
    </x:row>
    <x:row r="136" hidden="1"/>
    <x:row r="137" hidden="1"/>
    <x:row r="138" hidden="1"/>
    <x:row r="139" hidden="1"/>
    <x:row r="140" hidden="1"/>
    <x:row r="141" hidden="1"/>
    <x:row r="142" hidden="1"/>
    <x:row r="143" hidden="1"/>
    <x:row r="144" hidden="1"/>
  </x:sheetData>
  <x:mergeCells>
    <x:mergeCell ref="Z84:Z85"/>
    <x:mergeCell ref="A1:Z1"/>
    <x:mergeCell ref="E79:G79"/>
    <x:mergeCell ref="B84:B85"/>
    <x:mergeCell ref="V84:V85"/>
    <x:mergeCell ref="W84:W85"/>
    <x:mergeCell ref="X84:X85"/>
    <x:mergeCell ref="Y84:Y85"/>
    <x:mergeCell ref="B26:B27"/>
    <x:mergeCell ref="V26:V27"/>
    <x:mergeCell ref="W26:W27"/>
    <x:mergeCell ref="X26:X27"/>
    <x:mergeCell ref="Y26:Y27"/>
    <x:mergeCell ref="Z26:Z27"/>
    <x:mergeCell ref="B4:B5"/>
    <x:mergeCell ref="V4:V5"/>
    <x:mergeCell ref="W4:W5"/>
    <x:mergeCell ref="X4:X5"/>
    <x:mergeCell ref="Y4:Y5"/>
    <x:mergeCell ref="Z4:Z5"/>
  </x:mergeCells>
  <x:conditionalFormatting sqref="C7:U20">
    <x:cfRule type="cellIs" dxfId="13" priority="3" operator="equal">
      <x:formula>100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030A0"/>
  </x:sheetPr>
  <x:sheetFormatPr baseColWidth="10" defaultColWidth="10.7109375" defaultRowHeight="12.75"/>
  <x:cols>
    <x:col min="1" max="1" width="16.140625" customWidth="1"/>
    <x:col min="2" max="9" width="15.140625" customWidth="1"/>
    <x:col min="10" max="16" width="13.5703125" customWidth="1"/>
    <x:col min="17" max="18" width="16" customWidth="1"/>
    <x:col min="22" max="22" width="3.85546875" customWidth="1"/>
  </x:cols>
  <x:sheetData>
    <x:row r="1" ht="28.5">
      <x:c r="B1" s="308" t="s">
        <x:v>578</x:v>
      </x:c>
      <x:c r="C1" s="308"/>
      <x:c r="D1" s="308"/>
      <x:c r="E1" s="308"/>
      <x:c r="F1" s="308"/>
      <x:c r="G1" s="308"/>
      <x:c r="H1" s="308"/>
      <x:c r="I1" s="308"/>
      <x:c r="J1" s="308"/>
      <x:c r="K1" s="308"/>
      <x:c r="L1" s="308"/>
      <x:c r="M1" s="308"/>
      <x:c r="N1" s="308"/>
      <x:c r="O1" s="308"/>
      <x:c r="P1" s="308"/>
      <x:c r="Q1" s="308"/>
      <x:c r="R1" s="308"/>
    </x:row>
    <x:row r="2" ht="12.75" customHeight="1">
      <x:c r="B2" s="309" t="s">
        <x:v>579</x:v>
      </x:c>
      <x:c r="C2" s="309" t="s">
        <x:v>580</x:v>
      </x:c>
      <x:c r="D2" s="309" t="s">
        <x:v>581</x:v>
      </x:c>
      <x:c r="E2" s="309" t="s">
        <x:v>582</x:v>
      </x:c>
      <x:c r="F2" s="309" t="s">
        <x:v>583</x:v>
      </x:c>
      <x:c r="G2" s="309" t="s">
        <x:v>584</x:v>
      </x:c>
      <x:c r="H2" s="309" t="s">
        <x:v>585</x:v>
      </x:c>
      <x:c r="I2" s="309" t="s">
        <x:v>586</x:v>
      </x:c>
      <x:c r="J2" s="311" t="s">
        <x:v>587</x:v>
      </x:c>
      <x:c r="K2" s="311" t="s">
        <x:v>588</x:v>
      </x:c>
      <x:c r="L2" s="311" t="s">
        <x:v>589</x:v>
      </x:c>
      <x:c r="M2" s="311" t="s">
        <x:v>590</x:v>
      </x:c>
      <x:c r="N2" s="311" t="s">
        <x:v>591</x:v>
      </x:c>
      <x:c r="O2" s="311" t="s">
        <x:v>592</x:v>
      </x:c>
      <x:c r="P2" s="311" t="s">
        <x:v>593</x:v>
      </x:c>
      <x:c r="Q2" s="318" t="s">
        <x:v>594</x:v>
      </x:c>
      <x:c r="R2" s="318" t="s">
        <x:v>595</x:v>
      </x:c>
      <x:c r="S2" s="313"/>
    </x:row>
    <x:row r="3" ht="135" customHeight="1">
      <x:c r="B3" s="310"/>
      <x:c r="C3" s="310"/>
      <x:c r="D3" s="310"/>
      <x:c r="E3" s="310"/>
      <x:c r="F3" s="310"/>
      <x:c r="G3" s="310"/>
      <x:c r="H3" s="310"/>
      <x:c r="I3" s="310"/>
      <x:c r="J3" s="312"/>
      <x:c r="K3" s="312"/>
      <x:c r="L3" s="312"/>
      <x:c r="M3" s="312"/>
      <x:c r="N3" s="312"/>
      <x:c r="O3" s="312"/>
      <x:c r="P3" s="312"/>
      <x:c r="Q3" s="319"/>
      <x:c r="R3" s="319"/>
      <x:c r="S3" s="313"/>
    </x:row>
    <x:row r="4" ht="13.5">
      <x:c r="A4" s="56" t="s">
        <x:v>7</x:v>
      </x:c>
      <x:c r="B4" s="56" t="s">
        <x:v>596</x:v>
      </x:c>
      <x:c r="C4" s="56" t="s">
        <x:v>596</x:v>
      </x:c>
      <x:c r="D4" s="56" t="s">
        <x:v>596</x:v>
      </x:c>
      <x:c r="E4" s="56" t="s">
        <x:v>596</x:v>
      </x:c>
      <x:c r="F4" s="56" t="s">
        <x:v>596</x:v>
      </x:c>
      <x:c r="G4" s="56" t="s">
        <x:v>596</x:v>
      </x:c>
      <x:c r="H4" s="56" t="s">
        <x:v>596</x:v>
      </x:c>
      <x:c r="I4" s="56" t="s">
        <x:v>596</x:v>
      </x:c>
      <x:c r="J4" s="56" t="s">
        <x:v>596</x:v>
      </x:c>
      <x:c r="K4" s="56" t="s">
        <x:v>596</x:v>
      </x:c>
      <x:c r="L4" s="56" t="s">
        <x:v>596</x:v>
      </x:c>
      <x:c r="M4" s="56" t="s">
        <x:v>596</x:v>
      </x:c>
      <x:c r="N4" s="56" t="s">
        <x:v>596</x:v>
      </x:c>
      <x:c r="O4" s="56" t="s">
        <x:v>596</x:v>
      </x:c>
      <x:c r="P4" s="56" t="s">
        <x:v>596</x:v>
      </x:c>
      <x:c r="Q4" s="56" t="s">
        <x:v>596</x:v>
      </x:c>
      <x:c r="R4" s="56" t="s">
        <x:v>596</x:v>
      </x:c>
    </x:row>
    <x:row r="5" ht="20.25">
      <x:c r="A5" s="58">
        <x:v>1</x:v>
      </x:c>
      <x:c r="B5" s="77">
        <x:v>0</x:v>
      </x:c>
      <x:c r="C5" s="77">
        <x:v>0</x:v>
      </x:c>
      <x:c r="D5" s="77">
        <x:v>0</x:v>
      </x:c>
      <x:c r="E5" s="77">
        <x:v>0</x:v>
      </x:c>
      <x:c r="F5" s="77">
        <x:v>0</x:v>
      </x:c>
      <x:c r="G5" s="77">
        <x:v>0</x:v>
      </x:c>
      <x:c r="H5" s="77">
        <x:v>0</x:v>
      </x:c>
      <x:c r="I5" s="77">
        <x:v>0</x:v>
      </x:c>
      <x:c r="J5" s="77">
        <x:v>0</x:v>
      </x:c>
      <x:c r="K5" s="77">
        <x:v>0</x:v>
      </x:c>
      <x:c r="L5" s="77">
        <x:v>0</x:v>
      </x:c>
      <x:c r="M5" s="77">
        <x:v>0</x:v>
      </x:c>
      <x:c r="N5" s="77">
        <x:v>0</x:v>
      </x:c>
      <x:c r="O5" s="77">
        <x:v>0</x:v>
      </x:c>
      <x:c r="P5" s="77">
        <x:v>0</x:v>
      </x:c>
      <x:c r="Q5" s="77">
        <x:v>0</x:v>
      </x:c>
      <x:c r="R5" s="77">
        <x:v>0</x:v>
      </x:c>
    </x:row>
    <x:row r="6" ht="20.25">
      <x:c r="A6" s="59">
        <x:v>2</x:v>
      </x:c>
      <x:c r="B6" s="77">
        <x:v>0</x:v>
      </x:c>
      <x:c r="C6" s="77" t="e">
        <x:f t="shared" ref="C6:R6" si="0">C36</x:f>
        <x:v>#REF!</x:v>
      </x:c>
      <x:c r="D6" s="77" t="e">
        <x:f t="shared" si="0"/>
        <x:v>#REF!</x:v>
      </x:c>
      <x:c r="E6" s="77" t="e">
        <x:f t="shared" si="0"/>
        <x:v>#REF!</x:v>
      </x:c>
      <x:c r="F6" s="77" t="e">
        <x:f t="shared" si="0"/>
        <x:v>#REF!</x:v>
      </x:c>
      <x:c r="G6" s="77" t="e">
        <x:f t="shared" si="0"/>
        <x:v>#REF!</x:v>
      </x:c>
      <x:c r="H6" s="77" t="e">
        <x:f t="shared" si="0"/>
        <x:v>#REF!</x:v>
      </x:c>
      <x:c r="I6" s="77" t="e">
        <x:f t="shared" si="0"/>
        <x:v>#REF!</x:v>
      </x:c>
      <x:c r="J6" s="77" t="e">
        <x:f t="shared" si="0"/>
        <x:v>#REF!</x:v>
      </x:c>
      <x:c r="K6" s="77" t="e">
        <x:f t="shared" si="0"/>
        <x:v>#REF!</x:v>
      </x:c>
      <x:c r="L6" s="77" t="e">
        <x:f t="shared" si="0"/>
        <x:v>#REF!</x:v>
      </x:c>
      <x:c r="M6" s="77" t="e">
        <x:f t="shared" si="0"/>
        <x:v>#REF!</x:v>
      </x:c>
      <x:c r="N6" s="77" t="e">
        <x:f t="shared" si="0"/>
        <x:v>#REF!</x:v>
      </x:c>
      <x:c r="O6" s="77" t="e">
        <x:f t="shared" si="0"/>
        <x:v>#REF!</x:v>
      </x:c>
      <x:c r="P6" s="77" t="e">
        <x:f t="shared" si="0"/>
        <x:v>#REF!</x:v>
      </x:c>
      <x:c r="Q6" s="77" t="e">
        <x:f t="shared" si="0"/>
        <x:v>#REF!</x:v>
      </x:c>
      <x:c r="R6" s="77" t="e">
        <x:f t="shared" si="0"/>
        <x:v>#REF!</x:v>
      </x:c>
    </x:row>
    <x:row r="7" ht="20.25">
      <x:c r="A7" s="59">
        <x:v>3</x:v>
      </x:c>
      <x:c r="B7" s="77">
        <x:v>0</x:v>
      </x:c>
      <x:c r="C7" s="77" t="e">
        <x:f t="shared" ref="C7:R7" si="1">C37</x:f>
        <x:v>#REF!</x:v>
      </x:c>
      <x:c r="D7" s="77" t="e">
        <x:f t="shared" si="1"/>
        <x:v>#REF!</x:v>
      </x:c>
      <x:c r="E7" s="77" t="e">
        <x:f t="shared" si="1"/>
        <x:v>#REF!</x:v>
      </x:c>
      <x:c r="F7" s="77" t="e">
        <x:f t="shared" si="1"/>
        <x:v>#REF!</x:v>
      </x:c>
      <x:c r="G7" s="77" t="e">
        <x:f t="shared" si="1"/>
        <x:v>#REF!</x:v>
      </x:c>
      <x:c r="H7" s="77" t="e">
        <x:f t="shared" si="1"/>
        <x:v>#REF!</x:v>
      </x:c>
      <x:c r="I7" s="77" t="e">
        <x:f t="shared" si="1"/>
        <x:v>#REF!</x:v>
      </x:c>
      <x:c r="J7" s="77" t="e">
        <x:f t="shared" si="1"/>
        <x:v>#REF!</x:v>
      </x:c>
      <x:c r="K7" s="77" t="e">
        <x:f t="shared" si="1"/>
        <x:v>#REF!</x:v>
      </x:c>
      <x:c r="L7" s="77" t="e">
        <x:f t="shared" si="1"/>
        <x:v>#REF!</x:v>
      </x:c>
      <x:c r="M7" s="77" t="e">
        <x:f t="shared" si="1"/>
        <x:v>#REF!</x:v>
      </x:c>
      <x:c r="N7" s="77" t="e">
        <x:f t="shared" si="1"/>
        <x:v>#REF!</x:v>
      </x:c>
      <x:c r="O7" s="77" t="e">
        <x:f t="shared" si="1"/>
        <x:v>#REF!</x:v>
      </x:c>
      <x:c r="P7" s="77" t="e">
        <x:f t="shared" si="1"/>
        <x:v>#REF!</x:v>
      </x:c>
      <x:c r="Q7" s="77" t="e">
        <x:f t="shared" si="1"/>
        <x:v>#REF!</x:v>
      </x:c>
      <x:c r="R7" s="77" t="e">
        <x:f t="shared" si="1"/>
        <x:v>#REF!</x:v>
      </x:c>
    </x:row>
    <x:row r="8" ht="20.25">
      <x:c r="A8" s="59">
        <x:v>4</x:v>
      </x:c>
      <x:c r="B8" s="77">
        <x:v>0</x:v>
      </x:c>
      <x:c r="C8" s="77" t="e">
        <x:f t="shared" ref="C8:R8" si="2">C38</x:f>
        <x:v>#REF!</x:v>
      </x:c>
      <x:c r="D8" s="77" t="e">
        <x:f t="shared" si="2"/>
        <x:v>#REF!</x:v>
      </x:c>
      <x:c r="E8" s="77" t="e">
        <x:f t="shared" si="2"/>
        <x:v>#REF!</x:v>
      </x:c>
      <x:c r="F8" s="77" t="e">
        <x:f t="shared" si="2"/>
        <x:v>#REF!</x:v>
      </x:c>
      <x:c r="G8" s="77" t="e">
        <x:f t="shared" si="2"/>
        <x:v>#REF!</x:v>
      </x:c>
      <x:c r="H8" s="77" t="e">
        <x:f t="shared" si="2"/>
        <x:v>#REF!</x:v>
      </x:c>
      <x:c r="I8" s="77" t="e">
        <x:f t="shared" si="2"/>
        <x:v>#REF!</x:v>
      </x:c>
      <x:c r="J8" s="77" t="e">
        <x:f t="shared" si="2"/>
        <x:v>#REF!</x:v>
      </x:c>
      <x:c r="K8" s="77" t="e">
        <x:f t="shared" si="2"/>
        <x:v>#REF!</x:v>
      </x:c>
      <x:c r="L8" s="77" t="e">
        <x:f t="shared" si="2"/>
        <x:v>#REF!</x:v>
      </x:c>
      <x:c r="M8" s="77" t="e">
        <x:f t="shared" si="2"/>
        <x:v>#REF!</x:v>
      </x:c>
      <x:c r="N8" s="77" t="e">
        <x:f t="shared" si="2"/>
        <x:v>#REF!</x:v>
      </x:c>
      <x:c r="O8" s="77" t="e">
        <x:f t="shared" si="2"/>
        <x:v>#REF!</x:v>
      </x:c>
      <x:c r="P8" s="77" t="e">
        <x:f t="shared" si="2"/>
        <x:v>#REF!</x:v>
      </x:c>
      <x:c r="Q8" s="77" t="e">
        <x:f t="shared" si="2"/>
        <x:v>#REF!</x:v>
      </x:c>
      <x:c r="R8" s="77" t="e">
        <x:f t="shared" si="2"/>
        <x:v>#REF!</x:v>
      </x:c>
    </x:row>
    <x:row r="9" ht="20.25">
      <x:c r="A9" s="59">
        <x:v>5</x:v>
      </x:c>
      <x:c r="B9" s="77">
        <x:v>0</x:v>
      </x:c>
      <x:c r="C9" s="77" t="e">
        <x:f t="shared" ref="C9:R9" si="3">C39</x:f>
        <x:v>#REF!</x:v>
      </x:c>
      <x:c r="D9" s="77" t="e">
        <x:f t="shared" si="3"/>
        <x:v>#REF!</x:v>
      </x:c>
      <x:c r="E9" s="77" t="e">
        <x:f t="shared" si="3"/>
        <x:v>#REF!</x:v>
      </x:c>
      <x:c r="F9" s="77" t="e">
        <x:f t="shared" si="3"/>
        <x:v>#REF!</x:v>
      </x:c>
      <x:c r="G9" s="77" t="e">
        <x:f t="shared" si="3"/>
        <x:v>#REF!</x:v>
      </x:c>
      <x:c r="H9" s="77" t="e">
        <x:f t="shared" si="3"/>
        <x:v>#REF!</x:v>
      </x:c>
      <x:c r="I9" s="77" t="e">
        <x:f t="shared" si="3"/>
        <x:v>#REF!</x:v>
      </x:c>
      <x:c r="J9" s="77" t="e">
        <x:f t="shared" si="3"/>
        <x:v>#REF!</x:v>
      </x:c>
      <x:c r="K9" s="77" t="e">
        <x:f t="shared" si="3"/>
        <x:v>#REF!</x:v>
      </x:c>
      <x:c r="L9" s="77" t="e">
        <x:f t="shared" si="3"/>
        <x:v>#REF!</x:v>
      </x:c>
      <x:c r="M9" s="77" t="e">
        <x:f t="shared" si="3"/>
        <x:v>#REF!</x:v>
      </x:c>
      <x:c r="N9" s="77" t="e">
        <x:f t="shared" si="3"/>
        <x:v>#REF!</x:v>
      </x:c>
      <x:c r="O9" s="77" t="e">
        <x:f t="shared" si="3"/>
        <x:v>#REF!</x:v>
      </x:c>
      <x:c r="P9" s="77" t="e">
        <x:f t="shared" si="3"/>
        <x:v>#REF!</x:v>
      </x:c>
      <x:c r="Q9" s="77" t="e">
        <x:f t="shared" si="3"/>
        <x:v>#REF!</x:v>
      </x:c>
      <x:c r="R9" s="77" t="e">
        <x:f t="shared" si="3"/>
        <x:v>#REF!</x:v>
      </x:c>
    </x:row>
    <x:row r="10" ht="20.25">
      <x:c r="A10" s="59">
        <x:v>6</x:v>
      </x:c>
      <x:c r="B10" s="77">
        <x:v>0</x:v>
      </x:c>
      <x:c r="C10" s="77" t="e">
        <x:f t="shared" ref="C10:R10" si="4">C40</x:f>
        <x:v>#REF!</x:v>
      </x:c>
      <x:c r="D10" s="77" t="e">
        <x:f t="shared" si="4"/>
        <x:v>#REF!</x:v>
      </x:c>
      <x:c r="E10" s="77" t="e">
        <x:f t="shared" si="4"/>
        <x:v>#REF!</x:v>
      </x:c>
      <x:c r="F10" s="77" t="e">
        <x:f t="shared" si="4"/>
        <x:v>#REF!</x:v>
      </x:c>
      <x:c r="G10" s="77" t="e">
        <x:f t="shared" si="4"/>
        <x:v>#REF!</x:v>
      </x:c>
      <x:c r="H10" s="77" t="e">
        <x:f t="shared" si="4"/>
        <x:v>#REF!</x:v>
      </x:c>
      <x:c r="I10" s="77" t="e">
        <x:f t="shared" si="4"/>
        <x:v>#REF!</x:v>
      </x:c>
      <x:c r="J10" s="77" t="e">
        <x:f t="shared" si="4"/>
        <x:v>#REF!</x:v>
      </x:c>
      <x:c r="K10" s="77" t="e">
        <x:f t="shared" si="4"/>
        <x:v>#REF!</x:v>
      </x:c>
      <x:c r="L10" s="77" t="e">
        <x:f t="shared" si="4"/>
        <x:v>#REF!</x:v>
      </x:c>
      <x:c r="M10" s="77" t="e">
        <x:f t="shared" si="4"/>
        <x:v>#REF!</x:v>
      </x:c>
      <x:c r="N10" s="77" t="e">
        <x:f t="shared" si="4"/>
        <x:v>#REF!</x:v>
      </x:c>
      <x:c r="O10" s="77" t="e">
        <x:f t="shared" si="4"/>
        <x:v>#REF!</x:v>
      </x:c>
      <x:c r="P10" s="77" t="e">
        <x:f t="shared" si="4"/>
        <x:v>#REF!</x:v>
      </x:c>
      <x:c r="Q10" s="77" t="e">
        <x:f t="shared" si="4"/>
        <x:v>#REF!</x:v>
      </x:c>
      <x:c r="R10" s="77" t="e">
        <x:f t="shared" si="4"/>
        <x:v>#REF!</x:v>
      </x:c>
    </x:row>
    <x:row r="11" ht="20.25">
      <x:c r="A11" s="59">
        <x:v>7</x:v>
      </x:c>
      <x:c r="B11" s="77">
        <x:v>0</x:v>
      </x:c>
      <x:c r="C11" s="77" t="e">
        <x:f t="shared" ref="C11:R11" si="5">C41</x:f>
        <x:v>#REF!</x:v>
      </x:c>
      <x:c r="D11" s="77" t="e">
        <x:f t="shared" si="5"/>
        <x:v>#REF!</x:v>
      </x:c>
      <x:c r="E11" s="77" t="e">
        <x:f t="shared" si="5"/>
        <x:v>#REF!</x:v>
      </x:c>
      <x:c r="F11" s="77" t="e">
        <x:f t="shared" si="5"/>
        <x:v>#REF!</x:v>
      </x:c>
      <x:c r="G11" s="77" t="e">
        <x:f t="shared" si="5"/>
        <x:v>#REF!</x:v>
      </x:c>
      <x:c r="H11" s="77" t="e">
        <x:f t="shared" si="5"/>
        <x:v>#REF!</x:v>
      </x:c>
      <x:c r="I11" s="77" t="e">
        <x:f t="shared" si="5"/>
        <x:v>#REF!</x:v>
      </x:c>
      <x:c r="J11" s="77" t="e">
        <x:f t="shared" si="5"/>
        <x:v>#REF!</x:v>
      </x:c>
      <x:c r="K11" s="77" t="e">
        <x:f t="shared" si="5"/>
        <x:v>#REF!</x:v>
      </x:c>
      <x:c r="L11" s="77" t="e">
        <x:f t="shared" si="5"/>
        <x:v>#REF!</x:v>
      </x:c>
      <x:c r="M11" s="77" t="e">
        <x:f t="shared" si="5"/>
        <x:v>#REF!</x:v>
      </x:c>
      <x:c r="N11" s="77" t="e">
        <x:f t="shared" si="5"/>
        <x:v>#REF!</x:v>
      </x:c>
      <x:c r="O11" s="77" t="e">
        <x:f t="shared" si="5"/>
        <x:v>#REF!</x:v>
      </x:c>
      <x:c r="P11" s="77" t="e">
        <x:f t="shared" si="5"/>
        <x:v>#REF!</x:v>
      </x:c>
      <x:c r="Q11" s="77" t="e">
        <x:f t="shared" si="5"/>
        <x:v>#REF!</x:v>
      </x:c>
      <x:c r="R11" s="77" t="e">
        <x:f t="shared" si="5"/>
        <x:v>#REF!</x:v>
      </x:c>
    </x:row>
    <x:row r="12" ht="20.25">
      <x:c r="A12" s="59">
        <x:v>8</x:v>
      </x:c>
      <x:c r="B12" s="77">
        <x:v>0</x:v>
      </x:c>
      <x:c r="C12" s="77" t="e">
        <x:f t="shared" ref="C12:R12" si="6">C42</x:f>
        <x:v>#REF!</x:v>
      </x:c>
      <x:c r="D12" s="77" t="e">
        <x:f t="shared" si="6"/>
        <x:v>#REF!</x:v>
      </x:c>
      <x:c r="E12" s="77" t="e">
        <x:f t="shared" si="6"/>
        <x:v>#REF!</x:v>
      </x:c>
      <x:c r="F12" s="77" t="e">
        <x:f t="shared" si="6"/>
        <x:v>#REF!</x:v>
      </x:c>
      <x:c r="G12" s="77" t="e">
        <x:f t="shared" si="6"/>
        <x:v>#REF!</x:v>
      </x:c>
      <x:c r="H12" s="77" t="e">
        <x:f t="shared" si="6"/>
        <x:v>#REF!</x:v>
      </x:c>
      <x:c r="I12" s="77" t="e">
        <x:f t="shared" si="6"/>
        <x:v>#REF!</x:v>
      </x:c>
      <x:c r="J12" s="77" t="e">
        <x:f t="shared" si="6"/>
        <x:v>#REF!</x:v>
      </x:c>
      <x:c r="K12" s="77" t="e">
        <x:f t="shared" si="6"/>
        <x:v>#REF!</x:v>
      </x:c>
      <x:c r="L12" s="77" t="e">
        <x:f t="shared" si="6"/>
        <x:v>#REF!</x:v>
      </x:c>
      <x:c r="M12" s="77" t="e">
        <x:f t="shared" si="6"/>
        <x:v>#REF!</x:v>
      </x:c>
      <x:c r="N12" s="77" t="e">
        <x:f t="shared" si="6"/>
        <x:v>#REF!</x:v>
      </x:c>
      <x:c r="O12" s="77" t="e">
        <x:f t="shared" si="6"/>
        <x:v>#REF!</x:v>
      </x:c>
      <x:c r="P12" s="77" t="e">
        <x:f t="shared" si="6"/>
        <x:v>#REF!</x:v>
      </x:c>
      <x:c r="Q12" s="77" t="e">
        <x:f t="shared" si="6"/>
        <x:v>#REF!</x:v>
      </x:c>
      <x:c r="R12" s="77" t="e">
        <x:f t="shared" si="6"/>
        <x:v>#REF!</x:v>
      </x:c>
    </x:row>
    <x:row r="13" ht="20.25">
      <x:c r="A13" s="59">
        <x:v>9</x:v>
      </x:c>
      <x:c r="B13" s="77">
        <x:v>0</x:v>
      </x:c>
      <x:c r="C13" s="77" t="e">
        <x:f t="shared" ref="C13:R13" si="7">C43</x:f>
        <x:v>#REF!</x:v>
      </x:c>
      <x:c r="D13" s="77" t="e">
        <x:f t="shared" si="7"/>
        <x:v>#REF!</x:v>
      </x:c>
      <x:c r="E13" s="77" t="e">
        <x:f t="shared" si="7"/>
        <x:v>#REF!</x:v>
      </x:c>
      <x:c r="F13" s="77" t="e">
        <x:f t="shared" si="7"/>
        <x:v>#REF!</x:v>
      </x:c>
      <x:c r="G13" s="77" t="e">
        <x:f t="shared" si="7"/>
        <x:v>#REF!</x:v>
      </x:c>
      <x:c r="H13" s="77" t="e">
        <x:f t="shared" si="7"/>
        <x:v>#REF!</x:v>
      </x:c>
      <x:c r="I13" s="77" t="e">
        <x:f t="shared" si="7"/>
        <x:v>#REF!</x:v>
      </x:c>
      <x:c r="J13" s="77" t="e">
        <x:f t="shared" si="7"/>
        <x:v>#REF!</x:v>
      </x:c>
      <x:c r="K13" s="77" t="e">
        <x:f t="shared" si="7"/>
        <x:v>#REF!</x:v>
      </x:c>
      <x:c r="L13" s="77" t="e">
        <x:f t="shared" si="7"/>
        <x:v>#REF!</x:v>
      </x:c>
      <x:c r="M13" s="77" t="e">
        <x:f t="shared" si="7"/>
        <x:v>#REF!</x:v>
      </x:c>
      <x:c r="N13" s="77" t="e">
        <x:f t="shared" si="7"/>
        <x:v>#REF!</x:v>
      </x:c>
      <x:c r="O13" s="77" t="e">
        <x:f t="shared" si="7"/>
        <x:v>#REF!</x:v>
      </x:c>
      <x:c r="P13" s="77" t="e">
        <x:f t="shared" si="7"/>
        <x:v>#REF!</x:v>
      </x:c>
      <x:c r="Q13" s="77" t="e">
        <x:f t="shared" si="7"/>
        <x:v>#REF!</x:v>
      </x:c>
      <x:c r="R13" s="77" t="e">
        <x:f t="shared" si="7"/>
        <x:v>#REF!</x:v>
      </x:c>
    </x:row>
    <x:row r="14" ht="20.25">
      <x:c r="A14" s="59">
        <x:v>10</x:v>
      </x:c>
      <x:c r="B14" s="77">
        <x:v>0</x:v>
      </x:c>
      <x:c r="C14" s="77" t="e">
        <x:f t="shared" ref="C14:R14" si="8">C44</x:f>
        <x:v>#REF!</x:v>
      </x:c>
      <x:c r="D14" s="77" t="e">
        <x:f t="shared" si="8"/>
        <x:v>#REF!</x:v>
      </x:c>
      <x:c r="E14" s="77" t="e">
        <x:f t="shared" si="8"/>
        <x:v>#REF!</x:v>
      </x:c>
      <x:c r="F14" s="77" t="e">
        <x:f t="shared" si="8"/>
        <x:v>#REF!</x:v>
      </x:c>
      <x:c r="G14" s="77" t="e">
        <x:f t="shared" si="8"/>
        <x:v>#REF!</x:v>
      </x:c>
      <x:c r="H14" s="77" t="e">
        <x:f t="shared" si="8"/>
        <x:v>#REF!</x:v>
      </x:c>
      <x:c r="I14" s="77" t="e">
        <x:f t="shared" si="8"/>
        <x:v>#REF!</x:v>
      </x:c>
      <x:c r="J14" s="77" t="e">
        <x:f t="shared" si="8"/>
        <x:v>#REF!</x:v>
      </x:c>
      <x:c r="K14" s="77" t="e">
        <x:f t="shared" si="8"/>
        <x:v>#REF!</x:v>
      </x:c>
      <x:c r="L14" s="77" t="e">
        <x:f t="shared" si="8"/>
        <x:v>#REF!</x:v>
      </x:c>
      <x:c r="M14" s="77" t="e">
        <x:f t="shared" si="8"/>
        <x:v>#REF!</x:v>
      </x:c>
      <x:c r="N14" s="77" t="e">
        <x:f t="shared" si="8"/>
        <x:v>#REF!</x:v>
      </x:c>
      <x:c r="O14" s="77" t="e">
        <x:f t="shared" si="8"/>
        <x:v>#REF!</x:v>
      </x:c>
      <x:c r="P14" s="77" t="e">
        <x:f t="shared" si="8"/>
        <x:v>#REF!</x:v>
      </x:c>
      <x:c r="Q14" s="77" t="e">
        <x:f t="shared" si="8"/>
        <x:v>#REF!</x:v>
      </x:c>
      <x:c r="R14" s="77" t="e">
        <x:f t="shared" si="8"/>
        <x:v>#REF!</x:v>
      </x:c>
    </x:row>
    <x:row r="15" ht="20.25">
      <x:c r="A15" s="59">
        <x:v>11</x:v>
      </x:c>
      <x:c r="B15" s="77">
        <x:v>0</x:v>
      </x:c>
      <x:c r="C15" s="77" t="e">
        <x:f t="shared" ref="C15:R15" si="9">C45</x:f>
        <x:v>#REF!</x:v>
      </x:c>
      <x:c r="D15" s="77" t="e">
        <x:f t="shared" si="9"/>
        <x:v>#REF!</x:v>
      </x:c>
      <x:c r="E15" s="77" t="e">
        <x:f t="shared" si="9"/>
        <x:v>#REF!</x:v>
      </x:c>
      <x:c r="F15" s="77" t="e">
        <x:f t="shared" si="9"/>
        <x:v>#REF!</x:v>
      </x:c>
      <x:c r="G15" s="77" t="e">
        <x:f t="shared" si="9"/>
        <x:v>#REF!</x:v>
      </x:c>
      <x:c r="H15" s="77" t="e">
        <x:f t="shared" si="9"/>
        <x:v>#REF!</x:v>
      </x:c>
      <x:c r="I15" s="77" t="e">
        <x:f t="shared" si="9"/>
        <x:v>#REF!</x:v>
      </x:c>
      <x:c r="J15" s="77" t="e">
        <x:f t="shared" si="9"/>
        <x:v>#REF!</x:v>
      </x:c>
      <x:c r="K15" s="77" t="e">
        <x:f t="shared" si="9"/>
        <x:v>#REF!</x:v>
      </x:c>
      <x:c r="L15" s="77" t="e">
        <x:f t="shared" si="9"/>
        <x:v>#REF!</x:v>
      </x:c>
      <x:c r="M15" s="77" t="e">
        <x:f t="shared" si="9"/>
        <x:v>#REF!</x:v>
      </x:c>
      <x:c r="N15" s="77" t="e">
        <x:f t="shared" si="9"/>
        <x:v>#REF!</x:v>
      </x:c>
      <x:c r="O15" s="77" t="e">
        <x:f t="shared" si="9"/>
        <x:v>#REF!</x:v>
      </x:c>
      <x:c r="P15" s="77" t="e">
        <x:f t="shared" si="9"/>
        <x:v>#REF!</x:v>
      </x:c>
      <x:c r="Q15" s="77" t="e">
        <x:f t="shared" si="9"/>
        <x:v>#REF!</x:v>
      </x:c>
      <x:c r="R15" s="77" t="e">
        <x:f t="shared" si="9"/>
        <x:v>#REF!</x:v>
      </x:c>
    </x:row>
    <x:row r="16" ht="20.25">
      <x:c r="A16" s="59">
        <x:v>12</x:v>
      </x:c>
      <x:c r="B16" s="77">
        <x:v>0</x:v>
      </x:c>
      <x:c r="C16" s="77" t="e">
        <x:f t="shared" ref="C16:R16" si="10">C46</x:f>
        <x:v>#REF!</x:v>
      </x:c>
      <x:c r="D16" s="77" t="e">
        <x:f t="shared" si="10"/>
        <x:v>#REF!</x:v>
      </x:c>
      <x:c r="E16" s="77" t="e">
        <x:f t="shared" si="10"/>
        <x:v>#REF!</x:v>
      </x:c>
      <x:c r="F16" s="77" t="e">
        <x:f t="shared" si="10"/>
        <x:v>#REF!</x:v>
      </x:c>
      <x:c r="G16" s="77" t="e">
        <x:f t="shared" si="10"/>
        <x:v>#REF!</x:v>
      </x:c>
      <x:c r="H16" s="77" t="e">
        <x:f t="shared" si="10"/>
        <x:v>#REF!</x:v>
      </x:c>
      <x:c r="I16" s="77" t="e">
        <x:f t="shared" si="10"/>
        <x:v>#REF!</x:v>
      </x:c>
      <x:c r="J16" s="77" t="e">
        <x:f t="shared" si="10"/>
        <x:v>#REF!</x:v>
      </x:c>
      <x:c r="K16" s="77" t="e">
        <x:f t="shared" si="10"/>
        <x:v>#REF!</x:v>
      </x:c>
      <x:c r="L16" s="77" t="e">
        <x:f t="shared" si="10"/>
        <x:v>#REF!</x:v>
      </x:c>
      <x:c r="M16" s="77" t="e">
        <x:f t="shared" si="10"/>
        <x:v>#REF!</x:v>
      </x:c>
      <x:c r="N16" s="77" t="e">
        <x:f t="shared" si="10"/>
        <x:v>#REF!</x:v>
      </x:c>
      <x:c r="O16" s="77" t="e">
        <x:f t="shared" si="10"/>
        <x:v>#REF!</x:v>
      </x:c>
      <x:c r="P16" s="77" t="e">
        <x:f t="shared" si="10"/>
        <x:v>#REF!</x:v>
      </x:c>
      <x:c r="Q16" s="77" t="e">
        <x:f t="shared" si="10"/>
        <x:v>#REF!</x:v>
      </x:c>
      <x:c r="R16" s="77" t="e">
        <x:f t="shared" si="10"/>
        <x:v>#REF!</x:v>
      </x:c>
    </x:row>
    <x:row r="17" ht="20.25">
      <x:c r="A17" s="59">
        <x:v>13</x:v>
      </x:c>
      <x:c r="B17" s="77">
        <x:v>0</x:v>
      </x:c>
      <x:c r="C17" s="77" t="e">
        <x:f t="shared" ref="C17:R17" si="11">C47</x:f>
        <x:v>#REF!</x:v>
      </x:c>
      <x:c r="D17" s="77" t="e">
        <x:f t="shared" si="11"/>
        <x:v>#REF!</x:v>
      </x:c>
      <x:c r="E17" s="77" t="e">
        <x:f t="shared" si="11"/>
        <x:v>#REF!</x:v>
      </x:c>
      <x:c r="F17" s="77" t="e">
        <x:f t="shared" si="11"/>
        <x:v>#REF!</x:v>
      </x:c>
      <x:c r="G17" s="77" t="e">
        <x:f t="shared" si="11"/>
        <x:v>#REF!</x:v>
      </x:c>
      <x:c r="H17" s="77" t="e">
        <x:f t="shared" si="11"/>
        <x:v>#REF!</x:v>
      </x:c>
      <x:c r="I17" s="77" t="e">
        <x:f t="shared" si="11"/>
        <x:v>#REF!</x:v>
      </x:c>
      <x:c r="J17" s="77" t="e">
        <x:f t="shared" si="11"/>
        <x:v>#REF!</x:v>
      </x:c>
      <x:c r="K17" s="77" t="e">
        <x:f t="shared" si="11"/>
        <x:v>#REF!</x:v>
      </x:c>
      <x:c r="L17" s="77" t="e">
        <x:f t="shared" si="11"/>
        <x:v>#REF!</x:v>
      </x:c>
      <x:c r="M17" s="77" t="e">
        <x:f t="shared" si="11"/>
        <x:v>#REF!</x:v>
      </x:c>
      <x:c r="N17" s="77" t="e">
        <x:f t="shared" si="11"/>
        <x:v>#REF!</x:v>
      </x:c>
      <x:c r="O17" s="77" t="e">
        <x:f t="shared" si="11"/>
        <x:v>#REF!</x:v>
      </x:c>
      <x:c r="P17" s="77" t="e">
        <x:f t="shared" si="11"/>
        <x:v>#REF!</x:v>
      </x:c>
      <x:c r="Q17" s="77" t="e">
        <x:f t="shared" si="11"/>
        <x:v>#REF!</x:v>
      </x:c>
      <x:c r="R17" s="77" t="e">
        <x:f t="shared" si="11"/>
        <x:v>#REF!</x:v>
      </x:c>
    </x:row>
    <x:row r="18" ht="20.25">
      <x:c r="A18" s="59">
        <x:v>14</x:v>
      </x:c>
      <x:c r="B18" s="77">
        <x:v>0</x:v>
      </x:c>
      <x:c r="C18" s="77" t="e">
        <x:f t="shared" ref="C18:R18" si="12">C48</x:f>
        <x:v>#REF!</x:v>
      </x:c>
      <x:c r="D18" s="77" t="e">
        <x:f t="shared" si="12"/>
        <x:v>#REF!</x:v>
      </x:c>
      <x:c r="E18" s="77" t="e">
        <x:f t="shared" si="12"/>
        <x:v>#REF!</x:v>
      </x:c>
      <x:c r="F18" s="77" t="e">
        <x:f t="shared" si="12"/>
        <x:v>#REF!</x:v>
      </x:c>
      <x:c r="G18" s="77" t="e">
        <x:f t="shared" si="12"/>
        <x:v>#REF!</x:v>
      </x:c>
      <x:c r="H18" s="77" t="e">
        <x:f t="shared" si="12"/>
        <x:v>#REF!</x:v>
      </x:c>
      <x:c r="I18" s="77" t="e">
        <x:f t="shared" si="12"/>
        <x:v>#REF!</x:v>
      </x:c>
      <x:c r="J18" s="77" t="e">
        <x:f t="shared" si="12"/>
        <x:v>#REF!</x:v>
      </x:c>
      <x:c r="K18" s="77" t="e">
        <x:f t="shared" si="12"/>
        <x:v>#REF!</x:v>
      </x:c>
      <x:c r="L18" s="77" t="e">
        <x:f t="shared" si="12"/>
        <x:v>#REF!</x:v>
      </x:c>
      <x:c r="M18" s="77" t="e">
        <x:f t="shared" si="12"/>
        <x:v>#REF!</x:v>
      </x:c>
      <x:c r="N18" s="77" t="e">
        <x:f t="shared" si="12"/>
        <x:v>#REF!</x:v>
      </x:c>
      <x:c r="O18" s="77" t="e">
        <x:f t="shared" si="12"/>
        <x:v>#REF!</x:v>
      </x:c>
      <x:c r="P18" s="77" t="e">
        <x:f t="shared" si="12"/>
        <x:v>#REF!</x:v>
      </x:c>
      <x:c r="Q18" s="77" t="e">
        <x:f t="shared" si="12"/>
        <x:v>#REF!</x:v>
      </x:c>
      <x:c r="R18" s="77" t="e">
        <x:f t="shared" si="12"/>
        <x:v>#REF!</x:v>
      </x:c>
    </x:row>
    <x:row r="19" ht="20.25">
      <x:c r="A19" s="59">
        <x:v>15</x:v>
      </x:c>
      <x:c r="B19" s="77">
        <x:v>0</x:v>
      </x:c>
      <x:c r="C19" s="77" t="e">
        <x:f t="shared" ref="C19:R19" si="13">C49</x:f>
        <x:v>#REF!</x:v>
      </x:c>
      <x:c r="D19" s="77" t="e">
        <x:f t="shared" si="13"/>
        <x:v>#REF!</x:v>
      </x:c>
      <x:c r="E19" s="77" t="e">
        <x:f t="shared" si="13"/>
        <x:v>#REF!</x:v>
      </x:c>
      <x:c r="F19" s="77" t="e">
        <x:f t="shared" si="13"/>
        <x:v>#REF!</x:v>
      </x:c>
      <x:c r="G19" s="77" t="e">
        <x:f t="shared" si="13"/>
        <x:v>#REF!</x:v>
      </x:c>
      <x:c r="H19" s="77" t="e">
        <x:f t="shared" si="13"/>
        <x:v>#REF!</x:v>
      </x:c>
      <x:c r="I19" s="77" t="e">
        <x:f t="shared" si="13"/>
        <x:v>#REF!</x:v>
      </x:c>
      <x:c r="J19" s="77" t="e">
        <x:f t="shared" si="13"/>
        <x:v>#REF!</x:v>
      </x:c>
      <x:c r="K19" s="77" t="e">
        <x:f t="shared" si="13"/>
        <x:v>#REF!</x:v>
      </x:c>
      <x:c r="L19" s="77" t="e">
        <x:f t="shared" si="13"/>
        <x:v>#REF!</x:v>
      </x:c>
      <x:c r="M19" s="77" t="e">
        <x:f t="shared" si="13"/>
        <x:v>#REF!</x:v>
      </x:c>
      <x:c r="N19" s="77" t="e">
        <x:f t="shared" si="13"/>
        <x:v>#REF!</x:v>
      </x:c>
      <x:c r="O19" s="77" t="e">
        <x:f t="shared" si="13"/>
        <x:v>#REF!</x:v>
      </x:c>
      <x:c r="P19" s="77" t="e">
        <x:f t="shared" si="13"/>
        <x:v>#REF!</x:v>
      </x:c>
      <x:c r="Q19" s="77" t="e">
        <x:f t="shared" si="13"/>
        <x:v>#REF!</x:v>
      </x:c>
      <x:c r="R19" s="77" t="e">
        <x:f t="shared" si="13"/>
        <x:v>#REF!</x:v>
      </x:c>
    </x:row>
    <x:row r="20" ht="20.25">
      <x:c r="A20" s="59">
        <x:v>16</x:v>
      </x:c>
      <x:c r="B20" s="77">
        <x:v>0</x:v>
      </x:c>
      <x:c r="C20" s="77" t="e">
        <x:f t="shared" ref="C20:R20" si="14">C50</x:f>
        <x:v>#REF!</x:v>
      </x:c>
      <x:c r="D20" s="77" t="e">
        <x:f t="shared" si="14"/>
        <x:v>#REF!</x:v>
      </x:c>
      <x:c r="E20" s="77" t="e">
        <x:f t="shared" si="14"/>
        <x:v>#REF!</x:v>
      </x:c>
      <x:c r="F20" s="77" t="e">
        <x:f t="shared" si="14"/>
        <x:v>#REF!</x:v>
      </x:c>
      <x:c r="G20" s="77" t="e">
        <x:f t="shared" si="14"/>
        <x:v>#REF!</x:v>
      </x:c>
      <x:c r="H20" s="77" t="e">
        <x:f t="shared" si="14"/>
        <x:v>#REF!</x:v>
      </x:c>
      <x:c r="I20" s="77" t="e">
        <x:f t="shared" si="14"/>
        <x:v>#REF!</x:v>
      </x:c>
      <x:c r="J20" s="77" t="e">
        <x:f t="shared" si="14"/>
        <x:v>#REF!</x:v>
      </x:c>
      <x:c r="K20" s="77" t="e">
        <x:f t="shared" si="14"/>
        <x:v>#REF!</x:v>
      </x:c>
      <x:c r="L20" s="77" t="e">
        <x:f t="shared" si="14"/>
        <x:v>#REF!</x:v>
      </x:c>
      <x:c r="M20" s="77" t="e">
        <x:f t="shared" si="14"/>
        <x:v>#REF!</x:v>
      </x:c>
      <x:c r="N20" s="77" t="e">
        <x:f t="shared" si="14"/>
        <x:v>#REF!</x:v>
      </x:c>
      <x:c r="O20" s="77" t="e">
        <x:f t="shared" si="14"/>
        <x:v>#REF!</x:v>
      </x:c>
      <x:c r="P20" s="77" t="e">
        <x:f t="shared" si="14"/>
        <x:v>#REF!</x:v>
      </x:c>
      <x:c r="Q20" s="77" t="e">
        <x:f t="shared" si="14"/>
        <x:v>#REF!</x:v>
      </x:c>
      <x:c r="R20" s="77" t="e">
        <x:f t="shared" si="14"/>
        <x:v>#REF!</x:v>
      </x:c>
    </x:row>
    <x:row r="21" ht="20.25">
      <x:c r="A21" s="59">
        <x:v>17</x:v>
      </x:c>
      <x:c r="B21" s="77">
        <x:v>0</x:v>
      </x:c>
      <x:c r="C21" s="77" t="e">
        <x:f t="shared" ref="C21:R21" si="15">C51</x:f>
        <x:v>#REF!</x:v>
      </x:c>
      <x:c r="D21" s="77" t="e">
        <x:f t="shared" si="15"/>
        <x:v>#REF!</x:v>
      </x:c>
      <x:c r="E21" s="77" t="e">
        <x:f t="shared" si="15"/>
        <x:v>#REF!</x:v>
      </x:c>
      <x:c r="F21" s="77" t="e">
        <x:f t="shared" si="15"/>
        <x:v>#REF!</x:v>
      </x:c>
      <x:c r="G21" s="77" t="e">
        <x:f t="shared" si="15"/>
        <x:v>#REF!</x:v>
      </x:c>
      <x:c r="H21" s="77" t="e">
        <x:f t="shared" si="15"/>
        <x:v>#REF!</x:v>
      </x:c>
      <x:c r="I21" s="77" t="e">
        <x:f t="shared" si="15"/>
        <x:v>#REF!</x:v>
      </x:c>
      <x:c r="J21" s="77" t="e">
        <x:f t="shared" si="15"/>
        <x:v>#REF!</x:v>
      </x:c>
      <x:c r="K21" s="77" t="e">
        <x:f t="shared" si="15"/>
        <x:v>#REF!</x:v>
      </x:c>
      <x:c r="L21" s="77" t="e">
        <x:f t="shared" si="15"/>
        <x:v>#REF!</x:v>
      </x:c>
      <x:c r="M21" s="77" t="e">
        <x:f t="shared" si="15"/>
        <x:v>#REF!</x:v>
      </x:c>
      <x:c r="N21" s="77" t="e">
        <x:f t="shared" si="15"/>
        <x:v>#REF!</x:v>
      </x:c>
      <x:c r="O21" s="77" t="e">
        <x:f t="shared" si="15"/>
        <x:v>#REF!</x:v>
      </x:c>
      <x:c r="P21" s="77" t="e">
        <x:f t="shared" si="15"/>
        <x:v>#REF!</x:v>
      </x:c>
      <x:c r="Q21" s="77" t="e">
        <x:f t="shared" si="15"/>
        <x:v>#REF!</x:v>
      </x:c>
      <x:c r="R21" s="77" t="e">
        <x:f t="shared" si="15"/>
        <x:v>#REF!</x:v>
      </x:c>
    </x:row>
    <x:row r="22" ht="20.25">
      <x:c r="A22" s="59">
        <x:v>18</x:v>
      </x:c>
      <x:c r="B22" s="77">
        <x:v>0</x:v>
      </x:c>
      <x:c r="C22" s="77" t="e">
        <x:f t="shared" ref="C22:R22" si="16">C52</x:f>
        <x:v>#REF!</x:v>
      </x:c>
      <x:c r="D22" s="77" t="e">
        <x:f t="shared" si="16"/>
        <x:v>#REF!</x:v>
      </x:c>
      <x:c r="E22" s="77" t="e">
        <x:f t="shared" si="16"/>
        <x:v>#REF!</x:v>
      </x:c>
      <x:c r="F22" s="77" t="e">
        <x:f t="shared" si="16"/>
        <x:v>#REF!</x:v>
      </x:c>
      <x:c r="G22" s="77" t="e">
        <x:f t="shared" si="16"/>
        <x:v>#REF!</x:v>
      </x:c>
      <x:c r="H22" s="77" t="e">
        <x:f t="shared" si="16"/>
        <x:v>#REF!</x:v>
      </x:c>
      <x:c r="I22" s="77" t="e">
        <x:f t="shared" si="16"/>
        <x:v>#REF!</x:v>
      </x:c>
      <x:c r="J22" s="77" t="e">
        <x:f t="shared" si="16"/>
        <x:v>#REF!</x:v>
      </x:c>
      <x:c r="K22" s="77" t="e">
        <x:f t="shared" si="16"/>
        <x:v>#REF!</x:v>
      </x:c>
      <x:c r="L22" s="77" t="e">
        <x:f t="shared" si="16"/>
        <x:v>#REF!</x:v>
      </x:c>
      <x:c r="M22" s="77" t="e">
        <x:f t="shared" si="16"/>
        <x:v>#REF!</x:v>
      </x:c>
      <x:c r="N22" s="77" t="e">
        <x:f t="shared" si="16"/>
        <x:v>#REF!</x:v>
      </x:c>
      <x:c r="O22" s="77" t="e">
        <x:f t="shared" si="16"/>
        <x:v>#REF!</x:v>
      </x:c>
      <x:c r="P22" s="77" t="e">
        <x:f t="shared" si="16"/>
        <x:v>#REF!</x:v>
      </x:c>
      <x:c r="Q22" s="77" t="e">
        <x:f t="shared" si="16"/>
        <x:v>#REF!</x:v>
      </x:c>
      <x:c r="R22" s="77" t="e">
        <x:f t="shared" si="16"/>
        <x:v>#REF!</x:v>
      </x:c>
    </x:row>
    <x:row r="23" ht="21">
      <x:c r="A23" s="60">
        <x:v>19</x:v>
      </x:c>
      <x:c r="B23" s="77">
        <x:v>0</x:v>
      </x:c>
      <x:c r="C23" s="77" t="e">
        <x:f t="shared" ref="C23:I23" si="17">C53</x:f>
        <x:v>#REF!</x:v>
      </x:c>
      <x:c r="D23" s="77" t="e">
        <x:f t="shared" si="17"/>
        <x:v>#REF!</x:v>
      </x:c>
      <x:c r="E23" s="77" t="e">
        <x:f t="shared" si="17"/>
        <x:v>#REF!</x:v>
      </x:c>
      <x:c r="F23" s="77" t="e">
        <x:f t="shared" si="17"/>
        <x:v>#REF!</x:v>
      </x:c>
      <x:c r="G23" s="77" t="e">
        <x:f t="shared" si="17"/>
        <x:v>#REF!</x:v>
      </x:c>
      <x:c r="H23" s="77" t="e">
        <x:f t="shared" si="17"/>
        <x:v>#REF!</x:v>
      </x:c>
      <x:c r="I23" s="77" t="e">
        <x:f t="shared" si="17"/>
        <x:v>#REF!</x:v>
      </x:c>
      <x:c r="J23" s="77">
        <x:v>0</x:v>
      </x:c>
      <x:c r="K23" s="77">
        <x:v>0</x:v>
      </x:c>
      <x:c r="L23" s="77">
        <x:v>0</x:v>
      </x:c>
      <x:c r="M23" s="77">
        <x:v>0</x:v>
      </x:c>
      <x:c r="N23" s="77">
        <x:v>0</x:v>
      </x:c>
      <x:c r="O23" s="77">
        <x:v>0</x:v>
      </x:c>
      <x:c r="P23" s="77">
        <x:v>0</x:v>
      </x:c>
      <x:c r="Q23" s="77">
        <x:v>0</x:v>
      </x:c>
      <x:c r="R23" s="77">
        <x:v>0</x:v>
      </x:c>
    </x:row>
    <x:row r="24" ht="36">
      <x:c r="A24" s="141"/>
      <x:c r="B24" s="140" t="n">
        <x:f>SUM(B5:B23)</x:f>
        <x:v>0</x:v>
      </x:c>
      <x:c r="C24" s="140" t="e">
        <x:f>SUM(C5:C23)</x:f>
        <x:v>#REF!</x:v>
      </x:c>
      <x:c r="D24" s="140" t="e">
        <x:f t="shared" ref="D24:R24" si="18">SUM(D5:D23)</x:f>
        <x:v>#REF!</x:v>
      </x:c>
      <x:c r="E24" s="140" t="e">
        <x:f t="shared" si="18"/>
        <x:v>#REF!</x:v>
      </x:c>
      <x:c r="F24" s="140" t="e">
        <x:f t="shared" si="18"/>
        <x:v>#REF!</x:v>
      </x:c>
      <x:c r="G24" s="140" t="e">
        <x:f t="shared" si="18"/>
        <x:v>#REF!</x:v>
      </x:c>
      <x:c r="H24" s="140" t="e">
        <x:f t="shared" si="18"/>
        <x:v>#REF!</x:v>
      </x:c>
      <x:c r="I24" s="140" t="e">
        <x:f>SUM(I5:I23)</x:f>
        <x:v>#REF!</x:v>
      </x:c>
      <x:c r="J24" s="140" t="e">
        <x:f t="shared" si="18"/>
        <x:v>#REF!</x:v>
      </x:c>
      <x:c r="K24" s="140" t="e">
        <x:f t="shared" si="18"/>
        <x:v>#REF!</x:v>
      </x:c>
      <x:c r="L24" s="140" t="e">
        <x:f t="shared" si="18"/>
        <x:v>#REF!</x:v>
      </x:c>
      <x:c r="M24" s="140" t="e">
        <x:f t="shared" si="18"/>
        <x:v>#REF!</x:v>
      </x:c>
      <x:c r="N24" s="140" t="e">
        <x:f t="shared" si="18"/>
        <x:v>#REF!</x:v>
      </x:c>
      <x:c r="O24" s="140" t="e">
        <x:f t="shared" si="18"/>
        <x:v>#REF!</x:v>
      </x:c>
      <x:c r="P24" s="140" t="e">
        <x:f t="shared" si="18"/>
        <x:v>#REF!</x:v>
      </x:c>
      <x:c r="Q24" s="140" t="e">
        <x:f t="shared" si="18"/>
        <x:v>#REF!</x:v>
      </x:c>
      <x:c r="R24" s="140" t="e">
        <x:f t="shared" si="18"/>
        <x:v>#REF!</x:v>
      </x:c>
    </x:row>
    <x:row r="29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</x:row>
    <x:row r="30">
      <x:c r="V30" s="78"/>
    </x:row>
    <x:row r="31" ht="28.5">
      <x:c r="B31" s="308" t="s">
        <x:v>597</x:v>
      </x:c>
      <x:c r="C31" s="308"/>
      <x:c r="D31" s="308"/>
      <x:c r="E31" s="308"/>
      <x:c r="F31" s="308"/>
      <x:c r="G31" s="308"/>
      <x:c r="H31" s="308"/>
      <x:c r="I31" s="308"/>
      <x:c r="J31" s="308"/>
      <x:c r="K31" s="308"/>
      <x:c r="L31" s="308"/>
      <x:c r="M31" s="308"/>
      <x:c r="N31" s="308"/>
      <x:c r="O31" s="308"/>
      <x:c r="P31" s="308"/>
      <x:c r="Q31" s="308"/>
      <x:c r="R31" s="308"/>
      <x:c r="S31" t="s">
        <x:v>598</x:v>
      </x:c>
      <x:c r="U31">
        <x:v>8</x:v>
      </x:c>
      <x:c r="V31" s="78"/>
    </x:row>
    <x:row r="32">
      <x:c r="B32" s="320" t="s">
        <x:v>579</x:v>
      </x:c>
      <x:c r="C32" s="320" t="s">
        <x:v>580</x:v>
      </x:c>
      <x:c r="D32" s="320" t="s">
        <x:v>581</x:v>
      </x:c>
      <x:c r="E32" s="320" t="s">
        <x:v>582</x:v>
      </x:c>
      <x:c r="F32" s="320" t="s">
        <x:v>583</x:v>
      </x:c>
      <x:c r="G32" s="320" t="s">
        <x:v>584</x:v>
      </x:c>
      <x:c r="H32" s="320" t="s">
        <x:v>585</x:v>
      </x:c>
      <x:c r="I32" s="320" t="s">
        <x:v>586</x:v>
      </x:c>
      <x:c r="J32" s="314" t="s">
        <x:v>587</x:v>
      </x:c>
      <x:c r="K32" s="314" t="s">
        <x:v>588</x:v>
      </x:c>
      <x:c r="L32" s="314" t="s">
        <x:v>589</x:v>
      </x:c>
      <x:c r="M32" s="314" t="s">
        <x:v>590</x:v>
      </x:c>
      <x:c r="N32" s="314" t="s">
        <x:v>591</x:v>
      </x:c>
      <x:c r="O32" s="314" t="s">
        <x:v>592</x:v>
      </x:c>
      <x:c r="P32" s="314" t="s">
        <x:v>593</x:v>
      </x:c>
      <x:c r="Q32" s="316" t="s">
        <x:v>594</x:v>
      </x:c>
      <x:c r="R32" s="316" t="s">
        <x:v>595</x:v>
      </x:c>
      <x:c r="S32" s="313"/>
      <x:c r="V32" s="78"/>
    </x:row>
    <x:row r="33" ht="13.5">
      <x:c r="B33" s="321"/>
      <x:c r="C33" s="321"/>
      <x:c r="D33" s="321"/>
      <x:c r="E33" s="321"/>
      <x:c r="F33" s="321"/>
      <x:c r="G33" s="321"/>
      <x:c r="H33" s="321"/>
      <x:c r="I33" s="321"/>
      <x:c r="J33" s="315"/>
      <x:c r="K33" s="315"/>
      <x:c r="L33" s="315"/>
      <x:c r="M33" s="315"/>
      <x:c r="N33" s="315"/>
      <x:c r="O33" s="315"/>
      <x:c r="P33" s="315"/>
      <x:c r="Q33" s="317"/>
      <x:c r="R33" s="317"/>
      <x:c r="S33" s="313"/>
      <x:c r="V33" s="78"/>
    </x:row>
    <x:row r="34" ht="13.5">
      <x:c r="A34" s="56" t="s">
        <x:v>7</x:v>
      </x:c>
      <x:c r="B34" s="56" t="s">
        <x:v>596</x:v>
      </x:c>
      <x:c r="C34" s="56" t="s">
        <x:v>596</x:v>
      </x:c>
      <x:c r="D34" s="56" t="s">
        <x:v>596</x:v>
      </x:c>
      <x:c r="E34" s="56" t="s">
        <x:v>596</x:v>
      </x:c>
      <x:c r="F34" s="56" t="s">
        <x:v>596</x:v>
      </x:c>
      <x:c r="G34" s="56" t="s">
        <x:v>596</x:v>
      </x:c>
      <x:c r="H34" s="56" t="s">
        <x:v>596</x:v>
      </x:c>
      <x:c r="I34" s="56" t="s">
        <x:v>596</x:v>
      </x:c>
      <x:c r="J34" s="56" t="s">
        <x:v>596</x:v>
      </x:c>
      <x:c r="K34" s="56" t="s">
        <x:v>596</x:v>
      </x:c>
      <x:c r="L34" s="56" t="s">
        <x:v>596</x:v>
      </x:c>
      <x:c r="M34" s="56" t="s">
        <x:v>596</x:v>
      </x:c>
      <x:c r="N34" s="56" t="s">
        <x:v>596</x:v>
      </x:c>
      <x:c r="O34" s="56" t="s">
        <x:v>596</x:v>
      </x:c>
      <x:c r="P34" s="56" t="s">
        <x:v>596</x:v>
      </x:c>
      <x:c r="Q34" s="56" t="s">
        <x:v>596</x:v>
      </x:c>
      <x:c r="R34" s="56" t="s">
        <x:v>596</x:v>
      </x:c>
      <x:c r="V34" s="78"/>
    </x:row>
    <x:row r="35" ht="20.25">
      <x:c r="A35" s="58">
        <x:v>1</x:v>
      </x:c>
      <x:c r="B35" s="57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V35" s="78"/>
    </x:row>
    <x:row r="36" ht="20.25">
      <x:c r="A36" s="59">
        <x:v>2</x:v>
      </x:c>
      <x:c r="B36" s="77" t="e">
        <x:f>#REF!*8/100</x:f>
        <x:v>#REF!</x:v>
      </x:c>
      <x:c r="C36" s="55" t="e">
        <x:f>#REF!*8/100</x:f>
        <x:v>#REF!</x:v>
      </x:c>
      <x:c r="D36" s="55" t="e">
        <x:f>#REF!*8/100</x:f>
        <x:v>#REF!</x:v>
      </x:c>
      <x:c r="E36" s="55" t="e">
        <x:f>#REF!*8/100</x:f>
        <x:v>#REF!</x:v>
      </x:c>
      <x:c r="F36" s="55" t="e">
        <x:f>#REF!*8/100</x:f>
        <x:v>#REF!</x:v>
      </x:c>
      <x:c r="G36" s="55" t="e">
        <x:f>#REF!*8/100</x:f>
        <x:v>#REF!</x:v>
      </x:c>
      <x:c r="H36" s="55" t="e">
        <x:f>#REF!*8/100</x:f>
        <x:v>#REF!</x:v>
      </x:c>
      <x:c r="I36" s="55" t="e">
        <x:f>#REF!*8/100</x:f>
        <x:v>#REF!</x:v>
      </x:c>
      <x:c r="J36" s="55" t="e">
        <x:f>#REF!*8/100</x:f>
        <x:v>#REF!</x:v>
      </x:c>
      <x:c r="K36" s="55" t="e">
        <x:f>#REF!*8/100</x:f>
        <x:v>#REF!</x:v>
      </x:c>
      <x:c r="L36" s="55" t="e">
        <x:f>#REF!*8/100</x:f>
        <x:v>#REF!</x:v>
      </x:c>
      <x:c r="M36" s="55" t="e">
        <x:f>#REF!*8/100</x:f>
        <x:v>#REF!</x:v>
      </x:c>
      <x:c r="N36" s="55" t="e">
        <x:f>#REF!*8/100</x:f>
        <x:v>#REF!</x:v>
      </x:c>
      <x:c r="O36" s="55" t="e">
        <x:f>#REF!*8/100</x:f>
        <x:v>#REF!</x:v>
      </x:c>
      <x:c r="P36" s="55" t="e">
        <x:f>#REF!*8/100</x:f>
        <x:v>#REF!</x:v>
      </x:c>
      <x:c r="Q36" s="55" t="e">
        <x:f>(AVERAGE(#REF!*8/100)+(#REF!*8/100))/2</x:f>
        <x:v>#REF!</x:v>
      </x:c>
      <x:c r="R36" s="55" t="e">
        <x:f>(AVERAGE(#REF!*8/100)+(#REF!*8/100))/2</x:f>
        <x:v>#REF!</x:v>
      </x:c>
      <x:c r="V36" s="78"/>
    </x:row>
    <x:row r="37" ht="20.25">
      <x:c r="A37" s="59">
        <x:v>3</x:v>
      </x:c>
      <x:c r="B37" s="77" t="e">
        <x:f>#REF!*8/100</x:f>
        <x:v>#REF!</x:v>
      </x:c>
      <x:c r="C37" s="55" t="e">
        <x:f>#REF!*8/100</x:f>
        <x:v>#REF!</x:v>
      </x:c>
      <x:c r="D37" s="55" t="e">
        <x:f>#REF!*8/100</x:f>
        <x:v>#REF!</x:v>
      </x:c>
      <x:c r="E37" s="55" t="e">
        <x:f>#REF!*8/100</x:f>
        <x:v>#REF!</x:v>
      </x:c>
      <x:c r="F37" s="55" t="e">
        <x:f>#REF!*8/100</x:f>
        <x:v>#REF!</x:v>
      </x:c>
      <x:c r="G37" s="55" t="e">
        <x:f>#REF!*8/100</x:f>
        <x:v>#REF!</x:v>
      </x:c>
      <x:c r="H37" s="55" t="e">
        <x:f>#REF!*8/100</x:f>
        <x:v>#REF!</x:v>
      </x:c>
      <x:c r="I37" s="55" t="e">
        <x:f>#REF!*8/100</x:f>
        <x:v>#REF!</x:v>
      </x:c>
      <x:c r="J37" s="55" t="e">
        <x:f>#REF!*8/100</x:f>
        <x:v>#REF!</x:v>
      </x:c>
      <x:c r="K37" s="55" t="e">
        <x:f>#REF!*8/100</x:f>
        <x:v>#REF!</x:v>
      </x:c>
      <x:c r="L37" s="55" t="e">
        <x:f>#REF!*8/100</x:f>
        <x:v>#REF!</x:v>
      </x:c>
      <x:c r="M37" s="55" t="e">
        <x:f>#REF!*8/100</x:f>
        <x:v>#REF!</x:v>
      </x:c>
      <x:c r="N37" s="55" t="e">
        <x:f>#REF!*8/100</x:f>
        <x:v>#REF!</x:v>
      </x:c>
      <x:c r="O37" s="55" t="e">
        <x:f>#REF!*8/100</x:f>
        <x:v>#REF!</x:v>
      </x:c>
      <x:c r="P37" s="55" t="e">
        <x:f>#REF!*8/100</x:f>
        <x:v>#REF!</x:v>
      </x:c>
      <x:c r="Q37" s="55" t="e">
        <x:f>(AVERAGE(#REF!*8/100)+(#REF!*8/100))/2</x:f>
        <x:v>#REF!</x:v>
      </x:c>
      <x:c r="R37" s="55" t="e">
        <x:f>(AVERAGE(#REF!*8/100)+(#REF!*8/100))/2</x:f>
        <x:v>#REF!</x:v>
      </x:c>
      <x:c r="V37" s="78"/>
    </x:row>
    <x:row r="38" ht="20.25">
      <x:c r="A38" s="59">
        <x:v>4</x:v>
      </x:c>
      <x:c r="B38" s="77"/>
      <x:c r="C38" s="55" t="e">
        <x:f>#REF!*8/100</x:f>
        <x:v>#REF!</x:v>
      </x:c>
      <x:c r="D38" s="55" t="e">
        <x:f>#REF!*8/100</x:f>
        <x:v>#REF!</x:v>
      </x:c>
      <x:c r="E38" s="55" t="e">
        <x:f>#REF!*8/100</x:f>
        <x:v>#REF!</x:v>
      </x:c>
      <x:c r="F38" s="55" t="e">
        <x:f>#REF!*8/100</x:f>
        <x:v>#REF!</x:v>
      </x:c>
      <x:c r="G38" s="55" t="e">
        <x:f>#REF!*8/100</x:f>
        <x:v>#REF!</x:v>
      </x:c>
      <x:c r="H38" s="55" t="e">
        <x:f>#REF!*8/100</x:f>
        <x:v>#REF!</x:v>
      </x:c>
      <x:c r="I38" s="55" t="e">
        <x:f>#REF!*8/100</x:f>
        <x:v>#REF!</x:v>
      </x:c>
      <x:c r="J38" s="55" t="e">
        <x:f>#REF!*8/100</x:f>
        <x:v>#REF!</x:v>
      </x:c>
      <x:c r="K38" s="55" t="e">
        <x:f>#REF!*8/100</x:f>
        <x:v>#REF!</x:v>
      </x:c>
      <x:c r="L38" s="55" t="e">
        <x:f>#REF!*8/100</x:f>
        <x:v>#REF!</x:v>
      </x:c>
      <x:c r="M38" s="55" t="e">
        <x:f>#REF!*8/100</x:f>
        <x:v>#REF!</x:v>
      </x:c>
      <x:c r="N38" s="55" t="e">
        <x:f>#REF!*8/100</x:f>
        <x:v>#REF!</x:v>
      </x:c>
      <x:c r="O38" s="55" t="e">
        <x:f>#REF!*8/100</x:f>
        <x:v>#REF!</x:v>
      </x:c>
      <x:c r="P38" s="55" t="e">
        <x:f>#REF!*8/100</x:f>
        <x:v>#REF!</x:v>
      </x:c>
      <x:c r="Q38" s="55" t="e">
        <x:f>(AVERAGE(#REF!*8/100)+(#REF!*8/100))/2</x:f>
        <x:v>#REF!</x:v>
      </x:c>
      <x:c r="R38" s="55" t="e">
        <x:f>(AVERAGE(#REF!*8/100)+(#REF!*8/100))/2</x:f>
        <x:v>#REF!</x:v>
      </x:c>
      <x:c r="V38" s="78"/>
    </x:row>
    <x:row r="39" ht="20.25">
      <x:c r="A39" s="59">
        <x:v>5</x:v>
      </x:c>
      <x:c r="B39" s="77" t="e">
        <x:f>#REF!*8/100</x:f>
        <x:v>#REF!</x:v>
      </x:c>
      <x:c r="C39" s="55" t="e">
        <x:f>#REF!*8/100</x:f>
        <x:v>#REF!</x:v>
      </x:c>
      <x:c r="D39" s="55" t="e">
        <x:f>#REF!*8/100</x:f>
        <x:v>#REF!</x:v>
      </x:c>
      <x:c r="E39" s="55" t="e">
        <x:f>#REF!*8/100</x:f>
        <x:v>#REF!</x:v>
      </x:c>
      <x:c r="F39" s="55" t="e">
        <x:f>#REF!*8/100</x:f>
        <x:v>#REF!</x:v>
      </x:c>
      <x:c r="G39" s="55" t="e">
        <x:f>#REF!*8/100</x:f>
        <x:v>#REF!</x:v>
      </x:c>
      <x:c r="H39" s="55" t="e">
        <x:f>#REF!*8/100</x:f>
        <x:v>#REF!</x:v>
      </x:c>
      <x:c r="I39" s="55" t="e">
        <x:f>#REF!*8/100</x:f>
        <x:v>#REF!</x:v>
      </x:c>
      <x:c r="J39" s="55" t="e">
        <x:f>#REF!*8/100</x:f>
        <x:v>#REF!</x:v>
      </x:c>
      <x:c r="K39" s="55" t="e">
        <x:f>#REF!*8/100</x:f>
        <x:v>#REF!</x:v>
      </x:c>
      <x:c r="L39" s="55" t="e">
        <x:f>#REF!*8/100</x:f>
        <x:v>#REF!</x:v>
      </x:c>
      <x:c r="M39" s="55" t="e">
        <x:f>#REF!*8/100</x:f>
        <x:v>#REF!</x:v>
      </x:c>
      <x:c r="N39" s="55" t="e">
        <x:f>#REF!*8/100</x:f>
        <x:v>#REF!</x:v>
      </x:c>
      <x:c r="O39" s="55" t="e">
        <x:f>#REF!*8/100</x:f>
        <x:v>#REF!</x:v>
      </x:c>
      <x:c r="P39" s="55" t="e">
        <x:f>#REF!*8/100</x:f>
        <x:v>#REF!</x:v>
      </x:c>
      <x:c r="Q39" s="55" t="e">
        <x:f>(AVERAGE(#REF!*8/100)+(#REF!*8/100))/2</x:f>
        <x:v>#REF!</x:v>
      </x:c>
      <x:c r="R39" s="55" t="e">
        <x:f>(AVERAGE(#REF!*8/100)+(#REF!*8/100))/2</x:f>
        <x:v>#REF!</x:v>
      </x:c>
      <x:c r="V39" s="78"/>
    </x:row>
    <x:row r="40" ht="20.25">
      <x:c r="A40" s="59">
        <x:v>6</x:v>
      </x:c>
      <x:c r="B40" s="77" t="e">
        <x:f>#REF!*8/100</x:f>
        <x:v>#REF!</x:v>
      </x:c>
      <x:c r="C40" s="55" t="e">
        <x:f>#REF!*8/100</x:f>
        <x:v>#REF!</x:v>
      </x:c>
      <x:c r="D40" s="55" t="e">
        <x:f>#REF!*8/100</x:f>
        <x:v>#REF!</x:v>
      </x:c>
      <x:c r="E40" s="55" t="e">
        <x:f>#REF!*8/100</x:f>
        <x:v>#REF!</x:v>
      </x:c>
      <x:c r="F40" s="55" t="e">
        <x:f>#REF!*8/100</x:f>
        <x:v>#REF!</x:v>
      </x:c>
      <x:c r="G40" s="55" t="e">
        <x:f>#REF!*8/100</x:f>
        <x:v>#REF!</x:v>
      </x:c>
      <x:c r="H40" s="55" t="e">
        <x:f>#REF!*8/100</x:f>
        <x:v>#REF!</x:v>
      </x:c>
      <x:c r="I40" s="55" t="e">
        <x:f>#REF!*8/100</x:f>
        <x:v>#REF!</x:v>
      </x:c>
      <x:c r="J40" s="55" t="e">
        <x:f>#REF!*8/100</x:f>
        <x:v>#REF!</x:v>
      </x:c>
      <x:c r="K40" s="55" t="e">
        <x:f>#REF!*8/100</x:f>
        <x:v>#REF!</x:v>
      </x:c>
      <x:c r="L40" s="55" t="e">
        <x:f>#REF!*8/100</x:f>
        <x:v>#REF!</x:v>
      </x:c>
      <x:c r="M40" s="55" t="e">
        <x:f>#REF!*8/100</x:f>
        <x:v>#REF!</x:v>
      </x:c>
      <x:c r="N40" s="55" t="e">
        <x:f>#REF!*8/100</x:f>
        <x:v>#REF!</x:v>
      </x:c>
      <x:c r="O40" s="55" t="e">
        <x:f>#REF!*8/100</x:f>
        <x:v>#REF!</x:v>
      </x:c>
      <x:c r="P40" s="55" t="e">
        <x:f>#REF!*8/100</x:f>
        <x:v>#REF!</x:v>
      </x:c>
      <x:c r="Q40" s="55" t="e">
        <x:f>(AVERAGE(#REF!*8/100)+(#REF!*8/100))/2</x:f>
        <x:v>#REF!</x:v>
      </x:c>
      <x:c r="R40" s="55" t="e">
        <x:f>(AVERAGE(#REF!*8/100)+(#REF!*8/100))/2</x:f>
        <x:v>#REF!</x:v>
      </x:c>
      <x:c r="V40" s="78"/>
    </x:row>
    <x:row r="41" ht="20.25">
      <x:c r="A41" s="59">
        <x:v>7</x:v>
      </x:c>
      <x:c r="B41" s="77" t="e">
        <x:f>#REF!*8/100</x:f>
        <x:v>#REF!</x:v>
      </x:c>
      <x:c r="C41" s="55" t="e">
        <x:f>#REF!*8/100</x:f>
        <x:v>#REF!</x:v>
      </x:c>
      <x:c r="D41" s="55" t="e">
        <x:f>#REF!*8/100</x:f>
        <x:v>#REF!</x:v>
      </x:c>
      <x:c r="E41" s="55" t="e">
        <x:f>#REF!*8/100</x:f>
        <x:v>#REF!</x:v>
      </x:c>
      <x:c r="F41" s="55" t="e">
        <x:f>#REF!*8/100</x:f>
        <x:v>#REF!</x:v>
      </x:c>
      <x:c r="G41" s="55" t="e">
        <x:f>#REF!*8/100</x:f>
        <x:v>#REF!</x:v>
      </x:c>
      <x:c r="H41" s="55" t="e">
        <x:f>#REF!*8/100</x:f>
        <x:v>#REF!</x:v>
      </x:c>
      <x:c r="I41" s="55" t="e">
        <x:f>#REF!*8/100</x:f>
        <x:v>#REF!</x:v>
      </x:c>
      <x:c r="J41" s="55" t="e">
        <x:f>#REF!*8/100</x:f>
        <x:v>#REF!</x:v>
      </x:c>
      <x:c r="K41" s="55" t="e">
        <x:f>#REF!*8/100</x:f>
        <x:v>#REF!</x:v>
      </x:c>
      <x:c r="L41" s="55" t="e">
        <x:f>#REF!*8/100</x:f>
        <x:v>#REF!</x:v>
      </x:c>
      <x:c r="M41" s="55" t="e">
        <x:f>#REF!*8/100</x:f>
        <x:v>#REF!</x:v>
      </x:c>
      <x:c r="N41" s="55" t="e">
        <x:f>#REF!*8/100</x:f>
        <x:v>#REF!</x:v>
      </x:c>
      <x:c r="O41" s="55" t="e">
        <x:f>#REF!*8/100</x:f>
        <x:v>#REF!</x:v>
      </x:c>
      <x:c r="P41" s="55" t="e">
        <x:f>#REF!*8/100</x:f>
        <x:v>#REF!</x:v>
      </x:c>
      <x:c r="Q41" s="55" t="e">
        <x:f>(AVERAGE(#REF!*8/100)+(#REF!*8/100))/2</x:f>
        <x:v>#REF!</x:v>
      </x:c>
      <x:c r="R41" s="55" t="e">
        <x:f>(AVERAGE(#REF!*8/100)+(#REF!*8/100))/2</x:f>
        <x:v>#REF!</x:v>
      </x:c>
      <x:c r="V41" s="78"/>
    </x:row>
    <x:row r="42" ht="20.25">
      <x:c r="A42" s="59">
        <x:v>8</x:v>
      </x:c>
      <x:c r="B42" s="77" t="e">
        <x:f>#REF!*8/100</x:f>
        <x:v>#REF!</x:v>
      </x:c>
      <x:c r="C42" s="55" t="e">
        <x:f>#REF!*8/100</x:f>
        <x:v>#REF!</x:v>
      </x:c>
      <x:c r="D42" s="55" t="e">
        <x:f>#REF!*8/100</x:f>
        <x:v>#REF!</x:v>
      </x:c>
      <x:c r="E42" s="55" t="e">
        <x:f>#REF!*8/100</x:f>
        <x:v>#REF!</x:v>
      </x:c>
      <x:c r="F42" s="55" t="e">
        <x:f>#REF!*8/100</x:f>
        <x:v>#REF!</x:v>
      </x:c>
      <x:c r="G42" s="55" t="e">
        <x:f>#REF!*8/100</x:f>
        <x:v>#REF!</x:v>
      </x:c>
      <x:c r="H42" s="55" t="e">
        <x:f>#REF!*8/100</x:f>
        <x:v>#REF!</x:v>
      </x:c>
      <x:c r="I42" s="55" t="e">
        <x:f>#REF!*8/100</x:f>
        <x:v>#REF!</x:v>
      </x:c>
      <x:c r="J42" s="55" t="e">
        <x:f>#REF!*8/100</x:f>
        <x:v>#REF!</x:v>
      </x:c>
      <x:c r="K42" s="55" t="e">
        <x:f>#REF!*8/100</x:f>
        <x:v>#REF!</x:v>
      </x:c>
      <x:c r="L42" s="55" t="e">
        <x:f>#REF!*8/100</x:f>
        <x:v>#REF!</x:v>
      </x:c>
      <x:c r="M42" s="55" t="e">
        <x:f>#REF!*8/100</x:f>
        <x:v>#REF!</x:v>
      </x:c>
      <x:c r="N42" s="55" t="e">
        <x:f>#REF!*8/100</x:f>
        <x:v>#REF!</x:v>
      </x:c>
      <x:c r="O42" s="55" t="e">
        <x:f>#REF!*8/100</x:f>
        <x:v>#REF!</x:v>
      </x:c>
      <x:c r="P42" s="55" t="e">
        <x:f>#REF!*8/100</x:f>
        <x:v>#REF!</x:v>
      </x:c>
      <x:c r="Q42" s="55" t="e">
        <x:f>(AVERAGE(#REF!*8/100)+(#REF!*8/100))/2</x:f>
        <x:v>#REF!</x:v>
      </x:c>
      <x:c r="R42" s="55" t="e">
        <x:f>(AVERAGE(#REF!*8/100)+(#REF!*8/100))/2</x:f>
        <x:v>#REF!</x:v>
      </x:c>
      <x:c r="V42" s="78"/>
    </x:row>
    <x:row r="43" ht="20.25">
      <x:c r="A43" s="59">
        <x:v>9</x:v>
      </x:c>
      <x:c r="B43" s="77" t="e">
        <x:f>#REF!*8/100</x:f>
        <x:v>#REF!</x:v>
      </x:c>
      <x:c r="C43" s="55" t="e">
        <x:f>#REF!*8/100</x:f>
        <x:v>#REF!</x:v>
      </x:c>
      <x:c r="D43" s="55" t="e">
        <x:f>#REF!*8/100</x:f>
        <x:v>#REF!</x:v>
      </x:c>
      <x:c r="E43" s="55" t="e">
        <x:f>#REF!*8/100</x:f>
        <x:v>#REF!</x:v>
      </x:c>
      <x:c r="F43" s="55" t="e">
        <x:f>#REF!*8/100</x:f>
        <x:v>#REF!</x:v>
      </x:c>
      <x:c r="G43" s="55" t="e">
        <x:f>#REF!*8/100</x:f>
        <x:v>#REF!</x:v>
      </x:c>
      <x:c r="H43" s="55" t="e">
        <x:f>#REF!*8/100</x:f>
        <x:v>#REF!</x:v>
      </x:c>
      <x:c r="I43" s="55" t="e">
        <x:f>#REF!*8/100</x:f>
        <x:v>#REF!</x:v>
      </x:c>
      <x:c r="J43" s="55" t="e">
        <x:f>#REF!*8/100</x:f>
        <x:v>#REF!</x:v>
      </x:c>
      <x:c r="K43" s="55" t="e">
        <x:f>#REF!*8/100</x:f>
        <x:v>#REF!</x:v>
      </x:c>
      <x:c r="L43" s="55" t="e">
        <x:f>#REF!*8/100</x:f>
        <x:v>#REF!</x:v>
      </x:c>
      <x:c r="M43" s="55" t="e">
        <x:f>#REF!*8/100</x:f>
        <x:v>#REF!</x:v>
      </x:c>
      <x:c r="N43" s="55" t="e">
        <x:f>#REF!*8/100</x:f>
        <x:v>#REF!</x:v>
      </x:c>
      <x:c r="O43" s="55" t="e">
        <x:f>#REF!*8/100</x:f>
        <x:v>#REF!</x:v>
      </x:c>
      <x:c r="P43" s="55" t="e">
        <x:f>#REF!*8/100</x:f>
        <x:v>#REF!</x:v>
      </x:c>
      <x:c r="Q43" s="55" t="e">
        <x:f>(AVERAGE(#REF!*8/100)+(#REF!*8/100))/2</x:f>
        <x:v>#REF!</x:v>
      </x:c>
      <x:c r="R43" s="55" t="e">
        <x:f>(AVERAGE(#REF!*8/100)+(#REF!*8/100))/2</x:f>
        <x:v>#REF!</x:v>
      </x:c>
      <x:c r="V43" s="78"/>
    </x:row>
    <x:row r="44" ht="20.25">
      <x:c r="A44" s="59">
        <x:v>10</x:v>
      </x:c>
      <x:c r="B44" s="77" t="e">
        <x:f>#REF!*8/100</x:f>
        <x:v>#REF!</x:v>
      </x:c>
      <x:c r="C44" s="55" t="e">
        <x:f>#REF!*8/100</x:f>
        <x:v>#REF!</x:v>
      </x:c>
      <x:c r="D44" s="55" t="e">
        <x:f>#REF!*8/100</x:f>
        <x:v>#REF!</x:v>
      </x:c>
      <x:c r="E44" s="55" t="e">
        <x:f>#REF!*8/100</x:f>
        <x:v>#REF!</x:v>
      </x:c>
      <x:c r="F44" s="55" t="e">
        <x:f>#REF!*8/100</x:f>
        <x:v>#REF!</x:v>
      </x:c>
      <x:c r="G44" s="55" t="e">
        <x:f>#REF!*8/100</x:f>
        <x:v>#REF!</x:v>
      </x:c>
      <x:c r="H44" s="55" t="e">
        <x:f>#REF!*8/100</x:f>
        <x:v>#REF!</x:v>
      </x:c>
      <x:c r="I44" s="55" t="e">
        <x:f>#REF!*8/100</x:f>
        <x:v>#REF!</x:v>
      </x:c>
      <x:c r="J44" s="55" t="e">
        <x:f>#REF!*8/100</x:f>
        <x:v>#REF!</x:v>
      </x:c>
      <x:c r="K44" s="55" t="e">
        <x:f>#REF!*8/100</x:f>
        <x:v>#REF!</x:v>
      </x:c>
      <x:c r="L44" s="55" t="e">
        <x:f>#REF!*8/100</x:f>
        <x:v>#REF!</x:v>
      </x:c>
      <x:c r="M44" s="55" t="e">
        <x:f>#REF!*8/100</x:f>
        <x:v>#REF!</x:v>
      </x:c>
      <x:c r="N44" s="55" t="e">
        <x:f>#REF!*8/100</x:f>
        <x:v>#REF!</x:v>
      </x:c>
      <x:c r="O44" s="55" t="e">
        <x:f>#REF!*8/100</x:f>
        <x:v>#REF!</x:v>
      </x:c>
      <x:c r="P44" s="55" t="e">
        <x:f>#REF!*8/100</x:f>
        <x:v>#REF!</x:v>
      </x:c>
      <x:c r="Q44" s="55" t="e">
        <x:f>(AVERAGE(#REF!*8/100)+(#REF!*8/100))/2</x:f>
        <x:v>#REF!</x:v>
      </x:c>
      <x:c r="R44" s="55" t="e">
        <x:f>(AVERAGE(#REF!*8/100)+(#REF!*8/100))/2</x:f>
        <x:v>#REF!</x:v>
      </x:c>
      <x:c r="V44" s="78"/>
    </x:row>
    <x:row r="45" ht="20.25">
      <x:c r="A45" s="59">
        <x:v>11</x:v>
      </x:c>
      <x:c r="B45" s="77" t="e">
        <x:f>#REF!*8/100</x:f>
        <x:v>#REF!</x:v>
      </x:c>
      <x:c r="C45" s="55" t="e">
        <x:f>#REF!*8/100</x:f>
        <x:v>#REF!</x:v>
      </x:c>
      <x:c r="D45" s="55" t="e">
        <x:f>#REF!*8/100</x:f>
        <x:v>#REF!</x:v>
      </x:c>
      <x:c r="E45" s="55" t="e">
        <x:f>#REF!*8/100</x:f>
        <x:v>#REF!</x:v>
      </x:c>
      <x:c r="F45" s="55" t="e">
        <x:f>#REF!*8/100</x:f>
        <x:v>#REF!</x:v>
      </x:c>
      <x:c r="G45" s="55" t="e">
        <x:f>#REF!*8/100</x:f>
        <x:v>#REF!</x:v>
      </x:c>
      <x:c r="H45" s="55" t="e">
        <x:f>#REF!*8/100</x:f>
        <x:v>#REF!</x:v>
      </x:c>
      <x:c r="I45" s="55" t="e">
        <x:f>#REF!*8/100</x:f>
        <x:v>#REF!</x:v>
      </x:c>
      <x:c r="J45" s="55" t="e">
        <x:f>#REF!*8/100</x:f>
        <x:v>#REF!</x:v>
      </x:c>
      <x:c r="K45" s="55" t="e">
        <x:f>#REF!*8/100</x:f>
        <x:v>#REF!</x:v>
      </x:c>
      <x:c r="L45" s="55" t="e">
        <x:f>#REF!*8/100</x:f>
        <x:v>#REF!</x:v>
      </x:c>
      <x:c r="M45" s="55" t="e">
        <x:f>#REF!*8/100</x:f>
        <x:v>#REF!</x:v>
      </x:c>
      <x:c r="N45" s="55" t="e">
        <x:f>#REF!*8/100</x:f>
        <x:v>#REF!</x:v>
      </x:c>
      <x:c r="O45" s="55" t="e">
        <x:f>#REF!*8/100</x:f>
        <x:v>#REF!</x:v>
      </x:c>
      <x:c r="P45" s="55" t="e">
        <x:f>#REF!*8/100</x:f>
        <x:v>#REF!</x:v>
      </x:c>
      <x:c r="Q45" s="55" t="e">
        <x:f>(AVERAGE(#REF!*8/100)+(#REF!*8/100))/2</x:f>
        <x:v>#REF!</x:v>
      </x:c>
      <x:c r="R45" s="55" t="e">
        <x:f>(AVERAGE(#REF!*8/100)+(#REF!*8/100))/2</x:f>
        <x:v>#REF!</x:v>
      </x:c>
      <x:c r="V45" s="78"/>
    </x:row>
    <x:row r="46" ht="20.25">
      <x:c r="A46" s="59">
        <x:v>12</x:v>
      </x:c>
      <x:c r="B46" s="77" t="e">
        <x:f>#REF!*8/100</x:f>
        <x:v>#REF!</x:v>
      </x:c>
      <x:c r="C46" s="55" t="e">
        <x:f>#REF!*8/100</x:f>
        <x:v>#REF!</x:v>
      </x:c>
      <x:c r="D46" s="55" t="e">
        <x:f>#REF!*8/100</x:f>
        <x:v>#REF!</x:v>
      </x:c>
      <x:c r="E46" s="55" t="e">
        <x:f>#REF!*8/100</x:f>
        <x:v>#REF!</x:v>
      </x:c>
      <x:c r="F46" s="55" t="e">
        <x:f>#REF!*8/100</x:f>
        <x:v>#REF!</x:v>
      </x:c>
      <x:c r="G46" s="55" t="e">
        <x:f>#REF!*8/100</x:f>
        <x:v>#REF!</x:v>
      </x:c>
      <x:c r="H46" s="55" t="e">
        <x:f>#REF!*8/100</x:f>
        <x:v>#REF!</x:v>
      </x:c>
      <x:c r="I46" s="55" t="e">
        <x:f>#REF!*8/100</x:f>
        <x:v>#REF!</x:v>
      </x:c>
      <x:c r="J46" s="55" t="e">
        <x:f>#REF!*8/100</x:f>
        <x:v>#REF!</x:v>
      </x:c>
      <x:c r="K46" s="55" t="e">
        <x:f>#REF!*8/100</x:f>
        <x:v>#REF!</x:v>
      </x:c>
      <x:c r="L46" s="55" t="e">
        <x:f>#REF!*8/100</x:f>
        <x:v>#REF!</x:v>
      </x:c>
      <x:c r="M46" s="55" t="e">
        <x:f>#REF!*8/100</x:f>
        <x:v>#REF!</x:v>
      </x:c>
      <x:c r="N46" s="55" t="e">
        <x:f>#REF!*8/100</x:f>
        <x:v>#REF!</x:v>
      </x:c>
      <x:c r="O46" s="55" t="e">
        <x:f>#REF!*8/100</x:f>
        <x:v>#REF!</x:v>
      </x:c>
      <x:c r="P46" s="55" t="e">
        <x:f>#REF!*8/100</x:f>
        <x:v>#REF!</x:v>
      </x:c>
      <x:c r="Q46" s="55" t="e">
        <x:f>(AVERAGE(#REF!*8/100)+(#REF!*8/100))/2</x:f>
        <x:v>#REF!</x:v>
      </x:c>
      <x:c r="R46" s="55" t="e">
        <x:f>(AVERAGE(#REF!*8/100)+(#REF!*8/100))/2</x:f>
        <x:v>#REF!</x:v>
      </x:c>
      <x:c r="V46" s="78"/>
    </x:row>
    <x:row r="47" ht="20.25">
      <x:c r="A47" s="59">
        <x:v>13</x:v>
      </x:c>
      <x:c r="B47" s="77" t="e">
        <x:f>#REF!*8/100</x:f>
        <x:v>#REF!</x:v>
      </x:c>
      <x:c r="C47" s="55" t="e">
        <x:f>#REF!*8/100</x:f>
        <x:v>#REF!</x:v>
      </x:c>
      <x:c r="D47" s="55" t="e">
        <x:f>#REF!*8/100</x:f>
        <x:v>#REF!</x:v>
      </x:c>
      <x:c r="E47" s="55" t="e">
        <x:f>#REF!*8/100</x:f>
        <x:v>#REF!</x:v>
      </x:c>
      <x:c r="F47" s="55" t="e">
        <x:f>#REF!*8/100</x:f>
        <x:v>#REF!</x:v>
      </x:c>
      <x:c r="G47" s="55" t="e">
        <x:f>#REF!*8/100</x:f>
        <x:v>#REF!</x:v>
      </x:c>
      <x:c r="H47" s="55" t="e">
        <x:f>#REF!*8/100</x:f>
        <x:v>#REF!</x:v>
      </x:c>
      <x:c r="I47" s="55" t="e">
        <x:f>#REF!*8/100</x:f>
        <x:v>#REF!</x:v>
      </x:c>
      <x:c r="J47" s="55" t="e">
        <x:f>#REF!*8/100</x:f>
        <x:v>#REF!</x:v>
      </x:c>
      <x:c r="K47" s="55" t="e">
        <x:f>#REF!*8/100</x:f>
        <x:v>#REF!</x:v>
      </x:c>
      <x:c r="L47" s="55" t="e">
        <x:f>#REF!*8/100</x:f>
        <x:v>#REF!</x:v>
      </x:c>
      <x:c r="M47" s="55" t="e">
        <x:f>#REF!*8/100</x:f>
        <x:v>#REF!</x:v>
      </x:c>
      <x:c r="N47" s="55" t="e">
        <x:f>#REF!*8/100</x:f>
        <x:v>#REF!</x:v>
      </x:c>
      <x:c r="O47" s="55" t="e">
        <x:f>#REF!*8/100</x:f>
        <x:v>#REF!</x:v>
      </x:c>
      <x:c r="P47" s="55" t="e">
        <x:f>#REF!*8/100</x:f>
        <x:v>#REF!</x:v>
      </x:c>
      <x:c r="Q47" s="55" t="e">
        <x:f>(AVERAGE(#REF!*8/100)+(#REF!*8/100))/2</x:f>
        <x:v>#REF!</x:v>
      </x:c>
      <x:c r="R47" s="55" t="e">
        <x:f>(AVERAGE(#REF!*8/100)+(#REF!*8/100))/2</x:f>
        <x:v>#REF!</x:v>
      </x:c>
      <x:c r="V47" s="78"/>
    </x:row>
    <x:row r="48" ht="20.25">
      <x:c r="A48" s="59">
        <x:v>14</x:v>
      </x:c>
      <x:c r="B48" s="77" t="e">
        <x:f>#REF!*8/100</x:f>
        <x:v>#REF!</x:v>
      </x:c>
      <x:c r="C48" s="55" t="e">
        <x:f>#REF!*8/100</x:f>
        <x:v>#REF!</x:v>
      </x:c>
      <x:c r="D48" s="55" t="e">
        <x:f>#REF!*8/100</x:f>
        <x:v>#REF!</x:v>
      </x:c>
      <x:c r="E48" s="55" t="e">
        <x:f>#REF!*8/100</x:f>
        <x:v>#REF!</x:v>
      </x:c>
      <x:c r="F48" s="55" t="e">
        <x:f>#REF!*8/100</x:f>
        <x:v>#REF!</x:v>
      </x:c>
      <x:c r="G48" s="55" t="e">
        <x:f>#REF!*8/100</x:f>
        <x:v>#REF!</x:v>
      </x:c>
      <x:c r="H48" s="55" t="e">
        <x:f>#REF!*8/100</x:f>
        <x:v>#REF!</x:v>
      </x:c>
      <x:c r="I48" s="55" t="e">
        <x:f>#REF!*8/100</x:f>
        <x:v>#REF!</x:v>
      </x:c>
      <x:c r="J48" s="55" t="e">
        <x:f>#REF!*8/100</x:f>
        <x:v>#REF!</x:v>
      </x:c>
      <x:c r="K48" s="55" t="e">
        <x:f>#REF!*8/100</x:f>
        <x:v>#REF!</x:v>
      </x:c>
      <x:c r="L48" s="55" t="e">
        <x:f>#REF!*8/100</x:f>
        <x:v>#REF!</x:v>
      </x:c>
      <x:c r="M48" s="55" t="e">
        <x:f>#REF!*8/100</x:f>
        <x:v>#REF!</x:v>
      </x:c>
      <x:c r="N48" s="55" t="e">
        <x:f>#REF!*8/100</x:f>
        <x:v>#REF!</x:v>
      </x:c>
      <x:c r="O48" s="55" t="e">
        <x:f>#REF!*8/100</x:f>
        <x:v>#REF!</x:v>
      </x:c>
      <x:c r="P48" s="55" t="e">
        <x:f>#REF!*8/100</x:f>
        <x:v>#REF!</x:v>
      </x:c>
      <x:c r="Q48" s="55" t="e">
        <x:f>(AVERAGE(#REF!*8/100)+(#REF!*8/100))/2</x:f>
        <x:v>#REF!</x:v>
      </x:c>
      <x:c r="R48" s="55" t="e">
        <x:f>(AVERAGE(#REF!*8/100)+(#REF!*8/100))/2</x:f>
        <x:v>#REF!</x:v>
      </x:c>
      <x:c r="V48" s="78"/>
    </x:row>
    <x:row r="49" ht="20.25">
      <x:c r="A49" s="59">
        <x:v>15</x:v>
      </x:c>
      <x:c r="B49" s="77" t="e">
        <x:f>#REF!*8/100</x:f>
        <x:v>#REF!</x:v>
      </x:c>
      <x:c r="C49" s="55" t="e">
        <x:f>#REF!*8/100</x:f>
        <x:v>#REF!</x:v>
      </x:c>
      <x:c r="D49" s="55" t="e">
        <x:f>#REF!*8/100</x:f>
        <x:v>#REF!</x:v>
      </x:c>
      <x:c r="E49" s="55" t="e">
        <x:f>#REF!*8/100</x:f>
        <x:v>#REF!</x:v>
      </x:c>
      <x:c r="F49" s="55" t="e">
        <x:f>#REF!*8/100</x:f>
        <x:v>#REF!</x:v>
      </x:c>
      <x:c r="G49" s="55" t="e">
        <x:f>#REF!*8/100</x:f>
        <x:v>#REF!</x:v>
      </x:c>
      <x:c r="H49" s="55" t="e">
        <x:f>#REF!*8/100</x:f>
        <x:v>#REF!</x:v>
      </x:c>
      <x:c r="I49" s="55" t="e">
        <x:f>#REF!*8/100</x:f>
        <x:v>#REF!</x:v>
      </x:c>
      <x:c r="J49" s="55" t="e">
        <x:f>#REF!*8/100</x:f>
        <x:v>#REF!</x:v>
      </x:c>
      <x:c r="K49" s="55" t="e">
        <x:f>#REF!*8/100</x:f>
        <x:v>#REF!</x:v>
      </x:c>
      <x:c r="L49" s="55" t="e">
        <x:f>#REF!*8/100</x:f>
        <x:v>#REF!</x:v>
      </x:c>
      <x:c r="M49" s="55" t="e">
        <x:f>#REF!*8/100</x:f>
        <x:v>#REF!</x:v>
      </x:c>
      <x:c r="N49" s="55" t="e">
        <x:f>#REF!*8/100</x:f>
        <x:v>#REF!</x:v>
      </x:c>
      <x:c r="O49" s="55" t="e">
        <x:f>#REF!*8/100</x:f>
        <x:v>#REF!</x:v>
      </x:c>
      <x:c r="P49" s="55" t="e">
        <x:f>#REF!*8/100</x:f>
        <x:v>#REF!</x:v>
      </x:c>
      <x:c r="Q49" s="55" t="e">
        <x:f>(AVERAGE(#REF!*8/100)+(#REF!*8/100))/2</x:f>
        <x:v>#REF!</x:v>
      </x:c>
      <x:c r="R49" s="55" t="e">
        <x:f>(AVERAGE(#REF!*8/100)+(#REF!*8/100))/2</x:f>
        <x:v>#REF!</x:v>
      </x:c>
      <x:c r="V49" s="78"/>
    </x:row>
    <x:row r="50" ht="20.25">
      <x:c r="A50" s="59">
        <x:v>16</x:v>
      </x:c>
      <x:c r="B50" s="77" t="e">
        <x:f>#REF!*8/100</x:f>
        <x:v>#REF!</x:v>
      </x:c>
      <x:c r="C50" s="55" t="e">
        <x:f>#REF!*8/100</x:f>
        <x:v>#REF!</x:v>
      </x:c>
      <x:c r="D50" s="55" t="e">
        <x:f>#REF!*8/100</x:f>
        <x:v>#REF!</x:v>
      </x:c>
      <x:c r="E50" s="55" t="e">
        <x:f>#REF!*8/100</x:f>
        <x:v>#REF!</x:v>
      </x:c>
      <x:c r="F50" s="55" t="e">
        <x:f>#REF!*8/100</x:f>
        <x:v>#REF!</x:v>
      </x:c>
      <x:c r="G50" s="55" t="e">
        <x:f>#REF!*8/100</x:f>
        <x:v>#REF!</x:v>
      </x:c>
      <x:c r="H50" s="55" t="e">
        <x:f>#REF!*8/100</x:f>
        <x:v>#REF!</x:v>
      </x:c>
      <x:c r="I50" s="55" t="e">
        <x:f>#REF!*8/100</x:f>
        <x:v>#REF!</x:v>
      </x:c>
      <x:c r="J50" s="55" t="e">
        <x:f>#REF!*8/100</x:f>
        <x:v>#REF!</x:v>
      </x:c>
      <x:c r="K50" s="55" t="e">
        <x:f>#REF!*8/100</x:f>
        <x:v>#REF!</x:v>
      </x:c>
      <x:c r="L50" s="55" t="e">
        <x:f>#REF!*8/100</x:f>
        <x:v>#REF!</x:v>
      </x:c>
      <x:c r="M50" s="55" t="e">
        <x:f>#REF!*8/100</x:f>
        <x:v>#REF!</x:v>
      </x:c>
      <x:c r="N50" s="55" t="e">
        <x:f>#REF!*8/100</x:f>
        <x:v>#REF!</x:v>
      </x:c>
      <x:c r="O50" s="55" t="e">
        <x:f>#REF!*8/100</x:f>
        <x:v>#REF!</x:v>
      </x:c>
      <x:c r="P50" s="55" t="e">
        <x:f>#REF!*8/100</x:f>
        <x:v>#REF!</x:v>
      </x:c>
      <x:c r="Q50" s="55" t="e">
        <x:f>(AVERAGE(#REF!*8/100)+(#REF!*8/100))/2</x:f>
        <x:v>#REF!</x:v>
      </x:c>
      <x:c r="R50" s="55" t="e">
        <x:f>(AVERAGE(#REF!*8/100)+(#REF!*8/100))/2</x:f>
        <x:v>#REF!</x:v>
      </x:c>
      <x:c r="V50" s="78"/>
    </x:row>
    <x:row r="51" ht="20.25">
      <x:c r="A51" s="59">
        <x:v>17</x:v>
      </x:c>
      <x:c r="B51" s="77" t="e">
        <x:f>#REF!*8/100</x:f>
        <x:v>#REF!</x:v>
      </x:c>
      <x:c r="C51" s="55" t="e">
        <x:f>#REF!*8/100</x:f>
        <x:v>#REF!</x:v>
      </x:c>
      <x:c r="D51" s="55" t="e">
        <x:f>#REF!*8/100</x:f>
        <x:v>#REF!</x:v>
      </x:c>
      <x:c r="E51" s="55" t="e">
        <x:f>#REF!*8/100</x:f>
        <x:v>#REF!</x:v>
      </x:c>
      <x:c r="F51" s="55" t="e">
        <x:f>#REF!*8/100</x:f>
        <x:v>#REF!</x:v>
      </x:c>
      <x:c r="G51" s="55" t="e">
        <x:f>#REF!*8/100</x:f>
        <x:v>#REF!</x:v>
      </x:c>
      <x:c r="H51" s="55" t="e">
        <x:f>#REF!*8/100</x:f>
        <x:v>#REF!</x:v>
      </x:c>
      <x:c r="I51" s="55" t="e">
        <x:f>#REF!*8/100</x:f>
        <x:v>#REF!</x:v>
      </x:c>
      <x:c r="J51" s="55" t="e">
        <x:f>#REF!*8/100</x:f>
        <x:v>#REF!</x:v>
      </x:c>
      <x:c r="K51" s="55" t="e">
        <x:f>#REF!*8/100</x:f>
        <x:v>#REF!</x:v>
      </x:c>
      <x:c r="L51" s="55" t="e">
        <x:f>#REF!*8/100</x:f>
        <x:v>#REF!</x:v>
      </x:c>
      <x:c r="M51" s="55" t="e">
        <x:f>#REF!*8/100</x:f>
        <x:v>#REF!</x:v>
      </x:c>
      <x:c r="N51" s="55" t="e">
        <x:f>#REF!*8/100</x:f>
        <x:v>#REF!</x:v>
      </x:c>
      <x:c r="O51" s="55" t="e">
        <x:f>#REF!*8/100</x:f>
        <x:v>#REF!</x:v>
      </x:c>
      <x:c r="P51" s="55" t="e">
        <x:f>#REF!*8/100</x:f>
        <x:v>#REF!</x:v>
      </x:c>
      <x:c r="Q51" s="55" t="e">
        <x:f>(AVERAGE(#REF!*8/100)+(#REF!*8/100))/2</x:f>
        <x:v>#REF!</x:v>
      </x:c>
      <x:c r="R51" s="55" t="e">
        <x:f>(AVERAGE(#REF!*8/100)+(#REF!*8/100))/2</x:f>
        <x:v>#REF!</x:v>
      </x:c>
      <x:c r="V51" s="78"/>
    </x:row>
    <x:row r="52" ht="20.25">
      <x:c r="A52" s="59">
        <x:v>18</x:v>
      </x:c>
      <x:c r="B52" s="77" t="e">
        <x:f>#REF!*8/100</x:f>
        <x:v>#REF!</x:v>
      </x:c>
      <x:c r="C52" s="55" t="e">
        <x:f>#REF!*8/100</x:f>
        <x:v>#REF!</x:v>
      </x:c>
      <x:c r="D52" s="55" t="e">
        <x:f>#REF!*8/100</x:f>
        <x:v>#REF!</x:v>
      </x:c>
      <x:c r="E52" s="55" t="e">
        <x:f>#REF!*8/100</x:f>
        <x:v>#REF!</x:v>
      </x:c>
      <x:c r="F52" s="55" t="e">
        <x:f>#REF!*8/100</x:f>
        <x:v>#REF!</x:v>
      </x:c>
      <x:c r="G52" s="55" t="e">
        <x:f>#REF!*8/100</x:f>
        <x:v>#REF!</x:v>
      </x:c>
      <x:c r="H52" s="55" t="e">
        <x:f>#REF!*8/100</x:f>
        <x:v>#REF!</x:v>
      </x:c>
      <x:c r="I52" s="55" t="e">
        <x:f>#REF!*8/100</x:f>
        <x:v>#REF!</x:v>
      </x:c>
      <x:c r="J52" s="55" t="e">
        <x:f>#REF!*8/100</x:f>
        <x:v>#REF!</x:v>
      </x:c>
      <x:c r="K52" s="55" t="e">
        <x:f>#REF!*8/100</x:f>
        <x:v>#REF!</x:v>
      </x:c>
      <x:c r="L52" s="55" t="e">
        <x:f>#REF!*8/100</x:f>
        <x:v>#REF!</x:v>
      </x:c>
      <x:c r="M52" s="55" t="e">
        <x:f>#REF!*8/100</x:f>
        <x:v>#REF!</x:v>
      </x:c>
      <x:c r="N52" s="55" t="e">
        <x:f>#REF!*8/100</x:f>
        <x:v>#REF!</x:v>
      </x:c>
      <x:c r="O52" s="55" t="e">
        <x:f>#REF!*8/100</x:f>
        <x:v>#REF!</x:v>
      </x:c>
      <x:c r="P52" s="55" t="e">
        <x:f>#REF!*8/100</x:f>
        <x:v>#REF!</x:v>
      </x:c>
      <x:c r="Q52" s="55" t="e">
        <x:f>(AVERAGE(#REF!*8/100)+(#REF!*8/100))/2</x:f>
        <x:v>#REF!</x:v>
      </x:c>
      <x:c r="R52" s="55" t="e">
        <x:f>(AVERAGE(#REF!*8/100)+(#REF!*8/100))/2</x:f>
        <x:v>#REF!</x:v>
      </x:c>
      <x:c r="V52" s="78"/>
    </x:row>
    <x:row r="53" ht="21">
      <x:c r="A53" s="60">
        <x:v>19</x:v>
      </x:c>
      <x:c r="B53" s="77" t="e">
        <x:f>#REF!*8/100</x:f>
        <x:v>#REF!</x:v>
      </x:c>
      <x:c r="C53" s="55" t="e">
        <x:f>#REF!*8/100</x:f>
        <x:v>#REF!</x:v>
      </x:c>
      <x:c r="D53" s="55" t="e">
        <x:f>#REF!*8/100</x:f>
        <x:v>#REF!</x:v>
      </x:c>
      <x:c r="E53" s="55" t="e">
        <x:f>#REF!*8/100</x:f>
        <x:v>#REF!</x:v>
      </x:c>
      <x:c r="F53" s="55" t="e">
        <x:f>#REF!*8/100</x:f>
        <x:v>#REF!</x:v>
      </x:c>
      <x:c r="G53" s="55" t="e">
        <x:f>#REF!*8/100</x:f>
        <x:v>#REF!</x:v>
      </x:c>
      <x:c r="H53" s="55" t="e">
        <x:f>#REF!*8/100</x:f>
        <x:v>#REF!</x:v>
      </x:c>
      <x:c r="I53" s="55" t="e">
        <x:f>#REF!*8/100</x:f>
        <x:v>#REF!</x:v>
      </x:c>
      <x:c r="J53" s="55" t="e">
        <x:f>#REF!*8/100</x:f>
        <x:v>#REF!</x:v>
      </x:c>
      <x:c r="K53" s="55" t="e">
        <x:f>#REF!*8/100</x:f>
        <x:v>#REF!</x:v>
      </x:c>
      <x:c r="L53" s="55" t="e">
        <x:f>#REF!*8/100</x:f>
        <x:v>#REF!</x:v>
      </x:c>
      <x:c r="M53" s="55" t="e">
        <x:f>#REF!*8/100</x:f>
        <x:v>#REF!</x:v>
      </x:c>
      <x:c r="N53" s="55" t="e">
        <x:f>#REF!*8/100</x:f>
        <x:v>#REF!</x:v>
      </x:c>
      <x:c r="O53" s="55" t="e">
        <x:f>#REF!*8/100</x:f>
        <x:v>#REF!</x:v>
      </x:c>
      <x:c r="P53" s="55" t="e">
        <x:f>#REF!*8/100</x:f>
        <x:v>#REF!</x:v>
      </x:c>
      <x:c r="Q53" s="55" t="e">
        <x:f>(AVERAGE(#REF!*8/100)+(#REF!*8/100))/2</x:f>
        <x:v>#REF!</x:v>
      </x:c>
      <x:c r="R53" s="55" t="e">
        <x:f>(AVERAGE(#REF!*8/100)+(#REF!*8/100))/2</x:f>
        <x:v>#REF!</x:v>
      </x:c>
      <x:c r="V53" s="78"/>
    </x:row>
    <x:row r="54">
      <x:c r="V54" s="78"/>
    </x:row>
    <x:row r="55">
      <x:c r="V55" s="78"/>
    </x:row>
    <x:row r="56" ht="28.5">
      <x:c r="B56" s="308" t="s">
        <x:v>597</x:v>
      </x:c>
      <x:c r="C56" s="308"/>
      <x:c r="D56" s="308"/>
      <x:c r="E56" s="308"/>
      <x:c r="F56" s="308"/>
      <x:c r="G56" s="308"/>
      <x:c r="H56" s="308"/>
      <x:c r="I56" s="308"/>
      <x:c r="J56" s="308"/>
      <x:c r="K56" s="308"/>
      <x:c r="L56" s="308"/>
      <x:c r="M56" s="308"/>
      <x:c r="N56" s="308"/>
      <x:c r="O56" s="308"/>
      <x:c r="P56" s="308"/>
      <x:c r="Q56" s="308"/>
      <x:c r="R56" s="308"/>
      <x:c r="S56" t="s">
        <x:v>598</x:v>
      </x:c>
      <x:c r="U56">
        <x:v>8</x:v>
      </x:c>
      <x:c r="V56" s="78"/>
    </x:row>
    <x:row r="57">
      <x:c r="B57" s="320" t="s">
        <x:v>579</x:v>
      </x:c>
      <x:c r="C57" s="320" t="s">
        <x:v>580</x:v>
      </x:c>
      <x:c r="D57" s="320" t="s">
        <x:v>581</x:v>
      </x:c>
      <x:c r="E57" s="320" t="s">
        <x:v>582</x:v>
      </x:c>
      <x:c r="F57" s="320" t="s">
        <x:v>583</x:v>
      </x:c>
      <x:c r="G57" s="320" t="s">
        <x:v>584</x:v>
      </x:c>
      <x:c r="H57" s="320" t="s">
        <x:v>585</x:v>
      </x:c>
      <x:c r="I57" s="320" t="s">
        <x:v>586</x:v>
      </x:c>
      <x:c r="J57" s="314" t="s">
        <x:v>587</x:v>
      </x:c>
      <x:c r="K57" s="314" t="s">
        <x:v>588</x:v>
      </x:c>
      <x:c r="L57" s="314" t="s">
        <x:v>589</x:v>
      </x:c>
      <x:c r="M57" s="314" t="s">
        <x:v>590</x:v>
      </x:c>
      <x:c r="N57" s="314" t="s">
        <x:v>591</x:v>
      </x:c>
      <x:c r="O57" s="314" t="s">
        <x:v>592</x:v>
      </x:c>
      <x:c r="P57" s="314" t="s">
        <x:v>593</x:v>
      </x:c>
      <x:c r="Q57" s="316" t="s">
        <x:v>594</x:v>
      </x:c>
      <x:c r="R57" s="316" t="s">
        <x:v>595</x:v>
      </x:c>
      <x:c r="S57" s="313"/>
      <x:c r="V57" s="78"/>
    </x:row>
    <x:row r="58" ht="13.5">
      <x:c r="B58" s="321"/>
      <x:c r="C58" s="321"/>
      <x:c r="D58" s="321"/>
      <x:c r="E58" s="321"/>
      <x:c r="F58" s="321"/>
      <x:c r="G58" s="321"/>
      <x:c r="H58" s="321"/>
      <x:c r="I58" s="321"/>
      <x:c r="J58" s="315"/>
      <x:c r="K58" s="315"/>
      <x:c r="L58" s="315"/>
      <x:c r="M58" s="315"/>
      <x:c r="N58" s="315"/>
      <x:c r="O58" s="315"/>
      <x:c r="P58" s="315"/>
      <x:c r="Q58" s="317"/>
      <x:c r="R58" s="317"/>
      <x:c r="S58" s="313"/>
      <x:c r="V58" s="78"/>
    </x:row>
    <x:row r="59" ht="13.5">
      <x:c r="A59" s="56" t="s">
        <x:v>7</x:v>
      </x:c>
      <x:c r="B59" s="56" t="s">
        <x:v>596</x:v>
      </x:c>
      <x:c r="C59" s="56" t="s">
        <x:v>596</x:v>
      </x:c>
      <x:c r="D59" s="56" t="s">
        <x:v>596</x:v>
      </x:c>
      <x:c r="E59" s="56" t="s">
        <x:v>596</x:v>
      </x:c>
      <x:c r="F59" s="56" t="s">
        <x:v>596</x:v>
      </x:c>
      <x:c r="G59" s="56" t="s">
        <x:v>596</x:v>
      </x:c>
      <x:c r="H59" s="56" t="s">
        <x:v>596</x:v>
      </x:c>
      <x:c r="I59" s="56" t="s">
        <x:v>596</x:v>
      </x:c>
      <x:c r="J59" s="56" t="s">
        <x:v>596</x:v>
      </x:c>
      <x:c r="K59" s="56" t="s">
        <x:v>596</x:v>
      </x:c>
      <x:c r="L59" s="56" t="s">
        <x:v>596</x:v>
      </x:c>
      <x:c r="M59" s="56" t="s">
        <x:v>596</x:v>
      </x:c>
      <x:c r="N59" s="56" t="s">
        <x:v>596</x:v>
      </x:c>
      <x:c r="O59" s="56" t="s">
        <x:v>596</x:v>
      </x:c>
      <x:c r="P59" s="56" t="s">
        <x:v>596</x:v>
      </x:c>
      <x:c r="Q59" s="56" t="s">
        <x:v>596</x:v>
      </x:c>
      <x:c r="R59" s="56" t="s">
        <x:v>596</x:v>
      </x:c>
      <x:c r="V59" s="78"/>
    </x:row>
    <x:row r="60" ht="20.25">
      <x:c r="A60" s="58">
        <x:v>1</x:v>
      </x:c>
      <x:c r="B60" s="57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V60" s="78"/>
    </x:row>
    <x:row r="61" ht="20.25">
      <x:c r="A61" s="59">
        <x:v>2</x:v>
      </x:c>
      <x:c r="B61" s="77" t="e">
        <x:f>#REF!*8/100</x:f>
        <x:v>#REF!</x:v>
      </x:c>
      <x:c r="C61" s="55" t="e">
        <x:f>#REF!*8/100</x:f>
        <x:v>#REF!</x:v>
      </x:c>
      <x:c r="D61" s="55" t="e">
        <x:f>#REF!*8/100</x:f>
        <x:v>#REF!</x:v>
      </x:c>
      <x:c r="E61" s="55" t="e">
        <x:f>#REF!*8/100</x:f>
        <x:v>#REF!</x:v>
      </x:c>
      <x:c r="F61" s="55" t="e">
        <x:f>#REF!*8/100</x:f>
        <x:v>#REF!</x:v>
      </x:c>
      <x:c r="G61" s="55" t="e">
        <x:f>#REF!*8/100</x:f>
        <x:v>#REF!</x:v>
      </x:c>
      <x:c r="H61" s="55" t="e">
        <x:f>#REF!*8/100</x:f>
        <x:v>#REF!</x:v>
      </x:c>
      <x:c r="I61" s="55" t="e">
        <x:f>#REF!*8/100</x:f>
        <x:v>#REF!</x:v>
      </x:c>
      <x:c r="J61" s="55" t="e">
        <x:f>#REF!*8/100</x:f>
        <x:v>#REF!</x:v>
      </x:c>
      <x:c r="K61" s="55" t="e">
        <x:f>#REF!*8/100</x:f>
        <x:v>#REF!</x:v>
      </x:c>
      <x:c r="L61" s="55" t="e">
        <x:f>#REF!*8/100</x:f>
        <x:v>#REF!</x:v>
      </x:c>
      <x:c r="M61" s="55" t="e">
        <x:f>#REF!*8/100</x:f>
        <x:v>#REF!</x:v>
      </x:c>
      <x:c r="N61" s="55" t="e">
        <x:f>#REF!*8/100</x:f>
        <x:v>#REF!</x:v>
      </x:c>
      <x:c r="O61" s="55" t="e">
        <x:f>#REF!*8/100</x:f>
        <x:v>#REF!</x:v>
      </x:c>
      <x:c r="P61" s="55" t="e">
        <x:f>#REF!*8/100</x:f>
        <x:v>#REF!</x:v>
      </x:c>
      <x:c r="Q61" s="55" t="e">
        <x:f>(AVERAGE(#REF!*8/100)+(#REF!*8/100))/2</x:f>
        <x:v>#REF!</x:v>
      </x:c>
      <x:c r="R61" s="55" t="e">
        <x:f>AVERAGE(#REF!*8/100)+(#REF!*8/100)</x:f>
        <x:v>#REF!</x:v>
      </x:c>
      <x:c r="V61" s="78"/>
    </x:row>
    <x:row r="62" ht="20.25">
      <x:c r="A62" s="59">
        <x:v>3</x:v>
      </x:c>
      <x:c r="B62" s="77" t="e">
        <x:f>#REF!*8/100</x:f>
        <x:v>#REF!</x:v>
      </x:c>
      <x:c r="C62" s="55" t="e">
        <x:f>#REF!*8/100</x:f>
        <x:v>#REF!</x:v>
      </x:c>
      <x:c r="D62" s="55" t="e">
        <x:f>#REF!*8/100</x:f>
        <x:v>#REF!</x:v>
      </x:c>
      <x:c r="E62" s="55" t="e">
        <x:f>#REF!*8/100</x:f>
        <x:v>#REF!</x:v>
      </x:c>
      <x:c r="F62" s="55" t="e">
        <x:f>#REF!*8/100</x:f>
        <x:v>#REF!</x:v>
      </x:c>
      <x:c r="G62" s="55" t="e">
        <x:f>#REF!*8/100</x:f>
        <x:v>#REF!</x:v>
      </x:c>
      <x:c r="H62" s="55" t="e">
        <x:f>#REF!*8/100</x:f>
        <x:v>#REF!</x:v>
      </x:c>
      <x:c r="I62" s="55" t="e">
        <x:f>#REF!*8/100</x:f>
        <x:v>#REF!</x:v>
      </x:c>
      <x:c r="J62" s="55" t="e">
        <x:f>#REF!*8/100</x:f>
        <x:v>#REF!</x:v>
      </x:c>
      <x:c r="K62" s="55" t="e">
        <x:f>#REF!*8/100</x:f>
        <x:v>#REF!</x:v>
      </x:c>
      <x:c r="L62" s="55" t="e">
        <x:f>#REF!*8/100</x:f>
        <x:v>#REF!</x:v>
      </x:c>
      <x:c r="M62" s="55" t="e">
        <x:f>#REF!*8/100</x:f>
        <x:v>#REF!</x:v>
      </x:c>
      <x:c r="N62" s="55" t="e">
        <x:f>#REF!*8/100</x:f>
        <x:v>#REF!</x:v>
      </x:c>
      <x:c r="O62" s="55" t="e">
        <x:f>#REF!*8/100</x:f>
        <x:v>#REF!</x:v>
      </x:c>
      <x:c r="P62" s="55" t="e">
        <x:f>#REF!*8/100</x:f>
        <x:v>#REF!</x:v>
      </x:c>
      <x:c r="Q62" s="55" t="e">
        <x:f>(AVERAGE(#REF!*8/100)+(#REF!*8/100))/2</x:f>
        <x:v>#REF!</x:v>
      </x:c>
      <x:c r="R62" s="55" t="e">
        <x:f>AVERAGE(#REF!*8/100)+(#REF!*8/100)</x:f>
        <x:v>#REF!</x:v>
      </x:c>
      <x:c r="V62" s="78"/>
    </x:row>
    <x:row r="63" ht="20.25">
      <x:c r="A63" s="59">
        <x:v>4</x:v>
      </x:c>
      <x:c r="B63" s="77" t="e">
        <x:f>#REF!*8/100</x:f>
        <x:v>#REF!</x:v>
      </x:c>
      <x:c r="C63" s="55" t="e">
        <x:f>#REF!*8/100</x:f>
        <x:v>#REF!</x:v>
      </x:c>
      <x:c r="D63" s="55" t="e">
        <x:f>#REF!*8/100</x:f>
        <x:v>#REF!</x:v>
      </x:c>
      <x:c r="E63" s="55" t="e">
        <x:f>#REF!*8/100</x:f>
        <x:v>#REF!</x:v>
      </x:c>
      <x:c r="F63" s="55" t="e">
        <x:f>#REF!*8/100</x:f>
        <x:v>#REF!</x:v>
      </x:c>
      <x:c r="G63" s="55" t="e">
        <x:f>#REF!*8/100</x:f>
        <x:v>#REF!</x:v>
      </x:c>
      <x:c r="H63" s="55" t="e">
        <x:f>#REF!*8/100</x:f>
        <x:v>#REF!</x:v>
      </x:c>
      <x:c r="I63" s="55" t="e">
        <x:f>#REF!*8/100</x:f>
        <x:v>#REF!</x:v>
      </x:c>
      <x:c r="J63" s="55" t="e">
        <x:f>#REF!*8/100</x:f>
        <x:v>#REF!</x:v>
      </x:c>
      <x:c r="K63" s="55" t="e">
        <x:f>#REF!*8/100</x:f>
        <x:v>#REF!</x:v>
      </x:c>
      <x:c r="L63" s="55" t="e">
        <x:f>#REF!*8/100</x:f>
        <x:v>#REF!</x:v>
      </x:c>
      <x:c r="M63" s="55" t="e">
        <x:f>#REF!*8/100</x:f>
        <x:v>#REF!</x:v>
      </x:c>
      <x:c r="N63" s="55" t="e">
        <x:f>#REF!*8/100</x:f>
        <x:v>#REF!</x:v>
      </x:c>
      <x:c r="O63" s="55" t="e">
        <x:f>#REF!*8/100</x:f>
        <x:v>#REF!</x:v>
      </x:c>
      <x:c r="P63" s="55" t="e">
        <x:f>#REF!*8/100</x:f>
        <x:v>#REF!</x:v>
      </x:c>
      <x:c r="Q63" s="55" t="e">
        <x:f>(AVERAGE(#REF!*8/100)+(#REF!*8/100))/2</x:f>
        <x:v>#REF!</x:v>
      </x:c>
      <x:c r="R63" s="55" t="e">
        <x:f>AVERAGE(#REF!*8/100)+(#REF!*8/100)</x:f>
        <x:v>#REF!</x:v>
      </x:c>
      <x:c r="V63" s="78"/>
    </x:row>
    <x:row r="64" ht="20.25">
      <x:c r="A64" s="59">
        <x:v>5</x:v>
      </x:c>
      <x:c r="B64" s="77" t="e">
        <x:f>#REF!*8/100</x:f>
        <x:v>#REF!</x:v>
      </x:c>
      <x:c r="C64" s="55" t="e">
        <x:f>#REF!*8/100</x:f>
        <x:v>#REF!</x:v>
      </x:c>
      <x:c r="D64" s="55" t="e">
        <x:f>#REF!*8/100</x:f>
        <x:v>#REF!</x:v>
      </x:c>
      <x:c r="E64" s="55" t="e">
        <x:f>#REF!*8/100</x:f>
        <x:v>#REF!</x:v>
      </x:c>
      <x:c r="F64" s="55" t="e">
        <x:f>#REF!*8/100</x:f>
        <x:v>#REF!</x:v>
      </x:c>
      <x:c r="G64" s="55" t="e">
        <x:f>#REF!*8/100</x:f>
        <x:v>#REF!</x:v>
      </x:c>
      <x:c r="H64" s="55" t="e">
        <x:f>#REF!*8/100</x:f>
        <x:v>#REF!</x:v>
      </x:c>
      <x:c r="I64" s="55" t="e">
        <x:f>#REF!*8/100</x:f>
        <x:v>#REF!</x:v>
      </x:c>
      <x:c r="J64" s="55" t="e">
        <x:f>#REF!*8/100</x:f>
        <x:v>#REF!</x:v>
      </x:c>
      <x:c r="K64" s="55" t="e">
        <x:f>#REF!*8/100</x:f>
        <x:v>#REF!</x:v>
      </x:c>
      <x:c r="L64" s="55" t="e">
        <x:f>#REF!*8/100</x:f>
        <x:v>#REF!</x:v>
      </x:c>
      <x:c r="M64" s="55" t="e">
        <x:f>#REF!*8/100</x:f>
        <x:v>#REF!</x:v>
      </x:c>
      <x:c r="N64" s="55" t="e">
        <x:f>#REF!*8/100</x:f>
        <x:v>#REF!</x:v>
      </x:c>
      <x:c r="O64" s="55" t="e">
        <x:f>#REF!*8/100</x:f>
        <x:v>#REF!</x:v>
      </x:c>
      <x:c r="P64" s="55" t="e">
        <x:f>#REF!*8/100</x:f>
        <x:v>#REF!</x:v>
      </x:c>
      <x:c r="Q64" s="55" t="e">
        <x:f>(AVERAGE(#REF!*8/100)+(#REF!*8/100))/2</x:f>
        <x:v>#REF!</x:v>
      </x:c>
      <x:c r="R64" s="55" t="e">
        <x:f>AVERAGE(#REF!*8/100)+(#REF!*8/100)</x:f>
        <x:v>#REF!</x:v>
      </x:c>
      <x:c r="V64" s="78"/>
    </x:row>
    <x:row r="65" ht="20.25">
      <x:c r="A65" s="59">
        <x:v>6</x:v>
      </x:c>
      <x:c r="B65" s="77" t="e">
        <x:f>#REF!*8/100</x:f>
        <x:v>#REF!</x:v>
      </x:c>
      <x:c r="C65" s="55" t="e">
        <x:f>#REF!*8/100</x:f>
        <x:v>#REF!</x:v>
      </x:c>
      <x:c r="D65" s="55" t="e">
        <x:f>#REF!*8/100</x:f>
        <x:v>#REF!</x:v>
      </x:c>
      <x:c r="E65" s="55" t="e">
        <x:f>#REF!*8/100</x:f>
        <x:v>#REF!</x:v>
      </x:c>
      <x:c r="F65" s="55" t="e">
        <x:f>#REF!*8/100</x:f>
        <x:v>#REF!</x:v>
      </x:c>
      <x:c r="G65" s="55" t="e">
        <x:f>#REF!*8/100</x:f>
        <x:v>#REF!</x:v>
      </x:c>
      <x:c r="H65" s="55" t="e">
        <x:f>#REF!*8/100</x:f>
        <x:v>#REF!</x:v>
      </x:c>
      <x:c r="I65" s="55" t="e">
        <x:f>#REF!*8/100</x:f>
        <x:v>#REF!</x:v>
      </x:c>
      <x:c r="J65" s="55" t="e">
        <x:f>#REF!*8/100</x:f>
        <x:v>#REF!</x:v>
      </x:c>
      <x:c r="K65" s="55" t="e">
        <x:f>#REF!*8/100</x:f>
        <x:v>#REF!</x:v>
      </x:c>
      <x:c r="L65" s="55" t="e">
        <x:f>#REF!*8/100</x:f>
        <x:v>#REF!</x:v>
      </x:c>
      <x:c r="M65" s="55" t="e">
        <x:f>#REF!*8/100</x:f>
        <x:v>#REF!</x:v>
      </x:c>
      <x:c r="N65" s="55" t="e">
        <x:f>#REF!*8/100</x:f>
        <x:v>#REF!</x:v>
      </x:c>
      <x:c r="O65" s="55" t="e">
        <x:f>#REF!*8/100</x:f>
        <x:v>#REF!</x:v>
      </x:c>
      <x:c r="P65" s="55" t="e">
        <x:f>#REF!*8/100</x:f>
        <x:v>#REF!</x:v>
      </x:c>
      <x:c r="Q65" s="55" t="e">
        <x:f>(AVERAGE(#REF!*8/100)+(#REF!*8/100))/2</x:f>
        <x:v>#REF!</x:v>
      </x:c>
      <x:c r="R65" s="55" t="e">
        <x:f>AVERAGE(#REF!*8/100)+(#REF!*8/100)</x:f>
        <x:v>#REF!</x:v>
      </x:c>
      <x:c r="V65" s="78"/>
    </x:row>
    <x:row r="66" ht="20.25">
      <x:c r="A66" s="59">
        <x:v>7</x:v>
      </x:c>
      <x:c r="B66" s="77" t="e">
        <x:f>#REF!*8/100</x:f>
        <x:v>#REF!</x:v>
      </x:c>
      <x:c r="C66" s="55" t="e">
        <x:f>#REF!*8/100</x:f>
        <x:v>#REF!</x:v>
      </x:c>
      <x:c r="D66" s="55" t="e">
        <x:f>#REF!*8/100</x:f>
        <x:v>#REF!</x:v>
      </x:c>
      <x:c r="E66" s="55" t="e">
        <x:f>#REF!*8/100</x:f>
        <x:v>#REF!</x:v>
      </x:c>
      <x:c r="F66" s="55" t="e">
        <x:f>#REF!*8/100</x:f>
        <x:v>#REF!</x:v>
      </x:c>
      <x:c r="G66" s="55" t="e">
        <x:f>#REF!*8/100</x:f>
        <x:v>#REF!</x:v>
      </x:c>
      <x:c r="H66" s="55" t="e">
        <x:f>#REF!*8/100</x:f>
        <x:v>#REF!</x:v>
      </x:c>
      <x:c r="I66" s="55" t="e">
        <x:f>#REF!*8/100</x:f>
        <x:v>#REF!</x:v>
      </x:c>
      <x:c r="J66" s="55" t="e">
        <x:f>#REF!*8/100</x:f>
        <x:v>#REF!</x:v>
      </x:c>
      <x:c r="K66" s="55" t="e">
        <x:f>#REF!*8/100</x:f>
        <x:v>#REF!</x:v>
      </x:c>
      <x:c r="L66" s="55" t="e">
        <x:f>#REF!*8/100</x:f>
        <x:v>#REF!</x:v>
      </x:c>
      <x:c r="M66" s="55" t="e">
        <x:f>#REF!*8/100</x:f>
        <x:v>#REF!</x:v>
      </x:c>
      <x:c r="N66" s="55" t="e">
        <x:f>#REF!*8/100</x:f>
        <x:v>#REF!</x:v>
      </x:c>
      <x:c r="O66" s="55" t="e">
        <x:f>#REF!*8/100</x:f>
        <x:v>#REF!</x:v>
      </x:c>
      <x:c r="P66" s="55" t="e">
        <x:f>#REF!*8/100</x:f>
        <x:v>#REF!</x:v>
      </x:c>
      <x:c r="Q66" s="55" t="e">
        <x:f>(AVERAGE(#REF!*8/100)+(#REF!*8/100))/2</x:f>
        <x:v>#REF!</x:v>
      </x:c>
      <x:c r="R66" s="55" t="e">
        <x:f>AVERAGE(#REF!*8/100)+(#REF!*8/100)</x:f>
        <x:v>#REF!</x:v>
      </x:c>
      <x:c r="V66" s="78"/>
    </x:row>
    <x:row r="67" ht="20.25">
      <x:c r="A67" s="59">
        <x:v>8</x:v>
      </x:c>
      <x:c r="B67" s="77" t="e">
        <x:f>#REF!*8/100</x:f>
        <x:v>#REF!</x:v>
      </x:c>
      <x:c r="C67" s="55" t="e">
        <x:f>#REF!*8/100</x:f>
        <x:v>#REF!</x:v>
      </x:c>
      <x:c r="D67" s="55" t="e">
        <x:f>#REF!*8/100</x:f>
        <x:v>#REF!</x:v>
      </x:c>
      <x:c r="E67" s="55" t="e">
        <x:f>#REF!*8/100</x:f>
        <x:v>#REF!</x:v>
      </x:c>
      <x:c r="F67" s="55" t="e">
        <x:f>#REF!*8/100</x:f>
        <x:v>#REF!</x:v>
      </x:c>
      <x:c r="G67" s="55" t="e">
        <x:f>#REF!*8/100</x:f>
        <x:v>#REF!</x:v>
      </x:c>
      <x:c r="H67" s="55" t="e">
        <x:f>#REF!*8/100</x:f>
        <x:v>#REF!</x:v>
      </x:c>
      <x:c r="I67" s="55" t="e">
        <x:f>#REF!*8/100</x:f>
        <x:v>#REF!</x:v>
      </x:c>
      <x:c r="J67" s="55" t="e">
        <x:f>#REF!*8/100</x:f>
        <x:v>#REF!</x:v>
      </x:c>
      <x:c r="K67" s="55" t="e">
        <x:f>#REF!*8/100</x:f>
        <x:v>#REF!</x:v>
      </x:c>
      <x:c r="L67" s="55" t="e">
        <x:f>#REF!*8/100</x:f>
        <x:v>#REF!</x:v>
      </x:c>
      <x:c r="M67" s="55" t="e">
        <x:f>#REF!*8/100</x:f>
        <x:v>#REF!</x:v>
      </x:c>
      <x:c r="N67" s="55" t="e">
        <x:f>#REF!*8/100</x:f>
        <x:v>#REF!</x:v>
      </x:c>
      <x:c r="O67" s="55" t="e">
        <x:f>#REF!*8/100</x:f>
        <x:v>#REF!</x:v>
      </x:c>
      <x:c r="P67" s="55" t="e">
        <x:f>#REF!*8/100</x:f>
        <x:v>#REF!</x:v>
      </x:c>
      <x:c r="Q67" s="55" t="e">
        <x:f>(AVERAGE(#REF!*8/100)+(#REF!*8/100))/2</x:f>
        <x:v>#REF!</x:v>
      </x:c>
      <x:c r="R67" s="55" t="e">
        <x:f>AVERAGE(#REF!*8/100)+(#REF!*8/100)</x:f>
        <x:v>#REF!</x:v>
      </x:c>
      <x:c r="V67" s="78"/>
    </x:row>
    <x:row r="68" ht="20.25">
      <x:c r="A68" s="59">
        <x:v>9</x:v>
      </x:c>
      <x:c r="B68" s="77" t="e">
        <x:f>#REF!*8/100</x:f>
        <x:v>#REF!</x:v>
      </x:c>
      <x:c r="C68" s="55" t="e">
        <x:f>#REF!*8/100</x:f>
        <x:v>#REF!</x:v>
      </x:c>
      <x:c r="D68" s="55" t="e">
        <x:f>#REF!*8/100</x:f>
        <x:v>#REF!</x:v>
      </x:c>
      <x:c r="E68" s="55" t="e">
        <x:f>#REF!*8/100</x:f>
        <x:v>#REF!</x:v>
      </x:c>
      <x:c r="F68" s="55" t="e">
        <x:f>#REF!*8/100</x:f>
        <x:v>#REF!</x:v>
      </x:c>
      <x:c r="G68" s="55" t="e">
        <x:f>#REF!*8/100</x:f>
        <x:v>#REF!</x:v>
      </x:c>
      <x:c r="H68" s="55" t="e">
        <x:f>#REF!*8/100</x:f>
        <x:v>#REF!</x:v>
      </x:c>
      <x:c r="I68" s="55" t="e">
        <x:f>#REF!*8/100</x:f>
        <x:v>#REF!</x:v>
      </x:c>
      <x:c r="J68" s="55" t="e">
        <x:f>#REF!*8/100</x:f>
        <x:v>#REF!</x:v>
      </x:c>
      <x:c r="K68" s="55" t="e">
        <x:f>#REF!*8/100</x:f>
        <x:v>#REF!</x:v>
      </x:c>
      <x:c r="L68" s="55" t="e">
        <x:f>#REF!*8/100</x:f>
        <x:v>#REF!</x:v>
      </x:c>
      <x:c r="M68" s="55" t="e">
        <x:f>#REF!*8/100</x:f>
        <x:v>#REF!</x:v>
      </x:c>
      <x:c r="N68" s="55" t="e">
        <x:f>#REF!*8/100</x:f>
        <x:v>#REF!</x:v>
      </x:c>
      <x:c r="O68" s="55" t="e">
        <x:f>#REF!*8/100</x:f>
        <x:v>#REF!</x:v>
      </x:c>
      <x:c r="P68" s="55" t="e">
        <x:f>#REF!*8/100</x:f>
        <x:v>#REF!</x:v>
      </x:c>
      <x:c r="Q68" s="55" t="e">
        <x:f>(AVERAGE(#REF!*8/100)+(#REF!*8/100))/2</x:f>
        <x:v>#REF!</x:v>
      </x:c>
      <x:c r="R68" s="55" t="e">
        <x:f>AVERAGE(#REF!*8/100)+(#REF!*8/100)</x:f>
        <x:v>#REF!</x:v>
      </x:c>
      <x:c r="V68" s="78"/>
    </x:row>
    <x:row r="69" ht="20.25">
      <x:c r="A69" s="59">
        <x:v>10</x:v>
      </x:c>
      <x:c r="B69" s="77" t="e">
        <x:f>#REF!*8/100</x:f>
        <x:v>#REF!</x:v>
      </x:c>
      <x:c r="C69" s="55" t="e">
        <x:f>#REF!*8/100</x:f>
        <x:v>#REF!</x:v>
      </x:c>
      <x:c r="D69" s="55" t="e">
        <x:f>#REF!*8/100</x:f>
        <x:v>#REF!</x:v>
      </x:c>
      <x:c r="E69" s="55" t="e">
        <x:f>#REF!*8/100</x:f>
        <x:v>#REF!</x:v>
      </x:c>
      <x:c r="F69" s="55" t="e">
        <x:f>#REF!*8/100</x:f>
        <x:v>#REF!</x:v>
      </x:c>
      <x:c r="G69" s="55" t="e">
        <x:f>#REF!*8/100</x:f>
        <x:v>#REF!</x:v>
      </x:c>
      <x:c r="H69" s="55" t="e">
        <x:f>#REF!*8/100</x:f>
        <x:v>#REF!</x:v>
      </x:c>
      <x:c r="I69" s="55" t="e">
        <x:f>#REF!*8/100</x:f>
        <x:v>#REF!</x:v>
      </x:c>
      <x:c r="J69" s="55" t="e">
        <x:f>#REF!*8/100</x:f>
        <x:v>#REF!</x:v>
      </x:c>
      <x:c r="K69" s="55" t="e">
        <x:f>#REF!*8/100</x:f>
        <x:v>#REF!</x:v>
      </x:c>
      <x:c r="L69" s="55" t="e">
        <x:f>#REF!*8/100</x:f>
        <x:v>#REF!</x:v>
      </x:c>
      <x:c r="M69" s="55" t="e">
        <x:f>#REF!*8/100</x:f>
        <x:v>#REF!</x:v>
      </x:c>
      <x:c r="N69" s="55" t="e">
        <x:f>#REF!*8/100</x:f>
        <x:v>#REF!</x:v>
      </x:c>
      <x:c r="O69" s="55" t="e">
        <x:f>#REF!*8/100</x:f>
        <x:v>#REF!</x:v>
      </x:c>
      <x:c r="P69" s="55" t="e">
        <x:f>#REF!*8/100</x:f>
        <x:v>#REF!</x:v>
      </x:c>
      <x:c r="Q69" s="55" t="e">
        <x:f>(AVERAGE(#REF!*8/100)+(#REF!*8/100))/2</x:f>
        <x:v>#REF!</x:v>
      </x:c>
      <x:c r="R69" s="55" t="e">
        <x:f>AVERAGE(#REF!*8/100)+(#REF!*8/100)</x:f>
        <x:v>#REF!</x:v>
      </x:c>
      <x:c r="V69" s="78"/>
    </x:row>
    <x:row r="70" ht="20.25">
      <x:c r="A70" s="59">
        <x:v>11</x:v>
      </x:c>
      <x:c r="B70" s="77" t="e">
        <x:f>#REF!*8/100</x:f>
        <x:v>#REF!</x:v>
      </x:c>
      <x:c r="C70" s="55" t="e">
        <x:f>#REF!*8/100</x:f>
        <x:v>#REF!</x:v>
      </x:c>
      <x:c r="D70" s="55" t="e">
        <x:f>#REF!*8/100</x:f>
        <x:v>#REF!</x:v>
      </x:c>
      <x:c r="E70" s="55" t="e">
        <x:f>#REF!*8/100</x:f>
        <x:v>#REF!</x:v>
      </x:c>
      <x:c r="F70" s="55" t="e">
        <x:f>#REF!*8/100</x:f>
        <x:v>#REF!</x:v>
      </x:c>
      <x:c r="G70" s="55" t="e">
        <x:f>#REF!*8/100</x:f>
        <x:v>#REF!</x:v>
      </x:c>
      <x:c r="H70" s="55" t="e">
        <x:f>#REF!*8/100</x:f>
        <x:v>#REF!</x:v>
      </x:c>
      <x:c r="I70" s="55" t="e">
        <x:f>#REF!*8/100</x:f>
        <x:v>#REF!</x:v>
      </x:c>
      <x:c r="J70" s="55" t="e">
        <x:f>#REF!*8/100</x:f>
        <x:v>#REF!</x:v>
      </x:c>
      <x:c r="K70" s="55" t="e">
        <x:f>#REF!*8/100</x:f>
        <x:v>#REF!</x:v>
      </x:c>
      <x:c r="L70" s="55" t="e">
        <x:f>#REF!*8/100</x:f>
        <x:v>#REF!</x:v>
      </x:c>
      <x:c r="M70" s="55" t="e">
        <x:f>#REF!*8/100</x:f>
        <x:v>#REF!</x:v>
      </x:c>
      <x:c r="N70" s="55" t="e">
        <x:f>#REF!*8/100</x:f>
        <x:v>#REF!</x:v>
      </x:c>
      <x:c r="O70" s="55" t="e">
        <x:f>#REF!*8/100</x:f>
        <x:v>#REF!</x:v>
      </x:c>
      <x:c r="P70" s="55" t="e">
        <x:f>#REF!*8/100</x:f>
        <x:v>#REF!</x:v>
      </x:c>
      <x:c r="Q70" s="55" t="e">
        <x:f>(AVERAGE(#REF!*8/100)+(#REF!*8/100))/2</x:f>
        <x:v>#REF!</x:v>
      </x:c>
      <x:c r="R70" s="55" t="e">
        <x:f>AVERAGE(#REF!*8/100)+(#REF!*8/100)</x:f>
        <x:v>#REF!</x:v>
      </x:c>
      <x:c r="V70" s="78"/>
    </x:row>
    <x:row r="71" ht="20.25">
      <x:c r="A71" s="59">
        <x:v>12</x:v>
      </x:c>
      <x:c r="B71" s="77" t="e">
        <x:f>#REF!*8/100</x:f>
        <x:v>#REF!</x:v>
      </x:c>
      <x:c r="C71" s="55" t="e">
        <x:f>#REF!*8/100</x:f>
        <x:v>#REF!</x:v>
      </x:c>
      <x:c r="D71" s="55" t="e">
        <x:f>#REF!*8/100</x:f>
        <x:v>#REF!</x:v>
      </x:c>
      <x:c r="E71" s="55" t="e">
        <x:f>#REF!*8/100</x:f>
        <x:v>#REF!</x:v>
      </x:c>
      <x:c r="F71" s="55" t="e">
        <x:f>#REF!*8/100</x:f>
        <x:v>#REF!</x:v>
      </x:c>
      <x:c r="G71" s="55" t="e">
        <x:f>#REF!*8/100</x:f>
        <x:v>#REF!</x:v>
      </x:c>
      <x:c r="H71" s="55" t="e">
        <x:f>#REF!*8/100</x:f>
        <x:v>#REF!</x:v>
      </x:c>
      <x:c r="I71" s="55" t="e">
        <x:f>#REF!*8/100</x:f>
        <x:v>#REF!</x:v>
      </x:c>
      <x:c r="J71" s="55" t="e">
        <x:f>#REF!*8/100</x:f>
        <x:v>#REF!</x:v>
      </x:c>
      <x:c r="K71" s="55" t="e">
        <x:f>#REF!*8/100</x:f>
        <x:v>#REF!</x:v>
      </x:c>
      <x:c r="L71" s="55" t="e">
        <x:f>#REF!*8/100</x:f>
        <x:v>#REF!</x:v>
      </x:c>
      <x:c r="M71" s="55" t="e">
        <x:f>#REF!*8/100</x:f>
        <x:v>#REF!</x:v>
      </x:c>
      <x:c r="N71" s="55" t="e">
        <x:f>#REF!*8/100</x:f>
        <x:v>#REF!</x:v>
      </x:c>
      <x:c r="O71" s="55" t="e">
        <x:f>#REF!*8/100</x:f>
        <x:v>#REF!</x:v>
      </x:c>
      <x:c r="P71" s="55" t="e">
        <x:f>#REF!*8/100</x:f>
        <x:v>#REF!</x:v>
      </x:c>
      <x:c r="Q71" s="55" t="e">
        <x:f>(AVERAGE(#REF!*8/100)+(#REF!*8/100))/2</x:f>
        <x:v>#REF!</x:v>
      </x:c>
      <x:c r="R71" s="55" t="e">
        <x:f>AVERAGE(#REF!*8/100)+(#REF!*8/100)</x:f>
        <x:v>#REF!</x:v>
      </x:c>
      <x:c r="V71" s="78"/>
    </x:row>
    <x:row r="72" ht="20.25">
      <x:c r="A72" s="59">
        <x:v>13</x:v>
      </x:c>
      <x:c r="B72" s="77" t="e">
        <x:f>#REF!*8/100</x:f>
        <x:v>#REF!</x:v>
      </x:c>
      <x:c r="C72" s="55" t="e">
        <x:f>#REF!*8/100</x:f>
        <x:v>#REF!</x:v>
      </x:c>
      <x:c r="D72" s="55" t="e">
        <x:f>#REF!*8/100</x:f>
        <x:v>#REF!</x:v>
      </x:c>
      <x:c r="E72" s="55" t="e">
        <x:f>#REF!*8/100</x:f>
        <x:v>#REF!</x:v>
      </x:c>
      <x:c r="F72" s="55" t="e">
        <x:f>#REF!*8/100</x:f>
        <x:v>#REF!</x:v>
      </x:c>
      <x:c r="G72" s="55" t="e">
        <x:f>#REF!*8/100</x:f>
        <x:v>#REF!</x:v>
      </x:c>
      <x:c r="H72" s="55" t="e">
        <x:f>#REF!*8/100</x:f>
        <x:v>#REF!</x:v>
      </x:c>
      <x:c r="I72" s="55" t="e">
        <x:f>#REF!*8/100</x:f>
        <x:v>#REF!</x:v>
      </x:c>
      <x:c r="J72" s="55" t="e">
        <x:f>#REF!*8/100</x:f>
        <x:v>#REF!</x:v>
      </x:c>
      <x:c r="K72" s="55" t="e">
        <x:f>#REF!*8/100</x:f>
        <x:v>#REF!</x:v>
      </x:c>
      <x:c r="L72" s="55" t="e">
        <x:f>#REF!*8/100</x:f>
        <x:v>#REF!</x:v>
      </x:c>
      <x:c r="M72" s="55" t="e">
        <x:f>#REF!*8/100</x:f>
        <x:v>#REF!</x:v>
      </x:c>
      <x:c r="N72" s="55" t="e">
        <x:f>#REF!*8/100</x:f>
        <x:v>#REF!</x:v>
      </x:c>
      <x:c r="O72" s="55" t="e">
        <x:f>#REF!*8/100</x:f>
        <x:v>#REF!</x:v>
      </x:c>
      <x:c r="P72" s="55" t="e">
        <x:f>#REF!*8/100</x:f>
        <x:v>#REF!</x:v>
      </x:c>
      <x:c r="Q72" s="55" t="e">
        <x:f>(AVERAGE(#REF!*8/100)+(#REF!*8/100))/2</x:f>
        <x:v>#REF!</x:v>
      </x:c>
      <x:c r="R72" s="55" t="e">
        <x:f>AVERAGE(#REF!*8/100)+(#REF!*8/100)</x:f>
        <x:v>#REF!</x:v>
      </x:c>
      <x:c r="V72" s="78"/>
    </x:row>
    <x:row r="73" ht="20.25">
      <x:c r="A73" s="59">
        <x:v>14</x:v>
      </x:c>
      <x:c r="B73" s="77" t="e">
        <x:f>#REF!*8/100</x:f>
        <x:v>#REF!</x:v>
      </x:c>
      <x:c r="C73" s="55" t="e">
        <x:f>#REF!*8/100</x:f>
        <x:v>#REF!</x:v>
      </x:c>
      <x:c r="D73" s="55" t="e">
        <x:f>#REF!*8/100</x:f>
        <x:v>#REF!</x:v>
      </x:c>
      <x:c r="E73" s="55" t="e">
        <x:f>#REF!*8/100</x:f>
        <x:v>#REF!</x:v>
      </x:c>
      <x:c r="F73" s="55" t="e">
        <x:f>#REF!*8/100</x:f>
        <x:v>#REF!</x:v>
      </x:c>
      <x:c r="G73" s="55" t="e">
        <x:f>#REF!*8/100</x:f>
        <x:v>#REF!</x:v>
      </x:c>
      <x:c r="H73" s="55" t="e">
        <x:f>#REF!*8/100</x:f>
        <x:v>#REF!</x:v>
      </x:c>
      <x:c r="I73" s="55" t="e">
        <x:f>#REF!*8/100</x:f>
        <x:v>#REF!</x:v>
      </x:c>
      <x:c r="J73" s="55" t="e">
        <x:f>#REF!*8/100</x:f>
        <x:v>#REF!</x:v>
      </x:c>
      <x:c r="K73" s="55" t="e">
        <x:f>#REF!*8/100</x:f>
        <x:v>#REF!</x:v>
      </x:c>
      <x:c r="L73" s="55" t="e">
        <x:f>#REF!*8/100</x:f>
        <x:v>#REF!</x:v>
      </x:c>
      <x:c r="M73" s="55" t="e">
        <x:f>#REF!*8/100</x:f>
        <x:v>#REF!</x:v>
      </x:c>
      <x:c r="N73" s="55" t="e">
        <x:f>#REF!*8/100</x:f>
        <x:v>#REF!</x:v>
      </x:c>
      <x:c r="O73" s="55" t="e">
        <x:f>#REF!*8/100</x:f>
        <x:v>#REF!</x:v>
      </x:c>
      <x:c r="P73" s="55" t="e">
        <x:f>#REF!*8/100</x:f>
        <x:v>#REF!</x:v>
      </x:c>
      <x:c r="Q73" s="55" t="e">
        <x:f>(AVERAGE(#REF!*8/100)+(#REF!*8/100))/2</x:f>
        <x:v>#REF!</x:v>
      </x:c>
      <x:c r="R73" s="55" t="e">
        <x:f>AVERAGE(#REF!*8/100)+(#REF!*8/100)</x:f>
        <x:v>#REF!</x:v>
      </x:c>
      <x:c r="V73" s="78"/>
    </x:row>
    <x:row r="74" ht="20.25">
      <x:c r="A74" s="59">
        <x:v>15</x:v>
      </x:c>
      <x:c r="B74" s="77" t="e">
        <x:f>#REF!*8/100</x:f>
        <x:v>#REF!</x:v>
      </x:c>
      <x:c r="C74" s="55" t="e">
        <x:f>#REF!*8/100</x:f>
        <x:v>#REF!</x:v>
      </x:c>
      <x:c r="D74" s="55" t="e">
        <x:f>#REF!*8/100</x:f>
        <x:v>#REF!</x:v>
      </x:c>
      <x:c r="E74" s="55" t="e">
        <x:f>#REF!*8/100</x:f>
        <x:v>#REF!</x:v>
      </x:c>
      <x:c r="F74" s="55" t="e">
        <x:f>#REF!*8/100</x:f>
        <x:v>#REF!</x:v>
      </x:c>
      <x:c r="G74" s="55" t="e">
        <x:f>#REF!*8/100</x:f>
        <x:v>#REF!</x:v>
      </x:c>
      <x:c r="H74" s="55" t="e">
        <x:f>#REF!*8/100</x:f>
        <x:v>#REF!</x:v>
      </x:c>
      <x:c r="I74" s="55" t="e">
        <x:f>#REF!*8/100</x:f>
        <x:v>#REF!</x:v>
      </x:c>
      <x:c r="J74" s="55" t="e">
        <x:f>#REF!*8/100</x:f>
        <x:v>#REF!</x:v>
      </x:c>
      <x:c r="K74" s="55" t="e">
        <x:f>#REF!*8/100</x:f>
        <x:v>#REF!</x:v>
      </x:c>
      <x:c r="L74" s="55" t="e">
        <x:f>#REF!*8/100</x:f>
        <x:v>#REF!</x:v>
      </x:c>
      <x:c r="M74" s="55" t="e">
        <x:f>#REF!*8/100</x:f>
        <x:v>#REF!</x:v>
      </x:c>
      <x:c r="N74" s="55" t="e">
        <x:f>#REF!*8/100</x:f>
        <x:v>#REF!</x:v>
      </x:c>
      <x:c r="O74" s="55" t="e">
        <x:f>#REF!*8/100</x:f>
        <x:v>#REF!</x:v>
      </x:c>
      <x:c r="P74" s="55" t="e">
        <x:f>#REF!*8/100</x:f>
        <x:v>#REF!</x:v>
      </x:c>
      <x:c r="Q74" s="55" t="e">
        <x:f>(AVERAGE(#REF!*8/100)+(#REF!*8/100))/2</x:f>
        <x:v>#REF!</x:v>
      </x:c>
      <x:c r="R74" s="55" t="e">
        <x:f>AVERAGE(#REF!*8/100)+(#REF!*8/100)</x:f>
        <x:v>#REF!</x:v>
      </x:c>
      <x:c r="V74" s="78"/>
    </x:row>
    <x:row r="75" ht="20.25">
      <x:c r="A75" s="59">
        <x:v>16</x:v>
      </x:c>
      <x:c r="B75" s="77" t="e">
        <x:f>#REF!*8/100</x:f>
        <x:v>#REF!</x:v>
      </x:c>
      <x:c r="C75" s="55" t="e">
        <x:f>#REF!*8/100</x:f>
        <x:v>#REF!</x:v>
      </x:c>
      <x:c r="D75" s="55" t="e">
        <x:f>#REF!*8/100</x:f>
        <x:v>#REF!</x:v>
      </x:c>
      <x:c r="E75" s="55" t="e">
        <x:f>#REF!*8/100</x:f>
        <x:v>#REF!</x:v>
      </x:c>
      <x:c r="F75" s="55" t="e">
        <x:f>#REF!*8/100</x:f>
        <x:v>#REF!</x:v>
      </x:c>
      <x:c r="G75" s="55" t="e">
        <x:f>#REF!*8/100</x:f>
        <x:v>#REF!</x:v>
      </x:c>
      <x:c r="H75" s="55" t="e">
        <x:f>#REF!*8/100</x:f>
        <x:v>#REF!</x:v>
      </x:c>
      <x:c r="I75" s="55" t="e">
        <x:f>#REF!*8/100</x:f>
        <x:v>#REF!</x:v>
      </x:c>
      <x:c r="J75" s="55" t="e">
        <x:f>#REF!*8/100</x:f>
        <x:v>#REF!</x:v>
      </x:c>
      <x:c r="K75" s="55" t="e">
        <x:f>#REF!*8/100</x:f>
        <x:v>#REF!</x:v>
      </x:c>
      <x:c r="L75" s="55" t="e">
        <x:f>#REF!*8/100</x:f>
        <x:v>#REF!</x:v>
      </x:c>
      <x:c r="M75" s="55" t="e">
        <x:f>#REF!*8/100</x:f>
        <x:v>#REF!</x:v>
      </x:c>
      <x:c r="N75" s="55" t="e">
        <x:f>#REF!*8/100</x:f>
        <x:v>#REF!</x:v>
      </x:c>
      <x:c r="O75" s="55" t="e">
        <x:f>#REF!*8/100</x:f>
        <x:v>#REF!</x:v>
      </x:c>
      <x:c r="P75" s="55" t="e">
        <x:f>#REF!*8/100</x:f>
        <x:v>#REF!</x:v>
      </x:c>
      <x:c r="Q75" s="55" t="e">
        <x:f>(AVERAGE(#REF!*8/100)+(#REF!*8/100))/2</x:f>
        <x:v>#REF!</x:v>
      </x:c>
      <x:c r="R75" s="55" t="e">
        <x:f>AVERAGE(#REF!*8/100)+(#REF!*8/100)</x:f>
        <x:v>#REF!</x:v>
      </x:c>
      <x:c r="V75" s="78"/>
    </x:row>
    <x:row r="76" ht="20.25">
      <x:c r="A76" s="59">
        <x:v>17</x:v>
      </x:c>
      <x:c r="B76" s="77" t="e">
        <x:f>#REF!*8/100</x:f>
        <x:v>#REF!</x:v>
      </x:c>
      <x:c r="C76" s="55" t="e">
        <x:f>#REF!*8/100</x:f>
        <x:v>#REF!</x:v>
      </x:c>
      <x:c r="D76" s="55" t="e">
        <x:f>#REF!*8/100</x:f>
        <x:v>#REF!</x:v>
      </x:c>
      <x:c r="E76" s="55" t="e">
        <x:f>#REF!*8/100</x:f>
        <x:v>#REF!</x:v>
      </x:c>
      <x:c r="F76" s="55" t="e">
        <x:f>#REF!*8/100</x:f>
        <x:v>#REF!</x:v>
      </x:c>
      <x:c r="G76" s="55" t="e">
        <x:f>#REF!*8/100</x:f>
        <x:v>#REF!</x:v>
      </x:c>
      <x:c r="H76" s="55" t="e">
        <x:f>#REF!*8/100</x:f>
        <x:v>#REF!</x:v>
      </x:c>
      <x:c r="I76" s="55" t="e">
        <x:f>#REF!*8/100</x:f>
        <x:v>#REF!</x:v>
      </x:c>
      <x:c r="J76" s="55" t="e">
        <x:f>#REF!*8/100</x:f>
        <x:v>#REF!</x:v>
      </x:c>
      <x:c r="K76" s="55" t="e">
        <x:f>#REF!*8/100</x:f>
        <x:v>#REF!</x:v>
      </x:c>
      <x:c r="L76" s="55" t="e">
        <x:f>#REF!*8/100</x:f>
        <x:v>#REF!</x:v>
      </x:c>
      <x:c r="M76" s="55" t="e">
        <x:f>#REF!*8/100</x:f>
        <x:v>#REF!</x:v>
      </x:c>
      <x:c r="N76" s="55" t="e">
        <x:f>#REF!*8/100</x:f>
        <x:v>#REF!</x:v>
      </x:c>
      <x:c r="O76" s="55" t="e">
        <x:f>#REF!*8/100</x:f>
        <x:v>#REF!</x:v>
      </x:c>
      <x:c r="P76" s="55" t="e">
        <x:f>#REF!*8/100</x:f>
        <x:v>#REF!</x:v>
      </x:c>
      <x:c r="Q76" s="55" t="e">
        <x:f>(AVERAGE(#REF!*8/100)+(#REF!*8/100))/2</x:f>
        <x:v>#REF!</x:v>
      </x:c>
      <x:c r="R76" s="55" t="e">
        <x:f>AVERAGE(#REF!*8/100)+(#REF!*8/100)</x:f>
        <x:v>#REF!</x:v>
      </x:c>
      <x:c r="V76" s="78"/>
    </x:row>
    <x:row r="77" ht="20.25">
      <x:c r="A77" s="59">
        <x:v>18</x:v>
      </x:c>
      <x:c r="B77" s="77" t="e">
        <x:f>#REF!*8/100</x:f>
        <x:v>#REF!</x:v>
      </x:c>
      <x:c r="C77" s="55" t="e">
        <x:f>#REF!*8/100</x:f>
        <x:v>#REF!</x:v>
      </x:c>
      <x:c r="D77" s="55" t="e">
        <x:f>#REF!*8/100</x:f>
        <x:v>#REF!</x:v>
      </x:c>
      <x:c r="E77" s="55" t="e">
        <x:f>#REF!*8/100</x:f>
        <x:v>#REF!</x:v>
      </x:c>
      <x:c r="F77" s="55" t="e">
        <x:f>#REF!*8/100</x:f>
        <x:v>#REF!</x:v>
      </x:c>
      <x:c r="G77" s="55" t="e">
        <x:f>#REF!*8/100</x:f>
        <x:v>#REF!</x:v>
      </x:c>
      <x:c r="H77" s="55" t="e">
        <x:f>#REF!*8/100</x:f>
        <x:v>#REF!</x:v>
      </x:c>
      <x:c r="I77" s="55" t="e">
        <x:f>#REF!*8/100</x:f>
        <x:v>#REF!</x:v>
      </x:c>
      <x:c r="J77" s="55" t="e">
        <x:f>#REF!*8/100</x:f>
        <x:v>#REF!</x:v>
      </x:c>
      <x:c r="K77" s="55" t="e">
        <x:f>#REF!*8/100</x:f>
        <x:v>#REF!</x:v>
      </x:c>
      <x:c r="L77" s="55" t="e">
        <x:f>#REF!*8/100</x:f>
        <x:v>#REF!</x:v>
      </x:c>
      <x:c r="M77" s="55" t="e">
        <x:f>#REF!*8/100</x:f>
        <x:v>#REF!</x:v>
      </x:c>
      <x:c r="N77" s="55" t="e">
        <x:f>#REF!*8/100</x:f>
        <x:v>#REF!</x:v>
      </x:c>
      <x:c r="O77" s="55" t="e">
        <x:f>#REF!*8/100</x:f>
        <x:v>#REF!</x:v>
      </x:c>
      <x:c r="P77" s="55" t="e">
        <x:f>#REF!*8/100</x:f>
        <x:v>#REF!</x:v>
      </x:c>
      <x:c r="Q77" s="55" t="e">
        <x:f>(AVERAGE(#REF!*8/100)+(#REF!*8/100))/2</x:f>
        <x:v>#REF!</x:v>
      </x:c>
      <x:c r="R77" s="55" t="e">
        <x:f>AVERAGE(#REF!*8/100)+(#REF!*8/100)</x:f>
        <x:v>#REF!</x:v>
      </x:c>
      <x:c r="V77" s="78"/>
    </x:row>
    <x:row r="78" ht="21">
      <x:c r="A78" s="60">
        <x:v>19</x:v>
      </x:c>
      <x:c r="B78" s="77" t="e">
        <x:f>#REF!*8/100</x:f>
        <x:v>#REF!</x:v>
      </x:c>
      <x:c r="C78" s="55" t="e">
        <x:f>#REF!*8/100</x:f>
        <x:v>#REF!</x:v>
      </x:c>
      <x:c r="D78" s="55" t="e">
        <x:f>#REF!*8/100</x:f>
        <x:v>#REF!</x:v>
      </x:c>
      <x:c r="E78" s="55" t="e">
        <x:f>#REF!*8/100</x:f>
        <x:v>#REF!</x:v>
      </x:c>
      <x:c r="F78" s="55" t="e">
        <x:f>#REF!*8/100</x:f>
        <x:v>#REF!</x:v>
      </x:c>
      <x:c r="G78" s="55" t="e">
        <x:f>#REF!*8/100</x:f>
        <x:v>#REF!</x:v>
      </x:c>
      <x:c r="H78" s="55" t="e">
        <x:f>#REF!*8/100</x:f>
        <x:v>#REF!</x:v>
      </x:c>
      <x:c r="I78" s="55" t="e">
        <x:f>#REF!*8/100</x:f>
        <x:v>#REF!</x:v>
      </x:c>
      <x:c r="J78" s="55" t="e">
        <x:f>#REF!*8/100</x:f>
        <x:v>#REF!</x:v>
      </x:c>
      <x:c r="K78" s="55" t="e">
        <x:f>#REF!*8/100</x:f>
        <x:v>#REF!</x:v>
      </x:c>
      <x:c r="L78" s="55" t="e">
        <x:f>#REF!*8/100</x:f>
        <x:v>#REF!</x:v>
      </x:c>
      <x:c r="M78" s="55" t="e">
        <x:f>#REF!*8/100</x:f>
        <x:v>#REF!</x:v>
      </x:c>
      <x:c r="N78" s="55" t="e">
        <x:f>#REF!*8/100</x:f>
        <x:v>#REF!</x:v>
      </x:c>
      <x:c r="O78" s="55" t="e">
        <x:f>#REF!*8/100</x:f>
        <x:v>#REF!</x:v>
      </x:c>
      <x:c r="P78" s="55" t="e">
        <x:f>#REF!*8/100</x:f>
        <x:v>#REF!</x:v>
      </x:c>
      <x:c r="Q78" s="55" t="e">
        <x:f>(AVERAGE(#REF!*8/100)+(#REF!*8/100))/2</x:f>
        <x:v>#REF!</x:v>
      </x:c>
      <x:c r="R78" s="55" t="e">
        <x:f>AVERAGE(#REF!*8/100)+(#REF!*8/100)</x:f>
        <x:v>#REF!</x:v>
      </x:c>
      <x:c r="V78" s="78"/>
    </x:row>
    <x:row r="79">
      <x:c r="V79" s="78"/>
    </x:row>
    <x:row r="80">
      <x:c r="V80" s="78"/>
    </x:row>
    <x:row r="81">
      <x:c r="V81" s="78"/>
    </x:row>
    <x:row r="82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</x:row>
  </x:sheetData>
  <x:mergeCells>
    <x:mergeCell ref="R32:R33"/>
    <x:mergeCell ref="B56:R56"/>
    <x:mergeCell ref="B57:B58"/>
    <x:mergeCell ref="C57:C58"/>
    <x:mergeCell ref="D57:D58"/>
    <x:mergeCell ref="E57:E58"/>
    <x:mergeCell ref="F57:F58"/>
    <x:mergeCell ref="G57:G58"/>
    <x:mergeCell ref="H57:H58"/>
    <x:mergeCell ref="I57:I58"/>
    <x:mergeCell ref="J57:J58"/>
    <x:mergeCell ref="G32:G33"/>
    <x:mergeCell ref="N32:N33"/>
    <x:mergeCell ref="O32:O33"/>
    <x:mergeCell ref="P32:P33"/>
    <x:mergeCell ref="Q32:Q33"/>
    <x:mergeCell ref="Q2:Q3"/>
    <x:mergeCell ref="R2:R3"/>
    <x:mergeCell ref="S2:S3"/>
    <x:mergeCell ref="B32:B33"/>
    <x:mergeCell ref="C32:C33"/>
    <x:mergeCell ref="D32:D33"/>
    <x:mergeCell ref="E32:E33"/>
    <x:mergeCell ref="F32:F33"/>
    <x:mergeCell ref="B31:R31"/>
    <x:mergeCell ref="S32:S33"/>
    <x:mergeCell ref="H32:H33"/>
    <x:mergeCell ref="I32:I33"/>
    <x:mergeCell ref="J32:J33"/>
    <x:mergeCell ref="K32:K33"/>
    <x:mergeCell ref="L32:L33"/>
    <x:mergeCell ref="M32:M33"/>
    <x:mergeCell ref="S57:S58"/>
    <x:mergeCell ref="K57:K58"/>
    <x:mergeCell ref="L57:L58"/>
    <x:mergeCell ref="M57:M58"/>
    <x:mergeCell ref="N57:N58"/>
    <x:mergeCell ref="O57:O58"/>
    <x:mergeCell ref="P57:P58"/>
    <x:mergeCell ref="Q57:Q58"/>
    <x:mergeCell ref="R57:R58"/>
    <x:mergeCell ref="B1:R1"/>
    <x:mergeCell ref="B2:B3"/>
    <x:mergeCell ref="C2:C3"/>
    <x:mergeCell ref="D2:D3"/>
    <x:mergeCell ref="E2:E3"/>
    <x:mergeCell ref="F2:F3"/>
    <x:mergeCell ref="G2:G3"/>
    <x:mergeCell ref="H2:H3"/>
    <x:mergeCell ref="I2:I3"/>
    <x:mergeCell ref="J2:J3"/>
    <x:mergeCell ref="K2:K3"/>
    <x:mergeCell ref="L2:L3"/>
    <x:mergeCell ref="M2:M3"/>
    <x:mergeCell ref="N2:N3"/>
    <x:mergeCell ref="O2:O3"/>
    <x:mergeCell ref="P2:P3"/>
  </x:mergeCells>
  <x:conditionalFormatting sqref="B5:R23">
    <x:cfRule type="cellIs" dxfId="12" priority="1" operator="greaterThanOrEqual">
      <x:formula>1</x:formula>
    </x:cfRule>
  </x:conditionalFormatting>
  <x:conditionalFormatting sqref="B35:R53">
    <x:cfRule type="cellIs" dxfId="11" priority="3" operator="greaterThanOrEqual">
      <x:formula>1</x:formula>
    </x:cfRule>
  </x:conditionalFormatting>
  <x:conditionalFormatting sqref="B60:R78">
    <x:cfRule type="cellIs" dxfId="10" priority="2" operator="greaterThanOrEqual">
      <x:formula>1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10.7109375" defaultRowHeight="12.75"/>
  <x:cols>
    <x:col min="2" max="2" width="25.7109375" customWidth="1"/>
    <x:col min="3" max="3" width="22.7109375" customWidth="1"/>
    <x:col min="4" max="4" width="19.140625" customWidth="1"/>
    <x:col min="5" max="5" width="27.85546875" customWidth="1"/>
    <x:col min="6" max="6" width="17.28515625" customWidth="1"/>
    <x:col min="7" max="7" width="24.42578125" customWidth="1"/>
    <x:col min="8" max="8" width="19.85546875" customWidth="1"/>
    <x:col min="9" max="9" width="17.85546875" customWidth="1"/>
    <x:col min="10" max="10" width="19.7109375" customWidth="1"/>
    <x:col min="11" max="11" width="26.85546875" customWidth="1"/>
    <x:col min="12" max="12" width="30" customWidth="1"/>
    <x:col min="13" max="13" width="17.28515625" customWidth="1"/>
    <x:col min="14" max="14" width="23.28515625" customWidth="1"/>
    <x:col min="15" max="16" width="26.85546875" customWidth="1"/>
    <x:col min="17" max="17" width="18.42578125" customWidth="1"/>
    <x:col min="18" max="18" width="17.140625" customWidth="1"/>
    <x:col min="19" max="19" width="15" customWidth="1"/>
    <x:col min="20" max="20" width="14.5703125" customWidth="1"/>
    <x:col min="21" max="21" width="15.5703125" customWidth="1"/>
    <x:col min="22" max="22" width="16.28515625" customWidth="1"/>
  </x:cols>
  <x:sheetData>
    <x:row r="2" ht="28.5">
      <x:c r="A2" s="94" t="s">
        <x:v>599</x:v>
      </x:c>
    </x:row>
    <x:row r="3" s="95" customFormat="1" ht="69" customHeight="1">
      <x:c r="B3" s="146" t="s">
        <x:v>600</x:v>
      </x:c>
      <x:c r="C3" s="146" t="s">
        <x:v>601</x:v>
      </x:c>
      <x:c r="D3" s="146" t="s">
        <x:v>602</x:v>
      </x:c>
      <x:c r="E3" s="144" t="s">
        <x:v>603</x:v>
      </x:c>
      <x:c r="F3" s="144" t="s">
        <x:v>604</x:v>
      </x:c>
      <x:c r="G3" s="144" t="s">
        <x:v>605</x:v>
      </x:c>
      <x:c r="H3" s="144" t="s">
        <x:v>606</x:v>
      </x:c>
      <x:c r="I3" s="144" t="s">
        <x:v>607</x:v>
      </x:c>
      <x:c r="J3" s="144" t="s">
        <x:v>608</x:v>
      </x:c>
      <x:c r="K3" s="144" t="s">
        <x:v>609</x:v>
      </x:c>
      <x:c r="L3" s="144" t="s">
        <x:v>610</x:v>
      </x:c>
      <x:c r="M3" s="144" t="s">
        <x:v>611</x:v>
      </x:c>
      <x:c r="N3" s="144" t="s">
        <x:v>612</x:v>
      </x:c>
      <x:c r="O3" s="144" t="s">
        <x:v>613</x:v>
      </x:c>
      <x:c r="P3" s="144" t="s">
        <x:v>614</x:v>
      </x:c>
      <x:c r="Q3" s="144" t="s">
        <x:v>615</x:v>
      </x:c>
      <x:c r="R3" s="144" t="s">
        <x:v>616</x:v>
      </x:c>
      <x:c r="S3" s="144" t="s">
        <x:v>617</x:v>
      </x:c>
      <x:c r="T3" s="144" t="s">
        <x:v>618</x:v>
      </x:c>
      <x:c r="U3" s="144" t="s">
        <x:v>619</x:v>
      </x:c>
      <x:c r="V3" s="144" t="s">
        <x:v>620</x:v>
      </x:c>
    </x:row>
    <x:row r="4" ht="16.5">
      <x:c r="A4" s="85" t="s">
        <x:v>7</x:v>
      </x:c>
      <x:c r="B4" s="93" t="s">
        <x:v>621</x:v>
      </x:c>
      <x:c r="C4" s="93" t="s">
        <x:v>621</x:v>
      </x:c>
      <x:c r="D4" s="93" t="s">
        <x:v>621</x:v>
      </x:c>
      <x:c r="E4" s="93" t="s">
        <x:v>621</x:v>
      </x:c>
      <x:c r="F4" s="93" t="s">
        <x:v>621</x:v>
      </x:c>
      <x:c r="G4" s="93" t="s">
        <x:v>621</x:v>
      </x:c>
      <x:c r="H4" s="93" t="s">
        <x:v>621</x:v>
      </x:c>
      <x:c r="I4" s="93" t="s">
        <x:v>621</x:v>
      </x:c>
      <x:c r="J4" s="93" t="s">
        <x:v>621</x:v>
      </x:c>
      <x:c r="K4" s="93" t="s">
        <x:v>621</x:v>
      </x:c>
      <x:c r="L4" s="93" t="s">
        <x:v>621</x:v>
      </x:c>
      <x:c r="M4" s="93" t="s">
        <x:v>621</x:v>
      </x:c>
      <x:c r="N4" s="93" t="s">
        <x:v>621</x:v>
      </x:c>
      <x:c r="O4" s="93" t="s">
        <x:v>621</x:v>
      </x:c>
      <x:c r="P4" s="93" t="s">
        <x:v>621</x:v>
      </x:c>
      <x:c r="Q4" s="93" t="s">
        <x:v>621</x:v>
      </x:c>
      <x:c r="R4" s="93" t="s">
        <x:v>621</x:v>
      </x:c>
      <x:c r="S4" s="93" t="s">
        <x:v>621</x:v>
      </x:c>
      <x:c r="T4" s="93" t="s">
        <x:v>621</x:v>
      </x:c>
      <x:c r="U4" s="93" t="s">
        <x:v>621</x:v>
      </x:c>
      <x:c r="V4" s="93" t="s">
        <x:v>621</x:v>
      </x:c>
    </x:row>
    <x:row r="5" ht="15.75">
      <x:c r="A5" s="96">
        <x:v>1</x:v>
      </x:c>
      <x:c r="B5" s="87">
        <x:v>0</x:v>
      </x:c>
      <x:c r="C5" s="87">
        <x:v>0</x:v>
      </x:c>
      <x:c r="D5" s="87" t="e">
        <x:f>#REF!</x:f>
        <x:v>#REF!</x:v>
      </x:c>
      <x:c r="E5" s="87" t="e">
        <x:f>#REF!</x:f>
        <x:v>#REF!</x:v>
      </x:c>
      <x:c r="F5" s="87" t="e">
        <x:f>#REF!</x:f>
        <x:v>#REF!</x:v>
      </x:c>
      <x:c r="G5" s="87" t="e">
        <x:f>#REF!</x:f>
        <x:v>#REF!</x:v>
      </x:c>
      <x:c r="H5" s="87" t="e">
        <x:f>#REF!</x:f>
        <x:v>#REF!</x:v>
      </x:c>
      <x:c r="I5" s="87" t="e">
        <x:f>#REF!</x:f>
        <x:v>#REF!</x:v>
      </x:c>
      <x:c r="J5" s="87" t="e">
        <x:f>#REF!</x:f>
        <x:v>#REF!</x:v>
      </x:c>
      <x:c r="K5" s="87" t="e">
        <x:f>#REF!</x:f>
        <x:v>#REF!</x:v>
      </x:c>
      <x:c r="L5" s="87" t="e">
        <x:f>#REF!</x:f>
        <x:v>#REF!</x:v>
      </x:c>
      <x:c r="M5" s="87"/>
      <x:c r="N5" s="87" t="e">
        <x:f>#REF!</x:f>
        <x:v>#REF!</x:v>
      </x:c>
      <x:c r="O5" s="87" t="e">
        <x:f>#REF!</x:f>
        <x:v>#REF!</x:v>
      </x:c>
      <x:c r="P5" s="87" t="e">
        <x:f>#REF!</x:f>
        <x:v>#REF!</x:v>
      </x:c>
      <x:c r="Q5" s="87" t="e">
        <x:f>#REF!</x:f>
        <x:v>#REF!</x:v>
      </x:c>
      <x:c r="R5" s="87" t="e">
        <x:f>#REF!</x:f>
        <x:v>#REF!</x:v>
      </x:c>
      <x:c r="S5" s="87" t="e">
        <x:f>#REF!</x:f>
        <x:v>#REF!</x:v>
      </x:c>
      <x:c r="T5" s="87" t="e">
        <x:f>#REF!</x:f>
        <x:v>#REF!</x:v>
      </x:c>
      <x:c r="U5" s="87" t="e">
        <x:f>#REF!</x:f>
        <x:v>#REF!</x:v>
      </x:c>
      <x:c r="V5" s="87" t="e">
        <x:f>#REF!</x:f>
        <x:v>#REF!</x:v>
      </x:c>
    </x:row>
    <x:row r="6" ht="16.5">
      <x:c r="A6" s="97">
        <x:v>2</x:v>
      </x:c>
      <x:c r="B6" s="88" t="e">
        <x:f>#REF!</x:f>
        <x:v>#REF!</x:v>
      </x:c>
      <x:c r="C6" s="88">
        <x:v>0</x:v>
      </x:c>
      <x:c r="D6" s="88" t="e">
        <x:f>#REF!</x:f>
        <x:v>#REF!</x:v>
      </x:c>
      <x:c r="E6" s="88" t="e">
        <x:f>#REF!</x:f>
        <x:v>#REF!</x:v>
      </x:c>
      <x:c r="F6" s="88" t="e">
        <x:f>#REF!</x:f>
        <x:v>#REF!</x:v>
      </x:c>
      <x:c r="G6" s="88" t="e">
        <x:f>#REF!</x:f>
        <x:v>#REF!</x:v>
      </x:c>
      <x:c r="H6" s="88" t="e">
        <x:f>#REF!</x:f>
        <x:v>#REF!</x:v>
      </x:c>
      <x:c r="I6" s="88" t="e">
        <x:f>#REF!</x:f>
        <x:v>#REF!</x:v>
      </x:c>
      <x:c r="J6" s="88" t="e">
        <x:f>#REF!</x:f>
        <x:v>#REF!</x:v>
      </x:c>
      <x:c r="K6" s="88" t="e">
        <x:f>#REF!</x:f>
        <x:v>#REF!</x:v>
      </x:c>
      <x:c r="L6" s="88" t="e">
        <x:f>#REF!</x:f>
        <x:v>#REF!</x:v>
      </x:c>
      <x:c r="M6" s="88"/>
      <x:c r="N6" s="88" t="e">
        <x:f>#REF!</x:f>
        <x:v>#REF!</x:v>
      </x:c>
      <x:c r="O6" s="88" t="e">
        <x:f>#REF!</x:f>
        <x:v>#REF!</x:v>
      </x:c>
      <x:c r="P6" s="88" t="e">
        <x:f>#REF!</x:f>
        <x:v>#REF!</x:v>
      </x:c>
      <x:c r="Q6" s="88" t="e">
        <x:f>#REF!</x:f>
        <x:v>#REF!</x:v>
      </x:c>
      <x:c r="R6" s="88" t="e">
        <x:f>#REF!</x:f>
        <x:v>#REF!</x:v>
      </x:c>
      <x:c r="S6" s="88" t="e">
        <x:f>#REF!</x:f>
        <x:v>#REF!</x:v>
      </x:c>
      <x:c r="T6" s="88" t="e">
        <x:f>#REF!</x:f>
        <x:v>#REF!</x:v>
      </x:c>
      <x:c r="U6" s="88" t="e">
        <x:f>#REF!</x:f>
        <x:v>#REF!</x:v>
      </x:c>
      <x:c r="V6" s="88" t="e">
        <x:f>#REF!</x:f>
        <x:v>#REF!</x:v>
      </x:c>
    </x:row>
    <x:row r="7" ht="15.75">
      <x:c r="A7" s="96">
        <x:v>3</x:v>
      </x:c>
      <x:c r="B7" s="88" t="e">
        <x:f>#REF!</x:f>
        <x:v>#REF!</x:v>
      </x:c>
      <x:c r="C7" s="88" t="e">
        <x:f>#REF!</x:f>
        <x:v>#REF!</x:v>
      </x:c>
      <x:c r="D7" s="88" t="e">
        <x:f>#REF!</x:f>
        <x:v>#REF!</x:v>
      </x:c>
      <x:c r="E7" s="88" t="e">
        <x:f>#REF!</x:f>
        <x:v>#REF!</x:v>
      </x:c>
      <x:c r="F7" s="88" t="e">
        <x:f>#REF!</x:f>
        <x:v>#REF!</x:v>
      </x:c>
      <x:c r="G7" s="88" t="e">
        <x:f>#REF!</x:f>
        <x:v>#REF!</x:v>
      </x:c>
      <x:c r="H7" s="88" t="e">
        <x:f>#REF!</x:f>
        <x:v>#REF!</x:v>
      </x:c>
      <x:c r="I7" s="88" t="e">
        <x:f>#REF!</x:f>
        <x:v>#REF!</x:v>
      </x:c>
      <x:c r="J7" s="88" t="e">
        <x:f>#REF!</x:f>
        <x:v>#REF!</x:v>
      </x:c>
      <x:c r="K7" s="88" t="e">
        <x:f>#REF!</x:f>
        <x:v>#REF!</x:v>
      </x:c>
      <x:c r="L7" s="88" t="e">
        <x:f>#REF!</x:f>
        <x:v>#REF!</x:v>
      </x:c>
      <x:c r="M7" s="88"/>
      <x:c r="N7" s="88" t="e">
        <x:f>#REF!</x:f>
        <x:v>#REF!</x:v>
      </x:c>
      <x:c r="O7" s="88" t="e">
        <x:f>#REF!</x:f>
        <x:v>#REF!</x:v>
      </x:c>
      <x:c r="P7" s="88" t="e">
        <x:f>#REF!</x:f>
        <x:v>#REF!</x:v>
      </x:c>
      <x:c r="Q7" s="88" t="e">
        <x:f>#REF!</x:f>
        <x:v>#REF!</x:v>
      </x:c>
      <x:c r="R7" s="88" t="e">
        <x:f>#REF!</x:f>
        <x:v>#REF!</x:v>
      </x:c>
      <x:c r="S7" s="88" t="e">
        <x:f>#REF!</x:f>
        <x:v>#REF!</x:v>
      </x:c>
      <x:c r="T7" s="88" t="e">
        <x:f>#REF!</x:f>
        <x:v>#REF!</x:v>
      </x:c>
      <x:c r="U7" s="88" t="e">
        <x:f>#REF!</x:f>
        <x:v>#REF!</x:v>
      </x:c>
      <x:c r="V7" s="88" t="e">
        <x:f>#REF!</x:f>
        <x:v>#REF!</x:v>
      </x:c>
    </x:row>
    <x:row r="8" ht="16.5">
      <x:c r="A8" s="97">
        <x:v>4</x:v>
      </x:c>
      <x:c r="B8" s="88" t="e">
        <x:f>#REF!</x:f>
        <x:v>#REF!</x:v>
      </x:c>
      <x:c r="C8" s="88" t="e">
        <x:f>#REF!</x:f>
        <x:v>#REF!</x:v>
      </x:c>
      <x:c r="D8" s="88" t="e">
        <x:f>#REF!</x:f>
        <x:v>#REF!</x:v>
      </x:c>
      <x:c r="E8" s="88" t="e">
        <x:f>#REF!</x:f>
        <x:v>#REF!</x:v>
      </x:c>
      <x:c r="F8" s="88" t="e">
        <x:f>#REF!</x:f>
        <x:v>#REF!</x:v>
      </x:c>
      <x:c r="G8" s="88" t="e">
        <x:f>#REF!</x:f>
        <x:v>#REF!</x:v>
      </x:c>
      <x:c r="H8" s="88" t="e">
        <x:f>#REF!</x:f>
        <x:v>#REF!</x:v>
      </x:c>
      <x:c r="I8" s="88" t="e">
        <x:f>#REF!</x:f>
        <x:v>#REF!</x:v>
      </x:c>
      <x:c r="J8" s="88" t="e">
        <x:f>#REF!</x:f>
        <x:v>#REF!</x:v>
      </x:c>
      <x:c r="K8" s="88" t="e">
        <x:f>#REF!</x:f>
        <x:v>#REF!</x:v>
      </x:c>
      <x:c r="L8" s="88" t="e">
        <x:f>#REF!</x:f>
        <x:v>#REF!</x:v>
      </x:c>
      <x:c r="M8" s="88"/>
      <x:c r="N8" s="88" t="e">
        <x:f>#REF!</x:f>
        <x:v>#REF!</x:v>
      </x:c>
      <x:c r="O8" s="88" t="e">
        <x:f>#REF!</x:f>
        <x:v>#REF!</x:v>
      </x:c>
      <x:c r="P8" s="88" t="e">
        <x:f>#REF!</x:f>
        <x:v>#REF!</x:v>
      </x:c>
      <x:c r="Q8" s="88" t="e">
        <x:f>#REF!</x:f>
        <x:v>#REF!</x:v>
      </x:c>
      <x:c r="R8" s="88" t="e">
        <x:f>#REF!</x:f>
        <x:v>#REF!</x:v>
      </x:c>
      <x:c r="S8" s="88" t="e">
        <x:f>#REF!</x:f>
        <x:v>#REF!</x:v>
      </x:c>
      <x:c r="T8" s="88" t="e">
        <x:f>#REF!</x:f>
        <x:v>#REF!</x:v>
      </x:c>
      <x:c r="U8" s="88" t="e">
        <x:f>#REF!</x:f>
        <x:v>#REF!</x:v>
      </x:c>
      <x:c r="V8" s="88" t="e">
        <x:f>#REF!</x:f>
        <x:v>#REF!</x:v>
      </x:c>
    </x:row>
    <x:row r="9" ht="15.75">
      <x:c r="A9" s="96">
        <x:v>5</x:v>
      </x:c>
      <x:c r="B9" s="88" t="e">
        <x:f>#REF!</x:f>
        <x:v>#REF!</x:v>
      </x:c>
      <x:c r="C9" s="88" t="e">
        <x:f>#REF!</x:f>
        <x:v>#REF!</x:v>
      </x:c>
      <x:c r="D9" s="88" t="e">
        <x:f>#REF!</x:f>
        <x:v>#REF!</x:v>
      </x:c>
      <x:c r="E9" s="88" t="e">
        <x:f>#REF!</x:f>
        <x:v>#REF!</x:v>
      </x:c>
      <x:c r="F9" s="88" t="e">
        <x:f>#REF!</x:f>
        <x:v>#REF!</x:v>
      </x:c>
      <x:c r="G9" s="88" t="e">
        <x:f>#REF!</x:f>
        <x:v>#REF!</x:v>
      </x:c>
      <x:c r="H9" s="88" t="e">
        <x:f>#REF!</x:f>
        <x:v>#REF!</x:v>
      </x:c>
      <x:c r="I9" s="88" t="e">
        <x:f>#REF!</x:f>
        <x:v>#REF!</x:v>
      </x:c>
      <x:c r="J9" s="88" t="e">
        <x:f>#REF!</x:f>
        <x:v>#REF!</x:v>
      </x:c>
      <x:c r="K9" s="88" t="e">
        <x:f>#REF!</x:f>
        <x:v>#REF!</x:v>
      </x:c>
      <x:c r="L9" s="88" t="e">
        <x:f>#REF!</x:f>
        <x:v>#REF!</x:v>
      </x:c>
      <x:c r="M9" s="88"/>
      <x:c r="N9" s="88" t="e">
        <x:f>#REF!</x:f>
        <x:v>#REF!</x:v>
      </x:c>
      <x:c r="O9" s="88" t="e">
        <x:f>#REF!</x:f>
        <x:v>#REF!</x:v>
      </x:c>
      <x:c r="P9" s="88" t="e">
        <x:f>#REF!</x:f>
        <x:v>#REF!</x:v>
      </x:c>
      <x:c r="Q9" s="88" t="e">
        <x:f>#REF!</x:f>
        <x:v>#REF!</x:v>
      </x:c>
      <x:c r="R9" s="88" t="e">
        <x:f>#REF!</x:f>
        <x:v>#REF!</x:v>
      </x:c>
      <x:c r="S9" s="88" t="e">
        <x:f>#REF!</x:f>
        <x:v>#REF!</x:v>
      </x:c>
      <x:c r="T9" s="88" t="e">
        <x:f>#REF!</x:f>
        <x:v>#REF!</x:v>
      </x:c>
      <x:c r="U9" s="88" t="e">
        <x:f>#REF!</x:f>
        <x:v>#REF!</x:v>
      </x:c>
      <x:c r="V9" s="88" t="e">
        <x:f>#REF!</x:f>
        <x:v>#REF!</x:v>
      </x:c>
    </x:row>
    <x:row r="10" ht="16.5">
      <x:c r="A10" s="97">
        <x:v>6</x:v>
      </x:c>
      <x:c r="B10" s="88" t="e">
        <x:f>#REF!</x:f>
        <x:v>#REF!</x:v>
      </x:c>
      <x:c r="C10" s="88">
        <x:v>0</x:v>
      </x:c>
      <x:c r="D10" s="88" t="e">
        <x:f>#REF!</x:f>
        <x:v>#REF!</x:v>
      </x:c>
      <x:c r="E10" s="88" t="e">
        <x:f>#REF!</x:f>
        <x:v>#REF!</x:v>
      </x:c>
      <x:c r="F10" s="88" t="e">
        <x:f>#REF!</x:f>
        <x:v>#REF!</x:v>
      </x:c>
      <x:c r="G10" s="88" t="e">
        <x:f>#REF!</x:f>
        <x:v>#REF!</x:v>
      </x:c>
      <x:c r="H10" s="88" t="e">
        <x:f>#REF!</x:f>
        <x:v>#REF!</x:v>
      </x:c>
      <x:c r="I10" s="88" t="e">
        <x:f>#REF!</x:f>
        <x:v>#REF!</x:v>
      </x:c>
      <x:c r="J10" s="88" t="e">
        <x:f>#REF!</x:f>
        <x:v>#REF!</x:v>
      </x:c>
      <x:c r="K10" s="88" t="e">
        <x:f>#REF!</x:f>
        <x:v>#REF!</x:v>
      </x:c>
      <x:c r="L10" s="88" t="e">
        <x:f>#REF!</x:f>
        <x:v>#REF!</x:v>
      </x:c>
      <x:c r="M10" s="88"/>
      <x:c r="N10" s="88" t="e">
        <x:f>#REF!</x:f>
        <x:v>#REF!</x:v>
      </x:c>
      <x:c r="O10" s="88" t="e">
        <x:f>#REF!</x:f>
        <x:v>#REF!</x:v>
      </x:c>
      <x:c r="P10" s="88" t="e">
        <x:f>#REF!</x:f>
        <x:v>#REF!</x:v>
      </x:c>
      <x:c r="Q10" s="88" t="e">
        <x:f>#REF!</x:f>
        <x:v>#REF!</x:v>
      </x:c>
      <x:c r="R10" s="88" t="e">
        <x:f>#REF!</x:f>
        <x:v>#REF!</x:v>
      </x:c>
      <x:c r="S10" s="88" t="e">
        <x:f>#REF!</x:f>
        <x:v>#REF!</x:v>
      </x:c>
      <x:c r="T10" s="88" t="e">
        <x:f>#REF!</x:f>
        <x:v>#REF!</x:v>
      </x:c>
      <x:c r="U10" s="88" t="e">
        <x:f>#REF!</x:f>
        <x:v>#REF!</x:v>
      </x:c>
      <x:c r="V10" s="88" t="e">
        <x:f>#REF!</x:f>
        <x:v>#REF!</x:v>
      </x:c>
    </x:row>
    <x:row r="11" ht="15.75">
      <x:c r="A11" s="96">
        <x:v>7</x:v>
      </x:c>
      <x:c r="B11" s="147">
        <x:v>0</x:v>
      </x:c>
      <x:c r="C11" s="88" t="e">
        <x:f>#REF!</x:f>
        <x:v>#REF!</x:v>
      </x:c>
      <x:c r="D11" s="88" t="e">
        <x:f>#REF!</x:f>
        <x:v>#REF!</x:v>
      </x:c>
      <x:c r="E11" s="88" t="e">
        <x:f>#REF!</x:f>
        <x:v>#REF!</x:v>
      </x:c>
      <x:c r="F11" s="88" t="e">
        <x:f>#REF!</x:f>
        <x:v>#REF!</x:v>
      </x:c>
      <x:c r="G11" s="88" t="e">
        <x:f>#REF!</x:f>
        <x:v>#REF!</x:v>
      </x:c>
      <x:c r="H11" s="88" t="e">
        <x:f>#REF!</x:f>
        <x:v>#REF!</x:v>
      </x:c>
      <x:c r="I11" s="88" t="e">
        <x:f>#REF!</x:f>
        <x:v>#REF!</x:v>
      </x:c>
      <x:c r="J11" s="88" t="e">
        <x:f>#REF!</x:f>
        <x:v>#REF!</x:v>
      </x:c>
      <x:c r="K11" s="88" t="e">
        <x:f>#REF!</x:f>
        <x:v>#REF!</x:v>
      </x:c>
      <x:c r="L11" s="88" t="e">
        <x:f>#REF!</x:f>
        <x:v>#REF!</x:v>
      </x:c>
      <x:c r="M11" s="88"/>
      <x:c r="N11" s="88" t="e">
        <x:f>#REF!</x:f>
        <x:v>#REF!</x:v>
      </x:c>
      <x:c r="O11" s="88" t="e">
        <x:f>#REF!</x:f>
        <x:v>#REF!</x:v>
      </x:c>
      <x:c r="P11" s="88" t="e">
        <x:f>#REF!</x:f>
        <x:v>#REF!</x:v>
      </x:c>
      <x:c r="Q11" s="88" t="e">
        <x:f>#REF!</x:f>
        <x:v>#REF!</x:v>
      </x:c>
      <x:c r="R11" s="88" t="e">
        <x:f>#REF!</x:f>
        <x:v>#REF!</x:v>
      </x:c>
      <x:c r="S11" s="88" t="e">
        <x:f>#REF!</x:f>
        <x:v>#REF!</x:v>
      </x:c>
      <x:c r="T11" s="88" t="e">
        <x:f>#REF!</x:f>
        <x:v>#REF!</x:v>
      </x:c>
      <x:c r="U11" s="88" t="e">
        <x:f>#REF!</x:f>
        <x:v>#REF!</x:v>
      </x:c>
      <x:c r="V11" s="88" t="e">
        <x:f>#REF!</x:f>
        <x:v>#REF!</x:v>
      </x:c>
    </x:row>
    <x:row r="12" ht="16.5">
      <x:c r="A12" s="97">
        <x:v>8</x:v>
      </x:c>
      <x:c r="B12" s="88" t="e">
        <x:f>#REF!</x:f>
        <x:v>#REF!</x:v>
      </x:c>
      <x:c r="C12" s="88" t="e">
        <x:f>#REF!</x:f>
        <x:v>#REF!</x:v>
      </x:c>
      <x:c r="D12" s="88" t="e">
        <x:f>#REF!</x:f>
        <x:v>#REF!</x:v>
      </x:c>
      <x:c r="E12" s="88" t="e">
        <x:f>#REF!</x:f>
        <x:v>#REF!</x:v>
      </x:c>
      <x:c r="F12" s="88" t="e">
        <x:f>#REF!</x:f>
        <x:v>#REF!</x:v>
      </x:c>
      <x:c r="G12" s="88" t="e">
        <x:f>#REF!</x:f>
        <x:v>#REF!</x:v>
      </x:c>
      <x:c r="H12" s="88" t="e">
        <x:f>#REF!</x:f>
        <x:v>#REF!</x:v>
      </x:c>
      <x:c r="I12" s="88" t="e">
        <x:f>#REF!</x:f>
        <x:v>#REF!</x:v>
      </x:c>
      <x:c r="J12" s="88" t="e">
        <x:f>#REF!</x:f>
        <x:v>#REF!</x:v>
      </x:c>
      <x:c r="K12" s="88" t="e">
        <x:f>#REF!</x:f>
        <x:v>#REF!</x:v>
      </x:c>
      <x:c r="L12" s="88" t="e">
        <x:f>#REF!</x:f>
        <x:v>#REF!</x:v>
      </x:c>
      <x:c r="M12" s="88"/>
      <x:c r="N12" s="88" t="e">
        <x:f>#REF!</x:f>
        <x:v>#REF!</x:v>
      </x:c>
      <x:c r="O12" s="88" t="e">
        <x:f>#REF!</x:f>
        <x:v>#REF!</x:v>
      </x:c>
      <x:c r="P12" s="88" t="e">
        <x:f>#REF!</x:f>
        <x:v>#REF!</x:v>
      </x:c>
      <x:c r="Q12" s="88" t="e">
        <x:f>#REF!</x:f>
        <x:v>#REF!</x:v>
      </x:c>
      <x:c r="R12" s="88" t="e">
        <x:f>#REF!</x:f>
        <x:v>#REF!</x:v>
      </x:c>
      <x:c r="S12" s="88" t="e">
        <x:f>#REF!</x:f>
        <x:v>#REF!</x:v>
      </x:c>
      <x:c r="T12" s="88" t="e">
        <x:f>#REF!</x:f>
        <x:v>#REF!</x:v>
      </x:c>
      <x:c r="U12" s="88" t="e">
        <x:f>#REF!</x:f>
        <x:v>#REF!</x:v>
      </x:c>
      <x:c r="V12" s="88" t="e">
        <x:f>#REF!</x:f>
        <x:v>#REF!</x:v>
      </x:c>
    </x:row>
    <x:row r="13" ht="15.75">
      <x:c r="A13" s="96">
        <x:v>9</x:v>
      </x:c>
      <x:c r="B13" s="88" t="e">
        <x:f>#REF!</x:f>
        <x:v>#REF!</x:v>
      </x:c>
      <x:c r="C13" s="88" t="e">
        <x:f>#REF!</x:f>
        <x:v>#REF!</x:v>
      </x:c>
      <x:c r="D13" s="88" t="e">
        <x:f>#REF!</x:f>
        <x:v>#REF!</x:v>
      </x:c>
      <x:c r="E13" s="88" t="e">
        <x:f>#REF!</x:f>
        <x:v>#REF!</x:v>
      </x:c>
      <x:c r="F13" s="88" t="e">
        <x:f>#REF!</x:f>
        <x:v>#REF!</x:v>
      </x:c>
      <x:c r="G13" s="88" t="e">
        <x:f>#REF!</x:f>
        <x:v>#REF!</x:v>
      </x:c>
      <x:c r="H13" s="88" t="e">
        <x:f>#REF!</x:f>
        <x:v>#REF!</x:v>
      </x:c>
      <x:c r="I13" s="88" t="e">
        <x:f>#REF!</x:f>
        <x:v>#REF!</x:v>
      </x:c>
      <x:c r="J13" s="88" t="e">
        <x:f>#REF!</x:f>
        <x:v>#REF!</x:v>
      </x:c>
      <x:c r="K13" s="88" t="e">
        <x:f>#REF!</x:f>
        <x:v>#REF!</x:v>
      </x:c>
      <x:c r="L13" s="88" t="e">
        <x:f>#REF!</x:f>
        <x:v>#REF!</x:v>
      </x:c>
      <x:c r="M13" s="88"/>
      <x:c r="N13" s="88" t="e">
        <x:f>#REF!</x:f>
        <x:v>#REF!</x:v>
      </x:c>
      <x:c r="O13" s="88" t="e">
        <x:f>#REF!</x:f>
        <x:v>#REF!</x:v>
      </x:c>
      <x:c r="P13" s="88" t="e">
        <x:f>#REF!</x:f>
        <x:v>#REF!</x:v>
      </x:c>
      <x:c r="Q13" s="88" t="e">
        <x:f>#REF!</x:f>
        <x:v>#REF!</x:v>
      </x:c>
      <x:c r="R13" s="88" t="e">
        <x:f>#REF!</x:f>
        <x:v>#REF!</x:v>
      </x:c>
      <x:c r="S13" s="88" t="e">
        <x:f>#REF!</x:f>
        <x:v>#REF!</x:v>
      </x:c>
      <x:c r="T13" s="88" t="e">
        <x:f>#REF!</x:f>
        <x:v>#REF!</x:v>
      </x:c>
      <x:c r="U13" s="88" t="e">
        <x:f>#REF!</x:f>
        <x:v>#REF!</x:v>
      </x:c>
      <x:c r="V13" s="88" t="e">
        <x:f>#REF!</x:f>
        <x:v>#REF!</x:v>
      </x:c>
    </x:row>
    <x:row r="14" ht="16.5">
      <x:c r="A14" s="97">
        <x:v>10</x:v>
      </x:c>
      <x:c r="B14" s="88" t="e">
        <x:f>#REF!</x:f>
        <x:v>#REF!</x:v>
      </x:c>
      <x:c r="C14" s="88" t="e">
        <x:f>#REF!</x:f>
        <x:v>#REF!</x:v>
      </x:c>
      <x:c r="D14" s="88" t="e">
        <x:f>#REF!</x:f>
        <x:v>#REF!</x:v>
      </x:c>
      <x:c r="E14" s="88" t="e">
        <x:f>#REF!</x:f>
        <x:v>#REF!</x:v>
      </x:c>
      <x:c r="F14" s="88" t="e">
        <x:f>#REF!</x:f>
        <x:v>#REF!</x:v>
      </x:c>
      <x:c r="G14" s="88" t="e">
        <x:f>#REF!</x:f>
        <x:v>#REF!</x:v>
      </x:c>
      <x:c r="H14" s="88" t="e">
        <x:f>#REF!</x:f>
        <x:v>#REF!</x:v>
      </x:c>
      <x:c r="I14" s="88" t="e">
        <x:f>#REF!</x:f>
        <x:v>#REF!</x:v>
      </x:c>
      <x:c r="J14" s="88" t="e">
        <x:f>#REF!</x:f>
        <x:v>#REF!</x:v>
      </x:c>
      <x:c r="K14" s="88" t="e">
        <x:f>#REF!</x:f>
        <x:v>#REF!</x:v>
      </x:c>
      <x:c r="L14" s="88" t="e">
        <x:f>#REF!</x:f>
        <x:v>#REF!</x:v>
      </x:c>
      <x:c r="M14" s="88"/>
      <x:c r="N14" s="88" t="e">
        <x:f>#REF!</x:f>
        <x:v>#REF!</x:v>
      </x:c>
      <x:c r="O14" s="88" t="e">
        <x:f>#REF!</x:f>
        <x:v>#REF!</x:v>
      </x:c>
      <x:c r="P14" s="88" t="e">
        <x:f>#REF!</x:f>
        <x:v>#REF!</x:v>
      </x:c>
      <x:c r="Q14" s="88" t="e">
        <x:f>#REF!</x:f>
        <x:v>#REF!</x:v>
      </x:c>
      <x:c r="R14" s="88" t="e">
        <x:f>#REF!</x:f>
        <x:v>#REF!</x:v>
      </x:c>
      <x:c r="S14" s="88" t="e">
        <x:f>#REF!</x:f>
        <x:v>#REF!</x:v>
      </x:c>
      <x:c r="T14" s="88" t="e">
        <x:f>#REF!</x:f>
        <x:v>#REF!</x:v>
      </x:c>
      <x:c r="U14" s="88" t="e">
        <x:f>#REF!</x:f>
        <x:v>#REF!</x:v>
      </x:c>
      <x:c r="V14" s="88" t="e">
        <x:f>#REF!</x:f>
        <x:v>#REF!</x:v>
      </x:c>
    </x:row>
    <x:row r="15" ht="15.75">
      <x:c r="A15" s="96">
        <x:v>11</x:v>
      </x:c>
      <x:c r="B15" s="88" t="e">
        <x:f>#REF!</x:f>
        <x:v>#REF!</x:v>
      </x:c>
      <x:c r="C15" s="88" t="e">
        <x:f>#REF!</x:f>
        <x:v>#REF!</x:v>
      </x:c>
      <x:c r="D15" s="88" t="e">
        <x:f>#REF!</x:f>
        <x:v>#REF!</x:v>
      </x:c>
      <x:c r="E15" s="88" t="e">
        <x:f>#REF!</x:f>
        <x:v>#REF!</x:v>
      </x:c>
      <x:c r="F15" s="88" t="e">
        <x:f>#REF!</x:f>
        <x:v>#REF!</x:v>
      </x:c>
      <x:c r="G15" s="88" t="e">
        <x:f>#REF!</x:f>
        <x:v>#REF!</x:v>
      </x:c>
      <x:c r="H15" s="88" t="e">
        <x:f>#REF!</x:f>
        <x:v>#REF!</x:v>
      </x:c>
      <x:c r="I15" s="88" t="e">
        <x:f>#REF!</x:f>
        <x:v>#REF!</x:v>
      </x:c>
      <x:c r="J15" s="88" t="e">
        <x:f>#REF!</x:f>
        <x:v>#REF!</x:v>
      </x:c>
      <x:c r="K15" s="88" t="e">
        <x:f>#REF!</x:f>
        <x:v>#REF!</x:v>
      </x:c>
      <x:c r="L15" s="88" t="e">
        <x:f>#REF!</x:f>
        <x:v>#REF!</x:v>
      </x:c>
      <x:c r="M15" s="88"/>
      <x:c r="N15" s="88" t="e">
        <x:f>#REF!</x:f>
        <x:v>#REF!</x:v>
      </x:c>
      <x:c r="O15" s="88" t="e">
        <x:f>#REF!</x:f>
        <x:v>#REF!</x:v>
      </x:c>
      <x:c r="P15" s="88" t="e">
        <x:f>#REF!</x:f>
        <x:v>#REF!</x:v>
      </x:c>
      <x:c r="Q15" s="88" t="e">
        <x:f>#REF!</x:f>
        <x:v>#REF!</x:v>
      </x:c>
      <x:c r="R15" s="88" t="e">
        <x:f>#REF!</x:f>
        <x:v>#REF!</x:v>
      </x:c>
      <x:c r="S15" s="88" t="e">
        <x:f>#REF!</x:f>
        <x:v>#REF!</x:v>
      </x:c>
      <x:c r="T15" s="88" t="e">
        <x:f>#REF!</x:f>
        <x:v>#REF!</x:v>
      </x:c>
      <x:c r="U15" s="88" t="e">
        <x:f>#REF!</x:f>
        <x:v>#REF!</x:v>
      </x:c>
      <x:c r="V15" s="88" t="e">
        <x:f>#REF!</x:f>
        <x:v>#REF!</x:v>
      </x:c>
    </x:row>
    <x:row r="16" ht="16.5">
      <x:c r="A16" s="97">
        <x:v>12</x:v>
      </x:c>
      <x:c r="B16" s="88" t="e">
        <x:f>#REF!</x:f>
        <x:v>#REF!</x:v>
      </x:c>
      <x:c r="C16" s="88" t="e">
        <x:f>#REF!</x:f>
        <x:v>#REF!</x:v>
      </x:c>
      <x:c r="D16" s="88" t="e">
        <x:f>#REF!</x:f>
        <x:v>#REF!</x:v>
      </x:c>
      <x:c r="E16" s="88" t="e">
        <x:f>#REF!</x:f>
        <x:v>#REF!</x:v>
      </x:c>
      <x:c r="F16" s="88" t="e">
        <x:f>#REF!</x:f>
        <x:v>#REF!</x:v>
      </x:c>
      <x:c r="G16" s="88" t="e">
        <x:f>#REF!</x:f>
        <x:v>#REF!</x:v>
      </x:c>
      <x:c r="H16" s="88" t="e">
        <x:f>#REF!</x:f>
        <x:v>#REF!</x:v>
      </x:c>
      <x:c r="I16" s="88" t="e">
        <x:f>#REF!</x:f>
        <x:v>#REF!</x:v>
      </x:c>
      <x:c r="J16" s="88" t="e">
        <x:f>#REF!</x:f>
        <x:v>#REF!</x:v>
      </x:c>
      <x:c r="K16" s="88" t="e">
        <x:f>#REF!</x:f>
        <x:v>#REF!</x:v>
      </x:c>
      <x:c r="L16" s="88" t="e">
        <x:f>#REF!</x:f>
        <x:v>#REF!</x:v>
      </x:c>
      <x:c r="M16" s="88"/>
      <x:c r="N16" s="88" t="e">
        <x:f>#REF!</x:f>
        <x:v>#REF!</x:v>
      </x:c>
      <x:c r="O16" s="88" t="e">
        <x:f>#REF!</x:f>
        <x:v>#REF!</x:v>
      </x:c>
      <x:c r="P16" s="88" t="e">
        <x:f>#REF!</x:f>
        <x:v>#REF!</x:v>
      </x:c>
      <x:c r="Q16" s="88" t="e">
        <x:f>#REF!</x:f>
        <x:v>#REF!</x:v>
      </x:c>
      <x:c r="R16" s="88" t="e">
        <x:f>#REF!</x:f>
        <x:v>#REF!</x:v>
      </x:c>
      <x:c r="S16" s="88" t="e">
        <x:f>#REF!</x:f>
        <x:v>#REF!</x:v>
      </x:c>
      <x:c r="T16" s="88" t="e">
        <x:f>#REF!</x:f>
        <x:v>#REF!</x:v>
      </x:c>
      <x:c r="U16" s="88" t="e">
        <x:f>#REF!</x:f>
        <x:v>#REF!</x:v>
      </x:c>
      <x:c r="V16" s="88" t="e">
        <x:f>#REF!</x:f>
        <x:v>#REF!</x:v>
      </x:c>
    </x:row>
    <x:row r="17" ht="15.75">
      <x:c r="A17" s="96">
        <x:v>13</x:v>
      </x:c>
      <x:c r="B17" s="88" t="e">
        <x:f>#REF!</x:f>
        <x:v>#REF!</x:v>
      </x:c>
      <x:c r="C17" s="88" t="e">
        <x:f>#REF!</x:f>
        <x:v>#REF!</x:v>
      </x:c>
      <x:c r="D17" s="88" t="e">
        <x:f>#REF!</x:f>
        <x:v>#REF!</x:v>
      </x:c>
      <x:c r="E17" s="88" t="e">
        <x:f>#REF!</x:f>
        <x:v>#REF!</x:v>
      </x:c>
      <x:c r="F17" s="88" t="e">
        <x:f>#REF!</x:f>
        <x:v>#REF!</x:v>
      </x:c>
      <x:c r="G17" s="88" t="e">
        <x:f>#REF!</x:f>
        <x:v>#REF!</x:v>
      </x:c>
      <x:c r="H17" s="88" t="e">
        <x:f>#REF!</x:f>
        <x:v>#REF!</x:v>
      </x:c>
      <x:c r="I17" s="88" t="e">
        <x:f>#REF!</x:f>
        <x:v>#REF!</x:v>
      </x:c>
      <x:c r="J17" s="88" t="e">
        <x:f>#REF!</x:f>
        <x:v>#REF!</x:v>
      </x:c>
      <x:c r="K17" s="88" t="e">
        <x:f>#REF!</x:f>
        <x:v>#REF!</x:v>
      </x:c>
      <x:c r="L17" s="88" t="e">
        <x:f>#REF!</x:f>
        <x:v>#REF!</x:v>
      </x:c>
      <x:c r="M17" s="88"/>
      <x:c r="N17" s="88" t="e">
        <x:f>#REF!</x:f>
        <x:v>#REF!</x:v>
      </x:c>
      <x:c r="O17" s="88" t="e">
        <x:f>#REF!</x:f>
        <x:v>#REF!</x:v>
      </x:c>
      <x:c r="P17" s="88" t="e">
        <x:f>#REF!</x:f>
        <x:v>#REF!</x:v>
      </x:c>
      <x:c r="Q17" s="88" t="e">
        <x:f>#REF!</x:f>
        <x:v>#REF!</x:v>
      </x:c>
      <x:c r="R17" s="88" t="e">
        <x:f>#REF!</x:f>
        <x:v>#REF!</x:v>
      </x:c>
      <x:c r="S17" s="88" t="e">
        <x:f>#REF!</x:f>
        <x:v>#REF!</x:v>
      </x:c>
      <x:c r="T17" s="88" t="e">
        <x:f>#REF!</x:f>
        <x:v>#REF!</x:v>
      </x:c>
      <x:c r="U17" s="88" t="e">
        <x:f>#REF!</x:f>
        <x:v>#REF!</x:v>
      </x:c>
      <x:c r="V17" s="88" t="e">
        <x:f>#REF!</x:f>
        <x:v>#REF!</x:v>
      </x:c>
    </x:row>
    <x:row r="18" ht="16.5">
      <x:c r="A18" s="97">
        <x:v>14</x:v>
      </x:c>
      <x:c r="B18" s="88" t="e">
        <x:f>#REF!</x:f>
        <x:v>#REF!</x:v>
      </x:c>
      <x:c r="C18" s="88" t="e">
        <x:f>#REF!</x:f>
        <x:v>#REF!</x:v>
      </x:c>
      <x:c r="D18" s="88" t="e">
        <x:f>#REF!</x:f>
        <x:v>#REF!</x:v>
      </x:c>
      <x:c r="E18" s="88" t="e">
        <x:f>#REF!</x:f>
        <x:v>#REF!</x:v>
      </x:c>
      <x:c r="F18" s="88" t="e">
        <x:f>#REF!</x:f>
        <x:v>#REF!</x:v>
      </x:c>
      <x:c r="G18" s="88" t="e">
        <x:f>#REF!</x:f>
        <x:v>#REF!</x:v>
      </x:c>
      <x:c r="H18" s="88" t="e">
        <x:f>#REF!</x:f>
        <x:v>#REF!</x:v>
      </x:c>
      <x:c r="I18" s="88" t="e">
        <x:f>#REF!</x:f>
        <x:v>#REF!</x:v>
      </x:c>
      <x:c r="J18" s="88" t="e">
        <x:f>#REF!</x:f>
        <x:v>#REF!</x:v>
      </x:c>
      <x:c r="K18" s="88" t="e">
        <x:f>#REF!</x:f>
        <x:v>#REF!</x:v>
      </x:c>
      <x:c r="L18" s="88" t="e">
        <x:f>#REF!</x:f>
        <x:v>#REF!</x:v>
      </x:c>
      <x:c r="M18" s="88"/>
      <x:c r="N18" s="88" t="e">
        <x:f>#REF!</x:f>
        <x:v>#REF!</x:v>
      </x:c>
      <x:c r="O18" s="88" t="e">
        <x:f>#REF!</x:f>
        <x:v>#REF!</x:v>
      </x:c>
      <x:c r="P18" s="88" t="e">
        <x:f>#REF!</x:f>
        <x:v>#REF!</x:v>
      </x:c>
      <x:c r="Q18" s="88" t="e">
        <x:f>#REF!</x:f>
        <x:v>#REF!</x:v>
      </x:c>
      <x:c r="R18" s="88" t="e">
        <x:f>#REF!</x:f>
        <x:v>#REF!</x:v>
      </x:c>
      <x:c r="S18" s="88" t="e">
        <x:f>#REF!</x:f>
        <x:v>#REF!</x:v>
      </x:c>
      <x:c r="T18" s="88" t="e">
        <x:f>#REF!</x:f>
        <x:v>#REF!</x:v>
      </x:c>
      <x:c r="U18" s="88" t="e">
        <x:f>#REF!</x:f>
        <x:v>#REF!</x:v>
      </x:c>
      <x:c r="V18" s="88" t="e">
        <x:f>#REF!</x:f>
        <x:v>#REF!</x:v>
      </x:c>
    </x:row>
    <x:row r="19" ht="15.75">
      <x:c r="A19" s="96">
        <x:v>15</x:v>
      </x:c>
      <x:c r="B19" s="88" t="e">
        <x:f>#REF!</x:f>
        <x:v>#REF!</x:v>
      </x:c>
      <x:c r="C19" s="88" t="e">
        <x:f>#REF!</x:f>
        <x:v>#REF!</x:v>
      </x:c>
      <x:c r="D19" s="88" t="e">
        <x:f>#REF!</x:f>
        <x:v>#REF!</x:v>
      </x:c>
      <x:c r="E19" s="88" t="e">
        <x:f>#REF!</x:f>
        <x:v>#REF!</x:v>
      </x:c>
      <x:c r="F19" s="88" t="e">
        <x:f>#REF!</x:f>
        <x:v>#REF!</x:v>
      </x:c>
      <x:c r="G19" s="88" t="e">
        <x:f>#REF!</x:f>
        <x:v>#REF!</x:v>
      </x:c>
      <x:c r="H19" s="88" t="e">
        <x:f>#REF!</x:f>
        <x:v>#REF!</x:v>
      </x:c>
      <x:c r="I19" s="88" t="e">
        <x:f>#REF!</x:f>
        <x:v>#REF!</x:v>
      </x:c>
      <x:c r="J19" s="88" t="e">
        <x:f>#REF!</x:f>
        <x:v>#REF!</x:v>
      </x:c>
      <x:c r="K19" s="88" t="e">
        <x:f>#REF!</x:f>
        <x:v>#REF!</x:v>
      </x:c>
      <x:c r="L19" s="88" t="e">
        <x:f>#REF!</x:f>
        <x:v>#REF!</x:v>
      </x:c>
      <x:c r="M19" s="88"/>
      <x:c r="N19" s="88" t="e">
        <x:f>#REF!</x:f>
        <x:v>#REF!</x:v>
      </x:c>
      <x:c r="O19" s="88" t="e">
        <x:f>#REF!</x:f>
        <x:v>#REF!</x:v>
      </x:c>
      <x:c r="P19" s="88" t="e">
        <x:f>#REF!</x:f>
        <x:v>#REF!</x:v>
      </x:c>
      <x:c r="Q19" s="88" t="e">
        <x:f>#REF!</x:f>
        <x:v>#REF!</x:v>
      </x:c>
      <x:c r="R19" s="88" t="e">
        <x:f>#REF!</x:f>
        <x:v>#REF!</x:v>
      </x:c>
      <x:c r="S19" s="88" t="e">
        <x:f>#REF!</x:f>
        <x:v>#REF!</x:v>
      </x:c>
      <x:c r="T19" s="88" t="e">
        <x:f>#REF!</x:f>
        <x:v>#REF!</x:v>
      </x:c>
      <x:c r="U19" s="88" t="e">
        <x:f>#REF!</x:f>
        <x:v>#REF!</x:v>
      </x:c>
      <x:c r="V19" s="88" t="e">
        <x:f>#REF!</x:f>
        <x:v>#REF!</x:v>
      </x:c>
    </x:row>
    <x:row r="20" ht="16.5">
      <x:c r="A20" s="97">
        <x:v>16</x:v>
      </x:c>
      <x:c r="B20" s="88" t="e">
        <x:f>#REF!</x:f>
        <x:v>#REF!</x:v>
      </x:c>
      <x:c r="C20" s="88" t="e">
        <x:f>#REF!</x:f>
        <x:v>#REF!</x:v>
      </x:c>
      <x:c r="D20" s="88" t="e">
        <x:f>#REF!</x:f>
        <x:v>#REF!</x:v>
      </x:c>
      <x:c r="E20" s="88" t="e">
        <x:f>#REF!</x:f>
        <x:v>#REF!</x:v>
      </x:c>
      <x:c r="F20" s="88" t="e">
        <x:f>#REF!</x:f>
        <x:v>#REF!</x:v>
      </x:c>
      <x:c r="G20" s="88" t="e">
        <x:f>#REF!</x:f>
        <x:v>#REF!</x:v>
      </x:c>
      <x:c r="H20" s="88" t="e">
        <x:f>#REF!</x:f>
        <x:v>#REF!</x:v>
      </x:c>
      <x:c r="I20" s="88" t="e">
        <x:f>#REF!</x:f>
        <x:v>#REF!</x:v>
      </x:c>
      <x:c r="J20" s="88" t="e">
        <x:f>#REF!</x:f>
        <x:v>#REF!</x:v>
      </x:c>
      <x:c r="K20" s="88" t="e">
        <x:f>#REF!</x:f>
        <x:v>#REF!</x:v>
      </x:c>
      <x:c r="L20" s="88" t="e">
        <x:f>#REF!</x:f>
        <x:v>#REF!</x:v>
      </x:c>
      <x:c r="M20" s="88"/>
      <x:c r="N20" s="88" t="e">
        <x:f>#REF!</x:f>
        <x:v>#REF!</x:v>
      </x:c>
      <x:c r="O20" s="88" t="e">
        <x:f>#REF!</x:f>
        <x:v>#REF!</x:v>
      </x:c>
      <x:c r="P20" s="88" t="e">
        <x:f>#REF!</x:f>
        <x:v>#REF!</x:v>
      </x:c>
      <x:c r="Q20" s="88" t="e">
        <x:f>#REF!</x:f>
        <x:v>#REF!</x:v>
      </x:c>
      <x:c r="R20" s="88" t="e">
        <x:f>#REF!</x:f>
        <x:v>#REF!</x:v>
      </x:c>
      <x:c r="S20" s="88" t="e">
        <x:f>#REF!</x:f>
        <x:v>#REF!</x:v>
      </x:c>
      <x:c r="T20" s="88" t="e">
        <x:f>#REF!</x:f>
        <x:v>#REF!</x:v>
      </x:c>
      <x:c r="U20" s="88" t="e">
        <x:f>#REF!</x:f>
        <x:v>#REF!</x:v>
      </x:c>
      <x:c r="V20" s="88" t="e">
        <x:f>#REF!</x:f>
        <x:v>#REF!</x:v>
      </x:c>
    </x:row>
    <x:row r="21" ht="15.75">
      <x:c r="A21" s="96">
        <x:v>17</x:v>
      </x:c>
      <x:c r="B21" s="88" t="e">
        <x:f>#REF!</x:f>
        <x:v>#REF!</x:v>
      </x:c>
      <x:c r="C21" s="88" t="e">
        <x:f>#REF!</x:f>
        <x:v>#REF!</x:v>
      </x:c>
      <x:c r="D21" s="88" t="e">
        <x:f>#REF!</x:f>
        <x:v>#REF!</x:v>
      </x:c>
      <x:c r="E21" s="88" t="e">
        <x:f>#REF!</x:f>
        <x:v>#REF!</x:v>
      </x:c>
      <x:c r="F21" s="88" t="e">
        <x:f>#REF!</x:f>
        <x:v>#REF!</x:v>
      </x:c>
      <x:c r="G21" s="88" t="e">
        <x:f>#REF!</x:f>
        <x:v>#REF!</x:v>
      </x:c>
      <x:c r="H21" s="88" t="e">
        <x:f>#REF!</x:f>
        <x:v>#REF!</x:v>
      </x:c>
      <x:c r="I21" s="88" t="e">
        <x:f>#REF!</x:f>
        <x:v>#REF!</x:v>
      </x:c>
      <x:c r="J21" s="88" t="e">
        <x:f>#REF!</x:f>
        <x:v>#REF!</x:v>
      </x:c>
      <x:c r="K21" s="88" t="e">
        <x:f>#REF!</x:f>
        <x:v>#REF!</x:v>
      </x:c>
      <x:c r="L21" s="88" t="e">
        <x:f>#REF!</x:f>
        <x:v>#REF!</x:v>
      </x:c>
      <x:c r="M21" s="88"/>
      <x:c r="N21" s="88" t="e">
        <x:f>#REF!</x:f>
        <x:v>#REF!</x:v>
      </x:c>
      <x:c r="O21" s="88" t="e">
        <x:f>#REF!</x:f>
        <x:v>#REF!</x:v>
      </x:c>
      <x:c r="P21" s="88" t="e">
        <x:f>#REF!</x:f>
        <x:v>#REF!</x:v>
      </x:c>
      <x:c r="Q21" s="88" t="e">
        <x:f>#REF!</x:f>
        <x:v>#REF!</x:v>
      </x:c>
      <x:c r="R21" s="88" t="e">
        <x:f>#REF!</x:f>
        <x:v>#REF!</x:v>
      </x:c>
      <x:c r="S21" s="88" t="e">
        <x:f>#REF!</x:f>
        <x:v>#REF!</x:v>
      </x:c>
      <x:c r="T21" s="88" t="e">
        <x:f>#REF!</x:f>
        <x:v>#REF!</x:v>
      </x:c>
      <x:c r="U21" s="88" t="e">
        <x:f>#REF!</x:f>
        <x:v>#REF!</x:v>
      </x:c>
      <x:c r="V21" s="88" t="e">
        <x:f>#REF!</x:f>
        <x:v>#REF!</x:v>
      </x:c>
    </x:row>
    <x:row r="22" ht="16.5">
      <x:c r="A22" s="97">
        <x:v>18</x:v>
      </x:c>
      <x:c r="B22" s="88">
        <x:v>0</x:v>
      </x:c>
      <x:c r="C22" s="89" t="e">
        <x:f>#REF!</x:f>
        <x:v>#REF!</x:v>
      </x:c>
      <x:c r="D22" s="89" t="e">
        <x:f>#REF!</x:f>
        <x:v>#REF!</x:v>
      </x:c>
      <x:c r="E22" s="89" t="e">
        <x:f>#REF!</x:f>
        <x:v>#REF!</x:v>
      </x:c>
      <x:c r="F22" s="89" t="e">
        <x:f>#REF!</x:f>
        <x:v>#REF!</x:v>
      </x:c>
      <x:c r="G22" s="89" t="e">
        <x:f>#REF!</x:f>
        <x:v>#REF!</x:v>
      </x:c>
      <x:c r="H22" s="89" t="e">
        <x:f>#REF!</x:f>
        <x:v>#REF!</x:v>
      </x:c>
      <x:c r="I22" s="89" t="e">
        <x:f>#REF!</x:f>
        <x:v>#REF!</x:v>
      </x:c>
      <x:c r="J22" s="89" t="e">
        <x:f>#REF!</x:f>
        <x:v>#REF!</x:v>
      </x:c>
      <x:c r="K22" s="89" t="e">
        <x:f>#REF!</x:f>
        <x:v>#REF!</x:v>
      </x:c>
      <x:c r="L22" s="89" t="e">
        <x:f>#REF!</x:f>
        <x:v>#REF!</x:v>
      </x:c>
      <x:c r="M22" s="89"/>
      <x:c r="N22" s="89" t="e">
        <x:f>#REF!</x:f>
        <x:v>#REF!</x:v>
      </x:c>
      <x:c r="O22" s="89" t="e">
        <x:f>#REF!</x:f>
        <x:v>#REF!</x:v>
      </x:c>
      <x:c r="P22" s="89" t="e">
        <x:f>#REF!</x:f>
        <x:v>#REF!</x:v>
      </x:c>
      <x:c r="Q22" s="89" t="e">
        <x:f>#REF!</x:f>
        <x:v>#REF!</x:v>
      </x:c>
      <x:c r="R22" s="89" t="e">
        <x:f>#REF!</x:f>
        <x:v>#REF!</x:v>
      </x:c>
      <x:c r="S22" s="89" t="e">
        <x:f>#REF!</x:f>
        <x:v>#REF!</x:v>
      </x:c>
      <x:c r="T22" s="89" t="e">
        <x:f>#REF!</x:f>
        <x:v>#REF!</x:v>
      </x:c>
      <x:c r="U22" s="89" t="e">
        <x:f>#REF!</x:f>
        <x:v>#REF!</x:v>
      </x:c>
      <x:c r="V22" s="89" t="e">
        <x:f>#REF!</x:f>
        <x:v>#REF!</x:v>
      </x:c>
    </x:row>
    <x:row r="28" ht="28.5">
      <x:c r="A28" s="322" t="s">
        <x:v>40</x:v>
      </x:c>
      <x:c r="B28" s="323"/>
      <x:c r="C28" s="323"/>
      <x:c r="D28" s="323"/>
      <x:c r="E28" s="323"/>
      <x:c r="F28" s="323"/>
      <x:c r="G28" s="323"/>
      <x:c r="H28" s="323"/>
      <x:c r="I28" s="323"/>
      <x:c r="J28" s="323"/>
      <x:c r="K28" s="323"/>
      <x:c r="L28" s="323"/>
      <x:c r="M28" s="323"/>
      <x:c r="N28" s="323"/>
      <x:c r="O28" s="323"/>
      <x:c r="P28" s="323"/>
      <x:c r="Q28" s="323"/>
      <x:c r="R28" s="323"/>
      <x:c r="S28" s="323"/>
    </x:row>
    <x:row r="29" ht="52.5" customHeight="1">
      <x:c r="B29" s="143" t="s">
        <x:v>622</x:v>
      </x:c>
      <x:c r="C29" s="143" t="s">
        <x:v>623</x:v>
      </x:c>
      <x:c r="D29" s="145" t="s">
        <x:v>624</x:v>
      </x:c>
      <x:c r="E29" s="143" t="s">
        <x:v>625</x:v>
      </x:c>
      <x:c r="F29" s="143" t="s">
        <x:v>626</x:v>
      </x:c>
      <x:c r="G29" s="143" t="s">
        <x:v>627</x:v>
      </x:c>
      <x:c r="H29" s="143" t="s">
        <x:v>628</x:v>
      </x:c>
      <x:c r="I29" s="143" t="s">
        <x:v>629</x:v>
      </x:c>
      <x:c r="J29" s="143" t="s">
        <x:v>630</x:v>
      </x:c>
      <x:c r="K29" s="143" t="s">
        <x:v>631</x:v>
      </x:c>
      <x:c r="L29" s="143" t="s">
        <x:v>632</x:v>
      </x:c>
      <x:c r="M29" s="143" t="s">
        <x:v>633</x:v>
      </x:c>
      <x:c r="N29" s="143" t="s">
        <x:v>634</x:v>
      </x:c>
      <x:c r="O29" s="143" t="s">
        <x:v>635</x:v>
      </x:c>
      <x:c r="P29" s="143" t="s">
        <x:v>636</x:v>
      </x:c>
      <x:c r="Q29" s="143" t="s">
        <x:v>637</x:v>
      </x:c>
      <x:c r="R29" s="143" t="s">
        <x:v>638</x:v>
      </x:c>
      <x:c r="S29" s="143" t="s">
        <x:v>639</x:v>
      </x:c>
    </x:row>
    <x:row r="30" ht="16.5">
      <x:c r="A30" s="85" t="s">
        <x:v>7</x:v>
      </x:c>
      <x:c r="B30" s="86" t="s">
        <x:v>547</x:v>
      </x:c>
      <x:c r="C30" s="86" t="s">
        <x:v>547</x:v>
      </x:c>
      <x:c r="D30" s="86" t="s">
        <x:v>547</x:v>
      </x:c>
      <x:c r="E30" s="86" t="s">
        <x:v>547</x:v>
      </x:c>
      <x:c r="F30" s="86" t="s">
        <x:v>547</x:v>
      </x:c>
      <x:c r="G30" s="86" t="s">
        <x:v>547</x:v>
      </x:c>
      <x:c r="H30" s="86" t="s">
        <x:v>547</x:v>
      </x:c>
      <x:c r="I30" s="86" t="s">
        <x:v>547</x:v>
      </x:c>
      <x:c r="J30" s="86" t="s">
        <x:v>547</x:v>
      </x:c>
      <x:c r="K30" s="86" t="s">
        <x:v>547</x:v>
      </x:c>
      <x:c r="L30" s="86" t="s">
        <x:v>547</x:v>
      </x:c>
      <x:c r="M30" s="86" t="s">
        <x:v>547</x:v>
      </x:c>
      <x:c r="N30" s="86" t="s">
        <x:v>547</x:v>
      </x:c>
      <x:c r="O30" s="86" t="s">
        <x:v>547</x:v>
      </x:c>
      <x:c r="P30" s="86" t="s">
        <x:v>547</x:v>
      </x:c>
      <x:c r="Q30" s="86" t="s">
        <x:v>547</x:v>
      </x:c>
      <x:c r="R30" s="86" t="s">
        <x:v>547</x:v>
      </x:c>
      <x:c r="S30" s="93" t="s">
        <x:v>547</x:v>
      </x:c>
    </x:row>
    <x:row r="31" ht="15.75">
      <x:c r="A31" s="90">
        <x:v>2</x:v>
      </x:c>
      <x:c r="B31" s="88" t="e">
        <x:f>#REF!</x:f>
        <x:v>#REF!</x:v>
      </x:c>
      <x:c r="C31" s="88" t="e">
        <x:f>#REF!</x:f>
        <x:v>#REF!</x:v>
      </x:c>
      <x:c r="D31" s="88" t="e">
        <x:f>#REF!</x:f>
        <x:v>#REF!</x:v>
      </x:c>
      <x:c r="E31" s="88" t="e">
        <x:f>#REF!</x:f>
        <x:v>#REF!</x:v>
      </x:c>
      <x:c r="F31" s="88" t="e">
        <x:f>#REF!</x:f>
        <x:v>#REF!</x:v>
      </x:c>
      <x:c r="G31" s="88" t="e">
        <x:f>#REF!</x:f>
        <x:v>#REF!</x:v>
      </x:c>
      <x:c r="H31" s="88" t="e">
        <x:f>#REF!</x:f>
        <x:v>#REF!</x:v>
      </x:c>
      <x:c r="I31" s="88" t="e">
        <x:f>#REF!</x:f>
        <x:v>#REF!</x:v>
      </x:c>
      <x:c r="J31" s="88" t="e">
        <x:f>#REF!</x:f>
        <x:v>#REF!</x:v>
      </x:c>
      <x:c r="K31" s="88" t="e">
        <x:f>#REF!</x:f>
        <x:v>#REF!</x:v>
      </x:c>
      <x:c r="L31" s="88" t="e">
        <x:f>#REF!</x:f>
        <x:v>#REF!</x:v>
      </x:c>
      <x:c r="M31" s="88" t="e">
        <x:f>#REF!</x:f>
        <x:v>#REF!</x:v>
      </x:c>
      <x:c r="N31" s="88" t="e">
        <x:f>#REF!</x:f>
        <x:v>#REF!</x:v>
      </x:c>
      <x:c r="O31" s="88" t="e">
        <x:f>#REF!</x:f>
        <x:v>#REF!</x:v>
      </x:c>
      <x:c r="P31" s="88" t="e">
        <x:f>#REF!</x:f>
        <x:v>#REF!</x:v>
      </x:c>
      <x:c r="Q31" s="88" t="e">
        <x:f>#REF!</x:f>
        <x:v>#REF!</x:v>
      </x:c>
      <x:c r="R31" s="88" t="e">
        <x:f>#REF!</x:f>
        <x:v>#REF!</x:v>
      </x:c>
      <x:c r="S31" s="88" t="e">
        <x:f>#REF!</x:f>
        <x:v>#REF!</x:v>
      </x:c>
    </x:row>
    <x:row r="32" ht="15.75">
      <x:c r="A32" s="91">
        <x:v>3</x:v>
      </x:c>
      <x:c r="B32" s="88" t="e">
        <x:f>#REF!</x:f>
        <x:v>#REF!</x:v>
      </x:c>
      <x:c r="C32" s="88" t="e">
        <x:f>#REF!</x:f>
        <x:v>#REF!</x:v>
      </x:c>
      <x:c r="D32" s="88" t="e">
        <x:f>#REF!</x:f>
        <x:v>#REF!</x:v>
      </x:c>
      <x:c r="E32" s="88" t="e">
        <x:f>#REF!</x:f>
        <x:v>#REF!</x:v>
      </x:c>
      <x:c r="F32" s="88" t="e">
        <x:f>#REF!</x:f>
        <x:v>#REF!</x:v>
      </x:c>
      <x:c r="G32" s="88" t="e">
        <x:f>#REF!</x:f>
        <x:v>#REF!</x:v>
      </x:c>
      <x:c r="H32" s="88" t="e">
        <x:f>#REF!</x:f>
        <x:v>#REF!</x:v>
      </x:c>
      <x:c r="I32" s="88" t="e">
        <x:f>#REF!</x:f>
        <x:v>#REF!</x:v>
      </x:c>
      <x:c r="J32" s="88" t="e">
        <x:f>#REF!</x:f>
        <x:v>#REF!</x:v>
      </x:c>
      <x:c r="K32" s="88" t="e">
        <x:f>#REF!</x:f>
        <x:v>#REF!</x:v>
      </x:c>
      <x:c r="L32" s="88" t="e">
        <x:f>#REF!</x:f>
        <x:v>#REF!</x:v>
      </x:c>
      <x:c r="M32" s="88" t="e">
        <x:f>#REF!</x:f>
        <x:v>#REF!</x:v>
      </x:c>
      <x:c r="N32" s="88" t="e">
        <x:f>#REF!</x:f>
        <x:v>#REF!</x:v>
      </x:c>
      <x:c r="O32" s="88" t="e">
        <x:f>#REF!</x:f>
        <x:v>#REF!</x:v>
      </x:c>
      <x:c r="P32" s="88" t="e">
        <x:f>#REF!</x:f>
        <x:v>#REF!</x:v>
      </x:c>
      <x:c r="Q32" s="88" t="e">
        <x:f>#REF!</x:f>
        <x:v>#REF!</x:v>
      </x:c>
      <x:c r="R32" s="88" t="e">
        <x:f>#REF!</x:f>
        <x:v>#REF!</x:v>
      </x:c>
      <x:c r="S32" s="88" t="e">
        <x:f>#REF!</x:f>
        <x:v>#REF!</x:v>
      </x:c>
    </x:row>
    <x:row r="33" ht="15.75">
      <x:c r="A33" s="91">
        <x:v>4</x:v>
      </x:c>
      <x:c r="B33" s="88" t="e">
        <x:f>#REF!</x:f>
        <x:v>#REF!</x:v>
      </x:c>
      <x:c r="C33" s="88" t="e">
        <x:f>#REF!</x:f>
        <x:v>#REF!</x:v>
      </x:c>
      <x:c r="D33" s="88" t="e">
        <x:f>#REF!</x:f>
        <x:v>#REF!</x:v>
      </x:c>
      <x:c r="E33" s="88" t="e">
        <x:f>#REF!</x:f>
        <x:v>#REF!</x:v>
      </x:c>
      <x:c r="F33" s="88" t="e">
        <x:f>#REF!</x:f>
        <x:v>#REF!</x:v>
      </x:c>
      <x:c r="G33" s="88" t="e">
        <x:f>#REF!</x:f>
        <x:v>#REF!</x:v>
      </x:c>
      <x:c r="H33" s="88" t="e">
        <x:f>#REF!</x:f>
        <x:v>#REF!</x:v>
      </x:c>
      <x:c r="I33" s="88" t="e">
        <x:f>#REF!</x:f>
        <x:v>#REF!</x:v>
      </x:c>
      <x:c r="J33" s="88" t="e">
        <x:f>#REF!</x:f>
        <x:v>#REF!</x:v>
      </x:c>
      <x:c r="K33" s="88" t="e">
        <x:f>#REF!</x:f>
        <x:v>#REF!</x:v>
      </x:c>
      <x:c r="L33" s="88" t="e">
        <x:f>#REF!</x:f>
        <x:v>#REF!</x:v>
      </x:c>
      <x:c r="M33" s="88" t="e">
        <x:f>#REF!</x:f>
        <x:v>#REF!</x:v>
      </x:c>
      <x:c r="N33" s="88" t="e">
        <x:f>#REF!</x:f>
        <x:v>#REF!</x:v>
      </x:c>
      <x:c r="O33" s="88" t="e">
        <x:f>#REF!</x:f>
        <x:v>#REF!</x:v>
      </x:c>
      <x:c r="P33" s="88" t="e">
        <x:f>#REF!</x:f>
        <x:v>#REF!</x:v>
      </x:c>
      <x:c r="Q33" s="88" t="e">
        <x:f>#REF!</x:f>
        <x:v>#REF!</x:v>
      </x:c>
      <x:c r="R33" s="88" t="e">
        <x:f>#REF!</x:f>
        <x:v>#REF!</x:v>
      </x:c>
      <x:c r="S33" s="88" t="e">
        <x:f>#REF!</x:f>
        <x:v>#REF!</x:v>
      </x:c>
    </x:row>
    <x:row r="34" ht="15.75">
      <x:c r="A34" s="91">
        <x:v>5</x:v>
      </x:c>
      <x:c r="B34" s="88" t="e">
        <x:f>#REF!</x:f>
        <x:v>#REF!</x:v>
      </x:c>
      <x:c r="C34" s="88" t="e">
        <x:f>#REF!</x:f>
        <x:v>#REF!</x:v>
      </x:c>
      <x:c r="D34" s="88" t="e">
        <x:f>#REF!</x:f>
        <x:v>#REF!</x:v>
      </x:c>
      <x:c r="E34" s="88" t="e">
        <x:f>#REF!</x:f>
        <x:v>#REF!</x:v>
      </x:c>
      <x:c r="F34" s="88" t="e">
        <x:f>#REF!</x:f>
        <x:v>#REF!</x:v>
      </x:c>
      <x:c r="G34" s="88" t="e">
        <x:f>#REF!</x:f>
        <x:v>#REF!</x:v>
      </x:c>
      <x:c r="H34" s="88" t="e">
        <x:f>#REF!</x:f>
        <x:v>#REF!</x:v>
      </x:c>
      <x:c r="I34" s="88" t="e">
        <x:f>#REF!</x:f>
        <x:v>#REF!</x:v>
      </x:c>
      <x:c r="J34" s="88" t="e">
        <x:f>#REF!</x:f>
        <x:v>#REF!</x:v>
      </x:c>
      <x:c r="K34" s="88" t="e">
        <x:f>#REF!</x:f>
        <x:v>#REF!</x:v>
      </x:c>
      <x:c r="L34" s="88" t="e">
        <x:f>#REF!</x:f>
        <x:v>#REF!</x:v>
      </x:c>
      <x:c r="M34" s="88" t="e">
        <x:f>#REF!</x:f>
        <x:v>#REF!</x:v>
      </x:c>
      <x:c r="N34" s="88" t="e">
        <x:f>#REF!</x:f>
        <x:v>#REF!</x:v>
      </x:c>
      <x:c r="O34" s="88" t="e">
        <x:f>#REF!</x:f>
        <x:v>#REF!</x:v>
      </x:c>
      <x:c r="P34" s="88" t="e">
        <x:f>#REF!</x:f>
        <x:v>#REF!</x:v>
      </x:c>
      <x:c r="Q34" s="88" t="e">
        <x:f>#REF!</x:f>
        <x:v>#REF!</x:v>
      </x:c>
      <x:c r="R34" s="88" t="e">
        <x:f>#REF!</x:f>
        <x:v>#REF!</x:v>
      </x:c>
      <x:c r="S34" s="88" t="e">
        <x:f>#REF!</x:f>
        <x:v>#REF!</x:v>
      </x:c>
    </x:row>
    <x:row r="35" ht="15.75">
      <x:c r="A35" s="91">
        <x:v>6</x:v>
      </x:c>
      <x:c r="B35" s="88" t="e">
        <x:f>#REF!</x:f>
        <x:v>#REF!</x:v>
      </x:c>
      <x:c r="C35" s="88" t="e">
        <x:f>#REF!</x:f>
        <x:v>#REF!</x:v>
      </x:c>
      <x:c r="D35" s="88" t="e">
        <x:f>#REF!</x:f>
        <x:v>#REF!</x:v>
      </x:c>
      <x:c r="E35" s="88" t="e">
        <x:f>#REF!</x:f>
        <x:v>#REF!</x:v>
      </x:c>
      <x:c r="F35" s="88" t="e">
        <x:f>#REF!</x:f>
        <x:v>#REF!</x:v>
      </x:c>
      <x:c r="G35" s="88" t="e">
        <x:f>#REF!</x:f>
        <x:v>#REF!</x:v>
      </x:c>
      <x:c r="H35" s="88" t="e">
        <x:f>#REF!</x:f>
        <x:v>#REF!</x:v>
      </x:c>
      <x:c r="I35" s="88" t="e">
        <x:f>#REF!</x:f>
        <x:v>#REF!</x:v>
      </x:c>
      <x:c r="J35" s="88" t="e">
        <x:f>#REF!</x:f>
        <x:v>#REF!</x:v>
      </x:c>
      <x:c r="K35" s="88" t="e">
        <x:f>#REF!</x:f>
        <x:v>#REF!</x:v>
      </x:c>
      <x:c r="L35" s="88" t="e">
        <x:f>#REF!</x:f>
        <x:v>#REF!</x:v>
      </x:c>
      <x:c r="M35" s="88" t="e">
        <x:f>#REF!</x:f>
        <x:v>#REF!</x:v>
      </x:c>
      <x:c r="N35" s="88" t="e">
        <x:f>#REF!</x:f>
        <x:v>#REF!</x:v>
      </x:c>
      <x:c r="O35" s="88" t="e">
        <x:f>#REF!</x:f>
        <x:v>#REF!</x:v>
      </x:c>
      <x:c r="P35" s="88" t="e">
        <x:f>#REF!</x:f>
        <x:v>#REF!</x:v>
      </x:c>
      <x:c r="Q35" s="88" t="e">
        <x:f>#REF!</x:f>
        <x:v>#REF!</x:v>
      </x:c>
      <x:c r="R35" s="88" t="e">
        <x:f>#REF!</x:f>
        <x:v>#REF!</x:v>
      </x:c>
      <x:c r="S35" s="88" t="e">
        <x:f>#REF!</x:f>
        <x:v>#REF!</x:v>
      </x:c>
    </x:row>
    <x:row r="36" ht="15.75">
      <x:c r="A36" s="91">
        <x:v>7</x:v>
      </x:c>
      <x:c r="B36" s="88" t="e">
        <x:f>#REF!</x:f>
        <x:v>#REF!</x:v>
      </x:c>
      <x:c r="C36" s="88" t="e">
        <x:f>#REF!</x:f>
        <x:v>#REF!</x:v>
      </x:c>
      <x:c r="D36" s="88" t="e">
        <x:f>#REF!</x:f>
        <x:v>#REF!</x:v>
      </x:c>
      <x:c r="E36" s="88" t="e">
        <x:f>#REF!</x:f>
        <x:v>#REF!</x:v>
      </x:c>
      <x:c r="F36" s="88" t="e">
        <x:f>#REF!</x:f>
        <x:v>#REF!</x:v>
      </x:c>
      <x:c r="G36" s="88" t="e">
        <x:f>#REF!</x:f>
        <x:v>#REF!</x:v>
      </x:c>
      <x:c r="H36" s="88" t="e">
        <x:f>#REF!</x:f>
        <x:v>#REF!</x:v>
      </x:c>
      <x:c r="I36" s="88" t="e">
        <x:f>#REF!</x:f>
        <x:v>#REF!</x:v>
      </x:c>
      <x:c r="J36" s="88" t="e">
        <x:f>#REF!</x:f>
        <x:v>#REF!</x:v>
      </x:c>
      <x:c r="K36" s="88" t="e">
        <x:f>#REF!</x:f>
        <x:v>#REF!</x:v>
      </x:c>
      <x:c r="L36" s="88" t="e">
        <x:f>#REF!</x:f>
        <x:v>#REF!</x:v>
      </x:c>
      <x:c r="M36" s="88" t="e">
        <x:f>#REF!</x:f>
        <x:v>#REF!</x:v>
      </x:c>
      <x:c r="N36" s="88" t="e">
        <x:f>#REF!</x:f>
        <x:v>#REF!</x:v>
      </x:c>
      <x:c r="O36" s="88" t="e">
        <x:f>#REF!</x:f>
        <x:v>#REF!</x:v>
      </x:c>
      <x:c r="P36" s="88" t="e">
        <x:f>#REF!</x:f>
        <x:v>#REF!</x:v>
      </x:c>
      <x:c r="Q36" s="88" t="e">
        <x:f>#REF!</x:f>
        <x:v>#REF!</x:v>
      </x:c>
      <x:c r="R36" s="88" t="e">
        <x:f>#REF!</x:f>
        <x:v>#REF!</x:v>
      </x:c>
      <x:c r="S36" s="88" t="e">
        <x:f>#REF!</x:f>
        <x:v>#REF!</x:v>
      </x:c>
    </x:row>
    <x:row r="37" ht="15.75">
      <x:c r="A37" s="91">
        <x:v>8</x:v>
      </x:c>
      <x:c r="B37" s="88" t="e">
        <x:f>#REF!</x:f>
        <x:v>#REF!</x:v>
      </x:c>
      <x:c r="C37" s="88" t="e">
        <x:f>#REF!</x:f>
        <x:v>#REF!</x:v>
      </x:c>
      <x:c r="D37" s="88" t="e">
        <x:f>#REF!</x:f>
        <x:v>#REF!</x:v>
      </x:c>
      <x:c r="E37" s="88" t="e">
        <x:f>#REF!</x:f>
        <x:v>#REF!</x:v>
      </x:c>
      <x:c r="F37" s="88" t="e">
        <x:f>#REF!</x:f>
        <x:v>#REF!</x:v>
      </x:c>
      <x:c r="G37" s="88" t="e">
        <x:f>#REF!</x:f>
        <x:v>#REF!</x:v>
      </x:c>
      <x:c r="H37" s="88" t="e">
        <x:f>#REF!</x:f>
        <x:v>#REF!</x:v>
      </x:c>
      <x:c r="I37" s="88" t="e">
        <x:f>#REF!</x:f>
        <x:v>#REF!</x:v>
      </x:c>
      <x:c r="J37" s="88" t="e">
        <x:f>#REF!</x:f>
        <x:v>#REF!</x:v>
      </x:c>
      <x:c r="K37" s="88" t="e">
        <x:f>#REF!</x:f>
        <x:v>#REF!</x:v>
      </x:c>
      <x:c r="L37" s="88" t="e">
        <x:f>#REF!</x:f>
        <x:v>#REF!</x:v>
      </x:c>
      <x:c r="M37" s="88" t="e">
        <x:f>#REF!</x:f>
        <x:v>#REF!</x:v>
      </x:c>
      <x:c r="N37" s="88" t="e">
        <x:f>#REF!</x:f>
        <x:v>#REF!</x:v>
      </x:c>
      <x:c r="O37" s="88" t="e">
        <x:f>#REF!</x:f>
        <x:v>#REF!</x:v>
      </x:c>
      <x:c r="P37" s="88" t="e">
        <x:f>#REF!</x:f>
        <x:v>#REF!</x:v>
      </x:c>
      <x:c r="Q37" s="88" t="e">
        <x:f>#REF!</x:f>
        <x:v>#REF!</x:v>
      </x:c>
      <x:c r="R37" s="88" t="e">
        <x:f>#REF!</x:f>
        <x:v>#REF!</x:v>
      </x:c>
      <x:c r="S37" s="88" t="e">
        <x:f>#REF!</x:f>
        <x:v>#REF!</x:v>
      </x:c>
    </x:row>
    <x:row r="38" ht="15.75">
      <x:c r="A38" s="91">
        <x:v>9</x:v>
      </x:c>
      <x:c r="B38" s="88" t="e">
        <x:f>#REF!</x:f>
        <x:v>#REF!</x:v>
      </x:c>
      <x:c r="C38" s="88" t="e">
        <x:f>#REF!</x:f>
        <x:v>#REF!</x:v>
      </x:c>
      <x:c r="D38" s="88" t="e">
        <x:f>#REF!</x:f>
        <x:v>#REF!</x:v>
      </x:c>
      <x:c r="E38" s="88" t="e">
        <x:f>#REF!</x:f>
        <x:v>#REF!</x:v>
      </x:c>
      <x:c r="F38" s="88" t="e">
        <x:f>#REF!</x:f>
        <x:v>#REF!</x:v>
      </x:c>
      <x:c r="G38" s="88" t="e">
        <x:f>#REF!</x:f>
        <x:v>#REF!</x:v>
      </x:c>
      <x:c r="H38" s="88" t="e">
        <x:f>#REF!</x:f>
        <x:v>#REF!</x:v>
      </x:c>
      <x:c r="I38" s="88" t="e">
        <x:f>#REF!</x:f>
        <x:v>#REF!</x:v>
      </x:c>
      <x:c r="J38" s="88" t="e">
        <x:f>#REF!</x:f>
        <x:v>#REF!</x:v>
      </x:c>
      <x:c r="K38" s="88" t="e">
        <x:f>#REF!</x:f>
        <x:v>#REF!</x:v>
      </x:c>
      <x:c r="L38" s="88" t="e">
        <x:f>#REF!</x:f>
        <x:v>#REF!</x:v>
      </x:c>
      <x:c r="M38" s="88" t="e">
        <x:f>#REF!</x:f>
        <x:v>#REF!</x:v>
      </x:c>
      <x:c r="N38" s="88" t="e">
        <x:f>#REF!</x:f>
        <x:v>#REF!</x:v>
      </x:c>
      <x:c r="O38" s="88" t="e">
        <x:f>#REF!</x:f>
        <x:v>#REF!</x:v>
      </x:c>
      <x:c r="P38" s="88" t="e">
        <x:f>#REF!</x:f>
        <x:v>#REF!</x:v>
      </x:c>
      <x:c r="Q38" s="88" t="e">
        <x:f>#REF!</x:f>
        <x:v>#REF!</x:v>
      </x:c>
      <x:c r="R38" s="88" t="e">
        <x:f>#REF!</x:f>
        <x:v>#REF!</x:v>
      </x:c>
      <x:c r="S38" s="88" t="e">
        <x:f>#REF!</x:f>
        <x:v>#REF!</x:v>
      </x:c>
    </x:row>
    <x:row r="39" ht="15.75">
      <x:c r="A39" s="91">
        <x:v>10</x:v>
      </x:c>
      <x:c r="B39" s="88" t="e">
        <x:f>#REF!</x:f>
        <x:v>#REF!</x:v>
      </x:c>
      <x:c r="C39" s="88" t="e">
        <x:f>#REF!</x:f>
        <x:v>#REF!</x:v>
      </x:c>
      <x:c r="D39" s="88" t="e">
        <x:f>#REF!</x:f>
        <x:v>#REF!</x:v>
      </x:c>
      <x:c r="E39" s="88" t="e">
        <x:f>#REF!</x:f>
        <x:v>#REF!</x:v>
      </x:c>
      <x:c r="F39" s="88" t="e">
        <x:f>#REF!</x:f>
        <x:v>#REF!</x:v>
      </x:c>
      <x:c r="G39" s="88" t="e">
        <x:f>#REF!</x:f>
        <x:v>#REF!</x:v>
      </x:c>
      <x:c r="H39" s="88" t="e">
        <x:f>#REF!</x:f>
        <x:v>#REF!</x:v>
      </x:c>
      <x:c r="I39" s="88" t="e">
        <x:f>#REF!</x:f>
        <x:v>#REF!</x:v>
      </x:c>
      <x:c r="J39" s="88" t="e">
        <x:f>#REF!</x:f>
        <x:v>#REF!</x:v>
      </x:c>
      <x:c r="K39" s="88" t="e">
        <x:f>#REF!</x:f>
        <x:v>#REF!</x:v>
      </x:c>
      <x:c r="L39" s="88" t="e">
        <x:f>#REF!</x:f>
        <x:v>#REF!</x:v>
      </x:c>
      <x:c r="M39" s="88" t="e">
        <x:f>#REF!</x:f>
        <x:v>#REF!</x:v>
      </x:c>
      <x:c r="N39" s="88" t="e">
        <x:f>#REF!</x:f>
        <x:v>#REF!</x:v>
      </x:c>
      <x:c r="O39" s="88" t="e">
        <x:f>#REF!</x:f>
        <x:v>#REF!</x:v>
      </x:c>
      <x:c r="P39" s="88" t="e">
        <x:f>#REF!</x:f>
        <x:v>#REF!</x:v>
      </x:c>
      <x:c r="Q39" s="88" t="e">
        <x:f>#REF!</x:f>
        <x:v>#REF!</x:v>
      </x:c>
      <x:c r="R39" s="88" t="e">
        <x:f>#REF!</x:f>
        <x:v>#REF!</x:v>
      </x:c>
      <x:c r="S39" s="88" t="e">
        <x:f>#REF!</x:f>
        <x:v>#REF!</x:v>
      </x:c>
    </x:row>
    <x:row r="40" ht="15.75">
      <x:c r="A40" s="91">
        <x:v>11</x:v>
      </x:c>
      <x:c r="B40" s="88" t="e">
        <x:f>#REF!</x:f>
        <x:v>#REF!</x:v>
      </x:c>
      <x:c r="C40" s="88" t="e">
        <x:f>#REF!</x:f>
        <x:v>#REF!</x:v>
      </x:c>
      <x:c r="D40" s="88" t="e">
        <x:f>#REF!</x:f>
        <x:v>#REF!</x:v>
      </x:c>
      <x:c r="E40" s="88" t="e">
        <x:f>#REF!</x:f>
        <x:v>#REF!</x:v>
      </x:c>
      <x:c r="F40" s="88" t="e">
        <x:f>#REF!</x:f>
        <x:v>#REF!</x:v>
      </x:c>
      <x:c r="G40" s="88" t="e">
        <x:f>#REF!</x:f>
        <x:v>#REF!</x:v>
      </x:c>
      <x:c r="H40" s="88" t="e">
        <x:f>#REF!</x:f>
        <x:v>#REF!</x:v>
      </x:c>
      <x:c r="I40" s="88" t="e">
        <x:f>#REF!</x:f>
        <x:v>#REF!</x:v>
      </x:c>
      <x:c r="J40" s="88" t="e">
        <x:f>#REF!</x:f>
        <x:v>#REF!</x:v>
      </x:c>
      <x:c r="K40" s="88" t="e">
        <x:f>#REF!</x:f>
        <x:v>#REF!</x:v>
      </x:c>
      <x:c r="L40" s="88" t="e">
        <x:f>#REF!</x:f>
        <x:v>#REF!</x:v>
      </x:c>
      <x:c r="M40" s="88" t="e">
        <x:f>#REF!</x:f>
        <x:v>#REF!</x:v>
      </x:c>
      <x:c r="N40" s="88" t="e">
        <x:f>#REF!</x:f>
        <x:v>#REF!</x:v>
      </x:c>
      <x:c r="O40" s="88" t="e">
        <x:f>#REF!</x:f>
        <x:v>#REF!</x:v>
      </x:c>
      <x:c r="P40" s="88" t="e">
        <x:f>#REF!</x:f>
        <x:v>#REF!</x:v>
      </x:c>
      <x:c r="Q40" s="88" t="e">
        <x:f>#REF!</x:f>
        <x:v>#REF!</x:v>
      </x:c>
      <x:c r="R40" s="88" t="e">
        <x:f>#REF!</x:f>
        <x:v>#REF!</x:v>
      </x:c>
      <x:c r="S40" s="88" t="e">
        <x:f>#REF!</x:f>
        <x:v>#REF!</x:v>
      </x:c>
    </x:row>
    <x:row r="41" ht="15.75">
      <x:c r="A41" s="91">
        <x:v>12</x:v>
      </x:c>
      <x:c r="B41" s="88" t="e">
        <x:f>#REF!</x:f>
        <x:v>#REF!</x:v>
      </x:c>
      <x:c r="C41" s="88" t="e">
        <x:f>#REF!</x:f>
        <x:v>#REF!</x:v>
      </x:c>
      <x:c r="D41" s="88" t="e">
        <x:f>#REF!</x:f>
        <x:v>#REF!</x:v>
      </x:c>
      <x:c r="E41" s="88" t="e">
        <x:f>#REF!</x:f>
        <x:v>#REF!</x:v>
      </x:c>
      <x:c r="F41" s="88" t="e">
        <x:f>#REF!</x:f>
        <x:v>#REF!</x:v>
      </x:c>
      <x:c r="G41" s="88" t="e">
        <x:f>#REF!</x:f>
        <x:v>#REF!</x:v>
      </x:c>
      <x:c r="H41" s="88" t="e">
        <x:f>#REF!</x:f>
        <x:v>#REF!</x:v>
      </x:c>
      <x:c r="I41" s="88" t="e">
        <x:f>#REF!</x:f>
        <x:v>#REF!</x:v>
      </x:c>
      <x:c r="J41" s="88" t="e">
        <x:f>#REF!</x:f>
        <x:v>#REF!</x:v>
      </x:c>
      <x:c r="K41" s="88" t="e">
        <x:f>#REF!</x:f>
        <x:v>#REF!</x:v>
      </x:c>
      <x:c r="L41" s="88" t="e">
        <x:f>#REF!</x:f>
        <x:v>#REF!</x:v>
      </x:c>
      <x:c r="M41" s="88" t="e">
        <x:f>#REF!</x:f>
        <x:v>#REF!</x:v>
      </x:c>
      <x:c r="N41" s="88" t="e">
        <x:f>#REF!</x:f>
        <x:v>#REF!</x:v>
      </x:c>
      <x:c r="O41" s="88" t="e">
        <x:f>#REF!</x:f>
        <x:v>#REF!</x:v>
      </x:c>
      <x:c r="P41" s="88" t="e">
        <x:f>#REF!</x:f>
        <x:v>#REF!</x:v>
      </x:c>
      <x:c r="Q41" s="88" t="e">
        <x:f>#REF!</x:f>
        <x:v>#REF!</x:v>
      </x:c>
      <x:c r="R41" s="88" t="e">
        <x:f>#REF!</x:f>
        <x:v>#REF!</x:v>
      </x:c>
      <x:c r="S41" s="88" t="e">
        <x:f>#REF!</x:f>
        <x:v>#REF!</x:v>
      </x:c>
    </x:row>
    <x:row r="42" ht="15.75">
      <x:c r="A42" s="91">
        <x:v>13</x:v>
      </x:c>
      <x:c r="B42" s="88" t="e">
        <x:f>#REF!</x:f>
        <x:v>#REF!</x:v>
      </x:c>
      <x:c r="C42" s="88" t="e">
        <x:f>#REF!</x:f>
        <x:v>#REF!</x:v>
      </x:c>
      <x:c r="D42" s="88" t="e">
        <x:f>#REF!</x:f>
        <x:v>#REF!</x:v>
      </x:c>
      <x:c r="E42" s="88" t="e">
        <x:f>#REF!</x:f>
        <x:v>#REF!</x:v>
      </x:c>
      <x:c r="F42" s="88" t="e">
        <x:f>#REF!</x:f>
        <x:v>#REF!</x:v>
      </x:c>
      <x:c r="G42" s="88" t="e">
        <x:f>#REF!</x:f>
        <x:v>#REF!</x:v>
      </x:c>
      <x:c r="H42" s="88" t="e">
        <x:f>#REF!</x:f>
        <x:v>#REF!</x:v>
      </x:c>
      <x:c r="I42" s="88" t="e">
        <x:f>#REF!</x:f>
        <x:v>#REF!</x:v>
      </x:c>
      <x:c r="J42" s="88" t="e">
        <x:f>#REF!</x:f>
        <x:v>#REF!</x:v>
      </x:c>
      <x:c r="K42" s="88" t="e">
        <x:f>#REF!</x:f>
        <x:v>#REF!</x:v>
      </x:c>
      <x:c r="L42" s="88" t="e">
        <x:f>#REF!</x:f>
        <x:v>#REF!</x:v>
      </x:c>
      <x:c r="M42" s="88" t="e">
        <x:f>#REF!</x:f>
        <x:v>#REF!</x:v>
      </x:c>
      <x:c r="N42" s="88" t="e">
        <x:f>#REF!</x:f>
        <x:v>#REF!</x:v>
      </x:c>
      <x:c r="O42" s="88" t="e">
        <x:f>#REF!</x:f>
        <x:v>#REF!</x:v>
      </x:c>
      <x:c r="P42" s="88" t="e">
        <x:f>#REF!</x:f>
        <x:v>#REF!</x:v>
      </x:c>
      <x:c r="Q42" s="88" t="e">
        <x:f>#REF!</x:f>
        <x:v>#REF!</x:v>
      </x:c>
      <x:c r="R42" s="88" t="e">
        <x:f>#REF!</x:f>
        <x:v>#REF!</x:v>
      </x:c>
      <x:c r="S42" s="88" t="e">
        <x:f>#REF!</x:f>
        <x:v>#REF!</x:v>
      </x:c>
    </x:row>
    <x:row r="43" ht="15.75">
      <x:c r="A43" s="91">
        <x:v>14</x:v>
      </x:c>
      <x:c r="B43" s="88" t="e">
        <x:f>#REF!</x:f>
        <x:v>#REF!</x:v>
      </x:c>
      <x:c r="C43" s="88" t="e">
        <x:f>#REF!</x:f>
        <x:v>#REF!</x:v>
      </x:c>
      <x:c r="D43" s="88" t="e">
        <x:f>#REF!</x:f>
        <x:v>#REF!</x:v>
      </x:c>
      <x:c r="E43" s="88" t="e">
        <x:f>#REF!</x:f>
        <x:v>#REF!</x:v>
      </x:c>
      <x:c r="F43" s="88" t="e">
        <x:f>#REF!</x:f>
        <x:v>#REF!</x:v>
      </x:c>
      <x:c r="G43" s="88" t="e">
        <x:f>#REF!</x:f>
        <x:v>#REF!</x:v>
      </x:c>
      <x:c r="H43" s="88" t="e">
        <x:f>#REF!</x:f>
        <x:v>#REF!</x:v>
      </x:c>
      <x:c r="I43" s="88" t="e">
        <x:f>#REF!</x:f>
        <x:v>#REF!</x:v>
      </x:c>
      <x:c r="J43" s="88" t="e">
        <x:f>#REF!</x:f>
        <x:v>#REF!</x:v>
      </x:c>
      <x:c r="K43" s="88" t="e">
        <x:f>#REF!</x:f>
        <x:v>#REF!</x:v>
      </x:c>
      <x:c r="L43" s="88" t="e">
        <x:f>#REF!</x:f>
        <x:v>#REF!</x:v>
      </x:c>
      <x:c r="M43" s="88" t="e">
        <x:f>#REF!</x:f>
        <x:v>#REF!</x:v>
      </x:c>
      <x:c r="N43" s="88" t="e">
        <x:f>#REF!</x:f>
        <x:v>#REF!</x:v>
      </x:c>
      <x:c r="O43" s="88" t="e">
        <x:f>#REF!</x:f>
        <x:v>#REF!</x:v>
      </x:c>
      <x:c r="P43" s="88" t="e">
        <x:f>#REF!</x:f>
        <x:v>#REF!</x:v>
      </x:c>
      <x:c r="Q43" s="88" t="e">
        <x:f>#REF!</x:f>
        <x:v>#REF!</x:v>
      </x:c>
      <x:c r="R43" s="88" t="e">
        <x:f>#REF!</x:f>
        <x:v>#REF!</x:v>
      </x:c>
      <x:c r="S43" s="88" t="e">
        <x:f>#REF!</x:f>
        <x:v>#REF!</x:v>
      </x:c>
    </x:row>
    <x:row r="44" ht="15.75">
      <x:c r="A44" s="91">
        <x:v>15</x:v>
      </x:c>
      <x:c r="B44" s="88" t="e">
        <x:f>#REF!</x:f>
        <x:v>#REF!</x:v>
      </x:c>
      <x:c r="C44" s="88" t="e">
        <x:f>#REF!</x:f>
        <x:v>#REF!</x:v>
      </x:c>
      <x:c r="D44" s="88" t="e">
        <x:f>#REF!</x:f>
        <x:v>#REF!</x:v>
      </x:c>
      <x:c r="E44" s="88" t="e">
        <x:f>#REF!</x:f>
        <x:v>#REF!</x:v>
      </x:c>
      <x:c r="F44" s="88" t="e">
        <x:f>#REF!</x:f>
        <x:v>#REF!</x:v>
      </x:c>
      <x:c r="G44" s="88" t="e">
        <x:f>#REF!</x:f>
        <x:v>#REF!</x:v>
      </x:c>
      <x:c r="H44" s="88" t="e">
        <x:f>#REF!</x:f>
        <x:v>#REF!</x:v>
      </x:c>
      <x:c r="I44" s="88" t="e">
        <x:f>#REF!</x:f>
        <x:v>#REF!</x:v>
      </x:c>
      <x:c r="J44" s="88" t="e">
        <x:f>#REF!</x:f>
        <x:v>#REF!</x:v>
      </x:c>
      <x:c r="K44" s="88" t="e">
        <x:f>#REF!</x:f>
        <x:v>#REF!</x:v>
      </x:c>
      <x:c r="L44" s="88" t="e">
        <x:f>#REF!</x:f>
        <x:v>#REF!</x:v>
      </x:c>
      <x:c r="M44" s="88" t="e">
        <x:f>#REF!</x:f>
        <x:v>#REF!</x:v>
      </x:c>
      <x:c r="N44" s="88" t="e">
        <x:f>#REF!</x:f>
        <x:v>#REF!</x:v>
      </x:c>
      <x:c r="O44" s="88" t="e">
        <x:f>#REF!</x:f>
        <x:v>#REF!</x:v>
      </x:c>
      <x:c r="P44" s="88" t="e">
        <x:f>#REF!</x:f>
        <x:v>#REF!</x:v>
      </x:c>
      <x:c r="Q44" s="88" t="e">
        <x:f>#REF!</x:f>
        <x:v>#REF!</x:v>
      </x:c>
      <x:c r="R44" s="88" t="e">
        <x:f>#REF!</x:f>
        <x:v>#REF!</x:v>
      </x:c>
      <x:c r="S44" s="88" t="e">
        <x:f>#REF!</x:f>
        <x:v>#REF!</x:v>
      </x:c>
    </x:row>
    <x:row r="45" ht="15.75">
      <x:c r="A45" s="91">
        <x:v>16</x:v>
      </x:c>
      <x:c r="B45" s="88" t="e">
        <x:f>#REF!</x:f>
        <x:v>#REF!</x:v>
      </x:c>
      <x:c r="C45" s="88" t="e">
        <x:f>#REF!</x:f>
        <x:v>#REF!</x:v>
      </x:c>
      <x:c r="D45" s="88" t="e">
        <x:f>#REF!</x:f>
        <x:v>#REF!</x:v>
      </x:c>
      <x:c r="E45" s="88" t="e">
        <x:f>#REF!</x:f>
        <x:v>#REF!</x:v>
      </x:c>
      <x:c r="F45" s="88" t="e">
        <x:f>#REF!</x:f>
        <x:v>#REF!</x:v>
      </x:c>
      <x:c r="G45" s="88" t="e">
        <x:f>#REF!</x:f>
        <x:v>#REF!</x:v>
      </x:c>
      <x:c r="H45" s="88" t="e">
        <x:f>#REF!</x:f>
        <x:v>#REF!</x:v>
      </x:c>
      <x:c r="I45" s="88" t="e">
        <x:f>#REF!</x:f>
        <x:v>#REF!</x:v>
      </x:c>
      <x:c r="J45" s="88" t="e">
        <x:f>#REF!</x:f>
        <x:v>#REF!</x:v>
      </x:c>
      <x:c r="K45" s="88" t="e">
        <x:f>#REF!</x:f>
        <x:v>#REF!</x:v>
      </x:c>
      <x:c r="L45" s="88" t="e">
        <x:f>#REF!</x:f>
        <x:v>#REF!</x:v>
      </x:c>
      <x:c r="M45" s="88" t="e">
        <x:f>#REF!</x:f>
        <x:v>#REF!</x:v>
      </x:c>
      <x:c r="N45" s="88" t="e">
        <x:f>#REF!</x:f>
        <x:v>#REF!</x:v>
      </x:c>
      <x:c r="O45" s="88" t="e">
        <x:f>#REF!</x:f>
        <x:v>#REF!</x:v>
      </x:c>
      <x:c r="P45" s="88" t="e">
        <x:f>#REF!</x:f>
        <x:v>#REF!</x:v>
      </x:c>
      <x:c r="Q45" s="88" t="e">
        <x:f>#REF!</x:f>
        <x:v>#REF!</x:v>
      </x:c>
      <x:c r="R45" s="88" t="e">
        <x:f>#REF!</x:f>
        <x:v>#REF!</x:v>
      </x:c>
      <x:c r="S45" s="88" t="e">
        <x:f>#REF!</x:f>
        <x:v>#REF!</x:v>
      </x:c>
    </x:row>
    <x:row r="46" ht="15.75">
      <x:c r="A46" s="91">
        <x:v>17</x:v>
      </x:c>
      <x:c r="B46" s="88" t="e">
        <x:f>#REF!</x:f>
        <x:v>#REF!</x:v>
      </x:c>
      <x:c r="C46" s="88" t="e">
        <x:f>#REF!</x:f>
        <x:v>#REF!</x:v>
      </x:c>
      <x:c r="D46" s="88" t="e">
        <x:f>#REF!</x:f>
        <x:v>#REF!</x:v>
      </x:c>
      <x:c r="E46" s="88" t="e">
        <x:f>#REF!</x:f>
        <x:v>#REF!</x:v>
      </x:c>
      <x:c r="F46" s="88" t="e">
        <x:f>#REF!</x:f>
        <x:v>#REF!</x:v>
      </x:c>
      <x:c r="G46" s="88" t="e">
        <x:f>#REF!</x:f>
        <x:v>#REF!</x:v>
      </x:c>
      <x:c r="H46" s="88" t="e">
        <x:f>#REF!</x:f>
        <x:v>#REF!</x:v>
      </x:c>
      <x:c r="I46" s="88" t="e">
        <x:f>#REF!</x:f>
        <x:v>#REF!</x:v>
      </x:c>
      <x:c r="J46" s="88" t="e">
        <x:f>#REF!</x:f>
        <x:v>#REF!</x:v>
      </x:c>
      <x:c r="K46" s="88" t="e">
        <x:f>#REF!</x:f>
        <x:v>#REF!</x:v>
      </x:c>
      <x:c r="L46" s="88" t="e">
        <x:f>#REF!</x:f>
        <x:v>#REF!</x:v>
      </x:c>
      <x:c r="M46" s="88" t="e">
        <x:f>#REF!</x:f>
        <x:v>#REF!</x:v>
      </x:c>
      <x:c r="N46" s="88" t="e">
        <x:f>#REF!</x:f>
        <x:v>#REF!</x:v>
      </x:c>
      <x:c r="O46" s="88" t="e">
        <x:f>#REF!</x:f>
        <x:v>#REF!</x:v>
      </x:c>
      <x:c r="P46" s="88" t="e">
        <x:f>#REF!</x:f>
        <x:v>#REF!</x:v>
      </x:c>
      <x:c r="Q46" s="88" t="e">
        <x:f>#REF!</x:f>
        <x:v>#REF!</x:v>
      </x:c>
      <x:c r="R46" s="88" t="e">
        <x:f>#REF!</x:f>
        <x:v>#REF!</x:v>
      </x:c>
      <x:c r="S46" s="88" t="e">
        <x:f>#REF!</x:f>
        <x:v>#REF!</x:v>
      </x:c>
    </x:row>
    <x:row r="47" ht="15.75">
      <x:c r="A47" s="91">
        <x:v>18</x:v>
      </x:c>
      <x:c r="B47" s="88" t="e">
        <x:f>#REF!</x:f>
        <x:v>#REF!</x:v>
      </x:c>
      <x:c r="C47" s="88" t="e">
        <x:f>#REF!</x:f>
        <x:v>#REF!</x:v>
      </x:c>
      <x:c r="D47" s="88" t="e">
        <x:f>#REF!</x:f>
        <x:v>#REF!</x:v>
      </x:c>
      <x:c r="E47" s="88" t="e">
        <x:f>#REF!</x:f>
        <x:v>#REF!</x:v>
      </x:c>
      <x:c r="F47" s="88" t="e">
        <x:f>#REF!</x:f>
        <x:v>#REF!</x:v>
      </x:c>
      <x:c r="G47" s="88" t="e">
        <x:f>#REF!</x:f>
        <x:v>#REF!</x:v>
      </x:c>
      <x:c r="H47" s="88" t="e">
        <x:f>#REF!</x:f>
        <x:v>#REF!</x:v>
      </x:c>
      <x:c r="I47" s="88" t="e">
        <x:f>#REF!</x:f>
        <x:v>#REF!</x:v>
      </x:c>
      <x:c r="J47" s="88" t="e">
        <x:f>#REF!</x:f>
        <x:v>#REF!</x:v>
      </x:c>
      <x:c r="K47" s="88" t="e">
        <x:f>#REF!</x:f>
        <x:v>#REF!</x:v>
      </x:c>
      <x:c r="L47" s="88" t="e">
        <x:f>#REF!</x:f>
        <x:v>#REF!</x:v>
      </x:c>
      <x:c r="M47" s="88" t="e">
        <x:f>#REF!</x:f>
        <x:v>#REF!</x:v>
      </x:c>
      <x:c r="N47" s="88" t="e">
        <x:f>#REF!</x:f>
        <x:v>#REF!</x:v>
      </x:c>
      <x:c r="O47" s="88" t="e">
        <x:f>#REF!</x:f>
        <x:v>#REF!</x:v>
      </x:c>
      <x:c r="P47" s="88" t="e">
        <x:f>#REF!</x:f>
        <x:v>#REF!</x:v>
      </x:c>
      <x:c r="Q47" s="88" t="e">
        <x:f>#REF!</x:f>
        <x:v>#REF!</x:v>
      </x:c>
      <x:c r="R47" s="88" t="e">
        <x:f>#REF!</x:f>
        <x:v>#REF!</x:v>
      </x:c>
      <x:c r="S47" s="88" t="e">
        <x:f>#REF!</x:f>
        <x:v>#REF!</x:v>
      </x:c>
    </x:row>
    <x:row r="48" ht="16.5">
      <x:c r="A48" s="92">
        <x:v>19</x:v>
      </x:c>
      <x:c r="B48" s="88" t="e">
        <x:f>#REF!</x:f>
        <x:v>#REF!</x:v>
      </x:c>
      <x:c r="C48" s="88" t="e">
        <x:f>#REF!</x:f>
        <x:v>#REF!</x:v>
      </x:c>
      <x:c r="D48" s="88" t="e">
        <x:f>#REF!</x:f>
        <x:v>#REF!</x:v>
      </x:c>
      <x:c r="E48" s="88" t="e">
        <x:f>#REF!</x:f>
        <x:v>#REF!</x:v>
      </x:c>
      <x:c r="F48" s="88" t="e">
        <x:f>#REF!</x:f>
        <x:v>#REF!</x:v>
      </x:c>
      <x:c r="G48" s="88" t="e">
        <x:f>#REF!</x:f>
        <x:v>#REF!</x:v>
      </x:c>
      <x:c r="H48" s="88" t="e">
        <x:f>#REF!</x:f>
        <x:v>#REF!</x:v>
      </x:c>
      <x:c r="I48" s="88" t="e">
        <x:f>#REF!</x:f>
        <x:v>#REF!</x:v>
      </x:c>
      <x:c r="J48" s="88" t="e">
        <x:f>#REF!</x:f>
        <x:v>#REF!</x:v>
      </x:c>
      <x:c r="K48" s="88" t="e">
        <x:f>#REF!</x:f>
        <x:v>#REF!</x:v>
      </x:c>
      <x:c r="L48" s="88" t="e">
        <x:f>#REF!</x:f>
        <x:v>#REF!</x:v>
      </x:c>
      <x:c r="M48" s="88" t="e">
        <x:f>#REF!</x:f>
        <x:v>#REF!</x:v>
      </x:c>
      <x:c r="N48" s="88" t="e">
        <x:f>#REF!</x:f>
        <x:v>#REF!</x:v>
      </x:c>
      <x:c r="O48" s="88" t="e">
        <x:f>#REF!</x:f>
        <x:v>#REF!</x:v>
      </x:c>
      <x:c r="P48" s="88" t="e">
        <x:f>#REF!</x:f>
        <x:v>#REF!</x:v>
      </x:c>
      <x:c r="Q48" s="88" t="e">
        <x:f>#REF!</x:f>
        <x:v>#REF!</x:v>
      </x:c>
      <x:c r="R48" s="88" t="e">
        <x:f>#REF!</x:f>
        <x:v>#REF!</x:v>
      </x:c>
      <x:c r="S48" s="88" t="e">
        <x:f>#REF!</x:f>
        <x:v>#REF!</x:v>
      </x:c>
    </x:row>
    <x:row r="53" ht="28.5">
      <x:c r="A53" s="322" t="s">
        <x:v>57</x:v>
      </x:c>
      <x:c r="B53" s="323"/>
      <x:c r="C53" s="323"/>
      <x:c r="D53" s="323"/>
      <x:c r="E53" s="323"/>
      <x:c r="F53" s="323"/>
      <x:c r="G53" s="323"/>
      <x:c r="H53" s="323"/>
      <x:c r="I53" s="323"/>
      <x:c r="J53" s="323"/>
      <x:c r="K53" s="323"/>
      <x:c r="L53" s="323"/>
      <x:c r="M53" s="323"/>
      <x:c r="N53" s="323"/>
      <x:c r="O53" s="323"/>
      <x:c r="P53" s="323"/>
      <x:c r="Q53" s="323"/>
      <x:c r="R53" s="323"/>
    </x:row>
    <x:row r="54" s="98" customFormat="1" ht="78.75" customHeight="1">
      <x:c r="B54" s="142" t="s">
        <x:v>640</x:v>
      </x:c>
      <x:c r="C54" s="142" t="s">
        <x:v>641</x:v>
      </x:c>
      <x:c r="D54" s="142" t="s">
        <x:v>642</x:v>
      </x:c>
      <x:c r="E54" s="142" t="s">
        <x:v>643</x:v>
      </x:c>
      <x:c r="F54" s="142" t="s">
        <x:v>644</x:v>
      </x:c>
      <x:c r="G54" s="142" t="s">
        <x:v>645</x:v>
      </x:c>
      <x:c r="H54" s="142" t="s">
        <x:v>646</x:v>
      </x:c>
      <x:c r="I54" s="142" t="s">
        <x:v>647</x:v>
      </x:c>
      <x:c r="J54" s="142" t="s">
        <x:v>648</x:v>
      </x:c>
      <x:c r="K54" s="142" t="s">
        <x:v>649</x:v>
      </x:c>
      <x:c r="L54" s="142" t="s">
        <x:v>650</x:v>
      </x:c>
      <x:c r="M54" s="142" t="s">
        <x:v>651</x:v>
      </x:c>
      <x:c r="N54" s="142" t="s">
        <x:v>652</x:v>
      </x:c>
      <x:c r="O54" s="142" t="s">
        <x:v>653</x:v>
      </x:c>
      <x:c r="P54" s="142" t="s">
        <x:v>654</x:v>
      </x:c>
      <x:c r="Q54" s="142" t="s">
        <x:v>655</x:v>
      </x:c>
      <x:c r="R54" s="142" t="s">
        <x:v>656</x:v>
      </x:c>
    </x:row>
    <x:row r="55" ht="16.5">
      <x:c r="A55" s="85" t="s">
        <x:v>7</x:v>
      </x:c>
      <x:c r="B55" s="86" t="s">
        <x:v>547</x:v>
      </x:c>
      <x:c r="C55" s="86" t="s">
        <x:v>547</x:v>
      </x:c>
      <x:c r="D55" s="86" t="s">
        <x:v>547</x:v>
      </x:c>
      <x:c r="E55" s="86" t="s">
        <x:v>547</x:v>
      </x:c>
      <x:c r="F55" s="86" t="s">
        <x:v>547</x:v>
      </x:c>
      <x:c r="G55" s="86" t="s">
        <x:v>547</x:v>
      </x:c>
      <x:c r="H55" s="86" t="s">
        <x:v>547</x:v>
      </x:c>
      <x:c r="I55" s="86" t="s">
        <x:v>547</x:v>
      </x:c>
      <x:c r="J55" s="86" t="s">
        <x:v>547</x:v>
      </x:c>
      <x:c r="K55" s="86" t="s">
        <x:v>547</x:v>
      </x:c>
      <x:c r="L55" s="86" t="s">
        <x:v>547</x:v>
      </x:c>
      <x:c r="M55" s="86" t="s">
        <x:v>547</x:v>
      </x:c>
      <x:c r="N55" s="86" t="s">
        <x:v>547</x:v>
      </x:c>
      <x:c r="O55" s="86" t="s">
        <x:v>547</x:v>
      </x:c>
      <x:c r="P55" s="86" t="s">
        <x:v>547</x:v>
      </x:c>
      <x:c r="Q55" s="86" t="s">
        <x:v>547</x:v>
      </x:c>
      <x:c r="R55" s="86" t="s">
        <x:v>547</x:v>
      </x:c>
    </x:row>
    <x:row r="56" ht="15.75">
      <x:c r="A56" s="90">
        <x:v>2</x:v>
      </x:c>
      <x:c r="B56" s="88" t="e">
        <x:f>#REF!</x:f>
        <x:v>#REF!</x:v>
      </x:c>
      <x:c r="C56" s="88" t="e">
        <x:f>#REF!</x:f>
        <x:v>#REF!</x:v>
      </x:c>
      <x:c r="D56" s="88" t="e">
        <x:f>#REF!</x:f>
        <x:v>#REF!</x:v>
      </x:c>
      <x:c r="E56" s="88" t="e">
        <x:f>#REF!</x:f>
        <x:v>#REF!</x:v>
      </x:c>
      <x:c r="F56" s="88" t="e">
        <x:f>#REF!</x:f>
        <x:v>#REF!</x:v>
      </x:c>
      <x:c r="G56" s="88" t="e">
        <x:f>#REF!</x:f>
        <x:v>#REF!</x:v>
      </x:c>
      <x:c r="H56" s="88" t="e">
        <x:f>#REF!</x:f>
        <x:v>#REF!</x:v>
      </x:c>
      <x:c r="I56" s="88" t="e">
        <x:f>#REF!</x:f>
        <x:v>#REF!</x:v>
      </x:c>
      <x:c r="J56" s="88" t="e">
        <x:f>#REF!</x:f>
        <x:v>#REF!</x:v>
      </x:c>
      <x:c r="K56" s="88" t="e">
        <x:f>#REF!</x:f>
        <x:v>#REF!</x:v>
      </x:c>
      <x:c r="L56" s="88" t="e">
        <x:f>#REF!</x:f>
        <x:v>#REF!</x:v>
      </x:c>
      <x:c r="M56" s="88" t="e">
        <x:f>#REF!</x:f>
        <x:v>#REF!</x:v>
      </x:c>
      <x:c r="N56" s="88" t="e">
        <x:f>#REF!</x:f>
        <x:v>#REF!</x:v>
      </x:c>
      <x:c r="O56" s="88" t="e">
        <x:f>#REF!</x:f>
        <x:v>#REF!</x:v>
      </x:c>
      <x:c r="P56" s="88" t="e">
        <x:f>#REF!</x:f>
        <x:v>#REF!</x:v>
      </x:c>
      <x:c r="Q56" s="88" t="e">
        <x:f>#REF!</x:f>
        <x:v>#REF!</x:v>
      </x:c>
      <x:c r="R56" s="88" t="e">
        <x:f>#REF!</x:f>
        <x:v>#REF!</x:v>
      </x:c>
    </x:row>
    <x:row r="57" ht="15.75">
      <x:c r="A57" s="91">
        <x:v>3</x:v>
      </x:c>
      <x:c r="B57" s="88" t="e">
        <x:f>#REF!</x:f>
        <x:v>#REF!</x:v>
      </x:c>
      <x:c r="C57" s="88" t="e">
        <x:f>#REF!</x:f>
        <x:v>#REF!</x:v>
      </x:c>
      <x:c r="D57" s="88" t="e">
        <x:f>#REF!</x:f>
        <x:v>#REF!</x:v>
      </x:c>
      <x:c r="E57" s="88" t="e">
        <x:f>#REF!</x:f>
        <x:v>#REF!</x:v>
      </x:c>
      <x:c r="F57" s="88" t="e">
        <x:f>#REF!</x:f>
        <x:v>#REF!</x:v>
      </x:c>
      <x:c r="G57" s="88" t="e">
        <x:f>#REF!</x:f>
        <x:v>#REF!</x:v>
      </x:c>
      <x:c r="H57" s="88" t="e">
        <x:f>#REF!</x:f>
        <x:v>#REF!</x:v>
      </x:c>
      <x:c r="I57" s="88" t="e">
        <x:f>#REF!</x:f>
        <x:v>#REF!</x:v>
      </x:c>
      <x:c r="J57" s="88" t="e">
        <x:f>#REF!</x:f>
        <x:v>#REF!</x:v>
      </x:c>
      <x:c r="K57" s="88" t="e">
        <x:f>#REF!</x:f>
        <x:v>#REF!</x:v>
      </x:c>
      <x:c r="L57" s="88" t="e">
        <x:f>#REF!</x:f>
        <x:v>#REF!</x:v>
      </x:c>
      <x:c r="M57" s="88" t="e">
        <x:f>#REF!</x:f>
        <x:v>#REF!</x:v>
      </x:c>
      <x:c r="N57" s="88" t="e">
        <x:f>#REF!</x:f>
        <x:v>#REF!</x:v>
      </x:c>
      <x:c r="O57" s="88" t="e">
        <x:f>#REF!</x:f>
        <x:v>#REF!</x:v>
      </x:c>
      <x:c r="P57" s="88" t="e">
        <x:f>#REF!</x:f>
        <x:v>#REF!</x:v>
      </x:c>
      <x:c r="Q57" s="88" t="e">
        <x:f>#REF!</x:f>
        <x:v>#REF!</x:v>
      </x:c>
      <x:c r="R57" s="88" t="e">
        <x:f>#REF!</x:f>
        <x:v>#REF!</x:v>
      </x:c>
    </x:row>
    <x:row r="58" ht="15.75">
      <x:c r="A58" s="91">
        <x:v>4</x:v>
      </x:c>
      <x:c r="B58" s="88" t="e">
        <x:f>#REF!</x:f>
        <x:v>#REF!</x:v>
      </x:c>
      <x:c r="C58" s="88" t="e">
        <x:f>#REF!</x:f>
        <x:v>#REF!</x:v>
      </x:c>
      <x:c r="D58" s="88" t="e">
        <x:f>#REF!</x:f>
        <x:v>#REF!</x:v>
      </x:c>
      <x:c r="E58" s="88" t="e">
        <x:f>#REF!</x:f>
        <x:v>#REF!</x:v>
      </x:c>
      <x:c r="F58" s="88" t="e">
        <x:f>#REF!</x:f>
        <x:v>#REF!</x:v>
      </x:c>
      <x:c r="G58" s="88" t="e">
        <x:f>#REF!</x:f>
        <x:v>#REF!</x:v>
      </x:c>
      <x:c r="H58" s="88" t="e">
        <x:f>#REF!</x:f>
        <x:v>#REF!</x:v>
      </x:c>
      <x:c r="I58" s="88" t="e">
        <x:f>#REF!</x:f>
        <x:v>#REF!</x:v>
      </x:c>
      <x:c r="J58" s="88" t="e">
        <x:f>#REF!</x:f>
        <x:v>#REF!</x:v>
      </x:c>
      <x:c r="K58" s="88" t="e">
        <x:f>#REF!</x:f>
        <x:v>#REF!</x:v>
      </x:c>
      <x:c r="L58" s="88" t="e">
        <x:f>#REF!</x:f>
        <x:v>#REF!</x:v>
      </x:c>
      <x:c r="M58" s="88" t="e">
        <x:f>#REF!</x:f>
        <x:v>#REF!</x:v>
      </x:c>
      <x:c r="N58" s="88" t="e">
        <x:f>#REF!</x:f>
        <x:v>#REF!</x:v>
      </x:c>
      <x:c r="O58" s="88" t="e">
        <x:f>#REF!</x:f>
        <x:v>#REF!</x:v>
      </x:c>
      <x:c r="P58" s="88" t="e">
        <x:f>#REF!</x:f>
        <x:v>#REF!</x:v>
      </x:c>
      <x:c r="Q58" s="88" t="e">
        <x:f>#REF!</x:f>
        <x:v>#REF!</x:v>
      </x:c>
      <x:c r="R58" s="88" t="e">
        <x:f>#REF!</x:f>
        <x:v>#REF!</x:v>
      </x:c>
    </x:row>
    <x:row r="59" ht="15.75">
      <x:c r="A59" s="91">
        <x:v>5</x:v>
      </x:c>
      <x:c r="B59" s="88" t="e">
        <x:f>#REF!</x:f>
        <x:v>#REF!</x:v>
      </x:c>
      <x:c r="C59" s="88" t="e">
        <x:f>#REF!</x:f>
        <x:v>#REF!</x:v>
      </x:c>
      <x:c r="D59" s="88" t="e">
        <x:f>#REF!</x:f>
        <x:v>#REF!</x:v>
      </x:c>
      <x:c r="E59" s="88" t="e">
        <x:f>#REF!</x:f>
        <x:v>#REF!</x:v>
      </x:c>
      <x:c r="F59" s="88" t="e">
        <x:f>#REF!</x:f>
        <x:v>#REF!</x:v>
      </x:c>
      <x:c r="G59" s="88" t="e">
        <x:f>#REF!</x:f>
        <x:v>#REF!</x:v>
      </x:c>
      <x:c r="H59" s="88" t="e">
        <x:f>#REF!</x:f>
        <x:v>#REF!</x:v>
      </x:c>
      <x:c r="I59" s="88" t="e">
        <x:f>#REF!</x:f>
        <x:v>#REF!</x:v>
      </x:c>
      <x:c r="J59" s="88" t="e">
        <x:f>#REF!</x:f>
        <x:v>#REF!</x:v>
      </x:c>
      <x:c r="K59" s="88" t="e">
        <x:f>#REF!</x:f>
        <x:v>#REF!</x:v>
      </x:c>
      <x:c r="L59" s="88" t="e">
        <x:f>#REF!</x:f>
        <x:v>#REF!</x:v>
      </x:c>
      <x:c r="M59" s="88" t="e">
        <x:f>#REF!</x:f>
        <x:v>#REF!</x:v>
      </x:c>
      <x:c r="N59" s="88" t="e">
        <x:f>#REF!</x:f>
        <x:v>#REF!</x:v>
      </x:c>
      <x:c r="O59" s="88" t="e">
        <x:f>#REF!</x:f>
        <x:v>#REF!</x:v>
      </x:c>
      <x:c r="P59" s="88" t="e">
        <x:f>#REF!</x:f>
        <x:v>#REF!</x:v>
      </x:c>
      <x:c r="Q59" s="88" t="e">
        <x:f>#REF!</x:f>
        <x:v>#REF!</x:v>
      </x:c>
      <x:c r="R59" s="88" t="e">
        <x:f>#REF!</x:f>
        <x:v>#REF!</x:v>
      </x:c>
    </x:row>
    <x:row r="60" ht="15.75">
      <x:c r="A60" s="91">
        <x:v>6</x:v>
      </x:c>
      <x:c r="B60" s="88" t="e">
        <x:f>#REF!</x:f>
        <x:v>#REF!</x:v>
      </x:c>
      <x:c r="C60" s="88" t="e">
        <x:f>#REF!</x:f>
        <x:v>#REF!</x:v>
      </x:c>
      <x:c r="D60" s="88" t="e">
        <x:f>#REF!</x:f>
        <x:v>#REF!</x:v>
      </x:c>
      <x:c r="E60" s="88" t="e">
        <x:f>#REF!</x:f>
        <x:v>#REF!</x:v>
      </x:c>
      <x:c r="F60" s="88" t="e">
        <x:f>#REF!</x:f>
        <x:v>#REF!</x:v>
      </x:c>
      <x:c r="G60" s="88" t="e">
        <x:f>#REF!</x:f>
        <x:v>#REF!</x:v>
      </x:c>
      <x:c r="H60" s="88" t="e">
        <x:f>#REF!</x:f>
        <x:v>#REF!</x:v>
      </x:c>
      <x:c r="I60" s="88" t="e">
        <x:f>#REF!</x:f>
        <x:v>#REF!</x:v>
      </x:c>
      <x:c r="J60" s="88" t="e">
        <x:f>#REF!</x:f>
        <x:v>#REF!</x:v>
      </x:c>
      <x:c r="K60" s="88" t="e">
        <x:f>#REF!</x:f>
        <x:v>#REF!</x:v>
      </x:c>
      <x:c r="L60" s="88" t="e">
        <x:f>#REF!</x:f>
        <x:v>#REF!</x:v>
      </x:c>
      <x:c r="M60" s="88" t="e">
        <x:f>#REF!</x:f>
        <x:v>#REF!</x:v>
      </x:c>
      <x:c r="N60" s="88" t="e">
        <x:f>#REF!</x:f>
        <x:v>#REF!</x:v>
      </x:c>
      <x:c r="O60" s="88" t="e">
        <x:f>#REF!</x:f>
        <x:v>#REF!</x:v>
      </x:c>
      <x:c r="P60" s="88" t="e">
        <x:f>#REF!</x:f>
        <x:v>#REF!</x:v>
      </x:c>
      <x:c r="Q60" s="88" t="e">
        <x:f>#REF!</x:f>
        <x:v>#REF!</x:v>
      </x:c>
      <x:c r="R60" s="88" t="e">
        <x:f>#REF!</x:f>
        <x:v>#REF!</x:v>
      </x:c>
    </x:row>
    <x:row r="61" ht="15.75">
      <x:c r="A61" s="91">
        <x:v>7</x:v>
      </x:c>
      <x:c r="B61" s="88" t="e">
        <x:f>#REF!</x:f>
        <x:v>#REF!</x:v>
      </x:c>
      <x:c r="C61" s="88" t="e">
        <x:f>#REF!</x:f>
        <x:v>#REF!</x:v>
      </x:c>
      <x:c r="D61" s="88" t="e">
        <x:f>#REF!</x:f>
        <x:v>#REF!</x:v>
      </x:c>
      <x:c r="E61" s="88" t="e">
        <x:f>#REF!</x:f>
        <x:v>#REF!</x:v>
      </x:c>
      <x:c r="F61" s="88" t="e">
        <x:f>#REF!</x:f>
        <x:v>#REF!</x:v>
      </x:c>
      <x:c r="G61" s="88" t="e">
        <x:f>#REF!</x:f>
        <x:v>#REF!</x:v>
      </x:c>
      <x:c r="H61" s="88" t="e">
        <x:f>#REF!</x:f>
        <x:v>#REF!</x:v>
      </x:c>
      <x:c r="I61" s="88" t="e">
        <x:f>#REF!</x:f>
        <x:v>#REF!</x:v>
      </x:c>
      <x:c r="J61" s="88" t="e">
        <x:f>#REF!</x:f>
        <x:v>#REF!</x:v>
      </x:c>
      <x:c r="K61" s="88" t="e">
        <x:f>#REF!</x:f>
        <x:v>#REF!</x:v>
      </x:c>
      <x:c r="L61" s="88" t="e">
        <x:f>#REF!</x:f>
        <x:v>#REF!</x:v>
      </x:c>
      <x:c r="M61" s="88" t="e">
        <x:f>#REF!</x:f>
        <x:v>#REF!</x:v>
      </x:c>
      <x:c r="N61" s="88" t="e">
        <x:f>#REF!</x:f>
        <x:v>#REF!</x:v>
      </x:c>
      <x:c r="O61" s="88" t="e">
        <x:f>#REF!</x:f>
        <x:v>#REF!</x:v>
      </x:c>
      <x:c r="P61" s="88" t="e">
        <x:f>#REF!</x:f>
        <x:v>#REF!</x:v>
      </x:c>
      <x:c r="Q61" s="88" t="e">
        <x:f>#REF!</x:f>
        <x:v>#REF!</x:v>
      </x:c>
      <x:c r="R61" s="88" t="e">
        <x:f>#REF!</x:f>
        <x:v>#REF!</x:v>
      </x:c>
    </x:row>
    <x:row r="62" ht="15.75">
      <x:c r="A62" s="91">
        <x:v>8</x:v>
      </x:c>
      <x:c r="B62" s="88" t="e">
        <x:f>#REF!</x:f>
        <x:v>#REF!</x:v>
      </x:c>
      <x:c r="C62" s="88" t="e">
        <x:f>#REF!</x:f>
        <x:v>#REF!</x:v>
      </x:c>
      <x:c r="D62" s="88" t="e">
        <x:f>#REF!</x:f>
        <x:v>#REF!</x:v>
      </x:c>
      <x:c r="E62" s="88" t="e">
        <x:f>#REF!</x:f>
        <x:v>#REF!</x:v>
      </x:c>
      <x:c r="F62" s="88" t="e">
        <x:f>#REF!</x:f>
        <x:v>#REF!</x:v>
      </x:c>
      <x:c r="G62" s="88" t="e">
        <x:f>#REF!</x:f>
        <x:v>#REF!</x:v>
      </x:c>
      <x:c r="H62" s="88" t="e">
        <x:f>#REF!</x:f>
        <x:v>#REF!</x:v>
      </x:c>
      <x:c r="I62" s="88" t="e">
        <x:f>#REF!</x:f>
        <x:v>#REF!</x:v>
      </x:c>
      <x:c r="J62" s="88" t="e">
        <x:f>#REF!</x:f>
        <x:v>#REF!</x:v>
      </x:c>
      <x:c r="K62" s="88" t="e">
        <x:f>#REF!</x:f>
        <x:v>#REF!</x:v>
      </x:c>
      <x:c r="L62" s="88" t="e">
        <x:f>#REF!</x:f>
        <x:v>#REF!</x:v>
      </x:c>
      <x:c r="M62" s="88" t="e">
        <x:f>#REF!</x:f>
        <x:v>#REF!</x:v>
      </x:c>
      <x:c r="N62" s="88" t="e">
        <x:f>#REF!</x:f>
        <x:v>#REF!</x:v>
      </x:c>
      <x:c r="O62" s="88" t="e">
        <x:f>#REF!</x:f>
        <x:v>#REF!</x:v>
      </x:c>
      <x:c r="P62" s="88" t="e">
        <x:f>#REF!</x:f>
        <x:v>#REF!</x:v>
      </x:c>
      <x:c r="Q62" s="88" t="e">
        <x:f>#REF!</x:f>
        <x:v>#REF!</x:v>
      </x:c>
      <x:c r="R62" s="88" t="e">
        <x:f>#REF!</x:f>
        <x:v>#REF!</x:v>
      </x:c>
    </x:row>
    <x:row r="63" ht="15.75">
      <x:c r="A63" s="91">
        <x:v>9</x:v>
      </x:c>
      <x:c r="B63" s="88" t="e">
        <x:f>#REF!</x:f>
        <x:v>#REF!</x:v>
      </x:c>
      <x:c r="C63" s="88" t="e">
        <x:f>#REF!</x:f>
        <x:v>#REF!</x:v>
      </x:c>
      <x:c r="D63" s="88" t="e">
        <x:f>#REF!</x:f>
        <x:v>#REF!</x:v>
      </x:c>
      <x:c r="E63" s="88" t="e">
        <x:f>#REF!</x:f>
        <x:v>#REF!</x:v>
      </x:c>
      <x:c r="F63" s="88" t="e">
        <x:f>#REF!</x:f>
        <x:v>#REF!</x:v>
      </x:c>
      <x:c r="G63" s="88" t="e">
        <x:f>#REF!</x:f>
        <x:v>#REF!</x:v>
      </x:c>
      <x:c r="H63" s="88" t="e">
        <x:f>#REF!</x:f>
        <x:v>#REF!</x:v>
      </x:c>
      <x:c r="I63" s="88" t="e">
        <x:f>#REF!</x:f>
        <x:v>#REF!</x:v>
      </x:c>
      <x:c r="J63" s="88" t="e">
        <x:f>#REF!</x:f>
        <x:v>#REF!</x:v>
      </x:c>
      <x:c r="K63" s="88" t="e">
        <x:f>#REF!</x:f>
        <x:v>#REF!</x:v>
      </x:c>
      <x:c r="L63" s="88" t="e">
        <x:f>#REF!</x:f>
        <x:v>#REF!</x:v>
      </x:c>
      <x:c r="M63" s="88" t="e">
        <x:f>#REF!</x:f>
        <x:v>#REF!</x:v>
      </x:c>
      <x:c r="N63" s="88" t="e">
        <x:f>#REF!</x:f>
        <x:v>#REF!</x:v>
      </x:c>
      <x:c r="O63" s="88" t="e">
        <x:f>#REF!</x:f>
        <x:v>#REF!</x:v>
      </x:c>
      <x:c r="P63" s="88" t="e">
        <x:f>#REF!</x:f>
        <x:v>#REF!</x:v>
      </x:c>
      <x:c r="Q63" s="88" t="e">
        <x:f>#REF!</x:f>
        <x:v>#REF!</x:v>
      </x:c>
      <x:c r="R63" s="88" t="e">
        <x:f>#REF!</x:f>
        <x:v>#REF!</x:v>
      </x:c>
    </x:row>
    <x:row r="64" ht="15.75">
      <x:c r="A64" s="91">
        <x:v>10</x:v>
      </x:c>
      <x:c r="B64" s="88" t="e">
        <x:f>#REF!</x:f>
        <x:v>#REF!</x:v>
      </x:c>
      <x:c r="C64" s="88" t="e">
        <x:f>#REF!</x:f>
        <x:v>#REF!</x:v>
      </x:c>
      <x:c r="D64" s="88" t="e">
        <x:f>#REF!</x:f>
        <x:v>#REF!</x:v>
      </x:c>
      <x:c r="E64" s="88" t="e">
        <x:f>#REF!</x:f>
        <x:v>#REF!</x:v>
      </x:c>
      <x:c r="F64" s="88" t="e">
        <x:f>#REF!</x:f>
        <x:v>#REF!</x:v>
      </x:c>
      <x:c r="G64" s="88" t="e">
        <x:f>#REF!</x:f>
        <x:v>#REF!</x:v>
      </x:c>
      <x:c r="H64" s="88" t="e">
        <x:f>#REF!</x:f>
        <x:v>#REF!</x:v>
      </x:c>
      <x:c r="I64" s="88" t="e">
        <x:f>#REF!</x:f>
        <x:v>#REF!</x:v>
      </x:c>
      <x:c r="J64" s="88" t="e">
        <x:f>#REF!</x:f>
        <x:v>#REF!</x:v>
      </x:c>
      <x:c r="K64" s="88" t="e">
        <x:f>#REF!</x:f>
        <x:v>#REF!</x:v>
      </x:c>
      <x:c r="L64" s="88" t="e">
        <x:f>#REF!</x:f>
        <x:v>#REF!</x:v>
      </x:c>
      <x:c r="M64" s="88" t="e">
        <x:f>#REF!</x:f>
        <x:v>#REF!</x:v>
      </x:c>
      <x:c r="N64" s="88" t="e">
        <x:f>#REF!</x:f>
        <x:v>#REF!</x:v>
      </x:c>
      <x:c r="O64" s="88" t="e">
        <x:f>#REF!</x:f>
        <x:v>#REF!</x:v>
      </x:c>
      <x:c r="P64" s="88" t="e">
        <x:f>#REF!</x:f>
        <x:v>#REF!</x:v>
      </x:c>
      <x:c r="Q64" s="88" t="e">
        <x:f>#REF!</x:f>
        <x:v>#REF!</x:v>
      </x:c>
      <x:c r="R64" s="88" t="e">
        <x:f>#REF!</x:f>
        <x:v>#REF!</x:v>
      </x:c>
    </x:row>
    <x:row r="65" ht="15.75">
      <x:c r="A65" s="91">
        <x:v>11</x:v>
      </x:c>
      <x:c r="B65" s="88" t="e">
        <x:f>#REF!</x:f>
        <x:v>#REF!</x:v>
      </x:c>
      <x:c r="C65" s="88" t="e">
        <x:f>#REF!</x:f>
        <x:v>#REF!</x:v>
      </x:c>
      <x:c r="D65" s="88" t="e">
        <x:f>#REF!</x:f>
        <x:v>#REF!</x:v>
      </x:c>
      <x:c r="E65" s="88" t="e">
        <x:f>#REF!</x:f>
        <x:v>#REF!</x:v>
      </x:c>
      <x:c r="F65" s="88" t="e">
        <x:f>#REF!</x:f>
        <x:v>#REF!</x:v>
      </x:c>
      <x:c r="G65" s="88" t="e">
        <x:f>#REF!</x:f>
        <x:v>#REF!</x:v>
      </x:c>
      <x:c r="H65" s="88" t="e">
        <x:f>#REF!</x:f>
        <x:v>#REF!</x:v>
      </x:c>
      <x:c r="I65" s="88" t="e">
        <x:f>#REF!</x:f>
        <x:v>#REF!</x:v>
      </x:c>
      <x:c r="J65" s="88" t="e">
        <x:f>#REF!</x:f>
        <x:v>#REF!</x:v>
      </x:c>
      <x:c r="K65" s="88" t="e">
        <x:f>#REF!</x:f>
        <x:v>#REF!</x:v>
      </x:c>
      <x:c r="L65" s="88" t="e">
        <x:f>#REF!</x:f>
        <x:v>#REF!</x:v>
      </x:c>
      <x:c r="M65" s="88" t="e">
        <x:f>#REF!</x:f>
        <x:v>#REF!</x:v>
      </x:c>
      <x:c r="N65" s="88" t="e">
        <x:f>#REF!</x:f>
        <x:v>#REF!</x:v>
      </x:c>
      <x:c r="O65" s="88" t="e">
        <x:f>#REF!</x:f>
        <x:v>#REF!</x:v>
      </x:c>
      <x:c r="P65" s="88" t="e">
        <x:f>#REF!</x:f>
        <x:v>#REF!</x:v>
      </x:c>
      <x:c r="Q65" s="88" t="e">
        <x:f>#REF!</x:f>
        <x:v>#REF!</x:v>
      </x:c>
      <x:c r="R65" s="88" t="e">
        <x:f>#REF!</x:f>
        <x:v>#REF!</x:v>
      </x:c>
    </x:row>
    <x:row r="66" ht="15.75">
      <x:c r="A66" s="91">
        <x:v>12</x:v>
      </x:c>
      <x:c r="B66" s="88" t="e">
        <x:f>#REF!</x:f>
        <x:v>#REF!</x:v>
      </x:c>
      <x:c r="C66" s="88" t="e">
        <x:f>#REF!</x:f>
        <x:v>#REF!</x:v>
      </x:c>
      <x:c r="D66" s="88" t="e">
        <x:f>#REF!</x:f>
        <x:v>#REF!</x:v>
      </x:c>
      <x:c r="E66" s="88" t="e">
        <x:f>#REF!</x:f>
        <x:v>#REF!</x:v>
      </x:c>
      <x:c r="F66" s="88" t="e">
        <x:f>#REF!</x:f>
        <x:v>#REF!</x:v>
      </x:c>
      <x:c r="G66" s="88" t="e">
        <x:f>#REF!</x:f>
        <x:v>#REF!</x:v>
      </x:c>
      <x:c r="H66" s="88" t="e">
        <x:f>#REF!</x:f>
        <x:v>#REF!</x:v>
      </x:c>
      <x:c r="I66" s="88" t="e">
        <x:f>#REF!</x:f>
        <x:v>#REF!</x:v>
      </x:c>
      <x:c r="J66" s="88" t="e">
        <x:f>#REF!</x:f>
        <x:v>#REF!</x:v>
      </x:c>
      <x:c r="K66" s="88" t="e">
        <x:f>#REF!</x:f>
        <x:v>#REF!</x:v>
      </x:c>
      <x:c r="L66" s="88" t="e">
        <x:f>#REF!</x:f>
        <x:v>#REF!</x:v>
      </x:c>
      <x:c r="M66" s="88" t="e">
        <x:f>#REF!</x:f>
        <x:v>#REF!</x:v>
      </x:c>
      <x:c r="N66" s="88" t="e">
        <x:f>#REF!</x:f>
        <x:v>#REF!</x:v>
      </x:c>
      <x:c r="O66" s="88" t="e">
        <x:f>#REF!</x:f>
        <x:v>#REF!</x:v>
      </x:c>
      <x:c r="P66" s="88" t="e">
        <x:f>#REF!</x:f>
        <x:v>#REF!</x:v>
      </x:c>
      <x:c r="Q66" s="88" t="e">
        <x:f>#REF!</x:f>
        <x:v>#REF!</x:v>
      </x:c>
      <x:c r="R66" s="88" t="e">
        <x:f>#REF!</x:f>
        <x:v>#REF!</x:v>
      </x:c>
    </x:row>
    <x:row r="67" ht="15.75">
      <x:c r="A67" s="91">
        <x:v>13</x:v>
      </x:c>
      <x:c r="B67" s="88" t="e">
        <x:f>#REF!</x:f>
        <x:v>#REF!</x:v>
      </x:c>
      <x:c r="C67" s="88" t="e">
        <x:f>#REF!</x:f>
        <x:v>#REF!</x:v>
      </x:c>
      <x:c r="D67" s="88" t="e">
        <x:f>#REF!</x:f>
        <x:v>#REF!</x:v>
      </x:c>
      <x:c r="E67" s="88" t="e">
        <x:f>#REF!</x:f>
        <x:v>#REF!</x:v>
      </x:c>
      <x:c r="F67" s="88" t="e">
        <x:f>#REF!</x:f>
        <x:v>#REF!</x:v>
      </x:c>
      <x:c r="G67" s="88" t="e">
        <x:f>#REF!</x:f>
        <x:v>#REF!</x:v>
      </x:c>
      <x:c r="H67" s="88" t="e">
        <x:f>#REF!</x:f>
        <x:v>#REF!</x:v>
      </x:c>
      <x:c r="I67" s="88" t="e">
        <x:f>#REF!</x:f>
        <x:v>#REF!</x:v>
      </x:c>
      <x:c r="J67" s="88" t="e">
        <x:f>#REF!</x:f>
        <x:v>#REF!</x:v>
      </x:c>
      <x:c r="K67" s="88" t="e">
        <x:f>#REF!</x:f>
        <x:v>#REF!</x:v>
      </x:c>
      <x:c r="L67" s="88" t="e">
        <x:f>#REF!</x:f>
        <x:v>#REF!</x:v>
      </x:c>
      <x:c r="M67" s="88" t="e">
        <x:f>#REF!</x:f>
        <x:v>#REF!</x:v>
      </x:c>
      <x:c r="N67" s="88" t="e">
        <x:f>#REF!</x:f>
        <x:v>#REF!</x:v>
      </x:c>
      <x:c r="O67" s="88" t="e">
        <x:f>#REF!</x:f>
        <x:v>#REF!</x:v>
      </x:c>
      <x:c r="P67" s="88" t="e">
        <x:f>#REF!</x:f>
        <x:v>#REF!</x:v>
      </x:c>
      <x:c r="Q67" s="88" t="e">
        <x:f>#REF!</x:f>
        <x:v>#REF!</x:v>
      </x:c>
      <x:c r="R67" s="88" t="e">
        <x:f>#REF!</x:f>
        <x:v>#REF!</x:v>
      </x:c>
    </x:row>
    <x:row r="68" ht="15.75">
      <x:c r="A68" s="91">
        <x:v>14</x:v>
      </x:c>
      <x:c r="B68" s="88" t="e">
        <x:f>#REF!</x:f>
        <x:v>#REF!</x:v>
      </x:c>
      <x:c r="C68" s="88" t="e">
        <x:f>#REF!</x:f>
        <x:v>#REF!</x:v>
      </x:c>
      <x:c r="D68" s="88" t="e">
        <x:f>#REF!</x:f>
        <x:v>#REF!</x:v>
      </x:c>
      <x:c r="E68" s="88" t="e">
        <x:f>#REF!</x:f>
        <x:v>#REF!</x:v>
      </x:c>
      <x:c r="F68" s="88" t="e">
        <x:f>#REF!</x:f>
        <x:v>#REF!</x:v>
      </x:c>
      <x:c r="G68" s="88" t="e">
        <x:f>#REF!</x:f>
        <x:v>#REF!</x:v>
      </x:c>
      <x:c r="H68" s="88" t="e">
        <x:f>#REF!</x:f>
        <x:v>#REF!</x:v>
      </x:c>
      <x:c r="I68" s="88" t="e">
        <x:f>#REF!</x:f>
        <x:v>#REF!</x:v>
      </x:c>
      <x:c r="J68" s="88" t="e">
        <x:f>#REF!</x:f>
        <x:v>#REF!</x:v>
      </x:c>
      <x:c r="K68" s="88" t="e">
        <x:f>#REF!</x:f>
        <x:v>#REF!</x:v>
      </x:c>
      <x:c r="L68" s="88" t="e">
        <x:f>#REF!</x:f>
        <x:v>#REF!</x:v>
      </x:c>
      <x:c r="M68" s="88" t="e">
        <x:f>#REF!</x:f>
        <x:v>#REF!</x:v>
      </x:c>
      <x:c r="N68" s="88" t="e">
        <x:f>#REF!</x:f>
        <x:v>#REF!</x:v>
      </x:c>
      <x:c r="O68" s="88" t="e">
        <x:f>#REF!</x:f>
        <x:v>#REF!</x:v>
      </x:c>
      <x:c r="P68" s="88" t="e">
        <x:f>#REF!</x:f>
        <x:v>#REF!</x:v>
      </x:c>
      <x:c r="Q68" s="88" t="e">
        <x:f>#REF!</x:f>
        <x:v>#REF!</x:v>
      </x:c>
      <x:c r="R68" s="88" t="e">
        <x:f>#REF!</x:f>
        <x:v>#REF!</x:v>
      </x:c>
    </x:row>
    <x:row r="69" ht="15.75">
      <x:c r="A69" s="91">
        <x:v>15</x:v>
      </x:c>
      <x:c r="B69" s="88" t="e">
        <x:f>#REF!</x:f>
        <x:v>#REF!</x:v>
      </x:c>
      <x:c r="C69" s="88" t="e">
        <x:f>#REF!</x:f>
        <x:v>#REF!</x:v>
      </x:c>
      <x:c r="D69" s="88" t="e">
        <x:f>#REF!</x:f>
        <x:v>#REF!</x:v>
      </x:c>
      <x:c r="E69" s="88" t="e">
        <x:f>#REF!</x:f>
        <x:v>#REF!</x:v>
      </x:c>
      <x:c r="F69" s="88" t="e">
        <x:f>#REF!</x:f>
        <x:v>#REF!</x:v>
      </x:c>
      <x:c r="G69" s="88" t="e">
        <x:f>#REF!</x:f>
        <x:v>#REF!</x:v>
      </x:c>
      <x:c r="H69" s="88" t="e">
        <x:f>#REF!</x:f>
        <x:v>#REF!</x:v>
      </x:c>
      <x:c r="I69" s="88" t="e">
        <x:f>#REF!</x:f>
        <x:v>#REF!</x:v>
      </x:c>
      <x:c r="J69" s="88" t="e">
        <x:f>#REF!</x:f>
        <x:v>#REF!</x:v>
      </x:c>
      <x:c r="K69" s="88" t="e">
        <x:f>#REF!</x:f>
        <x:v>#REF!</x:v>
      </x:c>
      <x:c r="L69" s="88" t="e">
        <x:f>#REF!</x:f>
        <x:v>#REF!</x:v>
      </x:c>
      <x:c r="M69" s="88" t="e">
        <x:f>#REF!</x:f>
        <x:v>#REF!</x:v>
      </x:c>
      <x:c r="N69" s="88" t="e">
        <x:f>#REF!</x:f>
        <x:v>#REF!</x:v>
      </x:c>
      <x:c r="O69" s="88" t="e">
        <x:f>#REF!</x:f>
        <x:v>#REF!</x:v>
      </x:c>
      <x:c r="P69" s="88" t="e">
        <x:f>#REF!</x:f>
        <x:v>#REF!</x:v>
      </x:c>
      <x:c r="Q69" s="88" t="e">
        <x:f>#REF!</x:f>
        <x:v>#REF!</x:v>
      </x:c>
      <x:c r="R69" s="88" t="e">
        <x:f>#REF!</x:f>
        <x:v>#REF!</x:v>
      </x:c>
    </x:row>
    <x:row r="70" ht="15.75">
      <x:c r="A70" s="91">
        <x:v>16</x:v>
      </x:c>
      <x:c r="B70" s="88" t="e">
        <x:f>#REF!</x:f>
        <x:v>#REF!</x:v>
      </x:c>
      <x:c r="C70" s="88" t="e">
        <x:f>#REF!</x:f>
        <x:v>#REF!</x:v>
      </x:c>
      <x:c r="D70" s="88" t="e">
        <x:f>#REF!</x:f>
        <x:v>#REF!</x:v>
      </x:c>
      <x:c r="E70" s="88" t="e">
        <x:f>#REF!</x:f>
        <x:v>#REF!</x:v>
      </x:c>
      <x:c r="F70" s="88" t="e">
        <x:f>#REF!</x:f>
        <x:v>#REF!</x:v>
      </x:c>
      <x:c r="G70" s="88" t="e">
        <x:f>#REF!</x:f>
        <x:v>#REF!</x:v>
      </x:c>
      <x:c r="H70" s="88" t="e">
        <x:f>#REF!</x:f>
        <x:v>#REF!</x:v>
      </x:c>
      <x:c r="I70" s="88" t="e">
        <x:f>#REF!</x:f>
        <x:v>#REF!</x:v>
      </x:c>
      <x:c r="J70" s="88" t="e">
        <x:f>#REF!</x:f>
        <x:v>#REF!</x:v>
      </x:c>
      <x:c r="K70" s="88" t="e">
        <x:f>#REF!</x:f>
        <x:v>#REF!</x:v>
      </x:c>
      <x:c r="L70" s="88" t="e">
        <x:f>#REF!</x:f>
        <x:v>#REF!</x:v>
      </x:c>
      <x:c r="M70" s="88" t="e">
        <x:f>#REF!</x:f>
        <x:v>#REF!</x:v>
      </x:c>
      <x:c r="N70" s="88" t="e">
        <x:f>#REF!</x:f>
        <x:v>#REF!</x:v>
      </x:c>
      <x:c r="O70" s="88" t="e">
        <x:f>#REF!</x:f>
        <x:v>#REF!</x:v>
      </x:c>
      <x:c r="P70" s="88" t="e">
        <x:f>#REF!</x:f>
        <x:v>#REF!</x:v>
      </x:c>
      <x:c r="Q70" s="88" t="e">
        <x:f>#REF!</x:f>
        <x:v>#REF!</x:v>
      </x:c>
      <x:c r="R70" s="88" t="e">
        <x:f>#REF!</x:f>
        <x:v>#REF!</x:v>
      </x:c>
    </x:row>
    <x:row r="71" ht="15.75">
      <x:c r="A71" s="91">
        <x:v>17</x:v>
      </x:c>
      <x:c r="B71" s="88" t="e">
        <x:f>#REF!</x:f>
        <x:v>#REF!</x:v>
      </x:c>
      <x:c r="C71" s="88" t="e">
        <x:f>#REF!</x:f>
        <x:v>#REF!</x:v>
      </x:c>
      <x:c r="D71" s="88" t="e">
        <x:f>#REF!</x:f>
        <x:v>#REF!</x:v>
      </x:c>
      <x:c r="E71" s="88" t="e">
        <x:f>#REF!</x:f>
        <x:v>#REF!</x:v>
      </x:c>
      <x:c r="F71" s="88" t="e">
        <x:f>#REF!</x:f>
        <x:v>#REF!</x:v>
      </x:c>
      <x:c r="G71" s="88" t="e">
        <x:f>#REF!</x:f>
        <x:v>#REF!</x:v>
      </x:c>
      <x:c r="H71" s="88" t="e">
        <x:f>#REF!</x:f>
        <x:v>#REF!</x:v>
      </x:c>
      <x:c r="I71" s="88" t="e">
        <x:f>#REF!</x:f>
        <x:v>#REF!</x:v>
      </x:c>
      <x:c r="J71" s="88" t="e">
        <x:f>#REF!</x:f>
        <x:v>#REF!</x:v>
      </x:c>
      <x:c r="K71" s="88" t="e">
        <x:f>#REF!</x:f>
        <x:v>#REF!</x:v>
      </x:c>
      <x:c r="L71" s="88" t="e">
        <x:f>#REF!</x:f>
        <x:v>#REF!</x:v>
      </x:c>
      <x:c r="M71" s="88" t="e">
        <x:f>#REF!</x:f>
        <x:v>#REF!</x:v>
      </x:c>
      <x:c r="N71" s="88" t="e">
        <x:f>#REF!</x:f>
        <x:v>#REF!</x:v>
      </x:c>
      <x:c r="O71" s="88" t="e">
        <x:f>#REF!</x:f>
        <x:v>#REF!</x:v>
      </x:c>
      <x:c r="P71" s="88" t="e">
        <x:f>#REF!</x:f>
        <x:v>#REF!</x:v>
      </x:c>
      <x:c r="Q71" s="88" t="e">
        <x:f>#REF!</x:f>
        <x:v>#REF!</x:v>
      </x:c>
      <x:c r="R71" s="88" t="e">
        <x:f>#REF!</x:f>
        <x:v>#REF!</x:v>
      </x:c>
    </x:row>
    <x:row r="72" ht="15.75">
      <x:c r="A72" s="91">
        <x:v>18</x:v>
      </x:c>
      <x:c r="B72" s="88" t="e">
        <x:f>#REF!</x:f>
        <x:v>#REF!</x:v>
      </x:c>
      <x:c r="C72" s="88" t="e">
        <x:f>#REF!</x:f>
        <x:v>#REF!</x:v>
      </x:c>
      <x:c r="D72" s="88" t="e">
        <x:f>#REF!</x:f>
        <x:v>#REF!</x:v>
      </x:c>
      <x:c r="E72" s="88" t="e">
        <x:f>#REF!</x:f>
        <x:v>#REF!</x:v>
      </x:c>
      <x:c r="F72" s="88" t="e">
        <x:f>#REF!</x:f>
        <x:v>#REF!</x:v>
      </x:c>
      <x:c r="G72" s="88" t="e">
        <x:f>#REF!</x:f>
        <x:v>#REF!</x:v>
      </x:c>
      <x:c r="H72" s="88" t="e">
        <x:f>#REF!</x:f>
        <x:v>#REF!</x:v>
      </x:c>
      <x:c r="I72" s="88" t="e">
        <x:f>#REF!</x:f>
        <x:v>#REF!</x:v>
      </x:c>
      <x:c r="J72" s="88" t="e">
        <x:f>#REF!</x:f>
        <x:v>#REF!</x:v>
      </x:c>
      <x:c r="K72" s="88" t="e">
        <x:f>#REF!</x:f>
        <x:v>#REF!</x:v>
      </x:c>
      <x:c r="L72" s="88" t="e">
        <x:f>#REF!</x:f>
        <x:v>#REF!</x:v>
      </x:c>
      <x:c r="M72" s="88" t="e">
        <x:f>#REF!</x:f>
        <x:v>#REF!</x:v>
      </x:c>
      <x:c r="N72" s="88" t="e">
        <x:f>#REF!</x:f>
        <x:v>#REF!</x:v>
      </x:c>
      <x:c r="O72" s="88" t="e">
        <x:f>#REF!</x:f>
        <x:v>#REF!</x:v>
      </x:c>
      <x:c r="P72" s="88" t="e">
        <x:f>#REF!</x:f>
        <x:v>#REF!</x:v>
      </x:c>
      <x:c r="Q72" s="88" t="e">
        <x:f>#REF!</x:f>
        <x:v>#REF!</x:v>
      </x:c>
      <x:c r="R72" s="88" t="e">
        <x:f>#REF!</x:f>
        <x:v>#REF!</x:v>
      </x:c>
    </x:row>
    <x:row r="73" ht="16.5">
      <x:c r="A73" s="92">
        <x:v>19</x:v>
      </x:c>
      <x:c r="B73" s="88" t="e">
        <x:f>#REF!</x:f>
        <x:v>#REF!</x:v>
      </x:c>
      <x:c r="C73" s="88" t="e">
        <x:f>#REF!</x:f>
        <x:v>#REF!</x:v>
      </x:c>
      <x:c r="D73" s="88" t="e">
        <x:f>#REF!</x:f>
        <x:v>#REF!</x:v>
      </x:c>
      <x:c r="E73" s="88" t="e">
        <x:f>#REF!</x:f>
        <x:v>#REF!</x:v>
      </x:c>
      <x:c r="F73" s="88" t="e">
        <x:f>#REF!</x:f>
        <x:v>#REF!</x:v>
      </x:c>
      <x:c r="G73" s="88" t="e">
        <x:f>#REF!</x:f>
        <x:v>#REF!</x:v>
      </x:c>
      <x:c r="H73" s="88" t="e">
        <x:f>#REF!</x:f>
        <x:v>#REF!</x:v>
      </x:c>
      <x:c r="I73" s="88" t="e">
        <x:f>#REF!</x:f>
        <x:v>#REF!</x:v>
      </x:c>
      <x:c r="J73" s="88" t="e">
        <x:f>#REF!</x:f>
        <x:v>#REF!</x:v>
      </x:c>
      <x:c r="K73" s="88" t="e">
        <x:f>#REF!</x:f>
        <x:v>#REF!</x:v>
      </x:c>
      <x:c r="L73" s="88" t="e">
        <x:f>#REF!</x:f>
        <x:v>#REF!</x:v>
      </x:c>
      <x:c r="M73" s="88" t="e">
        <x:f>#REF!</x:f>
        <x:v>#REF!</x:v>
      </x:c>
      <x:c r="N73" s="88" t="e">
        <x:f>#REF!</x:f>
        <x:v>#REF!</x:v>
      </x:c>
      <x:c r="O73" s="88" t="e">
        <x:f>#REF!</x:f>
        <x:v>#REF!</x:v>
      </x:c>
      <x:c r="P73" s="88" t="e">
        <x:f>#REF!</x:f>
        <x:v>#REF!</x:v>
      </x:c>
      <x:c r="Q73" s="88" t="e">
        <x:f>#REF!</x:f>
        <x:v>#REF!</x:v>
      </x:c>
      <x:c r="R73" s="88" t="e">
        <x:f>#REF!</x:f>
        <x:v>#REF!</x:v>
      </x:c>
    </x:row>
    <x:row r="79" ht="28.5">
      <x:c r="A79" s="322" t="s">
        <x:v>79</x:v>
      </x:c>
      <x:c r="B79" s="323"/>
      <x:c r="C79" s="323"/>
      <x:c r="D79" s="323"/>
      <x:c r="E79" s="323"/>
      <x:c r="F79" s="323"/>
      <x:c r="G79" s="323"/>
      <x:c r="H79" s="323"/>
      <x:c r="I79" s="323"/>
      <x:c r="J79" s="323"/>
    </x:row>
    <x:row r="80" s="95" customFormat="1" ht="65.25" customHeight="1">
      <x:c r="B80" s="142" t="s">
        <x:v>657</x:v>
      </x:c>
      <x:c r="C80" s="142" t="s">
        <x:v>658</x:v>
      </x:c>
      <x:c r="D80" s="142" t="s">
        <x:v>659</x:v>
      </x:c>
      <x:c r="E80" s="142" t="s">
        <x:v>660</x:v>
      </x:c>
      <x:c r="F80" s="142" t="s">
        <x:v>661</x:v>
      </x:c>
      <x:c r="G80" s="142" t="s">
        <x:v>662</x:v>
      </x:c>
      <x:c r="H80" s="142" t="s">
        <x:v>663</x:v>
      </x:c>
      <x:c r="I80" s="142" t="s">
        <x:v>664</x:v>
      </x:c>
      <x:c r="J80" s="142" t="s">
        <x:v>665</x:v>
      </x:c>
    </x:row>
    <x:row r="81" ht="16.5">
      <x:c r="A81" s="85" t="s">
        <x:v>7</x:v>
      </x:c>
      <x:c r="B81" s="86" t="s">
        <x:v>547</x:v>
      </x:c>
      <x:c r="C81" s="86" t="s">
        <x:v>547</x:v>
      </x:c>
      <x:c r="D81" s="86" t="s">
        <x:v>547</x:v>
      </x:c>
      <x:c r="E81" s="86" t="s">
        <x:v>547</x:v>
      </x:c>
      <x:c r="F81" s="86" t="s">
        <x:v>547</x:v>
      </x:c>
      <x:c r="G81" s="86" t="s">
        <x:v>547</x:v>
      </x:c>
      <x:c r="H81" s="86" t="s">
        <x:v>547</x:v>
      </x:c>
      <x:c r="I81" s="86" t="s">
        <x:v>547</x:v>
      </x:c>
      <x:c r="J81" s="86" t="s">
        <x:v>547</x:v>
      </x:c>
    </x:row>
    <x:row r="82" ht="15.75">
      <x:c r="A82" s="90">
        <x:v>2</x:v>
      </x:c>
      <x:c r="B82" s="88" t="e">
        <x:f>#REF!</x:f>
        <x:v>#REF!</x:v>
      </x:c>
      <x:c r="C82" s="88" t="e">
        <x:f>#REF!</x:f>
        <x:v>#REF!</x:v>
      </x:c>
      <x:c r="D82" s="88" t="e">
        <x:f>#REF!</x:f>
        <x:v>#REF!</x:v>
      </x:c>
      <x:c r="E82" s="88" t="e">
        <x:f>#REF!</x:f>
        <x:v>#REF!</x:v>
      </x:c>
      <x:c r="F82" s="88" t="e">
        <x:f>#REF!</x:f>
        <x:v>#REF!</x:v>
      </x:c>
      <x:c r="G82" s="88" t="e">
        <x:f>#REF!</x:f>
        <x:v>#REF!</x:v>
      </x:c>
      <x:c r="H82" s="88" t="e">
        <x:f>#REF!</x:f>
        <x:v>#REF!</x:v>
      </x:c>
      <x:c r="I82" s="88" t="e">
        <x:f>#REF!</x:f>
        <x:v>#REF!</x:v>
      </x:c>
      <x:c r="J82" s="88" t="e">
        <x:f>#REF!</x:f>
        <x:v>#REF!</x:v>
      </x:c>
    </x:row>
    <x:row r="83" ht="15.75">
      <x:c r="A83" s="91">
        <x:v>3</x:v>
      </x:c>
      <x:c r="B83" s="88" t="e">
        <x:f>#REF!</x:f>
        <x:v>#REF!</x:v>
      </x:c>
      <x:c r="C83" s="88" t="e">
        <x:f>#REF!</x:f>
        <x:v>#REF!</x:v>
      </x:c>
      <x:c r="D83" s="88" t="e">
        <x:f>#REF!</x:f>
        <x:v>#REF!</x:v>
      </x:c>
      <x:c r="E83" s="88" t="e">
        <x:f>#REF!</x:f>
        <x:v>#REF!</x:v>
      </x:c>
      <x:c r="F83" s="88" t="e">
        <x:f>#REF!</x:f>
        <x:v>#REF!</x:v>
      </x:c>
      <x:c r="G83" s="88" t="e">
        <x:f>#REF!</x:f>
        <x:v>#REF!</x:v>
      </x:c>
      <x:c r="H83" s="88" t="e">
        <x:f>#REF!</x:f>
        <x:v>#REF!</x:v>
      </x:c>
      <x:c r="I83" s="88" t="e">
        <x:f>#REF!</x:f>
        <x:v>#REF!</x:v>
      </x:c>
      <x:c r="J83" s="88" t="e">
        <x:f>#REF!</x:f>
        <x:v>#REF!</x:v>
      </x:c>
    </x:row>
    <x:row r="84" ht="15.75">
      <x:c r="A84" s="91">
        <x:v>4</x:v>
      </x:c>
      <x:c r="B84" s="88" t="e">
        <x:f>#REF!</x:f>
        <x:v>#REF!</x:v>
      </x:c>
      <x:c r="C84" s="88" t="e">
        <x:f>#REF!</x:f>
        <x:v>#REF!</x:v>
      </x:c>
      <x:c r="D84" s="88" t="e">
        <x:f>#REF!</x:f>
        <x:v>#REF!</x:v>
      </x:c>
      <x:c r="E84" s="88" t="e">
        <x:f>#REF!</x:f>
        <x:v>#REF!</x:v>
      </x:c>
      <x:c r="F84" s="88" t="e">
        <x:f>#REF!</x:f>
        <x:v>#REF!</x:v>
      </x:c>
      <x:c r="G84" s="88" t="e">
        <x:f>#REF!</x:f>
        <x:v>#REF!</x:v>
      </x:c>
      <x:c r="H84" s="88" t="e">
        <x:f>#REF!</x:f>
        <x:v>#REF!</x:v>
      </x:c>
      <x:c r="I84" s="88" t="e">
        <x:f>#REF!</x:f>
        <x:v>#REF!</x:v>
      </x:c>
      <x:c r="J84" s="88" t="e">
        <x:f>#REF!</x:f>
        <x:v>#REF!</x:v>
      </x:c>
    </x:row>
    <x:row r="85" ht="15.75">
      <x:c r="A85" s="91">
        <x:v>5</x:v>
      </x:c>
      <x:c r="B85" s="88" t="e">
        <x:f>#REF!</x:f>
        <x:v>#REF!</x:v>
      </x:c>
      <x:c r="C85" s="88" t="e">
        <x:f>#REF!</x:f>
        <x:v>#REF!</x:v>
      </x:c>
      <x:c r="D85" s="88" t="e">
        <x:f>#REF!</x:f>
        <x:v>#REF!</x:v>
      </x:c>
      <x:c r="E85" s="88" t="e">
        <x:f>#REF!</x:f>
        <x:v>#REF!</x:v>
      </x:c>
      <x:c r="F85" s="88" t="e">
        <x:f>#REF!</x:f>
        <x:v>#REF!</x:v>
      </x:c>
      <x:c r="G85" s="88" t="e">
        <x:f>#REF!</x:f>
        <x:v>#REF!</x:v>
      </x:c>
      <x:c r="H85" s="88" t="e">
        <x:f>#REF!</x:f>
        <x:v>#REF!</x:v>
      </x:c>
      <x:c r="I85" s="88" t="e">
        <x:f>#REF!</x:f>
        <x:v>#REF!</x:v>
      </x:c>
      <x:c r="J85" s="88" t="e">
        <x:f>#REF!</x:f>
        <x:v>#REF!</x:v>
      </x:c>
    </x:row>
    <x:row r="86" ht="15.75">
      <x:c r="A86" s="91">
        <x:v>6</x:v>
      </x:c>
      <x:c r="B86" s="88" t="e">
        <x:f>#REF!</x:f>
        <x:v>#REF!</x:v>
      </x:c>
      <x:c r="C86" s="88" t="e">
        <x:f>#REF!</x:f>
        <x:v>#REF!</x:v>
      </x:c>
      <x:c r="D86" s="88" t="e">
        <x:f>#REF!</x:f>
        <x:v>#REF!</x:v>
      </x:c>
      <x:c r="E86" s="88" t="e">
        <x:f>#REF!</x:f>
        <x:v>#REF!</x:v>
      </x:c>
      <x:c r="F86" s="88" t="e">
        <x:f>#REF!</x:f>
        <x:v>#REF!</x:v>
      </x:c>
      <x:c r="G86" s="88" t="e">
        <x:f>#REF!</x:f>
        <x:v>#REF!</x:v>
      </x:c>
      <x:c r="H86" s="88" t="e">
        <x:f>#REF!</x:f>
        <x:v>#REF!</x:v>
      </x:c>
      <x:c r="I86" s="88" t="e">
        <x:f>#REF!</x:f>
        <x:v>#REF!</x:v>
      </x:c>
      <x:c r="J86" s="88" t="e">
        <x:f>#REF!</x:f>
        <x:v>#REF!</x:v>
      </x:c>
    </x:row>
    <x:row r="87" ht="15.75">
      <x:c r="A87" s="91">
        <x:v>7</x:v>
      </x:c>
      <x:c r="B87" s="88" t="e">
        <x:f>#REF!</x:f>
        <x:v>#REF!</x:v>
      </x:c>
      <x:c r="C87" s="88" t="e">
        <x:f>#REF!</x:f>
        <x:v>#REF!</x:v>
      </x:c>
      <x:c r="D87" s="88" t="e">
        <x:f>#REF!</x:f>
        <x:v>#REF!</x:v>
      </x:c>
      <x:c r="E87" s="88" t="e">
        <x:f>#REF!</x:f>
        <x:v>#REF!</x:v>
      </x:c>
      <x:c r="F87" s="88" t="e">
        <x:f>#REF!</x:f>
        <x:v>#REF!</x:v>
      </x:c>
      <x:c r="G87" s="88" t="e">
        <x:f>#REF!</x:f>
        <x:v>#REF!</x:v>
      </x:c>
      <x:c r="H87" s="88" t="e">
        <x:f>#REF!</x:f>
        <x:v>#REF!</x:v>
      </x:c>
      <x:c r="I87" s="88" t="e">
        <x:f>#REF!</x:f>
        <x:v>#REF!</x:v>
      </x:c>
      <x:c r="J87" s="88" t="e">
        <x:f>#REF!</x:f>
        <x:v>#REF!</x:v>
      </x:c>
    </x:row>
    <x:row r="88" ht="15.75">
      <x:c r="A88" s="91">
        <x:v>8</x:v>
      </x:c>
      <x:c r="B88" s="88" t="e">
        <x:f>#REF!</x:f>
        <x:v>#REF!</x:v>
      </x:c>
      <x:c r="C88" s="88" t="e">
        <x:f>#REF!</x:f>
        <x:v>#REF!</x:v>
      </x:c>
      <x:c r="D88" s="88" t="e">
        <x:f>#REF!</x:f>
        <x:v>#REF!</x:v>
      </x:c>
      <x:c r="E88" s="88" t="e">
        <x:f>#REF!</x:f>
        <x:v>#REF!</x:v>
      </x:c>
      <x:c r="F88" s="88" t="e">
        <x:f>#REF!</x:f>
        <x:v>#REF!</x:v>
      </x:c>
      <x:c r="G88" s="88" t="e">
        <x:f>#REF!</x:f>
        <x:v>#REF!</x:v>
      </x:c>
      <x:c r="H88" s="88" t="e">
        <x:f>#REF!</x:f>
        <x:v>#REF!</x:v>
      </x:c>
      <x:c r="I88" s="88" t="e">
        <x:f>#REF!</x:f>
        <x:v>#REF!</x:v>
      </x:c>
      <x:c r="J88" s="88" t="e">
        <x:f>#REF!</x:f>
        <x:v>#REF!</x:v>
      </x:c>
    </x:row>
    <x:row r="89" ht="15.75">
      <x:c r="A89" s="91">
        <x:v>9</x:v>
      </x:c>
      <x:c r="B89" s="88" t="e">
        <x:f>#REF!</x:f>
        <x:v>#REF!</x:v>
      </x:c>
      <x:c r="C89" s="88" t="e">
        <x:f>#REF!</x:f>
        <x:v>#REF!</x:v>
      </x:c>
      <x:c r="D89" s="88" t="e">
        <x:f>#REF!</x:f>
        <x:v>#REF!</x:v>
      </x:c>
      <x:c r="E89" s="88" t="e">
        <x:f>#REF!</x:f>
        <x:v>#REF!</x:v>
      </x:c>
      <x:c r="F89" s="88" t="e">
        <x:f>#REF!</x:f>
        <x:v>#REF!</x:v>
      </x:c>
      <x:c r="G89" s="88" t="e">
        <x:f>#REF!</x:f>
        <x:v>#REF!</x:v>
      </x:c>
      <x:c r="H89" s="88" t="e">
        <x:f>#REF!</x:f>
        <x:v>#REF!</x:v>
      </x:c>
      <x:c r="I89" s="88" t="e">
        <x:f>#REF!</x:f>
        <x:v>#REF!</x:v>
      </x:c>
      <x:c r="J89" s="88" t="e">
        <x:f>#REF!</x:f>
        <x:v>#REF!</x:v>
      </x:c>
    </x:row>
    <x:row r="90" ht="15.75">
      <x:c r="A90" s="91">
        <x:v>10</x:v>
      </x:c>
      <x:c r="B90" s="88" t="e">
        <x:f>#REF!</x:f>
        <x:v>#REF!</x:v>
      </x:c>
      <x:c r="C90" s="88" t="e">
        <x:f>#REF!</x:f>
        <x:v>#REF!</x:v>
      </x:c>
      <x:c r="D90" s="88" t="e">
        <x:f>#REF!</x:f>
        <x:v>#REF!</x:v>
      </x:c>
      <x:c r="E90" s="88" t="e">
        <x:f>#REF!</x:f>
        <x:v>#REF!</x:v>
      </x:c>
      <x:c r="F90" s="88" t="e">
        <x:f>#REF!</x:f>
        <x:v>#REF!</x:v>
      </x:c>
      <x:c r="G90" s="88" t="e">
        <x:f>#REF!</x:f>
        <x:v>#REF!</x:v>
      </x:c>
      <x:c r="H90" s="88" t="e">
        <x:f>#REF!</x:f>
        <x:v>#REF!</x:v>
      </x:c>
      <x:c r="I90" s="88" t="e">
        <x:f>#REF!</x:f>
        <x:v>#REF!</x:v>
      </x:c>
      <x:c r="J90" s="88" t="e">
        <x:f>#REF!</x:f>
        <x:v>#REF!</x:v>
      </x:c>
    </x:row>
    <x:row r="91" ht="15.75">
      <x:c r="A91" s="91">
        <x:v>11</x:v>
      </x:c>
      <x:c r="B91" s="88" t="e">
        <x:f>#REF!</x:f>
        <x:v>#REF!</x:v>
      </x:c>
      <x:c r="C91" s="88" t="e">
        <x:f>#REF!</x:f>
        <x:v>#REF!</x:v>
      </x:c>
      <x:c r="D91" s="88" t="e">
        <x:f>#REF!</x:f>
        <x:v>#REF!</x:v>
      </x:c>
      <x:c r="E91" s="88" t="e">
        <x:f>#REF!</x:f>
        <x:v>#REF!</x:v>
      </x:c>
      <x:c r="F91" s="88" t="e">
        <x:f>#REF!</x:f>
        <x:v>#REF!</x:v>
      </x:c>
      <x:c r="G91" s="88" t="e">
        <x:f>#REF!</x:f>
        <x:v>#REF!</x:v>
      </x:c>
      <x:c r="H91" s="88" t="e">
        <x:f>#REF!</x:f>
        <x:v>#REF!</x:v>
      </x:c>
      <x:c r="I91" s="88" t="e">
        <x:f>#REF!</x:f>
        <x:v>#REF!</x:v>
      </x:c>
      <x:c r="J91" s="88" t="e">
        <x:f>#REF!</x:f>
        <x:v>#REF!</x:v>
      </x:c>
    </x:row>
    <x:row r="92" ht="15.75">
      <x:c r="A92" s="91">
        <x:v>12</x:v>
      </x:c>
      <x:c r="B92" s="88" t="e">
        <x:f>#REF!</x:f>
        <x:v>#REF!</x:v>
      </x:c>
      <x:c r="C92" s="88" t="e">
        <x:f>#REF!</x:f>
        <x:v>#REF!</x:v>
      </x:c>
      <x:c r="D92" s="88" t="e">
        <x:f>#REF!</x:f>
        <x:v>#REF!</x:v>
      </x:c>
      <x:c r="E92" s="88" t="e">
        <x:f>#REF!</x:f>
        <x:v>#REF!</x:v>
      </x:c>
      <x:c r="F92" s="88" t="e">
        <x:f>#REF!</x:f>
        <x:v>#REF!</x:v>
      </x:c>
      <x:c r="G92" s="88" t="e">
        <x:f>#REF!</x:f>
        <x:v>#REF!</x:v>
      </x:c>
      <x:c r="H92" s="88" t="e">
        <x:f>#REF!</x:f>
        <x:v>#REF!</x:v>
      </x:c>
      <x:c r="I92" s="88" t="e">
        <x:f>#REF!</x:f>
        <x:v>#REF!</x:v>
      </x:c>
      <x:c r="J92" s="88" t="e">
        <x:f>#REF!</x:f>
        <x:v>#REF!</x:v>
      </x:c>
    </x:row>
    <x:row r="93" ht="15.75">
      <x:c r="A93" s="91">
        <x:v>13</x:v>
      </x:c>
      <x:c r="B93" s="88" t="e">
        <x:f>#REF!</x:f>
        <x:v>#REF!</x:v>
      </x:c>
      <x:c r="C93" s="88" t="e">
        <x:f>#REF!</x:f>
        <x:v>#REF!</x:v>
      </x:c>
      <x:c r="D93" s="88" t="e">
        <x:f>#REF!</x:f>
        <x:v>#REF!</x:v>
      </x:c>
      <x:c r="E93" s="88" t="e">
        <x:f>#REF!</x:f>
        <x:v>#REF!</x:v>
      </x:c>
      <x:c r="F93" s="88" t="e">
        <x:f>#REF!</x:f>
        <x:v>#REF!</x:v>
      </x:c>
      <x:c r="G93" s="88" t="e">
        <x:f>#REF!</x:f>
        <x:v>#REF!</x:v>
      </x:c>
      <x:c r="H93" s="88" t="e">
        <x:f>#REF!</x:f>
        <x:v>#REF!</x:v>
      </x:c>
      <x:c r="I93" s="88" t="e">
        <x:f>#REF!</x:f>
        <x:v>#REF!</x:v>
      </x:c>
      <x:c r="J93" s="88" t="e">
        <x:f>#REF!</x:f>
        <x:v>#REF!</x:v>
      </x:c>
    </x:row>
    <x:row r="94" ht="15.75">
      <x:c r="A94" s="91">
        <x:v>14</x:v>
      </x:c>
      <x:c r="B94" s="88" t="e">
        <x:f>#REF!</x:f>
        <x:v>#REF!</x:v>
      </x:c>
      <x:c r="C94" s="88" t="e">
        <x:f>#REF!</x:f>
        <x:v>#REF!</x:v>
      </x:c>
      <x:c r="D94" s="88" t="e">
        <x:f>#REF!</x:f>
        <x:v>#REF!</x:v>
      </x:c>
      <x:c r="E94" s="88" t="e">
        <x:f>#REF!</x:f>
        <x:v>#REF!</x:v>
      </x:c>
      <x:c r="F94" s="88" t="e">
        <x:f>#REF!</x:f>
        <x:v>#REF!</x:v>
      </x:c>
      <x:c r="G94" s="88" t="e">
        <x:f>#REF!</x:f>
        <x:v>#REF!</x:v>
      </x:c>
      <x:c r="H94" s="88" t="e">
        <x:f>#REF!</x:f>
        <x:v>#REF!</x:v>
      </x:c>
      <x:c r="I94" s="88" t="e">
        <x:f>#REF!</x:f>
        <x:v>#REF!</x:v>
      </x:c>
      <x:c r="J94" s="88" t="e">
        <x:f>#REF!</x:f>
        <x:v>#REF!</x:v>
      </x:c>
    </x:row>
    <x:row r="95" ht="15.75">
      <x:c r="A95" s="91">
        <x:v>15</x:v>
      </x:c>
      <x:c r="B95" s="88" t="e">
        <x:f>#REF!</x:f>
        <x:v>#REF!</x:v>
      </x:c>
      <x:c r="C95" s="88" t="e">
        <x:f>#REF!</x:f>
        <x:v>#REF!</x:v>
      </x:c>
      <x:c r="D95" s="88" t="e">
        <x:f>#REF!</x:f>
        <x:v>#REF!</x:v>
      </x:c>
      <x:c r="E95" s="88" t="e">
        <x:f>#REF!</x:f>
        <x:v>#REF!</x:v>
      </x:c>
      <x:c r="F95" s="88" t="e">
        <x:f>#REF!</x:f>
        <x:v>#REF!</x:v>
      </x:c>
      <x:c r="G95" s="88" t="e">
        <x:f>#REF!</x:f>
        <x:v>#REF!</x:v>
      </x:c>
      <x:c r="H95" s="88" t="e">
        <x:f>#REF!</x:f>
        <x:v>#REF!</x:v>
      </x:c>
      <x:c r="I95" s="88" t="e">
        <x:f>#REF!</x:f>
        <x:v>#REF!</x:v>
      </x:c>
      <x:c r="J95" s="88" t="e">
        <x:f>#REF!</x:f>
        <x:v>#REF!</x:v>
      </x:c>
    </x:row>
    <x:row r="96" ht="15.75">
      <x:c r="A96" s="91">
        <x:v>16</x:v>
      </x:c>
      <x:c r="B96" s="88" t="e">
        <x:f>#REF!</x:f>
        <x:v>#REF!</x:v>
      </x:c>
      <x:c r="C96" s="88" t="e">
        <x:f>#REF!</x:f>
        <x:v>#REF!</x:v>
      </x:c>
      <x:c r="D96" s="88" t="e">
        <x:f>#REF!</x:f>
        <x:v>#REF!</x:v>
      </x:c>
      <x:c r="E96" s="88" t="e">
        <x:f>#REF!</x:f>
        <x:v>#REF!</x:v>
      </x:c>
      <x:c r="F96" s="88" t="e">
        <x:f>#REF!</x:f>
        <x:v>#REF!</x:v>
      </x:c>
      <x:c r="G96" s="88" t="e">
        <x:f>#REF!</x:f>
        <x:v>#REF!</x:v>
      </x:c>
      <x:c r="H96" s="88" t="e">
        <x:f>#REF!</x:f>
        <x:v>#REF!</x:v>
      </x:c>
      <x:c r="I96" s="88" t="e">
        <x:f>#REF!</x:f>
        <x:v>#REF!</x:v>
      </x:c>
      <x:c r="J96" s="88" t="e">
        <x:f>#REF!</x:f>
        <x:v>#REF!</x:v>
      </x:c>
    </x:row>
    <x:row r="97" ht="15.75">
      <x:c r="A97" s="91">
        <x:v>17</x:v>
      </x:c>
      <x:c r="B97" s="88" t="e">
        <x:f>#REF!</x:f>
        <x:v>#REF!</x:v>
      </x:c>
      <x:c r="C97" s="88" t="e">
        <x:f>#REF!</x:f>
        <x:v>#REF!</x:v>
      </x:c>
      <x:c r="D97" s="88" t="e">
        <x:f>#REF!</x:f>
        <x:v>#REF!</x:v>
      </x:c>
      <x:c r="E97" s="88" t="e">
        <x:f>#REF!</x:f>
        <x:v>#REF!</x:v>
      </x:c>
      <x:c r="F97" s="88" t="e">
        <x:f>#REF!</x:f>
        <x:v>#REF!</x:v>
      </x:c>
      <x:c r="G97" s="88" t="e">
        <x:f>#REF!</x:f>
        <x:v>#REF!</x:v>
      </x:c>
      <x:c r="H97" s="88" t="e">
        <x:f>#REF!</x:f>
        <x:v>#REF!</x:v>
      </x:c>
      <x:c r="I97" s="88" t="e">
        <x:f>#REF!</x:f>
        <x:v>#REF!</x:v>
      </x:c>
      <x:c r="J97" s="88" t="e">
        <x:f>#REF!</x:f>
        <x:v>#REF!</x:v>
      </x:c>
    </x:row>
    <x:row r="98" ht="15.75">
      <x:c r="A98" s="91">
        <x:v>18</x:v>
      </x:c>
      <x:c r="B98" s="88" t="e">
        <x:f>#REF!</x:f>
        <x:v>#REF!</x:v>
      </x:c>
      <x:c r="C98" s="88" t="e">
        <x:f>#REF!</x:f>
        <x:v>#REF!</x:v>
      </x:c>
      <x:c r="D98" s="88" t="e">
        <x:f>#REF!</x:f>
        <x:v>#REF!</x:v>
      </x:c>
      <x:c r="E98" s="88" t="e">
        <x:f>#REF!</x:f>
        <x:v>#REF!</x:v>
      </x:c>
      <x:c r="F98" s="88" t="e">
        <x:f>#REF!</x:f>
        <x:v>#REF!</x:v>
      </x:c>
      <x:c r="G98" s="88" t="e">
        <x:f>#REF!</x:f>
        <x:v>#REF!</x:v>
      </x:c>
      <x:c r="H98" s="88" t="e">
        <x:f>#REF!</x:f>
        <x:v>#REF!</x:v>
      </x:c>
      <x:c r="I98" s="88" t="e">
        <x:f>#REF!</x:f>
        <x:v>#REF!</x:v>
      </x:c>
      <x:c r="J98" s="88" t="e">
        <x:f>#REF!</x:f>
        <x:v>#REF!</x:v>
      </x:c>
    </x:row>
    <x:row r="99" ht="16.5">
      <x:c r="A99" s="92">
        <x:v>19</x:v>
      </x:c>
      <x:c r="B99" s="88" t="e">
        <x:f>#REF!</x:f>
        <x:v>#REF!</x:v>
      </x:c>
      <x:c r="C99" s="88" t="e">
        <x:f>#REF!</x:f>
        <x:v>#REF!</x:v>
      </x:c>
      <x:c r="D99" s="88" t="e">
        <x:f>#REF!</x:f>
        <x:v>#REF!</x:v>
      </x:c>
      <x:c r="E99" s="88" t="e">
        <x:f>#REF!</x:f>
        <x:v>#REF!</x:v>
      </x:c>
      <x:c r="F99" s="88" t="e">
        <x:f>#REF!</x:f>
        <x:v>#REF!</x:v>
      </x:c>
      <x:c r="G99" s="88" t="e">
        <x:f>#REF!</x:f>
        <x:v>#REF!</x:v>
      </x:c>
      <x:c r="H99" s="88" t="e">
        <x:f>#REF!</x:f>
        <x:v>#REF!</x:v>
      </x:c>
      <x:c r="I99" s="88" t="e">
        <x:f>#REF!</x:f>
        <x:v>#REF!</x:v>
      </x:c>
      <x:c r="J99" s="88" t="e">
        <x:f>#REF!</x:f>
        <x:v>#REF!</x:v>
      </x:c>
    </x:row>
  </x:sheetData>
  <x:mergeCells>
    <x:mergeCell ref="A79:J79"/>
    <x:mergeCell ref="A53:R53"/>
    <x:mergeCell ref="A28:S28"/>
  </x:mergeCells>
  <x:conditionalFormatting sqref="B5:B22">
    <x:cfRule type="cellIs" dxfId="9" priority="29" operator="equal">
      <x:formula>0</x:formula>
    </x:cfRule>
  </x:conditionalFormatting>
  <x:conditionalFormatting sqref="B82:J99">
    <x:cfRule type="cellIs" dxfId="8" priority="13" operator="equal">
      <x:formula>0</x:formula>
    </x:cfRule>
    <x:cfRule type="cellIs" dxfId="7" priority="14" operator="between">
      <x:formula>71</x:formula>
      <x:formula>99</x:formula>
    </x:cfRule>
    <x:cfRule type="cellIs" dxfId="6" priority="15" operator="between">
      <x:formula>1</x:formula>
      <x:formula>70</x:formula>
    </x:cfRule>
    <x:cfRule type="cellIs" dxfId="5" priority="16" operator="equal">
      <x:formula>100</x:formula>
    </x:cfRule>
  </x:conditionalFormatting>
  <x:conditionalFormatting sqref="B5:V22 B31:S48 B56:R73">
    <x:cfRule type="cellIs" dxfId="4" priority="22" operator="between">
      <x:formula>71</x:formula>
      <x:formula>99</x:formula>
    </x:cfRule>
    <x:cfRule type="cellIs" dxfId="3" priority="23" operator="between">
      <x:formula>1</x:formula>
      <x:formula>70</x:formula>
    </x:cfRule>
    <x:cfRule type="cellIs" dxfId="2" priority="24" operator="equal">
      <x:formula>100</x:formula>
    </x:cfRule>
  </x:conditionalFormatting>
  <x:conditionalFormatting sqref="C5:V22 B31:R48 B56:R73">
    <x:cfRule type="cellIs" dxfId="1" priority="21" operator="equal">
      <x:formula>0</x:formula>
    </x:cfRule>
  </x:conditionalFormatting>
  <x:conditionalFormatting sqref="S31:S48">
    <x:cfRule type="cellIs" dxfId="0" priority="25" operator="equal">
      <x:formula>0</x:formula>
    </x:cfRule>
  </x:conditionalFormatting>
  <x:pageMargins left="0.7" right="0.7" top="0.75" bottom="0.75" header="0.3" footer="0.3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3b7186004f8249ba" /></Relationships>
</file>

<file path=pivotCache/pivotCacheDefinition1.xml><?xml version="1.0" encoding="utf-8"?>
<x:pivotCacheDefinition xmlns:x="http://schemas.openxmlformats.org/spreadsheetml/2006/main" refreshedBy="JAIME ANDRES TAPIA GARCIA" refreshedDate="45310.71892546296" createdVersion="8" refreshedVersion="8" minRefreshableVersion="3" recordCount="84">
  <x:cacheSource type="worksheet">
    <x:worksheetSource ref="B5:U202" sheet="AVANCE SEMANAL 1"/>
  </x:cacheSource>
  <x:cacheFields count="20">
    <x:cacheField name="Column1" numFmtId="0">
      <x:sharedItems count="5">
        <x:s v="FASE 1 "/>
        <x:s v="FASE 2"/>
        <x:s v="FASE 3"/>
        <x:s v="FASE 4"/>
        <x:s v=""/>
      </x:sharedItems>
    </x:cacheField>
    <x:cacheField name="Column2" numFmtId="9">
      <x:sharedItems containsSemiMixedTypes="1" containsString="1" containsNumber="1" minValue="0" maxValue="0"/>
    </x:cacheField>
    <x:cacheField name="Column3" numFmtId="9">
      <x:sharedItems containsSemiMixedTypes="1" containsString="1" containsNumber="1" minValue="0.0833333333333333" maxValue="1"/>
    </x:cacheField>
    <x:cacheField name="Column4" numFmtId="9">
      <x:sharedItems containsSemiMixedTypes="1" containsString="1" containsNumber="1" minValue="0.1666666666666666" maxValue="2"/>
    </x:cacheField>
    <x:cacheField name="Column5" numFmtId="9">
      <x:sharedItems containsSemiMixedTypes="1" containsString="1" containsNumber="1" minValue="0.2499999999999999" maxValue="3"/>
    </x:cacheField>
    <x:cacheField name="Column6" numFmtId="9">
      <x:sharedItems containsSemiMixedTypes="1" containsString="1" containsNumber="1" minValue="0.3333333333333332" maxValue="4"/>
    </x:cacheField>
    <x:cacheField name="Column7" numFmtId="9">
      <x:sharedItems containsSemiMixedTypes="1" containsString="1" containsNumber="1" minValue="0.4166666666666665" maxValue="5"/>
    </x:cacheField>
    <x:cacheField name="Column8" numFmtId="9">
      <x:sharedItems containsSemiMixedTypes="1" containsString="1" containsNumber="1" minValue="0.4999999999999998" maxValue="1330"/>
    </x:cacheField>
    <x:cacheField name="Column9" numFmtId="9">
      <x:sharedItems containsSemiMixedTypes="1" containsString="1" containsNumber="1" minValue="0.5833333333333331" maxValue="48146000"/>
    </x:cacheField>
    <x:cacheField name="Column10" numFmtId="9">
      <x:sharedItems containsSemiMixedTypes="1" containsString="1" containsNumber="1" minValue="0.6666666666666664" maxValue="8"/>
    </x:cacheField>
    <x:cacheField name="Column11" numFmtId="9">
      <x:sharedItems containsSemiMixedTypes="1" containsString="1" containsNumber="1" minValue="0.7499999999999997" maxValue="9"/>
    </x:cacheField>
    <x:cacheField name="Column12" numFmtId="9">
      <x:sharedItems containsSemiMixedTypes="1" containsString="1" containsNumber="1" minValue="0.833333333333333" maxValue="10"/>
    </x:cacheField>
    <x:cacheField name="Column13" numFmtId="9">
      <x:sharedItems containsSemiMixedTypes="1" containsString="1" containsNumber="1" minValue="0.9166666666666663" maxValue="11"/>
    </x:cacheField>
    <x:cacheField name="Column14" numFmtId="9">
      <x:sharedItems containsSemiMixedTypes="1" containsString="1" containsNumber="1" minValue="0.9999999999999996" maxValue="12"/>
    </x:cacheField>
    <x:cacheField name="Column15" numFmtId="9">
      <x:sharedItems/>
    </x:cacheField>
    <x:cacheField name="Column16" numFmtId="9">
      <x:sharedItems containsSemiMixedTypes="1" containsString="1" containsNumber="1" minValue="0.2499999999999999" maxValue="0.4166666666666665"/>
    </x:cacheField>
    <x:cacheField name="Column17" numFmtId="9">
      <x:sharedItems containsSemiMixedTypes="1" containsString="1" containsNumber="1" minValue="0.4166666666666665" maxValue="0.5833333333333331"/>
    </x:cacheField>
    <x:cacheField name="Column18" numFmtId="9">
      <x:sharedItems containsSemiMixedTypes="1" containsString="1" containsNumber="1" minValue="0.5833333333333331" maxValue="0.7499999999999997"/>
    </x:cacheField>
    <x:cacheField name="Column19" numFmtId="9">
      <x:sharedItems containsSemiMixedTypes="1" containsString="1" containsNumber="1" minValue="0.7499999999999997" maxValue="0.9166666666666663"/>
    </x:cacheField>
    <x:cacheField name="Column20" numFmtId="9">
      <x:sharedItems containsSemiMixedTypes="1" containsString="1" containsNumber="1" minValue="0.9166666666666663" maxValue="0.9999999999999996"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197">
  <x:r>
    <x:x v="0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1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2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3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4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5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6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7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8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9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10"/>
    <x:n v="1"/>
    <x:n v="1"/>
    <x:n v="1"/>
    <x:n v="1"/>
    <x:n v="1"/>
    <x:n v="0.8"/>
    <x:n v="1"/>
    <x:n v="1"/>
    <x:n v="1"/>
    <x:n v="1"/>
    <x:n v="1"/>
    <x:n v="1"/>
    <x:n v="1"/>
    <x:n v="0.525"/>
    <x:n v="0.43333333333333335"/>
    <x:n v="0.8"/>
    <x:n v="0"/>
    <x:n v="0"/>
    <x:n v="0.8087962962962965"/>
  </x:r>
  <x:r>
    <x:x v="11"/>
    <x:n v="1"/>
    <x:n v="1"/>
    <x:n v="1"/>
    <x:n v="1"/>
    <x:n v="1"/>
    <x:n v="0.9"/>
    <x:n v="1"/>
    <x:n v="1"/>
    <x:n v="1"/>
    <x:n v="1"/>
    <x:n v="1"/>
    <x:n v="1"/>
    <x:n v="1"/>
    <x:n v="0.525"/>
    <x:n v="0.46666666666666673"/>
    <x:n v="0.8"/>
    <x:n v="0"/>
    <x:n v="0"/>
    <x:n v="0.8162037037037038"/>
  </x:r>
  <x:r>
    <x:x v="12"/>
    <x:n v="1"/>
    <x:n v="1"/>
    <x:n v="1"/>
    <x:n v="1"/>
    <x:n v="1"/>
    <x:n v="0.95"/>
    <x:n v="1"/>
    <x:n v="1"/>
    <x:n v="1"/>
    <x:n v="1"/>
    <x:n v="1"/>
    <x:n v="1"/>
    <x:n v="1"/>
    <x:n v="0.7"/>
    <x:n v="0.7000000000000001"/>
    <x:n v="0.8"/>
    <x:n v="0.9"/>
    <x:n v="0"/>
    <x:n v="0.8916666666666665"/>
  </x:r>
  <x:r>
    <x:x v="13"/>
    <x:n v="1"/>
    <x:n v="1"/>
    <x:n v="1"/>
    <x:n v="1"/>
    <x:n v="1"/>
    <x:n v="0.95"/>
    <x:n v="1"/>
    <x:n v="1"/>
    <x:n v="1"/>
    <x:n v="1"/>
    <x:n v="1"/>
    <x:n v="1"/>
    <x:n v="1"/>
    <x:n v="0.575"/>
    <x:n v="0.7000000000000001"/>
    <x:n v="0.9"/>
    <x:n v="0.9"/>
    <x:n v="0"/>
    <x:n v="0.8902777777777777"/>
  </x:r>
  <x:r>
    <x:x v="14"/>
    <x:n v="1"/>
    <x:n v="1"/>
    <x:n v="1"/>
    <x:n v="1"/>
    <x:n v="1"/>
    <x:n v="0.95"/>
    <x:n v="1"/>
    <x:n v="1"/>
    <x:n v="1"/>
    <x:n v="0"/>
    <x:n v="1"/>
    <x:n v="0"/>
    <x:n v="0"/>
    <x:n v="0"/>
    <x:n v="0"/>
    <x:n v="0"/>
    <x:n v="0"/>
    <x:n v="0"/>
    <x:n v="0.5527777777777777"/>
  </x:r>
  <x:r>
    <x:x v="15"/>
    <x:n v="1"/>
    <x:n v="1"/>
    <x:n v="1"/>
    <x:n v="1"/>
    <x:n v="1"/>
    <x:n v="0"/>
    <x:n v="1"/>
    <x:n v="1"/>
    <x:n v="1"/>
    <x:n v="0"/>
    <x:n v="0.5"/>
    <x:n v="0"/>
    <x:n v="0"/>
    <x:n v="0"/>
    <x:n v="0"/>
    <x:n v="0"/>
    <x:n v="0"/>
    <x:n v="0"/>
    <x:n v="0.4722222222222222"/>
  </x:r>
  <x:r>
    <x:x v="16"/>
    <x:n v="1"/>
    <x:n v="1"/>
    <x:n v="1"/>
    <x:n v="1"/>
    <x:n v="1"/>
    <x:n v="0"/>
    <x:n v="1"/>
    <x:n v="1"/>
    <x:n v="1"/>
    <x:n v="0"/>
    <x:n v="0.5"/>
    <x:n v="0"/>
    <x:n v="0"/>
    <x:n v="0"/>
    <x:n v="0"/>
    <x:n v="0"/>
    <x:n v="0"/>
    <x:n v="0"/>
    <x:n v="0.4722222222222222"/>
  </x:r>
  <x:r>
    <x:x v="17"/>
    <x:n v="1"/>
    <x:n v="1"/>
    <x:n v="1"/>
    <x:n v="1"/>
    <x:n v="1"/>
    <x:n v="0.26764705882352946"/>
    <x:n v="1"/>
    <x:n v="1"/>
    <x:n v="1"/>
    <x:n v="0.23529411764705882"/>
    <x:n v="0.9411764705882353"/>
    <x:n v="0.23529411764705882"/>
    <x:n v="0.23529411764705882"/>
    <x:n v="0.13676470588235295"/>
    <x:n v="0.13529411764705884"/>
    <x:n v="0.19411764705882353"/>
    <x:n v="0.10588235294117647"/>
    <x:n v="0"/>
    <x:n v="0.5825980392156861"/>
  </x:r>
  <x:r>
    <x:x v="1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</x:pivotCacheRecords>
</file>